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4.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updateLinks="always"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H 固定资产循环\"/>
    </mc:Choice>
  </mc:AlternateContent>
  <bookViews>
    <workbookView xWindow="-120" yWindow="-120" windowWidth="20736" windowHeight="11160" tabRatio="869"/>
  </bookViews>
  <sheets>
    <sheet name="底稿目录" sheetId="18" r:id="rId1"/>
    <sheet name="使用权资产实质性程序表H8A" sheetId="46" r:id="rId2"/>
    <sheet name="审定表H8-1" sheetId="1" r:id="rId3"/>
    <sheet name="附注披露信息（上市公司）" sheetId="2" r:id="rId4"/>
    <sheet name="附注披露信息（国企）" sheetId="44" r:id="rId5"/>
    <sheet name="明细表H8-2" sheetId="4" r:id="rId6"/>
    <sheet name="调整分录汇总H8-3" sheetId="45" r:id="rId7"/>
    <sheet name="租赁的识别H8-4" sheetId="40" r:id="rId8"/>
    <sheet name="租赁期的确定H8-5" sheetId="41" r:id="rId9"/>
    <sheet name="使用权资产 租赁负责初始及后续计量（按年）H8-6" sheetId="39" r:id="rId10"/>
    <sheet name="使用权资产 租赁负责初始及后续计量（按月）H8-6" sheetId="38" r:id="rId11"/>
    <sheet name="租赁变更H8-7" sheetId="43" r:id="rId12"/>
    <sheet name="折旧测算表（不含减值）H8-8" sheetId="11" r:id="rId13"/>
    <sheet name="折旧测算表（含减值）H8-8" sheetId="12" r:id="rId14"/>
    <sheet name="折旧分配分析表H8-9" sheetId="31" r:id="rId15"/>
    <sheet name="减值测算表H8-10" sheetId="27" r:id="rId16"/>
    <sheet name="可收回金额测试表H8-11" sheetId="13" r:id="rId17"/>
    <sheet name="减少检查表H8-12" sheetId="10" r:id="rId18"/>
    <sheet name="简化处理的租赁检查表H8-13" sheetId="29" r:id="rId19"/>
    <sheet name="关联交易检查表H8-14" sheetId="47" r:id="rId20"/>
  </sheets>
  <definedNames>
    <definedName name="_xlnm._FilterDatabase" localSheetId="10" hidden="1">'使用权资产 租赁负责初始及后续计量（按月）H8-6'!$A$21:$L$349</definedName>
    <definedName name="_xlnm._FilterDatabase" localSheetId="1" hidden="1">使用权资产实质性程序表H8A!$A$16:$I$31</definedName>
    <definedName name="_xlnm.Print_Area" localSheetId="6">'调整分录汇总H8-3'!$A$1:$J$23</definedName>
    <definedName name="_xlnm.Print_Area" localSheetId="4">'附注披露信息（国企）'!$A$1:$E$32</definedName>
    <definedName name="_xlnm.Print_Area" localSheetId="3">'附注披露信息（上市公司）'!$A$1:$F$51</definedName>
    <definedName name="_xlnm.Print_Area" localSheetId="19">'关联交易检查表H8-14'!$A$1:$O$32</definedName>
    <definedName name="_xlnm.Print_Area" localSheetId="17">'减少检查表H8-12'!$A$1:$V$37</definedName>
    <definedName name="_xlnm.Print_Area" localSheetId="15">'减值测算表H8-10'!$A$1:$L$26</definedName>
    <definedName name="_xlnm.Print_Area" localSheetId="18">'简化处理的租赁检查表H8-13'!$A$1:$O$27</definedName>
    <definedName name="_xlnm.Print_Area" localSheetId="16">'可收回金额测试表H8-11'!$A$1:$O$36</definedName>
    <definedName name="_xlnm.Print_Area" localSheetId="5">'明细表H8-2'!$A$1:$BF$43</definedName>
    <definedName name="_xlnm.Print_Area" localSheetId="2">'审定表H8-1'!$A$1:$I$47</definedName>
    <definedName name="_xlnm.Print_Area" localSheetId="9">'使用权资产 租赁负责初始及后续计量（按年）H8-6'!$A$1:$K$50</definedName>
    <definedName name="_xlnm.Print_Area" localSheetId="10">'使用权资产 租赁负责初始及后续计量（按月）H8-6'!$A$1:$M$361</definedName>
    <definedName name="_xlnm.Print_Area" localSheetId="1">使用权资产实质性程序表H8A!$A$1:$I$31</definedName>
    <definedName name="_xlnm.Print_Area" localSheetId="12">'折旧测算表（不含减值）H8-8'!$A$1:$R$37</definedName>
    <definedName name="_xlnm.Print_Area" localSheetId="13">'折旧测算表（含减值）H8-8'!$A$1:$X$38</definedName>
    <definedName name="_xlnm.Print_Area" localSheetId="14">'折旧分配分析表H8-9'!$A$1:$J$19</definedName>
    <definedName name="_xlnm.Print_Area" localSheetId="11">'租赁变更H8-7'!$A$1:$I$91</definedName>
    <definedName name="_xlnm.Print_Area" localSheetId="7">'租赁的识别H8-4'!$A$1:$G$60</definedName>
    <definedName name="_xlnm.Print_Area" localSheetId="8">'租赁期的确定H8-5'!$A$1:$F$43</definedName>
    <definedName name="_xlnm.Print_Titles" localSheetId="5">'明细表H8-2'!$A:$C</definedName>
    <definedName name="_xlnm.Print_Titles" localSheetId="10">'使用权资产 租赁负责初始及后续计量（按月）H8-6'!$21:$21</definedName>
    <definedName name="_xlnm.Print_Titles" localSheetId="1">使用权资产实质性程序表H8A!$15:$16</definedName>
    <definedName name="_xlnm.Print_Titles" localSheetId="12">'折旧测算表（不含减值）H8-8'!$7:$8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 i="38" l="1"/>
  <c r="J16" i="38"/>
  <c r="I15" i="38"/>
  <c r="G14" i="39"/>
  <c r="F13" i="39"/>
  <c r="K35" i="39"/>
  <c r="J35" i="39"/>
  <c r="F15" i="39"/>
  <c r="L23" i="38"/>
  <c r="L22" i="38"/>
  <c r="J36" i="39"/>
  <c r="K36" i="39"/>
  <c r="J37" i="39"/>
  <c r="K37" i="39"/>
  <c r="J38" i="39"/>
  <c r="K38" i="39"/>
  <c r="J39" i="39"/>
  <c r="K39" i="39"/>
  <c r="J40" i="39"/>
  <c r="K40" i="39"/>
  <c r="J41" i="39"/>
  <c r="K41" i="39"/>
  <c r="J42" i="39"/>
  <c r="K42" i="39"/>
  <c r="J43" i="39"/>
  <c r="K43" i="39"/>
  <c r="J44" i="39"/>
  <c r="K44" i="39"/>
  <c r="M22" i="38"/>
  <c r="I30" i="39"/>
  <c r="C15" i="39"/>
  <c r="C14" i="39"/>
  <c r="F18" i="38"/>
  <c r="B13" i="39"/>
  <c r="B16" i="39" s="1"/>
  <c r="K22" i="38"/>
  <c r="E15" i="38"/>
  <c r="G22" i="38"/>
  <c r="H20" i="29"/>
  <c r="L20" i="29"/>
  <c r="M20" i="29"/>
  <c r="K20" i="29"/>
  <c r="K18" i="29"/>
  <c r="M18" i="29" s="1"/>
  <c r="K19" i="29"/>
  <c r="M19" i="29"/>
  <c r="M18" i="10"/>
  <c r="M19" i="10"/>
  <c r="M20" i="10"/>
  <c r="M21" i="10"/>
  <c r="M22" i="10"/>
  <c r="M23" i="10"/>
  <c r="M24" i="10"/>
  <c r="M25" i="10"/>
  <c r="M26" i="10"/>
  <c r="M27" i="10"/>
  <c r="M28" i="10"/>
  <c r="C16" i="39" l="1"/>
  <c r="A10" i="11"/>
  <c r="A11" i="11"/>
  <c r="A12" i="11"/>
  <c r="A13" i="11"/>
  <c r="A14" i="11"/>
  <c r="A15" i="11"/>
  <c r="A16" i="11"/>
  <c r="A17" i="11"/>
  <c r="A18" i="11"/>
  <c r="A19" i="11"/>
  <c r="A20" i="11"/>
  <c r="A21" i="11"/>
  <c r="A22" i="11"/>
  <c r="A23" i="11"/>
  <c r="A24" i="11"/>
  <c r="A25" i="11"/>
  <c r="A26" i="11"/>
  <c r="A27" i="11"/>
  <c r="A28" i="11"/>
  <c r="B9" i="11"/>
  <c r="A9" i="11"/>
  <c r="C54" i="40" l="1"/>
  <c r="C45" i="40"/>
  <c r="F41" i="40"/>
  <c r="E22" i="38" l="1"/>
  <c r="J4" i="47" l="1"/>
  <c r="J3" i="47"/>
  <c r="F4" i="47"/>
  <c r="F3" i="47"/>
  <c r="A4" i="47"/>
  <c r="A3" i="47"/>
  <c r="A4" i="13" l="1"/>
  <c r="E4" i="13"/>
  <c r="E4" i="46" l="1"/>
  <c r="C4" i="46"/>
  <c r="A4" i="46"/>
  <c r="E3" i="46"/>
  <c r="C3" i="46"/>
  <c r="A3" i="46"/>
  <c r="M14" i="10" l="1"/>
  <c r="F32" i="4"/>
  <c r="K10" i="29" l="1"/>
  <c r="M10" i="29" s="1"/>
  <c r="M10" i="13"/>
  <c r="B13" i="13"/>
  <c r="G10" i="27"/>
  <c r="H10" i="27" s="1"/>
  <c r="J10" i="27" s="1"/>
  <c r="I8" i="31"/>
  <c r="C13" i="31"/>
  <c r="K28" i="12"/>
  <c r="L28" i="12" s="1"/>
  <c r="K27" i="12"/>
  <c r="L27" i="12" s="1"/>
  <c r="K26" i="12"/>
  <c r="L26" i="12" s="1"/>
  <c r="K25" i="12"/>
  <c r="L25" i="12" s="1"/>
  <c r="J9" i="11"/>
  <c r="G43" i="43"/>
  <c r="C44" i="43"/>
  <c r="D9" i="39"/>
  <c r="F9" i="39" s="1"/>
  <c r="T12" i="4"/>
  <c r="BC12" i="4"/>
  <c r="BB12" i="4"/>
  <c r="BA12" i="4"/>
  <c r="AT12" i="4"/>
  <c r="AL12" i="4"/>
  <c r="AK12" i="4"/>
  <c r="AJ12" i="4"/>
  <c r="AC12" i="4"/>
  <c r="U12" i="4"/>
  <c r="S12" i="4"/>
  <c r="I32" i="4"/>
  <c r="D32" i="4"/>
  <c r="K12" i="4"/>
  <c r="K4" i="10"/>
  <c r="F4" i="10"/>
  <c r="K4" i="29"/>
  <c r="E4" i="29"/>
  <c r="J4" i="13"/>
  <c r="H4" i="27"/>
  <c r="E4" i="27"/>
  <c r="G4" i="31"/>
  <c r="D4" i="31"/>
  <c r="Q4" i="12"/>
  <c r="E4" i="12"/>
  <c r="L4" i="11"/>
  <c r="E4" i="11"/>
  <c r="F4" i="43"/>
  <c r="D4" i="43"/>
  <c r="I4" i="38"/>
  <c r="E4" i="38"/>
  <c r="F4" i="39"/>
  <c r="D4" i="39"/>
  <c r="D4" i="41"/>
  <c r="C4" i="41"/>
  <c r="E4" i="40"/>
  <c r="D4" i="40"/>
  <c r="G4" i="45"/>
  <c r="G3" i="45"/>
  <c r="D4" i="45"/>
  <c r="D3" i="45"/>
  <c r="A4" i="45"/>
  <c r="A3" i="45"/>
  <c r="P4" i="4"/>
  <c r="P3" i="4"/>
  <c r="AT4" i="4"/>
  <c r="AT3" i="4"/>
  <c r="AI4" i="4"/>
  <c r="AI3" i="4"/>
  <c r="AC4" i="4"/>
  <c r="AC3" i="4"/>
  <c r="G4" i="4"/>
  <c r="D4" i="44"/>
  <c r="B4" i="44"/>
  <c r="E4" i="2"/>
  <c r="C4" i="2"/>
  <c r="F4" i="1"/>
  <c r="C4" i="1"/>
  <c r="E9" i="39" l="1"/>
  <c r="BE12" i="4"/>
  <c r="V12" i="4"/>
  <c r="BC14" i="4"/>
  <c r="S20" i="4"/>
  <c r="S13" i="4" l="1"/>
  <c r="S14" i="4"/>
  <c r="S15" i="4"/>
  <c r="S16" i="4"/>
  <c r="S17" i="4"/>
  <c r="S18" i="4"/>
  <c r="S19" i="4"/>
  <c r="S21" i="4"/>
  <c r="S22" i="4"/>
  <c r="S23" i="4"/>
  <c r="S24" i="4"/>
  <c r="S25" i="4"/>
  <c r="S26" i="4"/>
  <c r="S27" i="4"/>
  <c r="S28" i="4"/>
  <c r="S29" i="4"/>
  <c r="S30" i="4"/>
  <c r="S31" i="4"/>
  <c r="BD12" i="4"/>
  <c r="AM12" i="4"/>
  <c r="A3" i="44"/>
  <c r="B3" i="44"/>
  <c r="D3" i="44"/>
  <c r="A4" i="44"/>
  <c r="A4" i="2"/>
  <c r="E3" i="2"/>
  <c r="C3" i="2"/>
  <c r="A3" i="2"/>
  <c r="BF12" i="4" l="1"/>
  <c r="S32" i="4"/>
  <c r="AR32" i="4"/>
  <c r="AF32" i="4"/>
  <c r="AG32" i="4"/>
  <c r="AH32" i="4"/>
  <c r="AI32" i="4"/>
  <c r="AA32" i="4"/>
  <c r="N32" i="4"/>
  <c r="O32" i="4"/>
  <c r="P32" i="4"/>
  <c r="Q32" i="4"/>
  <c r="R32" i="4"/>
  <c r="T13" i="4"/>
  <c r="U13" i="4"/>
  <c r="T14" i="4"/>
  <c r="U14" i="4"/>
  <c r="T15" i="4"/>
  <c r="U15" i="4"/>
  <c r="T16" i="4"/>
  <c r="U16" i="4"/>
  <c r="T17" i="4"/>
  <c r="U17" i="4"/>
  <c r="T18" i="4"/>
  <c r="U18" i="4"/>
  <c r="T19" i="4"/>
  <c r="U19" i="4"/>
  <c r="T20" i="4"/>
  <c r="U20" i="4"/>
  <c r="T21" i="4"/>
  <c r="U21" i="4"/>
  <c r="T22" i="4"/>
  <c r="U22" i="4"/>
  <c r="T23" i="4"/>
  <c r="U23" i="4"/>
  <c r="T24" i="4"/>
  <c r="U24" i="4"/>
  <c r="T25" i="4"/>
  <c r="U25" i="4"/>
  <c r="T26" i="4"/>
  <c r="U26" i="4"/>
  <c r="T27" i="4"/>
  <c r="U27" i="4"/>
  <c r="T28" i="4"/>
  <c r="U28" i="4"/>
  <c r="T29" i="4"/>
  <c r="U29" i="4"/>
  <c r="T30" i="4"/>
  <c r="U30" i="4"/>
  <c r="T31" i="4"/>
  <c r="U31" i="4"/>
  <c r="AK13" i="4"/>
  <c r="AL13" i="4"/>
  <c r="AK14" i="4"/>
  <c r="AL14" i="4"/>
  <c r="AK15" i="4"/>
  <c r="AL15" i="4"/>
  <c r="AK16" i="4"/>
  <c r="AL16" i="4"/>
  <c r="AK17" i="4"/>
  <c r="AL17" i="4"/>
  <c r="AK18" i="4"/>
  <c r="AL18" i="4"/>
  <c r="AK19" i="4"/>
  <c r="AL19" i="4"/>
  <c r="AK20" i="4"/>
  <c r="AL20" i="4"/>
  <c r="AK21" i="4"/>
  <c r="AL21" i="4"/>
  <c r="AK22" i="4"/>
  <c r="AL22" i="4"/>
  <c r="AK23" i="4"/>
  <c r="AL23" i="4"/>
  <c r="AK24" i="4"/>
  <c r="AL24" i="4"/>
  <c r="AK25" i="4"/>
  <c r="AL25" i="4"/>
  <c r="AK26" i="4"/>
  <c r="AL26" i="4"/>
  <c r="AK27" i="4"/>
  <c r="AL27" i="4"/>
  <c r="AK28" i="4"/>
  <c r="AL28" i="4"/>
  <c r="AK29" i="4"/>
  <c r="AL29" i="4"/>
  <c r="AK30" i="4"/>
  <c r="AL30" i="4"/>
  <c r="AK31" i="4"/>
  <c r="AL31" i="4"/>
  <c r="BB13" i="4"/>
  <c r="BC13" i="4"/>
  <c r="BB14" i="4"/>
  <c r="BB15" i="4"/>
  <c r="BC15" i="4"/>
  <c r="BB16" i="4"/>
  <c r="BC16" i="4"/>
  <c r="BB17" i="4"/>
  <c r="BC17" i="4"/>
  <c r="BB18" i="4"/>
  <c r="BC18" i="4"/>
  <c r="BB19" i="4"/>
  <c r="BC19" i="4"/>
  <c r="BB20" i="4"/>
  <c r="BC20" i="4"/>
  <c r="BB21" i="4"/>
  <c r="BC21" i="4"/>
  <c r="BB22" i="4"/>
  <c r="BC22" i="4"/>
  <c r="BB23" i="4"/>
  <c r="BC23" i="4"/>
  <c r="BB24" i="4"/>
  <c r="BC24" i="4"/>
  <c r="BB25" i="4"/>
  <c r="BC25" i="4"/>
  <c r="BB26" i="4"/>
  <c r="BC26" i="4"/>
  <c r="BB27" i="4"/>
  <c r="BC27" i="4"/>
  <c r="BB28" i="4"/>
  <c r="BC28" i="4"/>
  <c r="BB29" i="4"/>
  <c r="BC29" i="4"/>
  <c r="BB30" i="4"/>
  <c r="BC30" i="4"/>
  <c r="BB31" i="4"/>
  <c r="BC31" i="4"/>
  <c r="AW32" i="4"/>
  <c r="AX32" i="4"/>
  <c r="AY32" i="4"/>
  <c r="AZ32" i="4"/>
  <c r="A10" i="12" l="1"/>
  <c r="B10" i="12"/>
  <c r="C10" i="12"/>
  <c r="A11" i="12"/>
  <c r="B11" i="12"/>
  <c r="C11" i="12"/>
  <c r="A12" i="12"/>
  <c r="B12" i="12"/>
  <c r="C12" i="12"/>
  <c r="A13" i="12"/>
  <c r="B13" i="12"/>
  <c r="C13" i="12"/>
  <c r="A14" i="12"/>
  <c r="B14" i="12"/>
  <c r="C14" i="12"/>
  <c r="A15" i="12"/>
  <c r="B15" i="12"/>
  <c r="C15" i="12"/>
  <c r="A16" i="12"/>
  <c r="B16" i="12"/>
  <c r="C16" i="12"/>
  <c r="A17" i="12"/>
  <c r="B17" i="12"/>
  <c r="C17" i="12"/>
  <c r="A18" i="12"/>
  <c r="B18" i="12"/>
  <c r="C18" i="12"/>
  <c r="A19" i="12"/>
  <c r="B19" i="12"/>
  <c r="C19" i="12"/>
  <c r="A20" i="12"/>
  <c r="B20" i="12"/>
  <c r="C20" i="12"/>
  <c r="A21" i="12"/>
  <c r="B21" i="12"/>
  <c r="C21" i="12"/>
  <c r="A22" i="12"/>
  <c r="B22" i="12"/>
  <c r="C22" i="12"/>
  <c r="A23" i="12"/>
  <c r="B23" i="12"/>
  <c r="C23" i="12"/>
  <c r="A24" i="12"/>
  <c r="B24" i="12"/>
  <c r="C24" i="12"/>
  <c r="A25" i="12"/>
  <c r="B25" i="12"/>
  <c r="C25" i="12"/>
  <c r="A26" i="12"/>
  <c r="B26" i="12"/>
  <c r="C26" i="12"/>
  <c r="A27" i="12"/>
  <c r="B27" i="12"/>
  <c r="C27" i="12"/>
  <c r="A28" i="12"/>
  <c r="B28" i="12"/>
  <c r="C28" i="12"/>
  <c r="C9" i="12"/>
  <c r="A9" i="12"/>
  <c r="B9" i="12"/>
  <c r="A30" i="12"/>
  <c r="A30" i="11"/>
  <c r="B10" i="11" l="1"/>
  <c r="C10" i="11"/>
  <c r="B11" i="11"/>
  <c r="C11" i="11"/>
  <c r="B12" i="11"/>
  <c r="C12" i="11"/>
  <c r="B13" i="11"/>
  <c r="C13" i="11"/>
  <c r="B14" i="11"/>
  <c r="C14" i="11"/>
  <c r="B15" i="11"/>
  <c r="C15" i="11"/>
  <c r="B16" i="11"/>
  <c r="C16" i="11"/>
  <c r="B17" i="11"/>
  <c r="C17" i="11"/>
  <c r="B18" i="11"/>
  <c r="C18" i="11"/>
  <c r="B19" i="11"/>
  <c r="C19" i="11"/>
  <c r="B20" i="11"/>
  <c r="C20" i="11"/>
  <c r="B21" i="11"/>
  <c r="C21" i="11"/>
  <c r="B22" i="11"/>
  <c r="C22" i="11"/>
  <c r="B23" i="11"/>
  <c r="C23" i="11"/>
  <c r="B24" i="11"/>
  <c r="C24" i="11"/>
  <c r="B25" i="11"/>
  <c r="C25" i="11"/>
  <c r="B26" i="11"/>
  <c r="C26" i="11"/>
  <c r="B27" i="11"/>
  <c r="C27" i="11"/>
  <c r="B28" i="11"/>
  <c r="C28" i="11"/>
  <c r="C9" i="11"/>
  <c r="E32" i="4"/>
  <c r="G32" i="4"/>
  <c r="H32" i="4"/>
  <c r="J32" i="4"/>
  <c r="L32" i="4"/>
  <c r="M32" i="4"/>
  <c r="W32" i="4"/>
  <c r="X32" i="4"/>
  <c r="Y32" i="4"/>
  <c r="Z32" i="4"/>
  <c r="AB32" i="4"/>
  <c r="AD32" i="4"/>
  <c r="AE32" i="4"/>
  <c r="AN32" i="4"/>
  <c r="AO32" i="4"/>
  <c r="AP32" i="4"/>
  <c r="AQ32" i="4"/>
  <c r="AS32" i="4"/>
  <c r="AU32" i="4"/>
  <c r="AV32" i="4"/>
  <c r="A35" i="4"/>
  <c r="A36" i="4"/>
  <c r="A37" i="4"/>
  <c r="AP37" i="4" s="1"/>
  <c r="A38" i="4"/>
  <c r="A34" i="4"/>
  <c r="K15" i="4"/>
  <c r="AC15" i="4"/>
  <c r="AJ15" i="4"/>
  <c r="AT15" i="4"/>
  <c r="BA15" i="4"/>
  <c r="F12" i="12" s="1"/>
  <c r="A9" i="1"/>
  <c r="A10" i="1"/>
  <c r="A11" i="1"/>
  <c r="A12" i="1"/>
  <c r="A8" i="1"/>
  <c r="T35" i="4" l="1" a="1"/>
  <c r="S35" i="4" a="1"/>
  <c r="R35" i="4" a="1"/>
  <c r="Q35" i="4" a="1"/>
  <c r="AS34" i="4"/>
  <c r="AI34" i="4"/>
  <c r="AA34" i="4"/>
  <c r="S34" i="4"/>
  <c r="AZ34" i="4"/>
  <c r="AR34" i="4"/>
  <c r="AH34" i="4"/>
  <c r="Z34" i="4"/>
  <c r="R34" i="4"/>
  <c r="J34" i="4"/>
  <c r="AY34" i="4"/>
  <c r="AQ34" i="4"/>
  <c r="AG34" i="4"/>
  <c r="Y34" i="4"/>
  <c r="Q34" i="4"/>
  <c r="I34" i="4"/>
  <c r="AX34" i="4"/>
  <c r="AO34" i="4"/>
  <c r="AF34" i="4"/>
  <c r="X34" i="4"/>
  <c r="P34" i="4"/>
  <c r="H34" i="4"/>
  <c r="AW34" i="4"/>
  <c r="AN34" i="4"/>
  <c r="B22" i="1" s="1"/>
  <c r="AE34" i="4"/>
  <c r="W34" i="4"/>
  <c r="B15" i="1" s="1"/>
  <c r="O34" i="4"/>
  <c r="G34" i="4"/>
  <c r="AV34" i="4"/>
  <c r="AD34" i="4"/>
  <c r="N34" i="4"/>
  <c r="F34" i="4"/>
  <c r="D34" i="4"/>
  <c r="B8" i="1" s="1"/>
  <c r="BC34" i="4"/>
  <c r="AU34" i="4"/>
  <c r="C22" i="1" s="1"/>
  <c r="AL34" i="4"/>
  <c r="U34" i="4"/>
  <c r="M34" i="4"/>
  <c r="E34" i="4"/>
  <c r="BB34" i="4"/>
  <c r="AB34" i="4"/>
  <c r="T34" i="4"/>
  <c r="L34" i="4"/>
  <c r="C8" i="1" s="1"/>
  <c r="Q35" i="4"/>
  <c r="R35" i="4"/>
  <c r="S35" i="4"/>
  <c r="T35" i="4"/>
  <c r="V15" i="4"/>
  <c r="D12" i="12"/>
  <c r="D12" i="11"/>
  <c r="E12" i="12"/>
  <c r="E12" i="11"/>
  <c r="BE15" i="4"/>
  <c r="AR37" i="4"/>
  <c r="AH37" i="4"/>
  <c r="N37" i="4"/>
  <c r="R37" i="4"/>
  <c r="AW37" i="4"/>
  <c r="AX37" i="4"/>
  <c r="AI37" i="4"/>
  <c r="O37" i="4"/>
  <c r="I37" i="4"/>
  <c r="AF37" i="4"/>
  <c r="AA37" i="4"/>
  <c r="P37" i="4"/>
  <c r="F37" i="4"/>
  <c r="AY37" i="4"/>
  <c r="AG37" i="4"/>
  <c r="Q37" i="4"/>
  <c r="AZ37" i="4"/>
  <c r="AH36" i="4"/>
  <c r="O36" i="4"/>
  <c r="I36" i="4"/>
  <c r="AW36" i="4"/>
  <c r="AI36" i="4"/>
  <c r="AA36" i="4"/>
  <c r="P36" i="4"/>
  <c r="F36" i="4"/>
  <c r="AX36" i="4"/>
  <c r="AF36" i="4"/>
  <c r="Q36" i="4"/>
  <c r="AY36" i="4"/>
  <c r="AZ36" i="4"/>
  <c r="AR36" i="4"/>
  <c r="AG36" i="4"/>
  <c r="N36" i="4"/>
  <c r="R36" i="4"/>
  <c r="AH35" i="4"/>
  <c r="AA35" i="4"/>
  <c r="P35" i="4"/>
  <c r="F35" i="4"/>
  <c r="AW35" i="4"/>
  <c r="AX35" i="4"/>
  <c r="AI35" i="4"/>
  <c r="AR35" i="4"/>
  <c r="AF35" i="4"/>
  <c r="N35" i="4"/>
  <c r="AY35" i="4"/>
  <c r="AG35" i="4"/>
  <c r="O35" i="4"/>
  <c r="I35" i="4"/>
  <c r="AZ35" i="4"/>
  <c r="AH38" i="4"/>
  <c r="Q38" i="4"/>
  <c r="AW38" i="4"/>
  <c r="AR38" i="4"/>
  <c r="AI38" i="4"/>
  <c r="N38" i="4"/>
  <c r="R38" i="4"/>
  <c r="AX38" i="4"/>
  <c r="AF38" i="4"/>
  <c r="O38" i="4"/>
  <c r="I38" i="4"/>
  <c r="AY38" i="4"/>
  <c r="AZ38" i="4"/>
  <c r="AG38" i="4"/>
  <c r="AA38" i="4"/>
  <c r="P38" i="4"/>
  <c r="F38" i="4"/>
  <c r="E38" i="4"/>
  <c r="A35" i="12"/>
  <c r="A35" i="11"/>
  <c r="E36" i="4"/>
  <c r="A33" i="12"/>
  <c r="A33" i="11"/>
  <c r="A32" i="11"/>
  <c r="A32" i="12"/>
  <c r="E37" i="4"/>
  <c r="A34" i="11"/>
  <c r="A34" i="12"/>
  <c r="A31" i="12"/>
  <c r="A31" i="11"/>
  <c r="AU36" i="4"/>
  <c r="Z36" i="4"/>
  <c r="AM15" i="4"/>
  <c r="AE37" i="4"/>
  <c r="J37" i="4"/>
  <c r="AP36" i="4"/>
  <c r="AE35" i="4"/>
  <c r="J35" i="4"/>
  <c r="AP34" i="4"/>
  <c r="AU37" i="4"/>
  <c r="Z37" i="4"/>
  <c r="AU35" i="4"/>
  <c r="Z35" i="4"/>
  <c r="AE36" i="4"/>
  <c r="J36" i="4"/>
  <c r="AP35" i="4"/>
  <c r="D38" i="4"/>
  <c r="B12" i="1" s="1"/>
  <c r="AU38" i="4"/>
  <c r="AE38" i="4"/>
  <c r="J38" i="4"/>
  <c r="D37" i="4"/>
  <c r="B11" i="1" s="1"/>
  <c r="AO38" i="4"/>
  <c r="AD38" i="4"/>
  <c r="Y38" i="4"/>
  <c r="M38" i="4"/>
  <c r="H38" i="4"/>
  <c r="AO37" i="4"/>
  <c r="AD37" i="4"/>
  <c r="Y37" i="4"/>
  <c r="M37" i="4"/>
  <c r="H37" i="4"/>
  <c r="AO36" i="4"/>
  <c r="AD36" i="4"/>
  <c r="Y36" i="4"/>
  <c r="M36" i="4"/>
  <c r="H36" i="4"/>
  <c r="AO35" i="4"/>
  <c r="AD35" i="4"/>
  <c r="Y35" i="4"/>
  <c r="M35" i="4"/>
  <c r="H35" i="4"/>
  <c r="AP38" i="4"/>
  <c r="Z38" i="4"/>
  <c r="D36" i="4"/>
  <c r="B10" i="1" s="1"/>
  <c r="AS38" i="4"/>
  <c r="AN38" i="4"/>
  <c r="B26" i="1" s="1"/>
  <c r="X38" i="4"/>
  <c r="L38" i="4"/>
  <c r="C12" i="1" s="1"/>
  <c r="G38" i="4"/>
  <c r="AS37" i="4"/>
  <c r="AN37" i="4"/>
  <c r="B25" i="1" s="1"/>
  <c r="X37" i="4"/>
  <c r="L37" i="4"/>
  <c r="C11" i="1" s="1"/>
  <c r="G37" i="4"/>
  <c r="AS36" i="4"/>
  <c r="AN36" i="4"/>
  <c r="B24" i="1" s="1"/>
  <c r="X36" i="4"/>
  <c r="L36" i="4"/>
  <c r="C10" i="1" s="1"/>
  <c r="G36" i="4"/>
  <c r="AS35" i="4"/>
  <c r="AN35" i="4"/>
  <c r="B23" i="1" s="1"/>
  <c r="X35" i="4"/>
  <c r="L35" i="4"/>
  <c r="G35" i="4"/>
  <c r="D35" i="4"/>
  <c r="B9" i="1" s="1"/>
  <c r="AV38" i="4"/>
  <c r="AQ38" i="4"/>
  <c r="AB38" i="4"/>
  <c r="W38" i="4"/>
  <c r="B19" i="1" s="1"/>
  <c r="AV37" i="4"/>
  <c r="AQ37" i="4"/>
  <c r="AB37" i="4"/>
  <c r="W37" i="4"/>
  <c r="B18" i="1" s="1"/>
  <c r="AV36" i="4"/>
  <c r="AQ36" i="4"/>
  <c r="AB36" i="4"/>
  <c r="W36" i="4"/>
  <c r="B17" i="1" s="1"/>
  <c r="AV35" i="4"/>
  <c r="AQ35" i="4"/>
  <c r="AB35" i="4"/>
  <c r="W35" i="4"/>
  <c r="B16" i="1" s="1"/>
  <c r="E35" i="4"/>
  <c r="BD15" i="4"/>
  <c r="F18" i="1" l="1"/>
  <c r="F19" i="1"/>
  <c r="B29" i="1"/>
  <c r="B13" i="1"/>
  <c r="D8" i="1"/>
  <c r="B20" i="1"/>
  <c r="F16" i="1"/>
  <c r="B27" i="1"/>
  <c r="F9" i="1"/>
  <c r="C9" i="1"/>
  <c r="F11" i="1"/>
  <c r="F15" i="1"/>
  <c r="F17" i="1"/>
  <c r="F10" i="1"/>
  <c r="F22" i="1"/>
  <c r="C24" i="1"/>
  <c r="F24" i="1"/>
  <c r="C23" i="1"/>
  <c r="F23" i="1"/>
  <c r="F8" i="1"/>
  <c r="F12" i="1"/>
  <c r="C25" i="1"/>
  <c r="F25" i="1"/>
  <c r="F26" i="1"/>
  <c r="BF15" i="4"/>
  <c r="C17" i="1"/>
  <c r="C19" i="1"/>
  <c r="C16" i="1"/>
  <c r="C18" i="1"/>
  <c r="C15" i="1"/>
  <c r="C26" i="1"/>
  <c r="BA4" i="4" l="1"/>
  <c r="AJ31" i="4"/>
  <c r="AJ30" i="4"/>
  <c r="AJ29" i="4"/>
  <c r="AJ28" i="4"/>
  <c r="AJ27" i="4"/>
  <c r="AJ26" i="4"/>
  <c r="AJ25" i="4"/>
  <c r="AJ24" i="4"/>
  <c r="AJ23" i="4"/>
  <c r="AJ22" i="4"/>
  <c r="AJ21" i="4"/>
  <c r="AJ20" i="4"/>
  <c r="AJ19" i="4"/>
  <c r="AJ18" i="4"/>
  <c r="AJ17" i="4"/>
  <c r="AJ16" i="4"/>
  <c r="AJ14" i="4"/>
  <c r="AJ13" i="4"/>
  <c r="BA31" i="4"/>
  <c r="F28" i="12" s="1"/>
  <c r="BA30" i="4"/>
  <c r="F27" i="12" s="1"/>
  <c r="BA29" i="4"/>
  <c r="F26" i="12" s="1"/>
  <c r="BA28" i="4"/>
  <c r="F25" i="12" s="1"/>
  <c r="BA27" i="4"/>
  <c r="F24" i="12" s="1"/>
  <c r="BA26" i="4"/>
  <c r="F23" i="12" s="1"/>
  <c r="BA25" i="4"/>
  <c r="F22" i="12" s="1"/>
  <c r="BA24" i="4"/>
  <c r="F21" i="12" s="1"/>
  <c r="BA23" i="4"/>
  <c r="F20" i="12" s="1"/>
  <c r="BA22" i="4"/>
  <c r="F19" i="12" s="1"/>
  <c r="BA21" i="4"/>
  <c r="F18" i="12" s="1"/>
  <c r="BA20" i="4"/>
  <c r="F17" i="12" s="1"/>
  <c r="BA19" i="4"/>
  <c r="F16" i="12" s="1"/>
  <c r="BA18" i="4"/>
  <c r="F15" i="12" s="1"/>
  <c r="BA17" i="4"/>
  <c r="F14" i="12" s="1"/>
  <c r="BA16" i="4"/>
  <c r="F13" i="12" s="1"/>
  <c r="BA14" i="4"/>
  <c r="F11" i="12" s="1"/>
  <c r="BA13" i="4"/>
  <c r="F9" i="12"/>
  <c r="AJ34" i="4" l="1"/>
  <c r="F10" i="12"/>
  <c r="F29" i="12" s="1"/>
  <c r="BA34" i="4"/>
  <c r="D13" i="12"/>
  <c r="D13" i="11"/>
  <c r="D17" i="11"/>
  <c r="D17" i="12"/>
  <c r="D21" i="12"/>
  <c r="D21" i="11"/>
  <c r="D25" i="11"/>
  <c r="D25" i="12"/>
  <c r="E15" i="12"/>
  <c r="E15" i="11"/>
  <c r="E19" i="12"/>
  <c r="E19" i="11"/>
  <c r="E23" i="12"/>
  <c r="E23" i="11"/>
  <c r="E27" i="12"/>
  <c r="E27" i="11"/>
  <c r="D9" i="12"/>
  <c r="D9" i="11"/>
  <c r="N9" i="11" s="1"/>
  <c r="P9" i="11" s="1"/>
  <c r="D14" i="11"/>
  <c r="D14" i="12"/>
  <c r="D18" i="11"/>
  <c r="D18" i="12"/>
  <c r="D22" i="11"/>
  <c r="D22" i="12"/>
  <c r="D26" i="11"/>
  <c r="D26" i="12"/>
  <c r="E11" i="12"/>
  <c r="E11" i="11"/>
  <c r="E16" i="12"/>
  <c r="E16" i="11"/>
  <c r="E20" i="12"/>
  <c r="E20" i="11"/>
  <c r="E24" i="12"/>
  <c r="E24" i="11"/>
  <c r="E28" i="12"/>
  <c r="E28" i="11"/>
  <c r="F31" i="12"/>
  <c r="F34" i="12"/>
  <c r="F32" i="12"/>
  <c r="F33" i="12"/>
  <c r="F35" i="12"/>
  <c r="D10" i="11"/>
  <c r="D10" i="12"/>
  <c r="D23" i="12"/>
  <c r="D23" i="11"/>
  <c r="E13" i="11"/>
  <c r="E13" i="12"/>
  <c r="E17" i="12"/>
  <c r="E17" i="11"/>
  <c r="E21" i="11"/>
  <c r="E21" i="12"/>
  <c r="E25" i="12"/>
  <c r="E25" i="11"/>
  <c r="E10" i="11"/>
  <c r="E10" i="12"/>
  <c r="D15" i="12"/>
  <c r="D15" i="11"/>
  <c r="D19" i="12"/>
  <c r="D19" i="11"/>
  <c r="D27" i="12"/>
  <c r="D27" i="11"/>
  <c r="D11" i="12"/>
  <c r="D11" i="11"/>
  <c r="D16" i="12"/>
  <c r="D16" i="11"/>
  <c r="D20" i="12"/>
  <c r="D20" i="11"/>
  <c r="D24" i="12"/>
  <c r="D24" i="11"/>
  <c r="D28" i="12"/>
  <c r="D28" i="11"/>
  <c r="E9" i="11"/>
  <c r="E9" i="12"/>
  <c r="E14" i="11"/>
  <c r="E14" i="12"/>
  <c r="E18" i="11"/>
  <c r="E18" i="12"/>
  <c r="E22" i="11"/>
  <c r="E22" i="12"/>
  <c r="E26" i="11"/>
  <c r="E26" i="12"/>
  <c r="T32" i="4"/>
  <c r="T38" i="4"/>
  <c r="T36" i="4"/>
  <c r="T37" i="4"/>
  <c r="BA32" i="4"/>
  <c r="BA37" i="4"/>
  <c r="BA35" i="4"/>
  <c r="BA38" i="4"/>
  <c r="BA36" i="4"/>
  <c r="S37" i="4"/>
  <c r="S36" i="4"/>
  <c r="S38" i="4"/>
  <c r="BB32" i="4"/>
  <c r="BB37" i="4"/>
  <c r="BB38" i="4"/>
  <c r="BB35" i="4"/>
  <c r="BB36" i="4"/>
  <c r="AJ32" i="4"/>
  <c r="AJ37" i="4"/>
  <c r="AJ35" i="4"/>
  <c r="AJ38" i="4"/>
  <c r="AJ36" i="4"/>
  <c r="U32" i="4"/>
  <c r="U38" i="4"/>
  <c r="U36" i="4"/>
  <c r="U37" i="4"/>
  <c r="U35" i="4"/>
  <c r="BC32" i="4"/>
  <c r="BC38" i="4"/>
  <c r="BC37" i="4"/>
  <c r="BC36" i="4"/>
  <c r="BC35" i="4"/>
  <c r="AL32" i="4"/>
  <c r="AL36" i="4"/>
  <c r="AL38" i="4"/>
  <c r="AL37" i="4"/>
  <c r="AL35" i="4"/>
  <c r="AK32" i="4"/>
  <c r="AK38" i="4"/>
  <c r="AK36" i="4"/>
  <c r="AK34" i="4"/>
  <c r="AK37" i="4"/>
  <c r="AK35" i="4"/>
  <c r="C27" i="1"/>
  <c r="C20" i="1"/>
  <c r="C29" i="1"/>
  <c r="C13" i="1"/>
  <c r="E31" i="11" l="1"/>
  <c r="E35" i="11"/>
  <c r="D29" i="11"/>
  <c r="D31" i="11"/>
  <c r="D29" i="12"/>
  <c r="D31" i="12"/>
  <c r="E29" i="12"/>
  <c r="E32" i="12"/>
  <c r="E33" i="12"/>
  <c r="E34" i="12"/>
  <c r="E35" i="12"/>
  <c r="E31" i="12"/>
  <c r="D34" i="11"/>
  <c r="D32" i="11"/>
  <c r="D33" i="11"/>
  <c r="D35" i="11"/>
  <c r="E29" i="11"/>
  <c r="E33" i="11"/>
  <c r="E34" i="11"/>
  <c r="E32" i="11"/>
  <c r="D33" i="12"/>
  <c r="D35" i="12"/>
  <c r="D32" i="12"/>
  <c r="D34" i="12"/>
  <c r="C64" i="43"/>
  <c r="C65" i="43"/>
  <c r="C66" i="43"/>
  <c r="C67" i="43"/>
  <c r="C81" i="43" s="1"/>
  <c r="C68" i="43"/>
  <c r="C69" i="43"/>
  <c r="C70" i="43"/>
  <c r="C71" i="43"/>
  <c r="C85" i="43" s="1"/>
  <c r="C63" i="43"/>
  <c r="E63" i="43"/>
  <c r="E64" i="43"/>
  <c r="E65" i="43"/>
  <c r="E66" i="43"/>
  <c r="E67" i="43"/>
  <c r="E68" i="43"/>
  <c r="E69" i="43"/>
  <c r="E70" i="43"/>
  <c r="E71" i="43"/>
  <c r="H72" i="43"/>
  <c r="B72" i="43"/>
  <c r="F58" i="43"/>
  <c r="C12" i="43"/>
  <c r="F71" i="43" l="1"/>
  <c r="F65" i="43"/>
  <c r="F67" i="43"/>
  <c r="F70" i="43"/>
  <c r="F66" i="43"/>
  <c r="F69" i="43"/>
  <c r="C84" i="43"/>
  <c r="C80" i="43"/>
  <c r="F63" i="43"/>
  <c r="F68" i="43"/>
  <c r="F64" i="43"/>
  <c r="C83" i="43"/>
  <c r="C79" i="43"/>
  <c r="C77" i="43"/>
  <c r="C82" i="43"/>
  <c r="C78" i="43"/>
  <c r="G72" i="43"/>
  <c r="E58" i="43"/>
  <c r="F72" i="43" l="1"/>
  <c r="C86" i="43" l="1"/>
  <c r="C72" i="43"/>
  <c r="B77" i="43" l="1"/>
  <c r="E77" i="43" s="1"/>
  <c r="B78" i="43" l="1"/>
  <c r="E78" i="43" s="1"/>
  <c r="F78" i="43" l="1"/>
  <c r="F77" i="43"/>
  <c r="B79" i="43" l="1"/>
  <c r="E79" i="43" s="1"/>
  <c r="F79" i="43" l="1"/>
  <c r="B80" i="43"/>
  <c r="E80" i="43" s="1"/>
  <c r="F80" i="43" l="1"/>
  <c r="B81" i="43" l="1"/>
  <c r="E81" i="43" l="1"/>
  <c r="B82" i="43" s="1"/>
  <c r="E82" i="43" s="1"/>
  <c r="F81" i="43" l="1"/>
  <c r="B83" i="43"/>
  <c r="E83" i="43" s="1"/>
  <c r="F82" i="43"/>
  <c r="B84" i="43" l="1"/>
  <c r="E84" i="43" s="1"/>
  <c r="F83" i="43"/>
  <c r="F84" i="43" l="1"/>
  <c r="B85" i="43"/>
  <c r="E85" i="43" l="1"/>
  <c r="E86" i="43" s="1"/>
  <c r="F85" i="43" l="1"/>
  <c r="H38" i="43"/>
  <c r="B38" i="43"/>
  <c r="D29" i="43"/>
  <c r="E29" i="43" s="1"/>
  <c r="G28" i="43"/>
  <c r="G38" i="43" s="1"/>
  <c r="E28" i="43"/>
  <c r="D23" i="43"/>
  <c r="F23" i="43" s="1"/>
  <c r="A4" i="43"/>
  <c r="F3" i="43"/>
  <c r="D3" i="43"/>
  <c r="A3" i="43"/>
  <c r="K3" i="10"/>
  <c r="E23" i="43" l="1"/>
  <c r="C29" i="43"/>
  <c r="C28" i="43"/>
  <c r="D30" i="43"/>
  <c r="C29" i="41"/>
  <c r="A4" i="41"/>
  <c r="D3" i="41"/>
  <c r="C3" i="41"/>
  <c r="A3" i="41"/>
  <c r="C36" i="40"/>
  <c r="C27" i="40"/>
  <c r="F11" i="40"/>
  <c r="E3" i="40"/>
  <c r="D3" i="40"/>
  <c r="A4" i="40"/>
  <c r="A3" i="40"/>
  <c r="C43" i="43" l="1"/>
  <c r="F28" i="43"/>
  <c r="F29" i="43"/>
  <c r="D31" i="43"/>
  <c r="E30" i="43"/>
  <c r="C21" i="40"/>
  <c r="C30" i="43" l="1"/>
  <c r="E31" i="43"/>
  <c r="D32" i="43"/>
  <c r="G20" i="39"/>
  <c r="G30" i="39" s="1"/>
  <c r="H30" i="39"/>
  <c r="B30" i="39"/>
  <c r="E20" i="39"/>
  <c r="C20" i="39" s="1"/>
  <c r="D21" i="39"/>
  <c r="D22" i="39" s="1"/>
  <c r="F3" i="39"/>
  <c r="D3" i="39"/>
  <c r="A4" i="39"/>
  <c r="A3" i="39"/>
  <c r="C35" i="39" l="1"/>
  <c r="F20" i="39"/>
  <c r="C45" i="43"/>
  <c r="F30" i="43"/>
  <c r="C31" i="43"/>
  <c r="D33" i="43"/>
  <c r="E32" i="43"/>
  <c r="E21" i="39"/>
  <c r="C21" i="39" s="1"/>
  <c r="F21" i="39" s="1"/>
  <c r="D23" i="39"/>
  <c r="E22" i="39"/>
  <c r="C46" i="43" l="1"/>
  <c r="F31" i="43"/>
  <c r="C32" i="43"/>
  <c r="E33" i="43"/>
  <c r="D34" i="43"/>
  <c r="D24" i="39"/>
  <c r="E23" i="39"/>
  <c r="C22" i="39"/>
  <c r="C36" i="39" l="1"/>
  <c r="C37" i="39"/>
  <c r="F22" i="39"/>
  <c r="C47" i="43"/>
  <c r="F32" i="43"/>
  <c r="C33" i="43"/>
  <c r="D35" i="43"/>
  <c r="E34" i="43"/>
  <c r="C23" i="39"/>
  <c r="E24" i="39"/>
  <c r="D25" i="39"/>
  <c r="C38" i="39" l="1"/>
  <c r="F23" i="39"/>
  <c r="C48" i="43"/>
  <c r="F33" i="43"/>
  <c r="C34" i="43"/>
  <c r="E35" i="43"/>
  <c r="D36" i="43"/>
  <c r="C24" i="39"/>
  <c r="D26" i="39"/>
  <c r="E25" i="39"/>
  <c r="C39" i="39" l="1"/>
  <c r="F24" i="39"/>
  <c r="C49" i="43"/>
  <c r="F34" i="43"/>
  <c r="E36" i="43"/>
  <c r="D37" i="43"/>
  <c r="E37" i="43" s="1"/>
  <c r="C35" i="43"/>
  <c r="D27" i="39"/>
  <c r="D28" i="39" s="1"/>
  <c r="D29" i="39" s="1"/>
  <c r="E26" i="39"/>
  <c r="C25" i="39"/>
  <c r="C40" i="39" l="1"/>
  <c r="F25" i="39"/>
  <c r="C50" i="43"/>
  <c r="F35" i="43"/>
  <c r="C37" i="43"/>
  <c r="C36" i="43"/>
  <c r="F36" i="43" s="1"/>
  <c r="C26" i="39"/>
  <c r="E27" i="39"/>
  <c r="C41" i="39" l="1"/>
  <c r="F26" i="39"/>
  <c r="C52" i="43"/>
  <c r="F37" i="43"/>
  <c r="F38" i="43" s="1"/>
  <c r="C51" i="43"/>
  <c r="C38" i="43"/>
  <c r="C27" i="39"/>
  <c r="E28" i="39"/>
  <c r="C53" i="43" l="1"/>
  <c r="C42" i="39"/>
  <c r="F27" i="39"/>
  <c r="B43" i="43"/>
  <c r="I38" i="43"/>
  <c r="C28" i="39"/>
  <c r="E29" i="39"/>
  <c r="C43" i="39" l="1"/>
  <c r="F28" i="39"/>
  <c r="H43" i="43"/>
  <c r="E43" i="43"/>
  <c r="B44" i="43" s="1"/>
  <c r="C29" i="39"/>
  <c r="F29" i="39" s="1"/>
  <c r="E44" i="43" l="1"/>
  <c r="B45" i="43" s="1"/>
  <c r="F43" i="43"/>
  <c r="H44" i="43"/>
  <c r="H45" i="43" s="1"/>
  <c r="H46" i="43" s="1"/>
  <c r="H47" i="43" s="1"/>
  <c r="H48" i="43" s="1"/>
  <c r="H49" i="43" s="1"/>
  <c r="H50" i="43" s="1"/>
  <c r="H51" i="43" s="1"/>
  <c r="H52" i="43" s="1"/>
  <c r="I43" i="43"/>
  <c r="G44" i="43" s="1"/>
  <c r="C30" i="39"/>
  <c r="C44" i="39"/>
  <c r="C45" i="39" s="1"/>
  <c r="F30" i="39"/>
  <c r="B35" i="39" l="1"/>
  <c r="E35" i="39" s="1"/>
  <c r="B36" i="39" s="1"/>
  <c r="F44" i="43"/>
  <c r="I44" i="43"/>
  <c r="G45" i="43" s="1"/>
  <c r="I45" i="43" s="1"/>
  <c r="G46" i="43" s="1"/>
  <c r="I46" i="43" s="1"/>
  <c r="G47" i="43" s="1"/>
  <c r="I47" i="43" s="1"/>
  <c r="G48" i="43" s="1"/>
  <c r="I48" i="43" s="1"/>
  <c r="G49" i="43" s="1"/>
  <c r="I49" i="43" s="1"/>
  <c r="G50" i="43" s="1"/>
  <c r="I50" i="43" s="1"/>
  <c r="G51" i="43" s="1"/>
  <c r="I51" i="43" s="1"/>
  <c r="G52" i="43" s="1"/>
  <c r="I52" i="43" s="1"/>
  <c r="H53" i="43"/>
  <c r="E45" i="43"/>
  <c r="B46" i="43" s="1"/>
  <c r="E36" i="39" l="1"/>
  <c r="F36" i="39" s="1"/>
  <c r="H35" i="39"/>
  <c r="G35" i="39"/>
  <c r="F45" i="43"/>
  <c r="E46" i="43"/>
  <c r="F46" i="43" s="1"/>
  <c r="F35" i="39" l="1"/>
  <c r="I35" i="39"/>
  <c r="G36" i="39" s="1"/>
  <c r="B47" i="43"/>
  <c r="H36" i="39"/>
  <c r="H37" i="39" s="1"/>
  <c r="H38" i="39" s="1"/>
  <c r="H39" i="39" s="1"/>
  <c r="H40" i="39" s="1"/>
  <c r="H41" i="39" s="1"/>
  <c r="H42" i="39" s="1"/>
  <c r="H43" i="39" s="1"/>
  <c r="H44" i="39" s="1"/>
  <c r="E47" i="43" l="1"/>
  <c r="F47" i="43" s="1"/>
  <c r="I36" i="39"/>
  <c r="G37" i="39" s="1"/>
  <c r="I37" i="39" s="1"/>
  <c r="G38" i="39" s="1"/>
  <c r="I38" i="39" s="1"/>
  <c r="G39" i="39" s="1"/>
  <c r="I39" i="39" s="1"/>
  <c r="G40" i="39" s="1"/>
  <c r="I40" i="39" s="1"/>
  <c r="G41" i="39" s="1"/>
  <c r="I41" i="39" s="1"/>
  <c r="G42" i="39" s="1"/>
  <c r="I42" i="39" s="1"/>
  <c r="G43" i="39" s="1"/>
  <c r="I43" i="39" s="1"/>
  <c r="G44" i="39" s="1"/>
  <c r="I44" i="39" s="1"/>
  <c r="B37" i="39"/>
  <c r="E37" i="39" s="1"/>
  <c r="H45" i="39"/>
  <c r="B48" i="43" l="1"/>
  <c r="E48" i="43" s="1"/>
  <c r="F48" i="43" s="1"/>
  <c r="I72" i="43" s="1"/>
  <c r="B38" i="39"/>
  <c r="H77" i="43" l="1"/>
  <c r="G77" i="43"/>
  <c r="B49" i="43"/>
  <c r="E38" i="39"/>
  <c r="F38" i="39" s="1"/>
  <c r="F37" i="39"/>
  <c r="I77" i="43" l="1"/>
  <c r="G78" i="43" s="1"/>
  <c r="H78" i="43"/>
  <c r="H79" i="43" s="1"/>
  <c r="H80" i="43" s="1"/>
  <c r="H81" i="43" s="1"/>
  <c r="H82" i="43" s="1"/>
  <c r="H83" i="43" s="1"/>
  <c r="H84" i="43" s="1"/>
  <c r="H85" i="43" s="1"/>
  <c r="E49" i="43"/>
  <c r="B50" i="43" s="1"/>
  <c r="B39" i="39"/>
  <c r="H86" i="43" l="1"/>
  <c r="I78" i="43"/>
  <c r="G79" i="43" s="1"/>
  <c r="I79" i="43" s="1"/>
  <c r="G80" i="43" s="1"/>
  <c r="I80" i="43" s="1"/>
  <c r="G81" i="43" s="1"/>
  <c r="I81" i="43" s="1"/>
  <c r="G82" i="43" s="1"/>
  <c r="I82" i="43" s="1"/>
  <c r="G83" i="43" s="1"/>
  <c r="I83" i="43" s="1"/>
  <c r="G84" i="43" s="1"/>
  <c r="I84" i="43" s="1"/>
  <c r="G85" i="43" s="1"/>
  <c r="I85" i="43" s="1"/>
  <c r="F49" i="43"/>
  <c r="E50" i="43"/>
  <c r="F50" i="43" s="1"/>
  <c r="E39" i="39"/>
  <c r="B40" i="39" s="1"/>
  <c r="B51" i="43" l="1"/>
  <c r="E40" i="39"/>
  <c r="F40" i="39" s="1"/>
  <c r="F39" i="39"/>
  <c r="I3" i="38"/>
  <c r="E3" i="38"/>
  <c r="A4" i="38"/>
  <c r="A3" i="38"/>
  <c r="H349" i="38"/>
  <c r="D349" i="38"/>
  <c r="C349" i="38"/>
  <c r="A23" i="38"/>
  <c r="B22" i="38"/>
  <c r="B23" i="38" s="1"/>
  <c r="C18" i="38"/>
  <c r="E23" i="38" l="1"/>
  <c r="F17" i="38"/>
  <c r="A24" i="38"/>
  <c r="E24" i="38" s="1"/>
  <c r="E51" i="43"/>
  <c r="F51" i="43" s="1"/>
  <c r="B41" i="39"/>
  <c r="B24" i="38"/>
  <c r="A25" i="38" l="1"/>
  <c r="E25" i="38" s="1"/>
  <c r="B52" i="43"/>
  <c r="E52" i="43" s="1"/>
  <c r="E53" i="43" s="1"/>
  <c r="E41" i="39"/>
  <c r="F41" i="39" s="1"/>
  <c r="B25" i="38"/>
  <c r="A26" i="38" l="1"/>
  <c r="E26" i="38" s="1"/>
  <c r="F52" i="43"/>
  <c r="B42" i="39"/>
  <c r="B26" i="38"/>
  <c r="A27" i="38" l="1"/>
  <c r="E42" i="39"/>
  <c r="F42" i="39" s="1"/>
  <c r="B27" i="38"/>
  <c r="A28" i="38" l="1"/>
  <c r="E28" i="38" s="1"/>
  <c r="E27" i="38"/>
  <c r="B43" i="39"/>
  <c r="A29" i="38"/>
  <c r="E29" i="38" s="1"/>
  <c r="B28" i="38"/>
  <c r="E43" i="39" l="1"/>
  <c r="B44" i="39" s="1"/>
  <c r="E44" i="39" s="1"/>
  <c r="B29" i="38"/>
  <c r="A30" i="38"/>
  <c r="E30" i="38" s="1"/>
  <c r="F43" i="39" l="1"/>
  <c r="F44" i="39"/>
  <c r="E45" i="39"/>
  <c r="B30" i="38"/>
  <c r="A31" i="38"/>
  <c r="E31" i="38" s="1"/>
  <c r="A32" i="38" l="1"/>
  <c r="E32" i="38" s="1"/>
  <c r="B31" i="38"/>
  <c r="B32" i="38" l="1"/>
  <c r="A33" i="38"/>
  <c r="E33" i="38" s="1"/>
  <c r="A34" i="38" l="1"/>
  <c r="E34" i="38" s="1"/>
  <c r="B33" i="38"/>
  <c r="A35" i="38" l="1"/>
  <c r="E35" i="38" s="1"/>
  <c r="B34" i="38"/>
  <c r="B35" i="38" l="1"/>
  <c r="A36" i="38"/>
  <c r="E36" i="38" s="1"/>
  <c r="B36" i="38" l="1"/>
  <c r="A37" i="38"/>
  <c r="E37" i="38" s="1"/>
  <c r="A38" i="38" l="1"/>
  <c r="E38" i="38" s="1"/>
  <c r="B37" i="38"/>
  <c r="A39" i="38" l="1"/>
  <c r="E39" i="38" s="1"/>
  <c r="B38" i="38"/>
  <c r="B39" i="38" l="1"/>
  <c r="A40" i="38"/>
  <c r="E40" i="38" s="1"/>
  <c r="A41" i="38" l="1"/>
  <c r="E41" i="38" s="1"/>
  <c r="B40" i="38"/>
  <c r="B41" i="38" l="1"/>
  <c r="A42" i="38"/>
  <c r="E42" i="38" s="1"/>
  <c r="A43" i="38" l="1"/>
  <c r="E43" i="38" s="1"/>
  <c r="B42" i="38"/>
  <c r="B43" i="38" l="1"/>
  <c r="A44" i="38"/>
  <c r="E44" i="38" s="1"/>
  <c r="A45" i="38" l="1"/>
  <c r="E45" i="38" s="1"/>
  <c r="B44" i="38"/>
  <c r="B45" i="38" l="1"/>
  <c r="A46" i="38"/>
  <c r="E46" i="38" s="1"/>
  <c r="A47" i="38" l="1"/>
  <c r="E47" i="38" s="1"/>
  <c r="B46" i="38"/>
  <c r="B47" i="38" l="1"/>
  <c r="A48" i="38"/>
  <c r="E48" i="38" s="1"/>
  <c r="A49" i="38" l="1"/>
  <c r="E49" i="38" s="1"/>
  <c r="B48" i="38"/>
  <c r="B49" i="38" l="1"/>
  <c r="A50" i="38"/>
  <c r="E50" i="38" s="1"/>
  <c r="A51" i="38" l="1"/>
  <c r="E51" i="38" s="1"/>
  <c r="B50" i="38"/>
  <c r="B51" i="38" l="1"/>
  <c r="A52" i="38"/>
  <c r="E52" i="38" s="1"/>
  <c r="A53" i="38" l="1"/>
  <c r="E53" i="38" s="1"/>
  <c r="B52" i="38"/>
  <c r="B53" i="38" l="1"/>
  <c r="A54" i="38"/>
  <c r="E54" i="38" s="1"/>
  <c r="B54" i="38" l="1"/>
  <c r="A55" i="38"/>
  <c r="E55" i="38" s="1"/>
  <c r="A56" i="38" l="1"/>
  <c r="E56" i="38" s="1"/>
  <c r="B55" i="38"/>
  <c r="B56" i="38" l="1"/>
  <c r="A57" i="38"/>
  <c r="E57" i="38" s="1"/>
  <c r="A58" i="38" l="1"/>
  <c r="E58" i="38" s="1"/>
  <c r="B57" i="38"/>
  <c r="B58" i="38" l="1"/>
  <c r="A59" i="38"/>
  <c r="E59" i="38" s="1"/>
  <c r="B59" i="38" l="1"/>
  <c r="A60" i="38"/>
  <c r="E60" i="38" s="1"/>
  <c r="B60" i="38" l="1"/>
  <c r="A61" i="38"/>
  <c r="E61" i="38" s="1"/>
  <c r="A62" i="38" l="1"/>
  <c r="E62" i="38" s="1"/>
  <c r="B61" i="38"/>
  <c r="B62" i="38" l="1"/>
  <c r="A63" i="38"/>
  <c r="E63" i="38" s="1"/>
  <c r="A64" i="38" l="1"/>
  <c r="E64" i="38" s="1"/>
  <c r="B63" i="38"/>
  <c r="B64" i="38" l="1"/>
  <c r="A65" i="38"/>
  <c r="E65" i="38" s="1"/>
  <c r="B65" i="38" l="1"/>
  <c r="A66" i="38"/>
  <c r="E66" i="38" s="1"/>
  <c r="A67" i="38" l="1"/>
  <c r="E67" i="38" s="1"/>
  <c r="B66" i="38"/>
  <c r="A68" i="38" l="1"/>
  <c r="E68" i="38" s="1"/>
  <c r="B67" i="38"/>
  <c r="B68" i="38" l="1"/>
  <c r="A69" i="38"/>
  <c r="E69" i="38" s="1"/>
  <c r="A70" i="38" l="1"/>
  <c r="E70" i="38" s="1"/>
  <c r="B69" i="38"/>
  <c r="B70" i="38" l="1"/>
  <c r="A71" i="38"/>
  <c r="E71" i="38" s="1"/>
  <c r="A72" i="38" l="1"/>
  <c r="E72" i="38" s="1"/>
  <c r="B71" i="38"/>
  <c r="B72" i="38" l="1"/>
  <c r="A73" i="38"/>
  <c r="E73" i="38" s="1"/>
  <c r="B73" i="38" l="1"/>
  <c r="A74" i="38"/>
  <c r="E74" i="38" s="1"/>
  <c r="A75" i="38" l="1"/>
  <c r="E75" i="38" s="1"/>
  <c r="B74" i="38"/>
  <c r="A76" i="38" l="1"/>
  <c r="E76" i="38" s="1"/>
  <c r="B75" i="38"/>
  <c r="B76" i="38" l="1"/>
  <c r="A77" i="38"/>
  <c r="E77" i="38" s="1"/>
  <c r="A78" i="38" l="1"/>
  <c r="E78" i="38" s="1"/>
  <c r="B77" i="38"/>
  <c r="B78" i="38" l="1"/>
  <c r="A79" i="38"/>
  <c r="E79" i="38" s="1"/>
  <c r="B79" i="38" l="1"/>
  <c r="A80" i="38"/>
  <c r="E80" i="38" s="1"/>
  <c r="A81" i="38" l="1"/>
  <c r="E81" i="38" s="1"/>
  <c r="B80" i="38"/>
  <c r="B81" i="38" l="1"/>
  <c r="A82" i="38"/>
  <c r="E82" i="38" s="1"/>
  <c r="A83" i="38" l="1"/>
  <c r="E83" i="38" s="1"/>
  <c r="B82" i="38"/>
  <c r="B83" i="38" l="1"/>
  <c r="A84" i="38"/>
  <c r="E84" i="38" s="1"/>
  <c r="A85" i="38" l="1"/>
  <c r="E85" i="38" s="1"/>
  <c r="B84" i="38"/>
  <c r="B85" i="38" l="1"/>
  <c r="A86" i="38"/>
  <c r="E86" i="38" s="1"/>
  <c r="A87" i="38" l="1"/>
  <c r="E87" i="38" s="1"/>
  <c r="B86" i="38"/>
  <c r="B87" i="38" l="1"/>
  <c r="A88" i="38"/>
  <c r="E88" i="38" s="1"/>
  <c r="A89" i="38" l="1"/>
  <c r="E89" i="38" s="1"/>
  <c r="B88" i="38"/>
  <c r="B89" i="38" l="1"/>
  <c r="A90" i="38"/>
  <c r="E90" i="38" s="1"/>
  <c r="A91" i="38" l="1"/>
  <c r="E91" i="38" s="1"/>
  <c r="B90" i="38"/>
  <c r="B91" i="38" l="1"/>
  <c r="A92" i="38"/>
  <c r="E92" i="38" s="1"/>
  <c r="A93" i="38" l="1"/>
  <c r="E93" i="38" s="1"/>
  <c r="B92" i="38"/>
  <c r="B93" i="38" l="1"/>
  <c r="A94" i="38"/>
  <c r="E94" i="38" s="1"/>
  <c r="A95" i="38" l="1"/>
  <c r="E95" i="38" s="1"/>
  <c r="B94" i="38"/>
  <c r="B95" i="38" l="1"/>
  <c r="A96" i="38"/>
  <c r="E96" i="38" s="1"/>
  <c r="A97" i="38" l="1"/>
  <c r="E97" i="38" s="1"/>
  <c r="B96" i="38"/>
  <c r="B97" i="38" l="1"/>
  <c r="A98" i="38"/>
  <c r="E98" i="38" s="1"/>
  <c r="A99" i="38" l="1"/>
  <c r="E99" i="38" s="1"/>
  <c r="B98" i="38"/>
  <c r="B99" i="38" l="1"/>
  <c r="A100" i="38"/>
  <c r="E100" i="38" s="1"/>
  <c r="A101" i="38" l="1"/>
  <c r="E101" i="38" s="1"/>
  <c r="B100" i="38"/>
  <c r="B101" i="38" l="1"/>
  <c r="A102" i="38"/>
  <c r="E102" i="38" s="1"/>
  <c r="A103" i="38" l="1"/>
  <c r="E103" i="38" s="1"/>
  <c r="B102" i="38"/>
  <c r="B103" i="38" l="1"/>
  <c r="A104" i="38"/>
  <c r="E104" i="38" s="1"/>
  <c r="A105" i="38" l="1"/>
  <c r="E105" i="38" s="1"/>
  <c r="B104" i="38"/>
  <c r="B105" i="38" l="1"/>
  <c r="A106" i="38"/>
  <c r="E106" i="38" s="1"/>
  <c r="A107" i="38" l="1"/>
  <c r="E107" i="38" s="1"/>
  <c r="B106" i="38"/>
  <c r="B107" i="38" l="1"/>
  <c r="A108" i="38"/>
  <c r="E108" i="38" s="1"/>
  <c r="A109" i="38" l="1"/>
  <c r="E109" i="38" s="1"/>
  <c r="B108" i="38"/>
  <c r="B109" i="38" l="1"/>
  <c r="A110" i="38"/>
  <c r="E110" i="38" s="1"/>
  <c r="A111" i="38" l="1"/>
  <c r="E111" i="38" s="1"/>
  <c r="B110" i="38"/>
  <c r="B111" i="38" l="1"/>
  <c r="A112" i="38"/>
  <c r="E112" i="38" s="1"/>
  <c r="A113" i="38" l="1"/>
  <c r="E113" i="38" s="1"/>
  <c r="B112" i="38"/>
  <c r="B113" i="38" l="1"/>
  <c r="A114" i="38"/>
  <c r="E114" i="38" s="1"/>
  <c r="A115" i="38" l="1"/>
  <c r="E115" i="38" s="1"/>
  <c r="B114" i="38"/>
  <c r="B115" i="38" l="1"/>
  <c r="A116" i="38"/>
  <c r="E116" i="38" s="1"/>
  <c r="A117" i="38" l="1"/>
  <c r="E117" i="38" s="1"/>
  <c r="B116" i="38"/>
  <c r="B117" i="38" l="1"/>
  <c r="A118" i="38"/>
  <c r="E118" i="38" s="1"/>
  <c r="A119" i="38" l="1"/>
  <c r="E119" i="38" s="1"/>
  <c r="B118" i="38"/>
  <c r="B119" i="38" l="1"/>
  <c r="A120" i="38"/>
  <c r="E120" i="38" s="1"/>
  <c r="A121" i="38" l="1"/>
  <c r="E121" i="38" s="1"/>
  <c r="B120" i="38"/>
  <c r="B121" i="38" l="1"/>
  <c r="A122" i="38"/>
  <c r="E122" i="38" s="1"/>
  <c r="A123" i="38" l="1"/>
  <c r="E123" i="38" s="1"/>
  <c r="B122" i="38"/>
  <c r="B123" i="38" l="1"/>
  <c r="A124" i="38"/>
  <c r="E124" i="38" s="1"/>
  <c r="A125" i="38" l="1"/>
  <c r="E125" i="38" s="1"/>
  <c r="B124" i="38"/>
  <c r="B125" i="38" l="1"/>
  <c r="A126" i="38"/>
  <c r="E126" i="38" s="1"/>
  <c r="A127" i="38" l="1"/>
  <c r="E127" i="38" s="1"/>
  <c r="B126" i="38"/>
  <c r="B127" i="38" l="1"/>
  <c r="A128" i="38"/>
  <c r="E128" i="38" s="1"/>
  <c r="A129" i="38" l="1"/>
  <c r="E129" i="38" s="1"/>
  <c r="B128" i="38"/>
  <c r="B129" i="38" l="1"/>
  <c r="A130" i="38"/>
  <c r="E130" i="38" s="1"/>
  <c r="A131" i="38" l="1"/>
  <c r="E131" i="38" s="1"/>
  <c r="B130" i="38"/>
  <c r="B131" i="38" l="1"/>
  <c r="A132" i="38"/>
  <c r="E132" i="38" s="1"/>
  <c r="A133" i="38" l="1"/>
  <c r="E133" i="38" s="1"/>
  <c r="B132" i="38"/>
  <c r="B133" i="38" l="1"/>
  <c r="A134" i="38"/>
  <c r="E134" i="38" s="1"/>
  <c r="A135" i="38" l="1"/>
  <c r="E135" i="38" s="1"/>
  <c r="B134" i="38"/>
  <c r="B135" i="38" l="1"/>
  <c r="A136" i="38"/>
  <c r="E136" i="38" s="1"/>
  <c r="A137" i="38" l="1"/>
  <c r="E137" i="38" s="1"/>
  <c r="B136" i="38"/>
  <c r="B137" i="38" l="1"/>
  <c r="A138" i="38"/>
  <c r="E138" i="38" s="1"/>
  <c r="A139" i="38" l="1"/>
  <c r="E139" i="38" s="1"/>
  <c r="B138" i="38"/>
  <c r="B139" i="38" l="1"/>
  <c r="A140" i="38"/>
  <c r="E140" i="38" s="1"/>
  <c r="A141" i="38" l="1"/>
  <c r="E141" i="38" s="1"/>
  <c r="B140" i="38"/>
  <c r="B141" i="38" l="1"/>
  <c r="A142" i="38"/>
  <c r="E142" i="38" s="1"/>
  <c r="A143" i="38" l="1"/>
  <c r="B142" i="38"/>
  <c r="I143" i="38" l="1"/>
  <c r="J143" i="38" s="1"/>
  <c r="E143" i="38"/>
  <c r="B143" i="38"/>
  <c r="A144" i="38"/>
  <c r="I144" i="38" l="1"/>
  <c r="J144" i="38" s="1"/>
  <c r="E144" i="38"/>
  <c r="A145" i="38"/>
  <c r="B144" i="38"/>
  <c r="I145" i="38" l="1"/>
  <c r="J145" i="38" s="1"/>
  <c r="E145" i="38"/>
  <c r="B145" i="38"/>
  <c r="A146" i="38"/>
  <c r="I146" i="38" l="1"/>
  <c r="J146" i="38" s="1"/>
  <c r="E146" i="38"/>
  <c r="A147" i="38"/>
  <c r="B146" i="38"/>
  <c r="I147" i="38" l="1"/>
  <c r="J147" i="38" s="1"/>
  <c r="E147" i="38"/>
  <c r="B147" i="38"/>
  <c r="A148" i="38"/>
  <c r="I148" i="38" l="1"/>
  <c r="J148" i="38" s="1"/>
  <c r="E148" i="38"/>
  <c r="A149" i="38"/>
  <c r="B148" i="38"/>
  <c r="I149" i="38" l="1"/>
  <c r="J149" i="38" s="1"/>
  <c r="E149" i="38"/>
  <c r="B149" i="38"/>
  <c r="A150" i="38"/>
  <c r="I150" i="38" l="1"/>
  <c r="J150" i="38" s="1"/>
  <c r="E150" i="38"/>
  <c r="A151" i="38"/>
  <c r="B150" i="38"/>
  <c r="I151" i="38" l="1"/>
  <c r="J151" i="38" s="1"/>
  <c r="E151" i="38"/>
  <c r="B151" i="38"/>
  <c r="A152" i="38"/>
  <c r="I152" i="38" l="1"/>
  <c r="J152" i="38" s="1"/>
  <c r="E152" i="38"/>
  <c r="A153" i="38"/>
  <c r="B152" i="38"/>
  <c r="I153" i="38" l="1"/>
  <c r="J153" i="38" s="1"/>
  <c r="E153" i="38"/>
  <c r="B153" i="38"/>
  <c r="A154" i="38"/>
  <c r="I154" i="38" l="1"/>
  <c r="J154" i="38" s="1"/>
  <c r="E154" i="38"/>
  <c r="A155" i="38"/>
  <c r="B154" i="38"/>
  <c r="I155" i="38" l="1"/>
  <c r="J155" i="38" s="1"/>
  <c r="E155" i="38"/>
  <c r="A156" i="38"/>
  <c r="B155" i="38"/>
  <c r="I156" i="38" l="1"/>
  <c r="J156" i="38" s="1"/>
  <c r="E156" i="38"/>
  <c r="B156" i="38"/>
  <c r="A157" i="38"/>
  <c r="I157" i="38" l="1"/>
  <c r="J157" i="38" s="1"/>
  <c r="E157" i="38"/>
  <c r="A158" i="38"/>
  <c r="B157" i="38"/>
  <c r="I158" i="38" l="1"/>
  <c r="J158" i="38" s="1"/>
  <c r="E158" i="38"/>
  <c r="A159" i="38"/>
  <c r="B158" i="38"/>
  <c r="I159" i="38" l="1"/>
  <c r="J159" i="38" s="1"/>
  <c r="E159" i="38"/>
  <c r="A160" i="38"/>
  <c r="B159" i="38"/>
  <c r="I160" i="38" l="1"/>
  <c r="J160" i="38" s="1"/>
  <c r="E160" i="38"/>
  <c r="B160" i="38"/>
  <c r="A161" i="38"/>
  <c r="I161" i="38" l="1"/>
  <c r="J161" i="38" s="1"/>
  <c r="E161" i="38"/>
  <c r="A162" i="38"/>
  <c r="B161" i="38"/>
  <c r="I162" i="38" l="1"/>
  <c r="J162" i="38" s="1"/>
  <c r="E162" i="38"/>
  <c r="B162" i="38"/>
  <c r="A163" i="38"/>
  <c r="I163" i="38" l="1"/>
  <c r="J163" i="38" s="1"/>
  <c r="E163" i="38"/>
  <c r="A164" i="38"/>
  <c r="B163" i="38"/>
  <c r="I164" i="38" l="1"/>
  <c r="J164" i="38" s="1"/>
  <c r="E164" i="38"/>
  <c r="B164" i="38"/>
  <c r="A165" i="38"/>
  <c r="I165" i="38" l="1"/>
  <c r="J165" i="38" s="1"/>
  <c r="E165" i="38"/>
  <c r="A166" i="38"/>
  <c r="B165" i="38"/>
  <c r="I166" i="38" l="1"/>
  <c r="J166" i="38" s="1"/>
  <c r="E166" i="38"/>
  <c r="B166" i="38"/>
  <c r="A167" i="38"/>
  <c r="I167" i="38" l="1"/>
  <c r="J167" i="38" s="1"/>
  <c r="E167" i="38"/>
  <c r="A168" i="38"/>
  <c r="B167" i="38"/>
  <c r="I168" i="38" l="1"/>
  <c r="J168" i="38" s="1"/>
  <c r="E168" i="38"/>
  <c r="B168" i="38"/>
  <c r="A169" i="38"/>
  <c r="I169" i="38" l="1"/>
  <c r="J169" i="38" s="1"/>
  <c r="E169" i="38"/>
  <c r="A170" i="38"/>
  <c r="B169" i="38"/>
  <c r="I170" i="38" l="1"/>
  <c r="J170" i="38" s="1"/>
  <c r="E170" i="38"/>
  <c r="A171" i="38"/>
  <c r="B170" i="38"/>
  <c r="I171" i="38" l="1"/>
  <c r="J171" i="38" s="1"/>
  <c r="E171" i="38"/>
  <c r="A172" i="38"/>
  <c r="B171" i="38"/>
  <c r="I172" i="38" l="1"/>
  <c r="J172" i="38" s="1"/>
  <c r="E172" i="38"/>
  <c r="B172" i="38"/>
  <c r="A173" i="38"/>
  <c r="I173" i="38" l="1"/>
  <c r="J173" i="38" s="1"/>
  <c r="E173" i="38"/>
  <c r="A174" i="38"/>
  <c r="B173" i="38"/>
  <c r="I174" i="38" l="1"/>
  <c r="J174" i="38" s="1"/>
  <c r="E174" i="38"/>
  <c r="B174" i="38"/>
  <c r="A175" i="38"/>
  <c r="I175" i="38" l="1"/>
  <c r="J175" i="38" s="1"/>
  <c r="E175" i="38"/>
  <c r="A176" i="38"/>
  <c r="B175" i="38"/>
  <c r="I176" i="38" l="1"/>
  <c r="J176" i="38" s="1"/>
  <c r="E176" i="38"/>
  <c r="B176" i="38"/>
  <c r="A177" i="38"/>
  <c r="I177" i="38" l="1"/>
  <c r="J177" i="38" s="1"/>
  <c r="E177" i="38"/>
  <c r="A178" i="38"/>
  <c r="B177" i="38"/>
  <c r="I178" i="38" l="1"/>
  <c r="J178" i="38" s="1"/>
  <c r="E178" i="38"/>
  <c r="B178" i="38"/>
  <c r="A179" i="38"/>
  <c r="I179" i="38" l="1"/>
  <c r="J179" i="38" s="1"/>
  <c r="E179" i="38"/>
  <c r="A180" i="38"/>
  <c r="B179" i="38"/>
  <c r="I180" i="38" l="1"/>
  <c r="J180" i="38" s="1"/>
  <c r="E180" i="38"/>
  <c r="B180" i="38"/>
  <c r="A181" i="38"/>
  <c r="I181" i="38" l="1"/>
  <c r="J181" i="38" s="1"/>
  <c r="E181" i="38"/>
  <c r="A182" i="38"/>
  <c r="B181" i="38"/>
  <c r="I182" i="38" l="1"/>
  <c r="J182" i="38" s="1"/>
  <c r="E182" i="38"/>
  <c r="A183" i="38"/>
  <c r="B182" i="38"/>
  <c r="I183" i="38" l="1"/>
  <c r="J183" i="38" s="1"/>
  <c r="E183" i="38"/>
  <c r="B183" i="38"/>
  <c r="A184" i="38"/>
  <c r="I184" i="38" l="1"/>
  <c r="J184" i="38" s="1"/>
  <c r="E184" i="38"/>
  <c r="A185" i="38"/>
  <c r="B184" i="38"/>
  <c r="I185" i="38" l="1"/>
  <c r="J185" i="38" s="1"/>
  <c r="E185" i="38"/>
  <c r="B185" i="38"/>
  <c r="A186" i="38"/>
  <c r="I186" i="38" l="1"/>
  <c r="J186" i="38" s="1"/>
  <c r="E186" i="38"/>
  <c r="A187" i="38"/>
  <c r="B186" i="38"/>
  <c r="I187" i="38" l="1"/>
  <c r="J187" i="38" s="1"/>
  <c r="E187" i="38"/>
  <c r="B187" i="38"/>
  <c r="A188" i="38"/>
  <c r="I188" i="38" l="1"/>
  <c r="J188" i="38" s="1"/>
  <c r="E188" i="38"/>
  <c r="A189" i="38"/>
  <c r="B188" i="38"/>
  <c r="I189" i="38" l="1"/>
  <c r="J189" i="38" s="1"/>
  <c r="E189" i="38"/>
  <c r="B189" i="38"/>
  <c r="A190" i="38"/>
  <c r="I190" i="38" l="1"/>
  <c r="J190" i="38" s="1"/>
  <c r="E190" i="38"/>
  <c r="A191" i="38"/>
  <c r="B190" i="38"/>
  <c r="I191" i="38" l="1"/>
  <c r="J191" i="38" s="1"/>
  <c r="E191" i="38"/>
  <c r="B191" i="38"/>
  <c r="A192" i="38"/>
  <c r="I192" i="38" l="1"/>
  <c r="J192" i="38" s="1"/>
  <c r="E192" i="38"/>
  <c r="A193" i="38"/>
  <c r="B192" i="38"/>
  <c r="I193" i="38" l="1"/>
  <c r="J193" i="38" s="1"/>
  <c r="E193" i="38"/>
  <c r="B193" i="38"/>
  <c r="A194" i="38"/>
  <c r="I194" i="38" l="1"/>
  <c r="J194" i="38" s="1"/>
  <c r="E194" i="38"/>
  <c r="A195" i="38"/>
  <c r="B194" i="38"/>
  <c r="I195" i="38" l="1"/>
  <c r="J195" i="38" s="1"/>
  <c r="E195" i="38"/>
  <c r="B195" i="38"/>
  <c r="A196" i="38"/>
  <c r="I196" i="38" l="1"/>
  <c r="J196" i="38" s="1"/>
  <c r="E196" i="38"/>
  <c r="A197" i="38"/>
  <c r="B196" i="38"/>
  <c r="I197" i="38" l="1"/>
  <c r="J197" i="38" s="1"/>
  <c r="E197" i="38"/>
  <c r="B197" i="38"/>
  <c r="A198" i="38"/>
  <c r="I198" i="38" l="1"/>
  <c r="J198" i="38" s="1"/>
  <c r="E198" i="38"/>
  <c r="A199" i="38"/>
  <c r="B198" i="38"/>
  <c r="I199" i="38" l="1"/>
  <c r="J199" i="38" s="1"/>
  <c r="E199" i="38"/>
  <c r="B199" i="38"/>
  <c r="A200" i="38"/>
  <c r="I200" i="38" l="1"/>
  <c r="J200" i="38" s="1"/>
  <c r="E200" i="38"/>
  <c r="A201" i="38"/>
  <c r="B200" i="38"/>
  <c r="I201" i="38" l="1"/>
  <c r="J201" i="38" s="1"/>
  <c r="E201" i="38"/>
  <c r="B201" i="38"/>
  <c r="A202" i="38"/>
  <c r="I202" i="38" l="1"/>
  <c r="J202" i="38" s="1"/>
  <c r="E202" i="38"/>
  <c r="A203" i="38"/>
  <c r="B202" i="38"/>
  <c r="I203" i="38" l="1"/>
  <c r="J203" i="38" s="1"/>
  <c r="E203" i="38"/>
  <c r="B203" i="38"/>
  <c r="A204" i="38"/>
  <c r="I204" i="38" l="1"/>
  <c r="J204" i="38" s="1"/>
  <c r="E204" i="38"/>
  <c r="A205" i="38"/>
  <c r="B204" i="38"/>
  <c r="I205" i="38" l="1"/>
  <c r="J205" i="38" s="1"/>
  <c r="E205" i="38"/>
  <c r="B205" i="38"/>
  <c r="A206" i="38"/>
  <c r="I206" i="38" l="1"/>
  <c r="J206" i="38" s="1"/>
  <c r="E206" i="38"/>
  <c r="A207" i="38"/>
  <c r="B206" i="38"/>
  <c r="I207" i="38" l="1"/>
  <c r="J207" i="38" s="1"/>
  <c r="E207" i="38"/>
  <c r="B207" i="38"/>
  <c r="A208" i="38"/>
  <c r="I208" i="38" l="1"/>
  <c r="J208" i="38" s="1"/>
  <c r="E208" i="38"/>
  <c r="A209" i="38"/>
  <c r="B208" i="38"/>
  <c r="I209" i="38" l="1"/>
  <c r="J209" i="38" s="1"/>
  <c r="E209" i="38"/>
  <c r="B209" i="38"/>
  <c r="A210" i="38"/>
  <c r="I210" i="38" l="1"/>
  <c r="J210" i="38" s="1"/>
  <c r="E210" i="38"/>
  <c r="A211" i="38"/>
  <c r="B210" i="38"/>
  <c r="I211" i="38" l="1"/>
  <c r="J211" i="38" s="1"/>
  <c r="E211" i="38"/>
  <c r="B211" i="38"/>
  <c r="A212" i="38"/>
  <c r="I212" i="38" l="1"/>
  <c r="J212" i="38" s="1"/>
  <c r="E212" i="38"/>
  <c r="A213" i="38"/>
  <c r="B212" i="38"/>
  <c r="I213" i="38" l="1"/>
  <c r="J213" i="38" s="1"/>
  <c r="E213" i="38"/>
  <c r="B213" i="38"/>
  <c r="A214" i="38"/>
  <c r="I214" i="38" l="1"/>
  <c r="J214" i="38" s="1"/>
  <c r="E214" i="38"/>
  <c r="A215" i="38"/>
  <c r="B214" i="38"/>
  <c r="I215" i="38" l="1"/>
  <c r="J215" i="38" s="1"/>
  <c r="E215" i="38"/>
  <c r="B215" i="38"/>
  <c r="A216" i="38"/>
  <c r="I216" i="38" l="1"/>
  <c r="J216" i="38" s="1"/>
  <c r="E216" i="38"/>
  <c r="A217" i="38"/>
  <c r="B216" i="38"/>
  <c r="I217" i="38" l="1"/>
  <c r="J217" i="38" s="1"/>
  <c r="E217" i="38"/>
  <c r="B217" i="38"/>
  <c r="A218" i="38"/>
  <c r="I218" i="38" l="1"/>
  <c r="J218" i="38" s="1"/>
  <c r="E218" i="38"/>
  <c r="A219" i="38"/>
  <c r="B218" i="38"/>
  <c r="I219" i="38" l="1"/>
  <c r="J219" i="38" s="1"/>
  <c r="E219" i="38"/>
  <c r="B219" i="38"/>
  <c r="A220" i="38"/>
  <c r="I220" i="38" l="1"/>
  <c r="J220" i="38" s="1"/>
  <c r="E220" i="38"/>
  <c r="A221" i="38"/>
  <c r="B220" i="38"/>
  <c r="I221" i="38" l="1"/>
  <c r="J221" i="38" s="1"/>
  <c r="E221" i="38"/>
  <c r="B221" i="38"/>
  <c r="A222" i="38"/>
  <c r="I222" i="38" l="1"/>
  <c r="J222" i="38" s="1"/>
  <c r="E222" i="38"/>
  <c r="A223" i="38"/>
  <c r="B222" i="38"/>
  <c r="I223" i="38" l="1"/>
  <c r="J223" i="38" s="1"/>
  <c r="E223" i="38"/>
  <c r="B223" i="38"/>
  <c r="A224" i="38"/>
  <c r="I224" i="38" l="1"/>
  <c r="J224" i="38" s="1"/>
  <c r="E224" i="38"/>
  <c r="A225" i="38"/>
  <c r="B224" i="38"/>
  <c r="I225" i="38" l="1"/>
  <c r="J225" i="38" s="1"/>
  <c r="E225" i="38"/>
  <c r="B225" i="38"/>
  <c r="A226" i="38"/>
  <c r="I226" i="38" l="1"/>
  <c r="J226" i="38" s="1"/>
  <c r="E226" i="38"/>
  <c r="A227" i="38"/>
  <c r="B226" i="38"/>
  <c r="I227" i="38" l="1"/>
  <c r="J227" i="38" s="1"/>
  <c r="E227" i="38"/>
  <c r="A228" i="38"/>
  <c r="B227" i="38"/>
  <c r="I228" i="38" l="1"/>
  <c r="J228" i="38" s="1"/>
  <c r="E228" i="38"/>
  <c r="B228" i="38"/>
  <c r="A229" i="38"/>
  <c r="I229" i="38" l="1"/>
  <c r="J229" i="38" s="1"/>
  <c r="E229" i="38"/>
  <c r="A230" i="38"/>
  <c r="B229" i="38"/>
  <c r="I230" i="38" l="1"/>
  <c r="J230" i="38" s="1"/>
  <c r="E230" i="38"/>
  <c r="B230" i="38"/>
  <c r="A231" i="38"/>
  <c r="I231" i="38" l="1"/>
  <c r="J231" i="38" s="1"/>
  <c r="E231" i="38"/>
  <c r="A232" i="38"/>
  <c r="B231" i="38"/>
  <c r="I232" i="38" l="1"/>
  <c r="J232" i="38" s="1"/>
  <c r="E232" i="38"/>
  <c r="B232" i="38"/>
  <c r="A233" i="38"/>
  <c r="I233" i="38" l="1"/>
  <c r="J233" i="38" s="1"/>
  <c r="E233" i="38"/>
  <c r="A234" i="38"/>
  <c r="B233" i="38"/>
  <c r="I234" i="38" l="1"/>
  <c r="J234" i="38" s="1"/>
  <c r="E234" i="38"/>
  <c r="B234" i="38"/>
  <c r="A235" i="38"/>
  <c r="I235" i="38" l="1"/>
  <c r="J235" i="38" s="1"/>
  <c r="E235" i="38"/>
  <c r="A236" i="38"/>
  <c r="B235" i="38"/>
  <c r="I236" i="38" l="1"/>
  <c r="J236" i="38" s="1"/>
  <c r="E236" i="38"/>
  <c r="B236" i="38"/>
  <c r="A237" i="38"/>
  <c r="I237" i="38" l="1"/>
  <c r="J237" i="38" s="1"/>
  <c r="E237" i="38"/>
  <c r="A238" i="38"/>
  <c r="B237" i="38"/>
  <c r="I238" i="38" l="1"/>
  <c r="J238" i="38" s="1"/>
  <c r="E238" i="38"/>
  <c r="B238" i="38"/>
  <c r="A239" i="38"/>
  <c r="I239" i="38" l="1"/>
  <c r="J239" i="38" s="1"/>
  <c r="E239" i="38"/>
  <c r="A240" i="38"/>
  <c r="B239" i="38"/>
  <c r="I240" i="38" l="1"/>
  <c r="J240" i="38" s="1"/>
  <c r="E240" i="38"/>
  <c r="B240" i="38"/>
  <c r="A241" i="38"/>
  <c r="I241" i="38" l="1"/>
  <c r="J241" i="38" s="1"/>
  <c r="E241" i="38"/>
  <c r="A242" i="38"/>
  <c r="B241" i="38"/>
  <c r="I242" i="38" l="1"/>
  <c r="J242" i="38" s="1"/>
  <c r="E242" i="38"/>
  <c r="B242" i="38"/>
  <c r="A243" i="38"/>
  <c r="I243" i="38" l="1"/>
  <c r="J243" i="38" s="1"/>
  <c r="E243" i="38"/>
  <c r="A244" i="38"/>
  <c r="B243" i="38"/>
  <c r="I244" i="38" l="1"/>
  <c r="J244" i="38" s="1"/>
  <c r="E244" i="38"/>
  <c r="B244" i="38"/>
  <c r="A245" i="38"/>
  <c r="I245" i="38" l="1"/>
  <c r="J245" i="38" s="1"/>
  <c r="E245" i="38"/>
  <c r="A246" i="38"/>
  <c r="B245" i="38"/>
  <c r="I246" i="38" l="1"/>
  <c r="J246" i="38" s="1"/>
  <c r="E246" i="38"/>
  <c r="B246" i="38"/>
  <c r="A247" i="38"/>
  <c r="I247" i="38" l="1"/>
  <c r="J247" i="38" s="1"/>
  <c r="E247" i="38"/>
  <c r="A248" i="38"/>
  <c r="B247" i="38"/>
  <c r="I248" i="38" l="1"/>
  <c r="J248" i="38" s="1"/>
  <c r="E248" i="38"/>
  <c r="B248" i="38"/>
  <c r="A249" i="38"/>
  <c r="I249" i="38" l="1"/>
  <c r="J249" i="38" s="1"/>
  <c r="E249" i="38"/>
  <c r="A250" i="38"/>
  <c r="B249" i="38"/>
  <c r="I250" i="38" l="1"/>
  <c r="J250" i="38" s="1"/>
  <c r="E250" i="38"/>
  <c r="B250" i="38"/>
  <c r="A251" i="38"/>
  <c r="I251" i="38" l="1"/>
  <c r="J251" i="38" s="1"/>
  <c r="E251" i="38"/>
  <c r="A252" i="38"/>
  <c r="B251" i="38"/>
  <c r="I252" i="38" l="1"/>
  <c r="J252" i="38" s="1"/>
  <c r="E252" i="38"/>
  <c r="B252" i="38"/>
  <c r="A253" i="38"/>
  <c r="I253" i="38" l="1"/>
  <c r="J253" i="38" s="1"/>
  <c r="E253" i="38"/>
  <c r="A254" i="38"/>
  <c r="B253" i="38"/>
  <c r="I254" i="38" l="1"/>
  <c r="J254" i="38" s="1"/>
  <c r="E254" i="38"/>
  <c r="B254" i="38"/>
  <c r="A255" i="38"/>
  <c r="I255" i="38" l="1"/>
  <c r="J255" i="38" s="1"/>
  <c r="E255" i="38"/>
  <c r="A256" i="38"/>
  <c r="B255" i="38"/>
  <c r="I256" i="38" l="1"/>
  <c r="J256" i="38" s="1"/>
  <c r="E256" i="38"/>
  <c r="B256" i="38"/>
  <c r="A257" i="38"/>
  <c r="I257" i="38" l="1"/>
  <c r="J257" i="38" s="1"/>
  <c r="E257" i="38"/>
  <c r="A258" i="38"/>
  <c r="B257" i="38"/>
  <c r="I258" i="38" l="1"/>
  <c r="J258" i="38" s="1"/>
  <c r="E258" i="38"/>
  <c r="B258" i="38"/>
  <c r="A259" i="38"/>
  <c r="I259" i="38" l="1"/>
  <c r="J259" i="38" s="1"/>
  <c r="E259" i="38"/>
  <c r="A260" i="38"/>
  <c r="B259" i="38"/>
  <c r="I260" i="38" l="1"/>
  <c r="J260" i="38" s="1"/>
  <c r="E260" i="38"/>
  <c r="A261" i="38"/>
  <c r="B260" i="38"/>
  <c r="I261" i="38" l="1"/>
  <c r="J261" i="38" s="1"/>
  <c r="E261" i="38"/>
  <c r="B261" i="38"/>
  <c r="A262" i="38"/>
  <c r="I262" i="38" l="1"/>
  <c r="J262" i="38" s="1"/>
  <c r="E262" i="38"/>
  <c r="A263" i="38"/>
  <c r="B262" i="38"/>
  <c r="I263" i="38" l="1"/>
  <c r="J263" i="38" s="1"/>
  <c r="E263" i="38"/>
  <c r="B263" i="38"/>
  <c r="A264" i="38"/>
  <c r="I264" i="38" l="1"/>
  <c r="J264" i="38" s="1"/>
  <c r="E264" i="38"/>
  <c r="A265" i="38"/>
  <c r="B264" i="38"/>
  <c r="I265" i="38" l="1"/>
  <c r="J265" i="38" s="1"/>
  <c r="E265" i="38"/>
  <c r="B265" i="38"/>
  <c r="A266" i="38"/>
  <c r="I266" i="38" l="1"/>
  <c r="J266" i="38" s="1"/>
  <c r="E266" i="38"/>
  <c r="A267" i="38"/>
  <c r="B266" i="38"/>
  <c r="I267" i="38" l="1"/>
  <c r="J267" i="38" s="1"/>
  <c r="E267" i="38"/>
  <c r="B267" i="38"/>
  <c r="A268" i="38"/>
  <c r="I268" i="38" l="1"/>
  <c r="J268" i="38" s="1"/>
  <c r="E268" i="38"/>
  <c r="A269" i="38"/>
  <c r="B268" i="38"/>
  <c r="I269" i="38" l="1"/>
  <c r="J269" i="38" s="1"/>
  <c r="E269" i="38"/>
  <c r="B269" i="38"/>
  <c r="A270" i="38"/>
  <c r="I270" i="38" l="1"/>
  <c r="J270" i="38" s="1"/>
  <c r="E270" i="38"/>
  <c r="A271" i="38"/>
  <c r="B270" i="38"/>
  <c r="I271" i="38" l="1"/>
  <c r="J271" i="38" s="1"/>
  <c r="E271" i="38"/>
  <c r="B271" i="38"/>
  <c r="A272" i="38"/>
  <c r="I272" i="38" l="1"/>
  <c r="J272" i="38" s="1"/>
  <c r="E272" i="38"/>
  <c r="A273" i="38"/>
  <c r="B272" i="38"/>
  <c r="I273" i="38" l="1"/>
  <c r="J273" i="38" s="1"/>
  <c r="E273" i="38"/>
  <c r="B273" i="38"/>
  <c r="A274" i="38"/>
  <c r="I274" i="38" l="1"/>
  <c r="J274" i="38" s="1"/>
  <c r="E274" i="38"/>
  <c r="A275" i="38"/>
  <c r="B274" i="38"/>
  <c r="I275" i="38" l="1"/>
  <c r="J275" i="38" s="1"/>
  <c r="E275" i="38"/>
  <c r="B275" i="38"/>
  <c r="A276" i="38"/>
  <c r="I276" i="38" l="1"/>
  <c r="J276" i="38" s="1"/>
  <c r="E276" i="38"/>
  <c r="A277" i="38"/>
  <c r="B276" i="38"/>
  <c r="I277" i="38" l="1"/>
  <c r="J277" i="38" s="1"/>
  <c r="E277" i="38"/>
  <c r="B277" i="38"/>
  <c r="A278" i="38"/>
  <c r="I278" i="38" l="1"/>
  <c r="J278" i="38" s="1"/>
  <c r="E278" i="38"/>
  <c r="A279" i="38"/>
  <c r="B278" i="38"/>
  <c r="I279" i="38" l="1"/>
  <c r="J279" i="38" s="1"/>
  <c r="E279" i="38"/>
  <c r="B279" i="38"/>
  <c r="A280" i="38"/>
  <c r="I280" i="38" l="1"/>
  <c r="J280" i="38" s="1"/>
  <c r="E280" i="38"/>
  <c r="A281" i="38"/>
  <c r="B280" i="38"/>
  <c r="I281" i="38" l="1"/>
  <c r="J281" i="38" s="1"/>
  <c r="E281" i="38"/>
  <c r="B281" i="38"/>
  <c r="A282" i="38"/>
  <c r="I282" i="38" l="1"/>
  <c r="J282" i="38" s="1"/>
  <c r="E282" i="38"/>
  <c r="A283" i="38"/>
  <c r="B282" i="38"/>
  <c r="I283" i="38" l="1"/>
  <c r="J283" i="38" s="1"/>
  <c r="E283" i="38"/>
  <c r="B283" i="38"/>
  <c r="A284" i="38"/>
  <c r="I284" i="38" l="1"/>
  <c r="J284" i="38" s="1"/>
  <c r="E284" i="38"/>
  <c r="A285" i="38"/>
  <c r="B284" i="38"/>
  <c r="I285" i="38" l="1"/>
  <c r="J285" i="38" s="1"/>
  <c r="E285" i="38"/>
  <c r="B285" i="38"/>
  <c r="A286" i="38"/>
  <c r="I286" i="38" l="1"/>
  <c r="J286" i="38" s="1"/>
  <c r="E286" i="38"/>
  <c r="A287" i="38"/>
  <c r="B286" i="38"/>
  <c r="I287" i="38" l="1"/>
  <c r="J287" i="38" s="1"/>
  <c r="E287" i="38"/>
  <c r="B287" i="38"/>
  <c r="A288" i="38"/>
  <c r="I288" i="38" l="1"/>
  <c r="J288" i="38" s="1"/>
  <c r="E288" i="38"/>
  <c r="A289" i="38"/>
  <c r="B288" i="38"/>
  <c r="I289" i="38" l="1"/>
  <c r="J289" i="38" s="1"/>
  <c r="E289" i="38"/>
  <c r="B289" i="38"/>
  <c r="A290" i="38"/>
  <c r="I290" i="38" l="1"/>
  <c r="J290" i="38" s="1"/>
  <c r="E290" i="38"/>
  <c r="A291" i="38"/>
  <c r="B290" i="38"/>
  <c r="I291" i="38" l="1"/>
  <c r="J291" i="38" s="1"/>
  <c r="E291" i="38"/>
  <c r="B291" i="38"/>
  <c r="A292" i="38"/>
  <c r="I292" i="38" l="1"/>
  <c r="J292" i="38" s="1"/>
  <c r="E292" i="38"/>
  <c r="A293" i="38"/>
  <c r="B292" i="38"/>
  <c r="I293" i="38" l="1"/>
  <c r="J293" i="38" s="1"/>
  <c r="E293" i="38"/>
  <c r="B293" i="38"/>
  <c r="A294" i="38"/>
  <c r="I294" i="38" l="1"/>
  <c r="J294" i="38" s="1"/>
  <c r="E294" i="38"/>
  <c r="A295" i="38"/>
  <c r="B294" i="38"/>
  <c r="I295" i="38" l="1"/>
  <c r="J295" i="38" s="1"/>
  <c r="E295" i="38"/>
  <c r="B295" i="38"/>
  <c r="A296" i="38"/>
  <c r="I296" i="38" l="1"/>
  <c r="J296" i="38" s="1"/>
  <c r="E296" i="38"/>
  <c r="A297" i="38"/>
  <c r="B296" i="38"/>
  <c r="I297" i="38" l="1"/>
  <c r="J297" i="38" s="1"/>
  <c r="E297" i="38"/>
  <c r="B297" i="38"/>
  <c r="A298" i="38"/>
  <c r="I298" i="38" l="1"/>
  <c r="J298" i="38" s="1"/>
  <c r="E298" i="38"/>
  <c r="A299" i="38"/>
  <c r="B298" i="38"/>
  <c r="I299" i="38" l="1"/>
  <c r="J299" i="38" s="1"/>
  <c r="E299" i="38"/>
  <c r="B299" i="38"/>
  <c r="A300" i="38"/>
  <c r="I300" i="38" l="1"/>
  <c r="J300" i="38" s="1"/>
  <c r="E300" i="38"/>
  <c r="A301" i="38"/>
  <c r="B300" i="38"/>
  <c r="I301" i="38" l="1"/>
  <c r="J301" i="38" s="1"/>
  <c r="E301" i="38"/>
  <c r="B301" i="38"/>
  <c r="A302" i="38"/>
  <c r="I302" i="38" l="1"/>
  <c r="J302" i="38" s="1"/>
  <c r="E302" i="38"/>
  <c r="A303" i="38"/>
  <c r="B302" i="38"/>
  <c r="I303" i="38" l="1"/>
  <c r="J303" i="38" s="1"/>
  <c r="E303" i="38"/>
  <c r="B303" i="38"/>
  <c r="A304" i="38"/>
  <c r="I304" i="38" l="1"/>
  <c r="J304" i="38" s="1"/>
  <c r="E304" i="38"/>
  <c r="A305" i="38"/>
  <c r="B304" i="38"/>
  <c r="I305" i="38" l="1"/>
  <c r="J305" i="38" s="1"/>
  <c r="E305" i="38"/>
  <c r="A306" i="38"/>
  <c r="B305" i="38"/>
  <c r="I306" i="38" l="1"/>
  <c r="J306" i="38" s="1"/>
  <c r="E306" i="38"/>
  <c r="A307" i="38"/>
  <c r="B306" i="38"/>
  <c r="I307" i="38" l="1"/>
  <c r="J307" i="38" s="1"/>
  <c r="E307" i="38"/>
  <c r="B307" i="38"/>
  <c r="A308" i="38"/>
  <c r="I308" i="38" l="1"/>
  <c r="J308" i="38" s="1"/>
  <c r="E308" i="38"/>
  <c r="A309" i="38"/>
  <c r="B308" i="38"/>
  <c r="I309" i="38" l="1"/>
  <c r="J309" i="38" s="1"/>
  <c r="E309" i="38"/>
  <c r="A310" i="38"/>
  <c r="B309" i="38"/>
  <c r="I310" i="38" l="1"/>
  <c r="J310" i="38" s="1"/>
  <c r="E310" i="38"/>
  <c r="A311" i="38"/>
  <c r="B310" i="38"/>
  <c r="I311" i="38" l="1"/>
  <c r="J311" i="38" s="1"/>
  <c r="E311" i="38"/>
  <c r="B311" i="38"/>
  <c r="A312" i="38"/>
  <c r="I312" i="38" l="1"/>
  <c r="J312" i="38" s="1"/>
  <c r="E312" i="38"/>
  <c r="A313" i="38"/>
  <c r="B312" i="38"/>
  <c r="I313" i="38" l="1"/>
  <c r="J313" i="38" s="1"/>
  <c r="E313" i="38"/>
  <c r="B313" i="38"/>
  <c r="A314" i="38"/>
  <c r="I314" i="38" l="1"/>
  <c r="J314" i="38" s="1"/>
  <c r="E314" i="38"/>
  <c r="A315" i="38"/>
  <c r="B314" i="38"/>
  <c r="I315" i="38" l="1"/>
  <c r="J315" i="38" s="1"/>
  <c r="E315" i="38"/>
  <c r="B315" i="38"/>
  <c r="A316" i="38"/>
  <c r="I316" i="38" l="1"/>
  <c r="J316" i="38" s="1"/>
  <c r="E316" i="38"/>
  <c r="A317" i="38"/>
  <c r="B316" i="38"/>
  <c r="I317" i="38" l="1"/>
  <c r="J317" i="38" s="1"/>
  <c r="E317" i="38"/>
  <c r="A318" i="38"/>
  <c r="B317" i="38"/>
  <c r="I318" i="38" l="1"/>
  <c r="J318" i="38" s="1"/>
  <c r="E318" i="38"/>
  <c r="B318" i="38"/>
  <c r="A319" i="38"/>
  <c r="I319" i="38" l="1"/>
  <c r="J319" i="38" s="1"/>
  <c r="E319" i="38"/>
  <c r="A320" i="38"/>
  <c r="B319" i="38"/>
  <c r="I320" i="38" l="1"/>
  <c r="J320" i="38" s="1"/>
  <c r="E320" i="38"/>
  <c r="B320" i="38"/>
  <c r="A321" i="38"/>
  <c r="I321" i="38" l="1"/>
  <c r="J321" i="38" s="1"/>
  <c r="E321" i="38"/>
  <c r="A322" i="38"/>
  <c r="B321" i="38"/>
  <c r="I322" i="38" l="1"/>
  <c r="J322" i="38" s="1"/>
  <c r="E322" i="38"/>
  <c r="B322" i="38"/>
  <c r="A323" i="38"/>
  <c r="I323" i="38" l="1"/>
  <c r="J323" i="38" s="1"/>
  <c r="E323" i="38"/>
  <c r="A324" i="38"/>
  <c r="B323" i="38"/>
  <c r="I324" i="38" l="1"/>
  <c r="J324" i="38" s="1"/>
  <c r="E324" i="38"/>
  <c r="B324" i="38"/>
  <c r="A325" i="38"/>
  <c r="I325" i="38" l="1"/>
  <c r="J325" i="38" s="1"/>
  <c r="E325" i="38"/>
  <c r="A326" i="38"/>
  <c r="B325" i="38"/>
  <c r="I326" i="38" l="1"/>
  <c r="J326" i="38" s="1"/>
  <c r="E326" i="38"/>
  <c r="B326" i="38"/>
  <c r="A327" i="38"/>
  <c r="I327" i="38" l="1"/>
  <c r="J327" i="38" s="1"/>
  <c r="E327" i="38"/>
  <c r="A328" i="38"/>
  <c r="B327" i="38"/>
  <c r="I328" i="38" l="1"/>
  <c r="J328" i="38" s="1"/>
  <c r="E328" i="38"/>
  <c r="B328" i="38"/>
  <c r="A329" i="38"/>
  <c r="I329" i="38" l="1"/>
  <c r="J329" i="38" s="1"/>
  <c r="E329" i="38"/>
  <c r="A330" i="38"/>
  <c r="B329" i="38"/>
  <c r="I330" i="38" l="1"/>
  <c r="J330" i="38" s="1"/>
  <c r="E330" i="38"/>
  <c r="B330" i="38"/>
  <c r="A331" i="38"/>
  <c r="I331" i="38" l="1"/>
  <c r="J331" i="38" s="1"/>
  <c r="E331" i="38"/>
  <c r="A332" i="38"/>
  <c r="B331" i="38"/>
  <c r="I332" i="38" l="1"/>
  <c r="J332" i="38" s="1"/>
  <c r="E332" i="38"/>
  <c r="B332" i="38"/>
  <c r="A333" i="38"/>
  <c r="I333" i="38" l="1"/>
  <c r="J333" i="38" s="1"/>
  <c r="E333" i="38"/>
  <c r="A334" i="38"/>
  <c r="B333" i="38"/>
  <c r="I334" i="38" l="1"/>
  <c r="J334" i="38" s="1"/>
  <c r="E334" i="38"/>
  <c r="B334" i="38"/>
  <c r="A335" i="38"/>
  <c r="I335" i="38" l="1"/>
  <c r="J335" i="38" s="1"/>
  <c r="E335" i="38"/>
  <c r="A336" i="38"/>
  <c r="B335" i="38"/>
  <c r="I336" i="38" l="1"/>
  <c r="J336" i="38" s="1"/>
  <c r="E336" i="38"/>
  <c r="B336" i="38"/>
  <c r="A337" i="38"/>
  <c r="I337" i="38" l="1"/>
  <c r="J337" i="38" s="1"/>
  <c r="E337" i="38"/>
  <c r="A338" i="38"/>
  <c r="B337" i="38"/>
  <c r="I338" i="38" l="1"/>
  <c r="J338" i="38" s="1"/>
  <c r="E338" i="38"/>
  <c r="B338" i="38"/>
  <c r="A339" i="38"/>
  <c r="I339" i="38" l="1"/>
  <c r="J339" i="38" s="1"/>
  <c r="E339" i="38"/>
  <c r="A340" i="38"/>
  <c r="B339" i="38"/>
  <c r="I340" i="38" l="1"/>
  <c r="J340" i="38" s="1"/>
  <c r="E340" i="38"/>
  <c r="B340" i="38"/>
  <c r="A341" i="38"/>
  <c r="I341" i="38" l="1"/>
  <c r="J341" i="38" s="1"/>
  <c r="E341" i="38"/>
  <c r="A342" i="38"/>
  <c r="B341" i="38"/>
  <c r="I342" i="38" l="1"/>
  <c r="J342" i="38" s="1"/>
  <c r="E342" i="38"/>
  <c r="B342" i="38"/>
  <c r="A343" i="38"/>
  <c r="I343" i="38" l="1"/>
  <c r="J343" i="38" s="1"/>
  <c r="E343" i="38"/>
  <c r="A344" i="38"/>
  <c r="B343" i="38"/>
  <c r="I344" i="38" l="1"/>
  <c r="J344" i="38" s="1"/>
  <c r="E344" i="38"/>
  <c r="B344" i="38"/>
  <c r="A345" i="38"/>
  <c r="I345" i="38" l="1"/>
  <c r="J345" i="38" s="1"/>
  <c r="E345" i="38"/>
  <c r="A346" i="38"/>
  <c r="B345" i="38"/>
  <c r="I346" i="38" l="1"/>
  <c r="J346" i="38" s="1"/>
  <c r="E346" i="38"/>
  <c r="B346" i="38"/>
  <c r="A347" i="38"/>
  <c r="I347" i="38" l="1"/>
  <c r="J347" i="38" s="1"/>
  <c r="E347" i="38"/>
  <c r="A348" i="38"/>
  <c r="B347" i="38"/>
  <c r="I348" i="38" l="1"/>
  <c r="J348" i="38" s="1"/>
  <c r="E348" i="38"/>
  <c r="B348" i="38"/>
  <c r="E349" i="38"/>
  <c r="F22" i="38" l="1"/>
  <c r="J23" i="38"/>
  <c r="I24" i="38"/>
  <c r="I25" i="38"/>
  <c r="I27" i="38"/>
  <c r="I26" i="38"/>
  <c r="I28" i="38"/>
  <c r="I29" i="38"/>
  <c r="I30" i="38"/>
  <c r="I31" i="38"/>
  <c r="I32" i="38"/>
  <c r="I33" i="38"/>
  <c r="I34" i="38"/>
  <c r="I35" i="38"/>
  <c r="I36" i="38"/>
  <c r="I37" i="38"/>
  <c r="I38" i="38"/>
  <c r="I39" i="38"/>
  <c r="I40" i="38"/>
  <c r="I41" i="38"/>
  <c r="I42" i="38"/>
  <c r="I43" i="38"/>
  <c r="I44" i="38"/>
  <c r="I45" i="38"/>
  <c r="I46" i="38"/>
  <c r="I47" i="38"/>
  <c r="I48" i="38"/>
  <c r="I49" i="38"/>
  <c r="I50" i="38"/>
  <c r="I51" i="38"/>
  <c r="I52" i="38"/>
  <c r="I53" i="38"/>
  <c r="I54" i="38"/>
  <c r="I55" i="38"/>
  <c r="I56" i="38"/>
  <c r="I57" i="38"/>
  <c r="I58" i="38"/>
  <c r="I59" i="38"/>
  <c r="I60" i="38"/>
  <c r="I61" i="38"/>
  <c r="I62" i="38"/>
  <c r="I63" i="38"/>
  <c r="I64" i="38"/>
  <c r="I65" i="38"/>
  <c r="I66" i="38"/>
  <c r="I67" i="38"/>
  <c r="I68" i="38"/>
  <c r="I69" i="38"/>
  <c r="I70" i="38"/>
  <c r="I71" i="38"/>
  <c r="I72" i="38"/>
  <c r="I73" i="38"/>
  <c r="I74" i="38"/>
  <c r="I75" i="38"/>
  <c r="I76" i="38"/>
  <c r="I77" i="38"/>
  <c r="I78" i="38"/>
  <c r="I79" i="38"/>
  <c r="I80" i="38"/>
  <c r="I81" i="38"/>
  <c r="I82" i="38"/>
  <c r="I83" i="38"/>
  <c r="I84" i="38"/>
  <c r="I85" i="38"/>
  <c r="I86" i="38"/>
  <c r="I87" i="38"/>
  <c r="I88" i="38"/>
  <c r="I89" i="38"/>
  <c r="I90" i="38"/>
  <c r="I91" i="38"/>
  <c r="I92" i="38"/>
  <c r="I93" i="38"/>
  <c r="I94" i="38"/>
  <c r="I95" i="38"/>
  <c r="I96" i="38"/>
  <c r="I97" i="38"/>
  <c r="I98" i="38"/>
  <c r="I99" i="38"/>
  <c r="I100" i="38"/>
  <c r="I101" i="38"/>
  <c r="I102" i="38"/>
  <c r="I103" i="38"/>
  <c r="I104" i="38"/>
  <c r="I105" i="38"/>
  <c r="I106" i="38"/>
  <c r="I107" i="38"/>
  <c r="I108" i="38"/>
  <c r="I109" i="38"/>
  <c r="I110" i="38"/>
  <c r="I111" i="38"/>
  <c r="I112" i="38"/>
  <c r="I113" i="38"/>
  <c r="I114" i="38"/>
  <c r="I115" i="38"/>
  <c r="I116" i="38"/>
  <c r="I117" i="38"/>
  <c r="I118" i="38"/>
  <c r="I119" i="38"/>
  <c r="I120" i="38"/>
  <c r="I121" i="38"/>
  <c r="I122" i="38"/>
  <c r="I123" i="38"/>
  <c r="I124" i="38"/>
  <c r="I125" i="38"/>
  <c r="I126" i="38"/>
  <c r="I127" i="38"/>
  <c r="I128" i="38"/>
  <c r="I129" i="38"/>
  <c r="I130" i="38"/>
  <c r="I131" i="38"/>
  <c r="I132" i="38"/>
  <c r="I133" i="38"/>
  <c r="I134" i="38"/>
  <c r="I135" i="38"/>
  <c r="I136" i="38"/>
  <c r="I137" i="38"/>
  <c r="I138" i="38"/>
  <c r="I139" i="38"/>
  <c r="I140" i="38"/>
  <c r="I141" i="38"/>
  <c r="I142" i="38"/>
  <c r="F16" i="38"/>
  <c r="J24" i="38" l="1"/>
  <c r="J25" i="38" s="1"/>
  <c r="J26" i="38" s="1"/>
  <c r="J27" i="38" s="1"/>
  <c r="J28" i="38" s="1"/>
  <c r="J29" i="38" s="1"/>
  <c r="J30" i="38" s="1"/>
  <c r="J31" i="38" s="1"/>
  <c r="J32" i="38" s="1"/>
  <c r="J33" i="38" s="1"/>
  <c r="J34" i="38" s="1"/>
  <c r="J35" i="38" s="1"/>
  <c r="J36" i="38" s="1"/>
  <c r="J37" i="38" s="1"/>
  <c r="J38" i="38" s="1"/>
  <c r="J39" i="38" s="1"/>
  <c r="J40" i="38" s="1"/>
  <c r="J41" i="38" s="1"/>
  <c r="J42" i="38" s="1"/>
  <c r="J43" i="38" s="1"/>
  <c r="J44" i="38" s="1"/>
  <c r="J45" i="38" s="1"/>
  <c r="J46" i="38" s="1"/>
  <c r="J47" i="38" s="1"/>
  <c r="J48" i="38" s="1"/>
  <c r="J49" i="38" s="1"/>
  <c r="J50" i="38" s="1"/>
  <c r="J51" i="38" s="1"/>
  <c r="J52" i="38" s="1"/>
  <c r="J53" i="38" s="1"/>
  <c r="J54" i="38" s="1"/>
  <c r="J55" i="38" s="1"/>
  <c r="J56" i="38" s="1"/>
  <c r="J57" i="38" s="1"/>
  <c r="J58" i="38" s="1"/>
  <c r="J59" i="38" s="1"/>
  <c r="J60" i="38" s="1"/>
  <c r="J61" i="38" s="1"/>
  <c r="J62" i="38" s="1"/>
  <c r="J63" i="38" s="1"/>
  <c r="J64" i="38" s="1"/>
  <c r="J65" i="38" s="1"/>
  <c r="J66" i="38" s="1"/>
  <c r="J67" i="38" s="1"/>
  <c r="J68" i="38" s="1"/>
  <c r="J69" i="38" s="1"/>
  <c r="J70" i="38" s="1"/>
  <c r="J71" i="38" s="1"/>
  <c r="J72" i="38" s="1"/>
  <c r="J73" i="38" s="1"/>
  <c r="J74" i="38" s="1"/>
  <c r="J75" i="38" s="1"/>
  <c r="J76" i="38" s="1"/>
  <c r="J77" i="38" s="1"/>
  <c r="J78" i="38" s="1"/>
  <c r="J79" i="38" s="1"/>
  <c r="J80" i="38" s="1"/>
  <c r="J81" i="38" s="1"/>
  <c r="J82" i="38" s="1"/>
  <c r="J83" i="38" s="1"/>
  <c r="J84" i="38" s="1"/>
  <c r="J85" i="38" s="1"/>
  <c r="J86" i="38" s="1"/>
  <c r="J87" i="38" s="1"/>
  <c r="J88" i="38" s="1"/>
  <c r="J89" i="38" s="1"/>
  <c r="J90" i="38" s="1"/>
  <c r="J91" i="38" s="1"/>
  <c r="J92" i="38" s="1"/>
  <c r="J93" i="38" s="1"/>
  <c r="J94" i="38" s="1"/>
  <c r="J95" i="38" s="1"/>
  <c r="J96" i="38" s="1"/>
  <c r="J97" i="38" s="1"/>
  <c r="J98" i="38" s="1"/>
  <c r="J99" i="38" s="1"/>
  <c r="J100" i="38" s="1"/>
  <c r="J101" i="38" s="1"/>
  <c r="J102" i="38" s="1"/>
  <c r="J103" i="38" s="1"/>
  <c r="J104" i="38" s="1"/>
  <c r="J105" i="38" s="1"/>
  <c r="J106" i="38" s="1"/>
  <c r="J107" i="38" s="1"/>
  <c r="J108" i="38" s="1"/>
  <c r="J109" i="38" s="1"/>
  <c r="J110" i="38" s="1"/>
  <c r="J111" i="38" s="1"/>
  <c r="J112" i="38" s="1"/>
  <c r="J113" i="38" s="1"/>
  <c r="J114" i="38" s="1"/>
  <c r="J115" i="38" s="1"/>
  <c r="J116" i="38" s="1"/>
  <c r="J117" i="38" s="1"/>
  <c r="J118" i="38" s="1"/>
  <c r="J119" i="38" s="1"/>
  <c r="J120" i="38" s="1"/>
  <c r="J121" i="38" s="1"/>
  <c r="J122" i="38" s="1"/>
  <c r="J123" i="38" s="1"/>
  <c r="J124" i="38" s="1"/>
  <c r="J125" i="38" s="1"/>
  <c r="J126" i="38" s="1"/>
  <c r="J127" i="38" s="1"/>
  <c r="J128" i="38" s="1"/>
  <c r="J129" i="38" s="1"/>
  <c r="J130" i="38" s="1"/>
  <c r="J131" i="38" s="1"/>
  <c r="J132" i="38" s="1"/>
  <c r="J133" i="38" s="1"/>
  <c r="J134" i="38" s="1"/>
  <c r="J135" i="38" s="1"/>
  <c r="J136" i="38" s="1"/>
  <c r="J137" i="38" s="1"/>
  <c r="J138" i="38" s="1"/>
  <c r="J139" i="38" s="1"/>
  <c r="J140" i="38" s="1"/>
  <c r="J141" i="38" s="1"/>
  <c r="J142" i="38" s="1"/>
  <c r="F23" i="38"/>
  <c r="E18" i="38"/>
  <c r="G23" i="38"/>
  <c r="I349" i="38"/>
  <c r="K23" i="38"/>
  <c r="M23" i="38" s="1"/>
  <c r="K24" i="38" l="1"/>
  <c r="J18" i="38"/>
  <c r="I17" i="38"/>
  <c r="I18" i="38" s="1"/>
  <c r="F24" i="38"/>
  <c r="G24" i="38" s="1"/>
  <c r="L24" i="38" s="1"/>
  <c r="K25" i="38" l="1"/>
  <c r="M24" i="38"/>
  <c r="F25" i="38"/>
  <c r="G25" i="38" s="1"/>
  <c r="L25" i="38" s="1"/>
  <c r="K31" i="4"/>
  <c r="K30" i="4"/>
  <c r="K29" i="4"/>
  <c r="K28" i="4"/>
  <c r="K27" i="4"/>
  <c r="K26" i="4"/>
  <c r="K25" i="4"/>
  <c r="K24" i="4"/>
  <c r="K23" i="4"/>
  <c r="K22" i="4"/>
  <c r="K21" i="4"/>
  <c r="K20" i="4"/>
  <c r="K19" i="4"/>
  <c r="K18" i="4"/>
  <c r="K17" i="4"/>
  <c r="K16" i="4"/>
  <c r="K13" i="4"/>
  <c r="K14" i="4"/>
  <c r="K34" i="4" l="1"/>
  <c r="E8" i="1" s="1"/>
  <c r="G8" i="1" s="1"/>
  <c r="F26" i="38"/>
  <c r="G26" i="38" s="1"/>
  <c r="L26" i="38" s="1"/>
  <c r="K26" i="38"/>
  <c r="M25" i="38"/>
  <c r="K32" i="4"/>
  <c r="K38" i="4"/>
  <c r="E12" i="1" s="1"/>
  <c r="K37" i="4"/>
  <c r="E11" i="1" s="1"/>
  <c r="K36" i="4"/>
  <c r="E10" i="1" s="1"/>
  <c r="K35" i="4"/>
  <c r="E9" i="1" s="1"/>
  <c r="F27" i="38" l="1"/>
  <c r="G27" i="38" s="1"/>
  <c r="L27" i="38" s="1"/>
  <c r="K27" i="38"/>
  <c r="M26" i="38"/>
  <c r="F28" i="38"/>
  <c r="G28" i="38" s="1"/>
  <c r="M29" i="10"/>
  <c r="F29" i="38" l="1"/>
  <c r="L28" i="38"/>
  <c r="K28" i="38"/>
  <c r="M27" i="38"/>
  <c r="G29" i="38"/>
  <c r="F30" i="38" l="1"/>
  <c r="L29" i="38"/>
  <c r="K29" i="38"/>
  <c r="M28" i="38"/>
  <c r="G30" i="38"/>
  <c r="F31" i="38" l="1"/>
  <c r="L30" i="38"/>
  <c r="K30" i="38"/>
  <c r="M29" i="38"/>
  <c r="K31" i="38" l="1"/>
  <c r="M30" i="38"/>
  <c r="G31" i="38"/>
  <c r="F32" i="38" l="1"/>
  <c r="L31" i="38"/>
  <c r="K32" i="38"/>
  <c r="M31" i="38"/>
  <c r="G32" i="38"/>
  <c r="L32" i="38" s="1"/>
  <c r="K33" i="38" l="1"/>
  <c r="M32" i="38"/>
  <c r="F33" i="38"/>
  <c r="G33" i="38" s="1"/>
  <c r="L33" i="38" s="1"/>
  <c r="K34" i="38" l="1"/>
  <c r="M33" i="38"/>
  <c r="K35" i="38" l="1"/>
  <c r="M34" i="38"/>
  <c r="F34" i="38"/>
  <c r="G34" i="38" s="1"/>
  <c r="F35" i="38" l="1"/>
  <c r="G35" i="38" s="1"/>
  <c r="L34" i="38"/>
  <c r="K36" i="38"/>
  <c r="M35" i="38"/>
  <c r="F36" i="38" l="1"/>
  <c r="G36" i="38" s="1"/>
  <c r="L35" i="38"/>
  <c r="K37" i="38"/>
  <c r="M36" i="38"/>
  <c r="F37" i="38" l="1"/>
  <c r="G37" i="38" s="1"/>
  <c r="L36" i="38"/>
  <c r="M37" i="38"/>
  <c r="K38" i="38"/>
  <c r="L37" i="38" l="1"/>
  <c r="F38" i="38"/>
  <c r="G38" i="38" s="1"/>
  <c r="K39" i="38"/>
  <c r="M38" i="38"/>
  <c r="L38" i="38" l="1"/>
  <c r="F39" i="38"/>
  <c r="G39" i="38" s="1"/>
  <c r="K40" i="38"/>
  <c r="M39" i="38"/>
  <c r="L39" i="38" l="1"/>
  <c r="F40" i="38"/>
  <c r="G40" i="38" s="1"/>
  <c r="K41" i="38"/>
  <c r="M40" i="38"/>
  <c r="F41" i="38" l="1"/>
  <c r="G41" i="38" s="1"/>
  <c r="L40" i="38"/>
  <c r="K42" i="38"/>
  <c r="M41" i="38"/>
  <c r="L41" i="38" l="1"/>
  <c r="F42" i="38"/>
  <c r="G42" i="38" s="1"/>
  <c r="K43" i="38"/>
  <c r="M42" i="38"/>
  <c r="L42" i="38" l="1"/>
  <c r="F43" i="38"/>
  <c r="G43" i="38" s="1"/>
  <c r="K44" i="38"/>
  <c r="M43" i="38"/>
  <c r="F44" i="38" l="1"/>
  <c r="G44" i="38" s="1"/>
  <c r="L43" i="38"/>
  <c r="K45" i="38"/>
  <c r="M44" i="38"/>
  <c r="L44" i="38" l="1"/>
  <c r="F45" i="38"/>
  <c r="G45" i="38" s="1"/>
  <c r="K46" i="38"/>
  <c r="M45" i="38"/>
  <c r="F46" i="38" l="1"/>
  <c r="G46" i="38" s="1"/>
  <c r="L45" i="38"/>
  <c r="K47" i="38"/>
  <c r="M46" i="38"/>
  <c r="L46" i="38" l="1"/>
  <c r="F47" i="38"/>
  <c r="G47" i="38"/>
  <c r="K48" i="38"/>
  <c r="M47" i="38"/>
  <c r="L47" i="38" l="1"/>
  <c r="F48" i="38"/>
  <c r="G48" i="38" s="1"/>
  <c r="K49" i="38"/>
  <c r="M48" i="38"/>
  <c r="F49" i="38" l="1"/>
  <c r="G49" i="38" s="1"/>
  <c r="L48" i="38"/>
  <c r="K50" i="38"/>
  <c r="M49" i="38"/>
  <c r="F50" i="38" l="1"/>
  <c r="G50" i="38" s="1"/>
  <c r="L49" i="38"/>
  <c r="K51" i="38"/>
  <c r="M50" i="38"/>
  <c r="F51" i="38" l="1"/>
  <c r="G51" i="38" s="1"/>
  <c r="L50" i="38"/>
  <c r="K52" i="38"/>
  <c r="M51" i="38"/>
  <c r="L51" i="38" l="1"/>
  <c r="F52" i="38"/>
  <c r="G52" i="38" s="1"/>
  <c r="K53" i="38"/>
  <c r="M52" i="38"/>
  <c r="F53" i="38" l="1"/>
  <c r="G53" i="38" s="1"/>
  <c r="L52" i="38"/>
  <c r="K54" i="38"/>
  <c r="M53" i="38"/>
  <c r="L53" i="38" l="1"/>
  <c r="F54" i="38"/>
  <c r="G54" i="38" s="1"/>
  <c r="K55" i="38"/>
  <c r="M54" i="38"/>
  <c r="L54" i="38" l="1"/>
  <c r="F55" i="38"/>
  <c r="G55" i="38" s="1"/>
  <c r="K56" i="38"/>
  <c r="M55" i="38"/>
  <c r="L55" i="38" l="1"/>
  <c r="F56" i="38"/>
  <c r="G56" i="38"/>
  <c r="K57" i="38"/>
  <c r="M56" i="38"/>
  <c r="L56" i="38" l="1"/>
  <c r="F57" i="38"/>
  <c r="G57" i="38" s="1"/>
  <c r="K58" i="38"/>
  <c r="M57" i="38"/>
  <c r="F58" i="38" l="1"/>
  <c r="G58" i="38" s="1"/>
  <c r="L57" i="38"/>
  <c r="K59" i="38"/>
  <c r="M58" i="38"/>
  <c r="L58" i="38" l="1"/>
  <c r="F59" i="38"/>
  <c r="G59" i="38" s="1"/>
  <c r="K60" i="38"/>
  <c r="M59" i="38"/>
  <c r="F60" i="38" l="1"/>
  <c r="L59" i="38"/>
  <c r="G60" i="38"/>
  <c r="K61" i="38"/>
  <c r="M60" i="38"/>
  <c r="F61" i="38" l="1"/>
  <c r="G61" i="38" s="1"/>
  <c r="L60" i="38"/>
  <c r="K62" i="38"/>
  <c r="M61" i="38"/>
  <c r="F62" i="38" l="1"/>
  <c r="G62" i="38" s="1"/>
  <c r="L61" i="38"/>
  <c r="K63" i="38"/>
  <c r="M62" i="38"/>
  <c r="F63" i="38" l="1"/>
  <c r="G63" i="38" s="1"/>
  <c r="L62" i="38"/>
  <c r="K64" i="38"/>
  <c r="M63" i="38"/>
  <c r="F64" i="38" l="1"/>
  <c r="G64" i="38" s="1"/>
  <c r="L63" i="38"/>
  <c r="K65" i="38"/>
  <c r="M64" i="38"/>
  <c r="L64" i="38" l="1"/>
  <c r="F65" i="38"/>
  <c r="G65" i="38" s="1"/>
  <c r="K66" i="38"/>
  <c r="M65" i="38"/>
  <c r="L65" i="38" l="1"/>
  <c r="F66" i="38"/>
  <c r="G66" i="38" s="1"/>
  <c r="K67" i="38"/>
  <c r="M66" i="38"/>
  <c r="L66" i="38" l="1"/>
  <c r="F67" i="38"/>
  <c r="G67" i="38" s="1"/>
  <c r="K68" i="38"/>
  <c r="M67" i="38"/>
  <c r="L67" i="38" l="1"/>
  <c r="F68" i="38"/>
  <c r="G68" i="38"/>
  <c r="K69" i="38"/>
  <c r="M68" i="38"/>
  <c r="L68" i="38" l="1"/>
  <c r="F69" i="38"/>
  <c r="G69" i="38"/>
  <c r="K70" i="38"/>
  <c r="M69" i="38"/>
  <c r="F70" i="38" l="1"/>
  <c r="G70" i="38" s="1"/>
  <c r="L69" i="38"/>
  <c r="K71" i="38"/>
  <c r="M70" i="38"/>
  <c r="L70" i="38" l="1"/>
  <c r="F71" i="38"/>
  <c r="G71" i="38" s="1"/>
  <c r="K72" i="38"/>
  <c r="M71" i="38"/>
  <c r="F72" i="38" l="1"/>
  <c r="G72" i="38" s="1"/>
  <c r="L71" i="38"/>
  <c r="K73" i="38"/>
  <c r="M72" i="38"/>
  <c r="L72" i="38" l="1"/>
  <c r="F73" i="38"/>
  <c r="G73" i="38" s="1"/>
  <c r="K74" i="38"/>
  <c r="M73" i="38"/>
  <c r="F74" i="38" l="1"/>
  <c r="G74" i="38" s="1"/>
  <c r="L73" i="38"/>
  <c r="K75" i="38"/>
  <c r="M74" i="38"/>
  <c r="L74" i="38" l="1"/>
  <c r="F75" i="38"/>
  <c r="G75" i="38" s="1"/>
  <c r="K76" i="38"/>
  <c r="M75" i="38"/>
  <c r="F76" i="38" l="1"/>
  <c r="G76" i="38" s="1"/>
  <c r="L75" i="38"/>
  <c r="K77" i="38"/>
  <c r="M76" i="38"/>
  <c r="L76" i="38" l="1"/>
  <c r="F77" i="38"/>
  <c r="G77" i="38" s="1"/>
  <c r="K78" i="38"/>
  <c r="M77" i="38"/>
  <c r="L77" i="38" l="1"/>
  <c r="F78" i="38"/>
  <c r="G78" i="38" s="1"/>
  <c r="K79" i="38"/>
  <c r="M78" i="38"/>
  <c r="L78" i="38" l="1"/>
  <c r="F79" i="38"/>
  <c r="G79" i="38" s="1"/>
  <c r="K80" i="38"/>
  <c r="M79" i="38"/>
  <c r="F80" i="38" l="1"/>
  <c r="G80" i="38" s="1"/>
  <c r="L79" i="38"/>
  <c r="K81" i="38"/>
  <c r="M80" i="38"/>
  <c r="L80" i="38" l="1"/>
  <c r="F81" i="38"/>
  <c r="G81" i="38" s="1"/>
  <c r="K82" i="38"/>
  <c r="M81" i="38"/>
  <c r="L81" i="38" l="1"/>
  <c r="F82" i="38"/>
  <c r="G82" i="38" s="1"/>
  <c r="K83" i="38"/>
  <c r="M82" i="38"/>
  <c r="F83" i="38" l="1"/>
  <c r="G83" i="38" s="1"/>
  <c r="L82" i="38"/>
  <c r="K84" i="38"/>
  <c r="M83" i="38"/>
  <c r="F84" i="38" l="1"/>
  <c r="G84" i="38" s="1"/>
  <c r="L83" i="38"/>
  <c r="K85" i="38"/>
  <c r="M84" i="38"/>
  <c r="F85" i="38" l="1"/>
  <c r="G85" i="38" s="1"/>
  <c r="L84" i="38"/>
  <c r="K86" i="38"/>
  <c r="M85" i="38"/>
  <c r="F86" i="38" l="1"/>
  <c r="G86" i="38" s="1"/>
  <c r="L85" i="38"/>
  <c r="K87" i="38"/>
  <c r="M86" i="38"/>
  <c r="F87" i="38" l="1"/>
  <c r="G87" i="38" s="1"/>
  <c r="L86" i="38"/>
  <c r="K88" i="38"/>
  <c r="M87" i="38"/>
  <c r="F88" i="38" l="1"/>
  <c r="G88" i="38" s="1"/>
  <c r="L87" i="38"/>
  <c r="K89" i="38"/>
  <c r="M88" i="38"/>
  <c r="F89" i="38" l="1"/>
  <c r="G89" i="38" s="1"/>
  <c r="L88" i="38"/>
  <c r="K90" i="38"/>
  <c r="M89" i="38"/>
  <c r="L89" i="38" l="1"/>
  <c r="F90" i="38"/>
  <c r="G90" i="38" s="1"/>
  <c r="K91" i="38"/>
  <c r="M90" i="38"/>
  <c r="F91" i="38" l="1"/>
  <c r="G91" i="38" s="1"/>
  <c r="L90" i="38"/>
  <c r="K92" i="38"/>
  <c r="M91" i="38"/>
  <c r="L91" i="38" l="1"/>
  <c r="F92" i="38"/>
  <c r="G92" i="38" s="1"/>
  <c r="K93" i="38"/>
  <c r="M92" i="38"/>
  <c r="F93" i="38" l="1"/>
  <c r="G93" i="38" s="1"/>
  <c r="L92" i="38"/>
  <c r="K94" i="38"/>
  <c r="M93" i="38"/>
  <c r="F94" i="38" l="1"/>
  <c r="G94" i="38" s="1"/>
  <c r="L93" i="38"/>
  <c r="K95" i="38"/>
  <c r="M94" i="38"/>
  <c r="F95" i="38" l="1"/>
  <c r="G95" i="38" s="1"/>
  <c r="L94" i="38"/>
  <c r="K96" i="38"/>
  <c r="M95" i="38"/>
  <c r="F96" i="38" l="1"/>
  <c r="G96" i="38" s="1"/>
  <c r="L95" i="38"/>
  <c r="K97" i="38"/>
  <c r="M96" i="38"/>
  <c r="F97" i="38" l="1"/>
  <c r="G97" i="38" s="1"/>
  <c r="L96" i="38"/>
  <c r="K98" i="38"/>
  <c r="M97" i="38"/>
  <c r="F98" i="38" l="1"/>
  <c r="G98" i="38" s="1"/>
  <c r="L97" i="38"/>
  <c r="K99" i="38"/>
  <c r="M98" i="38"/>
  <c r="L98" i="38" l="1"/>
  <c r="F99" i="38"/>
  <c r="G99" i="38" s="1"/>
  <c r="K100" i="38"/>
  <c r="M99" i="38"/>
  <c r="L99" i="38" l="1"/>
  <c r="F100" i="38"/>
  <c r="G100" i="38" s="1"/>
  <c r="K101" i="38"/>
  <c r="M100" i="38"/>
  <c r="L100" i="38" l="1"/>
  <c r="F101" i="38"/>
  <c r="G101" i="38" s="1"/>
  <c r="K102" i="38"/>
  <c r="M101" i="38"/>
  <c r="F102" i="38" l="1"/>
  <c r="G102" i="38" s="1"/>
  <c r="L101" i="38"/>
  <c r="K103" i="38"/>
  <c r="M102" i="38"/>
  <c r="F103" i="38" l="1"/>
  <c r="G103" i="38" s="1"/>
  <c r="L102" i="38"/>
  <c r="K104" i="38"/>
  <c r="M103" i="38"/>
  <c r="F104" i="38" l="1"/>
  <c r="G104" i="38" s="1"/>
  <c r="L103" i="38"/>
  <c r="K105" i="38"/>
  <c r="M104" i="38"/>
  <c r="L104" i="38" l="1"/>
  <c r="F105" i="38"/>
  <c r="G105" i="38" s="1"/>
  <c r="K106" i="38"/>
  <c r="M105" i="38"/>
  <c r="F106" i="38" l="1"/>
  <c r="G106" i="38" s="1"/>
  <c r="L105" i="38"/>
  <c r="K107" i="38"/>
  <c r="M106" i="38"/>
  <c r="L106" i="38" l="1"/>
  <c r="F107" i="38"/>
  <c r="G107" i="38" s="1"/>
  <c r="K108" i="38"/>
  <c r="M107" i="38"/>
  <c r="L107" i="38" l="1"/>
  <c r="F108" i="38"/>
  <c r="G108" i="38" s="1"/>
  <c r="K109" i="38"/>
  <c r="M108" i="38"/>
  <c r="L108" i="38" l="1"/>
  <c r="F109" i="38"/>
  <c r="G109" i="38" s="1"/>
  <c r="K110" i="38"/>
  <c r="M109" i="38"/>
  <c r="F110" i="38" l="1"/>
  <c r="G110" i="38" s="1"/>
  <c r="L109" i="38"/>
  <c r="K111" i="38"/>
  <c r="M110" i="38"/>
  <c r="F111" i="38" l="1"/>
  <c r="G111" i="38" s="1"/>
  <c r="L110" i="38"/>
  <c r="K112" i="38"/>
  <c r="M111" i="38"/>
  <c r="L111" i="38" l="1"/>
  <c r="F112" i="38"/>
  <c r="G112" i="38" s="1"/>
  <c r="K113" i="38"/>
  <c r="M112" i="38"/>
  <c r="L112" i="38" l="1"/>
  <c r="F113" i="38"/>
  <c r="G113" i="38"/>
  <c r="K114" i="38"/>
  <c r="M113" i="38"/>
  <c r="L113" i="38" l="1"/>
  <c r="F114" i="38"/>
  <c r="G114" i="38" s="1"/>
  <c r="K115" i="38"/>
  <c r="M114" i="38"/>
  <c r="L114" i="38" l="1"/>
  <c r="F115" i="38"/>
  <c r="G115" i="38" s="1"/>
  <c r="K116" i="38"/>
  <c r="M115" i="38"/>
  <c r="L115" i="38" l="1"/>
  <c r="F116" i="38"/>
  <c r="G116" i="38" s="1"/>
  <c r="K117" i="38"/>
  <c r="M116" i="38"/>
  <c r="L116" i="38" l="1"/>
  <c r="F117" i="38"/>
  <c r="G117" i="38" s="1"/>
  <c r="K118" i="38"/>
  <c r="M117" i="38"/>
  <c r="F118" i="38" l="1"/>
  <c r="G118" i="38" s="1"/>
  <c r="L117" i="38"/>
  <c r="K119" i="38"/>
  <c r="M118" i="38"/>
  <c r="F119" i="38" l="1"/>
  <c r="G119" i="38" s="1"/>
  <c r="L118" i="38"/>
  <c r="K120" i="38"/>
  <c r="M119" i="38"/>
  <c r="L119" i="38" l="1"/>
  <c r="F120" i="38"/>
  <c r="G120" i="38" s="1"/>
  <c r="K121" i="38"/>
  <c r="M120" i="38"/>
  <c r="F121" i="38" l="1"/>
  <c r="G121" i="38" s="1"/>
  <c r="L120" i="38"/>
  <c r="K122" i="38"/>
  <c r="M121" i="38"/>
  <c r="L121" i="38" l="1"/>
  <c r="F122" i="38"/>
  <c r="G122" i="38" s="1"/>
  <c r="K123" i="38"/>
  <c r="M122" i="38"/>
  <c r="L122" i="38" l="1"/>
  <c r="F123" i="38"/>
  <c r="G123" i="38" s="1"/>
  <c r="K124" i="38"/>
  <c r="M123" i="38"/>
  <c r="L123" i="38" l="1"/>
  <c r="F124" i="38"/>
  <c r="G124" i="38" s="1"/>
  <c r="K125" i="38"/>
  <c r="M124" i="38"/>
  <c r="F125" i="38" l="1"/>
  <c r="G125" i="38" s="1"/>
  <c r="L124" i="38"/>
  <c r="K126" i="38"/>
  <c r="M125" i="38"/>
  <c r="L125" i="38" l="1"/>
  <c r="F126" i="38"/>
  <c r="G126" i="38" s="1"/>
  <c r="K127" i="38"/>
  <c r="M126" i="38"/>
  <c r="L126" i="38" l="1"/>
  <c r="F127" i="38"/>
  <c r="G127" i="38" s="1"/>
  <c r="K128" i="38"/>
  <c r="M127" i="38"/>
  <c r="L127" i="38" l="1"/>
  <c r="F128" i="38"/>
  <c r="G128" i="38"/>
  <c r="K129" i="38"/>
  <c r="M128" i="38"/>
  <c r="L128" i="38" l="1"/>
  <c r="F129" i="38"/>
  <c r="G129" i="38" s="1"/>
  <c r="K130" i="38"/>
  <c r="M129" i="38"/>
  <c r="L129" i="38" l="1"/>
  <c r="F130" i="38"/>
  <c r="G130" i="38"/>
  <c r="K131" i="38"/>
  <c r="M130" i="38"/>
  <c r="F131" i="38" l="1"/>
  <c r="G131" i="38" s="1"/>
  <c r="L130" i="38"/>
  <c r="K132" i="38"/>
  <c r="M131" i="38"/>
  <c r="F132" i="38" l="1"/>
  <c r="G132" i="38" s="1"/>
  <c r="L131" i="38"/>
  <c r="K133" i="38"/>
  <c r="M132" i="38"/>
  <c r="L132" i="38" l="1"/>
  <c r="F133" i="38"/>
  <c r="G133" i="38" s="1"/>
  <c r="K134" i="38"/>
  <c r="M133" i="38"/>
  <c r="F134" i="38" l="1"/>
  <c r="G134" i="38" s="1"/>
  <c r="L133" i="38"/>
  <c r="K135" i="38"/>
  <c r="M134" i="38"/>
  <c r="F135" i="38" l="1"/>
  <c r="G135" i="38" s="1"/>
  <c r="L134" i="38"/>
  <c r="K136" i="38"/>
  <c r="M135" i="38"/>
  <c r="L135" i="38" l="1"/>
  <c r="F136" i="38"/>
  <c r="G136" i="38" s="1"/>
  <c r="K137" i="38"/>
  <c r="M136" i="38"/>
  <c r="F137" i="38" l="1"/>
  <c r="G137" i="38" s="1"/>
  <c r="L136" i="38"/>
  <c r="K138" i="38"/>
  <c r="M137" i="38"/>
  <c r="L137" i="38" l="1"/>
  <c r="F138" i="38"/>
  <c r="G138" i="38" s="1"/>
  <c r="K139" i="38"/>
  <c r="M138" i="38"/>
  <c r="L138" i="38" l="1"/>
  <c r="F139" i="38"/>
  <c r="G139" i="38" s="1"/>
  <c r="K140" i="38"/>
  <c r="M139" i="38"/>
  <c r="L139" i="38" l="1"/>
  <c r="F140" i="38"/>
  <c r="G140" i="38" s="1"/>
  <c r="K141" i="38"/>
  <c r="M140" i="38"/>
  <c r="L140" i="38" l="1"/>
  <c r="F141" i="38"/>
  <c r="G141" i="38"/>
  <c r="K142" i="38"/>
  <c r="M141" i="38"/>
  <c r="L141" i="38" l="1"/>
  <c r="F142" i="38"/>
  <c r="G142" i="38" s="1"/>
  <c r="M142" i="38"/>
  <c r="K143" i="38"/>
  <c r="L142" i="38" l="1"/>
  <c r="F143" i="38"/>
  <c r="G143" i="38" s="1"/>
  <c r="K144" i="38"/>
  <c r="M143" i="38"/>
  <c r="F144" i="38" l="1"/>
  <c r="G144" i="38" s="1"/>
  <c r="L143" i="38"/>
  <c r="K145" i="38"/>
  <c r="M144" i="38"/>
  <c r="L144" i="38" l="1"/>
  <c r="F145" i="38"/>
  <c r="G145" i="38" s="1"/>
  <c r="K146" i="38"/>
  <c r="M145" i="38"/>
  <c r="L145" i="38" l="1"/>
  <c r="F146" i="38"/>
  <c r="G146" i="38"/>
  <c r="K147" i="38"/>
  <c r="M146" i="38"/>
  <c r="L146" i="38" l="1"/>
  <c r="F147" i="38"/>
  <c r="G147" i="38"/>
  <c r="K148" i="38"/>
  <c r="M147" i="38"/>
  <c r="F148" i="38" l="1"/>
  <c r="G148" i="38" s="1"/>
  <c r="L147" i="38"/>
  <c r="K149" i="38"/>
  <c r="M148" i="38"/>
  <c r="L148" i="38" l="1"/>
  <c r="F149" i="38"/>
  <c r="G149" i="38"/>
  <c r="K150" i="38"/>
  <c r="M149" i="38"/>
  <c r="F150" i="38" l="1"/>
  <c r="G150" i="38" s="1"/>
  <c r="L149" i="38"/>
  <c r="K151" i="38"/>
  <c r="M150" i="38"/>
  <c r="F151" i="38" l="1"/>
  <c r="G151" i="38" s="1"/>
  <c r="L150" i="38"/>
  <c r="K152" i="38"/>
  <c r="M151" i="38"/>
  <c r="F152" i="38" l="1"/>
  <c r="G152" i="38" s="1"/>
  <c r="L151" i="38"/>
  <c r="K153" i="38"/>
  <c r="M152" i="38"/>
  <c r="F153" i="38" l="1"/>
  <c r="G153" i="38" s="1"/>
  <c r="L152" i="38"/>
  <c r="K154" i="38"/>
  <c r="M153" i="38"/>
  <c r="F154" i="38" l="1"/>
  <c r="G154" i="38" s="1"/>
  <c r="L153" i="38"/>
  <c r="K155" i="38"/>
  <c r="M154" i="38"/>
  <c r="F155" i="38" l="1"/>
  <c r="G155" i="38" s="1"/>
  <c r="L154" i="38"/>
  <c r="K156" i="38"/>
  <c r="M155" i="38"/>
  <c r="L155" i="38" l="1"/>
  <c r="F156" i="38"/>
  <c r="G156" i="38" s="1"/>
  <c r="K157" i="38"/>
  <c r="M156" i="38"/>
  <c r="F157" i="38" l="1"/>
  <c r="G157" i="38" s="1"/>
  <c r="L156" i="38"/>
  <c r="K158" i="38"/>
  <c r="M157" i="38"/>
  <c r="F158" i="38" l="1"/>
  <c r="G158" i="38" s="1"/>
  <c r="L157" i="38"/>
  <c r="K159" i="38"/>
  <c r="M158" i="38"/>
  <c r="F159" i="38" l="1"/>
  <c r="G159" i="38" s="1"/>
  <c r="L158" i="38"/>
  <c r="K160" i="38"/>
  <c r="M159" i="38"/>
  <c r="F160" i="38" l="1"/>
  <c r="G160" i="38" s="1"/>
  <c r="L159" i="38"/>
  <c r="K161" i="38"/>
  <c r="M160" i="38"/>
  <c r="F161" i="38" l="1"/>
  <c r="G161" i="38" s="1"/>
  <c r="L160" i="38"/>
  <c r="K162" i="38"/>
  <c r="M161" i="38"/>
  <c r="F162" i="38" l="1"/>
  <c r="G162" i="38" s="1"/>
  <c r="L161" i="38"/>
  <c r="K163" i="38"/>
  <c r="M162" i="38"/>
  <c r="F163" i="38" l="1"/>
  <c r="G163" i="38" s="1"/>
  <c r="L162" i="38"/>
  <c r="K164" i="38"/>
  <c r="M163" i="38"/>
  <c r="L163" i="38" l="1"/>
  <c r="F164" i="38"/>
  <c r="G164" i="38" s="1"/>
  <c r="K165" i="38"/>
  <c r="M164" i="38"/>
  <c r="F165" i="38" l="1"/>
  <c r="G165" i="38" s="1"/>
  <c r="L164" i="38"/>
  <c r="K166" i="38"/>
  <c r="M165" i="38"/>
  <c r="F166" i="38" l="1"/>
  <c r="G166" i="38" s="1"/>
  <c r="L165" i="38"/>
  <c r="K167" i="38"/>
  <c r="M166" i="38"/>
  <c r="F167" i="38" l="1"/>
  <c r="G167" i="38" s="1"/>
  <c r="L166" i="38"/>
  <c r="K168" i="38"/>
  <c r="M167" i="38"/>
  <c r="F168" i="38" l="1"/>
  <c r="G168" i="38" s="1"/>
  <c r="L167" i="38"/>
  <c r="K169" i="38"/>
  <c r="M168" i="38"/>
  <c r="F169" i="38" l="1"/>
  <c r="G169" i="38" s="1"/>
  <c r="L168" i="38"/>
  <c r="K170" i="38"/>
  <c r="M169" i="38"/>
  <c r="F170" i="38" l="1"/>
  <c r="G170" i="38" s="1"/>
  <c r="L169" i="38"/>
  <c r="K171" i="38"/>
  <c r="M170" i="38"/>
  <c r="F171" i="38" l="1"/>
  <c r="G171" i="38" s="1"/>
  <c r="L170" i="38"/>
  <c r="K172" i="38"/>
  <c r="M171" i="38"/>
  <c r="L171" i="38" l="1"/>
  <c r="F172" i="38"/>
  <c r="G172" i="38" s="1"/>
  <c r="K173" i="38"/>
  <c r="M172" i="38"/>
  <c r="F173" i="38" l="1"/>
  <c r="G173" i="38" s="1"/>
  <c r="L172" i="38"/>
  <c r="K174" i="38"/>
  <c r="M173" i="38"/>
  <c r="F174" i="38" l="1"/>
  <c r="G174" i="38" s="1"/>
  <c r="L173" i="38"/>
  <c r="K175" i="38"/>
  <c r="M174" i="38"/>
  <c r="L174" i="38" l="1"/>
  <c r="F175" i="38"/>
  <c r="G175" i="38" s="1"/>
  <c r="K176" i="38"/>
  <c r="M175" i="38"/>
  <c r="L175" i="38" l="1"/>
  <c r="F176" i="38"/>
  <c r="G176" i="38" s="1"/>
  <c r="K177" i="38"/>
  <c r="M176" i="38"/>
  <c r="F177" i="38" l="1"/>
  <c r="G177" i="38" s="1"/>
  <c r="L176" i="38"/>
  <c r="K178" i="38"/>
  <c r="M177" i="38"/>
  <c r="F178" i="38" l="1"/>
  <c r="G178" i="38" s="1"/>
  <c r="L177" i="38"/>
  <c r="K179" i="38"/>
  <c r="M178" i="38"/>
  <c r="F179" i="38" l="1"/>
  <c r="G179" i="38" s="1"/>
  <c r="L178" i="38"/>
  <c r="K180" i="38"/>
  <c r="M179" i="38"/>
  <c r="F180" i="38" l="1"/>
  <c r="G180" i="38" s="1"/>
  <c r="L179" i="38"/>
  <c r="K181" i="38"/>
  <c r="M180" i="38"/>
  <c r="L180" i="38" l="1"/>
  <c r="F181" i="38"/>
  <c r="G181" i="38" s="1"/>
  <c r="K182" i="38"/>
  <c r="M181" i="38"/>
  <c r="L181" i="38" l="1"/>
  <c r="F182" i="38"/>
  <c r="G182" i="38"/>
  <c r="K183" i="38"/>
  <c r="M182" i="38"/>
  <c r="F183" i="38" l="1"/>
  <c r="G183" i="38" s="1"/>
  <c r="L182" i="38"/>
  <c r="K184" i="38"/>
  <c r="M183" i="38"/>
  <c r="L183" i="38" l="1"/>
  <c r="F184" i="38"/>
  <c r="G184" i="38" s="1"/>
  <c r="K185" i="38"/>
  <c r="M184" i="38"/>
  <c r="L184" i="38" l="1"/>
  <c r="F185" i="38"/>
  <c r="G185" i="38" s="1"/>
  <c r="K186" i="38"/>
  <c r="M185" i="38"/>
  <c r="F186" i="38" l="1"/>
  <c r="G186" i="38" s="1"/>
  <c r="L185" i="38"/>
  <c r="K187" i="38"/>
  <c r="M186" i="38"/>
  <c r="L186" i="38" l="1"/>
  <c r="F187" i="38"/>
  <c r="G187" i="38"/>
  <c r="K188" i="38"/>
  <c r="M187" i="38"/>
  <c r="F188" i="38" l="1"/>
  <c r="G188" i="38" s="1"/>
  <c r="L187" i="38"/>
  <c r="K189" i="38"/>
  <c r="M188" i="38"/>
  <c r="L188" i="38" l="1"/>
  <c r="F189" i="38"/>
  <c r="G189" i="38" s="1"/>
  <c r="K190" i="38"/>
  <c r="M189" i="38"/>
  <c r="L189" i="38" l="1"/>
  <c r="F190" i="38"/>
  <c r="G190" i="38" s="1"/>
  <c r="K191" i="38"/>
  <c r="M190" i="38"/>
  <c r="L190" i="38" l="1"/>
  <c r="F191" i="38"/>
  <c r="G191" i="38" s="1"/>
  <c r="K192" i="38"/>
  <c r="M191" i="38"/>
  <c r="L191" i="38" l="1"/>
  <c r="F192" i="38"/>
  <c r="G192" i="38"/>
  <c r="K193" i="38"/>
  <c r="M192" i="38"/>
  <c r="L192" i="38" l="1"/>
  <c r="F193" i="38"/>
  <c r="G193" i="38" s="1"/>
  <c r="K194" i="38"/>
  <c r="M193" i="38"/>
  <c r="F194" i="38" l="1"/>
  <c r="G194" i="38" s="1"/>
  <c r="L193" i="38"/>
  <c r="K195" i="38"/>
  <c r="M194" i="38"/>
  <c r="L194" i="38" l="1"/>
  <c r="F195" i="38"/>
  <c r="G195" i="38"/>
  <c r="K196" i="38"/>
  <c r="M195" i="38"/>
  <c r="L195" i="38" l="1"/>
  <c r="F196" i="38"/>
  <c r="G196" i="38"/>
  <c r="K197" i="38"/>
  <c r="M196" i="38"/>
  <c r="L196" i="38" l="1"/>
  <c r="F197" i="38"/>
  <c r="G197" i="38" s="1"/>
  <c r="K198" i="38"/>
  <c r="M197" i="38"/>
  <c r="L197" i="38" l="1"/>
  <c r="F198" i="38"/>
  <c r="G198" i="38" s="1"/>
  <c r="K199" i="38"/>
  <c r="M198" i="38"/>
  <c r="L198" i="38" l="1"/>
  <c r="F199" i="38"/>
  <c r="G199" i="38" s="1"/>
  <c r="K200" i="38"/>
  <c r="M199" i="38"/>
  <c r="F200" i="38" l="1"/>
  <c r="G200" i="38" s="1"/>
  <c r="L199" i="38"/>
  <c r="K201" i="38"/>
  <c r="M200" i="38"/>
  <c r="L200" i="38" l="1"/>
  <c r="F201" i="38"/>
  <c r="G201" i="38" s="1"/>
  <c r="K202" i="38"/>
  <c r="M201" i="38"/>
  <c r="L201" i="38" l="1"/>
  <c r="F202" i="38"/>
  <c r="G202" i="38" s="1"/>
  <c r="K203" i="38"/>
  <c r="M202" i="38"/>
  <c r="L202" i="38" l="1"/>
  <c r="F203" i="38"/>
  <c r="G203" i="38" s="1"/>
  <c r="K204" i="38"/>
  <c r="M203" i="38"/>
  <c r="L203" i="38" l="1"/>
  <c r="F204" i="38"/>
  <c r="G204" i="38" s="1"/>
  <c r="K205" i="38"/>
  <c r="M204" i="38"/>
  <c r="L204" i="38" l="1"/>
  <c r="F205" i="38"/>
  <c r="G205" i="38" s="1"/>
  <c r="K206" i="38"/>
  <c r="M205" i="38"/>
  <c r="L205" i="38" l="1"/>
  <c r="F206" i="38"/>
  <c r="G206" i="38" s="1"/>
  <c r="K207" i="38"/>
  <c r="M206" i="38"/>
  <c r="L206" i="38" l="1"/>
  <c r="F207" i="38"/>
  <c r="G207" i="38" s="1"/>
  <c r="K208" i="38"/>
  <c r="M207" i="38"/>
  <c r="F208" i="38" l="1"/>
  <c r="G208" i="38" s="1"/>
  <c r="L207" i="38"/>
  <c r="K209" i="38"/>
  <c r="M208" i="38"/>
  <c r="L208" i="38" l="1"/>
  <c r="F209" i="38"/>
  <c r="G209" i="38" s="1"/>
  <c r="K210" i="38"/>
  <c r="M209" i="38"/>
  <c r="L209" i="38" l="1"/>
  <c r="F210" i="38"/>
  <c r="G210" i="38" s="1"/>
  <c r="K211" i="38"/>
  <c r="M210" i="38"/>
  <c r="L210" i="38" l="1"/>
  <c r="F211" i="38"/>
  <c r="G211" i="38" s="1"/>
  <c r="K212" i="38"/>
  <c r="M211" i="38"/>
  <c r="L211" i="38" l="1"/>
  <c r="F212" i="38"/>
  <c r="G212" i="38" s="1"/>
  <c r="K213" i="38"/>
  <c r="M212" i="38"/>
  <c r="L212" i="38" l="1"/>
  <c r="F213" i="38"/>
  <c r="G213" i="38" s="1"/>
  <c r="K214" i="38"/>
  <c r="M213" i="38"/>
  <c r="L213" i="38" l="1"/>
  <c r="F214" i="38"/>
  <c r="G214" i="38" s="1"/>
  <c r="K215" i="38"/>
  <c r="M214" i="38"/>
  <c r="L214" i="38" l="1"/>
  <c r="F215" i="38"/>
  <c r="G215" i="38" s="1"/>
  <c r="K216" i="38"/>
  <c r="M215" i="38"/>
  <c r="F216" i="38" l="1"/>
  <c r="G216" i="38" s="1"/>
  <c r="L215" i="38"/>
  <c r="K217" i="38"/>
  <c r="M216" i="38"/>
  <c r="L216" i="38" l="1"/>
  <c r="F217" i="38"/>
  <c r="G217" i="38" s="1"/>
  <c r="K218" i="38"/>
  <c r="M217" i="38"/>
  <c r="L217" i="38" l="1"/>
  <c r="F218" i="38"/>
  <c r="G218" i="38"/>
  <c r="K219" i="38"/>
  <c r="M218" i="38"/>
  <c r="L218" i="38" l="1"/>
  <c r="F219" i="38"/>
  <c r="G219" i="38" s="1"/>
  <c r="K220" i="38"/>
  <c r="M219" i="38"/>
  <c r="L219" i="38" l="1"/>
  <c r="F220" i="38"/>
  <c r="G220" i="38" s="1"/>
  <c r="K221" i="38"/>
  <c r="M220" i="38"/>
  <c r="L220" i="38" l="1"/>
  <c r="F221" i="38"/>
  <c r="K222" i="38"/>
  <c r="M221" i="38"/>
  <c r="G221" i="38" l="1"/>
  <c r="K223" i="38"/>
  <c r="M222" i="38"/>
  <c r="F222" i="38" l="1"/>
  <c r="L221" i="38"/>
  <c r="K224" i="38"/>
  <c r="M223" i="38"/>
  <c r="G222" i="38" l="1"/>
  <c r="K225" i="38"/>
  <c r="M224" i="38"/>
  <c r="L222" i="38" l="1"/>
  <c r="F223" i="38"/>
  <c r="K226" i="38"/>
  <c r="M225" i="38"/>
  <c r="G223" i="38" l="1"/>
  <c r="K227" i="38"/>
  <c r="M226" i="38"/>
  <c r="F224" i="38" l="1"/>
  <c r="L223" i="38"/>
  <c r="K228" i="38"/>
  <c r="M227" i="38"/>
  <c r="G224" i="38" l="1"/>
  <c r="K229" i="38"/>
  <c r="M228" i="38"/>
  <c r="L224" i="38" l="1"/>
  <c r="F225" i="38"/>
  <c r="G225" i="38"/>
  <c r="K230" i="38"/>
  <c r="M229" i="38"/>
  <c r="L225" i="38" l="1"/>
  <c r="F226" i="38"/>
  <c r="G226" i="38" s="1"/>
  <c r="K231" i="38"/>
  <c r="M230" i="38"/>
  <c r="L226" i="38" l="1"/>
  <c r="F227" i="38"/>
  <c r="G227" i="38" s="1"/>
  <c r="K232" i="38"/>
  <c r="M231" i="38"/>
  <c r="F228" i="38" l="1"/>
  <c r="G228" i="38" s="1"/>
  <c r="L227" i="38"/>
  <c r="K233" i="38"/>
  <c r="M232" i="38"/>
  <c r="L228" i="38" l="1"/>
  <c r="F229" i="38"/>
  <c r="G229" i="38" s="1"/>
  <c r="K234" i="38"/>
  <c r="M233" i="38"/>
  <c r="L229" i="38" l="1"/>
  <c r="F230" i="38"/>
  <c r="G230" i="38" s="1"/>
  <c r="K235" i="38"/>
  <c r="M234" i="38"/>
  <c r="L230" i="38" l="1"/>
  <c r="F231" i="38"/>
  <c r="G231" i="38"/>
  <c r="K236" i="38"/>
  <c r="M235" i="38"/>
  <c r="F232" i="38" l="1"/>
  <c r="G232" i="38" s="1"/>
  <c r="L231" i="38"/>
  <c r="K237" i="38"/>
  <c r="M236" i="38"/>
  <c r="L232" i="38" l="1"/>
  <c r="F233" i="38"/>
  <c r="G233" i="38" s="1"/>
  <c r="K238" i="38"/>
  <c r="M237" i="38"/>
  <c r="F234" i="38" l="1"/>
  <c r="G234" i="38" s="1"/>
  <c r="L233" i="38"/>
  <c r="K239" i="38"/>
  <c r="M238" i="38"/>
  <c r="AC31" i="4"/>
  <c r="AC30" i="4"/>
  <c r="AC29" i="4"/>
  <c r="AC28" i="4"/>
  <c r="AC27" i="4"/>
  <c r="AC26" i="4"/>
  <c r="AC25" i="4"/>
  <c r="AC24" i="4"/>
  <c r="AC23" i="4"/>
  <c r="AC22" i="4"/>
  <c r="AC21" i="4"/>
  <c r="AC20" i="4"/>
  <c r="AC19" i="4"/>
  <c r="AC18" i="4"/>
  <c r="AC17" i="4"/>
  <c r="AC16" i="4"/>
  <c r="AC13" i="4"/>
  <c r="AC34" i="4" s="1"/>
  <c r="AC14" i="4"/>
  <c r="AT31" i="4"/>
  <c r="AT30" i="4"/>
  <c r="AT29" i="4"/>
  <c r="AT28" i="4"/>
  <c r="AT27" i="4"/>
  <c r="AT26" i="4"/>
  <c r="AT25" i="4"/>
  <c r="AT24" i="4"/>
  <c r="AT23" i="4"/>
  <c r="AT22" i="4"/>
  <c r="AT21" i="4"/>
  <c r="AT20" i="4"/>
  <c r="AT19" i="4"/>
  <c r="AT18" i="4"/>
  <c r="AT17" i="4"/>
  <c r="AT16" i="4"/>
  <c r="AT13" i="4"/>
  <c r="AT34" i="4" s="1"/>
  <c r="AT14" i="4"/>
  <c r="L234" i="38" l="1"/>
  <c r="F235" i="38"/>
  <c r="G235" i="38" s="1"/>
  <c r="K240" i="38"/>
  <c r="M239" i="38"/>
  <c r="AT32" i="4"/>
  <c r="AT37" i="4"/>
  <c r="E25" i="1" s="1"/>
  <c r="AT35" i="4"/>
  <c r="E23" i="1" s="1"/>
  <c r="AT38" i="4"/>
  <c r="E26" i="1" s="1"/>
  <c r="AT36" i="4"/>
  <c r="E24" i="1" s="1"/>
  <c r="E22" i="1"/>
  <c r="AC32" i="4"/>
  <c r="AC37" i="4"/>
  <c r="E18" i="1" s="1"/>
  <c r="AC35" i="4"/>
  <c r="E16" i="1" s="1"/>
  <c r="AC38" i="4"/>
  <c r="E19" i="1" s="1"/>
  <c r="AC36" i="4"/>
  <c r="E17" i="1" s="1"/>
  <c r="E15" i="1"/>
  <c r="L235" i="38" l="1"/>
  <c r="F236" i="38"/>
  <c r="G236" i="38" s="1"/>
  <c r="K241" i="38"/>
  <c r="M240" i="38"/>
  <c r="L236" i="38" l="1"/>
  <c r="F237" i="38"/>
  <c r="G237" i="38" s="1"/>
  <c r="K242" i="38"/>
  <c r="M241" i="38"/>
  <c r="H3" i="27"/>
  <c r="E3" i="27"/>
  <c r="A4" i="27"/>
  <c r="A3" i="27"/>
  <c r="G3" i="31"/>
  <c r="D3" i="31"/>
  <c r="A4" i="31"/>
  <c r="A3" i="31"/>
  <c r="F238" i="38" l="1"/>
  <c r="G238" i="38" s="1"/>
  <c r="L237" i="38"/>
  <c r="K243" i="38"/>
  <c r="M242" i="38"/>
  <c r="L238" i="38" l="1"/>
  <c r="F239" i="38"/>
  <c r="G239" i="38" s="1"/>
  <c r="K244" i="38"/>
  <c r="M243" i="38"/>
  <c r="F240" i="38" l="1"/>
  <c r="G240" i="38" s="1"/>
  <c r="L239" i="38"/>
  <c r="K245" i="38"/>
  <c r="M244" i="38"/>
  <c r="I30" i="10"/>
  <c r="J30" i="10"/>
  <c r="K30" i="10"/>
  <c r="L30" i="10"/>
  <c r="F241" i="38" l="1"/>
  <c r="G241" i="38" s="1"/>
  <c r="L240" i="38"/>
  <c r="K246" i="38"/>
  <c r="M245" i="38"/>
  <c r="I22" i="27"/>
  <c r="L241" i="38" l="1"/>
  <c r="F242" i="38"/>
  <c r="G242" i="38" s="1"/>
  <c r="K247" i="38"/>
  <c r="M246" i="38"/>
  <c r="F243" i="38" l="1"/>
  <c r="G243" i="38" s="1"/>
  <c r="L242" i="38"/>
  <c r="K248" i="38"/>
  <c r="M247" i="38"/>
  <c r="G11" i="27"/>
  <c r="H11" i="27" s="1"/>
  <c r="G12" i="27"/>
  <c r="H12" i="27" s="1"/>
  <c r="J12" i="27" s="1"/>
  <c r="G13" i="27"/>
  <c r="H13" i="27" s="1"/>
  <c r="J13" i="27" s="1"/>
  <c r="G14" i="27"/>
  <c r="H14" i="27" s="1"/>
  <c r="J14" i="27" s="1"/>
  <c r="G15" i="27"/>
  <c r="H15" i="27" s="1"/>
  <c r="J15" i="27" s="1"/>
  <c r="G16" i="27"/>
  <c r="H16" i="27" s="1"/>
  <c r="J16" i="27" s="1"/>
  <c r="G17" i="27"/>
  <c r="H17" i="27" s="1"/>
  <c r="J17" i="27" s="1"/>
  <c r="G18" i="27"/>
  <c r="H18" i="27" s="1"/>
  <c r="J18" i="27" s="1"/>
  <c r="G19" i="27"/>
  <c r="H19" i="27" s="1"/>
  <c r="J19" i="27" s="1"/>
  <c r="G20" i="27"/>
  <c r="H20" i="27" s="1"/>
  <c r="J20" i="27" s="1"/>
  <c r="G21" i="27"/>
  <c r="H21" i="27" s="1"/>
  <c r="J21" i="27" s="1"/>
  <c r="H13" i="31"/>
  <c r="G13" i="31"/>
  <c r="F13" i="31"/>
  <c r="E13" i="31"/>
  <c r="D13" i="31"/>
  <c r="I12" i="31"/>
  <c r="I11" i="31"/>
  <c r="I10" i="31"/>
  <c r="I9" i="31"/>
  <c r="F244" i="38" l="1"/>
  <c r="G244" i="38" s="1"/>
  <c r="L243" i="38"/>
  <c r="K249" i="38"/>
  <c r="M248" i="38"/>
  <c r="J11" i="27"/>
  <c r="J22" i="27" s="1"/>
  <c r="H22" i="27"/>
  <c r="I13" i="31"/>
  <c r="F245" i="38" l="1"/>
  <c r="G245" i="38" s="1"/>
  <c r="L244" i="38"/>
  <c r="K250" i="38"/>
  <c r="M249" i="38"/>
  <c r="M25" i="12"/>
  <c r="N25" i="12" s="1"/>
  <c r="O25" i="12"/>
  <c r="Q25" i="12" s="1"/>
  <c r="R25" i="12"/>
  <c r="M26" i="12"/>
  <c r="N26" i="12" s="1"/>
  <c r="O26" i="12"/>
  <c r="Q26" i="12" s="1"/>
  <c r="R26" i="12"/>
  <c r="M27" i="12"/>
  <c r="N27" i="12" s="1"/>
  <c r="O27" i="12"/>
  <c r="Q27" i="12" s="1"/>
  <c r="R27" i="12"/>
  <c r="M28" i="12"/>
  <c r="N28" i="12" s="1"/>
  <c r="O28" i="12"/>
  <c r="Q28" i="12" s="1"/>
  <c r="R28" i="12"/>
  <c r="J10" i="11"/>
  <c r="N10" i="11" s="1"/>
  <c r="K10" i="11"/>
  <c r="L10" i="11" s="1"/>
  <c r="J11" i="11"/>
  <c r="N11" i="11" s="1"/>
  <c r="K11" i="11"/>
  <c r="M11" i="11" s="1"/>
  <c r="J12" i="11"/>
  <c r="N12" i="11" s="1"/>
  <c r="K12" i="11"/>
  <c r="L12" i="11" s="1"/>
  <c r="J13" i="11"/>
  <c r="N13" i="11" s="1"/>
  <c r="K13" i="11"/>
  <c r="L13" i="11" s="1"/>
  <c r="J14" i="11"/>
  <c r="N14" i="11" s="1"/>
  <c r="K14" i="11"/>
  <c r="L14" i="11" s="1"/>
  <c r="J15" i="11"/>
  <c r="N15" i="11" s="1"/>
  <c r="P15" i="11" s="1"/>
  <c r="K15" i="11"/>
  <c r="M15" i="11" s="1"/>
  <c r="J16" i="11"/>
  <c r="N16" i="11" s="1"/>
  <c r="P16" i="11" s="1"/>
  <c r="K16" i="11"/>
  <c r="L16" i="11" s="1"/>
  <c r="J17" i="11"/>
  <c r="N17" i="11" s="1"/>
  <c r="K17" i="11"/>
  <c r="L17" i="11" s="1"/>
  <c r="J18" i="11"/>
  <c r="N18" i="11" s="1"/>
  <c r="K18" i="11"/>
  <c r="L18" i="11" s="1"/>
  <c r="J19" i="11"/>
  <c r="N19" i="11" s="1"/>
  <c r="P19" i="11" s="1"/>
  <c r="K19" i="11"/>
  <c r="M19" i="11" s="1"/>
  <c r="J20" i="11"/>
  <c r="N20" i="11" s="1"/>
  <c r="K20" i="11"/>
  <c r="L20" i="11" s="1"/>
  <c r="J21" i="11"/>
  <c r="N21" i="11" s="1"/>
  <c r="K21" i="11"/>
  <c r="L21" i="11" s="1"/>
  <c r="J22" i="11"/>
  <c r="N22" i="11" s="1"/>
  <c r="P22" i="11" s="1"/>
  <c r="K22" i="11"/>
  <c r="L22" i="11" s="1"/>
  <c r="J23" i="11"/>
  <c r="N23" i="11" s="1"/>
  <c r="P23" i="11" s="1"/>
  <c r="K23" i="11"/>
  <c r="M23" i="11" s="1"/>
  <c r="J24" i="11"/>
  <c r="N24" i="11" s="1"/>
  <c r="P24" i="11" s="1"/>
  <c r="K24" i="11"/>
  <c r="L24" i="11" s="1"/>
  <c r="J25" i="11"/>
  <c r="N25" i="11" s="1"/>
  <c r="K25" i="11"/>
  <c r="L25" i="11" s="1"/>
  <c r="J26" i="11"/>
  <c r="N26" i="11" s="1"/>
  <c r="K26" i="11"/>
  <c r="L26" i="11" s="1"/>
  <c r="J27" i="11"/>
  <c r="N27" i="11" s="1"/>
  <c r="P27" i="11" s="1"/>
  <c r="K27" i="11"/>
  <c r="M27" i="11" s="1"/>
  <c r="J28" i="11"/>
  <c r="N28" i="11" s="1"/>
  <c r="P28" i="11" s="1"/>
  <c r="K28" i="11"/>
  <c r="L28" i="11" s="1"/>
  <c r="M15" i="10"/>
  <c r="M16" i="10"/>
  <c r="M17" i="10"/>
  <c r="N31" i="11" l="1"/>
  <c r="N33" i="11"/>
  <c r="N35" i="11"/>
  <c r="N32" i="11"/>
  <c r="N34" i="11"/>
  <c r="F246" i="38"/>
  <c r="G246" i="38" s="1"/>
  <c r="L245" i="38"/>
  <c r="K251" i="38"/>
  <c r="M250" i="38"/>
  <c r="L23" i="11"/>
  <c r="Q23" i="11" s="1"/>
  <c r="R23" i="11" s="1"/>
  <c r="O11" i="11"/>
  <c r="L15" i="11"/>
  <c r="Q15" i="11" s="1"/>
  <c r="R15" i="11" s="1"/>
  <c r="L27" i="11"/>
  <c r="Q27" i="11" s="1"/>
  <c r="R27" i="11" s="1"/>
  <c r="M26" i="11"/>
  <c r="O26" i="11" s="1"/>
  <c r="L19" i="11"/>
  <c r="Q19" i="11" s="1"/>
  <c r="M18" i="11"/>
  <c r="O18" i="11" s="1"/>
  <c r="M25" i="11"/>
  <c r="O25" i="11" s="1"/>
  <c r="O27" i="11"/>
  <c r="Q22" i="11"/>
  <c r="R22" i="11" s="1"/>
  <c r="M17" i="11"/>
  <c r="O17" i="11" s="1"/>
  <c r="L11" i="11"/>
  <c r="Q11" i="11" s="1"/>
  <c r="R11" i="11" s="1"/>
  <c r="Q10" i="11"/>
  <c r="P10" i="11"/>
  <c r="M10" i="11"/>
  <c r="O10" i="11" s="1"/>
  <c r="M14" i="11"/>
  <c r="O14" i="11" s="1"/>
  <c r="M22" i="11"/>
  <c r="O22" i="11" s="1"/>
  <c r="M21" i="11"/>
  <c r="O21" i="11" s="1"/>
  <c r="M13" i="11"/>
  <c r="O13" i="11" s="1"/>
  <c r="S27" i="12"/>
  <c r="S26" i="12"/>
  <c r="Q14" i="11"/>
  <c r="P27" i="12"/>
  <c r="P26" i="12"/>
  <c r="O19" i="11"/>
  <c r="P14" i="11"/>
  <c r="P11" i="11"/>
  <c r="Q26" i="11"/>
  <c r="R26" i="11" s="1"/>
  <c r="Q18" i="11"/>
  <c r="R18" i="11" s="1"/>
  <c r="P26" i="11"/>
  <c r="O23" i="11"/>
  <c r="P18" i="11"/>
  <c r="O15" i="11"/>
  <c r="P25" i="12"/>
  <c r="P28" i="12"/>
  <c r="S28" i="12"/>
  <c r="S25" i="12"/>
  <c r="P20" i="11"/>
  <c r="Q20" i="11"/>
  <c r="R20" i="11" s="1"/>
  <c r="P21" i="11"/>
  <c r="Q21" i="11"/>
  <c r="R21" i="11" s="1"/>
  <c r="P12" i="11"/>
  <c r="Q12" i="11"/>
  <c r="R12" i="11" s="1"/>
  <c r="Q25" i="11"/>
  <c r="R25" i="11" s="1"/>
  <c r="Q17" i="11"/>
  <c r="R17" i="11" s="1"/>
  <c r="Q13" i="11"/>
  <c r="R13" i="11" s="1"/>
  <c r="Q28" i="11"/>
  <c r="R28" i="11" s="1"/>
  <c r="M28" i="11"/>
  <c r="O28" i="11" s="1"/>
  <c r="P25" i="11"/>
  <c r="Q24" i="11"/>
  <c r="M24" i="11"/>
  <c r="O24" i="11" s="1"/>
  <c r="M20" i="11"/>
  <c r="O20" i="11" s="1"/>
  <c r="P17" i="11"/>
  <c r="Q16" i="11"/>
  <c r="R16" i="11" s="1"/>
  <c r="M16" i="11"/>
  <c r="O16" i="11" s="1"/>
  <c r="P13" i="11"/>
  <c r="M12" i="11"/>
  <c r="O12" i="11" s="1"/>
  <c r="R10" i="11" l="1"/>
  <c r="P34" i="11"/>
  <c r="P31" i="11"/>
  <c r="P33" i="11"/>
  <c r="P35" i="11"/>
  <c r="P32" i="11"/>
  <c r="L246" i="38"/>
  <c r="F247" i="38"/>
  <c r="G247" i="38" s="1"/>
  <c r="K252" i="38"/>
  <c r="M251" i="38"/>
  <c r="K11" i="29"/>
  <c r="M11" i="29" s="1"/>
  <c r="K12" i="29"/>
  <c r="M12" i="29" s="1"/>
  <c r="K13" i="29"/>
  <c r="M13" i="29" s="1"/>
  <c r="K14" i="29"/>
  <c r="M14" i="29" s="1"/>
  <c r="K15" i="29"/>
  <c r="M15" i="29" s="1"/>
  <c r="K16" i="29"/>
  <c r="M16" i="29" s="1"/>
  <c r="K17" i="29"/>
  <c r="M17" i="29" s="1"/>
  <c r="A4" i="29"/>
  <c r="K3" i="29"/>
  <c r="E3" i="29"/>
  <c r="A3" i="29"/>
  <c r="F248" i="38" l="1"/>
  <c r="G248" i="38" s="1"/>
  <c r="L247" i="38"/>
  <c r="K253" i="38"/>
  <c r="M252" i="38"/>
  <c r="G22" i="1"/>
  <c r="F249" i="38" l="1"/>
  <c r="G249" i="38" s="1"/>
  <c r="L248" i="38"/>
  <c r="K254" i="38"/>
  <c r="M253" i="38"/>
  <c r="D26" i="1"/>
  <c r="D19" i="1"/>
  <c r="D25" i="1"/>
  <c r="D18" i="1"/>
  <c r="D24" i="1"/>
  <c r="D17" i="1"/>
  <c r="D23" i="1"/>
  <c r="D16" i="1"/>
  <c r="F250" i="38" l="1"/>
  <c r="G250" i="38" s="1"/>
  <c r="L249" i="38"/>
  <c r="K255" i="38"/>
  <c r="M254" i="38"/>
  <c r="G25" i="1"/>
  <c r="G24" i="1"/>
  <c r="G26" i="1"/>
  <c r="BE21" i="4"/>
  <c r="BE17" i="4"/>
  <c r="BE14" i="4"/>
  <c r="AM28" i="4"/>
  <c r="BD29" i="4"/>
  <c r="AM30" i="4"/>
  <c r="AM31" i="4"/>
  <c r="BD18" i="4"/>
  <c r="BD19" i="4"/>
  <c r="BD23" i="4"/>
  <c r="BD17" i="4"/>
  <c r="AM18" i="4"/>
  <c r="BE29" i="4"/>
  <c r="BD14" i="4"/>
  <c r="AM17" i="4"/>
  <c r="BE25" i="4"/>
  <c r="BD27" i="4"/>
  <c r="BD31" i="4"/>
  <c r="D10" i="1"/>
  <c r="D11" i="1"/>
  <c r="D12" i="1"/>
  <c r="BE19" i="4"/>
  <c r="AM20" i="4"/>
  <c r="BD21" i="4"/>
  <c r="AM22" i="4"/>
  <c r="BD22" i="4"/>
  <c r="BE23" i="4"/>
  <c r="AM24" i="4"/>
  <c r="BD25" i="4"/>
  <c r="AM26" i="4"/>
  <c r="BD26" i="4"/>
  <c r="BE27" i="4"/>
  <c r="BD30" i="4"/>
  <c r="BE31" i="4"/>
  <c r="BD13" i="4"/>
  <c r="V18" i="4"/>
  <c r="AM19" i="4"/>
  <c r="BD20" i="4"/>
  <c r="AM23" i="4"/>
  <c r="AM27" i="4"/>
  <c r="BD28" i="4"/>
  <c r="D22" i="1"/>
  <c r="V14" i="4"/>
  <c r="D9" i="1"/>
  <c r="V22" i="4"/>
  <c r="AM25" i="4"/>
  <c r="V26" i="4"/>
  <c r="V30" i="4"/>
  <c r="G19" i="1"/>
  <c r="R19" i="11"/>
  <c r="G17" i="1"/>
  <c r="G23" i="1"/>
  <c r="V16" i="4"/>
  <c r="BE13" i="4"/>
  <c r="V13" i="4"/>
  <c r="AM14" i="4"/>
  <c r="BD16" i="4"/>
  <c r="G9" i="1"/>
  <c r="AM13" i="4"/>
  <c r="AM16" i="4"/>
  <c r="BE16" i="4"/>
  <c r="BE18" i="4"/>
  <c r="V20" i="4"/>
  <c r="BE20" i="4"/>
  <c r="AM21" i="4"/>
  <c r="BD24" i="4"/>
  <c r="BE26" i="4"/>
  <c r="V28" i="4"/>
  <c r="BE28" i="4"/>
  <c r="AM29" i="4"/>
  <c r="V17" i="4"/>
  <c r="V23" i="4"/>
  <c r="V25" i="4"/>
  <c r="V31" i="4"/>
  <c r="BE22" i="4"/>
  <c r="V24" i="4"/>
  <c r="BE24" i="4"/>
  <c r="BE30" i="4"/>
  <c r="V19" i="4"/>
  <c r="V21" i="4"/>
  <c r="V27" i="4"/>
  <c r="V29" i="4"/>
  <c r="D22" i="27"/>
  <c r="E22" i="27"/>
  <c r="F22" i="27"/>
  <c r="G22" i="27"/>
  <c r="J3" i="13"/>
  <c r="E3" i="13"/>
  <c r="A3" i="13"/>
  <c r="Q3" i="12"/>
  <c r="A4" i="12"/>
  <c r="E3" i="12"/>
  <c r="A3" i="12"/>
  <c r="A4" i="11"/>
  <c r="L3" i="11"/>
  <c r="E3" i="11"/>
  <c r="A3" i="11"/>
  <c r="A4" i="10"/>
  <c r="F3" i="10"/>
  <c r="A3" i="10"/>
  <c r="A4" i="4"/>
  <c r="BA3" i="4"/>
  <c r="G3" i="4"/>
  <c r="A3" i="4"/>
  <c r="F3" i="1"/>
  <c r="C3" i="1"/>
  <c r="A4" i="1"/>
  <c r="A3" i="1"/>
  <c r="I24" i="13"/>
  <c r="J24" i="13" s="1"/>
  <c r="G19" i="13"/>
  <c r="L13" i="13"/>
  <c r="K13" i="13"/>
  <c r="J13" i="13"/>
  <c r="I13" i="13"/>
  <c r="H13" i="13"/>
  <c r="F13" i="13"/>
  <c r="D13" i="13"/>
  <c r="M12" i="13"/>
  <c r="N12" i="13" s="1"/>
  <c r="M11" i="13"/>
  <c r="N11" i="13" s="1"/>
  <c r="K24" i="12"/>
  <c r="L24" i="12" s="1"/>
  <c r="O24" i="12" s="1"/>
  <c r="K23" i="12"/>
  <c r="L23" i="12" s="1"/>
  <c r="O23" i="12" s="1"/>
  <c r="K22" i="12"/>
  <c r="L22" i="12" s="1"/>
  <c r="O22" i="12" s="1"/>
  <c r="K21" i="12"/>
  <c r="L21" i="12" s="1"/>
  <c r="O21" i="12" s="1"/>
  <c r="K20" i="12"/>
  <c r="L20" i="12" s="1"/>
  <c r="O20" i="12" s="1"/>
  <c r="K19" i="12"/>
  <c r="L19" i="12" s="1"/>
  <c r="O19" i="12" s="1"/>
  <c r="K18" i="12"/>
  <c r="L18" i="12" s="1"/>
  <c r="O18" i="12" s="1"/>
  <c r="K17" i="12"/>
  <c r="L17" i="12" s="1"/>
  <c r="O17" i="12" s="1"/>
  <c r="K16" i="12"/>
  <c r="L16" i="12" s="1"/>
  <c r="O16" i="12" s="1"/>
  <c r="K15" i="12"/>
  <c r="L15" i="12" s="1"/>
  <c r="O15" i="12" s="1"/>
  <c r="K14" i="12"/>
  <c r="L14" i="12" s="1"/>
  <c r="O14" i="12" s="1"/>
  <c r="K13" i="12"/>
  <c r="L13" i="12" s="1"/>
  <c r="O13" i="12" s="1"/>
  <c r="K12" i="12"/>
  <c r="L12" i="12" s="1"/>
  <c r="O12" i="12" s="1"/>
  <c r="K11" i="12"/>
  <c r="L11" i="12" s="1"/>
  <c r="O11" i="12" s="1"/>
  <c r="K10" i="12"/>
  <c r="L10" i="12" s="1"/>
  <c r="O10" i="12" s="1"/>
  <c r="K9" i="12"/>
  <c r="L9" i="12" s="1"/>
  <c r="O9" i="12" s="1"/>
  <c r="Q9" i="12" s="1"/>
  <c r="K9" i="11"/>
  <c r="M9" i="11" s="1"/>
  <c r="O9" i="11" s="1"/>
  <c r="A19" i="1"/>
  <c r="A26" i="1" s="1"/>
  <c r="A33" i="1" s="1"/>
  <c r="A18" i="1"/>
  <c r="A25" i="1" s="1"/>
  <c r="A32" i="1" s="1"/>
  <c r="A17" i="1"/>
  <c r="A24" i="1" s="1"/>
  <c r="A31" i="1" s="1"/>
  <c r="A16" i="1"/>
  <c r="A23" i="1" s="1"/>
  <c r="A30" i="1" s="1"/>
  <c r="A15" i="1"/>
  <c r="A22" i="1" s="1"/>
  <c r="A29" i="1" s="1"/>
  <c r="O33" i="11" l="1"/>
  <c r="O32" i="11"/>
  <c r="O35" i="11"/>
  <c r="O34" i="11"/>
  <c r="O31" i="11"/>
  <c r="P13" i="12"/>
  <c r="Q13" i="12"/>
  <c r="Q21" i="12"/>
  <c r="P21" i="12" s="1"/>
  <c r="P14" i="12"/>
  <c r="Q14" i="12"/>
  <c r="Q22" i="12"/>
  <c r="P22" i="12" s="1"/>
  <c r="P23" i="12"/>
  <c r="Q23" i="12"/>
  <c r="P15" i="12"/>
  <c r="Q15" i="12"/>
  <c r="P24" i="12"/>
  <c r="Q24" i="12"/>
  <c r="Q16" i="12"/>
  <c r="P16" i="12" s="1"/>
  <c r="P17" i="12"/>
  <c r="Q17" i="12"/>
  <c r="P10" i="12"/>
  <c r="Q10" i="12"/>
  <c r="P18" i="12"/>
  <c r="Q18" i="12"/>
  <c r="Q11" i="12"/>
  <c r="P11" i="12" s="1"/>
  <c r="P19" i="12"/>
  <c r="Q19" i="12"/>
  <c r="P12" i="12"/>
  <c r="Q12" i="12"/>
  <c r="P20" i="12"/>
  <c r="Q20" i="12"/>
  <c r="M9" i="12"/>
  <c r="N9" i="12" s="1"/>
  <c r="L250" i="38"/>
  <c r="F251" i="38"/>
  <c r="G251" i="38"/>
  <c r="K256" i="38"/>
  <c r="M255" i="38"/>
  <c r="BD34" i="4"/>
  <c r="AM32" i="4"/>
  <c r="AM34" i="4"/>
  <c r="V34" i="4"/>
  <c r="BE34" i="4"/>
  <c r="P29" i="11"/>
  <c r="N29" i="11"/>
  <c r="V32" i="4"/>
  <c r="AM37" i="4"/>
  <c r="AM36" i="4"/>
  <c r="AM35" i="4"/>
  <c r="AM38" i="4"/>
  <c r="V36" i="4"/>
  <c r="BD32" i="4"/>
  <c r="BD37" i="4"/>
  <c r="BD35" i="4"/>
  <c r="BD38" i="4"/>
  <c r="BD36" i="4"/>
  <c r="V38" i="4"/>
  <c r="V35" i="4"/>
  <c r="BE38" i="4"/>
  <c r="BE36" i="4"/>
  <c r="BE37" i="4"/>
  <c r="BE35" i="4"/>
  <c r="V37" i="4"/>
  <c r="BE32" i="4"/>
  <c r="D15" i="1"/>
  <c r="D29" i="1" s="1"/>
  <c r="J31" i="10"/>
  <c r="J32" i="10" s="1"/>
  <c r="C31" i="1"/>
  <c r="R9" i="12"/>
  <c r="BF26" i="4"/>
  <c r="F27" i="1"/>
  <c r="E27" i="1"/>
  <c r="F29" i="1"/>
  <c r="F31" i="1"/>
  <c r="P9" i="12"/>
  <c r="L9" i="11"/>
  <c r="BF14" i="4"/>
  <c r="F33" i="1"/>
  <c r="H17" i="1"/>
  <c r="I17" i="1" s="1"/>
  <c r="C33" i="1"/>
  <c r="F32" i="1"/>
  <c r="F20" i="1"/>
  <c r="BF17" i="4"/>
  <c r="B33" i="1"/>
  <c r="M10" i="12"/>
  <c r="N10" i="12" s="1"/>
  <c r="R10" i="12"/>
  <c r="M12" i="12"/>
  <c r="N12" i="12" s="1"/>
  <c r="R12" i="12"/>
  <c r="M14" i="12"/>
  <c r="N14" i="12" s="1"/>
  <c r="R14" i="12"/>
  <c r="R16" i="12"/>
  <c r="M16" i="12"/>
  <c r="N16" i="12" s="1"/>
  <c r="R18" i="12"/>
  <c r="M18" i="12"/>
  <c r="N18" i="12" s="1"/>
  <c r="R20" i="12"/>
  <c r="M20" i="12"/>
  <c r="N20" i="12" s="1"/>
  <c r="R22" i="12"/>
  <c r="M22" i="12"/>
  <c r="N22" i="12" s="1"/>
  <c r="R24" i="12"/>
  <c r="M24" i="12"/>
  <c r="N24" i="12" s="1"/>
  <c r="K24" i="13"/>
  <c r="B20" i="13" s="1"/>
  <c r="B21" i="13" s="1"/>
  <c r="BF21" i="4"/>
  <c r="G12" i="1"/>
  <c r="G33" i="1" s="1"/>
  <c r="BF23" i="4"/>
  <c r="BF22" i="4"/>
  <c r="C32" i="1"/>
  <c r="BF18" i="4"/>
  <c r="F13" i="1"/>
  <c r="BF19" i="4"/>
  <c r="BF25" i="4"/>
  <c r="T26" i="12"/>
  <c r="F30" i="1"/>
  <c r="B32" i="1"/>
  <c r="G11" i="1"/>
  <c r="M11" i="12"/>
  <c r="N11" i="12" s="1"/>
  <c r="R11" i="12"/>
  <c r="M13" i="12"/>
  <c r="N13" i="12" s="1"/>
  <c r="R13" i="12"/>
  <c r="M15" i="12"/>
  <c r="N15" i="12" s="1"/>
  <c r="R15" i="12"/>
  <c r="R17" i="12"/>
  <c r="M17" i="12"/>
  <c r="N17" i="12" s="1"/>
  <c r="M19" i="12"/>
  <c r="N19" i="12" s="1"/>
  <c r="R19" i="12"/>
  <c r="R21" i="12"/>
  <c r="M21" i="12"/>
  <c r="N21" i="12" s="1"/>
  <c r="R23" i="12"/>
  <c r="M23" i="12"/>
  <c r="N23" i="12" s="1"/>
  <c r="BF27" i="4"/>
  <c r="T28" i="12"/>
  <c r="BF31" i="4"/>
  <c r="G10" i="1"/>
  <c r="BF30" i="4"/>
  <c r="T27" i="12"/>
  <c r="B30" i="1"/>
  <c r="C30" i="1"/>
  <c r="D31" i="1"/>
  <c r="B31" i="1"/>
  <c r="M30" i="10"/>
  <c r="R24" i="11"/>
  <c r="G18" i="1"/>
  <c r="R14" i="11"/>
  <c r="G16" i="1"/>
  <c r="G15" i="1"/>
  <c r="M13" i="13"/>
  <c r="N10" i="13"/>
  <c r="N13" i="13" s="1"/>
  <c r="O29" i="11"/>
  <c r="BF13" i="4"/>
  <c r="BF20" i="4"/>
  <c r="BF16" i="4"/>
  <c r="BF24" i="4"/>
  <c r="BF28" i="4"/>
  <c r="BF29" i="4"/>
  <c r="R31" i="12" l="1"/>
  <c r="R32" i="12"/>
  <c r="R33" i="12"/>
  <c r="R34" i="12"/>
  <c r="R35" i="12"/>
  <c r="Q31" i="12"/>
  <c r="Q32" i="12"/>
  <c r="Q33" i="12"/>
  <c r="Q34" i="12"/>
  <c r="Q35" i="12"/>
  <c r="P31" i="12"/>
  <c r="P32" i="12"/>
  <c r="P33" i="12"/>
  <c r="P34" i="12"/>
  <c r="P35" i="12"/>
  <c r="S9" i="12"/>
  <c r="BF34" i="4"/>
  <c r="F252" i="38"/>
  <c r="G252" i="38" s="1"/>
  <c r="L251" i="38"/>
  <c r="K257" i="38"/>
  <c r="M256" i="38"/>
  <c r="Q9" i="11"/>
  <c r="V28" i="12"/>
  <c r="W28" i="12"/>
  <c r="X28" i="12" s="1"/>
  <c r="U28" i="12"/>
  <c r="B34" i="1"/>
  <c r="BF36" i="4"/>
  <c r="BF37" i="4"/>
  <c r="BF38" i="4"/>
  <c r="BF35" i="4"/>
  <c r="BF32" i="4"/>
  <c r="D13" i="1"/>
  <c r="H24" i="1"/>
  <c r="I24" i="1" s="1"/>
  <c r="D32" i="1"/>
  <c r="D33" i="1"/>
  <c r="H18" i="1"/>
  <c r="I18" i="1" s="1"/>
  <c r="H19" i="1"/>
  <c r="I19" i="1" s="1"/>
  <c r="F20" i="13"/>
  <c r="F21" i="13" s="1"/>
  <c r="C34" i="1"/>
  <c r="F34" i="1"/>
  <c r="C20" i="13"/>
  <c r="C21" i="13" s="1"/>
  <c r="N21" i="13" s="1"/>
  <c r="N24" i="13" s="1"/>
  <c r="B28" i="13" s="1"/>
  <c r="E20" i="13"/>
  <c r="E21" i="13" s="1"/>
  <c r="D20" i="13"/>
  <c r="D21" i="13" s="1"/>
  <c r="E33" i="1"/>
  <c r="E31" i="1"/>
  <c r="H26" i="1"/>
  <c r="I26" i="1" s="1"/>
  <c r="S19" i="12"/>
  <c r="S11" i="12"/>
  <c r="T11" i="12" s="1"/>
  <c r="S20" i="12"/>
  <c r="T20" i="12" s="1"/>
  <c r="V20" i="12" s="1"/>
  <c r="S16" i="12"/>
  <c r="T16" i="12" s="1"/>
  <c r="V16" i="12" s="1"/>
  <c r="E13" i="1"/>
  <c r="S23" i="12"/>
  <c r="T23" i="12" s="1"/>
  <c r="V23" i="12" s="1"/>
  <c r="D20" i="1"/>
  <c r="H23" i="1"/>
  <c r="I23" i="1" s="1"/>
  <c r="T25" i="12"/>
  <c r="G20" i="13"/>
  <c r="G21" i="13" s="1"/>
  <c r="S14" i="12"/>
  <c r="S10" i="12"/>
  <c r="V27" i="12"/>
  <c r="U27" i="12"/>
  <c r="W27" i="12"/>
  <c r="X27" i="12" s="1"/>
  <c r="S15" i="12"/>
  <c r="T15" i="12" s="1"/>
  <c r="V15" i="12" s="1"/>
  <c r="D27" i="1"/>
  <c r="H9" i="1"/>
  <c r="I9" i="1" s="1"/>
  <c r="H16" i="1"/>
  <c r="I16" i="1" s="1"/>
  <c r="H25" i="1"/>
  <c r="I25" i="1" s="1"/>
  <c r="S13" i="12"/>
  <c r="T13" i="12" s="1"/>
  <c r="V13" i="12" s="1"/>
  <c r="V26" i="12"/>
  <c r="W26" i="12"/>
  <c r="X26" i="12" s="1"/>
  <c r="U26" i="12"/>
  <c r="S22" i="12"/>
  <c r="T22" i="12" s="1"/>
  <c r="V22" i="12" s="1"/>
  <c r="S18" i="12"/>
  <c r="T18" i="12" s="1"/>
  <c r="V18" i="12" s="1"/>
  <c r="S24" i="12"/>
  <c r="H8" i="1"/>
  <c r="S21" i="12"/>
  <c r="T21" i="12" s="1"/>
  <c r="V21" i="12" s="1"/>
  <c r="S17" i="12"/>
  <c r="T17" i="12" s="1"/>
  <c r="V17" i="12" s="1"/>
  <c r="S12" i="12"/>
  <c r="T12" i="12" s="1"/>
  <c r="V12" i="12" s="1"/>
  <c r="D30" i="1"/>
  <c r="G20" i="1"/>
  <c r="H15" i="1"/>
  <c r="I15" i="1" s="1"/>
  <c r="E30" i="1"/>
  <c r="E32" i="1"/>
  <c r="E20" i="1"/>
  <c r="E29" i="1"/>
  <c r="R9" i="11" l="1"/>
  <c r="Q32" i="11"/>
  <c r="Q31" i="11"/>
  <c r="Q33" i="11"/>
  <c r="Q34" i="11"/>
  <c r="Q35" i="11"/>
  <c r="T10" i="12"/>
  <c r="S31" i="12"/>
  <c r="S32" i="12"/>
  <c r="S35" i="12"/>
  <c r="S33" i="12"/>
  <c r="S34" i="12"/>
  <c r="F253" i="38"/>
  <c r="G253" i="38" s="1"/>
  <c r="L252" i="38"/>
  <c r="K258" i="38"/>
  <c r="M257" i="38"/>
  <c r="Q29" i="11"/>
  <c r="S29" i="12"/>
  <c r="H20" i="1"/>
  <c r="I20" i="1" s="1"/>
  <c r="G30" i="1"/>
  <c r="H30" i="1" s="1"/>
  <c r="I30" i="1" s="1"/>
  <c r="G29" i="1"/>
  <c r="H29" i="1" s="1"/>
  <c r="I29" i="1" s="1"/>
  <c r="W21" i="12"/>
  <c r="X21" i="12" s="1"/>
  <c r="U17" i="12"/>
  <c r="W18" i="12"/>
  <c r="X18" i="12" s="1"/>
  <c r="W17" i="12"/>
  <c r="X17" i="12" s="1"/>
  <c r="U18" i="12"/>
  <c r="I8" i="1"/>
  <c r="U12" i="12"/>
  <c r="U20" i="12"/>
  <c r="V11" i="12"/>
  <c r="U11" i="12"/>
  <c r="W11" i="12"/>
  <c r="X11" i="12" s="1"/>
  <c r="W12" i="12"/>
  <c r="X12" i="12" s="1"/>
  <c r="T24" i="12"/>
  <c r="W13" i="12"/>
  <c r="X13" i="12" s="1"/>
  <c r="T9" i="12"/>
  <c r="U15" i="12"/>
  <c r="V25" i="12"/>
  <c r="U25" i="12"/>
  <c r="W25" i="12"/>
  <c r="X25" i="12" s="1"/>
  <c r="G27" i="1"/>
  <c r="H27" i="1" s="1"/>
  <c r="I27" i="1" s="1"/>
  <c r="H22" i="1"/>
  <c r="I22" i="1" s="1"/>
  <c r="W23" i="12"/>
  <c r="X23" i="12" s="1"/>
  <c r="W20" i="12"/>
  <c r="X20" i="12" s="1"/>
  <c r="G32" i="1"/>
  <c r="H32" i="1" s="1"/>
  <c r="I32" i="1" s="1"/>
  <c r="H11" i="1"/>
  <c r="I11" i="1" s="1"/>
  <c r="T14" i="12"/>
  <c r="G13" i="1"/>
  <c r="H13" i="1" s="1"/>
  <c r="I13" i="1" s="1"/>
  <c r="U21" i="12"/>
  <c r="W22" i="12"/>
  <c r="X22" i="12" s="1"/>
  <c r="U13" i="12"/>
  <c r="W15" i="12"/>
  <c r="X15" i="12" s="1"/>
  <c r="W10" i="12"/>
  <c r="U23" i="12"/>
  <c r="U16" i="12"/>
  <c r="T19" i="12"/>
  <c r="U22" i="12"/>
  <c r="H33" i="1"/>
  <c r="I33" i="1" s="1"/>
  <c r="H12" i="1"/>
  <c r="I12" i="1" s="1"/>
  <c r="G31" i="1"/>
  <c r="H31" i="1" s="1"/>
  <c r="I31" i="1" s="1"/>
  <c r="H10" i="1"/>
  <c r="I10" i="1" s="1"/>
  <c r="U10" i="12"/>
  <c r="W16" i="12"/>
  <c r="X16" i="12" s="1"/>
  <c r="D34" i="1"/>
  <c r="D36" i="1" s="1"/>
  <c r="E34" i="1"/>
  <c r="R29" i="11" l="1"/>
  <c r="R31" i="11"/>
  <c r="R35" i="11"/>
  <c r="R32" i="11"/>
  <c r="R34" i="11"/>
  <c r="R33" i="11"/>
  <c r="X10" i="12"/>
  <c r="V10" i="12"/>
  <c r="T35" i="12"/>
  <c r="T31" i="12"/>
  <c r="T32" i="12"/>
  <c r="T33" i="12"/>
  <c r="T34" i="12"/>
  <c r="L253" i="38"/>
  <c r="F254" i="38"/>
  <c r="G254" i="38" s="1"/>
  <c r="K259" i="38"/>
  <c r="M258" i="38"/>
  <c r="T29" i="12"/>
  <c r="G34" i="1"/>
  <c r="G36" i="1" s="1"/>
  <c r="V24" i="12"/>
  <c r="U24" i="12"/>
  <c r="W24" i="12"/>
  <c r="X24" i="12" s="1"/>
  <c r="V19" i="12"/>
  <c r="W19" i="12"/>
  <c r="X19" i="12" s="1"/>
  <c r="U19" i="12"/>
  <c r="V14" i="12"/>
  <c r="U14" i="12"/>
  <c r="U34" i="12" s="1"/>
  <c r="W14" i="12"/>
  <c r="X14" i="12" s="1"/>
  <c r="V9" i="12"/>
  <c r="W9" i="12"/>
  <c r="X9" i="12" s="1"/>
  <c r="U9" i="12"/>
  <c r="W34" i="12" l="1"/>
  <c r="W32" i="12"/>
  <c r="X31" i="12"/>
  <c r="X32" i="12"/>
  <c r="X34" i="12"/>
  <c r="X35" i="12"/>
  <c r="X33" i="12"/>
  <c r="U32" i="12"/>
  <c r="V33" i="12"/>
  <c r="V34" i="12"/>
  <c r="V31" i="12"/>
  <c r="V32" i="12"/>
  <c r="V35" i="12"/>
  <c r="U33" i="12"/>
  <c r="W31" i="12"/>
  <c r="U31" i="12"/>
  <c r="W35" i="12"/>
  <c r="U35" i="12"/>
  <c r="W33" i="12"/>
  <c r="U29" i="12"/>
  <c r="L254" i="38"/>
  <c r="F255" i="38"/>
  <c r="G255" i="38" s="1"/>
  <c r="K260" i="38"/>
  <c r="M259" i="38"/>
  <c r="H34" i="1"/>
  <c r="I34" i="1" s="1"/>
  <c r="V29" i="12"/>
  <c r="X29" i="12"/>
  <c r="W29" i="12"/>
  <c r="F256" i="38" l="1"/>
  <c r="G256" i="38" s="1"/>
  <c r="L255" i="38"/>
  <c r="K261" i="38"/>
  <c r="M260" i="38"/>
  <c r="F257" i="38" l="1"/>
  <c r="G257" i="38" s="1"/>
  <c r="L256" i="38"/>
  <c r="K262" i="38"/>
  <c r="M261" i="38"/>
  <c r="F258" i="38" l="1"/>
  <c r="G258" i="38" s="1"/>
  <c r="L257" i="38"/>
  <c r="K263" i="38"/>
  <c r="M262" i="38"/>
  <c r="L258" i="38" l="1"/>
  <c r="F259" i="38"/>
  <c r="G259" i="38" s="1"/>
  <c r="K264" i="38"/>
  <c r="M263" i="38"/>
  <c r="F260" i="38" l="1"/>
  <c r="G260" i="38" s="1"/>
  <c r="L259" i="38"/>
  <c r="K265" i="38"/>
  <c r="M264" i="38"/>
  <c r="F261" i="38" l="1"/>
  <c r="G261" i="38" s="1"/>
  <c r="L260" i="38"/>
  <c r="K266" i="38"/>
  <c r="M265" i="38"/>
  <c r="L261" i="38" l="1"/>
  <c r="F262" i="38"/>
  <c r="G262" i="38" s="1"/>
  <c r="K267" i="38"/>
  <c r="M266" i="38"/>
  <c r="L262" i="38" l="1"/>
  <c r="F263" i="38"/>
  <c r="G263" i="38" s="1"/>
  <c r="K268" i="38"/>
  <c r="M267" i="38"/>
  <c r="F264" i="38" l="1"/>
  <c r="G264" i="38" s="1"/>
  <c r="L263" i="38"/>
  <c r="K269" i="38"/>
  <c r="M268" i="38"/>
  <c r="L264" i="38" l="1"/>
  <c r="F265" i="38"/>
  <c r="G265" i="38" s="1"/>
  <c r="K270" i="38"/>
  <c r="M269" i="38"/>
  <c r="L265" i="38" l="1"/>
  <c r="F266" i="38"/>
  <c r="G266" i="38" s="1"/>
  <c r="K271" i="38"/>
  <c r="M270" i="38"/>
  <c r="L266" i="38" l="1"/>
  <c r="F267" i="38"/>
  <c r="G267" i="38" s="1"/>
  <c r="K272" i="38"/>
  <c r="M271" i="38"/>
  <c r="F268" i="38" l="1"/>
  <c r="G268" i="38" s="1"/>
  <c r="L267" i="38"/>
  <c r="K273" i="38"/>
  <c r="M272" i="38"/>
  <c r="F269" i="38" l="1"/>
  <c r="G269" i="38" s="1"/>
  <c r="L268" i="38"/>
  <c r="K274" i="38"/>
  <c r="M273" i="38"/>
  <c r="L269" i="38" l="1"/>
  <c r="F270" i="38"/>
  <c r="G270" i="38"/>
  <c r="K275" i="38"/>
  <c r="M274" i="38"/>
  <c r="L270" i="38" l="1"/>
  <c r="F271" i="38"/>
  <c r="G271" i="38" s="1"/>
  <c r="K276" i="38"/>
  <c r="M275" i="38"/>
  <c r="L271" i="38" l="1"/>
  <c r="F272" i="38"/>
  <c r="G272" i="38" s="1"/>
  <c r="K277" i="38"/>
  <c r="M276" i="38"/>
  <c r="L272" i="38" l="1"/>
  <c r="F273" i="38"/>
  <c r="G273" i="38" s="1"/>
  <c r="K278" i="38"/>
  <c r="M277" i="38"/>
  <c r="L273" i="38" l="1"/>
  <c r="F274" i="38"/>
  <c r="G274" i="38" s="1"/>
  <c r="K279" i="38"/>
  <c r="M278" i="38"/>
  <c r="L274" i="38" l="1"/>
  <c r="F275" i="38"/>
  <c r="G275" i="38" s="1"/>
  <c r="K280" i="38"/>
  <c r="M279" i="38"/>
  <c r="L275" i="38" l="1"/>
  <c r="F276" i="38"/>
  <c r="G276" i="38"/>
  <c r="K281" i="38"/>
  <c r="M280" i="38"/>
  <c r="L276" i="38" l="1"/>
  <c r="F277" i="38"/>
  <c r="G277" i="38"/>
  <c r="K282" i="38"/>
  <c r="M281" i="38"/>
  <c r="L277" i="38" l="1"/>
  <c r="F278" i="38"/>
  <c r="G278" i="38"/>
  <c r="K283" i="38"/>
  <c r="M282" i="38"/>
  <c r="L278" i="38" l="1"/>
  <c r="F279" i="38"/>
  <c r="G279" i="38"/>
  <c r="K284" i="38"/>
  <c r="M283" i="38"/>
  <c r="F280" i="38" l="1"/>
  <c r="G280" i="38" s="1"/>
  <c r="L279" i="38"/>
  <c r="K285" i="38"/>
  <c r="M284" i="38"/>
  <c r="L280" i="38" l="1"/>
  <c r="F281" i="38"/>
  <c r="G281" i="38" s="1"/>
  <c r="K286" i="38"/>
  <c r="M285" i="38"/>
  <c r="L281" i="38" l="1"/>
  <c r="F282" i="38"/>
  <c r="G282" i="38" s="1"/>
  <c r="K287" i="38"/>
  <c r="M286" i="38"/>
  <c r="L282" i="38" l="1"/>
  <c r="F283" i="38"/>
  <c r="G283" i="38"/>
  <c r="K288" i="38"/>
  <c r="M287" i="38"/>
  <c r="L283" i="38" l="1"/>
  <c r="F284" i="38"/>
  <c r="G284" i="38" s="1"/>
  <c r="K289" i="38"/>
  <c r="M288" i="38"/>
  <c r="L284" i="38" l="1"/>
  <c r="F285" i="38"/>
  <c r="G285" i="38" s="1"/>
  <c r="K290" i="38"/>
  <c r="M289" i="38"/>
  <c r="L285" i="38" l="1"/>
  <c r="F286" i="38"/>
  <c r="G286" i="38" s="1"/>
  <c r="K291" i="38"/>
  <c r="M290" i="38"/>
  <c r="L286" i="38" l="1"/>
  <c r="F287" i="38"/>
  <c r="G287" i="38" s="1"/>
  <c r="K292" i="38"/>
  <c r="M291" i="38"/>
  <c r="F288" i="38" l="1"/>
  <c r="G288" i="38" s="1"/>
  <c r="L287" i="38"/>
  <c r="K293" i="38"/>
  <c r="M292" i="38"/>
  <c r="L288" i="38" l="1"/>
  <c r="F289" i="38"/>
  <c r="G289" i="38" s="1"/>
  <c r="K294" i="38"/>
  <c r="M293" i="38"/>
  <c r="L289" i="38" l="1"/>
  <c r="F290" i="38"/>
  <c r="G290" i="38" s="1"/>
  <c r="K295" i="38"/>
  <c r="M294" i="38"/>
  <c r="L290" i="38" l="1"/>
  <c r="F291" i="38"/>
  <c r="G291" i="38"/>
  <c r="K296" i="38"/>
  <c r="M295" i="38"/>
  <c r="F292" i="38" l="1"/>
  <c r="G292" i="38" s="1"/>
  <c r="L291" i="38"/>
  <c r="K297" i="38"/>
  <c r="M296" i="38"/>
  <c r="L292" i="38" l="1"/>
  <c r="F293" i="38"/>
  <c r="G293" i="38" s="1"/>
  <c r="K298" i="38"/>
  <c r="M297" i="38"/>
  <c r="L293" i="38" l="1"/>
  <c r="F294" i="38"/>
  <c r="G294" i="38"/>
  <c r="K299" i="38"/>
  <c r="M298" i="38"/>
  <c r="L294" i="38" l="1"/>
  <c r="F295" i="38"/>
  <c r="G295" i="38" s="1"/>
  <c r="K300" i="38"/>
  <c r="M299" i="38"/>
  <c r="F296" i="38" l="1"/>
  <c r="G296" i="38" s="1"/>
  <c r="L295" i="38"/>
  <c r="K301" i="38"/>
  <c r="M300" i="38"/>
  <c r="L296" i="38" l="1"/>
  <c r="F297" i="38"/>
  <c r="G297" i="38" s="1"/>
  <c r="K302" i="38"/>
  <c r="M301" i="38"/>
  <c r="L297" i="38" l="1"/>
  <c r="F298" i="38"/>
  <c r="G298" i="38"/>
  <c r="K303" i="38"/>
  <c r="M302" i="38"/>
  <c r="F299" i="38" l="1"/>
  <c r="G299" i="38" s="1"/>
  <c r="L298" i="38"/>
  <c r="K304" i="38"/>
  <c r="M303" i="38"/>
  <c r="F300" i="38" l="1"/>
  <c r="G300" i="38" s="1"/>
  <c r="L299" i="38"/>
  <c r="K305" i="38"/>
  <c r="M304" i="38"/>
  <c r="F301" i="38" l="1"/>
  <c r="G301" i="38" s="1"/>
  <c r="L300" i="38"/>
  <c r="K306" i="38"/>
  <c r="M305" i="38"/>
  <c r="L301" i="38" l="1"/>
  <c r="F302" i="38"/>
  <c r="G302" i="38"/>
  <c r="K307" i="38"/>
  <c r="M306" i="38"/>
  <c r="F303" i="38" l="1"/>
  <c r="G303" i="38" s="1"/>
  <c r="L302" i="38"/>
  <c r="K308" i="38"/>
  <c r="M307" i="38"/>
  <c r="F304" i="38" l="1"/>
  <c r="G304" i="38" s="1"/>
  <c r="L303" i="38"/>
  <c r="K309" i="38"/>
  <c r="M308" i="38"/>
  <c r="L304" i="38" l="1"/>
  <c r="F305" i="38"/>
  <c r="G305" i="38"/>
  <c r="K310" i="38"/>
  <c r="M309" i="38"/>
  <c r="L305" i="38" l="1"/>
  <c r="F306" i="38"/>
  <c r="G306" i="38" s="1"/>
  <c r="K311" i="38"/>
  <c r="M310" i="38"/>
  <c r="L306" i="38" l="1"/>
  <c r="F307" i="38"/>
  <c r="G307" i="38"/>
  <c r="K312" i="38"/>
  <c r="M311" i="38"/>
  <c r="F308" i="38" l="1"/>
  <c r="G308" i="38" s="1"/>
  <c r="L307" i="38"/>
  <c r="K313" i="38"/>
  <c r="M312" i="38"/>
  <c r="F309" i="38" l="1"/>
  <c r="G309" i="38" s="1"/>
  <c r="L308" i="38"/>
  <c r="K314" i="38"/>
  <c r="M313" i="38"/>
  <c r="L309" i="38" l="1"/>
  <c r="F310" i="38"/>
  <c r="G310" i="38" s="1"/>
  <c r="K315" i="38"/>
  <c r="M314" i="38"/>
  <c r="L310" i="38" l="1"/>
  <c r="F311" i="38"/>
  <c r="G311" i="38"/>
  <c r="K316" i="38"/>
  <c r="M315" i="38"/>
  <c r="L311" i="38" l="1"/>
  <c r="F312" i="38"/>
  <c r="G312" i="38"/>
  <c r="K317" i="38"/>
  <c r="M316" i="38"/>
  <c r="L312" i="38" l="1"/>
  <c r="F313" i="38"/>
  <c r="G313" i="38"/>
  <c r="K318" i="38"/>
  <c r="M317" i="38"/>
  <c r="L313" i="38" l="1"/>
  <c r="F314" i="38"/>
  <c r="G314" i="38" s="1"/>
  <c r="K319" i="38"/>
  <c r="M318" i="38"/>
  <c r="L314" i="38" l="1"/>
  <c r="F315" i="38"/>
  <c r="G315" i="38" s="1"/>
  <c r="K320" i="38"/>
  <c r="M319" i="38"/>
  <c r="F316" i="38" l="1"/>
  <c r="G316" i="38" s="1"/>
  <c r="L315" i="38"/>
  <c r="K321" i="38"/>
  <c r="M320" i="38"/>
  <c r="L316" i="38" l="1"/>
  <c r="F317" i="38"/>
  <c r="G317" i="38" s="1"/>
  <c r="K322" i="38"/>
  <c r="M321" i="38"/>
  <c r="L317" i="38" l="1"/>
  <c r="F318" i="38"/>
  <c r="G318" i="38" s="1"/>
  <c r="K323" i="38"/>
  <c r="M322" i="38"/>
  <c r="L318" i="38" l="1"/>
  <c r="F319" i="38"/>
  <c r="G319" i="38" s="1"/>
  <c r="K324" i="38"/>
  <c r="M323" i="38"/>
  <c r="F320" i="38" l="1"/>
  <c r="G320" i="38" s="1"/>
  <c r="L319" i="38"/>
  <c r="K325" i="38"/>
  <c r="M324" i="38"/>
  <c r="L320" i="38" l="1"/>
  <c r="F321" i="38"/>
  <c r="G321" i="38" s="1"/>
  <c r="K326" i="38"/>
  <c r="M325" i="38"/>
  <c r="L321" i="38" l="1"/>
  <c r="F322" i="38"/>
  <c r="G322" i="38" s="1"/>
  <c r="K327" i="38"/>
  <c r="M326" i="38"/>
  <c r="L322" i="38" l="1"/>
  <c r="F323" i="38"/>
  <c r="G323" i="38" s="1"/>
  <c r="K328" i="38"/>
  <c r="M327" i="38"/>
  <c r="F324" i="38" l="1"/>
  <c r="G324" i="38" s="1"/>
  <c r="L323" i="38"/>
  <c r="K329" i="38"/>
  <c r="M328" i="38"/>
  <c r="L324" i="38" l="1"/>
  <c r="F325" i="38"/>
  <c r="G325" i="38"/>
  <c r="K330" i="38"/>
  <c r="M329" i="38"/>
  <c r="L325" i="38" l="1"/>
  <c r="F326" i="38"/>
  <c r="G326" i="38" s="1"/>
  <c r="K331" i="38"/>
  <c r="M330" i="38"/>
  <c r="L326" i="38" l="1"/>
  <c r="F327" i="38"/>
  <c r="G327" i="38" s="1"/>
  <c r="K332" i="38"/>
  <c r="M331" i="38"/>
  <c r="F328" i="38" l="1"/>
  <c r="G328" i="38" s="1"/>
  <c r="L327" i="38"/>
  <c r="K333" i="38"/>
  <c r="M332" i="38"/>
  <c r="L328" i="38" l="1"/>
  <c r="F329" i="38"/>
  <c r="G329" i="38" s="1"/>
  <c r="K334" i="38"/>
  <c r="M333" i="38"/>
  <c r="F330" i="38" l="1"/>
  <c r="G330" i="38" s="1"/>
  <c r="L329" i="38"/>
  <c r="K335" i="38"/>
  <c r="M334" i="38"/>
  <c r="L330" i="38" l="1"/>
  <c r="F331" i="38"/>
  <c r="G331" i="38"/>
  <c r="K336" i="38"/>
  <c r="M335" i="38"/>
  <c r="F332" i="38" l="1"/>
  <c r="G332" i="38" s="1"/>
  <c r="L331" i="38"/>
  <c r="K337" i="38"/>
  <c r="M336" i="38"/>
  <c r="L332" i="38" l="1"/>
  <c r="F333" i="38"/>
  <c r="G333" i="38" s="1"/>
  <c r="K338" i="38"/>
  <c r="M337" i="38"/>
  <c r="L333" i="38" l="1"/>
  <c r="F334" i="38"/>
  <c r="G334" i="38" s="1"/>
  <c r="K339" i="38"/>
  <c r="M338" i="38"/>
  <c r="L334" i="38" l="1"/>
  <c r="F335" i="38"/>
  <c r="G335" i="38"/>
  <c r="K340" i="38"/>
  <c r="M339" i="38"/>
  <c r="L335" i="38" l="1"/>
  <c r="F336" i="38"/>
  <c r="G336" i="38" s="1"/>
  <c r="K341" i="38"/>
  <c r="M340" i="38"/>
  <c r="L336" i="38" l="1"/>
  <c r="F337" i="38"/>
  <c r="G337" i="38"/>
  <c r="K342" i="38"/>
  <c r="M341" i="38"/>
  <c r="L337" i="38" l="1"/>
  <c r="F338" i="38"/>
  <c r="G338" i="38" s="1"/>
  <c r="K343" i="38"/>
  <c r="M342" i="38"/>
  <c r="L338" i="38" l="1"/>
  <c r="F339" i="38"/>
  <c r="G339" i="38" s="1"/>
  <c r="K344" i="38"/>
  <c r="M343" i="38"/>
  <c r="F340" i="38" l="1"/>
  <c r="G340" i="38" s="1"/>
  <c r="L339" i="38"/>
  <c r="K345" i="38"/>
  <c r="M344" i="38"/>
  <c r="L340" i="38" l="1"/>
  <c r="F341" i="38"/>
  <c r="G341" i="38" s="1"/>
  <c r="K346" i="38"/>
  <c r="M345" i="38"/>
  <c r="L341" i="38" l="1"/>
  <c r="F342" i="38"/>
  <c r="G342" i="38" s="1"/>
  <c r="K347" i="38"/>
  <c r="M346" i="38"/>
  <c r="L342" i="38" l="1"/>
  <c r="F343" i="38"/>
  <c r="G343" i="38" s="1"/>
  <c r="K348" i="38"/>
  <c r="M348" i="38" s="1"/>
  <c r="M347" i="38"/>
  <c r="F344" i="38" l="1"/>
  <c r="G344" i="38" s="1"/>
  <c r="L343" i="38"/>
  <c r="F345" i="38" l="1"/>
  <c r="G345" i="38" s="1"/>
  <c r="L344" i="38"/>
  <c r="L345" i="38" l="1"/>
  <c r="F346" i="38"/>
  <c r="G346" i="38"/>
  <c r="L346" i="38" l="1"/>
  <c r="F347" i="38"/>
  <c r="G347" i="38"/>
  <c r="F348" i="38" l="1"/>
  <c r="F349" i="38" s="1"/>
  <c r="L347" i="38"/>
  <c r="G348" i="38"/>
  <c r="L348" i="38" s="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Windows 用户</author>
  </authors>
  <commentList>
    <comment ref="G19" authorId="0" shapeId="0">
      <text>
        <r>
          <rPr>
            <b/>
            <sz val="9"/>
            <color indexed="81"/>
            <rFont val="宋体"/>
            <family val="3"/>
            <charset val="134"/>
          </rPr>
          <t>技术部:</t>
        </r>
        <r>
          <rPr>
            <sz val="9"/>
            <color indexed="81"/>
            <rFont val="宋体"/>
            <family val="3"/>
            <charset val="134"/>
          </rPr>
          <t xml:space="preserve">
在租赁期开始日或之前支付的租赁付款额</t>
        </r>
      </text>
    </comment>
  </commentList>
</comments>
</file>

<file path=xl/comments3.xml><?xml version="1.0" encoding="utf-8"?>
<comments xmlns="http://schemas.openxmlformats.org/spreadsheetml/2006/main">
  <authors>
    <author>Windows 用户</author>
  </authors>
  <commentList>
    <comment ref="G27" authorId="0" shapeId="0">
      <text>
        <r>
          <rPr>
            <b/>
            <sz val="9"/>
            <color indexed="81"/>
            <rFont val="宋体"/>
            <family val="3"/>
            <charset val="134"/>
          </rPr>
          <t>技术部:</t>
        </r>
        <r>
          <rPr>
            <sz val="9"/>
            <color indexed="81"/>
            <rFont val="宋体"/>
            <family val="3"/>
            <charset val="134"/>
          </rPr>
          <t xml:space="preserve">
在租赁期开始日或之前支付的租赁付款额</t>
        </r>
      </text>
    </comment>
    <comment ref="G62" authorId="0" shapeId="0">
      <text>
        <r>
          <rPr>
            <b/>
            <sz val="9"/>
            <color indexed="81"/>
            <rFont val="宋体"/>
            <family val="3"/>
            <charset val="134"/>
          </rPr>
          <t>技术部:</t>
        </r>
        <r>
          <rPr>
            <sz val="9"/>
            <color indexed="81"/>
            <rFont val="宋体"/>
            <family val="3"/>
            <charset val="134"/>
          </rPr>
          <t xml:space="preserve">
在租赁期开始日或之前支付的租赁付款额</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<sst xmlns="http://schemas.openxmlformats.org/spreadsheetml/2006/main" count="1322" uniqueCount="949">
  <si>
    <r>
      <rPr>
        <b/>
        <sz val="10"/>
        <rFont val="宋体"/>
        <family val="3"/>
        <charset val="134"/>
      </rPr>
      <t>债务总额（</t>
    </r>
    <r>
      <rPr>
        <b/>
        <sz val="10"/>
        <rFont val="Arial Narrow"/>
        <family val="2"/>
      </rPr>
      <t>D</t>
    </r>
    <r>
      <rPr>
        <b/>
        <sz val="10"/>
        <rFont val="宋体"/>
        <family val="3"/>
        <charset val="134"/>
      </rPr>
      <t>）</t>
    </r>
    <phoneticPr fontId="11" type="noConversion"/>
  </si>
  <si>
    <r>
      <t>Capital Employed</t>
    </r>
    <r>
      <rPr>
        <sz val="10"/>
        <rFont val="宋体"/>
        <family val="3"/>
        <charset val="134"/>
      </rPr>
      <t>（</t>
    </r>
    <r>
      <rPr>
        <sz val="10"/>
        <rFont val="Arial Narrow"/>
        <family val="2"/>
      </rPr>
      <t>CE</t>
    </r>
    <r>
      <rPr>
        <sz val="10"/>
        <rFont val="宋体"/>
        <family val="3"/>
        <charset val="134"/>
      </rPr>
      <t>）中债权人享有的部分，指有息债务总额，一般指长期占用的有息负债；</t>
    </r>
    <phoneticPr fontId="11" type="noConversion"/>
  </si>
  <si>
    <r>
      <rPr>
        <sz val="10"/>
        <rFont val="宋体"/>
        <family val="3"/>
        <charset val="134"/>
      </rPr>
      <t>通常可选择上市交易的政府长期债券的</t>
    </r>
    <r>
      <rPr>
        <b/>
        <sz val="10"/>
        <rFont val="宋体"/>
        <family val="3"/>
        <charset val="134"/>
      </rPr>
      <t>到期收益率</t>
    </r>
    <r>
      <rPr>
        <sz val="10"/>
        <rFont val="宋体"/>
        <family val="3"/>
        <charset val="134"/>
      </rPr>
      <t>（</t>
    </r>
    <r>
      <rPr>
        <sz val="10"/>
        <rFont val="Arial Narrow"/>
        <family val="2"/>
      </rPr>
      <t>10</t>
    </r>
    <r>
      <rPr>
        <sz val="10"/>
        <rFont val="宋体"/>
        <family val="3"/>
        <charset val="134"/>
      </rPr>
      <t>年期财政部债券名义利率）。</t>
    </r>
    <phoneticPr fontId="11" type="noConversion"/>
  </si>
  <si>
    <r>
      <rPr>
        <b/>
        <sz val="10"/>
        <rFont val="宋体"/>
        <family val="3"/>
        <charset val="134"/>
      </rPr>
      <t>市场平均收益率</t>
    </r>
    <r>
      <rPr>
        <b/>
        <sz val="10"/>
        <rFont val="Arial Narrow"/>
        <family val="2"/>
      </rPr>
      <t>Rm</t>
    </r>
    <phoneticPr fontId="11" type="noConversion"/>
  </si>
  <si>
    <r>
      <rPr>
        <sz val="10"/>
        <rFont val="宋体"/>
        <family val="3"/>
        <charset val="134"/>
      </rPr>
      <t>建议采用几何平均收益率，并应选择较长的时间跨度（既包括经济繁荣时期，也包括经济衰退时期）。</t>
    </r>
    <phoneticPr fontId="11" type="noConversion"/>
  </si>
  <si>
    <r>
      <rPr>
        <sz val="10"/>
        <rFont val="宋体"/>
        <family val="3"/>
        <charset val="134"/>
      </rPr>
      <t>资产组的收益率与市场组合之间的相关性，反映了相对于市场组合而言特定资产的系统风险。</t>
    </r>
    <phoneticPr fontId="11" type="noConversion"/>
  </si>
  <si>
    <t>……</t>
  </si>
  <si>
    <t>…</t>
    <phoneticPr fontId="11" type="noConversion"/>
  </si>
  <si>
    <r>
      <rPr>
        <b/>
        <sz val="10"/>
        <color indexed="8"/>
        <rFont val="宋体"/>
        <family val="3"/>
        <charset val="134"/>
      </rPr>
      <t>项目</t>
    </r>
  </si>
  <si>
    <r>
      <rPr>
        <b/>
        <sz val="10"/>
        <color indexed="8"/>
        <rFont val="宋体"/>
        <family val="3"/>
        <charset val="134"/>
      </rPr>
      <t>本期增加</t>
    </r>
  </si>
  <si>
    <r>
      <rPr>
        <b/>
        <sz val="10"/>
        <color indexed="8"/>
        <rFont val="宋体"/>
        <family val="3"/>
        <charset val="134"/>
      </rPr>
      <t>其他增加</t>
    </r>
  </si>
  <si>
    <t>使用权资产编号</t>
  </si>
  <si>
    <r>
      <rPr>
        <b/>
        <sz val="10"/>
        <color indexed="8"/>
        <rFont val="宋体"/>
        <family val="3"/>
        <charset val="134"/>
      </rPr>
      <t>合计</t>
    </r>
    <phoneticPr fontId="11" type="noConversion"/>
  </si>
  <si>
    <r>
      <rPr>
        <b/>
        <sz val="10"/>
        <color indexed="8"/>
        <rFont val="宋体"/>
        <family val="3"/>
        <charset val="134"/>
      </rPr>
      <t>期初数</t>
    </r>
    <phoneticPr fontId="11" type="noConversion"/>
  </si>
  <si>
    <r>
      <t>4</t>
    </r>
    <r>
      <rPr>
        <sz val="10"/>
        <rFont val="宋体"/>
        <family val="3"/>
        <charset val="134"/>
      </rPr>
      <t>、</t>
    </r>
    <phoneticPr fontId="11" type="noConversion"/>
  </si>
  <si>
    <r>
      <rPr>
        <b/>
        <sz val="10"/>
        <rFont val="宋体"/>
        <family val="3"/>
        <charset val="134"/>
      </rPr>
      <t>财务报表的认定　</t>
    </r>
  </si>
  <si>
    <r>
      <rPr>
        <sz val="10"/>
        <rFont val="宋体"/>
        <family val="3"/>
        <charset val="134"/>
      </rPr>
      <t>完整性</t>
    </r>
    <phoneticPr fontId="11" type="noConversion"/>
  </si>
  <si>
    <r>
      <rPr>
        <sz val="10"/>
        <rFont val="宋体"/>
        <family val="3"/>
        <charset val="134"/>
      </rPr>
      <t>√</t>
    </r>
    <phoneticPr fontId="11" type="noConversion"/>
  </si>
  <si>
    <r>
      <rPr>
        <b/>
        <sz val="10"/>
        <rFont val="宋体"/>
        <family val="3"/>
        <charset val="134"/>
      </rPr>
      <t>②</t>
    </r>
    <phoneticPr fontId="11" type="noConversion"/>
  </si>
  <si>
    <t>2</t>
  </si>
  <si>
    <t>3</t>
  </si>
  <si>
    <t>4</t>
  </si>
  <si>
    <t>5</t>
  </si>
  <si>
    <t>6</t>
  </si>
  <si>
    <t>7</t>
  </si>
  <si>
    <t>租赁负债</t>
  </si>
  <si>
    <r>
      <rPr>
        <b/>
        <sz val="10"/>
        <rFont val="宋体"/>
        <family val="3"/>
        <charset val="134"/>
      </rPr>
      <t>一、审计目标：</t>
    </r>
  </si>
  <si>
    <r>
      <rPr>
        <b/>
        <sz val="10"/>
        <rFont val="宋体"/>
        <family val="3"/>
        <charset val="134"/>
      </rPr>
      <t>二、审计过程：</t>
    </r>
  </si>
  <si>
    <r>
      <t>2021</t>
    </r>
    <r>
      <rPr>
        <sz val="10"/>
        <rFont val="宋体"/>
        <family val="3"/>
        <charset val="134"/>
      </rPr>
      <t>年度</t>
    </r>
    <phoneticPr fontId="6" type="noConversion"/>
  </si>
  <si>
    <r>
      <rPr>
        <b/>
        <sz val="10"/>
        <rFont val="宋体"/>
        <family val="3"/>
        <charset val="134"/>
      </rPr>
      <t>三、审计说明：</t>
    </r>
  </si>
  <si>
    <r>
      <rPr>
        <b/>
        <sz val="10"/>
        <rFont val="宋体"/>
        <family val="3"/>
        <charset val="134"/>
      </rPr>
      <t>四、审计结论：</t>
    </r>
  </si>
  <si>
    <r>
      <t xml:space="preserve">1. </t>
    </r>
    <r>
      <rPr>
        <b/>
        <sz val="10"/>
        <rFont val="宋体"/>
        <family val="3"/>
        <charset val="134"/>
      </rPr>
      <t>租赁变更情况</t>
    </r>
    <phoneticPr fontId="11" type="noConversion"/>
  </si>
  <si>
    <r>
      <t xml:space="preserve">1. 1 </t>
    </r>
    <r>
      <rPr>
        <b/>
        <sz val="10"/>
        <rFont val="宋体"/>
        <family val="3"/>
        <charset val="134"/>
      </rPr>
      <t>租赁变更是否作为一项单独租赁</t>
    </r>
    <phoneticPr fontId="11" type="noConversion"/>
  </si>
  <si>
    <r>
      <t xml:space="preserve">1.2 </t>
    </r>
    <r>
      <rPr>
        <b/>
        <sz val="10"/>
        <rFont val="宋体"/>
        <family val="3"/>
        <charset val="134"/>
      </rPr>
      <t>租赁变更未作为一项单独租赁处理</t>
    </r>
    <phoneticPr fontId="11" type="noConversion"/>
  </si>
  <si>
    <t>……</t>
    <phoneticPr fontId="11" type="noConversion"/>
  </si>
  <si>
    <t>H8-14</t>
  </si>
  <si>
    <t>H8-2</t>
  </si>
  <si>
    <t>H8-4</t>
  </si>
  <si>
    <t>H8-8</t>
  </si>
  <si>
    <t>H8-9</t>
  </si>
  <si>
    <t>H8-10</t>
  </si>
  <si>
    <t>H8-5</t>
  </si>
  <si>
    <t>H8-6</t>
  </si>
  <si>
    <t>H8A</t>
  </si>
  <si>
    <t>H8-12</t>
  </si>
  <si>
    <t>XX</t>
  </si>
  <si>
    <t>——</t>
  </si>
  <si>
    <r>
      <rPr>
        <sz val="10"/>
        <rFont val="宋体"/>
        <family val="3"/>
        <charset val="134"/>
      </rPr>
      <t>折旧期末：</t>
    </r>
    <phoneticPr fontId="11" type="noConversion"/>
  </si>
  <si>
    <r>
      <rPr>
        <b/>
        <sz val="10"/>
        <rFont val="宋体"/>
        <family val="3"/>
        <charset val="134"/>
      </rPr>
      <t>程序分类</t>
    </r>
    <phoneticPr fontId="11" type="noConversion"/>
  </si>
  <si>
    <r>
      <rPr>
        <sz val="10"/>
        <color theme="1"/>
        <rFont val="宋体"/>
        <family val="3"/>
        <charset val="134"/>
      </rPr>
      <t>常规★</t>
    </r>
    <phoneticPr fontId="6" type="noConversion"/>
  </si>
  <si>
    <r>
      <rPr>
        <sz val="10"/>
        <color rgb="FF0000FF"/>
        <rFont val="宋体"/>
        <family val="3"/>
        <charset val="134"/>
      </rPr>
      <t>控股股东</t>
    </r>
    <phoneticPr fontId="11" type="noConversion"/>
  </si>
  <si>
    <r>
      <rPr>
        <b/>
        <sz val="10"/>
        <rFont val="宋体"/>
        <family val="3"/>
        <charset val="134"/>
      </rPr>
      <t>租赁项目</t>
    </r>
    <phoneticPr fontId="11" type="noConversion"/>
  </si>
  <si>
    <r>
      <rPr>
        <b/>
        <sz val="10"/>
        <rFont val="宋体"/>
        <family val="3"/>
        <charset val="134"/>
      </rPr>
      <t>租赁资产种类</t>
    </r>
    <phoneticPr fontId="11" type="noConversion"/>
  </si>
  <si>
    <r>
      <rPr>
        <b/>
        <sz val="10"/>
        <rFont val="宋体"/>
        <family val="3"/>
        <charset val="134"/>
      </rPr>
      <t>备注</t>
    </r>
    <phoneticPr fontId="11" type="noConversion"/>
  </si>
  <si>
    <r>
      <rPr>
        <b/>
        <sz val="10"/>
        <rFont val="宋体"/>
        <family val="3"/>
        <charset val="134"/>
      </rPr>
      <t>租赁发生时间及到期日</t>
    </r>
    <phoneticPr fontId="11" type="noConversion"/>
  </si>
  <si>
    <r>
      <rPr>
        <sz val="10"/>
        <color rgb="FF0000FF"/>
        <rFont val="宋体"/>
        <family val="3"/>
        <charset val="134"/>
      </rPr>
      <t>控股股东、实际控制人的附属企业</t>
    </r>
    <phoneticPr fontId="11" type="noConversion"/>
  </si>
  <si>
    <r>
      <rPr>
        <sz val="10"/>
        <color rgb="FF0000FF"/>
        <rFont val="宋体"/>
        <family val="3"/>
        <charset val="134"/>
      </rPr>
      <t>联营企业</t>
    </r>
    <phoneticPr fontId="11" type="noConversion"/>
  </si>
  <si>
    <r>
      <rPr>
        <b/>
        <sz val="10"/>
        <rFont val="宋体"/>
        <family val="3"/>
        <charset val="134"/>
      </rPr>
      <t>索引号</t>
    </r>
    <phoneticPr fontId="11" type="noConversion"/>
  </si>
  <si>
    <r>
      <rPr>
        <sz val="10"/>
        <color rgb="FF0000FF"/>
        <rFont val="宋体"/>
        <family val="3"/>
        <charset val="134"/>
      </rPr>
      <t>合营企业</t>
    </r>
    <phoneticPr fontId="11" type="noConversion"/>
  </si>
  <si>
    <t>——</t>
    <phoneticPr fontId="11" type="noConversion"/>
  </si>
  <si>
    <r>
      <t>A 1-1/</t>
    </r>
    <r>
      <rPr>
        <sz val="10"/>
        <color rgb="FFFF0000"/>
        <rFont val="Arial Narrow"/>
        <family val="2"/>
      </rPr>
      <t>A1-15 /A1-16</t>
    </r>
    <phoneticPr fontId="11" type="noConversion"/>
  </si>
  <si>
    <t>H8A</t>
    <phoneticPr fontId="11" type="noConversion"/>
  </si>
  <si>
    <r>
      <rPr>
        <b/>
        <sz val="10"/>
        <rFont val="宋体"/>
        <family val="3"/>
        <charset val="134"/>
      </rPr>
      <t>底稿开列时，可先在以下单元格填写有关内容，以便其他底稿引用有关数据：</t>
    </r>
    <phoneticPr fontId="11" type="noConversion"/>
  </si>
  <si>
    <r>
      <rPr>
        <b/>
        <sz val="10"/>
        <rFont val="宋体"/>
        <family val="3"/>
        <charset val="134"/>
      </rPr>
      <t>内容</t>
    </r>
  </si>
  <si>
    <r>
      <rPr>
        <sz val="10"/>
        <rFont val="宋体"/>
        <family val="3"/>
        <charset val="134"/>
      </rPr>
      <t>编制日期：</t>
    </r>
    <phoneticPr fontId="11" type="noConversion"/>
  </si>
  <si>
    <r>
      <rPr>
        <sz val="10"/>
        <color rgb="FF000000"/>
        <rFont val="宋体"/>
        <family val="3"/>
        <charset val="134"/>
      </rPr>
      <t>房屋及建筑物</t>
    </r>
    <phoneticPr fontId="11" type="noConversion"/>
  </si>
  <si>
    <r>
      <rPr>
        <sz val="10"/>
        <rFont val="宋体"/>
        <family val="3"/>
        <charset val="134"/>
      </rPr>
      <t>被审计单位：</t>
    </r>
    <phoneticPr fontId="11" type="noConversion"/>
  </si>
  <si>
    <r>
      <rPr>
        <b/>
        <sz val="10"/>
        <rFont val="宋体"/>
        <family val="3"/>
        <charset val="134"/>
      </rPr>
      <t>序号</t>
    </r>
    <phoneticPr fontId="11" type="noConversion"/>
  </si>
  <si>
    <r>
      <rPr>
        <sz val="10"/>
        <rFont val="宋体"/>
        <family val="3"/>
        <charset val="134"/>
      </rPr>
      <t>编制人：</t>
    </r>
    <phoneticPr fontId="11" type="noConversion"/>
  </si>
  <si>
    <r>
      <rPr>
        <sz val="10"/>
        <rFont val="宋体"/>
        <family val="3"/>
        <charset val="134"/>
      </rPr>
      <t>复核人：</t>
    </r>
    <phoneticPr fontId="11" type="noConversion"/>
  </si>
  <si>
    <r>
      <rPr>
        <sz val="10"/>
        <rFont val="宋体"/>
        <family val="3"/>
        <charset val="134"/>
      </rPr>
      <t>无需打印</t>
    </r>
    <phoneticPr fontId="11" type="noConversion"/>
  </si>
  <si>
    <r>
      <rPr>
        <sz val="10"/>
        <rFont val="宋体"/>
        <family val="3"/>
        <charset val="134"/>
      </rPr>
      <t>复核日期：</t>
    </r>
    <phoneticPr fontId="11" type="noConversion"/>
  </si>
  <si>
    <r>
      <rPr>
        <sz val="10"/>
        <rFont val="宋体"/>
        <family val="3"/>
        <charset val="134"/>
      </rPr>
      <t>无需打印</t>
    </r>
    <phoneticPr fontId="11" type="noConversion"/>
  </si>
  <si>
    <r>
      <rPr>
        <b/>
        <sz val="10"/>
        <color rgb="FF000000"/>
        <rFont val="宋体"/>
        <family val="3"/>
        <charset val="134"/>
      </rPr>
      <t>使用权资产类别设置（以下内容请根据实际情况修改）：</t>
    </r>
    <phoneticPr fontId="11" type="noConversion"/>
  </si>
  <si>
    <r>
      <rPr>
        <sz val="10"/>
        <color rgb="FF000000"/>
        <rFont val="宋体"/>
        <family val="3"/>
        <charset val="134"/>
      </rPr>
      <t>机器设备</t>
    </r>
    <phoneticPr fontId="11" type="noConversion"/>
  </si>
  <si>
    <r>
      <rPr>
        <sz val="10"/>
        <color rgb="FF000000"/>
        <rFont val="宋体"/>
        <family val="3"/>
        <charset val="134"/>
      </rPr>
      <t>运输设备</t>
    </r>
    <phoneticPr fontId="11" type="noConversion"/>
  </si>
  <si>
    <r>
      <rPr>
        <sz val="10"/>
        <color rgb="FF000000"/>
        <rFont val="宋体"/>
        <family val="3"/>
        <charset val="134"/>
      </rPr>
      <t>办公设备</t>
    </r>
    <phoneticPr fontId="11" type="noConversion"/>
  </si>
  <si>
    <r>
      <rPr>
        <sz val="10"/>
        <rFont val="宋体"/>
        <family val="3"/>
        <charset val="134"/>
      </rPr>
      <t>选择使用</t>
    </r>
    <phoneticPr fontId="11" type="noConversion"/>
  </si>
  <si>
    <r>
      <rPr>
        <sz val="10"/>
        <color rgb="FF000000"/>
        <rFont val="宋体"/>
        <family val="3"/>
        <charset val="134"/>
      </rPr>
      <t>其他设备</t>
    </r>
    <phoneticPr fontId="11" type="noConversion"/>
  </si>
  <si>
    <t>H8-1</t>
    <phoneticPr fontId="11" type="noConversion"/>
  </si>
  <si>
    <t>H8-2</t>
    <phoneticPr fontId="11" type="noConversion"/>
  </si>
  <si>
    <t>H8-3</t>
    <phoneticPr fontId="11" type="noConversion"/>
  </si>
  <si>
    <t>H8-4</t>
    <phoneticPr fontId="11" type="noConversion"/>
  </si>
  <si>
    <t>H8-5</t>
    <phoneticPr fontId="11" type="noConversion"/>
  </si>
  <si>
    <t>H8-6</t>
    <phoneticPr fontId="11" type="noConversion"/>
  </si>
  <si>
    <t>H8-7</t>
    <phoneticPr fontId="11" type="noConversion"/>
  </si>
  <si>
    <t>H8-8</t>
    <phoneticPr fontId="11" type="noConversion"/>
  </si>
  <si>
    <t>H8-9</t>
    <phoneticPr fontId="11" type="noConversion"/>
  </si>
  <si>
    <t>H8-10</t>
    <phoneticPr fontId="11" type="noConversion"/>
  </si>
  <si>
    <t>H8-11</t>
    <phoneticPr fontId="11" type="noConversion"/>
  </si>
  <si>
    <t>H8-12</t>
    <phoneticPr fontId="11" type="noConversion"/>
  </si>
  <si>
    <t>H8-13</t>
    <phoneticPr fontId="11" type="noConversion"/>
  </si>
  <si>
    <t>H8-14</t>
    <phoneticPr fontId="11" type="noConversion"/>
  </si>
  <si>
    <t>H8-14</t>
    <phoneticPr fontId="11" type="noConversion"/>
  </si>
  <si>
    <r>
      <rPr>
        <sz val="10"/>
        <color indexed="12"/>
        <rFont val="宋体"/>
        <family val="3"/>
        <charset val="134"/>
      </rPr>
      <t>附注披露信息（上市公司）</t>
    </r>
  </si>
  <si>
    <r>
      <rPr>
        <sz val="10"/>
        <color indexed="12"/>
        <rFont val="宋体"/>
        <family val="3"/>
        <charset val="134"/>
      </rPr>
      <t>附注披露信息（国企）</t>
    </r>
  </si>
  <si>
    <t>使用权资产实质性程序表</t>
    <phoneticPr fontId="11" type="noConversion"/>
  </si>
  <si>
    <t>审定表</t>
    <phoneticPr fontId="11" type="noConversion"/>
  </si>
  <si>
    <t>H8-1</t>
    <phoneticPr fontId="11" type="noConversion"/>
  </si>
  <si>
    <t>H8-3</t>
  </si>
  <si>
    <t>H8-7</t>
  </si>
  <si>
    <t>H8-11</t>
  </si>
  <si>
    <t>H8-13</t>
  </si>
  <si>
    <t>明细表</t>
    <phoneticPr fontId="11" type="noConversion"/>
  </si>
  <si>
    <t>调整分录汇总</t>
    <phoneticPr fontId="11" type="noConversion"/>
  </si>
  <si>
    <t>租赁的识别</t>
    <phoneticPr fontId="11" type="noConversion"/>
  </si>
  <si>
    <t>租赁期的确定</t>
    <phoneticPr fontId="11" type="noConversion"/>
  </si>
  <si>
    <t>租赁变更</t>
    <phoneticPr fontId="11" type="noConversion"/>
  </si>
  <si>
    <t>折旧测算表（不含减值）</t>
    <phoneticPr fontId="11" type="noConversion"/>
  </si>
  <si>
    <t>折旧测算表（含减值）</t>
    <phoneticPr fontId="11" type="noConversion"/>
  </si>
  <si>
    <t>折旧分配分析表</t>
    <phoneticPr fontId="11" type="noConversion"/>
  </si>
  <si>
    <t>减值测算表</t>
    <phoneticPr fontId="11" type="noConversion"/>
  </si>
  <si>
    <t>关联交易检查表</t>
    <phoneticPr fontId="11" type="noConversion"/>
  </si>
  <si>
    <r>
      <rPr>
        <sz val="10"/>
        <color theme="1"/>
        <rFont val="宋体"/>
        <family val="3"/>
        <charset val="134"/>
      </rPr>
      <t>备选</t>
    </r>
    <phoneticPr fontId="6" type="noConversion"/>
  </si>
  <si>
    <r>
      <rPr>
        <b/>
        <sz val="10"/>
        <rFont val="宋体"/>
        <family val="3"/>
        <charset val="134"/>
      </rPr>
      <t>一、本账户涉及的科目</t>
    </r>
    <phoneticPr fontId="11" type="noConversion"/>
  </si>
  <si>
    <r>
      <rPr>
        <sz val="10"/>
        <rFont val="宋体"/>
        <family val="3"/>
        <charset val="134"/>
      </rPr>
      <t>使用权资产、累计折旧、减值准备</t>
    </r>
    <phoneticPr fontId="6" type="noConversion"/>
  </si>
  <si>
    <r>
      <rPr>
        <b/>
        <sz val="10"/>
        <rFont val="宋体"/>
        <family val="3"/>
        <charset val="134"/>
      </rPr>
      <t>√</t>
    </r>
    <phoneticPr fontId="11" type="noConversion"/>
  </si>
  <si>
    <r>
      <t>5</t>
    </r>
    <r>
      <rPr>
        <sz val="10"/>
        <rFont val="宋体"/>
        <family val="3"/>
        <charset val="134"/>
      </rPr>
      <t>、</t>
    </r>
    <phoneticPr fontId="11" type="noConversion"/>
  </si>
  <si>
    <r>
      <rPr>
        <sz val="10"/>
        <rFont val="宋体"/>
        <family val="3"/>
        <charset val="134"/>
      </rPr>
      <t>√</t>
    </r>
  </si>
  <si>
    <r>
      <rPr>
        <sz val="10"/>
        <rFont val="宋体"/>
        <family val="3"/>
        <charset val="134"/>
      </rPr>
      <t>根据评估的舞弊风险等因素增加的审计程序。</t>
    </r>
  </si>
  <si>
    <r>
      <rPr>
        <b/>
        <sz val="10"/>
        <rFont val="宋体"/>
        <family val="3"/>
        <charset val="134"/>
      </rPr>
      <t>序号</t>
    </r>
    <phoneticPr fontId="11" type="noConversion"/>
  </si>
  <si>
    <r>
      <rPr>
        <sz val="10"/>
        <color theme="1"/>
        <rFont val="宋体"/>
        <family val="3"/>
        <charset val="134"/>
      </rPr>
      <t>常规★</t>
    </r>
    <phoneticPr fontId="6" type="noConversion"/>
  </si>
  <si>
    <r>
      <rPr>
        <sz val="10"/>
        <color theme="1"/>
        <rFont val="宋体"/>
        <family val="3"/>
        <charset val="134"/>
      </rPr>
      <t>常规★</t>
    </r>
    <phoneticPr fontId="6" type="noConversion"/>
  </si>
  <si>
    <r>
      <rPr>
        <sz val="10"/>
        <color theme="1"/>
        <rFont val="宋体"/>
        <family val="3"/>
        <charset val="134"/>
      </rPr>
      <t>常规★</t>
    </r>
    <phoneticPr fontId="6" type="noConversion"/>
  </si>
  <si>
    <r>
      <rPr>
        <sz val="10"/>
        <rFont val="宋体"/>
        <family val="3"/>
        <charset val="134"/>
      </rPr>
      <t>存在</t>
    </r>
    <phoneticPr fontId="11" type="noConversion"/>
  </si>
  <si>
    <r>
      <rPr>
        <b/>
        <sz val="10"/>
        <rFont val="宋体"/>
        <family val="3"/>
        <charset val="134"/>
      </rPr>
      <t>财务报表的认定</t>
    </r>
    <phoneticPr fontId="11" type="noConversion"/>
  </si>
  <si>
    <r>
      <rPr>
        <b/>
        <sz val="10"/>
        <rFont val="宋体"/>
        <family val="3"/>
        <charset val="134"/>
      </rPr>
      <t>权利和
义务</t>
    </r>
    <phoneticPr fontId="11" type="noConversion"/>
  </si>
  <si>
    <r>
      <rPr>
        <b/>
        <sz val="10"/>
        <rFont val="宋体"/>
        <family val="3"/>
        <charset val="134"/>
      </rPr>
      <t>准确性、计价和分摊</t>
    </r>
    <phoneticPr fontId="11" type="noConversion"/>
  </si>
  <si>
    <r>
      <rPr>
        <sz val="10"/>
        <color theme="1"/>
        <rFont val="宋体"/>
        <family val="3"/>
        <charset val="134"/>
      </rPr>
      <t>常规★</t>
    </r>
    <phoneticPr fontId="6" type="noConversion"/>
  </si>
  <si>
    <r>
      <t xml:space="preserve">A. </t>
    </r>
    <r>
      <rPr>
        <sz val="10"/>
        <rFont val="宋体"/>
        <family val="3"/>
        <charset val="134"/>
      </rPr>
      <t>资产负债表中记录的使用权资产是存在的，且已记录于恰当的账户</t>
    </r>
    <phoneticPr fontId="11" type="noConversion"/>
  </si>
  <si>
    <r>
      <rPr>
        <b/>
        <sz val="10"/>
        <rFont val="宋体"/>
        <family val="3"/>
        <charset val="134"/>
      </rPr>
      <t>底稿索引号</t>
    </r>
    <phoneticPr fontId="11" type="noConversion"/>
  </si>
  <si>
    <r>
      <rPr>
        <b/>
        <sz val="10"/>
        <rFont val="宋体"/>
        <family val="3"/>
        <charset val="134"/>
      </rPr>
      <t>存在</t>
    </r>
    <phoneticPr fontId="11" type="noConversion"/>
  </si>
  <si>
    <r>
      <rPr>
        <b/>
        <sz val="10"/>
        <rFont val="宋体"/>
        <family val="3"/>
        <charset val="134"/>
      </rPr>
      <t>完整性</t>
    </r>
    <phoneticPr fontId="11" type="noConversion"/>
  </si>
  <si>
    <r>
      <rPr>
        <b/>
        <sz val="10"/>
        <rFont val="宋体"/>
        <family val="3"/>
        <charset val="134"/>
      </rPr>
      <t>列报</t>
    </r>
    <phoneticPr fontId="11" type="noConversion"/>
  </si>
  <si>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phoneticPr fontId="6" type="noConversion"/>
  </si>
  <si>
    <r>
      <rPr>
        <sz val="10"/>
        <rFont val="宋体"/>
        <family val="3"/>
        <charset val="134"/>
      </rPr>
      <t>检查关联交易情况，检查关联交易的真实性、合理性及合规性；检查关联交易会计处理是否正确，考虑是否存在未识别的关联方，检查关联交易和余额披露是否正确。</t>
    </r>
    <phoneticPr fontId="11" type="noConversion"/>
  </si>
  <si>
    <r>
      <rPr>
        <b/>
        <sz val="10"/>
        <rFont val="宋体"/>
        <family val="3"/>
        <charset val="134"/>
      </rPr>
      <t>期初数</t>
    </r>
    <phoneticPr fontId="11" type="noConversion"/>
  </si>
  <si>
    <r>
      <rPr>
        <b/>
        <sz val="10"/>
        <rFont val="宋体"/>
        <family val="3"/>
        <charset val="134"/>
      </rPr>
      <t>期末数</t>
    </r>
    <phoneticPr fontId="11" type="noConversion"/>
  </si>
  <si>
    <r>
      <rPr>
        <b/>
        <sz val="10"/>
        <color indexed="8"/>
        <rFont val="宋体"/>
        <family val="3"/>
        <charset val="134"/>
      </rPr>
      <t>本期审定数与上期
审定数的比较</t>
    </r>
    <phoneticPr fontId="11" type="noConversion"/>
  </si>
  <si>
    <r>
      <rPr>
        <b/>
        <sz val="10"/>
        <rFont val="宋体"/>
        <family val="3"/>
        <charset val="134"/>
      </rPr>
      <t>未审数</t>
    </r>
    <phoneticPr fontId="11" type="noConversion"/>
  </si>
  <si>
    <r>
      <rPr>
        <b/>
        <sz val="10"/>
        <rFont val="宋体"/>
        <family val="3"/>
        <charset val="134"/>
      </rPr>
      <t>账项调整</t>
    </r>
    <phoneticPr fontId="11" type="noConversion"/>
  </si>
  <si>
    <r>
      <rPr>
        <b/>
        <sz val="10"/>
        <rFont val="宋体"/>
        <family val="3"/>
        <charset val="134"/>
      </rPr>
      <t>审定数</t>
    </r>
    <phoneticPr fontId="11" type="noConversion"/>
  </si>
  <si>
    <r>
      <rPr>
        <b/>
        <sz val="10"/>
        <rFont val="宋体"/>
        <family val="3"/>
        <charset val="134"/>
      </rPr>
      <t>未审数</t>
    </r>
    <phoneticPr fontId="11" type="noConversion"/>
  </si>
  <si>
    <r>
      <rPr>
        <b/>
        <sz val="10"/>
        <rFont val="宋体"/>
        <family val="3"/>
        <charset val="134"/>
      </rPr>
      <t>审定数</t>
    </r>
    <phoneticPr fontId="11" type="noConversion"/>
  </si>
  <si>
    <r>
      <rPr>
        <b/>
        <sz val="10"/>
        <rFont val="宋体"/>
        <family val="3"/>
        <charset val="134"/>
      </rPr>
      <t>变动额</t>
    </r>
    <phoneticPr fontId="11" type="noConversion"/>
  </si>
  <si>
    <r>
      <rPr>
        <b/>
        <sz val="10"/>
        <color indexed="8"/>
        <rFont val="宋体"/>
        <family val="3"/>
        <charset val="134"/>
      </rPr>
      <t>变动率</t>
    </r>
    <phoneticPr fontId="11" type="noConversion"/>
  </si>
  <si>
    <r>
      <rPr>
        <b/>
        <sz val="10"/>
        <color indexed="8"/>
        <rFont val="宋体"/>
        <family val="3"/>
        <charset val="134"/>
      </rPr>
      <t>一、使用权资产原值</t>
    </r>
  </si>
  <si>
    <r>
      <rPr>
        <b/>
        <sz val="10"/>
        <color indexed="8"/>
        <rFont val="宋体"/>
        <family val="3"/>
        <charset val="134"/>
      </rPr>
      <t>合计</t>
    </r>
    <phoneticPr fontId="11" type="noConversion"/>
  </si>
  <si>
    <r>
      <rPr>
        <b/>
        <sz val="10"/>
        <color indexed="8"/>
        <rFont val="宋体"/>
        <family val="3"/>
        <charset val="134"/>
      </rPr>
      <t>二、累计折旧</t>
    </r>
    <phoneticPr fontId="11" type="noConversion"/>
  </si>
  <si>
    <r>
      <rPr>
        <b/>
        <sz val="10"/>
        <color indexed="8"/>
        <rFont val="宋体"/>
        <family val="3"/>
        <charset val="134"/>
      </rPr>
      <t>三、减值准备</t>
    </r>
    <phoneticPr fontId="11" type="noConversion"/>
  </si>
  <si>
    <r>
      <rPr>
        <b/>
        <sz val="10"/>
        <color indexed="8"/>
        <rFont val="宋体"/>
        <family val="3"/>
        <charset val="134"/>
      </rPr>
      <t>四、净值</t>
    </r>
    <phoneticPr fontId="11" type="noConversion"/>
  </si>
  <si>
    <r>
      <rPr>
        <b/>
        <sz val="10"/>
        <color indexed="8"/>
        <rFont val="宋体"/>
        <family val="3"/>
        <charset val="134"/>
      </rPr>
      <t>合计</t>
    </r>
    <phoneticPr fontId="11" type="noConversion"/>
  </si>
  <si>
    <r>
      <t>1</t>
    </r>
    <r>
      <rPr>
        <b/>
        <sz val="10"/>
        <rFont val="宋体"/>
        <family val="3"/>
        <charset val="134"/>
      </rPr>
      <t>、审计说明：</t>
    </r>
    <phoneticPr fontId="11" type="noConversion"/>
  </si>
  <si>
    <r>
      <rPr>
        <sz val="10"/>
        <rFont val="宋体"/>
        <family val="3"/>
        <charset val="134"/>
      </rPr>
      <t>（</t>
    </r>
    <r>
      <rPr>
        <sz val="10"/>
        <rFont val="Arial Narrow"/>
        <family val="2"/>
      </rPr>
      <t>1</t>
    </r>
    <r>
      <rPr>
        <sz val="10"/>
        <rFont val="宋体"/>
        <family val="3"/>
        <charset val="134"/>
      </rPr>
      <t>）使用权资产期末净值较期初净值增加（负数为减少）：</t>
    </r>
  </si>
  <si>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11" type="noConversion"/>
  </si>
  <si>
    <r>
      <rPr>
        <sz val="10"/>
        <rFont val="宋体"/>
        <family val="3"/>
        <charset val="134"/>
      </rPr>
      <t>（</t>
    </r>
    <r>
      <rPr>
        <sz val="10"/>
        <rFont val="Arial Narrow"/>
        <family val="2"/>
      </rPr>
      <t>2</t>
    </r>
    <r>
      <rPr>
        <sz val="10"/>
        <rFont val="宋体"/>
        <family val="3"/>
        <charset val="134"/>
      </rPr>
      <t>）采用简化处理方法的情况说明：（短期租赁、低价值资产和未纳入租赁负债计量的可变租赁付款额当期计入费用的情况）</t>
    </r>
    <phoneticPr fontId="11" type="noConversion"/>
  </si>
  <si>
    <r>
      <rPr>
        <sz val="10"/>
        <rFont val="宋体"/>
        <family val="3"/>
        <charset val="134"/>
      </rPr>
      <t>（</t>
    </r>
    <r>
      <rPr>
        <sz val="10"/>
        <rFont val="Arial Narrow"/>
        <family val="2"/>
      </rPr>
      <t>3</t>
    </r>
    <r>
      <rPr>
        <sz val="10"/>
        <rFont val="宋体"/>
        <family val="3"/>
        <charset val="134"/>
      </rPr>
      <t>）转租情况说明：（转租使用权资产取得的收入）</t>
    </r>
    <phoneticPr fontId="11" type="noConversion"/>
  </si>
  <si>
    <r>
      <t>2</t>
    </r>
    <r>
      <rPr>
        <b/>
        <sz val="10"/>
        <rFont val="宋体"/>
        <family val="3"/>
        <charset val="134"/>
      </rPr>
      <t>、审计结论：</t>
    </r>
    <phoneticPr fontId="11" type="noConversion"/>
  </si>
  <si>
    <t xml:space="preserve">    ……</t>
  </si>
  <si>
    <r>
      <rPr>
        <b/>
        <sz val="10"/>
        <color rgb="FF000000"/>
        <rFont val="宋体"/>
        <family val="3"/>
        <charset val="134"/>
      </rPr>
      <t>项</t>
    </r>
    <r>
      <rPr>
        <b/>
        <sz val="10"/>
        <color rgb="FF000000"/>
        <rFont val="Arial Narrow"/>
        <family val="2"/>
      </rPr>
      <t xml:space="preserve">  </t>
    </r>
    <r>
      <rPr>
        <b/>
        <sz val="10"/>
        <color rgb="FF000000"/>
        <rFont val="宋体"/>
        <family val="3"/>
        <charset val="134"/>
      </rPr>
      <t>目</t>
    </r>
  </si>
  <si>
    <r>
      <rPr>
        <b/>
        <sz val="10"/>
        <color rgb="FF000000"/>
        <rFont val="宋体"/>
        <family val="3"/>
        <charset val="134"/>
      </rPr>
      <t>房屋及建筑物</t>
    </r>
  </si>
  <si>
    <r>
      <rPr>
        <b/>
        <sz val="10"/>
        <color rgb="FF000000"/>
        <rFont val="宋体"/>
        <family val="3"/>
        <charset val="134"/>
      </rPr>
      <t>机器设备</t>
    </r>
  </si>
  <si>
    <r>
      <rPr>
        <b/>
        <sz val="10"/>
        <color rgb="FF000000"/>
        <rFont val="宋体"/>
        <family val="3"/>
        <charset val="134"/>
      </rPr>
      <t>运输设备</t>
    </r>
  </si>
  <si>
    <r>
      <rPr>
        <b/>
        <sz val="10"/>
        <color rgb="FF000000"/>
        <rFont val="宋体"/>
        <family val="3"/>
        <charset val="134"/>
      </rPr>
      <t>合</t>
    </r>
    <r>
      <rPr>
        <b/>
        <sz val="10"/>
        <color rgb="FF000000"/>
        <rFont val="Arial Narrow"/>
        <family val="2"/>
      </rPr>
      <t xml:space="preserve">  </t>
    </r>
    <r>
      <rPr>
        <b/>
        <sz val="10"/>
        <color rgb="FF000000"/>
        <rFont val="宋体"/>
        <family val="3"/>
        <charset val="134"/>
      </rPr>
      <t>计</t>
    </r>
  </si>
  <si>
    <r>
      <rPr>
        <sz val="10"/>
        <color indexed="12"/>
        <rFont val="宋体"/>
        <family val="3"/>
        <charset val="134"/>
      </rPr>
      <t>返回目录</t>
    </r>
    <phoneticPr fontId="11" type="noConversion"/>
  </si>
  <si>
    <r>
      <rPr>
        <sz val="10"/>
        <color rgb="FF000000"/>
        <rFont val="宋体"/>
        <family val="3"/>
        <charset val="134"/>
      </rPr>
      <t>一、账面原值：</t>
    </r>
  </si>
  <si>
    <r>
      <t xml:space="preserve">    1.</t>
    </r>
    <r>
      <rPr>
        <sz val="10"/>
        <color rgb="FF000000"/>
        <rFont val="宋体"/>
        <family val="3"/>
        <charset val="134"/>
      </rPr>
      <t>期初余额</t>
    </r>
  </si>
  <si>
    <r>
      <t xml:space="preserve">    2.</t>
    </r>
    <r>
      <rPr>
        <sz val="10"/>
        <color rgb="FF000000"/>
        <rFont val="宋体"/>
        <family val="3"/>
        <charset val="134"/>
      </rPr>
      <t>本期增加金额</t>
    </r>
  </si>
  <si>
    <r>
      <t xml:space="preserve">    </t>
    </r>
    <r>
      <rPr>
        <sz val="10"/>
        <color rgb="FF000000"/>
        <rFont val="宋体"/>
        <family val="3"/>
        <charset val="134"/>
      </rPr>
      <t>（</t>
    </r>
    <r>
      <rPr>
        <sz val="10"/>
        <color rgb="FF000000"/>
        <rFont val="Arial Narrow"/>
        <family val="2"/>
      </rPr>
      <t>1</t>
    </r>
    <r>
      <rPr>
        <sz val="10"/>
        <color rgb="FF000000"/>
        <rFont val="宋体"/>
        <family val="3"/>
        <charset val="134"/>
      </rPr>
      <t>）租入</t>
    </r>
  </si>
  <si>
    <r>
      <t xml:space="preserve">    </t>
    </r>
    <r>
      <rPr>
        <sz val="10"/>
        <color rgb="FF000000"/>
        <rFont val="宋体"/>
        <family val="3"/>
        <charset val="134"/>
      </rPr>
      <t>（</t>
    </r>
    <r>
      <rPr>
        <sz val="10"/>
        <color rgb="FF000000"/>
        <rFont val="Arial Narrow"/>
        <family val="2"/>
      </rPr>
      <t>2</t>
    </r>
    <r>
      <rPr>
        <sz val="10"/>
        <color rgb="FF000000"/>
        <rFont val="宋体"/>
        <family val="3"/>
        <charset val="134"/>
      </rPr>
      <t>）</t>
    </r>
    <r>
      <rPr>
        <sz val="10"/>
        <color rgb="FFFF0000"/>
        <rFont val="宋体"/>
        <family val="3"/>
        <charset val="134"/>
      </rPr>
      <t>租赁负债调整</t>
    </r>
  </si>
  <si>
    <r>
      <t xml:space="preserve">    3.</t>
    </r>
    <r>
      <rPr>
        <sz val="10"/>
        <color rgb="FF000000"/>
        <rFont val="宋体"/>
        <family val="3"/>
        <charset val="134"/>
      </rPr>
      <t>本期减少金额</t>
    </r>
  </si>
  <si>
    <r>
      <t xml:space="preserve">    </t>
    </r>
    <r>
      <rPr>
        <sz val="10"/>
        <color rgb="FF000000"/>
        <rFont val="宋体"/>
        <family val="3"/>
        <charset val="134"/>
      </rPr>
      <t>（</t>
    </r>
    <r>
      <rPr>
        <sz val="10"/>
        <color rgb="FF000000"/>
        <rFont val="Arial Narrow"/>
        <family val="2"/>
      </rPr>
      <t>1</t>
    </r>
    <r>
      <rPr>
        <sz val="10"/>
        <color rgb="FF000000"/>
        <rFont val="宋体"/>
        <family val="3"/>
        <charset val="134"/>
      </rPr>
      <t>）转租赁为融资租赁</t>
    </r>
  </si>
  <si>
    <r>
      <t xml:space="preserve">    </t>
    </r>
    <r>
      <rPr>
        <sz val="10"/>
        <color rgb="FF000000"/>
        <rFont val="宋体"/>
        <family val="3"/>
        <charset val="134"/>
      </rPr>
      <t>（</t>
    </r>
    <r>
      <rPr>
        <sz val="10"/>
        <color rgb="FF000000"/>
        <rFont val="Arial Narrow"/>
        <family val="2"/>
      </rPr>
      <t>2</t>
    </r>
    <r>
      <rPr>
        <sz val="10"/>
        <color rgb="FF000000"/>
        <rFont val="宋体"/>
        <family val="3"/>
        <charset val="134"/>
      </rPr>
      <t>）转让或持有待售</t>
    </r>
  </si>
  <si>
    <r>
      <t xml:space="preserve">    </t>
    </r>
    <r>
      <rPr>
        <sz val="10"/>
        <color rgb="FF000000"/>
        <rFont val="宋体"/>
        <family val="3"/>
        <charset val="134"/>
      </rPr>
      <t>（</t>
    </r>
    <r>
      <rPr>
        <sz val="10"/>
        <color rgb="FF000000"/>
        <rFont val="Arial Narrow"/>
        <family val="2"/>
      </rPr>
      <t>3</t>
    </r>
    <r>
      <rPr>
        <sz val="10"/>
        <color rgb="FF000000"/>
        <rFont val="宋体"/>
        <family val="3"/>
        <charset val="134"/>
      </rPr>
      <t>）其他减少</t>
    </r>
  </si>
  <si>
    <r>
      <t xml:space="preserve">    4. </t>
    </r>
    <r>
      <rPr>
        <sz val="10"/>
        <color rgb="FF000000"/>
        <rFont val="宋体"/>
        <family val="3"/>
        <charset val="134"/>
      </rPr>
      <t>期末余额</t>
    </r>
  </si>
  <si>
    <r>
      <rPr>
        <sz val="10"/>
        <color rgb="FF000000"/>
        <rFont val="宋体"/>
        <family val="3"/>
        <charset val="134"/>
      </rPr>
      <t>二、累计折旧</t>
    </r>
  </si>
  <si>
    <r>
      <t xml:space="preserve">    </t>
    </r>
    <r>
      <rPr>
        <sz val="10"/>
        <color rgb="FF000000"/>
        <rFont val="宋体"/>
        <family val="3"/>
        <charset val="134"/>
      </rPr>
      <t>（</t>
    </r>
    <r>
      <rPr>
        <sz val="10"/>
        <color rgb="FF000000"/>
        <rFont val="Arial Narrow"/>
        <family val="2"/>
      </rPr>
      <t>1</t>
    </r>
    <r>
      <rPr>
        <sz val="10"/>
        <color rgb="FF000000"/>
        <rFont val="宋体"/>
        <family val="3"/>
        <charset val="134"/>
      </rPr>
      <t>）计提</t>
    </r>
  </si>
  <si>
    <r>
      <t xml:space="preserve">    </t>
    </r>
    <r>
      <rPr>
        <sz val="10"/>
        <color rgb="FF000000"/>
        <rFont val="宋体"/>
        <family val="3"/>
        <charset val="134"/>
      </rPr>
      <t>（</t>
    </r>
    <r>
      <rPr>
        <sz val="10"/>
        <color rgb="FF000000"/>
        <rFont val="Arial Narrow"/>
        <family val="2"/>
      </rPr>
      <t>2</t>
    </r>
    <r>
      <rPr>
        <sz val="10"/>
        <color rgb="FF000000"/>
        <rFont val="宋体"/>
        <family val="3"/>
        <charset val="134"/>
      </rPr>
      <t>）其他增加</t>
    </r>
  </si>
  <si>
    <r>
      <rPr>
        <sz val="10"/>
        <color rgb="FF000000"/>
        <rFont val="宋体"/>
        <family val="3"/>
        <charset val="134"/>
      </rPr>
      <t>三、减值准备</t>
    </r>
  </si>
  <si>
    <r>
      <rPr>
        <sz val="10"/>
        <color rgb="FF000000"/>
        <rFont val="宋体"/>
        <family val="3"/>
        <charset val="134"/>
      </rPr>
      <t>四、账面价值</t>
    </r>
  </si>
  <si>
    <r>
      <t xml:space="preserve">    1. </t>
    </r>
    <r>
      <rPr>
        <sz val="10"/>
        <color rgb="FF000000"/>
        <rFont val="宋体"/>
        <family val="3"/>
        <charset val="134"/>
      </rPr>
      <t>期末账面价值</t>
    </r>
  </si>
  <si>
    <r>
      <t xml:space="preserve">    2. </t>
    </r>
    <r>
      <rPr>
        <sz val="10"/>
        <color rgb="FF000000"/>
        <rFont val="宋体"/>
        <family val="3"/>
        <charset val="134"/>
      </rPr>
      <t>期初账面价值</t>
    </r>
  </si>
  <si>
    <r>
      <rPr>
        <sz val="10"/>
        <color rgb="FF0000FF"/>
        <rFont val="宋体"/>
        <family val="3"/>
        <charset val="134"/>
      </rPr>
      <t>本公司确认与短期租赁和低价值资产租赁相关的租赁费用见</t>
    </r>
    <r>
      <rPr>
        <sz val="10"/>
        <color rgb="FFFF0000"/>
        <rFont val="宋体"/>
        <family val="3"/>
        <charset val="134"/>
      </rPr>
      <t>附注五、</t>
    </r>
    <r>
      <rPr>
        <sz val="10"/>
        <color rgb="FFFF0000"/>
        <rFont val="Arial Narrow"/>
        <family val="2"/>
      </rPr>
      <t>82</t>
    </r>
    <r>
      <rPr>
        <sz val="10"/>
        <color rgb="FF0000FF"/>
        <rFont val="宋体"/>
        <family val="3"/>
        <charset val="134"/>
      </rPr>
      <t>。</t>
    </r>
  </si>
  <si>
    <r>
      <rPr>
        <sz val="10"/>
        <color rgb="FF0000FF"/>
        <rFont val="宋体"/>
        <family val="3"/>
        <charset val="134"/>
      </rPr>
      <t>【长期资产本期进行减值测试的，应披露可收回金额的具体确定方法。可收回金额按公允价值减去处置费用后的净额确定的，应披露公允价值和处置费用的确定方式、关键参数及其确定依据。可收回金额按预计未来现金流量的现值确定的，应披露预测期的年限、预测期及稳定期的关键参数及其确定依据。前述信息与以前年度减值测试采用的信息或外部信息明显不一致的，或公司以前年度减值测试采用信息与当年实际情况明显不一致的，应披露差异原因。（</t>
    </r>
    <r>
      <rPr>
        <sz val="10"/>
        <color rgb="FF0000FF"/>
        <rFont val="Arial Narrow"/>
        <family val="2"/>
      </rPr>
      <t>15</t>
    </r>
    <r>
      <rPr>
        <sz val="10"/>
        <color rgb="FF0000FF"/>
        <rFont val="宋体"/>
        <family val="3"/>
        <charset val="134"/>
      </rPr>
      <t>号文第十九条（十九）</t>
    </r>
  </si>
  <si>
    <r>
      <rPr>
        <sz val="10"/>
        <color rgb="FF0000FF"/>
        <rFont val="宋体"/>
        <family val="3"/>
        <charset val="134"/>
      </rPr>
      <t>注意：</t>
    </r>
    <r>
      <rPr>
        <sz val="10"/>
        <color rgb="FF0000FF"/>
        <rFont val="Arial Narrow"/>
        <family val="2"/>
      </rPr>
      <t>1</t>
    </r>
    <r>
      <rPr>
        <sz val="10"/>
        <color rgb="FF0000FF"/>
        <rFont val="宋体"/>
        <family val="3"/>
        <charset val="134"/>
      </rPr>
      <t>、本年执行减值测试的，即使未计提减值，也要参照上述要求披露。</t>
    </r>
    <r>
      <rPr>
        <sz val="10"/>
        <color rgb="FF0000FF"/>
        <rFont val="Arial Narrow"/>
        <family val="2"/>
      </rPr>
      <t>2</t>
    </r>
    <r>
      <rPr>
        <sz val="10"/>
        <color rgb="FF0000FF"/>
        <rFont val="宋体"/>
        <family val="3"/>
        <charset val="134"/>
      </rPr>
      <t>、估计可收回金额时通常不应使用重置成本法。】</t>
    </r>
  </si>
  <si>
    <r>
      <rPr>
        <b/>
        <sz val="10"/>
        <color rgb="FF000000"/>
        <rFont val="宋体"/>
        <family val="3"/>
        <charset val="134"/>
      </rPr>
      <t>期初余额</t>
    </r>
  </si>
  <si>
    <r>
      <rPr>
        <b/>
        <sz val="10"/>
        <color rgb="FF000000"/>
        <rFont val="宋体"/>
        <family val="3"/>
        <charset val="134"/>
      </rPr>
      <t>本期增加</t>
    </r>
  </si>
  <si>
    <r>
      <rPr>
        <b/>
        <sz val="10"/>
        <color rgb="FF000000"/>
        <rFont val="宋体"/>
        <family val="3"/>
        <charset val="134"/>
      </rPr>
      <t>本期减少</t>
    </r>
  </si>
  <si>
    <r>
      <rPr>
        <b/>
        <sz val="10"/>
        <color rgb="FF000000"/>
        <rFont val="宋体"/>
        <family val="3"/>
        <charset val="134"/>
      </rPr>
      <t>期末余额</t>
    </r>
  </si>
  <si>
    <r>
      <rPr>
        <sz val="10"/>
        <color indexed="12"/>
        <rFont val="宋体"/>
        <family val="3"/>
        <charset val="134"/>
      </rPr>
      <t>返回目录</t>
    </r>
    <phoneticPr fontId="11" type="noConversion"/>
  </si>
  <si>
    <r>
      <rPr>
        <sz val="10"/>
        <color rgb="FF000000"/>
        <rFont val="宋体"/>
        <family val="3"/>
        <charset val="134"/>
      </rPr>
      <t>一、账面原值合计</t>
    </r>
  </si>
  <si>
    <r>
      <rPr>
        <sz val="10"/>
        <color rgb="FF000000"/>
        <rFont val="宋体"/>
        <family val="3"/>
        <charset val="134"/>
      </rPr>
      <t>其中：土地</t>
    </r>
  </si>
  <si>
    <r>
      <t xml:space="preserve">      </t>
    </r>
    <r>
      <rPr>
        <sz val="10"/>
        <color rgb="FF000000"/>
        <rFont val="宋体"/>
        <family val="3"/>
        <charset val="134"/>
      </rPr>
      <t>房屋、建筑物</t>
    </r>
  </si>
  <si>
    <r>
      <t xml:space="preserve">      </t>
    </r>
    <r>
      <rPr>
        <sz val="10"/>
        <color rgb="FF000000"/>
        <rFont val="宋体"/>
        <family val="3"/>
        <charset val="134"/>
      </rPr>
      <t>机器、运输、办公设备</t>
    </r>
  </si>
  <si>
    <r>
      <t xml:space="preserve">      </t>
    </r>
    <r>
      <rPr>
        <sz val="10"/>
        <color rgb="FF000000"/>
        <rFont val="宋体"/>
        <family val="3"/>
        <charset val="134"/>
      </rPr>
      <t>其他</t>
    </r>
  </si>
  <si>
    <r>
      <rPr>
        <sz val="10"/>
        <color rgb="FF000000"/>
        <rFont val="宋体"/>
        <family val="3"/>
        <charset val="134"/>
      </rPr>
      <t>二、累计折旧合计</t>
    </r>
  </si>
  <si>
    <r>
      <rPr>
        <sz val="10"/>
        <color rgb="FF000000"/>
        <rFont val="宋体"/>
        <family val="3"/>
        <charset val="134"/>
      </rPr>
      <t>三、使用权资产账面净值合计</t>
    </r>
  </si>
  <si>
    <r>
      <rPr>
        <sz val="10"/>
        <color rgb="FF000000"/>
        <rFont val="宋体"/>
        <family val="3"/>
        <charset val="134"/>
      </rPr>
      <t>四、减值准备合计</t>
    </r>
  </si>
  <si>
    <r>
      <rPr>
        <sz val="10"/>
        <color rgb="FF000000"/>
        <rFont val="宋体"/>
        <family val="3"/>
        <charset val="134"/>
      </rPr>
      <t>五、使用权资产账面价值合计</t>
    </r>
  </si>
  <si>
    <r>
      <rPr>
        <b/>
        <sz val="10"/>
        <color indexed="8"/>
        <rFont val="宋体"/>
        <family val="3"/>
        <charset val="134"/>
      </rPr>
      <t>一、审计目标：</t>
    </r>
    <phoneticPr fontId="15" type="noConversion"/>
  </si>
  <si>
    <r>
      <t xml:space="preserve">1. </t>
    </r>
    <r>
      <rPr>
        <sz val="10"/>
        <color indexed="8"/>
        <rFont val="宋体"/>
        <family val="3"/>
        <charset val="134"/>
      </rPr>
      <t>资产负债表中记录的使用权资产是存在的，且已记录于恰当的账户；</t>
    </r>
    <r>
      <rPr>
        <sz val="10"/>
        <color indexed="8"/>
        <rFont val="Arial Narrow"/>
        <family val="2"/>
      </rPr>
      <t xml:space="preserve">2. </t>
    </r>
    <r>
      <rPr>
        <sz val="10"/>
        <color indexed="8"/>
        <rFont val="宋体"/>
        <family val="3"/>
        <charset val="134"/>
      </rPr>
      <t>所有应记录的使用权资产均已记录，所有应当包括在财务报表中的相关披露均已包括；</t>
    </r>
    <r>
      <rPr>
        <sz val="10"/>
        <color indexed="8"/>
        <rFont val="Arial Narrow"/>
        <family val="2"/>
      </rPr>
      <t>3.</t>
    </r>
    <r>
      <rPr>
        <sz val="10"/>
        <color indexed="8"/>
        <rFont val="宋体"/>
        <family val="3"/>
        <charset val="134"/>
      </rPr>
      <t>使用权资产以恰当的金额包括在财务报表中，与之相关的计价或分摊调整已恰当记录，相关披露已得到恰当计量和描述。</t>
    </r>
    <phoneticPr fontId="11" type="noConversion"/>
  </si>
  <si>
    <r>
      <rPr>
        <b/>
        <sz val="10"/>
        <rFont val="宋体"/>
        <family val="3"/>
        <charset val="134"/>
      </rPr>
      <t>二、审计过程：</t>
    </r>
    <phoneticPr fontId="11" type="noConversion"/>
  </si>
  <si>
    <r>
      <rPr>
        <b/>
        <sz val="10"/>
        <rFont val="宋体"/>
        <family val="3"/>
        <charset val="134"/>
      </rPr>
      <t>使用权资产类别</t>
    </r>
    <phoneticPr fontId="11" type="noConversion"/>
  </si>
  <si>
    <r>
      <rPr>
        <b/>
        <sz val="10"/>
        <rFont val="宋体"/>
        <family val="3"/>
        <charset val="134"/>
      </rPr>
      <t>使用权资产名称</t>
    </r>
    <phoneticPr fontId="11" type="noConversion"/>
  </si>
  <si>
    <r>
      <rPr>
        <b/>
        <sz val="10"/>
        <rFont val="宋体"/>
        <family val="3"/>
        <charset val="134"/>
      </rPr>
      <t>使用权资产编号</t>
    </r>
    <phoneticPr fontId="11" type="noConversion"/>
  </si>
  <si>
    <r>
      <rPr>
        <b/>
        <sz val="10"/>
        <color indexed="8"/>
        <rFont val="宋体"/>
        <family val="3"/>
        <charset val="134"/>
      </rPr>
      <t>使用权资产原值</t>
    </r>
  </si>
  <si>
    <r>
      <rPr>
        <b/>
        <sz val="10"/>
        <color indexed="8"/>
        <rFont val="宋体"/>
        <family val="3"/>
        <charset val="134"/>
      </rPr>
      <t>累计折旧</t>
    </r>
    <phoneticPr fontId="45" type="noConversion"/>
  </si>
  <si>
    <r>
      <rPr>
        <b/>
        <sz val="10"/>
        <color indexed="8"/>
        <rFont val="宋体"/>
        <family val="3"/>
        <charset val="134"/>
      </rPr>
      <t>减值准备</t>
    </r>
    <phoneticPr fontId="45" type="noConversion"/>
  </si>
  <si>
    <r>
      <rPr>
        <b/>
        <sz val="10"/>
        <color indexed="8"/>
        <rFont val="宋体"/>
        <family val="3"/>
        <charset val="134"/>
      </rPr>
      <t>审定净值</t>
    </r>
    <phoneticPr fontId="11" type="noConversion"/>
  </si>
  <si>
    <r>
      <rPr>
        <b/>
        <sz val="10"/>
        <color indexed="8"/>
        <rFont val="宋体"/>
        <family val="3"/>
        <charset val="134"/>
      </rPr>
      <t>未审数</t>
    </r>
    <phoneticPr fontId="45" type="noConversion"/>
  </si>
  <si>
    <r>
      <rPr>
        <b/>
        <sz val="10"/>
        <color indexed="8"/>
        <rFont val="宋体"/>
        <family val="3"/>
        <charset val="134"/>
      </rPr>
      <t>期初调整</t>
    </r>
    <phoneticPr fontId="11" type="noConversion"/>
  </si>
  <si>
    <r>
      <rPr>
        <b/>
        <sz val="10"/>
        <color indexed="8"/>
        <rFont val="宋体"/>
        <family val="3"/>
        <charset val="134"/>
      </rPr>
      <t>账项调整</t>
    </r>
    <phoneticPr fontId="45" type="noConversion"/>
  </si>
  <si>
    <r>
      <rPr>
        <b/>
        <sz val="10"/>
        <color indexed="8"/>
        <rFont val="宋体"/>
        <family val="3"/>
        <charset val="134"/>
      </rPr>
      <t>审定数</t>
    </r>
    <phoneticPr fontId="45" type="noConversion"/>
  </si>
  <si>
    <r>
      <rPr>
        <b/>
        <sz val="10"/>
        <color indexed="8"/>
        <rFont val="宋体"/>
        <family val="3"/>
        <charset val="134"/>
      </rPr>
      <t>期初数</t>
    </r>
    <phoneticPr fontId="11" type="noConversion"/>
  </si>
  <si>
    <r>
      <rPr>
        <b/>
        <sz val="10"/>
        <color indexed="8"/>
        <rFont val="宋体"/>
        <family val="3"/>
        <charset val="134"/>
      </rPr>
      <t>未审数</t>
    </r>
    <phoneticPr fontId="45" type="noConversion"/>
  </si>
  <si>
    <r>
      <rPr>
        <b/>
        <sz val="10"/>
        <color indexed="8"/>
        <rFont val="宋体"/>
        <family val="3"/>
        <charset val="134"/>
      </rPr>
      <t>期初调整</t>
    </r>
    <phoneticPr fontId="11" type="noConversion"/>
  </si>
  <si>
    <r>
      <rPr>
        <b/>
        <sz val="10"/>
        <color indexed="8"/>
        <rFont val="宋体"/>
        <family val="3"/>
        <charset val="134"/>
      </rPr>
      <t>审定数</t>
    </r>
    <phoneticPr fontId="45" type="noConversion"/>
  </si>
  <si>
    <r>
      <rPr>
        <b/>
        <sz val="10"/>
        <color indexed="8"/>
        <rFont val="宋体"/>
        <family val="3"/>
        <charset val="134"/>
      </rPr>
      <t>未审数</t>
    </r>
    <phoneticPr fontId="45" type="noConversion"/>
  </si>
  <si>
    <r>
      <rPr>
        <b/>
        <sz val="10"/>
        <color indexed="8"/>
        <rFont val="宋体"/>
        <family val="3"/>
        <charset val="134"/>
      </rPr>
      <t>期初调整</t>
    </r>
    <phoneticPr fontId="11" type="noConversion"/>
  </si>
  <si>
    <r>
      <rPr>
        <b/>
        <sz val="10"/>
        <color indexed="8"/>
        <rFont val="宋体"/>
        <family val="3"/>
        <charset val="134"/>
      </rPr>
      <t>账项调整</t>
    </r>
    <phoneticPr fontId="45" type="noConversion"/>
  </si>
  <si>
    <r>
      <rPr>
        <b/>
        <sz val="10"/>
        <color indexed="8"/>
        <rFont val="宋体"/>
        <family val="3"/>
        <charset val="134"/>
      </rPr>
      <t>审定数</t>
    </r>
    <phoneticPr fontId="45" type="noConversion"/>
  </si>
  <si>
    <r>
      <rPr>
        <b/>
        <sz val="10"/>
        <color indexed="8"/>
        <rFont val="宋体"/>
        <family val="3"/>
        <charset val="134"/>
      </rPr>
      <t>本期减少</t>
    </r>
    <phoneticPr fontId="45" type="noConversion"/>
  </si>
  <si>
    <r>
      <rPr>
        <b/>
        <sz val="10"/>
        <color indexed="8"/>
        <rFont val="宋体"/>
        <family val="3"/>
        <charset val="134"/>
      </rPr>
      <t>期末数</t>
    </r>
    <phoneticPr fontId="45" type="noConversion"/>
  </si>
  <si>
    <r>
      <rPr>
        <b/>
        <sz val="10"/>
        <color indexed="8"/>
        <rFont val="宋体"/>
        <family val="3"/>
        <charset val="134"/>
      </rPr>
      <t>本期减少</t>
    </r>
    <phoneticPr fontId="45" type="noConversion"/>
  </si>
  <si>
    <r>
      <rPr>
        <b/>
        <sz val="10"/>
        <color indexed="8"/>
        <rFont val="宋体"/>
        <family val="3"/>
        <charset val="134"/>
      </rPr>
      <t>本期增加</t>
    </r>
    <phoneticPr fontId="11" type="noConversion"/>
  </si>
  <si>
    <r>
      <rPr>
        <b/>
        <sz val="10"/>
        <color indexed="8"/>
        <rFont val="宋体"/>
        <family val="3"/>
        <charset val="134"/>
      </rPr>
      <t>本期减少</t>
    </r>
    <phoneticPr fontId="11" type="noConversion"/>
  </si>
  <si>
    <r>
      <rPr>
        <b/>
        <sz val="10"/>
        <color indexed="8"/>
        <rFont val="宋体"/>
        <family val="3"/>
        <charset val="134"/>
      </rPr>
      <t>期末数</t>
    </r>
    <phoneticPr fontId="11" type="noConversion"/>
  </si>
  <si>
    <r>
      <rPr>
        <b/>
        <sz val="10"/>
        <color indexed="8"/>
        <rFont val="宋体"/>
        <family val="3"/>
        <charset val="134"/>
      </rPr>
      <t>期初数</t>
    </r>
    <phoneticPr fontId="11" type="noConversion"/>
  </si>
  <si>
    <r>
      <rPr>
        <b/>
        <sz val="10"/>
        <color indexed="8"/>
        <rFont val="宋体"/>
        <family val="3"/>
        <charset val="134"/>
      </rPr>
      <t>本期减少</t>
    </r>
    <phoneticPr fontId="45" type="noConversion"/>
  </si>
  <si>
    <r>
      <rPr>
        <b/>
        <sz val="10"/>
        <color indexed="8"/>
        <rFont val="宋体"/>
        <family val="3"/>
        <charset val="134"/>
      </rPr>
      <t>本期减少</t>
    </r>
    <phoneticPr fontId="45" type="noConversion"/>
  </si>
  <si>
    <r>
      <rPr>
        <b/>
        <sz val="10"/>
        <color indexed="8"/>
        <rFont val="宋体"/>
        <family val="3"/>
        <charset val="134"/>
      </rPr>
      <t>本期增加</t>
    </r>
    <phoneticPr fontId="11" type="noConversion"/>
  </si>
  <si>
    <r>
      <rPr>
        <b/>
        <sz val="10"/>
        <color indexed="8"/>
        <rFont val="宋体"/>
        <family val="3"/>
        <charset val="134"/>
      </rPr>
      <t>本期减少</t>
    </r>
    <phoneticPr fontId="11" type="noConversion"/>
  </si>
  <si>
    <r>
      <rPr>
        <b/>
        <sz val="10"/>
        <color indexed="8"/>
        <rFont val="宋体"/>
        <family val="3"/>
        <charset val="134"/>
      </rPr>
      <t>期末数</t>
    </r>
    <phoneticPr fontId="11" type="noConversion"/>
  </si>
  <si>
    <r>
      <rPr>
        <b/>
        <sz val="10"/>
        <color indexed="8"/>
        <rFont val="宋体"/>
        <family val="3"/>
        <charset val="134"/>
      </rPr>
      <t>期初净值</t>
    </r>
    <phoneticPr fontId="45" type="noConversion"/>
  </si>
  <si>
    <r>
      <rPr>
        <b/>
        <sz val="10"/>
        <color indexed="8"/>
        <rFont val="宋体"/>
        <family val="3"/>
        <charset val="134"/>
      </rPr>
      <t>期末净值</t>
    </r>
    <phoneticPr fontId="45" type="noConversion"/>
  </si>
  <si>
    <r>
      <rPr>
        <b/>
        <sz val="10"/>
        <color indexed="8"/>
        <rFont val="宋体"/>
        <family val="3"/>
        <charset val="134"/>
      </rPr>
      <t>本期租入</t>
    </r>
    <phoneticPr fontId="11" type="noConversion"/>
  </si>
  <si>
    <r>
      <rPr>
        <b/>
        <sz val="10"/>
        <color indexed="8"/>
        <rFont val="宋体"/>
        <family val="3"/>
        <charset val="134"/>
      </rPr>
      <t>租赁负债调整</t>
    </r>
  </si>
  <si>
    <r>
      <rPr>
        <b/>
        <sz val="10"/>
        <color indexed="8"/>
        <rFont val="宋体"/>
        <family val="3"/>
        <charset val="134"/>
      </rPr>
      <t>其他增加</t>
    </r>
    <phoneticPr fontId="11" type="noConversion"/>
  </si>
  <si>
    <r>
      <rPr>
        <b/>
        <sz val="10"/>
        <color indexed="8"/>
        <rFont val="宋体"/>
        <family val="3"/>
        <charset val="134"/>
      </rPr>
      <t>转租赁为融资租赁</t>
    </r>
  </si>
  <si>
    <r>
      <rPr>
        <b/>
        <sz val="10"/>
        <color indexed="8"/>
        <rFont val="宋体"/>
        <family val="3"/>
        <charset val="134"/>
      </rPr>
      <t>转让或持有待售</t>
    </r>
  </si>
  <si>
    <r>
      <rPr>
        <b/>
        <sz val="10"/>
        <color indexed="8"/>
        <rFont val="宋体"/>
        <family val="3"/>
        <charset val="134"/>
      </rPr>
      <t>其他减少</t>
    </r>
    <phoneticPr fontId="45" type="noConversion"/>
  </si>
  <si>
    <r>
      <rPr>
        <b/>
        <sz val="10"/>
        <color indexed="8"/>
        <rFont val="宋体"/>
        <family val="3"/>
        <charset val="134"/>
      </rPr>
      <t>本期租入</t>
    </r>
    <phoneticPr fontId="11" type="noConversion"/>
  </si>
  <si>
    <r>
      <rPr>
        <b/>
        <sz val="10"/>
        <color indexed="8"/>
        <rFont val="宋体"/>
        <family val="3"/>
        <charset val="134"/>
      </rPr>
      <t>本期计提</t>
    </r>
    <phoneticPr fontId="11" type="noConversion"/>
  </si>
  <si>
    <r>
      <rPr>
        <b/>
        <sz val="10"/>
        <color indexed="8"/>
        <rFont val="宋体"/>
        <family val="3"/>
        <charset val="134"/>
      </rPr>
      <t>本期计提</t>
    </r>
    <phoneticPr fontId="11" type="noConversion"/>
  </si>
  <si>
    <r>
      <rPr>
        <b/>
        <sz val="10"/>
        <color indexed="8"/>
        <rFont val="宋体"/>
        <family val="3"/>
        <charset val="134"/>
      </rPr>
      <t>本期计提</t>
    </r>
    <phoneticPr fontId="45" type="noConversion"/>
  </si>
  <si>
    <r>
      <rPr>
        <b/>
        <sz val="10"/>
        <color indexed="8"/>
        <rFont val="宋体"/>
        <family val="3"/>
        <charset val="134"/>
      </rPr>
      <t>其他减少</t>
    </r>
    <phoneticPr fontId="45" type="noConversion"/>
  </si>
  <si>
    <r>
      <rPr>
        <b/>
        <sz val="10"/>
        <color indexed="8"/>
        <rFont val="宋体"/>
        <family val="3"/>
        <charset val="134"/>
      </rPr>
      <t>本期计提</t>
    </r>
    <phoneticPr fontId="45" type="noConversion"/>
  </si>
  <si>
    <r>
      <rPr>
        <b/>
        <sz val="10"/>
        <color indexed="8"/>
        <rFont val="宋体"/>
        <family val="3"/>
        <charset val="134"/>
      </rPr>
      <t>其他减少</t>
    </r>
    <phoneticPr fontId="45" type="noConversion"/>
  </si>
  <si>
    <r>
      <rPr>
        <b/>
        <sz val="10"/>
        <rFont val="宋体"/>
        <family val="3"/>
        <charset val="134"/>
      </rPr>
      <t>合计</t>
    </r>
  </si>
  <si>
    <r>
      <rPr>
        <b/>
        <sz val="10"/>
        <rFont val="宋体"/>
        <family val="3"/>
        <charset val="134"/>
      </rPr>
      <t>其中：</t>
    </r>
    <phoneticPr fontId="11" type="noConversion"/>
  </si>
  <si>
    <r>
      <rPr>
        <b/>
        <sz val="10"/>
        <rFont val="宋体"/>
        <family val="3"/>
        <charset val="134"/>
      </rPr>
      <t>三、审计说明：</t>
    </r>
    <phoneticPr fontId="11" type="noConversion"/>
  </si>
  <si>
    <r>
      <rPr>
        <b/>
        <sz val="10"/>
        <rFont val="宋体"/>
        <family val="3"/>
        <charset val="134"/>
      </rPr>
      <t>四、审计结论：</t>
    </r>
    <phoneticPr fontId="11" type="noConversion"/>
  </si>
  <si>
    <r>
      <rPr>
        <sz val="10"/>
        <rFont val="宋体"/>
        <family val="3"/>
        <charset val="134"/>
      </rPr>
      <t>编制说明：</t>
    </r>
    <phoneticPr fontId="11" type="noConversion"/>
  </si>
  <si>
    <r>
      <rPr>
        <sz val="10"/>
        <rFont val="宋体"/>
        <family val="3"/>
        <charset val="134"/>
      </rPr>
      <t>承租人通常应当自租赁期开始日起按月计提使用权资产的折旧。</t>
    </r>
    <phoneticPr fontId="11" type="noConversion"/>
  </si>
  <si>
    <r>
      <rPr>
        <sz val="10"/>
        <rFont val="宋体"/>
        <family val="3"/>
        <charset val="134"/>
      </rPr>
      <t>在租赁期开始日后，承租人应当按照《企业会计准则第</t>
    </r>
    <r>
      <rPr>
        <sz val="10"/>
        <rFont val="Arial Narrow"/>
        <family val="2"/>
      </rPr>
      <t>8</t>
    </r>
    <r>
      <rPr>
        <sz val="10"/>
        <rFont val="宋体"/>
        <family val="3"/>
        <charset val="134"/>
      </rPr>
      <t>号</t>
    </r>
    <r>
      <rPr>
        <sz val="10"/>
        <rFont val="Arial Narrow"/>
        <family val="2"/>
      </rPr>
      <t>——</t>
    </r>
    <r>
      <rPr>
        <sz val="10"/>
        <rFont val="宋体"/>
        <family val="3"/>
        <charset val="134"/>
      </rPr>
      <t>资产减值》的规定，确定使用权资产是否发生减值，并对已识别的减值损失进行会计处理。</t>
    </r>
    <phoneticPr fontId="11" type="noConversion"/>
  </si>
  <si>
    <r>
      <rPr>
        <sz val="10"/>
        <rFont val="宋体"/>
        <family val="3"/>
        <charset val="134"/>
      </rPr>
      <t>当月计提确有困难的，也可从下月起计提折旧，并在附注中予以披露。</t>
    </r>
    <phoneticPr fontId="11" type="noConversion"/>
  </si>
  <si>
    <r>
      <rPr>
        <sz val="10"/>
        <rFont val="宋体"/>
        <family val="3"/>
        <charset val="134"/>
      </rPr>
      <t>使用权资产减值准备一旦计提，不得转回。</t>
    </r>
    <phoneticPr fontId="11" type="noConversion"/>
  </si>
  <si>
    <r>
      <rPr>
        <b/>
        <sz val="10"/>
        <color indexed="8"/>
        <rFont val="宋体"/>
        <family val="3"/>
        <charset val="134"/>
      </rPr>
      <t>调整事项说明</t>
    </r>
    <phoneticPr fontId="11" type="noConversion"/>
  </si>
  <si>
    <r>
      <rPr>
        <b/>
        <sz val="10"/>
        <color indexed="8"/>
        <rFont val="宋体"/>
        <family val="3"/>
        <charset val="134"/>
      </rPr>
      <t>类别（报表调整</t>
    </r>
    <r>
      <rPr>
        <b/>
        <sz val="10"/>
        <color indexed="8"/>
        <rFont val="Arial Narrow"/>
        <family val="2"/>
      </rPr>
      <t>/</t>
    </r>
    <r>
      <rPr>
        <b/>
        <sz val="10"/>
        <color indexed="8"/>
        <rFont val="宋体"/>
        <family val="3"/>
        <charset val="134"/>
      </rPr>
      <t>账项调整</t>
    </r>
    <r>
      <rPr>
        <b/>
        <sz val="10"/>
        <color indexed="8"/>
        <rFont val="Arial Narrow"/>
        <family val="2"/>
      </rPr>
      <t>/</t>
    </r>
    <r>
      <rPr>
        <b/>
        <sz val="10"/>
        <color indexed="8"/>
        <rFont val="宋体"/>
        <family val="3"/>
        <charset val="134"/>
      </rPr>
      <t>其他）</t>
    </r>
    <phoneticPr fontId="11" type="noConversion"/>
  </si>
  <si>
    <r>
      <rPr>
        <b/>
        <sz val="10"/>
        <color indexed="8"/>
        <rFont val="宋体"/>
        <family val="3"/>
        <charset val="134"/>
      </rPr>
      <t>报表项目</t>
    </r>
    <phoneticPr fontId="11" type="noConversion"/>
  </si>
  <si>
    <r>
      <rPr>
        <b/>
        <sz val="10"/>
        <rFont val="宋体"/>
        <family val="3"/>
        <charset val="134"/>
      </rPr>
      <t>科目名称</t>
    </r>
    <phoneticPr fontId="11" type="noConversion"/>
  </si>
  <si>
    <r>
      <rPr>
        <b/>
        <sz val="10"/>
        <rFont val="宋体"/>
        <family val="3"/>
        <charset val="134"/>
      </rPr>
      <t>附注项目</t>
    </r>
    <phoneticPr fontId="11" type="noConversion"/>
  </si>
  <si>
    <r>
      <rPr>
        <b/>
        <sz val="10"/>
        <rFont val="宋体"/>
        <family val="3"/>
        <charset val="134"/>
      </rPr>
      <t>借方调整金额</t>
    </r>
    <phoneticPr fontId="11" type="noConversion"/>
  </si>
  <si>
    <r>
      <rPr>
        <b/>
        <sz val="10"/>
        <rFont val="宋体"/>
        <family val="3"/>
        <charset val="134"/>
      </rPr>
      <t>贷方调整金额</t>
    </r>
    <phoneticPr fontId="11" type="noConversion"/>
  </si>
  <si>
    <r>
      <rPr>
        <b/>
        <sz val="10"/>
        <rFont val="宋体"/>
        <family val="3"/>
        <charset val="134"/>
      </rPr>
      <t>索引</t>
    </r>
    <phoneticPr fontId="11" type="noConversion"/>
  </si>
  <si>
    <r>
      <rPr>
        <b/>
        <sz val="10"/>
        <rFont val="宋体"/>
        <family val="3"/>
        <charset val="134"/>
      </rPr>
      <t>备注</t>
    </r>
    <phoneticPr fontId="11" type="noConversion"/>
  </si>
  <si>
    <r>
      <rPr>
        <b/>
        <sz val="10"/>
        <color rgb="FF000000"/>
        <rFont val="宋体"/>
        <family val="3"/>
        <charset val="134"/>
      </rPr>
      <t>要素（同时满足）</t>
    </r>
    <phoneticPr fontId="11" type="noConversion"/>
  </si>
  <si>
    <r>
      <rPr>
        <sz val="10"/>
        <rFont val="宋体"/>
        <family val="3"/>
        <charset val="134"/>
      </rPr>
      <t>是否适用</t>
    </r>
    <phoneticPr fontId="11" type="noConversion"/>
  </si>
  <si>
    <r>
      <rPr>
        <b/>
        <sz val="10"/>
        <color rgb="FF000000"/>
        <rFont val="宋体"/>
        <family val="3"/>
        <charset val="134"/>
      </rPr>
      <t>公司具体情况</t>
    </r>
    <phoneticPr fontId="11" type="noConversion"/>
  </si>
  <si>
    <r>
      <rPr>
        <b/>
        <sz val="10"/>
        <rFont val="宋体"/>
        <family val="3"/>
        <charset val="134"/>
      </rPr>
      <t>是否满足</t>
    </r>
    <phoneticPr fontId="11" type="noConversion"/>
  </si>
  <si>
    <r>
      <rPr>
        <b/>
        <sz val="10"/>
        <rFont val="宋体"/>
        <family val="3"/>
        <charset val="134"/>
      </rPr>
      <t>索引</t>
    </r>
    <phoneticPr fontId="11" type="noConversion"/>
  </si>
  <si>
    <r>
      <rPr>
        <sz val="10"/>
        <rFont val="宋体"/>
        <family val="3"/>
        <charset val="134"/>
      </rPr>
      <t>注：两份或多份合同合并为一份合同进行会计处理的，仍然需要区分该一份合同中的租赁部分和非租赁部分。</t>
    </r>
    <phoneticPr fontId="11" type="noConversion"/>
  </si>
  <si>
    <r>
      <rPr>
        <u/>
        <sz val="10"/>
        <color rgb="FFFF0000"/>
        <rFont val="宋体"/>
        <family val="3"/>
        <charset val="134"/>
      </rPr>
      <t>是</t>
    </r>
  </si>
  <si>
    <r>
      <rPr>
        <sz val="10"/>
        <color rgb="FFFF0000"/>
        <rFont val="宋体"/>
        <family val="3"/>
        <charset val="134"/>
      </rPr>
      <t>是</t>
    </r>
  </si>
  <si>
    <r>
      <rPr>
        <sz val="10"/>
        <color rgb="FFFF0000"/>
        <rFont val="宋体"/>
        <family val="3"/>
        <charset val="134"/>
      </rPr>
      <t>否</t>
    </r>
  </si>
  <si>
    <r>
      <rPr>
        <b/>
        <sz val="10"/>
        <color rgb="FF000000"/>
        <rFont val="宋体"/>
        <family val="3"/>
        <charset val="134"/>
      </rPr>
      <t>条件（同时满足）</t>
    </r>
    <phoneticPr fontId="11" type="noConversion"/>
  </si>
  <si>
    <r>
      <rPr>
        <sz val="10"/>
        <rFont val="宋体"/>
        <family val="3"/>
        <charset val="134"/>
      </rPr>
      <t>其他系统合理的方法能够更好地反映承租人的受益模式的，承租人应当采用该方法。</t>
    </r>
    <phoneticPr fontId="11" type="noConversion"/>
  </si>
  <si>
    <r>
      <rPr>
        <sz val="10"/>
        <color rgb="FF000000"/>
        <rFont val="宋体"/>
        <family val="3"/>
        <charset val="134"/>
      </rPr>
      <t>有权在整个使用期间自行或主导他人按照其确定的方式运营该资产；或</t>
    </r>
    <phoneticPr fontId="11" type="noConversion"/>
  </si>
  <si>
    <r>
      <t xml:space="preserve">4. </t>
    </r>
    <r>
      <rPr>
        <b/>
        <sz val="10"/>
        <rFont val="宋体"/>
        <family val="3"/>
        <charset val="134"/>
      </rPr>
      <t>短期租赁</t>
    </r>
    <phoneticPr fontId="11" type="noConversion"/>
  </si>
  <si>
    <r>
      <rPr>
        <sz val="10"/>
        <rFont val="宋体"/>
        <family val="3"/>
        <charset val="134"/>
      </rPr>
      <t>判断项新租赁是否可以选择简化会计处理。</t>
    </r>
    <phoneticPr fontId="11" type="noConversion"/>
  </si>
  <si>
    <r>
      <rPr>
        <b/>
        <sz val="10"/>
        <rFont val="宋体"/>
        <family val="3"/>
        <charset val="134"/>
      </rPr>
      <t>是否满足</t>
    </r>
    <phoneticPr fontId="11" type="noConversion"/>
  </si>
  <si>
    <r>
      <rPr>
        <sz val="10"/>
        <rFont val="宋体"/>
        <family val="3"/>
        <charset val="134"/>
      </rPr>
      <t>作出该选择的，承租人应当将短期租赁和低价值资产租赁的租赁付款额，在租赁期内各个期间按照直线法或其他系统合理的方法计入相关资产成本或当期损益。</t>
    </r>
    <phoneticPr fontId="11" type="noConversion"/>
  </si>
  <si>
    <r>
      <rPr>
        <b/>
        <sz val="10"/>
        <color rgb="FF000000"/>
        <rFont val="宋体"/>
        <family val="3"/>
        <charset val="134"/>
      </rPr>
      <t>结</t>
    </r>
    <r>
      <rPr>
        <b/>
        <sz val="10"/>
        <color rgb="FF000000"/>
        <rFont val="Arial Narrow"/>
        <family val="2"/>
      </rPr>
      <t xml:space="preserve"> </t>
    </r>
    <r>
      <rPr>
        <b/>
        <sz val="10"/>
        <color rgb="FF000000"/>
        <rFont val="宋体"/>
        <family val="3"/>
        <charset val="134"/>
      </rPr>
      <t>论</t>
    </r>
    <phoneticPr fontId="11" type="noConversion"/>
  </si>
  <si>
    <r>
      <rPr>
        <sz val="10"/>
        <color rgb="FF000000"/>
        <rFont val="宋体"/>
        <family val="3"/>
        <charset val="134"/>
      </rPr>
      <t>（</t>
    </r>
    <r>
      <rPr>
        <sz val="10"/>
        <color rgb="FF000000"/>
        <rFont val="Arial Narrow"/>
        <family val="2"/>
      </rPr>
      <t>2</t>
    </r>
    <r>
      <rPr>
        <sz val="10"/>
        <color rgb="FF000000"/>
        <rFont val="宋体"/>
        <family val="3"/>
        <charset val="134"/>
      </rPr>
      <t>）该资产与合同中的其他资产不存在高度依赖或高度关联关系。</t>
    </r>
    <phoneticPr fontId="11" type="noConversion"/>
  </si>
  <si>
    <r>
      <rPr>
        <sz val="10"/>
        <rFont val="宋体"/>
        <family val="3"/>
        <charset val="134"/>
      </rPr>
      <t>注</t>
    </r>
    <r>
      <rPr>
        <sz val="10"/>
        <rFont val="Arial Narrow"/>
        <family val="2"/>
      </rPr>
      <t>1</t>
    </r>
    <r>
      <rPr>
        <sz val="10"/>
        <rFont val="宋体"/>
        <family val="3"/>
        <charset val="134"/>
      </rPr>
      <t>：合同中同时包含多项单独租赁的，承租人和出租人应当将合同予以分拆，并分别各项单独租赁进行会计处理。</t>
    </r>
    <phoneticPr fontId="11" type="noConversion"/>
  </si>
  <si>
    <r>
      <rPr>
        <b/>
        <sz val="10"/>
        <rFont val="宋体"/>
        <family val="3"/>
        <charset val="134"/>
      </rPr>
      <t>索引</t>
    </r>
    <phoneticPr fontId="11" type="noConversion"/>
  </si>
  <si>
    <r>
      <rPr>
        <sz val="10"/>
        <color rgb="FF000000"/>
        <rFont val="宋体"/>
        <family val="3"/>
        <charset val="134"/>
      </rPr>
      <t>（</t>
    </r>
    <r>
      <rPr>
        <sz val="10"/>
        <color rgb="FF000000"/>
        <rFont val="Arial Narrow"/>
        <family val="2"/>
      </rPr>
      <t>2</t>
    </r>
    <r>
      <rPr>
        <sz val="10"/>
        <color rgb="FF000000"/>
        <rFont val="宋体"/>
        <family val="3"/>
        <charset val="134"/>
      </rPr>
      <t>）不包含购买选择权</t>
    </r>
    <phoneticPr fontId="11" type="noConversion"/>
  </si>
  <si>
    <r>
      <rPr>
        <sz val="10"/>
        <color rgb="FF000000"/>
        <rFont val="宋体"/>
        <family val="3"/>
        <charset val="134"/>
      </rPr>
      <t>（</t>
    </r>
    <r>
      <rPr>
        <sz val="10"/>
        <color rgb="FF000000"/>
        <rFont val="Arial Narrow"/>
        <family val="2"/>
      </rPr>
      <t>1</t>
    </r>
    <r>
      <rPr>
        <sz val="10"/>
        <color rgb="FF000000"/>
        <rFont val="宋体"/>
        <family val="3"/>
        <charset val="134"/>
      </rPr>
      <t>）单项租赁资产为全新资产时价值较低（如低于人民币</t>
    </r>
    <r>
      <rPr>
        <sz val="10"/>
        <color rgb="FF000000"/>
        <rFont val="Arial Narrow"/>
        <family val="2"/>
      </rPr>
      <t>40 000</t>
    </r>
    <r>
      <rPr>
        <sz val="10"/>
        <color rgb="FF000000"/>
        <rFont val="宋体"/>
        <family val="3"/>
        <charset val="134"/>
      </rPr>
      <t>元）</t>
    </r>
    <phoneticPr fontId="11" type="noConversion"/>
  </si>
  <si>
    <r>
      <t xml:space="preserve">1. </t>
    </r>
    <r>
      <rPr>
        <sz val="10"/>
        <rFont val="宋体"/>
        <family val="3"/>
        <charset val="134"/>
      </rPr>
      <t>资产负债表中记录的使用权资产是存在的，且已记录于恰当的账户；</t>
    </r>
    <r>
      <rPr>
        <sz val="10"/>
        <rFont val="Arial Narrow"/>
        <family val="2"/>
      </rPr>
      <t xml:space="preserve">2. </t>
    </r>
    <r>
      <rPr>
        <sz val="10"/>
        <rFont val="宋体"/>
        <family val="3"/>
        <charset val="134"/>
      </rPr>
      <t>所有应记录的使用权资产均已记录，所有应当包括在财务报表中的相关披露均已包括；</t>
    </r>
    <r>
      <rPr>
        <sz val="10"/>
        <rFont val="Arial Narrow"/>
        <family val="2"/>
      </rPr>
      <t xml:space="preserve">3. </t>
    </r>
    <r>
      <rPr>
        <sz val="10"/>
        <rFont val="宋体"/>
        <family val="3"/>
        <charset val="134"/>
      </rPr>
      <t>使用权资产以恰当的金额包括在财务报表中，与之相关的计价或分摊调整已恰当记录，相关披露已得到恰当计量和描述。</t>
    </r>
    <phoneticPr fontId="11" type="noConversion"/>
  </si>
  <si>
    <r>
      <t xml:space="preserve">1. </t>
    </r>
    <r>
      <rPr>
        <b/>
        <sz val="10"/>
        <rFont val="宋体"/>
        <family val="3"/>
        <charset val="134"/>
      </rPr>
      <t>租赁的识别</t>
    </r>
    <phoneticPr fontId="11" type="noConversion"/>
  </si>
  <si>
    <r>
      <rPr>
        <b/>
        <sz val="10"/>
        <color rgb="FF000000"/>
        <rFont val="宋体"/>
        <family val="3"/>
        <charset val="134"/>
      </rPr>
      <t>（</t>
    </r>
    <r>
      <rPr>
        <b/>
        <sz val="10"/>
        <color rgb="FF000000"/>
        <rFont val="Arial Narrow"/>
        <family val="2"/>
      </rPr>
      <t>1</t>
    </r>
    <r>
      <rPr>
        <b/>
        <sz val="10"/>
        <color rgb="FF000000"/>
        <rFont val="宋体"/>
        <family val="3"/>
        <charset val="134"/>
      </rPr>
      <t>）是否存在已识别资产</t>
    </r>
    <phoneticPr fontId="11" type="noConversion"/>
  </si>
  <si>
    <r>
      <rPr>
        <sz val="10"/>
        <color rgb="FF000000"/>
        <rFont val="宋体"/>
        <family val="3"/>
        <charset val="134"/>
      </rPr>
      <t>①物理可区分</t>
    </r>
    <phoneticPr fontId="11" type="noConversion"/>
  </si>
  <si>
    <r>
      <rPr>
        <sz val="10"/>
        <color rgb="FF000000"/>
        <rFont val="宋体"/>
        <family val="3"/>
        <charset val="134"/>
      </rPr>
      <t>②供应方实质性替换权</t>
    </r>
    <phoneticPr fontId="11" type="noConversion"/>
  </si>
  <si>
    <r>
      <rPr>
        <sz val="10"/>
        <color rgb="FF000000"/>
        <rFont val="宋体"/>
        <family val="3"/>
        <charset val="134"/>
      </rPr>
      <t>同时符合下列条件时，表明资产供应方拥有资产的实质性替换权：拥有在整个使用期间替换资产的实际能力；通过行使替换资产的权利将获得经济利益。</t>
    </r>
    <phoneticPr fontId="11" type="noConversion"/>
  </si>
  <si>
    <r>
      <rPr>
        <b/>
        <sz val="10"/>
        <color rgb="FF000000"/>
        <rFont val="宋体"/>
        <family val="3"/>
        <charset val="134"/>
      </rPr>
      <t>（</t>
    </r>
    <r>
      <rPr>
        <b/>
        <sz val="10"/>
        <color rgb="FF000000"/>
        <rFont val="Arial Narrow"/>
        <family val="2"/>
      </rPr>
      <t>2</t>
    </r>
    <r>
      <rPr>
        <b/>
        <sz val="10"/>
        <color rgb="FF000000"/>
        <rFont val="宋体"/>
        <family val="3"/>
        <charset val="134"/>
      </rPr>
      <t>）是否有权约定使用期间主导已识别资产的使用</t>
    </r>
    <phoneticPr fontId="11" type="noConversion"/>
  </si>
  <si>
    <r>
      <rPr>
        <sz val="10"/>
        <color rgb="FF000000"/>
        <rFont val="宋体"/>
        <family val="3"/>
        <charset val="134"/>
      </rPr>
      <t>①有权在整个使用期间主导已识别资产的使用目的和使用方式；或</t>
    </r>
    <phoneticPr fontId="11" type="noConversion"/>
  </si>
  <si>
    <r>
      <rPr>
        <sz val="10"/>
        <color rgb="FF000000"/>
        <rFont val="宋体"/>
        <family val="3"/>
        <charset val="134"/>
      </rPr>
      <t>②已识别资产的使用目的和使用方式在使用期间前已预先确定，并且：</t>
    </r>
    <phoneticPr fontId="11" type="noConversion"/>
  </si>
  <si>
    <r>
      <rPr>
        <sz val="10"/>
        <color rgb="FF000000"/>
        <rFont val="宋体"/>
        <family val="3"/>
        <charset val="134"/>
      </rPr>
      <t>设计了已识别资产</t>
    </r>
    <r>
      <rPr>
        <sz val="10"/>
        <color rgb="FF000000"/>
        <rFont val="Arial Narrow"/>
        <family val="2"/>
      </rPr>
      <t>(</t>
    </r>
    <r>
      <rPr>
        <sz val="10"/>
        <color rgb="FF000000"/>
        <rFont val="宋体"/>
        <family val="3"/>
        <charset val="134"/>
      </rPr>
      <t>或资产的特定方面</t>
    </r>
    <r>
      <rPr>
        <sz val="10"/>
        <color rgb="FF000000"/>
        <rFont val="Arial Narrow"/>
        <family val="2"/>
      </rPr>
      <t>)</t>
    </r>
    <r>
      <rPr>
        <sz val="10"/>
        <color rgb="FF000000"/>
        <rFont val="宋体"/>
        <family val="3"/>
        <charset val="134"/>
      </rPr>
      <t>并在设计时已预先确定了该资产在整个使用期间的使用目的和使用方式</t>
    </r>
    <phoneticPr fontId="11" type="noConversion"/>
  </si>
  <si>
    <r>
      <rPr>
        <b/>
        <sz val="10"/>
        <color rgb="FF000000"/>
        <rFont val="宋体"/>
        <family val="3"/>
        <charset val="134"/>
      </rPr>
      <t>（</t>
    </r>
    <r>
      <rPr>
        <b/>
        <sz val="10"/>
        <color rgb="FF000000"/>
        <rFont val="Arial Narrow"/>
        <family val="2"/>
      </rPr>
      <t>3</t>
    </r>
    <r>
      <rPr>
        <b/>
        <sz val="10"/>
        <color rgb="FF000000"/>
        <rFont val="宋体"/>
        <family val="3"/>
        <charset val="134"/>
      </rPr>
      <t>）是否有权获得在使用期间内因使用已识别资产所产生的几乎全部经济利益</t>
    </r>
    <phoneticPr fontId="11" type="noConversion"/>
  </si>
  <si>
    <r>
      <rPr>
        <b/>
        <sz val="10"/>
        <color rgb="FF000000"/>
        <rFont val="宋体"/>
        <family val="3"/>
        <charset val="134"/>
      </rPr>
      <t>结</t>
    </r>
    <r>
      <rPr>
        <b/>
        <sz val="10"/>
        <color rgb="FF000000"/>
        <rFont val="Arial Narrow"/>
        <family val="2"/>
      </rPr>
      <t xml:space="preserve"> </t>
    </r>
    <r>
      <rPr>
        <b/>
        <sz val="10"/>
        <color rgb="FF000000"/>
        <rFont val="宋体"/>
        <family val="3"/>
        <charset val="134"/>
      </rPr>
      <t>论</t>
    </r>
    <phoneticPr fontId="11" type="noConversion"/>
  </si>
  <si>
    <r>
      <t>2.</t>
    </r>
    <r>
      <rPr>
        <b/>
        <sz val="10"/>
        <rFont val="宋体"/>
        <family val="3"/>
        <charset val="134"/>
      </rPr>
      <t>租赁的分拆</t>
    </r>
    <phoneticPr fontId="11" type="noConversion"/>
  </si>
  <si>
    <r>
      <rPr>
        <sz val="10"/>
        <rFont val="宋体"/>
        <family val="3"/>
        <charset val="134"/>
      </rPr>
      <t>是否适用</t>
    </r>
    <phoneticPr fontId="11" type="noConversion"/>
  </si>
  <si>
    <r>
      <rPr>
        <b/>
        <sz val="10"/>
        <rFont val="宋体"/>
        <family val="3"/>
        <charset val="134"/>
      </rPr>
      <t>条件（同时满足）</t>
    </r>
    <phoneticPr fontId="11" type="noConversion"/>
  </si>
  <si>
    <r>
      <rPr>
        <b/>
        <sz val="10"/>
        <rFont val="宋体"/>
        <family val="3"/>
        <charset val="134"/>
      </rPr>
      <t>公司具体情况</t>
    </r>
    <phoneticPr fontId="11" type="noConversion"/>
  </si>
  <si>
    <r>
      <rPr>
        <b/>
        <sz val="10"/>
        <rFont val="宋体"/>
        <family val="3"/>
        <charset val="134"/>
      </rPr>
      <t>索引</t>
    </r>
    <phoneticPr fontId="11" type="noConversion"/>
  </si>
  <si>
    <r>
      <rPr>
        <sz val="10"/>
        <color rgb="FF000000"/>
        <rFont val="宋体"/>
        <family val="3"/>
        <charset val="134"/>
      </rPr>
      <t>（</t>
    </r>
    <r>
      <rPr>
        <sz val="10"/>
        <color rgb="FF000000"/>
        <rFont val="Arial Narrow"/>
        <family val="2"/>
      </rPr>
      <t>1</t>
    </r>
    <r>
      <rPr>
        <sz val="10"/>
        <color rgb="FF000000"/>
        <rFont val="宋体"/>
        <family val="3"/>
        <charset val="134"/>
      </rPr>
      <t>）承租人可从单独使用该资产或将其与易于获得的其他资源一起使用中获利；</t>
    </r>
    <phoneticPr fontId="11" type="noConversion"/>
  </si>
  <si>
    <r>
      <rPr>
        <sz val="10"/>
        <rFont val="宋体"/>
        <family val="3"/>
        <charset val="134"/>
      </rPr>
      <t>注</t>
    </r>
    <r>
      <rPr>
        <sz val="10"/>
        <rFont val="Arial Narrow"/>
        <family val="2"/>
      </rPr>
      <t>2</t>
    </r>
    <r>
      <rPr>
        <sz val="10"/>
        <rFont val="宋体"/>
        <family val="3"/>
        <charset val="134"/>
      </rPr>
      <t>：为简化处理，承租人可以按照租赁资产的类别选择是否分拆合同包含的租赁和非租赁部分。</t>
    </r>
    <phoneticPr fontId="11" type="noConversion"/>
  </si>
  <si>
    <r>
      <t>3.</t>
    </r>
    <r>
      <rPr>
        <b/>
        <sz val="10"/>
        <rFont val="宋体"/>
        <family val="3"/>
        <charset val="134"/>
      </rPr>
      <t>租赁的合并</t>
    </r>
    <phoneticPr fontId="11" type="noConversion"/>
  </si>
  <si>
    <r>
      <rPr>
        <b/>
        <sz val="10"/>
        <color rgb="FF000000"/>
        <rFont val="宋体"/>
        <family val="3"/>
        <charset val="134"/>
      </rPr>
      <t>条件（任一）</t>
    </r>
    <phoneticPr fontId="11" type="noConversion"/>
  </si>
  <si>
    <r>
      <rPr>
        <b/>
        <sz val="10"/>
        <color rgb="FF000000"/>
        <rFont val="宋体"/>
        <family val="3"/>
        <charset val="134"/>
      </rPr>
      <t>公司具体情况</t>
    </r>
    <phoneticPr fontId="11" type="noConversion"/>
  </si>
  <si>
    <r>
      <rPr>
        <b/>
        <sz val="10"/>
        <rFont val="宋体"/>
        <family val="3"/>
        <charset val="134"/>
      </rPr>
      <t>是否满足</t>
    </r>
    <phoneticPr fontId="11" type="noConversion"/>
  </si>
  <si>
    <r>
      <rPr>
        <b/>
        <sz val="10"/>
        <rFont val="宋体"/>
        <family val="3"/>
        <charset val="134"/>
      </rPr>
      <t>索引</t>
    </r>
    <phoneticPr fontId="11" type="noConversion"/>
  </si>
  <si>
    <r>
      <rPr>
        <sz val="10"/>
        <color rgb="FF000000"/>
        <rFont val="宋体"/>
        <family val="3"/>
        <charset val="134"/>
      </rPr>
      <t>（</t>
    </r>
    <r>
      <rPr>
        <sz val="10"/>
        <color rgb="FF000000"/>
        <rFont val="Arial Narrow"/>
        <family val="2"/>
      </rPr>
      <t>1</t>
    </r>
    <r>
      <rPr>
        <sz val="10"/>
        <color rgb="FF000000"/>
        <rFont val="宋体"/>
        <family val="3"/>
        <charset val="134"/>
      </rPr>
      <t>）该两份或多份合同基于总体商业目的而订立并构成一揽子交易，若不作为整体考虑则无法理解其总体商业目的；</t>
    </r>
    <phoneticPr fontId="11" type="noConversion"/>
  </si>
  <si>
    <r>
      <rPr>
        <sz val="10"/>
        <color rgb="FF000000"/>
        <rFont val="宋体"/>
        <family val="3"/>
        <charset val="134"/>
      </rPr>
      <t>（</t>
    </r>
    <r>
      <rPr>
        <sz val="10"/>
        <color rgb="FF000000"/>
        <rFont val="Arial Narrow"/>
        <family val="2"/>
      </rPr>
      <t>2</t>
    </r>
    <r>
      <rPr>
        <sz val="10"/>
        <color rgb="FF000000"/>
        <rFont val="宋体"/>
        <family val="3"/>
        <charset val="134"/>
      </rPr>
      <t>）该两份或多份合同中的某份合同的对价金额取决于其他合同的定价或履行情况；</t>
    </r>
    <phoneticPr fontId="11" type="noConversion"/>
  </si>
  <si>
    <r>
      <rPr>
        <sz val="10"/>
        <color rgb="FF000000"/>
        <rFont val="宋体"/>
        <family val="3"/>
        <charset val="134"/>
      </rPr>
      <t>（</t>
    </r>
    <r>
      <rPr>
        <sz val="10"/>
        <color rgb="FF000000"/>
        <rFont val="Arial Narrow"/>
        <family val="2"/>
      </rPr>
      <t>3</t>
    </r>
    <r>
      <rPr>
        <sz val="10"/>
        <color rgb="FF000000"/>
        <rFont val="宋体"/>
        <family val="3"/>
        <charset val="134"/>
      </rPr>
      <t>）该两份或多份合同让渡的资产使用权合起来构成一项单独租赁。</t>
    </r>
    <phoneticPr fontId="11" type="noConversion"/>
  </si>
  <si>
    <r>
      <rPr>
        <sz val="10"/>
        <color rgb="FF000000"/>
        <rFont val="宋体"/>
        <family val="3"/>
        <charset val="134"/>
      </rPr>
      <t>（</t>
    </r>
    <r>
      <rPr>
        <sz val="10"/>
        <color rgb="FF000000"/>
        <rFont val="Arial Narrow"/>
        <family val="2"/>
      </rPr>
      <t>1</t>
    </r>
    <r>
      <rPr>
        <sz val="10"/>
        <color rgb="FF000000"/>
        <rFont val="宋体"/>
        <family val="3"/>
        <charset val="134"/>
      </rPr>
      <t>）租赁期不超过</t>
    </r>
    <r>
      <rPr>
        <sz val="10"/>
        <color rgb="FF000000"/>
        <rFont val="Arial Narrow"/>
        <family val="2"/>
      </rPr>
      <t>12</t>
    </r>
    <r>
      <rPr>
        <sz val="10"/>
        <color rgb="FF000000"/>
        <rFont val="宋体"/>
        <family val="3"/>
        <charset val="134"/>
      </rPr>
      <t>个月</t>
    </r>
    <phoneticPr fontId="11" type="noConversion"/>
  </si>
  <si>
    <r>
      <rPr>
        <sz val="10"/>
        <color rgb="FF000000"/>
        <rFont val="宋体"/>
        <family val="3"/>
        <charset val="134"/>
      </rPr>
      <t>考虑续租选择权后租赁期不超过</t>
    </r>
    <r>
      <rPr>
        <sz val="10"/>
        <color rgb="FF000000"/>
        <rFont val="Arial Narrow"/>
        <family val="2"/>
      </rPr>
      <t>12</t>
    </r>
    <r>
      <rPr>
        <sz val="10"/>
        <color rgb="FF000000"/>
        <rFont val="宋体"/>
        <family val="3"/>
        <charset val="134"/>
      </rPr>
      <t>个月</t>
    </r>
    <phoneticPr fontId="11" type="noConversion"/>
  </si>
  <si>
    <r>
      <rPr>
        <sz val="10"/>
        <color rgb="FF000000"/>
        <rFont val="宋体"/>
        <family val="3"/>
        <charset val="134"/>
      </rPr>
      <t>续签合同租赁期不超过</t>
    </r>
    <r>
      <rPr>
        <sz val="10"/>
        <color rgb="FF000000"/>
        <rFont val="Arial Narrow"/>
        <family val="2"/>
      </rPr>
      <t>12</t>
    </r>
    <r>
      <rPr>
        <sz val="10"/>
        <color rgb="FF000000"/>
        <rFont val="宋体"/>
        <family val="3"/>
        <charset val="134"/>
      </rPr>
      <t>个月</t>
    </r>
    <phoneticPr fontId="11" type="noConversion"/>
  </si>
  <si>
    <r>
      <rPr>
        <sz val="10"/>
        <rFont val="宋体"/>
        <family val="3"/>
        <charset val="134"/>
      </rPr>
      <t>注</t>
    </r>
    <r>
      <rPr>
        <sz val="10"/>
        <rFont val="Arial Narrow"/>
        <family val="2"/>
      </rPr>
      <t>1</t>
    </r>
    <r>
      <rPr>
        <sz val="10"/>
        <rFont val="宋体"/>
        <family val="3"/>
        <charset val="134"/>
      </rPr>
      <t>：对于短期租赁，承租人应当按照</t>
    </r>
    <r>
      <rPr>
        <b/>
        <sz val="10"/>
        <rFont val="宋体"/>
        <family val="3"/>
        <charset val="134"/>
      </rPr>
      <t>租赁资产的类别</t>
    </r>
    <r>
      <rPr>
        <sz val="10"/>
        <rFont val="宋体"/>
        <family val="3"/>
        <charset val="134"/>
      </rPr>
      <t>作出本准则第三十二条所述的会计处理选择。如房屋建筑物、机器设备、设车辆等类别。</t>
    </r>
    <phoneticPr fontId="11" type="noConversion"/>
  </si>
  <si>
    <r>
      <rPr>
        <sz val="10"/>
        <rFont val="宋体"/>
        <family val="3"/>
        <charset val="134"/>
      </rPr>
      <t>注</t>
    </r>
    <r>
      <rPr>
        <sz val="10"/>
        <rFont val="Arial Narrow"/>
        <family val="2"/>
      </rPr>
      <t>2</t>
    </r>
    <r>
      <rPr>
        <sz val="10"/>
        <rFont val="宋体"/>
        <family val="3"/>
        <charset val="134"/>
      </rPr>
      <t>：按照简化会计处理的短期租赁发生租赁变更或者其他原因导致租赁期发生变化的，承租人应当将其视为一项新租赁，重新按照上述原则</t>
    </r>
    <phoneticPr fontId="11" type="noConversion"/>
  </si>
  <si>
    <r>
      <t>5.</t>
    </r>
    <r>
      <rPr>
        <b/>
        <sz val="10"/>
        <rFont val="宋体"/>
        <family val="3"/>
        <charset val="134"/>
      </rPr>
      <t>低价值资产租赁</t>
    </r>
    <phoneticPr fontId="11" type="noConversion"/>
  </si>
  <si>
    <r>
      <rPr>
        <sz val="10"/>
        <color rgb="FF000000"/>
        <rFont val="宋体"/>
        <family val="3"/>
        <charset val="134"/>
      </rPr>
      <t>（</t>
    </r>
    <r>
      <rPr>
        <sz val="10"/>
        <color rgb="FF000000"/>
        <rFont val="Arial Narrow"/>
        <family val="2"/>
      </rPr>
      <t>2</t>
    </r>
    <r>
      <rPr>
        <sz val="10"/>
        <color rgb="FF000000"/>
        <rFont val="宋体"/>
        <family val="3"/>
        <charset val="134"/>
      </rPr>
      <t>）并未转租赁或者并不预期要把相关资产进行转租赁</t>
    </r>
    <phoneticPr fontId="11" type="noConversion"/>
  </si>
  <si>
    <r>
      <rPr>
        <sz val="10"/>
        <rFont val="宋体"/>
        <family val="3"/>
        <charset val="134"/>
      </rPr>
      <t>注：对于低价值资产租赁，承租人可根据</t>
    </r>
    <r>
      <rPr>
        <b/>
        <sz val="10"/>
        <rFont val="宋体"/>
        <family val="3"/>
        <charset val="134"/>
      </rPr>
      <t>每项租赁</t>
    </r>
    <r>
      <rPr>
        <sz val="10"/>
        <rFont val="宋体"/>
        <family val="3"/>
        <charset val="134"/>
      </rPr>
      <t>的具体情况作出本准则第三十二条所述的会计处理选择。</t>
    </r>
    <phoneticPr fontId="11" type="noConversion"/>
  </si>
  <si>
    <r>
      <rPr>
        <sz val="10"/>
        <rFont val="宋体"/>
        <family val="3"/>
        <charset val="134"/>
      </rPr>
      <t>除非合同条款或条件发生变化，企业无需重新评估合同是否为租赁或者是否包含租赁。</t>
    </r>
    <phoneticPr fontId="11" type="noConversion"/>
  </si>
  <si>
    <r>
      <rPr>
        <sz val="10"/>
        <rFont val="宋体"/>
        <family val="3"/>
        <charset val="134"/>
      </rPr>
      <t>第三十二条</t>
    </r>
    <r>
      <rPr>
        <sz val="10"/>
        <rFont val="Arial Narrow"/>
        <family val="2"/>
      </rPr>
      <t xml:space="preserve">  </t>
    </r>
    <r>
      <rPr>
        <sz val="10"/>
        <rFont val="宋体"/>
        <family val="3"/>
        <charset val="134"/>
      </rPr>
      <t>对于短期租赁和低价值资产租赁，承租人可以选择不确认使用权资产和租赁负债。</t>
    </r>
    <phoneticPr fontId="11" type="noConversion"/>
  </si>
  <si>
    <r>
      <rPr>
        <b/>
        <sz val="10"/>
        <color rgb="FF000000"/>
        <rFont val="宋体"/>
        <family val="3"/>
        <charset val="134"/>
      </rPr>
      <t>合同信息</t>
    </r>
    <phoneticPr fontId="11" type="noConversion"/>
  </si>
  <si>
    <r>
      <rPr>
        <sz val="10"/>
        <color rgb="FFFF0000"/>
        <rFont val="宋体"/>
        <family val="3"/>
        <charset val="134"/>
      </rPr>
      <t>不包含</t>
    </r>
  </si>
  <si>
    <r>
      <rPr>
        <sz val="10"/>
        <color rgb="FFFF0000"/>
        <rFont val="宋体"/>
        <family val="3"/>
        <charset val="134"/>
      </rPr>
      <t>包含</t>
    </r>
  </si>
  <si>
    <r>
      <rPr>
        <sz val="10"/>
        <color rgb="FF000000"/>
        <rFont val="宋体"/>
        <family val="3"/>
        <charset val="134"/>
      </rPr>
      <t>①仅出租人有权终止租赁，则不可撤销的租赁期包括终止租赁选择权所涵盖的期间；</t>
    </r>
    <phoneticPr fontId="11" type="noConversion"/>
  </si>
  <si>
    <r>
      <rPr>
        <sz val="10"/>
        <color rgb="FF000000"/>
        <rFont val="宋体"/>
        <family val="3"/>
        <charset val="134"/>
      </rPr>
      <t>考虑对承租人行使续租选择权带来经济利益的所有相关事实和情况</t>
    </r>
    <phoneticPr fontId="11" type="noConversion"/>
  </si>
  <si>
    <r>
      <t xml:space="preserve">2.1 </t>
    </r>
    <r>
      <rPr>
        <b/>
        <sz val="10"/>
        <rFont val="宋体"/>
        <family val="3"/>
        <charset val="134"/>
      </rPr>
      <t>承租人可控范围内的重大事件或变化的情形</t>
    </r>
    <phoneticPr fontId="11" type="noConversion"/>
  </si>
  <si>
    <r>
      <rPr>
        <b/>
        <sz val="10"/>
        <color rgb="FF000000"/>
        <rFont val="宋体"/>
        <family val="3"/>
        <charset val="134"/>
      </rPr>
      <t>合同信息</t>
    </r>
    <phoneticPr fontId="11" type="noConversion"/>
  </si>
  <si>
    <r>
      <rPr>
        <b/>
        <sz val="10"/>
        <rFont val="宋体"/>
        <family val="3"/>
        <charset val="134"/>
      </rPr>
      <t>是</t>
    </r>
    <r>
      <rPr>
        <b/>
        <sz val="10"/>
        <rFont val="Arial Narrow"/>
        <family val="2"/>
      </rPr>
      <t>/</t>
    </r>
    <r>
      <rPr>
        <b/>
        <sz val="10"/>
        <rFont val="宋体"/>
        <family val="3"/>
        <charset val="134"/>
      </rPr>
      <t>否</t>
    </r>
    <phoneticPr fontId="11" type="noConversion"/>
  </si>
  <si>
    <r>
      <rPr>
        <sz val="10"/>
        <color rgb="FF000000"/>
        <rFont val="宋体"/>
        <family val="3"/>
        <charset val="134"/>
      </rPr>
      <t>①重大租赁资产改良</t>
    </r>
    <phoneticPr fontId="11" type="noConversion"/>
  </si>
  <si>
    <r>
      <rPr>
        <b/>
        <sz val="10"/>
        <color rgb="FF000000"/>
        <rFont val="宋体"/>
        <family val="3"/>
        <charset val="134"/>
      </rPr>
      <t>情形</t>
    </r>
    <phoneticPr fontId="11" type="noConversion"/>
  </si>
  <si>
    <r>
      <rPr>
        <b/>
        <sz val="10"/>
        <rFont val="宋体"/>
        <family val="3"/>
        <charset val="134"/>
      </rPr>
      <t>索引</t>
    </r>
    <phoneticPr fontId="11" type="noConversion"/>
  </si>
  <si>
    <r>
      <rPr>
        <sz val="10"/>
        <color rgb="FF000000"/>
        <rFont val="宋体"/>
        <family val="3"/>
        <charset val="134"/>
      </rPr>
      <t>与租赁的其他条款相结合判断</t>
    </r>
    <phoneticPr fontId="11" type="noConversion"/>
  </si>
  <si>
    <r>
      <rPr>
        <sz val="10"/>
        <color rgb="FF000000"/>
        <rFont val="宋体"/>
        <family val="3"/>
        <charset val="134"/>
      </rPr>
      <t>（</t>
    </r>
    <r>
      <rPr>
        <sz val="10"/>
        <color rgb="FF000000"/>
        <rFont val="Arial Narrow"/>
        <family val="2"/>
      </rPr>
      <t>4</t>
    </r>
    <r>
      <rPr>
        <sz val="10"/>
        <color rgb="FF000000"/>
        <rFont val="宋体"/>
        <family val="3"/>
        <charset val="134"/>
      </rPr>
      <t>）续租选择权涵盖的期间</t>
    </r>
    <phoneticPr fontId="11" type="noConversion"/>
  </si>
  <si>
    <r>
      <rPr>
        <sz val="10"/>
        <color rgb="FF000000"/>
        <rFont val="宋体"/>
        <family val="3"/>
        <charset val="134"/>
      </rPr>
      <t>（</t>
    </r>
    <r>
      <rPr>
        <sz val="10"/>
        <color rgb="FF000000"/>
        <rFont val="Arial Narrow"/>
        <family val="2"/>
      </rPr>
      <t>5</t>
    </r>
    <r>
      <rPr>
        <sz val="10"/>
        <color rgb="FF000000"/>
        <rFont val="宋体"/>
        <family val="3"/>
        <charset val="134"/>
      </rPr>
      <t>）购买选择权</t>
    </r>
    <phoneticPr fontId="11" type="noConversion"/>
  </si>
  <si>
    <r>
      <rPr>
        <sz val="10"/>
        <color rgb="FF000000"/>
        <rFont val="宋体"/>
        <family val="3"/>
        <charset val="134"/>
      </rPr>
      <t>②租赁资产的重大改动或定制化调整</t>
    </r>
    <phoneticPr fontId="11" type="noConversion"/>
  </si>
  <si>
    <r>
      <rPr>
        <sz val="10"/>
        <color rgb="FF000000"/>
        <rFont val="宋体"/>
        <family val="3"/>
        <charset val="134"/>
      </rPr>
      <t>③直接相关的经营决策</t>
    </r>
    <phoneticPr fontId="11" type="noConversion"/>
  </si>
  <si>
    <r>
      <t xml:space="preserve">1. </t>
    </r>
    <r>
      <rPr>
        <sz val="10"/>
        <rFont val="宋体"/>
        <family val="3"/>
        <charset val="134"/>
      </rPr>
      <t>资产负债表中记录的使用权资产是存在的，且已记录于恰当的账户；</t>
    </r>
    <r>
      <rPr>
        <sz val="10"/>
        <rFont val="Arial Narrow"/>
        <family val="2"/>
      </rPr>
      <t xml:space="preserve">2. </t>
    </r>
    <r>
      <rPr>
        <sz val="10"/>
        <rFont val="宋体"/>
        <family val="3"/>
        <charset val="134"/>
      </rPr>
      <t>所有应记录的使用权资产均已记录，所有应当包括在财务报表中的相关披露均已包括；</t>
    </r>
    <r>
      <rPr>
        <sz val="10"/>
        <rFont val="Arial Narrow"/>
        <family val="2"/>
      </rPr>
      <t xml:space="preserve">3. </t>
    </r>
    <r>
      <rPr>
        <sz val="10"/>
        <rFont val="宋体"/>
        <family val="3"/>
        <charset val="134"/>
      </rPr>
      <t>使用权资产以恰当的金额包括在财务报表中，与之相关的计价或分摊调整已恰当记录，相关披露已得到恰当计量和描述。</t>
    </r>
    <phoneticPr fontId="11" type="noConversion"/>
  </si>
  <si>
    <r>
      <t xml:space="preserve">1. </t>
    </r>
    <r>
      <rPr>
        <b/>
        <sz val="10"/>
        <rFont val="宋体"/>
        <family val="3"/>
        <charset val="134"/>
      </rPr>
      <t>租赁期的确定【承租人有权使用租赁资产且不可撤销的期间】</t>
    </r>
    <phoneticPr fontId="11" type="noConversion"/>
  </si>
  <si>
    <r>
      <rPr>
        <b/>
        <sz val="10"/>
        <color rgb="FF000000"/>
        <rFont val="宋体"/>
        <family val="3"/>
        <charset val="134"/>
      </rPr>
      <t>项目</t>
    </r>
    <phoneticPr fontId="11" type="noConversion"/>
  </si>
  <si>
    <r>
      <rPr>
        <b/>
        <sz val="10"/>
        <color rgb="FF000000"/>
        <rFont val="宋体"/>
        <family val="3"/>
        <charset val="134"/>
      </rPr>
      <t>合同信息</t>
    </r>
    <phoneticPr fontId="11" type="noConversion"/>
  </si>
  <si>
    <r>
      <rPr>
        <b/>
        <sz val="10"/>
        <rFont val="宋体"/>
        <family val="3"/>
        <charset val="134"/>
      </rPr>
      <t>是否包含</t>
    </r>
    <phoneticPr fontId="11" type="noConversion"/>
  </si>
  <si>
    <r>
      <rPr>
        <sz val="10"/>
        <color rgb="FF000000"/>
        <rFont val="宋体"/>
        <family val="3"/>
        <charset val="134"/>
      </rPr>
      <t>（</t>
    </r>
    <r>
      <rPr>
        <sz val="10"/>
        <color rgb="FF000000"/>
        <rFont val="Arial Narrow"/>
        <family val="2"/>
      </rPr>
      <t>1</t>
    </r>
    <r>
      <rPr>
        <sz val="10"/>
        <color rgb="FF000000"/>
        <rFont val="宋体"/>
        <family val="3"/>
        <charset val="134"/>
      </rPr>
      <t>）租赁协议约定的起租日或租金起付日</t>
    </r>
    <phoneticPr fontId="11" type="noConversion"/>
  </si>
  <si>
    <r>
      <rPr>
        <sz val="10"/>
        <color rgb="FF000000"/>
        <rFont val="宋体"/>
        <family val="3"/>
        <charset val="134"/>
      </rPr>
      <t>（</t>
    </r>
    <r>
      <rPr>
        <sz val="10"/>
        <color rgb="FF000000"/>
        <rFont val="Arial Narrow"/>
        <family val="2"/>
      </rPr>
      <t>2</t>
    </r>
    <r>
      <rPr>
        <sz val="10"/>
        <color rgb="FF000000"/>
        <rFont val="宋体"/>
        <family val="3"/>
        <charset val="134"/>
      </rPr>
      <t>）租赁期开始日【出租人提供租赁资产使其可供承租人使用的起始日期】</t>
    </r>
    <phoneticPr fontId="11" type="noConversion"/>
  </si>
  <si>
    <r>
      <rPr>
        <sz val="10"/>
        <color rgb="FF000000"/>
        <rFont val="宋体"/>
        <family val="3"/>
        <charset val="134"/>
      </rPr>
      <t>（</t>
    </r>
    <r>
      <rPr>
        <sz val="10"/>
        <color rgb="FF000000"/>
        <rFont val="Arial Narrow"/>
        <family val="2"/>
      </rPr>
      <t>3</t>
    </r>
    <r>
      <rPr>
        <sz val="10"/>
        <color rgb="FF000000"/>
        <rFont val="宋体"/>
        <family val="3"/>
        <charset val="134"/>
      </rPr>
      <t>）不可撤销期间</t>
    </r>
    <phoneticPr fontId="11" type="noConversion"/>
  </si>
  <si>
    <r>
      <rPr>
        <sz val="10"/>
        <color rgb="FF000000"/>
        <rFont val="宋体"/>
        <family val="3"/>
        <charset val="134"/>
      </rPr>
      <t>②如果只有承租人有权终止租赁，则在确定租赁期时，应将该项权利视为承租人可行使的终止租赁选择权予以考虑；</t>
    </r>
    <phoneticPr fontId="11" type="noConversion"/>
  </si>
  <si>
    <r>
      <rPr>
        <sz val="10"/>
        <color rgb="FF000000"/>
        <rFont val="宋体"/>
        <family val="3"/>
        <charset val="134"/>
      </rPr>
      <t>③双方均有权单方面终止，且罚款金额不重大。</t>
    </r>
    <phoneticPr fontId="11" type="noConversion"/>
  </si>
  <si>
    <r>
      <rPr>
        <b/>
        <sz val="10"/>
        <color rgb="FF000000"/>
        <rFont val="宋体"/>
        <family val="3"/>
        <charset val="134"/>
      </rPr>
      <t>确定的租赁期</t>
    </r>
    <phoneticPr fontId="11" type="noConversion"/>
  </si>
  <si>
    <r>
      <t xml:space="preserve">2. </t>
    </r>
    <r>
      <rPr>
        <b/>
        <sz val="10"/>
        <rFont val="宋体"/>
        <family val="3"/>
        <charset val="134"/>
      </rPr>
      <t>对租赁期和购买选择权的重新评估</t>
    </r>
    <phoneticPr fontId="11" type="noConversion"/>
  </si>
  <si>
    <r>
      <rPr>
        <b/>
        <sz val="10"/>
        <color rgb="FF000000"/>
        <rFont val="宋体"/>
        <family val="3"/>
        <charset val="134"/>
      </rPr>
      <t>结</t>
    </r>
    <r>
      <rPr>
        <b/>
        <sz val="10"/>
        <color rgb="FF000000"/>
        <rFont val="Arial Narrow"/>
        <family val="2"/>
      </rPr>
      <t xml:space="preserve"> </t>
    </r>
    <r>
      <rPr>
        <b/>
        <sz val="10"/>
        <color rgb="FF000000"/>
        <rFont val="宋体"/>
        <family val="3"/>
        <charset val="134"/>
      </rPr>
      <t>论</t>
    </r>
    <phoneticPr fontId="11" type="noConversion"/>
  </si>
  <si>
    <r>
      <t xml:space="preserve">2.2 </t>
    </r>
    <r>
      <rPr>
        <b/>
        <sz val="10"/>
        <rFont val="宋体"/>
        <family val="3"/>
        <charset val="134"/>
      </rPr>
      <t>根据重新评估结果修改租赁期</t>
    </r>
    <phoneticPr fontId="11" type="noConversion"/>
  </si>
  <si>
    <r>
      <rPr>
        <sz val="10"/>
        <rFont val="宋体"/>
        <family val="3"/>
        <charset val="134"/>
      </rPr>
      <t>是否适用</t>
    </r>
    <phoneticPr fontId="11" type="noConversion"/>
  </si>
  <si>
    <r>
      <rPr>
        <b/>
        <sz val="10"/>
        <color rgb="FF000000"/>
        <rFont val="宋体"/>
        <family val="3"/>
        <charset val="134"/>
      </rPr>
      <t>合同信息</t>
    </r>
    <phoneticPr fontId="11" type="noConversion"/>
  </si>
  <si>
    <r>
      <rPr>
        <b/>
        <sz val="10"/>
        <rFont val="宋体"/>
        <family val="3"/>
        <charset val="134"/>
      </rPr>
      <t>是</t>
    </r>
    <r>
      <rPr>
        <b/>
        <sz val="10"/>
        <rFont val="Arial Narrow"/>
        <family val="2"/>
      </rPr>
      <t>/</t>
    </r>
    <r>
      <rPr>
        <b/>
        <sz val="10"/>
        <rFont val="宋体"/>
        <family val="3"/>
        <charset val="134"/>
      </rPr>
      <t>否</t>
    </r>
    <phoneticPr fontId="11" type="noConversion"/>
  </si>
  <si>
    <r>
      <rPr>
        <sz val="10"/>
        <color rgb="FF000000"/>
        <rFont val="宋体"/>
        <family val="3"/>
        <charset val="134"/>
      </rPr>
      <t>（</t>
    </r>
    <r>
      <rPr>
        <sz val="10"/>
        <color rgb="FF000000"/>
        <rFont val="Arial Narrow"/>
        <family val="2"/>
      </rPr>
      <t>1</t>
    </r>
    <r>
      <rPr>
        <sz val="10"/>
        <color rgb="FF000000"/>
        <rFont val="宋体"/>
        <family val="3"/>
        <charset val="134"/>
      </rPr>
      <t>）承租人实际行使了选择权，但该选择权在之前企业确定租赁期时未涵盖；</t>
    </r>
    <phoneticPr fontId="11" type="noConversion"/>
  </si>
  <si>
    <r>
      <rPr>
        <sz val="10"/>
        <color rgb="FF000000"/>
        <rFont val="宋体"/>
        <family val="3"/>
        <charset val="134"/>
      </rPr>
      <t>（</t>
    </r>
    <r>
      <rPr>
        <sz val="10"/>
        <color rgb="FF000000"/>
        <rFont val="Arial Narrow"/>
        <family val="2"/>
      </rPr>
      <t>2</t>
    </r>
    <r>
      <rPr>
        <sz val="10"/>
        <color rgb="FF000000"/>
        <rFont val="宋体"/>
        <family val="3"/>
        <charset val="134"/>
      </rPr>
      <t>）承租人未实际行使选择权但该选择权在之前企业确定租赁期时已涵盖；</t>
    </r>
    <phoneticPr fontId="11" type="noConversion"/>
  </si>
  <si>
    <r>
      <rPr>
        <sz val="10"/>
        <color rgb="FF000000"/>
        <rFont val="宋体"/>
        <family val="3"/>
        <charset val="134"/>
      </rPr>
      <t>（</t>
    </r>
    <r>
      <rPr>
        <sz val="10"/>
        <color rgb="FF000000"/>
        <rFont val="Arial Narrow"/>
        <family val="2"/>
      </rPr>
      <t>3</t>
    </r>
    <r>
      <rPr>
        <sz val="10"/>
        <color rgb="FF000000"/>
        <rFont val="宋体"/>
        <family val="3"/>
        <charset val="134"/>
      </rPr>
      <t>）某些事件的发生，导致根据合同规定承租人有义务行使选择权，但该选择权在之前企业确定租赁期时未涵盖；</t>
    </r>
    <phoneticPr fontId="11" type="noConversion"/>
  </si>
  <si>
    <r>
      <rPr>
        <sz val="10"/>
        <color rgb="FF000000"/>
        <rFont val="宋体"/>
        <family val="3"/>
        <charset val="134"/>
      </rPr>
      <t>（</t>
    </r>
    <r>
      <rPr>
        <sz val="10"/>
        <color rgb="FF000000"/>
        <rFont val="Arial Narrow"/>
        <family val="2"/>
      </rPr>
      <t>4</t>
    </r>
    <r>
      <rPr>
        <sz val="10"/>
        <color rgb="FF000000"/>
        <rFont val="宋体"/>
        <family val="3"/>
        <charset val="134"/>
      </rPr>
      <t>）某些事件的发生，导致根据合同规定禁止承租人行使选择权，但该选择权在之前企业确定租赁期时已涵盖。</t>
    </r>
    <phoneticPr fontId="11" type="noConversion"/>
  </si>
  <si>
    <r>
      <rPr>
        <b/>
        <sz val="10"/>
        <color rgb="FF000000"/>
        <rFont val="宋体"/>
        <family val="3"/>
        <charset val="134"/>
      </rPr>
      <t>重新确定的租赁期</t>
    </r>
    <phoneticPr fontId="11" type="noConversion"/>
  </si>
  <si>
    <r>
      <rPr>
        <b/>
        <sz val="10"/>
        <color theme="1"/>
        <rFont val="宋体"/>
        <family val="3"/>
        <charset val="134"/>
      </rPr>
      <t>期末余额</t>
    </r>
    <phoneticPr fontId="6" type="noConversion"/>
  </si>
  <si>
    <r>
      <rPr>
        <b/>
        <sz val="10"/>
        <color theme="1"/>
        <rFont val="宋体"/>
        <family val="3"/>
        <charset val="134"/>
      </rPr>
      <t>折旧费用</t>
    </r>
    <phoneticPr fontId="6" type="noConversion"/>
  </si>
  <si>
    <r>
      <rPr>
        <b/>
        <sz val="10"/>
        <rFont val="宋体"/>
        <family val="3"/>
        <charset val="134"/>
      </rPr>
      <t>一、审计目标：</t>
    </r>
    <r>
      <rPr>
        <sz val="10"/>
        <rFont val="Arial Narrow"/>
        <family val="2"/>
      </rPr>
      <t xml:space="preserve">1. </t>
    </r>
    <r>
      <rPr>
        <sz val="10"/>
        <rFont val="宋体"/>
        <family val="3"/>
        <charset val="134"/>
      </rPr>
      <t>资产负债表中记录的使用权资产是存在的，且已记录于恰当的账户；</t>
    </r>
    <r>
      <rPr>
        <sz val="10"/>
        <rFont val="Arial Narrow"/>
        <family val="2"/>
      </rPr>
      <t xml:space="preserve">2. </t>
    </r>
    <r>
      <rPr>
        <sz val="10"/>
        <rFont val="宋体"/>
        <family val="3"/>
        <charset val="134"/>
      </rPr>
      <t>所有应记录的使用权资产均已记录，所有应当包括在财务报表中的相关披露均已包括；</t>
    </r>
    <r>
      <rPr>
        <sz val="10"/>
        <rFont val="Arial Narrow"/>
        <family val="2"/>
      </rPr>
      <t xml:space="preserve">3. </t>
    </r>
    <r>
      <rPr>
        <sz val="10"/>
        <rFont val="宋体"/>
        <family val="3"/>
        <charset val="134"/>
      </rPr>
      <t>记录的使用权资产由被审计单位拥有或控制；</t>
    </r>
    <r>
      <rPr>
        <sz val="10"/>
        <rFont val="Arial Narrow"/>
        <family val="2"/>
      </rPr>
      <t xml:space="preserve">4. </t>
    </r>
    <r>
      <rPr>
        <sz val="10"/>
        <rFont val="宋体"/>
        <family val="3"/>
        <charset val="134"/>
      </rPr>
      <t>使用权资产以恰当的金额包括在财务报表中，与之相关的计价或分摊调整已恰当记录，相关披露已得到恰当计量和描述。</t>
    </r>
    <phoneticPr fontId="11" type="noConversion"/>
  </si>
  <si>
    <r>
      <t xml:space="preserve">1. </t>
    </r>
    <r>
      <rPr>
        <b/>
        <sz val="10"/>
        <rFont val="宋体"/>
        <family val="3"/>
        <charset val="134"/>
      </rPr>
      <t>租赁合同的基本信息</t>
    </r>
    <phoneticPr fontId="6" type="noConversion"/>
  </si>
  <si>
    <r>
      <rPr>
        <b/>
        <sz val="10"/>
        <rFont val="宋体"/>
        <family val="3"/>
        <charset val="134"/>
      </rPr>
      <t>使用权资产名称</t>
    </r>
    <phoneticPr fontId="6" type="noConversion"/>
  </si>
  <si>
    <r>
      <rPr>
        <b/>
        <sz val="10"/>
        <rFont val="宋体"/>
        <family val="3"/>
        <charset val="134"/>
      </rPr>
      <t>租赁期开始日</t>
    </r>
    <phoneticPr fontId="6" type="noConversion"/>
  </si>
  <si>
    <r>
      <rPr>
        <b/>
        <sz val="10"/>
        <rFont val="宋体"/>
        <family val="3"/>
        <charset val="134"/>
      </rPr>
      <t>合同约定初始期满日</t>
    </r>
    <phoneticPr fontId="6" type="noConversion"/>
  </si>
  <si>
    <r>
      <rPr>
        <b/>
        <sz val="10"/>
        <rFont val="宋体"/>
        <family val="3"/>
        <charset val="134"/>
      </rPr>
      <t>续租期（年）</t>
    </r>
    <phoneticPr fontId="6" type="noConversion"/>
  </si>
  <si>
    <r>
      <rPr>
        <b/>
        <sz val="10"/>
        <rFont val="宋体"/>
        <family val="3"/>
        <charset val="134"/>
      </rPr>
      <t>租赁期（考虑续租可能后）</t>
    </r>
    <phoneticPr fontId="6" type="noConversion"/>
  </si>
  <si>
    <r>
      <rPr>
        <b/>
        <sz val="10"/>
        <rFont val="宋体"/>
        <family val="3"/>
        <charset val="134"/>
      </rPr>
      <t>租赁期截止日期</t>
    </r>
    <phoneticPr fontId="6" type="noConversion"/>
  </si>
  <si>
    <r>
      <rPr>
        <b/>
        <sz val="10"/>
        <rFont val="宋体"/>
        <family val="3"/>
        <charset val="134"/>
      </rPr>
      <t>增量借款利率</t>
    </r>
    <phoneticPr fontId="11" type="noConversion"/>
  </si>
  <si>
    <r>
      <rPr>
        <b/>
        <sz val="10"/>
        <rFont val="宋体"/>
        <family val="3"/>
        <charset val="134"/>
      </rPr>
      <t>折现率</t>
    </r>
    <phoneticPr fontId="6" type="noConversion"/>
  </si>
  <si>
    <r>
      <rPr>
        <b/>
        <sz val="10"/>
        <rFont val="宋体"/>
        <family val="3"/>
        <charset val="134"/>
      </rPr>
      <t>使用权资产摊销期限（年）</t>
    </r>
    <phoneticPr fontId="6" type="noConversion"/>
  </si>
  <si>
    <r>
      <t>XX</t>
    </r>
    <r>
      <rPr>
        <sz val="10"/>
        <color rgb="FFFF0000"/>
        <rFont val="宋体"/>
        <family val="3"/>
        <charset val="134"/>
      </rPr>
      <t>设备</t>
    </r>
    <phoneticPr fontId="6" type="noConversion"/>
  </si>
  <si>
    <r>
      <t xml:space="preserve">2. </t>
    </r>
    <r>
      <rPr>
        <b/>
        <sz val="10"/>
        <rFont val="宋体"/>
        <family val="3"/>
        <charset val="134"/>
      </rPr>
      <t>计算租赁负债余额</t>
    </r>
    <phoneticPr fontId="6" type="noConversion"/>
  </si>
  <si>
    <r>
      <rPr>
        <b/>
        <sz val="10"/>
        <rFont val="宋体"/>
        <family val="3"/>
        <charset val="134"/>
      </rPr>
      <t>租金支付日期</t>
    </r>
    <phoneticPr fontId="6" type="noConversion"/>
  </si>
  <si>
    <r>
      <rPr>
        <b/>
        <sz val="10"/>
        <rFont val="宋体"/>
        <family val="3"/>
        <charset val="134"/>
      </rPr>
      <t>剩余合同租金（不含税）</t>
    </r>
    <phoneticPr fontId="6" type="noConversion"/>
  </si>
  <si>
    <r>
      <rPr>
        <b/>
        <sz val="10"/>
        <rFont val="宋体"/>
        <family val="3"/>
        <charset val="134"/>
      </rPr>
      <t>租赁付款额原值</t>
    </r>
    <phoneticPr fontId="6" type="noConversion"/>
  </si>
  <si>
    <r>
      <rPr>
        <b/>
        <sz val="10"/>
        <rFont val="宋体"/>
        <family val="3"/>
        <charset val="134"/>
      </rPr>
      <t>租赁负债折现期</t>
    </r>
    <r>
      <rPr>
        <b/>
        <sz val="10"/>
        <rFont val="Arial Narrow"/>
        <family val="2"/>
      </rPr>
      <t>(</t>
    </r>
    <r>
      <rPr>
        <b/>
        <sz val="10"/>
        <rFont val="宋体"/>
        <family val="3"/>
        <charset val="134"/>
      </rPr>
      <t>年）</t>
    </r>
    <phoneticPr fontId="6" type="noConversion"/>
  </si>
  <si>
    <r>
      <rPr>
        <b/>
        <sz val="10"/>
        <rFont val="宋体"/>
        <family val="3"/>
        <charset val="134"/>
      </rPr>
      <t>租赁负债折现系数</t>
    </r>
    <phoneticPr fontId="6" type="noConversion"/>
  </si>
  <si>
    <r>
      <rPr>
        <b/>
        <sz val="10"/>
        <rFont val="宋体"/>
        <family val="3"/>
        <charset val="134"/>
      </rPr>
      <t>租赁付款额现值</t>
    </r>
  </si>
  <si>
    <r>
      <rPr>
        <b/>
        <sz val="10"/>
        <rFont val="宋体"/>
        <family val="3"/>
        <charset val="134"/>
      </rPr>
      <t>租赁预付款</t>
    </r>
    <phoneticPr fontId="11" type="noConversion"/>
  </si>
  <si>
    <r>
      <rPr>
        <b/>
        <sz val="10"/>
        <rFont val="宋体"/>
        <family val="3"/>
        <charset val="134"/>
      </rPr>
      <t>初始直接费用</t>
    </r>
  </si>
  <si>
    <r>
      <rPr>
        <b/>
        <sz val="10"/>
        <rFont val="宋体"/>
        <family val="3"/>
        <charset val="134"/>
      </rPr>
      <t>使用权资产初始确认金额</t>
    </r>
    <phoneticPr fontId="6" type="noConversion"/>
  </si>
  <si>
    <r>
      <rPr>
        <b/>
        <sz val="10"/>
        <rFont val="宋体"/>
        <family val="3"/>
        <charset val="134"/>
      </rPr>
      <t>合计</t>
    </r>
    <phoneticPr fontId="6" type="noConversion"/>
  </si>
  <si>
    <r>
      <t xml:space="preserve">3. </t>
    </r>
    <r>
      <rPr>
        <b/>
        <sz val="10"/>
        <rFont val="宋体"/>
        <family val="3"/>
        <charset val="134"/>
      </rPr>
      <t>租赁负债及使用权资产后续计量</t>
    </r>
    <phoneticPr fontId="6" type="noConversion"/>
  </si>
  <si>
    <r>
      <rPr>
        <b/>
        <sz val="10"/>
        <color theme="1"/>
        <rFont val="宋体"/>
        <family val="3"/>
        <charset val="134"/>
      </rPr>
      <t>期间</t>
    </r>
    <phoneticPr fontId="6" type="noConversion"/>
  </si>
  <si>
    <r>
      <rPr>
        <b/>
        <sz val="10"/>
        <color theme="1"/>
        <rFont val="宋体"/>
        <family val="3"/>
        <charset val="134"/>
      </rPr>
      <t>租赁负债</t>
    </r>
    <phoneticPr fontId="6" type="noConversion"/>
  </si>
  <si>
    <r>
      <rPr>
        <b/>
        <sz val="10"/>
        <color theme="1"/>
        <rFont val="宋体"/>
        <family val="3"/>
        <charset val="134"/>
      </rPr>
      <t>使用权资产</t>
    </r>
    <phoneticPr fontId="6" type="noConversion"/>
  </si>
  <si>
    <r>
      <rPr>
        <b/>
        <sz val="10"/>
        <rFont val="宋体"/>
        <family val="3"/>
        <charset val="134"/>
      </rPr>
      <t>期初余额</t>
    </r>
    <phoneticPr fontId="6" type="noConversion"/>
  </si>
  <si>
    <r>
      <rPr>
        <b/>
        <sz val="10"/>
        <color theme="1"/>
        <rFont val="宋体"/>
        <family val="3"/>
        <charset val="134"/>
      </rPr>
      <t>租赁付款额</t>
    </r>
    <phoneticPr fontId="6" type="noConversion"/>
  </si>
  <si>
    <r>
      <rPr>
        <b/>
        <sz val="10"/>
        <rFont val="宋体"/>
        <family val="3"/>
        <charset val="134"/>
      </rPr>
      <t>支付月份</t>
    </r>
    <phoneticPr fontId="6" type="noConversion"/>
  </si>
  <si>
    <r>
      <rPr>
        <b/>
        <sz val="10"/>
        <color theme="1"/>
        <rFont val="宋体"/>
        <family val="3"/>
        <charset val="134"/>
      </rPr>
      <t>利息费用</t>
    </r>
    <phoneticPr fontId="6" type="noConversion"/>
  </si>
  <si>
    <r>
      <rPr>
        <b/>
        <sz val="10"/>
        <rFont val="宋体"/>
        <family val="3"/>
        <charset val="134"/>
      </rPr>
      <t>期初余额</t>
    </r>
    <phoneticPr fontId="6" type="noConversion"/>
  </si>
  <si>
    <r>
      <t>2022</t>
    </r>
    <r>
      <rPr>
        <sz val="10"/>
        <rFont val="宋体"/>
        <family val="3"/>
        <charset val="134"/>
      </rPr>
      <t>年度</t>
    </r>
  </si>
  <si>
    <r>
      <t>2023</t>
    </r>
    <r>
      <rPr>
        <sz val="10"/>
        <rFont val="宋体"/>
        <family val="3"/>
        <charset val="134"/>
      </rPr>
      <t>年度</t>
    </r>
  </si>
  <si>
    <r>
      <t>2024</t>
    </r>
    <r>
      <rPr>
        <sz val="10"/>
        <rFont val="宋体"/>
        <family val="3"/>
        <charset val="134"/>
      </rPr>
      <t>年度</t>
    </r>
  </si>
  <si>
    <r>
      <t>2025</t>
    </r>
    <r>
      <rPr>
        <sz val="10"/>
        <rFont val="宋体"/>
        <family val="3"/>
        <charset val="134"/>
      </rPr>
      <t>年度</t>
    </r>
  </si>
  <si>
    <r>
      <t>2026</t>
    </r>
    <r>
      <rPr>
        <sz val="10"/>
        <rFont val="宋体"/>
        <family val="3"/>
        <charset val="134"/>
      </rPr>
      <t>年度</t>
    </r>
  </si>
  <si>
    <r>
      <t>2027</t>
    </r>
    <r>
      <rPr>
        <sz val="10"/>
        <rFont val="宋体"/>
        <family val="3"/>
        <charset val="134"/>
      </rPr>
      <t>年度</t>
    </r>
  </si>
  <si>
    <r>
      <t>2028</t>
    </r>
    <r>
      <rPr>
        <sz val="10"/>
        <rFont val="宋体"/>
        <family val="3"/>
        <charset val="134"/>
      </rPr>
      <t>年度</t>
    </r>
  </si>
  <si>
    <r>
      <t>2029</t>
    </r>
    <r>
      <rPr>
        <sz val="10"/>
        <rFont val="宋体"/>
        <family val="3"/>
        <charset val="134"/>
      </rPr>
      <t>年度</t>
    </r>
    <phoneticPr fontId="11" type="noConversion"/>
  </si>
  <si>
    <r>
      <t>2030</t>
    </r>
    <r>
      <rPr>
        <sz val="10"/>
        <rFont val="宋体"/>
        <family val="3"/>
        <charset val="134"/>
      </rPr>
      <t>年度</t>
    </r>
    <phoneticPr fontId="11" type="noConversion"/>
  </si>
  <si>
    <r>
      <rPr>
        <b/>
        <sz val="10"/>
        <rFont val="宋体"/>
        <family val="3"/>
        <charset val="134"/>
      </rPr>
      <t>填表说明：</t>
    </r>
    <phoneticPr fontId="6" type="noConversion"/>
  </si>
  <si>
    <r>
      <t>1</t>
    </r>
    <r>
      <rPr>
        <sz val="10"/>
        <rFont val="宋体"/>
        <family val="3"/>
        <charset val="134"/>
      </rPr>
      <t>、</t>
    </r>
    <phoneticPr fontId="11" type="noConversion"/>
  </si>
  <si>
    <r>
      <rPr>
        <sz val="10"/>
        <rFont val="宋体"/>
        <family val="3"/>
        <charset val="134"/>
      </rPr>
      <t>租赁期开始日</t>
    </r>
    <r>
      <rPr>
        <sz val="10"/>
        <color rgb="FFFF0000"/>
        <rFont val="Arial Narrow"/>
        <family val="2"/>
      </rPr>
      <t>*(</t>
    </r>
    <r>
      <rPr>
        <sz val="10"/>
        <color rgb="FFFF0000"/>
        <rFont val="宋体"/>
        <family val="3"/>
        <charset val="134"/>
      </rPr>
      <t>必填）</t>
    </r>
    <phoneticPr fontId="6" type="noConversion"/>
  </si>
  <si>
    <r>
      <rPr>
        <sz val="10"/>
        <rFont val="宋体"/>
        <family val="3"/>
        <charset val="134"/>
      </rPr>
      <t>必填项，实际移交日，填写格式为</t>
    </r>
    <r>
      <rPr>
        <sz val="10"/>
        <rFont val="Arial Narrow"/>
        <family val="2"/>
      </rPr>
      <t xml:space="preserve">YY-MM-DD </t>
    </r>
    <r>
      <rPr>
        <sz val="10"/>
        <rFont val="宋体"/>
        <family val="3"/>
        <charset val="134"/>
      </rPr>
      <t>如：</t>
    </r>
    <r>
      <rPr>
        <sz val="10"/>
        <rFont val="Arial Narrow"/>
        <family val="2"/>
      </rPr>
      <t>2021-01-01</t>
    </r>
    <phoneticPr fontId="6" type="noConversion"/>
  </si>
  <si>
    <r>
      <t>2</t>
    </r>
    <r>
      <rPr>
        <sz val="10"/>
        <rFont val="宋体"/>
        <family val="3"/>
        <charset val="134"/>
      </rPr>
      <t>、</t>
    </r>
    <phoneticPr fontId="11" type="noConversion"/>
  </si>
  <si>
    <r>
      <rPr>
        <sz val="10"/>
        <rFont val="宋体"/>
        <family val="3"/>
        <charset val="134"/>
      </rPr>
      <t>约满日期</t>
    </r>
    <r>
      <rPr>
        <sz val="10"/>
        <color rgb="FFFF0000"/>
        <rFont val="Arial Narrow"/>
        <family val="2"/>
      </rPr>
      <t>*(</t>
    </r>
    <r>
      <rPr>
        <sz val="10"/>
        <color rgb="FFFF0000"/>
        <rFont val="宋体"/>
        <family val="3"/>
        <charset val="134"/>
      </rPr>
      <t>必填）</t>
    </r>
    <phoneticPr fontId="6" type="noConversion"/>
  </si>
  <si>
    <r>
      <rPr>
        <sz val="10"/>
        <rFont val="宋体"/>
        <family val="3"/>
        <charset val="134"/>
      </rPr>
      <t>必填项，合同</t>
    </r>
    <r>
      <rPr>
        <sz val="10"/>
        <rFont val="Arial Narrow"/>
        <family val="2"/>
      </rPr>
      <t>/</t>
    </r>
    <r>
      <rPr>
        <sz val="10"/>
        <rFont val="宋体"/>
        <family val="3"/>
        <charset val="134"/>
      </rPr>
      <t>协议约定的合同期满日，填写格式为</t>
    </r>
    <r>
      <rPr>
        <sz val="10"/>
        <rFont val="Arial Narrow"/>
        <family val="2"/>
      </rPr>
      <t xml:space="preserve">YY-MM-DD </t>
    </r>
    <r>
      <rPr>
        <sz val="10"/>
        <rFont val="宋体"/>
        <family val="3"/>
        <charset val="134"/>
      </rPr>
      <t>如：</t>
    </r>
    <r>
      <rPr>
        <sz val="10"/>
        <rFont val="Arial Narrow"/>
        <family val="2"/>
      </rPr>
      <t>2024-09-30</t>
    </r>
    <phoneticPr fontId="6" type="noConversion"/>
  </si>
  <si>
    <r>
      <t>3</t>
    </r>
    <r>
      <rPr>
        <sz val="10"/>
        <rFont val="宋体"/>
        <family val="3"/>
        <charset val="134"/>
      </rPr>
      <t>、</t>
    </r>
    <phoneticPr fontId="11" type="noConversion"/>
  </si>
  <si>
    <r>
      <rPr>
        <sz val="10"/>
        <rFont val="宋体"/>
        <family val="3"/>
        <charset val="134"/>
      </rPr>
      <t>折现率</t>
    </r>
    <r>
      <rPr>
        <sz val="10"/>
        <color rgb="FFFF0000"/>
        <rFont val="Arial Narrow"/>
        <family val="2"/>
      </rPr>
      <t>*(</t>
    </r>
    <r>
      <rPr>
        <sz val="10"/>
        <color rgb="FFFF0000"/>
        <rFont val="宋体"/>
        <family val="3"/>
        <charset val="134"/>
      </rPr>
      <t>必填）</t>
    </r>
    <phoneticPr fontId="6" type="noConversion"/>
  </si>
  <si>
    <r>
      <rPr>
        <sz val="10"/>
        <rFont val="宋体"/>
        <family val="3"/>
        <charset val="134"/>
      </rPr>
      <t>按租赁合同的含报酬率或增量借款利率确定折现率。</t>
    </r>
    <phoneticPr fontId="6" type="noConversion"/>
  </si>
  <si>
    <r>
      <rPr>
        <sz val="10"/>
        <rFont val="宋体"/>
        <family val="3"/>
        <charset val="134"/>
      </rPr>
      <t>摊销期限</t>
    </r>
    <phoneticPr fontId="6" type="noConversion"/>
  </si>
  <si>
    <r>
      <rPr>
        <sz val="10"/>
        <rFont val="宋体"/>
        <family val="3"/>
        <charset val="134"/>
      </rPr>
      <t>已设定公式。在整个租赁期内摊销的月份。</t>
    </r>
    <phoneticPr fontId="6" type="noConversion"/>
  </si>
  <si>
    <r>
      <rPr>
        <sz val="10"/>
        <rFont val="宋体"/>
        <family val="3"/>
        <charset val="134"/>
      </rPr>
      <t>月折旧额</t>
    </r>
    <phoneticPr fontId="11" type="noConversion"/>
  </si>
  <si>
    <r>
      <rPr>
        <sz val="10"/>
        <rFont val="宋体"/>
        <family val="3"/>
        <charset val="134"/>
      </rPr>
      <t>假设采用直线法计提折旧，如采用其他折旧方法，请自行修改公式。</t>
    </r>
    <phoneticPr fontId="11" type="noConversion"/>
  </si>
  <si>
    <r>
      <rPr>
        <b/>
        <sz val="10"/>
        <color theme="1"/>
        <rFont val="宋体"/>
        <family val="3"/>
        <charset val="134"/>
      </rPr>
      <t>输</t>
    </r>
    <r>
      <rPr>
        <b/>
        <sz val="10"/>
        <color theme="1"/>
        <rFont val="Arial Narrow"/>
        <family val="2"/>
      </rPr>
      <t xml:space="preserve">    </t>
    </r>
    <r>
      <rPr>
        <b/>
        <sz val="10"/>
        <color theme="1"/>
        <rFont val="宋体"/>
        <family val="3"/>
        <charset val="134"/>
      </rPr>
      <t>入</t>
    </r>
    <r>
      <rPr>
        <b/>
        <sz val="10"/>
        <color theme="1"/>
        <rFont val="Arial Narrow"/>
        <family val="2"/>
      </rPr>
      <t xml:space="preserve">    </t>
    </r>
    <r>
      <rPr>
        <b/>
        <sz val="10"/>
        <color theme="1"/>
        <rFont val="宋体"/>
        <family val="3"/>
        <charset val="134"/>
      </rPr>
      <t>区</t>
    </r>
    <r>
      <rPr>
        <b/>
        <sz val="10"/>
        <color theme="1"/>
        <rFont val="Arial Narrow"/>
        <family val="2"/>
      </rPr>
      <t xml:space="preserve">    </t>
    </r>
    <r>
      <rPr>
        <b/>
        <sz val="10"/>
        <color theme="1"/>
        <rFont val="宋体"/>
        <family val="3"/>
        <charset val="134"/>
      </rPr>
      <t>域</t>
    </r>
    <phoneticPr fontId="45" type="noConversion"/>
  </si>
  <si>
    <r>
      <rPr>
        <b/>
        <sz val="10"/>
        <color theme="1"/>
        <rFont val="宋体"/>
        <family val="3"/>
        <charset val="134"/>
      </rPr>
      <t>计</t>
    </r>
    <r>
      <rPr>
        <b/>
        <sz val="10"/>
        <color theme="1"/>
        <rFont val="Arial Narrow"/>
        <family val="2"/>
      </rPr>
      <t xml:space="preserve">    </t>
    </r>
    <r>
      <rPr>
        <b/>
        <sz val="10"/>
        <color theme="1"/>
        <rFont val="宋体"/>
        <family val="3"/>
        <charset val="134"/>
      </rPr>
      <t>算</t>
    </r>
    <r>
      <rPr>
        <b/>
        <sz val="10"/>
        <color theme="1"/>
        <rFont val="Arial Narrow"/>
        <family val="2"/>
      </rPr>
      <t xml:space="preserve">    </t>
    </r>
    <r>
      <rPr>
        <b/>
        <sz val="10"/>
        <color theme="1"/>
        <rFont val="宋体"/>
        <family val="3"/>
        <charset val="134"/>
      </rPr>
      <t>区</t>
    </r>
    <r>
      <rPr>
        <b/>
        <sz val="10"/>
        <color theme="1"/>
        <rFont val="Arial Narrow"/>
        <family val="2"/>
      </rPr>
      <t xml:space="preserve">    </t>
    </r>
    <r>
      <rPr>
        <b/>
        <sz val="10"/>
        <color theme="1"/>
        <rFont val="宋体"/>
        <family val="3"/>
        <charset val="134"/>
      </rPr>
      <t>域</t>
    </r>
    <phoneticPr fontId="45" type="noConversion"/>
  </si>
  <si>
    <r>
      <rPr>
        <b/>
        <sz val="10"/>
        <rFont val="宋体"/>
        <family val="3"/>
        <charset val="134"/>
      </rPr>
      <t>借</t>
    </r>
    <phoneticPr fontId="6" type="noConversion"/>
  </si>
  <si>
    <r>
      <rPr>
        <b/>
        <sz val="10"/>
        <rFont val="宋体"/>
        <family val="3"/>
        <charset val="134"/>
      </rPr>
      <t>贷</t>
    </r>
    <phoneticPr fontId="6" type="noConversion"/>
  </si>
  <si>
    <r>
      <rPr>
        <b/>
        <sz val="10"/>
        <color indexed="8"/>
        <rFont val="宋体"/>
        <family val="3"/>
        <charset val="134"/>
      </rPr>
      <t>三、审计说明：</t>
    </r>
    <phoneticPr fontId="15" type="noConversion"/>
  </si>
  <si>
    <r>
      <rPr>
        <b/>
        <sz val="10"/>
        <color indexed="8"/>
        <rFont val="宋体"/>
        <family val="3"/>
        <charset val="134"/>
      </rPr>
      <t>四、审计结论：</t>
    </r>
    <phoneticPr fontId="15" type="noConversion"/>
  </si>
  <si>
    <r>
      <rPr>
        <b/>
        <sz val="10"/>
        <rFont val="宋体"/>
        <family val="3"/>
        <charset val="134"/>
      </rPr>
      <t>一、审计目标：</t>
    </r>
    <r>
      <rPr>
        <sz val="10"/>
        <rFont val="Arial Narrow"/>
        <family val="2"/>
      </rPr>
      <t xml:space="preserve">1. </t>
    </r>
    <r>
      <rPr>
        <sz val="10"/>
        <rFont val="宋体"/>
        <family val="3"/>
        <charset val="134"/>
      </rPr>
      <t>资产负债表中记录的使用权资产是存在的，且已记录于恰当的账户；</t>
    </r>
    <r>
      <rPr>
        <sz val="10"/>
        <rFont val="Arial Narrow"/>
        <family val="2"/>
      </rPr>
      <t xml:space="preserve">2. </t>
    </r>
    <r>
      <rPr>
        <sz val="10"/>
        <rFont val="宋体"/>
        <family val="3"/>
        <charset val="134"/>
      </rPr>
      <t>所有应记录的使用权资产均已记录，所有应当包括在财务报表中的相关披露均已包括；</t>
    </r>
    <r>
      <rPr>
        <sz val="10"/>
        <rFont val="Arial Narrow"/>
        <family val="2"/>
      </rPr>
      <t xml:space="preserve">3. </t>
    </r>
    <r>
      <rPr>
        <sz val="10"/>
        <rFont val="宋体"/>
        <family val="3"/>
        <charset val="134"/>
      </rPr>
      <t>记录的使用权资产由被审计单位拥有或控制；</t>
    </r>
    <r>
      <rPr>
        <sz val="10"/>
        <rFont val="Arial Narrow"/>
        <family val="2"/>
      </rPr>
      <t xml:space="preserve">4. </t>
    </r>
    <r>
      <rPr>
        <sz val="10"/>
        <rFont val="宋体"/>
        <family val="3"/>
        <charset val="134"/>
      </rPr>
      <t>使用权资产以恰当的金额包括在财务报表中，与之相关的计价或分摊调整已恰当记录，相关披露已得到恰当计量和描述。</t>
    </r>
    <phoneticPr fontId="11" type="noConversion"/>
  </si>
  <si>
    <r>
      <rPr>
        <b/>
        <sz val="10"/>
        <rFont val="宋体"/>
        <family val="3"/>
        <charset val="134"/>
      </rPr>
      <t>分析</t>
    </r>
    <phoneticPr fontId="11" type="noConversion"/>
  </si>
  <si>
    <r>
      <rPr>
        <sz val="10"/>
        <color rgb="FF000000"/>
        <rFont val="宋体"/>
        <family val="3"/>
        <charset val="134"/>
      </rPr>
      <t>（</t>
    </r>
    <r>
      <rPr>
        <sz val="10"/>
        <color rgb="FF000000"/>
        <rFont val="Arial Narrow"/>
        <family val="2"/>
      </rPr>
      <t>1</t>
    </r>
    <r>
      <rPr>
        <sz val="10"/>
        <color rgb="FF000000"/>
        <rFont val="宋体"/>
        <family val="3"/>
        <charset val="134"/>
      </rPr>
      <t>）该租赁变更通过增加一项或多项租赁资产的使用权而扩大了租赁范围；</t>
    </r>
    <phoneticPr fontId="11" type="noConversion"/>
  </si>
  <si>
    <r>
      <rPr>
        <sz val="10"/>
        <color rgb="FF000000"/>
        <rFont val="宋体"/>
        <family val="3"/>
        <charset val="134"/>
      </rPr>
      <t>（</t>
    </r>
    <r>
      <rPr>
        <sz val="10"/>
        <color rgb="FF000000"/>
        <rFont val="Arial Narrow"/>
        <family val="2"/>
      </rPr>
      <t>2</t>
    </r>
    <r>
      <rPr>
        <sz val="10"/>
        <color rgb="FF000000"/>
        <rFont val="宋体"/>
        <family val="3"/>
        <charset val="134"/>
      </rPr>
      <t>）增加的对价与租赁范围扩大部分的单独价格按该合同情况调整后的金额相当。</t>
    </r>
    <phoneticPr fontId="11" type="noConversion"/>
  </si>
  <si>
    <r>
      <rPr>
        <b/>
        <sz val="10"/>
        <color rgb="FF000000"/>
        <rFont val="宋体"/>
        <family val="3"/>
        <charset val="134"/>
      </rPr>
      <t>结</t>
    </r>
    <r>
      <rPr>
        <b/>
        <sz val="10"/>
        <color rgb="FF000000"/>
        <rFont val="Arial Narrow"/>
        <family val="2"/>
      </rPr>
      <t xml:space="preserve"> </t>
    </r>
    <r>
      <rPr>
        <b/>
        <sz val="10"/>
        <color rgb="FF000000"/>
        <rFont val="宋体"/>
        <family val="3"/>
        <charset val="134"/>
      </rPr>
      <t>论</t>
    </r>
    <phoneticPr fontId="11" type="noConversion"/>
  </si>
  <si>
    <r>
      <rPr>
        <b/>
        <sz val="10"/>
        <color rgb="FF000000"/>
        <rFont val="宋体"/>
        <family val="3"/>
        <charset val="134"/>
      </rPr>
      <t>情形</t>
    </r>
    <phoneticPr fontId="11" type="noConversion"/>
  </si>
  <si>
    <r>
      <rPr>
        <b/>
        <sz val="10"/>
        <rFont val="宋体"/>
        <family val="3"/>
        <charset val="134"/>
      </rPr>
      <t>是</t>
    </r>
    <r>
      <rPr>
        <b/>
        <sz val="10"/>
        <rFont val="Arial Narrow"/>
        <family val="2"/>
      </rPr>
      <t>/</t>
    </r>
    <r>
      <rPr>
        <b/>
        <sz val="10"/>
        <rFont val="宋体"/>
        <family val="3"/>
        <charset val="134"/>
      </rPr>
      <t>否</t>
    </r>
    <phoneticPr fontId="11" type="noConversion"/>
  </si>
  <si>
    <r>
      <rPr>
        <b/>
        <sz val="10"/>
        <rFont val="宋体"/>
        <family val="3"/>
        <charset val="134"/>
      </rPr>
      <t>分析</t>
    </r>
    <phoneticPr fontId="11" type="noConversion"/>
  </si>
  <si>
    <r>
      <rPr>
        <sz val="10"/>
        <color rgb="FF000000"/>
        <rFont val="宋体"/>
        <family val="3"/>
        <charset val="134"/>
      </rPr>
      <t>（</t>
    </r>
    <r>
      <rPr>
        <sz val="10"/>
        <color rgb="FF000000"/>
        <rFont val="Arial Narrow"/>
        <family val="2"/>
      </rPr>
      <t>1</t>
    </r>
    <r>
      <rPr>
        <sz val="10"/>
        <color rgb="FF000000"/>
        <rFont val="宋体"/>
        <family val="3"/>
        <charset val="134"/>
      </rPr>
      <t>）租赁变更导致租赁范围缩小或租赁期缩短</t>
    </r>
    <phoneticPr fontId="11" type="noConversion"/>
  </si>
  <si>
    <r>
      <rPr>
        <sz val="10"/>
        <rFont val="宋体"/>
        <family val="3"/>
        <charset val="134"/>
      </rPr>
      <t>承租人应当调减使用权资产的账面价值，以反映租赁的部分终止或完全终止。承租人应将部分终止或完全终止租赁的相关利得或损失计入当期损益。</t>
    </r>
    <phoneticPr fontId="11" type="noConversion"/>
  </si>
  <si>
    <r>
      <rPr>
        <sz val="10"/>
        <color rgb="FF000000"/>
        <rFont val="宋体"/>
        <family val="3"/>
        <charset val="134"/>
      </rPr>
      <t>（</t>
    </r>
    <r>
      <rPr>
        <sz val="10"/>
        <color rgb="FF000000"/>
        <rFont val="Arial Narrow"/>
        <family val="2"/>
      </rPr>
      <t>2</t>
    </r>
    <r>
      <rPr>
        <sz val="10"/>
        <color rgb="FF000000"/>
        <rFont val="宋体"/>
        <family val="3"/>
        <charset val="134"/>
      </rPr>
      <t>）其他租赁变更</t>
    </r>
    <phoneticPr fontId="11" type="noConversion"/>
  </si>
  <si>
    <r>
      <rPr>
        <sz val="10"/>
        <color rgb="FFFF0000"/>
        <rFont val="宋体"/>
        <family val="3"/>
        <charset val="134"/>
      </rPr>
      <t>第</t>
    </r>
    <r>
      <rPr>
        <sz val="10"/>
        <color rgb="FFFF0000"/>
        <rFont val="Arial Narrow"/>
        <family val="2"/>
      </rPr>
      <t>6</t>
    </r>
    <r>
      <rPr>
        <sz val="10"/>
        <color rgb="FFFF0000"/>
        <rFont val="宋体"/>
        <family val="3"/>
        <charset val="134"/>
      </rPr>
      <t>年末，情况发生变化，合理确定将行使额外</t>
    </r>
    <r>
      <rPr>
        <sz val="10"/>
        <color rgb="FFFF0000"/>
        <rFont val="Arial Narrow"/>
        <family val="2"/>
      </rPr>
      <t>5</t>
    </r>
    <r>
      <rPr>
        <sz val="10"/>
        <color rgb="FFFF0000"/>
        <rFont val="宋体"/>
        <family val="3"/>
        <charset val="134"/>
      </rPr>
      <t>年续租选择权</t>
    </r>
    <phoneticPr fontId="11" type="noConversion"/>
  </si>
  <si>
    <r>
      <rPr>
        <sz val="10"/>
        <rFont val="宋体"/>
        <family val="3"/>
        <charset val="134"/>
      </rPr>
      <t>承租人应当相应调整使用权资产的账面价值。</t>
    </r>
    <phoneticPr fontId="11" type="noConversion"/>
  </si>
  <si>
    <r>
      <t xml:space="preserve">2. </t>
    </r>
    <r>
      <rPr>
        <b/>
        <sz val="10"/>
        <rFont val="宋体"/>
        <family val="3"/>
        <charset val="134"/>
      </rPr>
      <t>原租赁合同</t>
    </r>
    <phoneticPr fontId="11" type="noConversion"/>
  </si>
  <si>
    <r>
      <t xml:space="preserve">2.1 </t>
    </r>
    <r>
      <rPr>
        <b/>
        <sz val="10"/>
        <rFont val="宋体"/>
        <family val="3"/>
        <charset val="134"/>
      </rPr>
      <t>原租赁合同的基本信息</t>
    </r>
    <phoneticPr fontId="6" type="noConversion"/>
  </si>
  <si>
    <r>
      <rPr>
        <b/>
        <sz val="10"/>
        <rFont val="宋体"/>
        <family val="3"/>
        <charset val="134"/>
      </rPr>
      <t>租赁期开始日</t>
    </r>
    <phoneticPr fontId="6" type="noConversion"/>
  </si>
  <si>
    <r>
      <rPr>
        <b/>
        <sz val="10"/>
        <rFont val="宋体"/>
        <family val="3"/>
        <charset val="134"/>
      </rPr>
      <t>合同约定初始期满日</t>
    </r>
    <phoneticPr fontId="6" type="noConversion"/>
  </si>
  <si>
    <r>
      <rPr>
        <b/>
        <sz val="10"/>
        <rFont val="宋体"/>
        <family val="3"/>
        <charset val="134"/>
      </rPr>
      <t>续租期（年）</t>
    </r>
    <phoneticPr fontId="6" type="noConversion"/>
  </si>
  <si>
    <r>
      <rPr>
        <b/>
        <sz val="10"/>
        <rFont val="宋体"/>
        <family val="3"/>
        <charset val="134"/>
      </rPr>
      <t>租赁期（考虑续租可能后）</t>
    </r>
    <phoneticPr fontId="6" type="noConversion"/>
  </si>
  <si>
    <r>
      <rPr>
        <b/>
        <sz val="10"/>
        <rFont val="宋体"/>
        <family val="3"/>
        <charset val="134"/>
      </rPr>
      <t>租赁期截止日期</t>
    </r>
    <phoneticPr fontId="6" type="noConversion"/>
  </si>
  <si>
    <r>
      <rPr>
        <b/>
        <sz val="10"/>
        <rFont val="宋体"/>
        <family val="3"/>
        <charset val="134"/>
      </rPr>
      <t>增量借款利率</t>
    </r>
    <phoneticPr fontId="11" type="noConversion"/>
  </si>
  <si>
    <r>
      <rPr>
        <b/>
        <sz val="10"/>
        <rFont val="宋体"/>
        <family val="3"/>
        <charset val="134"/>
      </rPr>
      <t>折现率</t>
    </r>
    <phoneticPr fontId="6" type="noConversion"/>
  </si>
  <si>
    <r>
      <rPr>
        <b/>
        <sz val="10"/>
        <rFont val="宋体"/>
        <family val="3"/>
        <charset val="134"/>
      </rPr>
      <t>使用权资产摊销期限（年）</t>
    </r>
    <phoneticPr fontId="6" type="noConversion"/>
  </si>
  <si>
    <r>
      <t xml:space="preserve">2.2 </t>
    </r>
    <r>
      <rPr>
        <b/>
        <sz val="10"/>
        <rFont val="宋体"/>
        <family val="3"/>
        <charset val="134"/>
      </rPr>
      <t>计算租赁负债余额</t>
    </r>
    <phoneticPr fontId="6" type="noConversion"/>
  </si>
  <si>
    <r>
      <rPr>
        <b/>
        <sz val="10"/>
        <rFont val="宋体"/>
        <family val="3"/>
        <charset val="134"/>
      </rPr>
      <t>租赁负债折现期</t>
    </r>
    <r>
      <rPr>
        <b/>
        <sz val="10"/>
        <rFont val="Arial Narrow"/>
        <family val="2"/>
      </rPr>
      <t>(</t>
    </r>
    <r>
      <rPr>
        <b/>
        <sz val="10"/>
        <rFont val="宋体"/>
        <family val="3"/>
        <charset val="134"/>
      </rPr>
      <t>年）</t>
    </r>
    <phoneticPr fontId="6" type="noConversion"/>
  </si>
  <si>
    <r>
      <rPr>
        <b/>
        <sz val="10"/>
        <rFont val="宋体"/>
        <family val="3"/>
        <charset val="134"/>
      </rPr>
      <t>租赁负债折现系数</t>
    </r>
    <phoneticPr fontId="6" type="noConversion"/>
  </si>
  <si>
    <r>
      <rPr>
        <b/>
        <sz val="10"/>
        <rFont val="宋体"/>
        <family val="3"/>
        <charset val="134"/>
      </rPr>
      <t>租赁预付款</t>
    </r>
    <phoneticPr fontId="11" type="noConversion"/>
  </si>
  <si>
    <r>
      <rPr>
        <b/>
        <sz val="10"/>
        <rFont val="宋体"/>
        <family val="3"/>
        <charset val="134"/>
      </rPr>
      <t>使用权资产初始确认金额</t>
    </r>
    <phoneticPr fontId="6" type="noConversion"/>
  </si>
  <si>
    <r>
      <t xml:space="preserve">2.3 </t>
    </r>
    <r>
      <rPr>
        <b/>
        <sz val="10"/>
        <rFont val="宋体"/>
        <family val="3"/>
        <charset val="134"/>
      </rPr>
      <t>租赁负债及使用权资产后续计量</t>
    </r>
    <phoneticPr fontId="6" type="noConversion"/>
  </si>
  <si>
    <r>
      <rPr>
        <b/>
        <sz val="10"/>
        <color theme="1"/>
        <rFont val="宋体"/>
        <family val="3"/>
        <charset val="134"/>
      </rPr>
      <t>期间</t>
    </r>
    <phoneticPr fontId="6" type="noConversion"/>
  </si>
  <si>
    <r>
      <rPr>
        <b/>
        <sz val="10"/>
        <color theme="1"/>
        <rFont val="宋体"/>
        <family val="3"/>
        <charset val="134"/>
      </rPr>
      <t>利息费用</t>
    </r>
    <phoneticPr fontId="6" type="noConversion"/>
  </si>
  <si>
    <r>
      <rPr>
        <b/>
        <sz val="10"/>
        <color theme="1"/>
        <rFont val="宋体"/>
        <family val="3"/>
        <charset val="134"/>
      </rPr>
      <t>期末余额</t>
    </r>
    <phoneticPr fontId="6" type="noConversion"/>
  </si>
  <si>
    <r>
      <rPr>
        <b/>
        <sz val="10"/>
        <rFont val="宋体"/>
        <family val="3"/>
        <charset val="134"/>
      </rPr>
      <t>期初余额</t>
    </r>
    <phoneticPr fontId="6" type="noConversion"/>
  </si>
  <si>
    <r>
      <rPr>
        <b/>
        <sz val="10"/>
        <color theme="1"/>
        <rFont val="宋体"/>
        <family val="3"/>
        <charset val="134"/>
      </rPr>
      <t>折旧费用</t>
    </r>
    <phoneticPr fontId="6" type="noConversion"/>
  </si>
  <si>
    <r>
      <t>2029</t>
    </r>
    <r>
      <rPr>
        <sz val="10"/>
        <rFont val="宋体"/>
        <family val="3"/>
        <charset val="134"/>
      </rPr>
      <t>年度</t>
    </r>
    <phoneticPr fontId="11" type="noConversion"/>
  </si>
  <si>
    <r>
      <t xml:space="preserve">3. </t>
    </r>
    <r>
      <rPr>
        <b/>
        <sz val="10"/>
        <rFont val="宋体"/>
        <family val="3"/>
        <charset val="134"/>
      </rPr>
      <t>新租赁合同</t>
    </r>
    <phoneticPr fontId="11" type="noConversion"/>
  </si>
  <si>
    <r>
      <t xml:space="preserve">3.1 </t>
    </r>
    <r>
      <rPr>
        <b/>
        <sz val="10"/>
        <rFont val="宋体"/>
        <family val="3"/>
        <charset val="134"/>
      </rPr>
      <t>新租赁合同的基本信息</t>
    </r>
    <phoneticPr fontId="6" type="noConversion"/>
  </si>
  <si>
    <r>
      <rPr>
        <b/>
        <sz val="10"/>
        <rFont val="宋体"/>
        <family val="3"/>
        <charset val="134"/>
      </rPr>
      <t>租赁期开始日</t>
    </r>
    <phoneticPr fontId="6" type="noConversion"/>
  </si>
  <si>
    <r>
      <rPr>
        <b/>
        <sz val="10"/>
        <rFont val="宋体"/>
        <family val="3"/>
        <charset val="134"/>
      </rPr>
      <t>续租期改变（年）</t>
    </r>
    <phoneticPr fontId="6" type="noConversion"/>
  </si>
  <si>
    <r>
      <rPr>
        <b/>
        <sz val="10"/>
        <rFont val="宋体"/>
        <family val="3"/>
        <charset val="134"/>
      </rPr>
      <t>租赁期截止日期</t>
    </r>
    <phoneticPr fontId="6" type="noConversion"/>
  </si>
  <si>
    <r>
      <rPr>
        <b/>
        <sz val="10"/>
        <rFont val="宋体"/>
        <family val="3"/>
        <charset val="134"/>
      </rPr>
      <t>增量借款利率</t>
    </r>
    <phoneticPr fontId="11" type="noConversion"/>
  </si>
  <si>
    <r>
      <rPr>
        <b/>
        <sz val="10"/>
        <rFont val="宋体"/>
        <family val="3"/>
        <charset val="134"/>
      </rPr>
      <t>使用权资产摊销期限（年）</t>
    </r>
    <phoneticPr fontId="6" type="noConversion"/>
  </si>
  <si>
    <r>
      <t xml:space="preserve">3.2 </t>
    </r>
    <r>
      <rPr>
        <b/>
        <sz val="10"/>
        <rFont val="宋体"/>
        <family val="3"/>
        <charset val="134"/>
      </rPr>
      <t>计算租赁负债余额</t>
    </r>
    <phoneticPr fontId="6" type="noConversion"/>
  </si>
  <si>
    <r>
      <rPr>
        <b/>
        <sz val="10"/>
        <rFont val="宋体"/>
        <family val="3"/>
        <charset val="134"/>
      </rPr>
      <t>租金支付日期</t>
    </r>
    <phoneticPr fontId="6" type="noConversion"/>
  </si>
  <si>
    <r>
      <rPr>
        <b/>
        <sz val="10"/>
        <rFont val="宋体"/>
        <family val="3"/>
        <charset val="134"/>
      </rPr>
      <t>租赁付款额原值</t>
    </r>
    <phoneticPr fontId="6" type="noConversion"/>
  </si>
  <si>
    <r>
      <rPr>
        <b/>
        <sz val="10"/>
        <rFont val="宋体"/>
        <family val="3"/>
        <charset val="134"/>
      </rPr>
      <t>租赁负债折现期</t>
    </r>
    <r>
      <rPr>
        <b/>
        <sz val="10"/>
        <rFont val="Arial Narrow"/>
        <family val="2"/>
      </rPr>
      <t>(</t>
    </r>
    <r>
      <rPr>
        <b/>
        <sz val="10"/>
        <rFont val="宋体"/>
        <family val="3"/>
        <charset val="134"/>
      </rPr>
      <t>年）</t>
    </r>
    <phoneticPr fontId="6" type="noConversion"/>
  </si>
  <si>
    <r>
      <rPr>
        <b/>
        <sz val="10"/>
        <rFont val="宋体"/>
        <family val="3"/>
        <charset val="134"/>
      </rPr>
      <t>使用权资产初始确认金额</t>
    </r>
    <phoneticPr fontId="6" type="noConversion"/>
  </si>
  <si>
    <r>
      <t xml:space="preserve">3.3 </t>
    </r>
    <r>
      <rPr>
        <b/>
        <sz val="10"/>
        <rFont val="宋体"/>
        <family val="3"/>
        <charset val="134"/>
      </rPr>
      <t>租赁负债及使用权资产后续计量</t>
    </r>
    <phoneticPr fontId="6" type="noConversion"/>
  </si>
  <si>
    <r>
      <rPr>
        <b/>
        <sz val="10"/>
        <color theme="1"/>
        <rFont val="宋体"/>
        <family val="3"/>
        <charset val="134"/>
      </rPr>
      <t>期间</t>
    </r>
    <phoneticPr fontId="6" type="noConversion"/>
  </si>
  <si>
    <r>
      <rPr>
        <b/>
        <sz val="10"/>
        <color theme="1"/>
        <rFont val="宋体"/>
        <family val="3"/>
        <charset val="134"/>
      </rPr>
      <t>租赁付款额</t>
    </r>
    <phoneticPr fontId="6" type="noConversion"/>
  </si>
  <si>
    <r>
      <rPr>
        <b/>
        <sz val="10"/>
        <rFont val="宋体"/>
        <family val="3"/>
        <charset val="134"/>
      </rPr>
      <t>支付月份</t>
    </r>
    <phoneticPr fontId="6" type="noConversion"/>
  </si>
  <si>
    <r>
      <rPr>
        <b/>
        <sz val="10"/>
        <color theme="1"/>
        <rFont val="宋体"/>
        <family val="3"/>
        <charset val="134"/>
      </rPr>
      <t>利息费用</t>
    </r>
    <phoneticPr fontId="6" type="noConversion"/>
  </si>
  <si>
    <r>
      <rPr>
        <b/>
        <sz val="10"/>
        <color theme="1"/>
        <rFont val="宋体"/>
        <family val="3"/>
        <charset val="134"/>
      </rPr>
      <t>期末余额</t>
    </r>
    <phoneticPr fontId="6" type="noConversion"/>
  </si>
  <si>
    <r>
      <rPr>
        <b/>
        <sz val="10"/>
        <color theme="1"/>
        <rFont val="宋体"/>
        <family val="3"/>
        <charset val="134"/>
      </rPr>
      <t>折旧费用</t>
    </r>
    <phoneticPr fontId="6" type="noConversion"/>
  </si>
  <si>
    <r>
      <t>2031</t>
    </r>
    <r>
      <rPr>
        <sz val="10"/>
        <rFont val="宋体"/>
        <family val="3"/>
        <charset val="134"/>
      </rPr>
      <t>年度</t>
    </r>
  </si>
  <si>
    <r>
      <t>2032</t>
    </r>
    <r>
      <rPr>
        <sz val="10"/>
        <rFont val="宋体"/>
        <family val="3"/>
        <charset val="134"/>
      </rPr>
      <t>年度</t>
    </r>
  </si>
  <si>
    <r>
      <t>2033</t>
    </r>
    <r>
      <rPr>
        <sz val="10"/>
        <rFont val="宋体"/>
        <family val="3"/>
        <charset val="134"/>
      </rPr>
      <t>年度</t>
    </r>
  </si>
  <si>
    <r>
      <t>2034</t>
    </r>
    <r>
      <rPr>
        <sz val="10"/>
        <rFont val="宋体"/>
        <family val="3"/>
        <charset val="134"/>
      </rPr>
      <t>年度</t>
    </r>
  </si>
  <si>
    <r>
      <t>2035</t>
    </r>
    <r>
      <rPr>
        <sz val="10"/>
        <rFont val="宋体"/>
        <family val="3"/>
        <charset val="134"/>
      </rPr>
      <t>年度</t>
    </r>
  </si>
  <si>
    <r>
      <rPr>
        <b/>
        <sz val="10"/>
        <color indexed="8"/>
        <rFont val="宋体"/>
        <family val="3"/>
        <charset val="134"/>
      </rPr>
      <t>一、审计目标：</t>
    </r>
    <r>
      <rPr>
        <sz val="10"/>
        <color indexed="8"/>
        <rFont val="宋体"/>
        <family val="3"/>
        <charset val="134"/>
      </rPr>
      <t>使用权资产以恰当的金额包括在财务报表中，与之相关的计价或分摊调整已恰当记录，相关披露已得到恰当计量和描述。</t>
    </r>
    <phoneticPr fontId="15" type="noConversion"/>
  </si>
  <si>
    <r>
      <rPr>
        <b/>
        <sz val="10"/>
        <color indexed="8"/>
        <rFont val="宋体"/>
        <family val="3"/>
        <charset val="134"/>
      </rPr>
      <t>二、审计过程：</t>
    </r>
    <phoneticPr fontId="15" type="noConversion"/>
  </si>
  <si>
    <r>
      <rPr>
        <sz val="10"/>
        <rFont val="宋体"/>
        <family val="3"/>
        <charset val="134"/>
      </rPr>
      <t>折旧期初：</t>
    </r>
    <phoneticPr fontId="11" type="noConversion"/>
  </si>
  <si>
    <r>
      <rPr>
        <sz val="10"/>
        <rFont val="宋体"/>
        <family val="3"/>
        <charset val="134"/>
      </rPr>
      <t>折旧期末：</t>
    </r>
    <phoneticPr fontId="11" type="noConversion"/>
  </si>
  <si>
    <r>
      <rPr>
        <sz val="10"/>
        <color indexed="12"/>
        <rFont val="宋体"/>
        <family val="3"/>
        <charset val="134"/>
      </rPr>
      <t>各列顺序请根据需要进行调整，行数请根据需要增加。</t>
    </r>
    <r>
      <rPr>
        <sz val="10"/>
        <color indexed="53"/>
        <rFont val="宋体"/>
        <family val="3"/>
        <charset val="134"/>
      </rPr>
      <t>非公式列输入数据时请使用</t>
    </r>
    <r>
      <rPr>
        <sz val="10"/>
        <color indexed="53"/>
        <rFont val="Arial Narrow"/>
        <family val="2"/>
      </rPr>
      <t>“</t>
    </r>
    <r>
      <rPr>
        <sz val="10"/>
        <color indexed="53"/>
        <rFont val="宋体"/>
        <family val="3"/>
        <charset val="134"/>
      </rPr>
      <t>选择性粘贴</t>
    </r>
    <r>
      <rPr>
        <sz val="10"/>
        <color indexed="53"/>
        <rFont val="Arial Narrow"/>
        <family val="2"/>
      </rPr>
      <t>-</t>
    </r>
    <r>
      <rPr>
        <sz val="10"/>
        <color indexed="53"/>
        <rFont val="宋体"/>
        <family val="3"/>
        <charset val="134"/>
      </rPr>
      <t>数值</t>
    </r>
    <r>
      <rPr>
        <sz val="10"/>
        <color indexed="53"/>
        <rFont val="Arial Narrow"/>
        <family val="2"/>
      </rPr>
      <t>”</t>
    </r>
    <r>
      <rPr>
        <sz val="10"/>
        <color indexed="12"/>
        <rFont val="宋体"/>
        <family val="3"/>
        <charset val="134"/>
      </rPr>
      <t>。</t>
    </r>
    <phoneticPr fontId="11" type="noConversion"/>
  </si>
  <si>
    <r>
      <rPr>
        <b/>
        <sz val="10"/>
        <rFont val="宋体"/>
        <family val="3"/>
        <charset val="134"/>
      </rPr>
      <t>使用权资产编号</t>
    </r>
  </si>
  <si>
    <r>
      <rPr>
        <b/>
        <sz val="10"/>
        <rFont val="宋体"/>
        <family val="3"/>
        <charset val="134"/>
      </rPr>
      <t>四、审计结论：</t>
    </r>
    <phoneticPr fontId="11" type="noConversion"/>
  </si>
  <si>
    <r>
      <rPr>
        <b/>
        <sz val="10"/>
        <color indexed="12"/>
        <rFont val="宋体"/>
        <family val="3"/>
        <charset val="134"/>
      </rPr>
      <t>《企业会计准则第</t>
    </r>
    <r>
      <rPr>
        <b/>
        <sz val="10"/>
        <color indexed="12"/>
        <rFont val="Arial Narrow"/>
        <family val="2"/>
      </rPr>
      <t>21</t>
    </r>
    <r>
      <rPr>
        <b/>
        <sz val="10"/>
        <color indexed="12"/>
        <rFont val="宋体"/>
        <family val="3"/>
        <charset val="134"/>
      </rPr>
      <t>号</t>
    </r>
    <r>
      <rPr>
        <b/>
        <sz val="10"/>
        <color indexed="12"/>
        <rFont val="Arial Narrow"/>
        <family val="2"/>
      </rPr>
      <t>——</t>
    </r>
    <r>
      <rPr>
        <b/>
        <sz val="10"/>
        <color indexed="12"/>
        <rFont val="宋体"/>
        <family val="3"/>
        <charset val="134"/>
      </rPr>
      <t>租赁》</t>
    </r>
    <phoneticPr fontId="11" type="noConversion"/>
  </si>
  <si>
    <r>
      <rPr>
        <sz val="10"/>
        <color indexed="12"/>
        <rFont val="宋体"/>
        <family val="3"/>
        <charset val="134"/>
      </rPr>
      <t>第二十一条</t>
    </r>
    <r>
      <rPr>
        <sz val="10"/>
        <color indexed="12"/>
        <rFont val="Arial Narrow"/>
        <family val="2"/>
      </rPr>
      <t xml:space="preserve">  </t>
    </r>
    <r>
      <rPr>
        <sz val="10"/>
        <color indexed="12"/>
        <rFont val="宋体"/>
        <family val="3"/>
        <charset val="134"/>
      </rPr>
      <t>承租人应当参照《企业会计准则第</t>
    </r>
    <r>
      <rPr>
        <sz val="10"/>
        <color indexed="12"/>
        <rFont val="Arial Narrow"/>
        <family val="2"/>
      </rPr>
      <t>4</t>
    </r>
    <r>
      <rPr>
        <sz val="10"/>
        <color indexed="12"/>
        <rFont val="宋体"/>
        <family val="3"/>
        <charset val="134"/>
      </rPr>
      <t>号</t>
    </r>
    <r>
      <rPr>
        <sz val="10"/>
        <color indexed="12"/>
        <rFont val="Arial Narrow"/>
        <family val="2"/>
      </rPr>
      <t>——</t>
    </r>
    <r>
      <rPr>
        <sz val="10"/>
        <color indexed="12"/>
        <rFont val="宋体"/>
        <family val="3"/>
        <charset val="134"/>
      </rPr>
      <t>固定资产》有关折旧规定，对使用权资产计提折旧。</t>
    </r>
  </si>
  <si>
    <r>
      <rPr>
        <sz val="10"/>
        <color indexed="12"/>
        <rFont val="宋体"/>
        <family val="3"/>
        <charset val="134"/>
      </rPr>
      <t>承租人能够合理确定租赁期届满时取得租赁资产所有权的，应当在租赁资产剩余使用寿命内计提折旧。无法合理确定租赁期届满时能够取得租赁资产所有权的，应当在租赁期与租赁资产剩余使用寿命两者孰短的期间内计提折旧。</t>
    </r>
    <phoneticPr fontId="11" type="noConversion"/>
  </si>
  <si>
    <r>
      <rPr>
        <sz val="10"/>
        <rFont val="宋体"/>
        <family val="3"/>
        <charset val="134"/>
      </rPr>
      <t>折旧期初：</t>
    </r>
    <phoneticPr fontId="11" type="noConversion"/>
  </si>
  <si>
    <r>
      <rPr>
        <sz val="10"/>
        <rFont val="宋体"/>
        <family val="3"/>
        <charset val="134"/>
      </rPr>
      <t>计提减值准备日期：</t>
    </r>
    <phoneticPr fontId="11" type="noConversion"/>
  </si>
  <si>
    <r>
      <rPr>
        <sz val="10"/>
        <color indexed="12"/>
        <rFont val="宋体"/>
        <family val="3"/>
        <charset val="134"/>
      </rPr>
      <t>各列顺序请根据需要进行调整，行数请根据需要增加。</t>
    </r>
    <r>
      <rPr>
        <sz val="10"/>
        <color indexed="53"/>
        <rFont val="宋体"/>
        <family val="3"/>
        <charset val="134"/>
      </rPr>
      <t>非公式列输入数据时请使用</t>
    </r>
    <r>
      <rPr>
        <sz val="10"/>
        <color indexed="53"/>
        <rFont val="Arial Narrow"/>
        <family val="2"/>
      </rPr>
      <t>“</t>
    </r>
    <r>
      <rPr>
        <sz val="10"/>
        <color indexed="53"/>
        <rFont val="宋体"/>
        <family val="3"/>
        <charset val="134"/>
      </rPr>
      <t>选择性粘贴</t>
    </r>
    <r>
      <rPr>
        <sz val="10"/>
        <color indexed="53"/>
        <rFont val="Arial Narrow"/>
        <family val="2"/>
      </rPr>
      <t>-</t>
    </r>
    <r>
      <rPr>
        <sz val="10"/>
        <color indexed="53"/>
        <rFont val="宋体"/>
        <family val="3"/>
        <charset val="134"/>
      </rPr>
      <t>数值</t>
    </r>
    <r>
      <rPr>
        <sz val="10"/>
        <color indexed="53"/>
        <rFont val="Arial Narrow"/>
        <family val="2"/>
      </rPr>
      <t>”</t>
    </r>
    <r>
      <rPr>
        <sz val="10"/>
        <color indexed="12"/>
        <rFont val="宋体"/>
        <family val="3"/>
        <charset val="134"/>
      </rPr>
      <t>。</t>
    </r>
    <phoneticPr fontId="11" type="noConversion"/>
  </si>
  <si>
    <r>
      <rPr>
        <b/>
        <sz val="10"/>
        <rFont val="宋体"/>
        <family val="3"/>
        <charset val="134"/>
      </rPr>
      <t>减值准备</t>
    </r>
    <phoneticPr fontId="11" type="noConversion"/>
  </si>
  <si>
    <r>
      <rPr>
        <b/>
        <sz val="10"/>
        <rFont val="宋体"/>
        <family val="3"/>
        <charset val="134"/>
      </rPr>
      <t>四、审计结论：</t>
    </r>
    <phoneticPr fontId="11" type="noConversion"/>
  </si>
  <si>
    <r>
      <rPr>
        <sz val="10"/>
        <color rgb="FFFF0000"/>
        <rFont val="宋体"/>
        <family val="3"/>
        <charset val="134"/>
      </rPr>
      <t>运输设备</t>
    </r>
  </si>
  <si>
    <r>
      <rPr>
        <b/>
        <sz val="10"/>
        <rFont val="宋体"/>
        <family val="3"/>
        <charset val="134"/>
      </rPr>
      <t>使用权资产类别</t>
    </r>
  </si>
  <si>
    <r>
      <rPr>
        <b/>
        <sz val="10"/>
        <rFont val="宋体"/>
        <family val="3"/>
        <charset val="134"/>
      </rPr>
      <t>制造费用</t>
    </r>
  </si>
  <si>
    <r>
      <rPr>
        <b/>
        <sz val="10"/>
        <rFont val="宋体"/>
        <family val="3"/>
        <charset val="134"/>
      </rPr>
      <t>管理费用</t>
    </r>
  </si>
  <si>
    <r>
      <rPr>
        <sz val="10"/>
        <color rgb="FFFF0000"/>
        <rFont val="宋体"/>
        <family val="3"/>
        <charset val="134"/>
      </rPr>
      <t>房屋及建筑物</t>
    </r>
  </si>
  <si>
    <r>
      <rPr>
        <sz val="10"/>
        <color rgb="FFFF0000"/>
        <rFont val="宋体"/>
        <family val="3"/>
        <charset val="134"/>
      </rPr>
      <t>机器设备</t>
    </r>
  </si>
  <si>
    <r>
      <rPr>
        <sz val="10"/>
        <color rgb="FFFF0000"/>
        <rFont val="宋体"/>
        <family val="3"/>
        <charset val="134"/>
      </rPr>
      <t>办公设备</t>
    </r>
  </si>
  <si>
    <r>
      <rPr>
        <sz val="10"/>
        <color rgb="FFFF0000"/>
        <rFont val="宋体"/>
        <family val="3"/>
        <charset val="134"/>
      </rPr>
      <t>其他设备</t>
    </r>
  </si>
  <si>
    <r>
      <t>2.</t>
    </r>
    <r>
      <rPr>
        <sz val="10"/>
        <color rgb="FF0000FF"/>
        <rFont val="宋体"/>
        <family val="3"/>
        <charset val="134"/>
      </rPr>
      <t>确定分配方法是否合理，本期分配方法与上期是否一致。</t>
    </r>
  </si>
  <si>
    <r>
      <t>1.</t>
    </r>
    <r>
      <rPr>
        <sz val="10"/>
        <color rgb="FF0000FF"/>
        <rFont val="宋体"/>
        <family val="3"/>
        <charset val="134"/>
      </rPr>
      <t>检查折旧分配到各种费用的情况，将</t>
    </r>
    <r>
      <rPr>
        <sz val="10"/>
        <color rgb="FF0000FF"/>
        <rFont val="Arial Narrow"/>
        <family val="2"/>
      </rPr>
      <t>“</t>
    </r>
    <r>
      <rPr>
        <sz val="10"/>
        <color rgb="FF0000FF"/>
        <rFont val="宋体"/>
        <family val="3"/>
        <charset val="134"/>
      </rPr>
      <t>累计折旧</t>
    </r>
    <r>
      <rPr>
        <sz val="10"/>
        <color rgb="FF0000FF"/>
        <rFont val="Arial Narrow"/>
        <family val="2"/>
      </rPr>
      <t>”</t>
    </r>
    <r>
      <rPr>
        <sz val="10"/>
        <color rgb="FF0000FF"/>
        <rFont val="宋体"/>
        <family val="3"/>
        <charset val="134"/>
      </rPr>
      <t>账户贷方的本期计提折旧额与相应成本费用中的折旧费用明细账户的借方相比较，以查明所计提折旧金额是否已全部摊入本期产品成本或费用。</t>
    </r>
  </si>
  <si>
    <r>
      <rPr>
        <b/>
        <sz val="10"/>
        <color indexed="8"/>
        <rFont val="宋体"/>
        <family val="3"/>
        <charset val="134"/>
      </rPr>
      <t>一、审计目标：</t>
    </r>
    <r>
      <rPr>
        <sz val="10"/>
        <color indexed="8"/>
        <rFont val="宋体"/>
        <family val="3"/>
        <charset val="134"/>
      </rPr>
      <t>使用权资产以恰当的金额包括在财务报表中，与之相关的计价或分摊调整已恰当记录，相关披露已得到恰当计量和描述。</t>
    </r>
    <phoneticPr fontId="15" type="noConversion"/>
  </si>
  <si>
    <r>
      <rPr>
        <b/>
        <sz val="10"/>
        <rFont val="宋体"/>
        <family val="3"/>
        <charset val="134"/>
      </rPr>
      <t>二、审计过程：</t>
    </r>
    <phoneticPr fontId="11" type="noConversion"/>
  </si>
  <si>
    <r>
      <rPr>
        <b/>
        <sz val="10"/>
        <rFont val="宋体"/>
        <family val="3"/>
        <charset val="134"/>
      </rPr>
      <t>营业成本</t>
    </r>
    <phoneticPr fontId="11" type="noConversion"/>
  </si>
  <si>
    <r>
      <rPr>
        <b/>
        <sz val="10"/>
        <rFont val="宋体"/>
        <family val="3"/>
        <charset val="134"/>
      </rPr>
      <t>销售费用</t>
    </r>
    <phoneticPr fontId="11" type="noConversion"/>
  </si>
  <si>
    <r>
      <rPr>
        <b/>
        <sz val="10"/>
        <rFont val="宋体"/>
        <family val="3"/>
        <charset val="134"/>
      </rPr>
      <t>研发支出</t>
    </r>
    <phoneticPr fontId="11" type="noConversion"/>
  </si>
  <si>
    <r>
      <rPr>
        <b/>
        <sz val="10"/>
        <rFont val="宋体"/>
        <family val="3"/>
        <charset val="134"/>
      </rPr>
      <t>合计</t>
    </r>
    <phoneticPr fontId="11" type="noConversion"/>
  </si>
  <si>
    <r>
      <rPr>
        <b/>
        <sz val="10"/>
        <rFont val="宋体"/>
        <family val="3"/>
        <charset val="134"/>
      </rPr>
      <t>三、审计说明：</t>
    </r>
    <phoneticPr fontId="11" type="noConversion"/>
  </si>
  <si>
    <r>
      <rPr>
        <b/>
        <sz val="10"/>
        <rFont val="宋体"/>
        <family val="3"/>
        <charset val="134"/>
      </rPr>
      <t>四、审计结论：</t>
    </r>
    <phoneticPr fontId="11" type="noConversion"/>
  </si>
  <si>
    <r>
      <rPr>
        <b/>
        <sz val="10"/>
        <rFont val="宋体"/>
        <family val="3"/>
        <charset val="134"/>
      </rPr>
      <t>是否存在减值迹象</t>
    </r>
    <phoneticPr fontId="11" type="noConversion"/>
  </si>
  <si>
    <r>
      <rPr>
        <b/>
        <sz val="10"/>
        <rFont val="宋体"/>
        <family val="3"/>
        <charset val="134"/>
      </rPr>
      <t>减值迹象描述</t>
    </r>
    <phoneticPr fontId="11" type="noConversion"/>
  </si>
  <si>
    <r>
      <rPr>
        <b/>
        <sz val="10"/>
        <rFont val="宋体"/>
        <family val="3"/>
        <charset val="134"/>
      </rPr>
      <t>账面价值</t>
    </r>
    <phoneticPr fontId="11" type="noConversion"/>
  </si>
  <si>
    <r>
      <rPr>
        <b/>
        <sz val="10"/>
        <rFont val="宋体"/>
        <family val="3"/>
        <charset val="134"/>
      </rPr>
      <t>可收回金额</t>
    </r>
    <phoneticPr fontId="11" type="noConversion"/>
  </si>
  <si>
    <r>
      <rPr>
        <b/>
        <sz val="10"/>
        <rFont val="宋体"/>
        <family val="3"/>
        <charset val="134"/>
      </rPr>
      <t>期末应计提的减值金额（当⑤＜②）</t>
    </r>
    <phoneticPr fontId="11" type="noConversion"/>
  </si>
  <si>
    <r>
      <rPr>
        <b/>
        <sz val="10"/>
        <rFont val="宋体"/>
        <family val="3"/>
        <charset val="134"/>
      </rPr>
      <t>期末账面已计提的减值准备</t>
    </r>
    <phoneticPr fontId="11" type="noConversion"/>
  </si>
  <si>
    <r>
      <rPr>
        <b/>
        <sz val="10"/>
        <rFont val="宋体"/>
        <family val="3"/>
        <charset val="134"/>
      </rPr>
      <t>本期应补提的减值准备（注：使用权资产减值准备一旦计提，不得转回。）</t>
    </r>
    <phoneticPr fontId="11" type="noConversion"/>
  </si>
  <si>
    <r>
      <rPr>
        <b/>
        <sz val="10"/>
        <rFont val="宋体"/>
        <family val="3"/>
        <charset val="134"/>
      </rPr>
      <t>工作底稿索引号</t>
    </r>
    <phoneticPr fontId="11" type="noConversion"/>
  </si>
  <si>
    <r>
      <rPr>
        <b/>
        <sz val="10"/>
        <rFont val="宋体"/>
        <family val="3"/>
        <charset val="134"/>
      </rPr>
      <t>备注</t>
    </r>
  </si>
  <si>
    <r>
      <rPr>
        <b/>
        <sz val="10"/>
        <rFont val="宋体"/>
        <family val="3"/>
        <charset val="134"/>
      </rPr>
      <t>公允价值减处置费用的净额</t>
    </r>
    <phoneticPr fontId="11" type="noConversion"/>
  </si>
  <si>
    <r>
      <rPr>
        <b/>
        <sz val="10"/>
        <rFont val="宋体"/>
        <family val="3"/>
        <charset val="134"/>
      </rPr>
      <t>预计未来现金流量现值</t>
    </r>
    <phoneticPr fontId="11" type="noConversion"/>
  </si>
  <si>
    <r>
      <rPr>
        <b/>
        <sz val="10"/>
        <rFont val="宋体"/>
        <family val="3"/>
        <charset val="134"/>
      </rPr>
      <t>可收回金额（③、④较高者）</t>
    </r>
    <phoneticPr fontId="11" type="noConversion"/>
  </si>
  <si>
    <r>
      <rPr>
        <b/>
        <sz val="10"/>
        <rFont val="宋体"/>
        <family val="3"/>
        <charset val="134"/>
      </rPr>
      <t>期末已计提
减值准备</t>
    </r>
    <phoneticPr fontId="11" type="noConversion"/>
  </si>
  <si>
    <r>
      <rPr>
        <b/>
        <sz val="10"/>
        <rFont val="宋体"/>
        <family val="3"/>
        <charset val="134"/>
      </rPr>
      <t>①</t>
    </r>
    <phoneticPr fontId="11" type="noConversion"/>
  </si>
  <si>
    <r>
      <rPr>
        <b/>
        <sz val="10"/>
        <rFont val="宋体"/>
        <family val="3"/>
        <charset val="134"/>
      </rPr>
      <t>③</t>
    </r>
    <phoneticPr fontId="11" type="noConversion"/>
  </si>
  <si>
    <r>
      <rPr>
        <b/>
        <sz val="10"/>
        <rFont val="宋体"/>
        <family val="3"/>
        <charset val="134"/>
      </rPr>
      <t>④</t>
    </r>
    <phoneticPr fontId="11" type="noConversion"/>
  </si>
  <si>
    <r>
      <rPr>
        <b/>
        <sz val="10"/>
        <rFont val="宋体"/>
        <family val="3"/>
        <charset val="134"/>
      </rPr>
      <t>⑤</t>
    </r>
    <phoneticPr fontId="11" type="noConversion"/>
  </si>
  <si>
    <r>
      <rPr>
        <b/>
        <sz val="10"/>
        <rFont val="宋体"/>
        <family val="3"/>
        <charset val="134"/>
      </rPr>
      <t>⑥＝⑤－②</t>
    </r>
    <phoneticPr fontId="11" type="noConversion"/>
  </si>
  <si>
    <r>
      <rPr>
        <b/>
        <sz val="10"/>
        <rFont val="宋体"/>
        <family val="3"/>
        <charset val="134"/>
      </rPr>
      <t>⑦</t>
    </r>
    <phoneticPr fontId="11" type="noConversion"/>
  </si>
  <si>
    <r>
      <rPr>
        <b/>
        <sz val="10"/>
        <rFont val="宋体"/>
        <family val="3"/>
        <charset val="134"/>
      </rPr>
      <t>⑧</t>
    </r>
    <r>
      <rPr>
        <b/>
        <sz val="10"/>
        <rFont val="Arial Narrow"/>
        <family val="2"/>
      </rPr>
      <t>=</t>
    </r>
    <r>
      <rPr>
        <b/>
        <sz val="10"/>
        <rFont val="宋体"/>
        <family val="3"/>
        <charset val="134"/>
      </rPr>
      <t>⑥</t>
    </r>
    <r>
      <rPr>
        <b/>
        <sz val="10"/>
        <rFont val="Arial Narrow"/>
        <family val="2"/>
      </rPr>
      <t>-</t>
    </r>
    <r>
      <rPr>
        <b/>
        <sz val="10"/>
        <rFont val="宋体"/>
        <family val="3"/>
        <charset val="134"/>
      </rPr>
      <t>⑦</t>
    </r>
    <phoneticPr fontId="11" type="noConversion"/>
  </si>
  <si>
    <r>
      <t>1.</t>
    </r>
    <r>
      <rPr>
        <sz val="10"/>
        <color rgb="FF0000FF"/>
        <rFont val="宋体"/>
        <family val="3"/>
        <charset val="134"/>
      </rPr>
      <t>获取或编制使用权资产减值准备明细表，复核加计正确，并与总账数和明细账合计数核对相符；</t>
    </r>
  </si>
  <si>
    <r>
      <t>2.</t>
    </r>
    <r>
      <rPr>
        <sz val="10"/>
        <color rgb="FF0000FF"/>
        <rFont val="宋体"/>
        <family val="3"/>
        <charset val="134"/>
      </rPr>
      <t>检查使用权资产减值准备计提和转销的批准程序，取得书面报告等证明文件；检查被审计单位计提使用权资产减值准备的依据是否充分，会计处理是否正确；</t>
    </r>
  </si>
  <si>
    <r>
      <t>3.</t>
    </r>
    <r>
      <rPr>
        <sz val="10"/>
        <color rgb="FF0000FF"/>
        <rFont val="宋体"/>
        <family val="3"/>
        <charset val="134"/>
      </rPr>
      <t>检查使用权资产转让时，相应的减值准备是否一并结转，会计处理是否正确；</t>
    </r>
  </si>
  <si>
    <r>
      <t>4.</t>
    </r>
    <r>
      <rPr>
        <sz val="10"/>
        <color rgb="FF0000FF"/>
        <rFont val="宋体"/>
        <family val="3"/>
        <charset val="134"/>
      </rPr>
      <t>重新测试被审计单位计提的减值准备是否合理；比较我们预期所估计减值准备和已记录的金额，调查所有重大差异；</t>
    </r>
  </si>
  <si>
    <r>
      <t>5.</t>
    </r>
    <r>
      <rPr>
        <sz val="10"/>
        <color rgb="FF0000FF"/>
        <rFont val="宋体"/>
        <family val="3"/>
        <charset val="134"/>
      </rPr>
      <t>上期确认的使用权资产减值准备在本期的变动是否适当。</t>
    </r>
  </si>
  <si>
    <r>
      <rPr>
        <b/>
        <sz val="10"/>
        <rFont val="宋体"/>
        <family val="3"/>
        <charset val="134"/>
      </rPr>
      <t>说明</t>
    </r>
    <phoneticPr fontId="11" type="noConversion"/>
  </si>
  <si>
    <r>
      <rPr>
        <b/>
        <sz val="10"/>
        <rFont val="宋体"/>
        <family val="3"/>
        <charset val="134"/>
      </rPr>
      <t>估计价格</t>
    </r>
    <phoneticPr fontId="11" type="noConversion"/>
  </si>
  <si>
    <r>
      <rPr>
        <b/>
        <sz val="10"/>
        <rFont val="宋体"/>
        <family val="3"/>
        <charset val="134"/>
      </rPr>
      <t>法律费用</t>
    </r>
    <phoneticPr fontId="11" type="noConversion"/>
  </si>
  <si>
    <r>
      <rPr>
        <b/>
        <sz val="10"/>
        <rFont val="宋体"/>
        <family val="3"/>
        <charset val="134"/>
      </rPr>
      <t>搬运费</t>
    </r>
    <phoneticPr fontId="11" type="noConversion"/>
  </si>
  <si>
    <r>
      <rPr>
        <b/>
        <sz val="10"/>
        <rFont val="宋体"/>
        <family val="3"/>
        <charset val="134"/>
      </rPr>
      <t>合</t>
    </r>
    <r>
      <rPr>
        <b/>
        <sz val="10"/>
        <rFont val="Arial Narrow"/>
        <family val="2"/>
      </rPr>
      <t xml:space="preserve">  </t>
    </r>
    <r>
      <rPr>
        <b/>
        <sz val="10"/>
        <rFont val="宋体"/>
        <family val="3"/>
        <charset val="134"/>
      </rPr>
      <t>计</t>
    </r>
    <phoneticPr fontId="11" type="noConversion"/>
  </si>
  <si>
    <r>
      <rPr>
        <b/>
        <sz val="10"/>
        <rFont val="宋体"/>
        <family val="3"/>
        <charset val="134"/>
      </rPr>
      <t>审计说明：</t>
    </r>
    <phoneticPr fontId="11" type="noConversion"/>
  </si>
  <si>
    <r>
      <rPr>
        <b/>
        <sz val="10"/>
        <rFont val="宋体"/>
        <family val="3"/>
        <charset val="134"/>
      </rPr>
      <t>（二）资产预计未来现金流量的现值</t>
    </r>
    <phoneticPr fontId="11" type="noConversion"/>
  </si>
  <si>
    <r>
      <rPr>
        <b/>
        <sz val="10"/>
        <rFont val="宋体"/>
        <family val="3"/>
        <charset val="134"/>
      </rPr>
      <t>预计未来现金流量</t>
    </r>
    <phoneticPr fontId="11" type="noConversion"/>
  </si>
  <si>
    <r>
      <rPr>
        <b/>
        <sz val="10"/>
        <rFont val="宋体"/>
        <family val="3"/>
        <charset val="134"/>
      </rPr>
      <t>预算或者预测期</t>
    </r>
    <phoneticPr fontId="11" type="noConversion"/>
  </si>
  <si>
    <r>
      <rPr>
        <b/>
        <sz val="10"/>
        <rFont val="宋体"/>
        <family val="3"/>
        <charset val="134"/>
      </rPr>
      <t>以后年度</t>
    </r>
    <phoneticPr fontId="11" type="noConversion"/>
  </si>
  <si>
    <r>
      <rPr>
        <sz val="10"/>
        <rFont val="宋体"/>
        <family val="3"/>
        <charset val="134"/>
      </rPr>
      <t>行业的长期平均增长率</t>
    </r>
    <phoneticPr fontId="11" type="noConversion"/>
  </si>
  <si>
    <r>
      <rPr>
        <b/>
        <sz val="10"/>
        <rFont val="宋体"/>
        <family val="3"/>
        <charset val="134"/>
      </rPr>
      <t>增长率确定依据</t>
    </r>
    <phoneticPr fontId="11" type="noConversion"/>
  </si>
  <si>
    <r>
      <rPr>
        <b/>
        <sz val="10"/>
        <rFont val="宋体"/>
        <family val="3"/>
        <charset val="134"/>
      </rPr>
      <t>第一年</t>
    </r>
    <phoneticPr fontId="11" type="noConversion"/>
  </si>
  <si>
    <r>
      <rPr>
        <b/>
        <sz val="10"/>
        <rFont val="宋体"/>
        <family val="3"/>
        <charset val="134"/>
      </rPr>
      <t>第二年</t>
    </r>
    <phoneticPr fontId="11" type="noConversion"/>
  </si>
  <si>
    <r>
      <rPr>
        <b/>
        <sz val="10"/>
        <rFont val="宋体"/>
        <family val="3"/>
        <charset val="134"/>
      </rPr>
      <t>第四年</t>
    </r>
    <phoneticPr fontId="11" type="noConversion"/>
  </si>
  <si>
    <r>
      <rPr>
        <b/>
        <sz val="10"/>
        <rFont val="宋体"/>
        <family val="3"/>
        <charset val="134"/>
      </rPr>
      <t>第五年</t>
    </r>
    <phoneticPr fontId="11" type="noConversion"/>
  </si>
  <si>
    <r>
      <rPr>
        <b/>
        <sz val="10"/>
        <rFont val="宋体"/>
        <family val="3"/>
        <charset val="134"/>
      </rPr>
      <t>基数</t>
    </r>
    <phoneticPr fontId="11" type="noConversion"/>
  </si>
  <si>
    <r>
      <rPr>
        <b/>
        <sz val="10"/>
        <rFont val="宋体"/>
        <family val="3"/>
        <charset val="134"/>
      </rPr>
      <t>增长率</t>
    </r>
    <phoneticPr fontId="11" type="noConversion"/>
  </si>
  <si>
    <r>
      <rPr>
        <sz val="10"/>
        <rFont val="宋体"/>
        <family val="3"/>
        <charset val="134"/>
      </rPr>
      <t>现金净流量（税前）</t>
    </r>
    <phoneticPr fontId="11" type="noConversion"/>
  </si>
  <si>
    <r>
      <rPr>
        <sz val="10"/>
        <rFont val="宋体"/>
        <family val="3"/>
        <charset val="134"/>
      </rPr>
      <t>折现系数</t>
    </r>
    <phoneticPr fontId="11" type="noConversion"/>
  </si>
  <si>
    <r>
      <rPr>
        <sz val="10"/>
        <color indexed="12"/>
        <rFont val="宋体"/>
        <family val="3"/>
        <charset val="134"/>
      </rPr>
      <t>（企业管理层如能证明递增的增长率是合理的，可以以递增的增长率为基础。）</t>
    </r>
    <phoneticPr fontId="11" type="noConversion"/>
  </si>
  <si>
    <r>
      <rPr>
        <sz val="10"/>
        <rFont val="宋体"/>
        <family val="3"/>
        <charset val="134"/>
      </rPr>
      <t>现值</t>
    </r>
    <phoneticPr fontId="11" type="noConversion"/>
  </si>
  <si>
    <r>
      <rPr>
        <sz val="10"/>
        <color indexed="12"/>
        <rFont val="宋体"/>
        <family val="3"/>
        <charset val="134"/>
      </rPr>
      <t>（建立在预算或者预测基础上的预计现金流量最多涵盖</t>
    </r>
    <r>
      <rPr>
        <sz val="10"/>
        <color indexed="12"/>
        <rFont val="Arial Narrow"/>
        <family val="2"/>
      </rPr>
      <t>5</t>
    </r>
    <r>
      <rPr>
        <sz val="10"/>
        <color indexed="12"/>
        <rFont val="宋体"/>
        <family val="3"/>
        <charset val="134"/>
      </rPr>
      <t>年，更长期间需证明合理性。）</t>
    </r>
    <phoneticPr fontId="11" type="noConversion"/>
  </si>
  <si>
    <r>
      <rPr>
        <b/>
        <sz val="10"/>
        <rFont val="宋体"/>
        <family val="3"/>
        <charset val="134"/>
      </rPr>
      <t>折现率</t>
    </r>
    <phoneticPr fontId="11" type="noConversion"/>
  </si>
  <si>
    <r>
      <rPr>
        <b/>
        <sz val="10"/>
        <rFont val="宋体"/>
        <family val="3"/>
        <charset val="134"/>
      </rPr>
      <t>所得税率</t>
    </r>
    <phoneticPr fontId="11" type="noConversion"/>
  </si>
  <si>
    <r>
      <rPr>
        <b/>
        <sz val="10"/>
        <rFont val="宋体"/>
        <family val="3"/>
        <charset val="134"/>
      </rPr>
      <t xml:space="preserve">债务总额
</t>
    </r>
    <r>
      <rPr>
        <b/>
        <sz val="10"/>
        <rFont val="Arial Narrow"/>
        <family val="2"/>
      </rPr>
      <t>D</t>
    </r>
    <phoneticPr fontId="11" type="noConversion"/>
  </si>
  <si>
    <r>
      <rPr>
        <b/>
        <sz val="10"/>
        <rFont val="宋体"/>
        <family val="3"/>
        <charset val="134"/>
      </rPr>
      <t xml:space="preserve">资本总额
</t>
    </r>
    <r>
      <rPr>
        <b/>
        <sz val="10"/>
        <rFont val="Arial Narrow"/>
        <family val="2"/>
      </rPr>
      <t>E</t>
    </r>
    <phoneticPr fontId="11" type="noConversion"/>
  </si>
  <si>
    <r>
      <rPr>
        <b/>
        <sz val="10"/>
        <rFont val="宋体"/>
        <family val="3"/>
        <charset val="134"/>
      </rPr>
      <t>债务成本</t>
    </r>
    <r>
      <rPr>
        <b/>
        <sz val="10"/>
        <rFont val="Arial Narrow"/>
        <family val="2"/>
      </rPr>
      <t>Kd</t>
    </r>
    <phoneticPr fontId="11" type="noConversion"/>
  </si>
  <si>
    <r>
      <rPr>
        <b/>
        <sz val="10"/>
        <rFont val="宋体"/>
        <family val="3"/>
        <charset val="134"/>
      </rPr>
      <t>无风险报酬率</t>
    </r>
    <r>
      <rPr>
        <b/>
        <sz val="10"/>
        <rFont val="Arial Narrow"/>
        <family val="2"/>
      </rPr>
      <t>Rf</t>
    </r>
    <phoneticPr fontId="11" type="noConversion"/>
  </si>
  <si>
    <r>
      <t>β</t>
    </r>
    <r>
      <rPr>
        <b/>
        <sz val="10"/>
        <rFont val="宋体"/>
        <family val="3"/>
        <charset val="134"/>
      </rPr>
      <t>系数</t>
    </r>
    <phoneticPr fontId="11" type="noConversion"/>
  </si>
  <si>
    <r>
      <rPr>
        <b/>
        <sz val="10"/>
        <rFont val="宋体"/>
        <family val="3"/>
        <charset val="134"/>
      </rPr>
      <t>资本成本</t>
    </r>
    <r>
      <rPr>
        <b/>
        <sz val="10"/>
        <rFont val="Arial Narrow"/>
        <family val="2"/>
      </rPr>
      <t>Ke</t>
    </r>
    <phoneticPr fontId="11" type="noConversion"/>
  </si>
  <si>
    <r>
      <t>WACC
(</t>
    </r>
    <r>
      <rPr>
        <b/>
        <sz val="10"/>
        <rFont val="宋体"/>
        <family val="3"/>
        <charset val="134"/>
      </rPr>
      <t>税后</t>
    </r>
    <r>
      <rPr>
        <b/>
        <sz val="10"/>
        <rFont val="Arial Narrow"/>
        <family val="2"/>
      </rPr>
      <t>)</t>
    </r>
    <phoneticPr fontId="11" type="noConversion"/>
  </si>
  <si>
    <r>
      <rPr>
        <b/>
        <sz val="10"/>
        <rFont val="宋体"/>
        <family val="3"/>
        <charset val="134"/>
      </rPr>
      <t xml:space="preserve">折现率
</t>
    </r>
    <r>
      <rPr>
        <b/>
        <sz val="10"/>
        <rFont val="Arial Narrow"/>
        <family val="2"/>
      </rPr>
      <t>(</t>
    </r>
    <r>
      <rPr>
        <b/>
        <sz val="10"/>
        <rFont val="宋体"/>
        <family val="3"/>
        <charset val="134"/>
      </rPr>
      <t>税前</t>
    </r>
    <r>
      <rPr>
        <b/>
        <sz val="10"/>
        <rFont val="Arial Narrow"/>
        <family val="2"/>
      </rPr>
      <t>)</t>
    </r>
    <phoneticPr fontId="11" type="noConversion"/>
  </si>
  <si>
    <r>
      <rPr>
        <b/>
        <sz val="10"/>
        <rFont val="宋体"/>
        <family val="3"/>
        <charset val="134"/>
      </rPr>
      <t>税后折税前调整说明</t>
    </r>
    <phoneticPr fontId="11" type="noConversion"/>
  </si>
  <si>
    <r>
      <rPr>
        <b/>
        <sz val="10"/>
        <rFont val="宋体"/>
        <family val="3"/>
        <charset val="134"/>
      </rPr>
      <t>适用税率</t>
    </r>
    <phoneticPr fontId="11" type="noConversion"/>
  </si>
  <si>
    <r>
      <rPr>
        <b/>
        <sz val="10"/>
        <rFont val="宋体"/>
        <family val="3"/>
        <charset val="134"/>
      </rPr>
      <t>税率调整</t>
    </r>
    <phoneticPr fontId="11" type="noConversion"/>
  </si>
  <si>
    <r>
      <rPr>
        <b/>
        <sz val="10"/>
        <rFont val="宋体"/>
        <family val="3"/>
        <charset val="134"/>
      </rPr>
      <t>调整说明</t>
    </r>
    <phoneticPr fontId="11" type="noConversion"/>
  </si>
  <si>
    <r>
      <rPr>
        <sz val="10"/>
        <rFont val="宋体"/>
        <family val="3"/>
        <charset val="134"/>
      </rPr>
      <t>加权平均资金成本</t>
    </r>
    <phoneticPr fontId="11" type="noConversion"/>
  </si>
  <si>
    <r>
      <rPr>
        <b/>
        <sz val="10"/>
        <rFont val="宋体"/>
        <family val="3"/>
        <charset val="134"/>
      </rPr>
      <t>（三）可收回金额</t>
    </r>
    <phoneticPr fontId="11" type="noConversion"/>
  </si>
  <si>
    <r>
      <rPr>
        <sz val="10"/>
        <rFont val="宋体"/>
        <family val="3"/>
        <charset val="134"/>
      </rPr>
      <t>资产的公允价值减去处置费用后的净额与资产预计未来现金流量的现值两者之间较高者</t>
    </r>
    <phoneticPr fontId="11" type="noConversion"/>
  </si>
  <si>
    <r>
      <t>1</t>
    </r>
    <r>
      <rPr>
        <sz val="10"/>
        <color indexed="12"/>
        <rFont val="宋体"/>
        <family val="3"/>
        <charset val="134"/>
      </rPr>
      <t>、可收回金额应当根据资产的公允价值减去处置费用后的净额与资产预计未来现金流量的现值两者之间较高者确定。</t>
    </r>
    <phoneticPr fontId="11" type="noConversion"/>
  </si>
  <si>
    <r>
      <t>2</t>
    </r>
    <r>
      <rPr>
        <sz val="10"/>
        <color indexed="12"/>
        <rFont val="宋体"/>
        <family val="3"/>
        <charset val="134"/>
      </rPr>
      <t>、资产的公允价值减去处置费用后的净额，应当根据公平交易中销售协议价格减去可直接归属于该资产处置费用的金额确定。不存在销售协议但存在资产活跃市场的，</t>
    </r>
    <phoneticPr fontId="11" type="noConversion"/>
  </si>
  <si>
    <r>
      <rPr>
        <sz val="10"/>
        <color indexed="12"/>
        <rFont val="宋体"/>
        <family val="3"/>
        <charset val="134"/>
      </rPr>
      <t>应当按照该资产的市场价格减去处置费用后的金额确定。资产的市场价格通常应当根据资产的买方出价确定。在不存在销售协议和资产活跃市场的情况下，应当</t>
    </r>
    <phoneticPr fontId="11" type="noConversion"/>
  </si>
  <si>
    <r>
      <rPr>
        <sz val="10"/>
        <color indexed="12"/>
        <rFont val="宋体"/>
        <family val="3"/>
        <charset val="134"/>
      </rPr>
      <t>以可获取的最佳信息为基础，估计资产的公允价值减去处置费用后的净额，该净额可以参考同行业类似资产的最近交易价格或者结果进行估计。企业按照上述规定</t>
    </r>
    <phoneticPr fontId="11" type="noConversion"/>
  </si>
  <si>
    <r>
      <rPr>
        <sz val="10"/>
        <color indexed="12"/>
        <rFont val="宋体"/>
        <family val="3"/>
        <charset val="134"/>
      </rPr>
      <t>仍然无法可靠估计资产的公允价值减去处置费用后的净额的，应当以该资产预计未来现金流量的现值作为其可收回金额。</t>
    </r>
    <phoneticPr fontId="11" type="noConversion"/>
  </si>
  <si>
    <r>
      <t>3</t>
    </r>
    <r>
      <rPr>
        <sz val="10"/>
        <color indexed="12"/>
        <rFont val="宋体"/>
        <family val="3"/>
        <charset val="134"/>
      </rPr>
      <t>、处置费用包括与资产处置有关的法律费用、相关税费、搬运费以及为使资产达到可销售状态所发生的直接费用等。</t>
    </r>
    <phoneticPr fontId="11" type="noConversion"/>
  </si>
  <si>
    <r>
      <t>4</t>
    </r>
    <r>
      <rPr>
        <sz val="10"/>
        <color indexed="12"/>
        <rFont val="宋体"/>
        <family val="3"/>
        <charset val="134"/>
      </rPr>
      <t>、资产预计未来现金流量的现值，应当按照资产在持续使用过程中和最终处置时所产生的预计未来现金流量，选择恰当的折现率对其进行折现后的金额加以确定。</t>
    </r>
    <phoneticPr fontId="11" type="noConversion"/>
  </si>
  <si>
    <r>
      <t>5</t>
    </r>
    <r>
      <rPr>
        <sz val="10"/>
        <color indexed="12"/>
        <rFont val="宋体"/>
        <family val="3"/>
        <charset val="134"/>
      </rPr>
      <t>、预计资产的未来现金流量，应当以经企业管理层批准的最近财务预算或者预测数据，以及该预算或者预测期之后年份稳定的或者递减的增长率为基础。</t>
    </r>
    <phoneticPr fontId="11" type="noConversion"/>
  </si>
  <si>
    <r>
      <rPr>
        <sz val="10"/>
        <color indexed="12"/>
        <rFont val="宋体"/>
        <family val="3"/>
        <charset val="134"/>
      </rPr>
      <t>预计的资产未来现金流量应当包括下列各项：</t>
    </r>
    <phoneticPr fontId="11" type="noConversion"/>
  </si>
  <si>
    <r>
      <rPr>
        <sz val="10"/>
        <color indexed="12"/>
        <rFont val="宋体"/>
        <family val="3"/>
        <charset val="134"/>
      </rPr>
      <t>　　（一）资产持续使用过程中预计产生的现金流入。</t>
    </r>
    <phoneticPr fontId="11" type="noConversion"/>
  </si>
  <si>
    <r>
      <rPr>
        <sz val="10"/>
        <color indexed="12"/>
        <rFont val="宋体"/>
        <family val="3"/>
        <charset val="134"/>
      </rPr>
      <t>　　（二）为实现资产持续使用过程中产生的现金流入所必需的预计现金流出（包括为使资产达到预定可使用状态所发生的现金流出）。该现金流出应当是可直接归属</t>
    </r>
    <phoneticPr fontId="11" type="noConversion"/>
  </si>
  <si>
    <r>
      <rPr>
        <sz val="10"/>
        <color indexed="12"/>
        <rFont val="宋体"/>
        <family val="3"/>
        <charset val="134"/>
      </rPr>
      <t>于或者可通过合理和一致的基础分配到资产中的现金流出。</t>
    </r>
    <phoneticPr fontId="11" type="noConversion"/>
  </si>
  <si>
    <r>
      <rPr>
        <sz val="10"/>
        <color indexed="12"/>
        <rFont val="宋体"/>
        <family val="3"/>
        <charset val="134"/>
      </rPr>
      <t>　　（三）资产使用寿命结束时，处置资产所收到或者支付的净现金流量。该现金流量应当是在公平交易中，熟悉情况的交易双方自愿进行交易时，企业预期可从资产的</t>
    </r>
    <phoneticPr fontId="11" type="noConversion"/>
  </si>
  <si>
    <r>
      <rPr>
        <sz val="10"/>
        <color indexed="12"/>
        <rFont val="宋体"/>
        <family val="3"/>
        <charset val="134"/>
      </rPr>
      <t>处置中获取或者支付的、减去预计处置费用后的金额。</t>
    </r>
    <phoneticPr fontId="11" type="noConversion"/>
  </si>
  <si>
    <r>
      <rPr>
        <sz val="10"/>
        <rFont val="宋体"/>
        <family val="3"/>
        <charset val="134"/>
      </rPr>
      <t>建立在预算或者预测基础上的预计现金流量最多涵盖</t>
    </r>
    <r>
      <rPr>
        <sz val="10"/>
        <rFont val="Arial Narrow"/>
        <family val="2"/>
      </rPr>
      <t>5</t>
    </r>
    <r>
      <rPr>
        <sz val="10"/>
        <rFont val="宋体"/>
        <family val="3"/>
        <charset val="134"/>
      </rPr>
      <t>年（涵盖更长的期间需证明合理性）。</t>
    </r>
    <phoneticPr fontId="15" type="noConversion"/>
  </si>
  <si>
    <r>
      <t>6</t>
    </r>
    <r>
      <rPr>
        <sz val="10"/>
        <color indexed="12"/>
        <rFont val="宋体"/>
        <family val="3"/>
        <charset val="134"/>
      </rPr>
      <t>、折现率是反映当前市场货币时间价值和资产特定风险的税前利率。该折现率是企业在购置或者投资资产时所要求的必要报酬率。</t>
    </r>
    <phoneticPr fontId="11" type="noConversion"/>
  </si>
  <si>
    <r>
      <rPr>
        <sz val="10"/>
        <color indexed="12"/>
        <rFont val="宋体"/>
        <family val="3"/>
        <charset val="134"/>
      </rPr>
      <t>折现率的确定通常应当以该资产的市场利率为依据。无法从市场获得的，可以使用替代利率估计折现率。</t>
    </r>
    <phoneticPr fontId="11" type="noConversion"/>
  </si>
  <si>
    <r>
      <rPr>
        <sz val="10"/>
        <color indexed="12"/>
        <rFont val="宋体"/>
        <family val="3"/>
        <charset val="134"/>
      </rPr>
      <t>加权平均资金成本（税后）</t>
    </r>
    <r>
      <rPr>
        <sz val="10"/>
        <color indexed="12"/>
        <rFont val="Arial Narrow"/>
        <family val="2"/>
      </rPr>
      <t>:</t>
    </r>
    <phoneticPr fontId="11" type="noConversion"/>
  </si>
  <si>
    <r>
      <rPr>
        <sz val="10"/>
        <rFont val="宋体"/>
        <family val="3"/>
        <charset val="134"/>
      </rPr>
      <t>折现率应当反映与内含在预计现金流量中的假设相一致的假设</t>
    </r>
    <phoneticPr fontId="11" type="noConversion"/>
  </si>
  <si>
    <r>
      <rPr>
        <sz val="10"/>
        <rFont val="宋体"/>
        <family val="3"/>
        <charset val="134"/>
      </rPr>
      <t>折现率的口径应与现金流的口径一致，即现金流若为税后则相应折现率取税后。</t>
    </r>
    <phoneticPr fontId="11" type="noConversion"/>
  </si>
  <si>
    <r>
      <rPr>
        <sz val="10"/>
        <rFont val="宋体"/>
        <family val="3"/>
        <charset val="134"/>
      </rPr>
      <t>如果企业的长期资产有一部分是由短期负债支撑的，可以用短期借款</t>
    </r>
    <r>
      <rPr>
        <sz val="10"/>
        <rFont val="Arial Narrow"/>
        <family val="2"/>
      </rPr>
      <t>+</t>
    </r>
    <r>
      <rPr>
        <sz val="10"/>
        <rFont val="宋体"/>
        <family val="3"/>
        <charset val="134"/>
      </rPr>
      <t>长期借款。</t>
    </r>
    <phoneticPr fontId="11" type="noConversion"/>
  </si>
  <si>
    <r>
      <rPr>
        <sz val="10"/>
        <rFont val="宋体"/>
        <family val="3"/>
        <charset val="134"/>
      </rPr>
      <t>严格来说，计算</t>
    </r>
    <r>
      <rPr>
        <sz val="10"/>
        <rFont val="Arial Narrow"/>
        <family val="2"/>
      </rPr>
      <t>WACC</t>
    </r>
    <r>
      <rPr>
        <sz val="10"/>
        <rFont val="宋体"/>
        <family val="3"/>
        <charset val="134"/>
      </rPr>
      <t>应使用债务总额的市场价值；一般认为负债的市场价值和账面价值相同。</t>
    </r>
    <phoneticPr fontId="11" type="noConversion"/>
  </si>
  <si>
    <r>
      <rPr>
        <b/>
        <sz val="10"/>
        <rFont val="宋体"/>
        <family val="3"/>
        <charset val="134"/>
      </rPr>
      <t>资本总额（</t>
    </r>
    <r>
      <rPr>
        <b/>
        <sz val="10"/>
        <rFont val="Arial Narrow"/>
        <family val="2"/>
      </rPr>
      <t>E</t>
    </r>
    <r>
      <rPr>
        <b/>
        <sz val="10"/>
        <rFont val="宋体"/>
        <family val="3"/>
        <charset val="134"/>
      </rPr>
      <t>）</t>
    </r>
    <phoneticPr fontId="11" type="noConversion"/>
  </si>
  <si>
    <r>
      <rPr>
        <sz val="10"/>
        <rFont val="宋体"/>
        <family val="3"/>
        <charset val="134"/>
      </rPr>
      <t>严格来说，计算</t>
    </r>
    <r>
      <rPr>
        <sz val="10"/>
        <rFont val="Arial Narrow"/>
        <family val="2"/>
      </rPr>
      <t>WACC</t>
    </r>
    <r>
      <rPr>
        <sz val="10"/>
        <rFont val="宋体"/>
        <family val="3"/>
        <charset val="134"/>
      </rPr>
      <t>应使用资本总额的市场价值；一般认为资本的市场价值就是股票市值。</t>
    </r>
    <phoneticPr fontId="11" type="noConversion"/>
  </si>
  <si>
    <r>
      <rPr>
        <b/>
        <sz val="10"/>
        <rFont val="宋体"/>
        <family val="3"/>
        <charset val="134"/>
      </rPr>
      <t>税前债务成本（</t>
    </r>
    <r>
      <rPr>
        <b/>
        <sz val="10"/>
        <rFont val="Arial Narrow"/>
        <family val="2"/>
      </rPr>
      <t>Kd</t>
    </r>
    <r>
      <rPr>
        <b/>
        <sz val="10"/>
        <rFont val="宋体"/>
        <family val="3"/>
        <charset val="134"/>
      </rPr>
      <t>）</t>
    </r>
    <phoneticPr fontId="11" type="noConversion"/>
  </si>
  <si>
    <r>
      <rPr>
        <sz val="10"/>
        <rFont val="宋体"/>
        <family val="3"/>
        <charset val="134"/>
      </rPr>
      <t>应当是未来的增量资金的边际成本，不是已经筹集资金的历史成本。</t>
    </r>
    <phoneticPr fontId="11" type="noConversion"/>
  </si>
  <si>
    <r>
      <rPr>
        <sz val="10"/>
        <rFont val="宋体"/>
        <family val="3"/>
        <charset val="134"/>
      </rPr>
      <t>实务中可以选择企业或可比企业发行的长期债券的到期收益率（将债券在预期存续期间内的未来现金流量，折现为该债券当前市价所使用的利率）。</t>
    </r>
    <phoneticPr fontId="11" type="noConversion"/>
  </si>
  <si>
    <r>
      <rPr>
        <sz val="10"/>
        <rFont val="宋体"/>
        <family val="3"/>
        <charset val="134"/>
      </rPr>
      <t>若企业没有上市的债券，也找不到合适的可比公司，则可以使用增量借款利率或企业最近一次借款的利率。</t>
    </r>
    <phoneticPr fontId="11" type="noConversion"/>
  </si>
  <si>
    <r>
      <rPr>
        <sz val="10"/>
        <rFont val="宋体"/>
        <family val="3"/>
        <charset val="134"/>
      </rPr>
      <t>指</t>
    </r>
    <r>
      <rPr>
        <sz val="10"/>
        <rFont val="Arial Narrow"/>
        <family val="2"/>
      </rPr>
      <t>β=1</t>
    </r>
    <r>
      <rPr>
        <sz val="10"/>
        <rFont val="宋体"/>
        <family val="3"/>
        <charset val="134"/>
      </rPr>
      <t>的股票要求的收益率，也是指包括所有股票的组合即市场组合要求的收益率。</t>
    </r>
    <phoneticPr fontId="11" type="noConversion"/>
  </si>
  <si>
    <r>
      <rPr>
        <sz val="10"/>
        <rFont val="宋体"/>
        <family val="3"/>
        <charset val="134"/>
      </rPr>
      <t>计算</t>
    </r>
    <r>
      <rPr>
        <sz val="10"/>
        <rFont val="Arial Narrow"/>
        <family val="2"/>
      </rPr>
      <t>β</t>
    </r>
    <r>
      <rPr>
        <sz val="10"/>
        <rFont val="宋体"/>
        <family val="3"/>
        <charset val="134"/>
      </rPr>
      <t>值时，需要考虑有关预测期间的长度和收益计量的时间间隔。在公司风险特征无重大变化时，可以采用</t>
    </r>
    <r>
      <rPr>
        <sz val="10"/>
        <rFont val="Arial Narrow"/>
        <family val="2"/>
      </rPr>
      <t>5</t>
    </r>
    <r>
      <rPr>
        <sz val="10"/>
        <rFont val="宋体"/>
        <family val="3"/>
        <charset val="134"/>
      </rPr>
      <t>年或更长的预测期长度；</t>
    </r>
    <phoneticPr fontId="11" type="noConversion"/>
  </si>
  <si>
    <r>
      <rPr>
        <sz val="10"/>
        <rFont val="宋体"/>
        <family val="3"/>
        <charset val="134"/>
      </rPr>
      <t>收益计量的时间间隔一般使用每周或每月的收益率。</t>
    </r>
    <phoneticPr fontId="11" type="noConversion"/>
  </si>
  <si>
    <r>
      <rPr>
        <sz val="10"/>
        <color indexed="12"/>
        <rFont val="宋体"/>
        <family val="3"/>
        <charset val="134"/>
      </rPr>
      <t>资产组，是指企业可以认定的最小资产组合，其产生的现金流入应当基本上独立于其他资产或者资产组产生的现金流入。</t>
    </r>
    <phoneticPr fontId="11" type="noConversion"/>
  </si>
  <si>
    <r>
      <rPr>
        <b/>
        <sz val="10"/>
        <rFont val="宋体"/>
        <family val="3"/>
        <charset val="134"/>
      </rPr>
      <t>（一）资产的公允价值减去处置费用后的净额</t>
    </r>
    <phoneticPr fontId="11" type="noConversion"/>
  </si>
  <si>
    <r>
      <rPr>
        <b/>
        <sz val="10"/>
        <rFont val="宋体"/>
        <family val="3"/>
        <charset val="134"/>
      </rPr>
      <t>公允价值</t>
    </r>
    <phoneticPr fontId="11" type="noConversion"/>
  </si>
  <si>
    <r>
      <rPr>
        <b/>
        <sz val="10"/>
        <rFont val="宋体"/>
        <family val="3"/>
        <charset val="134"/>
      </rPr>
      <t>处置费用（资产处置的直接归属费用）</t>
    </r>
    <phoneticPr fontId="11" type="noConversion"/>
  </si>
  <si>
    <r>
      <rPr>
        <b/>
        <sz val="10"/>
        <rFont val="宋体"/>
        <family val="3"/>
        <charset val="134"/>
      </rPr>
      <t>公允价值</t>
    </r>
    <r>
      <rPr>
        <b/>
        <sz val="10"/>
        <rFont val="Arial Narrow"/>
        <family val="2"/>
      </rPr>
      <t>-</t>
    </r>
    <r>
      <rPr>
        <b/>
        <sz val="10"/>
        <rFont val="宋体"/>
        <family val="3"/>
        <charset val="134"/>
      </rPr>
      <t>处置费用</t>
    </r>
    <phoneticPr fontId="11" type="noConversion"/>
  </si>
  <si>
    <r>
      <rPr>
        <b/>
        <sz val="10"/>
        <rFont val="宋体"/>
        <family val="3"/>
        <charset val="134"/>
      </rPr>
      <t>销售协议价格</t>
    </r>
    <phoneticPr fontId="11" type="noConversion"/>
  </si>
  <si>
    <r>
      <rPr>
        <b/>
        <sz val="10"/>
        <rFont val="宋体"/>
        <family val="3"/>
        <charset val="134"/>
      </rPr>
      <t>资产活跃市场价格</t>
    </r>
    <phoneticPr fontId="11" type="noConversion"/>
  </si>
  <si>
    <r>
      <rPr>
        <b/>
        <sz val="10"/>
        <rFont val="宋体"/>
        <family val="3"/>
        <charset val="134"/>
      </rPr>
      <t>说明</t>
    </r>
    <phoneticPr fontId="11" type="noConversion"/>
  </si>
  <si>
    <r>
      <rPr>
        <b/>
        <sz val="10"/>
        <rFont val="宋体"/>
        <family val="3"/>
        <charset val="134"/>
      </rPr>
      <t>说明</t>
    </r>
    <phoneticPr fontId="11" type="noConversion"/>
  </si>
  <si>
    <r>
      <rPr>
        <b/>
        <sz val="10"/>
        <rFont val="宋体"/>
        <family val="3"/>
        <charset val="134"/>
      </rPr>
      <t>相关税费</t>
    </r>
    <phoneticPr fontId="11" type="noConversion"/>
  </si>
  <si>
    <r>
      <rPr>
        <b/>
        <sz val="10"/>
        <rFont val="宋体"/>
        <family val="3"/>
        <charset val="134"/>
      </rPr>
      <t>直接费用</t>
    </r>
    <phoneticPr fontId="11" type="noConversion"/>
  </si>
  <si>
    <r>
      <rPr>
        <b/>
        <sz val="10"/>
        <rFont val="宋体"/>
        <family val="3"/>
        <charset val="134"/>
      </rPr>
      <t>其他费用</t>
    </r>
    <phoneticPr fontId="11" type="noConversion"/>
  </si>
  <si>
    <r>
      <rPr>
        <b/>
        <sz val="10"/>
        <rFont val="宋体"/>
        <family val="3"/>
        <charset val="134"/>
      </rPr>
      <t>处置费用合计</t>
    </r>
    <phoneticPr fontId="11" type="noConversion"/>
  </si>
  <si>
    <r>
      <rPr>
        <sz val="10"/>
        <rFont val="宋体"/>
        <family val="3"/>
        <charset val="134"/>
      </rPr>
      <t>市场长期平均增长率</t>
    </r>
    <phoneticPr fontId="11" type="noConversion"/>
  </si>
  <si>
    <r>
      <rPr>
        <sz val="10"/>
        <rFont val="宋体"/>
        <family val="3"/>
        <charset val="134"/>
      </rPr>
      <t>所在国家或地区的长期平均增长率</t>
    </r>
    <phoneticPr fontId="11" type="noConversion"/>
  </si>
  <si>
    <r>
      <rPr>
        <b/>
        <sz val="10"/>
        <rFont val="宋体"/>
        <family val="3"/>
        <charset val="134"/>
      </rPr>
      <t>预计未来现金流量的现值</t>
    </r>
    <phoneticPr fontId="11" type="noConversion"/>
  </si>
  <si>
    <r>
      <rPr>
        <b/>
        <sz val="10"/>
        <rFont val="宋体"/>
        <family val="3"/>
        <charset val="134"/>
      </rPr>
      <t>第三年</t>
    </r>
    <phoneticPr fontId="11" type="noConversion"/>
  </si>
  <si>
    <r>
      <t>Capital Employed</t>
    </r>
    <r>
      <rPr>
        <sz val="10"/>
        <rFont val="宋体"/>
        <family val="3"/>
        <charset val="134"/>
      </rPr>
      <t>（</t>
    </r>
    <r>
      <rPr>
        <sz val="10"/>
        <rFont val="Arial Narrow"/>
        <family val="2"/>
      </rPr>
      <t>CE</t>
    </r>
    <r>
      <rPr>
        <sz val="10"/>
        <rFont val="宋体"/>
        <family val="3"/>
        <charset val="134"/>
      </rPr>
      <t>）中股东投入的部分，包含股本、股本溢价及留存收益。</t>
    </r>
    <phoneticPr fontId="11" type="noConversion"/>
  </si>
  <si>
    <r>
      <rPr>
        <b/>
        <sz val="10"/>
        <rFont val="宋体"/>
        <family val="3"/>
        <charset val="134"/>
      </rPr>
      <t>市场平均收益率</t>
    </r>
    <r>
      <rPr>
        <b/>
        <sz val="10"/>
        <rFont val="Arial Narrow"/>
        <family val="2"/>
      </rPr>
      <t>Rm</t>
    </r>
    <phoneticPr fontId="11" type="noConversion"/>
  </si>
  <si>
    <r>
      <rPr>
        <b/>
        <sz val="10"/>
        <color indexed="8"/>
        <rFont val="宋体"/>
        <family val="3"/>
        <charset val="134"/>
      </rPr>
      <t>一、审计目标：</t>
    </r>
    <phoneticPr fontId="15" type="noConversion"/>
  </si>
  <si>
    <r>
      <t xml:space="preserve">1. </t>
    </r>
    <r>
      <rPr>
        <sz val="10"/>
        <color indexed="8"/>
        <rFont val="宋体"/>
        <family val="3"/>
        <charset val="134"/>
      </rPr>
      <t>资产负债表中记录的使用权资产是存在的，且已记录于恰当的账户；</t>
    </r>
    <r>
      <rPr>
        <sz val="10"/>
        <color indexed="8"/>
        <rFont val="Arial Narrow"/>
        <family val="2"/>
      </rPr>
      <t xml:space="preserve">2. </t>
    </r>
    <r>
      <rPr>
        <sz val="10"/>
        <color indexed="8"/>
        <rFont val="宋体"/>
        <family val="3"/>
        <charset val="134"/>
      </rPr>
      <t>所有应记录的使用权资产均已记录，所有应当包括在财务报表中的相关披露均已包括；</t>
    </r>
    <phoneticPr fontId="11" type="noConversion"/>
  </si>
  <si>
    <r>
      <t xml:space="preserve">3. </t>
    </r>
    <r>
      <rPr>
        <sz val="10"/>
        <color indexed="8"/>
        <rFont val="宋体"/>
        <family val="3"/>
        <charset val="134"/>
      </rPr>
      <t>使用权资产以恰当的金额包括在财务报表中，与之相关的计价或分摊调整已恰当记录，相关披露已得到恰当计量和描述。</t>
    </r>
    <phoneticPr fontId="11" type="noConversion"/>
  </si>
  <si>
    <r>
      <rPr>
        <b/>
        <sz val="10"/>
        <rFont val="宋体"/>
        <family val="3"/>
        <charset val="134"/>
      </rPr>
      <t>资产类别</t>
    </r>
    <phoneticPr fontId="11" type="noConversion"/>
  </si>
  <si>
    <r>
      <rPr>
        <b/>
        <sz val="10"/>
        <rFont val="宋体"/>
        <family val="3"/>
        <charset val="134"/>
      </rPr>
      <t>资产名称</t>
    </r>
    <phoneticPr fontId="11" type="noConversion"/>
  </si>
  <si>
    <r>
      <rPr>
        <b/>
        <sz val="10"/>
        <rFont val="宋体"/>
        <family val="3"/>
        <charset val="134"/>
      </rPr>
      <t>规格型号</t>
    </r>
    <phoneticPr fontId="11" type="noConversion"/>
  </si>
  <si>
    <r>
      <rPr>
        <b/>
        <sz val="10"/>
        <rFont val="宋体"/>
        <family val="3"/>
        <charset val="134"/>
      </rPr>
      <t>租赁开始日</t>
    </r>
    <phoneticPr fontId="11" type="noConversion"/>
  </si>
  <si>
    <r>
      <rPr>
        <b/>
        <sz val="10"/>
        <rFont val="宋体"/>
        <family val="3"/>
        <charset val="134"/>
      </rPr>
      <t>租赁期开始日</t>
    </r>
    <phoneticPr fontId="11" type="noConversion"/>
  </si>
  <si>
    <r>
      <rPr>
        <b/>
        <sz val="10"/>
        <rFont val="宋体"/>
        <family val="3"/>
        <charset val="134"/>
      </rPr>
      <t>租赁到期日</t>
    </r>
    <phoneticPr fontId="11" type="noConversion"/>
  </si>
  <si>
    <r>
      <rPr>
        <b/>
        <sz val="10"/>
        <rFont val="宋体"/>
        <family val="3"/>
        <charset val="134"/>
      </rPr>
      <t>租金费用总金额</t>
    </r>
    <phoneticPr fontId="11" type="noConversion"/>
  </si>
  <si>
    <r>
      <rPr>
        <b/>
        <sz val="10"/>
        <rFont val="宋体"/>
        <family val="3"/>
        <charset val="134"/>
      </rPr>
      <t>月租金</t>
    </r>
    <phoneticPr fontId="11" type="noConversion"/>
  </si>
  <si>
    <r>
      <rPr>
        <b/>
        <sz val="10"/>
        <rFont val="宋体"/>
        <family val="3"/>
        <charset val="134"/>
      </rPr>
      <t>本期应计租金月份数</t>
    </r>
    <phoneticPr fontId="11" type="noConversion"/>
  </si>
  <si>
    <r>
      <rPr>
        <b/>
        <sz val="10"/>
        <rFont val="宋体"/>
        <family val="3"/>
        <charset val="134"/>
      </rPr>
      <t>本期应计提的租金费用</t>
    </r>
    <phoneticPr fontId="11" type="noConversion"/>
  </si>
  <si>
    <r>
      <rPr>
        <b/>
        <sz val="10"/>
        <rFont val="宋体"/>
        <family val="3"/>
        <charset val="134"/>
      </rPr>
      <t>账面计提的本期租金费用</t>
    </r>
    <phoneticPr fontId="11" type="noConversion"/>
  </si>
  <si>
    <r>
      <rPr>
        <b/>
        <sz val="10"/>
        <rFont val="宋体"/>
        <family val="3"/>
        <charset val="134"/>
      </rPr>
      <t>差异</t>
    </r>
    <phoneticPr fontId="11" type="noConversion"/>
  </si>
  <si>
    <r>
      <rPr>
        <b/>
        <sz val="10"/>
        <rFont val="宋体"/>
        <family val="3"/>
        <charset val="134"/>
      </rPr>
      <t>与相关科目是否勾稽一致</t>
    </r>
    <phoneticPr fontId="11" type="noConversion"/>
  </si>
  <si>
    <r>
      <rPr>
        <sz val="10"/>
        <color rgb="FF0000FF"/>
        <rFont val="宋体"/>
        <family val="3"/>
        <charset val="134"/>
      </rPr>
      <t>对于短期租赁和低价值资产租赁，承租人可以选择不确认使用权资产和租赁负债。</t>
    </r>
    <phoneticPr fontId="11" type="noConversion"/>
  </si>
  <si>
    <r>
      <rPr>
        <sz val="10"/>
        <color rgb="FF0000FF"/>
        <rFont val="宋体"/>
        <family val="3"/>
        <charset val="134"/>
      </rPr>
      <t>作出该选择的，承租人应当将短期租赁和低价值资产租赁的租赁付款额，在租赁期内各个期间按照直线法或其他系统合理的方法计入相关资产成本或当期损益。</t>
    </r>
    <phoneticPr fontId="11" type="noConversion"/>
  </si>
  <si>
    <r>
      <rPr>
        <b/>
        <sz val="10"/>
        <rFont val="宋体"/>
        <family val="3"/>
        <charset val="134"/>
      </rPr>
      <t>净值</t>
    </r>
    <phoneticPr fontId="11" type="noConversion"/>
  </si>
  <si>
    <r>
      <rPr>
        <b/>
        <sz val="10"/>
        <rFont val="宋体"/>
        <family val="3"/>
        <charset val="134"/>
      </rPr>
      <t>使用权资产名称</t>
    </r>
  </si>
  <si>
    <r>
      <rPr>
        <b/>
        <sz val="10"/>
        <rFont val="宋体"/>
        <family val="3"/>
        <charset val="134"/>
      </rPr>
      <t>合计</t>
    </r>
    <phoneticPr fontId="11" type="noConversion"/>
  </si>
  <si>
    <r>
      <rPr>
        <b/>
        <sz val="10"/>
        <rFont val="宋体"/>
        <family val="3"/>
        <charset val="134"/>
      </rPr>
      <t>本期减少使用权资产合计</t>
    </r>
  </si>
  <si>
    <r>
      <rPr>
        <sz val="10"/>
        <rFont val="宋体"/>
        <family val="3"/>
        <charset val="134"/>
      </rPr>
      <t>特定样本：</t>
    </r>
    <phoneticPr fontId="11" type="noConversion"/>
  </si>
  <si>
    <r>
      <rPr>
        <sz val="10"/>
        <rFont val="宋体"/>
        <family val="3"/>
        <charset val="134"/>
      </rPr>
      <t>确定的抽样样本量：</t>
    </r>
    <phoneticPr fontId="11" type="noConversion"/>
  </si>
  <si>
    <r>
      <rPr>
        <b/>
        <sz val="10"/>
        <rFont val="宋体"/>
        <family val="3"/>
        <charset val="134"/>
      </rPr>
      <t>减少情况</t>
    </r>
    <phoneticPr fontId="11" type="noConversion"/>
  </si>
  <si>
    <r>
      <rPr>
        <b/>
        <sz val="10"/>
        <rFont val="宋体"/>
        <family val="3"/>
        <charset val="134"/>
      </rPr>
      <t>原值</t>
    </r>
    <phoneticPr fontId="11" type="noConversion"/>
  </si>
  <si>
    <r>
      <rPr>
        <b/>
        <sz val="10"/>
        <rFont val="宋体"/>
        <family val="3"/>
        <charset val="134"/>
      </rPr>
      <t>一、审计目标：</t>
    </r>
    <r>
      <rPr>
        <sz val="10"/>
        <rFont val="Arial Narrow"/>
        <family val="2"/>
      </rPr>
      <t>1.</t>
    </r>
    <r>
      <rPr>
        <sz val="10"/>
        <rFont val="宋体"/>
        <family val="3"/>
        <charset val="134"/>
      </rPr>
      <t>资产负债表中记录的使用权是存在的，且已记录于恰当的账户；</t>
    </r>
    <r>
      <rPr>
        <sz val="10"/>
        <rFont val="Arial Narrow"/>
        <family val="2"/>
      </rPr>
      <t>2.</t>
    </r>
    <r>
      <rPr>
        <sz val="10"/>
        <rFont val="宋体"/>
        <family val="3"/>
        <charset val="134"/>
      </rPr>
      <t>所有应记录的使用权资产均已记录，所有应当包括在财务报表中的相关披露均已包括；</t>
    </r>
    <r>
      <rPr>
        <sz val="10"/>
        <rFont val="Arial Narrow"/>
        <family val="2"/>
      </rPr>
      <t>3.</t>
    </r>
    <r>
      <rPr>
        <sz val="10"/>
        <rFont val="宋体"/>
        <family val="3"/>
        <charset val="134"/>
      </rPr>
      <t>使用权资产以恰当的金额包括在财务报表中，与之相关的计价或分摊调整已恰当记录，相关披露已得到恰当计量和描述。</t>
    </r>
    <phoneticPr fontId="35" type="noConversion"/>
  </si>
  <si>
    <r>
      <rPr>
        <b/>
        <sz val="10"/>
        <rFont val="宋体"/>
        <family val="3"/>
        <charset val="134"/>
      </rPr>
      <t>二、样本选取标准与规模：</t>
    </r>
    <phoneticPr fontId="35" type="noConversion"/>
  </si>
  <si>
    <r>
      <rPr>
        <sz val="10"/>
        <rFont val="宋体"/>
        <family val="3"/>
        <charset val="134"/>
      </rPr>
      <t>测试总体：</t>
    </r>
    <phoneticPr fontId="11"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</si>
  <si>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11" type="noConversion"/>
  </si>
  <si>
    <r>
      <rPr>
        <sz val="10"/>
        <rFont val="宋体"/>
        <family val="3"/>
        <charset val="134"/>
      </rPr>
      <t>抽样总体：</t>
    </r>
    <phoneticPr fontId="11" type="noConversion"/>
  </si>
  <si>
    <r>
      <rPr>
        <sz val="10"/>
        <color rgb="FF0000FF"/>
        <rFont val="宋体"/>
        <family val="3"/>
        <charset val="134"/>
      </rPr>
      <t>测试总体扣除特定样本以外的样本，共</t>
    </r>
    <r>
      <rPr>
        <sz val="10"/>
        <color rgb="FF0000FF"/>
        <rFont val="Arial Narrow"/>
        <family val="2"/>
      </rPr>
      <t>XX</t>
    </r>
    <r>
      <rPr>
        <sz val="10"/>
        <color rgb="FF0000FF"/>
        <rFont val="宋体"/>
        <family val="3"/>
        <charset val="134"/>
      </rPr>
      <t>笔、金额</t>
    </r>
    <r>
      <rPr>
        <sz val="10"/>
        <color rgb="FF0000FF"/>
        <rFont val="Arial Narrow"/>
        <family val="2"/>
      </rPr>
      <t>XX</t>
    </r>
    <phoneticPr fontId="11" type="noConversion"/>
  </si>
  <si>
    <r>
      <rPr>
        <sz val="10"/>
        <color rgb="FF0000FF"/>
        <rFont val="宋体"/>
        <family val="3"/>
        <charset val="134"/>
      </rPr>
      <t>抽取</t>
    </r>
    <r>
      <rPr>
        <sz val="10"/>
        <color rgb="FF0000FF"/>
        <rFont val="Arial Narrow"/>
        <family val="2"/>
      </rPr>
      <t>XX</t>
    </r>
    <r>
      <rPr>
        <sz val="10"/>
        <color rgb="FF0000FF"/>
        <rFont val="宋体"/>
        <family val="3"/>
        <charset val="134"/>
      </rPr>
      <t>笔</t>
    </r>
    <phoneticPr fontId="11" type="noConversion"/>
  </si>
  <si>
    <r>
      <rPr>
        <sz val="10"/>
        <color rgb="FF0000FF"/>
        <rFont val="宋体"/>
        <family val="3"/>
        <charset val="134"/>
      </rPr>
      <t>（如果使用了样本计算器计算样本量，样本量计算过程见</t>
    </r>
    <r>
      <rPr>
        <sz val="10"/>
        <color rgb="FF0000FF"/>
        <rFont val="Arial Narrow"/>
        <family val="2"/>
      </rPr>
      <t>&lt;XX&gt;</t>
    </r>
    <r>
      <rPr>
        <sz val="10"/>
        <color rgb="FF0000FF"/>
        <rFont val="宋体"/>
        <family val="3"/>
        <charset val="134"/>
      </rPr>
      <t>底稿）</t>
    </r>
    <phoneticPr fontId="11" type="noConversion"/>
  </si>
  <si>
    <r>
      <rPr>
        <sz val="10"/>
        <rFont val="宋体"/>
        <family val="3"/>
        <charset val="134"/>
      </rPr>
      <t>抽样方法：</t>
    </r>
    <phoneticPr fontId="11" type="noConversion"/>
  </si>
  <si>
    <r>
      <rPr>
        <sz val="10"/>
        <rFont val="宋体"/>
        <family val="3"/>
        <charset val="134"/>
      </rPr>
      <t>抽样过程：</t>
    </r>
    <phoneticPr fontId="11" type="noConversion"/>
  </si>
  <si>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数量、金额</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&lt;XX&gt;</t>
    </r>
    <r>
      <rPr>
        <sz val="10"/>
        <color rgb="FF0000FF"/>
        <rFont val="宋体"/>
        <family val="3"/>
        <charset val="134"/>
      </rPr>
      <t>底稿</t>
    </r>
    <phoneticPr fontId="11" type="noConversion"/>
  </si>
  <si>
    <r>
      <rPr>
        <b/>
        <sz val="10"/>
        <rFont val="宋体"/>
        <family val="3"/>
        <charset val="134"/>
      </rPr>
      <t>三、测试过程：</t>
    </r>
    <phoneticPr fontId="35" type="noConversion"/>
  </si>
  <si>
    <r>
      <rPr>
        <b/>
        <sz val="10"/>
        <rFont val="宋体"/>
        <family val="3"/>
        <charset val="134"/>
      </rPr>
      <t>序号</t>
    </r>
    <phoneticPr fontId="11" type="noConversion"/>
  </si>
  <si>
    <r>
      <rPr>
        <b/>
        <sz val="10"/>
        <rFont val="宋体"/>
        <family val="3"/>
        <charset val="134"/>
      </rPr>
      <t>减少方式</t>
    </r>
    <phoneticPr fontId="11" type="noConversion"/>
  </si>
  <si>
    <r>
      <rPr>
        <b/>
        <sz val="10"/>
        <rFont val="宋体"/>
        <family val="3"/>
        <charset val="134"/>
      </rPr>
      <t>减少日期</t>
    </r>
    <phoneticPr fontId="11" type="noConversion"/>
  </si>
  <si>
    <r>
      <rPr>
        <b/>
        <sz val="10"/>
        <rFont val="宋体"/>
        <family val="3"/>
        <charset val="134"/>
      </rPr>
      <t>凭证号</t>
    </r>
    <phoneticPr fontId="11" type="noConversion"/>
  </si>
  <si>
    <r>
      <rPr>
        <b/>
        <sz val="10"/>
        <rFont val="宋体"/>
        <family val="3"/>
        <charset val="134"/>
      </rPr>
      <t>对方科目</t>
    </r>
    <phoneticPr fontId="11" type="noConversion"/>
  </si>
  <si>
    <r>
      <rPr>
        <b/>
        <sz val="10"/>
        <rFont val="宋体"/>
        <family val="3"/>
        <charset val="134"/>
      </rPr>
      <t>数量</t>
    </r>
    <phoneticPr fontId="11" type="noConversion"/>
  </si>
  <si>
    <r>
      <rPr>
        <b/>
        <sz val="10"/>
        <rFont val="宋体"/>
        <family val="3"/>
        <charset val="134"/>
      </rPr>
      <t>累计折旧</t>
    </r>
    <phoneticPr fontId="11" type="noConversion"/>
  </si>
  <si>
    <r>
      <rPr>
        <b/>
        <sz val="10"/>
        <rFont val="宋体"/>
        <family val="3"/>
        <charset val="134"/>
      </rPr>
      <t>四、审计说明：</t>
    </r>
    <phoneticPr fontId="35" type="noConversion"/>
  </si>
  <si>
    <r>
      <rPr>
        <b/>
        <sz val="10"/>
        <rFont val="宋体"/>
        <family val="3"/>
        <charset val="134"/>
      </rPr>
      <t>五、审计结论：</t>
    </r>
    <phoneticPr fontId="11" type="noConversion"/>
  </si>
  <si>
    <r>
      <rPr>
        <b/>
        <sz val="10"/>
        <rFont val="宋体"/>
        <family val="3"/>
        <charset val="134"/>
      </rPr>
      <t>定价政策</t>
    </r>
    <phoneticPr fontId="11" type="noConversion"/>
  </si>
  <si>
    <r>
      <rPr>
        <b/>
        <sz val="10"/>
        <rFont val="宋体"/>
        <family val="3"/>
        <charset val="134"/>
      </rPr>
      <t>索引号</t>
    </r>
    <phoneticPr fontId="11" type="noConversion"/>
  </si>
  <si>
    <r>
      <rPr>
        <b/>
        <sz val="10"/>
        <color indexed="8"/>
        <rFont val="宋体"/>
        <family val="3"/>
        <charset val="134"/>
      </rPr>
      <t>关联方名称</t>
    </r>
    <phoneticPr fontId="15" type="noConversion"/>
  </si>
  <si>
    <r>
      <rPr>
        <b/>
        <sz val="10"/>
        <rFont val="宋体"/>
        <family val="3"/>
        <charset val="134"/>
      </rPr>
      <t>租赁负债期末审定数</t>
    </r>
    <phoneticPr fontId="11" type="noConversion"/>
  </si>
  <si>
    <r>
      <rPr>
        <b/>
        <sz val="10"/>
        <rFont val="宋体"/>
        <family val="3"/>
        <charset val="134"/>
      </rPr>
      <t>本期应支付的租赁款项</t>
    </r>
    <phoneticPr fontId="11" type="noConversion"/>
  </si>
  <si>
    <r>
      <rPr>
        <sz val="10"/>
        <color rgb="FF0000FF"/>
        <rFont val="宋体"/>
        <family val="3"/>
        <charset val="134"/>
      </rPr>
      <t>勿删</t>
    </r>
    <phoneticPr fontId="11" type="noConversion"/>
  </si>
  <si>
    <r>
      <rPr>
        <sz val="10"/>
        <color rgb="FF0000FF"/>
        <rFont val="宋体"/>
        <family val="3"/>
        <charset val="134"/>
      </rPr>
      <t>关联关系</t>
    </r>
    <phoneticPr fontId="11" type="noConversion"/>
  </si>
  <si>
    <r>
      <rPr>
        <sz val="10"/>
        <color rgb="FF0000FF"/>
        <rFont val="宋体"/>
        <family val="3"/>
        <charset val="134"/>
      </rPr>
      <t>实际控制人</t>
    </r>
    <phoneticPr fontId="11" type="noConversion"/>
  </si>
  <si>
    <r>
      <rPr>
        <sz val="10"/>
        <color rgb="FF0000FF"/>
        <rFont val="宋体"/>
        <family val="3"/>
        <charset val="134"/>
      </rPr>
      <t>其他关联方</t>
    </r>
    <phoneticPr fontId="11" type="noConversion"/>
  </si>
  <si>
    <r>
      <rPr>
        <b/>
        <sz val="10"/>
        <rFont val="宋体"/>
        <family val="3"/>
        <charset val="134"/>
      </rPr>
      <t>使用权资产累计折旧期末审定数</t>
    </r>
    <phoneticPr fontId="11" type="noConversion"/>
  </si>
  <si>
    <r>
      <rPr>
        <b/>
        <sz val="10"/>
        <rFont val="宋体"/>
        <family val="3"/>
        <charset val="134"/>
      </rPr>
      <t>本期新增使用权资产金额（原值）</t>
    </r>
    <phoneticPr fontId="11" type="noConversion"/>
  </si>
  <si>
    <r>
      <rPr>
        <b/>
        <sz val="10"/>
        <rFont val="宋体"/>
        <family val="3"/>
        <charset val="134"/>
      </rPr>
      <t>关联关系</t>
    </r>
    <phoneticPr fontId="11" type="noConversion"/>
  </si>
  <si>
    <r>
      <rPr>
        <sz val="10"/>
        <color rgb="FF0000FF"/>
        <rFont val="宋体"/>
        <family val="3"/>
        <charset val="134"/>
      </rPr>
      <t>持有</t>
    </r>
    <r>
      <rPr>
        <sz val="10"/>
        <color rgb="FF0000FF"/>
        <rFont val="Arial Narrow"/>
        <family val="2"/>
      </rPr>
      <t>5%</t>
    </r>
    <r>
      <rPr>
        <sz val="10"/>
        <color rgb="FF0000FF"/>
        <rFont val="宋体"/>
        <family val="3"/>
        <charset val="134"/>
      </rPr>
      <t>以上股份的法人或其他组织</t>
    </r>
    <phoneticPr fontId="11" type="noConversion"/>
  </si>
  <si>
    <r>
      <rPr>
        <b/>
        <sz val="10"/>
        <color indexed="8"/>
        <rFont val="宋体"/>
        <family val="3"/>
        <charset val="134"/>
      </rPr>
      <t>一、审计目标</t>
    </r>
    <r>
      <rPr>
        <b/>
        <sz val="10"/>
        <color indexed="8"/>
        <rFont val="Arial Narrow"/>
        <family val="2"/>
      </rPr>
      <t>:</t>
    </r>
    <phoneticPr fontId="15" type="noConversion"/>
  </si>
  <si>
    <r>
      <rPr>
        <b/>
        <sz val="10"/>
        <color indexed="8"/>
        <rFont val="宋体"/>
        <family val="3"/>
        <charset val="134"/>
      </rPr>
      <t>二、审计过程：</t>
    </r>
    <phoneticPr fontId="15" type="noConversion"/>
  </si>
  <si>
    <r>
      <rPr>
        <b/>
        <sz val="10"/>
        <rFont val="宋体"/>
        <family val="3"/>
        <charset val="134"/>
      </rPr>
      <t>关联单位名称</t>
    </r>
    <phoneticPr fontId="11" type="noConversion"/>
  </si>
  <si>
    <r>
      <rPr>
        <b/>
        <sz val="10"/>
        <rFont val="宋体"/>
        <family val="3"/>
        <charset val="134"/>
      </rPr>
      <t>关联方关系</t>
    </r>
    <phoneticPr fontId="11" type="noConversion"/>
  </si>
  <si>
    <r>
      <rPr>
        <b/>
        <sz val="10"/>
        <rFont val="宋体"/>
        <family val="3"/>
        <charset val="134"/>
      </rPr>
      <t>租赁项目</t>
    </r>
    <phoneticPr fontId="11" type="noConversion"/>
  </si>
  <si>
    <r>
      <rPr>
        <b/>
        <sz val="10"/>
        <rFont val="宋体"/>
        <family val="3"/>
        <charset val="134"/>
      </rPr>
      <t>租赁发生时间及到期日</t>
    </r>
    <phoneticPr fontId="11" type="noConversion"/>
  </si>
  <si>
    <r>
      <rPr>
        <b/>
        <sz val="10"/>
        <rFont val="宋体"/>
        <family val="3"/>
        <charset val="134"/>
      </rPr>
      <t>使用权资产原值期末审定数</t>
    </r>
    <phoneticPr fontId="11" type="noConversion"/>
  </si>
  <si>
    <r>
      <rPr>
        <b/>
        <sz val="10"/>
        <rFont val="宋体"/>
        <family val="3"/>
        <charset val="134"/>
      </rPr>
      <t>使用权资产减值准备期末审定数</t>
    </r>
    <phoneticPr fontId="11" type="noConversion"/>
  </si>
  <si>
    <r>
      <rPr>
        <b/>
        <sz val="10"/>
        <rFont val="宋体"/>
        <family val="3"/>
        <charset val="134"/>
      </rPr>
      <t>使用权资产净值</t>
    </r>
    <phoneticPr fontId="11" type="noConversion"/>
  </si>
  <si>
    <r>
      <rPr>
        <b/>
        <sz val="10"/>
        <rFont val="宋体"/>
        <family val="3"/>
        <charset val="134"/>
      </rPr>
      <t>使用权资产本期折旧金额</t>
    </r>
    <phoneticPr fontId="11" type="noConversion"/>
  </si>
  <si>
    <r>
      <rPr>
        <b/>
        <sz val="10"/>
        <rFont val="宋体"/>
        <family val="3"/>
        <charset val="134"/>
      </rPr>
      <t>关联交易是否存在异常</t>
    </r>
    <phoneticPr fontId="11" type="noConversion"/>
  </si>
  <si>
    <r>
      <rPr>
        <b/>
        <sz val="10"/>
        <rFont val="宋体"/>
        <family val="3"/>
        <charset val="134"/>
      </rPr>
      <t>本期承担的租赁负债利息支出</t>
    </r>
    <phoneticPr fontId="11" type="noConversion"/>
  </si>
  <si>
    <r>
      <rPr>
        <sz val="10"/>
        <color rgb="FF0000FF"/>
        <rFont val="宋体"/>
        <family val="3"/>
        <charset val="134"/>
      </rPr>
      <t>董高监等关键管理人员</t>
    </r>
    <phoneticPr fontId="11" type="noConversion"/>
  </si>
  <si>
    <r>
      <rPr>
        <b/>
        <sz val="12"/>
        <rFont val="宋体"/>
        <family val="3"/>
        <charset val="134"/>
      </rPr>
      <t>致同会计师事务所</t>
    </r>
    <phoneticPr fontId="6" type="noConversion"/>
  </si>
  <si>
    <r>
      <rPr>
        <b/>
        <sz val="12"/>
        <rFont val="宋体"/>
        <family val="3"/>
        <charset val="134"/>
      </rPr>
      <t>致同会计师事务所</t>
    </r>
  </si>
  <si>
    <r>
      <rPr>
        <b/>
        <sz val="12"/>
        <color indexed="8"/>
        <rFont val="宋体"/>
        <family val="3"/>
        <charset val="134"/>
      </rPr>
      <t>致同会计师事务所</t>
    </r>
  </si>
  <si>
    <r>
      <rPr>
        <b/>
        <sz val="12"/>
        <rFont val="宋体"/>
        <family val="3"/>
        <charset val="134"/>
      </rPr>
      <t>致同会计师事务所</t>
    </r>
    <phoneticPr fontId="11" type="noConversion"/>
  </si>
  <si>
    <r>
      <rPr>
        <b/>
        <sz val="12"/>
        <rFont val="宋体"/>
        <family val="3"/>
        <charset val="134"/>
      </rPr>
      <t>致同会计师事务所</t>
    </r>
    <phoneticPr fontId="11" type="noConversion"/>
  </si>
  <si>
    <r>
      <rPr>
        <b/>
        <sz val="12"/>
        <color indexed="8"/>
        <rFont val="宋体"/>
        <family val="3"/>
        <charset val="134"/>
      </rPr>
      <t>致同会计师事务所</t>
    </r>
    <phoneticPr fontId="11" type="noConversion"/>
  </si>
  <si>
    <r>
      <rPr>
        <b/>
        <sz val="14"/>
        <rFont val="宋体"/>
        <family val="3"/>
        <charset val="134"/>
      </rPr>
      <t>使用权资产实质性程序表</t>
    </r>
    <phoneticPr fontId="6" type="noConversion"/>
  </si>
  <si>
    <r>
      <rPr>
        <b/>
        <sz val="14"/>
        <rFont val="宋体"/>
        <family val="3"/>
        <charset val="134"/>
      </rPr>
      <t>租赁期的确定</t>
    </r>
    <phoneticPr fontId="11" type="noConversion"/>
  </si>
  <si>
    <r>
      <rPr>
        <b/>
        <sz val="14"/>
        <rFont val="宋体"/>
        <family val="3"/>
        <charset val="134"/>
      </rPr>
      <t>租赁的识别</t>
    </r>
    <phoneticPr fontId="11" type="noConversion"/>
  </si>
  <si>
    <r>
      <rPr>
        <b/>
        <sz val="14"/>
        <rFont val="宋体"/>
        <family val="3"/>
        <charset val="134"/>
      </rPr>
      <t>使用权资产调整分录汇总表</t>
    </r>
    <phoneticPr fontId="11" type="noConversion"/>
  </si>
  <si>
    <r>
      <rPr>
        <b/>
        <sz val="14"/>
        <rFont val="宋体"/>
        <family val="3"/>
        <charset val="134"/>
      </rPr>
      <t>使用权资产、累计折旧及减值准备明细表</t>
    </r>
  </si>
  <si>
    <r>
      <rPr>
        <b/>
        <sz val="14"/>
        <rFont val="宋体"/>
        <family val="3"/>
        <charset val="134"/>
      </rPr>
      <t>附注披露信息（国有企业）</t>
    </r>
    <phoneticPr fontId="11" type="noConversion"/>
  </si>
  <si>
    <r>
      <rPr>
        <b/>
        <sz val="14"/>
        <color indexed="8"/>
        <rFont val="宋体"/>
        <family val="3"/>
        <charset val="134"/>
      </rPr>
      <t>附注披露表（上市公司）</t>
    </r>
    <phoneticPr fontId="11" type="noConversion"/>
  </si>
  <si>
    <r>
      <rPr>
        <b/>
        <sz val="14"/>
        <color indexed="8"/>
        <rFont val="宋体"/>
        <family val="3"/>
        <charset val="134"/>
      </rPr>
      <t>使用权资产、累计折旧及减值准备审定表</t>
    </r>
    <phoneticPr fontId="11" type="noConversion"/>
  </si>
  <si>
    <r>
      <t>1.</t>
    </r>
    <r>
      <rPr>
        <sz val="10"/>
        <color rgb="FF0000FF"/>
        <rFont val="宋体"/>
        <family val="3"/>
        <charset val="134"/>
      </rPr>
      <t>承租人会计处理不再区分经营租赁和融资租赁，而是采用单一的会计处理模型，也就是说，除采用简化处理的短期租赁和低价值资产租赁外，</t>
    </r>
    <phoneticPr fontId="11" type="noConversion"/>
  </si>
  <si>
    <r>
      <t>2.</t>
    </r>
    <r>
      <rPr>
        <sz val="10"/>
        <color rgb="FF0000FF"/>
        <rFont val="宋体"/>
        <family val="3"/>
        <charset val="134"/>
      </rPr>
      <t>对所有租赁均确认使用权资产和租赁负债，参照固定资产准则对使用权资产计提折旧，采用固定的周期性利率确认每期利息费用。</t>
    </r>
    <phoneticPr fontId="11" type="noConversion"/>
  </si>
  <si>
    <t>3.审计说明可以概述:(1)程序的测试情况、结果;(2)拟调整事项及其调整分录、未调整事项及其影响，审计范围受到限制情况及其影响。</t>
    <phoneticPr fontId="11" type="noConversion"/>
  </si>
  <si>
    <t>4.审计结论可参考：A、未见异常。 B、除上述重大不符事项应当作为调整事项予以调整外，其余未见异常。
C、由于存在以下重大未调整事项(或审计范围受到限制无法获取充分、适当证据)，不可确认。</t>
    <phoneticPr fontId="11" type="noConversion"/>
  </si>
  <si>
    <r>
      <t>1</t>
    </r>
    <r>
      <rPr>
        <sz val="10"/>
        <color rgb="FF0000FF"/>
        <rFont val="宋体"/>
        <family val="3"/>
        <charset val="134"/>
      </rPr>
      <t>、承租人能够合理确定租赁期届满时取得租赁资产所有权的，应当在租赁资产剩余使用寿命内计提折旧；</t>
    </r>
    <phoneticPr fontId="11" type="noConversion"/>
  </si>
  <si>
    <r>
      <t>3</t>
    </r>
    <r>
      <rPr>
        <sz val="10"/>
        <color rgb="FF0000FF"/>
        <rFont val="宋体"/>
        <family val="3"/>
        <charset val="134"/>
      </rPr>
      <t>、期初衔接请使用</t>
    </r>
    <r>
      <rPr>
        <sz val="10"/>
        <color rgb="FF0000FF"/>
        <rFont val="Arial Narrow"/>
        <family val="2"/>
      </rPr>
      <t>S3-8</t>
    </r>
    <r>
      <rPr>
        <sz val="10"/>
        <color rgb="FF0000FF"/>
        <rFont val="宋体"/>
        <family val="3"/>
        <charset val="134"/>
      </rPr>
      <t>、</t>
    </r>
    <r>
      <rPr>
        <sz val="10"/>
        <color rgb="FF0000FF"/>
        <rFont val="Arial Narrow"/>
        <family val="2"/>
      </rPr>
      <t>S3-9</t>
    </r>
    <r>
      <rPr>
        <sz val="10"/>
        <color rgb="FF0000FF"/>
        <rFont val="宋体"/>
        <family val="3"/>
        <charset val="134"/>
      </rPr>
      <t>或者</t>
    </r>
    <r>
      <rPr>
        <sz val="10"/>
        <color rgb="FF0000FF"/>
        <rFont val="Arial Narrow"/>
        <family val="2"/>
      </rPr>
      <t>S3-10</t>
    </r>
    <r>
      <rPr>
        <sz val="10"/>
        <color rgb="FF0000FF"/>
        <rFont val="宋体"/>
        <family val="3"/>
        <charset val="134"/>
      </rPr>
      <t>。</t>
    </r>
    <phoneticPr fontId="11" type="noConversion"/>
  </si>
  <si>
    <r>
      <t>2</t>
    </r>
    <r>
      <rPr>
        <sz val="10"/>
        <color rgb="FF0000FF"/>
        <rFont val="宋体"/>
        <family val="3"/>
        <charset val="134"/>
      </rPr>
      <t>、可选择使用本底稿或</t>
    </r>
    <r>
      <rPr>
        <sz val="10"/>
        <color rgb="FF0000FF"/>
        <rFont val="Arial Narrow"/>
        <family val="2"/>
      </rPr>
      <t>H8-9</t>
    </r>
    <r>
      <rPr>
        <sz val="10"/>
        <color rgb="FF0000FF"/>
        <rFont val="宋体"/>
        <family val="3"/>
        <charset val="134"/>
      </rPr>
      <t>及</t>
    </r>
    <r>
      <rPr>
        <sz val="10"/>
        <color rgb="FF0000FF"/>
        <rFont val="Arial Narrow"/>
        <family val="2"/>
      </rPr>
      <t>H8-10</t>
    </r>
    <r>
      <rPr>
        <sz val="10"/>
        <color rgb="FF0000FF"/>
        <rFont val="宋体"/>
        <family val="3"/>
        <charset val="134"/>
      </rPr>
      <t>；</t>
    </r>
    <phoneticPr fontId="11" type="noConversion"/>
  </si>
  <si>
    <r>
      <rPr>
        <sz val="10"/>
        <color rgb="FF0000FF"/>
        <rFont val="宋体"/>
        <family val="3"/>
        <charset val="134"/>
      </rPr>
      <t>租赁变更，是指原合同条款之外的租赁范围、租赁对价、租赁期限的变更，包括增加或终止一项或多项租赁资产的使用权，延长或缩短合同规定的租赁期等。</t>
    </r>
    <phoneticPr fontId="11" type="noConversion"/>
  </si>
  <si>
    <t>关联交易检查表（使用权资产、租赁负债）</t>
    <phoneticPr fontId="11" type="noConversion"/>
  </si>
  <si>
    <t>2.租赁负债</t>
    <phoneticPr fontId="11" type="noConversion"/>
  </si>
  <si>
    <t>1.使用权资产</t>
    <phoneticPr fontId="11" type="noConversion"/>
  </si>
  <si>
    <r>
      <rPr>
        <b/>
        <sz val="10"/>
        <rFont val="宋体"/>
        <family val="3"/>
        <charset val="134"/>
      </rPr>
      <t>序号</t>
    </r>
    <phoneticPr fontId="11" type="noConversion"/>
  </si>
  <si>
    <r>
      <rPr>
        <b/>
        <sz val="10"/>
        <rFont val="宋体"/>
        <family val="3"/>
        <charset val="134"/>
      </rPr>
      <t>索引号</t>
    </r>
    <phoneticPr fontId="11" type="noConversion"/>
  </si>
  <si>
    <t>索引号：</t>
    <phoneticPr fontId="11" type="noConversion"/>
  </si>
  <si>
    <t>页  次：</t>
    <phoneticPr fontId="11" type="noConversion"/>
  </si>
  <si>
    <t>H0</t>
    <phoneticPr fontId="11" type="noConversion"/>
  </si>
  <si>
    <r>
      <rPr>
        <sz val="10"/>
        <rFont val="宋体"/>
        <family val="3"/>
        <charset val="134"/>
      </rPr>
      <t>使用权资产的审计目标：</t>
    </r>
    <r>
      <rPr>
        <sz val="10"/>
        <rFont val="Arial Narrow"/>
        <family val="2"/>
      </rPr>
      <t>1.</t>
    </r>
    <r>
      <rPr>
        <sz val="10"/>
        <rFont val="宋体"/>
        <family val="3"/>
        <charset val="134"/>
      </rPr>
      <t>资产负债表中记录的使用权资产是存在的，且已记录于恰当的账户；</t>
    </r>
    <r>
      <rPr>
        <sz val="10"/>
        <rFont val="Arial Narrow"/>
        <family val="2"/>
      </rPr>
      <t>2.</t>
    </r>
    <r>
      <rPr>
        <sz val="10"/>
        <rFont val="宋体"/>
        <family val="3"/>
        <charset val="134"/>
      </rPr>
      <t>所有应记录的使用权资产均已记录，所有应当包括在财务报表中的相关披露均已包括；</t>
    </r>
    <r>
      <rPr>
        <sz val="10"/>
        <rFont val="Arial Narrow"/>
        <family val="2"/>
      </rPr>
      <t>3.</t>
    </r>
    <r>
      <rPr>
        <sz val="10"/>
        <rFont val="宋体"/>
        <family val="3"/>
        <charset val="134"/>
      </rPr>
      <t>记录的使用权资产由被审计单位拥有或控制。</t>
    </r>
    <r>
      <rPr>
        <sz val="10"/>
        <rFont val="Arial Narrow"/>
        <family val="2"/>
      </rPr>
      <t>4.</t>
    </r>
    <r>
      <rPr>
        <sz val="10"/>
        <rFont val="宋体"/>
        <family val="3"/>
        <charset val="134"/>
      </rPr>
      <t>使用权资产资产以恰当的金额包括在财务报表中，与之相关的计价或分摊调整已恰当记录，相关披露已得到恰当计量和描述；</t>
    </r>
    <r>
      <rPr>
        <sz val="10"/>
        <rFont val="Arial Narrow"/>
        <family val="2"/>
      </rPr>
      <t>5.</t>
    </r>
    <r>
      <rPr>
        <sz val="10"/>
        <rFont val="宋体"/>
        <family val="3"/>
        <charset val="134"/>
      </rPr>
      <t>使用权资产已被恰当地汇总或分解且表述清楚，相关披露在按照企业会计准则的编制基础下是相关的、可理解的。</t>
    </r>
    <phoneticPr fontId="11" type="noConversion"/>
  </si>
  <si>
    <t>租赁负债的审计目标：1.资产负债表中记录的租赁负债是存在的，且已记录于恰当的账户；2.所有应记录的租赁负债均已记录，所有应当包括在财务报表中的相关披露均已包括；3.记录的租赁负债由被审计单位拥有或控制。；4.租赁负债以恰当的金额包括在财务报表中，与之相关的计价或分摊调整已恰当记录，相关披露已得到恰当计量和描述；5.租赁负债已被恰当地汇总或分解且表述清楚，相关披露在按照企业会计准则的编制基础下是相关的、可理解的。</t>
    <phoneticPr fontId="11" type="noConversion"/>
  </si>
  <si>
    <t>1</t>
    <phoneticPr fontId="11" type="noConversion"/>
  </si>
  <si>
    <t>8</t>
  </si>
  <si>
    <t>9</t>
  </si>
  <si>
    <t>10</t>
  </si>
  <si>
    <t>11</t>
  </si>
  <si>
    <t>12</t>
  </si>
  <si>
    <t>13</t>
  </si>
  <si>
    <t>14</t>
  </si>
  <si>
    <t>15</t>
  </si>
  <si>
    <t>勾稽关系情况</t>
    <phoneticPr fontId="11" type="noConversion"/>
  </si>
  <si>
    <t>勾稽一致，详见xx-XX</t>
    <phoneticPr fontId="11" type="noConversion"/>
  </si>
  <si>
    <t>勾稽一致，详见xx-XX</t>
    <phoneticPr fontId="11"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</si>
  <si>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1" type="noConversion"/>
  </si>
  <si>
    <t>提示：本底稿适用于调整分录较多、较复杂的项目，且仅列示与本报表项目相关的审计调整。项目组可根据项目实际情况选择是否使用该底稿。</t>
    <phoneticPr fontId="11" type="noConversion"/>
  </si>
  <si>
    <t>提示：</t>
    <phoneticPr fontId="11" type="noConversion"/>
  </si>
  <si>
    <r>
      <rPr>
        <sz val="10"/>
        <color rgb="FF0000FF"/>
        <rFont val="宋体"/>
        <family val="3"/>
        <charset val="134"/>
      </rPr>
      <t>在合同开始日，企业应当评估合同是否为租赁或者包含租赁。</t>
    </r>
    <phoneticPr fontId="11" type="noConversion"/>
  </si>
  <si>
    <r>
      <rPr>
        <sz val="10"/>
        <color rgb="FF0000FF"/>
        <rFont val="宋体"/>
        <family val="3"/>
        <charset val="134"/>
      </rPr>
      <t>应基于租赁资产的全新状态下的价值进行评估，不应考虑资产已被使用的年限。
低价值资产租赁的标准应该是一个绝对金额，不受承租人规模、性质等影响、也不考虑该资产对于承租人或相关租赁交易的重要性。</t>
    </r>
  </si>
  <si>
    <r>
      <rPr>
        <sz val="10"/>
        <color rgb="FF0000FF"/>
        <rFont val="宋体"/>
        <family val="3"/>
        <charset val="134"/>
      </rPr>
      <t>如果承租人已经或者预期要把相关资产进行转租赁，则不能将原租赁按照低价值资产租赁进行简化会计处理。</t>
    </r>
  </si>
  <si>
    <r>
      <rPr>
        <sz val="10"/>
        <color rgb="FF0000FF"/>
        <rFont val="宋体"/>
        <family val="3"/>
        <charset val="134"/>
      </rPr>
      <t>通常由合同明确指定，也可以在资产可供客户使用时隐性指定</t>
    </r>
  </si>
  <si>
    <r>
      <rPr>
        <sz val="10"/>
        <color rgb="FF0000FF"/>
        <rFont val="宋体"/>
        <family val="3"/>
        <charset val="134"/>
      </rPr>
      <t>如果资产的部分产能在物理上可区分</t>
    </r>
    <r>
      <rPr>
        <sz val="10"/>
        <color rgb="FF0000FF"/>
        <rFont val="Arial Narrow"/>
        <family val="2"/>
      </rPr>
      <t>(</t>
    </r>
    <r>
      <rPr>
        <sz val="10"/>
        <color rgb="FF0000FF"/>
        <rFont val="宋体"/>
        <family val="3"/>
        <charset val="134"/>
      </rPr>
      <t>例如，建筑物的一层</t>
    </r>
    <r>
      <rPr>
        <sz val="10"/>
        <color rgb="FF0000FF"/>
        <rFont val="Arial Narrow"/>
        <family val="2"/>
      </rPr>
      <t>)</t>
    </r>
    <r>
      <rPr>
        <sz val="10"/>
        <color rgb="FF0000FF"/>
        <rFont val="宋体"/>
        <family val="3"/>
        <charset val="134"/>
      </rPr>
      <t>，则该部分产能属于已识别资产</t>
    </r>
  </si>
  <si>
    <r>
      <rPr>
        <sz val="10"/>
        <color rgb="FF0000FF"/>
        <rFont val="宋体"/>
        <family val="3"/>
        <charset val="134"/>
      </rPr>
      <t>例如，通过设计资产或在合同中对资产的使用做出限制来预先确定相关决策</t>
    </r>
    <phoneticPr fontId="11" type="noConversion"/>
  </si>
  <si>
    <r>
      <rPr>
        <sz val="10"/>
        <color rgb="FF0000FF"/>
        <rFont val="宋体"/>
        <family val="3"/>
        <charset val="134"/>
      </rPr>
      <t>租赁期是指承租人有权使用租赁资产且不可撤销的期间。</t>
    </r>
    <phoneticPr fontId="11" type="noConversion"/>
  </si>
  <si>
    <r>
      <rPr>
        <sz val="10"/>
        <color rgb="FF0000FF"/>
        <rFont val="宋体"/>
        <family val="3"/>
        <charset val="134"/>
      </rPr>
      <t>租赁期自租赁期开始日起计算。</t>
    </r>
    <phoneticPr fontId="11" type="noConversion"/>
  </si>
  <si>
    <t>提示：</t>
    <phoneticPr fontId="11" type="noConversion"/>
  </si>
  <si>
    <r>
      <t>1.</t>
    </r>
    <r>
      <rPr>
        <sz val="10"/>
        <color rgb="FF0000FF"/>
        <rFont val="宋体"/>
        <family val="3"/>
        <charset val="134"/>
      </rPr>
      <t>租赁的条件是否满足</t>
    </r>
    <phoneticPr fontId="11" type="noConversion"/>
  </si>
  <si>
    <r>
      <t>1.</t>
    </r>
    <r>
      <rPr>
        <sz val="10"/>
        <color rgb="FF0000FF"/>
        <rFont val="宋体"/>
        <family val="3"/>
        <charset val="134"/>
      </rPr>
      <t>所采用的折现率是否正确</t>
    </r>
    <phoneticPr fontId="11" type="noConversion"/>
  </si>
  <si>
    <r>
      <t>3.</t>
    </r>
    <r>
      <rPr>
        <sz val="10"/>
        <color rgb="FF0000FF"/>
        <rFont val="宋体"/>
        <family val="3"/>
        <charset val="134"/>
      </rPr>
      <t>使用权资产的入账价值是否正确</t>
    </r>
    <phoneticPr fontId="11" type="noConversion"/>
  </si>
  <si>
    <t>提示：</t>
    <phoneticPr fontId="11" type="noConversion"/>
  </si>
  <si>
    <t>提示：</t>
    <phoneticPr fontId="11" type="noConversion"/>
  </si>
  <si>
    <r>
      <rPr>
        <sz val="10"/>
        <color theme="1"/>
        <rFont val="宋体"/>
        <family val="3"/>
        <charset val="134"/>
      </rPr>
      <t>√</t>
    </r>
    <phoneticPr fontId="11" type="noConversion"/>
  </si>
  <si>
    <r>
      <rPr>
        <b/>
        <sz val="10"/>
        <color theme="1"/>
        <rFont val="宋体"/>
        <family val="3"/>
        <charset val="134"/>
      </rPr>
      <t>√</t>
    </r>
    <phoneticPr fontId="11" type="noConversion"/>
  </si>
  <si>
    <r>
      <rPr>
        <sz val="10"/>
        <rFont val="宋体"/>
        <family val="3"/>
        <charset val="134"/>
      </rPr>
      <t>√</t>
    </r>
    <phoneticPr fontId="11"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</si>
  <si>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11" type="noConversion"/>
  </si>
  <si>
    <r>
      <rPr>
        <sz val="10"/>
        <rFont val="宋体"/>
        <family val="3"/>
        <charset val="134"/>
      </rPr>
      <t>对期初余额的审计，取得上期使用权资产明细表复核加计是否正确，与总账、明细账合计数是否相符；</t>
    </r>
    <r>
      <rPr>
        <sz val="10"/>
        <rFont val="Arial Narrow"/>
        <family val="2"/>
      </rPr>
      <t xml:space="preserve"> </t>
    </r>
    <r>
      <rPr>
        <sz val="10"/>
        <rFont val="宋体"/>
        <family val="3"/>
        <charset val="134"/>
      </rPr>
      <t>重新测算期初累计折旧余额准确性；对单项金额重大资产，进行实地查看资产或检查支持性文件，其他必要追加的审计程序。</t>
    </r>
    <r>
      <rPr>
        <sz val="10"/>
        <color rgb="FFFF0000"/>
        <rFont val="宋体"/>
        <family val="3"/>
        <charset val="134"/>
      </rPr>
      <t>（适用于首次承接）</t>
    </r>
    <phoneticPr fontId="11" type="noConversion"/>
  </si>
  <si>
    <r>
      <rPr>
        <sz val="10"/>
        <color theme="1"/>
        <rFont val="宋体"/>
        <family val="3"/>
        <charset val="134"/>
      </rPr>
      <t>备选</t>
    </r>
    <phoneticPr fontId="11" type="noConversion"/>
  </si>
  <si>
    <r>
      <rPr>
        <b/>
        <sz val="10"/>
        <rFont val="宋体"/>
        <family val="3"/>
        <charset val="134"/>
      </rPr>
      <t>√</t>
    </r>
    <phoneticPr fontId="11" type="noConversion"/>
  </si>
  <si>
    <r>
      <rPr>
        <sz val="10"/>
        <rFont val="宋体"/>
        <family val="3"/>
        <charset val="134"/>
      </rPr>
      <t>√</t>
    </r>
    <phoneticPr fontId="11" type="noConversion"/>
  </si>
  <si>
    <r>
      <rPr>
        <b/>
        <sz val="10"/>
        <rFont val="宋体"/>
        <family val="3"/>
        <charset val="134"/>
      </rPr>
      <t>√</t>
    </r>
    <phoneticPr fontId="11" type="noConversion"/>
  </si>
  <si>
    <t>检查本期使用权资产的减少：
（1）对于因不再使用租赁资产导致的减少，检查使用权资产减少是否与租赁合同/协议约定的租赁结束日一致，租赁资产移交手续是否齐全，会计处理是否正确；
（2）对于因转租使用权资产形成融资租赁导致的减少，获取转租合同，检查转租手续是否齐全，判断其会计处理是否正确。</t>
    <phoneticPr fontId="11" type="noConversion"/>
  </si>
  <si>
    <r>
      <rPr>
        <sz val="10"/>
        <color theme="1"/>
        <rFont val="宋体"/>
        <family val="3"/>
        <charset val="134"/>
      </rPr>
      <t>常规★</t>
    </r>
  </si>
  <si>
    <r>
      <rPr>
        <sz val="10"/>
        <color theme="1"/>
        <rFont val="宋体"/>
        <family val="3"/>
        <charset val="134"/>
      </rPr>
      <t>监盘使用权资产：
（</t>
    </r>
    <r>
      <rPr>
        <sz val="10"/>
        <color theme="1"/>
        <rFont val="Arial Narrow"/>
        <family val="2"/>
      </rPr>
      <t>1</t>
    </r>
    <r>
      <rPr>
        <sz val="10"/>
        <color theme="1"/>
        <rFont val="宋体"/>
        <family val="3"/>
        <charset val="134"/>
      </rPr>
      <t>）取得使用权资产存放地点清单等，初步确定监盘方式、时间、监盘计划；
（</t>
    </r>
    <r>
      <rPr>
        <sz val="10"/>
        <color theme="1"/>
        <rFont val="Arial Narrow"/>
        <family val="2"/>
      </rPr>
      <t>2</t>
    </r>
    <r>
      <rPr>
        <sz val="10"/>
        <color theme="1"/>
        <rFont val="宋体"/>
        <family val="3"/>
        <charset val="134"/>
      </rPr>
      <t>）获取被审计单位对于使用权资产的盘点计划，制定和实施监盘计划（如有）；
（</t>
    </r>
    <r>
      <rPr>
        <sz val="10"/>
        <color theme="1"/>
        <rFont val="Arial Narrow"/>
        <family val="2"/>
      </rPr>
      <t>3</t>
    </r>
    <r>
      <rPr>
        <sz val="10"/>
        <color theme="1"/>
        <rFont val="宋体"/>
        <family val="3"/>
        <charset val="134"/>
      </rPr>
      <t>）取得使用权资产地点清单，初步确定监盘方式、时间、监盘计划；
（</t>
    </r>
    <r>
      <rPr>
        <sz val="10"/>
        <color theme="1"/>
        <rFont val="Arial Narrow"/>
        <family val="2"/>
      </rPr>
      <t>4</t>
    </r>
    <r>
      <rPr>
        <sz val="10"/>
        <color theme="1"/>
        <rFont val="宋体"/>
        <family val="3"/>
        <charset val="134"/>
      </rPr>
      <t>）观察被审计单位制定的盘点程序的执行情况
（</t>
    </r>
    <r>
      <rPr>
        <sz val="10"/>
        <color theme="1"/>
        <rFont val="Arial Narrow"/>
        <family val="2"/>
      </rPr>
      <t>5</t>
    </r>
    <r>
      <rPr>
        <sz val="10"/>
        <color theme="1"/>
        <rFont val="宋体"/>
        <family val="3"/>
        <charset val="134"/>
      </rPr>
      <t>）抽取使用权资产盘点，并检查使用权资产的状态（正常、空置、出租等）；
（</t>
    </r>
    <r>
      <rPr>
        <sz val="10"/>
        <color theme="1"/>
        <rFont val="Arial Narrow"/>
        <family val="2"/>
      </rPr>
      <t>6</t>
    </r>
    <r>
      <rPr>
        <sz val="10"/>
        <color theme="1"/>
        <rFont val="宋体"/>
        <family val="3"/>
        <charset val="134"/>
      </rPr>
      <t>）评价使用权资产盘点结果，完成监盘小结。</t>
    </r>
    <phoneticPr fontId="11" type="noConversion"/>
  </si>
  <si>
    <r>
      <rPr>
        <sz val="10"/>
        <rFont val="宋体"/>
        <family val="3"/>
        <charset val="134"/>
      </rPr>
      <t>√</t>
    </r>
    <phoneticPr fontId="11" type="noConversion"/>
  </si>
  <si>
    <r>
      <rPr>
        <sz val="10"/>
        <rFont val="宋体"/>
        <family val="3"/>
        <charset val="134"/>
      </rPr>
      <t>检查累计折旧，考虑执行以下程序：
（</t>
    </r>
    <r>
      <rPr>
        <sz val="10"/>
        <rFont val="Arial Narrow"/>
        <family val="2"/>
      </rPr>
      <t>1</t>
    </r>
    <r>
      <rPr>
        <sz val="10"/>
        <rFont val="宋体"/>
        <family val="3"/>
        <charset val="134"/>
      </rPr>
      <t>）获取或编制使用权资产累计折旧明细表，复核加计是否正确，并与总账数和明细账合计数核对是否相符
（</t>
    </r>
    <r>
      <rPr>
        <sz val="10"/>
        <rFont val="Arial Narrow"/>
        <family val="2"/>
      </rPr>
      <t>2</t>
    </r>
    <r>
      <rPr>
        <sz val="10"/>
        <rFont val="宋体"/>
        <family val="3"/>
        <charset val="134"/>
      </rPr>
      <t>）检查折旧年限的确定是否恰当；续租选择权、购买选择权和终止租赁选择权对租赁期的影响是否已充分考虑，是否根据租赁的具体情况，已合理选择租赁期或者租赁资产预计剩余使用寿命作为折旧年限
（</t>
    </r>
    <r>
      <rPr>
        <sz val="10"/>
        <rFont val="Arial Narrow"/>
        <family val="2"/>
      </rPr>
      <t>3</t>
    </r>
    <r>
      <rPr>
        <sz val="10"/>
        <rFont val="宋体"/>
        <family val="3"/>
        <charset val="134"/>
      </rPr>
      <t>）重新计算本期折旧金额是否正确，与相关科目核对是否相符。当存在减值时，是否按照扣除减值损失之后的使用权资产账面价值进行后续折旧</t>
    </r>
    <r>
      <rPr>
        <sz val="10"/>
        <rFont val="Arial Narrow"/>
        <family val="2"/>
      </rPr>
      <t xml:space="preserve">
</t>
    </r>
    <r>
      <rPr>
        <sz val="10"/>
        <rFont val="宋体"/>
        <family val="3"/>
        <charset val="134"/>
      </rPr>
      <t>（</t>
    </r>
    <r>
      <rPr>
        <sz val="10"/>
        <rFont val="Arial Narrow"/>
        <family val="2"/>
      </rPr>
      <t>4</t>
    </r>
    <r>
      <rPr>
        <sz val="10"/>
        <rFont val="宋体"/>
        <family val="3"/>
        <charset val="134"/>
      </rPr>
      <t>）检查折旧分配到成本、费用的情况，关注分配是否合理，与上期分配方法是否一致。</t>
    </r>
    <phoneticPr fontId="11" type="noConversion"/>
  </si>
  <si>
    <t>结合使用权资产清单及资产的实际使用情况，了解使用权资产的状态。针对存在减值迹象的使用权资产，考虑执行下列程序：
获取被审计单位在资产负债表日就使用权资产是否可能发生减值迹象的判断的说明，判断其合理性。对于已计提减值准备的使用权资产，检查减值测试相关参数是否合理，减值准备计提是否正确。如存在管理层聘请评估专家出具的评估报告，复核评估报告。</t>
    <phoneticPr fontId="11" type="noConversion"/>
  </si>
  <si>
    <r>
      <rPr>
        <b/>
        <sz val="10"/>
        <rFont val="宋体"/>
        <family val="3"/>
        <charset val="134"/>
      </rPr>
      <t>√</t>
    </r>
  </si>
  <si>
    <t>检查相关合同的主要条款，询问被审计单位将该合同识别为租赁或者包含租赁的理由，检查租赁的识别和租赁期的确定是否符合企业会计准则的规定</t>
    <phoneticPr fontId="11" type="noConversion"/>
  </si>
  <si>
    <t>当存在将短期租赁和低价值资产租赁进行简化处理情形时，对本期直接计入当期损益的短期租赁费用和低价值资产租赁费用进行复核；</t>
    <phoneticPr fontId="11" type="noConversion"/>
  </si>
  <si>
    <t>试算平衡表数</t>
  </si>
  <si>
    <t>差异</t>
  </si>
  <si>
    <t>月份</t>
    <phoneticPr fontId="6" type="noConversion"/>
  </si>
  <si>
    <t>复原成本、终止租赁罚金等</t>
    <phoneticPr fontId="6" type="noConversion"/>
  </si>
  <si>
    <t>利息费用</t>
  </si>
  <si>
    <t>合同租金
（不含税）</t>
    <phoneticPr fontId="6" type="noConversion"/>
  </si>
  <si>
    <t>使用权资产累计折旧</t>
    <phoneticPr fontId="11" type="noConversion"/>
  </si>
  <si>
    <t>期数</t>
    <phoneticPr fontId="6" type="noConversion"/>
  </si>
  <si>
    <t>租赁付款额现值余额</t>
    <phoneticPr fontId="11" type="noConversion"/>
  </si>
  <si>
    <t>对应递延所得税资产</t>
    <phoneticPr fontId="6" type="noConversion"/>
  </si>
  <si>
    <t>租赁付款额现值(折现到租赁期开始日)</t>
    <phoneticPr fontId="6" type="noConversion"/>
  </si>
  <si>
    <t>使用权资产调整
（租赁期开始日前支付的租金、复原成本等）</t>
    <phoneticPr fontId="6" type="noConversion"/>
  </si>
  <si>
    <t>使用权资产余值</t>
    <phoneticPr fontId="6" type="noConversion"/>
  </si>
  <si>
    <t>对应递延所得税负债</t>
    <phoneticPr fontId="6" type="noConversion"/>
  </si>
  <si>
    <t>月折旧额（次月起计提）</t>
    <phoneticPr fontId="6" type="noConversion"/>
  </si>
  <si>
    <t>使用权资产</t>
  </si>
  <si>
    <t>预付租金</t>
    <phoneticPr fontId="6" type="noConversion"/>
  </si>
  <si>
    <t>递延所得税资产</t>
    <phoneticPr fontId="11" type="noConversion"/>
  </si>
  <si>
    <t>递延所得税负债</t>
    <phoneticPr fontId="11" type="noConversion"/>
  </si>
  <si>
    <t>借</t>
    <phoneticPr fontId="6" type="noConversion"/>
  </si>
  <si>
    <t>摊销期限</t>
    <phoneticPr fontId="45" type="noConversion"/>
  </si>
  <si>
    <t>所得税费用</t>
    <phoneticPr fontId="11" type="noConversion"/>
  </si>
  <si>
    <t>使用权资产名称</t>
    <phoneticPr fontId="45" type="noConversion"/>
  </si>
  <si>
    <t>租赁期开始日</t>
    <phoneticPr fontId="45" type="noConversion"/>
  </si>
  <si>
    <t>贷</t>
    <phoneticPr fontId="11" type="noConversion"/>
  </si>
  <si>
    <r>
      <t>约满日期</t>
    </r>
    <r>
      <rPr>
        <b/>
        <sz val="10"/>
        <color rgb="FFFF0000"/>
        <rFont val="宋体"/>
        <family val="3"/>
        <charset val="134"/>
      </rPr>
      <t>(考虑续租可能后）</t>
    </r>
    <phoneticPr fontId="45" type="noConversion"/>
  </si>
  <si>
    <r>
      <t>本合同折现率</t>
    </r>
    <r>
      <rPr>
        <b/>
        <sz val="10"/>
        <color rgb="FFFF0000"/>
        <rFont val="宋体"/>
        <family val="3"/>
        <charset val="134"/>
      </rPr>
      <t>（例）</t>
    </r>
    <phoneticPr fontId="45" type="noConversion"/>
  </si>
  <si>
    <t>使用权资产类别</t>
    <phoneticPr fontId="11" type="noConversion"/>
  </si>
  <si>
    <t>原值</t>
  </si>
  <si>
    <t>累计折旧</t>
  </si>
  <si>
    <t>使用年限</t>
  </si>
  <si>
    <t>残值率</t>
    <phoneticPr fontId="11" type="noConversion"/>
  </si>
  <si>
    <t>已提折旧月份</t>
  </si>
  <si>
    <t>当期折旧费用</t>
    <phoneticPr fontId="11" type="noConversion"/>
  </si>
  <si>
    <t>使用月限</t>
    <phoneticPr fontId="11" type="noConversion"/>
  </si>
  <si>
    <t>累计折旧费用</t>
    <phoneticPr fontId="11" type="noConversion"/>
  </si>
  <si>
    <t>开始使用日期</t>
    <phoneticPr fontId="6" type="noConversion"/>
  </si>
  <si>
    <t>月折旧额差异</t>
    <phoneticPr fontId="11" type="noConversion"/>
  </si>
  <si>
    <t>累计折旧额差异</t>
    <phoneticPr fontId="11" type="noConversion"/>
  </si>
  <si>
    <t>残值率</t>
    <phoneticPr fontId="11" type="noConversion"/>
  </si>
  <si>
    <t>账面月折旧额</t>
    <phoneticPr fontId="11" type="noConversion"/>
  </si>
  <si>
    <t>本期折旧月份</t>
    <phoneticPr fontId="11" type="noConversion"/>
  </si>
  <si>
    <t>使用权资产名称</t>
    <phoneticPr fontId="11" type="noConversion"/>
  </si>
  <si>
    <t>测算到期日</t>
    <phoneticPr fontId="11" type="noConversion"/>
  </si>
  <si>
    <t>测算月折旧</t>
    <phoneticPr fontId="11" type="noConversion"/>
  </si>
  <si>
    <t>使用权资产类别</t>
    <phoneticPr fontId="11" type="noConversion"/>
  </si>
  <si>
    <t>使用权资产名称</t>
    <phoneticPr fontId="11" type="noConversion"/>
  </si>
  <si>
    <t>开始使用日期</t>
  </si>
  <si>
    <t>使用月限</t>
    <phoneticPr fontId="11" type="noConversion"/>
  </si>
  <si>
    <t>本期折旧月份（减值前）</t>
    <phoneticPr fontId="11" type="noConversion"/>
  </si>
  <si>
    <t>减值准备</t>
    <phoneticPr fontId="11" type="noConversion"/>
  </si>
  <si>
    <t>月折旧额差异</t>
    <phoneticPr fontId="11" type="noConversion"/>
  </si>
  <si>
    <t>累计折旧额差异</t>
    <phoneticPr fontId="11" type="noConversion"/>
  </si>
  <si>
    <t>账面月折旧额</t>
    <phoneticPr fontId="11" type="noConversion"/>
  </si>
  <si>
    <t>测算到期日</t>
    <phoneticPr fontId="11" type="noConversion"/>
  </si>
  <si>
    <t>截止计提减值准备日计提月份</t>
    <phoneticPr fontId="11" type="noConversion"/>
  </si>
  <si>
    <t>本期折旧月份</t>
    <phoneticPr fontId="11" type="noConversion"/>
  </si>
  <si>
    <t>本期折旧月份（减值后）</t>
    <phoneticPr fontId="11" type="noConversion"/>
  </si>
  <si>
    <t>计提减值准备前月折旧</t>
    <phoneticPr fontId="11" type="noConversion"/>
  </si>
  <si>
    <t>计提减值准备前累计折旧</t>
    <phoneticPr fontId="11" type="noConversion"/>
  </si>
  <si>
    <t>计提减值准备后月折旧</t>
    <phoneticPr fontId="11" type="noConversion"/>
  </si>
  <si>
    <t>当期折旧费用</t>
    <phoneticPr fontId="11" type="noConversion"/>
  </si>
  <si>
    <t>累计折旧费用</t>
    <phoneticPr fontId="11" type="noConversion"/>
  </si>
  <si>
    <r>
      <rPr>
        <sz val="10"/>
        <color rgb="FF0000FF"/>
        <rFont val="宋体"/>
        <family val="3"/>
        <charset val="134"/>
      </rPr>
      <t>如使用权资产</t>
    </r>
    <r>
      <rPr>
        <sz val="10"/>
        <color rgb="FF0000FF"/>
        <rFont val="宋体"/>
        <family val="3"/>
        <charset val="134"/>
      </rPr>
      <t>贷方发生额所有凭证共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phoneticPr fontId="11" type="noConversion"/>
  </si>
  <si>
    <t>支持性文件</t>
    <phoneticPr fontId="11" type="noConversion"/>
  </si>
  <si>
    <r>
      <rPr>
        <b/>
        <sz val="10"/>
        <rFont val="宋体"/>
        <family val="3"/>
        <charset val="134"/>
      </rPr>
      <t>核对内容</t>
    </r>
  </si>
  <si>
    <t>索引号</t>
  </si>
  <si>
    <t>是否异常</t>
    <phoneticPr fontId="11" type="noConversion"/>
  </si>
  <si>
    <t>备注说明</t>
    <phoneticPr fontId="11" type="noConversion"/>
  </si>
  <si>
    <t>具体盘点底稿参考固定资产</t>
    <phoneticPr fontId="11" type="noConversion"/>
  </si>
  <si>
    <r>
      <rPr>
        <sz val="10"/>
        <rFont val="宋体"/>
        <family val="3"/>
        <charset val="134"/>
      </rPr>
      <t>准确性、计价和分摊</t>
    </r>
    <phoneticPr fontId="11" type="noConversion"/>
  </si>
  <si>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phoneticPr fontId="6" type="noConversion"/>
  </si>
  <si>
    <t>H8-1
/H8-2</t>
    <phoneticPr fontId="11" type="noConversion"/>
  </si>
  <si>
    <t>T1
/</t>
    <phoneticPr fontId="11" type="noConversion"/>
  </si>
  <si>
    <t>关注会计政策、会计估计合理性、一贯性，关注其是否利用会计政策和会计估计及其变更操纵利润。</t>
    <phoneticPr fontId="11" type="noConversion"/>
  </si>
  <si>
    <t>H8-8
/H8-9</t>
    <phoneticPr fontId="11" type="noConversion"/>
  </si>
  <si>
    <t>H8-10
/H8-11</t>
    <phoneticPr fontId="11" type="noConversion"/>
  </si>
  <si>
    <t>H8-12</t>
    <phoneticPr fontId="11" type="noConversion"/>
  </si>
  <si>
    <t>H8-13</t>
    <phoneticPr fontId="11" type="noConversion"/>
  </si>
  <si>
    <t>IPO/上市/新三板/重组/舞弊应对</t>
    <phoneticPr fontId="6" type="noConversion"/>
  </si>
  <si>
    <t>可收回金额测试表</t>
    <phoneticPr fontId="11" type="noConversion"/>
  </si>
  <si>
    <t>减少检查表</t>
    <phoneticPr fontId="11" type="noConversion"/>
  </si>
  <si>
    <t>简化处理的租赁检查表</t>
    <phoneticPr fontId="11" type="noConversion"/>
  </si>
  <si>
    <r>
      <rPr>
        <sz val="10"/>
        <rFont val="宋体"/>
        <family val="3"/>
        <charset val="134"/>
      </rPr>
      <t>获取或编制使用权资产的明细表，完成以下工作，并编制审定表
（</t>
    </r>
    <r>
      <rPr>
        <sz val="10"/>
        <rFont val="Arial Narrow"/>
        <family val="2"/>
      </rPr>
      <t>1</t>
    </r>
    <r>
      <rPr>
        <sz val="10"/>
        <rFont val="宋体"/>
        <family val="3"/>
        <charset val="134"/>
      </rPr>
      <t>）复核加计是否正确，并与总账数和明细账合计数核对是否相符，期初余额与上期审定期末余额是否相符；
（</t>
    </r>
    <r>
      <rPr>
        <sz val="10"/>
        <rFont val="Arial Narrow"/>
        <family val="2"/>
      </rPr>
      <t>2</t>
    </r>
    <r>
      <rPr>
        <sz val="10"/>
        <rFont val="宋体"/>
        <family val="3"/>
        <charset val="134"/>
      </rPr>
      <t>）分析使用权资产与上期变动情况；
（</t>
    </r>
    <r>
      <rPr>
        <sz val="10"/>
        <rFont val="Arial Narrow"/>
        <family val="2"/>
      </rPr>
      <t>3</t>
    </r>
    <r>
      <rPr>
        <sz val="10"/>
        <rFont val="宋体"/>
        <family val="3"/>
        <charset val="134"/>
      </rPr>
      <t>）询问闲置资产或未入账资产处置情况（如有）。</t>
    </r>
    <r>
      <rPr>
        <sz val="10"/>
        <rFont val="Arial Narrow"/>
        <family val="2"/>
      </rPr>
      <t xml:space="preserve"> </t>
    </r>
    <phoneticPr fontId="11" type="noConversion"/>
  </si>
  <si>
    <r>
      <rPr>
        <sz val="10"/>
        <rFont val="宋体"/>
        <family val="3"/>
        <charset val="134"/>
      </rPr>
      <t>检查使用权资产、租赁负债的初始计量和后续计量：
（</t>
    </r>
    <r>
      <rPr>
        <sz val="10"/>
        <rFont val="Arial Narrow"/>
        <family val="2"/>
      </rPr>
      <t>1</t>
    </r>
    <r>
      <rPr>
        <sz val="10"/>
        <rFont val="宋体"/>
        <family val="3"/>
        <charset val="134"/>
      </rPr>
      <t>）获取相关租赁合同</t>
    </r>
    <r>
      <rPr>
        <sz val="10"/>
        <rFont val="Arial Narrow"/>
        <family val="2"/>
      </rPr>
      <t>/</t>
    </r>
    <r>
      <rPr>
        <sz val="10"/>
        <rFont val="宋体"/>
        <family val="3"/>
        <charset val="134"/>
      </rPr>
      <t>协议，检查初始直接费用、或有租金确认、折现率是否合理，使用权资产和租赁负债的入账价值是否正确和会计处理是否正确。
（</t>
    </r>
    <r>
      <rPr>
        <sz val="10"/>
        <rFont val="Arial Narrow"/>
        <family val="2"/>
      </rPr>
      <t>2</t>
    </r>
    <r>
      <rPr>
        <sz val="10"/>
        <rFont val="宋体"/>
        <family val="3"/>
        <charset val="134"/>
      </rPr>
      <t>）当存在续租选择权、购买选择权和终止租赁选择权时，了解被审计单位对是否行使相关权利做出的判断，检查其判断依据是否充分，并评估对使用权资产、租赁负债入账价值的影响；
（</t>
    </r>
    <r>
      <rPr>
        <sz val="10"/>
        <rFont val="Arial Narrow"/>
        <family val="2"/>
      </rPr>
      <t>3</t>
    </r>
    <r>
      <rPr>
        <sz val="10"/>
        <rFont val="宋体"/>
        <family val="3"/>
        <charset val="134"/>
      </rPr>
      <t>）按实际利率法重新计算未确认融资费用摊销、租赁负债余额，计算使用权资产余额，与被审计单位账面记录核对是否一致；
（</t>
    </r>
    <r>
      <rPr>
        <sz val="10"/>
        <rFont val="Arial Narrow"/>
        <family val="2"/>
      </rPr>
      <t>4</t>
    </r>
    <r>
      <rPr>
        <sz val="10"/>
        <rFont val="宋体"/>
        <family val="3"/>
        <charset val="134"/>
      </rPr>
      <t>）重估或租赁变更等原因导致租赁付款额发生变动时，重新计量租赁负债账面价值会计处理是否正确；</t>
    </r>
    <phoneticPr fontId="11" type="noConversion"/>
  </si>
  <si>
    <t>检查使用权资产是否已按企业会计准则或其他适用的规定在财务报表中做出恰当列报和披露</t>
    <phoneticPr fontId="6" type="noConversion"/>
  </si>
  <si>
    <t>H8-6
/H8-7</t>
    <phoneticPr fontId="11" type="noConversion"/>
  </si>
  <si>
    <t>H8-4
/H8-5</t>
    <phoneticPr fontId="11" type="noConversion"/>
  </si>
  <si>
    <t xml:space="preserve">必要时函证租赁资产、租赁期、应付和已付租金、租赁条款等信息。 </t>
    <phoneticPr fontId="11" type="noConversion"/>
  </si>
  <si>
    <t>二、审计目标与认定的对应关系</t>
    <phoneticPr fontId="11" type="noConversion"/>
  </si>
  <si>
    <t>三、计划实施的实质性程序</t>
    <phoneticPr fontId="11" type="noConversion"/>
  </si>
  <si>
    <t>使用权资产 租赁负责初始及后续计量（按月）</t>
    <phoneticPr fontId="11" type="noConversion"/>
  </si>
  <si>
    <t>使用权资产 租赁负责初始及后续计量（按年）</t>
    <phoneticPr fontId="11" type="noConversion"/>
  </si>
  <si>
    <t>使用权资产 租赁负责初始及后续计量（按年）</t>
    <phoneticPr fontId="11" type="noConversion"/>
  </si>
  <si>
    <t>使用权资产 租赁负责初始及后续计量（按月）</t>
    <phoneticPr fontId="11" type="noConversion"/>
  </si>
  <si>
    <r>
      <rPr>
        <sz val="10"/>
        <color rgb="FF0000FF"/>
        <rFont val="宋体"/>
        <family val="3"/>
        <charset val="134"/>
      </rPr>
      <t>如果合同仅赋予资产供应方在特定日期或者特定事件发生日或之后拥有替换资产的权利或义务，考虑到资产供应方没有在整个使用期间替换资产的实际能力，资产供应方的替换权不具有实质性。
与资产位于资产供应方所在地相比，</t>
    </r>
    <r>
      <rPr>
        <sz val="10"/>
        <color rgb="FF0000FF"/>
        <rFont val="Arial Narrow"/>
        <family val="2"/>
      </rPr>
      <t xml:space="preserve"> </t>
    </r>
    <r>
      <rPr>
        <sz val="10"/>
        <color rgb="FF0000FF"/>
        <rFont val="宋体"/>
        <family val="3"/>
        <charset val="134"/>
      </rPr>
      <t>如果资产位于客户所在地或其他位置，替换资产所需要的成本更有可能超过其所能获取的利益。资产供应方在资产运行结果不佳或者进行技术升级的情况下，因修理和维护而替换资产的权利或义务不属于实质性替换权。</t>
    </r>
    <phoneticPr fontId="11" type="noConversion"/>
  </si>
  <si>
    <r>
      <rPr>
        <sz val="10"/>
        <color rgb="FF0000FF"/>
        <rFont val="宋体"/>
        <family val="3"/>
        <charset val="134"/>
      </rPr>
      <t>在合同中，</t>
    </r>
    <r>
      <rPr>
        <sz val="10"/>
        <color rgb="FF0000FF"/>
        <rFont val="Arial Narrow"/>
        <family val="2"/>
      </rPr>
      <t>"</t>
    </r>
    <r>
      <rPr>
        <sz val="10"/>
        <color rgb="FF0000FF"/>
        <rFont val="宋体"/>
        <family val="3"/>
        <charset val="134"/>
      </rPr>
      <t>一定期间</t>
    </r>
    <r>
      <rPr>
        <sz val="10"/>
        <color rgb="FF0000FF"/>
        <rFont val="Arial Narrow"/>
        <family val="2"/>
      </rPr>
      <t xml:space="preserve">" </t>
    </r>
    <r>
      <rPr>
        <sz val="10"/>
        <color rgb="FF0000FF"/>
        <rFont val="宋体"/>
        <family val="3"/>
        <charset val="134"/>
      </rPr>
      <t>也可以表述为已识别资产的使用量，例如，某项设备的产出量。如果客户有权在部分合同期内控制已识别资产的使用，则合同包含一项在该部分合同期间的租赁。</t>
    </r>
    <phoneticPr fontId="11" type="noConversion"/>
  </si>
  <si>
    <r>
      <rPr>
        <sz val="10"/>
        <color rgb="FF0000FF"/>
        <rFont val="宋体"/>
        <family val="3"/>
        <charset val="134"/>
      </rPr>
      <t>在判断客户是否有权在整个使用期间主导，已识别资产的使用目的和使用方式时，企业应当考虑在该使用期间与改变资产的使用目的和使用方式最为相关的决策权。相关决策权是指对使用资产所产生的经济利益产生影响的决策权。</t>
    </r>
    <phoneticPr fontId="11" type="noConversion"/>
  </si>
  <si>
    <r>
      <rPr>
        <sz val="10"/>
        <color rgb="FF0000FF"/>
        <rFont val="宋体"/>
        <family val="3"/>
        <charset val="134"/>
      </rPr>
      <t>如果客户仅能在使用期间之前指定资产的产出而没有与资产使用相关的任何其他决策权，则该客户享有的权利与任何购买该项商品或服务的其他客户享有的权利并无不同。</t>
    </r>
    <phoneticPr fontId="11" type="noConversion"/>
  </si>
  <si>
    <r>
      <rPr>
        <sz val="10"/>
        <color rgb="FF0000FF"/>
        <rFont val="宋体"/>
        <family val="3"/>
        <charset val="134"/>
      </rPr>
      <t>使用资产所产生的经济利益包括资产的主要产出和副产品</t>
    </r>
    <r>
      <rPr>
        <sz val="10"/>
        <color rgb="FF0000FF"/>
        <rFont val="Arial Narrow"/>
        <family val="2"/>
      </rPr>
      <t>(</t>
    </r>
    <r>
      <rPr>
        <sz val="10"/>
        <color rgb="FF0000FF"/>
        <rFont val="宋体"/>
        <family val="3"/>
        <charset val="134"/>
      </rPr>
      <t>包括来源于这些项目的潜在现金流量</t>
    </r>
    <r>
      <rPr>
        <sz val="10"/>
        <color rgb="FF0000FF"/>
        <rFont val="Arial Narrow"/>
        <family val="2"/>
      </rPr>
      <t>)</t>
    </r>
    <r>
      <rPr>
        <sz val="10"/>
        <color rgb="FF0000FF"/>
        <rFont val="宋体"/>
        <family val="3"/>
        <charset val="134"/>
      </rPr>
      <t>以及通过与第三方之间的商业交易实现的其他经济利益。
如果合同规定客户应向资产供应方或另一方支付因使用资产所产生的部分现金流量作为对价，该现金流量仍应视为客户因使用资产而获得的经济利益的一部分。</t>
    </r>
    <phoneticPr fontId="11" type="noConversion"/>
  </si>
  <si>
    <r>
      <rPr>
        <sz val="10"/>
        <color rgb="FF0000FF"/>
        <rFont val="宋体"/>
        <family val="3"/>
        <charset val="134"/>
      </rPr>
      <t>在分拆合同包含的租赁和非租赁部分时，承租人应当按照各项租赁部分单独价格及非租赁部分的单独价格之和的相对比例分担合同对价。</t>
    </r>
    <phoneticPr fontId="11" type="noConversion"/>
  </si>
  <si>
    <r>
      <rPr>
        <sz val="10"/>
        <color rgb="FF0000FF"/>
        <rFont val="宋体"/>
        <family val="3"/>
        <charset val="134"/>
      </rPr>
      <t>如果资产供应方在整个使用期间拥有对该资产的实质性替换权，则该资产不属于已识别资产</t>
    </r>
    <phoneticPr fontId="11" type="noConversion"/>
  </si>
  <si>
    <r>
      <rPr>
        <sz val="10"/>
        <color rgb="FF0000FF"/>
        <rFont val="宋体"/>
        <family val="3"/>
        <charset val="134"/>
      </rPr>
      <t>例如，客户无法阻止供应方替换资产，且用于替换的资产对于资产供应方而言易于获得或者可以在合理期间内取得；
替换资产的预期经济利益将超过替换资产所得成本。</t>
    </r>
    <phoneticPr fontId="11" type="noConversion"/>
  </si>
  <si>
    <r>
      <rPr>
        <sz val="10"/>
        <color rgb="FF0000FF"/>
        <rFont val="宋体"/>
        <family val="3"/>
        <charset val="134"/>
      </rPr>
      <t>合同中包含旨在保护资产供应方在已识别资产或其他资产中的权益、保护资产供应方的工作人员或者确保资产供应方不因客户使用租赁资产而违反法律法规的条款和条件，本身不足以否定客户拥有主导资产使用的权利。</t>
    </r>
    <phoneticPr fontId="11" type="noConversion"/>
  </si>
  <si>
    <r>
      <rPr>
        <sz val="10"/>
        <color rgb="FF0000FF"/>
        <rFont val="宋体"/>
        <family val="3"/>
        <charset val="134"/>
      </rPr>
      <t>如果客户有权在整个使用期间在合同界定的使用权范围内改变资产的使用目的和使用方式，则视为客户有权在该使用期间主导资产的使用目的和使用方式。</t>
    </r>
    <phoneticPr fontId="11" type="noConversion"/>
  </si>
  <si>
    <r>
      <rPr>
        <sz val="10"/>
        <color rgb="FF0000FF"/>
        <rFont val="宋体"/>
        <family val="3"/>
        <charset val="134"/>
      </rPr>
      <t>除非资产</t>
    </r>
    <r>
      <rPr>
        <sz val="10"/>
        <color rgb="FF0000FF"/>
        <rFont val="Arial Narrow"/>
        <family val="2"/>
      </rPr>
      <t>(</t>
    </r>
    <r>
      <rPr>
        <sz val="10"/>
        <color rgb="FF0000FF"/>
        <rFont val="宋体"/>
        <family val="3"/>
        <charset val="134"/>
      </rPr>
      <t>或资产的特定方面</t>
    </r>
    <r>
      <rPr>
        <sz val="10"/>
        <color rgb="FF0000FF"/>
        <rFont val="Arial Narrow"/>
        <family val="2"/>
      </rPr>
      <t xml:space="preserve">) </t>
    </r>
    <r>
      <rPr>
        <sz val="10"/>
        <color rgb="FF0000FF"/>
        <rFont val="宋体"/>
        <family val="3"/>
        <charset val="134"/>
      </rPr>
      <t>由客户设计，企业应当仅考虑在使用期间对资产使用做出决策的权利。</t>
    </r>
    <phoneticPr fontId="11" type="noConversion"/>
  </si>
  <si>
    <r>
      <rPr>
        <sz val="10"/>
        <color rgb="FF0000FF"/>
        <rFont val="宋体"/>
        <family val="3"/>
        <charset val="134"/>
      </rPr>
      <t>例如，电厂的使用目的和使用方式，即是否发电、发电时间和发电量；卡车的使用目的和使用方式，即在规定时间内将指定货物从</t>
    </r>
    <r>
      <rPr>
        <sz val="10"/>
        <color rgb="FF0000FF"/>
        <rFont val="Arial Narrow"/>
        <family val="2"/>
      </rPr>
      <t>A</t>
    </r>
    <r>
      <rPr>
        <sz val="10"/>
        <color rgb="FF0000FF"/>
        <rFont val="宋体"/>
        <family val="3"/>
        <charset val="134"/>
      </rPr>
      <t>地运至</t>
    </r>
    <r>
      <rPr>
        <sz val="10"/>
        <color rgb="FF0000FF"/>
        <rFont val="Arial Narrow"/>
        <family val="2"/>
      </rPr>
      <t>B</t>
    </r>
    <r>
      <rPr>
        <sz val="10"/>
        <color rgb="FF0000FF"/>
        <rFont val="宋体"/>
        <family val="3"/>
        <charset val="134"/>
      </rPr>
      <t>地</t>
    </r>
    <phoneticPr fontId="11" type="noConversion"/>
  </si>
  <si>
    <r>
      <rPr>
        <sz val="10"/>
        <color rgb="FF0000FF"/>
        <rFont val="宋体"/>
        <family val="3"/>
        <charset val="134"/>
      </rPr>
      <t>应当在约定的客户权利范围内考虑其所产生的经济利益；
应当有权获得整个使用期间使用该资产所产生的几乎全部经济利益</t>
    </r>
    <r>
      <rPr>
        <sz val="10"/>
        <color rgb="FF0000FF"/>
        <rFont val="Arial Narrow"/>
        <family val="2"/>
      </rPr>
      <t>(</t>
    </r>
    <r>
      <rPr>
        <sz val="10"/>
        <color rgb="FF0000FF"/>
        <rFont val="宋体"/>
        <family val="3"/>
        <charset val="134"/>
      </rPr>
      <t>例如，在整个使用期间独家使用该资产</t>
    </r>
    <r>
      <rPr>
        <sz val="10"/>
        <color rgb="FF0000FF"/>
        <rFont val="Arial Narrow"/>
        <family val="2"/>
      </rPr>
      <t xml:space="preserve">) </t>
    </r>
    <phoneticPr fontId="11" type="noConversion"/>
  </si>
  <si>
    <r>
      <rPr>
        <sz val="10"/>
        <color rgb="FF0000FF"/>
        <rFont val="宋体"/>
        <family val="3"/>
        <charset val="134"/>
      </rPr>
      <t>易于获得的资源是指出租人或其他供应方单独销售或出租的商品或服务，</t>
    </r>
    <r>
      <rPr>
        <sz val="10"/>
        <color rgb="FF0000FF"/>
        <rFont val="Arial Narrow"/>
        <family val="2"/>
      </rPr>
      <t xml:space="preserve"> </t>
    </r>
    <r>
      <rPr>
        <sz val="10"/>
        <color rgb="FF0000FF"/>
        <rFont val="宋体"/>
        <family val="3"/>
        <charset val="134"/>
      </rPr>
      <t>或者承租人已从出租人或其他交易中获得的资源</t>
    </r>
  </si>
  <si>
    <r>
      <rPr>
        <sz val="10"/>
        <color rgb="FF0000FF"/>
        <rFont val="宋体"/>
        <family val="3"/>
        <charset val="134"/>
      </rPr>
      <t>若承租人租入资产的决定不会对承租人使用合同中的其他资产的权利产生重大影响，则表明该项资产与合同中的其他资产不存在高度依赖或高度关联关系</t>
    </r>
    <phoneticPr fontId="11" type="noConversion"/>
  </si>
  <si>
    <r>
      <rPr>
        <sz val="10"/>
        <color rgb="FF0000FF"/>
        <rFont val="宋体"/>
        <family val="3"/>
        <charset val="134"/>
      </rPr>
      <t>在该情况下，对每份合同独立进行会计处理可能无法忠实反映（</t>
    </r>
    <r>
      <rPr>
        <sz val="10"/>
        <color rgb="FF0000FF"/>
        <rFont val="Arial Narrow"/>
        <family val="2"/>
      </rPr>
      <t>faithful representation</t>
    </r>
    <r>
      <rPr>
        <sz val="10"/>
        <color rgb="FF0000FF"/>
        <rFont val="宋体"/>
        <family val="3"/>
        <charset val="134"/>
      </rPr>
      <t>）整个交易</t>
    </r>
  </si>
  <si>
    <r>
      <rPr>
        <sz val="10"/>
        <color rgb="FF0000FF"/>
        <rFont val="宋体"/>
        <family val="3"/>
        <charset val="134"/>
      </rPr>
      <t>短期租赁，是指在租赁期开始日，租赁期不超过</t>
    </r>
    <r>
      <rPr>
        <sz val="10"/>
        <color rgb="FF0000FF"/>
        <rFont val="Arial Narrow"/>
        <family val="2"/>
      </rPr>
      <t>12</t>
    </r>
    <r>
      <rPr>
        <sz val="10"/>
        <color rgb="FF0000FF"/>
        <rFont val="宋体"/>
        <family val="3"/>
        <charset val="134"/>
      </rPr>
      <t>个月的租赁</t>
    </r>
    <phoneticPr fontId="11" type="noConversion"/>
  </si>
  <si>
    <r>
      <rPr>
        <sz val="10"/>
        <color rgb="FF0000FF"/>
        <rFont val="宋体"/>
        <family val="3"/>
        <charset val="134"/>
      </rPr>
      <t>包含购买选择权的租赁不属于短期租赁</t>
    </r>
    <phoneticPr fontId="11" type="noConversion"/>
  </si>
  <si>
    <r>
      <rPr>
        <sz val="10"/>
        <color rgb="FF0000FF"/>
        <rFont val="宋体"/>
        <family val="3"/>
        <charset val="134"/>
      </rPr>
      <t>租赁协议中对起租日或租金支付时间的约定，并不影响租赁期开始日的判断。</t>
    </r>
  </si>
  <si>
    <r>
      <rPr>
        <sz val="10"/>
        <color rgb="FF0000FF"/>
        <rFont val="宋体"/>
        <family val="3"/>
        <charset val="134"/>
      </rPr>
      <t>租赁期自租赁期开始日起计算，并包括出租人为承租人提供的免租期。
如果承租人在租赁协议约定的起租日或租金起付日之前，已获得对租赁资产使用权的控制，则表明租赁期已经开始。</t>
    </r>
    <phoneticPr fontId="11" type="noConversion"/>
  </si>
  <si>
    <r>
      <rPr>
        <sz val="10"/>
        <color rgb="FF0000FF"/>
        <rFont val="宋体"/>
        <family val="3"/>
        <charset val="134"/>
      </rPr>
      <t>在确定租赁期和评估不可撤销租赁期间时，企业应根据租赁条款约定确定可强制执行合同的期间。</t>
    </r>
    <phoneticPr fontId="11" type="noConversion"/>
  </si>
  <si>
    <r>
      <rPr>
        <sz val="10"/>
        <color rgb="FF0000FF"/>
        <rFont val="宋体"/>
        <family val="3"/>
        <charset val="134"/>
      </rPr>
      <t>如果只有出租人有权终止租赁，则不可撤销的租赁期包括终止租赁选择权所涵盖的期间。</t>
    </r>
    <phoneticPr fontId="11" type="noConversion"/>
  </si>
  <si>
    <r>
      <rPr>
        <sz val="10"/>
        <color rgb="FF0000FF"/>
        <rFont val="宋体"/>
        <family val="3"/>
        <charset val="134"/>
      </rPr>
      <t>应当评估承租人是否合理确定将不行使终止租赁选择权，需考虑的因素详见下（</t>
    </r>
    <r>
      <rPr>
        <sz val="10"/>
        <color rgb="FF0000FF"/>
        <rFont val="Arial Narrow"/>
        <family val="2"/>
      </rPr>
      <t>4</t>
    </r>
    <r>
      <rPr>
        <sz val="10"/>
        <color rgb="FF0000FF"/>
        <rFont val="宋体"/>
        <family val="3"/>
        <charset val="134"/>
      </rPr>
      <t>）。
合理确定将不会行使终止租赁选择权的，租赁期应包括终止租赁选择权涵盖的期间。</t>
    </r>
    <phoneticPr fontId="11" type="noConversion"/>
  </si>
  <si>
    <r>
      <rPr>
        <sz val="10"/>
        <color rgb="FF0000FF"/>
        <rFont val="宋体"/>
        <family val="3"/>
        <charset val="134"/>
      </rPr>
      <t>如果承租人和出租人双方均有权在未经另一方许可的情况下终止租赁，且罚款金额不重大，则该租赁不再可强制执行。</t>
    </r>
    <phoneticPr fontId="11" type="noConversion"/>
  </si>
  <si>
    <r>
      <rPr>
        <sz val="10"/>
        <color rgb="FF0000FF"/>
        <rFont val="宋体"/>
        <family val="3"/>
        <charset val="134"/>
      </rPr>
      <t>应当评估承租人是否合理确定将行使续租选择权。
合理确定将行使续租选择权的，租赁期应包括续租选择权涵盖的期间。</t>
    </r>
    <phoneticPr fontId="11" type="noConversion"/>
  </si>
  <si>
    <r>
      <rPr>
        <sz val="10"/>
        <color rgb="FF0000FF"/>
        <rFont val="宋体"/>
        <family val="3"/>
        <charset val="134"/>
      </rPr>
      <t>需考虑的因素：①与市价相比，选择权期间的合同条款和条件；②在合同期内，承租人进行或预期进行重大租赁资产改良；③与终止租赁相关的成本；④租赁资产对承租人运营的重要程度；⑤与行使选择权相关的条件及满足相关条件的可能性。</t>
    </r>
  </si>
  <si>
    <r>
      <rPr>
        <sz val="10"/>
        <color rgb="FF0000FF"/>
        <rFont val="宋体"/>
        <family val="3"/>
        <charset val="134"/>
      </rPr>
      <t>例如，无论承租人是否行使选择权，均保证向出租人支付基本相等的最低或固定现金，在此情形下，应假设承租人合理确定将行使续租选择权选择权。</t>
    </r>
  </si>
  <si>
    <r>
      <rPr>
        <sz val="10"/>
        <color rgb="FF0000FF"/>
        <rFont val="宋体"/>
        <family val="3"/>
        <charset val="134"/>
      </rPr>
      <t>购买选择权的评估方式应与续租选择权或终止租赁选择权的评估方式相同，购买选择权在经济上与将租赁期延长至租赁资产全部剩余经济寿命的续租选择权类似。</t>
    </r>
  </si>
  <si>
    <r>
      <rPr>
        <sz val="10"/>
        <color rgb="FF0000FF"/>
        <rFont val="宋体"/>
        <family val="3"/>
        <charset val="134"/>
      </rPr>
      <t>在租赁期开始日未预计到的重大租赁资产改良，在可行使续租选择权、终止租赁选择权或购买选择权时，预期将为承租人带来重大经济利益</t>
    </r>
    <phoneticPr fontId="11" type="noConversion"/>
  </si>
  <si>
    <r>
      <rPr>
        <sz val="10"/>
        <color rgb="FF0000FF"/>
        <rFont val="宋体"/>
        <family val="3"/>
        <charset val="134"/>
      </rPr>
      <t>在租赁期开始日未预计到的租赁资产的重大改动或定制化调整</t>
    </r>
    <phoneticPr fontId="11" type="noConversion"/>
  </si>
  <si>
    <r>
      <rPr>
        <sz val="10"/>
        <color rgb="FF0000FF"/>
        <rFont val="宋体"/>
        <family val="3"/>
        <charset val="134"/>
      </rPr>
      <t>承租人做出的与行使或不行使选择权直接相关的经营决策。例如，决定续租互补性资产、处置可替代的资产或处置包含相关使用权资产的业务</t>
    </r>
    <phoneticPr fontId="11" type="noConversion"/>
  </si>
  <si>
    <r>
      <rPr>
        <sz val="10"/>
        <color rgb="FF0000FF"/>
        <rFont val="宋体"/>
        <family val="3"/>
        <charset val="134"/>
      </rPr>
      <t>通常，租赁的不可撤销期间越短，承租人不行使终止租赁选择权的可能性就越大。</t>
    </r>
    <phoneticPr fontId="11" type="noConversion"/>
  </si>
  <si>
    <r>
      <rPr>
        <sz val="10"/>
        <color rgb="FF0000FF"/>
        <rFont val="宋体"/>
        <family val="3"/>
        <charset val="134"/>
      </rPr>
      <t>应当对罚款作出广义解释以同时涵盖终止租赁付款及其他类型的经济处罚，包括弃置或拆卸不可移除的租赁改良所发生的成本。</t>
    </r>
    <phoneticPr fontId="11" type="noConversion"/>
  </si>
  <si>
    <r>
      <rPr>
        <sz val="10"/>
        <color rgb="FF0000FF"/>
        <rFont val="宋体"/>
        <family val="3"/>
        <charset val="134"/>
      </rPr>
      <t>同等条件下优先续约不是无条件续约的权利，不属于续约选择权（续约选择权是公司的一项权利，只要公司愿意，都可以无条件续约）</t>
    </r>
    <phoneticPr fontId="11" type="noConversion"/>
  </si>
  <si>
    <r>
      <rPr>
        <sz val="10"/>
        <color rgb="FF0000FF"/>
        <rFont val="宋体"/>
        <family val="3"/>
        <charset val="134"/>
      </rPr>
      <t>发生承租人可控范围内的重大事件或变化，且影响承租人是否合理确定将行使相应选择权的，承租人应当对其是否合理确定将行使续租选择权、购买选择权或不行使终止租赁选择权进行重新评估，并根据重新评估结果修改租赁期</t>
    </r>
    <phoneticPr fontId="11" type="noConversion"/>
  </si>
  <si>
    <r>
      <rPr>
        <sz val="10"/>
        <color rgb="FF0000FF"/>
        <rFont val="宋体"/>
        <family val="3"/>
        <charset val="134"/>
      </rPr>
      <t>租赁期是指承租人有权使用租赁资产且不可撤销的期间</t>
    </r>
    <r>
      <rPr>
        <sz val="10"/>
        <color rgb="FF0000FF"/>
        <rFont val="Arial Narrow"/>
        <family val="2"/>
      </rPr>
      <t>;</t>
    </r>
    <r>
      <rPr>
        <sz val="10"/>
        <color rgb="FF0000FF"/>
        <rFont val="宋体"/>
        <family val="3"/>
        <charset val="134"/>
      </rPr>
      <t>承租人有续租选择权，即有权选择续租该资产，且合理确定将行使该选择权的，租赁期还应当包含续租选择权涵盖的期间；承租人有终止租赁选择权即有权选择终止租赁该资产，但合理确定将不会行使该选择权的，租赁期应当包含终止租赁选择权涵盖的期间。</t>
    </r>
    <phoneticPr fontId="6" type="noConversion"/>
  </si>
  <si>
    <r>
      <rPr>
        <b/>
        <sz val="10"/>
        <color rgb="FF0000FF"/>
        <rFont val="宋体"/>
        <family val="3"/>
        <charset val="134"/>
      </rPr>
      <t>本示例假设期初支付租金</t>
    </r>
    <phoneticPr fontId="6" type="noConversion"/>
  </si>
  <si>
    <r>
      <rPr>
        <sz val="10"/>
        <color rgb="FF0000FF"/>
        <rFont val="宋体"/>
        <family val="3"/>
        <charset val="134"/>
      </rPr>
      <t>租赁变更，是指原合同条款之外的租赁范围、租赁对价、租赁期限的变更，包括增加或终止一项或多项租赁资产的使用权，延长或缩短合同规定的租赁期等。</t>
    </r>
    <phoneticPr fontId="11" type="noConversion"/>
  </si>
  <si>
    <t>审计目标</t>
    <phoneticPr fontId="11" type="noConversion"/>
  </si>
  <si>
    <r>
      <rPr>
        <sz val="10"/>
        <rFont val="宋体"/>
        <family val="3"/>
        <charset val="134"/>
      </rPr>
      <t>权利和义务</t>
    </r>
    <phoneticPr fontId="11" type="noConversion"/>
  </si>
  <si>
    <r>
      <rPr>
        <sz val="10"/>
        <rFont val="宋体"/>
        <family val="3"/>
        <charset val="134"/>
      </rPr>
      <t>列报</t>
    </r>
    <phoneticPr fontId="11" type="noConversion"/>
  </si>
  <si>
    <r>
      <t xml:space="preserve">B. </t>
    </r>
    <r>
      <rPr>
        <sz val="10"/>
        <rFont val="宋体"/>
        <family val="3"/>
        <charset val="134"/>
      </rPr>
      <t>所有应记录的使用权资产均已记录，所有应当包括在财务报表中的相关披露均已包括</t>
    </r>
    <phoneticPr fontId="11" type="noConversion"/>
  </si>
  <si>
    <r>
      <t xml:space="preserve">C. </t>
    </r>
    <r>
      <rPr>
        <sz val="10"/>
        <rFont val="宋体"/>
        <family val="3"/>
        <charset val="134"/>
      </rPr>
      <t>记录的使用权资产由被审计单位拥有或控制；</t>
    </r>
    <phoneticPr fontId="11" type="noConversion"/>
  </si>
  <si>
    <r>
      <t xml:space="preserve">D. </t>
    </r>
    <r>
      <rPr>
        <sz val="10"/>
        <rFont val="宋体"/>
        <family val="3"/>
        <charset val="134"/>
      </rPr>
      <t>使用权资产以恰当的金额包括在财务报表中，与之相关的计价或分摊调整已恰当记录，相关披露已得到恰当计量和描述</t>
    </r>
    <r>
      <rPr>
        <sz val="10"/>
        <rFont val="Arial Narrow"/>
        <family val="2"/>
      </rPr>
      <t xml:space="preserve"> </t>
    </r>
    <phoneticPr fontId="11" type="noConversion"/>
  </si>
  <si>
    <r>
      <t xml:space="preserve">E. </t>
    </r>
    <r>
      <rPr>
        <sz val="10"/>
        <rFont val="宋体"/>
        <family val="3"/>
        <charset val="134"/>
      </rPr>
      <t>使用权资产已被恰当地汇总或分解且表述清楚，相关披露在按照企业会计准则的编制基础下是相关的、可理解的</t>
    </r>
    <phoneticPr fontId="11" type="noConversion"/>
  </si>
  <si>
    <t>关于工作底稿与审计程序索引号对应的说明</t>
    <phoneticPr fontId="11"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</si>
  <si>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1"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</si>
  <si>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1"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</si>
  <si>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1"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</si>
  <si>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</si>
  <si>
    <t>根据被审计单位实际情况和风险评估情况裁剪、修改或增加审计程序</t>
    <phoneticPr fontId="11" type="noConversion"/>
  </si>
  <si>
    <t>审计程序</t>
    <phoneticPr fontId="6" type="noConversion"/>
  </si>
  <si>
    <t>随机选样/系统选样/货币单元抽样/随意选样（非统计抽样适用）</t>
    <phoneticPr fontId="11" type="noConversion"/>
  </si>
  <si>
    <t>……</t>
    <phoneticPr fontId="11" type="noConversion"/>
  </si>
  <si>
    <t>合计</t>
    <phoneticPr fontId="11" type="noConversion"/>
  </si>
  <si>
    <t>适用税率</t>
    <phoneticPr fontId="11" type="noConversion"/>
  </si>
  <si>
    <t>适用税率</t>
    <phoneticPr fontId="11" type="noConversion"/>
  </si>
  <si>
    <t>预付租金+初始直接费用</t>
    <phoneticPr fontId="6" type="noConversion"/>
  </si>
  <si>
    <t>检查比例</t>
    <phoneticPr fontId="11" type="noConversion"/>
  </si>
  <si>
    <r>
      <t>1.</t>
    </r>
    <r>
      <rPr>
        <sz val="10"/>
        <color rgb="FFFF0000"/>
        <rFont val="宋体"/>
        <family val="3"/>
        <charset val="134"/>
      </rPr>
      <t>如果检查比例较低应扩大检查样本量或说明原因</t>
    </r>
    <phoneticPr fontId="11" type="noConversion"/>
  </si>
  <si>
    <t>2.……</t>
    <phoneticPr fontId="11" type="noConversion"/>
  </si>
  <si>
    <t>致同会计师事务所</t>
  </si>
  <si>
    <t>租赁变更</t>
    <phoneticPr fontId="11" type="noConversion"/>
  </si>
  <si>
    <t>使用权资产折旧测算表</t>
  </si>
  <si>
    <t>使用权资产折旧分配分析表</t>
    <phoneticPr fontId="11" type="noConversion"/>
  </si>
  <si>
    <t>使用权资产减值测算表</t>
  </si>
  <si>
    <t>使用权资产减值准备测试表-可收回金额</t>
    <phoneticPr fontId="11" type="noConversion"/>
  </si>
  <si>
    <t>使用权资产/租赁负债减少检查表</t>
    <phoneticPr fontId="11" type="noConversion"/>
  </si>
  <si>
    <t>简化处理的租赁检查表</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</si>
</sst>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5">
    <numFmt numFmtId="41" formatCode="_ * #,##0_ ;_ * \-#,##0_ ;_ * &quot;-&quot;_ ;_ @_ "/>
    <numFmt numFmtId="44" formatCode="_ &quot;¥&quot;* #,##0.00_ ;_ &quot;¥&quot;* \-#,##0.00_ ;_ &quot;¥&quot;* &quot;-&quot;??_ ;_ @_ "/>
    <numFmt numFmtId="43" formatCode="_ * #,##0.00_ ;_ * \-#,##0.00_ ;_ * &quot;-&quot;??_ ;_ @_ "/>
    <numFmt numFmtId="176" formatCode="0.0000%"/>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quot;$&quot;#,##0_);\(&quot;$&quot;#,##0\)"/>
    <numFmt numFmtId="187" formatCode="_-* #,##0_-;\-* #,##0_-;_-* &quot;-&quot;_-;_-@_-"/>
    <numFmt numFmtId="188" formatCode="_-* #,##0.00_-;\-* #,##0.00_-;_-* &quot;-&quot;??_-;_-@_-"/>
    <numFmt numFmtId="189" formatCode="_-&quot;$&quot;* #,##0_-;\-&quot;$&quot;* #,##0_-;_-&quot;$&quot;* &quot;-&quot;_-;_-@_-"/>
    <numFmt numFmtId="190" formatCode="_-&quot;$&quot;* #,##0.00_-;\-&quot;$&quot;* #,##0.00_-;_-&quot;$&quot;* &quot;-&quot;??_-;_-@_-"/>
    <numFmt numFmtId="191" formatCode="&quot;\&quot;#,##0;[Red]&quot;\&quot;&quot;\&quot;\-#,##0"/>
    <numFmt numFmtId="192" formatCode="&quot;\&quot;#,##0;&quot;\&quot;&quot;\&quot;\-#,##0"/>
    <numFmt numFmtId="193" formatCode="_(* #,##0_);_(* \(#,##0\);_(* &quot;-&quot;_);_(@_)"/>
    <numFmt numFmtId="194" formatCode="_ * #,##0_ ;_ * \-#,##0_ ;_ * &quot;-&quot;??_ ;_ @_ "/>
    <numFmt numFmtId="195" formatCode="#,##0.00_ "/>
    <numFmt numFmtId="196" formatCode="0_);[Red]\(0\)"/>
    <numFmt numFmtId="197" formatCode="yyyy/m/d;@"/>
    <numFmt numFmtId="198" formatCode="yyyy&quot;年&quot;m&quot;月&quot;;@"/>
    <numFmt numFmtId="199" formatCode="#,##0.00_);[Red]\(#,##0.00\)"/>
    <numFmt numFmtId="200" formatCode="#,##0_);[Red]\(#,##0\)"/>
    <numFmt numFmtId="201" formatCode="#,##0_ "/>
    <numFmt numFmtId="202" formatCode="0%;\(0%\)"/>
    <numFmt numFmtId="203" formatCode="0.0%"/>
    <numFmt numFmtId="204" formatCode="&quot;¥&quot;#,##0;\-&quot;¥&quot;#,##0"/>
    <numFmt numFmtId="205" formatCode="#.\ \ "/>
    <numFmt numFmtId="206" formatCode="##.\ \ "/>
    <numFmt numFmtId="207" formatCode="#,##0;\-#,##0;&quot;-&quot;"/>
    <numFmt numFmtId="208" formatCode="#,##0&quot; F&quot;_);\(#,##0&quot; F&quot;\)"/>
    <numFmt numFmtId="209" formatCode="\(#,##0\)\ "/>
    <numFmt numFmtId="210" formatCode="[Blue]0.0%;[Blue]\(0.0%\)"/>
    <numFmt numFmtId="211" formatCode="0.0%;\(0.0%\)"/>
    <numFmt numFmtId="212" formatCode="[Red]0.0%;[Red]\(0.0%\)"/>
    <numFmt numFmtId="213" formatCode="[Blue]#,##0_);[Blue]\(#,##0\)"/>
    <numFmt numFmtId="214" formatCode="#,##0_);[Blue]\(#,##0\)"/>
    <numFmt numFmtId="215" formatCode="&quot;$&quot;#,##0;[Red]&quot;$&quot;&quot;$&quot;&quot;$&quot;&quot;$&quot;&quot;$&quot;&quot;$&quot;&quot;$&quot;\-#,##0"/>
    <numFmt numFmtId="216" formatCode="_(&quot;$&quot;* #,##0_);_(&quot;$&quot;* \(#,##0\);_(&quot;$&quot;* &quot;-&quot;_);_(@_)"/>
    <numFmt numFmtId="217" formatCode="#,##0;\(#,##0\)"/>
    <numFmt numFmtId="218" formatCode="#,##0.0_);\(#,##0.0\)"/>
    <numFmt numFmtId="219" formatCode="&quot;$&quot;#,##0.00_);\(&quot;$&quot;#,##0.00\)"/>
    <numFmt numFmtId="220" formatCode=";;;"/>
    <numFmt numFmtId="221" formatCode="\$#,##0.00;\(\$#,##0.00\)"/>
    <numFmt numFmtId="222" formatCode="#,##0.000000"/>
    <numFmt numFmtId="223" formatCode="\$#,##0;\(\$#,##0\)"/>
    <numFmt numFmtId="224" formatCode="#,##0.00&quot;¥&quot;;\-#,##0.00&quot;¥&quot;"/>
    <numFmt numFmtId="225" formatCode="_(&quot;$&quot;* #,##0.00_);_(&quot;$&quot;* \(#,##0.00\);_(&quot;$&quot;* &quot;-&quot;??_);_(@_)"/>
    <numFmt numFmtId="226" formatCode="_-* #,##0_-;\-* #,##0_-;_-* &quot;-&quot;??_-;_-@_-"/>
    <numFmt numFmtId="227" formatCode="0.00000000000_);[Red]\(0.00000000000\)"/>
    <numFmt numFmtId="228" formatCode="&quot;?#,##0;\-&quot;?#,##0"/>
    <numFmt numFmtId="229" formatCode="_-* #,##0&quot;¥&quot;_-;\-* #,##0&quot;¥&quot;_-;_-* &quot;-&quot;&quot;¥&quot;_-;_-@_-"/>
    <numFmt numFmtId="230" formatCode="0%_);\(0%\)"/>
    <numFmt numFmtId="231" formatCode="&quot;$&quot;#,##0;\-&quot;$&quot;#,##0"/>
    <numFmt numFmtId="232" formatCode="#,##0&quot; $&quot;;[Red]\-#,##0&quot; $&quot;"/>
    <numFmt numFmtId="233" formatCode="#,##0.00&quot;¥&quot;;[Red]\-#,##0.00&quot;¥&quot;"/>
    <numFmt numFmtId="234" formatCode="\ \ @"/>
    <numFmt numFmtId="235" formatCode="#,##0_);\(#,##0_)"/>
    <numFmt numFmtId="236" formatCode="_-* #,##0\ _k_r_-;\-* #,##0\ _k_r_-;_-* &quot;-&quot;\ _k_r_-;_-@_-"/>
    <numFmt numFmtId="237" formatCode="_-* #,##0.00\ _k_r_-;\-* #,##0.00\ _k_r_-;_-* &quot;-&quot;??\ _k_r_-;_-@_-"/>
    <numFmt numFmtId="238" formatCode="#,##0.00_);#,##0.00\)"/>
    <numFmt numFmtId="239" formatCode="0.00000&quot;  &quot;"/>
    <numFmt numFmtId="240" formatCode="&quot;\&quot;#,##0.00;[Red]&quot;\&quot;&quot;\&quot;&quot;\&quot;&quot;\&quot;&quot;\&quot;&quot;\&quot;\-#,##0.00"/>
    <numFmt numFmtId="241" formatCode="&quot;\&quot;#,##0.00;[Red]&quot;\&quot;\-#,##0.00"/>
    <numFmt numFmtId="242" formatCode="&quot;\&quot;#,##0;[Red]&quot;\&quot;\-#,##0"/>
    <numFmt numFmtId="243"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44" formatCode="[$-F800]dddd\,\ mmmm\ dd\,\ yyyy"/>
    <numFmt numFmtId="245" formatCode="_ * #,##0.0000_ ;_ * \-#,##0.0000_ ;_ * &quot;-&quot;??_ ;_ @_ "/>
    <numFmt numFmtId="246" formatCode="_ * #,##0.00000000_ ;_ * \-#,##0.00000000_ ;_ * &quot;-&quot;??_ ;_ @_ "/>
    <numFmt numFmtId="247" formatCode="_([$€-2]* #,##0.00_);_([$€-2]* \(#,##0.00\);_([$€-2]* &quot;-&quot;??_)"/>
  </numFmts>
  <fonts count="173">
    <font>
      <sz val="12"/>
      <name val="宋体"/>
      <family val="3"/>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2"/>
      <name val="Times New Roman"/>
      <family val="1"/>
    </font>
    <font>
      <b/>
      <sz val="10"/>
      <name val="宋体"/>
      <family val="3"/>
      <charset val="134"/>
    </font>
    <font>
      <sz val="9"/>
      <name val="宋体"/>
      <family val="2"/>
      <charset val="134"/>
      <scheme val="minor"/>
    </font>
    <font>
      <b/>
      <sz val="10"/>
      <name val="Arial Narrow"/>
      <family val="2"/>
    </font>
    <font>
      <sz val="12"/>
      <name val="宋体"/>
      <family val="3"/>
      <charset val="134"/>
    </font>
    <font>
      <sz val="10"/>
      <name val="Arial Narrow"/>
      <family val="2"/>
    </font>
    <font>
      <b/>
      <sz val="12"/>
      <name val="宋体"/>
      <family val="3"/>
      <charset val="134"/>
    </font>
    <font>
      <sz val="9"/>
      <name val="宋体"/>
      <family val="3"/>
      <charset val="134"/>
    </font>
    <font>
      <b/>
      <sz val="12"/>
      <name val="Arial Narrow"/>
      <family val="2"/>
    </font>
    <font>
      <sz val="12"/>
      <name val="Arial Narrow"/>
      <family val="2"/>
    </font>
    <font>
      <sz val="10"/>
      <name val="宋体"/>
      <family val="3"/>
      <charset val="134"/>
    </font>
    <font>
      <sz val="10"/>
      <name val="Times New Roman"/>
      <family val="1"/>
    </font>
    <font>
      <u/>
      <sz val="10"/>
      <name val="Arial Narrow"/>
      <family val="2"/>
    </font>
    <font>
      <sz val="10"/>
      <color indexed="10"/>
      <name val="宋体"/>
      <family val="3"/>
      <charset val="134"/>
    </font>
    <font>
      <sz val="10"/>
      <color indexed="12"/>
      <name val="宋体"/>
      <family val="3"/>
      <charset val="134"/>
    </font>
    <font>
      <i/>
      <sz val="10"/>
      <color indexed="12"/>
      <name val="宋体"/>
      <family val="3"/>
      <charset val="134"/>
    </font>
    <font>
      <sz val="10"/>
      <color indexed="12"/>
      <name val="Arial Narrow"/>
      <family val="2"/>
    </font>
    <font>
      <b/>
      <sz val="10"/>
      <color indexed="12"/>
      <name val="宋体"/>
      <family val="3"/>
      <charset val="134"/>
    </font>
    <font>
      <u val="singleAccounting"/>
      <vertAlign val="subscript"/>
      <sz val="10"/>
      <name val="Times New Roman"/>
      <family val="1"/>
    </font>
    <font>
      <i/>
      <sz val="9"/>
      <name val="Times New Roman"/>
      <family val="1"/>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0"/>
      <name val="Courier"/>
      <family val="3"/>
    </font>
    <font>
      <sz val="7"/>
      <color indexed="10"/>
      <name val="Helv"/>
      <family val="2"/>
    </font>
    <font>
      <b/>
      <sz val="10"/>
      <color indexed="8"/>
      <name val="宋体"/>
      <family val="3"/>
      <charset val="134"/>
    </font>
    <font>
      <b/>
      <sz val="10"/>
      <color indexed="8"/>
      <name val="Arial Narrow"/>
      <family val="2"/>
    </font>
    <font>
      <sz val="10"/>
      <color indexed="8"/>
      <name val="Arial Narrow"/>
      <family val="2"/>
    </font>
    <font>
      <sz val="18"/>
      <color indexed="48"/>
      <name val="魏碑"/>
      <family val="3"/>
      <charset val="134"/>
    </font>
    <font>
      <sz val="10"/>
      <color indexed="53"/>
      <name val="宋体"/>
      <family val="3"/>
      <charset val="134"/>
    </font>
    <font>
      <u/>
      <sz val="12"/>
      <color indexed="12"/>
      <name val="宋体"/>
      <family val="3"/>
      <charset val="134"/>
    </font>
    <font>
      <b/>
      <sz val="10"/>
      <color theme="1"/>
      <name val="Arial Narrow"/>
      <family val="2"/>
    </font>
    <font>
      <b/>
      <u/>
      <sz val="10"/>
      <color indexed="10"/>
      <name val="Arial Narrow"/>
      <family val="2"/>
    </font>
    <font>
      <b/>
      <sz val="10"/>
      <color rgb="FFFF0000"/>
      <name val="Arial Narrow"/>
      <family val="2"/>
    </font>
    <font>
      <sz val="10"/>
      <color rgb="FFFF0000"/>
      <name val="宋体"/>
      <family val="3"/>
      <charset val="134"/>
    </font>
    <font>
      <b/>
      <sz val="10"/>
      <color rgb="FFFF0000"/>
      <name val="宋体"/>
      <family val="3"/>
      <charset val="134"/>
    </font>
    <font>
      <sz val="10"/>
      <color indexed="48"/>
      <name val="Arial Narrow"/>
      <family val="2"/>
    </font>
    <font>
      <sz val="10"/>
      <color indexed="8"/>
      <name val="宋体"/>
      <family val="3"/>
      <charset val="134"/>
    </font>
    <font>
      <sz val="9"/>
      <name val="宋体"/>
      <family val="3"/>
      <charset val="134"/>
      <scheme val="minor"/>
    </font>
    <font>
      <sz val="10"/>
      <name val="宋体"/>
      <family val="3"/>
      <charset val="134"/>
      <scheme val="minor"/>
    </font>
    <font>
      <b/>
      <sz val="12"/>
      <color indexed="8"/>
      <name val="宋体"/>
      <family val="3"/>
      <charset val="134"/>
    </font>
    <font>
      <b/>
      <sz val="12"/>
      <color indexed="8"/>
      <name val="Arial Narrow"/>
      <family val="2"/>
    </font>
    <font>
      <sz val="10"/>
      <color rgb="FFFF0000"/>
      <name val="Arial Narrow"/>
      <family val="2"/>
    </font>
    <font>
      <sz val="11"/>
      <color theme="1"/>
      <name val="宋体"/>
      <family val="3"/>
      <charset val="134"/>
      <scheme val="minor"/>
    </font>
    <font>
      <sz val="11"/>
      <color indexed="8"/>
      <name val="宋体"/>
      <family val="3"/>
      <charset val="134"/>
    </font>
    <font>
      <sz val="10"/>
      <color theme="1"/>
      <name val="Arial Narrow"/>
      <family val="2"/>
    </font>
    <font>
      <b/>
      <sz val="10"/>
      <name val="Arial"/>
      <family val="2"/>
    </font>
    <font>
      <b/>
      <sz val="12"/>
      <name val="Arial"/>
      <family val="2"/>
    </font>
    <font>
      <sz val="10"/>
      <color indexed="10"/>
      <name val="Arial"/>
      <family val="2"/>
    </font>
    <font>
      <sz val="10"/>
      <color theme="1"/>
      <name val="宋体"/>
      <family val="3"/>
      <charset val="134"/>
    </font>
    <font>
      <b/>
      <sz val="10"/>
      <color theme="1"/>
      <name val="宋体"/>
      <family val="3"/>
      <charset val="134"/>
    </font>
    <font>
      <sz val="11"/>
      <name val="ＭＳ Ｐゴシック"/>
      <family val="2"/>
    </font>
    <font>
      <sz val="12"/>
      <name val="???"/>
      <family val="1"/>
    </font>
    <font>
      <sz val="10"/>
      <color indexed="8"/>
      <name val="Arial"/>
      <family val="2"/>
    </font>
    <font>
      <sz val="10"/>
      <name val="Helv"/>
      <family val="2"/>
    </font>
    <font>
      <sz val="13"/>
      <name val="Tms Rmn"/>
      <family val="1"/>
    </font>
    <font>
      <sz val="11"/>
      <color indexed="8"/>
      <name val="Calibri"/>
      <family val="2"/>
    </font>
    <font>
      <sz val="11"/>
      <color indexed="9"/>
      <name val="Calibri"/>
      <family val="2"/>
    </font>
    <font>
      <sz val="10"/>
      <name val="Book Antiqua"/>
      <family val="1"/>
    </font>
    <font>
      <b/>
      <sz val="10"/>
      <name val="Book Antiqua"/>
      <family val="1"/>
    </font>
    <font>
      <sz val="12"/>
      <color indexed="8"/>
      <name val="宋体"/>
      <family val="3"/>
      <charset val="134"/>
    </font>
    <font>
      <sz val="12"/>
      <color indexed="9"/>
      <name val="宋体"/>
      <family val="3"/>
      <charset val="134"/>
    </font>
    <font>
      <sz val="8"/>
      <name val="Times New Roman"/>
      <family val="1"/>
    </font>
    <font>
      <sz val="11"/>
      <color indexed="20"/>
      <name val="Calibri"/>
      <family val="2"/>
    </font>
    <font>
      <b/>
      <sz val="11"/>
      <color indexed="52"/>
      <name val="Calibri"/>
      <family val="2"/>
    </font>
    <font>
      <b/>
      <sz val="10"/>
      <name val="Helv"/>
      <family val="2"/>
    </font>
    <font>
      <b/>
      <sz val="11"/>
      <color indexed="9"/>
      <name val="Calibri"/>
      <family val="2"/>
    </font>
    <font>
      <b/>
      <sz val="13"/>
      <name val="Tms Rmn"/>
      <family val="1"/>
    </font>
    <font>
      <b/>
      <sz val="8"/>
      <name val="Arial"/>
      <family val="2"/>
    </font>
    <font>
      <sz val="10"/>
      <name val="MS Sans Serif"/>
      <family val="2"/>
    </font>
    <font>
      <sz val="10"/>
      <name val="MS Serif"/>
      <family val="1"/>
    </font>
    <font>
      <sz val="12"/>
      <name val="Arial"/>
      <family val="2"/>
    </font>
    <font>
      <sz val="12"/>
      <name val="Tms Rmn"/>
      <family val="1"/>
    </font>
    <font>
      <sz val="10"/>
      <color indexed="16"/>
      <name val="MS Serif"/>
      <family val="1"/>
    </font>
    <font>
      <sz val="9"/>
      <name val="Times New Roman"/>
      <family val="1"/>
    </font>
    <font>
      <i/>
      <sz val="11"/>
      <color indexed="23"/>
      <name val="Calibri"/>
      <family val="2"/>
    </font>
    <font>
      <sz val="11"/>
      <color indexed="17"/>
      <name val="Calibri"/>
      <family val="2"/>
    </font>
    <font>
      <b/>
      <sz val="12"/>
      <name val="Helv"/>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2"/>
      <name val="Helv"/>
      <family val="2"/>
    </font>
    <font>
      <sz val="11"/>
      <color indexed="52"/>
      <name val="Calibri"/>
      <family val="2"/>
    </font>
    <font>
      <sz val="12"/>
      <color indexed="9"/>
      <name val="Helv"/>
      <family val="2"/>
    </font>
    <font>
      <b/>
      <sz val="11"/>
      <name val="Helv"/>
      <family val="2"/>
    </font>
    <font>
      <sz val="11"/>
      <color indexed="60"/>
      <name val="Calibri"/>
      <family val="2"/>
    </font>
    <font>
      <sz val="7"/>
      <name val="Small Fonts"/>
      <family val="2"/>
    </font>
    <font>
      <sz val="10"/>
      <color indexed="8"/>
      <name val="MS Sans Serif"/>
      <family val="2"/>
    </font>
    <font>
      <b/>
      <sz val="11"/>
      <color indexed="63"/>
      <name val="Calibri"/>
      <family val="2"/>
    </font>
    <font>
      <sz val="10"/>
      <name val="Tms Rmn"/>
      <family val="1"/>
    </font>
    <font>
      <sz val="8"/>
      <color indexed="16"/>
      <name val="Century Schoolbook"/>
      <family val="1"/>
    </font>
    <font>
      <sz val="9"/>
      <color indexed="8"/>
      <name val="宋体"/>
      <family val="3"/>
      <charset val="134"/>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b/>
      <i/>
      <sz val="10"/>
      <name val="Times New Roman"/>
      <family val="1"/>
    </font>
    <font>
      <b/>
      <sz val="12"/>
      <name val="MS Sans Serif"/>
      <family val="2"/>
    </font>
    <font>
      <sz val="12"/>
      <name val="MS Sans Serif"/>
      <family val="2"/>
    </font>
    <font>
      <b/>
      <sz val="8"/>
      <color indexed="8"/>
      <name val="Helv"/>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family val="2"/>
    </font>
    <font>
      <sz val="14"/>
      <name val="柧挬"/>
      <family val="2"/>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1"/>
      <color rgb="FF9C0006"/>
      <name val="宋体"/>
      <family val="3"/>
      <charset val="134"/>
      <scheme val="minor"/>
    </font>
    <font>
      <sz val="12"/>
      <color indexed="20"/>
      <name val="宋体"/>
      <family val="3"/>
      <charset val="134"/>
    </font>
    <font>
      <sz val="10"/>
      <color indexed="20"/>
      <name val="Times New Roman"/>
      <family val="1"/>
    </font>
    <font>
      <sz val="11"/>
      <color theme="1"/>
      <name val="宋体"/>
      <family val="2"/>
      <scheme val="minor"/>
    </font>
    <font>
      <u/>
      <sz val="9"/>
      <color indexed="12"/>
      <name val="Times New Roman"/>
      <family val="1"/>
    </font>
    <font>
      <u/>
      <sz val="11"/>
      <color theme="10"/>
      <name val="宋体"/>
      <family val="3"/>
      <charset val="134"/>
    </font>
    <font>
      <sz val="11"/>
      <color indexed="38"/>
      <name val="宋体"/>
      <family val="3"/>
      <charset val="134"/>
    </font>
    <font>
      <sz val="11"/>
      <color indexed="17"/>
      <name val="宋体"/>
      <family val="3"/>
      <charset val="134"/>
    </font>
    <font>
      <sz val="12"/>
      <color indexed="17"/>
      <name val="宋体"/>
      <family val="3"/>
      <charset val="134"/>
    </font>
    <font>
      <sz val="11"/>
      <color rgb="FF006100"/>
      <name val="宋体"/>
      <family val="3"/>
      <charset val="134"/>
      <scheme val="minor"/>
    </font>
    <font>
      <sz val="10"/>
      <color indexed="17"/>
      <name val="Times New Roman"/>
      <family val="1"/>
    </font>
    <font>
      <sz val="11"/>
      <color indexed="21"/>
      <name val="宋体"/>
      <family val="3"/>
      <charset val="134"/>
    </font>
    <font>
      <sz val="12"/>
      <name val="新細明體"/>
      <family val="1"/>
    </font>
    <font>
      <sz val="12"/>
      <name val="官帕眉"/>
      <family val="2"/>
    </font>
    <font>
      <sz val="10"/>
      <name val="奔覆眉"/>
      <family val="2"/>
    </font>
    <font>
      <sz val="12"/>
      <name val="柧挬"/>
      <family val="2"/>
    </font>
    <font>
      <sz val="12"/>
      <name val="바탕체"/>
      <family val="3"/>
    </font>
    <font>
      <sz val="10"/>
      <color rgb="FF0000FF"/>
      <name val="宋体"/>
      <family val="3"/>
      <charset val="134"/>
    </font>
    <font>
      <sz val="10"/>
      <color rgb="FF0000FF"/>
      <name val="Arial Narrow"/>
      <family val="2"/>
    </font>
    <font>
      <sz val="9"/>
      <color indexed="81"/>
      <name val="宋体"/>
      <family val="3"/>
      <charset val="134"/>
    </font>
    <font>
      <b/>
      <sz val="9"/>
      <color indexed="81"/>
      <name val="宋体"/>
      <family val="3"/>
      <charset val="134"/>
    </font>
    <font>
      <sz val="10"/>
      <color rgb="FF0066FF"/>
      <name val="Arial Narrow"/>
      <family val="2"/>
    </font>
    <font>
      <b/>
      <sz val="10"/>
      <color rgb="FFE92841"/>
      <name val="Arial Narrow"/>
      <family val="2"/>
    </font>
    <font>
      <i/>
      <u/>
      <sz val="10"/>
      <color indexed="12"/>
      <name val="Arial Narrow"/>
      <family val="2"/>
    </font>
    <font>
      <b/>
      <sz val="10"/>
      <color rgb="FF000000"/>
      <name val="宋体"/>
      <family val="3"/>
      <charset val="134"/>
    </font>
    <font>
      <b/>
      <sz val="10"/>
      <color rgb="FF0000FF"/>
      <name val="宋体"/>
      <family val="3"/>
      <charset val="134"/>
    </font>
    <font>
      <sz val="10"/>
      <color rgb="FF000000"/>
      <name val="宋体"/>
      <family val="3"/>
      <charset val="134"/>
    </font>
    <font>
      <b/>
      <sz val="10"/>
      <color rgb="FF000000"/>
      <name val="Arial Narrow"/>
      <family val="2"/>
    </font>
    <font>
      <sz val="10"/>
      <color rgb="FF000000"/>
      <name val="Arial Narrow"/>
      <family val="2"/>
    </font>
    <font>
      <sz val="10"/>
      <color rgb="FF0000FF"/>
      <name val="宋体"/>
      <family val="3"/>
      <charset val="134"/>
      <scheme val="major"/>
    </font>
    <font>
      <sz val="10"/>
      <color indexed="10"/>
      <name val="Arial Narrow"/>
      <family val="2"/>
    </font>
    <font>
      <b/>
      <sz val="10"/>
      <color indexed="12"/>
      <name val="Arial Narrow"/>
      <family val="2"/>
    </font>
    <font>
      <u/>
      <sz val="10"/>
      <color rgb="FFFF0000"/>
      <name val="宋体"/>
      <family val="3"/>
      <charset val="134"/>
    </font>
    <font>
      <u/>
      <sz val="10"/>
      <color rgb="FFFF0000"/>
      <name val="Arial Narrow"/>
      <family val="2"/>
    </font>
    <font>
      <sz val="10"/>
      <color indexed="53"/>
      <name val="Arial Narrow"/>
      <family val="2"/>
    </font>
    <font>
      <b/>
      <sz val="14"/>
      <name val="Arial Narrow"/>
      <family val="2"/>
    </font>
    <font>
      <b/>
      <sz val="14"/>
      <name val="宋体"/>
      <family val="3"/>
      <charset val="134"/>
    </font>
    <font>
      <sz val="14"/>
      <name val="Arial Narrow"/>
      <family val="2"/>
    </font>
    <font>
      <b/>
      <sz val="14"/>
      <color indexed="8"/>
      <name val="Arial Narrow"/>
      <family val="2"/>
    </font>
    <font>
      <b/>
      <sz val="14"/>
      <color indexed="8"/>
      <name val="宋体"/>
      <family val="3"/>
      <charset val="134"/>
    </font>
    <font>
      <i/>
      <sz val="10"/>
      <color rgb="FF0000FF"/>
      <name val="宋体"/>
      <family val="3"/>
      <charset val="134"/>
    </font>
    <font>
      <u/>
      <sz val="10"/>
      <color rgb="FFE4DFEC"/>
      <name val="Arial Narrow"/>
      <family val="2"/>
    </font>
    <font>
      <b/>
      <sz val="10"/>
      <color rgb="FFE4DFEC"/>
      <name val="Arial Narrow"/>
      <family val="2"/>
    </font>
    <font>
      <sz val="10"/>
      <color rgb="FFE4DFEC"/>
      <name val="Arial Narrow"/>
      <family val="2"/>
    </font>
    <font>
      <sz val="9"/>
      <color rgb="FF0000FF"/>
      <name val="Arial Narrow"/>
      <family val="2"/>
    </font>
    <font>
      <sz val="9"/>
      <color rgb="FF0000FF"/>
      <name val="宋体"/>
      <family val="3"/>
      <charset val="134"/>
    </font>
    <font>
      <sz val="12"/>
      <color rgb="FF0000FF"/>
      <name val="Arial Narrow"/>
      <family val="2"/>
    </font>
    <font>
      <sz val="14"/>
      <color rgb="FF0000FF"/>
      <name val="Arial Narrow"/>
      <family val="2"/>
    </font>
    <font>
      <b/>
      <sz val="12"/>
      <color rgb="FF0000FF"/>
      <name val="Arial Narrow"/>
      <family val="2"/>
    </font>
    <font>
      <b/>
      <sz val="14"/>
      <color rgb="FF0000FF"/>
      <name val="Arial Narrow"/>
      <family val="2"/>
    </font>
    <font>
      <b/>
      <sz val="10"/>
      <color rgb="FF0000FF"/>
      <name val="Arial Narrow"/>
      <family val="2"/>
    </font>
  </fonts>
  <fills count="73">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3"/>
        <bgColor indexed="64"/>
      </patternFill>
    </fill>
    <fill>
      <patternFill patternType="solid">
        <fgColor indexed="14"/>
        <bgColor indexed="64"/>
      </patternFill>
    </fill>
    <fill>
      <patternFill patternType="solid">
        <fgColor theme="7" tint="0.79998168889431442"/>
        <bgColor indexed="64"/>
      </patternFill>
    </fill>
    <fill>
      <patternFill patternType="solid">
        <fgColor theme="0"/>
        <bgColor indexed="64"/>
      </patternFill>
    </fill>
    <fill>
      <patternFill patternType="solid">
        <fgColor rgb="FFE4DFEC"/>
        <bgColor indexed="64"/>
      </patternFill>
    </fill>
    <fill>
      <patternFill patternType="solid">
        <fgColor rgb="FFC6EFCE"/>
      </patternFill>
    </fill>
    <fill>
      <patternFill patternType="solid">
        <fgColor rgb="FFFFC7CE"/>
      </patternFill>
    </fill>
    <fill>
      <patternFill patternType="solid">
        <fgColor rgb="FFDCD5E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5"/>
        <bgColor indexed="64"/>
      </patternFill>
    </fill>
    <fill>
      <patternFill patternType="gray0625">
        <fgColor indexed="10"/>
      </patternFill>
    </fill>
    <fill>
      <patternFill patternType="solid">
        <fgColor indexed="62"/>
      </patternFill>
    </fill>
    <fill>
      <patternFill patternType="solid">
        <fgColor indexed="31"/>
        <bgColor indexed="31"/>
      </patternFill>
    </fill>
    <fill>
      <patternFill patternType="solid">
        <fgColor indexed="44"/>
        <bgColor indexed="44"/>
      </patternFill>
    </fill>
    <fill>
      <patternFill patternType="solid">
        <fgColor indexed="10"/>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57"/>
      </patternFill>
    </fill>
    <fill>
      <patternFill patternType="solid">
        <fgColor indexed="42"/>
        <bgColor indexed="42"/>
      </patternFill>
    </fill>
    <fill>
      <patternFill patternType="solid">
        <fgColor indexed="27"/>
        <bgColor indexed="27"/>
      </patternFill>
    </fill>
    <fill>
      <patternFill patternType="solid">
        <fgColor indexed="53"/>
      </patternFill>
    </fill>
    <fill>
      <patternFill patternType="solid">
        <fgColor indexed="47"/>
        <bgColor indexed="47"/>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15"/>
      </patternFill>
    </fill>
    <fill>
      <patternFill patternType="solid">
        <fgColor indexed="12"/>
      </patternFill>
    </fill>
    <fill>
      <patternFill patternType="solid">
        <fgColor indexed="43"/>
      </patternFill>
    </fill>
    <fill>
      <patternFill patternType="solid">
        <fgColor indexed="26"/>
      </patternFill>
    </fill>
    <fill>
      <patternFill patternType="solid">
        <fgColor indexed="9"/>
      </patternFill>
    </fill>
    <fill>
      <patternFill patternType="solid">
        <fgColor indexed="40"/>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bgColor indexed="64"/>
      </patternFill>
    </fill>
    <fill>
      <patternFill patternType="solid">
        <fgColor indexed="40"/>
      </patternFill>
    </fill>
    <fill>
      <patternFill patternType="solid">
        <fgColor indexed="44"/>
        <bgColor indexed="64"/>
      </patternFill>
    </fill>
    <fill>
      <patternFill patternType="solid">
        <fgColor indexed="41"/>
        <bgColor indexed="64"/>
      </patternFill>
    </fill>
    <fill>
      <patternFill patternType="solid">
        <fgColor indexed="9"/>
        <bgColor indexed="9"/>
      </patternFill>
    </fill>
    <fill>
      <patternFill patternType="solid">
        <fgColor indexed="45"/>
        <bgColor indexed="45"/>
      </patternFill>
    </fill>
    <fill>
      <patternFill patternType="solid">
        <fgColor indexed="13"/>
      </patternFill>
    </fill>
    <fill>
      <patternFill patternType="solid">
        <fgColor indexed="56"/>
      </patternFill>
    </fill>
    <fill>
      <patternFill patternType="solid">
        <fgColor indexed="18"/>
      </patternFill>
    </fill>
    <fill>
      <patternFill patternType="solid">
        <fgColor indexed="58"/>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0" tint="-0.499984740745262"/>
        <bgColor indexed="64"/>
      </patternFill>
    </fill>
    <fill>
      <patternFill patternType="solid">
        <fgColor theme="6" tint="0.79998168889431442"/>
        <bgColor indexed="64"/>
      </patternFill>
    </fill>
    <fill>
      <patternFill patternType="solid">
        <fgColor rgb="FFFFFF00"/>
        <bgColor indexed="64"/>
      </patternFill>
    </fill>
    <fill>
      <patternFill patternType="solid">
        <fgColor rgb="FFFF0000"/>
        <bgColor indexed="64"/>
      </patternFill>
    </fill>
    <fill>
      <patternFill patternType="solid">
        <fgColor rgb="FF0000FF"/>
        <bgColor indexed="64"/>
      </patternFill>
    </fill>
    <fill>
      <patternFill patternType="solid">
        <fgColor theme="0" tint="-0.14999847407452621"/>
        <bgColor indexed="64"/>
      </patternFill>
    </fill>
    <fill>
      <patternFill patternType="solid">
        <fgColor theme="7" tint="0.79998168889431442"/>
        <bgColor rgb="FFB7DEE8"/>
      </patternFill>
    </fill>
  </fills>
  <borders count="34">
    <border>
      <left/>
      <right/>
      <top/>
      <bottom/>
      <diagonal/>
    </border>
    <border>
      <left style="hair">
        <color indexed="64"/>
      </left>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style="hair">
        <color indexed="64"/>
      </bottom>
      <diagonal/>
    </border>
    <border>
      <left style="thin">
        <color auto="1"/>
      </left>
      <right style="thin">
        <color auto="1"/>
      </right>
      <top style="thin">
        <color auto="1"/>
      </top>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62"/>
      </top>
      <bottom style="double">
        <color indexed="62"/>
      </bottom>
      <diagonal/>
    </border>
    <border>
      <left/>
      <right/>
      <top style="medium">
        <color auto="1"/>
      </top>
      <bottom style="medium">
        <color auto="1"/>
      </bottom>
      <diagonal/>
    </border>
    <border>
      <left style="hair">
        <color indexed="64"/>
      </left>
      <right/>
      <top/>
      <bottom/>
      <diagonal/>
    </border>
    <border>
      <left/>
      <right/>
      <top style="medium">
        <color indexed="64"/>
      </top>
      <bottom/>
      <diagonal/>
    </border>
    <border>
      <left/>
      <right/>
      <top/>
      <bottom style="hair">
        <color indexed="64"/>
      </bottom>
      <diagonal/>
    </border>
    <border>
      <left style="thin">
        <color indexed="64"/>
      </left>
      <right style="thin">
        <color indexed="64"/>
      </right>
      <top style="thin">
        <color indexed="64"/>
      </top>
      <bottom style="thin">
        <color indexed="64"/>
      </bottom>
      <diagonal/>
    </border>
  </borders>
  <cellStyleXfs count="800">
    <xf numFmtId="0" fontId="0" fillId="0" borderId="0">
      <protection locked="0"/>
    </xf>
    <xf numFmtId="43" fontId="8" fillId="0" borderId="0" applyFont="0" applyFill="0" applyBorder="0" applyAlignment="0" applyProtection="0"/>
    <xf numFmtId="9" fontId="8" fillId="0" borderId="0" applyFont="0" applyFill="0" applyBorder="0" applyAlignment="0" applyProtection="0"/>
    <xf numFmtId="0" fontId="4" fillId="0" borderId="0"/>
    <xf numFmtId="0" fontId="8" fillId="0" borderId="0" applyFill="0" applyBorder="0"/>
    <xf numFmtId="49" fontId="15" fillId="0" borderId="0" applyProtection="0">
      <alignment horizontal="left"/>
    </xf>
    <xf numFmtId="177" fontId="15" fillId="0" borderId="0" applyFill="0" applyBorder="0" applyProtection="0">
      <alignment horizontal="right"/>
    </xf>
    <xf numFmtId="178" fontId="15" fillId="0" borderId="0" applyFill="0" applyBorder="0" applyProtection="0">
      <alignment horizontal="right"/>
    </xf>
    <xf numFmtId="179" fontId="22" fillId="0" borderId="0" applyFill="0" applyBorder="0" applyProtection="0">
      <alignment horizontal="center"/>
    </xf>
    <xf numFmtId="180" fontId="22" fillId="0" borderId="0" applyFill="0" applyBorder="0" applyProtection="0">
      <alignment horizontal="center"/>
    </xf>
    <xf numFmtId="181" fontId="23" fillId="0" borderId="0" applyFill="0" applyBorder="0" applyProtection="0">
      <alignment horizontal="right"/>
    </xf>
    <xf numFmtId="182" fontId="15" fillId="0" borderId="0" applyFill="0" applyBorder="0" applyProtection="0">
      <alignment horizontal="right"/>
    </xf>
    <xf numFmtId="183" fontId="15" fillId="0" borderId="0" applyFill="0" applyBorder="0" applyProtection="0">
      <alignment horizontal="right"/>
    </xf>
    <xf numFmtId="184" fontId="15" fillId="0" borderId="0" applyFill="0" applyBorder="0" applyProtection="0">
      <alignment horizontal="right"/>
    </xf>
    <xf numFmtId="185" fontId="15" fillId="0" borderId="0" applyFill="0" applyBorder="0" applyProtection="0">
      <alignment horizontal="right"/>
    </xf>
    <xf numFmtId="3" fontId="24" fillId="0" borderId="0"/>
    <xf numFmtId="186" fontId="25" fillId="0" borderId="4" applyAlignment="0" applyProtection="0"/>
    <xf numFmtId="41" fontId="26" fillId="0" borderId="0" applyFont="0" applyFill="0" applyBorder="0" applyAlignment="0" applyProtection="0"/>
    <xf numFmtId="43" fontId="26" fillId="0" borderId="0" applyFont="0" applyFill="0" applyBorder="0" applyAlignment="0" applyProtection="0"/>
    <xf numFmtId="0" fontId="15" fillId="0" borderId="0" applyFont="0" applyFill="0" applyBorder="0" applyAlignment="0" applyProtection="0"/>
    <xf numFmtId="0" fontId="27" fillId="0" borderId="0" applyNumberFormat="0" applyFill="0" applyBorder="0" applyAlignment="0" applyProtection="0">
      <alignment vertical="top"/>
      <protection locked="0"/>
    </xf>
    <xf numFmtId="38" fontId="28" fillId="2" borderId="0" applyNumberFormat="0" applyBorder="0" applyAlignment="0" applyProtection="0"/>
    <xf numFmtId="0" fontId="29" fillId="0" borderId="0" applyNumberFormat="0" applyFill="0" applyBorder="0" applyAlignment="0" applyProtection="0">
      <alignment vertical="top"/>
      <protection locked="0"/>
    </xf>
    <xf numFmtId="10" fontId="28" fillId="3" borderId="5" applyNumberFormat="0" applyBorder="0" applyAlignment="0" applyProtection="0"/>
    <xf numFmtId="0" fontId="30" fillId="0" borderId="0"/>
    <xf numFmtId="192" fontId="8" fillId="0" borderId="0"/>
    <xf numFmtId="10" fontId="26" fillId="0" borderId="0" applyFont="0" applyFill="0" applyBorder="0" applyAlignment="0" applyProtection="0"/>
    <xf numFmtId="3" fontId="31" fillId="0" borderId="0"/>
    <xf numFmtId="0" fontId="8" fillId="0" borderId="0">
      <protection locked="0"/>
    </xf>
    <xf numFmtId="0" fontId="8" fillId="0" borderId="0">
      <protection locked="0"/>
    </xf>
    <xf numFmtId="0" fontId="8" fillId="0" borderId="0">
      <alignment vertical="center"/>
    </xf>
    <xf numFmtId="0" fontId="8" fillId="0" borderId="0">
      <alignment vertical="center"/>
    </xf>
    <xf numFmtId="0" fontId="8" fillId="0" borderId="0"/>
    <xf numFmtId="0" fontId="15" fillId="0" borderId="0">
      <protection locked="0"/>
    </xf>
    <xf numFmtId="0" fontId="37" fillId="0" borderId="0" applyNumberFormat="0" applyFill="0" applyBorder="0" applyAlignment="0" applyProtection="0">
      <alignment vertical="top"/>
      <protection locked="0"/>
    </xf>
    <xf numFmtId="0" fontId="8" fillId="0" borderId="0"/>
    <xf numFmtId="0" fontId="8" fillId="0" borderId="0">
      <alignment vertical="center"/>
    </xf>
    <xf numFmtId="0" fontId="8" fillId="0" borderId="0"/>
    <xf numFmtId="0" fontId="50" fillId="0" borderId="0">
      <alignment vertical="center"/>
    </xf>
    <xf numFmtId="43" fontId="51" fillId="0" borderId="0" applyFont="0" applyFill="0" applyBorder="0" applyAlignment="0" applyProtection="0">
      <alignment vertical="center"/>
    </xf>
    <xf numFmtId="0" fontId="8" fillId="0" borderId="0">
      <alignment vertical="center"/>
      <protection locked="0"/>
    </xf>
    <xf numFmtId="0" fontId="8" fillId="0" borderId="0">
      <protection locked="0"/>
    </xf>
    <xf numFmtId="0" fontId="3" fillId="0" borderId="0">
      <alignment vertical="center"/>
    </xf>
    <xf numFmtId="0" fontId="8" fillId="0" borderId="0" applyFill="0" applyBorder="0"/>
    <xf numFmtId="0" fontId="50" fillId="0" borderId="0">
      <alignment vertical="center"/>
    </xf>
    <xf numFmtId="43" fontId="51" fillId="0" borderId="0" applyFont="0" applyFill="0" applyBorder="0" applyAlignment="0" applyProtection="0">
      <alignment vertical="center"/>
    </xf>
    <xf numFmtId="0" fontId="8" fillId="0" borderId="0">
      <protection locked="0"/>
    </xf>
    <xf numFmtId="0" fontId="8" fillId="0" borderId="0"/>
    <xf numFmtId="0" fontId="26" fillId="0" borderId="0"/>
    <xf numFmtId="0" fontId="26" fillId="0" borderId="0"/>
    <xf numFmtId="0" fontId="8" fillId="0" borderId="0" applyNumberFormat="0" applyFill="0" applyBorder="0" applyAlignment="0" applyProtection="0"/>
    <xf numFmtId="0" fontId="26" fillId="0" borderId="0"/>
    <xf numFmtId="0" fontId="26" fillId="0" borderId="0"/>
    <xf numFmtId="0" fontId="26" fillId="0" borderId="0"/>
    <xf numFmtId="0" fontId="58" fillId="0" borderId="0" applyFont="0" applyFill="0" applyBorder="0" applyAlignment="0" applyProtection="0"/>
    <xf numFmtId="0" fontId="58" fillId="0" borderId="0" applyFont="0" applyFill="0" applyBorder="0" applyAlignment="0" applyProtection="0"/>
    <xf numFmtId="0" fontId="59"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9" fontId="15" fillId="0" borderId="0" applyProtection="0">
      <alignment horizontal="left"/>
    </xf>
    <xf numFmtId="0" fontId="60" fillId="0" borderId="0">
      <alignment vertical="top"/>
      <protection locked="0"/>
    </xf>
    <xf numFmtId="0" fontId="60" fillId="0" borderId="0">
      <alignment vertical="top"/>
    </xf>
    <xf numFmtId="0" fontId="26" fillId="0" borderId="0" applyNumberFormat="0" applyFill="0" applyBorder="0" applyAlignment="0">
      <protection locked="0"/>
    </xf>
    <xf numFmtId="0" fontId="60" fillId="0" borderId="0">
      <alignment vertical="top"/>
      <protection locked="0"/>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26" fillId="0" borderId="0" applyNumberFormat="0" applyFill="0" applyBorder="0" applyAlignment="0">
      <protection locked="0"/>
    </xf>
    <xf numFmtId="0" fontId="61" fillId="0" borderId="0"/>
    <xf numFmtId="0" fontId="61" fillId="0" borderId="0"/>
    <xf numFmtId="0" fontId="61" fillId="0" borderId="0"/>
    <xf numFmtId="0" fontId="61" fillId="0" borderId="0"/>
    <xf numFmtId="0" fontId="61" fillId="0" borderId="0"/>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1" fillId="0" borderId="0"/>
    <xf numFmtId="0" fontId="61" fillId="0" borderId="0"/>
    <xf numFmtId="0" fontId="61" fillId="0" borderId="0"/>
    <xf numFmtId="0" fontId="61" fillId="0" borderId="0"/>
    <xf numFmtId="0" fontId="61" fillId="0" borderId="0"/>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1" fillId="0" borderId="0"/>
    <xf numFmtId="0" fontId="61" fillId="0" borderId="0"/>
    <xf numFmtId="0" fontId="61" fillId="0" borderId="0"/>
    <xf numFmtId="0" fontId="61" fillId="0" borderId="0"/>
    <xf numFmtId="0" fontId="61" fillId="0" borderId="0"/>
    <xf numFmtId="0" fontId="60" fillId="0" borderId="0">
      <alignment vertical="top"/>
    </xf>
    <xf numFmtId="0" fontId="26" fillId="0" borderId="0" applyNumberFormat="0" applyFill="0" applyBorder="0" applyAlignment="0" applyProtection="0"/>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xf>
    <xf numFmtId="0" fontId="60" fillId="0" borderId="0">
      <alignment vertical="top"/>
    </xf>
    <xf numFmtId="0" fontId="4" fillId="0" borderId="0"/>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protection locked="0"/>
    </xf>
    <xf numFmtId="0" fontId="60" fillId="0" borderId="0">
      <alignment vertical="top"/>
      <protection locked="0"/>
    </xf>
    <xf numFmtId="0" fontId="60" fillId="0" borderId="0">
      <alignment vertical="top"/>
      <protection locked="0"/>
    </xf>
    <xf numFmtId="0" fontId="61" fillId="0" borderId="0"/>
    <xf numFmtId="0" fontId="60" fillId="0" borderId="0">
      <alignment vertical="top"/>
    </xf>
    <xf numFmtId="0" fontId="60" fillId="0" borderId="0">
      <alignment vertical="top"/>
    </xf>
    <xf numFmtId="0" fontId="60" fillId="0" borderId="0">
      <alignment vertical="top"/>
    </xf>
    <xf numFmtId="0" fontId="61" fillId="0" borderId="0"/>
    <xf numFmtId="0" fontId="61" fillId="0" borderId="0"/>
    <xf numFmtId="0" fontId="61" fillId="0" borderId="0"/>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1" fillId="0" borderId="0"/>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protection locked="0"/>
    </xf>
    <xf numFmtId="0" fontId="61" fillId="0" borderId="0"/>
    <xf numFmtId="0" fontId="60" fillId="0" borderId="0">
      <alignment vertical="top"/>
    </xf>
    <xf numFmtId="0" fontId="60" fillId="0" borderId="0">
      <alignment vertical="top"/>
    </xf>
    <xf numFmtId="0" fontId="60" fillId="0" borderId="0">
      <alignment vertical="top"/>
    </xf>
    <xf numFmtId="0" fontId="60" fillId="0" borderId="0">
      <alignment vertical="top"/>
      <protection locked="0"/>
    </xf>
    <xf numFmtId="0" fontId="60" fillId="0" borderId="0">
      <alignment vertical="top"/>
    </xf>
    <xf numFmtId="0" fontId="60" fillId="0" borderId="0">
      <alignment vertical="top"/>
    </xf>
    <xf numFmtId="0" fontId="60" fillId="0" borderId="0">
      <alignment vertical="top"/>
    </xf>
    <xf numFmtId="0" fontId="60" fillId="0" borderId="0">
      <alignment vertical="top"/>
      <protection locked="0"/>
    </xf>
    <xf numFmtId="0" fontId="60" fillId="0" borderId="0">
      <alignment vertical="top"/>
      <protection locked="0"/>
    </xf>
    <xf numFmtId="0" fontId="60" fillId="0" borderId="0">
      <alignment vertical="top"/>
    </xf>
    <xf numFmtId="0" fontId="60" fillId="0" borderId="0">
      <alignment vertical="top"/>
      <protection locked="0"/>
    </xf>
    <xf numFmtId="0" fontId="60" fillId="0" borderId="0">
      <alignment vertical="top"/>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1" fillId="0" borderId="0"/>
    <xf numFmtId="0" fontId="60" fillId="0" borderId="0">
      <alignment vertical="top"/>
    </xf>
    <xf numFmtId="0" fontId="60" fillId="0" borderId="0">
      <alignment vertical="top"/>
    </xf>
    <xf numFmtId="0" fontId="60" fillId="0" borderId="0">
      <alignment vertical="top"/>
    </xf>
    <xf numFmtId="0" fontId="60" fillId="0" borderId="0">
      <alignment vertical="top"/>
      <protection locked="0"/>
    </xf>
    <xf numFmtId="0" fontId="60" fillId="0" borderId="0">
      <alignment vertical="top"/>
      <protection locked="0"/>
    </xf>
    <xf numFmtId="0" fontId="60" fillId="0" borderId="0">
      <alignment vertical="top"/>
      <protection locked="0"/>
    </xf>
    <xf numFmtId="0" fontId="60" fillId="0" borderId="0">
      <alignment vertical="top"/>
      <protection locked="0"/>
    </xf>
    <xf numFmtId="0" fontId="61" fillId="0" borderId="0"/>
    <xf numFmtId="202" fontId="62" fillId="0" borderId="0" applyFont="0" applyFill="0" applyBorder="0" applyAlignment="0" applyProtection="0"/>
    <xf numFmtId="0" fontId="4" fillId="0" borderId="0"/>
    <xf numFmtId="203" fontId="62" fillId="0" borderId="0" applyFont="0" applyFill="0" applyBorder="0" applyAlignment="0" applyProtection="0"/>
    <xf numFmtId="10" fontId="62" fillId="0" borderId="0" applyFont="0" applyFill="0" applyBorder="0" applyAlignment="0" applyProtection="0"/>
    <xf numFmtId="204" fontId="8" fillId="0" borderId="0" applyFont="0" applyFill="0" applyBorder="0" applyAlignment="0" applyProtection="0"/>
    <xf numFmtId="0" fontId="63" fillId="12" borderId="0" applyNumberFormat="0" applyBorder="0" applyAlignment="0" applyProtection="0"/>
    <xf numFmtId="0" fontId="63" fillId="13" borderId="0" applyNumberFormat="0" applyBorder="0" applyAlignment="0" applyProtection="0"/>
    <xf numFmtId="0" fontId="63" fillId="14" borderId="0" applyNumberFormat="0" applyBorder="0" applyAlignment="0" applyProtection="0"/>
    <xf numFmtId="0" fontId="63" fillId="15" borderId="0" applyNumberFormat="0" applyBorder="0" applyAlignment="0" applyProtection="0"/>
    <xf numFmtId="0" fontId="63" fillId="16" borderId="0" applyNumberFormat="0" applyBorder="0" applyAlignment="0" applyProtection="0"/>
    <xf numFmtId="0" fontId="63" fillId="17" borderId="0" applyNumberFormat="0" applyBorder="0" applyAlignment="0" applyProtection="0"/>
    <xf numFmtId="0" fontId="63" fillId="18" borderId="0" applyNumberFormat="0" applyBorder="0" applyAlignment="0" applyProtection="0"/>
    <xf numFmtId="0" fontId="63" fillId="19" borderId="0" applyNumberFormat="0" applyBorder="0" applyAlignment="0" applyProtection="0"/>
    <xf numFmtId="0" fontId="63" fillId="20" borderId="0" applyNumberFormat="0" applyBorder="0" applyAlignment="0" applyProtection="0"/>
    <xf numFmtId="0" fontId="63" fillId="15" borderId="0" applyNumberFormat="0" applyBorder="0" applyAlignment="0" applyProtection="0"/>
    <xf numFmtId="0" fontId="63" fillId="18" borderId="0" applyNumberFormat="0" applyBorder="0" applyAlignment="0" applyProtection="0"/>
    <xf numFmtId="0" fontId="63" fillId="21" borderId="0" applyNumberFormat="0" applyBorder="0" applyAlignment="0" applyProtection="0"/>
    <xf numFmtId="0" fontId="64" fillId="22" borderId="0" applyNumberFormat="0" applyBorder="0" applyAlignment="0" applyProtection="0"/>
    <xf numFmtId="0" fontId="64" fillId="19" borderId="0" applyNumberFormat="0" applyBorder="0" applyAlignment="0" applyProtection="0"/>
    <xf numFmtId="0" fontId="64" fillId="20" borderId="0" applyNumberFormat="0" applyBorder="0" applyAlignment="0" applyProtection="0"/>
    <xf numFmtId="0" fontId="64" fillId="23" borderId="0" applyNumberFormat="0" applyBorder="0" applyAlignment="0" applyProtection="0"/>
    <xf numFmtId="0" fontId="64" fillId="24" borderId="0" applyNumberFormat="0" applyBorder="0" applyAlignment="0" applyProtection="0"/>
    <xf numFmtId="0" fontId="64" fillId="25" borderId="0" applyNumberFormat="0" applyBorder="0" applyAlignment="0" applyProtection="0"/>
    <xf numFmtId="0" fontId="65" fillId="0" borderId="5">
      <alignment horizontal="center"/>
    </xf>
    <xf numFmtId="0" fontId="65" fillId="0" borderId="5">
      <alignment horizontal="center"/>
    </xf>
    <xf numFmtId="0" fontId="65" fillId="0" borderId="5">
      <alignment horizontal="center"/>
    </xf>
    <xf numFmtId="0" fontId="66" fillId="0" borderId="0"/>
    <xf numFmtId="0" fontId="66" fillId="0" borderId="7" applyFill="0">
      <alignment horizontal="center"/>
      <protection locked="0"/>
    </xf>
    <xf numFmtId="0" fontId="65" fillId="0" borderId="0" applyFill="0">
      <alignment horizontal="center"/>
      <protection locked="0"/>
    </xf>
    <xf numFmtId="0" fontId="65" fillId="26" borderId="0"/>
    <xf numFmtId="0" fontId="65" fillId="0" borderId="0">
      <protection locked="0"/>
    </xf>
    <xf numFmtId="0" fontId="65" fillId="0" borderId="0"/>
    <xf numFmtId="205" fontId="65" fillId="0" borderId="0"/>
    <xf numFmtId="206" fontId="65" fillId="0" borderId="0"/>
    <xf numFmtId="0" fontId="66" fillId="27" borderId="0">
      <alignment horizontal="right"/>
    </xf>
    <xf numFmtId="0" fontId="65" fillId="0" borderId="0"/>
    <xf numFmtId="0" fontId="64" fillId="28" borderId="0" applyNumberFormat="0" applyBorder="0" applyAlignment="0" applyProtection="0"/>
    <xf numFmtId="0" fontId="67" fillId="29" borderId="0" applyNumberFormat="0" applyBorder="0" applyAlignment="0" applyProtection="0"/>
    <xf numFmtId="0" fontId="67" fillId="29" borderId="0" applyNumberFormat="0" applyBorder="0" applyAlignment="0" applyProtection="0"/>
    <xf numFmtId="0" fontId="68" fillId="30" borderId="0" applyNumberFormat="0" applyBorder="0" applyAlignment="0" applyProtection="0"/>
    <xf numFmtId="0" fontId="64" fillId="31" borderId="0" applyNumberFormat="0" applyBorder="0" applyAlignment="0" applyProtection="0"/>
    <xf numFmtId="0" fontId="67" fillId="32" borderId="0" applyNumberFormat="0" applyBorder="0" applyAlignment="0" applyProtection="0"/>
    <xf numFmtId="0" fontId="67" fillId="33" borderId="0" applyNumberFormat="0" applyBorder="0" applyAlignment="0" applyProtection="0"/>
    <xf numFmtId="0" fontId="68" fillId="34" borderId="0" applyNumberFormat="0" applyBorder="0" applyAlignment="0" applyProtection="0"/>
    <xf numFmtId="0" fontId="64" fillId="35" borderId="0" applyNumberFormat="0" applyBorder="0" applyAlignment="0" applyProtection="0"/>
    <xf numFmtId="0" fontId="67" fillId="32" borderId="0" applyNumberFormat="0" applyBorder="0" applyAlignment="0" applyProtection="0"/>
    <xf numFmtId="0" fontId="67" fillId="36" borderId="0" applyNumberFormat="0" applyBorder="0" applyAlignment="0" applyProtection="0"/>
    <xf numFmtId="0" fontId="68" fillId="33" borderId="0" applyNumberFormat="0" applyBorder="0" applyAlignment="0" applyProtection="0"/>
    <xf numFmtId="0" fontId="64" fillId="23" borderId="0" applyNumberFormat="0" applyBorder="0" applyAlignment="0" applyProtection="0"/>
    <xf numFmtId="0" fontId="67" fillId="29" borderId="0" applyNumberFormat="0" applyBorder="0" applyAlignment="0" applyProtection="0"/>
    <xf numFmtId="0" fontId="67" fillId="33" borderId="0" applyNumberFormat="0" applyBorder="0" applyAlignment="0" applyProtection="0"/>
    <xf numFmtId="0" fontId="68" fillId="33" borderId="0" applyNumberFormat="0" applyBorder="0" applyAlignment="0" applyProtection="0"/>
    <xf numFmtId="0" fontId="64" fillId="24" borderId="0" applyNumberFormat="0" applyBorder="0" applyAlignment="0" applyProtection="0"/>
    <xf numFmtId="0" fontId="67" fillId="37" borderId="0" applyNumberFormat="0" applyBorder="0" applyAlignment="0" applyProtection="0"/>
    <xf numFmtId="0" fontId="67" fillId="29" borderId="0" applyNumberFormat="0" applyBorder="0" applyAlignment="0" applyProtection="0"/>
    <xf numFmtId="0" fontId="68" fillId="30" borderId="0" applyNumberFormat="0" applyBorder="0" applyAlignment="0" applyProtection="0"/>
    <xf numFmtId="0" fontId="64" fillId="38" borderId="0" applyNumberFormat="0" applyBorder="0" applyAlignment="0" applyProtection="0"/>
    <xf numFmtId="0" fontId="67" fillId="32" borderId="0" applyNumberFormat="0" applyBorder="0" applyAlignment="0" applyProtection="0"/>
    <xf numFmtId="0" fontId="67" fillId="39" borderId="0" applyNumberFormat="0" applyBorder="0" applyAlignment="0" applyProtection="0"/>
    <xf numFmtId="0" fontId="68" fillId="39" borderId="0" applyNumberFormat="0" applyBorder="0" applyAlignment="0" applyProtection="0"/>
    <xf numFmtId="0" fontId="69" fillId="0" borderId="0">
      <alignment horizontal="center" wrapText="1"/>
      <protection locked="0"/>
    </xf>
    <xf numFmtId="0" fontId="70" fillId="13" borderId="0" applyNumberFormat="0" applyBorder="0" applyAlignment="0" applyProtection="0"/>
    <xf numFmtId="186" fontId="25" fillId="0" borderId="4" applyAlignment="0" applyProtection="0"/>
    <xf numFmtId="186" fontId="25" fillId="0" borderId="4" applyAlignment="0" applyProtection="0"/>
    <xf numFmtId="207" fontId="60" fillId="0" borderId="0" applyFill="0" applyBorder="0" applyAlignment="0"/>
    <xf numFmtId="208" fontId="8" fillId="0" borderId="0" applyFill="0" applyBorder="0" applyAlignment="0"/>
    <xf numFmtId="209" fontId="26" fillId="0" borderId="0" applyFill="0" applyBorder="0" applyAlignment="0"/>
    <xf numFmtId="210" fontId="26" fillId="0" borderId="0" applyFill="0" applyBorder="0" applyAlignment="0"/>
    <xf numFmtId="211" fontId="26" fillId="0" borderId="0" applyFill="0" applyBorder="0" applyAlignment="0"/>
    <xf numFmtId="212" fontId="26" fillId="0" borderId="0" applyFill="0" applyBorder="0" applyAlignment="0"/>
    <xf numFmtId="213" fontId="26" fillId="0" borderId="0" applyFill="0" applyBorder="0" applyAlignment="0"/>
    <xf numFmtId="214" fontId="26" fillId="0" borderId="0" applyFill="0" applyBorder="0" applyAlignment="0"/>
    <xf numFmtId="209" fontId="26" fillId="0" borderId="0" applyFill="0" applyBorder="0" applyAlignment="0"/>
    <xf numFmtId="0" fontId="71" fillId="40" borderId="16" applyNumberFormat="0" applyAlignment="0" applyProtection="0"/>
    <xf numFmtId="0" fontId="72" fillId="0" borderId="0"/>
    <xf numFmtId="0" fontId="73" fillId="41" borderId="17" applyNumberFormat="0" applyAlignment="0" applyProtection="0"/>
    <xf numFmtId="0" fontId="74" fillId="0" borderId="18" applyNumberFormat="0" applyFill="0" applyProtection="0">
      <alignment horizontal="center"/>
    </xf>
    <xf numFmtId="0" fontId="75" fillId="0" borderId="14">
      <alignment horizontal="center"/>
    </xf>
    <xf numFmtId="215" fontId="26" fillId="0" borderId="0"/>
    <xf numFmtId="215" fontId="26" fillId="0" borderId="0"/>
    <xf numFmtId="215" fontId="26" fillId="0" borderId="0"/>
    <xf numFmtId="215" fontId="26" fillId="0" borderId="0"/>
    <xf numFmtId="215" fontId="26" fillId="0" borderId="0"/>
    <xf numFmtId="215" fontId="26" fillId="0" borderId="0"/>
    <xf numFmtId="215" fontId="26" fillId="0" borderId="0"/>
    <xf numFmtId="215" fontId="26" fillId="0" borderId="0"/>
    <xf numFmtId="216" fontId="8" fillId="0" borderId="0" applyFont="0" applyFill="0" applyBorder="0" applyAlignment="0" applyProtection="0"/>
    <xf numFmtId="213" fontId="26"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217" fontId="15" fillId="0" borderId="0"/>
    <xf numFmtId="37" fontId="62" fillId="0" borderId="0" applyFont="0" applyFill="0" applyBorder="0" applyAlignment="0" applyProtection="0"/>
    <xf numFmtId="218" fontId="62" fillId="0" borderId="0" applyFont="0" applyFill="0" applyBorder="0" applyAlignment="0" applyProtection="0"/>
    <xf numFmtId="39" fontId="62" fillId="0" borderId="0" applyFont="0" applyFill="0" applyBorder="0" applyAlignment="0" applyProtection="0"/>
    <xf numFmtId="40" fontId="76" fillId="0" borderId="0" applyFont="0" applyFill="0" applyBorder="0" applyAlignment="0" applyProtection="0"/>
    <xf numFmtId="0" fontId="77" fillId="0" borderId="0" applyNumberFormat="0" applyAlignment="0">
      <alignment horizontal="left"/>
    </xf>
    <xf numFmtId="0" fontId="30" fillId="0" borderId="0" applyNumberFormat="0" applyAlignment="0"/>
    <xf numFmtId="216" fontId="78" fillId="0" borderId="0" applyFont="0" applyFill="0" applyBorder="0" applyAlignment="0" applyProtection="0"/>
    <xf numFmtId="209" fontId="26" fillId="0" borderId="0" applyFont="0" applyFill="0" applyBorder="0" applyAlignment="0" applyProtection="0"/>
    <xf numFmtId="186" fontId="62" fillId="0" borderId="0" applyFont="0" applyFill="0" applyBorder="0" applyAlignment="0" applyProtection="0"/>
    <xf numFmtId="219" fontId="62" fillId="0" borderId="0" applyFont="0" applyFill="0" applyBorder="0" applyAlignment="0" applyProtection="0"/>
    <xf numFmtId="220" fontId="8" fillId="0" borderId="0" applyFont="0" applyFill="0" applyBorder="0" applyAlignment="0" applyProtection="0"/>
    <xf numFmtId="221" fontId="15" fillId="0" borderId="0"/>
    <xf numFmtId="222" fontId="26" fillId="0" borderId="0">
      <protection locked="0"/>
    </xf>
    <xf numFmtId="15" fontId="76" fillId="0" borderId="0"/>
    <xf numFmtId="14" fontId="60" fillId="0" borderId="0" applyFill="0" applyBorder="0" applyAlignment="0"/>
    <xf numFmtId="222" fontId="26" fillId="0" borderId="0">
      <protection locked="0"/>
    </xf>
    <xf numFmtId="223" fontId="15" fillId="0" borderId="0"/>
    <xf numFmtId="0" fontId="79" fillId="0" borderId="0" applyNumberFormat="0" applyFill="0" applyBorder="0" applyAlignment="0" applyProtection="0"/>
    <xf numFmtId="213" fontId="26" fillId="0" borderId="0" applyFill="0" applyBorder="0" applyAlignment="0"/>
    <xf numFmtId="209" fontId="26" fillId="0" borderId="0" applyFill="0" applyBorder="0" applyAlignment="0"/>
    <xf numFmtId="213" fontId="26" fillId="0" borderId="0" applyFill="0" applyBorder="0" applyAlignment="0"/>
    <xf numFmtId="214" fontId="26" fillId="0" borderId="0" applyFill="0" applyBorder="0" applyAlignment="0"/>
    <xf numFmtId="209" fontId="26" fillId="0" borderId="0" applyFill="0" applyBorder="0" applyAlignment="0"/>
    <xf numFmtId="0" fontId="80" fillId="0" borderId="0" applyNumberFormat="0" applyAlignment="0">
      <alignment horizontal="left"/>
    </xf>
    <xf numFmtId="0" fontId="81" fillId="0" borderId="0">
      <alignment horizontal="left"/>
    </xf>
    <xf numFmtId="0" fontId="81" fillId="0" borderId="0">
      <alignment horizontal="left"/>
    </xf>
    <xf numFmtId="0" fontId="81" fillId="0" borderId="0">
      <alignment horizontal="left"/>
    </xf>
    <xf numFmtId="0" fontId="28" fillId="42" borderId="5"/>
    <xf numFmtId="0" fontId="28" fillId="42" borderId="5"/>
    <xf numFmtId="0" fontId="28" fillId="42" borderId="5"/>
    <xf numFmtId="0" fontId="28" fillId="42" borderId="5"/>
    <xf numFmtId="0" fontId="28" fillId="42" borderId="5"/>
    <xf numFmtId="0" fontId="28" fillId="42" borderId="5"/>
    <xf numFmtId="0" fontId="28" fillId="42" borderId="5"/>
    <xf numFmtId="0" fontId="82" fillId="0" borderId="0" applyNumberFormat="0" applyFill="0" applyBorder="0" applyAlignment="0" applyProtection="0"/>
    <xf numFmtId="222" fontId="26" fillId="0" borderId="0">
      <protection locked="0"/>
    </xf>
    <xf numFmtId="222" fontId="26" fillId="0" borderId="0">
      <protection locked="0"/>
    </xf>
    <xf numFmtId="222" fontId="26" fillId="0" borderId="0">
      <protection locked="0"/>
    </xf>
    <xf numFmtId="222" fontId="26" fillId="0" borderId="0">
      <protection locked="0"/>
    </xf>
    <xf numFmtId="222" fontId="26" fillId="0" borderId="0">
      <protection locked="0"/>
    </xf>
    <xf numFmtId="222" fontId="26" fillId="0" borderId="0">
      <protection locked="0"/>
    </xf>
    <xf numFmtId="222" fontId="26" fillId="0" borderId="0">
      <protection locked="0"/>
    </xf>
    <xf numFmtId="222" fontId="26" fillId="0" borderId="0">
      <protection locked="0"/>
    </xf>
    <xf numFmtId="0" fontId="83" fillId="14" borderId="0" applyNumberFormat="0" applyBorder="0" applyAlignment="0" applyProtection="0"/>
    <xf numFmtId="0" fontId="84" fillId="0" borderId="0">
      <alignment horizontal="left"/>
    </xf>
    <xf numFmtId="0" fontId="54" fillId="0" borderId="6" applyNumberFormat="0" applyAlignment="0" applyProtection="0">
      <alignment horizontal="left" vertical="center"/>
    </xf>
    <xf numFmtId="0" fontId="54" fillId="0" borderId="6" applyNumberFormat="0" applyAlignment="0" applyProtection="0">
      <alignment horizontal="left" vertical="center"/>
    </xf>
    <xf numFmtId="0" fontId="54" fillId="0" borderId="6" applyNumberFormat="0" applyAlignment="0" applyProtection="0">
      <alignment horizontal="left" vertical="center"/>
    </xf>
    <xf numFmtId="0" fontId="54" fillId="0" borderId="15">
      <alignment horizontal="left" vertical="center"/>
    </xf>
    <xf numFmtId="0" fontId="54" fillId="0" borderId="15">
      <alignment horizontal="left" vertical="center"/>
    </xf>
    <xf numFmtId="0" fontId="54" fillId="0" borderId="15">
      <alignment horizontal="left" vertical="center"/>
    </xf>
    <xf numFmtId="14" fontId="53" fillId="43" borderId="7">
      <alignment horizontal="center" vertical="center" wrapText="1"/>
    </xf>
    <xf numFmtId="0" fontId="85" fillId="0" borderId="19" applyNumberFormat="0" applyFill="0" applyAlignment="0" applyProtection="0"/>
    <xf numFmtId="0" fontId="86" fillId="0" borderId="20" applyNumberFormat="0" applyFill="0" applyAlignment="0" applyProtection="0"/>
    <xf numFmtId="0" fontId="87" fillId="0" borderId="21" applyNumberFormat="0" applyFill="0" applyAlignment="0" applyProtection="0"/>
    <xf numFmtId="0" fontId="87" fillId="0" borderId="0" applyNumberFormat="0" applyFill="0" applyBorder="0" applyAlignment="0" applyProtection="0"/>
    <xf numFmtId="222" fontId="26" fillId="0" borderId="0">
      <protection locked="0"/>
    </xf>
    <xf numFmtId="222" fontId="26" fillId="0" borderId="0">
      <protection locked="0"/>
    </xf>
    <xf numFmtId="0" fontId="88" fillId="17" borderId="22" applyNumberFormat="0" applyAlignment="0" applyProtection="0"/>
    <xf numFmtId="10" fontId="28" fillId="3" borderId="5" applyNumberFormat="0" applyBorder="0" applyAlignment="0" applyProtection="0"/>
    <xf numFmtId="10" fontId="28" fillId="3" borderId="5" applyNumberFormat="0" applyBorder="0" applyAlignment="0" applyProtection="0"/>
    <xf numFmtId="218" fontId="89" fillId="44" borderId="0"/>
    <xf numFmtId="224" fontId="8" fillId="44" borderId="0"/>
    <xf numFmtId="0" fontId="15" fillId="0" borderId="0" applyNumberFormat="0" applyFont="0" applyFill="0" applyBorder="0" applyProtection="0">
      <alignment horizontal="left" vertical="center"/>
    </xf>
    <xf numFmtId="0" fontId="15" fillId="0" borderId="0" applyNumberFormat="0" applyFont="0" applyFill="0" applyBorder="0" applyProtection="0">
      <alignment horizontal="left" vertical="center"/>
    </xf>
    <xf numFmtId="0" fontId="15" fillId="0" borderId="0" applyNumberFormat="0" applyFont="0" applyFill="0" applyBorder="0" applyProtection="0">
      <alignment horizontal="left" vertical="center"/>
    </xf>
    <xf numFmtId="213" fontId="26" fillId="0" borderId="0" applyFill="0" applyBorder="0" applyAlignment="0"/>
    <xf numFmtId="209" fontId="26" fillId="0" borderId="0" applyFill="0" applyBorder="0" applyAlignment="0"/>
    <xf numFmtId="213" fontId="26" fillId="0" borderId="0" applyFill="0" applyBorder="0" applyAlignment="0"/>
    <xf numFmtId="214" fontId="26" fillId="0" borderId="0" applyFill="0" applyBorder="0" applyAlignment="0"/>
    <xf numFmtId="209" fontId="26" fillId="0" borderId="0" applyFill="0" applyBorder="0" applyAlignment="0"/>
    <xf numFmtId="0" fontId="90" fillId="0" borderId="23" applyNumberFormat="0" applyFill="0" applyAlignment="0" applyProtection="0"/>
    <xf numFmtId="218" fontId="91" fillId="45" borderId="0"/>
    <xf numFmtId="224" fontId="8" fillId="45" borderId="0"/>
    <xf numFmtId="41" fontId="26" fillId="0" borderId="0" applyFont="0" applyFill="0" applyBorder="0" applyAlignment="0" applyProtection="0"/>
    <xf numFmtId="43" fontId="26" fillId="0" borderId="0" applyFont="0" applyFill="0" applyBorder="0" applyAlignment="0" applyProtection="0"/>
    <xf numFmtId="0" fontId="26" fillId="0" borderId="0" applyFont="0" applyFill="0" applyBorder="0" applyAlignment="0" applyProtection="0"/>
    <xf numFmtId="0" fontId="26" fillId="0" borderId="0" applyFont="0" applyFill="0" applyBorder="0" applyAlignment="0" applyProtection="0"/>
    <xf numFmtId="0" fontId="92" fillId="0" borderId="7"/>
    <xf numFmtId="216" fontId="26" fillId="0" borderId="0" applyFont="0" applyFill="0" applyBorder="0" applyAlignment="0" applyProtection="0"/>
    <xf numFmtId="225" fontId="26" fillId="0" borderId="0" applyFont="0" applyFill="0" applyBorder="0" applyAlignment="0" applyProtection="0"/>
    <xf numFmtId="0" fontId="26" fillId="0" borderId="0" applyFont="0" applyFill="0" applyBorder="0" applyAlignment="0" applyProtection="0"/>
    <xf numFmtId="0" fontId="26" fillId="0" borderId="0" applyFont="0" applyFill="0" applyBorder="0" applyAlignment="0" applyProtection="0"/>
    <xf numFmtId="226" fontId="26" fillId="0" borderId="0" applyFont="0" applyFill="0" applyBorder="0" applyAlignment="0" applyProtection="0"/>
    <xf numFmtId="227" fontId="8" fillId="0" borderId="0" applyFont="0" applyFill="0" applyBorder="0" applyAlignment="0" applyProtection="0"/>
    <xf numFmtId="0" fontId="93" fillId="46" borderId="0" applyNumberFormat="0" applyBorder="0" applyAlignment="0" applyProtection="0"/>
    <xf numFmtId="0" fontId="15" fillId="0" borderId="0"/>
    <xf numFmtId="37" fontId="94" fillId="0" borderId="0"/>
    <xf numFmtId="192" fontId="8" fillId="0" borderId="0"/>
    <xf numFmtId="0" fontId="26" fillId="0" borderId="0"/>
    <xf numFmtId="0" fontId="26" fillId="0" borderId="0"/>
    <xf numFmtId="0" fontId="8" fillId="0" borderId="0"/>
    <xf numFmtId="0" fontId="8" fillId="0" borderId="0"/>
    <xf numFmtId="0" fontId="8" fillId="0" borderId="0">
      <alignment vertical="center"/>
    </xf>
    <xf numFmtId="0" fontId="76" fillId="0" borderId="0"/>
    <xf numFmtId="0" fontId="95" fillId="0" borderId="0"/>
    <xf numFmtId="0" fontId="26" fillId="47" borderId="24" applyNumberFormat="0" applyFont="0" applyAlignment="0" applyProtection="0"/>
    <xf numFmtId="228" fontId="8" fillId="0" borderId="0" applyFont="0" applyFill="0" applyBorder="0" applyAlignment="0" applyProtection="0"/>
    <xf numFmtId="229" fontId="8" fillId="0" borderId="0" applyFont="0" applyFill="0" applyBorder="0" applyAlignment="0" applyProtection="0"/>
    <xf numFmtId="0" fontId="96" fillId="40" borderId="25" applyNumberFormat="0" applyAlignment="0" applyProtection="0"/>
    <xf numFmtId="14" fontId="69" fillId="0" borderId="0">
      <alignment horizontal="center" wrapText="1"/>
      <protection locked="0"/>
    </xf>
    <xf numFmtId="230" fontId="26" fillId="0" borderId="0" applyFont="0" applyFill="0" applyBorder="0" applyAlignment="0" applyProtection="0"/>
    <xf numFmtId="212" fontId="26" fillId="0" borderId="0" applyFont="0" applyFill="0" applyBorder="0" applyAlignment="0" applyProtection="0"/>
    <xf numFmtId="202" fontId="26" fillId="0" borderId="0" applyFont="0" applyFill="0" applyBorder="0" applyAlignment="0" applyProtection="0"/>
    <xf numFmtId="9" fontId="61" fillId="0" borderId="0" applyFont="0" applyFill="0" applyBorder="0" applyAlignment="0" applyProtection="0"/>
    <xf numFmtId="13" fontId="26" fillId="0" borderId="0" applyFont="0" applyFill="0" applyProtection="0"/>
    <xf numFmtId="0" fontId="28" fillId="2" borderId="5"/>
    <xf numFmtId="0" fontId="28" fillId="2" borderId="5"/>
    <xf numFmtId="0" fontId="28" fillId="2" borderId="5"/>
    <xf numFmtId="0" fontId="28" fillId="2" borderId="5"/>
    <xf numFmtId="0" fontId="28" fillId="2" borderId="5"/>
    <xf numFmtId="0" fontId="28" fillId="2" borderId="5"/>
    <xf numFmtId="0" fontId="28" fillId="2" borderId="5"/>
    <xf numFmtId="213" fontId="26" fillId="0" borderId="0" applyFill="0" applyBorder="0" applyAlignment="0"/>
    <xf numFmtId="209" fontId="26" fillId="0" borderId="0" applyFill="0" applyBorder="0" applyAlignment="0"/>
    <xf numFmtId="213" fontId="26" fillId="0" borderId="0" applyFill="0" applyBorder="0" applyAlignment="0"/>
    <xf numFmtId="214" fontId="26" fillId="0" borderId="0" applyFill="0" applyBorder="0" applyAlignment="0"/>
    <xf numFmtId="209" fontId="26" fillId="0" borderId="0" applyFill="0" applyBorder="0" applyAlignment="0"/>
    <xf numFmtId="4" fontId="81" fillId="0" borderId="0">
      <alignment horizontal="right"/>
    </xf>
    <xf numFmtId="231" fontId="97" fillId="0" borderId="0"/>
    <xf numFmtId="204" fontId="97" fillId="0" borderId="0"/>
    <xf numFmtId="0" fontId="76" fillId="0" borderId="0" applyNumberFormat="0" applyFont="0" applyFill="0" applyBorder="0" applyAlignment="0" applyProtection="0">
      <alignment horizontal="left"/>
    </xf>
    <xf numFmtId="0" fontId="25" fillId="0" borderId="7">
      <alignment horizontal="center"/>
    </xf>
    <xf numFmtId="4" fontId="98" fillId="0" borderId="0">
      <alignment horizontal="right"/>
    </xf>
    <xf numFmtId="232" fontId="4" fillId="0" borderId="0" applyNumberFormat="0" applyFill="0" applyBorder="0" applyAlignment="0" applyProtection="0">
      <alignment horizontal="left"/>
    </xf>
    <xf numFmtId="233" fontId="8" fillId="0" borderId="0" applyNumberFormat="0" applyFill="0" applyBorder="0" applyAlignment="0" applyProtection="0">
      <alignment horizontal="left"/>
    </xf>
    <xf numFmtId="41" fontId="15" fillId="0" borderId="0" applyFont="0" applyFill="0" applyBorder="0" applyAlignment="0" applyProtection="0"/>
    <xf numFmtId="0" fontId="99" fillId="48" borderId="0">
      <alignment horizontal="left" vertical="center"/>
    </xf>
    <xf numFmtId="0" fontId="99" fillId="48" borderId="0">
      <alignment horizontal="right" vertical="center"/>
    </xf>
    <xf numFmtId="4" fontId="100" fillId="46" borderId="26" applyNumberFormat="0" applyProtection="0">
      <alignment vertical="center"/>
    </xf>
    <xf numFmtId="4" fontId="101" fillId="4" borderId="26" applyNumberFormat="0" applyProtection="0">
      <alignment vertical="center"/>
    </xf>
    <xf numFmtId="4" fontId="100" fillId="4" borderId="26" applyNumberFormat="0" applyProtection="0">
      <alignment horizontal="left" vertical="center" indent="1"/>
    </xf>
    <xf numFmtId="0" fontId="100" fillId="4" borderId="26" applyNumberFormat="0" applyProtection="0">
      <alignment horizontal="left" vertical="top" indent="1"/>
    </xf>
    <xf numFmtId="4" fontId="100" fillId="49" borderId="0" applyNumberFormat="0" applyProtection="0">
      <alignment horizontal="left" vertical="center" indent="1"/>
    </xf>
    <xf numFmtId="4" fontId="60" fillId="13" borderId="26" applyNumberFormat="0" applyProtection="0">
      <alignment horizontal="right" vertical="center"/>
    </xf>
    <xf numFmtId="4" fontId="60" fillId="19" borderId="26" applyNumberFormat="0" applyProtection="0">
      <alignment horizontal="right" vertical="center"/>
    </xf>
    <xf numFmtId="4" fontId="60" fillId="31" borderId="26" applyNumberFormat="0" applyProtection="0">
      <alignment horizontal="right" vertical="center"/>
    </xf>
    <xf numFmtId="4" fontId="60" fillId="21" borderId="26" applyNumberFormat="0" applyProtection="0">
      <alignment horizontal="right" vertical="center"/>
    </xf>
    <xf numFmtId="4" fontId="60" fillId="25" borderId="26" applyNumberFormat="0" applyProtection="0">
      <alignment horizontal="right" vertical="center"/>
    </xf>
    <xf numFmtId="4" fontId="60" fillId="38" borderId="26" applyNumberFormat="0" applyProtection="0">
      <alignment horizontal="right" vertical="center"/>
    </xf>
    <xf numFmtId="4" fontId="60" fillId="35" borderId="26" applyNumberFormat="0" applyProtection="0">
      <alignment horizontal="right" vertical="center"/>
    </xf>
    <xf numFmtId="4" fontId="60" fillId="50" borderId="26" applyNumberFormat="0" applyProtection="0">
      <alignment horizontal="right" vertical="center"/>
    </xf>
    <xf numFmtId="4" fontId="60" fillId="20" borderId="26" applyNumberFormat="0" applyProtection="0">
      <alignment horizontal="right" vertical="center"/>
    </xf>
    <xf numFmtId="4" fontId="100" fillId="51" borderId="27" applyNumberFormat="0" applyProtection="0">
      <alignment horizontal="left" vertical="center" indent="1"/>
    </xf>
    <xf numFmtId="4" fontId="60" fillId="52" borderId="0" applyNumberFormat="0" applyProtection="0">
      <alignment horizontal="left" vertical="center" indent="1"/>
    </xf>
    <xf numFmtId="4" fontId="102" fillId="53" borderId="0" applyNumberFormat="0" applyProtection="0">
      <alignment horizontal="left" vertical="center" indent="1"/>
    </xf>
    <xf numFmtId="4" fontId="60" fillId="54" borderId="26" applyNumberFormat="0" applyProtection="0">
      <alignment horizontal="right" vertical="center"/>
    </xf>
    <xf numFmtId="4" fontId="60" fillId="52" borderId="0" applyNumberFormat="0" applyProtection="0">
      <alignment horizontal="left" vertical="center" indent="1"/>
    </xf>
    <xf numFmtId="4" fontId="60" fillId="49" borderId="0" applyNumberFormat="0" applyProtection="0">
      <alignment horizontal="left" vertical="center" indent="1"/>
    </xf>
    <xf numFmtId="0" fontId="26" fillId="53" borderId="26" applyNumberFormat="0" applyProtection="0">
      <alignment horizontal="left" vertical="center" indent="1"/>
    </xf>
    <xf numFmtId="0" fontId="26" fillId="53" borderId="26" applyNumberFormat="0" applyProtection="0">
      <alignment horizontal="left" vertical="top" indent="1"/>
    </xf>
    <xf numFmtId="0" fontId="26" fillId="49" borderId="26" applyNumberFormat="0" applyProtection="0">
      <alignment horizontal="left" vertical="center" indent="1"/>
    </xf>
    <xf numFmtId="0" fontId="26" fillId="49" borderId="26" applyNumberFormat="0" applyProtection="0">
      <alignment horizontal="left" vertical="top" indent="1"/>
    </xf>
    <xf numFmtId="0" fontId="26" fillId="55" borderId="26" applyNumberFormat="0" applyProtection="0">
      <alignment horizontal="left" vertical="center" indent="1"/>
    </xf>
    <xf numFmtId="0" fontId="26" fillId="55" borderId="26" applyNumberFormat="0" applyProtection="0">
      <alignment horizontal="left" vertical="top" indent="1"/>
    </xf>
    <xf numFmtId="0" fontId="26" fillId="56" borderId="26" applyNumberFormat="0" applyProtection="0">
      <alignment horizontal="left" vertical="center" indent="1"/>
    </xf>
    <xf numFmtId="0" fontId="26" fillId="56" borderId="26" applyNumberFormat="0" applyProtection="0">
      <alignment horizontal="left" vertical="top" indent="1"/>
    </xf>
    <xf numFmtId="4" fontId="60" fillId="3" borderId="26" applyNumberFormat="0" applyProtection="0">
      <alignment vertical="center"/>
    </xf>
    <xf numFmtId="4" fontId="103" fillId="3" borderId="26" applyNumberFormat="0" applyProtection="0">
      <alignment vertical="center"/>
    </xf>
    <xf numFmtId="4" fontId="60" fillId="3" borderId="26" applyNumberFormat="0" applyProtection="0">
      <alignment horizontal="left" vertical="center" indent="1"/>
    </xf>
    <xf numFmtId="0" fontId="60" fillId="3" borderId="26" applyNumberFormat="0" applyProtection="0">
      <alignment horizontal="left" vertical="top" indent="1"/>
    </xf>
    <xf numFmtId="4" fontId="60" fillId="52" borderId="26" applyNumberFormat="0" applyProtection="0">
      <alignment horizontal="right" vertical="center"/>
    </xf>
    <xf numFmtId="4" fontId="103" fillId="52" borderId="26" applyNumberFormat="0" applyProtection="0">
      <alignment horizontal="right" vertical="center"/>
    </xf>
    <xf numFmtId="4" fontId="60" fillId="54" borderId="26" applyNumberFormat="0" applyProtection="0">
      <alignment horizontal="left" vertical="center" indent="1"/>
    </xf>
    <xf numFmtId="0" fontId="60" fillId="49" borderId="26" applyNumberFormat="0" applyProtection="0">
      <alignment horizontal="left" vertical="top" indent="1"/>
    </xf>
    <xf numFmtId="4" fontId="104" fillId="44" borderId="0" applyNumberFormat="0" applyProtection="0">
      <alignment horizontal="left" vertical="center" indent="1"/>
    </xf>
    <xf numFmtId="4" fontId="55" fillId="52" borderId="26" applyNumberFormat="0" applyProtection="0">
      <alignment horizontal="right" vertical="center"/>
    </xf>
    <xf numFmtId="0" fontId="105" fillId="0" borderId="0">
      <alignment horizontal="left"/>
    </xf>
    <xf numFmtId="0" fontId="105" fillId="0" borderId="0">
      <alignment horizontal="left"/>
    </xf>
    <xf numFmtId="0" fontId="105" fillId="0" borderId="0">
      <alignment horizontal="left"/>
    </xf>
    <xf numFmtId="43" fontId="28" fillId="0" borderId="8"/>
    <xf numFmtId="0" fontId="95" fillId="0" borderId="0"/>
    <xf numFmtId="0" fontId="106" fillId="0" borderId="5">
      <alignment horizontal="center"/>
    </xf>
    <xf numFmtId="0" fontId="106" fillId="0" borderId="5">
      <alignment horizontal="center"/>
    </xf>
    <xf numFmtId="0" fontId="106" fillId="0" borderId="5">
      <alignment horizontal="center"/>
    </xf>
    <xf numFmtId="0" fontId="106" fillId="0" borderId="5">
      <alignment horizontal="center"/>
    </xf>
    <xf numFmtId="0" fontId="106" fillId="0" borderId="5">
      <alignment horizontal="center"/>
    </xf>
    <xf numFmtId="0" fontId="106" fillId="0" borderId="5">
      <alignment horizontal="center"/>
    </xf>
    <xf numFmtId="0" fontId="106" fillId="0" borderId="5">
      <alignment horizontal="center"/>
    </xf>
    <xf numFmtId="0" fontId="106" fillId="0" borderId="0">
      <alignment horizontal="center" vertical="center"/>
    </xf>
    <xf numFmtId="0" fontId="106" fillId="0" borderId="0">
      <alignment horizontal="center" vertical="center"/>
    </xf>
    <xf numFmtId="0" fontId="106" fillId="0" borderId="0">
      <alignment horizontal="center" vertical="center"/>
    </xf>
    <xf numFmtId="0" fontId="107" fillId="57" borderId="0" applyNumberFormat="0" applyFill="0">
      <alignment horizontal="left" vertical="center"/>
    </xf>
    <xf numFmtId="0" fontId="107" fillId="57" borderId="0" applyNumberFormat="0" applyFill="0">
      <alignment horizontal="left" vertical="center"/>
    </xf>
    <xf numFmtId="0" fontId="107" fillId="57" borderId="0" applyNumberFormat="0" applyFill="0">
      <alignment horizontal="left" vertical="center"/>
    </xf>
    <xf numFmtId="0" fontId="92" fillId="0" borderId="0"/>
    <xf numFmtId="40" fontId="108" fillId="0" borderId="0" applyBorder="0">
      <alignment horizontal="right"/>
    </xf>
    <xf numFmtId="49" fontId="60" fillId="0" borderId="0" applyFill="0" applyBorder="0" applyAlignment="0"/>
    <xf numFmtId="234" fontId="60" fillId="0" borderId="0" applyFill="0" applyBorder="0" applyAlignment="0"/>
    <xf numFmtId="235" fontId="26" fillId="0" borderId="0" applyFill="0" applyBorder="0" applyAlignment="0"/>
    <xf numFmtId="0" fontId="109" fillId="0" borderId="0" applyFill="0" applyBorder="0" applyProtection="0">
      <alignment horizontal="left" vertical="top"/>
    </xf>
    <xf numFmtId="0" fontId="109" fillId="0" borderId="0" applyFill="0" applyBorder="0" applyProtection="0">
      <alignment horizontal="left" vertical="top"/>
    </xf>
    <xf numFmtId="0" fontId="109" fillId="0" borderId="0" applyFill="0" applyBorder="0" applyProtection="0">
      <alignment horizontal="left" vertical="top"/>
    </xf>
    <xf numFmtId="0" fontId="110" fillId="0" borderId="0">
      <alignment horizontal="center"/>
    </xf>
    <xf numFmtId="0" fontId="110" fillId="0" borderId="0">
      <alignment horizontal="center"/>
    </xf>
    <xf numFmtId="0" fontId="110" fillId="0" borderId="0">
      <alignment horizontal="center"/>
    </xf>
    <xf numFmtId="0" fontId="111" fillId="0" borderId="28" applyNumberFormat="0" applyFill="0" applyAlignment="0" applyProtection="0"/>
    <xf numFmtId="236" fontId="26" fillId="0" borderId="0" applyFont="0" applyFill="0" applyBorder="0" applyAlignment="0" applyProtection="0"/>
    <xf numFmtId="237" fontId="26" fillId="0" borderId="0" applyFont="0" applyFill="0" applyBorder="0" applyAlignment="0" applyProtection="0"/>
    <xf numFmtId="238" fontId="8" fillId="0" borderId="0" applyFont="0" applyFill="0" applyBorder="0" applyAlignment="0" applyProtection="0"/>
    <xf numFmtId="239" fontId="8" fillId="0" borderId="0" applyFont="0" applyFill="0" applyBorder="0" applyAlignment="0" applyProtection="0"/>
    <xf numFmtId="0" fontId="112" fillId="0" borderId="0" applyNumberFormat="0" applyFill="0" applyBorder="0" applyAlignment="0" applyProtection="0"/>
    <xf numFmtId="0" fontId="113" fillId="0" borderId="0" applyNumberFormat="0" applyFont="0" applyFill="0" applyBorder="0" applyProtection="0">
      <alignment horizontal="center" vertical="center" wrapText="1"/>
    </xf>
    <xf numFmtId="0" fontId="113" fillId="0" borderId="0" applyNumberFormat="0" applyFont="0" applyFill="0" applyBorder="0" applyProtection="0">
      <alignment horizontal="center" vertical="center" wrapText="1"/>
    </xf>
    <xf numFmtId="0" fontId="113" fillId="0" borderId="0" applyNumberFormat="0" applyFont="0" applyFill="0" applyBorder="0" applyProtection="0">
      <alignment horizontal="center" vertical="center" wrapText="1"/>
    </xf>
    <xf numFmtId="9" fontId="114" fillId="0" borderId="0" applyFont="0" applyFill="0" applyBorder="0" applyAlignment="0" applyProtection="0"/>
    <xf numFmtId="0" fontId="4" fillId="0" borderId="0"/>
    <xf numFmtId="0" fontId="9" fillId="0" borderId="0"/>
    <xf numFmtId="187" fontId="4" fillId="0" borderId="0" applyFont="0" applyFill="0" applyBorder="0" applyAlignment="0" applyProtection="0"/>
    <xf numFmtId="188" fontId="4" fillId="0" borderId="0" applyFont="0" applyFill="0" applyBorder="0" applyAlignment="0" applyProtection="0"/>
    <xf numFmtId="41" fontId="26" fillId="0" borderId="0" applyFont="0" applyFill="0" applyBorder="0" applyAlignment="0" applyProtection="0"/>
    <xf numFmtId="9" fontId="4" fillId="0" borderId="0" applyFont="0" applyFill="0" applyBorder="0" applyAlignment="0" applyProtection="0"/>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26" fillId="0" borderId="0" applyFont="0" applyFill="0" applyBorder="0" applyAlignment="0" applyProtection="0"/>
    <xf numFmtId="9" fontId="8" fillId="0" borderId="0" applyFont="0" applyFill="0" applyBorder="0" applyAlignment="0" applyProtection="0"/>
    <xf numFmtId="181" fontId="23" fillId="0" borderId="0" applyFill="0" applyBorder="0" applyProtection="0">
      <alignment horizontal="right"/>
    </xf>
    <xf numFmtId="0" fontId="115" fillId="0" borderId="0" applyFont="0" applyFill="0" applyBorder="0" applyAlignment="0" applyProtection="0"/>
    <xf numFmtId="0" fontId="115" fillId="0" borderId="0" applyFont="0" applyFill="0" applyBorder="0" applyAlignment="0" applyProtection="0"/>
    <xf numFmtId="4" fontId="116" fillId="0" borderId="0">
      <alignment horizontal="right"/>
    </xf>
    <xf numFmtId="0" fontId="117" fillId="0" borderId="0" applyNumberFormat="0" applyFill="0" applyBorder="0" applyAlignment="0" applyProtection="0"/>
    <xf numFmtId="0" fontId="118" fillId="21" borderId="0" applyNumberFormat="0" applyBorder="0" applyAlignment="0" applyProtection="0">
      <alignment vertical="center"/>
    </xf>
    <xf numFmtId="0" fontId="119" fillId="13" borderId="0" applyNumberFormat="0" applyBorder="0" applyAlignment="0" applyProtection="0">
      <alignment vertical="center"/>
    </xf>
    <xf numFmtId="0" fontId="119" fillId="13" borderId="0" applyNumberFormat="0" applyBorder="0" applyAlignment="0" applyProtection="0">
      <alignment vertical="center"/>
    </xf>
    <xf numFmtId="0" fontId="118" fillId="21" borderId="0" applyNumberFormat="0" applyBorder="0" applyAlignment="0" applyProtection="0">
      <alignment vertical="center"/>
    </xf>
    <xf numFmtId="0" fontId="120" fillId="58" borderId="0" applyNumberFormat="0" applyBorder="0" applyAlignment="0" applyProtection="0"/>
    <xf numFmtId="0" fontId="119" fillId="13" borderId="0" applyNumberFormat="0" applyBorder="0" applyAlignment="0" applyProtection="0">
      <alignment vertical="center"/>
    </xf>
    <xf numFmtId="0" fontId="119" fillId="13" borderId="0" applyNumberFormat="0" applyBorder="0" applyAlignment="0" applyProtection="0">
      <alignment vertical="center"/>
    </xf>
    <xf numFmtId="0" fontId="119" fillId="13" borderId="0" applyNumberFormat="0" applyBorder="0" applyAlignment="0" applyProtection="0">
      <alignment vertical="center"/>
    </xf>
    <xf numFmtId="0" fontId="119" fillId="13" borderId="0" applyNumberFormat="0" applyBorder="0" applyAlignment="0" applyProtection="0">
      <alignment vertical="center"/>
    </xf>
    <xf numFmtId="0" fontId="119" fillId="13" borderId="0" applyNumberFormat="0" applyBorder="0" applyAlignment="0" applyProtection="0">
      <alignment vertical="center"/>
    </xf>
    <xf numFmtId="0" fontId="119" fillId="13" borderId="0" applyNumberFormat="0" applyBorder="0" applyAlignment="0" applyProtection="0">
      <alignment vertical="center"/>
    </xf>
    <xf numFmtId="0" fontId="119" fillId="13" borderId="0" applyNumberFormat="0" applyBorder="0" applyAlignment="0" applyProtection="0">
      <alignment vertical="center"/>
    </xf>
    <xf numFmtId="0" fontId="119" fillId="13" borderId="0" applyNumberFormat="0" applyBorder="0" applyAlignment="0" applyProtection="0">
      <alignment vertical="center"/>
    </xf>
    <xf numFmtId="0" fontId="118" fillId="21" borderId="0" applyNumberFormat="0" applyBorder="0" applyAlignment="0" applyProtection="0">
      <alignment vertical="center"/>
    </xf>
    <xf numFmtId="0" fontId="118" fillId="21" borderId="0" applyNumberFormat="0" applyBorder="0" applyAlignment="0" applyProtection="0">
      <alignment vertical="center"/>
    </xf>
    <xf numFmtId="0" fontId="121" fillId="59" borderId="0" applyNumberFormat="0" applyBorder="0" applyAlignment="0" applyProtection="0">
      <alignment vertical="center"/>
    </xf>
    <xf numFmtId="0" fontId="119" fillId="13" borderId="0" applyNumberFormat="0" applyBorder="0" applyAlignment="0" applyProtection="0">
      <alignment vertical="center"/>
    </xf>
    <xf numFmtId="0" fontId="122" fillId="10" borderId="0" applyNumberFormat="0" applyBorder="0" applyAlignment="0" applyProtection="0">
      <alignment vertical="center"/>
    </xf>
    <xf numFmtId="0" fontId="123" fillId="13" borderId="0" applyNumberFormat="0" applyBorder="0" applyAlignment="0" applyProtection="0">
      <alignment vertical="center"/>
    </xf>
    <xf numFmtId="0" fontId="123" fillId="13" borderId="0" applyNumberFormat="0" applyBorder="0" applyAlignment="0" applyProtection="0">
      <alignment vertical="center"/>
    </xf>
    <xf numFmtId="0" fontId="118" fillId="21" borderId="0" applyNumberFormat="0" applyBorder="0" applyAlignment="0" applyProtection="0">
      <alignment vertical="center"/>
    </xf>
    <xf numFmtId="0" fontId="118" fillId="21" borderId="0" applyNumberFormat="0" applyBorder="0" applyAlignment="0" applyProtection="0">
      <alignment vertical="center"/>
    </xf>
    <xf numFmtId="0" fontId="118" fillId="21" borderId="0" applyNumberFormat="0" applyBorder="0" applyAlignment="0" applyProtection="0">
      <alignment vertical="center"/>
    </xf>
    <xf numFmtId="0" fontId="118" fillId="21" borderId="0" applyNumberFormat="0" applyBorder="0" applyAlignment="0" applyProtection="0">
      <alignment vertical="center"/>
    </xf>
    <xf numFmtId="0" fontId="121" fillId="59" borderId="0" applyNumberFormat="0" applyBorder="0" applyAlignment="0" applyProtection="0">
      <alignment vertical="center"/>
    </xf>
    <xf numFmtId="0" fontId="118" fillId="21" borderId="0" applyNumberFormat="0" applyBorder="0" applyAlignment="0" applyProtection="0">
      <alignment vertical="center"/>
    </xf>
    <xf numFmtId="0" fontId="118" fillId="21" borderId="0" applyNumberFormat="0" applyBorder="0" applyAlignment="0" applyProtection="0">
      <alignment vertical="center"/>
    </xf>
    <xf numFmtId="0" fontId="118" fillId="21" borderId="0" applyNumberFormat="0" applyBorder="0" applyAlignment="0" applyProtection="0">
      <alignment vertical="center"/>
    </xf>
    <xf numFmtId="0" fontId="118" fillId="21" borderId="0" applyNumberFormat="0" applyBorder="0" applyAlignment="0" applyProtection="0">
      <alignment vertical="center"/>
    </xf>
    <xf numFmtId="0" fontId="119" fillId="13" borderId="0" applyNumberFormat="0" applyBorder="0" applyAlignment="0" applyProtection="0">
      <alignment vertical="center"/>
    </xf>
    <xf numFmtId="0" fontId="118" fillId="21" borderId="0" applyNumberFormat="0" applyBorder="0" applyAlignment="0" applyProtection="0">
      <alignment vertical="center"/>
    </xf>
    <xf numFmtId="0" fontId="119" fillId="13" borderId="0" applyNumberFormat="0" applyBorder="0" applyAlignment="0" applyProtection="0">
      <alignment vertical="center"/>
    </xf>
    <xf numFmtId="0" fontId="118" fillId="21" borderId="0" applyNumberFormat="0" applyBorder="0" applyAlignment="0" applyProtection="0">
      <alignment vertical="center"/>
    </xf>
    <xf numFmtId="0" fontId="118" fillId="21" borderId="0" applyNumberFormat="0" applyBorder="0" applyAlignment="0" applyProtection="0">
      <alignment vertical="center"/>
    </xf>
    <xf numFmtId="0" fontId="118" fillId="21" borderId="0" applyNumberFormat="0" applyBorder="0" applyAlignment="0" applyProtection="0">
      <alignment vertical="center"/>
    </xf>
    <xf numFmtId="0" fontId="118" fillId="21" borderId="0" applyNumberFormat="0" applyBorder="0" applyAlignment="0" applyProtection="0">
      <alignment vertical="center"/>
    </xf>
    <xf numFmtId="0" fontId="118" fillId="21" borderId="0" applyNumberFormat="0" applyBorder="0" applyAlignment="0" applyProtection="0">
      <alignment vertical="center"/>
    </xf>
    <xf numFmtId="0" fontId="118" fillId="21" borderId="0" applyNumberFormat="0" applyBorder="0" applyAlignment="0" applyProtection="0">
      <alignment vertical="center"/>
    </xf>
    <xf numFmtId="0" fontId="118" fillId="21" borderId="0" applyNumberFormat="0" applyBorder="0" applyAlignment="0" applyProtection="0">
      <alignment vertical="center"/>
    </xf>
    <xf numFmtId="0" fontId="118" fillId="21" borderId="0" applyNumberFormat="0" applyBorder="0" applyAlignment="0" applyProtection="0">
      <alignment vertical="center"/>
    </xf>
    <xf numFmtId="0" fontId="118" fillId="38" borderId="0" applyNumberFormat="0" applyBorder="0" applyAlignment="0" applyProtection="0">
      <alignment vertical="center"/>
    </xf>
    <xf numFmtId="0" fontId="118" fillId="21" borderId="0" applyNumberFormat="0" applyBorder="0" applyAlignment="0" applyProtection="0">
      <alignment vertical="center"/>
    </xf>
    <xf numFmtId="0" fontId="118" fillId="21" borderId="0" applyNumberFormat="0" applyBorder="0" applyAlignment="0" applyProtection="0">
      <alignment vertical="center"/>
    </xf>
    <xf numFmtId="0" fontId="124" fillId="15" borderId="0" applyNumberFormat="0" applyBorder="0" applyAlignment="0" applyProtection="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3" fillId="0" borderId="0">
      <alignment vertical="center"/>
    </xf>
    <xf numFmtId="0" fontId="3" fillId="0" borderId="0">
      <alignment vertical="center"/>
    </xf>
    <xf numFmtId="0" fontId="8" fillId="0" borderId="0">
      <alignment vertical="center"/>
    </xf>
    <xf numFmtId="0" fontId="8" fillId="0" borderId="0">
      <alignment vertical="center"/>
    </xf>
    <xf numFmtId="0" fontId="8"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26" fillId="0" borderId="0"/>
    <xf numFmtId="0" fontId="67" fillId="0" borderId="0" applyNumberFormat="0" applyBorder="0" applyAlignment="0">
      <alignment vertical="center"/>
      <protection locked="0"/>
    </xf>
    <xf numFmtId="0" fontId="8" fillId="0" borderId="0">
      <alignment vertical="center"/>
      <protection locked="0"/>
    </xf>
    <xf numFmtId="0" fontId="50" fillId="0" borderId="0">
      <alignment vertical="center"/>
    </xf>
    <xf numFmtId="0" fontId="8" fillId="0" borderId="0">
      <alignment vertical="center"/>
      <protection locked="0"/>
    </xf>
    <xf numFmtId="0" fontId="51" fillId="0" borderId="0">
      <alignment vertical="center"/>
    </xf>
    <xf numFmtId="0" fontId="50" fillId="0" borderId="0">
      <alignment vertical="center"/>
    </xf>
    <xf numFmtId="0" fontId="125" fillId="0" borderId="0"/>
    <xf numFmtId="0" fontId="8" fillId="0" borderId="0">
      <alignment vertical="center"/>
    </xf>
    <xf numFmtId="0" fontId="125" fillId="0" borderId="0"/>
    <xf numFmtId="0" fontId="8" fillId="0" borderId="0">
      <alignment vertical="center"/>
    </xf>
    <xf numFmtId="0" fontId="8" fillId="0" borderId="0">
      <alignment vertical="center"/>
    </xf>
    <xf numFmtId="0" fontId="51" fillId="0" borderId="0" applyNumberFormat="0" applyBorder="0" applyProtection="0">
      <alignment vertical="center"/>
    </xf>
    <xf numFmtId="0" fontId="8" fillId="0" borderId="0">
      <protection locked="0"/>
    </xf>
    <xf numFmtId="0" fontId="4" fillId="0" borderId="0"/>
    <xf numFmtId="0" fontId="8" fillId="0" borderId="0"/>
    <xf numFmtId="0" fontId="8" fillId="0" borderId="0">
      <protection locked="0"/>
    </xf>
    <xf numFmtId="0" fontId="8" fillId="0" borderId="0">
      <protection locked="0"/>
    </xf>
    <xf numFmtId="0" fontId="14" fillId="0" borderId="0"/>
    <xf numFmtId="0" fontId="8" fillId="0" borderId="0">
      <protection locked="0"/>
    </xf>
    <xf numFmtId="0" fontId="8" fillId="0" borderId="0">
      <alignment vertical="center"/>
    </xf>
    <xf numFmtId="0" fontId="8" fillId="0" borderId="0">
      <alignment vertical="center"/>
      <protection locked="0"/>
    </xf>
    <xf numFmtId="0" fontId="14" fillId="0" borderId="0"/>
    <xf numFmtId="0" fontId="8" fillId="0" borderId="0"/>
    <xf numFmtId="0" fontId="8" fillId="0" borderId="0">
      <alignment vertical="center"/>
    </xf>
    <xf numFmtId="0" fontId="8" fillId="0" borderId="0">
      <protection locked="0"/>
    </xf>
    <xf numFmtId="0" fontId="8" fillId="0" borderId="0">
      <alignment vertical="center"/>
    </xf>
    <xf numFmtId="0" fontId="8" fillId="0" borderId="0"/>
    <xf numFmtId="0" fontId="50" fillId="0" borderId="0">
      <alignment vertical="center"/>
    </xf>
    <xf numFmtId="0" fontId="50" fillId="0" borderId="0">
      <alignment vertical="center"/>
    </xf>
    <xf numFmtId="0" fontId="51" fillId="0" borderId="0">
      <alignment vertical="center"/>
    </xf>
    <xf numFmtId="0" fontId="50" fillId="0" borderId="0">
      <alignment vertical="center"/>
    </xf>
    <xf numFmtId="0" fontId="8" fillId="0" borderId="0">
      <alignment vertical="center"/>
      <protection locked="0"/>
    </xf>
    <xf numFmtId="0" fontId="8" fillId="0" borderId="0"/>
    <xf numFmtId="0" fontId="8" fillId="0" borderId="0" applyNumberFormat="0" applyFill="0" applyBorder="0" applyAlignment="0" applyProtection="0"/>
    <xf numFmtId="0" fontId="3" fillId="0" borderId="0">
      <alignment vertical="center"/>
    </xf>
    <xf numFmtId="0" fontId="3" fillId="0" borderId="0">
      <alignment vertical="center"/>
    </xf>
    <xf numFmtId="0" fontId="67" fillId="0" borderId="0" applyNumberFormat="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0"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xf numFmtId="0" fontId="3" fillId="0" borderId="0">
      <alignment vertical="center"/>
    </xf>
    <xf numFmtId="0" fontId="3" fillId="0" borderId="0">
      <alignment vertical="center"/>
    </xf>
    <xf numFmtId="0" fontId="50" fillId="0" borderId="0">
      <alignment vertical="center"/>
    </xf>
    <xf numFmtId="0" fontId="3" fillId="0" borderId="0">
      <alignment vertical="center"/>
    </xf>
    <xf numFmtId="0" fontId="3" fillId="0" borderId="0">
      <alignment vertical="center"/>
    </xf>
    <xf numFmtId="0" fontId="50" fillId="0" borderId="0">
      <alignment vertical="center"/>
    </xf>
    <xf numFmtId="0" fontId="3" fillId="0" borderId="0">
      <alignment vertical="center"/>
    </xf>
    <xf numFmtId="0" fontId="50" fillId="0" borderId="0">
      <alignment vertical="center"/>
    </xf>
    <xf numFmtId="0" fontId="3"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3" fillId="0" borderId="0">
      <alignment vertical="center"/>
    </xf>
    <xf numFmtId="0" fontId="126"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127" fillId="0" borderId="0" applyNumberFormat="0" applyFill="0" applyBorder="0" applyAlignment="0" applyProtection="0">
      <alignment vertical="top"/>
      <protection locked="0"/>
    </xf>
    <xf numFmtId="0" fontId="25" fillId="0" borderId="0" applyNumberFormat="0" applyFill="0" applyBorder="0" applyAlignment="0" applyProtection="0"/>
    <xf numFmtId="0" fontId="128" fillId="60" borderId="0" applyNumberFormat="0" applyBorder="0" applyAlignment="0" applyProtection="0">
      <alignment vertical="center"/>
    </xf>
    <xf numFmtId="0" fontId="129" fillId="14" borderId="0" applyNumberFormat="0" applyBorder="0" applyAlignment="0" applyProtection="0">
      <alignment vertical="center"/>
    </xf>
    <xf numFmtId="0" fontId="129" fillId="60" borderId="0" applyNumberFormat="0" applyBorder="0" applyAlignment="0" applyProtection="0">
      <alignment vertical="center"/>
    </xf>
    <xf numFmtId="0" fontId="129" fillId="60" borderId="0" applyNumberFormat="0" applyBorder="0" applyAlignment="0" applyProtection="0">
      <alignment vertical="center"/>
    </xf>
    <xf numFmtId="0" fontId="129" fillId="60" borderId="0" applyNumberFormat="0" applyBorder="0" applyAlignment="0" applyProtection="0">
      <alignment vertical="center"/>
    </xf>
    <xf numFmtId="0" fontId="129" fillId="14" borderId="0" applyNumberFormat="0" applyBorder="0" applyAlignment="0" applyProtection="0">
      <alignment vertical="center"/>
    </xf>
    <xf numFmtId="0" fontId="128" fillId="60" borderId="0" applyNumberFormat="0" applyBorder="0" applyAlignment="0" applyProtection="0">
      <alignment vertical="center"/>
    </xf>
    <xf numFmtId="0" fontId="130" fillId="36" borderId="0" applyNumberFormat="0" applyBorder="0" applyAlignment="0" applyProtection="0"/>
    <xf numFmtId="0" fontId="129" fillId="14" borderId="0" applyNumberFormat="0" applyBorder="0" applyAlignment="0" applyProtection="0">
      <alignment vertical="center"/>
    </xf>
    <xf numFmtId="0" fontId="129" fillId="14" borderId="0" applyNumberFormat="0" applyBorder="0" applyAlignment="0" applyProtection="0">
      <alignment vertical="center"/>
    </xf>
    <xf numFmtId="0" fontId="129" fillId="14" borderId="0" applyNumberFormat="0" applyBorder="0" applyAlignment="0" applyProtection="0">
      <alignment vertical="center"/>
    </xf>
    <xf numFmtId="0" fontId="129" fillId="14" borderId="0" applyNumberFormat="0" applyBorder="0" applyAlignment="0" applyProtection="0">
      <alignment vertical="center"/>
    </xf>
    <xf numFmtId="0" fontId="129" fillId="14" borderId="0" applyNumberFormat="0" applyBorder="0" applyAlignment="0" applyProtection="0">
      <alignment vertical="center"/>
    </xf>
    <xf numFmtId="0" fontId="129" fillId="14" borderId="0" applyNumberFormat="0" applyBorder="0" applyAlignment="0" applyProtection="0">
      <alignment vertical="center"/>
    </xf>
    <xf numFmtId="0" fontId="129" fillId="14" borderId="0" applyNumberFormat="0" applyBorder="0" applyAlignment="0" applyProtection="0">
      <alignment vertical="center"/>
    </xf>
    <xf numFmtId="0" fontId="129" fillId="14" borderId="0" applyNumberFormat="0" applyBorder="0" applyAlignment="0" applyProtection="0">
      <alignment vertical="center"/>
    </xf>
    <xf numFmtId="0" fontId="129" fillId="60" borderId="0" applyNumberFormat="0" applyBorder="0" applyAlignment="0" applyProtection="0">
      <alignment vertical="center"/>
    </xf>
    <xf numFmtId="0" fontId="128" fillId="60" borderId="0" applyNumberFormat="0" applyBorder="0" applyAlignment="0" applyProtection="0">
      <alignment vertical="center"/>
    </xf>
    <xf numFmtId="0" fontId="129" fillId="14" borderId="0" applyNumberFormat="0" applyBorder="0" applyAlignment="0" applyProtection="0">
      <alignment vertical="center"/>
    </xf>
    <xf numFmtId="0" fontId="131" fillId="9" borderId="0" applyNumberFormat="0" applyBorder="0" applyAlignment="0" applyProtection="0">
      <alignment vertical="center"/>
    </xf>
    <xf numFmtId="0" fontId="132" fillId="14" borderId="0" applyNumberFormat="0" applyBorder="0" applyAlignment="0" applyProtection="0">
      <alignment vertical="center"/>
    </xf>
    <xf numFmtId="0" fontId="130" fillId="14" borderId="0" applyNumberFormat="0" applyBorder="0" applyAlignment="0" applyProtection="0">
      <alignment vertical="center"/>
    </xf>
    <xf numFmtId="0" fontId="128" fillId="60" borderId="0" applyNumberFormat="0" applyBorder="0" applyAlignment="0" applyProtection="0">
      <alignment vertical="center"/>
    </xf>
    <xf numFmtId="0" fontId="129" fillId="60" borderId="0" applyNumberFormat="0" applyBorder="0" applyAlignment="0" applyProtection="0">
      <alignment vertical="center"/>
    </xf>
    <xf numFmtId="0" fontId="128" fillId="60" borderId="0" applyNumberFormat="0" applyBorder="0" applyAlignment="0" applyProtection="0">
      <alignment vertical="center"/>
    </xf>
    <xf numFmtId="0" fontId="128" fillId="60" borderId="0" applyNumberFormat="0" applyBorder="0" applyAlignment="0" applyProtection="0">
      <alignment vertical="center"/>
    </xf>
    <xf numFmtId="0" fontId="128" fillId="60" borderId="0" applyNumberFormat="0" applyBorder="0" applyAlignment="0" applyProtection="0">
      <alignment vertical="center"/>
    </xf>
    <xf numFmtId="0" fontId="133" fillId="61" borderId="0" applyNumberFormat="0" applyBorder="0" applyAlignment="0" applyProtection="0">
      <alignment vertical="center"/>
    </xf>
    <xf numFmtId="0" fontId="128" fillId="60" borderId="0" applyNumberFormat="0" applyBorder="0" applyAlignment="0" applyProtection="0">
      <alignment vertical="center"/>
    </xf>
    <xf numFmtId="0" fontId="133" fillId="61" borderId="0" applyNumberFormat="0" applyBorder="0" applyAlignment="0" applyProtection="0">
      <alignment vertical="center"/>
    </xf>
    <xf numFmtId="0" fontId="129" fillId="60" borderId="0" applyNumberFormat="0" applyBorder="0" applyAlignment="0" applyProtection="0">
      <alignment vertical="center"/>
    </xf>
    <xf numFmtId="0" fontId="128" fillId="60" borderId="0" applyNumberFormat="0" applyBorder="0" applyAlignment="0" applyProtection="0">
      <alignment vertical="center"/>
    </xf>
    <xf numFmtId="0" fontId="128" fillId="60" borderId="0" applyNumberFormat="0" applyBorder="0" applyAlignment="0" applyProtection="0">
      <alignment vertical="center"/>
    </xf>
    <xf numFmtId="0" fontId="129" fillId="14" borderId="0" applyNumberFormat="0" applyBorder="0" applyAlignment="0" applyProtection="0">
      <alignment vertical="center"/>
    </xf>
    <xf numFmtId="0" fontId="128" fillId="60" borderId="0" applyNumberFormat="0" applyBorder="0" applyAlignment="0" applyProtection="0">
      <alignment vertical="center"/>
    </xf>
    <xf numFmtId="0" fontId="129" fillId="14" borderId="0" applyNumberFormat="0" applyBorder="0" applyAlignment="0" applyProtection="0">
      <alignment vertical="center"/>
    </xf>
    <xf numFmtId="0" fontId="128" fillId="60" borderId="0" applyNumberFormat="0" applyBorder="0" applyAlignment="0" applyProtection="0">
      <alignment vertical="center"/>
    </xf>
    <xf numFmtId="0" fontId="129" fillId="60" borderId="0" applyNumberFormat="0" applyBorder="0" applyAlignment="0" applyProtection="0">
      <alignment vertical="center"/>
    </xf>
    <xf numFmtId="0" fontId="128" fillId="60" borderId="0" applyNumberFormat="0" applyBorder="0" applyAlignment="0" applyProtection="0">
      <alignment vertical="center"/>
    </xf>
    <xf numFmtId="0" fontId="129" fillId="60" borderId="0" applyNumberFormat="0" applyBorder="0" applyAlignment="0" applyProtection="0">
      <alignment vertical="center"/>
    </xf>
    <xf numFmtId="0" fontId="128" fillId="60" borderId="0" applyNumberFormat="0" applyBorder="0" applyAlignment="0" applyProtection="0">
      <alignment vertical="center"/>
    </xf>
    <xf numFmtId="0" fontId="128" fillId="60" borderId="0" applyNumberFormat="0" applyBorder="0" applyAlignment="0" applyProtection="0">
      <alignment vertical="center"/>
    </xf>
    <xf numFmtId="0" fontId="128" fillId="60" borderId="0" applyNumberFormat="0" applyBorder="0" applyAlignment="0" applyProtection="0">
      <alignment vertical="center"/>
    </xf>
    <xf numFmtId="0" fontId="128" fillId="60" borderId="0" applyNumberFormat="0" applyBorder="0" applyAlignment="0" applyProtection="0">
      <alignment vertical="center"/>
    </xf>
    <xf numFmtId="0" fontId="129" fillId="60" borderId="0" applyNumberFormat="0" applyBorder="0" applyAlignment="0" applyProtection="0">
      <alignment vertical="center"/>
    </xf>
    <xf numFmtId="0" fontId="128" fillId="60" borderId="0" applyNumberFormat="0" applyBorder="0" applyAlignment="0" applyProtection="0">
      <alignment vertical="center"/>
    </xf>
    <xf numFmtId="0" fontId="128" fillId="60" borderId="0" applyNumberFormat="0" applyBorder="0" applyAlignment="0" applyProtection="0">
      <alignment vertical="center"/>
    </xf>
    <xf numFmtId="0" fontId="129" fillId="60" borderId="0" applyNumberFormat="0" applyBorder="0" applyAlignment="0" applyProtection="0">
      <alignment vertical="center"/>
    </xf>
    <xf numFmtId="0" fontId="128" fillId="60" borderId="0" applyNumberFormat="0" applyBorder="0" applyAlignment="0" applyProtection="0">
      <alignment vertical="center"/>
    </xf>
    <xf numFmtId="0" fontId="128" fillId="60" borderId="0" applyNumberFormat="0" applyBorder="0" applyAlignment="0" applyProtection="0">
      <alignment vertical="center"/>
    </xf>
    <xf numFmtId="0" fontId="129" fillId="60" borderId="0" applyNumberFormat="0" applyBorder="0" applyAlignment="0" applyProtection="0">
      <alignment vertical="center"/>
    </xf>
    <xf numFmtId="0" fontId="128" fillId="60" borderId="0" applyNumberFormat="0" applyBorder="0" applyAlignment="0" applyProtection="0">
      <alignment vertical="center"/>
    </xf>
    <xf numFmtId="0" fontId="129" fillId="62" borderId="0" applyNumberFormat="0" applyBorder="0" applyAlignment="0" applyProtection="0">
      <alignment vertical="center"/>
    </xf>
    <xf numFmtId="0" fontId="128" fillId="60" borderId="0" applyNumberFormat="0" applyBorder="0" applyAlignment="0" applyProtection="0">
      <alignment vertical="center"/>
    </xf>
    <xf numFmtId="0" fontId="133" fillId="61" borderId="0" applyNumberFormat="0" applyBorder="0" applyAlignment="0" applyProtection="0">
      <alignment vertical="center"/>
    </xf>
    <xf numFmtId="0" fontId="128" fillId="60" borderId="0" applyNumberFormat="0" applyBorder="0" applyAlignment="0" applyProtection="0">
      <alignment vertical="center"/>
    </xf>
    <xf numFmtId="0" fontId="133" fillId="61" borderId="0" applyNumberFormat="0" applyBorder="0" applyAlignment="0" applyProtection="0">
      <alignment vertical="center"/>
    </xf>
    <xf numFmtId="0" fontId="129" fillId="60" borderId="0" applyNumberFormat="0" applyBorder="0" applyAlignment="0" applyProtection="0">
      <alignment vertical="center"/>
    </xf>
    <xf numFmtId="0" fontId="132" fillId="16" borderId="0" applyNumberFormat="0" applyBorder="0" applyAlignment="0" applyProtection="0">
      <alignment vertical="center"/>
    </xf>
    <xf numFmtId="4" fontId="113" fillId="0" borderId="0" applyFont="0" applyFill="0" applyBorder="0" applyAlignment="0" applyProtection="0"/>
    <xf numFmtId="41" fontId="26" fillId="0" borderId="0" applyFont="0" applyFill="0" applyBorder="0" applyAlignment="0" applyProtection="0"/>
    <xf numFmtId="189" fontId="134" fillId="0" borderId="0" applyFont="0" applyFill="0" applyBorder="0" applyAlignment="0" applyProtection="0"/>
    <xf numFmtId="190" fontId="134" fillId="0" borderId="0" applyFont="0" applyFill="0" applyBorder="0" applyAlignment="0" applyProtection="0"/>
    <xf numFmtId="191" fontId="26" fillId="0" borderId="0" applyFont="0" applyFill="0" applyBorder="0" applyAlignment="0" applyProtection="0"/>
    <xf numFmtId="240" fontId="26" fillId="0" borderId="0" applyFont="0" applyFill="0" applyBorder="0" applyAlignment="0" applyProtection="0"/>
    <xf numFmtId="0" fontId="4" fillId="0" borderId="0"/>
    <xf numFmtId="1" fontId="4" fillId="0" borderId="0"/>
    <xf numFmtId="241" fontId="135" fillId="0" borderId="0" applyFont="0" applyFill="0" applyBorder="0" applyAlignment="0" applyProtection="0"/>
    <xf numFmtId="242" fontId="135" fillId="0" borderId="0" applyFont="0" applyFill="0" applyBorder="0" applyAlignment="0" applyProtection="0"/>
    <xf numFmtId="189" fontId="4" fillId="0" borderId="0" applyFont="0" applyFill="0" applyBorder="0" applyAlignment="0" applyProtection="0"/>
    <xf numFmtId="190" fontId="4" fillId="0" borderId="0" applyFont="0" applyFill="0" applyBorder="0" applyAlignment="0" applyProtection="0"/>
    <xf numFmtId="0" fontId="15" fillId="0" borderId="0"/>
    <xf numFmtId="41" fontId="15" fillId="0" borderId="0" applyFont="0" applyFill="0" applyBorder="0" applyAlignment="0" applyProtection="0"/>
    <xf numFmtId="43" fontId="15"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4" fillId="0" borderId="0" applyFont="0" applyFill="0" applyBorder="0" applyAlignment="0" applyProtection="0"/>
    <xf numFmtId="43" fontId="8" fillId="0" borderId="0" applyFont="0" applyFill="0" applyBorder="0" applyAlignment="0" applyProtection="0"/>
    <xf numFmtId="43" fontId="14" fillId="0" borderId="0" applyFont="0" applyFill="0" applyBorder="0" applyAlignment="0" applyProtection="0"/>
    <xf numFmtId="43" fontId="8" fillId="0" borderId="0" applyFont="0" applyFill="0" applyBorder="0" applyAlignment="0" applyProtection="0"/>
    <xf numFmtId="0" fontId="26" fillId="0" borderId="0" applyFont="0" applyFill="0" applyBorder="0" applyAlignment="0" applyProtection="0"/>
    <xf numFmtId="43" fontId="8" fillId="0" borderId="0" applyFont="0" applyFill="0" applyBorder="0" applyAlignment="0" applyProtection="0"/>
    <xf numFmtId="43" fontId="50" fillId="0" borderId="0" applyFont="0" applyFill="0" applyBorder="0" applyAlignment="0" applyProtection="0">
      <alignment vertical="center"/>
    </xf>
    <xf numFmtId="41" fontId="8" fillId="0" borderId="0" applyFont="0" applyFill="0" applyBorder="0" applyAlignment="0" applyProtection="0"/>
    <xf numFmtId="193" fontId="4" fillId="0" borderId="0" applyFont="0" applyFill="0" applyBorder="0" applyAlignment="0" applyProtection="0"/>
    <xf numFmtId="0" fontId="136" fillId="0" borderId="0"/>
    <xf numFmtId="0" fontId="47" fillId="63" borderId="0" applyNumberFormat="0" applyBorder="0" applyAlignment="0" applyProtection="0"/>
    <xf numFmtId="0" fontId="47" fillId="64" borderId="0" applyNumberFormat="0" applyBorder="0" applyAlignment="0" applyProtection="0"/>
    <xf numFmtId="0" fontId="47" fillId="65" borderId="0" applyNumberFormat="0" applyBorder="0" applyAlignment="0" applyProtection="0"/>
    <xf numFmtId="225" fontId="26" fillId="0" borderId="0" applyFont="0" applyFill="0" applyBorder="0" applyAlignment="0" applyProtection="0"/>
    <xf numFmtId="243" fontId="113" fillId="0" borderId="0" applyFont="0" applyFill="0" applyBorder="0" applyAlignment="0" applyProtection="0"/>
    <xf numFmtId="0" fontId="60" fillId="0" borderId="0">
      <alignment vertical="top"/>
    </xf>
    <xf numFmtId="0" fontId="60" fillId="0" borderId="0">
      <alignment vertical="top"/>
    </xf>
    <xf numFmtId="0" fontId="60" fillId="0" borderId="0">
      <alignment vertical="top"/>
    </xf>
    <xf numFmtId="0" fontId="60" fillId="0" borderId="0">
      <alignment vertical="top"/>
      <protection locked="0"/>
    </xf>
    <xf numFmtId="0" fontId="134" fillId="0" borderId="0"/>
    <xf numFmtId="0" fontId="137" fillId="0" borderId="0"/>
    <xf numFmtId="40" fontId="115" fillId="0" borderId="0" applyFont="0" applyFill="0" applyBorder="0" applyAlignment="0" applyProtection="0"/>
    <xf numFmtId="38" fontId="115" fillId="0" borderId="0" applyFont="0" applyFill="0" applyBorder="0" applyAlignment="0" applyProtection="0"/>
    <xf numFmtId="188" fontId="26" fillId="0" borderId="5" applyNumberFormat="0"/>
    <xf numFmtId="188" fontId="26" fillId="0" borderId="5" applyNumberFormat="0"/>
    <xf numFmtId="188" fontId="26" fillId="0" borderId="5" applyNumberFormat="0"/>
    <xf numFmtId="38" fontId="58" fillId="0" borderId="0" applyFont="0" applyFill="0" applyBorder="0" applyAlignment="0" applyProtection="0"/>
    <xf numFmtId="40" fontId="58" fillId="0" borderId="0" applyFont="0" applyFill="0" applyBorder="0" applyAlignment="0" applyProtection="0"/>
    <xf numFmtId="0" fontId="58" fillId="0" borderId="0" applyFont="0" applyFill="0" applyBorder="0" applyAlignment="0" applyProtection="0"/>
    <xf numFmtId="0" fontId="58" fillId="0" borderId="0" applyFont="0" applyFill="0" applyBorder="0" applyAlignment="0" applyProtection="0"/>
    <xf numFmtId="0" fontId="138" fillId="0" borderId="0"/>
    <xf numFmtId="0" fontId="8" fillId="0" borderId="0"/>
    <xf numFmtId="0" fontId="4" fillId="0" borderId="0"/>
    <xf numFmtId="9" fontId="3" fillId="0" borderId="0" applyFont="0" applyFill="0" applyBorder="0" applyAlignment="0" applyProtection="0">
      <alignment vertical="center"/>
    </xf>
    <xf numFmtId="0" fontId="8" fillId="0" borderId="0">
      <protection locked="0"/>
    </xf>
    <xf numFmtId="0" fontId="37" fillId="0" borderId="0" applyNumberFormat="0" applyFill="0" applyBorder="0" applyAlignment="0" applyProtection="0">
      <alignment vertical="top"/>
      <protection locked="0"/>
    </xf>
    <xf numFmtId="0" fontId="14" fillId="0" borderId="0"/>
    <xf numFmtId="247" fontId="8" fillId="0" borderId="0">
      <protection locked="0"/>
    </xf>
    <xf numFmtId="247" fontId="8" fillId="0" borderId="0"/>
    <xf numFmtId="0" fontId="8" fillId="0" borderId="0">
      <protection locked="0"/>
    </xf>
    <xf numFmtId="247" fontId="2" fillId="0" borderId="0">
      <alignment vertical="center"/>
    </xf>
    <xf numFmtId="43" fontId="8" fillId="0" borderId="0" applyFont="0" applyFill="0" applyBorder="0" applyAlignment="0" applyProtection="0">
      <alignment vertical="center"/>
    </xf>
    <xf numFmtId="247" fontId="1" fillId="0" borderId="0">
      <alignment vertical="center"/>
    </xf>
  </cellStyleXfs>
  <cellXfs count="764">
    <xf numFmtId="0" fontId="0" fillId="0" borderId="0" xfId="0">
      <protection locked="0"/>
    </xf>
    <xf numFmtId="43" fontId="9" fillId="0" borderId="0" xfId="4" applyNumberFormat="1" applyFont="1" applyBorder="1" applyAlignment="1">
      <alignment vertical="center"/>
    </xf>
    <xf numFmtId="0" fontId="9" fillId="0" borderId="0" xfId="0" applyFont="1" applyAlignment="1">
      <alignment vertical="center"/>
      <protection locked="0"/>
    </xf>
    <xf numFmtId="43" fontId="20" fillId="0" borderId="0" xfId="4" applyNumberFormat="1" applyFont="1" applyBorder="1" applyAlignment="1">
      <alignment vertical="center"/>
    </xf>
    <xf numFmtId="0" fontId="9" fillId="0" borderId="0" xfId="29" applyFont="1">
      <protection locked="0"/>
    </xf>
    <xf numFmtId="0" fontId="13" fillId="0" borderId="0" xfId="30" applyFont="1">
      <alignment vertical="center"/>
    </xf>
    <xf numFmtId="0" fontId="9" fillId="0" borderId="0" xfId="31" applyFont="1">
      <alignment vertical="center"/>
    </xf>
    <xf numFmtId="0" fontId="9" fillId="0" borderId="8" xfId="0" applyFont="1" applyBorder="1" applyAlignment="1">
      <alignment horizontal="center" vertical="center" wrapText="1"/>
      <protection locked="0"/>
    </xf>
    <xf numFmtId="0" fontId="9" fillId="0" borderId="8" xfId="0" applyFont="1" applyBorder="1" applyAlignment="1">
      <alignment vertical="center"/>
      <protection locked="0"/>
    </xf>
    <xf numFmtId="0" fontId="9" fillId="0" borderId="9" xfId="0" applyFont="1" applyBorder="1" applyAlignment="1">
      <alignment vertical="center"/>
      <protection locked="0"/>
    </xf>
    <xf numFmtId="0" fontId="13" fillId="0" borderId="0" xfId="0" applyFont="1" applyAlignment="1">
      <alignment vertical="center"/>
      <protection locked="0"/>
    </xf>
    <xf numFmtId="0" fontId="20" fillId="0" borderId="0" xfId="0" applyFont="1" applyAlignment="1">
      <alignment vertical="center"/>
      <protection locked="0"/>
    </xf>
    <xf numFmtId="0" fontId="9" fillId="0" borderId="0" xfId="0" applyFont="1" applyAlignment="1">
      <alignment horizontal="center" vertical="center"/>
      <protection locked="0"/>
    </xf>
    <xf numFmtId="0" fontId="9" fillId="0" borderId="0" xfId="0" applyFont="1" applyAlignment="1">
      <alignment vertical="center" wrapText="1"/>
      <protection locked="0"/>
    </xf>
    <xf numFmtId="0" fontId="20" fillId="0" borderId="0" xfId="32" applyFont="1" applyAlignment="1" applyProtection="1">
      <alignment horizontal="center" vertical="center"/>
      <protection hidden="1"/>
    </xf>
    <xf numFmtId="0" fontId="9" fillId="0" borderId="0" xfId="32" applyFont="1" applyAlignment="1" applyProtection="1">
      <alignment horizontal="left" vertical="center"/>
      <protection hidden="1"/>
    </xf>
    <xf numFmtId="0" fontId="20" fillId="0" borderId="0" xfId="32" applyFont="1" applyAlignment="1" applyProtection="1">
      <alignment horizontal="left" vertical="center"/>
      <protection locked="0"/>
    </xf>
    <xf numFmtId="0" fontId="9" fillId="0" borderId="0" xfId="32" applyFont="1" applyAlignment="1" applyProtection="1">
      <alignment vertical="center"/>
      <protection locked="0"/>
    </xf>
    <xf numFmtId="0" fontId="7" fillId="0" borderId="0" xfId="0" applyFont="1" applyAlignment="1">
      <alignment vertical="center"/>
      <protection locked="0"/>
    </xf>
    <xf numFmtId="0" fontId="12" fillId="0" borderId="0" xfId="0" applyFont="1" applyAlignment="1">
      <alignment vertical="center"/>
      <protection locked="0"/>
    </xf>
    <xf numFmtId="0" fontId="9" fillId="0" borderId="0" xfId="0" applyFont="1" applyAlignment="1">
      <alignment horizontal="left" vertical="center"/>
      <protection locked="0"/>
    </xf>
    <xf numFmtId="0" fontId="9" fillId="0" borderId="8" xfId="0" applyFont="1" applyBorder="1" applyAlignment="1">
      <alignment horizontal="left" vertical="center"/>
      <protection locked="0"/>
    </xf>
    <xf numFmtId="10" fontId="9" fillId="0" borderId="8" xfId="2" applyNumberFormat="1" applyFont="1" applyBorder="1" applyAlignment="1" applyProtection="1">
      <alignment horizontal="center" vertical="center" wrapText="1"/>
      <protection locked="0"/>
    </xf>
    <xf numFmtId="0" fontId="9" fillId="0" borderId="8" xfId="0" applyFont="1" applyBorder="1" applyAlignment="1">
      <alignment vertical="center" wrapText="1"/>
      <protection locked="0"/>
    </xf>
    <xf numFmtId="0" fontId="7" fillId="0" borderId="0" xfId="0" applyFont="1" applyAlignment="1">
      <alignment horizontal="left" vertical="center"/>
      <protection locked="0"/>
    </xf>
    <xf numFmtId="9" fontId="9" fillId="0" borderId="0" xfId="2" applyFont="1" applyAlignment="1">
      <alignment vertical="center"/>
    </xf>
    <xf numFmtId="43" fontId="9" fillId="0" borderId="8" xfId="1" applyFont="1" applyBorder="1" applyAlignment="1">
      <alignment vertical="center"/>
    </xf>
    <xf numFmtId="14" fontId="9" fillId="0" borderId="8" xfId="1" applyNumberFormat="1" applyFont="1" applyBorder="1" applyAlignment="1">
      <alignment horizontal="center" vertical="center"/>
    </xf>
    <xf numFmtId="43" fontId="9" fillId="0" borderId="8" xfId="1" applyFont="1" applyBorder="1" applyAlignment="1">
      <alignment horizontal="center" vertical="center"/>
    </xf>
    <xf numFmtId="9" fontId="9" fillId="0" borderId="8" xfId="2" applyFont="1" applyBorder="1" applyAlignment="1">
      <alignment horizontal="center" vertical="center"/>
    </xf>
    <xf numFmtId="43" fontId="9" fillId="0" borderId="0" xfId="1" applyFont="1" applyAlignment="1">
      <alignment vertical="center"/>
    </xf>
    <xf numFmtId="43" fontId="9" fillId="0" borderId="8" xfId="1" applyFont="1" applyFill="1" applyBorder="1" applyAlignment="1">
      <alignment vertical="center"/>
    </xf>
    <xf numFmtId="0" fontId="9" fillId="0" borderId="8" xfId="0" applyFont="1" applyBorder="1" applyAlignment="1">
      <alignment horizontal="center" vertical="center"/>
      <protection locked="0"/>
    </xf>
    <xf numFmtId="14" fontId="7" fillId="0" borderId="8" xfId="0" applyNumberFormat="1" applyFont="1" applyBorder="1" applyAlignment="1">
      <alignment horizontal="center" vertical="center"/>
      <protection locked="0"/>
    </xf>
    <xf numFmtId="0" fontId="7" fillId="0" borderId="8" xfId="0" applyFont="1" applyBorder="1" applyAlignment="1">
      <alignment horizontal="center" vertical="center"/>
      <protection locked="0"/>
    </xf>
    <xf numFmtId="9" fontId="7" fillId="0" borderId="8" xfId="2" applyFont="1" applyBorder="1" applyAlignment="1" applyProtection="1">
      <alignment horizontal="center" vertical="center"/>
      <protection locked="0"/>
    </xf>
    <xf numFmtId="0" fontId="7" fillId="0" borderId="8" xfId="0" applyFont="1" applyBorder="1" applyAlignment="1">
      <alignment vertical="center"/>
      <protection locked="0"/>
    </xf>
    <xf numFmtId="43" fontId="9" fillId="0" borderId="8" xfId="0" applyNumberFormat="1" applyFont="1" applyBorder="1" applyAlignment="1">
      <alignment horizontal="justify" vertical="center" wrapText="1"/>
      <protection locked="0"/>
    </xf>
    <xf numFmtId="43" fontId="9" fillId="0" borderId="8" xfId="0" applyNumberFormat="1" applyFont="1" applyBorder="1" applyAlignment="1">
      <alignment horizontal="center" vertical="center" wrapText="1"/>
      <protection locked="0"/>
    </xf>
    <xf numFmtId="9" fontId="9" fillId="0" borderId="8" xfId="2" applyFont="1" applyBorder="1" applyAlignment="1" applyProtection="1">
      <alignment horizontal="center" vertical="center" wrapText="1"/>
      <protection locked="0"/>
    </xf>
    <xf numFmtId="9" fontId="9" fillId="0" borderId="8" xfId="0" applyNumberFormat="1" applyFont="1" applyBorder="1" applyAlignment="1">
      <alignment horizontal="center" vertical="center" wrapText="1"/>
      <protection locked="0"/>
    </xf>
    <xf numFmtId="0" fontId="9" fillId="0" borderId="9" xfId="0" applyFont="1" applyBorder="1" applyAlignment="1">
      <alignment horizontal="left" vertical="center"/>
      <protection locked="0"/>
    </xf>
    <xf numFmtId="0" fontId="7" fillId="0" borderId="0" xfId="32" applyFont="1" applyAlignment="1">
      <alignment vertical="center"/>
    </xf>
    <xf numFmtId="0" fontId="33" fillId="0" borderId="0" xfId="28" applyFont="1" applyAlignment="1" applyProtection="1">
      <alignment vertical="center"/>
    </xf>
    <xf numFmtId="0" fontId="7" fillId="0" borderId="0" xfId="28" applyFont="1" applyAlignment="1" applyProtection="1">
      <alignment horizontal="left" vertical="center"/>
    </xf>
    <xf numFmtId="0" fontId="9" fillId="0" borderId="0" xfId="28" applyFont="1" applyAlignment="1">
      <alignment vertical="center"/>
      <protection locked="0"/>
    </xf>
    <xf numFmtId="49" fontId="7" fillId="0" borderId="0" xfId="1" applyNumberFormat="1" applyFont="1" applyFill="1" applyAlignment="1" applyProtection="1">
      <alignment horizontal="right" vertical="center" shrinkToFit="1"/>
    </xf>
    <xf numFmtId="49" fontId="9" fillId="0" borderId="0" xfId="0" applyNumberFormat="1" applyFont="1" applyAlignment="1">
      <alignment vertical="center"/>
      <protection locked="0"/>
    </xf>
    <xf numFmtId="43" fontId="7" fillId="0" borderId="0" xfId="0" applyNumberFormat="1" applyFont="1" applyAlignment="1">
      <alignment horizontal="left" vertical="center"/>
      <protection locked="0"/>
    </xf>
    <xf numFmtId="49" fontId="9" fillId="0" borderId="0" xfId="0" applyNumberFormat="1" applyFont="1" applyAlignment="1">
      <alignment horizontal="left" vertical="center"/>
      <protection locked="0"/>
    </xf>
    <xf numFmtId="49" fontId="9" fillId="0" borderId="8" xfId="0" applyNumberFormat="1" applyFont="1" applyBorder="1" applyAlignment="1">
      <alignment horizontal="justify" vertical="center"/>
      <protection locked="0"/>
    </xf>
    <xf numFmtId="49" fontId="9" fillId="0" borderId="9" xfId="0" applyNumberFormat="1" applyFont="1" applyBorder="1" applyAlignment="1">
      <alignment horizontal="center" vertical="center"/>
      <protection locked="0"/>
    </xf>
    <xf numFmtId="49" fontId="9" fillId="0" borderId="0" xfId="0" applyNumberFormat="1" applyFont="1" applyAlignment="1">
      <alignment horizontal="center" vertical="center"/>
      <protection locked="0"/>
    </xf>
    <xf numFmtId="49" fontId="7" fillId="0" borderId="0" xfId="0" applyNumberFormat="1" applyFont="1" applyAlignment="1">
      <alignment vertical="center"/>
      <protection locked="0"/>
    </xf>
    <xf numFmtId="49" fontId="7" fillId="0" borderId="0" xfId="0" applyNumberFormat="1" applyFont="1" applyAlignment="1">
      <alignment horizontal="left" vertical="center"/>
      <protection locked="0"/>
    </xf>
    <xf numFmtId="43" fontId="9" fillId="0" borderId="8" xfId="1" applyFont="1" applyBorder="1" applyAlignment="1" applyProtection="1">
      <alignment vertical="center" shrinkToFit="1"/>
      <protection locked="0"/>
    </xf>
    <xf numFmtId="0" fontId="9" fillId="0" borderId="8" xfId="0" applyFont="1" applyBorder="1" applyAlignment="1">
      <alignment horizontal="justify" vertical="center" wrapText="1"/>
      <protection locked="0"/>
    </xf>
    <xf numFmtId="0" fontId="7" fillId="6" borderId="8" xfId="0" applyFont="1" applyFill="1" applyBorder="1" applyAlignment="1">
      <alignment horizontal="centerContinuous" vertical="center" wrapText="1"/>
      <protection locked="0"/>
    </xf>
    <xf numFmtId="0" fontId="9" fillId="6" borderId="8" xfId="0" applyFont="1" applyFill="1" applyBorder="1" applyAlignment="1">
      <alignment horizontal="centerContinuous" vertical="center"/>
      <protection locked="0"/>
    </xf>
    <xf numFmtId="0" fontId="33" fillId="0" borderId="0" xfId="0" applyFont="1" applyAlignment="1" applyProtection="1">
      <alignment vertical="center"/>
    </xf>
    <xf numFmtId="43" fontId="34" fillId="0" borderId="8" xfId="1" applyFont="1" applyFill="1" applyBorder="1" applyAlignment="1">
      <alignment vertical="center"/>
    </xf>
    <xf numFmtId="176" fontId="16" fillId="0" borderId="0" xfId="2" applyNumberFormat="1" applyFont="1" applyBorder="1" applyAlignment="1">
      <alignment horizontal="left" vertical="center"/>
    </xf>
    <xf numFmtId="0" fontId="34" fillId="0" borderId="0" xfId="0" applyFont="1" applyAlignment="1" applyProtection="1">
      <alignment vertical="center"/>
    </xf>
    <xf numFmtId="0" fontId="7" fillId="6" borderId="8" xfId="0" applyFont="1" applyFill="1" applyBorder="1" applyAlignment="1">
      <alignment horizontal="centerContinuous" vertical="center"/>
      <protection locked="0"/>
    </xf>
    <xf numFmtId="43" fontId="9" fillId="0" borderId="8" xfId="0" applyNumberFormat="1" applyFont="1" applyBorder="1" applyAlignment="1">
      <alignment horizontal="right" vertical="center" wrapText="1"/>
      <protection locked="0"/>
    </xf>
    <xf numFmtId="0" fontId="9" fillId="0" borderId="0" xfId="0" applyFont="1" applyAlignment="1" applyProtection="1">
      <alignment vertical="center"/>
    </xf>
    <xf numFmtId="0" fontId="13" fillId="0" borderId="0" xfId="0" applyFont="1" applyAlignment="1" applyProtection="1">
      <alignment vertical="center"/>
    </xf>
    <xf numFmtId="0" fontId="7" fillId="0" borderId="0" xfId="0" applyFont="1" applyAlignment="1">
      <alignment horizontal="right" vertical="center"/>
      <protection locked="0"/>
    </xf>
    <xf numFmtId="0" fontId="34" fillId="0" borderId="8" xfId="0" applyFont="1" applyBorder="1" applyAlignment="1" applyProtection="1">
      <alignment vertical="center"/>
    </xf>
    <xf numFmtId="14" fontId="9" fillId="0" borderId="0" xfId="0" applyNumberFormat="1" applyFont="1" applyAlignment="1">
      <alignment vertical="center"/>
      <protection locked="0"/>
    </xf>
    <xf numFmtId="14" fontId="34" fillId="0" borderId="0" xfId="0" applyNumberFormat="1" applyFont="1" applyAlignment="1" applyProtection="1">
      <alignment vertical="center"/>
    </xf>
    <xf numFmtId="49" fontId="9" fillId="0" borderId="8" xfId="0" applyNumberFormat="1" applyFont="1" applyBorder="1" applyAlignment="1">
      <alignment horizontal="center" vertical="center"/>
      <protection locked="0"/>
    </xf>
    <xf numFmtId="49" fontId="7" fillId="0" borderId="10" xfId="1" applyNumberFormat="1" applyFont="1" applyFill="1" applyBorder="1" applyAlignment="1" applyProtection="1">
      <alignment horizontal="center" vertical="center" shrinkToFit="1"/>
    </xf>
    <xf numFmtId="0" fontId="20" fillId="0" borderId="0" xfId="0" applyFont="1" applyAlignment="1">
      <alignment horizontal="left" vertical="center"/>
      <protection locked="0"/>
    </xf>
    <xf numFmtId="0" fontId="9" fillId="0" borderId="0" xfId="33" applyFont="1">
      <protection locked="0"/>
    </xf>
    <xf numFmtId="10" fontId="9" fillId="0" borderId="8" xfId="2" applyNumberFormat="1" applyFont="1" applyBorder="1" applyAlignment="1" applyProtection="1">
      <alignment vertical="center"/>
      <protection locked="0"/>
    </xf>
    <xf numFmtId="14" fontId="9" fillId="0" borderId="8" xfId="0" applyNumberFormat="1" applyFont="1" applyBorder="1" applyAlignment="1">
      <alignment vertical="center"/>
      <protection locked="0"/>
    </xf>
    <xf numFmtId="43" fontId="20" fillId="0" borderId="0" xfId="4" applyNumberFormat="1" applyFont="1" applyFill="1" applyBorder="1" applyAlignment="1">
      <alignment vertical="center"/>
    </xf>
    <xf numFmtId="0" fontId="33" fillId="0" borderId="8" xfId="0" applyFont="1" applyBorder="1" applyAlignment="1" applyProtection="1">
      <alignment horizontal="center" vertical="center"/>
    </xf>
    <xf numFmtId="43" fontId="34" fillId="6" borderId="8" xfId="1" applyFont="1" applyFill="1" applyBorder="1" applyAlignment="1">
      <alignment horizontal="right" vertical="center"/>
    </xf>
    <xf numFmtId="43" fontId="9" fillId="6" borderId="8" xfId="1" applyFont="1" applyFill="1" applyBorder="1" applyAlignment="1">
      <alignment horizontal="right" vertical="center" wrapText="1"/>
    </xf>
    <xf numFmtId="10" fontId="9" fillId="6" borderId="8" xfId="2" applyNumberFormat="1" applyFont="1" applyFill="1" applyBorder="1" applyAlignment="1">
      <alignment horizontal="right" vertical="center" wrapText="1"/>
    </xf>
    <xf numFmtId="44" fontId="9" fillId="6" borderId="8" xfId="1" applyNumberFormat="1" applyFont="1" applyFill="1" applyBorder="1" applyAlignment="1">
      <alignment horizontal="right" vertical="center" wrapText="1"/>
    </xf>
    <xf numFmtId="44" fontId="9" fillId="6" borderId="8" xfId="2" applyNumberFormat="1" applyFont="1" applyFill="1" applyBorder="1" applyAlignment="1">
      <alignment horizontal="right" vertical="center" wrapText="1"/>
    </xf>
    <xf numFmtId="194" fontId="9" fillId="0" borderId="8" xfId="1" applyNumberFormat="1" applyFont="1" applyFill="1" applyBorder="1" applyAlignment="1">
      <alignment vertical="center"/>
    </xf>
    <xf numFmtId="10" fontId="9" fillId="0" borderId="8" xfId="2" applyNumberFormat="1" applyFont="1" applyFill="1" applyBorder="1" applyAlignment="1" applyProtection="1">
      <alignment horizontal="center" vertical="center" wrapText="1"/>
      <protection locked="0"/>
    </xf>
    <xf numFmtId="10" fontId="9" fillId="0" borderId="8" xfId="2" applyNumberFormat="1" applyFont="1" applyFill="1" applyBorder="1" applyAlignment="1" applyProtection="1">
      <alignment vertical="center"/>
      <protection locked="0"/>
    </xf>
    <xf numFmtId="43" fontId="9" fillId="0" borderId="8" xfId="0" applyNumberFormat="1" applyFont="1" applyBorder="1" applyAlignment="1">
      <alignment vertical="center"/>
      <protection locked="0"/>
    </xf>
    <xf numFmtId="0" fontId="52" fillId="0" borderId="0" xfId="0" applyFont="1" applyAlignment="1" applyProtection="1">
      <alignment vertical="center"/>
    </xf>
    <xf numFmtId="43" fontId="9" fillId="0" borderId="0" xfId="1" applyFont="1" applyFill="1" applyBorder="1" applyAlignment="1">
      <alignment vertical="center"/>
    </xf>
    <xf numFmtId="43" fontId="7" fillId="0" borderId="0" xfId="1" applyFont="1" applyFill="1" applyBorder="1" applyAlignment="1" applyProtection="1">
      <alignment horizontal="center" vertical="center"/>
    </xf>
    <xf numFmtId="43" fontId="7" fillId="0" borderId="0" xfId="1" applyFont="1" applyFill="1" applyBorder="1" applyAlignment="1" applyProtection="1">
      <alignment horizontal="right" vertical="center"/>
    </xf>
    <xf numFmtId="0" fontId="9" fillId="0" borderId="0" xfId="41" applyFont="1" applyAlignment="1">
      <alignment vertical="center"/>
      <protection locked="0"/>
    </xf>
    <xf numFmtId="43" fontId="9" fillId="0" borderId="0" xfId="43" applyNumberFormat="1" applyFont="1" applyBorder="1" applyAlignment="1">
      <alignment vertical="center"/>
    </xf>
    <xf numFmtId="0" fontId="9" fillId="0" borderId="0" xfId="41" applyFont="1" applyAlignment="1">
      <alignment vertical="center" wrapText="1"/>
      <protection locked="0"/>
    </xf>
    <xf numFmtId="0" fontId="9" fillId="0" borderId="0" xfId="41" applyFont="1" applyAlignment="1">
      <alignment horizontal="right" vertical="center"/>
      <protection locked="0"/>
    </xf>
    <xf numFmtId="0" fontId="9" fillId="0" borderId="0" xfId="44" applyFont="1" applyProtection="1">
      <alignment vertical="center"/>
      <protection locked="0"/>
    </xf>
    <xf numFmtId="41" fontId="9" fillId="0" borderId="0" xfId="44" applyNumberFormat="1" applyFont="1" applyAlignment="1" applyProtection="1">
      <alignment horizontal="center" vertical="center"/>
      <protection locked="0"/>
    </xf>
    <xf numFmtId="0" fontId="9" fillId="0" borderId="0" xfId="44" applyFont="1" applyAlignment="1" applyProtection="1">
      <alignment horizontal="left" vertical="center"/>
      <protection locked="0"/>
    </xf>
    <xf numFmtId="0" fontId="7" fillId="0" borderId="0" xfId="44" applyFont="1" applyProtection="1">
      <alignment vertical="center"/>
      <protection locked="0"/>
    </xf>
    <xf numFmtId="43" fontId="7" fillId="0" borderId="0" xfId="45" applyFont="1" applyFill="1" applyProtection="1">
      <alignment vertical="center"/>
      <protection locked="0"/>
    </xf>
    <xf numFmtId="0" fontId="9" fillId="0" borderId="0" xfId="44" applyFont="1" applyAlignment="1" applyProtection="1">
      <alignment horizontal="center" vertical="center" wrapText="1"/>
      <protection locked="0"/>
    </xf>
    <xf numFmtId="0" fontId="9" fillId="0" borderId="0" xfId="44" applyFont="1" applyAlignment="1" applyProtection="1">
      <alignment vertical="center" wrapText="1"/>
      <protection locked="0"/>
    </xf>
    <xf numFmtId="0" fontId="40" fillId="0" borderId="0" xfId="44" applyFont="1" applyProtection="1">
      <alignment vertical="center"/>
      <protection locked="0"/>
    </xf>
    <xf numFmtId="201" fontId="7" fillId="0" borderId="0" xfId="44" applyNumberFormat="1" applyFont="1" applyAlignment="1" applyProtection="1">
      <alignment horizontal="right" vertical="center"/>
      <protection locked="0"/>
    </xf>
    <xf numFmtId="0" fontId="9" fillId="0" borderId="0" xfId="44" applyFont="1" applyAlignment="1" applyProtection="1">
      <alignment horizontal="center" vertical="center"/>
      <protection locked="0"/>
    </xf>
    <xf numFmtId="200" fontId="7" fillId="0" borderId="0" xfId="44" applyNumberFormat="1" applyFont="1" applyAlignment="1" applyProtection="1">
      <alignment horizontal="center" vertical="center"/>
      <protection locked="0"/>
    </xf>
    <xf numFmtId="41" fontId="7" fillId="0" borderId="0" xfId="44" applyNumberFormat="1" applyFont="1" applyAlignment="1" applyProtection="1">
      <alignment horizontal="center" vertical="center"/>
      <protection locked="0"/>
    </xf>
    <xf numFmtId="43" fontId="9" fillId="0" borderId="0" xfId="44" applyNumberFormat="1" applyFont="1" applyProtection="1">
      <alignment vertical="center"/>
      <protection locked="0"/>
    </xf>
    <xf numFmtId="43" fontId="9" fillId="0" borderId="0" xfId="45" applyFont="1" applyFill="1" applyProtection="1">
      <alignment vertical="center"/>
      <protection locked="0"/>
    </xf>
    <xf numFmtId="49" fontId="9" fillId="0" borderId="0" xfId="43" applyNumberFormat="1" applyFont="1" applyBorder="1" applyAlignment="1">
      <alignment vertical="center" wrapText="1"/>
    </xf>
    <xf numFmtId="43" fontId="13" fillId="0" borderId="0" xfId="43" applyNumberFormat="1" applyFont="1" applyBorder="1" applyAlignment="1">
      <alignment vertical="center"/>
    </xf>
    <xf numFmtId="43" fontId="9" fillId="0" borderId="0" xfId="43" applyNumberFormat="1" applyFont="1" applyBorder="1" applyAlignment="1">
      <alignment horizontal="left" vertical="center"/>
    </xf>
    <xf numFmtId="0" fontId="9" fillId="0" borderId="0" xfId="789" applyFont="1" applyAlignment="1">
      <alignment vertical="center"/>
    </xf>
    <xf numFmtId="14" fontId="9" fillId="0" borderId="0" xfId="789" applyNumberFormat="1" applyFont="1" applyAlignment="1">
      <alignment horizontal="center" vertical="center"/>
    </xf>
    <xf numFmtId="14" fontId="49" fillId="0" borderId="8" xfId="595" applyNumberFormat="1" applyFont="1" applyBorder="1" applyAlignment="1">
      <alignment horizontal="center" vertical="center" wrapText="1"/>
    </xf>
    <xf numFmtId="0" fontId="49" fillId="0" borderId="8" xfId="789" applyFont="1" applyBorder="1" applyAlignment="1">
      <alignment horizontal="center" vertical="center"/>
    </xf>
    <xf numFmtId="10" fontId="49" fillId="0" borderId="8" xfId="790" applyNumberFormat="1" applyFont="1" applyBorder="1" applyAlignment="1">
      <alignment vertical="center"/>
    </xf>
    <xf numFmtId="0" fontId="49" fillId="0" borderId="8" xfId="1" applyNumberFormat="1" applyFont="1" applyBorder="1" applyAlignment="1">
      <alignment horizontal="center" vertical="center"/>
    </xf>
    <xf numFmtId="0" fontId="140" fillId="0" borderId="8" xfId="595" applyFont="1" applyBorder="1" applyAlignment="1">
      <alignment horizontal="center" vertical="center" wrapText="1"/>
    </xf>
    <xf numFmtId="0" fontId="9" fillId="0" borderId="8" xfId="789" applyFont="1" applyBorder="1" applyAlignment="1">
      <alignment horizontal="center" vertical="center"/>
    </xf>
    <xf numFmtId="14" fontId="52" fillId="0" borderId="8" xfId="595" applyNumberFormat="1" applyFont="1" applyBorder="1" applyAlignment="1">
      <alignment horizontal="center" vertical="center" wrapText="1"/>
    </xf>
    <xf numFmtId="0" fontId="9" fillId="0" borderId="8" xfId="1" applyNumberFormat="1" applyFont="1" applyBorder="1" applyAlignment="1">
      <alignment horizontal="center" vertical="center"/>
    </xf>
    <xf numFmtId="198" fontId="49" fillId="0" borderId="8" xfId="624" applyNumberFormat="1" applyFont="1" applyBorder="1" applyAlignment="1">
      <alignment horizontal="center" vertical="center"/>
      <protection locked="0"/>
    </xf>
    <xf numFmtId="0" fontId="9" fillId="0" borderId="8" xfId="789" applyFont="1" applyBorder="1" applyAlignment="1">
      <alignment vertical="center"/>
    </xf>
    <xf numFmtId="245" fontId="9" fillId="0" borderId="8" xfId="1" applyNumberFormat="1" applyFont="1" applyBorder="1" applyAlignment="1">
      <alignment vertical="center"/>
    </xf>
    <xf numFmtId="0" fontId="9" fillId="0" borderId="0" xfId="43" applyFont="1" applyBorder="1" applyAlignment="1">
      <alignment horizontal="center" vertical="center"/>
    </xf>
    <xf numFmtId="0" fontId="9" fillId="0" borderId="8" xfId="43" applyFont="1" applyBorder="1" applyAlignment="1">
      <alignment horizontal="center" vertical="center"/>
    </xf>
    <xf numFmtId="0" fontId="9" fillId="0" borderId="8" xfId="1" applyNumberFormat="1" applyFont="1" applyFill="1" applyBorder="1" applyAlignment="1">
      <alignment horizontal="center" vertical="center"/>
    </xf>
    <xf numFmtId="0" fontId="9" fillId="0" borderId="0" xfId="624" applyFont="1" applyAlignment="1">
      <alignment horizontal="center" vertical="center" wrapText="1"/>
      <protection locked="0"/>
    </xf>
    <xf numFmtId="43" fontId="20" fillId="0" borderId="0" xfId="43" applyNumberFormat="1" applyFont="1" applyBorder="1" applyAlignment="1">
      <alignment vertical="center"/>
    </xf>
    <xf numFmtId="43" fontId="7" fillId="0" borderId="0" xfId="43" applyNumberFormat="1" applyFont="1" applyBorder="1" applyAlignment="1">
      <alignment vertical="center"/>
    </xf>
    <xf numFmtId="43" fontId="9" fillId="0" borderId="8" xfId="789" applyNumberFormat="1" applyFont="1" applyBorder="1" applyAlignment="1">
      <alignment horizontal="center" vertical="center"/>
    </xf>
    <xf numFmtId="0" fontId="144" fillId="6" borderId="8" xfId="35" applyFont="1" applyFill="1" applyBorder="1" applyAlignment="1" applyProtection="1">
      <alignment horizontal="center" vertical="center" wrapText="1"/>
      <protection locked="0"/>
    </xf>
    <xf numFmtId="43" fontId="7" fillId="0" borderId="9" xfId="43" applyNumberFormat="1" applyFont="1" applyBorder="1" applyAlignment="1">
      <alignment horizontal="left" vertical="center"/>
    </xf>
    <xf numFmtId="43" fontId="9" fillId="0" borderId="9" xfId="43" applyNumberFormat="1" applyFont="1" applyBorder="1" applyAlignment="1">
      <alignment horizontal="left" vertical="center"/>
    </xf>
    <xf numFmtId="43" fontId="145" fillId="0" borderId="9" xfId="792" applyNumberFormat="1" applyFont="1" applyBorder="1" applyAlignment="1" applyProtection="1">
      <alignment horizontal="center" vertical="center"/>
    </xf>
    <xf numFmtId="0" fontId="7" fillId="0" borderId="0" xfId="789" applyFont="1" applyAlignment="1">
      <alignment vertical="center"/>
    </xf>
    <xf numFmtId="0" fontId="9" fillId="0" borderId="0" xfId="0" applyFont="1" applyAlignment="1">
      <alignment horizontal="right" vertical="center"/>
      <protection locked="0"/>
    </xf>
    <xf numFmtId="43" fontId="9" fillId="0" borderId="0" xfId="789" applyNumberFormat="1" applyFont="1" applyAlignment="1">
      <alignment vertical="center"/>
    </xf>
    <xf numFmtId="14" fontId="9" fillId="6" borderId="8" xfId="1" applyNumberFormat="1" applyFont="1" applyFill="1" applyBorder="1" applyAlignment="1">
      <alignment horizontal="right" vertical="center" wrapText="1"/>
    </xf>
    <xf numFmtId="43" fontId="13" fillId="0" borderId="0" xfId="30" applyNumberFormat="1" applyFont="1">
      <alignment vertical="center"/>
    </xf>
    <xf numFmtId="43" fontId="9" fillId="0" borderId="0" xfId="0" applyNumberFormat="1" applyFont="1" applyAlignment="1">
      <alignment vertical="center"/>
      <protection locked="0"/>
    </xf>
    <xf numFmtId="43" fontId="9" fillId="0" borderId="0" xfId="0" applyNumberFormat="1" applyFont="1" applyAlignment="1">
      <alignment vertical="center" wrapText="1"/>
      <protection locked="0"/>
    </xf>
    <xf numFmtId="43" fontId="9" fillId="0" borderId="0" xfId="31" applyNumberFormat="1" applyFont="1">
      <alignment vertical="center"/>
    </xf>
    <xf numFmtId="43" fontId="9" fillId="0" borderId="0" xfId="28" applyNumberFormat="1" applyFont="1" applyAlignment="1">
      <alignment vertical="center"/>
      <protection locked="0"/>
    </xf>
    <xf numFmtId="43" fontId="9" fillId="6" borderId="5" xfId="1" applyNumberFormat="1" applyFont="1" applyFill="1" applyBorder="1" applyAlignment="1">
      <alignment horizontal="center" vertical="center"/>
    </xf>
    <xf numFmtId="43" fontId="9" fillId="0" borderId="0" xfId="1" applyNumberFormat="1" applyFont="1" applyAlignment="1">
      <alignment vertical="center"/>
    </xf>
    <xf numFmtId="43" fontId="9" fillId="0" borderId="0" xfId="2" applyNumberFormat="1" applyFont="1" applyAlignment="1">
      <alignment vertical="center"/>
    </xf>
    <xf numFmtId="43" fontId="9" fillId="6" borderId="8" xfId="1" applyNumberFormat="1" applyFont="1" applyFill="1" applyBorder="1" applyAlignment="1" applyProtection="1">
      <alignment vertical="center" shrinkToFit="1"/>
      <protection locked="0"/>
    </xf>
    <xf numFmtId="43" fontId="9" fillId="6" borderId="8" xfId="1" applyNumberFormat="1" applyFont="1" applyFill="1" applyBorder="1" applyAlignment="1">
      <alignment horizontal="right" vertical="center" wrapText="1"/>
    </xf>
    <xf numFmtId="43" fontId="9" fillId="0" borderId="8" xfId="1" applyNumberFormat="1" applyFont="1" applyBorder="1" applyAlignment="1">
      <alignment horizontal="center" vertical="center"/>
    </xf>
    <xf numFmtId="43" fontId="9" fillId="0" borderId="8" xfId="1" applyNumberFormat="1" applyFont="1" applyBorder="1" applyAlignment="1">
      <alignment vertical="center"/>
    </xf>
    <xf numFmtId="43" fontId="7" fillId="6" borderId="8" xfId="0" applyNumberFormat="1" applyFont="1" applyFill="1" applyBorder="1" applyAlignment="1">
      <alignment horizontal="centerContinuous" vertical="center"/>
      <protection locked="0"/>
    </xf>
    <xf numFmtId="43" fontId="7" fillId="0" borderId="8" xfId="0" applyNumberFormat="1" applyFont="1" applyBorder="1" applyAlignment="1">
      <alignment horizontal="center" vertical="center"/>
      <protection locked="0"/>
    </xf>
    <xf numFmtId="43" fontId="7" fillId="0" borderId="8" xfId="2" applyNumberFormat="1" applyFont="1" applyBorder="1" applyAlignment="1" applyProtection="1">
      <alignment horizontal="center" vertical="center"/>
      <protection locked="0"/>
    </xf>
    <xf numFmtId="43" fontId="20" fillId="0" borderId="0" xfId="0" applyNumberFormat="1" applyFont="1" applyAlignment="1">
      <alignment vertical="center"/>
      <protection locked="0"/>
    </xf>
    <xf numFmtId="14" fontId="9" fillId="0" borderId="0" xfId="1" applyNumberFormat="1" applyFont="1" applyAlignment="1">
      <alignment vertical="center"/>
    </xf>
    <xf numFmtId="14" fontId="20" fillId="0" borderId="0" xfId="0" applyNumberFormat="1" applyFont="1" applyAlignment="1">
      <alignment vertical="center"/>
      <protection locked="0"/>
    </xf>
    <xf numFmtId="43" fontId="9" fillId="8" borderId="8" xfId="1" applyFont="1" applyFill="1" applyBorder="1" applyAlignment="1">
      <alignment vertical="center" shrinkToFit="1"/>
    </xf>
    <xf numFmtId="43" fontId="9" fillId="8" borderId="8" xfId="1" applyFont="1" applyFill="1" applyBorder="1" applyAlignment="1">
      <alignment vertical="center"/>
    </xf>
    <xf numFmtId="43" fontId="9" fillId="6" borderId="8" xfId="1" applyFont="1" applyFill="1" applyBorder="1" applyAlignment="1">
      <alignment horizontal="center" vertical="center"/>
    </xf>
    <xf numFmtId="14" fontId="9" fillId="6" borderId="8" xfId="1" applyNumberFormat="1" applyFont="1" applyFill="1" applyBorder="1" applyAlignment="1">
      <alignment vertical="center"/>
    </xf>
    <xf numFmtId="194" fontId="9" fillId="6" borderId="8" xfId="1" applyNumberFormat="1" applyFont="1" applyFill="1" applyBorder="1" applyAlignment="1">
      <alignment vertical="center"/>
    </xf>
    <xf numFmtId="43" fontId="9" fillId="6" borderId="8" xfId="1" applyFont="1" applyFill="1" applyBorder="1" applyAlignment="1">
      <alignment vertical="center"/>
    </xf>
    <xf numFmtId="43" fontId="7" fillId="6" borderId="0" xfId="0" applyNumberFormat="1" applyFont="1" applyFill="1" applyAlignment="1">
      <alignment horizontal="left" vertical="center"/>
      <protection locked="0"/>
    </xf>
    <xf numFmtId="43" fontId="7" fillId="6" borderId="8" xfId="1" applyFont="1" applyFill="1" applyBorder="1" applyAlignment="1">
      <alignment horizontal="right" vertical="center" wrapText="1"/>
    </xf>
    <xf numFmtId="43" fontId="9" fillId="6" borderId="10" xfId="1" applyFont="1" applyFill="1" applyBorder="1" applyAlignment="1">
      <alignment horizontal="right" vertical="center" wrapText="1"/>
    </xf>
    <xf numFmtId="43" fontId="9" fillId="0" borderId="0" xfId="0" applyNumberFormat="1" applyFont="1" applyBorder="1" applyAlignment="1">
      <alignment vertical="center"/>
      <protection locked="0"/>
    </xf>
    <xf numFmtId="14" fontId="9" fillId="0" borderId="0" xfId="0" applyNumberFormat="1" applyFont="1" applyBorder="1" applyAlignment="1">
      <alignment vertical="center"/>
      <protection locked="0"/>
    </xf>
    <xf numFmtId="0" fontId="9" fillId="0" borderId="0" xfId="0" applyFont="1" applyBorder="1" applyAlignment="1">
      <alignment vertical="center"/>
      <protection locked="0"/>
    </xf>
    <xf numFmtId="0" fontId="7" fillId="0" borderId="0" xfId="788" applyFont="1" applyAlignment="1">
      <alignment vertical="center"/>
    </xf>
    <xf numFmtId="0" fontId="9" fillId="0" borderId="0" xfId="0" applyNumberFormat="1" applyFont="1" applyAlignment="1">
      <alignment vertical="center"/>
      <protection locked="0"/>
    </xf>
    <xf numFmtId="0" fontId="9" fillId="0" borderId="0" xfId="0" applyNumberFormat="1" applyFont="1" applyAlignment="1">
      <alignment vertical="center" wrapText="1"/>
      <protection locked="0"/>
    </xf>
    <xf numFmtId="0" fontId="33" fillId="0" borderId="0" xfId="28" applyNumberFormat="1" applyFont="1" applyAlignment="1" applyProtection="1">
      <alignment vertical="center"/>
    </xf>
    <xf numFmtId="0" fontId="9" fillId="0" borderId="0" xfId="32" applyNumberFormat="1" applyFont="1" applyAlignment="1" applyProtection="1">
      <alignment vertical="center" wrapText="1"/>
      <protection locked="0"/>
    </xf>
    <xf numFmtId="0" fontId="9" fillId="0" borderId="0" xfId="0" applyFont="1">
      <protection locked="0"/>
    </xf>
    <xf numFmtId="0" fontId="9" fillId="0" borderId="0" xfId="35" applyNumberFormat="1" applyFont="1" applyAlignment="1">
      <alignment horizontal="left" vertical="center" wrapText="1"/>
    </xf>
    <xf numFmtId="0" fontId="9" fillId="0" borderId="0" xfId="35" applyNumberFormat="1" applyFont="1" applyAlignment="1">
      <alignment horizontal="left" vertical="center"/>
    </xf>
    <xf numFmtId="0" fontId="7" fillId="6" borderId="8" xfId="0" applyNumberFormat="1" applyFont="1" applyFill="1" applyBorder="1" applyAlignment="1" applyProtection="1">
      <alignment horizontal="center" vertical="center" wrapText="1"/>
    </xf>
    <xf numFmtId="0" fontId="7" fillId="6" borderId="8" xfId="793" applyFont="1" applyFill="1" applyBorder="1" applyAlignment="1">
      <alignment horizontal="center" vertical="center" wrapText="1"/>
    </xf>
    <xf numFmtId="0" fontId="9" fillId="0" borderId="8" xfId="35" applyNumberFormat="1" applyFont="1" applyBorder="1" applyAlignment="1" applyProtection="1">
      <alignment vertical="center"/>
      <protection locked="0"/>
    </xf>
    <xf numFmtId="0" fontId="140" fillId="0" borderId="0" xfId="0" applyFont="1" applyBorder="1" applyAlignment="1">
      <alignment vertical="center"/>
      <protection locked="0"/>
    </xf>
    <xf numFmtId="43" fontId="7" fillId="0" borderId="0" xfId="1" applyFont="1" applyFill="1" applyAlignment="1" applyProtection="1">
      <alignment horizontal="right" vertical="center" shrinkToFit="1"/>
    </xf>
    <xf numFmtId="43" fontId="9" fillId="0" borderId="0" xfId="1" applyFont="1" applyAlignment="1" applyProtection="1">
      <alignment vertical="center"/>
      <protection locked="0"/>
    </xf>
    <xf numFmtId="246" fontId="7" fillId="0" borderId="0" xfId="1" applyNumberFormat="1" applyFont="1" applyAlignment="1" applyProtection="1">
      <alignment vertical="center"/>
      <protection locked="0"/>
    </xf>
    <xf numFmtId="43" fontId="49" fillId="0" borderId="8" xfId="1" applyFont="1" applyBorder="1" applyAlignment="1">
      <alignment vertical="center"/>
    </xf>
    <xf numFmtId="43" fontId="49" fillId="0" borderId="8" xfId="789" applyNumberFormat="1" applyFont="1" applyBorder="1" applyAlignment="1">
      <alignment horizontal="center" vertical="center"/>
    </xf>
    <xf numFmtId="43" fontId="49" fillId="0" borderId="8" xfId="1" applyFont="1" applyFill="1" applyBorder="1" applyAlignment="1">
      <alignment vertical="center"/>
    </xf>
    <xf numFmtId="245" fontId="9" fillId="8" borderId="8" xfId="1" applyNumberFormat="1" applyFont="1" applyFill="1" applyBorder="1" applyAlignment="1">
      <alignment vertical="center"/>
    </xf>
    <xf numFmtId="43" fontId="40" fillId="0" borderId="8" xfId="1" applyFont="1" applyFill="1" applyBorder="1" applyAlignment="1">
      <alignment vertical="center"/>
    </xf>
    <xf numFmtId="43" fontId="7" fillId="8" borderId="8" xfId="1" applyFont="1" applyFill="1" applyBorder="1" applyAlignment="1">
      <alignment horizontal="center" vertical="center" wrapText="1"/>
    </xf>
    <xf numFmtId="43" fontId="40" fillId="8" borderId="8" xfId="1" applyFont="1" applyFill="1" applyBorder="1" applyAlignment="1">
      <alignment horizontal="center" vertical="center" wrapText="1"/>
    </xf>
    <xf numFmtId="245" fontId="49" fillId="0" borderId="8" xfId="1" applyNumberFormat="1" applyFont="1" applyBorder="1" applyAlignment="1">
      <alignment vertical="center"/>
    </xf>
    <xf numFmtId="0" fontId="143" fillId="0" borderId="0" xfId="0" applyFont="1" applyAlignment="1">
      <alignment vertical="center"/>
      <protection locked="0"/>
    </xf>
    <xf numFmtId="43" fontId="9" fillId="0" borderId="0" xfId="43" applyNumberFormat="1" applyFont="1" applyBorder="1" applyAlignment="1">
      <alignment vertical="center" wrapText="1"/>
    </xf>
    <xf numFmtId="0" fontId="33" fillId="6" borderId="8" xfId="0" applyFont="1" applyFill="1" applyBorder="1" applyAlignment="1" applyProtection="1">
      <alignment vertical="center"/>
    </xf>
    <xf numFmtId="0" fontId="7" fillId="0" borderId="0" xfId="788" applyFont="1" applyAlignment="1">
      <alignment horizontal="left" vertical="center"/>
    </xf>
    <xf numFmtId="0" fontId="7" fillId="6" borderId="8" xfId="0" applyFont="1" applyFill="1" applyBorder="1" applyAlignment="1">
      <alignment horizontal="center" vertical="center" wrapText="1"/>
      <protection locked="0"/>
    </xf>
    <xf numFmtId="196" fontId="9" fillId="0" borderId="0" xfId="0" applyNumberFormat="1" applyFont="1" applyAlignment="1">
      <alignment vertical="center"/>
      <protection locked="0"/>
    </xf>
    <xf numFmtId="0" fontId="9" fillId="5" borderId="0" xfId="0" applyFont="1" applyFill="1" applyAlignment="1">
      <alignment horizontal="justify" vertical="center" wrapText="1"/>
      <protection locked="0"/>
    </xf>
    <xf numFmtId="0" fontId="9" fillId="0" borderId="0" xfId="0" applyFont="1" applyAlignment="1">
      <alignment horizontal="justify" wrapText="1"/>
      <protection locked="0"/>
    </xf>
    <xf numFmtId="196" fontId="9" fillId="0" borderId="0" xfId="0" applyNumberFormat="1" applyFont="1">
      <protection locked="0"/>
    </xf>
    <xf numFmtId="0" fontId="9" fillId="0" borderId="0" xfId="0" applyFont="1" applyAlignment="1">
      <alignment horizontal="justify" vertical="center" wrapText="1"/>
      <protection locked="0"/>
    </xf>
    <xf numFmtId="0" fontId="149" fillId="66" borderId="0" xfId="0" applyFont="1" applyFill="1" applyAlignment="1" applyProtection="1">
      <alignment vertical="center"/>
    </xf>
    <xf numFmtId="0" fontId="150" fillId="67" borderId="0" xfId="0" applyFont="1" applyFill="1" applyAlignment="1" applyProtection="1">
      <alignment vertical="center"/>
    </xf>
    <xf numFmtId="0" fontId="140" fillId="0" borderId="0" xfId="0" applyFont="1" applyFill="1" applyAlignment="1">
      <alignment vertical="center"/>
      <protection locked="0"/>
    </xf>
    <xf numFmtId="43" fontId="140" fillId="0" borderId="0" xfId="0" applyNumberFormat="1" applyFont="1" applyAlignment="1">
      <alignment vertical="center"/>
      <protection locked="0"/>
    </xf>
    <xf numFmtId="0" fontId="140" fillId="0" borderId="0" xfId="0" applyFont="1" applyAlignment="1">
      <alignment vertical="center"/>
      <protection locked="0"/>
    </xf>
    <xf numFmtId="43" fontId="151" fillId="0" borderId="0" xfId="1" applyFont="1" applyAlignment="1" applyProtection="1">
      <alignment horizontal="left" vertical="center"/>
      <protection locked="0"/>
    </xf>
    <xf numFmtId="0" fontId="20" fillId="0" borderId="0" xfId="34" applyFont="1" applyAlignment="1">
      <alignment vertical="center"/>
      <protection locked="0"/>
    </xf>
    <xf numFmtId="0" fontId="7" fillId="0" borderId="33" xfId="0" applyFont="1" applyBorder="1" applyAlignment="1">
      <alignment horizontal="center" vertical="center"/>
      <protection locked="0"/>
    </xf>
    <xf numFmtId="0" fontId="18" fillId="0" borderId="33" xfId="34" applyFont="1" applyBorder="1" applyAlignment="1">
      <alignment vertical="center"/>
      <protection locked="0"/>
    </xf>
    <xf numFmtId="0" fontId="9" fillId="0" borderId="33" xfId="0" applyFont="1" applyBorder="1" applyAlignment="1">
      <alignment vertical="center"/>
      <protection locked="0"/>
    </xf>
    <xf numFmtId="196" fontId="9" fillId="0" borderId="33" xfId="0" applyNumberFormat="1" applyFont="1" applyBorder="1" applyAlignment="1">
      <alignment horizontal="center" vertical="center" wrapText="1"/>
      <protection locked="0"/>
    </xf>
    <xf numFmtId="0" fontId="20" fillId="0" borderId="33" xfId="34" applyFont="1" applyBorder="1" applyAlignment="1">
      <alignment vertical="center"/>
      <protection locked="0"/>
    </xf>
    <xf numFmtId="0" fontId="9" fillId="0" borderId="0" xfId="40" applyFont="1" applyAlignment="1">
      <alignment vertical="center"/>
      <protection locked="0"/>
    </xf>
    <xf numFmtId="0" fontId="9" fillId="0" borderId="0" xfId="40" applyFont="1">
      <alignment vertical="center"/>
      <protection locked="0"/>
    </xf>
    <xf numFmtId="0" fontId="9" fillId="0" borderId="0" xfId="40" applyFont="1" applyAlignment="1">
      <alignment horizontal="left" vertical="center"/>
      <protection locked="0"/>
    </xf>
    <xf numFmtId="0" fontId="9" fillId="0" borderId="0" xfId="40" applyFont="1" applyBorder="1" applyAlignment="1">
      <alignment horizontal="left" vertical="center"/>
      <protection locked="0"/>
    </xf>
    <xf numFmtId="0" fontId="7" fillId="0" borderId="0" xfId="40" applyFont="1" applyAlignment="1">
      <alignment horizontal="left" vertical="center"/>
      <protection locked="0"/>
    </xf>
    <xf numFmtId="0" fontId="7" fillId="0" borderId="0" xfId="40" applyFont="1" applyAlignment="1">
      <alignment horizontal="justify" vertical="center"/>
      <protection locked="0"/>
    </xf>
    <xf numFmtId="49" fontId="9" fillId="0" borderId="0" xfId="31" applyNumberFormat="1" applyFont="1" applyAlignment="1">
      <alignment horizontal="left" vertical="center"/>
    </xf>
    <xf numFmtId="0" fontId="7" fillId="6" borderId="8" xfId="35" applyFont="1" applyFill="1" applyBorder="1" applyAlignment="1" applyProtection="1">
      <alignment horizontal="center" vertical="center" wrapText="1"/>
      <protection locked="0"/>
    </xf>
    <xf numFmtId="0" fontId="7" fillId="6" borderId="8" xfId="29" applyFont="1" applyFill="1" applyBorder="1" applyAlignment="1">
      <alignment horizontal="center" vertical="center"/>
      <protection locked="0"/>
    </xf>
    <xf numFmtId="0" fontId="33" fillId="6" borderId="8" xfId="29" applyFont="1" applyFill="1" applyBorder="1" applyAlignment="1">
      <alignment horizontal="center" vertical="center" wrapText="1"/>
      <protection locked="0"/>
    </xf>
    <xf numFmtId="0" fontId="9" fillId="0" borderId="0" xfId="3" applyFont="1" applyAlignment="1">
      <alignment vertical="center"/>
    </xf>
    <xf numFmtId="43" fontId="9" fillId="0" borderId="4" xfId="4" applyNumberFormat="1" applyFont="1" applyBorder="1" applyAlignment="1">
      <alignment vertical="center"/>
    </xf>
    <xf numFmtId="43" fontId="7" fillId="0" borderId="0" xfId="4" applyNumberFormat="1" applyFont="1" applyBorder="1" applyAlignment="1">
      <alignment vertical="center"/>
    </xf>
    <xf numFmtId="43" fontId="153" fillId="0" borderId="0" xfId="4" applyNumberFormat="1" applyFont="1" applyBorder="1" applyAlignment="1">
      <alignment vertical="center"/>
    </xf>
    <xf numFmtId="0" fontId="9" fillId="0" borderId="0" xfId="29" applyFont="1" applyAlignment="1">
      <alignment horizontal="left" vertical="center"/>
      <protection locked="0"/>
    </xf>
    <xf numFmtId="0" fontId="7" fillId="0" borderId="0" xfId="0" applyFont="1" applyAlignment="1" applyProtection="1">
      <alignment horizontal="justify" vertical="center"/>
    </xf>
    <xf numFmtId="0" fontId="149" fillId="0" borderId="29" xfId="0" applyFont="1" applyBorder="1" applyAlignment="1">
      <alignment horizontal="left" vertical="center"/>
      <protection locked="0"/>
    </xf>
    <xf numFmtId="0" fontId="149" fillId="0" borderId="29" xfId="0" applyFont="1" applyBorder="1" applyAlignment="1">
      <alignment horizontal="right" vertical="center"/>
      <protection locked="0"/>
    </xf>
    <xf numFmtId="0" fontId="150" fillId="0" borderId="0" xfId="0" applyFont="1" applyAlignment="1">
      <alignment horizontal="left" vertical="center"/>
      <protection locked="0"/>
    </xf>
    <xf numFmtId="0" fontId="150" fillId="0" borderId="0" xfId="0" applyFont="1" applyAlignment="1">
      <alignment horizontal="justify" vertical="center"/>
      <protection locked="0"/>
    </xf>
    <xf numFmtId="0" fontId="150" fillId="0" borderId="7" xfId="0" applyFont="1" applyBorder="1" applyAlignment="1">
      <alignment horizontal="left" vertical="center"/>
      <protection locked="0"/>
    </xf>
    <xf numFmtId="0" fontId="9" fillId="0" borderId="7" xfId="0" applyFont="1" applyBorder="1" applyAlignment="1">
      <alignment horizontal="right" vertical="center"/>
      <protection locked="0"/>
    </xf>
    <xf numFmtId="0" fontId="149" fillId="0" borderId="29" xfId="0" applyFont="1" applyBorder="1" applyAlignment="1">
      <alignment horizontal="justify" vertical="center" wrapText="1"/>
      <protection locked="0"/>
    </xf>
    <xf numFmtId="0" fontId="149" fillId="0" borderId="29" xfId="0" applyFont="1" applyBorder="1" applyAlignment="1">
      <alignment horizontal="right" vertical="center" wrapText="1"/>
      <protection locked="0"/>
    </xf>
    <xf numFmtId="0" fontId="150" fillId="0" borderId="0" xfId="0" applyFont="1" applyAlignment="1">
      <alignment horizontal="justify" vertical="center" wrapText="1"/>
      <protection locked="0"/>
    </xf>
    <xf numFmtId="0" fontId="9" fillId="0" borderId="0" xfId="0" applyFont="1" applyAlignment="1">
      <alignment horizontal="right" vertical="center" wrapText="1"/>
      <protection locked="0"/>
    </xf>
    <xf numFmtId="0" fontId="150" fillId="0" borderId="7" xfId="0" applyFont="1" applyBorder="1" applyAlignment="1">
      <alignment horizontal="justify" vertical="center" wrapText="1"/>
      <protection locked="0"/>
    </xf>
    <xf numFmtId="0" fontId="9" fillId="0" borderId="7" xfId="0" applyFont="1" applyBorder="1" applyAlignment="1">
      <alignment horizontal="right" vertical="center" wrapText="1"/>
      <protection locked="0"/>
    </xf>
    <xf numFmtId="0" fontId="149" fillId="0" borderId="0" xfId="0" applyFont="1" applyAlignment="1" applyProtection="1">
      <alignment horizontal="justify" vertical="center"/>
    </xf>
    <xf numFmtId="0" fontId="150" fillId="0" borderId="0" xfId="0" applyFont="1" applyAlignment="1" applyProtection="1">
      <alignment vertical="center"/>
    </xf>
    <xf numFmtId="0" fontId="9" fillId="0" borderId="0" xfId="28" applyFont="1" applyAlignment="1" applyProtection="1">
      <alignment vertical="center"/>
    </xf>
    <xf numFmtId="0" fontId="7" fillId="0" borderId="0" xfId="0" applyFont="1" applyBorder="1" applyAlignment="1">
      <alignment vertical="center"/>
      <protection locked="0"/>
    </xf>
    <xf numFmtId="195" fontId="9" fillId="0" borderId="0" xfId="1" applyNumberFormat="1" applyFont="1" applyBorder="1" applyAlignment="1" applyProtection="1">
      <alignment vertical="center"/>
      <protection locked="0"/>
    </xf>
    <xf numFmtId="195" fontId="150" fillId="0" borderId="0" xfId="1" applyNumberFormat="1" applyFont="1" applyBorder="1" applyAlignment="1" applyProtection="1">
      <alignment horizontal="right" vertical="center" wrapText="1"/>
      <protection locked="0"/>
    </xf>
    <xf numFmtId="195" fontId="9" fillId="0" borderId="0" xfId="1" applyNumberFormat="1" applyFont="1" applyBorder="1" applyAlignment="1" applyProtection="1">
      <alignment horizontal="right" vertical="center" wrapText="1"/>
      <protection locked="0"/>
    </xf>
    <xf numFmtId="195" fontId="7" fillId="0" borderId="0" xfId="1" applyNumberFormat="1" applyFont="1" applyBorder="1" applyAlignment="1" applyProtection="1">
      <alignment horizontal="right" vertical="center" wrapText="1"/>
      <protection locked="0"/>
    </xf>
    <xf numFmtId="0" fontId="9" fillId="0" borderId="0" xfId="791" applyFont="1">
      <protection locked="0"/>
    </xf>
    <xf numFmtId="0" fontId="33" fillId="6" borderId="8" xfId="791" applyFont="1" applyFill="1" applyBorder="1" applyAlignment="1" applyProtection="1">
      <alignment horizontal="center" vertical="center" wrapText="1"/>
    </xf>
    <xf numFmtId="0" fontId="9" fillId="0" borderId="0" xfId="791" applyFont="1" applyAlignment="1">
      <alignment horizontal="center" wrapText="1"/>
      <protection locked="0"/>
    </xf>
    <xf numFmtId="0" fontId="34" fillId="0" borderId="8" xfId="791" applyFont="1" applyBorder="1" applyAlignment="1" applyProtection="1">
      <alignment vertical="center"/>
    </xf>
    <xf numFmtId="0" fontId="7" fillId="0" borderId="0" xfId="624" applyFont="1" applyAlignment="1">
      <alignment vertical="center"/>
      <protection locked="0"/>
    </xf>
    <xf numFmtId="0" fontId="155" fillId="0" borderId="0" xfId="789" applyFont="1" applyAlignment="1">
      <alignment horizontal="center" vertical="center"/>
    </xf>
    <xf numFmtId="0" fontId="9" fillId="0" borderId="0" xfId="624" applyFont="1" applyAlignment="1">
      <alignment vertical="center"/>
      <protection locked="0"/>
    </xf>
    <xf numFmtId="0" fontId="155" fillId="8" borderId="0" xfId="789" applyFont="1" applyFill="1" applyAlignment="1">
      <alignment horizontal="center" vertical="center"/>
    </xf>
    <xf numFmtId="0" fontId="155" fillId="6" borderId="0" xfId="789" applyFont="1" applyFill="1" applyAlignment="1">
      <alignment horizontal="center" vertical="center"/>
    </xf>
    <xf numFmtId="0" fontId="9" fillId="8" borderId="8" xfId="789" applyFont="1" applyFill="1" applyBorder="1" applyAlignment="1">
      <alignment horizontal="center" vertical="center"/>
    </xf>
    <xf numFmtId="0" fontId="49" fillId="8" borderId="8" xfId="789" applyFont="1" applyFill="1" applyBorder="1" applyAlignment="1">
      <alignment horizontal="center" vertical="center"/>
    </xf>
    <xf numFmtId="0" fontId="9" fillId="0" borderId="0" xfId="620" applyFont="1">
      <protection locked="0"/>
    </xf>
    <xf numFmtId="0" fontId="49" fillId="0" borderId="8" xfId="624" applyFont="1" applyBorder="1" applyAlignment="1">
      <alignment vertical="center" wrapText="1"/>
      <protection locked="0"/>
    </xf>
    <xf numFmtId="0" fontId="140" fillId="0" borderId="8" xfId="624" applyFont="1" applyBorder="1" applyAlignment="1">
      <alignment vertical="center" wrapText="1"/>
      <protection locked="0"/>
    </xf>
    <xf numFmtId="0" fontId="7" fillId="8" borderId="8" xfId="789" applyFont="1" applyFill="1" applyBorder="1" applyAlignment="1">
      <alignment horizontal="center" vertical="center" wrapText="1"/>
    </xf>
    <xf numFmtId="201" fontId="52" fillId="0" borderId="0" xfId="595" applyNumberFormat="1" applyFont="1">
      <alignment vertical="center"/>
    </xf>
    <xf numFmtId="198" fontId="9" fillId="0" borderId="0" xfId="624" applyNumberFormat="1" applyFont="1" applyAlignment="1">
      <alignment vertical="center"/>
      <protection locked="0"/>
    </xf>
    <xf numFmtId="0" fontId="38" fillId="0" borderId="0" xfId="41" applyFont="1" applyAlignment="1" applyProtection="1">
      <alignment vertical="center"/>
    </xf>
    <xf numFmtId="0" fontId="9" fillId="0" borderId="0" xfId="44" applyFont="1">
      <alignment vertical="center"/>
    </xf>
    <xf numFmtId="0" fontId="33" fillId="0" borderId="0" xfId="46" applyFont="1" applyAlignment="1" applyProtection="1">
      <alignment vertical="center"/>
    </xf>
    <xf numFmtId="43" fontId="33" fillId="0" borderId="0" xfId="1" applyFont="1" applyAlignment="1" applyProtection="1">
      <alignment vertical="center"/>
    </xf>
    <xf numFmtId="0" fontId="9" fillId="0" borderId="0" xfId="47" applyFont="1" applyAlignment="1" applyProtection="1">
      <alignment vertical="center" wrapText="1"/>
      <protection locked="0"/>
    </xf>
    <xf numFmtId="0" fontId="9" fillId="0" borderId="0" xfId="47" applyFont="1" applyAlignment="1" applyProtection="1">
      <alignment horizontal="centerContinuous" vertical="center" wrapText="1"/>
      <protection locked="0"/>
    </xf>
    <xf numFmtId="0" fontId="9" fillId="0" borderId="0" xfId="47" applyFont="1" applyAlignment="1" applyProtection="1">
      <alignment horizontal="left" vertical="center"/>
      <protection locked="0"/>
    </xf>
    <xf numFmtId="0" fontId="9" fillId="0" borderId="0" xfId="47" applyFont="1" applyAlignment="1" applyProtection="1">
      <alignment vertical="center"/>
      <protection locked="0"/>
    </xf>
    <xf numFmtId="0" fontId="7" fillId="0" borderId="0" xfId="47" applyFont="1" applyAlignment="1" applyProtection="1">
      <alignment horizontal="left" vertical="center" wrapText="1"/>
      <protection locked="0"/>
    </xf>
    <xf numFmtId="43" fontId="9" fillId="0" borderId="0" xfId="0" applyNumberFormat="1" applyFont="1" applyAlignment="1">
      <alignment horizontal="right" vertical="center"/>
      <protection locked="0"/>
    </xf>
    <xf numFmtId="0" fontId="33" fillId="0" borderId="0" xfId="28" applyNumberFormat="1" applyFont="1" applyFill="1" applyAlignment="1" applyProtection="1">
      <alignment vertical="center"/>
    </xf>
    <xf numFmtId="14" fontId="9" fillId="0" borderId="0" xfId="29" applyNumberFormat="1" applyFont="1">
      <protection locked="0"/>
    </xf>
    <xf numFmtId="14" fontId="20" fillId="0" borderId="0" xfId="1" applyNumberFormat="1" applyFont="1" applyAlignment="1">
      <alignment vertical="center"/>
    </xf>
    <xf numFmtId="43" fontId="7" fillId="0" borderId="0" xfId="0" applyNumberFormat="1" applyFont="1" applyBorder="1" applyAlignment="1">
      <alignment vertical="center"/>
      <protection locked="0"/>
    </xf>
    <xf numFmtId="43" fontId="7" fillId="0" borderId="0" xfId="0" applyNumberFormat="1" applyFont="1" applyAlignment="1">
      <alignment vertical="center"/>
      <protection locked="0"/>
    </xf>
    <xf numFmtId="43" fontId="153" fillId="0" borderId="0" xfId="0" applyNumberFormat="1" applyFont="1" applyAlignment="1">
      <alignment vertical="center"/>
      <protection locked="0"/>
    </xf>
    <xf numFmtId="43" fontId="20" fillId="0" borderId="0" xfId="1" applyFont="1" applyAlignment="1">
      <alignment vertical="center"/>
    </xf>
    <xf numFmtId="0" fontId="49" fillId="0" borderId="8" xfId="0" applyFont="1" applyBorder="1" applyAlignment="1">
      <alignment horizontal="justify" vertical="center" wrapText="1"/>
      <protection locked="0"/>
    </xf>
    <xf numFmtId="0" fontId="7" fillId="0" borderId="9" xfId="0" applyFont="1" applyBorder="1" applyAlignment="1">
      <alignment vertical="center"/>
      <protection locked="0"/>
    </xf>
    <xf numFmtId="0" fontId="140" fillId="0" borderId="0" xfId="0" applyFont="1" applyAlignment="1" applyProtection="1">
      <alignment vertical="center"/>
    </xf>
    <xf numFmtId="0" fontId="20" fillId="0" borderId="8" xfId="28" applyFont="1" applyBorder="1" applyAlignment="1">
      <alignment vertical="center"/>
      <protection locked="0"/>
    </xf>
    <xf numFmtId="0" fontId="9" fillId="0" borderId="0" xfId="35" applyFont="1" applyAlignment="1">
      <alignment horizontal="left" vertical="center"/>
    </xf>
    <xf numFmtId="0" fontId="9" fillId="0" borderId="0" xfId="35" applyFont="1" applyAlignment="1">
      <alignment horizontal="left" vertical="center" wrapText="1"/>
    </xf>
    <xf numFmtId="0" fontId="9" fillId="0" borderId="0" xfId="35" applyFont="1" applyAlignment="1">
      <alignment horizontal="center" vertical="center"/>
    </xf>
    <xf numFmtId="0" fontId="9" fillId="0" borderId="0" xfId="35" applyFont="1" applyAlignment="1" applyProtection="1">
      <alignment vertical="center" wrapText="1"/>
      <protection locked="0"/>
    </xf>
    <xf numFmtId="0" fontId="9" fillId="0" borderId="0" xfId="35" applyFont="1" applyAlignment="1" applyProtection="1">
      <alignment horizontal="left" vertical="center"/>
      <protection locked="0"/>
    </xf>
    <xf numFmtId="0" fontId="9" fillId="0" borderId="0" xfId="35" applyFont="1" applyAlignment="1" applyProtection="1">
      <alignment horizontal="centerContinuous" vertical="center" wrapText="1"/>
      <protection locked="0"/>
    </xf>
    <xf numFmtId="0" fontId="9" fillId="0" borderId="0" xfId="35" applyFont="1" applyAlignment="1" applyProtection="1">
      <alignment vertical="center"/>
      <protection locked="0"/>
    </xf>
    <xf numFmtId="0" fontId="9" fillId="0" borderId="0" xfId="35" applyFont="1" applyAlignment="1" applyProtection="1">
      <alignment wrapText="1"/>
      <protection locked="0"/>
    </xf>
    <xf numFmtId="0" fontId="140" fillId="0" borderId="0" xfId="35" applyFont="1" applyProtection="1">
      <protection locked="0"/>
    </xf>
    <xf numFmtId="0" fontId="9" fillId="0" borderId="0" xfId="35" applyFont="1" applyProtection="1">
      <protection locked="0"/>
    </xf>
    <xf numFmtId="0" fontId="140" fillId="69" borderId="0" xfId="35" applyFont="1" applyFill="1" applyAlignment="1">
      <alignment horizontal="left" vertical="center"/>
    </xf>
    <xf numFmtId="0" fontId="140" fillId="69" borderId="0" xfId="35" applyFont="1" applyFill="1" applyAlignment="1" applyProtection="1">
      <alignment vertical="center"/>
      <protection locked="0"/>
    </xf>
    <xf numFmtId="0" fontId="7" fillId="0" borderId="9" xfId="32" applyFont="1" applyBorder="1" applyAlignment="1">
      <alignment vertical="center"/>
    </xf>
    <xf numFmtId="49" fontId="7" fillId="0" borderId="9" xfId="0" applyNumberFormat="1" applyFont="1" applyBorder="1" applyAlignment="1">
      <alignment vertical="center"/>
      <protection locked="0"/>
    </xf>
    <xf numFmtId="0" fontId="33" fillId="6" borderId="8" xfId="46" applyFont="1" applyFill="1" applyBorder="1" applyAlignment="1" applyProtection="1">
      <alignment horizontal="center" vertical="center" wrapText="1"/>
    </xf>
    <xf numFmtId="43" fontId="9" fillId="0" borderId="8" xfId="1" applyFont="1" applyBorder="1" applyAlignment="1" applyProtection="1">
      <alignment vertical="center"/>
      <protection locked="0"/>
    </xf>
    <xf numFmtId="0" fontId="12" fillId="0" borderId="0" xfId="41" applyFont="1" applyAlignment="1">
      <alignment vertical="center"/>
      <protection locked="0"/>
    </xf>
    <xf numFmtId="0" fontId="13" fillId="0" borderId="0" xfId="791" applyFont="1">
      <protection locked="0"/>
    </xf>
    <xf numFmtId="0" fontId="12" fillId="0" borderId="0" xfId="29" applyFont="1" applyAlignment="1">
      <alignment vertical="center"/>
      <protection locked="0"/>
    </xf>
    <xf numFmtId="0" fontId="13" fillId="0" borderId="0" xfId="29" applyFont="1">
      <protection locked="0"/>
    </xf>
    <xf numFmtId="0" fontId="13" fillId="0" borderId="0" xfId="29" applyFont="1" applyAlignment="1">
      <alignment horizontal="left" vertical="center"/>
      <protection locked="0"/>
    </xf>
    <xf numFmtId="43" fontId="13" fillId="0" borderId="0" xfId="4" applyNumberFormat="1" applyFont="1" applyBorder="1" applyAlignment="1">
      <alignment vertical="center"/>
    </xf>
    <xf numFmtId="0" fontId="159" fillId="0" borderId="0" xfId="30" applyFont="1">
      <alignment vertical="center"/>
    </xf>
    <xf numFmtId="0" fontId="157" fillId="0" borderId="0" xfId="0" applyFont="1" applyAlignment="1">
      <alignment vertical="center"/>
      <protection locked="0"/>
    </xf>
    <xf numFmtId="0" fontId="159" fillId="0" borderId="0" xfId="0" applyFont="1" applyAlignment="1" applyProtection="1">
      <alignment vertical="center"/>
    </xf>
    <xf numFmtId="43" fontId="159" fillId="0" borderId="0" xfId="30" applyNumberFormat="1" applyFont="1">
      <alignment vertical="center"/>
    </xf>
    <xf numFmtId="43" fontId="159" fillId="0" borderId="0" xfId="43" applyNumberFormat="1" applyFont="1" applyBorder="1" applyAlignment="1">
      <alignment vertical="center"/>
    </xf>
    <xf numFmtId="0" fontId="157" fillId="0" borderId="0" xfId="41" applyFont="1" applyAlignment="1">
      <alignment vertical="center"/>
      <protection locked="0"/>
    </xf>
    <xf numFmtId="0" fontId="159" fillId="0" borderId="0" xfId="791" applyFont="1">
      <protection locked="0"/>
    </xf>
    <xf numFmtId="0" fontId="157" fillId="0" borderId="0" xfId="29" applyFont="1" applyAlignment="1">
      <alignment horizontal="center" vertical="center"/>
      <protection locked="0"/>
    </xf>
    <xf numFmtId="0" fontId="157" fillId="0" borderId="0" xfId="29" applyFont="1" applyAlignment="1">
      <alignment vertical="center"/>
      <protection locked="0"/>
    </xf>
    <xf numFmtId="0" fontId="159" fillId="0" borderId="0" xfId="29" applyFont="1">
      <protection locked="0"/>
    </xf>
    <xf numFmtId="43" fontId="159" fillId="0" borderId="0" xfId="4" applyNumberFormat="1" applyFont="1" applyBorder="1" applyAlignment="1">
      <alignment vertical="center"/>
    </xf>
    <xf numFmtId="43" fontId="7" fillId="6" borderId="10" xfId="1" applyFont="1" applyFill="1" applyBorder="1" applyAlignment="1">
      <alignment horizontal="right" vertical="center" wrapText="1"/>
    </xf>
    <xf numFmtId="0" fontId="159" fillId="0" borderId="0" xfId="0" applyFont="1" applyAlignment="1">
      <alignment vertical="center"/>
      <protection locked="0"/>
    </xf>
    <xf numFmtId="43" fontId="34" fillId="0" borderId="8" xfId="1" applyFont="1" applyBorder="1" applyAlignment="1" applyProtection="1">
      <alignment vertical="center"/>
    </xf>
    <xf numFmtId="49" fontId="34" fillId="0" borderId="8" xfId="791" applyNumberFormat="1" applyFont="1" applyBorder="1" applyAlignment="1" applyProtection="1">
      <alignment horizontal="center" vertical="center"/>
    </xf>
    <xf numFmtId="0" fontId="9" fillId="0" borderId="8" xfId="43" applyFont="1" applyFill="1" applyBorder="1" applyAlignment="1">
      <alignment horizontal="center" vertical="center"/>
    </xf>
    <xf numFmtId="0" fontId="38" fillId="8" borderId="8" xfId="789" applyFont="1" applyFill="1" applyBorder="1" applyAlignment="1">
      <alignment horizontal="center" vertical="center" wrapText="1"/>
    </xf>
    <xf numFmtId="0" fontId="40" fillId="8" borderId="8" xfId="789" applyFont="1" applyFill="1" applyBorder="1" applyAlignment="1">
      <alignment horizontal="center" vertical="center" wrapText="1"/>
    </xf>
    <xf numFmtId="43" fontId="7" fillId="6" borderId="8" xfId="1" applyNumberFormat="1" applyFont="1" applyFill="1" applyBorder="1" applyAlignment="1">
      <alignment horizontal="right" vertical="center" wrapText="1"/>
    </xf>
    <xf numFmtId="14" fontId="7" fillId="6" borderId="8" xfId="1" applyNumberFormat="1" applyFont="1" applyFill="1" applyBorder="1" applyAlignment="1">
      <alignment horizontal="right" vertical="center" wrapText="1"/>
    </xf>
    <xf numFmtId="194" fontId="7" fillId="8" borderId="8" xfId="1" applyNumberFormat="1" applyFont="1" applyFill="1" applyBorder="1" applyAlignment="1">
      <alignment vertical="center"/>
    </xf>
    <xf numFmtId="43" fontId="7" fillId="8" borderId="8" xfId="1" applyFont="1" applyFill="1" applyBorder="1" applyAlignment="1">
      <alignment vertical="center"/>
    </xf>
    <xf numFmtId="43" fontId="34" fillId="0" borderId="8" xfId="1" applyFont="1" applyFill="1" applyBorder="1" applyAlignment="1">
      <alignment horizontal="center" vertical="center"/>
    </xf>
    <xf numFmtId="49" fontId="9" fillId="0" borderId="8" xfId="0" applyNumberFormat="1" applyFont="1" applyBorder="1" applyAlignment="1">
      <alignment horizontal="center" vertical="center" wrapText="1"/>
      <protection locked="0"/>
    </xf>
    <xf numFmtId="0" fontId="7" fillId="8" borderId="8" xfId="0" applyFont="1" applyFill="1" applyBorder="1" applyAlignment="1">
      <alignment horizontal="center" vertical="center" wrapText="1"/>
      <protection locked="0"/>
    </xf>
    <xf numFmtId="43" fontId="7" fillId="8" borderId="8" xfId="1" applyFont="1" applyFill="1" applyBorder="1" applyAlignment="1" applyProtection="1">
      <alignment horizontal="justify" vertical="center" wrapText="1"/>
      <protection locked="0"/>
    </xf>
    <xf numFmtId="43" fontId="9" fillId="0" borderId="8" xfId="1" applyFont="1" applyBorder="1" applyAlignment="1" applyProtection="1">
      <alignment horizontal="justify" vertical="center" wrapText="1"/>
      <protection locked="0"/>
    </xf>
    <xf numFmtId="43" fontId="7" fillId="8" borderId="8" xfId="1" applyFont="1" applyFill="1" applyBorder="1" applyAlignment="1" applyProtection="1">
      <alignment horizontal="center" vertical="center" wrapText="1"/>
      <protection locked="0"/>
    </xf>
    <xf numFmtId="10" fontId="9" fillId="6" borderId="8" xfId="2" applyNumberFormat="1" applyFont="1" applyFill="1" applyBorder="1" applyAlignment="1">
      <alignment vertical="center"/>
    </xf>
    <xf numFmtId="245" fontId="9" fillId="6" borderId="8" xfId="1" applyNumberFormat="1" applyFont="1" applyFill="1" applyBorder="1" applyAlignment="1">
      <alignment vertical="center"/>
    </xf>
    <xf numFmtId="0" fontId="52" fillId="0" borderId="8" xfId="35" applyFont="1" applyBorder="1" applyAlignment="1">
      <alignment horizontal="left" vertical="center"/>
    </xf>
    <xf numFmtId="49" fontId="9" fillId="0" borderId="8" xfId="0" applyNumberFormat="1" applyFont="1" applyBorder="1" applyAlignment="1">
      <alignment vertical="center" wrapText="1"/>
      <protection locked="0"/>
    </xf>
    <xf numFmtId="43" fontId="52" fillId="0" borderId="8" xfId="1" applyFont="1" applyFill="1" applyBorder="1" applyAlignment="1">
      <alignment vertical="center"/>
    </xf>
    <xf numFmtId="14" fontId="9" fillId="0" borderId="8" xfId="0" applyNumberFormat="1" applyFont="1" applyBorder="1" applyAlignment="1">
      <alignment vertical="center" wrapText="1"/>
      <protection locked="0"/>
    </xf>
    <xf numFmtId="43" fontId="9" fillId="0" borderId="8" xfId="1" applyFont="1" applyBorder="1" applyAlignment="1" applyProtection="1">
      <alignment horizontal="left" vertical="center"/>
      <protection locked="0"/>
    </xf>
    <xf numFmtId="0" fontId="9" fillId="8" borderId="8" xfId="0" applyFont="1" applyFill="1" applyBorder="1" applyAlignment="1">
      <alignment horizontal="left" vertical="center"/>
      <protection locked="0"/>
    </xf>
    <xf numFmtId="43" fontId="7" fillId="8" borderId="8" xfId="1" applyFont="1" applyFill="1" applyBorder="1" applyAlignment="1">
      <alignment horizontal="right" vertical="center" wrapText="1"/>
    </xf>
    <xf numFmtId="49" fontId="9" fillId="8" borderId="13" xfId="0" applyNumberFormat="1" applyFont="1" applyFill="1" applyBorder="1" applyAlignment="1">
      <alignment horizontal="justify" vertical="center"/>
      <protection locked="0"/>
    </xf>
    <xf numFmtId="0" fontId="9" fillId="8" borderId="13" xfId="0" applyFont="1" applyFill="1" applyBorder="1" applyAlignment="1">
      <alignment vertical="center" wrapText="1"/>
      <protection locked="0"/>
    </xf>
    <xf numFmtId="10" fontId="7" fillId="8" borderId="8" xfId="2" applyNumberFormat="1" applyFont="1" applyFill="1" applyBorder="1" applyAlignment="1">
      <alignment horizontal="right" vertical="center" wrapText="1"/>
    </xf>
    <xf numFmtId="49" fontId="9" fillId="8" borderId="8" xfId="0" applyNumberFormat="1" applyFont="1" applyFill="1" applyBorder="1" applyAlignment="1">
      <alignment horizontal="justify" vertical="center"/>
      <protection locked="0"/>
    </xf>
    <xf numFmtId="0" fontId="9" fillId="8" borderId="8" xfId="0" applyFont="1" applyFill="1" applyBorder="1" applyAlignment="1">
      <alignment vertical="center" wrapText="1"/>
      <protection locked="0"/>
    </xf>
    <xf numFmtId="0" fontId="140" fillId="0" borderId="0" xfId="35" applyNumberFormat="1" applyFont="1" applyAlignment="1" applyProtection="1">
      <alignment vertical="center"/>
      <protection locked="0"/>
    </xf>
    <xf numFmtId="43" fontId="140" fillId="0" borderId="0" xfId="43" applyNumberFormat="1" applyFont="1" applyBorder="1" applyAlignment="1">
      <alignment vertical="center"/>
    </xf>
    <xf numFmtId="0" fontId="7" fillId="7" borderId="33" xfId="796" applyFont="1" applyFill="1" applyBorder="1" applyAlignment="1">
      <alignment horizontal="center" vertical="center"/>
      <protection locked="0"/>
    </xf>
    <xf numFmtId="0" fontId="46" fillId="0" borderId="0" xfId="0" applyNumberFormat="1" applyFont="1" applyAlignment="1">
      <alignment horizontal="right" vertical="center"/>
      <protection locked="0"/>
    </xf>
    <xf numFmtId="0" fontId="46" fillId="0" borderId="0" xfId="0" applyNumberFormat="1" applyFont="1" applyAlignment="1">
      <alignment horizontal="left" vertical="center"/>
      <protection locked="0"/>
    </xf>
    <xf numFmtId="0" fontId="7" fillId="8" borderId="8" xfId="656" applyFont="1" applyFill="1" applyBorder="1" applyAlignment="1" applyProtection="1">
      <alignment horizontal="center" vertical="center"/>
      <protection locked="0"/>
    </xf>
    <xf numFmtId="0" fontId="7" fillId="8" borderId="8" xfId="656" applyFont="1" applyFill="1" applyBorder="1" applyAlignment="1" applyProtection="1">
      <alignment horizontal="center" vertical="center" wrapText="1"/>
      <protection locked="0"/>
    </xf>
    <xf numFmtId="49" fontId="140" fillId="0" borderId="0" xfId="0" applyNumberFormat="1" applyFont="1" applyAlignment="1">
      <alignment horizontal="left" vertical="center"/>
      <protection locked="0"/>
    </xf>
    <xf numFmtId="43" fontId="9" fillId="0" borderId="8" xfId="43" applyNumberFormat="1" applyFont="1" applyBorder="1" applyAlignment="1">
      <alignment vertical="center"/>
    </xf>
    <xf numFmtId="0" fontId="163" fillId="8" borderId="0" xfId="789" applyFont="1" applyFill="1" applyAlignment="1">
      <alignment horizontal="center" vertical="center"/>
    </xf>
    <xf numFmtId="0" fontId="165" fillId="8" borderId="8" xfId="789" applyFont="1" applyFill="1" applyBorder="1" applyAlignment="1">
      <alignment horizontal="center" vertical="center"/>
    </xf>
    <xf numFmtId="0" fontId="164" fillId="8" borderId="8" xfId="789" applyFont="1" applyFill="1" applyBorder="1" applyAlignment="1">
      <alignment horizontal="center" vertical="center"/>
    </xf>
    <xf numFmtId="0" fontId="7" fillId="8" borderId="8" xfId="789" applyFont="1" applyFill="1" applyBorder="1" applyAlignment="1">
      <alignment horizontal="center" vertical="center"/>
    </xf>
    <xf numFmtId="0" fontId="9" fillId="8" borderId="8" xfId="624" applyFont="1" applyFill="1" applyBorder="1" applyAlignment="1">
      <alignment horizontal="center" vertical="center" wrapText="1"/>
      <protection locked="0"/>
    </xf>
    <xf numFmtId="0" fontId="7" fillId="8" borderId="8" xfId="35" applyFont="1" applyFill="1" applyBorder="1" applyAlignment="1" applyProtection="1">
      <alignment horizontal="center" vertical="center" wrapText="1"/>
      <protection locked="0"/>
    </xf>
    <xf numFmtId="244" fontId="7" fillId="8" borderId="8" xfId="789" applyNumberFormat="1" applyFont="1" applyFill="1" applyBorder="1" applyAlignment="1">
      <alignment horizontal="center" vertical="center" wrapText="1"/>
    </xf>
    <xf numFmtId="14" fontId="49" fillId="8" borderId="8" xfId="595" applyNumberFormat="1" applyFont="1" applyFill="1" applyBorder="1" applyAlignment="1">
      <alignment horizontal="center" vertical="center" wrapText="1"/>
    </xf>
    <xf numFmtId="43" fontId="7" fillId="0" borderId="8" xfId="1" applyFont="1" applyBorder="1" applyAlignment="1" applyProtection="1">
      <alignment vertical="center"/>
      <protection locked="0"/>
    </xf>
    <xf numFmtId="0" fontId="7" fillId="6" borderId="8" xfId="0" applyFont="1" applyFill="1" applyBorder="1" applyAlignment="1">
      <alignment horizontal="center" vertical="center" wrapText="1"/>
      <protection locked="0"/>
    </xf>
    <xf numFmtId="0" fontId="9" fillId="6" borderId="8" xfId="0" applyFont="1" applyFill="1" applyBorder="1" applyAlignment="1" applyProtection="1">
      <alignment horizontal="right" vertical="center"/>
    </xf>
    <xf numFmtId="0" fontId="49" fillId="6" borderId="8" xfId="0" applyFont="1" applyFill="1" applyBorder="1" applyAlignment="1" applyProtection="1">
      <alignment horizontal="center" vertical="center" wrapText="1"/>
    </xf>
    <xf numFmtId="49" fontId="7" fillId="0" borderId="1" xfId="1" applyNumberFormat="1" applyFont="1" applyFill="1" applyBorder="1" applyAlignment="1" applyProtection="1">
      <alignment horizontal="center" vertical="center" shrinkToFit="1"/>
    </xf>
    <xf numFmtId="0" fontId="49" fillId="0" borderId="2" xfId="0" applyFont="1" applyBorder="1" applyAlignment="1">
      <alignment horizontal="justify" vertical="center" wrapText="1"/>
      <protection locked="0"/>
    </xf>
    <xf numFmtId="43" fontId="9" fillId="0" borderId="2" xfId="0" applyNumberFormat="1" applyFont="1" applyBorder="1" applyAlignment="1">
      <alignment horizontal="right" vertical="center" wrapText="1"/>
      <protection locked="0"/>
    </xf>
    <xf numFmtId="43" fontId="7" fillId="6" borderId="2" xfId="1" applyFont="1" applyFill="1" applyBorder="1" applyAlignment="1">
      <alignment horizontal="right" vertical="center" wrapText="1"/>
    </xf>
    <xf numFmtId="0" fontId="9" fillId="0" borderId="0" xfId="0" applyFont="1" applyBorder="1" applyAlignment="1" applyProtection="1">
      <alignment vertical="center"/>
    </xf>
    <xf numFmtId="0" fontId="49" fillId="0" borderId="0" xfId="0" applyFont="1" applyFill="1" applyBorder="1" applyAlignment="1">
      <alignment horizontal="left" vertical="center"/>
      <protection locked="0"/>
    </xf>
    <xf numFmtId="199" fontId="18" fillId="0" borderId="0" xfId="659" applyNumberFormat="1" applyFont="1" applyAlignment="1" applyProtection="1">
      <alignment horizontal="left" vertical="center"/>
      <protection locked="0"/>
    </xf>
    <xf numFmtId="0" fontId="9" fillId="0" borderId="8" xfId="0" applyFont="1" applyBorder="1" applyAlignment="1">
      <alignment horizontal="center" vertical="center"/>
      <protection locked="0"/>
    </xf>
    <xf numFmtId="43" fontId="19" fillId="0" borderId="0" xfId="4" applyNumberFormat="1" applyFont="1" applyBorder="1" applyAlignment="1">
      <alignment vertical="center"/>
    </xf>
    <xf numFmtId="0" fontId="139" fillId="0" borderId="0" xfId="0" applyFont="1" applyFill="1" applyAlignment="1">
      <alignment vertical="center"/>
      <protection locked="0"/>
    </xf>
    <xf numFmtId="43" fontId="162" fillId="0" borderId="0" xfId="43" applyNumberFormat="1" applyFont="1" applyBorder="1" applyAlignment="1">
      <alignment vertical="center"/>
    </xf>
    <xf numFmtId="0" fontId="140" fillId="0" borderId="0" xfId="789" applyFont="1" applyAlignment="1">
      <alignment vertical="center" wrapText="1"/>
    </xf>
    <xf numFmtId="0" fontId="140" fillId="0" borderId="0" xfId="789" applyFont="1" applyBorder="1" applyAlignment="1">
      <alignment vertical="center" wrapText="1"/>
    </xf>
    <xf numFmtId="0" fontId="140" fillId="0" borderId="30" xfId="789" applyFont="1" applyBorder="1" applyAlignment="1">
      <alignment vertical="center" wrapText="1"/>
    </xf>
    <xf numFmtId="0" fontId="140" fillId="0" borderId="0" xfId="624" applyFont="1" applyBorder="1" applyAlignment="1">
      <alignment vertical="center"/>
      <protection locked="0"/>
    </xf>
    <xf numFmtId="0" fontId="140" fillId="0" borderId="0" xfId="789" applyFont="1" applyAlignment="1">
      <alignment vertical="center"/>
    </xf>
    <xf numFmtId="0" fontId="140" fillId="0" borderId="0" xfId="47" applyFont="1" applyAlignment="1" applyProtection="1">
      <alignment horizontal="left" vertical="center"/>
      <protection locked="0"/>
    </xf>
    <xf numFmtId="43" fontId="19" fillId="0" borderId="0" xfId="0" applyNumberFormat="1" applyFont="1" applyAlignment="1">
      <alignment vertical="center"/>
      <protection locked="0"/>
    </xf>
    <xf numFmtId="0" fontId="139" fillId="0" borderId="0" xfId="0" applyFont="1" applyAlignment="1" applyProtection="1">
      <alignment vertical="center"/>
    </xf>
    <xf numFmtId="0" fontId="139" fillId="0" borderId="0" xfId="0" applyFont="1" applyAlignment="1">
      <alignment vertical="center"/>
      <protection locked="0"/>
    </xf>
    <xf numFmtId="0" fontId="19" fillId="0" borderId="0" xfId="0" applyFont="1" applyAlignment="1">
      <alignment horizontal="left" vertical="center"/>
      <protection locked="0"/>
    </xf>
    <xf numFmtId="0" fontId="139" fillId="0" borderId="0" xfId="35" applyFont="1" applyProtection="1">
      <protection locked="0"/>
    </xf>
    <xf numFmtId="247" fontId="52" fillId="0" borderId="8" xfId="794" applyFont="1" applyFill="1" applyBorder="1" applyAlignment="1" applyProtection="1">
      <alignment horizontal="center" vertical="center" wrapText="1"/>
    </xf>
    <xf numFmtId="247" fontId="38" fillId="0" borderId="8" xfId="794" applyFont="1" applyFill="1" applyBorder="1" applyAlignment="1" applyProtection="1">
      <alignment horizontal="center" vertical="center" wrapText="1"/>
    </xf>
    <xf numFmtId="247" fontId="9" fillId="0" borderId="8" xfId="794" applyFont="1" applyFill="1" applyBorder="1" applyAlignment="1" applyProtection="1">
      <alignment horizontal="center" vertical="center"/>
      <protection locked="0"/>
    </xf>
    <xf numFmtId="49" fontId="9" fillId="0" borderId="10" xfId="40" applyNumberFormat="1" applyFont="1" applyFill="1" applyBorder="1" applyAlignment="1">
      <alignment horizontal="left" vertical="center" wrapText="1"/>
      <protection locked="0"/>
    </xf>
    <xf numFmtId="0" fontId="52" fillId="0" borderId="8" xfId="36" applyFont="1" applyFill="1" applyBorder="1" applyAlignment="1" applyProtection="1">
      <alignment horizontal="center" vertical="center" wrapText="1"/>
    </xf>
    <xf numFmtId="0" fontId="7" fillId="0" borderId="8" xfId="36" applyFont="1" applyFill="1" applyBorder="1" applyAlignment="1" applyProtection="1">
      <alignment horizontal="center" vertical="center" wrapText="1"/>
      <protection locked="0"/>
    </xf>
    <xf numFmtId="0" fontId="9" fillId="0" borderId="8" xfId="36" applyFont="1" applyFill="1" applyBorder="1" applyAlignment="1" applyProtection="1">
      <alignment horizontal="center" vertical="center" wrapText="1"/>
      <protection locked="0"/>
    </xf>
    <xf numFmtId="0" fontId="52" fillId="0" borderId="13" xfId="36" applyFont="1" applyFill="1" applyBorder="1" applyAlignment="1" applyProtection="1">
      <alignment horizontal="center" vertical="center" wrapText="1"/>
    </xf>
    <xf numFmtId="247" fontId="52" fillId="0" borderId="8" xfId="797" applyFont="1" applyFill="1" applyBorder="1" applyAlignment="1">
      <alignment vertical="center" wrapText="1"/>
    </xf>
    <xf numFmtId="0" fontId="9" fillId="0" borderId="12" xfId="36" applyFont="1" applyFill="1" applyBorder="1" applyAlignment="1" applyProtection="1">
      <alignment horizontal="center" vertical="center" wrapText="1"/>
      <protection locked="0"/>
    </xf>
    <xf numFmtId="0" fontId="9" fillId="0" borderId="11" xfId="36" applyFont="1" applyFill="1" applyBorder="1" applyAlignment="1" applyProtection="1">
      <alignment horizontal="center" vertical="center" wrapText="1"/>
      <protection locked="0"/>
    </xf>
    <xf numFmtId="43" fontId="9" fillId="0" borderId="8" xfId="1" applyFont="1" applyFill="1" applyBorder="1" applyAlignment="1" applyProtection="1">
      <alignment horizontal="center" vertical="center"/>
      <protection locked="0"/>
    </xf>
    <xf numFmtId="43" fontId="34" fillId="0" borderId="8" xfId="1" applyFont="1" applyFill="1" applyBorder="1" applyAlignment="1">
      <alignment horizontal="right" vertical="center"/>
    </xf>
    <xf numFmtId="0" fontId="32" fillId="8" borderId="8" xfId="0" applyFont="1" applyFill="1" applyBorder="1" applyAlignment="1" applyProtection="1">
      <alignment horizontal="center" vertical="center"/>
    </xf>
    <xf numFmtId="43" fontId="34" fillId="8" borderId="8" xfId="1" applyFont="1" applyFill="1" applyBorder="1" applyAlignment="1">
      <alignment horizontal="right" vertical="center"/>
    </xf>
    <xf numFmtId="0" fontId="9" fillId="0" borderId="8" xfId="44" applyFont="1" applyBorder="1" applyAlignment="1" applyProtection="1">
      <alignment horizontal="center" vertical="center"/>
      <protection locked="0"/>
    </xf>
    <xf numFmtId="14" fontId="9" fillId="8" borderId="8" xfId="44" applyNumberFormat="1" applyFont="1" applyFill="1" applyBorder="1" applyAlignment="1" applyProtection="1">
      <alignment horizontal="center" vertical="center"/>
      <protection locked="0"/>
    </xf>
    <xf numFmtId="14" fontId="7" fillId="0" borderId="8" xfId="44" applyNumberFormat="1" applyFont="1" applyBorder="1" applyAlignment="1" applyProtection="1">
      <alignment horizontal="center" vertical="center"/>
      <protection locked="0"/>
    </xf>
    <xf numFmtId="41" fontId="7" fillId="8" borderId="8" xfId="44" applyNumberFormat="1" applyFont="1" applyFill="1" applyBorder="1" applyAlignment="1" applyProtection="1">
      <alignment horizontal="left" vertical="center"/>
      <protection locked="0"/>
    </xf>
    <xf numFmtId="14" fontId="49" fillId="0" borderId="8" xfId="44" applyNumberFormat="1" applyFont="1" applyBorder="1" applyAlignment="1" applyProtection="1">
      <alignment horizontal="center" vertical="center"/>
      <protection locked="0"/>
    </xf>
    <xf numFmtId="43" fontId="49" fillId="0" borderId="8" xfId="1" applyFont="1" applyFill="1" applyBorder="1" applyAlignment="1" applyProtection="1">
      <alignment vertical="center"/>
    </xf>
    <xf numFmtId="43" fontId="9" fillId="0" borderId="8" xfId="1" applyFont="1" applyFill="1" applyBorder="1" applyAlignment="1" applyProtection="1">
      <alignment vertical="center"/>
    </xf>
    <xf numFmtId="10" fontId="49" fillId="0" borderId="8" xfId="44" applyNumberFormat="1" applyFont="1" applyBorder="1" applyAlignment="1" applyProtection="1">
      <alignment horizontal="center" vertical="center"/>
      <protection locked="0"/>
    </xf>
    <xf numFmtId="196" fontId="40" fillId="8" borderId="8" xfId="41" applyNumberFormat="1" applyFont="1" applyFill="1" applyBorder="1" applyAlignment="1" applyProtection="1">
      <alignment horizontal="center" vertical="center"/>
    </xf>
    <xf numFmtId="0" fontId="7" fillId="0" borderId="8" xfId="44" applyFont="1" applyBorder="1" applyProtection="1">
      <alignment vertical="center"/>
      <protection locked="0"/>
    </xf>
    <xf numFmtId="43" fontId="40" fillId="0" borderId="8" xfId="44" applyNumberFormat="1" applyFont="1" applyBorder="1" applyProtection="1">
      <alignment vertical="center"/>
      <protection locked="0"/>
    </xf>
    <xf numFmtId="43" fontId="40" fillId="0" borderId="8" xfId="1" applyFont="1" applyFill="1" applyBorder="1" applyAlignment="1" applyProtection="1">
      <alignment vertical="center"/>
    </xf>
    <xf numFmtId="10" fontId="40" fillId="8" borderId="8" xfId="2" applyNumberFormat="1" applyFont="1" applyFill="1" applyBorder="1" applyAlignment="1" applyProtection="1">
      <alignment horizontal="center" vertical="center"/>
    </xf>
    <xf numFmtId="43" fontId="7" fillId="0" borderId="8" xfId="44" applyNumberFormat="1" applyFont="1" applyBorder="1" applyProtection="1">
      <alignment vertical="center"/>
      <protection locked="0"/>
    </xf>
    <xf numFmtId="0" fontId="7" fillId="0" borderId="0" xfId="44" applyFont="1" applyBorder="1" applyProtection="1">
      <alignment vertical="center"/>
      <protection locked="0"/>
    </xf>
    <xf numFmtId="43" fontId="7" fillId="0" borderId="0" xfId="44" applyNumberFormat="1" applyFont="1" applyBorder="1" applyProtection="1">
      <alignment vertical="center"/>
      <protection locked="0"/>
    </xf>
    <xf numFmtId="43" fontId="9" fillId="0" borderId="0" xfId="1" applyFont="1" applyFill="1" applyBorder="1" applyAlignment="1" applyProtection="1">
      <alignment vertical="center"/>
    </xf>
    <xf numFmtId="0" fontId="9" fillId="0" borderId="8" xfId="44" applyFont="1" applyFill="1" applyBorder="1" applyAlignment="1">
      <alignment horizontal="center" vertical="center"/>
    </xf>
    <xf numFmtId="198" fontId="9" fillId="8" borderId="8" xfId="44" applyNumberFormat="1" applyFont="1" applyFill="1" applyBorder="1" applyAlignment="1">
      <alignment horizontal="center" vertical="center"/>
    </xf>
    <xf numFmtId="199" fontId="9" fillId="0" borderId="8" xfId="44" applyNumberFormat="1" applyFont="1" applyBorder="1" applyAlignment="1" applyProtection="1">
      <alignment horizontal="center" vertical="center"/>
      <protection locked="0"/>
    </xf>
    <xf numFmtId="43" fontId="9" fillId="0" borderId="8" xfId="1" applyFont="1" applyFill="1" applyBorder="1" applyAlignment="1" applyProtection="1">
      <alignment vertical="center"/>
      <protection locked="0"/>
    </xf>
    <xf numFmtId="43" fontId="9" fillId="6" borderId="8" xfId="1" applyFont="1" applyFill="1" applyBorder="1" applyAlignment="1" applyProtection="1">
      <alignment horizontal="right" vertical="center"/>
    </xf>
    <xf numFmtId="43" fontId="49" fillId="0" borderId="8" xfId="1" applyFont="1" applyFill="1" applyBorder="1" applyAlignment="1" applyProtection="1">
      <alignment horizontal="right" vertical="center"/>
      <protection locked="0"/>
    </xf>
    <xf numFmtId="43" fontId="9" fillId="0" borderId="8" xfId="1" applyFont="1" applyFill="1" applyBorder="1" applyAlignment="1" applyProtection="1">
      <alignment horizontal="right" vertical="center"/>
    </xf>
    <xf numFmtId="43" fontId="9" fillId="8" borderId="8" xfId="1" applyFont="1" applyFill="1" applyBorder="1" applyAlignment="1" applyProtection="1">
      <alignment horizontal="right" vertical="center"/>
    </xf>
    <xf numFmtId="43" fontId="9" fillId="6" borderId="8" xfId="44" applyNumberFormat="1" applyFont="1" applyFill="1" applyBorder="1" applyAlignment="1" applyProtection="1">
      <alignment vertical="center" wrapText="1"/>
      <protection locked="0"/>
    </xf>
    <xf numFmtId="0" fontId="9" fillId="6" borderId="8" xfId="44" applyFont="1" applyFill="1" applyBorder="1" applyAlignment="1">
      <alignment horizontal="center" vertical="center"/>
    </xf>
    <xf numFmtId="0" fontId="9" fillId="0" borderId="8" xfId="44" applyFont="1" applyBorder="1" applyProtection="1">
      <alignment vertical="center"/>
      <protection locked="0"/>
    </xf>
    <xf numFmtId="43" fontId="9" fillId="0" borderId="8" xfId="1" applyFont="1" applyFill="1" applyBorder="1" applyAlignment="1" applyProtection="1">
      <alignment vertical="center" wrapText="1"/>
      <protection locked="0"/>
    </xf>
    <xf numFmtId="43" fontId="9" fillId="0" borderId="8" xfId="1" applyFont="1" applyFill="1" applyBorder="1" applyAlignment="1" applyProtection="1">
      <alignment horizontal="right" vertical="center"/>
      <protection locked="0"/>
    </xf>
    <xf numFmtId="198" fontId="9" fillId="6" borderId="8" xfId="44" applyNumberFormat="1" applyFont="1" applyFill="1" applyBorder="1" applyAlignment="1">
      <alignment horizontal="center" vertical="center"/>
    </xf>
    <xf numFmtId="199" fontId="49" fillId="0" borderId="8" xfId="44" applyNumberFormat="1" applyFont="1" applyBorder="1" applyAlignment="1" applyProtection="1">
      <alignment horizontal="center" vertical="center"/>
      <protection locked="0"/>
    </xf>
    <xf numFmtId="43" fontId="40" fillId="0" borderId="8" xfId="1" applyFont="1" applyFill="1" applyBorder="1" applyAlignment="1" applyProtection="1">
      <alignment horizontal="center" vertical="center"/>
      <protection locked="0"/>
    </xf>
    <xf numFmtId="14" fontId="9" fillId="0" borderId="8" xfId="1" applyNumberFormat="1" applyFont="1" applyFill="1" applyBorder="1" applyAlignment="1" applyProtection="1">
      <alignment horizontal="center" vertical="center"/>
      <protection locked="0"/>
    </xf>
    <xf numFmtId="199" fontId="52" fillId="0" borderId="8" xfId="44" applyNumberFormat="1" applyFont="1" applyBorder="1" applyAlignment="1" applyProtection="1">
      <alignment horizontal="center" vertical="center"/>
      <protection locked="0"/>
    </xf>
    <xf numFmtId="0" fontId="9" fillId="8" borderId="8" xfId="44" applyFont="1" applyFill="1" applyBorder="1" applyAlignment="1" applyProtection="1">
      <alignment horizontal="center" vertical="center"/>
      <protection locked="0"/>
    </xf>
    <xf numFmtId="200" fontId="7" fillId="8" borderId="8" xfId="44" applyNumberFormat="1" applyFont="1" applyFill="1" applyBorder="1" applyAlignment="1" applyProtection="1">
      <alignment horizontal="center" vertical="center"/>
      <protection locked="0"/>
    </xf>
    <xf numFmtId="43" fontId="7" fillId="8" borderId="8" xfId="1" applyFont="1" applyFill="1" applyBorder="1" applyAlignment="1" applyProtection="1">
      <alignment horizontal="center" vertical="center"/>
    </xf>
    <xf numFmtId="43" fontId="7" fillId="8" borderId="8" xfId="1" applyFont="1" applyFill="1" applyBorder="1" applyAlignment="1" applyProtection="1">
      <alignment horizontal="right" vertical="center"/>
    </xf>
    <xf numFmtId="0" fontId="5" fillId="8" borderId="8" xfId="44" applyFont="1" applyFill="1" applyBorder="1" applyAlignment="1" applyProtection="1">
      <alignment horizontal="center" vertical="center" wrapText="1"/>
      <protection locked="0"/>
    </xf>
    <xf numFmtId="197" fontId="5" fillId="8" borderId="8" xfId="44" applyNumberFormat="1" applyFont="1" applyFill="1" applyBorder="1" applyAlignment="1" applyProtection="1">
      <alignment horizontal="center" vertical="center" wrapText="1"/>
      <protection locked="0"/>
    </xf>
    <xf numFmtId="41" fontId="5" fillId="8" borderId="8" xfId="44" applyNumberFormat="1" applyFont="1" applyFill="1" applyBorder="1" applyAlignment="1" applyProtection="1">
      <alignment horizontal="center" vertical="center" wrapText="1"/>
      <protection locked="0"/>
    </xf>
    <xf numFmtId="0" fontId="14" fillId="0" borderId="0" xfId="44" applyFont="1" applyAlignment="1" applyProtection="1">
      <alignment horizontal="center" vertical="center" wrapText="1"/>
      <protection locked="0"/>
    </xf>
    <xf numFmtId="0" fontId="5" fillId="8" borderId="8" xfId="44" applyFont="1" applyFill="1" applyBorder="1" applyAlignment="1" applyProtection="1">
      <alignment horizontal="left" vertical="center"/>
      <protection locked="0"/>
    </xf>
    <xf numFmtId="41" fontId="5" fillId="8" borderId="8" xfId="44" applyNumberFormat="1" applyFont="1" applyFill="1" applyBorder="1" applyAlignment="1" applyProtection="1">
      <alignment horizontal="center" vertical="center"/>
      <protection locked="0"/>
    </xf>
    <xf numFmtId="0" fontId="5" fillId="8" borderId="8" xfId="44" applyFont="1" applyFill="1" applyBorder="1" applyAlignment="1" applyProtection="1">
      <alignment horizontal="center" vertical="center"/>
      <protection locked="0"/>
    </xf>
    <xf numFmtId="41" fontId="5" fillId="8" borderId="8" xfId="44" applyNumberFormat="1" applyFont="1" applyFill="1" applyBorder="1" applyAlignment="1" applyProtection="1">
      <alignment horizontal="left" vertical="center"/>
      <protection locked="0"/>
    </xf>
    <xf numFmtId="14" fontId="5" fillId="0" borderId="8" xfId="44" applyNumberFormat="1" applyFont="1" applyBorder="1" applyAlignment="1" applyProtection="1">
      <alignment horizontal="center" vertical="center"/>
      <protection locked="0"/>
    </xf>
    <xf numFmtId="43" fontId="5" fillId="0" borderId="8" xfId="1" applyFont="1" applyFill="1" applyBorder="1" applyAlignment="1" applyProtection="1">
      <alignment horizontal="center" vertical="center"/>
    </xf>
    <xf numFmtId="43" fontId="5" fillId="6" borderId="8" xfId="1" applyNumberFormat="1" applyFont="1" applyFill="1" applyBorder="1" applyAlignment="1">
      <alignment horizontal="center" vertical="center" wrapText="1"/>
    </xf>
    <xf numFmtId="14" fontId="5" fillId="6" borderId="8" xfId="1" applyNumberFormat="1" applyFont="1" applyFill="1" applyBorder="1" applyAlignment="1">
      <alignment horizontal="center" vertical="center" wrapText="1"/>
    </xf>
    <xf numFmtId="43" fontId="5" fillId="6" borderId="8" xfId="1" applyFont="1" applyFill="1" applyBorder="1" applyAlignment="1">
      <alignment horizontal="center" vertical="center" wrapText="1"/>
    </xf>
    <xf numFmtId="43" fontId="14" fillId="0" borderId="0" xfId="1" applyNumberFormat="1" applyFont="1" applyAlignment="1">
      <alignment horizontal="center" vertical="center" wrapText="1"/>
    </xf>
    <xf numFmtId="43" fontId="5" fillId="6" borderId="13" xfId="1" applyNumberFormat="1" applyFont="1" applyFill="1" applyBorder="1" applyAlignment="1" applyProtection="1">
      <alignment vertical="center" wrapText="1"/>
      <protection locked="0"/>
    </xf>
    <xf numFmtId="43" fontId="9" fillId="6" borderId="33" xfId="1" applyFont="1" applyFill="1" applyBorder="1" applyAlignment="1">
      <alignment horizontal="center" vertical="center"/>
    </xf>
    <xf numFmtId="43" fontId="9" fillId="6" borderId="33" xfId="1" applyFont="1" applyFill="1" applyBorder="1" applyAlignment="1">
      <alignment horizontal="center" vertical="center" shrinkToFit="1"/>
    </xf>
    <xf numFmtId="43" fontId="5" fillId="6" borderId="13" xfId="1" applyFont="1" applyFill="1" applyBorder="1" applyAlignment="1" applyProtection="1">
      <alignment horizontal="center" vertical="center" wrapText="1"/>
      <protection locked="0"/>
    </xf>
    <xf numFmtId="43" fontId="5" fillId="6" borderId="13" xfId="1" applyFont="1" applyFill="1" applyBorder="1" applyAlignment="1">
      <alignment horizontal="center" vertical="center" wrapText="1"/>
    </xf>
    <xf numFmtId="43" fontId="14" fillId="0" borderId="0" xfId="1" applyFont="1" applyAlignment="1">
      <alignment horizontal="center" vertical="center" wrapText="1"/>
    </xf>
    <xf numFmtId="0" fontId="7" fillId="6" borderId="8" xfId="0" applyNumberFormat="1" applyFont="1" applyFill="1" applyBorder="1" applyAlignment="1">
      <alignment horizontal="center" vertical="center"/>
      <protection locked="0"/>
    </xf>
    <xf numFmtId="49" fontId="9" fillId="0" borderId="8" xfId="620" applyNumberFormat="1" applyFont="1" applyBorder="1" applyAlignment="1">
      <alignment horizontal="center" vertical="center"/>
      <protection locked="0"/>
    </xf>
    <xf numFmtId="49" fontId="9" fillId="0" borderId="8" xfId="620" applyNumberFormat="1" applyFont="1" applyBorder="1" applyAlignment="1">
      <alignment vertical="center"/>
      <protection locked="0"/>
    </xf>
    <xf numFmtId="0" fontId="49" fillId="0" borderId="8" xfId="35" applyFont="1" applyBorder="1" applyAlignment="1">
      <alignment horizontal="left" vertical="center"/>
    </xf>
    <xf numFmtId="49" fontId="9" fillId="0" borderId="8" xfId="40" applyNumberFormat="1" applyFont="1" applyFill="1" applyBorder="1" applyAlignment="1" applyProtection="1">
      <alignment horizontal="center" vertical="center"/>
      <protection locked="0"/>
    </xf>
    <xf numFmtId="0" fontId="9" fillId="0" borderId="8" xfId="36" applyFont="1" applyFill="1" applyBorder="1" applyAlignment="1" applyProtection="1">
      <alignment horizontal="left" vertical="center" wrapText="1"/>
      <protection locked="0"/>
    </xf>
    <xf numFmtId="0" fontId="52" fillId="0" borderId="8" xfId="40" applyFont="1" applyFill="1" applyBorder="1" applyAlignment="1" applyProtection="1">
      <alignment horizontal="center" vertical="center" wrapText="1"/>
    </xf>
    <xf numFmtId="0" fontId="9" fillId="0" borderId="8" xfId="656" applyFont="1" applyFill="1" applyBorder="1" applyAlignment="1" applyProtection="1">
      <alignment horizontal="center" vertical="center" wrapText="1"/>
      <protection locked="0"/>
    </xf>
    <xf numFmtId="0" fontId="9" fillId="0" borderId="8" xfId="40" applyFont="1" applyFill="1" applyBorder="1" applyAlignment="1">
      <alignment horizontal="center" vertical="center" wrapText="1"/>
      <protection locked="0"/>
    </xf>
    <xf numFmtId="49" fontId="14" fillId="0" borderId="8" xfId="40" applyNumberFormat="1" applyFont="1" applyFill="1" applyBorder="1" applyAlignment="1" applyProtection="1">
      <alignment horizontal="left" vertical="center" wrapText="1"/>
      <protection locked="0"/>
    </xf>
    <xf numFmtId="0" fontId="14" fillId="0" borderId="8" xfId="36" applyFont="1" applyFill="1" applyBorder="1" applyAlignment="1" applyProtection="1">
      <alignment horizontal="left" vertical="center" wrapText="1"/>
      <protection locked="0"/>
    </xf>
    <xf numFmtId="0" fontId="14" fillId="0" borderId="8" xfId="40" applyFont="1" applyFill="1" applyBorder="1" applyAlignment="1">
      <alignment horizontal="left" vertical="center" wrapText="1"/>
      <protection locked="0"/>
    </xf>
    <xf numFmtId="0" fontId="9" fillId="0" borderId="8" xfId="40" applyFont="1" applyFill="1" applyBorder="1" applyAlignment="1">
      <alignment vertical="center" wrapText="1"/>
      <protection locked="0"/>
    </xf>
    <xf numFmtId="49" fontId="9" fillId="0" borderId="8" xfId="1" applyNumberFormat="1" applyFont="1" applyFill="1" applyBorder="1" applyAlignment="1" applyProtection="1">
      <alignment horizontal="left" vertical="center" wrapText="1"/>
      <protection locked="0"/>
    </xf>
    <xf numFmtId="0" fontId="7" fillId="0" borderId="8" xfId="656" applyFont="1" applyFill="1" applyBorder="1" applyAlignment="1" applyProtection="1">
      <alignment horizontal="center" vertical="center"/>
      <protection locked="0"/>
    </xf>
    <xf numFmtId="0" fontId="9" fillId="0" borderId="11" xfId="40" applyFont="1" applyFill="1" applyBorder="1" applyAlignment="1">
      <alignment vertical="center" wrapText="1"/>
      <protection locked="0"/>
    </xf>
    <xf numFmtId="0" fontId="14" fillId="0" borderId="8" xfId="40" applyFont="1" applyFill="1" applyBorder="1" applyAlignment="1" applyProtection="1">
      <alignment horizontal="left" vertical="center" wrapText="1"/>
      <protection locked="0"/>
    </xf>
    <xf numFmtId="0" fontId="9" fillId="0" borderId="8" xfId="40" applyFont="1" applyFill="1" applyBorder="1" applyAlignment="1" applyProtection="1">
      <alignment horizontal="left" vertical="center" wrapText="1"/>
      <protection locked="0"/>
    </xf>
    <xf numFmtId="0" fontId="9" fillId="0" borderId="8" xfId="40" applyFont="1" applyFill="1" applyBorder="1" applyAlignment="1">
      <alignment horizontal="left" vertical="center" wrapText="1"/>
      <protection locked="0"/>
    </xf>
    <xf numFmtId="49" fontId="9" fillId="0" borderId="8" xfId="1" applyNumberFormat="1" applyFont="1" applyFill="1" applyBorder="1" applyAlignment="1" applyProtection="1">
      <alignment horizontal="center" vertical="center" wrapText="1"/>
      <protection locked="0"/>
    </xf>
    <xf numFmtId="0" fontId="49" fillId="0" borderId="8" xfId="36" applyFont="1" applyFill="1" applyBorder="1" applyAlignment="1" applyProtection="1">
      <alignment horizontal="center" vertical="center" wrapText="1"/>
      <protection locked="0"/>
    </xf>
    <xf numFmtId="247" fontId="56" fillId="0" borderId="8" xfId="794" applyFont="1" applyFill="1" applyBorder="1" applyAlignment="1" applyProtection="1">
      <alignment horizontal="center" vertical="center" wrapText="1"/>
    </xf>
    <xf numFmtId="0" fontId="9" fillId="0" borderId="0" xfId="0" applyFont="1" applyAlignment="1">
      <alignment horizontal="center"/>
      <protection locked="0"/>
    </xf>
    <xf numFmtId="0" fontId="9" fillId="0" borderId="33" xfId="0" applyFont="1" applyBorder="1" applyAlignment="1">
      <alignment horizontal="center" vertical="center"/>
      <protection locked="0"/>
    </xf>
    <xf numFmtId="0" fontId="14" fillId="0" borderId="10" xfId="40" applyFont="1" applyFill="1" applyBorder="1" applyAlignment="1">
      <alignment horizontal="left" vertical="center" wrapText="1"/>
      <protection locked="0"/>
    </xf>
    <xf numFmtId="49" fontId="5" fillId="0" borderId="0" xfId="794" applyNumberFormat="1" applyFont="1" applyFill="1" applyAlignment="1" applyProtection="1">
      <alignment horizontal="left" vertical="center"/>
      <protection locked="0"/>
    </xf>
    <xf numFmtId="0" fontId="7" fillId="6" borderId="8" xfId="0" applyFont="1" applyFill="1" applyBorder="1" applyAlignment="1">
      <alignment horizontal="center" vertical="center" wrapText="1"/>
      <protection locked="0"/>
    </xf>
    <xf numFmtId="0" fontId="7" fillId="6" borderId="13" xfId="0" applyFont="1" applyFill="1" applyBorder="1" applyAlignment="1">
      <alignment horizontal="center" vertical="center"/>
      <protection locked="0"/>
    </xf>
    <xf numFmtId="0" fontId="34" fillId="0" borderId="0" xfId="28" applyFont="1" applyFill="1" applyAlignment="1" applyProtection="1">
      <alignment vertical="center"/>
    </xf>
    <xf numFmtId="0" fontId="9" fillId="0" borderId="0" xfId="28" applyFont="1" applyFill="1" applyAlignment="1" applyProtection="1">
      <alignment vertical="center"/>
    </xf>
    <xf numFmtId="0" fontId="9" fillId="0" borderId="0" xfId="0" applyFont="1" applyFill="1" applyAlignment="1">
      <alignment vertical="center"/>
      <protection locked="0"/>
    </xf>
    <xf numFmtId="0" fontId="9" fillId="0" borderId="0" xfId="29" applyFont="1" applyFill="1">
      <protection locked="0"/>
    </xf>
    <xf numFmtId="0" fontId="9" fillId="0" borderId="0" xfId="0" applyFont="1" applyFill="1" applyAlignment="1">
      <alignment horizontal="right" vertical="center"/>
      <protection locked="0"/>
    </xf>
    <xf numFmtId="0" fontId="9" fillId="8" borderId="0" xfId="0" applyFont="1" applyFill="1" applyAlignment="1">
      <alignment horizontal="center" vertical="center" wrapText="1"/>
      <protection locked="0"/>
    </xf>
    <xf numFmtId="0" fontId="33" fillId="8" borderId="8" xfId="0" applyFont="1" applyFill="1" applyBorder="1" applyAlignment="1" applyProtection="1">
      <alignment horizontal="center" vertical="center" wrapText="1"/>
    </xf>
    <xf numFmtId="0" fontId="9" fillId="8" borderId="0" xfId="0" applyFont="1" applyFill="1" applyAlignment="1">
      <alignment vertical="center" wrapText="1"/>
      <protection locked="0"/>
    </xf>
    <xf numFmtId="0" fontId="7" fillId="8" borderId="0" xfId="0" applyFont="1" applyFill="1" applyAlignment="1">
      <alignment vertical="center"/>
      <protection locked="0"/>
    </xf>
    <xf numFmtId="0" fontId="33" fillId="8" borderId="8" xfId="791" applyFont="1" applyFill="1" applyBorder="1" applyAlignment="1" applyProtection="1">
      <alignment horizontal="center" vertical="center" wrapText="1"/>
    </xf>
    <xf numFmtId="43" fontId="9" fillId="0" borderId="0" xfId="43" applyNumberFormat="1" applyFont="1" applyFill="1" applyBorder="1" applyAlignment="1">
      <alignment vertical="center"/>
    </xf>
    <xf numFmtId="43" fontId="9" fillId="0" borderId="0" xfId="28" applyNumberFormat="1" applyFont="1" applyFill="1" applyAlignment="1" applyProtection="1">
      <alignment vertical="center"/>
    </xf>
    <xf numFmtId="43" fontId="9" fillId="0" borderId="0" xfId="0" applyNumberFormat="1" applyFont="1" applyFill="1" applyAlignment="1">
      <alignment vertical="center"/>
      <protection locked="0"/>
    </xf>
    <xf numFmtId="43" fontId="9" fillId="0" borderId="0" xfId="31" applyNumberFormat="1" applyFont="1" applyFill="1">
      <alignment vertical="center"/>
    </xf>
    <xf numFmtId="14" fontId="9" fillId="0" borderId="0" xfId="0" applyNumberFormat="1" applyFont="1" applyFill="1" applyAlignment="1">
      <alignment vertical="center"/>
      <protection locked="0"/>
    </xf>
    <xf numFmtId="14" fontId="9" fillId="0" borderId="0" xfId="29" applyNumberFormat="1" applyFont="1" applyFill="1">
      <protection locked="0"/>
    </xf>
    <xf numFmtId="43" fontId="9" fillId="0" borderId="0" xfId="0" applyNumberFormat="1" applyFont="1" applyFill="1" applyAlignment="1">
      <alignment horizontal="right" vertical="center"/>
      <protection locked="0"/>
    </xf>
    <xf numFmtId="14" fontId="9" fillId="0" borderId="5" xfId="1" applyNumberFormat="1" applyFont="1" applyFill="1" applyBorder="1" applyAlignment="1">
      <alignment vertical="center" shrinkToFit="1"/>
    </xf>
    <xf numFmtId="43" fontId="7" fillId="8" borderId="8" xfId="1" applyNumberFormat="1" applyFont="1" applyFill="1" applyBorder="1" applyAlignment="1">
      <alignment horizontal="right" vertical="center" wrapText="1"/>
    </xf>
    <xf numFmtId="14" fontId="9" fillId="0" borderId="33" xfId="1" applyNumberFormat="1" applyFont="1" applyFill="1" applyBorder="1" applyAlignment="1">
      <alignment vertical="center" shrinkToFit="1"/>
    </xf>
    <xf numFmtId="43" fontId="9" fillId="8" borderId="8" xfId="1" applyFont="1" applyFill="1" applyBorder="1" applyAlignment="1">
      <alignment horizontal="center" vertical="center"/>
    </xf>
    <xf numFmtId="14" fontId="9" fillId="8" borderId="8" xfId="1" applyNumberFormat="1" applyFont="1" applyFill="1" applyBorder="1" applyAlignment="1">
      <alignment vertical="center"/>
    </xf>
    <xf numFmtId="43" fontId="7" fillId="8" borderId="8" xfId="1" applyFont="1" applyFill="1" applyBorder="1" applyAlignment="1">
      <alignment horizontal="center" vertical="center"/>
    </xf>
    <xf numFmtId="0" fontId="9" fillId="0" borderId="0" xfId="0" applyFont="1" applyFill="1" applyAlignment="1" applyProtection="1">
      <alignment vertical="center"/>
    </xf>
    <xf numFmtId="0" fontId="39" fillId="0" borderId="0" xfId="28" applyFont="1" applyFill="1" applyAlignment="1" applyProtection="1">
      <alignment horizontal="center"/>
    </xf>
    <xf numFmtId="0" fontId="9" fillId="0" borderId="0" xfId="31" applyFont="1" applyFill="1">
      <alignment vertical="center"/>
    </xf>
    <xf numFmtId="49" fontId="9" fillId="0" borderId="0" xfId="0" applyNumberFormat="1" applyFont="1" applyFill="1" applyAlignment="1">
      <alignment vertical="center"/>
      <protection locked="0"/>
    </xf>
    <xf numFmtId="0" fontId="43" fillId="8" borderId="0" xfId="0" applyFont="1" applyFill="1" applyAlignment="1">
      <alignment vertical="center"/>
      <protection locked="0"/>
    </xf>
    <xf numFmtId="0" fontId="9" fillId="8" borderId="0" xfId="0" applyFont="1" applyFill="1" applyAlignment="1">
      <alignment vertical="center"/>
      <protection locked="0"/>
    </xf>
    <xf numFmtId="0" fontId="157" fillId="0" borderId="0" xfId="0" applyFont="1" applyFill="1" applyAlignment="1">
      <alignment vertical="center"/>
      <protection locked="0"/>
    </xf>
    <xf numFmtId="0" fontId="7" fillId="0" borderId="0" xfId="32" applyFont="1" applyFill="1" applyAlignment="1">
      <alignment vertical="center" wrapText="1"/>
    </xf>
    <xf numFmtId="0" fontId="9" fillId="0" borderId="0" xfId="32" applyFont="1" applyFill="1" applyAlignment="1" applyProtection="1">
      <alignment vertical="center"/>
      <protection locked="0"/>
    </xf>
    <xf numFmtId="247" fontId="7" fillId="0" borderId="0" xfId="795" applyFont="1" applyFill="1" applyAlignment="1">
      <alignment horizontal="left" vertical="center"/>
    </xf>
    <xf numFmtId="247" fontId="9" fillId="0" borderId="0" xfId="794" applyFont="1" applyFill="1">
      <protection locked="0"/>
    </xf>
    <xf numFmtId="49" fontId="7" fillId="0" borderId="0" xfId="32" applyNumberFormat="1" applyFont="1" applyFill="1" applyAlignment="1">
      <alignment horizontal="left" vertical="center"/>
    </xf>
    <xf numFmtId="247" fontId="9" fillId="0" borderId="0" xfId="795" applyFont="1" applyFill="1" applyAlignment="1">
      <alignment horizontal="left" vertical="center"/>
    </xf>
    <xf numFmtId="247" fontId="140" fillId="0" borderId="0" xfId="795" applyFont="1" applyFill="1" applyAlignment="1">
      <alignment horizontal="left" vertical="center"/>
    </xf>
    <xf numFmtId="0" fontId="9" fillId="0" borderId="0" xfId="0" applyFont="1" applyFill="1">
      <protection locked="0"/>
    </xf>
    <xf numFmtId="0" fontId="140" fillId="0" borderId="0" xfId="32" applyFont="1" applyFill="1" applyAlignment="1">
      <alignment horizontal="left" vertical="center"/>
    </xf>
    <xf numFmtId="0" fontId="9" fillId="6" borderId="0" xfId="0" applyFont="1" applyFill="1" applyAlignment="1">
      <alignment vertical="center"/>
      <protection locked="0"/>
    </xf>
    <xf numFmtId="0" fontId="140" fillId="6" borderId="0" xfId="0" applyFont="1" applyFill="1" applyAlignment="1">
      <alignment horizontal="left"/>
      <protection locked="0"/>
    </xf>
    <xf numFmtId="0" fontId="9" fillId="0" borderId="0" xfId="35" applyFont="1" applyFill="1" applyAlignment="1">
      <alignment horizontal="left" vertical="center"/>
    </xf>
    <xf numFmtId="0" fontId="9" fillId="0" borderId="0" xfId="35" applyFont="1" applyFill="1" applyAlignment="1">
      <alignment horizontal="left" vertical="center" wrapText="1"/>
    </xf>
    <xf numFmtId="0" fontId="9" fillId="0" borderId="8" xfId="35" applyNumberFormat="1" applyFont="1" applyFill="1" applyBorder="1" applyAlignment="1" applyProtection="1">
      <alignment vertical="center"/>
      <protection locked="0"/>
    </xf>
    <xf numFmtId="0" fontId="139" fillId="0" borderId="0" xfId="31" applyFont="1">
      <alignment vertical="center"/>
    </xf>
    <xf numFmtId="49" fontId="168" fillId="0" borderId="0" xfId="43" applyNumberFormat="1" applyFont="1" applyBorder="1" applyAlignment="1">
      <alignment vertical="center" wrapText="1"/>
    </xf>
    <xf numFmtId="49" fontId="169" fillId="0" borderId="0" xfId="43" applyNumberFormat="1" applyFont="1" applyBorder="1" applyAlignment="1">
      <alignment vertical="center" wrapText="1"/>
    </xf>
    <xf numFmtId="49" fontId="140" fillId="0" borderId="0" xfId="43" applyNumberFormat="1" applyFont="1" applyBorder="1" applyAlignment="1">
      <alignment vertical="center" wrapText="1"/>
    </xf>
    <xf numFmtId="49" fontId="140" fillId="0" borderId="0" xfId="43" applyNumberFormat="1" applyFont="1" applyFill="1" applyBorder="1" applyAlignment="1">
      <alignment vertical="center" wrapText="1"/>
    </xf>
    <xf numFmtId="49" fontId="140" fillId="0" borderId="0" xfId="43" applyNumberFormat="1" applyFont="1" applyBorder="1" applyAlignment="1">
      <alignment vertical="center"/>
    </xf>
    <xf numFmtId="43" fontId="170" fillId="0" borderId="0" xfId="43" applyNumberFormat="1" applyFont="1" applyBorder="1" applyAlignment="1">
      <alignment horizontal="center" vertical="center"/>
    </xf>
    <xf numFmtId="43" fontId="171" fillId="0" borderId="0" xfId="43" applyNumberFormat="1" applyFont="1" applyBorder="1" applyAlignment="1">
      <alignment horizontal="center" vertical="center"/>
    </xf>
    <xf numFmtId="0" fontId="172" fillId="0" borderId="0" xfId="788" applyFont="1" applyAlignment="1">
      <alignment vertical="center"/>
    </xf>
    <xf numFmtId="0" fontId="140" fillId="0" borderId="0" xfId="624" applyFont="1" applyFill="1" applyAlignment="1">
      <alignment vertical="center" wrapText="1"/>
      <protection locked="0"/>
    </xf>
    <xf numFmtId="0" fontId="172" fillId="0" borderId="0" xfId="788" applyFont="1" applyAlignment="1">
      <alignment horizontal="left" vertical="center"/>
    </xf>
    <xf numFmtId="0" fontId="172" fillId="11" borderId="0" xfId="789" applyFont="1" applyFill="1" applyBorder="1" applyAlignment="1">
      <alignment horizontal="center" vertical="center"/>
    </xf>
    <xf numFmtId="0" fontId="140" fillId="70" borderId="0" xfId="789" applyFont="1" applyFill="1" applyAlignment="1">
      <alignment vertical="center"/>
    </xf>
    <xf numFmtId="0" fontId="140" fillId="0" borderId="0" xfId="789" applyFont="1" applyBorder="1" applyAlignment="1">
      <alignment vertical="center"/>
    </xf>
    <xf numFmtId="43" fontId="140" fillId="0" borderId="0" xfId="43" applyNumberFormat="1" applyFont="1" applyBorder="1" applyAlignment="1">
      <alignment vertical="center" wrapText="1"/>
    </xf>
    <xf numFmtId="0" fontId="140" fillId="0" borderId="0" xfId="624" applyFont="1" applyAlignment="1">
      <alignment horizontal="left" vertical="center" wrapText="1"/>
      <protection locked="0"/>
    </xf>
    <xf numFmtId="0" fontId="140" fillId="0" borderId="0" xfId="620" applyFont="1">
      <protection locked="0"/>
    </xf>
    <xf numFmtId="0" fontId="140" fillId="0" borderId="30" xfId="0" applyFont="1" applyBorder="1" applyAlignment="1">
      <alignment vertical="center" wrapText="1"/>
      <protection locked="0"/>
    </xf>
    <xf numFmtId="43" fontId="172" fillId="0" borderId="0" xfId="43" applyNumberFormat="1" applyFont="1" applyBorder="1" applyAlignment="1">
      <alignment vertical="center"/>
    </xf>
    <xf numFmtId="201" fontId="140" fillId="0" borderId="0" xfId="595" applyNumberFormat="1" applyFont="1">
      <alignment vertical="center"/>
    </xf>
    <xf numFmtId="0" fontId="170" fillId="0" borderId="0" xfId="41" applyFont="1" applyAlignment="1">
      <alignment vertical="center"/>
      <protection locked="0"/>
    </xf>
    <xf numFmtId="0" fontId="171" fillId="0" borderId="0" xfId="41" applyFont="1" applyAlignment="1">
      <alignment vertical="center"/>
      <protection locked="0"/>
    </xf>
    <xf numFmtId="0" fontId="140" fillId="0" borderId="0" xfId="41" applyFont="1" applyAlignment="1">
      <alignment vertical="center"/>
      <protection locked="0"/>
    </xf>
    <xf numFmtId="0" fontId="140" fillId="0" borderId="0" xfId="44" applyFont="1" applyProtection="1">
      <alignment vertical="center"/>
      <protection locked="0"/>
    </xf>
    <xf numFmtId="0" fontId="140" fillId="0" borderId="0" xfId="44" applyFont="1" applyAlignment="1" applyProtection="1">
      <alignment vertical="center"/>
      <protection locked="0"/>
    </xf>
    <xf numFmtId="0" fontId="172" fillId="0" borderId="0" xfId="44" applyFont="1" applyProtection="1">
      <alignment vertical="center"/>
      <protection locked="0"/>
    </xf>
    <xf numFmtId="0" fontId="147" fillId="0" borderId="0" xfId="44" applyFont="1" applyProtection="1">
      <alignment vertical="center"/>
      <protection locked="0"/>
    </xf>
    <xf numFmtId="0" fontId="140" fillId="0" borderId="0" xfId="44" applyFont="1" applyAlignment="1" applyProtection="1">
      <alignment horizontal="center" vertical="center" wrapText="1"/>
      <protection locked="0"/>
    </xf>
    <xf numFmtId="0" fontId="9" fillId="0" borderId="0" xfId="624" applyFont="1" applyAlignment="1">
      <alignment horizontal="left" vertical="center" wrapText="1"/>
      <protection locked="0"/>
    </xf>
    <xf numFmtId="0" fontId="7" fillId="0" borderId="0" xfId="788" applyFont="1" applyAlignment="1">
      <alignment horizontal="left" vertical="center"/>
    </xf>
    <xf numFmtId="0" fontId="49" fillId="0" borderId="0" xfId="624" applyFont="1" applyAlignment="1">
      <alignment horizontal="left" vertical="center" wrapText="1"/>
      <protection locked="0"/>
    </xf>
    <xf numFmtId="0" fontId="5" fillId="8" borderId="8" xfId="44" applyFont="1" applyFill="1" applyBorder="1" applyAlignment="1" applyProtection="1">
      <alignment horizontal="left" vertical="center"/>
      <protection locked="0"/>
    </xf>
    <xf numFmtId="0" fontId="158" fillId="0" borderId="0" xfId="0" applyFont="1" applyAlignment="1">
      <alignment horizontal="center" vertical="center"/>
      <protection locked="0"/>
    </xf>
    <xf numFmtId="247" fontId="139" fillId="0" borderId="0" xfId="799" applyFont="1" applyFill="1" applyAlignment="1">
      <alignment horizontal="left" vertical="center"/>
    </xf>
    <xf numFmtId="43" fontId="5" fillId="6" borderId="13" xfId="1" applyFont="1" applyFill="1" applyBorder="1" applyAlignment="1" applyProtection="1">
      <alignment horizontal="center" vertical="center"/>
      <protection locked="0"/>
    </xf>
    <xf numFmtId="0" fontId="139" fillId="0" borderId="0" xfId="32" applyFont="1" applyAlignment="1">
      <alignment horizontal="left" vertical="center"/>
    </xf>
    <xf numFmtId="14" fontId="7" fillId="8" borderId="8" xfId="0" applyNumberFormat="1" applyFont="1" applyFill="1" applyBorder="1" applyAlignment="1">
      <alignment vertical="center"/>
      <protection locked="0"/>
    </xf>
    <xf numFmtId="43" fontId="7" fillId="8" borderId="8" xfId="1" applyFont="1" applyFill="1" applyBorder="1" applyAlignment="1" applyProtection="1">
      <alignment vertical="center"/>
      <protection locked="0"/>
    </xf>
    <xf numFmtId="0" fontId="38" fillId="8" borderId="8" xfId="35" applyFont="1" applyFill="1" applyBorder="1" applyAlignment="1">
      <alignment horizontal="left" vertical="center"/>
    </xf>
    <xf numFmtId="49" fontId="7" fillId="8" borderId="8" xfId="0" applyNumberFormat="1" applyFont="1" applyFill="1" applyBorder="1" applyAlignment="1">
      <alignment horizontal="center" vertical="center"/>
      <protection locked="0"/>
    </xf>
    <xf numFmtId="0" fontId="7" fillId="8" borderId="0" xfId="35" applyFont="1" applyFill="1" applyAlignment="1">
      <alignment horizontal="left" vertical="center"/>
    </xf>
    <xf numFmtId="0" fontId="140" fillId="0" borderId="0" xfId="624" applyFont="1" applyBorder="1" applyAlignment="1">
      <alignment vertical="center" wrapText="1"/>
      <protection locked="0"/>
    </xf>
    <xf numFmtId="0" fontId="140" fillId="0" borderId="0" xfId="595" applyFont="1" applyBorder="1" applyAlignment="1">
      <alignment horizontal="center" vertical="center" wrapText="1"/>
    </xf>
    <xf numFmtId="0" fontId="9" fillId="0" borderId="0" xfId="789" applyFont="1" applyBorder="1" applyAlignment="1">
      <alignment horizontal="center" vertical="center"/>
    </xf>
    <xf numFmtId="14" fontId="52" fillId="0" borderId="0" xfId="595" applyNumberFormat="1" applyFont="1" applyBorder="1" applyAlignment="1">
      <alignment horizontal="center" vertical="center" wrapText="1"/>
    </xf>
    <xf numFmtId="0" fontId="9" fillId="0" borderId="0" xfId="1" applyNumberFormat="1" applyFont="1" applyBorder="1" applyAlignment="1">
      <alignment horizontal="center" vertical="center"/>
    </xf>
    <xf numFmtId="0" fontId="7" fillId="8" borderId="0" xfId="789" applyFont="1" applyFill="1" applyBorder="1" applyAlignment="1">
      <alignment horizontal="center" vertical="center" wrapText="1"/>
    </xf>
    <xf numFmtId="0" fontId="49" fillId="0" borderId="0" xfId="1" applyNumberFormat="1" applyFont="1" applyBorder="1" applyAlignment="1">
      <alignment horizontal="center" vertical="center"/>
    </xf>
    <xf numFmtId="43" fontId="9" fillId="0" borderId="0" xfId="1" applyFont="1" applyBorder="1" applyAlignment="1">
      <alignment vertical="center"/>
    </xf>
    <xf numFmtId="43" fontId="7" fillId="8" borderId="0" xfId="1" applyFont="1" applyFill="1" applyBorder="1" applyAlignment="1">
      <alignment horizontal="center" vertical="center" wrapText="1"/>
    </xf>
    <xf numFmtId="10" fontId="49" fillId="0" borderId="0" xfId="790" applyNumberFormat="1" applyFont="1" applyFill="1" applyBorder="1" applyAlignment="1">
      <alignment vertical="center"/>
    </xf>
    <xf numFmtId="0" fontId="49" fillId="0" borderId="0" xfId="1" applyNumberFormat="1" applyFont="1" applyFill="1" applyBorder="1" applyAlignment="1">
      <alignment horizontal="center" vertical="center"/>
    </xf>
    <xf numFmtId="9" fontId="49" fillId="0" borderId="0" xfId="1" applyNumberFormat="1" applyFont="1" applyFill="1" applyBorder="1" applyAlignment="1">
      <alignment horizontal="center" vertical="center"/>
    </xf>
    <xf numFmtId="0" fontId="49" fillId="0" borderId="0" xfId="624" applyFont="1" applyFill="1" applyBorder="1" applyAlignment="1">
      <alignment vertical="center" wrapText="1"/>
      <protection locked="0"/>
    </xf>
    <xf numFmtId="14" fontId="49" fillId="0" borderId="0" xfId="595" applyNumberFormat="1" applyFont="1" applyFill="1" applyBorder="1" applyAlignment="1">
      <alignment horizontal="center" vertical="center" wrapText="1"/>
    </xf>
    <xf numFmtId="0" fontId="49" fillId="0" borderId="0" xfId="789" applyFont="1" applyFill="1" applyBorder="1" applyAlignment="1">
      <alignment horizontal="center" vertical="center"/>
    </xf>
    <xf numFmtId="0" fontId="5" fillId="8" borderId="8" xfId="789" applyFont="1" applyFill="1" applyBorder="1" applyAlignment="1">
      <alignment horizontal="center" vertical="center" wrapText="1"/>
    </xf>
    <xf numFmtId="9" fontId="49" fillId="0" borderId="8" xfId="1" applyNumberFormat="1" applyFont="1" applyBorder="1" applyAlignment="1">
      <alignment horizontal="center" vertical="center"/>
    </xf>
    <xf numFmtId="0" fontId="49" fillId="0" borderId="0" xfId="28" applyFont="1" applyBorder="1" applyAlignment="1">
      <alignment vertical="center"/>
      <protection locked="0"/>
    </xf>
    <xf numFmtId="0" fontId="12" fillId="0" borderId="0" xfId="0" applyFont="1" applyAlignment="1">
      <alignment horizontal="left" vertical="center" wrapText="1"/>
      <protection locked="0"/>
    </xf>
    <xf numFmtId="0" fontId="13" fillId="0" borderId="0" xfId="0" applyFont="1" applyAlignment="1">
      <alignment horizontal="left" vertical="center" wrapText="1"/>
      <protection locked="0"/>
    </xf>
    <xf numFmtId="0" fontId="9" fillId="0" borderId="8" xfId="40" applyFont="1" applyBorder="1" applyAlignment="1" applyProtection="1">
      <alignment horizontal="center" vertical="center" wrapText="1"/>
      <protection locked="0"/>
    </xf>
    <xf numFmtId="0" fontId="9" fillId="0" borderId="8" xfId="40" applyFont="1" applyBorder="1" applyAlignment="1" applyProtection="1">
      <alignment horizontal="left" vertical="center" wrapText="1"/>
      <protection locked="0"/>
    </xf>
    <xf numFmtId="0" fontId="7" fillId="6" borderId="8" xfId="40" applyFont="1" applyFill="1" applyBorder="1" applyAlignment="1" applyProtection="1">
      <alignment horizontal="center" vertical="center" wrapText="1"/>
      <protection locked="0"/>
    </xf>
    <xf numFmtId="0" fontId="12" fillId="0" borderId="0" xfId="30" applyFont="1" applyAlignment="1">
      <alignment horizontal="center" vertical="center"/>
    </xf>
    <xf numFmtId="0" fontId="157" fillId="0" borderId="0" xfId="30" applyFont="1" applyAlignment="1">
      <alignment horizontal="center" vertical="center"/>
    </xf>
    <xf numFmtId="0" fontId="7" fillId="0" borderId="0" xfId="40" applyFont="1" applyAlignment="1">
      <alignment horizontal="left" vertical="center"/>
      <protection locked="0"/>
    </xf>
    <xf numFmtId="0" fontId="5" fillId="6" borderId="8" xfId="40" applyFont="1" applyFill="1" applyBorder="1" applyAlignment="1" applyProtection="1">
      <alignment horizontal="center" vertical="center" wrapText="1"/>
      <protection locked="0"/>
    </xf>
    <xf numFmtId="0" fontId="5" fillId="0" borderId="32" xfId="42" applyFont="1" applyFill="1" applyBorder="1" applyAlignment="1" applyProtection="1">
      <alignment horizontal="left" vertical="center" wrapText="1"/>
      <protection locked="0"/>
    </xf>
    <xf numFmtId="247" fontId="166" fillId="71" borderId="30" xfId="794" applyFont="1" applyFill="1" applyBorder="1" applyAlignment="1" applyProtection="1">
      <alignment horizontal="left" vertical="center" wrapText="1"/>
      <protection locked="0"/>
    </xf>
    <xf numFmtId="247" fontId="166" fillId="71" borderId="0" xfId="794" applyFont="1" applyFill="1" applyAlignment="1" applyProtection="1">
      <alignment horizontal="left" vertical="center" wrapText="1"/>
      <protection locked="0"/>
    </xf>
    <xf numFmtId="0" fontId="140" fillId="71" borderId="0" xfId="791" applyFont="1" applyFill="1" applyBorder="1" applyAlignment="1" applyProtection="1">
      <alignment horizontal="left" vertical="center" wrapText="1"/>
      <protection locked="0"/>
    </xf>
    <xf numFmtId="0" fontId="140" fillId="71" borderId="0" xfId="791" applyFont="1" applyFill="1" applyAlignment="1" applyProtection="1">
      <alignment horizontal="left" vertical="center" wrapText="1"/>
      <protection locked="0"/>
    </xf>
    <xf numFmtId="0" fontId="7" fillId="8" borderId="8" xfId="656" applyFont="1" applyFill="1" applyBorder="1" applyAlignment="1" applyProtection="1">
      <alignment horizontal="center" vertical="center"/>
      <protection locked="0"/>
    </xf>
    <xf numFmtId="49" fontId="7" fillId="8" borderId="8" xfId="40" applyNumberFormat="1" applyFont="1" applyFill="1" applyBorder="1" applyAlignment="1" applyProtection="1">
      <alignment horizontal="center" vertical="center"/>
      <protection locked="0"/>
    </xf>
    <xf numFmtId="0" fontId="5" fillId="6" borderId="8" xfId="42" applyFont="1" applyFill="1" applyBorder="1" applyAlignment="1" applyProtection="1">
      <alignment horizontal="center" vertical="center" wrapText="1"/>
      <protection locked="0"/>
    </xf>
    <xf numFmtId="0" fontId="7" fillId="8" borderId="8" xfId="656" applyFont="1" applyFill="1" applyBorder="1" applyAlignment="1" applyProtection="1">
      <alignment horizontal="center" vertical="center" wrapText="1"/>
      <protection locked="0"/>
    </xf>
    <xf numFmtId="0" fontId="33" fillId="6" borderId="8" xfId="29" applyFont="1" applyFill="1" applyBorder="1" applyAlignment="1">
      <alignment horizontal="center" vertical="center" wrapText="1"/>
      <protection locked="0"/>
    </xf>
    <xf numFmtId="0" fontId="7" fillId="6" borderId="8" xfId="29" applyFont="1" applyFill="1" applyBorder="1" applyAlignment="1">
      <alignment horizontal="center" vertical="center" wrapText="1"/>
      <protection locked="0"/>
    </xf>
    <xf numFmtId="49" fontId="48" fillId="0" borderId="0" xfId="0" applyNumberFormat="1" applyFont="1" applyAlignment="1" applyProtection="1">
      <alignment horizontal="center" vertical="center"/>
    </xf>
    <xf numFmtId="0" fontId="48" fillId="0" borderId="0" xfId="0" applyFont="1" applyAlignment="1" applyProtection="1">
      <alignment horizontal="center" vertical="center"/>
    </xf>
    <xf numFmtId="0" fontId="160" fillId="0" borderId="0" xfId="0" applyFont="1" applyAlignment="1" applyProtection="1">
      <alignment horizontal="center" vertical="center"/>
    </xf>
    <xf numFmtId="0" fontId="33" fillId="6" borderId="8" xfId="0" applyFont="1" applyFill="1" applyBorder="1" applyAlignment="1" applyProtection="1">
      <alignment horizontal="center" vertical="center"/>
    </xf>
    <xf numFmtId="0" fontId="33" fillId="6" borderId="8" xfId="0" applyFont="1" applyFill="1" applyBorder="1" applyAlignment="1" applyProtection="1">
      <alignment vertical="center"/>
    </xf>
    <xf numFmtId="0" fontId="7" fillId="6" borderId="10" xfId="35" applyFont="1" applyFill="1" applyBorder="1" applyAlignment="1" applyProtection="1">
      <alignment horizontal="center" vertical="center" wrapText="1"/>
      <protection locked="0"/>
    </xf>
    <xf numFmtId="0" fontId="7" fillId="6" borderId="12" xfId="35" applyFont="1" applyFill="1" applyBorder="1" applyAlignment="1" applyProtection="1">
      <alignment horizontal="center" vertical="center" wrapText="1"/>
      <protection locked="0"/>
    </xf>
    <xf numFmtId="0" fontId="7" fillId="6" borderId="11" xfId="35" applyFont="1" applyFill="1" applyBorder="1" applyAlignment="1" applyProtection="1">
      <alignment horizontal="center" vertical="center" wrapText="1"/>
      <protection locked="0"/>
    </xf>
    <xf numFmtId="0" fontId="140" fillId="0" borderId="31" xfId="0" applyFont="1" applyBorder="1" applyAlignment="1">
      <alignment horizontal="left" vertical="center" wrapText="1"/>
      <protection locked="0"/>
    </xf>
    <xf numFmtId="0" fontId="140" fillId="0" borderId="0" xfId="0" applyFont="1" applyBorder="1" applyAlignment="1">
      <alignment horizontal="left" vertical="center" wrapText="1"/>
      <protection locked="0"/>
    </xf>
    <xf numFmtId="0" fontId="140" fillId="68" borderId="0" xfId="0" applyFont="1" applyFill="1" applyBorder="1" applyAlignment="1">
      <alignment horizontal="left" vertical="center" wrapText="1"/>
      <protection locked="0"/>
    </xf>
    <xf numFmtId="49" fontId="12" fillId="0" borderId="0" xfId="29" applyNumberFormat="1" applyFont="1" applyAlignment="1">
      <alignment horizontal="center" vertical="center"/>
      <protection locked="0"/>
    </xf>
    <xf numFmtId="0" fontId="12" fillId="0" borderId="0" xfId="29" applyFont="1" applyAlignment="1">
      <alignment horizontal="center" vertical="center"/>
      <protection locked="0"/>
    </xf>
    <xf numFmtId="0" fontId="157" fillId="0" borderId="0" xfId="29" applyFont="1" applyAlignment="1">
      <alignment horizontal="center" vertical="center"/>
      <protection locked="0"/>
    </xf>
    <xf numFmtId="0" fontId="5" fillId="6" borderId="8" xfId="0" applyFont="1" applyFill="1" applyBorder="1" applyAlignment="1">
      <alignment horizontal="left" vertical="center"/>
      <protection locked="0"/>
    </xf>
    <xf numFmtId="0" fontId="7" fillId="6" borderId="8" xfId="0" applyFont="1" applyFill="1" applyBorder="1" applyAlignment="1">
      <alignment horizontal="left" vertical="center"/>
      <protection locked="0"/>
    </xf>
    <xf numFmtId="0" fontId="33" fillId="8" borderId="8" xfId="35" applyFont="1" applyFill="1" applyBorder="1" applyAlignment="1" applyProtection="1">
      <alignment horizontal="center" vertical="center"/>
      <protection locked="0"/>
    </xf>
    <xf numFmtId="0" fontId="33" fillId="8" borderId="8" xfId="0" applyFont="1" applyFill="1" applyBorder="1" applyAlignment="1" applyProtection="1">
      <alignment horizontal="center" vertical="center"/>
    </xf>
    <xf numFmtId="0" fontId="7" fillId="8" borderId="8" xfId="0" applyFont="1" applyFill="1" applyBorder="1" applyAlignment="1">
      <alignment horizontal="center" vertical="center" wrapText="1"/>
      <protection locked="0"/>
    </xf>
    <xf numFmtId="0" fontId="7" fillId="8" borderId="8" xfId="0" applyFont="1" applyFill="1" applyBorder="1" applyAlignment="1">
      <alignment horizontal="center" vertical="center"/>
      <protection locked="0"/>
    </xf>
    <xf numFmtId="0" fontId="9" fillId="8" borderId="8" xfId="0" applyFont="1" applyFill="1" applyBorder="1" applyAlignment="1">
      <alignment horizontal="center" vertical="center"/>
      <protection locked="0"/>
    </xf>
    <xf numFmtId="0" fontId="33" fillId="8" borderId="8" xfId="28" applyFont="1" applyFill="1" applyBorder="1" applyAlignment="1" applyProtection="1">
      <alignment horizontal="center" vertical="center"/>
    </xf>
    <xf numFmtId="49" fontId="12" fillId="0" borderId="0" xfId="30" applyNumberFormat="1" applyFont="1" applyAlignment="1">
      <alignment horizontal="center" vertical="center"/>
    </xf>
    <xf numFmtId="0" fontId="33" fillId="8" borderId="8" xfId="0" applyFont="1" applyFill="1" applyBorder="1" applyAlignment="1" applyProtection="1">
      <alignment horizontal="center" vertical="center" wrapText="1"/>
    </xf>
    <xf numFmtId="0" fontId="12" fillId="0" borderId="0" xfId="43" applyNumberFormat="1" applyFont="1" applyBorder="1" applyAlignment="1">
      <alignment horizontal="center" vertical="center"/>
    </xf>
    <xf numFmtId="0" fontId="157" fillId="0" borderId="0" xfId="43" applyNumberFormat="1" applyFont="1" applyBorder="1" applyAlignment="1">
      <alignment horizontal="center" vertical="center"/>
    </xf>
    <xf numFmtId="0" fontId="149" fillId="8" borderId="8" xfId="624" applyFont="1" applyFill="1" applyBorder="1" applyAlignment="1">
      <alignment horizontal="center" vertical="center" wrapText="1"/>
      <protection locked="0"/>
    </xf>
    <xf numFmtId="0" fontId="7" fillId="8" borderId="8" xfId="624" applyFont="1" applyFill="1" applyBorder="1" applyAlignment="1">
      <alignment horizontal="center" vertical="center"/>
      <protection locked="0"/>
    </xf>
    <xf numFmtId="0" fontId="150" fillId="0" borderId="8" xfId="624" applyFont="1" applyBorder="1" applyAlignment="1">
      <alignment horizontal="left" vertical="center" wrapText="1"/>
      <protection locked="0"/>
    </xf>
    <xf numFmtId="0" fontId="150" fillId="8" borderId="8" xfId="624" applyFont="1" applyFill="1" applyBorder="1" applyAlignment="1">
      <alignment horizontal="justify" vertical="center" wrapText="1"/>
      <protection locked="0"/>
    </xf>
    <xf numFmtId="0" fontId="9" fillId="8" borderId="8" xfId="0" applyFont="1" applyFill="1" applyBorder="1" applyAlignment="1">
      <alignment horizontal="justify" vertical="center" wrapText="1"/>
      <protection locked="0"/>
    </xf>
    <xf numFmtId="0" fontId="150" fillId="8" borderId="8" xfId="624" applyFont="1" applyFill="1" applyBorder="1" applyAlignment="1">
      <alignment horizontal="left" vertical="center" wrapText="1" indent="1"/>
      <protection locked="0"/>
    </xf>
    <xf numFmtId="0" fontId="9" fillId="8" borderId="8" xfId="0" applyFont="1" applyFill="1" applyBorder="1" applyAlignment="1">
      <alignment horizontal="left" vertical="center" wrapText="1" indent="1"/>
      <protection locked="0"/>
    </xf>
    <xf numFmtId="0" fontId="49" fillId="0" borderId="8" xfId="624" applyFont="1" applyBorder="1" applyAlignment="1">
      <alignment horizontal="left" vertical="center" wrapText="1"/>
      <protection locked="0"/>
    </xf>
    <xf numFmtId="0" fontId="150" fillId="0" borderId="8" xfId="624" applyFont="1" applyBorder="1" applyAlignment="1">
      <alignment horizontal="center" vertical="center" wrapText="1"/>
      <protection locked="0"/>
    </xf>
    <xf numFmtId="0" fontId="150" fillId="8" borderId="8" xfId="624" applyFont="1" applyFill="1" applyBorder="1" applyAlignment="1">
      <alignment horizontal="left" vertical="center" wrapText="1"/>
      <protection locked="0"/>
    </xf>
    <xf numFmtId="49" fontId="140" fillId="0" borderId="0" xfId="43" applyNumberFormat="1" applyFont="1" applyBorder="1" applyAlignment="1">
      <alignment vertical="center" wrapText="1"/>
    </xf>
    <xf numFmtId="0" fontId="140" fillId="0" borderId="0" xfId="0" applyFont="1" applyBorder="1" applyAlignment="1">
      <alignment vertical="center" wrapText="1"/>
      <protection locked="0"/>
    </xf>
    <xf numFmtId="0" fontId="150" fillId="0" borderId="10" xfId="624" applyFont="1" applyFill="1" applyBorder="1" applyAlignment="1">
      <alignment horizontal="justify" vertical="center" wrapText="1"/>
      <protection locked="0"/>
    </xf>
    <xf numFmtId="0" fontId="9" fillId="0" borderId="11" xfId="0" applyFont="1" applyFill="1" applyBorder="1" applyAlignment="1">
      <alignment horizontal="justify" vertical="center" wrapText="1"/>
      <protection locked="0"/>
    </xf>
    <xf numFmtId="0" fontId="9" fillId="0" borderId="12" xfId="0" applyFont="1" applyFill="1" applyBorder="1" applyAlignment="1">
      <alignment horizontal="justify" vertical="center" wrapText="1"/>
      <protection locked="0"/>
    </xf>
    <xf numFmtId="0" fontId="150" fillId="0" borderId="10" xfId="624" applyFont="1" applyFill="1" applyBorder="1" applyAlignment="1">
      <alignment horizontal="left" vertical="center" wrapText="1" indent="1"/>
      <protection locked="0"/>
    </xf>
    <xf numFmtId="0" fontId="9" fillId="0" borderId="11" xfId="0" applyFont="1" applyFill="1" applyBorder="1" applyAlignment="1">
      <alignment horizontal="left" vertical="center" wrapText="1" indent="1"/>
      <protection locked="0"/>
    </xf>
    <xf numFmtId="0" fontId="9" fillId="0" borderId="0" xfId="624" applyFont="1" applyAlignment="1">
      <alignment horizontal="left" vertical="center" wrapText="1"/>
      <protection locked="0"/>
    </xf>
    <xf numFmtId="0" fontId="7" fillId="0" borderId="0" xfId="788" applyFont="1" applyAlignment="1">
      <alignment horizontal="left" vertical="center"/>
    </xf>
    <xf numFmtId="0" fontId="49" fillId="0" borderId="0" xfId="624" applyFont="1" applyAlignment="1">
      <alignment horizontal="left" vertical="center" wrapText="1"/>
      <protection locked="0"/>
    </xf>
    <xf numFmtId="0" fontId="149" fillId="0" borderId="10" xfId="624" applyFont="1" applyFill="1" applyBorder="1" applyAlignment="1">
      <alignment horizontal="center" vertical="center" wrapText="1"/>
      <protection locked="0"/>
    </xf>
    <xf numFmtId="0" fontId="7" fillId="0" borderId="11" xfId="624" applyFont="1" applyFill="1" applyBorder="1" applyAlignment="1">
      <alignment horizontal="center" vertical="center"/>
      <protection locked="0"/>
    </xf>
    <xf numFmtId="0" fontId="150" fillId="8" borderId="10" xfId="624" applyFont="1" applyFill="1" applyBorder="1" applyAlignment="1">
      <alignment horizontal="left" vertical="center" wrapText="1"/>
      <protection locked="0"/>
    </xf>
    <xf numFmtId="0" fontId="150" fillId="8" borderId="12" xfId="624" applyFont="1" applyFill="1" applyBorder="1" applyAlignment="1">
      <alignment horizontal="left" vertical="center" wrapText="1"/>
      <protection locked="0"/>
    </xf>
    <xf numFmtId="0" fontId="7" fillId="8" borderId="10" xfId="789" applyFont="1" applyFill="1" applyBorder="1" applyAlignment="1">
      <alignment horizontal="center" vertical="center"/>
    </xf>
    <xf numFmtId="0" fontId="7" fillId="8" borderId="11" xfId="789" applyFont="1" applyFill="1" applyBorder="1" applyAlignment="1">
      <alignment horizontal="center" vertical="center"/>
    </xf>
    <xf numFmtId="0" fontId="7" fillId="8" borderId="12" xfId="789" applyFont="1" applyFill="1" applyBorder="1" applyAlignment="1">
      <alignment horizontal="center" vertical="center"/>
    </xf>
    <xf numFmtId="0" fontId="9" fillId="8" borderId="8" xfId="0" applyFont="1" applyFill="1" applyBorder="1" applyAlignment="1">
      <alignment horizontal="center" vertical="center" wrapText="1"/>
      <protection locked="0"/>
    </xf>
    <xf numFmtId="0" fontId="149" fillId="0" borderId="10" xfId="624" applyFont="1" applyFill="1" applyBorder="1" applyAlignment="1">
      <alignment horizontal="justify" vertical="center" wrapText="1"/>
      <protection locked="0"/>
    </xf>
    <xf numFmtId="0" fontId="7" fillId="0" borderId="11" xfId="0" applyFont="1" applyFill="1" applyBorder="1" applyAlignment="1">
      <alignment horizontal="justify" vertical="center" wrapText="1"/>
      <protection locked="0"/>
    </xf>
    <xf numFmtId="0" fontId="150" fillId="0" borderId="10" xfId="624" applyFont="1" applyBorder="1" applyAlignment="1">
      <alignment vertical="center" wrapText="1"/>
      <protection locked="0"/>
    </xf>
    <xf numFmtId="0" fontId="9" fillId="0" borderId="12" xfId="624" applyFont="1" applyBorder="1" applyAlignment="1">
      <alignment vertical="center"/>
      <protection locked="0"/>
    </xf>
    <xf numFmtId="0" fontId="9" fillId="0" borderId="11" xfId="624" applyFont="1" applyBorder="1" applyAlignment="1">
      <alignment vertical="center"/>
      <protection locked="0"/>
    </xf>
    <xf numFmtId="0" fontId="149" fillId="8" borderId="10" xfId="624" applyFont="1" applyFill="1" applyBorder="1" applyAlignment="1">
      <alignment horizontal="center" vertical="center" wrapText="1"/>
      <protection locked="0"/>
    </xf>
    <xf numFmtId="0" fontId="9" fillId="8" borderId="11" xfId="0" applyFont="1" applyFill="1" applyBorder="1" applyAlignment="1">
      <alignment horizontal="center" vertical="center" wrapText="1"/>
      <protection locked="0"/>
    </xf>
    <xf numFmtId="0" fontId="9" fillId="8" borderId="12" xfId="0" applyFont="1" applyFill="1" applyBorder="1" applyAlignment="1">
      <alignment horizontal="center" vertical="center" wrapText="1"/>
      <protection locked="0"/>
    </xf>
    <xf numFmtId="0" fontId="9" fillId="0" borderId="0" xfId="624" applyFont="1" applyFill="1" applyAlignment="1">
      <alignment vertical="center" wrapText="1"/>
      <protection locked="0"/>
    </xf>
    <xf numFmtId="0" fontId="7" fillId="8" borderId="11" xfId="624" applyFont="1" applyFill="1" applyBorder="1" applyAlignment="1">
      <alignment horizontal="center" vertical="center"/>
      <protection locked="0"/>
    </xf>
    <xf numFmtId="0" fontId="150" fillId="8" borderId="10" xfId="624" applyFont="1" applyFill="1" applyBorder="1" applyAlignment="1">
      <alignment horizontal="justify" vertical="center" wrapText="1"/>
      <protection locked="0"/>
    </xf>
    <xf numFmtId="0" fontId="9" fillId="8" borderId="11" xfId="0" applyFont="1" applyFill="1" applyBorder="1" applyAlignment="1">
      <alignment horizontal="justify" vertical="center" wrapText="1"/>
      <protection locked="0"/>
    </xf>
    <xf numFmtId="0" fontId="150" fillId="0" borderId="8" xfId="624" applyFont="1" applyBorder="1" applyAlignment="1">
      <alignment horizontal="justify" vertical="center" wrapText="1"/>
      <protection locked="0"/>
    </xf>
    <xf numFmtId="0" fontId="9" fillId="0" borderId="8" xfId="0" applyFont="1" applyBorder="1" applyAlignment="1">
      <alignment horizontal="justify" vertical="center" wrapText="1"/>
      <protection locked="0"/>
    </xf>
    <xf numFmtId="49" fontId="140" fillId="0" borderId="30" xfId="43" applyNumberFormat="1" applyFont="1" applyBorder="1" applyAlignment="1">
      <alignment vertical="center" wrapText="1"/>
    </xf>
    <xf numFmtId="0" fontId="140" fillId="0" borderId="30" xfId="0" applyFont="1" applyBorder="1" applyAlignment="1">
      <alignment vertical="center" wrapText="1"/>
      <protection locked="0"/>
    </xf>
    <xf numFmtId="0" fontId="150" fillId="8" borderId="10" xfId="624" applyFont="1" applyFill="1" applyBorder="1" applyAlignment="1">
      <alignment horizontal="left" vertical="center" wrapText="1" indent="1"/>
      <protection locked="0"/>
    </xf>
    <xf numFmtId="0" fontId="9" fillId="8" borderId="11" xfId="0" applyFont="1" applyFill="1" applyBorder="1" applyAlignment="1">
      <alignment horizontal="left" vertical="center" wrapText="1" indent="1"/>
      <protection locked="0"/>
    </xf>
    <xf numFmtId="41" fontId="5" fillId="8" borderId="8" xfId="44" applyNumberFormat="1" applyFont="1" applyFill="1" applyBorder="1" applyAlignment="1" applyProtection="1">
      <alignment horizontal="center" vertical="center" wrapText="1"/>
      <protection locked="0"/>
    </xf>
    <xf numFmtId="0" fontId="7" fillId="0" borderId="0" xfId="788" applyFont="1" applyFill="1" applyAlignment="1">
      <alignment horizontal="left" vertical="center" wrapText="1"/>
    </xf>
    <xf numFmtId="0" fontId="158" fillId="0" borderId="0" xfId="43" applyNumberFormat="1" applyFont="1" applyBorder="1" applyAlignment="1">
      <alignment horizontal="center" vertical="center" wrapText="1"/>
    </xf>
    <xf numFmtId="0" fontId="38" fillId="8" borderId="8" xfId="41" applyFont="1" applyFill="1" applyBorder="1" applyAlignment="1">
      <alignment horizontal="center" vertical="center"/>
      <protection locked="0"/>
    </xf>
    <xf numFmtId="0" fontId="38" fillId="8" borderId="8" xfId="595" applyFont="1" applyFill="1" applyBorder="1" applyAlignment="1">
      <alignment horizontal="center" vertical="center" wrapText="1"/>
    </xf>
    <xf numFmtId="201" fontId="38" fillId="8" borderId="8" xfId="595" applyNumberFormat="1" applyFont="1" applyFill="1" applyBorder="1" applyAlignment="1">
      <alignment horizontal="center" vertical="center" wrapText="1"/>
    </xf>
    <xf numFmtId="0" fontId="52" fillId="8" borderId="8" xfId="595" applyFont="1" applyFill="1" applyBorder="1" applyAlignment="1">
      <alignment horizontal="center" vertical="center" wrapText="1"/>
    </xf>
    <xf numFmtId="49" fontId="12" fillId="0" borderId="0" xfId="41" applyNumberFormat="1" applyFont="1" applyAlignment="1">
      <alignment horizontal="center" vertical="center"/>
      <protection locked="0"/>
    </xf>
    <xf numFmtId="0" fontId="158" fillId="0" borderId="0" xfId="41" applyFont="1" applyAlignment="1">
      <alignment horizontal="center" vertical="center"/>
      <protection locked="0"/>
    </xf>
    <xf numFmtId="0" fontId="157" fillId="0" borderId="0" xfId="41" applyFont="1" applyAlignment="1">
      <alignment horizontal="center" vertical="center"/>
      <protection locked="0"/>
    </xf>
    <xf numFmtId="0" fontId="5" fillId="8" borderId="8" xfId="44" applyFont="1" applyFill="1" applyBorder="1" applyAlignment="1" applyProtection="1">
      <alignment horizontal="left" vertical="center"/>
      <protection locked="0"/>
    </xf>
    <xf numFmtId="0" fontId="52" fillId="8" borderId="8" xfId="42" applyFont="1" applyFill="1" applyBorder="1">
      <alignment vertical="center"/>
    </xf>
    <xf numFmtId="0" fontId="7" fillId="0" borderId="0" xfId="788" applyFont="1" applyFill="1" applyAlignment="1">
      <alignment vertical="center" wrapText="1"/>
    </xf>
    <xf numFmtId="0" fontId="9" fillId="0" borderId="10" xfId="789" applyFont="1" applyBorder="1" applyAlignment="1">
      <alignment vertical="center" wrapText="1"/>
    </xf>
    <xf numFmtId="0" fontId="9" fillId="0" borderId="12" xfId="0" applyFont="1" applyBorder="1" applyAlignment="1">
      <alignment vertical="center" wrapText="1"/>
      <protection locked="0"/>
    </xf>
    <xf numFmtId="0" fontId="9" fillId="0" borderId="11" xfId="0" applyFont="1" applyBorder="1" applyAlignment="1">
      <alignment vertical="center" wrapText="1"/>
      <protection locked="0"/>
    </xf>
    <xf numFmtId="0" fontId="9" fillId="8" borderId="12" xfId="0" applyFont="1" applyFill="1" applyBorder="1" applyAlignment="1">
      <alignment horizontal="center" vertical="center"/>
      <protection locked="0"/>
    </xf>
    <xf numFmtId="0" fontId="9" fillId="8" borderId="11" xfId="0" applyFont="1" applyFill="1" applyBorder="1" applyAlignment="1">
      <alignment horizontal="center" vertical="center"/>
      <protection locked="0"/>
    </xf>
    <xf numFmtId="0" fontId="49" fillId="0" borderId="8" xfId="624" applyFont="1" applyBorder="1" applyAlignment="1">
      <alignment horizontal="justify" vertical="center" wrapText="1"/>
      <protection locked="0"/>
    </xf>
    <xf numFmtId="0" fontId="49" fillId="0" borderId="8" xfId="0" applyFont="1" applyBorder="1" applyAlignment="1">
      <alignment horizontal="justify" vertical="center" wrapText="1"/>
      <protection locked="0"/>
    </xf>
    <xf numFmtId="43" fontId="7" fillId="6" borderId="8" xfId="0" applyNumberFormat="1" applyFont="1" applyFill="1" applyBorder="1" applyAlignment="1">
      <alignment horizontal="left" vertical="center"/>
      <protection locked="0"/>
    </xf>
    <xf numFmtId="0" fontId="7" fillId="6" borderId="10" xfId="0" applyFont="1" applyFill="1" applyBorder="1" applyAlignment="1">
      <alignment horizontal="center" vertical="center"/>
      <protection locked="0"/>
    </xf>
    <xf numFmtId="0" fontId="7" fillId="6" borderId="12" xfId="0" applyFont="1" applyFill="1" applyBorder="1" applyAlignment="1">
      <alignment horizontal="center" vertical="center"/>
      <protection locked="0"/>
    </xf>
    <xf numFmtId="0" fontId="7" fillId="6" borderId="11" xfId="0" applyFont="1" applyFill="1" applyBorder="1" applyAlignment="1">
      <alignment horizontal="center" vertical="center"/>
      <protection locked="0"/>
    </xf>
    <xf numFmtId="0" fontId="7" fillId="6" borderId="8" xfId="0" applyFont="1" applyFill="1" applyBorder="1" applyAlignment="1">
      <alignment horizontal="center" vertical="center" wrapText="1"/>
      <protection locked="0"/>
    </xf>
    <xf numFmtId="0" fontId="7" fillId="8" borderId="10" xfId="0" applyFont="1" applyFill="1" applyBorder="1" applyAlignment="1">
      <alignment horizontal="center" vertical="center" wrapText="1"/>
      <protection locked="0"/>
    </xf>
    <xf numFmtId="0" fontId="7" fillId="8" borderId="12" xfId="0" applyFont="1" applyFill="1" applyBorder="1" applyAlignment="1">
      <alignment horizontal="center" vertical="center" wrapText="1"/>
      <protection locked="0"/>
    </xf>
    <xf numFmtId="0" fontId="7" fillId="8" borderId="11" xfId="0" applyFont="1" applyFill="1" applyBorder="1" applyAlignment="1">
      <alignment horizontal="center" vertical="center" wrapText="1"/>
      <protection locked="0"/>
    </xf>
    <xf numFmtId="0" fontId="7" fillId="8" borderId="2" xfId="0" applyFont="1" applyFill="1" applyBorder="1" applyAlignment="1">
      <alignment horizontal="center" vertical="center" wrapText="1"/>
      <protection locked="0"/>
    </xf>
    <xf numFmtId="0" fontId="7" fillId="8" borderId="13" xfId="0" applyFont="1" applyFill="1" applyBorder="1" applyAlignment="1">
      <alignment horizontal="center" vertical="center" wrapText="1"/>
      <protection locked="0"/>
    </xf>
    <xf numFmtId="0" fontId="7" fillId="8" borderId="3" xfId="0" applyFont="1" applyFill="1" applyBorder="1" applyAlignment="1">
      <alignment horizontal="center" vertical="center" wrapText="1"/>
      <protection locked="0"/>
    </xf>
    <xf numFmtId="0" fontId="7" fillId="6" borderId="8" xfId="0" applyFont="1" applyFill="1" applyBorder="1" applyAlignment="1">
      <alignment horizontal="center" vertical="center"/>
      <protection locked="0"/>
    </xf>
    <xf numFmtId="43" fontId="7" fillId="0" borderId="8" xfId="0" applyNumberFormat="1" applyFont="1" applyBorder="1" applyAlignment="1">
      <alignment horizontal="center" vertical="center" wrapText="1"/>
      <protection locked="0"/>
    </xf>
    <xf numFmtId="0" fontId="9" fillId="6" borderId="8" xfId="0" applyFont="1" applyFill="1" applyBorder="1" applyAlignment="1">
      <alignment horizontal="center" vertical="center" wrapText="1"/>
      <protection locked="0"/>
    </xf>
    <xf numFmtId="0" fontId="5" fillId="6" borderId="8" xfId="37" applyFont="1" applyFill="1" applyBorder="1" applyAlignment="1" applyProtection="1">
      <alignment horizontal="center" vertical="center"/>
      <protection locked="0"/>
    </xf>
    <xf numFmtId="0" fontId="7" fillId="6" borderId="8" xfId="37" applyFont="1" applyFill="1" applyBorder="1" applyAlignment="1" applyProtection="1">
      <alignment horizontal="center" vertical="center"/>
      <protection locked="0"/>
    </xf>
    <xf numFmtId="0" fontId="5" fillId="6" borderId="8" xfId="37" applyFont="1" applyFill="1" applyBorder="1" applyAlignment="1" applyProtection="1">
      <alignment horizontal="center" vertical="center" wrapText="1"/>
      <protection locked="0"/>
    </xf>
    <xf numFmtId="0" fontId="7" fillId="6" borderId="8" xfId="37" applyFont="1" applyFill="1" applyBorder="1" applyAlignment="1" applyProtection="1">
      <alignment horizontal="center" vertical="center" wrapText="1"/>
      <protection locked="0"/>
    </xf>
    <xf numFmtId="49" fontId="5" fillId="6" borderId="10" xfId="0" applyNumberFormat="1" applyFont="1" applyFill="1" applyBorder="1" applyAlignment="1">
      <alignment horizontal="center" vertical="center"/>
      <protection locked="0"/>
    </xf>
    <xf numFmtId="49" fontId="7" fillId="6" borderId="12" xfId="0" applyNumberFormat="1" applyFont="1" applyFill="1" applyBorder="1" applyAlignment="1">
      <alignment horizontal="center" vertical="center"/>
      <protection locked="0"/>
    </xf>
    <xf numFmtId="49" fontId="7" fillId="6" borderId="11" xfId="0" applyNumberFormat="1" applyFont="1" applyFill="1" applyBorder="1" applyAlignment="1">
      <alignment horizontal="center" vertical="center"/>
      <protection locked="0"/>
    </xf>
    <xf numFmtId="49" fontId="7" fillId="6" borderId="10" xfId="0" applyNumberFormat="1" applyFont="1" applyFill="1" applyBorder="1" applyAlignment="1">
      <alignment horizontal="center" vertical="center"/>
      <protection locked="0"/>
    </xf>
    <xf numFmtId="0" fontId="7" fillId="6" borderId="2" xfId="0" applyFont="1" applyFill="1" applyBorder="1" applyAlignment="1">
      <alignment horizontal="center" vertical="center"/>
      <protection locked="0"/>
    </xf>
    <xf numFmtId="0" fontId="7" fillId="6" borderId="13" xfId="0" applyFont="1" applyFill="1" applyBorder="1" applyAlignment="1">
      <alignment horizontal="center" vertical="center"/>
      <protection locked="0"/>
    </xf>
    <xf numFmtId="0" fontId="7" fillId="6" borderId="2" xfId="0" applyFont="1" applyFill="1" applyBorder="1" applyAlignment="1">
      <alignment horizontal="center" vertical="center" wrapText="1"/>
      <protection locked="0"/>
    </xf>
    <xf numFmtId="0" fontId="7" fillId="6" borderId="13" xfId="0" applyFont="1" applyFill="1" applyBorder="1" applyAlignment="1">
      <alignment horizontal="center" vertical="center" wrapText="1"/>
      <protection locked="0"/>
    </xf>
    <xf numFmtId="0" fontId="7" fillId="0" borderId="0" xfId="32" applyFont="1" applyFill="1" applyAlignment="1">
      <alignment horizontal="left" vertical="center" wrapText="1"/>
    </xf>
    <xf numFmtId="0" fontId="5" fillId="72" borderId="8" xfId="28" applyFont="1" applyFill="1" applyBorder="1" applyAlignment="1" applyProtection="1">
      <alignment horizontal="center" vertical="center" wrapText="1"/>
    </xf>
    <xf numFmtId="0" fontId="5" fillId="72" borderId="2" xfId="28" applyFont="1" applyFill="1" applyBorder="1" applyAlignment="1" applyProtection="1">
      <alignment horizontal="center" vertical="center" wrapText="1"/>
    </xf>
    <xf numFmtId="0" fontId="5" fillId="72" borderId="13" xfId="28" applyFont="1" applyFill="1" applyBorder="1" applyAlignment="1" applyProtection="1">
      <alignment horizontal="center" vertical="center" wrapText="1"/>
    </xf>
    <xf numFmtId="49" fontId="5" fillId="8" borderId="10" xfId="0" applyNumberFormat="1" applyFont="1" applyFill="1" applyBorder="1" applyAlignment="1">
      <alignment horizontal="center" vertical="center"/>
      <protection locked="0"/>
    </xf>
    <xf numFmtId="49" fontId="5" fillId="8" borderId="12" xfId="0" applyNumberFormat="1" applyFont="1" applyFill="1" applyBorder="1" applyAlignment="1">
      <alignment horizontal="center" vertical="center"/>
      <protection locked="0"/>
    </xf>
    <xf numFmtId="49" fontId="5" fillId="8" borderId="11" xfId="0" applyNumberFormat="1" applyFont="1" applyFill="1" applyBorder="1" applyAlignment="1">
      <alignment horizontal="center" vertical="center"/>
      <protection locked="0"/>
    </xf>
    <xf numFmtId="0" fontId="158" fillId="0" borderId="0" xfId="0" applyNumberFormat="1" applyFont="1" applyAlignment="1">
      <alignment horizontal="center" vertical="center"/>
      <protection locked="0"/>
    </xf>
    <xf numFmtId="0" fontId="9" fillId="0" borderId="0" xfId="35" applyNumberFormat="1" applyFont="1" applyFill="1" applyAlignment="1">
      <alignment vertical="center" wrapText="1"/>
    </xf>
    <xf numFmtId="0" fontId="11" fillId="0" borderId="0" xfId="47" applyFont="1" applyFill="1" applyAlignment="1">
      <alignment horizontal="left" vertical="center" wrapText="1"/>
    </xf>
    <xf numFmtId="0" fontId="10" fillId="0" borderId="0" xfId="43" applyNumberFormat="1" applyFont="1" applyBorder="1" applyAlignment="1">
      <alignment horizontal="center" vertical="center"/>
    </xf>
    <xf numFmtId="0" fontId="158" fillId="0" borderId="0" xfId="43" applyNumberFormat="1" applyFont="1" applyBorder="1" applyAlignment="1">
      <alignment horizontal="center" vertical="center"/>
    </xf>
    <xf numFmtId="0" fontId="10" fillId="0" borderId="0" xfId="30" applyNumberFormat="1" applyFont="1" applyAlignment="1">
      <alignment horizontal="center" vertical="center"/>
    </xf>
    <xf numFmtId="0" fontId="158" fillId="0" borderId="0" xfId="30" applyNumberFormat="1" applyFont="1" applyAlignment="1">
      <alignment horizontal="center" vertical="center"/>
    </xf>
    <xf numFmtId="49" fontId="10" fillId="0" borderId="0" xfId="30" applyNumberFormat="1" applyFont="1" applyAlignment="1">
      <alignment horizontal="center" vertical="center"/>
    </xf>
    <xf numFmtId="0" fontId="158" fillId="0" borderId="0" xfId="30" applyFont="1" applyAlignment="1">
      <alignment horizontal="center" vertical="center"/>
    </xf>
    <xf numFmtId="0" fontId="47" fillId="0" borderId="0" xfId="0" applyFont="1" applyAlignment="1" applyProtection="1">
      <alignment horizontal="center" vertical="center"/>
    </xf>
    <xf numFmtId="0" fontId="161" fillId="0" borderId="0" xfId="0" applyFont="1" applyAlignment="1" applyProtection="1">
      <alignment horizontal="center" vertical="center"/>
    </xf>
    <xf numFmtId="0" fontId="10" fillId="0" borderId="0" xfId="30" applyFont="1" applyAlignment="1">
      <alignment horizontal="center" vertical="center"/>
    </xf>
    <xf numFmtId="0" fontId="10" fillId="0" borderId="0" xfId="0" applyNumberFormat="1" applyFont="1" applyAlignment="1">
      <alignment horizontal="center" vertical="center"/>
      <protection locked="0"/>
    </xf>
    <xf numFmtId="0" fontId="158" fillId="0" borderId="0" xfId="0" applyNumberFormat="1" applyFont="1" applyFill="1" applyAlignment="1">
      <alignment horizontal="center" vertical="center"/>
      <protection locked="0"/>
    </xf>
    <xf numFmtId="49" fontId="10" fillId="0" borderId="0" xfId="0" applyNumberFormat="1" applyFont="1" applyAlignment="1">
      <alignment horizontal="center" vertical="center"/>
      <protection locked="0"/>
    </xf>
    <xf numFmtId="0" fontId="10" fillId="0" borderId="0" xfId="0" applyFont="1" applyAlignment="1">
      <alignment horizontal="center" vertical="center"/>
      <protection locked="0"/>
    </xf>
    <xf numFmtId="0" fontId="158" fillId="0" borderId="0" xfId="0" applyFont="1" applyAlignment="1">
      <alignment horizontal="center" vertical="center"/>
      <protection locked="0"/>
    </xf>
  </cellXfs>
  <cellStyles count="800">
    <cellStyle name="_x000a_mouse.drv=lm" xfId="48"/>
    <cellStyle name="%" xfId="49"/>
    <cellStyle name="% 2" xfId="50"/>
    <cellStyle name="?" xfId="51"/>
    <cellStyle name="? 2" xfId="52"/>
    <cellStyle name="? 3" xfId="53"/>
    <cellStyle name="??" xfId="54"/>
    <cellStyle name="?? [0]" xfId="55"/>
    <cellStyle name="??_0N-HANDLING " xfId="56"/>
    <cellStyle name="?餡_x000c_k" xfId="57"/>
    <cellStyle name="?餡_x000c_k 2" xfId="58"/>
    <cellStyle name="?餡_x000c_k 3" xfId="59"/>
    <cellStyle name="?餡_x000c_k?_x000d_^" xfId="60"/>
    <cellStyle name="?餡_x000c_k?_x000d_^ 2" xfId="61"/>
    <cellStyle name="?餡_x000c_k?_x000d_^ 3" xfId="62"/>
    <cellStyle name="?餡_x000c_k?_x000d_^黇_x0001_??_x0007__x0001__x0001_" xfId="63"/>
    <cellStyle name="?餡_x000c_k?_x000d_^黇_x0001_??_x0007__x0001__x0001_ 2" xfId="64"/>
    <cellStyle name="?餡_x000c_k?_x000d_^黇_x0001_??_x0007__x0001__x0001_ 3" xfId="65"/>
    <cellStyle name="@_text" xfId="5"/>
    <cellStyle name="@_text_子公司附注汇总(房开公司)" xfId="66"/>
    <cellStyle name="_(本部)2006年年报审计PBC表" xfId="67"/>
    <cellStyle name="_07930建造合同" xfId="68"/>
    <cellStyle name="_12月项目部访问及审计-德勤" xfId="69"/>
    <cellStyle name="_2005-08-31审计底稿－李" xfId="70"/>
    <cellStyle name="_2005年工作底稿" xfId="71"/>
    <cellStyle name="_2005年工作底稿_3-2-A1B-银行存款" xfId="72"/>
    <cellStyle name="_2005年工作底稿_3-2-Z17A-固定资产" xfId="73"/>
    <cellStyle name="_2005年工作底稿_Sheet1" xfId="74"/>
    <cellStyle name="_2005审计报表及附注-中国建材股份模板（房屋）" xfId="75"/>
    <cellStyle name="_2005审计报表及附注-中国建材股份模板（房屋） 2" xfId="76"/>
    <cellStyle name="_2005审计报表及附注-中国建材股份模板（房屋） 3" xfId="77"/>
    <cellStyle name="_2006年年报审计PBC表（合并）" xfId="78"/>
    <cellStyle name="_2006年年报审计PBC表-XX" xfId="79"/>
    <cellStyle name="_2006年年报审计PBC表-XXX" xfId="80"/>
    <cellStyle name="_2006年年报审计PBC表-XXX 2" xfId="81"/>
    <cellStyle name="_2006年年报审计PBC表-XXX 3" xfId="82"/>
    <cellStyle name="_2006年年报审计PBC表-福州分公司" xfId="83"/>
    <cellStyle name="_2006年年报审计PBC表-云南分公司" xfId="84"/>
    <cellStyle name="_2006年年报审计填报资料" xfId="85"/>
    <cellStyle name="_2006年年报审计填报资料 2" xfId="86"/>
    <cellStyle name="_2006年年报审计填报资料 3" xfId="87"/>
    <cellStyle name="_2007调整分录-鲁佳" xfId="88"/>
    <cellStyle name="_3-2-A22-无形资产" xfId="89"/>
    <cellStyle name="_3-2-A4-应收账款" xfId="90"/>
    <cellStyle name="_A17固定资产" xfId="91"/>
    <cellStyle name="_A23无形资产" xfId="92"/>
    <cellStyle name="_A3应收票据" xfId="93"/>
    <cellStyle name="_A6应收账款" xfId="94"/>
    <cellStyle name="_A6应收账款_3-2-A1B-银行存款" xfId="95"/>
    <cellStyle name="_A6应收账款_3-2-Z17A-固定资产" xfId="96"/>
    <cellStyle name="_A6应收账款_Sheet1" xfId="97"/>
    <cellStyle name="_B10其他未交款" xfId="98"/>
    <cellStyle name="_B13预收账款2005" xfId="99"/>
    <cellStyle name="_B6应付工资" xfId="100"/>
    <cellStyle name="_B7应付福利费" xfId="101"/>
    <cellStyle name="_B9应交税金2005" xfId="102"/>
    <cellStyle name="_Book1" xfId="103"/>
    <cellStyle name="_Book1 2" xfId="104"/>
    <cellStyle name="_Book1 3" xfId="105"/>
    <cellStyle name="_CREC(Huo" xfId="106"/>
    <cellStyle name="_D11营业外支出" xfId="107"/>
    <cellStyle name="_D12所得税2005" xfId="108"/>
    <cellStyle name="_D1主营业务收入" xfId="109"/>
    <cellStyle name="_D3主营业务税金及附加" xfId="110"/>
    <cellStyle name="_D4其他业务利润" xfId="111"/>
    <cellStyle name="_ET_STYLE_NoName_00_" xfId="112"/>
    <cellStyle name="_ET_STYLE_NoName_00__2007调整分录-鲁佳" xfId="113"/>
    <cellStyle name="_ET_STYLE_NoName_00__股份本部" xfId="114"/>
    <cellStyle name="_ET_STYLE_NoName_00__股份本部_1" xfId="115"/>
    <cellStyle name="_ET_STYLE_NoName_00__股份本部_3" xfId="116"/>
    <cellStyle name="_ET_STYLE_NoName_00__股份本部_6_股份本部_2" xfId="117"/>
    <cellStyle name="_ET_STYLE_NoName_00__股份本部_7_股份本部_3" xfId="118"/>
    <cellStyle name="_J1000-存货-ZHHG" xfId="119"/>
    <cellStyle name="_PBC审核提示" xfId="120"/>
    <cellStyle name="_PBC审核提示 2" xfId="121"/>
    <cellStyle name="_PBC审核提示 3" xfId="122"/>
    <cellStyle name="_Sheet1" xfId="123"/>
    <cellStyle name="_宝丽华房地产20051231" xfId="124"/>
    <cellStyle name="_宝丽华房地产20051231 2" xfId="125"/>
    <cellStyle name="_宝丽华房地产20051231 3" xfId="126"/>
    <cellStyle name="_保证金-企业填写部分" xfId="127"/>
    <cellStyle name="_保证金-企业填写部分 2" xfId="128"/>
    <cellStyle name="_保证金-企业填写部分 3" xfId="129"/>
    <cellStyle name="_北新房屋2004年审-刘" xfId="130"/>
    <cellStyle name="_北新房屋2004年审-刘 2" xfId="131"/>
    <cellStyle name="_北新房屋2004年审-刘 3" xfId="132"/>
    <cellStyle name="_北新股份2005年审工作底稿" xfId="133"/>
    <cellStyle name="_北新股份2005年审工作底稿 2" xfId="134"/>
    <cellStyle name="_北新股份2005年审工作底稿 3" xfId="135"/>
    <cellStyle name="_北新建材关连交易基础表051230（10－12月版）更新稿" xfId="136"/>
    <cellStyle name="_北新建材关连交易基础表051230（10－12月版）更新稿 2" xfId="137"/>
    <cellStyle name="_北新建材关连交易基础表051230（10－12月版）更新稿 3" xfId="138"/>
    <cellStyle name="_北新建材-会计报表附注模版" xfId="139"/>
    <cellStyle name="_北新建材-会计报表附注模版 2" xfId="140"/>
    <cellStyle name="_北新建材-会计报表附注模版 3" xfId="141"/>
    <cellStyle name="_北新龙之星2004年审工作底稿" xfId="142"/>
    <cellStyle name="_北新龙之星2004年审工作底稿 2" xfId="143"/>
    <cellStyle name="_北新龙之星2004年审工作底稿 3" xfId="144"/>
    <cellStyle name="_北新物流2005底稿-刘" xfId="145"/>
    <cellStyle name="_北新物流2005底稿-刘 2" xfId="146"/>
    <cellStyle name="_北新物流2005底稿-刘 3" xfId="147"/>
    <cellStyle name="_北新置换memo" xfId="148"/>
    <cellStyle name="_北新置换memo 2" xfId="149"/>
    <cellStyle name="_北新置换memo 3" xfId="150"/>
    <cellStyle name="_本部其他应收应付年审底稿--鲁佳pb" xfId="151"/>
    <cellStyle name="_存货结转测试" xfId="152"/>
    <cellStyle name="_存货结转测试 2" xfId="153"/>
    <cellStyle name="_存货结转测试 3" xfId="154"/>
    <cellStyle name="_存货数量与明细05.12" xfId="155"/>
    <cellStyle name="_存货数量与明细05.12 2" xfId="156"/>
    <cellStyle name="_存货数量与明细05.12 3" xfId="157"/>
    <cellStyle name="_动力厂2004年审工作底稿-刘" xfId="158"/>
    <cellStyle name="_动力厂2004年审工作底稿-刘 2" xfId="159"/>
    <cellStyle name="_动力厂2004年审工作底稿-刘 3" xfId="160"/>
    <cellStyle name="_分工" xfId="161"/>
    <cellStyle name="_分工 2" xfId="162"/>
    <cellStyle name="_分工 3" xfId="163"/>
    <cellStyle name="_封面" xfId="164"/>
    <cellStyle name="_工程施工项目现场审计提示" xfId="165"/>
    <cellStyle name="_工程施工项目现场审计提示 2" xfId="166"/>
    <cellStyle name="_工程施工项目现场审计提示 3" xfId="167"/>
    <cellStyle name="_公司填表" xfId="168"/>
    <cellStyle name="_公司填表-2005蔡" xfId="169"/>
    <cellStyle name="_公司填表-2005李志刚" xfId="170"/>
    <cellStyle name="_公司填表2005-吴" xfId="171"/>
    <cellStyle name="_公司填表2005-吴_3-2-A1B-银行存款" xfId="172"/>
    <cellStyle name="_公司填表2005-吴_3-2-Z17A-固定资产" xfId="173"/>
    <cellStyle name="_公司填表2005-吴_Sheet1" xfId="174"/>
    <cellStyle name="_公司填表2005-修改" xfId="175"/>
    <cellStyle name="_公司填表2005-修改_3-2-A1B-银行存款" xfId="176"/>
    <cellStyle name="_公司填表2005-修改_3-2-Z17A-固定资产" xfId="177"/>
    <cellStyle name="_公司填表2005-修改_Sheet1" xfId="178"/>
    <cellStyle name="_公司填表2005-修改后" xfId="179"/>
    <cellStyle name="_公司填表2005-修改后_3-2-A1B-银行存款" xfId="180"/>
    <cellStyle name="_公司填表2005-修改后_3-2-Z17A-固定资产" xfId="181"/>
    <cellStyle name="_公司填表2005-修改后_Sheet1" xfId="182"/>
    <cellStyle name="_公司填表-2005杨" xfId="183"/>
    <cellStyle name="_关联交易" xfId="184"/>
    <cellStyle name="_关联交易 2" xfId="185"/>
    <cellStyle name="_关联交易 3" xfId="186"/>
    <cellStyle name="_关联交易、往来统计表" xfId="187"/>
    <cellStyle name="_关联交易、往来统计表 2" xfId="188"/>
    <cellStyle name="_关联交易、往来统计表 3" xfId="189"/>
    <cellStyle name="_合并报表审计调整模板(CREC)" xfId="190"/>
    <cellStyle name="_合并公司2006年度科目明细表(定稿)" xfId="191"/>
    <cellStyle name="_建造合同-宜万指（正式版）" xfId="192"/>
    <cellStyle name="_建造合同-宜万指（正式版） 2" xfId="193"/>
    <cellStyle name="_建造合同-宜万指（正式版） 3" xfId="194"/>
    <cellStyle name="_科目核对表" xfId="195"/>
    <cellStyle name="_科目核对表 2" xfId="196"/>
    <cellStyle name="_科目核对表 3" xfId="197"/>
    <cellStyle name="_刘青分工填列信息统计" xfId="198"/>
    <cellStyle name="_刘青分工－子公司审计模板-电务" xfId="199"/>
    <cellStyle name="_刘青分工－子公司审计模板－铁达本部" xfId="200"/>
    <cellStyle name="_母PL" xfId="201"/>
    <cellStyle name="_母PL 2" xfId="202"/>
    <cellStyle name="_母PL 3" xfId="203"/>
    <cellStyle name="_母公司底稿-鲁佳" xfId="204"/>
    <cellStyle name="_年审筹资循环资料清单" xfId="205"/>
    <cellStyle name="_凭证抽查-05年" xfId="206"/>
    <cellStyle name="_人员分工备忘录" xfId="207"/>
    <cellStyle name="_人员分工备忘录 2" xfId="208"/>
    <cellStyle name="_人员分工备忘录 3" xfId="209"/>
    <cellStyle name="_审计底稿-轩" xfId="210"/>
    <cellStyle name="_审计所需资料清单－子公司" xfId="211"/>
    <cellStyle name="_审计所需资料清单－子公司 2" xfId="212"/>
    <cellStyle name="_审计所需资料清单－子公司 3" xfId="213"/>
    <cellStyle name="_审计提示模版" xfId="214"/>
    <cellStyle name="_审计提示模版-母公司部分" xfId="215"/>
    <cellStyle name="_铁鸿源－刘青分工－子公司审计模板" xfId="216"/>
    <cellStyle name="_兴华审计成本" xfId="217"/>
    <cellStyle name="_岩土长投--急0121报王占学" xfId="218"/>
    <cellStyle name="_一公司建造合同前5名" xfId="219"/>
    <cellStyle name="_一公司建造合同前5名 2" xfId="220"/>
    <cellStyle name="_一公司建造合同前5名 3" xfId="221"/>
    <cellStyle name="_一公司－刘丰收" xfId="222"/>
    <cellStyle name="_一公司－刘丰收 2" xfId="223"/>
    <cellStyle name="_一公司－刘丰收 3" xfId="224"/>
    <cellStyle name="_银行询证函统计－大表" xfId="225"/>
    <cellStyle name="_应收账款账龄--04、05" xfId="226"/>
    <cellStyle name="_长期借款－江阴" xfId="227"/>
    <cellStyle name="_长期借款－江阴 2" xfId="228"/>
    <cellStyle name="_长期借款－江阴 3" xfId="229"/>
    <cellStyle name="_子公司筹资循环－刘青" xfId="230"/>
    <cellStyle name="_子公司审计提示模版-Liufs" xfId="231"/>
    <cellStyle name="_子公司审计提示模版-Liufs 2" xfId="232"/>
    <cellStyle name="_子公司审计提示模版-Liufs 3" xfId="233"/>
    <cellStyle name="_子公司填表" xfId="234"/>
    <cellStyle name="{Comma [0]}" xfId="6"/>
    <cellStyle name="{Comma}" xfId="7"/>
    <cellStyle name="{Date}" xfId="8"/>
    <cellStyle name="{Month}" xfId="9"/>
    <cellStyle name="{Percent}" xfId="10"/>
    <cellStyle name="{Thousand [0]}" xfId="11"/>
    <cellStyle name="{Thousand}" xfId="12"/>
    <cellStyle name="{Z'0000(1 dec)}" xfId="13"/>
    <cellStyle name="{Z'0000(4 dec)}" xfId="14"/>
    <cellStyle name="0%" xfId="235"/>
    <cellStyle name="0,0_x000d__x000a_NA_x000d__x000a_" xfId="236"/>
    <cellStyle name="0.0%" xfId="237"/>
    <cellStyle name="0.00%" xfId="238"/>
    <cellStyle name="00" xfId="239"/>
    <cellStyle name="20% - Accent1" xfId="240"/>
    <cellStyle name="20% - Accent2" xfId="241"/>
    <cellStyle name="20% - Accent3" xfId="242"/>
    <cellStyle name="20% - Accent4" xfId="243"/>
    <cellStyle name="20% - Accent5" xfId="244"/>
    <cellStyle name="20% - Accent6" xfId="245"/>
    <cellStyle name="40% - Accent1" xfId="246"/>
    <cellStyle name="40% - Accent2" xfId="247"/>
    <cellStyle name="40% - Accent3" xfId="248"/>
    <cellStyle name="40% - Accent4" xfId="249"/>
    <cellStyle name="40% - Accent5" xfId="250"/>
    <cellStyle name="40% - Accent6" xfId="251"/>
    <cellStyle name="60% - Accent1" xfId="252"/>
    <cellStyle name="60% - Accent2" xfId="253"/>
    <cellStyle name="60% - Accent3" xfId="254"/>
    <cellStyle name="60% - Accent4" xfId="255"/>
    <cellStyle name="60% - Accent5" xfId="256"/>
    <cellStyle name="60% - Accent6" xfId="257"/>
    <cellStyle name="AA FRAME" xfId="258"/>
    <cellStyle name="AA FRAME 2" xfId="259"/>
    <cellStyle name="AA FRAME 2 2" xfId="260"/>
    <cellStyle name="AA HEADING" xfId="261"/>
    <cellStyle name="AA INITIALS" xfId="262"/>
    <cellStyle name="AA INPUT" xfId="263"/>
    <cellStyle name="AA LOCK" xfId="264"/>
    <cellStyle name="AA MGR NAME" xfId="265"/>
    <cellStyle name="AA NORMAL" xfId="266"/>
    <cellStyle name="AA NUMBER" xfId="267"/>
    <cellStyle name="AA NUMBER2" xfId="268"/>
    <cellStyle name="AA QUESTION" xfId="269"/>
    <cellStyle name="AA SHADE" xfId="270"/>
    <cellStyle name="Accent1" xfId="271"/>
    <cellStyle name="Accent1 - 20%" xfId="272"/>
    <cellStyle name="Accent1 - 40%" xfId="273"/>
    <cellStyle name="Accent1 - 60%" xfId="274"/>
    <cellStyle name="Accent2" xfId="275"/>
    <cellStyle name="Accent2 - 20%" xfId="276"/>
    <cellStyle name="Accent2 - 40%" xfId="277"/>
    <cellStyle name="Accent2 - 60%" xfId="278"/>
    <cellStyle name="Accent3" xfId="279"/>
    <cellStyle name="Accent3 - 20%" xfId="280"/>
    <cellStyle name="Accent3 - 40%" xfId="281"/>
    <cellStyle name="Accent3 - 60%" xfId="282"/>
    <cellStyle name="Accent4" xfId="283"/>
    <cellStyle name="Accent4 - 20%" xfId="284"/>
    <cellStyle name="Accent4 - 40%" xfId="285"/>
    <cellStyle name="Accent4 - 60%" xfId="286"/>
    <cellStyle name="Accent5" xfId="287"/>
    <cellStyle name="Accent5 - 20%" xfId="288"/>
    <cellStyle name="Accent5 - 40%" xfId="289"/>
    <cellStyle name="Accent5 - 60%" xfId="290"/>
    <cellStyle name="Accent6" xfId="291"/>
    <cellStyle name="Accent6 - 20%" xfId="292"/>
    <cellStyle name="Accent6 - 40%" xfId="293"/>
    <cellStyle name="Accent6 - 60%" xfId="294"/>
    <cellStyle name="args.style" xfId="295"/>
    <cellStyle name="Bad" xfId="296"/>
    <cellStyle name="Black" xfId="15"/>
    <cellStyle name="Border" xfId="16"/>
    <cellStyle name="Border 2" xfId="297"/>
    <cellStyle name="Border 2 2" xfId="298"/>
    <cellStyle name="Calc Currency (0)" xfId="299"/>
    <cellStyle name="Calc Currency (0) 2" xfId="300"/>
    <cellStyle name="Calc Currency (2)" xfId="301"/>
    <cellStyle name="Calc Percent (0)" xfId="302"/>
    <cellStyle name="Calc Percent (1)" xfId="303"/>
    <cellStyle name="Calc Percent (2)" xfId="304"/>
    <cellStyle name="Calc Units (0)" xfId="305"/>
    <cellStyle name="Calc Units (1)" xfId="306"/>
    <cellStyle name="Calc Units (2)" xfId="307"/>
    <cellStyle name="Calculation" xfId="308"/>
    <cellStyle name="category" xfId="309"/>
    <cellStyle name="Check Cell" xfId="310"/>
    <cellStyle name="Col Heads" xfId="311"/>
    <cellStyle name="Column_Title" xfId="312"/>
    <cellStyle name="Comma  - Style1" xfId="313"/>
    <cellStyle name="Comma  - Style2" xfId="314"/>
    <cellStyle name="Comma  - Style3" xfId="315"/>
    <cellStyle name="Comma  - Style4" xfId="316"/>
    <cellStyle name="Comma  - Style5" xfId="317"/>
    <cellStyle name="Comma  - Style6" xfId="318"/>
    <cellStyle name="Comma  - Style7" xfId="319"/>
    <cellStyle name="Comma  - Style8" xfId="320"/>
    <cellStyle name="Comma [0]" xfId="321"/>
    <cellStyle name="Comma [00]" xfId="322"/>
    <cellStyle name="Comma 28" xfId="323"/>
    <cellStyle name="Comma 28 2" xfId="324"/>
    <cellStyle name="comma zerodec" xfId="325"/>
    <cellStyle name="Comma,0" xfId="326"/>
    <cellStyle name="Comma,1" xfId="327"/>
    <cellStyle name="Comma,2" xfId="328"/>
    <cellStyle name="Comma_ rislugp" xfId="329"/>
    <cellStyle name="Copied" xfId="330"/>
    <cellStyle name="COST1" xfId="331"/>
    <cellStyle name="Currency [0]" xfId="332"/>
    <cellStyle name="Currency [00]" xfId="333"/>
    <cellStyle name="Currency,0" xfId="334"/>
    <cellStyle name="Currency,2" xfId="335"/>
    <cellStyle name="Currency_ rislugp" xfId="336"/>
    <cellStyle name="Currency1" xfId="337"/>
    <cellStyle name="Date" xfId="338"/>
    <cellStyle name="Date 2" xfId="339"/>
    <cellStyle name="Date Short" xfId="340"/>
    <cellStyle name="Date_ A1-货币资金审定表" xfId="341"/>
    <cellStyle name="Dezimal [0]_laroux" xfId="17"/>
    <cellStyle name="Dezimal_laroux" xfId="18"/>
    <cellStyle name="Dollar (zero dec)" xfId="342"/>
    <cellStyle name="E&amp;Y House" xfId="343"/>
    <cellStyle name="Enter Currency (0)" xfId="344"/>
    <cellStyle name="Enter Currency (2)" xfId="345"/>
    <cellStyle name="Enter Units (0)" xfId="346"/>
    <cellStyle name="Enter Units (1)" xfId="347"/>
    <cellStyle name="Enter Units (2)" xfId="348"/>
    <cellStyle name="Entered" xfId="349"/>
    <cellStyle name="entry" xfId="350"/>
    <cellStyle name="entry 2" xfId="351"/>
    <cellStyle name="entry 3" xfId="352"/>
    <cellStyle name="entry box" xfId="353"/>
    <cellStyle name="entry box 2" xfId="354"/>
    <cellStyle name="entry box 2 2" xfId="355"/>
    <cellStyle name="entry box 2 2 2" xfId="356"/>
    <cellStyle name="entry box 3" xfId="357"/>
    <cellStyle name="entry box 4" xfId="358"/>
    <cellStyle name="entry box 4 2" xfId="359"/>
    <cellStyle name="Euro" xfId="19"/>
    <cellStyle name="Explanatory Text" xfId="360"/>
    <cellStyle name="F2" xfId="361"/>
    <cellStyle name="F3" xfId="362"/>
    <cellStyle name="F4" xfId="363"/>
    <cellStyle name="F5" xfId="364"/>
    <cellStyle name="F6" xfId="365"/>
    <cellStyle name="F7" xfId="366"/>
    <cellStyle name="F8" xfId="367"/>
    <cellStyle name="Fixed" xfId="368"/>
    <cellStyle name="Followed Hyperlink_AheadBehind.xls Chart 23" xfId="20"/>
    <cellStyle name="Good" xfId="369"/>
    <cellStyle name="Grey" xfId="21"/>
    <cellStyle name="HEADER" xfId="370"/>
    <cellStyle name="Header1" xfId="371"/>
    <cellStyle name="Header1 2" xfId="372"/>
    <cellStyle name="Header1 3" xfId="373"/>
    <cellStyle name="Header2" xfId="374"/>
    <cellStyle name="Header2 2" xfId="375"/>
    <cellStyle name="Header2 3" xfId="376"/>
    <cellStyle name="Heading" xfId="377"/>
    <cellStyle name="Heading 1" xfId="378"/>
    <cellStyle name="Heading 2" xfId="379"/>
    <cellStyle name="Heading 3" xfId="380"/>
    <cellStyle name="Heading 4" xfId="381"/>
    <cellStyle name="Heading1" xfId="382"/>
    <cellStyle name="Heading2" xfId="383"/>
    <cellStyle name="Hyperlink_AheadBehind.xls Chart 23" xfId="22"/>
    <cellStyle name="Input" xfId="384"/>
    <cellStyle name="Input [yellow]" xfId="23"/>
    <cellStyle name="Input [yellow] 2" xfId="385"/>
    <cellStyle name="Input [yellow] 2 2" xfId="386"/>
    <cellStyle name="Input Cells" xfId="387"/>
    <cellStyle name="Input Cells 2" xfId="388"/>
    <cellStyle name="left" xfId="389"/>
    <cellStyle name="left 2" xfId="390"/>
    <cellStyle name="left 3" xfId="391"/>
    <cellStyle name="Link Currency (0)" xfId="392"/>
    <cellStyle name="Link Currency (2)" xfId="393"/>
    <cellStyle name="Link Units (0)" xfId="394"/>
    <cellStyle name="Link Units (1)" xfId="395"/>
    <cellStyle name="Link Units (2)" xfId="396"/>
    <cellStyle name="Linked Cell" xfId="397"/>
    <cellStyle name="Linked Cells" xfId="398"/>
    <cellStyle name="Linked Cells 2" xfId="399"/>
    <cellStyle name="Millares [0]_laroux" xfId="400"/>
    <cellStyle name="Millares_laroux" xfId="401"/>
    <cellStyle name="Milliers [0]_!!!GO" xfId="402"/>
    <cellStyle name="Milliers_!!!GO" xfId="403"/>
    <cellStyle name="Model" xfId="404"/>
    <cellStyle name="Moneda [0]_laroux" xfId="405"/>
    <cellStyle name="Moneda_laroux" xfId="406"/>
    <cellStyle name="Monétaire [0]_!!!GO" xfId="407"/>
    <cellStyle name="Monétaire_!!!GO" xfId="408"/>
    <cellStyle name="Mon閠aire [0]_laroux" xfId="409"/>
    <cellStyle name="Mon閠aire_laroux" xfId="410"/>
    <cellStyle name="Neutral" xfId="411"/>
    <cellStyle name="New Times Roman" xfId="412"/>
    <cellStyle name="no dec" xfId="413"/>
    <cellStyle name="Non défini" xfId="24"/>
    <cellStyle name="Normal - Style1" xfId="25"/>
    <cellStyle name="Normal - Style1 2" xfId="414"/>
    <cellStyle name="Normal 2" xfId="415"/>
    <cellStyle name="Normal 2 2" xfId="416"/>
    <cellStyle name="Normal 21" xfId="417"/>
    <cellStyle name="Normal 21 2" xfId="418"/>
    <cellStyle name="Normal 3 2" xfId="419"/>
    <cellStyle name="Normal_ rislugp" xfId="420"/>
    <cellStyle name="Normalny_Arkusz1" xfId="421"/>
    <cellStyle name="Note" xfId="422"/>
    <cellStyle name="Œ…‹æØ‚è [0.00]_Region Orders (2)" xfId="423"/>
    <cellStyle name="Œ…‹æØ‚è_Region Orders (2)" xfId="424"/>
    <cellStyle name="Output" xfId="425"/>
    <cellStyle name="per.style" xfId="426"/>
    <cellStyle name="Percent (0)" xfId="427"/>
    <cellStyle name="Percent [0]" xfId="428"/>
    <cellStyle name="Percent [00]" xfId="429"/>
    <cellStyle name="Percent [2]" xfId="26"/>
    <cellStyle name="Percent_!!!GO" xfId="430"/>
    <cellStyle name="Pourcentage_pldt" xfId="431"/>
    <cellStyle name="Prefilled" xfId="432"/>
    <cellStyle name="Prefilled 2" xfId="433"/>
    <cellStyle name="Prefilled 2 2" xfId="434"/>
    <cellStyle name="Prefilled 2 2 2" xfId="435"/>
    <cellStyle name="Prefilled 3" xfId="436"/>
    <cellStyle name="Prefilled 4" xfId="437"/>
    <cellStyle name="Prefilled 4 2" xfId="438"/>
    <cellStyle name="PrePop Currency (0)" xfId="439"/>
    <cellStyle name="PrePop Currency (2)" xfId="440"/>
    <cellStyle name="PrePop Units (0)" xfId="441"/>
    <cellStyle name="PrePop Units (1)" xfId="442"/>
    <cellStyle name="PrePop Units (2)" xfId="443"/>
    <cellStyle name="price" xfId="444"/>
    <cellStyle name="pricing" xfId="445"/>
    <cellStyle name="pricing 2" xfId="446"/>
    <cellStyle name="PSChar" xfId="447"/>
    <cellStyle name="PSHeading" xfId="448"/>
    <cellStyle name="Red" xfId="27"/>
    <cellStyle name="revised" xfId="449"/>
    <cellStyle name="RevList" xfId="450"/>
    <cellStyle name="RevList 2" xfId="451"/>
    <cellStyle name="row_def_array" xfId="452"/>
    <cellStyle name="S4" xfId="453"/>
    <cellStyle name="S5" xfId="454"/>
    <cellStyle name="SAPBEXaggData" xfId="455"/>
    <cellStyle name="SAPBEXaggDataEmph" xfId="456"/>
    <cellStyle name="SAPBEXaggItem" xfId="457"/>
    <cellStyle name="SAPBEXaggItemX" xfId="458"/>
    <cellStyle name="SAPBEXchaText" xfId="459"/>
    <cellStyle name="SAPBEXexcBad7" xfId="460"/>
    <cellStyle name="SAPBEXexcBad8" xfId="461"/>
    <cellStyle name="SAPBEXexcBad9" xfId="462"/>
    <cellStyle name="SAPBEXexcCritical4" xfId="463"/>
    <cellStyle name="SAPBEXexcCritical5" xfId="464"/>
    <cellStyle name="SAPBEXexcCritical6" xfId="465"/>
    <cellStyle name="SAPBEXexcGood1" xfId="466"/>
    <cellStyle name="SAPBEXexcGood2" xfId="467"/>
    <cellStyle name="SAPBEXexcGood3" xfId="468"/>
    <cellStyle name="SAPBEXfilterDrill" xfId="469"/>
    <cellStyle name="SAPBEXfilterItem" xfId="470"/>
    <cellStyle name="SAPBEXfilterText" xfId="471"/>
    <cellStyle name="SAPBEXformats" xfId="472"/>
    <cellStyle name="SAPBEXheaderItem" xfId="473"/>
    <cellStyle name="SAPBEXheaderText" xfId="474"/>
    <cellStyle name="SAPBEXHLevel0" xfId="475"/>
    <cellStyle name="SAPBEXHLevel0X" xfId="476"/>
    <cellStyle name="SAPBEXHLevel1" xfId="477"/>
    <cellStyle name="SAPBEXHLevel1X" xfId="478"/>
    <cellStyle name="SAPBEXHLevel2" xfId="479"/>
    <cellStyle name="SAPBEXHLevel2X" xfId="480"/>
    <cellStyle name="SAPBEXHLevel3" xfId="481"/>
    <cellStyle name="SAPBEXHLevel3X" xfId="482"/>
    <cellStyle name="SAPBEXresData" xfId="483"/>
    <cellStyle name="SAPBEXresDataEmph" xfId="484"/>
    <cellStyle name="SAPBEXresItem" xfId="485"/>
    <cellStyle name="SAPBEXresItemX" xfId="486"/>
    <cellStyle name="SAPBEXstdData" xfId="487"/>
    <cellStyle name="SAPBEXstdDataEmph" xfId="488"/>
    <cellStyle name="SAPBEXstdItem" xfId="489"/>
    <cellStyle name="SAPBEXstdItemX" xfId="490"/>
    <cellStyle name="SAPBEXtitle" xfId="491"/>
    <cellStyle name="SAPBEXundefined" xfId="492"/>
    <cellStyle name="section" xfId="493"/>
    <cellStyle name="section 2" xfId="494"/>
    <cellStyle name="section 3" xfId="495"/>
    <cellStyle name="SOR" xfId="496"/>
    <cellStyle name="Standard_AREAS" xfId="497"/>
    <cellStyle name="style" xfId="498"/>
    <cellStyle name="style 2" xfId="499"/>
    <cellStyle name="style 2 2" xfId="500"/>
    <cellStyle name="style 2 2 2" xfId="501"/>
    <cellStyle name="style 3" xfId="502"/>
    <cellStyle name="style 4" xfId="503"/>
    <cellStyle name="style 4 2" xfId="504"/>
    <cellStyle name="style1" xfId="505"/>
    <cellStyle name="style1 2" xfId="506"/>
    <cellStyle name="style1 3" xfId="507"/>
    <cellStyle name="style2" xfId="508"/>
    <cellStyle name="style2 2" xfId="509"/>
    <cellStyle name="style2 3" xfId="510"/>
    <cellStyle name="subhead" xfId="511"/>
    <cellStyle name="Subtotal" xfId="512"/>
    <cellStyle name="Text Indent A" xfId="513"/>
    <cellStyle name="Text Indent B" xfId="514"/>
    <cellStyle name="Text Indent C" xfId="515"/>
    <cellStyle name="Tickmark" xfId="516"/>
    <cellStyle name="Tickmark 2" xfId="517"/>
    <cellStyle name="Tickmark 3" xfId="518"/>
    <cellStyle name="title" xfId="519"/>
    <cellStyle name="title 2" xfId="520"/>
    <cellStyle name="title 3" xfId="521"/>
    <cellStyle name="Total" xfId="522"/>
    <cellStyle name="Tusental (0)_pldt" xfId="523"/>
    <cellStyle name="Tusental_pldt" xfId="524"/>
    <cellStyle name="Valuta (0)_pldt" xfId="525"/>
    <cellStyle name="Valuta_pldt" xfId="526"/>
    <cellStyle name="Warning Text" xfId="527"/>
    <cellStyle name="wrap" xfId="528"/>
    <cellStyle name="wrap 2" xfId="529"/>
    <cellStyle name="wrap 3" xfId="530"/>
    <cellStyle name="パーセント_laroux" xfId="531"/>
    <cellStyle name="_PLDT" xfId="532"/>
    <cellStyle name="_laroux" xfId="533"/>
    <cellStyle name="だ[0]_PLDT" xfId="534"/>
    <cellStyle name="だ_PLDT" xfId="535"/>
    <cellStyle name="だ[0]_Total (2)" xfId="536"/>
    <cellStyle name="だ_laroux" xfId="537"/>
    <cellStyle name="百分比" xfId="2" builtinId="5"/>
    <cellStyle name="百分比 2" xfId="538"/>
    <cellStyle name="百分比 2 2" xfId="539"/>
    <cellStyle name="百分比 2 3" xfId="540"/>
    <cellStyle name="百分比 3" xfId="541"/>
    <cellStyle name="百分比 4" xfId="542"/>
    <cellStyle name="百分比 5" xfId="790"/>
    <cellStyle name="捠壿 [0.00]_PRODUCT DETAIL Q1" xfId="543"/>
    <cellStyle name="捠壿_PRODUCT DETAIL Q1" xfId="544"/>
    <cellStyle name="標準_１１月価格表" xfId="545"/>
    <cellStyle name="表标题" xfId="546"/>
    <cellStyle name="差_10存货" xfId="547"/>
    <cellStyle name="差_19-无形资产（空白模板）" xfId="548"/>
    <cellStyle name="差_2-交易性金融资产（空白模板）" xfId="549"/>
    <cellStyle name="差_2应收账款" xfId="550"/>
    <cellStyle name="差_3-2 进一步审计程序-采购与付款循环" xfId="551"/>
    <cellStyle name="差_3-3 进一步审计程序-存货与生产循环" xfId="552"/>
    <cellStyle name="差_37-长期借款（空白模板）" xfId="553"/>
    <cellStyle name="差_49-营业收入（空白模板）" xfId="554"/>
    <cellStyle name="差_4-应收账款（空白模板）" xfId="555"/>
    <cellStyle name="差_50-营业成本（空白模板）" xfId="556"/>
    <cellStyle name="差_51-营业税金及附加（空白模板）" xfId="557"/>
    <cellStyle name="差_54-财务费用（空白模板）" xfId="558"/>
    <cellStyle name="差_55-资产减值损失（空白模板）" xfId="559"/>
    <cellStyle name="差_9管理费用" xfId="560"/>
    <cellStyle name="差_Book2" xfId="561"/>
    <cellStyle name="差_dxn底稿目录" xfId="562"/>
    <cellStyle name="差_Sheet1" xfId="563"/>
    <cellStyle name="差_StartUp" xfId="564"/>
    <cellStyle name="差_T1000-主营业务收入-LJCH" xfId="565"/>
    <cellStyle name="差_Z14-长期应收款（函证汇总表样本）" xfId="566"/>
    <cellStyle name="差_ZA0货币资金审定表 " xfId="567"/>
    <cellStyle name="差_财务费用" xfId="568"/>
    <cellStyle name="差_程序表模版" xfId="569"/>
    <cellStyle name="差_存货" xfId="570"/>
    <cellStyle name="差_大信底稿目录" xfId="571"/>
    <cellStyle name="差_底稿设置宏" xfId="572"/>
    <cellStyle name="差_管理费用" xfId="573"/>
    <cellStyle name="差_货币资金" xfId="574"/>
    <cellStyle name="差_货币资金 天职" xfId="575"/>
    <cellStyle name="差_货币资金 岳华" xfId="576"/>
    <cellStyle name="差_其他应付款" xfId="577"/>
    <cellStyle name="差_其他应付款—YH" xfId="578"/>
    <cellStyle name="差_未分配利润" xfId="579"/>
    <cellStyle name="差_无形资产" xfId="580"/>
    <cellStyle name="差_应付账款" xfId="581"/>
    <cellStyle name="差_应付职工薪酬" xfId="582"/>
    <cellStyle name="差_应收账款" xfId="583"/>
    <cellStyle name="差_盈余公积" xfId="584"/>
    <cellStyle name="差_长期应付款" xfId="585"/>
    <cellStyle name="差_账项明细表" xfId="586"/>
    <cellStyle name="差_资本公积" xfId="587"/>
    <cellStyle name="差_资产负债标准底稿" xfId="588"/>
    <cellStyle name="差_资产负债类底稿模版" xfId="589"/>
    <cellStyle name="差_子公司附注汇总(房开公司)" xfId="590"/>
    <cellStyle name="常规" xfId="0" builtinId="0"/>
    <cellStyle name="常规 10" xfId="591"/>
    <cellStyle name="常规 10 2" xfId="592"/>
    <cellStyle name="常规 10 3" xfId="593"/>
    <cellStyle name="常规 10 4" xfId="594"/>
    <cellStyle name="常规 10 5" xfId="595"/>
    <cellStyle name="常规 11" xfId="596"/>
    <cellStyle name="常规 11 2" xfId="597"/>
    <cellStyle name="常规 11 3" xfId="598"/>
    <cellStyle name="常规 11 4" xfId="599"/>
    <cellStyle name="常规 11 5" xfId="799"/>
    <cellStyle name="常规 12 2" xfId="600"/>
    <cellStyle name="常规 12 3" xfId="601"/>
    <cellStyle name="常规 12 4" xfId="602"/>
    <cellStyle name="常规 13" xfId="797"/>
    <cellStyle name="常规 13 2" xfId="603"/>
    <cellStyle name="常规 13 3" xfId="604"/>
    <cellStyle name="常规 13 4" xfId="605"/>
    <cellStyle name="常规 2" xfId="28"/>
    <cellStyle name="常规 2 10" xfId="46"/>
    <cellStyle name="常规 2 2" xfId="37"/>
    <cellStyle name="常规 2 2 2" xfId="606"/>
    <cellStyle name="常规 2 2 2 2" xfId="607"/>
    <cellStyle name="常规 2 2 3" xfId="608"/>
    <cellStyle name="常规 2 2 3 2" xfId="609"/>
    <cellStyle name="常规 2 2 4" xfId="610"/>
    <cellStyle name="常规 2 2 5" xfId="611"/>
    <cellStyle name="常规 2 3" xfId="612"/>
    <cellStyle name="常规 2 3 2" xfId="613"/>
    <cellStyle name="常规 2 3 3" xfId="614"/>
    <cellStyle name="常规 2 4" xfId="615"/>
    <cellStyle name="常规 2 4 2" xfId="616"/>
    <cellStyle name="常规 2 5" xfId="617"/>
    <cellStyle name="常规 2 6" xfId="618"/>
    <cellStyle name="常规 2 7" xfId="619"/>
    <cellStyle name="常规 2 8" xfId="620"/>
    <cellStyle name="常规 2 9" xfId="621"/>
    <cellStyle name="常规 2_10存货" xfId="622"/>
    <cellStyle name="常规 3" xfId="29"/>
    <cellStyle name="常规 3 2" xfId="623"/>
    <cellStyle name="常规 3 2 2" xfId="624"/>
    <cellStyle name="常规 3 2 3" xfId="41"/>
    <cellStyle name="常规 3 2 4" xfId="625"/>
    <cellStyle name="常规 3 3" xfId="38"/>
    <cellStyle name="常规 3 3 2" xfId="626"/>
    <cellStyle name="常规 3 3 3" xfId="44"/>
    <cellStyle name="常规 3 4" xfId="627"/>
    <cellStyle name="常规 3 4 2" xfId="628"/>
    <cellStyle name="常规 3_10存货" xfId="629"/>
    <cellStyle name="常规 4" xfId="35"/>
    <cellStyle name="常规 4 2" xfId="630"/>
    <cellStyle name="常规 4 2 2" xfId="47"/>
    <cellStyle name="常规 4 3" xfId="631"/>
    <cellStyle name="常规 4 3 2" xfId="632"/>
    <cellStyle name="常规 4 4" xfId="633"/>
    <cellStyle name="常规 4 5" xfId="634"/>
    <cellStyle name="常规 5" xfId="36"/>
    <cellStyle name="常规 5 2" xfId="635"/>
    <cellStyle name="常规 5 3" xfId="636"/>
    <cellStyle name="常规 5 3 2" xfId="637"/>
    <cellStyle name="常规 5 4" xfId="638"/>
    <cellStyle name="常规 5 5" xfId="639"/>
    <cellStyle name="常规 6" xfId="40"/>
    <cellStyle name="常规 6 2" xfId="640"/>
    <cellStyle name="常规 6 2 2" xfId="641"/>
    <cellStyle name="常规 6 2 3" xfId="642"/>
    <cellStyle name="常规 6 2 4" xfId="643"/>
    <cellStyle name="常规 6 3" xfId="644"/>
    <cellStyle name="常规 6 3 2" xfId="645"/>
    <cellStyle name="常规 6 3 2 2" xfId="646"/>
    <cellStyle name="常规 6 3 3" xfId="647"/>
    <cellStyle name="常规 6 3 4" xfId="648"/>
    <cellStyle name="常规 6 4" xfId="649"/>
    <cellStyle name="常规 6 4 2" xfId="650"/>
    <cellStyle name="常规 6 4 3" xfId="651"/>
    <cellStyle name="常规 6 5" xfId="652"/>
    <cellStyle name="常规 6 5 2" xfId="653"/>
    <cellStyle name="常规 6 6" xfId="654"/>
    <cellStyle name="常规 6 7" xfId="655"/>
    <cellStyle name="常规 7" xfId="42"/>
    <cellStyle name="常规 7 2" xfId="656"/>
    <cellStyle name="常规 7 2 2" xfId="657"/>
    <cellStyle name="常规 7 2 3" xfId="658"/>
    <cellStyle name="常规 7 3" xfId="659"/>
    <cellStyle name="常规 7 3 2" xfId="660"/>
    <cellStyle name="常规 7 4" xfId="661"/>
    <cellStyle name="常规 7 5" xfId="662"/>
    <cellStyle name="常规 7 6" xfId="791"/>
    <cellStyle name="常规 7 7" xfId="794"/>
    <cellStyle name="常规 8" xfId="663"/>
    <cellStyle name="常规 8 2" xfId="664"/>
    <cellStyle name="常规 8 3" xfId="665"/>
    <cellStyle name="常规 8 4" xfId="666"/>
    <cellStyle name="常规 9" xfId="667"/>
    <cellStyle name="常规 9 2" xfId="668"/>
    <cellStyle name="常规 9 3" xfId="669"/>
    <cellStyle name="常规 9 4" xfId="670"/>
    <cellStyle name="常规 9 5" xfId="671"/>
    <cellStyle name="常规_Book1" xfId="30"/>
    <cellStyle name="常规_c-资产类" xfId="3"/>
    <cellStyle name="常规_c-资产类 2" xfId="789"/>
    <cellStyle name="常规_SA 营业收入" xfId="793"/>
    <cellStyle name="常规_sheet" xfId="33"/>
    <cellStyle name="常规_进一步审计程序--销售与收款循环" xfId="32"/>
    <cellStyle name="常规_进一步审计程序--销售与收款循环 2" xfId="788"/>
    <cellStyle name="常规_进一步审计程序--销售与收款循环 3" xfId="795"/>
    <cellStyle name="常规_通用表" xfId="796"/>
    <cellStyle name="常规_新审定表" xfId="4"/>
    <cellStyle name="常规_新审定表 2" xfId="43"/>
    <cellStyle name="常规_制造费用" xfId="31"/>
    <cellStyle name="超级链接_A4应收账款" xfId="672"/>
    <cellStyle name="超链接" xfId="34" builtinId="8"/>
    <cellStyle name="超链接 2" xfId="673"/>
    <cellStyle name="超链接 2 2" xfId="674"/>
    <cellStyle name="超链接 2 2 2" xfId="792"/>
    <cellStyle name="超链接 2 3" xfId="675"/>
    <cellStyle name="超链接 3" xfId="676"/>
    <cellStyle name="分级显示行_1_4附件二凯旋评估表" xfId="677"/>
    <cellStyle name="好_10存货" xfId="678"/>
    <cellStyle name="好_19-无形资产（空白模板）" xfId="679"/>
    <cellStyle name="好_1财务费用" xfId="680"/>
    <cellStyle name="好_1营业收入" xfId="681"/>
    <cellStyle name="好_1资产减值损失" xfId="682"/>
    <cellStyle name="好_2-交易性金融资产（空白模板）" xfId="683"/>
    <cellStyle name="好_2应收账款" xfId="684"/>
    <cellStyle name="好_3-2 进一步审计程序-采购与付款循环" xfId="685"/>
    <cellStyle name="好_3-3 进一步审计程序-存货与生产循环" xfId="686"/>
    <cellStyle name="好_37-长期借款（空白模板）" xfId="687"/>
    <cellStyle name="好_49-营业收入（空白模板）" xfId="688"/>
    <cellStyle name="好_4-应收账款（空白模板）" xfId="689"/>
    <cellStyle name="好_50-营业成本（空白模板）" xfId="690"/>
    <cellStyle name="好_51-营业税金及附加（空白模板）" xfId="691"/>
    <cellStyle name="好_54-财务费用（空白模板）" xfId="692"/>
    <cellStyle name="好_55-资产减值损失（空白模板）" xfId="693"/>
    <cellStyle name="好_9管理费用" xfId="694"/>
    <cellStyle name="好_Book2" xfId="695"/>
    <cellStyle name="好_Sheet1" xfId="696"/>
    <cellStyle name="好_StartUp" xfId="697"/>
    <cellStyle name="好_T1000-主营业务收入" xfId="698"/>
    <cellStyle name="好_Z14-长期应收款（函证汇总表样本）" xfId="699"/>
    <cellStyle name="好_ZA0货币资金审定表 " xfId="700"/>
    <cellStyle name="好_财务费用" xfId="701"/>
    <cellStyle name="好_程序表模版" xfId="702"/>
    <cellStyle name="好_存货" xfId="703"/>
    <cellStyle name="好_存货 - 复制" xfId="704"/>
    <cellStyle name="好_大信底稿目录" xfId="705"/>
    <cellStyle name="好_底稿设置宏" xfId="706"/>
    <cellStyle name="好_底稿设置宏_大信底稿目录" xfId="707"/>
    <cellStyle name="好_管理费用" xfId="708"/>
    <cellStyle name="好_货币资金" xfId="709"/>
    <cellStyle name="好_货币资金 天职" xfId="710"/>
    <cellStyle name="好_货币资金 岳华" xfId="711"/>
    <cellStyle name="好_其他应付款" xfId="712"/>
    <cellStyle name="好_其他应付款—YH" xfId="713"/>
    <cellStyle name="好_其他应收款" xfId="714"/>
    <cellStyle name="好_实收资本(股本)" xfId="715"/>
    <cellStyle name="好_未分配利润" xfId="716"/>
    <cellStyle name="好_无形资产" xfId="717"/>
    <cellStyle name="好_银行函证结果汇总表" xfId="718"/>
    <cellStyle name="好_应付债券" xfId="719"/>
    <cellStyle name="好_应付账款" xfId="720"/>
    <cellStyle name="好_应付职工薪酬" xfId="721"/>
    <cellStyle name="好_应收利息" xfId="722"/>
    <cellStyle name="好_应收账款" xfId="723"/>
    <cellStyle name="好_盈余公积" xfId="724"/>
    <cellStyle name="好_营业收入" xfId="725"/>
    <cellStyle name="好_预收款项" xfId="726"/>
    <cellStyle name="好_长期借款—TZ" xfId="727"/>
    <cellStyle name="好_长期应付款" xfId="728"/>
    <cellStyle name="好_账项明细表" xfId="729"/>
    <cellStyle name="好_资本公积" xfId="730"/>
    <cellStyle name="好_资产负债标准底稿" xfId="731"/>
    <cellStyle name="好_资产负债标准底稿_大信底稿目录" xfId="732"/>
    <cellStyle name="好_资产负债类底稿模版" xfId="733"/>
    <cellStyle name="好_资产负债类底稿模版_大信底稿目录" xfId="734"/>
    <cellStyle name="好_资产减值损失" xfId="735"/>
    <cellStyle name="好_子公司附注汇总(房开公司)" xfId="736"/>
    <cellStyle name="桁区切り [0.00]_１１月価格表" xfId="737"/>
    <cellStyle name="桁区切り_１１月価格表" xfId="738"/>
    <cellStyle name="貨幣 [0]_SGV" xfId="739"/>
    <cellStyle name="貨幣_SGV" xfId="740"/>
    <cellStyle name="霓付 [0]_1202" xfId="741"/>
    <cellStyle name="霓付_1202" xfId="742"/>
    <cellStyle name="妞" xfId="743"/>
    <cellStyle name="欧" xfId="744"/>
    <cellStyle name="烹拳 [0]_1202" xfId="745"/>
    <cellStyle name="烹拳_1202" xfId="746"/>
    <cellStyle name="砯刽 [0]_PLDT" xfId="747"/>
    <cellStyle name="砯刽_PLDT" xfId="748"/>
    <cellStyle name="普通_ 白土" xfId="749"/>
    <cellStyle name="千分位[0]_ 白土" xfId="750"/>
    <cellStyle name="千分位_ 白土" xfId="751"/>
    <cellStyle name="千位[0]_ 应交税金审定表" xfId="752"/>
    <cellStyle name="千位_ 应交税金审定表" xfId="753"/>
    <cellStyle name="千位分隔" xfId="1" builtinId="3"/>
    <cellStyle name="千位分隔 2" xfId="754"/>
    <cellStyle name="千位分隔 2 2" xfId="755"/>
    <cellStyle name="千位分隔 2 3" xfId="756"/>
    <cellStyle name="千位分隔 2 4" xfId="39"/>
    <cellStyle name="千位分隔 2 4 2" xfId="45"/>
    <cellStyle name="千位分隔 2 5" xfId="757"/>
    <cellStyle name="千位分隔 3" xfId="758"/>
    <cellStyle name="千位分隔 3 2" xfId="759"/>
    <cellStyle name="千位分隔 3 3" xfId="760"/>
    <cellStyle name="千位分隔 3 4" xfId="761"/>
    <cellStyle name="千位分隔 4" xfId="762"/>
    <cellStyle name="千位分隔 5" xfId="763"/>
    <cellStyle name="千位分隔 6" xfId="798"/>
    <cellStyle name="千位分隔[0] 2" xfId="764"/>
    <cellStyle name="千位分隔[0] 2 2" xfId="765"/>
    <cellStyle name="钎霖_(沥焊何巩)岿喊牢盔拌裙" xfId="766"/>
    <cellStyle name="强调 1" xfId="767"/>
    <cellStyle name="强调 2" xfId="768"/>
    <cellStyle name="强调 3" xfId="769"/>
    <cellStyle name="通貨 [0.00]_１１月価格表" xfId="770"/>
    <cellStyle name="通貨_１１月価格表" xfId="771"/>
    <cellStyle name="样式 1" xfId="772"/>
    <cellStyle name="样式 1 2" xfId="773"/>
    <cellStyle name="样式 1 3" xfId="774"/>
    <cellStyle name="样式 1 4" xfId="775"/>
    <cellStyle name="一般_SGV" xfId="776"/>
    <cellStyle name="昗弨_BOOKSHIP" xfId="777"/>
    <cellStyle name="寘嬫愗傝 [0.00]_PRODUCT DETAIL Q1" xfId="778"/>
    <cellStyle name="寘嬫愗傝_PRODUCT DETAIL Q1" xfId="779"/>
    <cellStyle name="资产" xfId="780"/>
    <cellStyle name="资产 2" xfId="781"/>
    <cellStyle name="资产 2 2" xfId="782"/>
    <cellStyle name="콤마 [0]_BOILER-CO1" xfId="783"/>
    <cellStyle name="콤마_BOILER-CO1" xfId="784"/>
    <cellStyle name="통화 [0]_BOILER-CO1" xfId="785"/>
    <cellStyle name="통화_BOILER-CO1" xfId="786"/>
    <cellStyle name="표준_0N-HANDLING " xfId="787"/>
  </cellStyles>
  <dxfs count="0"/>
  <tableStyles count="0" defaultTableStyle="TableStyleMedium2" defaultPivotStyle="PivotStyleLight16"/>
  <colors>
    <mruColors>
      <color rgb="FFE4DFEC"/>
      <color rgb="FF0000FF"/>
      <color rgb="FF0066FF"/>
      <color rgb="FFFFFF6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4.vml.rels><?xml version="1.0" encoding="UTF-8" standalone="yes"?>
<Relationships xmlns="http://schemas.openxmlformats.org/package/2006/relationships"><Relationship Id="rId3" Type="http://schemas.openxmlformats.org/officeDocument/2006/relationships/image" Target="../media/image7.wmf"/><Relationship Id="rId2" Type="http://schemas.openxmlformats.org/officeDocument/2006/relationships/image" Target="../media/image6.w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200025</xdr:colOff>
      <xdr:row>63</xdr:row>
      <xdr:rowOff>57150</xdr:rowOff>
    </xdr:from>
    <xdr:to>
      <xdr:col>6</xdr:col>
      <xdr:colOff>812607</xdr:colOff>
      <xdr:row>79</xdr:row>
      <xdr:rowOff>746</xdr:rowOff>
    </xdr:to>
    <xdr:pic>
      <xdr:nvPicPr>
        <xdr:cNvPr id="3" name="Picture 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20269200"/>
          <a:ext cx="7066722" cy="376693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310515</xdr:colOff>
      <xdr:row>8</xdr:row>
      <xdr:rowOff>32385</xdr:rowOff>
    </xdr:from>
    <xdr:to>
      <xdr:col>10</xdr:col>
      <xdr:colOff>672081</xdr:colOff>
      <xdr:row>13</xdr:row>
      <xdr:rowOff>306124</xdr:rowOff>
    </xdr:to>
    <xdr:pic>
      <xdr:nvPicPr>
        <xdr:cNvPr id="3" name="Picture 2">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99495" y="2089785"/>
          <a:ext cx="3721986" cy="1972999"/>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editAs="oneCell">
    <xdr:from>
      <xdr:col>7</xdr:col>
      <xdr:colOff>41910</xdr:colOff>
      <xdr:row>18</xdr:row>
      <xdr:rowOff>36195</xdr:rowOff>
    </xdr:from>
    <xdr:to>
      <xdr:col>10</xdr:col>
      <xdr:colOff>575309</xdr:colOff>
      <xdr:row>26</xdr:row>
      <xdr:rowOff>38100</xdr:rowOff>
    </xdr:to>
    <xdr:pic>
      <xdr:nvPicPr>
        <xdr:cNvPr id="5" name="Picture 2">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631930" y="7732395"/>
          <a:ext cx="3893819" cy="2013585"/>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66674</xdr:colOff>
      <xdr:row>19</xdr:row>
      <xdr:rowOff>57151</xdr:rowOff>
    </xdr:from>
    <xdr:to>
      <xdr:col>12</xdr:col>
      <xdr:colOff>85724</xdr:colOff>
      <xdr:row>28</xdr:row>
      <xdr:rowOff>121921</xdr:rowOff>
    </xdr:to>
    <xdr:pic>
      <xdr:nvPicPr>
        <xdr:cNvPr id="3" name="Picture 2">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39099" y="3971926"/>
          <a:ext cx="4410075" cy="236220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99060</xdr:colOff>
          <xdr:row>63</xdr:row>
          <xdr:rowOff>30480</xdr:rowOff>
        </xdr:from>
        <xdr:to>
          <xdr:col>3</xdr:col>
          <xdr:colOff>541020</xdr:colOff>
          <xdr:row>66</xdr:row>
          <xdr:rowOff>0</xdr:rowOff>
        </xdr:to>
        <xdr:sp macro="" textlink="">
          <xdr:nvSpPr>
            <xdr:cNvPr id="7171" name="Object 3" hidden="1">
              <a:extLst>
                <a:ext uri="{63B3BB69-23CF-44E3-9099-C40C66FF867C}">
                  <a14:compatExt spid="_x0000_s7171"/>
                </a:ext>
                <a:ext uri="{FF2B5EF4-FFF2-40B4-BE49-F238E27FC236}">
                  <a16:creationId xmlns:a16="http://schemas.microsoft.com/office/drawing/2014/main" id="{00000000-0008-0000-1100-000003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655320</xdr:colOff>
          <xdr:row>63</xdr:row>
          <xdr:rowOff>144780</xdr:rowOff>
        </xdr:from>
        <xdr:to>
          <xdr:col>7</xdr:col>
          <xdr:colOff>198120</xdr:colOff>
          <xdr:row>65</xdr:row>
          <xdr:rowOff>76200</xdr:rowOff>
        </xdr:to>
        <xdr:sp macro="" textlink="">
          <xdr:nvSpPr>
            <xdr:cNvPr id="7172" name="Object 4" hidden="1">
              <a:extLst>
                <a:ext uri="{63B3BB69-23CF-44E3-9099-C40C66FF867C}">
                  <a14:compatExt spid="_x0000_s7172"/>
                </a:ext>
                <a:ext uri="{FF2B5EF4-FFF2-40B4-BE49-F238E27FC236}">
                  <a16:creationId xmlns:a16="http://schemas.microsoft.com/office/drawing/2014/main" id="{00000000-0008-0000-1100-000004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47</xdr:row>
          <xdr:rowOff>0</xdr:rowOff>
        </xdr:from>
        <xdr:to>
          <xdr:col>7</xdr:col>
          <xdr:colOff>480060</xdr:colOff>
          <xdr:row>50</xdr:row>
          <xdr:rowOff>30480</xdr:rowOff>
        </xdr:to>
        <xdr:sp macro="" textlink="">
          <xdr:nvSpPr>
            <xdr:cNvPr id="7173" name="Object 5" hidden="1">
              <a:extLst>
                <a:ext uri="{63B3BB69-23CF-44E3-9099-C40C66FF867C}">
                  <a14:compatExt spid="_x0000_s7173"/>
                </a:ext>
                <a:ext uri="{FF2B5EF4-FFF2-40B4-BE49-F238E27FC236}">
                  <a16:creationId xmlns:a16="http://schemas.microsoft.com/office/drawing/2014/main" id="{00000000-0008-0000-1100-000005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4.vml"/><Relationship Id="rId7" Type="http://schemas.openxmlformats.org/officeDocument/2006/relationships/image" Target="../media/image6.wmf"/><Relationship Id="rId2" Type="http://schemas.openxmlformats.org/officeDocument/2006/relationships/drawing" Target="../drawings/drawing4.xml"/><Relationship Id="rId1" Type="http://schemas.openxmlformats.org/officeDocument/2006/relationships/printerSettings" Target="../printerSettings/printerSettings17.bin"/><Relationship Id="rId6" Type="http://schemas.openxmlformats.org/officeDocument/2006/relationships/oleObject" Target="../embeddings/oleObject2.bin"/><Relationship Id="rId5" Type="http://schemas.openxmlformats.org/officeDocument/2006/relationships/image" Target="../media/image5.emf"/><Relationship Id="rId4" Type="http://schemas.openxmlformats.org/officeDocument/2006/relationships/oleObject" Target="../embeddings/oleObject1.bin"/><Relationship Id="rId9" Type="http://schemas.openxmlformats.org/officeDocument/2006/relationships/image" Target="../media/image7.wmf"/></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6"/>
  <sheetViews>
    <sheetView tabSelected="1" workbookViewId="0"/>
  </sheetViews>
  <sheetFormatPr defaultColWidth="8.69921875" defaultRowHeight="19.95" customHeight="1"/>
  <cols>
    <col min="1" max="1" width="77.59765625" style="176" customWidth="1"/>
    <col min="2" max="2" width="2" style="176" customWidth="1"/>
    <col min="3" max="3" width="2.09765625" style="176" customWidth="1"/>
    <col min="4" max="4" width="5" style="202" customWidth="1"/>
    <col min="5" max="5" width="33.3984375" style="176" customWidth="1"/>
    <col min="6" max="6" width="9.5" style="493" customWidth="1"/>
    <col min="7" max="7" width="10.69921875" style="176" customWidth="1"/>
    <col min="8" max="16384" width="8.69921875" style="176"/>
  </cols>
  <sheetData>
    <row r="1" spans="1:8" s="2" customFormat="1" ht="19.95" customHeight="1">
      <c r="A1" s="18" t="s">
        <v>62</v>
      </c>
      <c r="D1" s="199"/>
      <c r="F1" s="12"/>
    </row>
    <row r="2" spans="1:8" ht="19.95" customHeight="1">
      <c r="A2" s="200" t="s">
        <v>66</v>
      </c>
      <c r="B2" s="201"/>
      <c r="C2" s="201"/>
      <c r="G2" s="201"/>
      <c r="H2" s="201"/>
    </row>
    <row r="3" spans="1:8" ht="19.95" customHeight="1">
      <c r="A3" s="200" t="s">
        <v>929</v>
      </c>
      <c r="B3" s="201"/>
      <c r="C3" s="201"/>
      <c r="D3" s="356" t="s">
        <v>731</v>
      </c>
      <c r="E3" s="356" t="s">
        <v>63</v>
      </c>
      <c r="F3" s="356" t="s">
        <v>732</v>
      </c>
      <c r="G3" s="356" t="s">
        <v>53</v>
      </c>
      <c r="H3" s="203"/>
    </row>
    <row r="4" spans="1:8" ht="19.95" customHeight="1">
      <c r="A4" s="200" t="s">
        <v>68</v>
      </c>
      <c r="D4" s="214">
        <v>1</v>
      </c>
      <c r="E4" s="212" t="s">
        <v>96</v>
      </c>
      <c r="F4" s="494" t="s">
        <v>43</v>
      </c>
      <c r="G4" s="211"/>
      <c r="H4" s="203"/>
    </row>
    <row r="5" spans="1:8" ht="19.95" customHeight="1">
      <c r="A5" s="200" t="s">
        <v>69</v>
      </c>
      <c r="D5" s="214">
        <v>2</v>
      </c>
      <c r="E5" s="212" t="s">
        <v>97</v>
      </c>
      <c r="F5" s="494" t="s">
        <v>98</v>
      </c>
      <c r="G5" s="213"/>
      <c r="H5" s="2"/>
    </row>
    <row r="6" spans="1:8" ht="19.95" customHeight="1">
      <c r="A6" s="200" t="s">
        <v>64</v>
      </c>
      <c r="D6" s="214">
        <v>3</v>
      </c>
      <c r="E6" s="215" t="s">
        <v>94</v>
      </c>
      <c r="F6" s="494"/>
      <c r="G6" s="213" t="s">
        <v>70</v>
      </c>
    </row>
    <row r="7" spans="1:8" ht="19.95" customHeight="1">
      <c r="A7" s="200" t="s">
        <v>71</v>
      </c>
      <c r="D7" s="214">
        <v>4</v>
      </c>
      <c r="E7" s="215" t="s">
        <v>95</v>
      </c>
      <c r="F7" s="494"/>
      <c r="G7" s="213" t="s">
        <v>72</v>
      </c>
    </row>
    <row r="8" spans="1:8" ht="19.95" customHeight="1">
      <c r="A8" s="204" t="s">
        <v>73</v>
      </c>
      <c r="D8" s="214">
        <v>5</v>
      </c>
      <c r="E8" s="212" t="s">
        <v>103</v>
      </c>
      <c r="F8" s="494" t="s">
        <v>36</v>
      </c>
      <c r="G8" s="213"/>
      <c r="H8" s="2"/>
    </row>
    <row r="9" spans="1:8" ht="19.95" customHeight="1">
      <c r="A9" s="205" t="s">
        <v>65</v>
      </c>
      <c r="D9" s="214">
        <v>6</v>
      </c>
      <c r="E9" s="212" t="s">
        <v>104</v>
      </c>
      <c r="F9" s="494" t="s">
        <v>99</v>
      </c>
      <c r="G9" s="213"/>
      <c r="H9" s="2"/>
    </row>
    <row r="10" spans="1:8" ht="19.95" customHeight="1">
      <c r="A10" s="205" t="s">
        <v>74</v>
      </c>
      <c r="D10" s="214">
        <v>7</v>
      </c>
      <c r="E10" s="212" t="s">
        <v>105</v>
      </c>
      <c r="F10" s="494" t="s">
        <v>37</v>
      </c>
      <c r="G10" s="213"/>
      <c r="H10" s="2"/>
    </row>
    <row r="11" spans="1:8" ht="19.95" customHeight="1">
      <c r="A11" s="205" t="s">
        <v>75</v>
      </c>
      <c r="D11" s="214">
        <v>8</v>
      </c>
      <c r="E11" s="212" t="s">
        <v>106</v>
      </c>
      <c r="F11" s="494" t="s">
        <v>41</v>
      </c>
      <c r="G11" s="213"/>
      <c r="H11" s="2"/>
    </row>
    <row r="12" spans="1:8" ht="19.95" customHeight="1">
      <c r="A12" s="205" t="s">
        <v>76</v>
      </c>
      <c r="D12" s="214">
        <v>9</v>
      </c>
      <c r="E12" s="212" t="s">
        <v>878</v>
      </c>
      <c r="F12" s="494" t="s">
        <v>42</v>
      </c>
      <c r="G12" s="213" t="s">
        <v>77</v>
      </c>
    </row>
    <row r="13" spans="1:8" ht="19.95" customHeight="1">
      <c r="A13" s="205" t="s">
        <v>78</v>
      </c>
      <c r="D13" s="214">
        <v>10</v>
      </c>
      <c r="E13" s="212" t="s">
        <v>879</v>
      </c>
      <c r="F13" s="494" t="s">
        <v>42</v>
      </c>
      <c r="G13" s="213" t="s">
        <v>77</v>
      </c>
    </row>
    <row r="14" spans="1:8" ht="19.95" customHeight="1">
      <c r="A14" s="205" t="s">
        <v>34</v>
      </c>
      <c r="D14" s="214">
        <v>11</v>
      </c>
      <c r="E14" s="212" t="s">
        <v>107</v>
      </c>
      <c r="F14" s="494" t="s">
        <v>100</v>
      </c>
      <c r="G14" s="213"/>
    </row>
    <row r="15" spans="1:8" ht="19.95" customHeight="1">
      <c r="A15" s="201"/>
      <c r="D15" s="214">
        <v>12</v>
      </c>
      <c r="E15" s="212" t="s">
        <v>108</v>
      </c>
      <c r="F15" s="494" t="s">
        <v>38</v>
      </c>
      <c r="G15" s="213" t="s">
        <v>77</v>
      </c>
    </row>
    <row r="16" spans="1:8" ht="19.95" customHeight="1">
      <c r="A16" s="575" t="s">
        <v>925</v>
      </c>
      <c r="D16" s="214">
        <v>13</v>
      </c>
      <c r="E16" s="212" t="s">
        <v>109</v>
      </c>
      <c r="F16" s="494" t="s">
        <v>38</v>
      </c>
      <c r="G16" s="213" t="s">
        <v>77</v>
      </c>
      <c r="H16" s="2"/>
    </row>
    <row r="17" spans="1:8" ht="19.95" customHeight="1">
      <c r="A17" s="602" t="s">
        <v>926</v>
      </c>
      <c r="D17" s="214">
        <v>14</v>
      </c>
      <c r="E17" s="212" t="s">
        <v>110</v>
      </c>
      <c r="F17" s="494" t="s">
        <v>39</v>
      </c>
      <c r="G17" s="213"/>
      <c r="H17" s="2"/>
    </row>
    <row r="18" spans="1:8" ht="19.95" customHeight="1">
      <c r="A18" s="602"/>
      <c r="D18" s="214">
        <v>15</v>
      </c>
      <c r="E18" s="212" t="s">
        <v>111</v>
      </c>
      <c r="F18" s="494" t="s">
        <v>40</v>
      </c>
      <c r="G18" s="213"/>
      <c r="H18" s="2"/>
    </row>
    <row r="19" spans="1:8" ht="19.95" customHeight="1">
      <c r="A19" s="602"/>
      <c r="D19" s="214">
        <v>16</v>
      </c>
      <c r="E19" s="212" t="s">
        <v>865</v>
      </c>
      <c r="F19" s="494" t="s">
        <v>101</v>
      </c>
      <c r="G19" s="213"/>
      <c r="H19" s="2"/>
    </row>
    <row r="20" spans="1:8" ht="19.95" customHeight="1">
      <c r="A20" s="602"/>
      <c r="D20" s="214">
        <v>17</v>
      </c>
      <c r="E20" s="212" t="s">
        <v>866</v>
      </c>
      <c r="F20" s="494" t="s">
        <v>44</v>
      </c>
      <c r="G20" s="213"/>
      <c r="H20" s="2"/>
    </row>
    <row r="21" spans="1:8" ht="19.95" customHeight="1">
      <c r="A21" s="602" t="s">
        <v>927</v>
      </c>
      <c r="D21" s="214">
        <v>18</v>
      </c>
      <c r="E21" s="212" t="s">
        <v>867</v>
      </c>
      <c r="F21" s="494" t="s">
        <v>102</v>
      </c>
      <c r="G21" s="213"/>
      <c r="H21" s="2"/>
    </row>
    <row r="22" spans="1:8" ht="19.95" customHeight="1">
      <c r="A22" s="602"/>
      <c r="D22" s="214">
        <v>19</v>
      </c>
      <c r="E22" s="212" t="s">
        <v>112</v>
      </c>
      <c r="F22" s="494" t="s">
        <v>35</v>
      </c>
      <c r="G22" s="213"/>
      <c r="H22" s="2"/>
    </row>
    <row r="23" spans="1:8" ht="19.95" customHeight="1">
      <c r="A23" s="602"/>
    </row>
    <row r="24" spans="1:8" ht="19.95" customHeight="1">
      <c r="A24" s="603" t="s">
        <v>928</v>
      </c>
    </row>
    <row r="25" spans="1:8" ht="19.95" customHeight="1">
      <c r="A25" s="603"/>
    </row>
    <row r="26" spans="1:8" ht="19.95" customHeight="1">
      <c r="A26" s="603"/>
    </row>
  </sheetData>
  <mergeCells count="3">
    <mergeCell ref="A17:A20"/>
    <mergeCell ref="A21:A23"/>
    <mergeCell ref="A24:A26"/>
  </mergeCells>
  <phoneticPr fontId="11" type="noConversion"/>
  <hyperlinks>
    <hyperlink ref="E4" location="'使用权资产实质性程序表H8A'!A1" display="使用权资产实质性程序表H8A"/>
    <hyperlink ref="E5" location="'审定表H8-1'!A1" display="审定表H8-1"/>
    <hyperlink ref="E6" location="'附注披露信息（上市公司）'!A1" display="附注披露信息（上市公司）"/>
    <hyperlink ref="E7" location="'附注披露信息（国企）'!A1" display="附注披露信息（国企）"/>
    <hyperlink ref="E8" location="'明细表H8-2'!A1" display="明细表H8-2"/>
    <hyperlink ref="E9" location="'调整分录汇总H8-3'!A1" display="调整分录汇总H8-3"/>
    <hyperlink ref="E10" location="'租赁的识别H8-4'!A1" display="租赁的识别H8-4"/>
    <hyperlink ref="E11" location="'租赁期的确定H8-5'!A1" display="租赁期的确定H8-5"/>
    <hyperlink ref="E12" location="'使用权资产 租赁负责初始及后续计量（按年）H8-6'!A1" display="使用权资产 租赁负责初始及后续计量（按年）"/>
    <hyperlink ref="E13" location="'使用权资产 租赁负责初始及后续计量（按月）H8-6'!A1" display="使用权资产 租赁负责初始及后续计量（按月）"/>
    <hyperlink ref="E14" location="'租赁变更H8-7'!A1" display="租赁变更H8-7"/>
    <hyperlink ref="E15" location="'折旧测算表（不含减值）H8-8'!A1" display="折旧测算表（不含减值）H8-8"/>
    <hyperlink ref="E16" location="'折旧测算表（含减值）H8-8'!A1" display="折旧测算表（含减值）H8-8"/>
    <hyperlink ref="E17" location="'折旧分配分析表H8-9'!A1" display="折旧分配分析表H8-9"/>
    <hyperlink ref="E18" location="'减值测算表H8-10'!A1" display="减值测算表H8-10"/>
    <hyperlink ref="E19" location="'可收回金额测试表H8-11'!A1" display="可收回金额测试表H8-11"/>
    <hyperlink ref="E21" location="'简化处理的租赁检查表H8-13'!A1" display="简化处理的租赁检查表"/>
    <hyperlink ref="E20" location="'减少检查表H8-12'!A1" display="减少检查表"/>
    <hyperlink ref="E22" location="'关联交易检查表H8-14'!A1" display="关联交易检查表H8-14"/>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L59"/>
  <sheetViews>
    <sheetView view="pageBreakPreview" zoomScaleNormal="100" zoomScaleSheetLayoutView="100" workbookViewId="0">
      <selection sqref="A1:I1"/>
    </sheetView>
  </sheetViews>
  <sheetFormatPr defaultColWidth="9" defaultRowHeight="19.95" customHeight="1"/>
  <cols>
    <col min="1" max="1" width="4.296875" style="222" customWidth="1"/>
    <col min="2" max="2" width="64.59765625" style="6" customWidth="1"/>
    <col min="3" max="3" width="11.59765625" style="6" customWidth="1"/>
    <col min="4" max="4" width="5.5" style="6" customWidth="1"/>
    <col min="5" max="5" width="6.59765625" style="6" customWidth="1"/>
    <col min="6" max="6" width="6.796875" style="6" customWidth="1"/>
    <col min="7" max="7" width="7.09765625" style="6" customWidth="1"/>
    <col min="8" max="8" width="5.09765625" style="6" customWidth="1"/>
    <col min="9" max="9" width="7.5" style="6" customWidth="1"/>
    <col min="10" max="10" width="45" style="6" customWidth="1"/>
    <col min="11" max="16384" width="9" style="6"/>
  </cols>
  <sheetData>
    <row r="1" spans="1:10" s="5" customFormat="1" ht="19.95" customHeight="1">
      <c r="A1" s="607" t="s">
        <v>706</v>
      </c>
      <c r="B1" s="607"/>
      <c r="C1" s="607"/>
      <c r="D1" s="607"/>
      <c r="E1" s="607"/>
      <c r="F1" s="607"/>
      <c r="G1" s="607"/>
      <c r="H1" s="607"/>
      <c r="I1" s="607"/>
    </row>
    <row r="2" spans="1:10" s="312" customFormat="1" ht="19.95" customHeight="1">
      <c r="A2" s="608" t="s">
        <v>712</v>
      </c>
      <c r="B2" s="608"/>
      <c r="C2" s="608"/>
      <c r="D2" s="608"/>
      <c r="E2" s="608"/>
      <c r="F2" s="608"/>
      <c r="G2" s="608"/>
      <c r="H2" s="608"/>
      <c r="I2" s="608"/>
    </row>
    <row r="3" spans="1:10" s="217" customFormat="1" ht="19.95" customHeight="1">
      <c r="A3" s="216" t="str">
        <f>底稿目录!A2</f>
        <v>被审计单位：</v>
      </c>
      <c r="B3" s="216"/>
      <c r="C3" s="217" t="str">
        <f>底稿目录!A4</f>
        <v>编制人：</v>
      </c>
      <c r="E3" s="217" t="str">
        <f>底稿目录!A6</f>
        <v>编制日期：</v>
      </c>
      <c r="H3" s="357" t="s">
        <v>733</v>
      </c>
      <c r="I3" s="210" t="s">
        <v>61</v>
      </c>
    </row>
    <row r="4" spans="1:10" s="217" customFormat="1" ht="19.95" customHeight="1">
      <c r="A4" s="216" t="str">
        <f>底稿目录!A3</f>
        <v>截止日：202X年12月31日</v>
      </c>
      <c r="B4" s="216"/>
      <c r="C4" s="217" t="str">
        <f>底稿目录!A5</f>
        <v>复核人：</v>
      </c>
      <c r="E4" s="217" t="str">
        <f>底稿目录!A7</f>
        <v>复核日期：</v>
      </c>
      <c r="H4" s="357" t="s">
        <v>734</v>
      </c>
      <c r="I4" s="218"/>
    </row>
    <row r="5" spans="1:10" ht="19.95" customHeight="1">
      <c r="A5" s="609" t="s">
        <v>114</v>
      </c>
      <c r="B5" s="609"/>
    </row>
    <row r="6" spans="1:10" ht="19.95" customHeight="1">
      <c r="A6" s="219" t="s">
        <v>115</v>
      </c>
      <c r="B6" s="219"/>
      <c r="C6" s="219"/>
      <c r="D6" s="219"/>
      <c r="E6" s="219"/>
      <c r="F6" s="219"/>
      <c r="G6" s="219"/>
      <c r="H6" s="219"/>
      <c r="I6" s="219"/>
    </row>
    <row r="7" spans="1:10" s="217" customFormat="1" ht="19.95" customHeight="1">
      <c r="A7" s="496" t="s">
        <v>874</v>
      </c>
      <c r="B7" s="220"/>
      <c r="C7" s="221"/>
    </row>
    <row r="8" spans="1:10" s="217" customFormat="1" ht="19.95" customHeight="1">
      <c r="A8" s="610" t="s">
        <v>918</v>
      </c>
      <c r="B8" s="610"/>
      <c r="C8" s="610"/>
      <c r="D8" s="610"/>
      <c r="E8" s="610"/>
      <c r="F8" s="610"/>
      <c r="G8" s="606" t="s">
        <v>15</v>
      </c>
      <c r="H8" s="606"/>
      <c r="I8" s="606"/>
    </row>
    <row r="9" spans="1:10" s="217" customFormat="1" ht="19.95" customHeight="1">
      <c r="A9" s="605" t="s">
        <v>129</v>
      </c>
      <c r="B9" s="605"/>
      <c r="C9" s="605"/>
      <c r="D9" s="605"/>
      <c r="E9" s="605"/>
      <c r="F9" s="605"/>
      <c r="G9" s="604" t="s">
        <v>124</v>
      </c>
      <c r="H9" s="604"/>
      <c r="I9" s="604"/>
    </row>
    <row r="10" spans="1:10" s="217" customFormat="1" ht="19.95" customHeight="1">
      <c r="A10" s="605" t="s">
        <v>921</v>
      </c>
      <c r="B10" s="605"/>
      <c r="C10" s="605"/>
      <c r="D10" s="605"/>
      <c r="E10" s="605"/>
      <c r="F10" s="605"/>
      <c r="G10" s="604" t="s">
        <v>16</v>
      </c>
      <c r="H10" s="604"/>
      <c r="I10" s="604"/>
    </row>
    <row r="11" spans="1:10" s="217" customFormat="1" ht="19.95" customHeight="1">
      <c r="A11" s="605" t="s">
        <v>922</v>
      </c>
      <c r="B11" s="605"/>
      <c r="C11" s="605"/>
      <c r="D11" s="605"/>
      <c r="E11" s="605"/>
      <c r="F11" s="605"/>
      <c r="G11" s="604" t="s">
        <v>919</v>
      </c>
      <c r="H11" s="604"/>
      <c r="I11" s="604"/>
    </row>
    <row r="12" spans="1:10" s="217" customFormat="1" ht="19.95" customHeight="1">
      <c r="A12" s="605" t="s">
        <v>923</v>
      </c>
      <c r="B12" s="605"/>
      <c r="C12" s="605"/>
      <c r="D12" s="605"/>
      <c r="E12" s="605"/>
      <c r="F12" s="605"/>
      <c r="G12" s="604" t="s">
        <v>855</v>
      </c>
      <c r="H12" s="604"/>
      <c r="I12" s="604"/>
    </row>
    <row r="13" spans="1:10" s="217" customFormat="1" ht="19.95" customHeight="1">
      <c r="A13" s="605" t="s">
        <v>924</v>
      </c>
      <c r="B13" s="605"/>
      <c r="C13" s="605"/>
      <c r="D13" s="605"/>
      <c r="E13" s="605"/>
      <c r="F13" s="605"/>
      <c r="G13" s="604" t="s">
        <v>920</v>
      </c>
      <c r="H13" s="604"/>
      <c r="I13" s="604"/>
    </row>
    <row r="14" spans="1:10" s="217" customFormat="1" ht="19.95" customHeight="1">
      <c r="A14" s="611" t="s">
        <v>875</v>
      </c>
      <c r="B14" s="611"/>
      <c r="C14" s="221"/>
    </row>
    <row r="15" spans="1:10" s="217" customFormat="1" ht="19.95" customHeight="1">
      <c r="A15" s="617" t="s">
        <v>120</v>
      </c>
      <c r="B15" s="618" t="s">
        <v>931</v>
      </c>
      <c r="C15" s="619" t="s">
        <v>48</v>
      </c>
      <c r="D15" s="616" t="s">
        <v>125</v>
      </c>
      <c r="E15" s="616"/>
      <c r="F15" s="616"/>
      <c r="G15" s="616"/>
      <c r="H15" s="616"/>
      <c r="I15" s="619" t="s">
        <v>130</v>
      </c>
    </row>
    <row r="16" spans="1:10" s="217" customFormat="1" ht="36.6" customHeight="1">
      <c r="A16" s="617"/>
      <c r="B16" s="618"/>
      <c r="C16" s="619"/>
      <c r="D16" s="359" t="s">
        <v>131</v>
      </c>
      <c r="E16" s="359" t="s">
        <v>132</v>
      </c>
      <c r="F16" s="360" t="s">
        <v>126</v>
      </c>
      <c r="G16" s="360" t="s">
        <v>127</v>
      </c>
      <c r="H16" s="360" t="s">
        <v>133</v>
      </c>
      <c r="I16" s="619"/>
      <c r="J16" s="576" t="s">
        <v>930</v>
      </c>
    </row>
    <row r="17" spans="1:12" s="217" customFormat="1" ht="72.599999999999994" customHeight="1">
      <c r="A17" s="475" t="s">
        <v>738</v>
      </c>
      <c r="B17" s="476" t="s">
        <v>868</v>
      </c>
      <c r="C17" s="477" t="s">
        <v>121</v>
      </c>
      <c r="D17" s="397" t="s">
        <v>767</v>
      </c>
      <c r="E17" s="397" t="s">
        <v>767</v>
      </c>
      <c r="F17" s="397"/>
      <c r="G17" s="398" t="s">
        <v>768</v>
      </c>
      <c r="H17" s="478"/>
      <c r="I17" s="479" t="s">
        <v>857</v>
      </c>
    </row>
    <row r="18" spans="1:12" s="217" customFormat="1" ht="53.4" customHeight="1">
      <c r="A18" s="475" t="s">
        <v>19</v>
      </c>
      <c r="B18" s="480" t="s">
        <v>770</v>
      </c>
      <c r="C18" s="401" t="s">
        <v>122</v>
      </c>
      <c r="D18" s="399" t="s">
        <v>769</v>
      </c>
      <c r="E18" s="399" t="s">
        <v>769</v>
      </c>
      <c r="F18" s="399"/>
      <c r="G18" s="399" t="s">
        <v>769</v>
      </c>
      <c r="H18" s="403"/>
      <c r="I18" s="491" t="s">
        <v>858</v>
      </c>
      <c r="J18" s="614" t="s">
        <v>134</v>
      </c>
      <c r="K18" s="615"/>
      <c r="L18" s="615"/>
    </row>
    <row r="19" spans="1:12" s="217" customFormat="1" ht="37.799999999999997">
      <c r="A19" s="475" t="s">
        <v>20</v>
      </c>
      <c r="B19" s="400" t="s">
        <v>771</v>
      </c>
      <c r="C19" s="401" t="s">
        <v>772</v>
      </c>
      <c r="D19" s="402" t="s">
        <v>773</v>
      </c>
      <c r="E19" s="403" t="s">
        <v>17</v>
      </c>
      <c r="F19" s="403" t="s">
        <v>17</v>
      </c>
      <c r="G19" s="403" t="s">
        <v>17</v>
      </c>
      <c r="H19" s="403"/>
      <c r="I19" s="479"/>
      <c r="J19" s="612" t="s">
        <v>856</v>
      </c>
      <c r="K19" s="613"/>
      <c r="L19" s="613"/>
    </row>
    <row r="20" spans="1:12" ht="46.2" customHeight="1">
      <c r="A20" s="475" t="s">
        <v>21</v>
      </c>
      <c r="B20" s="481" t="s">
        <v>859</v>
      </c>
      <c r="C20" s="401" t="s">
        <v>122</v>
      </c>
      <c r="D20" s="403" t="s">
        <v>17</v>
      </c>
      <c r="E20" s="403" t="s">
        <v>774</v>
      </c>
      <c r="F20" s="403"/>
      <c r="G20" s="402" t="s">
        <v>775</v>
      </c>
      <c r="H20" s="403"/>
      <c r="I20" s="479" t="s">
        <v>857</v>
      </c>
    </row>
    <row r="21" spans="1:12" ht="36" customHeight="1">
      <c r="A21" s="475" t="s">
        <v>22</v>
      </c>
      <c r="B21" s="481" t="s">
        <v>783</v>
      </c>
      <c r="C21" s="401" t="s">
        <v>122</v>
      </c>
      <c r="D21" s="402" t="s">
        <v>775</v>
      </c>
      <c r="E21" s="403"/>
      <c r="F21" s="403" t="s">
        <v>774</v>
      </c>
      <c r="G21" s="402"/>
      <c r="H21" s="403"/>
      <c r="I21" s="479" t="s">
        <v>872</v>
      </c>
    </row>
    <row r="22" spans="1:12" ht="145.19999999999999" customHeight="1">
      <c r="A22" s="475" t="s">
        <v>23</v>
      </c>
      <c r="B22" s="476" t="s">
        <v>869</v>
      </c>
      <c r="C22" s="477" t="s">
        <v>123</v>
      </c>
      <c r="D22" s="402" t="s">
        <v>782</v>
      </c>
      <c r="E22" s="403" t="s">
        <v>118</v>
      </c>
      <c r="F22" s="403" t="s">
        <v>118</v>
      </c>
      <c r="G22" s="402" t="s">
        <v>782</v>
      </c>
      <c r="H22" s="403"/>
      <c r="I22" s="479" t="s">
        <v>871</v>
      </c>
    </row>
    <row r="23" spans="1:12" ht="129">
      <c r="A23" s="475" t="s">
        <v>24</v>
      </c>
      <c r="B23" s="484" t="s">
        <v>780</v>
      </c>
      <c r="C23" s="477" t="s">
        <v>123</v>
      </c>
      <c r="D23" s="403"/>
      <c r="E23" s="403"/>
      <c r="F23" s="403"/>
      <c r="G23" s="485" t="s">
        <v>116</v>
      </c>
      <c r="H23" s="403"/>
      <c r="I23" s="479" t="s">
        <v>860</v>
      </c>
    </row>
    <row r="24" spans="1:12" ht="94.2" customHeight="1">
      <c r="A24" s="475" t="s">
        <v>739</v>
      </c>
      <c r="B24" s="405" t="s">
        <v>778</v>
      </c>
      <c r="C24" s="477" t="s">
        <v>113</v>
      </c>
      <c r="D24" s="402" t="s">
        <v>773</v>
      </c>
      <c r="E24" s="406"/>
      <c r="F24" s="403" t="s">
        <v>779</v>
      </c>
      <c r="G24" s="403" t="s">
        <v>779</v>
      </c>
      <c r="H24" s="407"/>
      <c r="I24" s="479"/>
      <c r="J24" s="543" t="s">
        <v>854</v>
      </c>
    </row>
    <row r="25" spans="1:12" ht="79.8" customHeight="1">
      <c r="A25" s="475" t="s">
        <v>740</v>
      </c>
      <c r="B25" s="487" t="s">
        <v>781</v>
      </c>
      <c r="C25" s="477" t="s">
        <v>49</v>
      </c>
      <c r="D25" s="403"/>
      <c r="E25" s="403"/>
      <c r="F25" s="403"/>
      <c r="G25" s="402" t="s">
        <v>782</v>
      </c>
      <c r="H25" s="403"/>
      <c r="I25" s="479" t="s">
        <v>861</v>
      </c>
    </row>
    <row r="26" spans="1:12" ht="66.599999999999994" customHeight="1">
      <c r="A26" s="475" t="s">
        <v>741</v>
      </c>
      <c r="B26" s="482" t="s">
        <v>776</v>
      </c>
      <c r="C26" s="404" t="s">
        <v>777</v>
      </c>
      <c r="D26" s="403" t="s">
        <v>17</v>
      </c>
      <c r="E26" s="403" t="s">
        <v>17</v>
      </c>
      <c r="F26" s="403"/>
      <c r="G26" s="402" t="s">
        <v>773</v>
      </c>
      <c r="H26" s="483"/>
      <c r="I26" s="479" t="s">
        <v>862</v>
      </c>
    </row>
    <row r="27" spans="1:12" ht="43.2" customHeight="1">
      <c r="A27" s="475" t="s">
        <v>742</v>
      </c>
      <c r="B27" s="482" t="s">
        <v>784</v>
      </c>
      <c r="C27" s="477" t="s">
        <v>123</v>
      </c>
      <c r="D27" s="403"/>
      <c r="E27" s="403" t="s">
        <v>118</v>
      </c>
      <c r="F27" s="403"/>
      <c r="G27" s="485" t="s">
        <v>116</v>
      </c>
      <c r="H27" s="486"/>
      <c r="I27" s="479" t="s">
        <v>863</v>
      </c>
    </row>
    <row r="28" spans="1:12" ht="37.799999999999997" customHeight="1">
      <c r="A28" s="475" t="s">
        <v>743</v>
      </c>
      <c r="B28" s="488" t="s">
        <v>135</v>
      </c>
      <c r="C28" s="477" t="s">
        <v>49</v>
      </c>
      <c r="D28" s="485" t="s">
        <v>116</v>
      </c>
      <c r="E28" s="403" t="s">
        <v>118</v>
      </c>
      <c r="F28" s="403" t="s">
        <v>118</v>
      </c>
      <c r="G28" s="485" t="s">
        <v>116</v>
      </c>
      <c r="H28" s="403" t="s">
        <v>118</v>
      </c>
      <c r="I28" s="479" t="s">
        <v>93</v>
      </c>
    </row>
    <row r="29" spans="1:12" ht="30.6" customHeight="1">
      <c r="A29" s="475" t="s">
        <v>744</v>
      </c>
      <c r="B29" s="487" t="s">
        <v>873</v>
      </c>
      <c r="C29" s="492" t="s">
        <v>864</v>
      </c>
      <c r="D29" s="402" t="s">
        <v>773</v>
      </c>
      <c r="E29" s="408"/>
      <c r="F29" s="403" t="s">
        <v>17</v>
      </c>
      <c r="G29" s="403" t="s">
        <v>17</v>
      </c>
      <c r="H29" s="403"/>
      <c r="I29" s="479" t="s">
        <v>735</v>
      </c>
    </row>
    <row r="30" spans="1:12" ht="41.4" customHeight="1">
      <c r="A30" s="475" t="s">
        <v>745</v>
      </c>
      <c r="B30" s="489" t="s">
        <v>119</v>
      </c>
      <c r="C30" s="492" t="s">
        <v>864</v>
      </c>
      <c r="D30" s="403"/>
      <c r="E30" s="403"/>
      <c r="F30" s="403"/>
      <c r="G30" s="403"/>
      <c r="H30" s="403"/>
      <c r="I30" s="479"/>
    </row>
    <row r="31" spans="1:12" ht="27" customHeight="1">
      <c r="A31" s="475" t="s">
        <v>746</v>
      </c>
      <c r="B31" s="495" t="s">
        <v>870</v>
      </c>
      <c r="C31" s="477" t="s">
        <v>128</v>
      </c>
      <c r="D31" s="403"/>
      <c r="E31" s="403"/>
      <c r="F31" s="403"/>
      <c r="G31" s="403"/>
      <c r="H31" s="403" t="s">
        <v>118</v>
      </c>
      <c r="I31" s="490" t="s">
        <v>60</v>
      </c>
    </row>
    <row r="59" spans="2:9" s="222" customFormat="1" ht="19.95" customHeight="1">
      <c r="B59" s="6"/>
      <c r="C59" s="6"/>
      <c r="D59" s="6"/>
      <c r="E59" s="6"/>
      <c r="F59" s="6"/>
      <c r="G59" s="6"/>
      <c r="H59" s="6"/>
      <c r="I59" s="6"/>
    </row>
  </sheetData>
  <mergeCells count="23">
    <mergeCell ref="A14:B14"/>
    <mergeCell ref="J19:L19"/>
    <mergeCell ref="J18:L18"/>
    <mergeCell ref="D15:H15"/>
    <mergeCell ref="A15:A16"/>
    <mergeCell ref="B15:B16"/>
    <mergeCell ref="C15:C16"/>
    <mergeCell ref="I15:I16"/>
    <mergeCell ref="G8:I8"/>
    <mergeCell ref="G9:I9"/>
    <mergeCell ref="A1:I1"/>
    <mergeCell ref="A2:I2"/>
    <mergeCell ref="A5:B5"/>
    <mergeCell ref="A8:F8"/>
    <mergeCell ref="A9:F9"/>
    <mergeCell ref="G10:I10"/>
    <mergeCell ref="G11:I11"/>
    <mergeCell ref="G12:I12"/>
    <mergeCell ref="G13:I13"/>
    <mergeCell ref="A10:F10"/>
    <mergeCell ref="A11:F11"/>
    <mergeCell ref="A12:F12"/>
    <mergeCell ref="A13:F13"/>
  </mergeCells>
  <phoneticPr fontId="11" type="noConversion"/>
  <hyperlinks>
    <hyperlink ref="I3" location="底稿目录!A1" display="H8A"/>
  </hyperlinks>
  <printOptions horizontalCentered="1"/>
  <pageMargins left="0.70866141732283472" right="0.70866141732283472" top="0.74803149606299213" bottom="0.74803149606299213" header="0.31496062992125984" footer="0.31496062992125984"/>
  <pageSetup paperSize="9" scale="68" fitToHeight="2"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I65"/>
  <sheetViews>
    <sheetView view="pageBreakPreview" zoomScaleSheetLayoutView="100" workbookViewId="0">
      <selection sqref="A1:I1"/>
    </sheetView>
  </sheetViews>
  <sheetFormatPr defaultColWidth="9" defaultRowHeight="19.95" customHeight="1"/>
  <cols>
    <col min="1" max="1" width="25.69921875" style="1" customWidth="1"/>
    <col min="2" max="7" width="11" style="1" customWidth="1"/>
    <col min="8" max="16384" width="9" style="1"/>
  </cols>
  <sheetData>
    <row r="1" spans="1:9" s="311" customFormat="1" ht="19.95" customHeight="1">
      <c r="A1" s="622" t="s">
        <v>711</v>
      </c>
      <c r="B1" s="623"/>
      <c r="C1" s="623"/>
      <c r="D1" s="623"/>
      <c r="E1" s="623"/>
      <c r="F1" s="623"/>
      <c r="G1" s="623"/>
      <c r="H1" s="623"/>
      <c r="I1" s="623"/>
    </row>
    <row r="2" spans="1:9" s="322" customFormat="1" ht="19.95" customHeight="1">
      <c r="A2" s="624" t="s">
        <v>719</v>
      </c>
      <c r="B2" s="624"/>
      <c r="C2" s="624"/>
      <c r="D2" s="624"/>
      <c r="E2" s="624"/>
      <c r="F2" s="624"/>
      <c r="G2" s="624"/>
      <c r="H2" s="624"/>
      <c r="I2" s="624"/>
    </row>
    <row r="3" spans="1:9" ht="19.95" customHeight="1">
      <c r="A3" s="2" t="str">
        <f>底稿目录!A2</f>
        <v>被审计单位：</v>
      </c>
      <c r="B3" s="2"/>
      <c r="C3" s="2" t="str">
        <f>底稿目录!A4</f>
        <v>编制人：</v>
      </c>
      <c r="D3" s="2"/>
      <c r="F3" s="2" t="str">
        <f>底稿目录!A6</f>
        <v>编制日期：</v>
      </c>
      <c r="H3" s="357" t="s">
        <v>733</v>
      </c>
      <c r="I3" s="210" t="s">
        <v>79</v>
      </c>
    </row>
    <row r="4" spans="1:9" ht="19.95" customHeight="1">
      <c r="A4" s="2" t="str">
        <f>底稿目录!A3</f>
        <v>截止日：202X年12月31日</v>
      </c>
      <c r="B4" s="2"/>
      <c r="C4" s="2" t="str">
        <f>底稿目录!A5</f>
        <v>复核人：</v>
      </c>
      <c r="D4" s="2"/>
      <c r="F4" s="2" t="str">
        <f>底稿目录!A7</f>
        <v>复核日期：</v>
      </c>
      <c r="H4" s="357" t="s">
        <v>734</v>
      </c>
      <c r="I4" s="218"/>
    </row>
    <row r="5" spans="1:9" ht="26.4" customHeight="1">
      <c r="A5" s="625" t="s">
        <v>8</v>
      </c>
      <c r="B5" s="627" t="s">
        <v>136</v>
      </c>
      <c r="C5" s="628"/>
      <c r="D5" s="629"/>
      <c r="E5" s="627" t="s">
        <v>137</v>
      </c>
      <c r="F5" s="628"/>
      <c r="G5" s="629"/>
      <c r="H5" s="620" t="s">
        <v>138</v>
      </c>
      <c r="I5" s="621"/>
    </row>
    <row r="6" spans="1:9" ht="19.95" customHeight="1">
      <c r="A6" s="626"/>
      <c r="B6" s="223" t="s">
        <v>139</v>
      </c>
      <c r="C6" s="223" t="s">
        <v>140</v>
      </c>
      <c r="D6" s="223" t="s">
        <v>141</v>
      </c>
      <c r="E6" s="223" t="s">
        <v>142</v>
      </c>
      <c r="F6" s="223" t="s">
        <v>140</v>
      </c>
      <c r="G6" s="223" t="s">
        <v>143</v>
      </c>
      <c r="H6" s="224" t="s">
        <v>144</v>
      </c>
      <c r="I6" s="225" t="s">
        <v>145</v>
      </c>
    </row>
    <row r="7" spans="1:9" s="59" customFormat="1" ht="19.95" customHeight="1">
      <c r="A7" s="196" t="s">
        <v>146</v>
      </c>
      <c r="B7" s="79"/>
      <c r="C7" s="79"/>
      <c r="D7" s="79"/>
      <c r="E7" s="79"/>
      <c r="F7" s="79"/>
      <c r="G7" s="79"/>
      <c r="H7" s="80"/>
      <c r="I7" s="81"/>
    </row>
    <row r="8" spans="1:9" s="59" customFormat="1" ht="19.95" customHeight="1">
      <c r="A8" s="68" t="str">
        <f>底稿目录!A9</f>
        <v>房屋及建筑物</v>
      </c>
      <c r="B8" s="79">
        <f>'明细表H8-2'!D34</f>
        <v>0</v>
      </c>
      <c r="C8" s="79">
        <f>'明细表H8-2'!L34</f>
        <v>0</v>
      </c>
      <c r="D8" s="79">
        <f>B8+C8</f>
        <v>0</v>
      </c>
      <c r="E8" s="79">
        <f>'明细表H8-2'!K34</f>
        <v>0</v>
      </c>
      <c r="F8" s="79">
        <f>'明细表H8-2'!L34+'明细表H8-2'!M34+'明细表H8-2'!N34+'明细表H8-2'!O34-'明细表H8-2'!P34-'明细表H8-2'!Q34-'明细表H8-2'!R34</f>
        <v>0</v>
      </c>
      <c r="G8" s="79">
        <f>E8+F8</f>
        <v>0</v>
      </c>
      <c r="H8" s="80">
        <f t="shared" ref="H8:H13" si="0">G8-D8</f>
        <v>0</v>
      </c>
      <c r="I8" s="81">
        <f t="shared" ref="I8:I13" si="1">IF(AND(D8=0,H8=0),0,IF(AND(D8=0,H8&gt;0),1,H8/D8))</f>
        <v>0</v>
      </c>
    </row>
    <row r="9" spans="1:9" s="59" customFormat="1" ht="19.95" customHeight="1">
      <c r="A9" s="68" t="str">
        <f>底稿目录!A10</f>
        <v>机器设备</v>
      </c>
      <c r="B9" s="79">
        <f>'明细表H8-2'!D35</f>
        <v>0</v>
      </c>
      <c r="C9" s="79">
        <f>'明细表H8-2'!L35</f>
        <v>0</v>
      </c>
      <c r="D9" s="79">
        <f t="shared" ref="D9:D11" si="2">B9+C9</f>
        <v>0</v>
      </c>
      <c r="E9" s="79">
        <f>'明细表H8-2'!K35</f>
        <v>0</v>
      </c>
      <c r="F9" s="79">
        <f>'明细表H8-2'!L35+'明细表H8-2'!M35+'明细表H8-2'!N35+'明细表H8-2'!O35-'明细表H8-2'!P35-'明细表H8-2'!Q35-'明细表H8-2'!R35</f>
        <v>0</v>
      </c>
      <c r="G9" s="79">
        <f t="shared" ref="G9:G12" si="3">E9+F9</f>
        <v>0</v>
      </c>
      <c r="H9" s="80">
        <f t="shared" si="0"/>
        <v>0</v>
      </c>
      <c r="I9" s="81">
        <f t="shared" si="1"/>
        <v>0</v>
      </c>
    </row>
    <row r="10" spans="1:9" s="59" customFormat="1" ht="19.95" customHeight="1">
      <c r="A10" s="68" t="str">
        <f>底稿目录!A11</f>
        <v>运输设备</v>
      </c>
      <c r="B10" s="79">
        <f>'明细表H8-2'!D36</f>
        <v>0</v>
      </c>
      <c r="C10" s="79">
        <f>'明细表H8-2'!L36</f>
        <v>0</v>
      </c>
      <c r="D10" s="79">
        <f t="shared" si="2"/>
        <v>0</v>
      </c>
      <c r="E10" s="79">
        <f>'明细表H8-2'!K36</f>
        <v>0</v>
      </c>
      <c r="F10" s="79">
        <f>'明细表H8-2'!L36+'明细表H8-2'!M36+'明细表H8-2'!N36+'明细表H8-2'!O36-'明细表H8-2'!P36-'明细表H8-2'!Q36-'明细表H8-2'!R36</f>
        <v>0</v>
      </c>
      <c r="G10" s="79">
        <f t="shared" si="3"/>
        <v>0</v>
      </c>
      <c r="H10" s="80">
        <f t="shared" si="0"/>
        <v>0</v>
      </c>
      <c r="I10" s="81">
        <f t="shared" si="1"/>
        <v>0</v>
      </c>
    </row>
    <row r="11" spans="1:9" s="59" customFormat="1" ht="19.95" customHeight="1">
      <c r="A11" s="68" t="str">
        <f>底稿目录!A12</f>
        <v>办公设备</v>
      </c>
      <c r="B11" s="79">
        <f>'明细表H8-2'!D37</f>
        <v>0</v>
      </c>
      <c r="C11" s="79">
        <f>'明细表H8-2'!L37</f>
        <v>0</v>
      </c>
      <c r="D11" s="79">
        <f t="shared" si="2"/>
        <v>0</v>
      </c>
      <c r="E11" s="79">
        <f>'明细表H8-2'!K37</f>
        <v>0</v>
      </c>
      <c r="F11" s="79">
        <f>'明细表H8-2'!L37+'明细表H8-2'!M37+'明细表H8-2'!N37+'明细表H8-2'!O37-'明细表H8-2'!P37-'明细表H8-2'!Q37-'明细表H8-2'!R37</f>
        <v>0</v>
      </c>
      <c r="G11" s="79">
        <f t="shared" si="3"/>
        <v>0</v>
      </c>
      <c r="H11" s="80">
        <f t="shared" si="0"/>
        <v>0</v>
      </c>
      <c r="I11" s="81">
        <f t="shared" si="1"/>
        <v>0</v>
      </c>
    </row>
    <row r="12" spans="1:9" s="59" customFormat="1" ht="19.95" customHeight="1">
      <c r="A12" s="68" t="str">
        <f>底稿目录!A13</f>
        <v>其他设备</v>
      </c>
      <c r="B12" s="79">
        <f>'明细表H8-2'!D38</f>
        <v>0</v>
      </c>
      <c r="C12" s="79">
        <f>'明细表H8-2'!L38</f>
        <v>0</v>
      </c>
      <c r="D12" s="79">
        <f>B12+C12</f>
        <v>0</v>
      </c>
      <c r="E12" s="79">
        <f>'明细表H8-2'!K38</f>
        <v>0</v>
      </c>
      <c r="F12" s="79">
        <f>'明细表H8-2'!L38+'明细表H8-2'!M38+'明细表H8-2'!N38+'明细表H8-2'!O38-'明细表H8-2'!P38-'明细表H8-2'!Q38-'明细表H8-2'!R38</f>
        <v>0</v>
      </c>
      <c r="G12" s="79">
        <f t="shared" si="3"/>
        <v>0</v>
      </c>
      <c r="H12" s="80">
        <f t="shared" si="0"/>
        <v>0</v>
      </c>
      <c r="I12" s="81">
        <f t="shared" si="1"/>
        <v>0</v>
      </c>
    </row>
    <row r="13" spans="1:9" s="59" customFormat="1" ht="19.95" customHeight="1">
      <c r="A13" s="78" t="s">
        <v>147</v>
      </c>
      <c r="B13" s="79">
        <f>SUM(B8:B12)</f>
        <v>0</v>
      </c>
      <c r="C13" s="79">
        <f>SUM(C8:C12)</f>
        <v>0</v>
      </c>
      <c r="D13" s="79">
        <f t="shared" ref="D13:G13" si="4">SUM(D8:D12)</f>
        <v>0</v>
      </c>
      <c r="E13" s="79">
        <f t="shared" si="4"/>
        <v>0</v>
      </c>
      <c r="F13" s="79">
        <f t="shared" si="4"/>
        <v>0</v>
      </c>
      <c r="G13" s="79">
        <f t="shared" si="4"/>
        <v>0</v>
      </c>
      <c r="H13" s="80">
        <f t="shared" si="0"/>
        <v>0</v>
      </c>
      <c r="I13" s="81">
        <f t="shared" si="1"/>
        <v>0</v>
      </c>
    </row>
    <row r="14" spans="1:9" s="59" customFormat="1" ht="19.95" customHeight="1">
      <c r="A14" s="196" t="s">
        <v>148</v>
      </c>
      <c r="B14" s="79"/>
      <c r="C14" s="79"/>
      <c r="D14" s="79"/>
      <c r="E14" s="79"/>
      <c r="F14" s="79"/>
      <c r="G14" s="79"/>
      <c r="H14" s="82"/>
      <c r="I14" s="83"/>
    </row>
    <row r="15" spans="1:9" s="59" customFormat="1" ht="19.95" customHeight="1">
      <c r="A15" s="68" t="str">
        <f>A8</f>
        <v>房屋及建筑物</v>
      </c>
      <c r="B15" s="79">
        <f>'明细表H8-2'!W34</f>
        <v>0</v>
      </c>
      <c r="C15" s="79">
        <f>'明细表H8-2'!AD34</f>
        <v>0</v>
      </c>
      <c r="D15" s="79">
        <f t="shared" ref="D15:D19" si="5">B15+C15</f>
        <v>0</v>
      </c>
      <c r="E15" s="79">
        <f>'明细表H8-2'!AC34</f>
        <v>0</v>
      </c>
      <c r="F15" s="79">
        <f>'明细表H8-2'!AD34+'明细表H8-2'!AE34+'明细表H8-2'!AF34-'明细表H8-2'!AG34-'明细表H8-2'!AH34-'明细表H8-2'!AI34</f>
        <v>0</v>
      </c>
      <c r="G15" s="79">
        <f t="shared" ref="G15:G19" si="6">E15+F15</f>
        <v>0</v>
      </c>
      <c r="H15" s="80">
        <f t="shared" ref="H15:H20" si="7">G15-D15</f>
        <v>0</v>
      </c>
      <c r="I15" s="81">
        <f t="shared" ref="I15:I20" si="8">IF(AND(D15=0,H15=0),0,IF(AND(D15=0,H15&gt;0),1,H15/D15))</f>
        <v>0</v>
      </c>
    </row>
    <row r="16" spans="1:9" s="59" customFormat="1" ht="19.95" customHeight="1">
      <c r="A16" s="68" t="str">
        <f>A9</f>
        <v>机器设备</v>
      </c>
      <c r="B16" s="79">
        <f>'明细表H8-2'!W35</f>
        <v>0</v>
      </c>
      <c r="C16" s="79">
        <f>'明细表H8-2'!AD35</f>
        <v>0</v>
      </c>
      <c r="D16" s="79">
        <f t="shared" si="5"/>
        <v>0</v>
      </c>
      <c r="E16" s="79">
        <f>'明细表H8-2'!AC35</f>
        <v>0</v>
      </c>
      <c r="F16" s="79">
        <f>'明细表H8-2'!AD35+'明细表H8-2'!AE35+'明细表H8-2'!AF35-'明细表H8-2'!AG35-'明细表H8-2'!AH35-'明细表H8-2'!AI35</f>
        <v>0</v>
      </c>
      <c r="G16" s="79">
        <f t="shared" si="6"/>
        <v>0</v>
      </c>
      <c r="H16" s="80">
        <f t="shared" si="7"/>
        <v>0</v>
      </c>
      <c r="I16" s="81">
        <f t="shared" si="8"/>
        <v>0</v>
      </c>
    </row>
    <row r="17" spans="1:9" s="59" customFormat="1" ht="19.95" customHeight="1">
      <c r="A17" s="68" t="str">
        <f>A10</f>
        <v>运输设备</v>
      </c>
      <c r="B17" s="79">
        <f>'明细表H8-2'!W36</f>
        <v>0</v>
      </c>
      <c r="C17" s="79">
        <f>'明细表H8-2'!AD36</f>
        <v>0</v>
      </c>
      <c r="D17" s="79">
        <f t="shared" si="5"/>
        <v>0</v>
      </c>
      <c r="E17" s="79">
        <f>'明细表H8-2'!AC36</f>
        <v>0</v>
      </c>
      <c r="F17" s="79">
        <f>'明细表H8-2'!AD36+'明细表H8-2'!AE36+'明细表H8-2'!AF36-'明细表H8-2'!AG36-'明细表H8-2'!AH36-'明细表H8-2'!AI36</f>
        <v>0</v>
      </c>
      <c r="G17" s="79">
        <f t="shared" si="6"/>
        <v>0</v>
      </c>
      <c r="H17" s="80">
        <f t="shared" si="7"/>
        <v>0</v>
      </c>
      <c r="I17" s="81">
        <f t="shared" si="8"/>
        <v>0</v>
      </c>
    </row>
    <row r="18" spans="1:9" s="59" customFormat="1" ht="19.95" customHeight="1">
      <c r="A18" s="68" t="str">
        <f>A11</f>
        <v>办公设备</v>
      </c>
      <c r="B18" s="79">
        <f>'明细表H8-2'!W37</f>
        <v>0</v>
      </c>
      <c r="C18" s="79">
        <f>'明细表H8-2'!AD37</f>
        <v>0</v>
      </c>
      <c r="D18" s="79">
        <f t="shared" si="5"/>
        <v>0</v>
      </c>
      <c r="E18" s="79">
        <f>'明细表H8-2'!AC37</f>
        <v>0</v>
      </c>
      <c r="F18" s="79">
        <f>'明细表H8-2'!AD37+'明细表H8-2'!AE37+'明细表H8-2'!AF37-'明细表H8-2'!AG37-'明细表H8-2'!AH37-'明细表H8-2'!AI37</f>
        <v>0</v>
      </c>
      <c r="G18" s="79">
        <f t="shared" si="6"/>
        <v>0</v>
      </c>
      <c r="H18" s="80">
        <f t="shared" si="7"/>
        <v>0</v>
      </c>
      <c r="I18" s="81">
        <f t="shared" si="8"/>
        <v>0</v>
      </c>
    </row>
    <row r="19" spans="1:9" s="59" customFormat="1" ht="19.95" customHeight="1">
      <c r="A19" s="68" t="str">
        <f>A12</f>
        <v>其他设备</v>
      </c>
      <c r="B19" s="79">
        <f>'明细表H8-2'!W38</f>
        <v>0</v>
      </c>
      <c r="C19" s="79">
        <f>'明细表H8-2'!AD38</f>
        <v>0</v>
      </c>
      <c r="D19" s="79">
        <f t="shared" si="5"/>
        <v>0</v>
      </c>
      <c r="E19" s="79">
        <f>'明细表H8-2'!AC38</f>
        <v>0</v>
      </c>
      <c r="F19" s="79">
        <f>'明细表H8-2'!AD38+'明细表H8-2'!AE38+'明细表H8-2'!AF38-'明细表H8-2'!AG38-'明细表H8-2'!AH38-'明细表H8-2'!AI38</f>
        <v>0</v>
      </c>
      <c r="G19" s="79">
        <f t="shared" si="6"/>
        <v>0</v>
      </c>
      <c r="H19" s="80">
        <f t="shared" si="7"/>
        <v>0</v>
      </c>
      <c r="I19" s="81">
        <f t="shared" si="8"/>
        <v>0</v>
      </c>
    </row>
    <row r="20" spans="1:9" s="59" customFormat="1" ht="19.95" customHeight="1">
      <c r="A20" s="78" t="s">
        <v>147</v>
      </c>
      <c r="B20" s="79">
        <f>SUM(B15:B19)</f>
        <v>0</v>
      </c>
      <c r="C20" s="79">
        <f>SUM(C15:C19)</f>
        <v>0</v>
      </c>
      <c r="D20" s="79">
        <f t="shared" ref="D20" si="9">SUM(D15:D19)</f>
        <v>0</v>
      </c>
      <c r="E20" s="79">
        <f t="shared" ref="E20" si="10">SUM(E15:E19)</f>
        <v>0</v>
      </c>
      <c r="F20" s="79">
        <f t="shared" ref="F20" si="11">SUM(F15:F19)</f>
        <v>0</v>
      </c>
      <c r="G20" s="79">
        <f t="shared" ref="G20" si="12">SUM(G15:G19)</f>
        <v>0</v>
      </c>
      <c r="H20" s="80">
        <f t="shared" si="7"/>
        <v>0</v>
      </c>
      <c r="I20" s="81">
        <f t="shared" si="8"/>
        <v>0</v>
      </c>
    </row>
    <row r="21" spans="1:9" s="59" customFormat="1" ht="19.95" customHeight="1">
      <c r="A21" s="196" t="s">
        <v>149</v>
      </c>
      <c r="B21" s="79"/>
      <c r="C21" s="79"/>
      <c r="D21" s="79"/>
      <c r="E21" s="79"/>
      <c r="F21" s="79"/>
      <c r="G21" s="79"/>
      <c r="H21" s="82"/>
      <c r="I21" s="81"/>
    </row>
    <row r="22" spans="1:9" s="59" customFormat="1" ht="19.95" customHeight="1">
      <c r="A22" s="68" t="str">
        <f>A15</f>
        <v>房屋及建筑物</v>
      </c>
      <c r="B22" s="79">
        <f>'明细表H8-2'!AN34</f>
        <v>0</v>
      </c>
      <c r="C22" s="79">
        <f>'明细表H8-2'!AU34</f>
        <v>0</v>
      </c>
      <c r="D22" s="79">
        <f t="shared" ref="D22:D26" si="13">B22+C22</f>
        <v>0</v>
      </c>
      <c r="E22" s="79">
        <f>'明细表H8-2'!AT34</f>
        <v>0</v>
      </c>
      <c r="F22" s="79">
        <f>'明细表H8-2'!AU34+'明细表H8-2'!AV34+'明细表H8-2'!AW34-'明细表H8-2'!AX34-'明细表H8-2'!AY34-'明细表H8-2'!AZ34</f>
        <v>0</v>
      </c>
      <c r="G22" s="79">
        <f t="shared" ref="G22:G26" si="14">E22+F22</f>
        <v>0</v>
      </c>
      <c r="H22" s="80">
        <f t="shared" ref="H22:H27" si="15">G22-D22</f>
        <v>0</v>
      </c>
      <c r="I22" s="81">
        <f t="shared" ref="I22:I27" si="16">IF(AND(D22=0,H22=0),0,IF(AND(D22=0,H22&gt;0),1,H22/D22))</f>
        <v>0</v>
      </c>
    </row>
    <row r="23" spans="1:9" s="59" customFormat="1" ht="19.95" customHeight="1">
      <c r="A23" s="68" t="str">
        <f>A16</f>
        <v>机器设备</v>
      </c>
      <c r="B23" s="79">
        <f>'明细表H8-2'!AN35</f>
        <v>0</v>
      </c>
      <c r="C23" s="79">
        <f>'明细表H8-2'!AU35</f>
        <v>0</v>
      </c>
      <c r="D23" s="79">
        <f t="shared" si="13"/>
        <v>0</v>
      </c>
      <c r="E23" s="79">
        <f>'明细表H8-2'!AT35</f>
        <v>0</v>
      </c>
      <c r="F23" s="79">
        <f>'明细表H8-2'!AU35+'明细表H8-2'!AV35+'明细表H8-2'!AW35-'明细表H8-2'!AX35-'明细表H8-2'!AY35-'明细表H8-2'!AZ35</f>
        <v>0</v>
      </c>
      <c r="G23" s="79">
        <f t="shared" si="14"/>
        <v>0</v>
      </c>
      <c r="H23" s="80">
        <f t="shared" si="15"/>
        <v>0</v>
      </c>
      <c r="I23" s="81">
        <f t="shared" si="16"/>
        <v>0</v>
      </c>
    </row>
    <row r="24" spans="1:9" s="59" customFormat="1" ht="19.95" customHeight="1">
      <c r="A24" s="68" t="str">
        <f>A17</f>
        <v>运输设备</v>
      </c>
      <c r="B24" s="79">
        <f>'明细表H8-2'!AN36</f>
        <v>0</v>
      </c>
      <c r="C24" s="79">
        <f>'明细表H8-2'!AU36</f>
        <v>0</v>
      </c>
      <c r="D24" s="79">
        <f t="shared" si="13"/>
        <v>0</v>
      </c>
      <c r="E24" s="79">
        <f>'明细表H8-2'!AT36</f>
        <v>0</v>
      </c>
      <c r="F24" s="79">
        <f>'明细表H8-2'!AU36+'明细表H8-2'!AV36+'明细表H8-2'!AW36-'明细表H8-2'!AX36-'明细表H8-2'!AY36-'明细表H8-2'!AZ36</f>
        <v>0</v>
      </c>
      <c r="G24" s="79">
        <f t="shared" si="14"/>
        <v>0</v>
      </c>
      <c r="H24" s="80">
        <f t="shared" si="15"/>
        <v>0</v>
      </c>
      <c r="I24" s="81">
        <f t="shared" si="16"/>
        <v>0</v>
      </c>
    </row>
    <row r="25" spans="1:9" s="59" customFormat="1" ht="19.95" customHeight="1">
      <c r="A25" s="68" t="str">
        <f>A18</f>
        <v>办公设备</v>
      </c>
      <c r="B25" s="79">
        <f>'明细表H8-2'!AN37</f>
        <v>0</v>
      </c>
      <c r="C25" s="79">
        <f>'明细表H8-2'!AU37</f>
        <v>0</v>
      </c>
      <c r="D25" s="79">
        <f t="shared" si="13"/>
        <v>0</v>
      </c>
      <c r="E25" s="79">
        <f>'明细表H8-2'!AT37</f>
        <v>0</v>
      </c>
      <c r="F25" s="79">
        <f>'明细表H8-2'!AU37+'明细表H8-2'!AV37+'明细表H8-2'!AW37-'明细表H8-2'!AX37-'明细表H8-2'!AY37-'明细表H8-2'!AZ37</f>
        <v>0</v>
      </c>
      <c r="G25" s="79">
        <f t="shared" si="14"/>
        <v>0</v>
      </c>
      <c r="H25" s="80">
        <f t="shared" si="15"/>
        <v>0</v>
      </c>
      <c r="I25" s="81">
        <f t="shared" si="16"/>
        <v>0</v>
      </c>
    </row>
    <row r="26" spans="1:9" s="59" customFormat="1" ht="19.95" customHeight="1">
      <c r="A26" s="68" t="str">
        <f>A19</f>
        <v>其他设备</v>
      </c>
      <c r="B26" s="79">
        <f>'明细表H8-2'!AN38</f>
        <v>0</v>
      </c>
      <c r="C26" s="79">
        <f>'明细表H8-2'!AU38</f>
        <v>0</v>
      </c>
      <c r="D26" s="79">
        <f t="shared" si="13"/>
        <v>0</v>
      </c>
      <c r="E26" s="79">
        <f>'明细表H8-2'!AT38</f>
        <v>0</v>
      </c>
      <c r="F26" s="79">
        <f>'明细表H8-2'!AU38+'明细表H8-2'!AV38+'明细表H8-2'!AW38-'明细表H8-2'!AX38-'明细表H8-2'!AY38-'明细表H8-2'!AZ38</f>
        <v>0</v>
      </c>
      <c r="G26" s="79">
        <f t="shared" si="14"/>
        <v>0</v>
      </c>
      <c r="H26" s="80">
        <f t="shared" si="15"/>
        <v>0</v>
      </c>
      <c r="I26" s="81">
        <f t="shared" si="16"/>
        <v>0</v>
      </c>
    </row>
    <row r="27" spans="1:9" s="59" customFormat="1" ht="19.95" customHeight="1">
      <c r="A27" s="78" t="s">
        <v>12</v>
      </c>
      <c r="B27" s="79">
        <f>SUM(B22:B26)</f>
        <v>0</v>
      </c>
      <c r="C27" s="79">
        <f>SUM(C22:C26)</f>
        <v>0</v>
      </c>
      <c r="D27" s="79">
        <f t="shared" ref="D27" si="17">SUM(D22:D26)</f>
        <v>0</v>
      </c>
      <c r="E27" s="79">
        <f t="shared" ref="E27" si="18">SUM(E22:E26)</f>
        <v>0</v>
      </c>
      <c r="F27" s="79">
        <f t="shared" ref="F27" si="19">SUM(F22:F26)</f>
        <v>0</v>
      </c>
      <c r="G27" s="79">
        <f t="shared" ref="G27" si="20">SUM(G22:G26)</f>
        <v>0</v>
      </c>
      <c r="H27" s="80">
        <f t="shared" si="15"/>
        <v>0</v>
      </c>
      <c r="I27" s="81">
        <f t="shared" si="16"/>
        <v>0</v>
      </c>
    </row>
    <row r="28" spans="1:9" s="59" customFormat="1" ht="19.95" customHeight="1">
      <c r="A28" s="196" t="s">
        <v>150</v>
      </c>
      <c r="B28" s="79"/>
      <c r="C28" s="79"/>
      <c r="D28" s="79"/>
      <c r="E28" s="79"/>
      <c r="F28" s="79"/>
      <c r="G28" s="79"/>
      <c r="H28" s="80"/>
      <c r="I28" s="81"/>
    </row>
    <row r="29" spans="1:9" s="59" customFormat="1" ht="19.95" customHeight="1">
      <c r="A29" s="68" t="str">
        <f>A22</f>
        <v>房屋及建筑物</v>
      </c>
      <c r="B29" s="79">
        <f>B8-B15-B22</f>
        <v>0</v>
      </c>
      <c r="C29" s="79">
        <f>C8-C15-C22</f>
        <v>0</v>
      </c>
      <c r="D29" s="79">
        <f>D8-D15-D22</f>
        <v>0</v>
      </c>
      <c r="E29" s="79">
        <f t="shared" ref="E29:G29" si="21">E8-E15-E22</f>
        <v>0</v>
      </c>
      <c r="F29" s="79">
        <f t="shared" si="21"/>
        <v>0</v>
      </c>
      <c r="G29" s="79">
        <f t="shared" si="21"/>
        <v>0</v>
      </c>
      <c r="H29" s="80">
        <f t="shared" ref="H29:H34" si="22">G29-D29</f>
        <v>0</v>
      </c>
      <c r="I29" s="81">
        <f t="shared" ref="I29:I34" si="23">IF(AND(D29=0,H29=0),0,IF(AND(D29=0,H29&gt;0),1,H29/D29))</f>
        <v>0</v>
      </c>
    </row>
    <row r="30" spans="1:9" s="59" customFormat="1" ht="19.95" customHeight="1">
      <c r="A30" s="68" t="str">
        <f>A23</f>
        <v>机器设备</v>
      </c>
      <c r="B30" s="79">
        <f t="shared" ref="B30:G33" si="24">B9-B16-B23</f>
        <v>0</v>
      </c>
      <c r="C30" s="79">
        <f>C9-C16-C23</f>
        <v>0</v>
      </c>
      <c r="D30" s="79">
        <f t="shared" si="24"/>
        <v>0</v>
      </c>
      <c r="E30" s="79">
        <f t="shared" si="24"/>
        <v>0</v>
      </c>
      <c r="F30" s="79">
        <f t="shared" si="24"/>
        <v>0</v>
      </c>
      <c r="G30" s="79">
        <f t="shared" si="24"/>
        <v>0</v>
      </c>
      <c r="H30" s="80">
        <f t="shared" si="22"/>
        <v>0</v>
      </c>
      <c r="I30" s="81">
        <f t="shared" si="23"/>
        <v>0</v>
      </c>
    </row>
    <row r="31" spans="1:9" s="59" customFormat="1" ht="19.95" customHeight="1">
      <c r="A31" s="68" t="str">
        <f>A24</f>
        <v>运输设备</v>
      </c>
      <c r="B31" s="79">
        <f t="shared" si="24"/>
        <v>0</v>
      </c>
      <c r="C31" s="79">
        <f t="shared" si="24"/>
        <v>0</v>
      </c>
      <c r="D31" s="79">
        <f t="shared" si="24"/>
        <v>0</v>
      </c>
      <c r="E31" s="79">
        <f t="shared" si="24"/>
        <v>0</v>
      </c>
      <c r="F31" s="79">
        <f t="shared" si="24"/>
        <v>0</v>
      </c>
      <c r="G31" s="79">
        <f t="shared" si="24"/>
        <v>0</v>
      </c>
      <c r="H31" s="80">
        <f t="shared" si="22"/>
        <v>0</v>
      </c>
      <c r="I31" s="81">
        <f t="shared" si="23"/>
        <v>0</v>
      </c>
    </row>
    <row r="32" spans="1:9" s="59" customFormat="1" ht="19.95" customHeight="1">
      <c r="A32" s="68" t="str">
        <f>A25</f>
        <v>办公设备</v>
      </c>
      <c r="B32" s="79">
        <f t="shared" si="24"/>
        <v>0</v>
      </c>
      <c r="C32" s="79">
        <f t="shared" si="24"/>
        <v>0</v>
      </c>
      <c r="D32" s="79">
        <f t="shared" si="24"/>
        <v>0</v>
      </c>
      <c r="E32" s="79">
        <f t="shared" si="24"/>
        <v>0</v>
      </c>
      <c r="F32" s="79">
        <f t="shared" si="24"/>
        <v>0</v>
      </c>
      <c r="G32" s="79">
        <f t="shared" si="24"/>
        <v>0</v>
      </c>
      <c r="H32" s="80">
        <f t="shared" si="22"/>
        <v>0</v>
      </c>
      <c r="I32" s="81">
        <f t="shared" si="23"/>
        <v>0</v>
      </c>
    </row>
    <row r="33" spans="1:9" s="59" customFormat="1" ht="19.95" customHeight="1">
      <c r="A33" s="68" t="str">
        <f>A26</f>
        <v>其他设备</v>
      </c>
      <c r="B33" s="79">
        <f t="shared" si="24"/>
        <v>0</v>
      </c>
      <c r="C33" s="79">
        <f t="shared" si="24"/>
        <v>0</v>
      </c>
      <c r="D33" s="79">
        <f t="shared" si="24"/>
        <v>0</v>
      </c>
      <c r="E33" s="79">
        <f t="shared" si="24"/>
        <v>0</v>
      </c>
      <c r="F33" s="79">
        <f t="shared" si="24"/>
        <v>0</v>
      </c>
      <c r="G33" s="79">
        <f>G12-G19-G26</f>
        <v>0</v>
      </c>
      <c r="H33" s="80">
        <f t="shared" si="22"/>
        <v>0</v>
      </c>
      <c r="I33" s="81">
        <f t="shared" si="23"/>
        <v>0</v>
      </c>
    </row>
    <row r="34" spans="1:9" s="59" customFormat="1" ht="19.95" customHeight="1">
      <c r="A34" s="78" t="s">
        <v>151</v>
      </c>
      <c r="B34" s="79">
        <f>SUM(B29:B33)</f>
        <v>0</v>
      </c>
      <c r="C34" s="79">
        <f t="shared" ref="C34" si="25">SUM(C29:C33)</f>
        <v>0</v>
      </c>
      <c r="D34" s="79">
        <f t="shared" ref="D34" si="26">SUM(D29:D33)</f>
        <v>0</v>
      </c>
      <c r="E34" s="79">
        <f t="shared" ref="E34" si="27">SUM(E29:E33)</f>
        <v>0</v>
      </c>
      <c r="F34" s="79">
        <f t="shared" ref="F34" si="28">SUM(F29:F33)</f>
        <v>0</v>
      </c>
      <c r="G34" s="79">
        <f t="shared" ref="G34" si="29">SUM(G29:G33)</f>
        <v>0</v>
      </c>
      <c r="H34" s="80">
        <f t="shared" si="22"/>
        <v>0</v>
      </c>
      <c r="I34" s="81">
        <f t="shared" si="23"/>
        <v>0</v>
      </c>
    </row>
    <row r="35" spans="1:9" s="59" customFormat="1" ht="19.95" customHeight="1">
      <c r="A35" s="410" t="s">
        <v>785</v>
      </c>
      <c r="B35" s="411"/>
      <c r="C35" s="411"/>
      <c r="D35" s="409"/>
      <c r="E35" s="79"/>
      <c r="F35" s="79"/>
      <c r="G35" s="409"/>
      <c r="H35" s="80"/>
      <c r="I35" s="81"/>
    </row>
    <row r="36" spans="1:9" s="59" customFormat="1" ht="19.95" customHeight="1">
      <c r="A36" s="410" t="s">
        <v>786</v>
      </c>
      <c r="B36" s="79"/>
      <c r="C36" s="79"/>
      <c r="D36" s="79">
        <f>D34-D35</f>
        <v>0</v>
      </c>
      <c r="E36" s="79"/>
      <c r="F36" s="79"/>
      <c r="G36" s="79">
        <f>G34-G35</f>
        <v>0</v>
      </c>
      <c r="H36" s="80"/>
      <c r="I36" s="81"/>
    </row>
    <row r="37" spans="1:9" ht="19.95" customHeight="1">
      <c r="A37" s="228" t="s">
        <v>152</v>
      </c>
    </row>
    <row r="38" spans="1:9" ht="19.95" customHeight="1">
      <c r="A38" s="226" t="s">
        <v>153</v>
      </c>
      <c r="D38" s="61"/>
    </row>
    <row r="39" spans="1:9" ht="19.95" customHeight="1">
      <c r="A39" s="226" t="s">
        <v>154</v>
      </c>
    </row>
    <row r="41" spans="1:9" ht="19.95" customHeight="1">
      <c r="A41" s="1" t="s">
        <v>155</v>
      </c>
    </row>
    <row r="43" spans="1:9" ht="19.95" customHeight="1">
      <c r="A43" s="1" t="s">
        <v>156</v>
      </c>
    </row>
    <row r="44" spans="1:9" ht="19.95" customHeight="1">
      <c r="A44" s="227"/>
    </row>
    <row r="45" spans="1:9" ht="19.95" customHeight="1">
      <c r="A45" s="228" t="s">
        <v>157</v>
      </c>
    </row>
    <row r="49" spans="1:1" s="3" customFormat="1" ht="19.95" customHeight="1">
      <c r="A49" s="383"/>
    </row>
    <row r="50" spans="1:1" s="3" customFormat="1" ht="19.95" customHeight="1">
      <c r="A50" s="77"/>
    </row>
    <row r="51" spans="1:1" s="3" customFormat="1" ht="19.95" customHeight="1"/>
    <row r="52" spans="1:1" s="3" customFormat="1" ht="19.95" customHeight="1"/>
    <row r="53" spans="1:1" s="3" customFormat="1" ht="19.95" customHeight="1"/>
    <row r="54" spans="1:1" s="3" customFormat="1" ht="19.95" customHeight="1"/>
    <row r="55" spans="1:1" s="3" customFormat="1" ht="19.95" customHeight="1"/>
    <row r="56" spans="1:1" s="3" customFormat="1" ht="19.95" customHeight="1">
      <c r="A56" s="229"/>
    </row>
    <row r="57" spans="1:1" s="3" customFormat="1" ht="19.95" customHeight="1"/>
    <row r="58" spans="1:1" s="3" customFormat="1" ht="19.95" customHeight="1"/>
    <row r="59" spans="1:1" ht="19.95" customHeight="1">
      <c r="A59" s="3"/>
    </row>
    <row r="60" spans="1:1" ht="19.95" customHeight="1">
      <c r="A60" s="3"/>
    </row>
    <row r="61" spans="1:1" ht="19.95" customHeight="1">
      <c r="A61" s="3"/>
    </row>
    <row r="62" spans="1:1" ht="19.95" customHeight="1">
      <c r="A62" s="3"/>
    </row>
    <row r="63" spans="1:1" ht="19.95" customHeight="1">
      <c r="A63" s="3"/>
    </row>
    <row r="65" spans="1:1" ht="19.95" customHeight="1">
      <c r="A65" s="3"/>
    </row>
  </sheetData>
  <mergeCells count="6">
    <mergeCell ref="H5:I5"/>
    <mergeCell ref="A1:I1"/>
    <mergeCell ref="A2:I2"/>
    <mergeCell ref="A5:A6"/>
    <mergeCell ref="B5:D5"/>
    <mergeCell ref="E5:G5"/>
  </mergeCells>
  <phoneticPr fontId="11" type="noConversion"/>
  <hyperlinks>
    <hyperlink ref="I3" location="底稿目录!A1" display="H8A"/>
  </hyperlinks>
  <printOptions horizontalCentered="1"/>
  <pageMargins left="0.82677165354330717" right="0.35433070866141736" top="0.59055118110236227" bottom="0.43307086614173229" header="0.51181102362204722" footer="0.27559055118110237"/>
  <pageSetup paperSize="9" scale="77" fitToHeight="3" orientation="portrait" blackAndWhite="1" r:id="rId1"/>
  <headerFooter alignWithMargins="0">
    <oddFooter>&amp;C&amp;P/&amp;N</oddFooter>
  </headerFooter>
  <rowBreaks count="1" manualBreakCount="1">
    <brk id="27"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G48"/>
  <sheetViews>
    <sheetView view="pageBreakPreview" zoomScaleSheetLayoutView="100" workbookViewId="0">
      <selection sqref="A1:F1"/>
    </sheetView>
  </sheetViews>
  <sheetFormatPr defaultColWidth="9" defaultRowHeight="19.95" customHeight="1"/>
  <cols>
    <col min="1" max="1" width="27.19921875" style="4" customWidth="1"/>
    <col min="2" max="6" width="17.19921875" style="4" customWidth="1"/>
    <col min="7" max="7" width="14.59765625" style="4" customWidth="1"/>
    <col min="8" max="8" width="14.09765625" style="4" customWidth="1"/>
    <col min="9" max="16384" width="9" style="4"/>
  </cols>
  <sheetData>
    <row r="1" spans="1:7" s="309" customFormat="1" ht="19.95" customHeight="1">
      <c r="A1" s="623" t="s">
        <v>708</v>
      </c>
      <c r="B1" s="623"/>
      <c r="C1" s="623"/>
      <c r="D1" s="623"/>
      <c r="E1" s="623"/>
      <c r="F1" s="623"/>
      <c r="G1" s="310"/>
    </row>
    <row r="2" spans="1:7" s="321" customFormat="1" ht="19.95" customHeight="1">
      <c r="A2" s="624" t="s">
        <v>718</v>
      </c>
      <c r="B2" s="624"/>
      <c r="C2" s="624"/>
      <c r="D2" s="624"/>
      <c r="E2" s="624"/>
      <c r="F2" s="624"/>
    </row>
    <row r="3" spans="1:7" ht="19.95" customHeight="1">
      <c r="A3" s="2" t="str">
        <f>底稿目录!A2</f>
        <v>被审计单位：</v>
      </c>
      <c r="B3" s="2"/>
      <c r="C3" s="2" t="str">
        <f>底稿目录!A4</f>
        <v>编制人：</v>
      </c>
      <c r="D3" s="2"/>
      <c r="E3" s="2" t="str">
        <f>底稿目录!A6</f>
        <v>编制日期：</v>
      </c>
      <c r="F3" s="358" t="s">
        <v>733</v>
      </c>
      <c r="G3" s="1"/>
    </row>
    <row r="4" spans="1:7" ht="19.95" customHeight="1">
      <c r="A4" s="2" t="str">
        <f>底稿目录!A3</f>
        <v>截止日：202X年12月31日</v>
      </c>
      <c r="B4" s="2"/>
      <c r="C4" s="2" t="str">
        <f>底稿目录!A5</f>
        <v>复核人：</v>
      </c>
      <c r="D4" s="2"/>
      <c r="E4" s="2" t="str">
        <f>底稿目录!A7</f>
        <v>复核日期：</v>
      </c>
      <c r="F4" s="358" t="s">
        <v>734</v>
      </c>
      <c r="G4" s="1"/>
    </row>
    <row r="5" spans="1:7" ht="19.95" customHeight="1" thickBot="1">
      <c r="A5" s="231"/>
      <c r="B5" s="88"/>
      <c r="C5" s="88"/>
      <c r="D5" s="88"/>
      <c r="E5" s="88"/>
      <c r="F5" s="88"/>
    </row>
    <row r="6" spans="1:7" ht="19.95" customHeight="1" thickBot="1">
      <c r="A6" s="232" t="s">
        <v>159</v>
      </c>
      <c r="B6" s="233" t="s">
        <v>160</v>
      </c>
      <c r="C6" s="233" t="s">
        <v>161</v>
      </c>
      <c r="D6" s="233" t="s">
        <v>162</v>
      </c>
      <c r="E6" s="233" t="s">
        <v>6</v>
      </c>
      <c r="F6" s="233" t="s">
        <v>163</v>
      </c>
      <c r="G6" s="210" t="s">
        <v>164</v>
      </c>
    </row>
    <row r="7" spans="1:7" ht="19.95" customHeight="1">
      <c r="A7" s="234" t="s">
        <v>165</v>
      </c>
      <c r="B7" s="235"/>
      <c r="C7" s="138"/>
      <c r="D7" s="138"/>
      <c r="E7" s="138"/>
      <c r="F7" s="138"/>
    </row>
    <row r="8" spans="1:7" ht="19.95" customHeight="1">
      <c r="A8" s="234" t="s">
        <v>166</v>
      </c>
      <c r="B8" s="138"/>
      <c r="C8" s="138"/>
      <c r="D8" s="138"/>
      <c r="E8" s="138"/>
      <c r="F8" s="138"/>
    </row>
    <row r="9" spans="1:7" ht="19.95" customHeight="1">
      <c r="A9" s="234" t="s">
        <v>167</v>
      </c>
      <c r="B9" s="138"/>
      <c r="C9" s="138"/>
      <c r="D9" s="138"/>
      <c r="E9" s="138"/>
      <c r="F9" s="138"/>
    </row>
    <row r="10" spans="1:7" ht="19.95" customHeight="1">
      <c r="A10" s="234" t="s">
        <v>168</v>
      </c>
      <c r="B10" s="138"/>
      <c r="C10" s="138"/>
      <c r="D10" s="138"/>
      <c r="E10" s="138"/>
      <c r="F10" s="138"/>
    </row>
    <row r="11" spans="1:7" ht="19.95" customHeight="1">
      <c r="A11" s="234" t="s">
        <v>169</v>
      </c>
      <c r="B11" s="138"/>
      <c r="C11" s="138"/>
      <c r="D11" s="138"/>
      <c r="E11" s="138"/>
      <c r="F11" s="138"/>
    </row>
    <row r="12" spans="1:7" ht="19.95" customHeight="1">
      <c r="A12" s="234" t="s">
        <v>158</v>
      </c>
      <c r="B12" s="138"/>
      <c r="C12" s="138"/>
      <c r="D12" s="138"/>
      <c r="E12" s="138"/>
      <c r="F12" s="138"/>
    </row>
    <row r="13" spans="1:7" ht="19.95" customHeight="1">
      <c r="A13" s="234" t="s">
        <v>170</v>
      </c>
      <c r="B13" s="138"/>
      <c r="C13" s="138"/>
      <c r="D13" s="138"/>
      <c r="E13" s="138"/>
      <c r="F13" s="138"/>
    </row>
    <row r="14" spans="1:7" ht="19.95" customHeight="1">
      <c r="A14" s="234" t="s">
        <v>171</v>
      </c>
      <c r="B14" s="138"/>
      <c r="C14" s="138"/>
      <c r="D14" s="138"/>
      <c r="E14" s="138"/>
      <c r="F14" s="138"/>
    </row>
    <row r="15" spans="1:7" ht="19.95" customHeight="1">
      <c r="A15" s="234" t="s">
        <v>172</v>
      </c>
      <c r="B15" s="138"/>
      <c r="C15" s="138"/>
      <c r="D15" s="138"/>
      <c r="E15" s="138"/>
      <c r="F15" s="138"/>
    </row>
    <row r="16" spans="1:7" ht="19.95" customHeight="1">
      <c r="A16" s="234" t="s">
        <v>173</v>
      </c>
      <c r="B16" s="138"/>
      <c r="C16" s="138"/>
      <c r="D16" s="138"/>
      <c r="E16" s="138"/>
      <c r="F16" s="138"/>
    </row>
    <row r="17" spans="1:6" ht="19.95" customHeight="1">
      <c r="A17" s="234" t="s">
        <v>158</v>
      </c>
      <c r="B17" s="138"/>
      <c r="C17" s="138"/>
      <c r="D17" s="138"/>
      <c r="E17" s="138"/>
      <c r="F17" s="138"/>
    </row>
    <row r="18" spans="1:6" ht="19.95" customHeight="1">
      <c r="A18" s="234" t="s">
        <v>174</v>
      </c>
      <c r="B18" s="138"/>
      <c r="C18" s="138"/>
      <c r="D18" s="138"/>
      <c r="E18" s="138"/>
      <c r="F18" s="138"/>
    </row>
    <row r="19" spans="1:6" ht="19.95" customHeight="1">
      <c r="A19" s="234" t="s">
        <v>175</v>
      </c>
      <c r="B19" s="235"/>
      <c r="C19" s="138"/>
      <c r="D19" s="138"/>
      <c r="E19" s="138"/>
      <c r="F19" s="138"/>
    </row>
    <row r="20" spans="1:6" ht="19.95" customHeight="1">
      <c r="A20" s="234" t="s">
        <v>166</v>
      </c>
      <c r="B20" s="138"/>
      <c r="C20" s="138"/>
      <c r="D20" s="138"/>
      <c r="E20" s="138"/>
      <c r="F20" s="138"/>
    </row>
    <row r="21" spans="1:6" ht="19.95" customHeight="1">
      <c r="A21" s="234" t="s">
        <v>167</v>
      </c>
      <c r="B21" s="138"/>
      <c r="C21" s="138"/>
      <c r="D21" s="138"/>
      <c r="E21" s="138"/>
      <c r="F21" s="138"/>
    </row>
    <row r="22" spans="1:6" ht="19.95" customHeight="1">
      <c r="A22" s="234" t="s">
        <v>176</v>
      </c>
      <c r="B22" s="138"/>
      <c r="C22" s="138"/>
      <c r="D22" s="138"/>
      <c r="E22" s="138"/>
      <c r="F22" s="138"/>
    </row>
    <row r="23" spans="1:6" ht="19.95" customHeight="1">
      <c r="A23" s="234" t="s">
        <v>177</v>
      </c>
      <c r="B23" s="138"/>
      <c r="C23" s="138"/>
      <c r="D23" s="138"/>
      <c r="E23" s="138"/>
      <c r="F23" s="138"/>
    </row>
    <row r="24" spans="1:6" ht="19.95" customHeight="1">
      <c r="A24" s="234" t="s">
        <v>158</v>
      </c>
      <c r="B24" s="138"/>
      <c r="C24" s="138"/>
      <c r="D24" s="138"/>
      <c r="E24" s="138"/>
      <c r="F24" s="138"/>
    </row>
    <row r="25" spans="1:6" ht="19.95" customHeight="1">
      <c r="A25" s="234" t="s">
        <v>170</v>
      </c>
      <c r="B25" s="138"/>
      <c r="C25" s="138"/>
      <c r="D25" s="138"/>
      <c r="E25" s="138"/>
      <c r="F25" s="138"/>
    </row>
    <row r="26" spans="1:6" ht="19.95" customHeight="1">
      <c r="A26" s="234" t="s">
        <v>171</v>
      </c>
      <c r="B26" s="138"/>
      <c r="C26" s="138"/>
      <c r="D26" s="138"/>
      <c r="E26" s="138"/>
      <c r="F26" s="138"/>
    </row>
    <row r="27" spans="1:6" ht="19.95" customHeight="1">
      <c r="A27" s="234" t="s">
        <v>172</v>
      </c>
      <c r="B27" s="138"/>
      <c r="C27" s="138"/>
      <c r="D27" s="138"/>
      <c r="E27" s="138"/>
      <c r="F27" s="138"/>
    </row>
    <row r="28" spans="1:6" ht="19.95" customHeight="1">
      <c r="A28" s="234" t="s">
        <v>173</v>
      </c>
      <c r="B28" s="138"/>
      <c r="C28" s="138"/>
      <c r="D28" s="138"/>
      <c r="E28" s="138"/>
      <c r="F28" s="138"/>
    </row>
    <row r="29" spans="1:6" ht="19.95" customHeight="1">
      <c r="A29" s="234" t="s">
        <v>158</v>
      </c>
      <c r="B29" s="138"/>
      <c r="C29" s="138"/>
      <c r="D29" s="138"/>
      <c r="E29" s="138"/>
      <c r="F29" s="138"/>
    </row>
    <row r="30" spans="1:6" ht="19.95" customHeight="1">
      <c r="A30" s="234" t="s">
        <v>174</v>
      </c>
      <c r="B30" s="138"/>
      <c r="C30" s="138"/>
      <c r="D30" s="138"/>
      <c r="E30" s="138"/>
      <c r="F30" s="138"/>
    </row>
    <row r="31" spans="1:6" ht="19.95" customHeight="1">
      <c r="A31" s="234" t="s">
        <v>178</v>
      </c>
      <c r="B31" s="235"/>
      <c r="C31" s="138"/>
      <c r="D31" s="138"/>
      <c r="E31" s="138"/>
      <c r="F31" s="138"/>
    </row>
    <row r="32" spans="1:6" ht="19.95" customHeight="1">
      <c r="A32" s="234" t="s">
        <v>166</v>
      </c>
      <c r="B32" s="138"/>
      <c r="C32" s="138"/>
      <c r="D32" s="138"/>
      <c r="E32" s="138"/>
      <c r="F32" s="138"/>
    </row>
    <row r="33" spans="1:6" ht="19.95" customHeight="1">
      <c r="A33" s="234" t="s">
        <v>167</v>
      </c>
      <c r="B33" s="138"/>
      <c r="C33" s="138"/>
      <c r="D33" s="138"/>
      <c r="E33" s="138"/>
      <c r="F33" s="138"/>
    </row>
    <row r="34" spans="1:6" ht="19.95" customHeight="1">
      <c r="A34" s="234" t="s">
        <v>176</v>
      </c>
      <c r="B34" s="138"/>
      <c r="C34" s="138"/>
      <c r="D34" s="138"/>
      <c r="E34" s="138"/>
      <c r="F34" s="138"/>
    </row>
    <row r="35" spans="1:6" ht="19.95" customHeight="1">
      <c r="A35" s="234" t="s">
        <v>177</v>
      </c>
      <c r="B35" s="138"/>
      <c r="C35" s="138"/>
      <c r="D35" s="138"/>
      <c r="E35" s="138"/>
      <c r="F35" s="138"/>
    </row>
    <row r="36" spans="1:6" ht="19.95" customHeight="1">
      <c r="A36" s="234" t="s">
        <v>158</v>
      </c>
      <c r="B36" s="138"/>
      <c r="C36" s="138"/>
      <c r="D36" s="138"/>
      <c r="E36" s="138"/>
      <c r="F36" s="138"/>
    </row>
    <row r="37" spans="1:6" ht="19.95" customHeight="1">
      <c r="A37" s="234" t="s">
        <v>170</v>
      </c>
      <c r="B37" s="138"/>
      <c r="C37" s="138"/>
      <c r="D37" s="138"/>
      <c r="E37" s="138"/>
      <c r="F37" s="138"/>
    </row>
    <row r="38" spans="1:6" ht="19.95" customHeight="1">
      <c r="A38" s="234" t="s">
        <v>171</v>
      </c>
      <c r="B38" s="138"/>
      <c r="C38" s="138"/>
      <c r="D38" s="138"/>
      <c r="E38" s="138"/>
      <c r="F38" s="138"/>
    </row>
    <row r="39" spans="1:6" ht="19.95" customHeight="1">
      <c r="A39" s="234" t="s">
        <v>172</v>
      </c>
      <c r="B39" s="138"/>
      <c r="C39" s="138"/>
      <c r="D39" s="138"/>
      <c r="E39" s="138"/>
      <c r="F39" s="138"/>
    </row>
    <row r="40" spans="1:6" ht="19.95" customHeight="1">
      <c r="A40" s="234" t="s">
        <v>173</v>
      </c>
      <c r="B40" s="138"/>
      <c r="C40" s="138"/>
      <c r="D40" s="138"/>
      <c r="E40" s="138"/>
      <c r="F40" s="138"/>
    </row>
    <row r="41" spans="1:6" ht="19.95" customHeight="1">
      <c r="A41" s="234" t="s">
        <v>158</v>
      </c>
      <c r="B41" s="138"/>
      <c r="C41" s="138"/>
      <c r="D41" s="138"/>
      <c r="E41" s="138"/>
      <c r="F41" s="138"/>
    </row>
    <row r="42" spans="1:6" ht="19.95" customHeight="1">
      <c r="A42" s="234" t="s">
        <v>174</v>
      </c>
      <c r="B42" s="138"/>
      <c r="C42" s="138"/>
      <c r="D42" s="138"/>
      <c r="E42" s="138"/>
      <c r="F42" s="138"/>
    </row>
    <row r="43" spans="1:6" ht="19.95" customHeight="1">
      <c r="A43" s="234" t="s">
        <v>179</v>
      </c>
      <c r="B43" s="235"/>
      <c r="C43" s="138"/>
      <c r="D43" s="138"/>
      <c r="E43" s="138"/>
      <c r="F43" s="138"/>
    </row>
    <row r="44" spans="1:6" ht="19.95" customHeight="1">
      <c r="A44" s="234" t="s">
        <v>180</v>
      </c>
      <c r="B44" s="138"/>
      <c r="C44" s="138"/>
      <c r="D44" s="138"/>
      <c r="E44" s="138"/>
      <c r="F44" s="138"/>
    </row>
    <row r="45" spans="1:6" ht="19.95" customHeight="1" thickBot="1">
      <c r="A45" s="236" t="s">
        <v>181</v>
      </c>
      <c r="B45" s="237"/>
      <c r="C45" s="237"/>
      <c r="D45" s="237"/>
      <c r="E45" s="237"/>
      <c r="F45" s="237"/>
    </row>
    <row r="46" spans="1:6" ht="19.95" customHeight="1">
      <c r="A46" s="630" t="s">
        <v>182</v>
      </c>
      <c r="B46" s="630"/>
      <c r="C46" s="630"/>
      <c r="D46" s="630"/>
      <c r="E46" s="630"/>
      <c r="F46" s="630"/>
    </row>
    <row r="47" spans="1:6" ht="19.95" customHeight="1">
      <c r="A47" s="631" t="s">
        <v>183</v>
      </c>
      <c r="B47" s="631"/>
      <c r="C47" s="631"/>
      <c r="D47" s="631"/>
      <c r="E47" s="631"/>
      <c r="F47" s="631"/>
    </row>
    <row r="48" spans="1:6" ht="19.95" customHeight="1">
      <c r="A48" s="632" t="s">
        <v>184</v>
      </c>
      <c r="B48" s="632"/>
      <c r="C48" s="632"/>
      <c r="D48" s="632"/>
      <c r="E48" s="632"/>
      <c r="F48" s="632"/>
    </row>
  </sheetData>
  <sortState ref="B34:F35">
    <sortCondition descending="1" ref="B34"/>
  </sortState>
  <mergeCells count="5">
    <mergeCell ref="A1:F1"/>
    <mergeCell ref="A2:F2"/>
    <mergeCell ref="A46:F46"/>
    <mergeCell ref="A47:F47"/>
    <mergeCell ref="A48:F48"/>
  </mergeCells>
  <phoneticPr fontId="11" type="noConversion"/>
  <hyperlinks>
    <hyperlink ref="G6" location="底稿目录!A1" display="H8A"/>
  </hyperlinks>
  <printOptions horizontalCentered="1"/>
  <pageMargins left="0.98425196850393704" right="0.74803149606299213" top="0.98425196850393704" bottom="0.98425196850393704" header="0.51181102362204722" footer="0.51181102362204722"/>
  <pageSetup paperSize="9" scale="58" fitToHeight="100" orientation="portrait" blackAndWhite="1" cellComments="atEnd"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IU32"/>
  <sheetViews>
    <sheetView view="pageBreakPreview" zoomScaleSheetLayoutView="100" workbookViewId="0">
      <selection sqref="A1:E1"/>
    </sheetView>
  </sheetViews>
  <sheetFormatPr defaultColWidth="9" defaultRowHeight="19.95" customHeight="1"/>
  <cols>
    <col min="1" max="1" width="27.19921875" style="4" customWidth="1"/>
    <col min="2" max="5" width="17.19921875" style="4" customWidth="1"/>
    <col min="6" max="6" width="14.59765625" style="4" customWidth="1"/>
    <col min="7" max="7" width="14.09765625" style="4" customWidth="1"/>
    <col min="8" max="16384" width="9" style="4"/>
  </cols>
  <sheetData>
    <row r="1" spans="1:255" s="309" customFormat="1" ht="19.95" customHeight="1">
      <c r="A1" s="633" t="s">
        <v>707</v>
      </c>
      <c r="B1" s="634"/>
      <c r="C1" s="634"/>
      <c r="D1" s="634"/>
      <c r="E1" s="634"/>
      <c r="F1" s="308"/>
      <c r="G1" s="308"/>
      <c r="H1" s="308"/>
      <c r="I1" s="308"/>
      <c r="J1" s="308"/>
      <c r="K1" s="308"/>
      <c r="L1" s="308"/>
      <c r="M1" s="308"/>
      <c r="N1" s="308"/>
      <c r="O1" s="308"/>
      <c r="P1" s="308"/>
      <c r="Q1" s="308"/>
      <c r="R1" s="308"/>
      <c r="S1" s="308"/>
      <c r="T1" s="308"/>
      <c r="U1" s="308"/>
      <c r="V1" s="308"/>
      <c r="W1" s="308"/>
      <c r="X1" s="308"/>
      <c r="Y1" s="308"/>
      <c r="Z1" s="308"/>
      <c r="AA1" s="308"/>
      <c r="AB1" s="308"/>
      <c r="AC1" s="308"/>
      <c r="AD1" s="308"/>
      <c r="AE1" s="308"/>
      <c r="AF1" s="308"/>
      <c r="AG1" s="308"/>
      <c r="AH1" s="308"/>
      <c r="AI1" s="308"/>
      <c r="AJ1" s="308"/>
      <c r="AK1" s="308"/>
      <c r="AL1" s="308"/>
      <c r="AM1" s="308"/>
      <c r="AN1" s="308"/>
      <c r="AO1" s="308"/>
      <c r="AP1" s="308"/>
      <c r="AQ1" s="308"/>
      <c r="AR1" s="308"/>
      <c r="AS1" s="308"/>
      <c r="AT1" s="308"/>
      <c r="AU1" s="308"/>
      <c r="AV1" s="308"/>
      <c r="AW1" s="308"/>
      <c r="AX1" s="308"/>
      <c r="AY1" s="308"/>
      <c r="AZ1" s="308"/>
      <c r="BA1" s="308"/>
      <c r="BB1" s="308"/>
      <c r="BC1" s="308"/>
      <c r="BD1" s="308"/>
      <c r="BE1" s="308"/>
      <c r="BF1" s="308"/>
      <c r="BG1" s="308"/>
      <c r="BH1" s="308"/>
      <c r="BI1" s="308"/>
      <c r="BJ1" s="308"/>
      <c r="BK1" s="308"/>
      <c r="BL1" s="308"/>
      <c r="BM1" s="308"/>
      <c r="BN1" s="308"/>
      <c r="BO1" s="308"/>
      <c r="BP1" s="308"/>
      <c r="BQ1" s="308"/>
      <c r="BR1" s="308"/>
      <c r="BS1" s="308"/>
      <c r="BT1" s="308"/>
      <c r="BU1" s="308"/>
      <c r="BV1" s="308"/>
      <c r="BW1" s="308"/>
      <c r="BX1" s="308"/>
      <c r="BY1" s="308"/>
      <c r="BZ1" s="308"/>
      <c r="CA1" s="308"/>
      <c r="CB1" s="308"/>
      <c r="CC1" s="308"/>
      <c r="CD1" s="308"/>
      <c r="CE1" s="308"/>
      <c r="CF1" s="308"/>
      <c r="CG1" s="308"/>
      <c r="CH1" s="308"/>
      <c r="CI1" s="308"/>
      <c r="CJ1" s="308"/>
      <c r="CK1" s="308"/>
      <c r="CL1" s="308"/>
      <c r="CM1" s="308"/>
      <c r="CN1" s="308"/>
      <c r="CO1" s="308"/>
      <c r="CP1" s="308"/>
      <c r="CQ1" s="308"/>
      <c r="CR1" s="308"/>
      <c r="CS1" s="308"/>
      <c r="CT1" s="308"/>
      <c r="CU1" s="308"/>
      <c r="CV1" s="308"/>
      <c r="CW1" s="308"/>
      <c r="CX1" s="308"/>
      <c r="CY1" s="308"/>
      <c r="CZ1" s="308"/>
      <c r="DA1" s="308"/>
      <c r="DB1" s="308"/>
      <c r="DC1" s="308"/>
      <c r="DD1" s="308"/>
      <c r="DE1" s="308"/>
      <c r="DF1" s="308"/>
      <c r="DG1" s="308"/>
      <c r="DH1" s="308"/>
      <c r="DI1" s="308"/>
      <c r="DJ1" s="308"/>
      <c r="DK1" s="308"/>
      <c r="DL1" s="308"/>
      <c r="DM1" s="308"/>
      <c r="DN1" s="308"/>
      <c r="DO1" s="308"/>
      <c r="DP1" s="308"/>
      <c r="DQ1" s="308"/>
      <c r="DR1" s="308"/>
      <c r="DS1" s="308"/>
      <c r="DT1" s="308"/>
      <c r="DU1" s="308"/>
      <c r="DV1" s="308"/>
      <c r="DW1" s="308"/>
      <c r="DX1" s="308"/>
      <c r="DY1" s="308"/>
      <c r="DZ1" s="308"/>
      <c r="EA1" s="308"/>
      <c r="EB1" s="308"/>
      <c r="EC1" s="308"/>
      <c r="ED1" s="308"/>
      <c r="EE1" s="308"/>
      <c r="EF1" s="308"/>
      <c r="EG1" s="308"/>
      <c r="EH1" s="308"/>
      <c r="EI1" s="308"/>
      <c r="EJ1" s="308"/>
      <c r="EK1" s="308"/>
      <c r="EL1" s="308"/>
      <c r="EM1" s="308"/>
      <c r="EN1" s="308"/>
      <c r="EO1" s="308"/>
      <c r="EP1" s="308"/>
      <c r="EQ1" s="308"/>
      <c r="ER1" s="308"/>
      <c r="ES1" s="308"/>
      <c r="ET1" s="308"/>
      <c r="EU1" s="308"/>
      <c r="EV1" s="308"/>
      <c r="EW1" s="308"/>
      <c r="EX1" s="308"/>
      <c r="EY1" s="308"/>
      <c r="EZ1" s="308"/>
      <c r="FA1" s="308"/>
      <c r="FB1" s="308"/>
      <c r="FC1" s="308"/>
      <c r="FD1" s="308"/>
      <c r="FE1" s="308"/>
      <c r="FF1" s="308"/>
      <c r="FG1" s="308"/>
      <c r="FH1" s="308"/>
      <c r="FI1" s="308"/>
      <c r="FJ1" s="308"/>
      <c r="FK1" s="308"/>
      <c r="FL1" s="308"/>
      <c r="FM1" s="308"/>
      <c r="FN1" s="308"/>
      <c r="FO1" s="308"/>
      <c r="FP1" s="308"/>
      <c r="FQ1" s="308"/>
      <c r="FR1" s="308"/>
      <c r="FS1" s="308"/>
      <c r="FT1" s="308"/>
      <c r="FU1" s="308"/>
      <c r="FV1" s="308"/>
      <c r="FW1" s="308"/>
      <c r="FX1" s="308"/>
      <c r="FY1" s="308"/>
      <c r="FZ1" s="308"/>
      <c r="GA1" s="308"/>
      <c r="GB1" s="308"/>
      <c r="GC1" s="308"/>
      <c r="GD1" s="308"/>
      <c r="GE1" s="308"/>
      <c r="GF1" s="308"/>
      <c r="GG1" s="308"/>
      <c r="GH1" s="308"/>
      <c r="GI1" s="308"/>
      <c r="GJ1" s="308"/>
      <c r="GK1" s="308"/>
      <c r="GL1" s="308"/>
      <c r="GM1" s="308"/>
      <c r="GN1" s="308"/>
      <c r="GO1" s="308"/>
      <c r="GP1" s="308"/>
      <c r="GQ1" s="308"/>
      <c r="GR1" s="308"/>
      <c r="GS1" s="308"/>
      <c r="GT1" s="308"/>
      <c r="GU1" s="308"/>
      <c r="GV1" s="308"/>
      <c r="GW1" s="308"/>
      <c r="GX1" s="308"/>
      <c r="GY1" s="308"/>
      <c r="GZ1" s="308"/>
      <c r="HA1" s="308"/>
      <c r="HB1" s="308"/>
      <c r="HC1" s="308"/>
      <c r="HD1" s="308"/>
      <c r="HE1" s="308"/>
      <c r="HF1" s="308"/>
      <c r="HG1" s="308"/>
      <c r="HH1" s="308"/>
      <c r="HI1" s="308"/>
      <c r="HJ1" s="308"/>
      <c r="HK1" s="308"/>
      <c r="HL1" s="308"/>
      <c r="HM1" s="308"/>
      <c r="HN1" s="308"/>
      <c r="HO1" s="308"/>
      <c r="HP1" s="308"/>
      <c r="HQ1" s="308"/>
      <c r="HR1" s="308"/>
      <c r="HS1" s="308"/>
      <c r="HT1" s="308"/>
      <c r="HU1" s="308"/>
      <c r="HV1" s="308"/>
      <c r="HW1" s="308"/>
      <c r="HX1" s="308"/>
      <c r="HY1" s="308"/>
      <c r="HZ1" s="308"/>
      <c r="IA1" s="308"/>
      <c r="IB1" s="308"/>
      <c r="IC1" s="308"/>
      <c r="ID1" s="308"/>
      <c r="IE1" s="308"/>
      <c r="IF1" s="308"/>
      <c r="IG1" s="308"/>
      <c r="IH1" s="308"/>
      <c r="II1" s="308"/>
      <c r="IJ1" s="308"/>
      <c r="IK1" s="308"/>
      <c r="IL1" s="308"/>
      <c r="IM1" s="308"/>
      <c r="IN1" s="308"/>
      <c r="IO1" s="308"/>
      <c r="IP1" s="308"/>
      <c r="IQ1" s="308"/>
      <c r="IR1" s="308"/>
      <c r="IS1" s="308"/>
      <c r="IT1" s="308"/>
      <c r="IU1" s="308"/>
    </row>
    <row r="2" spans="1:255" s="321" customFormat="1" ht="19.95" customHeight="1">
      <c r="A2" s="635" t="s">
        <v>717</v>
      </c>
      <c r="B2" s="635"/>
      <c r="C2" s="635"/>
      <c r="D2" s="635"/>
      <c r="E2" s="635"/>
      <c r="F2" s="319"/>
      <c r="G2" s="320"/>
      <c r="H2" s="320"/>
      <c r="I2" s="320"/>
      <c r="J2" s="320"/>
      <c r="K2" s="320"/>
      <c r="L2" s="320"/>
      <c r="M2" s="320"/>
      <c r="N2" s="320"/>
      <c r="O2" s="320"/>
      <c r="P2" s="320"/>
      <c r="Q2" s="320"/>
      <c r="R2" s="320"/>
      <c r="S2" s="320"/>
      <c r="T2" s="320"/>
      <c r="U2" s="320"/>
      <c r="V2" s="320"/>
      <c r="W2" s="320"/>
      <c r="X2" s="320"/>
      <c r="Y2" s="320"/>
      <c r="Z2" s="320"/>
      <c r="AA2" s="320"/>
      <c r="AB2" s="320"/>
      <c r="AC2" s="320"/>
      <c r="AD2" s="320"/>
      <c r="AE2" s="320"/>
      <c r="AF2" s="320"/>
      <c r="AG2" s="320"/>
      <c r="AH2" s="320"/>
      <c r="AI2" s="320"/>
      <c r="AJ2" s="320"/>
      <c r="AK2" s="320"/>
      <c r="AL2" s="320"/>
      <c r="AM2" s="320"/>
      <c r="AN2" s="320"/>
      <c r="AO2" s="320"/>
      <c r="AP2" s="320"/>
      <c r="AQ2" s="320"/>
      <c r="AR2" s="320"/>
      <c r="AS2" s="320"/>
      <c r="AT2" s="320"/>
      <c r="AU2" s="320"/>
      <c r="AV2" s="320"/>
      <c r="AW2" s="320"/>
      <c r="AX2" s="320"/>
      <c r="AY2" s="320"/>
      <c r="AZ2" s="320"/>
      <c r="BA2" s="320"/>
      <c r="BB2" s="320"/>
      <c r="BC2" s="320"/>
      <c r="BD2" s="320"/>
      <c r="BE2" s="320"/>
      <c r="BF2" s="320"/>
      <c r="BG2" s="320"/>
      <c r="BH2" s="320"/>
      <c r="BI2" s="320"/>
      <c r="BJ2" s="320"/>
      <c r="BK2" s="320"/>
      <c r="BL2" s="320"/>
      <c r="BM2" s="320"/>
      <c r="BN2" s="320"/>
      <c r="BO2" s="320"/>
      <c r="BP2" s="320"/>
      <c r="BQ2" s="320"/>
      <c r="BR2" s="320"/>
      <c r="BS2" s="320"/>
      <c r="BT2" s="320"/>
      <c r="BU2" s="320"/>
      <c r="BV2" s="320"/>
      <c r="BW2" s="320"/>
      <c r="BX2" s="320"/>
      <c r="BY2" s="320"/>
      <c r="BZ2" s="320"/>
      <c r="CA2" s="320"/>
      <c r="CB2" s="320"/>
      <c r="CC2" s="320"/>
      <c r="CD2" s="320"/>
      <c r="CE2" s="320"/>
      <c r="CF2" s="320"/>
      <c r="CG2" s="320"/>
      <c r="CH2" s="320"/>
      <c r="CI2" s="320"/>
      <c r="CJ2" s="320"/>
      <c r="CK2" s="320"/>
      <c r="CL2" s="320"/>
      <c r="CM2" s="320"/>
      <c r="CN2" s="320"/>
      <c r="CO2" s="320"/>
      <c r="CP2" s="320"/>
      <c r="CQ2" s="320"/>
      <c r="CR2" s="320"/>
      <c r="CS2" s="320"/>
      <c r="CT2" s="320"/>
      <c r="CU2" s="320"/>
      <c r="CV2" s="320"/>
      <c r="CW2" s="320"/>
      <c r="CX2" s="320"/>
      <c r="CY2" s="320"/>
      <c r="CZ2" s="320"/>
      <c r="DA2" s="320"/>
      <c r="DB2" s="320"/>
      <c r="DC2" s="320"/>
      <c r="DD2" s="320"/>
      <c r="DE2" s="320"/>
      <c r="DF2" s="320"/>
      <c r="DG2" s="320"/>
      <c r="DH2" s="320"/>
      <c r="DI2" s="320"/>
      <c r="DJ2" s="320"/>
      <c r="DK2" s="320"/>
      <c r="DL2" s="320"/>
      <c r="DM2" s="320"/>
      <c r="DN2" s="320"/>
      <c r="DO2" s="320"/>
      <c r="DP2" s="320"/>
      <c r="DQ2" s="320"/>
      <c r="DR2" s="320"/>
      <c r="DS2" s="320"/>
      <c r="DT2" s="320"/>
      <c r="DU2" s="320"/>
      <c r="DV2" s="320"/>
      <c r="DW2" s="320"/>
      <c r="DX2" s="320"/>
      <c r="DY2" s="320"/>
      <c r="DZ2" s="320"/>
      <c r="EA2" s="320"/>
      <c r="EB2" s="320"/>
      <c r="EC2" s="320"/>
      <c r="ED2" s="320"/>
      <c r="EE2" s="320"/>
      <c r="EF2" s="320"/>
      <c r="EG2" s="320"/>
      <c r="EH2" s="320"/>
      <c r="EI2" s="320"/>
      <c r="EJ2" s="320"/>
      <c r="EK2" s="320"/>
      <c r="EL2" s="320"/>
      <c r="EM2" s="320"/>
      <c r="EN2" s="320"/>
      <c r="EO2" s="320"/>
      <c r="EP2" s="320"/>
      <c r="EQ2" s="320"/>
      <c r="ER2" s="320"/>
      <c r="ES2" s="320"/>
      <c r="ET2" s="320"/>
      <c r="EU2" s="320"/>
      <c r="EV2" s="320"/>
      <c r="EW2" s="320"/>
      <c r="EX2" s="320"/>
      <c r="EY2" s="320"/>
      <c r="EZ2" s="320"/>
      <c r="FA2" s="320"/>
      <c r="FB2" s="320"/>
      <c r="FC2" s="320"/>
      <c r="FD2" s="320"/>
      <c r="FE2" s="320"/>
      <c r="FF2" s="320"/>
      <c r="FG2" s="320"/>
      <c r="FH2" s="320"/>
      <c r="FI2" s="320"/>
      <c r="FJ2" s="320"/>
      <c r="FK2" s="320"/>
      <c r="FL2" s="320"/>
      <c r="FM2" s="320"/>
      <c r="FN2" s="320"/>
      <c r="FO2" s="320"/>
      <c r="FP2" s="320"/>
      <c r="FQ2" s="320"/>
      <c r="FR2" s="320"/>
      <c r="FS2" s="320"/>
      <c r="FT2" s="320"/>
      <c r="FU2" s="320"/>
      <c r="FV2" s="320"/>
      <c r="FW2" s="320"/>
      <c r="FX2" s="320"/>
      <c r="FY2" s="320"/>
      <c r="FZ2" s="320"/>
      <c r="GA2" s="320"/>
      <c r="GB2" s="320"/>
      <c r="GC2" s="320"/>
      <c r="GD2" s="320"/>
      <c r="GE2" s="320"/>
      <c r="GF2" s="320"/>
      <c r="GG2" s="320"/>
      <c r="GH2" s="320"/>
      <c r="GI2" s="320"/>
      <c r="GJ2" s="320"/>
      <c r="GK2" s="320"/>
      <c r="GL2" s="320"/>
      <c r="GM2" s="320"/>
      <c r="GN2" s="320"/>
      <c r="GO2" s="320"/>
      <c r="GP2" s="320"/>
      <c r="GQ2" s="320"/>
      <c r="GR2" s="320"/>
      <c r="GS2" s="320"/>
      <c r="GT2" s="320"/>
      <c r="GU2" s="320"/>
      <c r="GV2" s="320"/>
      <c r="GW2" s="320"/>
      <c r="GX2" s="320"/>
      <c r="GY2" s="320"/>
      <c r="GZ2" s="320"/>
      <c r="HA2" s="320"/>
      <c r="HB2" s="320"/>
      <c r="HC2" s="320"/>
      <c r="HD2" s="320"/>
      <c r="HE2" s="320"/>
      <c r="HF2" s="320"/>
      <c r="HG2" s="320"/>
      <c r="HH2" s="320"/>
      <c r="HI2" s="320"/>
      <c r="HJ2" s="320"/>
      <c r="HK2" s="320"/>
      <c r="HL2" s="320"/>
      <c r="HM2" s="320"/>
      <c r="HN2" s="320"/>
      <c r="HO2" s="320"/>
      <c r="HP2" s="320"/>
      <c r="HQ2" s="320"/>
      <c r="HR2" s="320"/>
      <c r="HS2" s="320"/>
      <c r="HT2" s="320"/>
      <c r="HU2" s="320"/>
      <c r="HV2" s="320"/>
      <c r="HW2" s="320"/>
      <c r="HX2" s="320"/>
      <c r="HY2" s="320"/>
      <c r="HZ2" s="320"/>
      <c r="IA2" s="320"/>
      <c r="IB2" s="320"/>
      <c r="IC2" s="320"/>
      <c r="ID2" s="320"/>
      <c r="IE2" s="320"/>
      <c r="IF2" s="320"/>
      <c r="IG2" s="320"/>
      <c r="IH2" s="320"/>
      <c r="II2" s="320"/>
      <c r="IJ2" s="320"/>
      <c r="IK2" s="320"/>
      <c r="IL2" s="320"/>
      <c r="IM2" s="320"/>
      <c r="IN2" s="320"/>
      <c r="IO2" s="320"/>
      <c r="IP2" s="320"/>
      <c r="IQ2" s="320"/>
      <c r="IR2" s="320"/>
      <c r="IS2" s="320"/>
      <c r="IT2" s="320"/>
      <c r="IU2" s="320"/>
    </row>
    <row r="3" spans="1:255" ht="19.95" customHeight="1">
      <c r="A3" s="2" t="str">
        <f>底稿目录!A2</f>
        <v>被审计单位：</v>
      </c>
      <c r="B3" s="2" t="str">
        <f>底稿目录!A4</f>
        <v>编制人：</v>
      </c>
      <c r="D3" s="2" t="str">
        <f>底稿目录!A6</f>
        <v>编制日期：</v>
      </c>
      <c r="E3" s="358" t="s">
        <v>733</v>
      </c>
    </row>
    <row r="4" spans="1:255" ht="19.95" customHeight="1">
      <c r="A4" s="2" t="str">
        <f>底稿目录!A3</f>
        <v>截止日：202X年12月31日</v>
      </c>
      <c r="B4" s="2" t="str">
        <f>底稿目录!A5</f>
        <v>复核人：</v>
      </c>
      <c r="D4" s="2" t="str">
        <f>底稿目录!A7</f>
        <v>复核日期：</v>
      </c>
      <c r="E4" s="358" t="s">
        <v>734</v>
      </c>
    </row>
    <row r="5" spans="1:255" ht="19.95" customHeight="1" thickBot="1">
      <c r="A5" s="231"/>
      <c r="B5" s="2"/>
      <c r="C5" s="2"/>
      <c r="F5" s="230"/>
    </row>
    <row r="6" spans="1:255" ht="19.95" customHeight="1" thickBot="1">
      <c r="A6" s="238" t="s">
        <v>159</v>
      </c>
      <c r="B6" s="239" t="s">
        <v>185</v>
      </c>
      <c r="C6" s="239" t="s">
        <v>186</v>
      </c>
      <c r="D6" s="239" t="s">
        <v>187</v>
      </c>
      <c r="E6" s="239" t="s">
        <v>188</v>
      </c>
      <c r="F6" s="210" t="s">
        <v>189</v>
      </c>
    </row>
    <row r="7" spans="1:255" ht="19.95" customHeight="1">
      <c r="A7" s="240" t="s">
        <v>190</v>
      </c>
      <c r="B7" s="241" t="s">
        <v>45</v>
      </c>
      <c r="C7" s="241" t="s">
        <v>45</v>
      </c>
      <c r="D7" s="241" t="s">
        <v>45</v>
      </c>
      <c r="E7" s="241" t="s">
        <v>45</v>
      </c>
    </row>
    <row r="8" spans="1:255" ht="19.95" customHeight="1">
      <c r="A8" s="240" t="s">
        <v>191</v>
      </c>
      <c r="B8" s="241"/>
      <c r="C8" s="241"/>
      <c r="D8" s="241"/>
      <c r="E8" s="241"/>
    </row>
    <row r="9" spans="1:255" ht="19.95" customHeight="1">
      <c r="A9" s="240" t="s">
        <v>192</v>
      </c>
      <c r="B9" s="241"/>
      <c r="C9" s="241"/>
      <c r="D9" s="241"/>
      <c r="E9" s="241"/>
    </row>
    <row r="10" spans="1:255" ht="19.95" customHeight="1">
      <c r="A10" s="240" t="s">
        <v>193</v>
      </c>
      <c r="B10" s="241"/>
      <c r="C10" s="241"/>
      <c r="D10" s="241"/>
      <c r="E10" s="241"/>
    </row>
    <row r="11" spans="1:255" ht="19.95" customHeight="1">
      <c r="A11" s="240" t="s">
        <v>194</v>
      </c>
      <c r="B11" s="241"/>
      <c r="C11" s="241"/>
      <c r="D11" s="241"/>
      <c r="E11" s="241"/>
    </row>
    <row r="12" spans="1:255" ht="19.95" customHeight="1">
      <c r="A12" s="240" t="s">
        <v>195</v>
      </c>
      <c r="B12" s="241" t="s">
        <v>45</v>
      </c>
      <c r="C12" s="241" t="s">
        <v>45</v>
      </c>
      <c r="D12" s="241" t="s">
        <v>45</v>
      </c>
      <c r="E12" s="241" t="s">
        <v>45</v>
      </c>
    </row>
    <row r="13" spans="1:255" ht="19.95" customHeight="1">
      <c r="A13" s="240" t="s">
        <v>191</v>
      </c>
      <c r="B13" s="241"/>
      <c r="C13" s="241"/>
      <c r="D13" s="241"/>
      <c r="E13" s="241"/>
    </row>
    <row r="14" spans="1:255" ht="19.95" customHeight="1">
      <c r="A14" s="240" t="s">
        <v>192</v>
      </c>
      <c r="B14" s="241"/>
      <c r="C14" s="241"/>
      <c r="D14" s="241"/>
      <c r="E14" s="241"/>
    </row>
    <row r="15" spans="1:255" ht="19.95" customHeight="1">
      <c r="A15" s="240" t="s">
        <v>193</v>
      </c>
      <c r="B15" s="241"/>
      <c r="C15" s="241"/>
      <c r="D15" s="241"/>
      <c r="E15" s="241"/>
    </row>
    <row r="16" spans="1:255" ht="19.95" customHeight="1">
      <c r="A16" s="240" t="s">
        <v>194</v>
      </c>
      <c r="B16" s="241"/>
      <c r="C16" s="241"/>
      <c r="D16" s="241"/>
      <c r="E16" s="241"/>
    </row>
    <row r="17" spans="1:5" ht="19.95" customHeight="1">
      <c r="A17" s="240" t="s">
        <v>196</v>
      </c>
      <c r="B17" s="241" t="s">
        <v>45</v>
      </c>
      <c r="C17" s="241" t="s">
        <v>46</v>
      </c>
      <c r="D17" s="241" t="s">
        <v>46</v>
      </c>
      <c r="E17" s="241" t="s">
        <v>45</v>
      </c>
    </row>
    <row r="18" spans="1:5" ht="19.95" customHeight="1">
      <c r="A18" s="240" t="s">
        <v>191</v>
      </c>
      <c r="B18" s="241"/>
      <c r="C18" s="241" t="s">
        <v>46</v>
      </c>
      <c r="D18" s="241" t="s">
        <v>46</v>
      </c>
      <c r="E18" s="241"/>
    </row>
    <row r="19" spans="1:5" ht="19.95" customHeight="1">
      <c r="A19" s="240" t="s">
        <v>192</v>
      </c>
      <c r="B19" s="241"/>
      <c r="C19" s="241" t="s">
        <v>46</v>
      </c>
      <c r="D19" s="241" t="s">
        <v>46</v>
      </c>
      <c r="E19" s="241"/>
    </row>
    <row r="20" spans="1:5" ht="19.95" customHeight="1">
      <c r="A20" s="240" t="s">
        <v>193</v>
      </c>
      <c r="B20" s="241"/>
      <c r="C20" s="241" t="s">
        <v>46</v>
      </c>
      <c r="D20" s="241" t="s">
        <v>46</v>
      </c>
      <c r="E20" s="241"/>
    </row>
    <row r="21" spans="1:5" ht="19.95" customHeight="1">
      <c r="A21" s="240" t="s">
        <v>194</v>
      </c>
      <c r="B21" s="241"/>
      <c r="C21" s="241" t="s">
        <v>46</v>
      </c>
      <c r="D21" s="241" t="s">
        <v>46</v>
      </c>
      <c r="E21" s="241"/>
    </row>
    <row r="22" spans="1:5" ht="19.95" customHeight="1">
      <c r="A22" s="240" t="s">
        <v>197</v>
      </c>
      <c r="B22" s="241" t="s">
        <v>45</v>
      </c>
      <c r="C22" s="241" t="s">
        <v>45</v>
      </c>
      <c r="D22" s="241" t="s">
        <v>45</v>
      </c>
      <c r="E22" s="241" t="s">
        <v>45</v>
      </c>
    </row>
    <row r="23" spans="1:5" ht="19.95" customHeight="1">
      <c r="A23" s="240" t="s">
        <v>191</v>
      </c>
      <c r="B23" s="241"/>
      <c r="C23" s="241"/>
      <c r="D23" s="241"/>
      <c r="E23" s="241"/>
    </row>
    <row r="24" spans="1:5" ht="19.95" customHeight="1">
      <c r="A24" s="240" t="s">
        <v>192</v>
      </c>
      <c r="B24" s="241"/>
      <c r="C24" s="241"/>
      <c r="D24" s="241"/>
      <c r="E24" s="241"/>
    </row>
    <row r="25" spans="1:5" ht="19.95" customHeight="1">
      <c r="A25" s="240" t="s">
        <v>193</v>
      </c>
      <c r="B25" s="241"/>
      <c r="C25" s="241"/>
      <c r="D25" s="241"/>
      <c r="E25" s="241"/>
    </row>
    <row r="26" spans="1:5" ht="19.95" customHeight="1">
      <c r="A26" s="240" t="s">
        <v>194</v>
      </c>
      <c r="B26" s="241" t="s">
        <v>45</v>
      </c>
      <c r="C26" s="241" t="s">
        <v>45</v>
      </c>
      <c r="D26" s="241" t="s">
        <v>45</v>
      </c>
      <c r="E26" s="241" t="s">
        <v>45</v>
      </c>
    </row>
    <row r="27" spans="1:5" ht="19.95" customHeight="1">
      <c r="A27" s="240" t="s">
        <v>198</v>
      </c>
      <c r="B27" s="241" t="s">
        <v>45</v>
      </c>
      <c r="C27" s="241" t="s">
        <v>46</v>
      </c>
      <c r="D27" s="241" t="s">
        <v>46</v>
      </c>
      <c r="E27" s="241" t="s">
        <v>45</v>
      </c>
    </row>
    <row r="28" spans="1:5" ht="19.95" customHeight="1">
      <c r="A28" s="240" t="s">
        <v>191</v>
      </c>
      <c r="B28" s="241"/>
      <c r="C28" s="241" t="s">
        <v>46</v>
      </c>
      <c r="D28" s="241" t="s">
        <v>46</v>
      </c>
      <c r="E28" s="241"/>
    </row>
    <row r="29" spans="1:5" ht="19.95" customHeight="1">
      <c r="A29" s="240" t="s">
        <v>192</v>
      </c>
      <c r="B29" s="241"/>
      <c r="C29" s="241" t="s">
        <v>46</v>
      </c>
      <c r="D29" s="241" t="s">
        <v>46</v>
      </c>
      <c r="E29" s="241"/>
    </row>
    <row r="30" spans="1:5" ht="19.95" customHeight="1">
      <c r="A30" s="240" t="s">
        <v>193</v>
      </c>
      <c r="B30" s="241"/>
      <c r="C30" s="241" t="s">
        <v>46</v>
      </c>
      <c r="D30" s="241" t="s">
        <v>46</v>
      </c>
      <c r="E30" s="241"/>
    </row>
    <row r="31" spans="1:5" ht="19.95" customHeight="1" thickBot="1">
      <c r="A31" s="242" t="s">
        <v>194</v>
      </c>
      <c r="B31" s="243" t="s">
        <v>45</v>
      </c>
      <c r="C31" s="243" t="s">
        <v>46</v>
      </c>
      <c r="D31" s="243" t="s">
        <v>46</v>
      </c>
      <c r="E31" s="243" t="s">
        <v>45</v>
      </c>
    </row>
    <row r="32" spans="1:5" ht="19.95" customHeight="1">
      <c r="A32" s="244"/>
      <c r="B32" s="245"/>
      <c r="C32" s="245"/>
      <c r="D32" s="245"/>
      <c r="E32" s="245"/>
    </row>
  </sheetData>
  <mergeCells count="2">
    <mergeCell ref="A1:E1"/>
    <mergeCell ref="A2:E2"/>
  </mergeCells>
  <phoneticPr fontId="11" type="noConversion"/>
  <hyperlinks>
    <hyperlink ref="F6" location="底稿目录!A1" display="H8A"/>
  </hyperlinks>
  <printOptions horizontalCentered="1"/>
  <pageMargins left="0.98425196850393704" right="0.74803149606299213" top="0.98425196850393704" bottom="0.98425196850393704" header="0.51181102362204722" footer="0.51181102362204722"/>
  <pageSetup paperSize="9" scale="59" fitToHeight="100" orientation="portrait" blackAndWhite="1" cellComments="atEnd"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F79"/>
  <sheetViews>
    <sheetView view="pageBreakPreview" zoomScaleSheetLayoutView="100" workbookViewId="0">
      <selection sqref="A1:V1"/>
    </sheetView>
  </sheetViews>
  <sheetFormatPr defaultColWidth="9" defaultRowHeight="19.95" customHeight="1"/>
  <cols>
    <col min="1" max="1" width="9.69921875" style="2" customWidth="1"/>
    <col min="2" max="2" width="11.5" style="2" customWidth="1"/>
    <col min="3" max="3" width="8" style="2" customWidth="1"/>
    <col min="4" max="4" width="10.69921875" style="2" customWidth="1"/>
    <col min="5" max="5" width="10.59765625" style="2" customWidth="1"/>
    <col min="6" max="6" width="9.59765625" style="2" customWidth="1"/>
    <col min="7" max="7" width="10.59765625" style="2" customWidth="1"/>
    <col min="8" max="9" width="10.8984375" style="2" customWidth="1"/>
    <col min="10" max="10" width="8.59765625" style="2" customWidth="1"/>
    <col min="11" max="12" width="11.3984375" style="2" customWidth="1"/>
    <col min="13" max="13" width="10.69921875" style="2" customWidth="1"/>
    <col min="14" max="14" width="9.5" style="2" customWidth="1"/>
    <col min="15" max="15" width="10.69921875" style="2" customWidth="1"/>
    <col min="16" max="16" width="9.69921875" style="2" customWidth="1"/>
    <col min="17" max="17" width="8.796875" style="2" customWidth="1"/>
    <col min="18" max="18" width="8.3984375" style="2" customWidth="1"/>
    <col min="19" max="19" width="10.3984375" style="2" customWidth="1"/>
    <col min="20" max="21" width="10.59765625" style="2" customWidth="1"/>
    <col min="22" max="22" width="11.69921875" style="2" customWidth="1"/>
    <col min="23" max="23" width="10.8984375" style="2" customWidth="1"/>
    <col min="24" max="24" width="9.19921875" style="2" customWidth="1"/>
    <col min="25" max="25" width="8.69921875" style="2" customWidth="1"/>
    <col min="26" max="26" width="9.8984375" style="2" customWidth="1"/>
    <col min="27" max="27" width="9.296875" style="2" customWidth="1"/>
    <col min="28" max="28" width="9.09765625" style="2" customWidth="1"/>
    <col min="29" max="30" width="10.69921875" style="2" customWidth="1"/>
    <col min="31" max="35" width="9" style="2"/>
    <col min="36" max="36" width="10.69921875" style="2" customWidth="1"/>
    <col min="37" max="38" width="9" style="2"/>
    <col min="39" max="39" width="10.69921875" style="2" customWidth="1"/>
    <col min="40" max="42" width="9" style="2"/>
    <col min="43" max="43" width="7.8984375" style="2" customWidth="1"/>
    <col min="44" max="44" width="8.3984375" style="2" customWidth="1"/>
    <col min="45" max="45" width="9" style="2"/>
    <col min="46" max="46" width="12" style="2" customWidth="1"/>
    <col min="47" max="47" width="8.59765625" style="2" customWidth="1"/>
    <col min="48" max="55" width="10.8984375" style="2" customWidth="1"/>
    <col min="56" max="16384" width="9" style="2"/>
  </cols>
  <sheetData>
    <row r="1" spans="1:58" s="5" customFormat="1" ht="19.95" customHeight="1">
      <c r="A1" s="644" t="s">
        <v>709</v>
      </c>
      <c r="B1" s="644"/>
      <c r="C1" s="644"/>
      <c r="D1" s="644"/>
      <c r="E1" s="644"/>
      <c r="F1" s="644"/>
      <c r="G1" s="644"/>
      <c r="H1" s="644"/>
      <c r="I1" s="644"/>
      <c r="J1" s="644"/>
      <c r="K1" s="644"/>
      <c r="L1" s="644"/>
      <c r="M1" s="644"/>
      <c r="N1" s="644"/>
      <c r="O1" s="644"/>
      <c r="P1" s="644"/>
      <c r="Q1" s="644"/>
      <c r="R1" s="644"/>
      <c r="S1" s="644"/>
      <c r="T1" s="644"/>
      <c r="U1" s="644"/>
      <c r="V1" s="644"/>
      <c r="W1" s="644" t="s">
        <v>709</v>
      </c>
      <c r="X1" s="644"/>
      <c r="Y1" s="644"/>
      <c r="Z1" s="644"/>
      <c r="AA1" s="644"/>
      <c r="AB1" s="644"/>
      <c r="AC1" s="644"/>
      <c r="AD1" s="644"/>
      <c r="AE1" s="644"/>
      <c r="AF1" s="644"/>
      <c r="AG1" s="644"/>
      <c r="AH1" s="644"/>
      <c r="AI1" s="644"/>
      <c r="AJ1" s="644"/>
      <c r="AK1" s="644"/>
      <c r="AL1" s="644"/>
      <c r="AM1" s="644"/>
      <c r="AN1" s="644" t="s">
        <v>710</v>
      </c>
      <c r="AO1" s="644"/>
      <c r="AP1" s="644"/>
      <c r="AQ1" s="644"/>
      <c r="AR1" s="644"/>
      <c r="AS1" s="644"/>
      <c r="AT1" s="644"/>
      <c r="AU1" s="644"/>
      <c r="AV1" s="644"/>
      <c r="AW1" s="644"/>
      <c r="AX1" s="644"/>
      <c r="AY1" s="644"/>
      <c r="AZ1" s="644"/>
      <c r="BA1" s="644"/>
      <c r="BB1" s="644"/>
      <c r="BC1" s="644"/>
      <c r="BD1" s="644"/>
      <c r="BE1" s="644"/>
      <c r="BF1" s="644"/>
    </row>
    <row r="2" spans="1:58" s="312" customFormat="1" ht="19.95" customHeight="1">
      <c r="A2" s="608" t="s">
        <v>716</v>
      </c>
      <c r="B2" s="608"/>
      <c r="C2" s="608"/>
      <c r="D2" s="608"/>
      <c r="E2" s="608"/>
      <c r="F2" s="608"/>
      <c r="G2" s="608"/>
      <c r="H2" s="608"/>
      <c r="I2" s="608"/>
      <c r="J2" s="608"/>
      <c r="K2" s="608"/>
      <c r="L2" s="608"/>
      <c r="M2" s="608"/>
      <c r="N2" s="608"/>
      <c r="O2" s="608"/>
      <c r="P2" s="608"/>
      <c r="Q2" s="608"/>
      <c r="R2" s="608"/>
      <c r="S2" s="608"/>
      <c r="T2" s="608"/>
      <c r="U2" s="608"/>
      <c r="V2" s="608"/>
      <c r="W2" s="608" t="s">
        <v>716</v>
      </c>
      <c r="X2" s="608"/>
      <c r="Y2" s="608"/>
      <c r="Z2" s="608"/>
      <c r="AA2" s="608"/>
      <c r="AB2" s="608"/>
      <c r="AC2" s="608"/>
      <c r="AD2" s="608"/>
      <c r="AE2" s="608"/>
      <c r="AF2" s="608"/>
      <c r="AG2" s="608"/>
      <c r="AH2" s="608"/>
      <c r="AI2" s="608"/>
      <c r="AJ2" s="608"/>
      <c r="AK2" s="608"/>
      <c r="AL2" s="608"/>
      <c r="AM2" s="608"/>
      <c r="AN2" s="608" t="s">
        <v>716</v>
      </c>
      <c r="AO2" s="608"/>
      <c r="AP2" s="608"/>
      <c r="AQ2" s="608"/>
      <c r="AR2" s="608"/>
      <c r="AS2" s="608"/>
      <c r="AT2" s="608"/>
      <c r="AU2" s="608"/>
      <c r="AV2" s="608"/>
      <c r="AW2" s="608"/>
      <c r="AX2" s="608"/>
      <c r="AY2" s="608"/>
      <c r="AZ2" s="608"/>
      <c r="BA2" s="608"/>
      <c r="BB2" s="608"/>
      <c r="BC2" s="608"/>
      <c r="BD2" s="608"/>
      <c r="BE2" s="608"/>
      <c r="BF2" s="608"/>
    </row>
    <row r="3" spans="1:58" ht="19.95" customHeight="1">
      <c r="A3" s="2" t="str">
        <f>底稿目录!A2</f>
        <v>被审计单位：</v>
      </c>
      <c r="G3" s="2" t="str">
        <f>底稿目录!A4</f>
        <v>编制人：</v>
      </c>
      <c r="J3" s="4"/>
      <c r="K3" s="4"/>
      <c r="P3" s="2" t="str">
        <f>底稿目录!A6</f>
        <v>编制日期：</v>
      </c>
      <c r="U3" s="357" t="s">
        <v>733</v>
      </c>
      <c r="V3" s="210" t="s">
        <v>80</v>
      </c>
      <c r="AC3" s="4" t="str">
        <f>底稿目录!A4</f>
        <v>编制人：</v>
      </c>
      <c r="AD3" s="4"/>
      <c r="AI3" s="2" t="str">
        <f>底稿目录!A6</f>
        <v>编制日期：</v>
      </c>
      <c r="AL3" s="357" t="s">
        <v>733</v>
      </c>
      <c r="AM3" s="210" t="s">
        <v>80</v>
      </c>
      <c r="AT3" s="4" t="str">
        <f>底稿目录!A4</f>
        <v>编制人：</v>
      </c>
      <c r="AU3" s="4"/>
      <c r="AZ3" s="69"/>
      <c r="BA3" s="2" t="str">
        <f>AI3</f>
        <v>编制日期：</v>
      </c>
      <c r="BE3" s="357" t="s">
        <v>733</v>
      </c>
      <c r="BF3" s="210" t="s">
        <v>80</v>
      </c>
    </row>
    <row r="4" spans="1:58" ht="19.95" customHeight="1">
      <c r="A4" s="2" t="str">
        <f>底稿目录!A3</f>
        <v>截止日：202X年12月31日</v>
      </c>
      <c r="G4" s="2" t="str">
        <f>底稿目录!A5</f>
        <v>复核人：</v>
      </c>
      <c r="J4" s="4"/>
      <c r="K4" s="4"/>
      <c r="P4" s="2" t="str">
        <f>底稿目录!A7</f>
        <v>复核日期：</v>
      </c>
      <c r="U4" s="357" t="s">
        <v>734</v>
      </c>
      <c r="V4" s="218"/>
      <c r="AC4" s="4" t="str">
        <f>底稿目录!A5</f>
        <v>复核人：</v>
      </c>
      <c r="AD4" s="4"/>
      <c r="AI4" s="2" t="str">
        <f>底稿目录!A7</f>
        <v>复核日期：</v>
      </c>
      <c r="AL4" s="357" t="s">
        <v>734</v>
      </c>
      <c r="AM4" s="218"/>
      <c r="AT4" s="4" t="str">
        <f>底稿目录!A5</f>
        <v>复核人：</v>
      </c>
      <c r="AU4" s="4"/>
      <c r="AZ4" s="69"/>
      <c r="BA4" s="2" t="str">
        <f>AI4</f>
        <v>复核日期：</v>
      </c>
      <c r="BE4" s="357" t="s">
        <v>734</v>
      </c>
      <c r="BF4" s="218"/>
    </row>
    <row r="5" spans="1:58" ht="19.95" customHeight="1">
      <c r="A5" s="43" t="s">
        <v>199</v>
      </c>
      <c r="B5" s="46"/>
      <c r="C5" s="246"/>
      <c r="J5" s="4"/>
      <c r="K5" s="4"/>
      <c r="V5" s="138"/>
      <c r="W5" s="138"/>
      <c r="X5" s="138"/>
      <c r="Y5" s="138"/>
      <c r="Z5" s="138"/>
      <c r="AA5" s="138"/>
      <c r="AB5" s="138"/>
      <c r="AC5" s="138"/>
      <c r="AD5" s="138"/>
    </row>
    <row r="6" spans="1:58" s="501" customFormat="1" ht="19.95" customHeight="1">
      <c r="A6" s="499" t="s">
        <v>200</v>
      </c>
      <c r="B6" s="46"/>
      <c r="C6" s="500"/>
      <c r="J6" s="502"/>
      <c r="K6" s="502"/>
      <c r="V6" s="503"/>
      <c r="W6" s="503"/>
      <c r="X6" s="503"/>
      <c r="Y6" s="503"/>
      <c r="Z6" s="503"/>
      <c r="AA6" s="503"/>
      <c r="AB6" s="503"/>
      <c r="AC6" s="503"/>
      <c r="AD6" s="503"/>
    </row>
    <row r="7" spans="1:58" ht="19.95" customHeight="1">
      <c r="A7" s="44" t="s">
        <v>201</v>
      </c>
      <c r="B7" s="45"/>
      <c r="C7" s="6"/>
      <c r="J7" s="4"/>
      <c r="K7" s="4"/>
      <c r="V7" s="138"/>
      <c r="W7" s="138"/>
      <c r="X7" s="138"/>
      <c r="Y7" s="138"/>
      <c r="Z7" s="138"/>
      <c r="AA7" s="138"/>
      <c r="AB7" s="138"/>
      <c r="AC7" s="138"/>
      <c r="AD7" s="138"/>
    </row>
    <row r="8" spans="1:58" s="504" customFormat="1" ht="19.95" customHeight="1">
      <c r="A8" s="640" t="s">
        <v>202</v>
      </c>
      <c r="B8" s="640" t="s">
        <v>203</v>
      </c>
      <c r="C8" s="640" t="s">
        <v>204</v>
      </c>
      <c r="D8" s="643" t="s">
        <v>205</v>
      </c>
      <c r="E8" s="643"/>
      <c r="F8" s="643"/>
      <c r="G8" s="643"/>
      <c r="H8" s="643"/>
      <c r="I8" s="643"/>
      <c r="J8" s="643"/>
      <c r="K8" s="643"/>
      <c r="L8" s="643"/>
      <c r="M8" s="643"/>
      <c r="N8" s="643"/>
      <c r="O8" s="643"/>
      <c r="P8" s="643"/>
      <c r="Q8" s="643"/>
      <c r="R8" s="643"/>
      <c r="S8" s="643"/>
      <c r="T8" s="643"/>
      <c r="U8" s="643"/>
      <c r="V8" s="643"/>
      <c r="W8" s="639" t="s">
        <v>206</v>
      </c>
      <c r="X8" s="639"/>
      <c r="Y8" s="639"/>
      <c r="Z8" s="639"/>
      <c r="AA8" s="639"/>
      <c r="AB8" s="639"/>
      <c r="AC8" s="639"/>
      <c r="AD8" s="639"/>
      <c r="AE8" s="639"/>
      <c r="AF8" s="639"/>
      <c r="AG8" s="639"/>
      <c r="AH8" s="639"/>
      <c r="AI8" s="639"/>
      <c r="AJ8" s="639"/>
      <c r="AK8" s="639"/>
      <c r="AL8" s="639"/>
      <c r="AM8" s="639"/>
      <c r="AN8" s="639" t="s">
        <v>207</v>
      </c>
      <c r="AO8" s="639"/>
      <c r="AP8" s="639"/>
      <c r="AQ8" s="639"/>
      <c r="AR8" s="639"/>
      <c r="AS8" s="639"/>
      <c r="AT8" s="639"/>
      <c r="AU8" s="639"/>
      <c r="AV8" s="639"/>
      <c r="AW8" s="639"/>
      <c r="AX8" s="639"/>
      <c r="AY8" s="639"/>
      <c r="AZ8" s="639"/>
      <c r="BA8" s="639"/>
      <c r="BB8" s="639"/>
      <c r="BC8" s="639"/>
      <c r="BD8" s="639"/>
      <c r="BE8" s="639" t="s">
        <v>208</v>
      </c>
      <c r="BF8" s="642"/>
    </row>
    <row r="9" spans="1:58" s="504" customFormat="1" ht="19.95" customHeight="1">
      <c r="A9" s="640"/>
      <c r="B9" s="640"/>
      <c r="C9" s="640"/>
      <c r="D9" s="638" t="s">
        <v>13</v>
      </c>
      <c r="E9" s="643" t="s">
        <v>209</v>
      </c>
      <c r="F9" s="643"/>
      <c r="G9" s="642"/>
      <c r="H9" s="642"/>
      <c r="I9" s="642"/>
      <c r="J9" s="642"/>
      <c r="K9" s="642"/>
      <c r="L9" s="638" t="s">
        <v>210</v>
      </c>
      <c r="M9" s="638" t="s">
        <v>211</v>
      </c>
      <c r="N9" s="638"/>
      <c r="O9" s="638"/>
      <c r="P9" s="638"/>
      <c r="Q9" s="638"/>
      <c r="R9" s="638"/>
      <c r="S9" s="638" t="s">
        <v>212</v>
      </c>
      <c r="T9" s="638"/>
      <c r="U9" s="638"/>
      <c r="V9" s="638"/>
      <c r="W9" s="638" t="s">
        <v>213</v>
      </c>
      <c r="X9" s="639" t="s">
        <v>214</v>
      </c>
      <c r="Y9" s="642"/>
      <c r="Z9" s="642"/>
      <c r="AA9" s="642"/>
      <c r="AB9" s="642"/>
      <c r="AC9" s="642"/>
      <c r="AD9" s="638" t="s">
        <v>215</v>
      </c>
      <c r="AE9" s="638" t="s">
        <v>211</v>
      </c>
      <c r="AF9" s="638"/>
      <c r="AG9" s="638"/>
      <c r="AH9" s="638"/>
      <c r="AI9" s="638"/>
      <c r="AJ9" s="638" t="s">
        <v>216</v>
      </c>
      <c r="AK9" s="638"/>
      <c r="AL9" s="638"/>
      <c r="AM9" s="638"/>
      <c r="AN9" s="638" t="s">
        <v>13</v>
      </c>
      <c r="AO9" s="639" t="s">
        <v>217</v>
      </c>
      <c r="AP9" s="642"/>
      <c r="AQ9" s="642"/>
      <c r="AR9" s="642"/>
      <c r="AS9" s="642"/>
      <c r="AT9" s="642"/>
      <c r="AU9" s="638" t="s">
        <v>218</v>
      </c>
      <c r="AV9" s="638" t="s">
        <v>219</v>
      </c>
      <c r="AW9" s="638"/>
      <c r="AX9" s="638"/>
      <c r="AY9" s="638"/>
      <c r="AZ9" s="638"/>
      <c r="BA9" s="638" t="s">
        <v>220</v>
      </c>
      <c r="BB9" s="638"/>
      <c r="BC9" s="638"/>
      <c r="BD9" s="638"/>
      <c r="BE9" s="639"/>
      <c r="BF9" s="642"/>
    </row>
    <row r="10" spans="1:58" s="504" customFormat="1" ht="19.95" customHeight="1">
      <c r="A10" s="640"/>
      <c r="B10" s="640"/>
      <c r="C10" s="640"/>
      <c r="D10" s="642"/>
      <c r="E10" s="639" t="s">
        <v>9</v>
      </c>
      <c r="F10" s="639"/>
      <c r="G10" s="639"/>
      <c r="H10" s="639" t="s">
        <v>221</v>
      </c>
      <c r="I10" s="639"/>
      <c r="J10" s="639"/>
      <c r="K10" s="639" t="s">
        <v>222</v>
      </c>
      <c r="L10" s="642"/>
      <c r="M10" s="639" t="s">
        <v>9</v>
      </c>
      <c r="N10" s="639"/>
      <c r="O10" s="639"/>
      <c r="P10" s="639" t="s">
        <v>223</v>
      </c>
      <c r="Q10" s="639"/>
      <c r="R10" s="639"/>
      <c r="S10" s="638" t="s">
        <v>213</v>
      </c>
      <c r="T10" s="638" t="s">
        <v>224</v>
      </c>
      <c r="U10" s="638" t="s">
        <v>225</v>
      </c>
      <c r="V10" s="638" t="s">
        <v>226</v>
      </c>
      <c r="W10" s="642"/>
      <c r="X10" s="639" t="s">
        <v>9</v>
      </c>
      <c r="Y10" s="639"/>
      <c r="Z10" s="639" t="s">
        <v>221</v>
      </c>
      <c r="AA10" s="639"/>
      <c r="AB10" s="639"/>
      <c r="AC10" s="638" t="s">
        <v>226</v>
      </c>
      <c r="AD10" s="642"/>
      <c r="AE10" s="639" t="s">
        <v>9</v>
      </c>
      <c r="AF10" s="639"/>
      <c r="AG10" s="639" t="s">
        <v>221</v>
      </c>
      <c r="AH10" s="639"/>
      <c r="AI10" s="639"/>
      <c r="AJ10" s="638" t="s">
        <v>227</v>
      </c>
      <c r="AK10" s="639" t="s">
        <v>9</v>
      </c>
      <c r="AL10" s="639" t="s">
        <v>228</v>
      </c>
      <c r="AM10" s="638" t="s">
        <v>226</v>
      </c>
      <c r="AN10" s="642"/>
      <c r="AO10" s="639" t="s">
        <v>9</v>
      </c>
      <c r="AP10" s="639"/>
      <c r="AQ10" s="639" t="s">
        <v>221</v>
      </c>
      <c r="AR10" s="639"/>
      <c r="AS10" s="639"/>
      <c r="AT10" s="638" t="s">
        <v>226</v>
      </c>
      <c r="AU10" s="642"/>
      <c r="AV10" s="639" t="s">
        <v>9</v>
      </c>
      <c r="AW10" s="639"/>
      <c r="AX10" s="639" t="s">
        <v>229</v>
      </c>
      <c r="AY10" s="639"/>
      <c r="AZ10" s="639"/>
      <c r="BA10" s="638" t="s">
        <v>13</v>
      </c>
      <c r="BB10" s="638" t="s">
        <v>230</v>
      </c>
      <c r="BC10" s="638" t="s">
        <v>231</v>
      </c>
      <c r="BD10" s="638" t="s">
        <v>232</v>
      </c>
      <c r="BE10" s="645" t="s">
        <v>233</v>
      </c>
      <c r="BF10" s="645" t="s">
        <v>234</v>
      </c>
    </row>
    <row r="11" spans="1:58" s="506" customFormat="1" ht="24">
      <c r="A11" s="640"/>
      <c r="B11" s="640"/>
      <c r="C11" s="640"/>
      <c r="D11" s="642"/>
      <c r="E11" s="505" t="s">
        <v>235</v>
      </c>
      <c r="F11" s="505" t="s">
        <v>236</v>
      </c>
      <c r="G11" s="505" t="s">
        <v>237</v>
      </c>
      <c r="H11" s="505" t="s">
        <v>238</v>
      </c>
      <c r="I11" s="505" t="s">
        <v>239</v>
      </c>
      <c r="J11" s="505" t="s">
        <v>240</v>
      </c>
      <c r="K11" s="639"/>
      <c r="L11" s="642"/>
      <c r="M11" s="505" t="s">
        <v>241</v>
      </c>
      <c r="N11" s="505" t="s">
        <v>236</v>
      </c>
      <c r="O11" s="505" t="s">
        <v>237</v>
      </c>
      <c r="P11" s="505" t="s">
        <v>238</v>
      </c>
      <c r="Q11" s="505" t="s">
        <v>239</v>
      </c>
      <c r="R11" s="505" t="s">
        <v>240</v>
      </c>
      <c r="S11" s="638"/>
      <c r="T11" s="638"/>
      <c r="U11" s="638"/>
      <c r="V11" s="638"/>
      <c r="W11" s="642"/>
      <c r="X11" s="505" t="s">
        <v>242</v>
      </c>
      <c r="Y11" s="505" t="s">
        <v>10</v>
      </c>
      <c r="Z11" s="505" t="s">
        <v>238</v>
      </c>
      <c r="AA11" s="505" t="s">
        <v>239</v>
      </c>
      <c r="AB11" s="505" t="s">
        <v>240</v>
      </c>
      <c r="AC11" s="638"/>
      <c r="AD11" s="642"/>
      <c r="AE11" s="505" t="s">
        <v>243</v>
      </c>
      <c r="AF11" s="505" t="s">
        <v>10</v>
      </c>
      <c r="AG11" s="505" t="s">
        <v>238</v>
      </c>
      <c r="AH11" s="505" t="s">
        <v>239</v>
      </c>
      <c r="AI11" s="505" t="s">
        <v>240</v>
      </c>
      <c r="AJ11" s="638"/>
      <c r="AK11" s="639"/>
      <c r="AL11" s="639"/>
      <c r="AM11" s="638"/>
      <c r="AN11" s="642"/>
      <c r="AO11" s="505" t="s">
        <v>244</v>
      </c>
      <c r="AP11" s="505" t="s">
        <v>10</v>
      </c>
      <c r="AQ11" s="505" t="s">
        <v>238</v>
      </c>
      <c r="AR11" s="505" t="s">
        <v>239</v>
      </c>
      <c r="AS11" s="505" t="s">
        <v>245</v>
      </c>
      <c r="AT11" s="638"/>
      <c r="AU11" s="642"/>
      <c r="AV11" s="505" t="s">
        <v>246</v>
      </c>
      <c r="AW11" s="505" t="s">
        <v>10</v>
      </c>
      <c r="AX11" s="505" t="s">
        <v>238</v>
      </c>
      <c r="AY11" s="505" t="s">
        <v>239</v>
      </c>
      <c r="AZ11" s="505" t="s">
        <v>247</v>
      </c>
      <c r="BA11" s="638"/>
      <c r="BB11" s="638"/>
      <c r="BC11" s="638"/>
      <c r="BD11" s="638"/>
      <c r="BE11" s="645"/>
      <c r="BF11" s="645"/>
    </row>
    <row r="12" spans="1:58" ht="19.95" customHeight="1">
      <c r="A12" s="68"/>
      <c r="B12" s="68"/>
      <c r="C12" s="50"/>
      <c r="D12" s="60"/>
      <c r="E12" s="60"/>
      <c r="F12" s="60"/>
      <c r="G12" s="60"/>
      <c r="H12" s="60"/>
      <c r="I12" s="60"/>
      <c r="J12" s="60"/>
      <c r="K12" s="80">
        <f>SUM(D12:G12)-SUM(H12:J12)</f>
        <v>0</v>
      </c>
      <c r="L12" s="60"/>
      <c r="M12" s="60"/>
      <c r="N12" s="60"/>
      <c r="O12" s="60"/>
      <c r="P12" s="60"/>
      <c r="Q12" s="60"/>
      <c r="R12" s="60"/>
      <c r="S12" s="80">
        <f>D12+L12</f>
        <v>0</v>
      </c>
      <c r="T12" s="80">
        <f>(E12+F12+G12)+M12+N12+O12</f>
        <v>0</v>
      </c>
      <c r="U12" s="80">
        <f>(H12+I12+J12)+P12+Q12+R12</f>
        <v>0</v>
      </c>
      <c r="V12" s="80">
        <f>S12+T12-U12</f>
        <v>0</v>
      </c>
      <c r="W12" s="60"/>
      <c r="X12" s="60"/>
      <c r="Y12" s="60"/>
      <c r="Z12" s="60"/>
      <c r="AA12" s="60"/>
      <c r="AB12" s="60"/>
      <c r="AC12" s="80">
        <f>SUM(W12:Y12)-SUM(Z12:AB12)</f>
        <v>0</v>
      </c>
      <c r="AD12" s="60"/>
      <c r="AE12" s="60"/>
      <c r="AF12" s="60"/>
      <c r="AG12" s="60"/>
      <c r="AH12" s="60"/>
      <c r="AI12" s="60"/>
      <c r="AJ12" s="80">
        <f>W12+AD12</f>
        <v>0</v>
      </c>
      <c r="AK12" s="80">
        <f>X12+AE12+Y12+AF12</f>
        <v>0</v>
      </c>
      <c r="AL12" s="80">
        <f>Z12+AI12+AB12+AA12+AG12+AH12</f>
        <v>0</v>
      </c>
      <c r="AM12" s="80">
        <f>AJ12+AK12-AL12</f>
        <v>0</v>
      </c>
      <c r="AN12" s="60"/>
      <c r="AO12" s="60"/>
      <c r="AP12" s="60"/>
      <c r="AQ12" s="60"/>
      <c r="AR12" s="60"/>
      <c r="AS12" s="60"/>
      <c r="AT12" s="80">
        <f>SUM(AN12:AP12)-SUM(AQ12:AS12)</f>
        <v>0</v>
      </c>
      <c r="AU12" s="60"/>
      <c r="AV12" s="60"/>
      <c r="AW12" s="60"/>
      <c r="AX12" s="60"/>
      <c r="AY12" s="60"/>
      <c r="AZ12" s="60"/>
      <c r="BA12" s="80">
        <f>AN12+AU12</f>
        <v>0</v>
      </c>
      <c r="BB12" s="80">
        <f>AO12+AV12+AP12+AW12</f>
        <v>0</v>
      </c>
      <c r="BC12" s="80">
        <f>AQ12+AZ12+AS12+AR12+AX12+AY12</f>
        <v>0</v>
      </c>
      <c r="BD12" s="80">
        <f>BA12+BB12-BC12</f>
        <v>0</v>
      </c>
      <c r="BE12" s="80">
        <f>S12-AJ12-BA12</f>
        <v>0</v>
      </c>
      <c r="BF12" s="80">
        <f>V12-AM12-BD12</f>
        <v>0</v>
      </c>
    </row>
    <row r="13" spans="1:58" ht="19.95" customHeight="1">
      <c r="A13" s="68"/>
      <c r="B13" s="68"/>
      <c r="C13" s="50"/>
      <c r="D13" s="60"/>
      <c r="E13" s="60"/>
      <c r="F13" s="60"/>
      <c r="G13" s="60"/>
      <c r="H13" s="60"/>
      <c r="I13" s="60"/>
      <c r="J13" s="60"/>
      <c r="K13" s="80">
        <f t="shared" ref="K13:K15" si="0">SUM(D13:G13)-SUM(H13:J13)</f>
        <v>0</v>
      </c>
      <c r="L13" s="60"/>
      <c r="M13" s="60"/>
      <c r="N13" s="60"/>
      <c r="O13" s="60"/>
      <c r="P13" s="60"/>
      <c r="Q13" s="60"/>
      <c r="R13" s="60"/>
      <c r="S13" s="80">
        <f t="shared" ref="S13:S31" si="1">D13+L13</f>
        <v>0</v>
      </c>
      <c r="T13" s="80">
        <f t="shared" ref="T13:T31" si="2">(E13+F13+G13)+M13+N13+O13</f>
        <v>0</v>
      </c>
      <c r="U13" s="80">
        <f t="shared" ref="U13:U31" si="3">(H13+I13+J13)+P13+Q13+R13</f>
        <v>0</v>
      </c>
      <c r="V13" s="80">
        <f t="shared" ref="V13:V15" si="4">S13+T13-U13</f>
        <v>0</v>
      </c>
      <c r="W13" s="60"/>
      <c r="X13" s="60"/>
      <c r="Y13" s="60"/>
      <c r="Z13" s="60"/>
      <c r="AA13" s="60"/>
      <c r="AB13" s="60"/>
      <c r="AC13" s="80">
        <f t="shared" ref="AC13:AC31" si="5">SUM(W13:Y13)-SUM(Z13:AB13)</f>
        <v>0</v>
      </c>
      <c r="AD13" s="60"/>
      <c r="AE13" s="60"/>
      <c r="AF13" s="60"/>
      <c r="AG13" s="60"/>
      <c r="AH13" s="60"/>
      <c r="AI13" s="60"/>
      <c r="AJ13" s="80">
        <f t="shared" ref="AJ13:AJ15" si="6">W13+AD13</f>
        <v>0</v>
      </c>
      <c r="AK13" s="80">
        <f t="shared" ref="AK13:AK31" si="7">X13+AE13+Y13+AF13</f>
        <v>0</v>
      </c>
      <c r="AL13" s="80">
        <f t="shared" ref="AL13:AL31" si="8">Z13+AI13+AB13+AA13+AG13+AH13</f>
        <v>0</v>
      </c>
      <c r="AM13" s="80">
        <f t="shared" ref="AM13:AM31" si="9">AJ13+AK13-AL13</f>
        <v>0</v>
      </c>
      <c r="AN13" s="60"/>
      <c r="AO13" s="60"/>
      <c r="AP13" s="60"/>
      <c r="AQ13" s="60"/>
      <c r="AR13" s="60"/>
      <c r="AS13" s="60"/>
      <c r="AT13" s="80">
        <f t="shared" ref="AT13:AT15" si="10">SUM(AN13:AP13)-SUM(AQ13:AS13)</f>
        <v>0</v>
      </c>
      <c r="AU13" s="60"/>
      <c r="AV13" s="60"/>
      <c r="AW13" s="60"/>
      <c r="AX13" s="60"/>
      <c r="AY13" s="60"/>
      <c r="AZ13" s="60"/>
      <c r="BA13" s="80">
        <f t="shared" ref="BA13:BA15" si="11">AN13+AU13</f>
        <v>0</v>
      </c>
      <c r="BB13" s="80">
        <f t="shared" ref="BB13:BB31" si="12">AO13+AV13+AP13+AW13</f>
        <v>0</v>
      </c>
      <c r="BC13" s="80">
        <f t="shared" ref="BC13:BC31" si="13">AQ13+AZ13+AS13+AR13+AX13+AY13</f>
        <v>0</v>
      </c>
      <c r="BD13" s="80">
        <f t="shared" ref="BD13:BD15" si="14">BA13+BB13-BC13</f>
        <v>0</v>
      </c>
      <c r="BE13" s="80">
        <f t="shared" ref="BE13:BE31" si="15">S13-AJ13-BA13</f>
        <v>0</v>
      </c>
      <c r="BF13" s="80">
        <f t="shared" ref="BF13:BF31" si="16">V13-AM13-BD13</f>
        <v>0</v>
      </c>
    </row>
    <row r="14" spans="1:58" ht="19.95" customHeight="1">
      <c r="A14" s="68"/>
      <c r="B14" s="68"/>
      <c r="C14" s="50"/>
      <c r="D14" s="60"/>
      <c r="E14" s="60"/>
      <c r="F14" s="60"/>
      <c r="G14" s="60"/>
      <c r="H14" s="60"/>
      <c r="I14" s="60"/>
      <c r="J14" s="60"/>
      <c r="K14" s="80">
        <f t="shared" si="0"/>
        <v>0</v>
      </c>
      <c r="L14" s="60"/>
      <c r="M14" s="60"/>
      <c r="N14" s="60"/>
      <c r="O14" s="60"/>
      <c r="P14" s="60"/>
      <c r="Q14" s="60"/>
      <c r="R14" s="60"/>
      <c r="S14" s="80">
        <f t="shared" si="1"/>
        <v>0</v>
      </c>
      <c r="T14" s="80">
        <f t="shared" si="2"/>
        <v>0</v>
      </c>
      <c r="U14" s="80">
        <f t="shared" si="3"/>
        <v>0</v>
      </c>
      <c r="V14" s="80">
        <f t="shared" si="4"/>
        <v>0</v>
      </c>
      <c r="W14" s="60"/>
      <c r="X14" s="60"/>
      <c r="Y14" s="60"/>
      <c r="Z14" s="60"/>
      <c r="AA14" s="60"/>
      <c r="AB14" s="60"/>
      <c r="AC14" s="80">
        <f t="shared" si="5"/>
        <v>0</v>
      </c>
      <c r="AD14" s="60"/>
      <c r="AE14" s="60"/>
      <c r="AF14" s="60"/>
      <c r="AG14" s="60"/>
      <c r="AH14" s="60"/>
      <c r="AI14" s="60"/>
      <c r="AJ14" s="80">
        <f t="shared" si="6"/>
        <v>0</v>
      </c>
      <c r="AK14" s="80">
        <f t="shared" si="7"/>
        <v>0</v>
      </c>
      <c r="AL14" s="80">
        <f t="shared" si="8"/>
        <v>0</v>
      </c>
      <c r="AM14" s="80">
        <f t="shared" si="9"/>
        <v>0</v>
      </c>
      <c r="AN14" s="60"/>
      <c r="AO14" s="60"/>
      <c r="AP14" s="60"/>
      <c r="AQ14" s="60"/>
      <c r="AR14" s="60"/>
      <c r="AS14" s="60"/>
      <c r="AT14" s="80">
        <f t="shared" si="10"/>
        <v>0</v>
      </c>
      <c r="AU14" s="60"/>
      <c r="AV14" s="60"/>
      <c r="AW14" s="60"/>
      <c r="AX14" s="60"/>
      <c r="AY14" s="60"/>
      <c r="AZ14" s="60"/>
      <c r="BA14" s="80">
        <f t="shared" si="11"/>
        <v>0</v>
      </c>
      <c r="BB14" s="80">
        <f t="shared" si="12"/>
        <v>0</v>
      </c>
      <c r="BC14" s="80">
        <f>AQ14+AZ14+AS14+AR14+AX14+AY14</f>
        <v>0</v>
      </c>
      <c r="BD14" s="80">
        <f t="shared" si="14"/>
        <v>0</v>
      </c>
      <c r="BE14" s="80">
        <f t="shared" si="15"/>
        <v>0</v>
      </c>
      <c r="BF14" s="80">
        <f t="shared" si="16"/>
        <v>0</v>
      </c>
    </row>
    <row r="15" spans="1:58" ht="19.95" customHeight="1">
      <c r="A15" s="68"/>
      <c r="B15" s="68"/>
      <c r="C15" s="50"/>
      <c r="D15" s="60"/>
      <c r="E15" s="60"/>
      <c r="F15" s="60"/>
      <c r="G15" s="60"/>
      <c r="H15" s="60"/>
      <c r="I15" s="60"/>
      <c r="J15" s="60"/>
      <c r="K15" s="80">
        <f t="shared" si="0"/>
        <v>0</v>
      </c>
      <c r="L15" s="60"/>
      <c r="M15" s="60"/>
      <c r="N15" s="60"/>
      <c r="O15" s="60"/>
      <c r="P15" s="60"/>
      <c r="Q15" s="60"/>
      <c r="R15" s="60"/>
      <c r="S15" s="80">
        <f t="shared" si="1"/>
        <v>0</v>
      </c>
      <c r="T15" s="80">
        <f t="shared" si="2"/>
        <v>0</v>
      </c>
      <c r="U15" s="80">
        <f t="shared" si="3"/>
        <v>0</v>
      </c>
      <c r="V15" s="80">
        <f t="shared" si="4"/>
        <v>0</v>
      </c>
      <c r="W15" s="60"/>
      <c r="X15" s="60"/>
      <c r="Y15" s="60"/>
      <c r="Z15" s="60"/>
      <c r="AA15" s="60"/>
      <c r="AB15" s="60"/>
      <c r="AC15" s="80">
        <f t="shared" si="5"/>
        <v>0</v>
      </c>
      <c r="AD15" s="60"/>
      <c r="AE15" s="60"/>
      <c r="AF15" s="60"/>
      <c r="AG15" s="60"/>
      <c r="AH15" s="60"/>
      <c r="AI15" s="60"/>
      <c r="AJ15" s="80">
        <f t="shared" si="6"/>
        <v>0</v>
      </c>
      <c r="AK15" s="80">
        <f t="shared" si="7"/>
        <v>0</v>
      </c>
      <c r="AL15" s="80">
        <f t="shared" si="8"/>
        <v>0</v>
      </c>
      <c r="AM15" s="80">
        <f t="shared" si="9"/>
        <v>0</v>
      </c>
      <c r="AN15" s="60"/>
      <c r="AO15" s="60"/>
      <c r="AP15" s="60"/>
      <c r="AQ15" s="60"/>
      <c r="AR15" s="60"/>
      <c r="AS15" s="60"/>
      <c r="AT15" s="80">
        <f t="shared" si="10"/>
        <v>0</v>
      </c>
      <c r="AU15" s="60"/>
      <c r="AV15" s="60"/>
      <c r="AW15" s="60"/>
      <c r="AX15" s="60"/>
      <c r="AY15" s="60"/>
      <c r="AZ15" s="60"/>
      <c r="BA15" s="80">
        <f t="shared" si="11"/>
        <v>0</v>
      </c>
      <c r="BB15" s="80">
        <f t="shared" si="12"/>
        <v>0</v>
      </c>
      <c r="BC15" s="80">
        <f t="shared" si="13"/>
        <v>0</v>
      </c>
      <c r="BD15" s="80">
        <f t="shared" si="14"/>
        <v>0</v>
      </c>
      <c r="BE15" s="80">
        <f t="shared" si="15"/>
        <v>0</v>
      </c>
      <c r="BF15" s="80">
        <f t="shared" si="16"/>
        <v>0</v>
      </c>
    </row>
    <row r="16" spans="1:58" ht="19.95" customHeight="1">
      <c r="A16" s="68"/>
      <c r="B16" s="68"/>
      <c r="C16" s="50"/>
      <c r="D16" s="60"/>
      <c r="E16" s="60"/>
      <c r="F16" s="60"/>
      <c r="G16" s="60"/>
      <c r="H16" s="60"/>
      <c r="I16" s="60"/>
      <c r="J16" s="60"/>
      <c r="K16" s="80">
        <f>SUM(D16:G16)-SUM(H16:J16)</f>
        <v>0</v>
      </c>
      <c r="L16" s="60"/>
      <c r="M16" s="60"/>
      <c r="N16" s="60"/>
      <c r="O16" s="60"/>
      <c r="P16" s="60"/>
      <c r="Q16" s="60"/>
      <c r="R16" s="60"/>
      <c r="S16" s="80">
        <f t="shared" si="1"/>
        <v>0</v>
      </c>
      <c r="T16" s="80">
        <f t="shared" si="2"/>
        <v>0</v>
      </c>
      <c r="U16" s="80">
        <f t="shared" si="3"/>
        <v>0</v>
      </c>
      <c r="V16" s="80">
        <f>S16+T16-U16</f>
        <v>0</v>
      </c>
      <c r="W16" s="60"/>
      <c r="X16" s="60"/>
      <c r="Y16" s="60"/>
      <c r="Z16" s="60"/>
      <c r="AA16" s="60"/>
      <c r="AB16" s="60"/>
      <c r="AC16" s="80">
        <f t="shared" si="5"/>
        <v>0</v>
      </c>
      <c r="AD16" s="60"/>
      <c r="AE16" s="60"/>
      <c r="AF16" s="60"/>
      <c r="AG16" s="60"/>
      <c r="AH16" s="60"/>
      <c r="AI16" s="60"/>
      <c r="AJ16" s="80">
        <f t="shared" ref="AJ16:AJ19" si="17">W16+AD16</f>
        <v>0</v>
      </c>
      <c r="AK16" s="80">
        <f t="shared" si="7"/>
        <v>0</v>
      </c>
      <c r="AL16" s="80">
        <f t="shared" si="8"/>
        <v>0</v>
      </c>
      <c r="AM16" s="80">
        <f t="shared" si="9"/>
        <v>0</v>
      </c>
      <c r="AN16" s="60"/>
      <c r="AO16" s="60"/>
      <c r="AP16" s="60"/>
      <c r="AQ16" s="60"/>
      <c r="AR16" s="60"/>
      <c r="AS16" s="60"/>
      <c r="AT16" s="80">
        <f t="shared" ref="AT16:AT19" si="18">SUM(AN16:AP16)-SUM(AQ16:AS16)</f>
        <v>0</v>
      </c>
      <c r="AU16" s="60"/>
      <c r="AV16" s="60"/>
      <c r="AW16" s="60"/>
      <c r="AX16" s="60"/>
      <c r="AY16" s="60"/>
      <c r="AZ16" s="60"/>
      <c r="BA16" s="80">
        <f t="shared" ref="BA16:BA19" si="19">AN16+AU16</f>
        <v>0</v>
      </c>
      <c r="BB16" s="80">
        <f t="shared" si="12"/>
        <v>0</v>
      </c>
      <c r="BC16" s="80">
        <f t="shared" si="13"/>
        <v>0</v>
      </c>
      <c r="BD16" s="80">
        <f>BA16+BB16-BC16</f>
        <v>0</v>
      </c>
      <c r="BE16" s="80">
        <f t="shared" si="15"/>
        <v>0</v>
      </c>
      <c r="BF16" s="80">
        <f t="shared" si="16"/>
        <v>0</v>
      </c>
    </row>
    <row r="17" spans="1:58" ht="19.95" customHeight="1">
      <c r="A17" s="68"/>
      <c r="B17" s="68"/>
      <c r="C17" s="50"/>
      <c r="D17" s="60"/>
      <c r="E17" s="60"/>
      <c r="F17" s="60"/>
      <c r="G17" s="60"/>
      <c r="H17" s="60"/>
      <c r="I17" s="60"/>
      <c r="J17" s="60"/>
      <c r="K17" s="80">
        <f t="shared" ref="K17:K19" si="20">SUM(D17:G17)-SUM(H17:J17)</f>
        <v>0</v>
      </c>
      <c r="L17" s="60"/>
      <c r="M17" s="60"/>
      <c r="N17" s="60"/>
      <c r="O17" s="60"/>
      <c r="P17" s="60"/>
      <c r="Q17" s="60"/>
      <c r="R17" s="60"/>
      <c r="S17" s="80">
        <f t="shared" si="1"/>
        <v>0</v>
      </c>
      <c r="T17" s="80">
        <f t="shared" si="2"/>
        <v>0</v>
      </c>
      <c r="U17" s="80">
        <f t="shared" si="3"/>
        <v>0</v>
      </c>
      <c r="V17" s="80">
        <f t="shared" ref="V17:V19" si="21">S17+T17-U17</f>
        <v>0</v>
      </c>
      <c r="W17" s="60"/>
      <c r="X17" s="60"/>
      <c r="Y17" s="60"/>
      <c r="Z17" s="60"/>
      <c r="AA17" s="60"/>
      <c r="AB17" s="60"/>
      <c r="AC17" s="80">
        <f t="shared" si="5"/>
        <v>0</v>
      </c>
      <c r="AD17" s="60"/>
      <c r="AE17" s="60"/>
      <c r="AF17" s="60"/>
      <c r="AG17" s="60"/>
      <c r="AH17" s="60"/>
      <c r="AI17" s="60"/>
      <c r="AJ17" s="80">
        <f t="shared" si="17"/>
        <v>0</v>
      </c>
      <c r="AK17" s="80">
        <f t="shared" si="7"/>
        <v>0</v>
      </c>
      <c r="AL17" s="80">
        <f t="shared" si="8"/>
        <v>0</v>
      </c>
      <c r="AM17" s="80">
        <f t="shared" si="9"/>
        <v>0</v>
      </c>
      <c r="AN17" s="60"/>
      <c r="AO17" s="60"/>
      <c r="AP17" s="60"/>
      <c r="AQ17" s="60"/>
      <c r="AR17" s="60"/>
      <c r="AS17" s="60"/>
      <c r="AT17" s="80">
        <f t="shared" si="18"/>
        <v>0</v>
      </c>
      <c r="AU17" s="60"/>
      <c r="AV17" s="60"/>
      <c r="AW17" s="60"/>
      <c r="AX17" s="60"/>
      <c r="AY17" s="60"/>
      <c r="AZ17" s="60"/>
      <c r="BA17" s="80">
        <f t="shared" si="19"/>
        <v>0</v>
      </c>
      <c r="BB17" s="80">
        <f t="shared" si="12"/>
        <v>0</v>
      </c>
      <c r="BC17" s="80">
        <f t="shared" si="13"/>
        <v>0</v>
      </c>
      <c r="BD17" s="80">
        <f t="shared" ref="BD17:BD19" si="22">BA17+BB17-BC17</f>
        <v>0</v>
      </c>
      <c r="BE17" s="80">
        <f t="shared" si="15"/>
        <v>0</v>
      </c>
      <c r="BF17" s="80">
        <f t="shared" si="16"/>
        <v>0</v>
      </c>
    </row>
    <row r="18" spans="1:58" ht="19.95" customHeight="1">
      <c r="A18" s="68"/>
      <c r="B18" s="68"/>
      <c r="C18" s="50"/>
      <c r="D18" s="60"/>
      <c r="E18" s="60"/>
      <c r="F18" s="60"/>
      <c r="G18" s="60"/>
      <c r="H18" s="60"/>
      <c r="I18" s="60"/>
      <c r="J18" s="60"/>
      <c r="K18" s="80">
        <f t="shared" si="20"/>
        <v>0</v>
      </c>
      <c r="L18" s="60"/>
      <c r="M18" s="60"/>
      <c r="N18" s="60"/>
      <c r="O18" s="60"/>
      <c r="P18" s="60"/>
      <c r="Q18" s="60"/>
      <c r="R18" s="60"/>
      <c r="S18" s="80">
        <f t="shared" si="1"/>
        <v>0</v>
      </c>
      <c r="T18" s="80">
        <f t="shared" si="2"/>
        <v>0</v>
      </c>
      <c r="U18" s="80">
        <f t="shared" si="3"/>
        <v>0</v>
      </c>
      <c r="V18" s="80">
        <f t="shared" si="21"/>
        <v>0</v>
      </c>
      <c r="W18" s="60"/>
      <c r="X18" s="60"/>
      <c r="Y18" s="60"/>
      <c r="Z18" s="60"/>
      <c r="AA18" s="60"/>
      <c r="AB18" s="60"/>
      <c r="AC18" s="80">
        <f t="shared" si="5"/>
        <v>0</v>
      </c>
      <c r="AD18" s="60"/>
      <c r="AE18" s="60"/>
      <c r="AF18" s="60"/>
      <c r="AG18" s="60"/>
      <c r="AH18" s="60"/>
      <c r="AI18" s="60"/>
      <c r="AJ18" s="80">
        <f t="shared" si="17"/>
        <v>0</v>
      </c>
      <c r="AK18" s="80">
        <f t="shared" si="7"/>
        <v>0</v>
      </c>
      <c r="AL18" s="80">
        <f t="shared" si="8"/>
        <v>0</v>
      </c>
      <c r="AM18" s="80">
        <f t="shared" si="9"/>
        <v>0</v>
      </c>
      <c r="AN18" s="60"/>
      <c r="AO18" s="60"/>
      <c r="AP18" s="60"/>
      <c r="AQ18" s="60"/>
      <c r="AR18" s="60"/>
      <c r="AS18" s="60"/>
      <c r="AT18" s="80">
        <f t="shared" si="18"/>
        <v>0</v>
      </c>
      <c r="AU18" s="60"/>
      <c r="AV18" s="60"/>
      <c r="AW18" s="60"/>
      <c r="AX18" s="60"/>
      <c r="AY18" s="60"/>
      <c r="AZ18" s="60"/>
      <c r="BA18" s="80">
        <f t="shared" si="19"/>
        <v>0</v>
      </c>
      <c r="BB18" s="80">
        <f t="shared" si="12"/>
        <v>0</v>
      </c>
      <c r="BC18" s="80">
        <f t="shared" si="13"/>
        <v>0</v>
      </c>
      <c r="BD18" s="80">
        <f t="shared" si="22"/>
        <v>0</v>
      </c>
      <c r="BE18" s="80">
        <f t="shared" si="15"/>
        <v>0</v>
      </c>
      <c r="BF18" s="80">
        <f t="shared" si="16"/>
        <v>0</v>
      </c>
    </row>
    <row r="19" spans="1:58" ht="19.95" customHeight="1">
      <c r="A19" s="68"/>
      <c r="B19" s="68"/>
      <c r="C19" s="50"/>
      <c r="D19" s="60"/>
      <c r="E19" s="60"/>
      <c r="F19" s="60"/>
      <c r="G19" s="60"/>
      <c r="H19" s="60"/>
      <c r="I19" s="60"/>
      <c r="J19" s="60"/>
      <c r="K19" s="80">
        <f t="shared" si="20"/>
        <v>0</v>
      </c>
      <c r="L19" s="60"/>
      <c r="M19" s="60"/>
      <c r="N19" s="60"/>
      <c r="O19" s="60"/>
      <c r="P19" s="60"/>
      <c r="Q19" s="60"/>
      <c r="R19" s="60"/>
      <c r="S19" s="80">
        <f t="shared" si="1"/>
        <v>0</v>
      </c>
      <c r="T19" s="80">
        <f t="shared" si="2"/>
        <v>0</v>
      </c>
      <c r="U19" s="80">
        <f t="shared" si="3"/>
        <v>0</v>
      </c>
      <c r="V19" s="80">
        <f t="shared" si="21"/>
        <v>0</v>
      </c>
      <c r="W19" s="60"/>
      <c r="X19" s="60"/>
      <c r="Y19" s="60"/>
      <c r="Z19" s="60"/>
      <c r="AA19" s="60"/>
      <c r="AB19" s="60"/>
      <c r="AC19" s="80">
        <f t="shared" si="5"/>
        <v>0</v>
      </c>
      <c r="AD19" s="60"/>
      <c r="AE19" s="60"/>
      <c r="AF19" s="60"/>
      <c r="AG19" s="60"/>
      <c r="AH19" s="60"/>
      <c r="AI19" s="60"/>
      <c r="AJ19" s="80">
        <f t="shared" si="17"/>
        <v>0</v>
      </c>
      <c r="AK19" s="80">
        <f t="shared" si="7"/>
        <v>0</v>
      </c>
      <c r="AL19" s="80">
        <f t="shared" si="8"/>
        <v>0</v>
      </c>
      <c r="AM19" s="80">
        <f t="shared" si="9"/>
        <v>0</v>
      </c>
      <c r="AN19" s="60"/>
      <c r="AO19" s="60"/>
      <c r="AP19" s="60"/>
      <c r="AQ19" s="60"/>
      <c r="AR19" s="60"/>
      <c r="AS19" s="60"/>
      <c r="AT19" s="80">
        <f t="shared" si="18"/>
        <v>0</v>
      </c>
      <c r="AU19" s="60"/>
      <c r="AV19" s="60"/>
      <c r="AW19" s="60"/>
      <c r="AX19" s="60"/>
      <c r="AY19" s="60"/>
      <c r="AZ19" s="60"/>
      <c r="BA19" s="80">
        <f t="shared" si="19"/>
        <v>0</v>
      </c>
      <c r="BB19" s="80">
        <f t="shared" si="12"/>
        <v>0</v>
      </c>
      <c r="BC19" s="80">
        <f t="shared" si="13"/>
        <v>0</v>
      </c>
      <c r="BD19" s="80">
        <f t="shared" si="22"/>
        <v>0</v>
      </c>
      <c r="BE19" s="80">
        <f t="shared" si="15"/>
        <v>0</v>
      </c>
      <c r="BF19" s="80">
        <f t="shared" si="16"/>
        <v>0</v>
      </c>
    </row>
    <row r="20" spans="1:58" ht="19.95" customHeight="1">
      <c r="A20" s="68"/>
      <c r="B20" s="68"/>
      <c r="C20" s="50"/>
      <c r="D20" s="60"/>
      <c r="E20" s="60"/>
      <c r="F20" s="60"/>
      <c r="G20" s="60"/>
      <c r="H20" s="60"/>
      <c r="I20" s="60"/>
      <c r="J20" s="60"/>
      <c r="K20" s="80">
        <f>SUM(D20:G20)-SUM(H20:J20)</f>
        <v>0</v>
      </c>
      <c r="L20" s="60"/>
      <c r="M20" s="60"/>
      <c r="N20" s="60"/>
      <c r="O20" s="60"/>
      <c r="P20" s="60"/>
      <c r="Q20" s="60"/>
      <c r="R20" s="60"/>
      <c r="S20" s="80">
        <f>D20+L20</f>
        <v>0</v>
      </c>
      <c r="T20" s="80">
        <f t="shared" si="2"/>
        <v>0</v>
      </c>
      <c r="U20" s="80">
        <f t="shared" si="3"/>
        <v>0</v>
      </c>
      <c r="V20" s="80">
        <f>S20+T20-U20</f>
        <v>0</v>
      </c>
      <c r="W20" s="60"/>
      <c r="X20" s="60"/>
      <c r="Y20" s="60"/>
      <c r="Z20" s="60"/>
      <c r="AA20" s="60"/>
      <c r="AB20" s="60"/>
      <c r="AC20" s="80">
        <f t="shared" si="5"/>
        <v>0</v>
      </c>
      <c r="AD20" s="60"/>
      <c r="AE20" s="60"/>
      <c r="AF20" s="60"/>
      <c r="AG20" s="60"/>
      <c r="AH20" s="60"/>
      <c r="AI20" s="60"/>
      <c r="AJ20" s="80">
        <f t="shared" ref="AJ20:AJ23" si="23">W20+AD20</f>
        <v>0</v>
      </c>
      <c r="AK20" s="80">
        <f t="shared" si="7"/>
        <v>0</v>
      </c>
      <c r="AL20" s="80">
        <f t="shared" si="8"/>
        <v>0</v>
      </c>
      <c r="AM20" s="80">
        <f t="shared" si="9"/>
        <v>0</v>
      </c>
      <c r="AN20" s="60"/>
      <c r="AO20" s="60"/>
      <c r="AP20" s="60"/>
      <c r="AQ20" s="60"/>
      <c r="AR20" s="60"/>
      <c r="AS20" s="60"/>
      <c r="AT20" s="80">
        <f t="shared" ref="AT20:AT23" si="24">SUM(AN20:AP20)-SUM(AQ20:AS20)</f>
        <v>0</v>
      </c>
      <c r="AU20" s="60"/>
      <c r="AV20" s="60"/>
      <c r="AW20" s="60"/>
      <c r="AX20" s="60"/>
      <c r="AY20" s="60"/>
      <c r="AZ20" s="60"/>
      <c r="BA20" s="80">
        <f t="shared" ref="BA20:BA23" si="25">AN20+AU20</f>
        <v>0</v>
      </c>
      <c r="BB20" s="80">
        <f t="shared" si="12"/>
        <v>0</v>
      </c>
      <c r="BC20" s="80">
        <f t="shared" si="13"/>
        <v>0</v>
      </c>
      <c r="BD20" s="80">
        <f>BA20+BB20-BC20</f>
        <v>0</v>
      </c>
      <c r="BE20" s="80">
        <f t="shared" si="15"/>
        <v>0</v>
      </c>
      <c r="BF20" s="80">
        <f t="shared" si="16"/>
        <v>0</v>
      </c>
    </row>
    <row r="21" spans="1:58" ht="19.95" customHeight="1">
      <c r="A21" s="68"/>
      <c r="B21" s="68"/>
      <c r="C21" s="50"/>
      <c r="D21" s="60"/>
      <c r="E21" s="60"/>
      <c r="F21" s="60"/>
      <c r="G21" s="60"/>
      <c r="H21" s="60"/>
      <c r="I21" s="60"/>
      <c r="J21" s="60"/>
      <c r="K21" s="80">
        <f t="shared" ref="K21:K23" si="26">SUM(D21:G21)-SUM(H21:J21)</f>
        <v>0</v>
      </c>
      <c r="L21" s="60"/>
      <c r="M21" s="60"/>
      <c r="N21" s="60"/>
      <c r="O21" s="60"/>
      <c r="P21" s="60"/>
      <c r="Q21" s="60"/>
      <c r="R21" s="60"/>
      <c r="S21" s="80">
        <f t="shared" si="1"/>
        <v>0</v>
      </c>
      <c r="T21" s="80">
        <f t="shared" si="2"/>
        <v>0</v>
      </c>
      <c r="U21" s="80">
        <f t="shared" si="3"/>
        <v>0</v>
      </c>
      <c r="V21" s="80">
        <f t="shared" ref="V21:V23" si="27">S21+T21-U21</f>
        <v>0</v>
      </c>
      <c r="W21" s="60"/>
      <c r="X21" s="60"/>
      <c r="Y21" s="60"/>
      <c r="Z21" s="60"/>
      <c r="AA21" s="60"/>
      <c r="AB21" s="60"/>
      <c r="AC21" s="80">
        <f t="shared" si="5"/>
        <v>0</v>
      </c>
      <c r="AD21" s="60"/>
      <c r="AE21" s="60"/>
      <c r="AF21" s="60"/>
      <c r="AG21" s="60"/>
      <c r="AH21" s="60"/>
      <c r="AI21" s="60"/>
      <c r="AJ21" s="80">
        <f t="shared" si="23"/>
        <v>0</v>
      </c>
      <c r="AK21" s="80">
        <f t="shared" si="7"/>
        <v>0</v>
      </c>
      <c r="AL21" s="80">
        <f t="shared" si="8"/>
        <v>0</v>
      </c>
      <c r="AM21" s="80">
        <f t="shared" si="9"/>
        <v>0</v>
      </c>
      <c r="AN21" s="60"/>
      <c r="AO21" s="60"/>
      <c r="AP21" s="60"/>
      <c r="AQ21" s="60"/>
      <c r="AR21" s="60"/>
      <c r="AS21" s="60"/>
      <c r="AT21" s="80">
        <f t="shared" si="24"/>
        <v>0</v>
      </c>
      <c r="AU21" s="60"/>
      <c r="AV21" s="60"/>
      <c r="AW21" s="60"/>
      <c r="AX21" s="60"/>
      <c r="AY21" s="60"/>
      <c r="AZ21" s="60"/>
      <c r="BA21" s="80">
        <f t="shared" si="25"/>
        <v>0</v>
      </c>
      <c r="BB21" s="80">
        <f t="shared" si="12"/>
        <v>0</v>
      </c>
      <c r="BC21" s="80">
        <f t="shared" si="13"/>
        <v>0</v>
      </c>
      <c r="BD21" s="80">
        <f t="shared" ref="BD21:BD23" si="28">BA21+BB21-BC21</f>
        <v>0</v>
      </c>
      <c r="BE21" s="80">
        <f t="shared" si="15"/>
        <v>0</v>
      </c>
      <c r="BF21" s="80">
        <f t="shared" si="16"/>
        <v>0</v>
      </c>
    </row>
    <row r="22" spans="1:58" ht="19.95" customHeight="1">
      <c r="A22" s="68"/>
      <c r="B22" s="68"/>
      <c r="C22" s="50"/>
      <c r="D22" s="60"/>
      <c r="E22" s="60"/>
      <c r="F22" s="60"/>
      <c r="G22" s="60"/>
      <c r="H22" s="60"/>
      <c r="I22" s="60"/>
      <c r="J22" s="60"/>
      <c r="K22" s="80">
        <f t="shared" si="26"/>
        <v>0</v>
      </c>
      <c r="L22" s="60"/>
      <c r="M22" s="60"/>
      <c r="N22" s="60"/>
      <c r="O22" s="60"/>
      <c r="P22" s="60"/>
      <c r="Q22" s="60"/>
      <c r="R22" s="60"/>
      <c r="S22" s="80">
        <f t="shared" si="1"/>
        <v>0</v>
      </c>
      <c r="T22" s="80">
        <f t="shared" si="2"/>
        <v>0</v>
      </c>
      <c r="U22" s="80">
        <f t="shared" si="3"/>
        <v>0</v>
      </c>
      <c r="V22" s="80">
        <f t="shared" si="27"/>
        <v>0</v>
      </c>
      <c r="W22" s="60"/>
      <c r="X22" s="60"/>
      <c r="Y22" s="60"/>
      <c r="Z22" s="60"/>
      <c r="AA22" s="60"/>
      <c r="AB22" s="60"/>
      <c r="AC22" s="80">
        <f t="shared" si="5"/>
        <v>0</v>
      </c>
      <c r="AD22" s="60"/>
      <c r="AE22" s="60"/>
      <c r="AF22" s="60"/>
      <c r="AG22" s="60"/>
      <c r="AH22" s="60"/>
      <c r="AI22" s="60"/>
      <c r="AJ22" s="80">
        <f t="shared" si="23"/>
        <v>0</v>
      </c>
      <c r="AK22" s="80">
        <f t="shared" si="7"/>
        <v>0</v>
      </c>
      <c r="AL22" s="80">
        <f t="shared" si="8"/>
        <v>0</v>
      </c>
      <c r="AM22" s="80">
        <f t="shared" si="9"/>
        <v>0</v>
      </c>
      <c r="AN22" s="60"/>
      <c r="AO22" s="60"/>
      <c r="AP22" s="60"/>
      <c r="AQ22" s="60"/>
      <c r="AR22" s="60"/>
      <c r="AS22" s="60"/>
      <c r="AT22" s="80">
        <f t="shared" si="24"/>
        <v>0</v>
      </c>
      <c r="AU22" s="60"/>
      <c r="AV22" s="60"/>
      <c r="AW22" s="60"/>
      <c r="AX22" s="60"/>
      <c r="AY22" s="60"/>
      <c r="AZ22" s="60"/>
      <c r="BA22" s="80">
        <f t="shared" si="25"/>
        <v>0</v>
      </c>
      <c r="BB22" s="80">
        <f t="shared" si="12"/>
        <v>0</v>
      </c>
      <c r="BC22" s="80">
        <f t="shared" si="13"/>
        <v>0</v>
      </c>
      <c r="BD22" s="80">
        <f t="shared" si="28"/>
        <v>0</v>
      </c>
      <c r="BE22" s="80">
        <f t="shared" si="15"/>
        <v>0</v>
      </c>
      <c r="BF22" s="80">
        <f t="shared" si="16"/>
        <v>0</v>
      </c>
    </row>
    <row r="23" spans="1:58" ht="19.95" customHeight="1">
      <c r="A23" s="68"/>
      <c r="B23" s="68"/>
      <c r="C23" s="50"/>
      <c r="D23" s="60"/>
      <c r="E23" s="60"/>
      <c r="F23" s="60"/>
      <c r="G23" s="60"/>
      <c r="H23" s="60"/>
      <c r="I23" s="60"/>
      <c r="J23" s="60"/>
      <c r="K23" s="80">
        <f t="shared" si="26"/>
        <v>0</v>
      </c>
      <c r="L23" s="60"/>
      <c r="M23" s="60"/>
      <c r="N23" s="60"/>
      <c r="O23" s="60"/>
      <c r="P23" s="60"/>
      <c r="Q23" s="60"/>
      <c r="R23" s="60"/>
      <c r="S23" s="80">
        <f t="shared" si="1"/>
        <v>0</v>
      </c>
      <c r="T23" s="80">
        <f t="shared" si="2"/>
        <v>0</v>
      </c>
      <c r="U23" s="80">
        <f t="shared" si="3"/>
        <v>0</v>
      </c>
      <c r="V23" s="80">
        <f t="shared" si="27"/>
        <v>0</v>
      </c>
      <c r="W23" s="60"/>
      <c r="X23" s="60"/>
      <c r="Y23" s="60"/>
      <c r="Z23" s="60"/>
      <c r="AA23" s="60"/>
      <c r="AB23" s="60"/>
      <c r="AC23" s="80">
        <f t="shared" si="5"/>
        <v>0</v>
      </c>
      <c r="AD23" s="60"/>
      <c r="AE23" s="60"/>
      <c r="AF23" s="60"/>
      <c r="AG23" s="60"/>
      <c r="AH23" s="60"/>
      <c r="AI23" s="60"/>
      <c r="AJ23" s="80">
        <f t="shared" si="23"/>
        <v>0</v>
      </c>
      <c r="AK23" s="80">
        <f t="shared" si="7"/>
        <v>0</v>
      </c>
      <c r="AL23" s="80">
        <f t="shared" si="8"/>
        <v>0</v>
      </c>
      <c r="AM23" s="80">
        <f t="shared" si="9"/>
        <v>0</v>
      </c>
      <c r="AN23" s="60"/>
      <c r="AO23" s="60"/>
      <c r="AP23" s="60"/>
      <c r="AQ23" s="60"/>
      <c r="AR23" s="60"/>
      <c r="AS23" s="60"/>
      <c r="AT23" s="80">
        <f t="shared" si="24"/>
        <v>0</v>
      </c>
      <c r="AU23" s="60"/>
      <c r="AV23" s="60"/>
      <c r="AW23" s="60"/>
      <c r="AX23" s="60"/>
      <c r="AY23" s="60"/>
      <c r="AZ23" s="60"/>
      <c r="BA23" s="80">
        <f t="shared" si="25"/>
        <v>0</v>
      </c>
      <c r="BB23" s="80">
        <f t="shared" si="12"/>
        <v>0</v>
      </c>
      <c r="BC23" s="80">
        <f t="shared" si="13"/>
        <v>0</v>
      </c>
      <c r="BD23" s="80">
        <f t="shared" si="28"/>
        <v>0</v>
      </c>
      <c r="BE23" s="80">
        <f t="shared" si="15"/>
        <v>0</v>
      </c>
      <c r="BF23" s="80">
        <f t="shared" si="16"/>
        <v>0</v>
      </c>
    </row>
    <row r="24" spans="1:58" ht="19.95" customHeight="1">
      <c r="A24" s="68"/>
      <c r="B24" s="68"/>
      <c r="C24" s="50"/>
      <c r="D24" s="60"/>
      <c r="E24" s="60"/>
      <c r="F24" s="60"/>
      <c r="G24" s="60"/>
      <c r="H24" s="60"/>
      <c r="I24" s="60"/>
      <c r="J24" s="60"/>
      <c r="K24" s="80">
        <f>SUM(D24:G24)-SUM(H24:J24)</f>
        <v>0</v>
      </c>
      <c r="L24" s="60"/>
      <c r="M24" s="60"/>
      <c r="N24" s="60"/>
      <c r="O24" s="60"/>
      <c r="P24" s="60"/>
      <c r="Q24" s="60"/>
      <c r="R24" s="60"/>
      <c r="S24" s="80">
        <f t="shared" si="1"/>
        <v>0</v>
      </c>
      <c r="T24" s="80">
        <f t="shared" si="2"/>
        <v>0</v>
      </c>
      <c r="U24" s="80">
        <f t="shared" si="3"/>
        <v>0</v>
      </c>
      <c r="V24" s="80">
        <f>S24+T24-U24</f>
        <v>0</v>
      </c>
      <c r="W24" s="60"/>
      <c r="X24" s="60"/>
      <c r="Y24" s="60"/>
      <c r="Z24" s="60"/>
      <c r="AA24" s="60"/>
      <c r="AB24" s="60"/>
      <c r="AC24" s="80">
        <f t="shared" si="5"/>
        <v>0</v>
      </c>
      <c r="AD24" s="60"/>
      <c r="AE24" s="60"/>
      <c r="AF24" s="60"/>
      <c r="AG24" s="60"/>
      <c r="AH24" s="60"/>
      <c r="AI24" s="60"/>
      <c r="AJ24" s="80">
        <f t="shared" ref="AJ24:AJ27" si="29">W24+AD24</f>
        <v>0</v>
      </c>
      <c r="AK24" s="80">
        <f t="shared" si="7"/>
        <v>0</v>
      </c>
      <c r="AL24" s="80">
        <f t="shared" si="8"/>
        <v>0</v>
      </c>
      <c r="AM24" s="80">
        <f t="shared" si="9"/>
        <v>0</v>
      </c>
      <c r="AN24" s="60"/>
      <c r="AO24" s="60"/>
      <c r="AP24" s="60"/>
      <c r="AQ24" s="60"/>
      <c r="AR24" s="60"/>
      <c r="AS24" s="60"/>
      <c r="AT24" s="80">
        <f t="shared" ref="AT24:AT27" si="30">SUM(AN24:AP24)-SUM(AQ24:AS24)</f>
        <v>0</v>
      </c>
      <c r="AU24" s="60"/>
      <c r="AV24" s="60"/>
      <c r="AW24" s="60"/>
      <c r="AX24" s="60"/>
      <c r="AY24" s="60"/>
      <c r="AZ24" s="60"/>
      <c r="BA24" s="80">
        <f t="shared" ref="BA24:BA27" si="31">AN24+AU24</f>
        <v>0</v>
      </c>
      <c r="BB24" s="80">
        <f t="shared" si="12"/>
        <v>0</v>
      </c>
      <c r="BC24" s="80">
        <f t="shared" si="13"/>
        <v>0</v>
      </c>
      <c r="BD24" s="80">
        <f>BA24+BB24-BC24</f>
        <v>0</v>
      </c>
      <c r="BE24" s="80">
        <f t="shared" si="15"/>
        <v>0</v>
      </c>
      <c r="BF24" s="80">
        <f t="shared" si="16"/>
        <v>0</v>
      </c>
    </row>
    <row r="25" spans="1:58" ht="19.95" customHeight="1">
      <c r="A25" s="68"/>
      <c r="B25" s="68"/>
      <c r="C25" s="50"/>
      <c r="D25" s="60"/>
      <c r="E25" s="60"/>
      <c r="F25" s="60"/>
      <c r="G25" s="60"/>
      <c r="H25" s="60"/>
      <c r="I25" s="60"/>
      <c r="J25" s="60"/>
      <c r="K25" s="80">
        <f t="shared" ref="K25:K27" si="32">SUM(D25:G25)-SUM(H25:J25)</f>
        <v>0</v>
      </c>
      <c r="L25" s="60"/>
      <c r="M25" s="60"/>
      <c r="N25" s="60"/>
      <c r="O25" s="60"/>
      <c r="P25" s="60"/>
      <c r="Q25" s="60"/>
      <c r="R25" s="60"/>
      <c r="S25" s="80">
        <f t="shared" si="1"/>
        <v>0</v>
      </c>
      <c r="T25" s="80">
        <f t="shared" si="2"/>
        <v>0</v>
      </c>
      <c r="U25" s="80">
        <f t="shared" si="3"/>
        <v>0</v>
      </c>
      <c r="V25" s="80">
        <f t="shared" ref="V25:V27" si="33">S25+T25-U25</f>
        <v>0</v>
      </c>
      <c r="W25" s="60"/>
      <c r="X25" s="60"/>
      <c r="Y25" s="60"/>
      <c r="Z25" s="60"/>
      <c r="AA25" s="60"/>
      <c r="AB25" s="60"/>
      <c r="AC25" s="80">
        <f t="shared" si="5"/>
        <v>0</v>
      </c>
      <c r="AD25" s="60"/>
      <c r="AE25" s="60"/>
      <c r="AF25" s="60"/>
      <c r="AG25" s="60"/>
      <c r="AH25" s="60"/>
      <c r="AI25" s="60"/>
      <c r="AJ25" s="80">
        <f t="shared" si="29"/>
        <v>0</v>
      </c>
      <c r="AK25" s="80">
        <f t="shared" si="7"/>
        <v>0</v>
      </c>
      <c r="AL25" s="80">
        <f t="shared" si="8"/>
        <v>0</v>
      </c>
      <c r="AM25" s="80">
        <f t="shared" si="9"/>
        <v>0</v>
      </c>
      <c r="AN25" s="60"/>
      <c r="AO25" s="60"/>
      <c r="AP25" s="60"/>
      <c r="AQ25" s="60"/>
      <c r="AR25" s="60"/>
      <c r="AS25" s="60"/>
      <c r="AT25" s="80">
        <f t="shared" si="30"/>
        <v>0</v>
      </c>
      <c r="AU25" s="60"/>
      <c r="AV25" s="60"/>
      <c r="AW25" s="60"/>
      <c r="AX25" s="60"/>
      <c r="AY25" s="60"/>
      <c r="AZ25" s="60"/>
      <c r="BA25" s="80">
        <f t="shared" si="31"/>
        <v>0</v>
      </c>
      <c r="BB25" s="80">
        <f t="shared" si="12"/>
        <v>0</v>
      </c>
      <c r="BC25" s="80">
        <f t="shared" si="13"/>
        <v>0</v>
      </c>
      <c r="BD25" s="80">
        <f t="shared" ref="BD25:BD27" si="34">BA25+BB25-BC25</f>
        <v>0</v>
      </c>
      <c r="BE25" s="80">
        <f t="shared" si="15"/>
        <v>0</v>
      </c>
      <c r="BF25" s="80">
        <f t="shared" si="16"/>
        <v>0</v>
      </c>
    </row>
    <row r="26" spans="1:58" ht="19.95" customHeight="1">
      <c r="A26" s="68"/>
      <c r="B26" s="68"/>
      <c r="C26" s="50"/>
      <c r="D26" s="60"/>
      <c r="E26" s="60"/>
      <c r="F26" s="60"/>
      <c r="G26" s="60"/>
      <c r="H26" s="60"/>
      <c r="I26" s="60"/>
      <c r="J26" s="60"/>
      <c r="K26" s="80">
        <f t="shared" si="32"/>
        <v>0</v>
      </c>
      <c r="L26" s="60"/>
      <c r="M26" s="60"/>
      <c r="N26" s="60"/>
      <c r="O26" s="60"/>
      <c r="P26" s="60"/>
      <c r="Q26" s="60"/>
      <c r="R26" s="60"/>
      <c r="S26" s="80">
        <f t="shared" si="1"/>
        <v>0</v>
      </c>
      <c r="T26" s="80">
        <f t="shared" si="2"/>
        <v>0</v>
      </c>
      <c r="U26" s="80">
        <f t="shared" si="3"/>
        <v>0</v>
      </c>
      <c r="V26" s="80">
        <f t="shared" si="33"/>
        <v>0</v>
      </c>
      <c r="W26" s="60"/>
      <c r="X26" s="60"/>
      <c r="Y26" s="60"/>
      <c r="Z26" s="60"/>
      <c r="AA26" s="60"/>
      <c r="AB26" s="60"/>
      <c r="AC26" s="80">
        <f t="shared" si="5"/>
        <v>0</v>
      </c>
      <c r="AD26" s="60"/>
      <c r="AE26" s="60"/>
      <c r="AF26" s="60"/>
      <c r="AG26" s="60"/>
      <c r="AH26" s="60"/>
      <c r="AI26" s="60"/>
      <c r="AJ26" s="80">
        <f t="shared" si="29"/>
        <v>0</v>
      </c>
      <c r="AK26" s="80">
        <f t="shared" si="7"/>
        <v>0</v>
      </c>
      <c r="AL26" s="80">
        <f t="shared" si="8"/>
        <v>0</v>
      </c>
      <c r="AM26" s="80">
        <f t="shared" si="9"/>
        <v>0</v>
      </c>
      <c r="AN26" s="60"/>
      <c r="AO26" s="60"/>
      <c r="AP26" s="60"/>
      <c r="AQ26" s="60"/>
      <c r="AR26" s="60"/>
      <c r="AS26" s="60"/>
      <c r="AT26" s="80">
        <f t="shared" si="30"/>
        <v>0</v>
      </c>
      <c r="AU26" s="60"/>
      <c r="AV26" s="60"/>
      <c r="AW26" s="60"/>
      <c r="AX26" s="60"/>
      <c r="AY26" s="60"/>
      <c r="AZ26" s="60"/>
      <c r="BA26" s="80">
        <f t="shared" si="31"/>
        <v>0</v>
      </c>
      <c r="BB26" s="80">
        <f t="shared" si="12"/>
        <v>0</v>
      </c>
      <c r="BC26" s="80">
        <f t="shared" si="13"/>
        <v>0</v>
      </c>
      <c r="BD26" s="80">
        <f t="shared" si="34"/>
        <v>0</v>
      </c>
      <c r="BE26" s="80">
        <f t="shared" si="15"/>
        <v>0</v>
      </c>
      <c r="BF26" s="80">
        <f t="shared" si="16"/>
        <v>0</v>
      </c>
    </row>
    <row r="27" spans="1:58" ht="19.95" customHeight="1">
      <c r="A27" s="68"/>
      <c r="B27" s="68"/>
      <c r="C27" s="50"/>
      <c r="D27" s="60"/>
      <c r="E27" s="60"/>
      <c r="F27" s="60"/>
      <c r="G27" s="60"/>
      <c r="H27" s="60"/>
      <c r="I27" s="60"/>
      <c r="J27" s="60"/>
      <c r="K27" s="80">
        <f t="shared" si="32"/>
        <v>0</v>
      </c>
      <c r="L27" s="60"/>
      <c r="M27" s="60"/>
      <c r="N27" s="60"/>
      <c r="O27" s="60"/>
      <c r="P27" s="60"/>
      <c r="Q27" s="60"/>
      <c r="R27" s="60"/>
      <c r="S27" s="80">
        <f t="shared" si="1"/>
        <v>0</v>
      </c>
      <c r="T27" s="80">
        <f t="shared" si="2"/>
        <v>0</v>
      </c>
      <c r="U27" s="80">
        <f t="shared" si="3"/>
        <v>0</v>
      </c>
      <c r="V27" s="80">
        <f t="shared" si="33"/>
        <v>0</v>
      </c>
      <c r="W27" s="60"/>
      <c r="X27" s="60"/>
      <c r="Y27" s="60"/>
      <c r="Z27" s="60"/>
      <c r="AA27" s="60"/>
      <c r="AB27" s="60"/>
      <c r="AC27" s="80">
        <f t="shared" si="5"/>
        <v>0</v>
      </c>
      <c r="AD27" s="60"/>
      <c r="AE27" s="60"/>
      <c r="AF27" s="60"/>
      <c r="AG27" s="60"/>
      <c r="AH27" s="60"/>
      <c r="AI27" s="60"/>
      <c r="AJ27" s="80">
        <f t="shared" si="29"/>
        <v>0</v>
      </c>
      <c r="AK27" s="80">
        <f t="shared" si="7"/>
        <v>0</v>
      </c>
      <c r="AL27" s="80">
        <f t="shared" si="8"/>
        <v>0</v>
      </c>
      <c r="AM27" s="80">
        <f t="shared" si="9"/>
        <v>0</v>
      </c>
      <c r="AN27" s="60"/>
      <c r="AO27" s="60"/>
      <c r="AP27" s="60"/>
      <c r="AQ27" s="60"/>
      <c r="AR27" s="60"/>
      <c r="AS27" s="60"/>
      <c r="AT27" s="80">
        <f t="shared" si="30"/>
        <v>0</v>
      </c>
      <c r="AU27" s="60"/>
      <c r="AV27" s="60"/>
      <c r="AW27" s="60"/>
      <c r="AX27" s="60"/>
      <c r="AY27" s="60"/>
      <c r="AZ27" s="60"/>
      <c r="BA27" s="80">
        <f t="shared" si="31"/>
        <v>0</v>
      </c>
      <c r="BB27" s="80">
        <f t="shared" si="12"/>
        <v>0</v>
      </c>
      <c r="BC27" s="80">
        <f t="shared" si="13"/>
        <v>0</v>
      </c>
      <c r="BD27" s="80">
        <f t="shared" si="34"/>
        <v>0</v>
      </c>
      <c r="BE27" s="80">
        <f t="shared" si="15"/>
        <v>0</v>
      </c>
      <c r="BF27" s="80">
        <f t="shared" si="16"/>
        <v>0</v>
      </c>
    </row>
    <row r="28" spans="1:58" ht="19.95" customHeight="1">
      <c r="A28" s="68"/>
      <c r="B28" s="68"/>
      <c r="C28" s="50"/>
      <c r="D28" s="60"/>
      <c r="E28" s="60"/>
      <c r="F28" s="60"/>
      <c r="G28" s="60"/>
      <c r="H28" s="60"/>
      <c r="I28" s="60"/>
      <c r="J28" s="60"/>
      <c r="K28" s="80">
        <f>SUM(D28:G28)-SUM(H28:J28)</f>
        <v>0</v>
      </c>
      <c r="L28" s="60"/>
      <c r="M28" s="60"/>
      <c r="N28" s="60"/>
      <c r="O28" s="60"/>
      <c r="P28" s="60"/>
      <c r="Q28" s="60"/>
      <c r="R28" s="60"/>
      <c r="S28" s="80">
        <f t="shared" si="1"/>
        <v>0</v>
      </c>
      <c r="T28" s="80">
        <f t="shared" si="2"/>
        <v>0</v>
      </c>
      <c r="U28" s="80">
        <f t="shared" si="3"/>
        <v>0</v>
      </c>
      <c r="V28" s="80">
        <f>S28+T28-U28</f>
        <v>0</v>
      </c>
      <c r="W28" s="60"/>
      <c r="X28" s="60"/>
      <c r="Y28" s="60"/>
      <c r="Z28" s="60"/>
      <c r="AA28" s="60"/>
      <c r="AB28" s="60"/>
      <c r="AC28" s="80">
        <f t="shared" si="5"/>
        <v>0</v>
      </c>
      <c r="AD28" s="60"/>
      <c r="AE28" s="60"/>
      <c r="AF28" s="60"/>
      <c r="AG28" s="60"/>
      <c r="AH28" s="60"/>
      <c r="AI28" s="60"/>
      <c r="AJ28" s="80">
        <f t="shared" ref="AJ28:AJ31" si="35">W28+AD28</f>
        <v>0</v>
      </c>
      <c r="AK28" s="80">
        <f t="shared" si="7"/>
        <v>0</v>
      </c>
      <c r="AL28" s="80">
        <f t="shared" si="8"/>
        <v>0</v>
      </c>
      <c r="AM28" s="80">
        <f t="shared" si="9"/>
        <v>0</v>
      </c>
      <c r="AN28" s="60"/>
      <c r="AO28" s="60"/>
      <c r="AP28" s="60"/>
      <c r="AQ28" s="60"/>
      <c r="AR28" s="60"/>
      <c r="AS28" s="60"/>
      <c r="AT28" s="80">
        <f t="shared" ref="AT28:AT31" si="36">SUM(AN28:AP28)-SUM(AQ28:AS28)</f>
        <v>0</v>
      </c>
      <c r="AU28" s="60"/>
      <c r="AV28" s="60"/>
      <c r="AW28" s="60"/>
      <c r="AX28" s="60"/>
      <c r="AY28" s="60"/>
      <c r="AZ28" s="60"/>
      <c r="BA28" s="80">
        <f t="shared" ref="BA28:BA31" si="37">AN28+AU28</f>
        <v>0</v>
      </c>
      <c r="BB28" s="80">
        <f t="shared" si="12"/>
        <v>0</v>
      </c>
      <c r="BC28" s="80">
        <f t="shared" si="13"/>
        <v>0</v>
      </c>
      <c r="BD28" s="80">
        <f>BA28+BB28-BC28</f>
        <v>0</v>
      </c>
      <c r="BE28" s="80">
        <f t="shared" si="15"/>
        <v>0</v>
      </c>
      <c r="BF28" s="80">
        <f t="shared" si="16"/>
        <v>0</v>
      </c>
    </row>
    <row r="29" spans="1:58" ht="19.95" customHeight="1">
      <c r="A29" s="68"/>
      <c r="B29" s="68"/>
      <c r="C29" s="50"/>
      <c r="D29" s="60"/>
      <c r="E29" s="60"/>
      <c r="F29" s="60"/>
      <c r="G29" s="60"/>
      <c r="H29" s="60"/>
      <c r="I29" s="60"/>
      <c r="J29" s="60"/>
      <c r="K29" s="80">
        <f t="shared" ref="K29:K31" si="38">SUM(D29:G29)-SUM(H29:J29)</f>
        <v>0</v>
      </c>
      <c r="L29" s="60"/>
      <c r="M29" s="60"/>
      <c r="N29" s="60"/>
      <c r="O29" s="60"/>
      <c r="P29" s="60"/>
      <c r="Q29" s="60"/>
      <c r="R29" s="60"/>
      <c r="S29" s="80">
        <f t="shared" si="1"/>
        <v>0</v>
      </c>
      <c r="T29" s="80">
        <f t="shared" si="2"/>
        <v>0</v>
      </c>
      <c r="U29" s="80">
        <f t="shared" si="3"/>
        <v>0</v>
      </c>
      <c r="V29" s="80">
        <f t="shared" ref="V29:V31" si="39">S29+T29-U29</f>
        <v>0</v>
      </c>
      <c r="W29" s="60"/>
      <c r="X29" s="60"/>
      <c r="Y29" s="60"/>
      <c r="Z29" s="60"/>
      <c r="AA29" s="60"/>
      <c r="AB29" s="60"/>
      <c r="AC29" s="80">
        <f t="shared" si="5"/>
        <v>0</v>
      </c>
      <c r="AD29" s="60"/>
      <c r="AE29" s="60"/>
      <c r="AF29" s="60"/>
      <c r="AG29" s="60"/>
      <c r="AH29" s="60"/>
      <c r="AI29" s="60"/>
      <c r="AJ29" s="80">
        <f t="shared" si="35"/>
        <v>0</v>
      </c>
      <c r="AK29" s="80">
        <f t="shared" si="7"/>
        <v>0</v>
      </c>
      <c r="AL29" s="80">
        <f t="shared" si="8"/>
        <v>0</v>
      </c>
      <c r="AM29" s="80">
        <f t="shared" si="9"/>
        <v>0</v>
      </c>
      <c r="AN29" s="60"/>
      <c r="AO29" s="60"/>
      <c r="AP29" s="60"/>
      <c r="AQ29" s="60"/>
      <c r="AR29" s="60"/>
      <c r="AS29" s="60"/>
      <c r="AT29" s="80">
        <f t="shared" si="36"/>
        <v>0</v>
      </c>
      <c r="AU29" s="60"/>
      <c r="AV29" s="60"/>
      <c r="AW29" s="60"/>
      <c r="AX29" s="60"/>
      <c r="AY29" s="60"/>
      <c r="AZ29" s="60"/>
      <c r="BA29" s="80">
        <f t="shared" si="37"/>
        <v>0</v>
      </c>
      <c r="BB29" s="80">
        <f t="shared" si="12"/>
        <v>0</v>
      </c>
      <c r="BC29" s="80">
        <f t="shared" si="13"/>
        <v>0</v>
      </c>
      <c r="BD29" s="80">
        <f t="shared" ref="BD29:BD31" si="40">BA29+BB29-BC29</f>
        <v>0</v>
      </c>
      <c r="BE29" s="80">
        <f t="shared" si="15"/>
        <v>0</v>
      </c>
      <c r="BF29" s="80">
        <f t="shared" si="16"/>
        <v>0</v>
      </c>
    </row>
    <row r="30" spans="1:58" ht="19.95" customHeight="1">
      <c r="A30" s="68"/>
      <c r="B30" s="68"/>
      <c r="C30" s="50"/>
      <c r="D30" s="60"/>
      <c r="E30" s="60"/>
      <c r="F30" s="60"/>
      <c r="G30" s="60"/>
      <c r="H30" s="60"/>
      <c r="I30" s="60"/>
      <c r="J30" s="60"/>
      <c r="K30" s="80">
        <f t="shared" si="38"/>
        <v>0</v>
      </c>
      <c r="L30" s="60"/>
      <c r="M30" s="60"/>
      <c r="N30" s="60"/>
      <c r="O30" s="60"/>
      <c r="P30" s="60"/>
      <c r="Q30" s="60"/>
      <c r="R30" s="60"/>
      <c r="S30" s="80">
        <f t="shared" si="1"/>
        <v>0</v>
      </c>
      <c r="T30" s="80">
        <f t="shared" si="2"/>
        <v>0</v>
      </c>
      <c r="U30" s="80">
        <f t="shared" si="3"/>
        <v>0</v>
      </c>
      <c r="V30" s="80">
        <f t="shared" si="39"/>
        <v>0</v>
      </c>
      <c r="W30" s="60"/>
      <c r="X30" s="60"/>
      <c r="Y30" s="60"/>
      <c r="Z30" s="60"/>
      <c r="AA30" s="60"/>
      <c r="AB30" s="60"/>
      <c r="AC30" s="80">
        <f t="shared" si="5"/>
        <v>0</v>
      </c>
      <c r="AD30" s="60"/>
      <c r="AE30" s="60"/>
      <c r="AF30" s="60"/>
      <c r="AG30" s="60"/>
      <c r="AH30" s="60"/>
      <c r="AI30" s="60"/>
      <c r="AJ30" s="80">
        <f t="shared" si="35"/>
        <v>0</v>
      </c>
      <c r="AK30" s="80">
        <f t="shared" si="7"/>
        <v>0</v>
      </c>
      <c r="AL30" s="80">
        <f t="shared" si="8"/>
        <v>0</v>
      </c>
      <c r="AM30" s="80">
        <f t="shared" si="9"/>
        <v>0</v>
      </c>
      <c r="AN30" s="60"/>
      <c r="AO30" s="60"/>
      <c r="AP30" s="60"/>
      <c r="AQ30" s="60"/>
      <c r="AR30" s="60"/>
      <c r="AS30" s="60"/>
      <c r="AT30" s="80">
        <f t="shared" si="36"/>
        <v>0</v>
      </c>
      <c r="AU30" s="60"/>
      <c r="AV30" s="60"/>
      <c r="AW30" s="60"/>
      <c r="AX30" s="60"/>
      <c r="AY30" s="60"/>
      <c r="AZ30" s="60"/>
      <c r="BA30" s="80">
        <f t="shared" si="37"/>
        <v>0</v>
      </c>
      <c r="BB30" s="80">
        <f t="shared" si="12"/>
        <v>0</v>
      </c>
      <c r="BC30" s="80">
        <f t="shared" si="13"/>
        <v>0</v>
      </c>
      <c r="BD30" s="80">
        <f t="shared" si="40"/>
        <v>0</v>
      </c>
      <c r="BE30" s="80">
        <f t="shared" si="15"/>
        <v>0</v>
      </c>
      <c r="BF30" s="80">
        <f t="shared" si="16"/>
        <v>0</v>
      </c>
    </row>
    <row r="31" spans="1:58" ht="19.95" customHeight="1">
      <c r="A31" s="68"/>
      <c r="B31" s="68"/>
      <c r="C31" s="50"/>
      <c r="D31" s="60"/>
      <c r="E31" s="60"/>
      <c r="F31" s="60"/>
      <c r="G31" s="60"/>
      <c r="H31" s="60"/>
      <c r="I31" s="60"/>
      <c r="J31" s="60"/>
      <c r="K31" s="80">
        <f t="shared" si="38"/>
        <v>0</v>
      </c>
      <c r="L31" s="60"/>
      <c r="M31" s="60"/>
      <c r="N31" s="60"/>
      <c r="O31" s="60"/>
      <c r="P31" s="60"/>
      <c r="Q31" s="60"/>
      <c r="R31" s="60"/>
      <c r="S31" s="80">
        <f t="shared" si="1"/>
        <v>0</v>
      </c>
      <c r="T31" s="80">
        <f t="shared" si="2"/>
        <v>0</v>
      </c>
      <c r="U31" s="80">
        <f t="shared" si="3"/>
        <v>0</v>
      </c>
      <c r="V31" s="80">
        <f t="shared" si="39"/>
        <v>0</v>
      </c>
      <c r="W31" s="60"/>
      <c r="X31" s="60"/>
      <c r="Y31" s="60"/>
      <c r="Z31" s="60"/>
      <c r="AA31" s="60"/>
      <c r="AB31" s="60"/>
      <c r="AC31" s="80">
        <f t="shared" si="5"/>
        <v>0</v>
      </c>
      <c r="AD31" s="60"/>
      <c r="AE31" s="60"/>
      <c r="AF31" s="60"/>
      <c r="AG31" s="60"/>
      <c r="AH31" s="60"/>
      <c r="AI31" s="60"/>
      <c r="AJ31" s="80">
        <f t="shared" si="35"/>
        <v>0</v>
      </c>
      <c r="AK31" s="80">
        <f t="shared" si="7"/>
        <v>0</v>
      </c>
      <c r="AL31" s="80">
        <f t="shared" si="8"/>
        <v>0</v>
      </c>
      <c r="AM31" s="80">
        <f t="shared" si="9"/>
        <v>0</v>
      </c>
      <c r="AN31" s="60"/>
      <c r="AO31" s="60"/>
      <c r="AP31" s="60"/>
      <c r="AQ31" s="60"/>
      <c r="AR31" s="60"/>
      <c r="AS31" s="60"/>
      <c r="AT31" s="80">
        <f t="shared" si="36"/>
        <v>0</v>
      </c>
      <c r="AU31" s="60"/>
      <c r="AV31" s="60"/>
      <c r="AW31" s="60"/>
      <c r="AX31" s="60"/>
      <c r="AY31" s="60"/>
      <c r="AZ31" s="60"/>
      <c r="BA31" s="80">
        <f t="shared" si="37"/>
        <v>0</v>
      </c>
      <c r="BB31" s="80">
        <f t="shared" si="12"/>
        <v>0</v>
      </c>
      <c r="BC31" s="80">
        <f t="shared" si="13"/>
        <v>0</v>
      </c>
      <c r="BD31" s="80">
        <f t="shared" si="40"/>
        <v>0</v>
      </c>
      <c r="BE31" s="80">
        <f t="shared" si="15"/>
        <v>0</v>
      </c>
      <c r="BF31" s="80">
        <f t="shared" si="16"/>
        <v>0</v>
      </c>
    </row>
    <row r="32" spans="1:58" s="507" customFormat="1" ht="19.95" customHeight="1">
      <c r="A32" s="641" t="s">
        <v>248</v>
      </c>
      <c r="B32" s="641"/>
      <c r="C32" s="641"/>
      <c r="D32" s="348">
        <f>SUM(D12:D31)</f>
        <v>0</v>
      </c>
      <c r="E32" s="348">
        <f t="shared" ref="E32:BF32" si="41">SUM(E12:E31)</f>
        <v>0</v>
      </c>
      <c r="F32" s="348">
        <f>SUM(F12:F31)</f>
        <v>0</v>
      </c>
      <c r="G32" s="348">
        <f t="shared" si="41"/>
        <v>0</v>
      </c>
      <c r="H32" s="348">
        <f t="shared" si="41"/>
        <v>0</v>
      </c>
      <c r="I32" s="348">
        <f t="shared" si="41"/>
        <v>0</v>
      </c>
      <c r="J32" s="348">
        <f t="shared" si="41"/>
        <v>0</v>
      </c>
      <c r="K32" s="348">
        <f t="shared" si="41"/>
        <v>0</v>
      </c>
      <c r="L32" s="348">
        <f t="shared" si="41"/>
        <v>0</v>
      </c>
      <c r="M32" s="348">
        <f t="shared" si="41"/>
        <v>0</v>
      </c>
      <c r="N32" s="348">
        <f t="shared" ref="N32:R32" si="42">SUM(N12:N31)</f>
        <v>0</v>
      </c>
      <c r="O32" s="348">
        <f t="shared" si="42"/>
        <v>0</v>
      </c>
      <c r="P32" s="348">
        <f t="shared" si="42"/>
        <v>0</v>
      </c>
      <c r="Q32" s="348">
        <f t="shared" si="42"/>
        <v>0</v>
      </c>
      <c r="R32" s="348">
        <f t="shared" si="42"/>
        <v>0</v>
      </c>
      <c r="S32" s="348">
        <f>SUM(S12:S31)</f>
        <v>0</v>
      </c>
      <c r="T32" s="348">
        <f t="shared" si="41"/>
        <v>0</v>
      </c>
      <c r="U32" s="348">
        <f t="shared" si="41"/>
        <v>0</v>
      </c>
      <c r="V32" s="348">
        <f t="shared" si="41"/>
        <v>0</v>
      </c>
      <c r="W32" s="348">
        <f t="shared" si="41"/>
        <v>0</v>
      </c>
      <c r="X32" s="348">
        <f t="shared" si="41"/>
        <v>0</v>
      </c>
      <c r="Y32" s="348">
        <f t="shared" si="41"/>
        <v>0</v>
      </c>
      <c r="Z32" s="348">
        <f t="shared" si="41"/>
        <v>0</v>
      </c>
      <c r="AA32" s="348">
        <f t="shared" ref="AA32" si="43">SUM(AA12:AA31)</f>
        <v>0</v>
      </c>
      <c r="AB32" s="348">
        <f t="shared" si="41"/>
        <v>0</v>
      </c>
      <c r="AC32" s="348">
        <f t="shared" si="41"/>
        <v>0</v>
      </c>
      <c r="AD32" s="348">
        <f t="shared" si="41"/>
        <v>0</v>
      </c>
      <c r="AE32" s="348">
        <f t="shared" si="41"/>
        <v>0</v>
      </c>
      <c r="AF32" s="348">
        <f t="shared" ref="AF32:AI32" si="44">SUM(AF12:AF31)</f>
        <v>0</v>
      </c>
      <c r="AG32" s="348">
        <f t="shared" si="44"/>
        <v>0</v>
      </c>
      <c r="AH32" s="348">
        <f t="shared" si="44"/>
        <v>0</v>
      </c>
      <c r="AI32" s="348">
        <f t="shared" si="44"/>
        <v>0</v>
      </c>
      <c r="AJ32" s="348">
        <f t="shared" si="41"/>
        <v>0</v>
      </c>
      <c r="AK32" s="348">
        <f t="shared" si="41"/>
        <v>0</v>
      </c>
      <c r="AL32" s="348">
        <f t="shared" si="41"/>
        <v>0</v>
      </c>
      <c r="AM32" s="348">
        <f>SUM(AM12:AM31)</f>
        <v>0</v>
      </c>
      <c r="AN32" s="348">
        <f t="shared" si="41"/>
        <v>0</v>
      </c>
      <c r="AO32" s="348">
        <f t="shared" si="41"/>
        <v>0</v>
      </c>
      <c r="AP32" s="348">
        <f t="shared" si="41"/>
        <v>0</v>
      </c>
      <c r="AQ32" s="348">
        <f t="shared" si="41"/>
        <v>0</v>
      </c>
      <c r="AR32" s="348">
        <f t="shared" ref="AR32" si="45">SUM(AR12:AR31)</f>
        <v>0</v>
      </c>
      <c r="AS32" s="348">
        <f t="shared" si="41"/>
        <v>0</v>
      </c>
      <c r="AT32" s="348">
        <f t="shared" si="41"/>
        <v>0</v>
      </c>
      <c r="AU32" s="348">
        <f t="shared" si="41"/>
        <v>0</v>
      </c>
      <c r="AV32" s="348">
        <f t="shared" si="41"/>
        <v>0</v>
      </c>
      <c r="AW32" s="348">
        <f t="shared" si="41"/>
        <v>0</v>
      </c>
      <c r="AX32" s="348">
        <f t="shared" si="41"/>
        <v>0</v>
      </c>
      <c r="AY32" s="348">
        <f t="shared" si="41"/>
        <v>0</v>
      </c>
      <c r="AZ32" s="348">
        <f t="shared" si="41"/>
        <v>0</v>
      </c>
      <c r="BA32" s="348">
        <f t="shared" si="41"/>
        <v>0</v>
      </c>
      <c r="BB32" s="348">
        <f t="shared" si="41"/>
        <v>0</v>
      </c>
      <c r="BC32" s="348">
        <f t="shared" si="41"/>
        <v>0</v>
      </c>
      <c r="BD32" s="348">
        <f t="shared" si="41"/>
        <v>0</v>
      </c>
      <c r="BE32" s="348">
        <f t="shared" si="41"/>
        <v>0</v>
      </c>
      <c r="BF32" s="348">
        <f t="shared" si="41"/>
        <v>0</v>
      </c>
    </row>
    <row r="33" spans="1:58" ht="19.95" customHeight="1">
      <c r="A33" s="637" t="s">
        <v>249</v>
      </c>
      <c r="B33" s="637"/>
      <c r="C33" s="637"/>
      <c r="D33" s="80"/>
      <c r="E33" s="80"/>
      <c r="F33" s="80"/>
      <c r="G33" s="80"/>
      <c r="H33" s="80"/>
      <c r="I33" s="80"/>
      <c r="J33" s="80"/>
      <c r="K33" s="80"/>
      <c r="L33" s="80"/>
      <c r="M33" s="80"/>
      <c r="N33" s="80"/>
      <c r="O33" s="80"/>
      <c r="P33" s="80"/>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c r="BB33" s="80"/>
      <c r="BC33" s="80"/>
      <c r="BD33" s="80"/>
      <c r="BE33" s="80"/>
      <c r="BF33" s="80"/>
    </row>
    <row r="34" spans="1:58" ht="19.95" customHeight="1">
      <c r="A34" s="636" t="str">
        <f>底稿目录!A9</f>
        <v>房屋及建筑物</v>
      </c>
      <c r="B34" s="636"/>
      <c r="C34" s="636"/>
      <c r="D34" s="80">
        <f t="shared" ref="D34:AJ34" si="46">SUMPRODUCT(($A$12:$A$31=$A34)*(D$12:D$31))</f>
        <v>0</v>
      </c>
      <c r="E34" s="80">
        <f t="shared" si="46"/>
        <v>0</v>
      </c>
      <c r="F34" s="80">
        <f t="shared" si="46"/>
        <v>0</v>
      </c>
      <c r="G34" s="80">
        <f t="shared" si="46"/>
        <v>0</v>
      </c>
      <c r="H34" s="80">
        <f t="shared" si="46"/>
        <v>0</v>
      </c>
      <c r="I34" s="80">
        <f t="shared" si="46"/>
        <v>0</v>
      </c>
      <c r="J34" s="80">
        <f t="shared" si="46"/>
        <v>0</v>
      </c>
      <c r="K34" s="80">
        <f t="shared" si="46"/>
        <v>0</v>
      </c>
      <c r="L34" s="80">
        <f t="shared" si="46"/>
        <v>0</v>
      </c>
      <c r="M34" s="80">
        <f t="shared" si="46"/>
        <v>0</v>
      </c>
      <c r="N34" s="80">
        <f t="shared" si="46"/>
        <v>0</v>
      </c>
      <c r="O34" s="80">
        <f t="shared" si="46"/>
        <v>0</v>
      </c>
      <c r="P34" s="80">
        <f t="shared" si="46"/>
        <v>0</v>
      </c>
      <c r="Q34" s="80">
        <f t="shared" si="46"/>
        <v>0</v>
      </c>
      <c r="R34" s="80">
        <f t="shared" si="46"/>
        <v>0</v>
      </c>
      <c r="S34" s="80">
        <f t="shared" si="46"/>
        <v>0</v>
      </c>
      <c r="T34" s="80">
        <f t="shared" si="46"/>
        <v>0</v>
      </c>
      <c r="U34" s="80">
        <f t="shared" si="46"/>
        <v>0</v>
      </c>
      <c r="V34" s="80">
        <f t="shared" si="46"/>
        <v>0</v>
      </c>
      <c r="W34" s="80">
        <f t="shared" si="46"/>
        <v>0</v>
      </c>
      <c r="X34" s="80">
        <f t="shared" si="46"/>
        <v>0</v>
      </c>
      <c r="Y34" s="80">
        <f t="shared" si="46"/>
        <v>0</v>
      </c>
      <c r="Z34" s="80">
        <f t="shared" si="46"/>
        <v>0</v>
      </c>
      <c r="AA34" s="80">
        <f t="shared" si="46"/>
        <v>0</v>
      </c>
      <c r="AB34" s="80">
        <f t="shared" si="46"/>
        <v>0</v>
      </c>
      <c r="AC34" s="80">
        <f t="shared" si="46"/>
        <v>0</v>
      </c>
      <c r="AD34" s="80">
        <f t="shared" si="46"/>
        <v>0</v>
      </c>
      <c r="AE34" s="80">
        <f t="shared" si="46"/>
        <v>0</v>
      </c>
      <c r="AF34" s="80">
        <f t="shared" si="46"/>
        <v>0</v>
      </c>
      <c r="AG34" s="80">
        <f t="shared" si="46"/>
        <v>0</v>
      </c>
      <c r="AH34" s="80">
        <f t="shared" si="46"/>
        <v>0</v>
      </c>
      <c r="AI34" s="80">
        <f t="shared" si="46"/>
        <v>0</v>
      </c>
      <c r="AJ34" s="80">
        <f t="shared" si="46"/>
        <v>0</v>
      </c>
      <c r="AK34" s="80">
        <f t="shared" ref="E34:BF38" si="47">SUMPRODUCT(($A$12:$A$31=$A34)*(AK$12:AK$31))</f>
        <v>0</v>
      </c>
      <c r="AL34" s="80">
        <f>SUMPRODUCT(($A$12:$A$31=$A34)*(AL$12:AL$31))</f>
        <v>0</v>
      </c>
      <c r="AM34" s="80">
        <f>SUMPRODUCT(($A$12:$A$31=$A34)*(AM$12:AM$31))</f>
        <v>0</v>
      </c>
      <c r="AN34" s="80">
        <f>SUMPRODUCT(($A$12:$A$31=$A34)*(AN$12:AN$31))</f>
        <v>0</v>
      </c>
      <c r="AO34" s="80">
        <f>SUMPRODUCT(($A$12:$A$31=$A34)*(AO$12:AO$31))</f>
        <v>0</v>
      </c>
      <c r="AP34" s="80">
        <f t="shared" si="47"/>
        <v>0</v>
      </c>
      <c r="AQ34" s="80">
        <f t="shared" ref="AQ34:BF34" si="48">SUMPRODUCT(($A$12:$A$31=$A34)*(AQ$12:AQ$31))</f>
        <v>0</v>
      </c>
      <c r="AR34" s="80">
        <f t="shared" si="48"/>
        <v>0</v>
      </c>
      <c r="AS34" s="80">
        <f t="shared" si="48"/>
        <v>0</v>
      </c>
      <c r="AT34" s="80">
        <f t="shared" si="48"/>
        <v>0</v>
      </c>
      <c r="AU34" s="80">
        <f t="shared" si="48"/>
        <v>0</v>
      </c>
      <c r="AV34" s="80">
        <f t="shared" si="48"/>
        <v>0</v>
      </c>
      <c r="AW34" s="80">
        <f t="shared" si="48"/>
        <v>0</v>
      </c>
      <c r="AX34" s="80">
        <f t="shared" si="48"/>
        <v>0</v>
      </c>
      <c r="AY34" s="80">
        <f t="shared" si="48"/>
        <v>0</v>
      </c>
      <c r="AZ34" s="80">
        <f t="shared" si="48"/>
        <v>0</v>
      </c>
      <c r="BA34" s="80">
        <f t="shared" si="48"/>
        <v>0</v>
      </c>
      <c r="BB34" s="80">
        <f t="shared" si="48"/>
        <v>0</v>
      </c>
      <c r="BC34" s="80">
        <f t="shared" si="48"/>
        <v>0</v>
      </c>
      <c r="BD34" s="80">
        <f t="shared" si="48"/>
        <v>0</v>
      </c>
      <c r="BE34" s="80">
        <f t="shared" si="48"/>
        <v>0</v>
      </c>
      <c r="BF34" s="80">
        <f t="shared" si="48"/>
        <v>0</v>
      </c>
    </row>
    <row r="35" spans="1:58" ht="19.95" customHeight="1">
      <c r="A35" s="636" t="str">
        <f>底稿目录!A10</f>
        <v>机器设备</v>
      </c>
      <c r="B35" s="636"/>
      <c r="C35" s="636"/>
      <c r="D35" s="80">
        <f t="shared" ref="D35:Y38" si="49">SUMPRODUCT(($A$12:$A$31=$A35)*(D$12:D$31))</f>
        <v>0</v>
      </c>
      <c r="E35" s="80">
        <f t="shared" si="49"/>
        <v>0</v>
      </c>
      <c r="F35" s="80">
        <f t="shared" si="49"/>
        <v>0</v>
      </c>
      <c r="G35" s="80">
        <f t="shared" si="49"/>
        <v>0</v>
      </c>
      <c r="H35" s="80">
        <f t="shared" si="49"/>
        <v>0</v>
      </c>
      <c r="I35" s="80">
        <f t="shared" si="49"/>
        <v>0</v>
      </c>
      <c r="J35" s="80">
        <f t="shared" si="49"/>
        <v>0</v>
      </c>
      <c r="K35" s="80">
        <f t="shared" si="49"/>
        <v>0</v>
      </c>
      <c r="L35" s="80">
        <f t="shared" si="49"/>
        <v>0</v>
      </c>
      <c r="M35" s="80">
        <f t="shared" si="49"/>
        <v>0</v>
      </c>
      <c r="N35" s="80">
        <f t="shared" si="49"/>
        <v>0</v>
      </c>
      <c r="O35" s="80">
        <f t="shared" si="49"/>
        <v>0</v>
      </c>
      <c r="P35" s="80">
        <f t="shared" si="49"/>
        <v>0</v>
      </c>
      <c r="Q35" s="80" cm="1">
        <f t="array" ref="Q35">SUMPRODUCT(($A$12:$A$31=$A35)*(Q$12:Q$31))</f>
        <v>0</v>
      </c>
      <c r="R35" s="80" cm="1">
        <f t="array" ref="R35">SUMPRODUCT(($A$12:$A$31=$A35)*(R$12:R$31))</f>
        <v>0</v>
      </c>
      <c r="S35" s="80" cm="1">
        <f t="array" ref="S35">SUMPRODUCT(($A$12:$A$31=$A35)*(S$12:S$31))</f>
        <v>0</v>
      </c>
      <c r="T35" s="80" cm="1">
        <f t="array" ref="T35">SUMPRODUCT(($A$12:$A$31=$A35)*(T$12:T$31))</f>
        <v>0</v>
      </c>
      <c r="U35" s="80">
        <f t="shared" si="49"/>
        <v>0</v>
      </c>
      <c r="V35" s="80">
        <f t="shared" si="49"/>
        <v>0</v>
      </c>
      <c r="W35" s="80">
        <f t="shared" si="49"/>
        <v>0</v>
      </c>
      <c r="X35" s="80">
        <f t="shared" si="49"/>
        <v>0</v>
      </c>
      <c r="Y35" s="80">
        <f t="shared" si="49"/>
        <v>0</v>
      </c>
      <c r="Z35" s="80">
        <f t="shared" si="47"/>
        <v>0</v>
      </c>
      <c r="AA35" s="80">
        <f t="shared" si="47"/>
        <v>0</v>
      </c>
      <c r="AB35" s="80">
        <f t="shared" si="47"/>
        <v>0</v>
      </c>
      <c r="AC35" s="80">
        <f t="shared" si="47"/>
        <v>0</v>
      </c>
      <c r="AD35" s="80">
        <f t="shared" si="47"/>
        <v>0</v>
      </c>
      <c r="AE35" s="80">
        <f t="shared" si="47"/>
        <v>0</v>
      </c>
      <c r="AF35" s="80">
        <f t="shared" si="47"/>
        <v>0</v>
      </c>
      <c r="AG35" s="80">
        <f t="shared" si="47"/>
        <v>0</v>
      </c>
      <c r="AH35" s="80">
        <f t="shared" si="47"/>
        <v>0</v>
      </c>
      <c r="AI35" s="80">
        <f t="shared" si="47"/>
        <v>0</v>
      </c>
      <c r="AJ35" s="80">
        <f t="shared" si="47"/>
        <v>0</v>
      </c>
      <c r="AK35" s="80">
        <f t="shared" si="47"/>
        <v>0</v>
      </c>
      <c r="AL35" s="80">
        <f t="shared" si="47"/>
        <v>0</v>
      </c>
      <c r="AM35" s="80">
        <f t="shared" si="47"/>
        <v>0</v>
      </c>
      <c r="AN35" s="80">
        <f t="shared" si="47"/>
        <v>0</v>
      </c>
      <c r="AO35" s="80">
        <f t="shared" si="47"/>
        <v>0</v>
      </c>
      <c r="AP35" s="80">
        <f t="shared" si="47"/>
        <v>0</v>
      </c>
      <c r="AQ35" s="80">
        <f t="shared" si="47"/>
        <v>0</v>
      </c>
      <c r="AR35" s="80">
        <f t="shared" ref="AR35:AR38" si="50">SUMPRODUCT(($A$12:$A$31=$A35)*(AR$12:AR$31))</f>
        <v>0</v>
      </c>
      <c r="AS35" s="80">
        <f t="shared" si="47"/>
        <v>0</v>
      </c>
      <c r="AT35" s="80">
        <f t="shared" si="47"/>
        <v>0</v>
      </c>
      <c r="AU35" s="80">
        <f t="shared" si="47"/>
        <v>0</v>
      </c>
      <c r="AV35" s="80">
        <f t="shared" si="47"/>
        <v>0</v>
      </c>
      <c r="AW35" s="80">
        <f t="shared" si="47"/>
        <v>0</v>
      </c>
      <c r="AX35" s="80">
        <f t="shared" si="47"/>
        <v>0</v>
      </c>
      <c r="AY35" s="80">
        <f t="shared" si="47"/>
        <v>0</v>
      </c>
      <c r="AZ35" s="80">
        <f t="shared" si="47"/>
        <v>0</v>
      </c>
      <c r="BA35" s="80">
        <f t="shared" si="47"/>
        <v>0</v>
      </c>
      <c r="BB35" s="80">
        <f t="shared" si="47"/>
        <v>0</v>
      </c>
      <c r="BC35" s="80">
        <f t="shared" si="47"/>
        <v>0</v>
      </c>
      <c r="BD35" s="80">
        <f t="shared" si="47"/>
        <v>0</v>
      </c>
      <c r="BE35" s="80">
        <f t="shared" si="47"/>
        <v>0</v>
      </c>
      <c r="BF35" s="80">
        <f t="shared" si="47"/>
        <v>0</v>
      </c>
    </row>
    <row r="36" spans="1:58" ht="19.95" customHeight="1">
      <c r="A36" s="636" t="str">
        <f>底稿目录!A11</f>
        <v>运输设备</v>
      </c>
      <c r="B36" s="636"/>
      <c r="C36" s="636"/>
      <c r="D36" s="80">
        <f t="shared" si="49"/>
        <v>0</v>
      </c>
      <c r="E36" s="80">
        <f t="shared" si="47"/>
        <v>0</v>
      </c>
      <c r="F36" s="80">
        <f t="shared" si="47"/>
        <v>0</v>
      </c>
      <c r="G36" s="80">
        <f t="shared" si="47"/>
        <v>0</v>
      </c>
      <c r="H36" s="80">
        <f t="shared" si="47"/>
        <v>0</v>
      </c>
      <c r="I36" s="80">
        <f t="shared" si="47"/>
        <v>0</v>
      </c>
      <c r="J36" s="80">
        <f t="shared" si="47"/>
        <v>0</v>
      </c>
      <c r="K36" s="80">
        <f t="shared" si="47"/>
        <v>0</v>
      </c>
      <c r="L36" s="80">
        <f t="shared" si="47"/>
        <v>0</v>
      </c>
      <c r="M36" s="80">
        <f t="shared" si="47"/>
        <v>0</v>
      </c>
      <c r="N36" s="80">
        <f t="shared" si="47"/>
        <v>0</v>
      </c>
      <c r="O36" s="80">
        <f t="shared" si="47"/>
        <v>0</v>
      </c>
      <c r="P36" s="80">
        <f t="shared" si="47"/>
        <v>0</v>
      </c>
      <c r="Q36" s="80">
        <f t="shared" si="47"/>
        <v>0</v>
      </c>
      <c r="R36" s="80">
        <f t="shared" si="47"/>
        <v>0</v>
      </c>
      <c r="S36" s="80">
        <f t="shared" si="47"/>
        <v>0</v>
      </c>
      <c r="T36" s="80">
        <f t="shared" si="47"/>
        <v>0</v>
      </c>
      <c r="U36" s="80">
        <f t="shared" si="47"/>
        <v>0</v>
      </c>
      <c r="V36" s="80">
        <f t="shared" si="47"/>
        <v>0</v>
      </c>
      <c r="W36" s="80">
        <f t="shared" si="47"/>
        <v>0</v>
      </c>
      <c r="X36" s="80">
        <f t="shared" si="47"/>
        <v>0</v>
      </c>
      <c r="Y36" s="80">
        <f t="shared" si="47"/>
        <v>0</v>
      </c>
      <c r="Z36" s="80">
        <f t="shared" si="47"/>
        <v>0</v>
      </c>
      <c r="AA36" s="80">
        <f t="shared" si="47"/>
        <v>0</v>
      </c>
      <c r="AB36" s="80">
        <f t="shared" si="47"/>
        <v>0</v>
      </c>
      <c r="AC36" s="80">
        <f t="shared" si="47"/>
        <v>0</v>
      </c>
      <c r="AD36" s="80">
        <f t="shared" si="47"/>
        <v>0</v>
      </c>
      <c r="AE36" s="80">
        <f t="shared" si="47"/>
        <v>0</v>
      </c>
      <c r="AF36" s="80">
        <f t="shared" si="47"/>
        <v>0</v>
      </c>
      <c r="AG36" s="80">
        <f t="shared" si="47"/>
        <v>0</v>
      </c>
      <c r="AH36" s="80">
        <f t="shared" si="47"/>
        <v>0</v>
      </c>
      <c r="AI36" s="80">
        <f t="shared" si="47"/>
        <v>0</v>
      </c>
      <c r="AJ36" s="80">
        <f t="shared" si="47"/>
        <v>0</v>
      </c>
      <c r="AK36" s="80">
        <f t="shared" si="47"/>
        <v>0</v>
      </c>
      <c r="AL36" s="80">
        <f t="shared" si="47"/>
        <v>0</v>
      </c>
      <c r="AM36" s="80">
        <f t="shared" si="47"/>
        <v>0</v>
      </c>
      <c r="AN36" s="80">
        <f t="shared" si="47"/>
        <v>0</v>
      </c>
      <c r="AO36" s="80">
        <f t="shared" si="47"/>
        <v>0</v>
      </c>
      <c r="AP36" s="80">
        <f t="shared" si="47"/>
        <v>0</v>
      </c>
      <c r="AQ36" s="80">
        <f t="shared" si="47"/>
        <v>0</v>
      </c>
      <c r="AR36" s="80">
        <f t="shared" si="50"/>
        <v>0</v>
      </c>
      <c r="AS36" s="80">
        <f t="shared" si="47"/>
        <v>0</v>
      </c>
      <c r="AT36" s="80">
        <f t="shared" si="47"/>
        <v>0</v>
      </c>
      <c r="AU36" s="80">
        <f t="shared" si="47"/>
        <v>0</v>
      </c>
      <c r="AV36" s="80">
        <f t="shared" si="47"/>
        <v>0</v>
      </c>
      <c r="AW36" s="80">
        <f t="shared" si="47"/>
        <v>0</v>
      </c>
      <c r="AX36" s="80">
        <f t="shared" si="47"/>
        <v>0</v>
      </c>
      <c r="AY36" s="80">
        <f t="shared" si="47"/>
        <v>0</v>
      </c>
      <c r="AZ36" s="80">
        <f t="shared" si="47"/>
        <v>0</v>
      </c>
      <c r="BA36" s="80">
        <f t="shared" si="47"/>
        <v>0</v>
      </c>
      <c r="BB36" s="80">
        <f t="shared" si="47"/>
        <v>0</v>
      </c>
      <c r="BC36" s="80">
        <f t="shared" si="47"/>
        <v>0</v>
      </c>
      <c r="BD36" s="80">
        <f t="shared" si="47"/>
        <v>0</v>
      </c>
      <c r="BE36" s="80">
        <f t="shared" si="47"/>
        <v>0</v>
      </c>
      <c r="BF36" s="80">
        <f t="shared" si="47"/>
        <v>0</v>
      </c>
    </row>
    <row r="37" spans="1:58" ht="19.95" customHeight="1">
      <c r="A37" s="636" t="str">
        <f>底稿目录!A12</f>
        <v>办公设备</v>
      </c>
      <c r="B37" s="636"/>
      <c r="C37" s="636"/>
      <c r="D37" s="80">
        <f t="shared" si="49"/>
        <v>0</v>
      </c>
      <c r="E37" s="80">
        <f t="shared" si="47"/>
        <v>0</v>
      </c>
      <c r="F37" s="80">
        <f t="shared" si="47"/>
        <v>0</v>
      </c>
      <c r="G37" s="80">
        <f t="shared" si="47"/>
        <v>0</v>
      </c>
      <c r="H37" s="80">
        <f t="shared" si="47"/>
        <v>0</v>
      </c>
      <c r="I37" s="80">
        <f t="shared" si="47"/>
        <v>0</v>
      </c>
      <c r="J37" s="80">
        <f t="shared" si="47"/>
        <v>0</v>
      </c>
      <c r="K37" s="80">
        <f t="shared" si="47"/>
        <v>0</v>
      </c>
      <c r="L37" s="80">
        <f t="shared" si="47"/>
        <v>0</v>
      </c>
      <c r="M37" s="80">
        <f t="shared" si="47"/>
        <v>0</v>
      </c>
      <c r="N37" s="80">
        <f t="shared" si="47"/>
        <v>0</v>
      </c>
      <c r="O37" s="80">
        <f t="shared" si="47"/>
        <v>0</v>
      </c>
      <c r="P37" s="80">
        <f t="shared" si="47"/>
        <v>0</v>
      </c>
      <c r="Q37" s="80">
        <f t="shared" si="47"/>
        <v>0</v>
      </c>
      <c r="R37" s="80">
        <f t="shared" si="47"/>
        <v>0</v>
      </c>
      <c r="S37" s="80">
        <f t="shared" si="47"/>
        <v>0</v>
      </c>
      <c r="T37" s="80">
        <f t="shared" si="47"/>
        <v>0</v>
      </c>
      <c r="U37" s="80">
        <f t="shared" si="47"/>
        <v>0</v>
      </c>
      <c r="V37" s="80">
        <f t="shared" si="47"/>
        <v>0</v>
      </c>
      <c r="W37" s="80">
        <f t="shared" si="47"/>
        <v>0</v>
      </c>
      <c r="X37" s="80">
        <f t="shared" si="47"/>
        <v>0</v>
      </c>
      <c r="Y37" s="80">
        <f t="shared" si="47"/>
        <v>0</v>
      </c>
      <c r="Z37" s="80">
        <f t="shared" si="47"/>
        <v>0</v>
      </c>
      <c r="AA37" s="80">
        <f t="shared" si="47"/>
        <v>0</v>
      </c>
      <c r="AB37" s="80">
        <f t="shared" si="47"/>
        <v>0</v>
      </c>
      <c r="AC37" s="80">
        <f t="shared" si="47"/>
        <v>0</v>
      </c>
      <c r="AD37" s="80">
        <f t="shared" si="47"/>
        <v>0</v>
      </c>
      <c r="AE37" s="80">
        <f t="shared" si="47"/>
        <v>0</v>
      </c>
      <c r="AF37" s="80">
        <f t="shared" si="47"/>
        <v>0</v>
      </c>
      <c r="AG37" s="80">
        <f t="shared" si="47"/>
        <v>0</v>
      </c>
      <c r="AH37" s="80">
        <f t="shared" si="47"/>
        <v>0</v>
      </c>
      <c r="AI37" s="80">
        <f t="shared" si="47"/>
        <v>0</v>
      </c>
      <c r="AJ37" s="80">
        <f t="shared" si="47"/>
        <v>0</v>
      </c>
      <c r="AK37" s="80">
        <f t="shared" si="47"/>
        <v>0</v>
      </c>
      <c r="AL37" s="80">
        <f t="shared" si="47"/>
        <v>0</v>
      </c>
      <c r="AM37" s="80">
        <f t="shared" si="47"/>
        <v>0</v>
      </c>
      <c r="AN37" s="80">
        <f t="shared" si="47"/>
        <v>0</v>
      </c>
      <c r="AO37" s="80">
        <f t="shared" si="47"/>
        <v>0</v>
      </c>
      <c r="AP37" s="80">
        <f>SUMPRODUCT(($A$12:$A$31=$A37)*(AP$12:AP$31))</f>
        <v>0</v>
      </c>
      <c r="AQ37" s="80">
        <f t="shared" si="47"/>
        <v>0</v>
      </c>
      <c r="AR37" s="80">
        <f t="shared" si="50"/>
        <v>0</v>
      </c>
      <c r="AS37" s="80">
        <f t="shared" si="47"/>
        <v>0</v>
      </c>
      <c r="AT37" s="80">
        <f t="shared" si="47"/>
        <v>0</v>
      </c>
      <c r="AU37" s="80">
        <f t="shared" si="47"/>
        <v>0</v>
      </c>
      <c r="AV37" s="80">
        <f t="shared" si="47"/>
        <v>0</v>
      </c>
      <c r="AW37" s="80">
        <f t="shared" si="47"/>
        <v>0</v>
      </c>
      <c r="AX37" s="80">
        <f t="shared" si="47"/>
        <v>0</v>
      </c>
      <c r="AY37" s="80">
        <f t="shared" si="47"/>
        <v>0</v>
      </c>
      <c r="AZ37" s="80">
        <f t="shared" si="47"/>
        <v>0</v>
      </c>
      <c r="BA37" s="80">
        <f t="shared" si="47"/>
        <v>0</v>
      </c>
      <c r="BB37" s="80">
        <f t="shared" si="47"/>
        <v>0</v>
      </c>
      <c r="BC37" s="80">
        <f t="shared" si="47"/>
        <v>0</v>
      </c>
      <c r="BD37" s="80">
        <f t="shared" si="47"/>
        <v>0</v>
      </c>
      <c r="BE37" s="80">
        <f t="shared" si="47"/>
        <v>0</v>
      </c>
      <c r="BF37" s="80">
        <f t="shared" si="47"/>
        <v>0</v>
      </c>
    </row>
    <row r="38" spans="1:58" ht="19.95" customHeight="1">
      <c r="A38" s="636" t="str">
        <f>底稿目录!A13</f>
        <v>其他设备</v>
      </c>
      <c r="B38" s="636"/>
      <c r="C38" s="636"/>
      <c r="D38" s="80">
        <f t="shared" si="49"/>
        <v>0</v>
      </c>
      <c r="E38" s="80">
        <f t="shared" si="47"/>
        <v>0</v>
      </c>
      <c r="F38" s="80">
        <f t="shared" si="47"/>
        <v>0</v>
      </c>
      <c r="G38" s="80">
        <f t="shared" si="47"/>
        <v>0</v>
      </c>
      <c r="H38" s="80">
        <f t="shared" si="47"/>
        <v>0</v>
      </c>
      <c r="I38" s="80">
        <f t="shared" si="47"/>
        <v>0</v>
      </c>
      <c r="J38" s="80">
        <f t="shared" si="47"/>
        <v>0</v>
      </c>
      <c r="K38" s="80">
        <f t="shared" si="47"/>
        <v>0</v>
      </c>
      <c r="L38" s="80">
        <f t="shared" si="47"/>
        <v>0</v>
      </c>
      <c r="M38" s="80">
        <f t="shared" si="47"/>
        <v>0</v>
      </c>
      <c r="N38" s="80">
        <f t="shared" si="47"/>
        <v>0</v>
      </c>
      <c r="O38" s="80">
        <f t="shared" si="47"/>
        <v>0</v>
      </c>
      <c r="P38" s="80">
        <f t="shared" si="47"/>
        <v>0</v>
      </c>
      <c r="Q38" s="80">
        <f t="shared" si="47"/>
        <v>0</v>
      </c>
      <c r="R38" s="80">
        <f t="shared" si="47"/>
        <v>0</v>
      </c>
      <c r="S38" s="80">
        <f t="shared" si="47"/>
        <v>0</v>
      </c>
      <c r="T38" s="80">
        <f t="shared" si="47"/>
        <v>0</v>
      </c>
      <c r="U38" s="80">
        <f t="shared" si="47"/>
        <v>0</v>
      </c>
      <c r="V38" s="80">
        <f t="shared" si="47"/>
        <v>0</v>
      </c>
      <c r="W38" s="80">
        <f t="shared" si="47"/>
        <v>0</v>
      </c>
      <c r="X38" s="80">
        <f t="shared" si="47"/>
        <v>0</v>
      </c>
      <c r="Y38" s="80">
        <f t="shared" si="47"/>
        <v>0</v>
      </c>
      <c r="Z38" s="80">
        <f t="shared" si="47"/>
        <v>0</v>
      </c>
      <c r="AA38" s="80">
        <f t="shared" si="47"/>
        <v>0</v>
      </c>
      <c r="AB38" s="80">
        <f t="shared" si="47"/>
        <v>0</v>
      </c>
      <c r="AC38" s="80">
        <f t="shared" si="47"/>
        <v>0</v>
      </c>
      <c r="AD38" s="80">
        <f t="shared" si="47"/>
        <v>0</v>
      </c>
      <c r="AE38" s="80">
        <f t="shared" si="47"/>
        <v>0</v>
      </c>
      <c r="AF38" s="80">
        <f t="shared" ref="AF38:AI38" si="51">SUMPRODUCT(($A$12:$A$31=$A38)*(AF$12:AF$31))</f>
        <v>0</v>
      </c>
      <c r="AG38" s="80">
        <f t="shared" si="51"/>
        <v>0</v>
      </c>
      <c r="AH38" s="80">
        <f t="shared" si="51"/>
        <v>0</v>
      </c>
      <c r="AI38" s="80">
        <f t="shared" si="51"/>
        <v>0</v>
      </c>
      <c r="AJ38" s="80">
        <f t="shared" si="47"/>
        <v>0</v>
      </c>
      <c r="AK38" s="80">
        <f t="shared" si="47"/>
        <v>0</v>
      </c>
      <c r="AL38" s="80">
        <f t="shared" si="47"/>
        <v>0</v>
      </c>
      <c r="AM38" s="80">
        <f t="shared" si="47"/>
        <v>0</v>
      </c>
      <c r="AN38" s="80">
        <f t="shared" si="47"/>
        <v>0</v>
      </c>
      <c r="AO38" s="80">
        <f t="shared" si="47"/>
        <v>0</v>
      </c>
      <c r="AP38" s="80">
        <f t="shared" si="47"/>
        <v>0</v>
      </c>
      <c r="AQ38" s="80">
        <f t="shared" si="47"/>
        <v>0</v>
      </c>
      <c r="AR38" s="80">
        <f t="shared" si="50"/>
        <v>0</v>
      </c>
      <c r="AS38" s="80">
        <f t="shared" si="47"/>
        <v>0</v>
      </c>
      <c r="AT38" s="80">
        <f t="shared" si="47"/>
        <v>0</v>
      </c>
      <c r="AU38" s="80">
        <f t="shared" si="47"/>
        <v>0</v>
      </c>
      <c r="AV38" s="80">
        <f t="shared" si="47"/>
        <v>0</v>
      </c>
      <c r="AW38" s="80">
        <f t="shared" si="47"/>
        <v>0</v>
      </c>
      <c r="AX38" s="80">
        <f t="shared" si="47"/>
        <v>0</v>
      </c>
      <c r="AY38" s="80">
        <f t="shared" si="47"/>
        <v>0</v>
      </c>
      <c r="AZ38" s="80">
        <f t="shared" si="47"/>
        <v>0</v>
      </c>
      <c r="BA38" s="80">
        <f t="shared" si="47"/>
        <v>0</v>
      </c>
      <c r="BB38" s="80">
        <f t="shared" si="47"/>
        <v>0</v>
      </c>
      <c r="BC38" s="80">
        <f t="shared" si="47"/>
        <v>0</v>
      </c>
      <c r="BD38" s="80">
        <f t="shared" si="47"/>
        <v>0</v>
      </c>
      <c r="BE38" s="80">
        <f t="shared" si="47"/>
        <v>0</v>
      </c>
      <c r="BF38" s="80">
        <f t="shared" si="47"/>
        <v>0</v>
      </c>
    </row>
    <row r="39" spans="1:58" ht="19.95" customHeight="1">
      <c r="B39" s="247"/>
      <c r="C39" s="247"/>
      <c r="D39" s="247" t="s">
        <v>250</v>
      </c>
      <c r="N39" s="18" t="s">
        <v>251</v>
      </c>
      <c r="S39" s="18"/>
    </row>
    <row r="45" spans="1:58" ht="19.95" customHeight="1">
      <c r="A45" s="384" t="s">
        <v>752</v>
      </c>
      <c r="C45" s="194"/>
      <c r="D45" s="194"/>
      <c r="E45" s="194"/>
      <c r="F45" s="194"/>
      <c r="G45" s="194"/>
      <c r="H45" s="194"/>
      <c r="I45" s="194"/>
      <c r="J45" s="194"/>
      <c r="K45" s="194"/>
      <c r="L45" s="194"/>
      <c r="W45" s="2" t="s">
        <v>252</v>
      </c>
      <c r="AN45" s="2" t="s">
        <v>252</v>
      </c>
    </row>
    <row r="46" spans="1:58" ht="19.95" customHeight="1">
      <c r="A46" s="206" t="s">
        <v>720</v>
      </c>
      <c r="C46" s="194"/>
      <c r="D46" s="194"/>
      <c r="E46" s="194"/>
      <c r="F46" s="194"/>
      <c r="G46" s="194"/>
      <c r="H46" s="194"/>
      <c r="I46" s="194"/>
      <c r="J46" s="194"/>
      <c r="K46" s="194"/>
      <c r="L46" s="194"/>
      <c r="W46" s="2" t="s">
        <v>253</v>
      </c>
      <c r="AN46" s="2" t="s">
        <v>254</v>
      </c>
    </row>
    <row r="47" spans="1:58" ht="19.95" customHeight="1">
      <c r="A47" s="206" t="s">
        <v>721</v>
      </c>
      <c r="C47" s="194"/>
      <c r="D47" s="194"/>
      <c r="E47" s="194"/>
      <c r="F47" s="194"/>
      <c r="G47" s="194"/>
      <c r="H47" s="194"/>
      <c r="I47" s="194"/>
      <c r="J47" s="194"/>
      <c r="K47" s="194"/>
      <c r="L47" s="194"/>
      <c r="W47" s="2" t="s">
        <v>255</v>
      </c>
      <c r="AN47" s="2" t="s">
        <v>256</v>
      </c>
    </row>
    <row r="48" spans="1:58" ht="19.95" customHeight="1">
      <c r="A48" s="206" t="s">
        <v>722</v>
      </c>
      <c r="C48" s="194"/>
      <c r="D48" s="194"/>
      <c r="E48" s="194"/>
      <c r="F48" s="194"/>
      <c r="G48" s="194"/>
      <c r="H48" s="194"/>
      <c r="I48" s="194"/>
      <c r="J48" s="194"/>
      <c r="K48" s="194"/>
      <c r="L48" s="194"/>
    </row>
    <row r="49" spans="1:12" ht="19.95" customHeight="1">
      <c r="A49" s="206" t="s">
        <v>723</v>
      </c>
      <c r="C49" s="194"/>
      <c r="D49" s="194"/>
      <c r="E49" s="194"/>
      <c r="F49" s="194"/>
      <c r="G49" s="194"/>
      <c r="H49" s="194"/>
      <c r="I49" s="194"/>
      <c r="J49" s="194"/>
      <c r="K49" s="194"/>
      <c r="L49" s="194"/>
    </row>
    <row r="50" spans="1:12" ht="19.95" customHeight="1">
      <c r="A50" s="209"/>
      <c r="B50" s="11"/>
      <c r="C50" s="11"/>
    </row>
    <row r="51" spans="1:12" ht="19.95" customHeight="1">
      <c r="A51" s="209"/>
      <c r="B51" s="11"/>
      <c r="C51" s="11"/>
    </row>
    <row r="52" spans="1:12" ht="19.95" customHeight="1">
      <c r="A52" s="206"/>
    </row>
    <row r="53" spans="1:12" ht="19.95" customHeight="1">
      <c r="A53" s="206"/>
    </row>
    <row r="54" spans="1:12" ht="19.95" customHeight="1">
      <c r="A54" s="206"/>
    </row>
    <row r="55" spans="1:12" ht="19.95" customHeight="1">
      <c r="A55" s="206"/>
    </row>
    <row r="56" spans="1:12" ht="19.95" customHeight="1">
      <c r="A56" s="206"/>
    </row>
    <row r="69" spans="46:46" ht="19.95" customHeight="1">
      <c r="AT69" s="248"/>
    </row>
    <row r="70" spans="46:46" ht="19.95" customHeight="1">
      <c r="AT70" s="248"/>
    </row>
    <row r="71" spans="46:46" ht="19.95" customHeight="1">
      <c r="AT71" s="248"/>
    </row>
    <row r="72" spans="46:46" ht="19.95" customHeight="1">
      <c r="AT72" s="249"/>
    </row>
    <row r="73" spans="46:46" ht="19.95" customHeight="1">
      <c r="AT73" s="249"/>
    </row>
    <row r="74" spans="46:46" ht="19.95" customHeight="1">
      <c r="AT74" s="248"/>
    </row>
    <row r="75" spans="46:46" ht="19.95" customHeight="1">
      <c r="AT75" s="248"/>
    </row>
    <row r="76" spans="46:46" ht="19.95" customHeight="1">
      <c r="AT76" s="250"/>
    </row>
    <row r="77" spans="46:46" ht="19.95" customHeight="1">
      <c r="AT77" s="250"/>
    </row>
    <row r="78" spans="46:46" ht="19.95" customHeight="1">
      <c r="AT78" s="250"/>
    </row>
    <row r="79" spans="46:46" ht="19.95" customHeight="1">
      <c r="AT79" s="251"/>
    </row>
  </sheetData>
  <mergeCells count="64">
    <mergeCell ref="W1:AM1"/>
    <mergeCell ref="A1:V1"/>
    <mergeCell ref="A2:V2"/>
    <mergeCell ref="M10:O10"/>
    <mergeCell ref="AN1:BF1"/>
    <mergeCell ref="AN2:BF2"/>
    <mergeCell ref="W8:AM8"/>
    <mergeCell ref="AN8:BD8"/>
    <mergeCell ref="BF10:BF11"/>
    <mergeCell ref="BE8:BF9"/>
    <mergeCell ref="BE10:BE11"/>
    <mergeCell ref="W2:AM2"/>
    <mergeCell ref="AL10:AL11"/>
    <mergeCell ref="AV10:AW10"/>
    <mergeCell ref="AX10:AZ10"/>
    <mergeCell ref="P10:R10"/>
    <mergeCell ref="M9:R9"/>
    <mergeCell ref="AE10:AF10"/>
    <mergeCell ref="AG10:AI10"/>
    <mergeCell ref="BA9:BD9"/>
    <mergeCell ref="AE9:AI9"/>
    <mergeCell ref="AJ9:AM9"/>
    <mergeCell ref="X9:AC9"/>
    <mergeCell ref="W9:W11"/>
    <mergeCell ref="AO9:AT9"/>
    <mergeCell ref="AN9:AN11"/>
    <mergeCell ref="X10:Y10"/>
    <mergeCell ref="Z10:AB10"/>
    <mergeCell ref="AC10:AC11"/>
    <mergeCell ref="AV9:AZ9"/>
    <mergeCell ref="AD9:AD11"/>
    <mergeCell ref="AU9:AU11"/>
    <mergeCell ref="A34:C34"/>
    <mergeCell ref="A35:C35"/>
    <mergeCell ref="D9:D11"/>
    <mergeCell ref="E9:K9"/>
    <mergeCell ref="D8:V8"/>
    <mergeCell ref="S9:V9"/>
    <mergeCell ref="C8:C11"/>
    <mergeCell ref="B8:B11"/>
    <mergeCell ref="L9:L11"/>
    <mergeCell ref="K10:K11"/>
    <mergeCell ref="S10:S11"/>
    <mergeCell ref="T10:T11"/>
    <mergeCell ref="U10:U11"/>
    <mergeCell ref="V10:V11"/>
    <mergeCell ref="E10:G10"/>
    <mergeCell ref="H10:J10"/>
    <mergeCell ref="A36:C36"/>
    <mergeCell ref="A33:C33"/>
    <mergeCell ref="A37:C37"/>
    <mergeCell ref="A38:C38"/>
    <mergeCell ref="BD10:BD11"/>
    <mergeCell ref="BA10:BA11"/>
    <mergeCell ref="BB10:BB11"/>
    <mergeCell ref="BC10:BC11"/>
    <mergeCell ref="AO10:AP10"/>
    <mergeCell ref="AQ10:AS10"/>
    <mergeCell ref="AM10:AM11"/>
    <mergeCell ref="AJ10:AJ11"/>
    <mergeCell ref="AK10:AK11"/>
    <mergeCell ref="AT10:AT11"/>
    <mergeCell ref="A8:A11"/>
    <mergeCell ref="A32:C32"/>
  </mergeCells>
  <phoneticPr fontId="11" type="noConversion"/>
  <hyperlinks>
    <hyperlink ref="V3" location="底稿目录!A1" display="H8A"/>
    <hyperlink ref="AM3" location="底稿目录!A1" display="H8A"/>
    <hyperlink ref="BF3" location="底稿目录!A1" display="H8A"/>
  </hyperlinks>
  <printOptions horizontalCentered="1"/>
  <pageMargins left="0.27559055118110237" right="0.23622047244094491" top="0.47244094488188981" bottom="0.47244094488188981" header="0.31496062992125984" footer="0.31496062992125984"/>
  <pageSetup paperSize="9" scale="57" fitToWidth="3" orientation="landscape" blackAndWhite="1" r:id="rId1"/>
  <headerFooter alignWithMargins="0">
    <oddFooter>&amp;C&amp;P/&amp;N</oddFooter>
  </headerFooter>
  <colBreaks count="2" manualBreakCount="2">
    <brk id="22" max="44" man="1"/>
    <brk id="39" max="44" man="1"/>
  </colBreaks>
  <extLst>
    <ext xmlns:x14="http://schemas.microsoft.com/office/spreadsheetml/2009/9/main" uri="{CCE6A557-97BC-4b89-ADB6-D9C93CAAB3DF}">
      <x14:dataValidations xmlns:xm="http://schemas.microsoft.com/office/excel/2006/main" count="1">
        <x14:dataValidation type="list" allowBlank="1" showInputMessage="1" showErrorMessage="1">
          <x14:formula1>
            <xm:f>底稿目录!$A$9:$A$14</xm:f>
          </x14:formula1>
          <xm:sqref>A12:A31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J24"/>
  <sheetViews>
    <sheetView view="pageBreakPreview" zoomScaleNormal="100" zoomScaleSheetLayoutView="100" workbookViewId="0">
      <selection sqref="A1:J1"/>
    </sheetView>
  </sheetViews>
  <sheetFormatPr defaultColWidth="9" defaultRowHeight="19.95" customHeight="1"/>
  <cols>
    <col min="1" max="1" width="20.69921875" style="252" customWidth="1"/>
    <col min="2" max="2" width="17.69921875" style="252" customWidth="1"/>
    <col min="3" max="3" width="11.3984375" style="252" customWidth="1"/>
    <col min="4" max="4" width="13.796875" style="252" customWidth="1"/>
    <col min="5" max="5" width="11.59765625" style="252" customWidth="1"/>
    <col min="6" max="6" width="11.3984375" style="252" customWidth="1"/>
    <col min="7" max="7" width="10.59765625" style="252" customWidth="1"/>
    <col min="8" max="8" width="10.8984375" style="252" customWidth="1"/>
    <col min="9" max="16384" width="9" style="252"/>
  </cols>
  <sheetData>
    <row r="1" spans="1:10" s="307" customFormat="1" ht="19.95" customHeight="1">
      <c r="A1" s="646" t="s">
        <v>707</v>
      </c>
      <c r="B1" s="646"/>
      <c r="C1" s="646"/>
      <c r="D1" s="646"/>
      <c r="E1" s="646"/>
      <c r="F1" s="646"/>
      <c r="G1" s="646"/>
      <c r="H1" s="646"/>
      <c r="I1" s="646"/>
      <c r="J1" s="646"/>
    </row>
    <row r="2" spans="1:10" s="318" customFormat="1" ht="19.95" customHeight="1">
      <c r="A2" s="647" t="s">
        <v>715</v>
      </c>
      <c r="B2" s="647"/>
      <c r="C2" s="647"/>
      <c r="D2" s="647"/>
      <c r="E2" s="647"/>
      <c r="F2" s="647"/>
      <c r="G2" s="647"/>
      <c r="H2" s="647"/>
      <c r="I2" s="647"/>
      <c r="J2" s="647"/>
    </row>
    <row r="3" spans="1:10" ht="19.95" customHeight="1">
      <c r="A3" s="93" t="str">
        <f>底稿目录!A2</f>
        <v>被审计单位：</v>
      </c>
      <c r="B3" s="93"/>
      <c r="C3" s="93"/>
      <c r="D3" s="93" t="str">
        <f>底稿目录!A4</f>
        <v>编制人：</v>
      </c>
      <c r="E3" s="93"/>
      <c r="F3" s="112"/>
      <c r="G3" s="93" t="str">
        <f>底稿目录!A6</f>
        <v>编制日期：</v>
      </c>
      <c r="H3" s="93"/>
      <c r="I3" s="357" t="s">
        <v>733</v>
      </c>
      <c r="J3" s="210" t="s">
        <v>81</v>
      </c>
    </row>
    <row r="4" spans="1:10" ht="19.95" customHeight="1">
      <c r="A4" s="93" t="str">
        <f>底稿目录!A3</f>
        <v>截止日：202X年12月31日</v>
      </c>
      <c r="B4" s="93"/>
      <c r="C4" s="93"/>
      <c r="D4" s="93" t="str">
        <f>底稿目录!A5</f>
        <v>复核人：</v>
      </c>
      <c r="E4" s="93"/>
      <c r="F4" s="112"/>
      <c r="G4" s="93" t="str">
        <f>底稿目录!A7</f>
        <v>复核日期：</v>
      </c>
      <c r="H4" s="93"/>
      <c r="I4" s="357" t="s">
        <v>734</v>
      </c>
      <c r="J4" s="218"/>
    </row>
    <row r="5" spans="1:10" s="254" customFormat="1" ht="27.6">
      <c r="A5" s="253" t="s">
        <v>257</v>
      </c>
      <c r="B5" s="253" t="s">
        <v>258</v>
      </c>
      <c r="C5" s="508" t="s">
        <v>259</v>
      </c>
      <c r="D5" s="223" t="s">
        <v>260</v>
      </c>
      <c r="E5" s="368" t="s">
        <v>261</v>
      </c>
      <c r="F5" s="133" t="s">
        <v>34</v>
      </c>
      <c r="G5" s="223" t="s">
        <v>262</v>
      </c>
      <c r="H5" s="223" t="s">
        <v>263</v>
      </c>
      <c r="I5" s="223" t="s">
        <v>264</v>
      </c>
      <c r="J5" s="223" t="s">
        <v>265</v>
      </c>
    </row>
    <row r="6" spans="1:10" ht="19.95" customHeight="1">
      <c r="A6" s="255"/>
      <c r="B6" s="255"/>
      <c r="C6" s="255"/>
      <c r="D6" s="255"/>
      <c r="E6" s="255"/>
      <c r="F6" s="255"/>
      <c r="G6" s="325"/>
      <c r="H6" s="325"/>
      <c r="I6" s="326"/>
      <c r="J6" s="255"/>
    </row>
    <row r="7" spans="1:10" ht="19.95" customHeight="1">
      <c r="A7" s="255"/>
      <c r="B7" s="255"/>
      <c r="C7" s="255"/>
      <c r="D7" s="255"/>
      <c r="E7" s="255"/>
      <c r="F7" s="255"/>
      <c r="G7" s="325"/>
      <c r="H7" s="325"/>
      <c r="I7" s="326"/>
      <c r="J7" s="255"/>
    </row>
    <row r="8" spans="1:10" ht="19.95" customHeight="1">
      <c r="A8" s="255"/>
      <c r="B8" s="255"/>
      <c r="C8" s="255"/>
      <c r="D8" s="255"/>
      <c r="E8" s="255"/>
      <c r="F8" s="255"/>
      <c r="G8" s="325"/>
      <c r="H8" s="325"/>
      <c r="I8" s="326"/>
      <c r="J8" s="255"/>
    </row>
    <row r="9" spans="1:10" ht="19.95" customHeight="1">
      <c r="A9" s="255"/>
      <c r="B9" s="255"/>
      <c r="C9" s="255"/>
      <c r="D9" s="255"/>
      <c r="E9" s="255"/>
      <c r="F9" s="255"/>
      <c r="G9" s="325"/>
      <c r="H9" s="325"/>
      <c r="I9" s="326"/>
      <c r="J9" s="255"/>
    </row>
    <row r="10" spans="1:10" ht="19.95" customHeight="1">
      <c r="A10" s="255"/>
      <c r="B10" s="255"/>
      <c r="C10" s="255"/>
      <c r="D10" s="255"/>
      <c r="E10" s="255"/>
      <c r="F10" s="255"/>
      <c r="G10" s="325"/>
      <c r="H10" s="325"/>
      <c r="I10" s="326"/>
      <c r="J10" s="255"/>
    </row>
    <row r="11" spans="1:10" ht="19.95" customHeight="1">
      <c r="A11" s="255"/>
      <c r="B11" s="255"/>
      <c r="C11" s="255"/>
      <c r="D11" s="255"/>
      <c r="E11" s="255"/>
      <c r="F11" s="255"/>
      <c r="G11" s="325"/>
      <c r="H11" s="325"/>
      <c r="I11" s="326"/>
      <c r="J11" s="255"/>
    </row>
    <row r="12" spans="1:10" ht="19.95" customHeight="1">
      <c r="A12" s="255"/>
      <c r="B12" s="255"/>
      <c r="C12" s="255"/>
      <c r="D12" s="255"/>
      <c r="E12" s="255"/>
      <c r="F12" s="255"/>
      <c r="G12" s="325"/>
      <c r="H12" s="325"/>
      <c r="I12" s="326"/>
      <c r="J12" s="255"/>
    </row>
    <row r="13" spans="1:10" ht="19.95" customHeight="1">
      <c r="A13" s="255"/>
      <c r="B13" s="255"/>
      <c r="C13" s="255"/>
      <c r="D13" s="255"/>
      <c r="E13" s="255"/>
      <c r="F13" s="255"/>
      <c r="G13" s="325"/>
      <c r="H13" s="325"/>
      <c r="I13" s="326"/>
      <c r="J13" s="255"/>
    </row>
    <row r="14" spans="1:10" ht="19.95" customHeight="1">
      <c r="A14" s="255"/>
      <c r="B14" s="255"/>
      <c r="C14" s="255"/>
      <c r="D14" s="255"/>
      <c r="E14" s="255"/>
      <c r="F14" s="255"/>
      <c r="G14" s="325"/>
      <c r="H14" s="325"/>
      <c r="I14" s="326"/>
      <c r="J14" s="255"/>
    </row>
    <row r="15" spans="1:10" ht="19.95" customHeight="1">
      <c r="A15" s="255"/>
      <c r="B15" s="255"/>
      <c r="C15" s="255"/>
      <c r="D15" s="255"/>
      <c r="E15" s="255"/>
      <c r="F15" s="255"/>
      <c r="G15" s="325"/>
      <c r="H15" s="325"/>
      <c r="I15" s="326"/>
      <c r="J15" s="255"/>
    </row>
    <row r="16" spans="1:10" ht="19.95" customHeight="1">
      <c r="A16" s="255"/>
      <c r="B16" s="255"/>
      <c r="C16" s="255"/>
      <c r="D16" s="255"/>
      <c r="E16" s="255"/>
      <c r="F16" s="255"/>
      <c r="G16" s="325"/>
      <c r="H16" s="325"/>
      <c r="I16" s="326"/>
      <c r="J16" s="255"/>
    </row>
    <row r="17" spans="1:10" ht="19.95" customHeight="1">
      <c r="A17" s="255"/>
      <c r="B17" s="255"/>
      <c r="C17" s="255"/>
      <c r="D17" s="255"/>
      <c r="E17" s="255"/>
      <c r="F17" s="255"/>
      <c r="G17" s="325"/>
      <c r="H17" s="325"/>
      <c r="I17" s="326"/>
      <c r="J17" s="255"/>
    </row>
    <row r="18" spans="1:10" ht="19.95" customHeight="1">
      <c r="A18" s="255"/>
      <c r="B18" s="255"/>
      <c r="C18" s="255"/>
      <c r="D18" s="255"/>
      <c r="E18" s="255"/>
      <c r="F18" s="255"/>
      <c r="G18" s="325"/>
      <c r="H18" s="325"/>
      <c r="I18" s="326"/>
      <c r="J18" s="255"/>
    </row>
    <row r="19" spans="1:10" ht="19.95" customHeight="1">
      <c r="A19" s="255"/>
      <c r="B19" s="255"/>
      <c r="C19" s="255"/>
      <c r="D19" s="255"/>
      <c r="E19" s="255"/>
      <c r="F19" s="255"/>
      <c r="G19" s="325"/>
      <c r="H19" s="325"/>
      <c r="I19" s="326"/>
      <c r="J19" s="255"/>
    </row>
    <row r="20" spans="1:10" ht="19.95" customHeight="1">
      <c r="A20" s="255"/>
      <c r="B20" s="255"/>
      <c r="C20" s="255"/>
      <c r="D20" s="255"/>
      <c r="E20" s="255"/>
      <c r="F20" s="255"/>
      <c r="G20" s="325"/>
      <c r="H20" s="325"/>
      <c r="I20" s="326"/>
      <c r="J20" s="255"/>
    </row>
    <row r="21" spans="1:10" ht="19.95" customHeight="1">
      <c r="A21" s="134"/>
      <c r="B21" s="134"/>
      <c r="C21" s="134"/>
      <c r="D21" s="135"/>
      <c r="E21" s="135"/>
      <c r="F21" s="135"/>
      <c r="G21" s="136"/>
      <c r="H21" s="136"/>
      <c r="I21" s="135"/>
      <c r="J21" s="137"/>
    </row>
    <row r="24" spans="1:10" ht="19.95" customHeight="1">
      <c r="A24" s="381" t="s">
        <v>751</v>
      </c>
    </row>
  </sheetData>
  <mergeCells count="2">
    <mergeCell ref="A1:J1"/>
    <mergeCell ref="A2:J2"/>
  </mergeCells>
  <phoneticPr fontId="11" type="noConversion"/>
  <dataValidations count="1">
    <dataValidation type="list" allowBlank="1" showInputMessage="1" showErrorMessage="1" sqref="B6:B20">
      <formula1>"账项调整,报表调整,其他"</formula1>
    </dataValidation>
  </dataValidations>
  <hyperlinks>
    <hyperlink ref="J3" location="底稿目录!A1" display="H8A"/>
  </hyperlinks>
  <printOptions horizontalCentered="1"/>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J90"/>
  <sheetViews>
    <sheetView view="pageBreakPreview" zoomScaleNormal="130" zoomScaleSheetLayoutView="100" workbookViewId="0">
      <selection sqref="A1:G1"/>
    </sheetView>
  </sheetViews>
  <sheetFormatPr defaultColWidth="9" defaultRowHeight="19.95" customHeight="1"/>
  <cols>
    <col min="1" max="1" width="16.69921875" style="93" customWidth="1"/>
    <col min="2" max="2" width="13.69921875" style="93" customWidth="1"/>
    <col min="3" max="3" width="12.69921875" style="93" customWidth="1"/>
    <col min="4" max="4" width="10.3984375" style="93" customWidth="1"/>
    <col min="5" max="5" width="12.69921875" style="93" customWidth="1"/>
    <col min="6" max="6" width="18.3984375" style="93" customWidth="1"/>
    <col min="7" max="7" width="23.3984375" style="93" customWidth="1"/>
    <col min="8" max="8" width="30.5" style="355" customWidth="1"/>
    <col min="9" max="9" width="35.69921875" style="548" customWidth="1"/>
    <col min="10" max="16384" width="9" style="93"/>
  </cols>
  <sheetData>
    <row r="1" spans="1:10" s="111" customFormat="1" ht="19.95" customHeight="1">
      <c r="A1" s="646" t="s">
        <v>707</v>
      </c>
      <c r="B1" s="646"/>
      <c r="C1" s="646"/>
      <c r="D1" s="646"/>
      <c r="E1" s="646"/>
      <c r="F1" s="646"/>
      <c r="G1" s="646"/>
      <c r="H1" s="549"/>
      <c r="I1" s="544"/>
    </row>
    <row r="2" spans="1:10" s="316" customFormat="1" ht="19.95" customHeight="1">
      <c r="A2" s="647" t="s">
        <v>714</v>
      </c>
      <c r="B2" s="647"/>
      <c r="C2" s="647"/>
      <c r="D2" s="647"/>
      <c r="E2" s="647"/>
      <c r="F2" s="647"/>
      <c r="G2" s="647"/>
      <c r="H2" s="550"/>
      <c r="I2" s="545"/>
    </row>
    <row r="3" spans="1:10" ht="19.95" customHeight="1">
      <c r="A3" s="93" t="str">
        <f>底稿目录!A2</f>
        <v>被审计单位：</v>
      </c>
      <c r="D3" s="112" t="str">
        <f>底稿目录!A4</f>
        <v>编制人：</v>
      </c>
      <c r="E3" s="93" t="str">
        <f>底稿目录!A6</f>
        <v>编制日期：</v>
      </c>
      <c r="F3" s="357" t="s">
        <v>733</v>
      </c>
      <c r="G3" s="210" t="s">
        <v>82</v>
      </c>
      <c r="I3" s="546"/>
    </row>
    <row r="4" spans="1:10" ht="19.95" customHeight="1">
      <c r="A4" s="93" t="str">
        <f>底稿目录!A3</f>
        <v>截止日：202X年12月31日</v>
      </c>
      <c r="D4" s="112" t="str">
        <f>底稿目录!A5</f>
        <v>复核人：</v>
      </c>
      <c r="E4" s="93" t="str">
        <f>底稿目录!A7</f>
        <v>复核日期：</v>
      </c>
      <c r="F4" s="357" t="s">
        <v>734</v>
      </c>
      <c r="G4" s="218"/>
      <c r="I4" s="546"/>
    </row>
    <row r="5" spans="1:10" ht="19.95" customHeight="1">
      <c r="A5" s="171" t="s">
        <v>26</v>
      </c>
      <c r="B5" s="171"/>
      <c r="C5" s="171"/>
      <c r="D5" s="171"/>
      <c r="E5" s="171"/>
      <c r="F5" s="171"/>
      <c r="G5" s="171"/>
      <c r="H5" s="551"/>
      <c r="I5" s="546"/>
    </row>
    <row r="6" spans="1:10" s="509" customFormat="1" ht="37.799999999999997" customHeight="1">
      <c r="A6" s="684" t="s">
        <v>288</v>
      </c>
      <c r="B6" s="684"/>
      <c r="C6" s="684"/>
      <c r="D6" s="684"/>
      <c r="E6" s="684"/>
      <c r="F6" s="684"/>
      <c r="G6" s="684"/>
      <c r="H6" s="552"/>
      <c r="I6" s="547"/>
    </row>
    <row r="7" spans="1:10" ht="19.95" customHeight="1">
      <c r="A7" s="666" t="s">
        <v>27</v>
      </c>
      <c r="B7" s="666"/>
      <c r="C7" s="666"/>
      <c r="D7" s="666"/>
      <c r="E7" s="666"/>
      <c r="F7" s="666"/>
      <c r="G7" s="666"/>
      <c r="H7" s="553"/>
      <c r="I7" s="546"/>
    </row>
    <row r="8" spans="1:10" ht="19.95" customHeight="1">
      <c r="A8" s="256"/>
      <c r="B8" s="113"/>
      <c r="C8" s="113"/>
      <c r="D8" s="113"/>
      <c r="E8" s="113"/>
      <c r="F8" s="113"/>
      <c r="G8" s="113"/>
      <c r="H8" s="390"/>
      <c r="I8" s="546"/>
    </row>
    <row r="9" spans="1:10" ht="19.95" customHeight="1">
      <c r="A9" s="256" t="s">
        <v>289</v>
      </c>
      <c r="B9" s="113"/>
      <c r="C9" s="113"/>
      <c r="D9" s="113"/>
      <c r="E9" s="113"/>
      <c r="F9" s="257"/>
      <c r="G9" s="113"/>
      <c r="H9" s="390"/>
      <c r="I9" s="546"/>
    </row>
    <row r="10" spans="1:10" ht="19.95" customHeight="1">
      <c r="A10" s="681" t="s">
        <v>266</v>
      </c>
      <c r="B10" s="682"/>
      <c r="C10" s="681" t="s">
        <v>268</v>
      </c>
      <c r="D10" s="683"/>
      <c r="E10" s="682"/>
      <c r="F10" s="366" t="s">
        <v>269</v>
      </c>
      <c r="G10" s="366" t="s">
        <v>264</v>
      </c>
      <c r="H10" s="554"/>
      <c r="I10" s="546"/>
    </row>
    <row r="11" spans="1:10" ht="19.95" customHeight="1">
      <c r="A11" s="676" t="s">
        <v>290</v>
      </c>
      <c r="B11" s="677"/>
      <c r="C11" s="660"/>
      <c r="D11" s="662"/>
      <c r="E11" s="661"/>
      <c r="F11" s="367" t="str">
        <f>IF(AND(F12="是",F13="否"),"是","否")</f>
        <v>否</v>
      </c>
      <c r="G11" s="124"/>
      <c r="H11" s="387" t="s">
        <v>756</v>
      </c>
      <c r="I11" s="546"/>
    </row>
    <row r="12" spans="1:10" ht="19.95" customHeight="1">
      <c r="A12" s="660" t="s">
        <v>291</v>
      </c>
      <c r="B12" s="661"/>
      <c r="C12" s="660"/>
      <c r="D12" s="662"/>
      <c r="E12" s="661"/>
      <c r="F12" s="367"/>
      <c r="G12" s="124"/>
      <c r="H12" s="387" t="s">
        <v>757</v>
      </c>
      <c r="I12" s="546"/>
      <c r="J12" s="195"/>
    </row>
    <row r="13" spans="1:10" ht="19.95" customHeight="1">
      <c r="A13" s="660" t="s">
        <v>292</v>
      </c>
      <c r="B13" s="661"/>
      <c r="C13" s="660"/>
      <c r="D13" s="662"/>
      <c r="E13" s="661"/>
      <c r="F13" s="367"/>
      <c r="G13" s="124"/>
      <c r="H13" s="388" t="s">
        <v>886</v>
      </c>
      <c r="I13" s="658" t="s">
        <v>880</v>
      </c>
    </row>
    <row r="14" spans="1:10" ht="66" customHeight="1">
      <c r="A14" s="663" t="s">
        <v>293</v>
      </c>
      <c r="B14" s="664"/>
      <c r="C14" s="660"/>
      <c r="D14" s="662"/>
      <c r="E14" s="661"/>
      <c r="F14" s="367"/>
      <c r="G14" s="124"/>
      <c r="H14" s="388" t="s">
        <v>887</v>
      </c>
      <c r="I14" s="659"/>
    </row>
    <row r="15" spans="1:10" ht="37.799999999999997" customHeight="1">
      <c r="A15" s="676" t="s">
        <v>294</v>
      </c>
      <c r="B15" s="677"/>
      <c r="C15" s="660"/>
      <c r="D15" s="662"/>
      <c r="E15" s="661"/>
      <c r="F15" s="367"/>
      <c r="G15" s="124"/>
      <c r="H15" s="387" t="s">
        <v>888</v>
      </c>
      <c r="I15" s="546" t="s">
        <v>881</v>
      </c>
    </row>
    <row r="16" spans="1:10" ht="33" customHeight="1">
      <c r="A16" s="660" t="s">
        <v>295</v>
      </c>
      <c r="B16" s="661"/>
      <c r="C16" s="660"/>
      <c r="D16" s="662"/>
      <c r="E16" s="661"/>
      <c r="F16" s="367"/>
      <c r="G16" s="124"/>
      <c r="H16" s="387" t="s">
        <v>889</v>
      </c>
      <c r="I16" s="546" t="s">
        <v>882</v>
      </c>
    </row>
    <row r="17" spans="1:10" ht="33" customHeight="1">
      <c r="A17" s="660" t="s">
        <v>296</v>
      </c>
      <c r="B17" s="661"/>
      <c r="C17" s="660"/>
      <c r="D17" s="662"/>
      <c r="E17" s="661"/>
      <c r="F17" s="367"/>
      <c r="G17" s="124"/>
      <c r="H17" s="387" t="s">
        <v>758</v>
      </c>
      <c r="I17" s="546"/>
    </row>
    <row r="18" spans="1:10" ht="42.6" customHeight="1">
      <c r="A18" s="663" t="s">
        <v>277</v>
      </c>
      <c r="B18" s="664"/>
      <c r="C18" s="660"/>
      <c r="D18" s="662"/>
      <c r="E18" s="661"/>
      <c r="F18" s="367"/>
      <c r="G18" s="124"/>
      <c r="H18" s="387" t="s">
        <v>890</v>
      </c>
      <c r="I18" s="546" t="s">
        <v>883</v>
      </c>
    </row>
    <row r="19" spans="1:10" ht="54" customHeight="1">
      <c r="A19" s="663" t="s">
        <v>297</v>
      </c>
      <c r="B19" s="664"/>
      <c r="C19" s="660"/>
      <c r="D19" s="662"/>
      <c r="E19" s="661"/>
      <c r="F19" s="367"/>
      <c r="G19" s="124"/>
      <c r="H19" s="387" t="s">
        <v>891</v>
      </c>
      <c r="I19" s="546"/>
    </row>
    <row r="20" spans="1:10" ht="45" customHeight="1">
      <c r="A20" s="676" t="s">
        <v>298</v>
      </c>
      <c r="B20" s="677"/>
      <c r="C20" s="660"/>
      <c r="D20" s="662"/>
      <c r="E20" s="661"/>
      <c r="F20" s="367"/>
      <c r="G20" s="124"/>
      <c r="H20" s="387" t="s">
        <v>892</v>
      </c>
      <c r="I20" s="546" t="s">
        <v>884</v>
      </c>
    </row>
    <row r="21" spans="1:10" ht="19.95" customHeight="1">
      <c r="A21" s="668" t="s">
        <v>299</v>
      </c>
      <c r="B21" s="669"/>
      <c r="C21" s="670" t="str">
        <f>IF(AND(F11="是",F15="是",F20="是"),"合同为租赁或者包含租赁","不包含租赁")</f>
        <v>不包含租赁</v>
      </c>
      <c r="D21" s="671"/>
      <c r="E21" s="671"/>
      <c r="F21" s="671"/>
      <c r="G21" s="671"/>
      <c r="H21" s="389"/>
      <c r="I21" s="546"/>
    </row>
    <row r="22" spans="1:10" ht="19.95" customHeight="1">
      <c r="A22" s="258"/>
      <c r="B22" s="113"/>
      <c r="C22" s="113"/>
      <c r="D22" s="113"/>
      <c r="E22" s="113"/>
      <c r="F22" s="113"/>
      <c r="G22" s="113"/>
      <c r="H22" s="390"/>
      <c r="I22" s="546"/>
    </row>
    <row r="23" spans="1:10" ht="19.95" customHeight="1">
      <c r="A23" s="256" t="s">
        <v>300</v>
      </c>
      <c r="B23" s="113"/>
      <c r="C23" s="113"/>
      <c r="D23" s="113"/>
      <c r="E23" s="113" t="s">
        <v>301</v>
      </c>
      <c r="F23" s="259"/>
      <c r="G23" s="113"/>
      <c r="H23" s="390"/>
      <c r="I23" s="546"/>
    </row>
    <row r="24" spans="1:10" ht="19.95" customHeight="1">
      <c r="A24" s="672" t="s">
        <v>302</v>
      </c>
      <c r="B24" s="673"/>
      <c r="C24" s="672" t="s">
        <v>303</v>
      </c>
      <c r="D24" s="674"/>
      <c r="E24" s="673"/>
      <c r="F24" s="366" t="s">
        <v>280</v>
      </c>
      <c r="G24" s="366" t="s">
        <v>304</v>
      </c>
      <c r="H24" s="554"/>
      <c r="I24" s="546"/>
    </row>
    <row r="25" spans="1:10" ht="43.2" customHeight="1">
      <c r="A25" s="660" t="s">
        <v>305</v>
      </c>
      <c r="B25" s="661"/>
      <c r="C25" s="660"/>
      <c r="D25" s="662"/>
      <c r="E25" s="661"/>
      <c r="F25" s="367"/>
      <c r="G25" s="124"/>
      <c r="H25" s="387" t="s">
        <v>893</v>
      </c>
      <c r="I25" s="546"/>
      <c r="J25" s="195"/>
    </row>
    <row r="26" spans="1:10" ht="39.6" customHeight="1">
      <c r="A26" s="660" t="s">
        <v>283</v>
      </c>
      <c r="B26" s="661"/>
      <c r="C26" s="660"/>
      <c r="D26" s="662"/>
      <c r="E26" s="661"/>
      <c r="F26" s="367"/>
      <c r="G26" s="124"/>
      <c r="H26" s="387" t="s">
        <v>894</v>
      </c>
      <c r="I26" s="546"/>
    </row>
    <row r="27" spans="1:10" ht="19.95" customHeight="1">
      <c r="A27" s="668" t="s">
        <v>299</v>
      </c>
      <c r="B27" s="669"/>
      <c r="C27" s="678" t="str">
        <f>IF(AND(F25="是",F26="是"),"构成合同中的一项单独租赁","无须分拆")</f>
        <v>无须分拆</v>
      </c>
      <c r="D27" s="679"/>
      <c r="E27" s="679"/>
      <c r="F27" s="679"/>
      <c r="G27" s="680"/>
      <c r="H27" s="389"/>
      <c r="I27" s="546" t="s">
        <v>885</v>
      </c>
    </row>
    <row r="28" spans="1:10" ht="19.95" customHeight="1">
      <c r="A28" s="113" t="s">
        <v>284</v>
      </c>
      <c r="B28" s="113"/>
      <c r="C28" s="113"/>
      <c r="D28" s="113"/>
      <c r="E28" s="113"/>
      <c r="F28" s="113"/>
      <c r="G28" s="113"/>
      <c r="H28" s="390"/>
      <c r="I28" s="546"/>
    </row>
    <row r="29" spans="1:10" ht="19.95" customHeight="1">
      <c r="A29" s="113" t="s">
        <v>306</v>
      </c>
      <c r="B29" s="113"/>
      <c r="C29" s="113"/>
      <c r="D29" s="113"/>
      <c r="E29" s="113"/>
      <c r="F29" s="113"/>
      <c r="G29" s="113"/>
      <c r="H29" s="555"/>
      <c r="I29" s="546"/>
    </row>
    <row r="30" spans="1:10" ht="19.95" customHeight="1">
      <c r="A30" s="258"/>
      <c r="B30" s="113"/>
      <c r="C30" s="113"/>
      <c r="D30" s="113"/>
      <c r="E30" s="113"/>
      <c r="F30" s="113"/>
      <c r="G30" s="113"/>
      <c r="H30" s="555"/>
      <c r="I30" s="546"/>
    </row>
    <row r="31" spans="1:10" ht="19.95" customHeight="1">
      <c r="A31" s="256" t="s">
        <v>307</v>
      </c>
      <c r="B31" s="113"/>
      <c r="C31" s="113"/>
      <c r="D31" s="113"/>
      <c r="E31" s="113" t="s">
        <v>301</v>
      </c>
      <c r="F31" s="260"/>
      <c r="G31" s="113"/>
      <c r="H31" s="390"/>
      <c r="I31" s="546"/>
    </row>
    <row r="32" spans="1:10" ht="19.95" customHeight="1">
      <c r="A32" s="681" t="s">
        <v>308</v>
      </c>
      <c r="B32" s="682"/>
      <c r="C32" s="681" t="s">
        <v>309</v>
      </c>
      <c r="D32" s="683"/>
      <c r="E32" s="682"/>
      <c r="F32" s="366" t="s">
        <v>310</v>
      </c>
      <c r="G32" s="366" t="s">
        <v>311</v>
      </c>
      <c r="H32" s="554"/>
      <c r="I32" s="546"/>
    </row>
    <row r="33" spans="1:10" ht="51.6" customHeight="1">
      <c r="A33" s="660" t="s">
        <v>312</v>
      </c>
      <c r="B33" s="661"/>
      <c r="C33" s="660"/>
      <c r="D33" s="662"/>
      <c r="E33" s="661"/>
      <c r="F33" s="367"/>
      <c r="G33" s="124"/>
      <c r="H33" s="387" t="s">
        <v>895</v>
      </c>
      <c r="I33" s="546"/>
    </row>
    <row r="34" spans="1:10" ht="41.4" customHeight="1">
      <c r="A34" s="660" t="s">
        <v>313</v>
      </c>
      <c r="B34" s="661"/>
      <c r="C34" s="660"/>
      <c r="D34" s="662"/>
      <c r="E34" s="661"/>
      <c r="F34" s="367"/>
      <c r="G34" s="124"/>
      <c r="H34" s="556"/>
      <c r="I34" s="546"/>
    </row>
    <row r="35" spans="1:10" ht="37.200000000000003" customHeight="1">
      <c r="A35" s="660" t="s">
        <v>314</v>
      </c>
      <c r="B35" s="661"/>
      <c r="C35" s="660"/>
      <c r="D35" s="662"/>
      <c r="E35" s="661"/>
      <c r="F35" s="367"/>
      <c r="G35" s="124"/>
      <c r="H35" s="556"/>
      <c r="I35" s="546"/>
    </row>
    <row r="36" spans="1:10" ht="19.95" customHeight="1">
      <c r="A36" s="668" t="s">
        <v>299</v>
      </c>
      <c r="B36" s="669"/>
      <c r="C36" s="670" t="str">
        <f>IF(OR(F33="是",F34="是",F35="是"),"应当合并为一份合同进行会计处理","单项租赁")</f>
        <v>单项租赁</v>
      </c>
      <c r="D36" s="671"/>
      <c r="E36" s="671"/>
      <c r="F36" s="671"/>
      <c r="G36" s="671"/>
      <c r="H36" s="389"/>
    </row>
    <row r="37" spans="1:10" ht="19.95" customHeight="1">
      <c r="A37" s="113" t="s">
        <v>271</v>
      </c>
      <c r="B37" s="113"/>
      <c r="C37" s="113"/>
      <c r="D37" s="113"/>
      <c r="E37" s="113"/>
      <c r="F37" s="113"/>
      <c r="G37" s="113"/>
      <c r="H37" s="390"/>
    </row>
    <row r="38" spans="1:10" ht="19.95" customHeight="1">
      <c r="A38" s="113"/>
      <c r="B38" s="113"/>
      <c r="C38" s="113"/>
      <c r="D38" s="113"/>
      <c r="E38" s="113"/>
      <c r="F38" s="113"/>
      <c r="G38" s="113"/>
      <c r="H38" s="390"/>
      <c r="I38" s="546"/>
    </row>
    <row r="39" spans="1:10" ht="19.95" customHeight="1">
      <c r="A39" s="256" t="s">
        <v>278</v>
      </c>
      <c r="B39" s="113"/>
      <c r="C39" s="113"/>
      <c r="E39" s="113" t="s">
        <v>301</v>
      </c>
      <c r="F39" s="257" t="s">
        <v>272</v>
      </c>
      <c r="G39" s="113"/>
      <c r="H39" s="390"/>
      <c r="I39" s="390"/>
      <c r="J39" s="110"/>
    </row>
    <row r="40" spans="1:10" ht="19.95" customHeight="1">
      <c r="A40" s="648" t="s">
        <v>275</v>
      </c>
      <c r="B40" s="675"/>
      <c r="C40" s="648" t="s">
        <v>268</v>
      </c>
      <c r="D40" s="675"/>
      <c r="E40" s="675"/>
      <c r="F40" s="366" t="s">
        <v>269</v>
      </c>
      <c r="G40" s="366" t="s">
        <v>311</v>
      </c>
      <c r="I40" s="355"/>
    </row>
    <row r="41" spans="1:10" ht="19.95" customHeight="1">
      <c r="A41" s="651" t="s">
        <v>315</v>
      </c>
      <c r="B41" s="652"/>
      <c r="C41" s="655"/>
      <c r="D41" s="655"/>
      <c r="E41" s="655"/>
      <c r="F41" s="261" t="str">
        <f>IF(AND(F42="是",F43="是"),"是","否")</f>
        <v>否</v>
      </c>
      <c r="G41" s="362"/>
      <c r="H41" s="557" t="s">
        <v>896</v>
      </c>
      <c r="I41" s="355"/>
    </row>
    <row r="42" spans="1:10" ht="28.2" customHeight="1">
      <c r="A42" s="653" t="s">
        <v>316</v>
      </c>
      <c r="B42" s="654"/>
      <c r="C42" s="655"/>
      <c r="D42" s="655"/>
      <c r="E42" s="655"/>
      <c r="F42" s="262" t="s">
        <v>273</v>
      </c>
      <c r="G42" s="362"/>
      <c r="I42" s="355"/>
    </row>
    <row r="43" spans="1:10" ht="19.95" customHeight="1">
      <c r="A43" s="653" t="s">
        <v>317</v>
      </c>
      <c r="B43" s="654"/>
      <c r="C43" s="655"/>
      <c r="D43" s="655"/>
      <c r="E43" s="655"/>
      <c r="F43" s="262" t="s">
        <v>274</v>
      </c>
      <c r="G43" s="362"/>
      <c r="I43" s="355"/>
    </row>
    <row r="44" spans="1:10" ht="19.95" customHeight="1">
      <c r="A44" s="651" t="s">
        <v>286</v>
      </c>
      <c r="B44" s="652"/>
      <c r="C44" s="656"/>
      <c r="D44" s="656"/>
      <c r="E44" s="656"/>
      <c r="F44" s="262" t="s">
        <v>273</v>
      </c>
      <c r="G44" s="362"/>
      <c r="H44" s="355" t="s">
        <v>897</v>
      </c>
      <c r="I44" s="355"/>
    </row>
    <row r="45" spans="1:10" ht="19.95" customHeight="1">
      <c r="A45" s="648" t="s">
        <v>282</v>
      </c>
      <c r="B45" s="649"/>
      <c r="C45" s="657" t="str">
        <f>IF(AND(F41="是",F44="是"),"属于短期租赁","不属于短期租赁")</f>
        <v>不属于短期租赁</v>
      </c>
      <c r="D45" s="657"/>
      <c r="E45" s="657"/>
      <c r="F45" s="657"/>
      <c r="G45" s="657"/>
      <c r="I45" s="355"/>
    </row>
    <row r="46" spans="1:10" ht="19.95" customHeight="1">
      <c r="A46" s="258" t="s">
        <v>318</v>
      </c>
      <c r="B46" s="113"/>
      <c r="C46" s="113"/>
      <c r="D46" s="113"/>
      <c r="E46" s="113"/>
      <c r="F46" s="113"/>
      <c r="G46" s="113"/>
      <c r="I46" s="355"/>
    </row>
    <row r="47" spans="1:10" ht="19.95" customHeight="1">
      <c r="A47" s="258" t="s">
        <v>319</v>
      </c>
      <c r="B47" s="113"/>
      <c r="C47" s="113"/>
      <c r="D47" s="113"/>
      <c r="E47" s="113"/>
      <c r="F47" s="113"/>
      <c r="G47" s="113"/>
      <c r="H47" s="390"/>
      <c r="I47" s="390"/>
      <c r="J47" s="110"/>
    </row>
    <row r="48" spans="1:10" ht="19.95" customHeight="1">
      <c r="A48" s="258" t="s">
        <v>279</v>
      </c>
      <c r="B48" s="113"/>
      <c r="C48" s="113"/>
      <c r="D48" s="113"/>
      <c r="E48" s="113"/>
      <c r="F48" s="113"/>
      <c r="G48" s="113"/>
      <c r="H48" s="390"/>
      <c r="I48" s="390"/>
      <c r="J48" s="110"/>
    </row>
    <row r="49" spans="1:10" ht="19.95" customHeight="1">
      <c r="A49" s="258"/>
      <c r="B49" s="113"/>
      <c r="C49" s="113"/>
      <c r="D49" s="113"/>
      <c r="E49" s="113"/>
      <c r="F49" s="113"/>
      <c r="G49" s="113"/>
      <c r="H49" s="390"/>
      <c r="I49" s="390"/>
      <c r="J49" s="110"/>
    </row>
    <row r="50" spans="1:10" ht="19.95" customHeight="1">
      <c r="A50" s="256" t="s">
        <v>320</v>
      </c>
      <c r="B50" s="113"/>
      <c r="C50" s="113"/>
      <c r="D50" s="113"/>
      <c r="E50" s="113" t="s">
        <v>267</v>
      </c>
      <c r="F50" s="363"/>
      <c r="G50" s="113"/>
      <c r="H50" s="390"/>
      <c r="I50" s="390"/>
      <c r="J50" s="110"/>
    </row>
    <row r="51" spans="1:10" ht="19.95" customHeight="1">
      <c r="A51" s="648" t="s">
        <v>275</v>
      </c>
      <c r="B51" s="675"/>
      <c r="C51" s="648" t="s">
        <v>268</v>
      </c>
      <c r="D51" s="675"/>
      <c r="E51" s="675"/>
      <c r="F51" s="365"/>
      <c r="G51" s="366" t="s">
        <v>264</v>
      </c>
      <c r="H51" s="390"/>
      <c r="I51" s="390"/>
      <c r="J51" s="110"/>
    </row>
    <row r="52" spans="1:10" ht="34.799999999999997" customHeight="1">
      <c r="A52" s="651" t="s">
        <v>287</v>
      </c>
      <c r="B52" s="652"/>
      <c r="C52" s="651"/>
      <c r="D52" s="652"/>
      <c r="E52" s="652"/>
      <c r="F52" s="364"/>
      <c r="G52" s="124"/>
      <c r="H52" s="386" t="s">
        <v>754</v>
      </c>
      <c r="I52" s="390"/>
      <c r="J52" s="110"/>
    </row>
    <row r="53" spans="1:10" ht="33" customHeight="1">
      <c r="A53" s="651" t="s">
        <v>321</v>
      </c>
      <c r="B53" s="652"/>
      <c r="C53" s="651"/>
      <c r="D53" s="652"/>
      <c r="E53" s="652"/>
      <c r="F53" s="364"/>
      <c r="G53" s="124"/>
      <c r="H53" s="386" t="s">
        <v>755</v>
      </c>
      <c r="I53" s="386"/>
      <c r="J53" s="110"/>
    </row>
    <row r="54" spans="1:10" ht="19.95" customHeight="1">
      <c r="A54" s="648" t="s">
        <v>282</v>
      </c>
      <c r="B54" s="649"/>
      <c r="C54" s="650" t="str">
        <f>IF(AND(F52="是",F53="是"),"属于低价值资产租赁","不属于低价值资产租赁")</f>
        <v>不属于低价值资产租赁</v>
      </c>
      <c r="D54" s="650"/>
      <c r="E54" s="650"/>
      <c r="F54" s="650"/>
      <c r="G54" s="650"/>
      <c r="H54" s="390"/>
      <c r="I54" s="390"/>
      <c r="J54" s="110"/>
    </row>
    <row r="55" spans="1:10" ht="19.95" customHeight="1">
      <c r="A55" s="113" t="s">
        <v>322</v>
      </c>
      <c r="B55" s="113"/>
      <c r="C55" s="113"/>
      <c r="D55" s="113"/>
      <c r="E55" s="113"/>
      <c r="F55" s="113"/>
      <c r="G55" s="113"/>
      <c r="H55" s="553"/>
      <c r="I55" s="546"/>
      <c r="J55" s="110"/>
    </row>
    <row r="56" spans="1:10" ht="19.95" customHeight="1">
      <c r="A56" s="666" t="s">
        <v>29</v>
      </c>
      <c r="B56" s="666"/>
      <c r="C56" s="666"/>
      <c r="D56" s="666"/>
      <c r="E56" s="666"/>
      <c r="F56" s="666"/>
      <c r="G56" s="666"/>
      <c r="H56" s="553"/>
      <c r="I56" s="546"/>
    </row>
    <row r="57" spans="1:10" ht="19.95" customHeight="1">
      <c r="A57" s="665"/>
      <c r="B57" s="665"/>
      <c r="C57" s="665"/>
      <c r="D57" s="665"/>
      <c r="E57" s="665"/>
      <c r="F57" s="665"/>
      <c r="G57" s="665"/>
      <c r="H57" s="558"/>
      <c r="I57" s="546"/>
    </row>
    <row r="58" spans="1:10" ht="19.95" customHeight="1">
      <c r="A58" s="129"/>
      <c r="B58" s="129"/>
      <c r="C58" s="129"/>
      <c r="D58" s="129"/>
      <c r="E58" s="129"/>
      <c r="F58" s="129"/>
      <c r="G58" s="263"/>
      <c r="H58" s="559"/>
      <c r="I58" s="546"/>
    </row>
    <row r="59" spans="1:10" ht="19.95" customHeight="1">
      <c r="A59" s="666" t="s">
        <v>30</v>
      </c>
      <c r="B59" s="666"/>
      <c r="C59" s="666"/>
      <c r="D59" s="666"/>
      <c r="E59" s="666"/>
      <c r="F59" s="666"/>
      <c r="G59" s="666"/>
      <c r="H59" s="553"/>
      <c r="I59" s="546"/>
    </row>
    <row r="60" spans="1:10" ht="19.95" customHeight="1">
      <c r="A60" s="667"/>
      <c r="B60" s="667"/>
      <c r="C60" s="667"/>
      <c r="D60" s="667"/>
      <c r="E60" s="667"/>
      <c r="F60" s="667"/>
      <c r="G60" s="667"/>
      <c r="H60" s="558"/>
      <c r="I60" s="546"/>
    </row>
    <row r="62" spans="1:10" s="130" customFormat="1" ht="19.95" customHeight="1">
      <c r="A62" s="385" t="s">
        <v>752</v>
      </c>
      <c r="H62" s="355"/>
      <c r="I62" s="548"/>
    </row>
    <row r="63" spans="1:10" s="130" customFormat="1" ht="19.95" customHeight="1">
      <c r="A63" s="355" t="s">
        <v>753</v>
      </c>
      <c r="H63" s="355"/>
      <c r="I63" s="548"/>
    </row>
    <row r="64" spans="1:10" s="130" customFormat="1" ht="19.95" customHeight="1">
      <c r="A64" s="93"/>
      <c r="H64" s="355"/>
      <c r="I64" s="548"/>
    </row>
    <row r="65" spans="1:9" s="130" customFormat="1" ht="19.95" customHeight="1">
      <c r="A65" s="93"/>
      <c r="H65" s="355"/>
      <c r="I65" s="548"/>
    </row>
    <row r="66" spans="1:9" s="130" customFormat="1" ht="19.95" customHeight="1">
      <c r="A66" s="93"/>
      <c r="H66" s="355"/>
      <c r="I66" s="548"/>
    </row>
    <row r="67" spans="1:9" s="130" customFormat="1" ht="19.95" customHeight="1">
      <c r="A67" s="93"/>
      <c r="H67" s="355"/>
      <c r="I67" s="548"/>
    </row>
    <row r="68" spans="1:9" s="130" customFormat="1" ht="19.95" customHeight="1">
      <c r="A68" s="93"/>
      <c r="H68" s="355"/>
      <c r="I68" s="548"/>
    </row>
    <row r="69" spans="1:9" s="130" customFormat="1" ht="19.95" customHeight="1">
      <c r="A69" s="93"/>
      <c r="H69" s="355"/>
      <c r="I69" s="548"/>
    </row>
    <row r="86" spans="1:1" ht="19.95" customHeight="1">
      <c r="A86" s="93" t="s">
        <v>323</v>
      </c>
    </row>
    <row r="88" spans="1:1" ht="19.95" customHeight="1">
      <c r="A88" s="93" t="s">
        <v>324</v>
      </c>
    </row>
    <row r="89" spans="1:1" ht="19.95" customHeight="1">
      <c r="A89" s="93" t="s">
        <v>281</v>
      </c>
    </row>
    <row r="90" spans="1:1" ht="19.95" customHeight="1">
      <c r="A90" s="93" t="s">
        <v>276</v>
      </c>
    </row>
  </sheetData>
  <mergeCells count="71">
    <mergeCell ref="A1:G1"/>
    <mergeCell ref="A2:G2"/>
    <mergeCell ref="A6:G6"/>
    <mergeCell ref="A7:G7"/>
    <mergeCell ref="A17:B17"/>
    <mergeCell ref="A11:B11"/>
    <mergeCell ref="A13:B13"/>
    <mergeCell ref="C12:E12"/>
    <mergeCell ref="A12:B12"/>
    <mergeCell ref="A15:B15"/>
    <mergeCell ref="A10:B10"/>
    <mergeCell ref="C10:E10"/>
    <mergeCell ref="C11:E11"/>
    <mergeCell ref="C20:E20"/>
    <mergeCell ref="A56:G56"/>
    <mergeCell ref="A20:B20"/>
    <mergeCell ref="A27:B27"/>
    <mergeCell ref="C27:G27"/>
    <mergeCell ref="A32:B32"/>
    <mergeCell ref="C32:E32"/>
    <mergeCell ref="A33:B33"/>
    <mergeCell ref="C33:E33"/>
    <mergeCell ref="C35:E35"/>
    <mergeCell ref="A36:B36"/>
    <mergeCell ref="C36:G36"/>
    <mergeCell ref="A44:B44"/>
    <mergeCell ref="A45:B45"/>
    <mergeCell ref="A51:B51"/>
    <mergeCell ref="C51:E51"/>
    <mergeCell ref="A57:G57"/>
    <mergeCell ref="A59:G59"/>
    <mergeCell ref="A60:G60"/>
    <mergeCell ref="A21:B21"/>
    <mergeCell ref="C21:G21"/>
    <mergeCell ref="A24:B24"/>
    <mergeCell ref="C24:E24"/>
    <mergeCell ref="A26:B26"/>
    <mergeCell ref="C26:E26"/>
    <mergeCell ref="A25:B25"/>
    <mergeCell ref="C25:E25"/>
    <mergeCell ref="A34:B34"/>
    <mergeCell ref="C34:E34"/>
    <mergeCell ref="A40:B40"/>
    <mergeCell ref="C40:E40"/>
    <mergeCell ref="A35:B35"/>
    <mergeCell ref="I13:I14"/>
    <mergeCell ref="A16:B16"/>
    <mergeCell ref="C16:E16"/>
    <mergeCell ref="A19:B19"/>
    <mergeCell ref="C19:E19"/>
    <mergeCell ref="A18:B18"/>
    <mergeCell ref="C18:E18"/>
    <mergeCell ref="A14:B14"/>
    <mergeCell ref="C14:E14"/>
    <mergeCell ref="C13:E13"/>
    <mergeCell ref="C15:E15"/>
    <mergeCell ref="C17:E17"/>
    <mergeCell ref="A42:B42"/>
    <mergeCell ref="A41:B41"/>
    <mergeCell ref="A53:B53"/>
    <mergeCell ref="C53:E53"/>
    <mergeCell ref="C41:E41"/>
    <mergeCell ref="C42:E42"/>
    <mergeCell ref="C43:E43"/>
    <mergeCell ref="C44:E44"/>
    <mergeCell ref="C45:G45"/>
    <mergeCell ref="A54:B54"/>
    <mergeCell ref="C54:G54"/>
    <mergeCell ref="A52:B52"/>
    <mergeCell ref="C52:E52"/>
    <mergeCell ref="A43:B43"/>
  </mergeCells>
  <phoneticPr fontId="11" type="noConversion"/>
  <dataValidations count="1">
    <dataValidation type="list" allowBlank="1" showInputMessage="1" showErrorMessage="1" sqref="F9 F16:F20 F12 F14 F23 F25:F26 F31 F33:F35 F50 F42:F44 F52:F53 F39">
      <formula1>"是,否"</formula1>
    </dataValidation>
  </dataValidations>
  <hyperlinks>
    <hyperlink ref="G3" location="底稿目录!A1" display="H8A"/>
  </hyperlinks>
  <printOptions horizontalCentered="1"/>
  <pageMargins left="0.94488188976377963" right="0.27559055118110237" top="0.62992125984251968" bottom="0.51181102362204722" header="0.51181102362204722" footer="0.35433070866141736"/>
  <pageSetup paperSize="9" scale="78" fitToHeight="0" orientation="portrait" blackAndWhite="1" cellComments="atEnd" r:id="rId1"/>
  <headerFooter alignWithMargins="0">
    <oddFooter>&amp;C&amp;P/&amp;N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H52"/>
  <sheetViews>
    <sheetView view="pageBreakPreview" zoomScaleNormal="130" zoomScaleSheetLayoutView="100" workbookViewId="0">
      <selection sqref="A1:F1"/>
    </sheetView>
  </sheetViews>
  <sheetFormatPr defaultColWidth="9" defaultRowHeight="19.95" customHeight="1"/>
  <cols>
    <col min="1" max="1" width="16.19921875" style="93" customWidth="1"/>
    <col min="2" max="2" width="12.59765625" style="93" customWidth="1"/>
    <col min="3" max="3" width="11.59765625" style="93" customWidth="1"/>
    <col min="4" max="4" width="18.5" style="93" customWidth="1"/>
    <col min="5" max="5" width="28.796875" style="93" customWidth="1"/>
    <col min="6" max="6" width="16.796875" style="93" customWidth="1"/>
    <col min="7" max="7" width="41.3984375" style="548" customWidth="1"/>
    <col min="8" max="8" width="26.09765625" style="93" customWidth="1"/>
    <col min="9" max="16384" width="9" style="93"/>
  </cols>
  <sheetData>
    <row r="1" spans="1:8" s="111" customFormat="1" ht="19.95" customHeight="1">
      <c r="A1" s="646" t="s">
        <v>707</v>
      </c>
      <c r="B1" s="646"/>
      <c r="C1" s="646"/>
      <c r="D1" s="646"/>
      <c r="E1" s="646"/>
      <c r="F1" s="646"/>
      <c r="G1" s="544"/>
    </row>
    <row r="2" spans="1:8" s="316" customFormat="1" ht="19.95" customHeight="1">
      <c r="A2" s="647" t="s">
        <v>713</v>
      </c>
      <c r="B2" s="647"/>
      <c r="C2" s="647"/>
      <c r="D2" s="647"/>
      <c r="E2" s="647"/>
      <c r="F2" s="647"/>
      <c r="G2" s="545"/>
    </row>
    <row r="3" spans="1:8" ht="19.95" customHeight="1">
      <c r="A3" s="93" t="str">
        <f>底稿目录!A2</f>
        <v>被审计单位：</v>
      </c>
      <c r="C3" s="112" t="str">
        <f>底稿目录!A4</f>
        <v>编制人：</v>
      </c>
      <c r="D3" s="93" t="str">
        <f>底稿目录!A6</f>
        <v>编制日期：</v>
      </c>
      <c r="E3" s="357" t="s">
        <v>733</v>
      </c>
      <c r="F3" s="210" t="s">
        <v>83</v>
      </c>
      <c r="G3" s="546"/>
    </row>
    <row r="4" spans="1:8" ht="19.95" customHeight="1">
      <c r="A4" s="93" t="str">
        <f>底稿目录!A3</f>
        <v>截止日：202X年12月31日</v>
      </c>
      <c r="C4" s="112" t="str">
        <f>底稿目录!A5</f>
        <v>复核人：</v>
      </c>
      <c r="D4" s="93" t="str">
        <f>底稿目录!A7</f>
        <v>复核日期：</v>
      </c>
      <c r="E4" s="357" t="s">
        <v>734</v>
      </c>
      <c r="F4" s="218"/>
      <c r="G4" s="546"/>
    </row>
    <row r="5" spans="1:8" ht="19.95" customHeight="1">
      <c r="A5" s="666" t="s">
        <v>26</v>
      </c>
      <c r="B5" s="666"/>
      <c r="C5" s="666"/>
      <c r="D5" s="666"/>
      <c r="E5" s="666"/>
      <c r="F5" s="666"/>
      <c r="G5" s="546"/>
    </row>
    <row r="6" spans="1:8" s="509" customFormat="1" ht="45.6" customHeight="1">
      <c r="A6" s="684" t="s">
        <v>341</v>
      </c>
      <c r="B6" s="684"/>
      <c r="C6" s="684"/>
      <c r="D6" s="684"/>
      <c r="E6" s="684"/>
      <c r="F6" s="684"/>
      <c r="G6" s="547"/>
    </row>
    <row r="7" spans="1:8" ht="19.95" customHeight="1">
      <c r="A7" s="666" t="s">
        <v>27</v>
      </c>
      <c r="B7" s="666"/>
      <c r="C7" s="666"/>
      <c r="D7" s="666"/>
      <c r="E7" s="666"/>
      <c r="F7" s="666"/>
      <c r="G7" s="546"/>
    </row>
    <row r="8" spans="1:8" ht="19.95" customHeight="1">
      <c r="A8" s="256"/>
      <c r="B8" s="113"/>
      <c r="C8" s="113"/>
      <c r="D8" s="113"/>
      <c r="E8" s="113"/>
      <c r="F8" s="113"/>
      <c r="G8" s="546"/>
    </row>
    <row r="9" spans="1:8" ht="19.95" customHeight="1">
      <c r="A9" s="256" t="s">
        <v>342</v>
      </c>
      <c r="B9" s="113"/>
      <c r="C9" s="113"/>
      <c r="D9" s="113"/>
      <c r="E9" s="113"/>
      <c r="F9" s="113"/>
      <c r="G9" s="546"/>
    </row>
    <row r="10" spans="1:8" ht="19.95" customHeight="1">
      <c r="A10" s="681" t="s">
        <v>343</v>
      </c>
      <c r="B10" s="682"/>
      <c r="C10" s="648" t="s">
        <v>344</v>
      </c>
      <c r="D10" s="675"/>
      <c r="E10" s="366" t="s">
        <v>345</v>
      </c>
      <c r="F10" s="366" t="s">
        <v>270</v>
      </c>
      <c r="G10" s="546"/>
    </row>
    <row r="11" spans="1:8" ht="33" customHeight="1">
      <c r="A11" s="686" t="s">
        <v>346</v>
      </c>
      <c r="B11" s="687"/>
      <c r="C11" s="688"/>
      <c r="D11" s="689"/>
      <c r="E11" s="116" t="s">
        <v>326</v>
      </c>
      <c r="F11" s="124"/>
      <c r="G11" s="546" t="s">
        <v>898</v>
      </c>
    </row>
    <row r="12" spans="1:8" ht="41.4" customHeight="1">
      <c r="A12" s="686" t="s">
        <v>347</v>
      </c>
      <c r="B12" s="687"/>
      <c r="C12" s="688"/>
      <c r="D12" s="689"/>
      <c r="E12" s="116" t="s">
        <v>327</v>
      </c>
      <c r="F12" s="124"/>
      <c r="G12" s="560" t="s">
        <v>899</v>
      </c>
    </row>
    <row r="13" spans="1:8" ht="19.95" customHeight="1">
      <c r="A13" s="686" t="s">
        <v>348</v>
      </c>
      <c r="B13" s="687"/>
      <c r="C13" s="688"/>
      <c r="D13" s="689"/>
      <c r="E13" s="116"/>
      <c r="F13" s="124"/>
      <c r="G13" s="546" t="s">
        <v>900</v>
      </c>
    </row>
    <row r="14" spans="1:8" ht="42.6" customHeight="1">
      <c r="A14" s="692" t="s">
        <v>328</v>
      </c>
      <c r="B14" s="693"/>
      <c r="C14" s="688"/>
      <c r="D14" s="689"/>
      <c r="E14" s="116" t="s">
        <v>327</v>
      </c>
      <c r="F14" s="124"/>
      <c r="G14" s="546" t="s">
        <v>901</v>
      </c>
    </row>
    <row r="15" spans="1:8" ht="52.2" customHeight="1">
      <c r="A15" s="692" t="s">
        <v>349</v>
      </c>
      <c r="B15" s="693"/>
      <c r="C15" s="688"/>
      <c r="D15" s="689"/>
      <c r="E15" s="116"/>
      <c r="F15" s="124"/>
      <c r="G15" s="546" t="s">
        <v>902</v>
      </c>
      <c r="H15" s="546" t="s">
        <v>911</v>
      </c>
    </row>
    <row r="16" spans="1:8" ht="31.2" customHeight="1">
      <c r="A16" s="692" t="s">
        <v>350</v>
      </c>
      <c r="B16" s="693"/>
      <c r="C16" s="688"/>
      <c r="D16" s="689"/>
      <c r="E16" s="116" t="s">
        <v>326</v>
      </c>
      <c r="F16" s="124"/>
      <c r="G16" s="546" t="s">
        <v>903</v>
      </c>
      <c r="H16" s="546" t="s">
        <v>912</v>
      </c>
    </row>
    <row r="17" spans="1:8" ht="19.95" customHeight="1">
      <c r="A17" s="686" t="s">
        <v>337</v>
      </c>
      <c r="B17" s="687"/>
      <c r="C17" s="688"/>
      <c r="D17" s="689"/>
      <c r="E17" s="116"/>
      <c r="F17" s="124"/>
      <c r="G17" s="546" t="s">
        <v>904</v>
      </c>
      <c r="H17" s="560" t="s">
        <v>913</v>
      </c>
    </row>
    <row r="18" spans="1:8" ht="43.2" customHeight="1">
      <c r="A18" s="692" t="s">
        <v>329</v>
      </c>
      <c r="B18" s="693"/>
      <c r="C18" s="688"/>
      <c r="D18" s="689"/>
      <c r="E18" s="116"/>
      <c r="F18" s="124"/>
      <c r="G18" s="546" t="s">
        <v>905</v>
      </c>
      <c r="H18" s="110"/>
    </row>
    <row r="19" spans="1:8" ht="19.95" customHeight="1">
      <c r="A19" s="692" t="s">
        <v>336</v>
      </c>
      <c r="B19" s="693"/>
      <c r="C19" s="688"/>
      <c r="D19" s="689"/>
      <c r="E19" s="116"/>
      <c r="F19" s="124"/>
      <c r="G19" s="546" t="s">
        <v>906</v>
      </c>
    </row>
    <row r="20" spans="1:8" ht="19.95" customHeight="1">
      <c r="A20" s="686" t="s">
        <v>338</v>
      </c>
      <c r="B20" s="687"/>
      <c r="C20" s="688"/>
      <c r="D20" s="689"/>
      <c r="E20" s="116"/>
      <c r="F20" s="124"/>
      <c r="G20" s="546" t="s">
        <v>907</v>
      </c>
    </row>
    <row r="21" spans="1:8" ht="19.95" customHeight="1">
      <c r="A21" s="681" t="s">
        <v>351</v>
      </c>
      <c r="B21" s="685"/>
      <c r="C21" s="678"/>
      <c r="D21" s="679"/>
      <c r="E21" s="679"/>
      <c r="F21" s="680"/>
      <c r="G21" s="546"/>
    </row>
    <row r="22" spans="1:8" ht="19.95" customHeight="1">
      <c r="A22" s="258"/>
      <c r="B22" s="113"/>
      <c r="C22" s="113"/>
      <c r="D22" s="113"/>
      <c r="E22" s="113"/>
      <c r="F22" s="113"/>
      <c r="G22" s="546"/>
    </row>
    <row r="23" spans="1:8" ht="19.95" customHeight="1">
      <c r="A23" s="256" t="s">
        <v>352</v>
      </c>
      <c r="B23" s="113"/>
      <c r="C23" s="113"/>
      <c r="D23" s="113"/>
      <c r="E23" s="113"/>
      <c r="F23" s="113"/>
      <c r="G23" s="546"/>
    </row>
    <row r="24" spans="1:8" ht="19.95" customHeight="1">
      <c r="A24" s="256" t="s">
        <v>330</v>
      </c>
      <c r="B24" s="113"/>
      <c r="C24" s="113"/>
      <c r="D24" s="113" t="s">
        <v>267</v>
      </c>
      <c r="E24" s="257" t="s">
        <v>272</v>
      </c>
      <c r="F24" s="113"/>
      <c r="G24" s="546"/>
    </row>
    <row r="25" spans="1:8" ht="19.95" customHeight="1">
      <c r="A25" s="681" t="s">
        <v>334</v>
      </c>
      <c r="B25" s="682"/>
      <c r="C25" s="648" t="s">
        <v>331</v>
      </c>
      <c r="D25" s="675"/>
      <c r="E25" s="366" t="s">
        <v>332</v>
      </c>
      <c r="F25" s="366" t="s">
        <v>264</v>
      </c>
      <c r="G25" s="546"/>
    </row>
    <row r="26" spans="1:8" ht="19.95" customHeight="1">
      <c r="A26" s="686" t="s">
        <v>333</v>
      </c>
      <c r="B26" s="687"/>
      <c r="C26" s="688"/>
      <c r="D26" s="689"/>
      <c r="E26" s="116" t="s">
        <v>273</v>
      </c>
      <c r="F26" s="124"/>
      <c r="G26" s="546" t="s">
        <v>908</v>
      </c>
      <c r="H26" s="690" t="s">
        <v>914</v>
      </c>
    </row>
    <row r="27" spans="1:8" ht="19.95" customHeight="1">
      <c r="A27" s="686" t="s">
        <v>339</v>
      </c>
      <c r="B27" s="687"/>
      <c r="C27" s="688"/>
      <c r="D27" s="689"/>
      <c r="E27" s="116"/>
      <c r="F27" s="124"/>
      <c r="G27" s="546" t="s">
        <v>909</v>
      </c>
      <c r="H27" s="691"/>
    </row>
    <row r="28" spans="1:8" ht="19.95" customHeight="1">
      <c r="A28" s="686" t="s">
        <v>340</v>
      </c>
      <c r="B28" s="687"/>
      <c r="C28" s="688"/>
      <c r="D28" s="689"/>
      <c r="E28" s="116"/>
      <c r="F28" s="124"/>
      <c r="G28" s="546" t="s">
        <v>910</v>
      </c>
      <c r="H28" s="691"/>
    </row>
    <row r="29" spans="1:8" ht="19.95" customHeight="1">
      <c r="A29" s="681" t="s">
        <v>353</v>
      </c>
      <c r="B29" s="685"/>
      <c r="C29" s="678" t="str">
        <f>IF(OR(E26="是",E27="是",E28="是"),"应当重新评估是否合理确定将行使续租选择权、购买选择权或不行使终止租赁选择权","无需重新评估")</f>
        <v>应当重新评估是否合理确定将行使续租选择权、购买选择权或不行使终止租赁选择权</v>
      </c>
      <c r="D29" s="679"/>
      <c r="E29" s="679"/>
      <c r="F29" s="680"/>
      <c r="G29" s="546"/>
    </row>
    <row r="30" spans="1:8" ht="19.95" customHeight="1">
      <c r="A30" s="258"/>
      <c r="B30" s="113"/>
      <c r="C30" s="113"/>
      <c r="D30" s="113"/>
      <c r="E30" s="113"/>
      <c r="F30" s="113"/>
      <c r="G30" s="546"/>
    </row>
    <row r="31" spans="1:8" ht="19.95" customHeight="1">
      <c r="A31" s="256" t="s">
        <v>354</v>
      </c>
      <c r="B31" s="113"/>
      <c r="C31" s="113"/>
      <c r="D31" s="113" t="s">
        <v>355</v>
      </c>
      <c r="E31" s="257" t="s">
        <v>272</v>
      </c>
      <c r="F31" s="113"/>
      <c r="G31" s="546"/>
    </row>
    <row r="32" spans="1:8" ht="19.95" customHeight="1">
      <c r="A32" s="681" t="s">
        <v>334</v>
      </c>
      <c r="B32" s="682"/>
      <c r="C32" s="648" t="s">
        <v>356</v>
      </c>
      <c r="D32" s="675"/>
      <c r="E32" s="366" t="s">
        <v>357</v>
      </c>
      <c r="F32" s="366" t="s">
        <v>264</v>
      </c>
      <c r="G32" s="546"/>
    </row>
    <row r="33" spans="1:7" ht="46.2" customHeight="1">
      <c r="A33" s="686" t="s">
        <v>358</v>
      </c>
      <c r="B33" s="687"/>
      <c r="C33" s="688"/>
      <c r="D33" s="689"/>
      <c r="E33" s="116" t="s">
        <v>273</v>
      </c>
      <c r="F33" s="124"/>
      <c r="G33" s="690"/>
    </row>
    <row r="34" spans="1:7" ht="45" customHeight="1">
      <c r="A34" s="686" t="s">
        <v>359</v>
      </c>
      <c r="B34" s="687"/>
      <c r="C34" s="688"/>
      <c r="D34" s="689"/>
      <c r="E34" s="116"/>
      <c r="F34" s="124"/>
      <c r="G34" s="691"/>
    </row>
    <row r="35" spans="1:7" ht="54.6" customHeight="1">
      <c r="A35" s="686" t="s">
        <v>360</v>
      </c>
      <c r="B35" s="687"/>
      <c r="C35" s="688"/>
      <c r="D35" s="689"/>
      <c r="E35" s="116"/>
      <c r="F35" s="124"/>
      <c r="G35" s="691"/>
    </row>
    <row r="36" spans="1:7" ht="56.4" customHeight="1">
      <c r="A36" s="686" t="s">
        <v>361</v>
      </c>
      <c r="B36" s="687"/>
      <c r="C36" s="688"/>
      <c r="D36" s="689"/>
      <c r="E36" s="116"/>
      <c r="F36" s="124"/>
      <c r="G36" s="691"/>
    </row>
    <row r="37" spans="1:7" ht="19.95" customHeight="1">
      <c r="A37" s="681" t="s">
        <v>362</v>
      </c>
      <c r="B37" s="685"/>
      <c r="C37" s="678"/>
      <c r="D37" s="679"/>
      <c r="E37" s="679"/>
      <c r="F37" s="680"/>
      <c r="G37" s="546"/>
    </row>
    <row r="38" spans="1:7" ht="19.95" customHeight="1">
      <c r="A38" s="258"/>
      <c r="B38" s="113"/>
      <c r="C38" s="113"/>
      <c r="D38" s="113"/>
      <c r="E38" s="113"/>
      <c r="F38" s="113"/>
      <c r="G38" s="546"/>
    </row>
    <row r="39" spans="1:7" ht="19.95" customHeight="1">
      <c r="A39" s="666" t="s">
        <v>29</v>
      </c>
      <c r="B39" s="666"/>
      <c r="C39" s="666"/>
      <c r="D39" s="666"/>
      <c r="E39" s="666"/>
      <c r="F39" s="666"/>
      <c r="G39" s="546"/>
    </row>
    <row r="40" spans="1:7" ht="19.95" customHeight="1">
      <c r="A40" s="665"/>
      <c r="B40" s="665"/>
      <c r="C40" s="665"/>
      <c r="D40" s="665"/>
      <c r="E40" s="665"/>
      <c r="F40" s="665"/>
      <c r="G40" s="546"/>
    </row>
    <row r="41" spans="1:7" ht="19.95" customHeight="1">
      <c r="A41" s="129"/>
      <c r="B41" s="129"/>
      <c r="C41" s="129"/>
      <c r="D41" s="129"/>
      <c r="E41" s="129"/>
      <c r="F41" s="263"/>
      <c r="G41" s="546"/>
    </row>
    <row r="42" spans="1:7" ht="19.95" customHeight="1">
      <c r="A42" s="666" t="s">
        <v>30</v>
      </c>
      <c r="B42" s="666"/>
      <c r="C42" s="666"/>
      <c r="D42" s="666"/>
      <c r="E42" s="666"/>
      <c r="F42" s="666"/>
      <c r="G42" s="546"/>
    </row>
    <row r="43" spans="1:7" ht="19.95" customHeight="1">
      <c r="A43" s="667"/>
      <c r="B43" s="667"/>
      <c r="C43" s="667"/>
      <c r="D43" s="667"/>
      <c r="E43" s="667"/>
      <c r="F43" s="667"/>
      <c r="G43" s="546"/>
    </row>
    <row r="45" spans="1:7" s="130" customFormat="1" ht="19.95" customHeight="1">
      <c r="A45" s="385" t="s">
        <v>761</v>
      </c>
      <c r="G45" s="548"/>
    </row>
    <row r="46" spans="1:7" s="130" customFormat="1" ht="19.95" customHeight="1">
      <c r="A46" s="355" t="s">
        <v>759</v>
      </c>
      <c r="G46" s="548"/>
    </row>
    <row r="47" spans="1:7" s="130" customFormat="1" ht="19.95" customHeight="1">
      <c r="A47" s="355" t="s">
        <v>760</v>
      </c>
      <c r="G47" s="548"/>
    </row>
    <row r="48" spans="1:7" s="130" customFormat="1" ht="19.95" customHeight="1">
      <c r="A48" s="93"/>
      <c r="G48" s="548"/>
    </row>
    <row r="49" spans="1:7" s="130" customFormat="1" ht="19.95" customHeight="1">
      <c r="A49" s="93"/>
      <c r="G49" s="548"/>
    </row>
    <row r="50" spans="1:7" s="130" customFormat="1" ht="19.95" customHeight="1">
      <c r="A50" s="93"/>
      <c r="G50" s="548"/>
    </row>
    <row r="51" spans="1:7" s="130" customFormat="1" ht="19.95" customHeight="1">
      <c r="A51" s="93"/>
      <c r="G51" s="548"/>
    </row>
    <row r="52" spans="1:7" s="130" customFormat="1" ht="19.95" customHeight="1">
      <c r="A52" s="93"/>
      <c r="G52" s="548"/>
    </row>
  </sheetData>
  <mergeCells count="57">
    <mergeCell ref="A10:B10"/>
    <mergeCell ref="A1:F1"/>
    <mergeCell ref="A2:F2"/>
    <mergeCell ref="A5:F5"/>
    <mergeCell ref="A6:F6"/>
    <mergeCell ref="A7:F7"/>
    <mergeCell ref="A43:F43"/>
    <mergeCell ref="C10:D10"/>
    <mergeCell ref="A39:F39"/>
    <mergeCell ref="A21:B21"/>
    <mergeCell ref="C21:F21"/>
    <mergeCell ref="A26:B26"/>
    <mergeCell ref="C26:D26"/>
    <mergeCell ref="C13:D13"/>
    <mergeCell ref="C17:D17"/>
    <mergeCell ref="A16:B16"/>
    <mergeCell ref="A17:B17"/>
    <mergeCell ref="A13:B13"/>
    <mergeCell ref="A12:B12"/>
    <mergeCell ref="C12:D12"/>
    <mergeCell ref="A11:B11"/>
    <mergeCell ref="C11:D11"/>
    <mergeCell ref="A14:B14"/>
    <mergeCell ref="C14:D14"/>
    <mergeCell ref="A40:F40"/>
    <mergeCell ref="A42:F42"/>
    <mergeCell ref="C16:D16"/>
    <mergeCell ref="A15:B15"/>
    <mergeCell ref="C15:D15"/>
    <mergeCell ref="A18:B18"/>
    <mergeCell ref="C18:D18"/>
    <mergeCell ref="A19:B19"/>
    <mergeCell ref="C19:D19"/>
    <mergeCell ref="A27:B27"/>
    <mergeCell ref="C27:D27"/>
    <mergeCell ref="A32:B32"/>
    <mergeCell ref="C32:D32"/>
    <mergeCell ref="A29:B29"/>
    <mergeCell ref="H26:H28"/>
    <mergeCell ref="A28:B28"/>
    <mergeCell ref="A20:B20"/>
    <mergeCell ref="C20:D20"/>
    <mergeCell ref="A25:B25"/>
    <mergeCell ref="C25:D25"/>
    <mergeCell ref="C28:D28"/>
    <mergeCell ref="C29:F29"/>
    <mergeCell ref="G33:G36"/>
    <mergeCell ref="A34:B34"/>
    <mergeCell ref="C34:D34"/>
    <mergeCell ref="A36:B36"/>
    <mergeCell ref="C36:D36"/>
    <mergeCell ref="A37:B37"/>
    <mergeCell ref="C37:F37"/>
    <mergeCell ref="A35:B35"/>
    <mergeCell ref="C35:D35"/>
    <mergeCell ref="A33:B33"/>
    <mergeCell ref="C33:D33"/>
  </mergeCells>
  <phoneticPr fontId="11" type="noConversion"/>
  <dataValidations count="2">
    <dataValidation type="list" allowBlank="1" showInputMessage="1" showErrorMessage="1" sqref="E26:E28 E33:E36 E31 E24">
      <formula1>"是,否"</formula1>
    </dataValidation>
    <dataValidation type="list" allowBlank="1" showInputMessage="1" showErrorMessage="1" sqref="E11:E20">
      <formula1>"包含,不包含"</formula1>
    </dataValidation>
  </dataValidations>
  <hyperlinks>
    <hyperlink ref="F3" location="底稿目录!A1" display="H8A"/>
  </hyperlinks>
  <printOptions horizontalCentered="1"/>
  <pageMargins left="0.94488188976377963" right="0.27559055118110237" top="0.62992125984251968" bottom="0.51181102362204722" header="0.51181102362204722" footer="0.35433070866141736"/>
  <pageSetup paperSize="9" scale="80" fitToHeight="0" orientation="portrait" blackAndWhite="1" cellComments="atEnd" r:id="rId1"/>
  <headerFooter alignWithMargins="0">
    <oddFooter>&amp;C&amp;P/&amp;N</oddFooter>
  </headerFooter>
  <rowBreaks count="1" manualBreakCount="1">
    <brk id="30" max="8" man="1"/>
  </rowBreaks>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pageSetUpPr fitToPage="1"/>
  </sheetPr>
  <dimension ref="A1:M59"/>
  <sheetViews>
    <sheetView view="pageBreakPreview" zoomScaleNormal="130" zoomScaleSheetLayoutView="100" workbookViewId="0">
      <selection sqref="A1:K1"/>
    </sheetView>
  </sheetViews>
  <sheetFormatPr defaultColWidth="9" defaultRowHeight="19.95" customHeight="1"/>
  <cols>
    <col min="1" max="1" width="14.8984375" style="93" customWidth="1"/>
    <col min="2" max="2" width="13.19921875" style="93" customWidth="1"/>
    <col min="3" max="3" width="11.09765625" style="93" customWidth="1"/>
    <col min="4" max="4" width="10.3984375" style="93" customWidth="1"/>
    <col min="5" max="5" width="11.59765625" style="93" customWidth="1"/>
    <col min="6" max="6" width="10.3984375" style="93" customWidth="1"/>
    <col min="7" max="7" width="10.5" style="93" customWidth="1"/>
    <col min="8" max="8" width="9.3984375" style="93" customWidth="1"/>
    <col min="9" max="9" width="12.19921875" style="93" customWidth="1"/>
    <col min="10" max="10" width="9.59765625" style="93" customWidth="1"/>
    <col min="11" max="11" width="9" style="93" customWidth="1"/>
    <col min="12" max="12" width="57.59765625" style="548" customWidth="1"/>
    <col min="13" max="16384" width="9" style="93"/>
  </cols>
  <sheetData>
    <row r="1" spans="1:12" s="111" customFormat="1" ht="19.95" customHeight="1">
      <c r="A1" s="646" t="s">
        <v>707</v>
      </c>
      <c r="B1" s="646"/>
      <c r="C1" s="646"/>
      <c r="D1" s="646"/>
      <c r="E1" s="646"/>
      <c r="F1" s="646"/>
      <c r="G1" s="646"/>
      <c r="H1" s="646"/>
      <c r="I1" s="646"/>
      <c r="J1" s="646"/>
      <c r="K1" s="646"/>
      <c r="L1" s="544"/>
    </row>
    <row r="2" spans="1:12" s="316" customFormat="1" ht="19.95" customHeight="1">
      <c r="A2" s="696" t="s">
        <v>877</v>
      </c>
      <c r="B2" s="696"/>
      <c r="C2" s="696"/>
      <c r="D2" s="696"/>
      <c r="E2" s="696"/>
      <c r="F2" s="696"/>
      <c r="G2" s="696"/>
      <c r="H2" s="696"/>
      <c r="I2" s="696"/>
      <c r="J2" s="696"/>
      <c r="K2" s="696"/>
      <c r="L2" s="545"/>
    </row>
    <row r="3" spans="1:12" ht="19.95" customHeight="1">
      <c r="A3" s="93" t="str">
        <f>底稿目录!A2</f>
        <v>被审计单位：</v>
      </c>
      <c r="D3" s="112" t="str">
        <f>底稿目录!A4</f>
        <v>编制人：</v>
      </c>
      <c r="F3" s="93" t="str">
        <f>底稿目录!A6</f>
        <v>编制日期：</v>
      </c>
      <c r="H3" s="357" t="s">
        <v>733</v>
      </c>
      <c r="I3" s="210" t="s">
        <v>84</v>
      </c>
      <c r="J3" s="210"/>
      <c r="K3" s="210"/>
      <c r="L3" s="546"/>
    </row>
    <row r="4" spans="1:12" ht="19.95" customHeight="1">
      <c r="A4" s="93" t="str">
        <f>底稿目录!A3</f>
        <v>截止日：202X年12月31日</v>
      </c>
      <c r="D4" s="112" t="str">
        <f>底稿目录!A5</f>
        <v>复核人：</v>
      </c>
      <c r="F4" s="93" t="str">
        <f>底稿目录!A7</f>
        <v>复核日期：</v>
      </c>
      <c r="H4" s="357" t="s">
        <v>734</v>
      </c>
      <c r="I4" s="218"/>
      <c r="J4" s="218"/>
      <c r="K4" s="218"/>
      <c r="L4" s="546"/>
    </row>
    <row r="5" spans="1:12" s="509" customFormat="1" ht="50.4" customHeight="1">
      <c r="A5" s="695" t="s">
        <v>365</v>
      </c>
      <c r="B5" s="695"/>
      <c r="C5" s="695"/>
      <c r="D5" s="695"/>
      <c r="E5" s="695"/>
      <c r="F5" s="695"/>
      <c r="G5" s="695"/>
      <c r="H5" s="695"/>
      <c r="I5" s="695"/>
      <c r="J5" s="695"/>
      <c r="K5" s="695"/>
      <c r="L5" s="547"/>
    </row>
    <row r="6" spans="1:12" ht="19.95" customHeight="1">
      <c r="A6" s="666" t="s">
        <v>27</v>
      </c>
      <c r="B6" s="666"/>
      <c r="C6" s="666"/>
      <c r="D6" s="666"/>
      <c r="E6" s="666"/>
      <c r="F6" s="666"/>
      <c r="G6" s="666"/>
      <c r="H6" s="666"/>
      <c r="I6" s="666"/>
      <c r="J6" s="572"/>
      <c r="K6" s="572"/>
      <c r="L6" s="546"/>
    </row>
    <row r="7" spans="1:12" ht="19.95" customHeight="1">
      <c r="A7" s="256" t="s">
        <v>366</v>
      </c>
      <c r="B7" s="113"/>
      <c r="C7" s="113"/>
      <c r="D7" s="113"/>
      <c r="E7" s="113"/>
      <c r="G7" s="114"/>
      <c r="H7" s="113"/>
      <c r="I7" s="113"/>
      <c r="J7" s="113"/>
      <c r="K7" s="113"/>
      <c r="L7" s="546"/>
    </row>
    <row r="8" spans="1:12" ht="33.6" customHeight="1">
      <c r="A8" s="266" t="s">
        <v>367</v>
      </c>
      <c r="B8" s="266" t="s">
        <v>368</v>
      </c>
      <c r="C8" s="266" t="s">
        <v>369</v>
      </c>
      <c r="D8" s="369" t="s">
        <v>370</v>
      </c>
      <c r="E8" s="266" t="s">
        <v>371</v>
      </c>
      <c r="F8" s="266" t="s">
        <v>372</v>
      </c>
      <c r="G8" s="369" t="s">
        <v>373</v>
      </c>
      <c r="H8" s="369" t="s">
        <v>374</v>
      </c>
      <c r="I8" s="266" t="s">
        <v>375</v>
      </c>
      <c r="J8" s="599" t="s">
        <v>936</v>
      </c>
      <c r="K8" s="589"/>
      <c r="L8" s="546" t="s">
        <v>915</v>
      </c>
    </row>
    <row r="9" spans="1:12" ht="19.95" customHeight="1">
      <c r="A9" s="264" t="s">
        <v>376</v>
      </c>
      <c r="B9" s="115">
        <v>44197</v>
      </c>
      <c r="C9" s="115">
        <v>47118</v>
      </c>
      <c r="D9" s="116">
        <f>2</f>
        <v>2</v>
      </c>
      <c r="E9" s="262">
        <f>(YEAR(C9)-YEAR(B9))+D9+(MONTH(C9)-MONTH(B9)+1)/12</f>
        <v>10</v>
      </c>
      <c r="F9" s="370">
        <f>DATE(YEAR(C9)+D9,MONTH(C9),DAY(C9))</f>
        <v>47848</v>
      </c>
      <c r="G9" s="117">
        <v>0.05</v>
      </c>
      <c r="H9" s="117">
        <v>0.05</v>
      </c>
      <c r="I9" s="118">
        <v>10</v>
      </c>
      <c r="J9" s="600">
        <v>0.25</v>
      </c>
      <c r="K9" s="590"/>
      <c r="L9" s="546"/>
    </row>
    <row r="10" spans="1:12" s="509" customFormat="1" ht="19.95" customHeight="1">
      <c r="A10" s="596"/>
      <c r="B10" s="597"/>
      <c r="C10" s="597"/>
      <c r="D10" s="598"/>
      <c r="E10" s="598"/>
      <c r="F10" s="597"/>
      <c r="G10" s="593"/>
      <c r="H10" s="593"/>
      <c r="I10" s="594"/>
      <c r="J10" s="595"/>
      <c r="K10" s="594"/>
      <c r="L10" s="547"/>
    </row>
    <row r="11" spans="1:12" ht="19.95" customHeight="1">
      <c r="A11" s="697" t="s">
        <v>421</v>
      </c>
      <c r="B11" s="697"/>
      <c r="C11" s="697"/>
      <c r="D11" s="697"/>
      <c r="E11" s="697"/>
      <c r="F11" s="697"/>
      <c r="G11" s="697"/>
      <c r="H11" s="588"/>
      <c r="I11" s="588"/>
      <c r="J11" s="588"/>
      <c r="K11" s="588"/>
      <c r="L11" s="546"/>
    </row>
    <row r="12" spans="1:12" ht="19.95" customHeight="1">
      <c r="A12" s="413"/>
      <c r="B12" s="414" t="s">
        <v>422</v>
      </c>
      <c r="C12" s="414" t="s">
        <v>423</v>
      </c>
      <c r="D12" s="414"/>
      <c r="E12" s="415"/>
      <c r="F12" s="459" t="s">
        <v>804</v>
      </c>
      <c r="G12" s="460" t="s">
        <v>809</v>
      </c>
      <c r="H12" s="588"/>
      <c r="I12" s="588"/>
      <c r="J12" s="588"/>
      <c r="K12" s="588"/>
      <c r="L12" s="546"/>
    </row>
    <row r="13" spans="1:12" ht="19.95" customHeight="1">
      <c r="A13" s="456" t="s">
        <v>800</v>
      </c>
      <c r="B13" s="417">
        <f>I30</f>
        <v>420391.08378220262</v>
      </c>
      <c r="C13" s="418"/>
      <c r="D13" s="417"/>
      <c r="E13" s="458" t="s">
        <v>802</v>
      </c>
      <c r="F13" s="417">
        <f>J35</f>
        <v>93290.159492828185</v>
      </c>
      <c r="G13" s="417"/>
      <c r="H13" s="588"/>
      <c r="I13" s="588"/>
      <c r="J13" s="588"/>
      <c r="K13" s="588"/>
      <c r="L13" s="546"/>
    </row>
    <row r="14" spans="1:12" ht="19.95" customHeight="1">
      <c r="A14" s="457" t="s">
        <v>25</v>
      </c>
      <c r="B14" s="418"/>
      <c r="C14" s="417">
        <f>F30</f>
        <v>355391.08378220262</v>
      </c>
      <c r="D14" s="418"/>
      <c r="E14" s="458" t="s">
        <v>803</v>
      </c>
      <c r="F14" s="417"/>
      <c r="G14" s="417">
        <f>K35</f>
        <v>94587.993850995583</v>
      </c>
      <c r="H14" s="588"/>
      <c r="I14" s="588"/>
      <c r="J14" s="588"/>
      <c r="K14" s="588"/>
      <c r="L14" s="546"/>
    </row>
    <row r="15" spans="1:12" ht="19.95" customHeight="1">
      <c r="A15" s="574" t="s">
        <v>937</v>
      </c>
      <c r="B15" s="418"/>
      <c r="C15" s="417">
        <f>H30+G30</f>
        <v>65000</v>
      </c>
      <c r="D15" s="418"/>
      <c r="E15" s="458" t="s">
        <v>806</v>
      </c>
      <c r="F15" s="417">
        <f>G14-F13</f>
        <v>1297.834358167398</v>
      </c>
      <c r="G15" s="417"/>
      <c r="H15" s="588"/>
      <c r="I15" s="588"/>
      <c r="J15" s="588"/>
      <c r="K15" s="588"/>
      <c r="L15" s="546"/>
    </row>
    <row r="16" spans="1:12" ht="19.95" customHeight="1">
      <c r="A16" s="421"/>
      <c r="B16" s="422">
        <f>SUM(B13:B15)</f>
        <v>420391.08378220262</v>
      </c>
      <c r="C16" s="422">
        <f>SUM(C13:C15)</f>
        <v>420391.08378220262</v>
      </c>
      <c r="D16" s="422"/>
      <c r="E16" s="417"/>
      <c r="F16" s="422"/>
      <c r="G16" s="423"/>
      <c r="H16" s="588"/>
      <c r="I16" s="588"/>
      <c r="J16" s="588"/>
      <c r="K16" s="588"/>
      <c r="L16" s="546"/>
    </row>
    <row r="17" spans="1:13" ht="19.95" customHeight="1">
      <c r="A17" s="584"/>
      <c r="B17" s="585"/>
      <c r="C17" s="586"/>
      <c r="D17" s="586"/>
      <c r="E17" s="586"/>
      <c r="F17" s="587"/>
      <c r="G17" s="586"/>
      <c r="H17" s="588"/>
      <c r="I17" s="588"/>
      <c r="J17" s="588"/>
      <c r="K17" s="588"/>
      <c r="L17" s="546"/>
    </row>
    <row r="18" spans="1:13" ht="19.95" customHeight="1">
      <c r="A18" s="256" t="s">
        <v>377</v>
      </c>
      <c r="B18" s="113"/>
      <c r="C18" s="113"/>
      <c r="D18" s="113"/>
      <c r="E18" s="113"/>
      <c r="F18" s="113"/>
      <c r="G18" s="113"/>
      <c r="H18" s="113"/>
      <c r="I18" s="113"/>
      <c r="J18" s="113"/>
      <c r="K18" s="113"/>
      <c r="L18" s="355"/>
    </row>
    <row r="19" spans="1:13" ht="28.2" customHeight="1">
      <c r="A19" s="266" t="s">
        <v>378</v>
      </c>
      <c r="B19" s="266" t="s">
        <v>379</v>
      </c>
      <c r="C19" s="266" t="s">
        <v>380</v>
      </c>
      <c r="D19" s="266" t="s">
        <v>381</v>
      </c>
      <c r="E19" s="266" t="s">
        <v>382</v>
      </c>
      <c r="F19" s="266" t="s">
        <v>383</v>
      </c>
      <c r="G19" s="266" t="s">
        <v>384</v>
      </c>
      <c r="H19" s="266" t="s">
        <v>385</v>
      </c>
      <c r="I19" s="266" t="s">
        <v>386</v>
      </c>
      <c r="J19" s="589"/>
      <c r="K19" s="589"/>
      <c r="L19" s="561" t="s">
        <v>916</v>
      </c>
    </row>
    <row r="20" spans="1:13" ht="19.95" customHeight="1">
      <c r="A20" s="123">
        <v>44197</v>
      </c>
      <c r="B20" s="186">
        <v>50000</v>
      </c>
      <c r="C20" s="186">
        <f t="shared" ref="C20:C29" si="0">IF(E20=1,0,B20)</f>
        <v>0</v>
      </c>
      <c r="D20" s="124">
        <v>0</v>
      </c>
      <c r="E20" s="189">
        <f t="shared" ref="E20:E21" si="1">1/(1+$H$9)^D20</f>
        <v>1</v>
      </c>
      <c r="F20" s="160">
        <f>C20*E20</f>
        <v>0</v>
      </c>
      <c r="G20" s="187">
        <f>B20</f>
        <v>50000</v>
      </c>
      <c r="H20" s="188">
        <v>15000</v>
      </c>
      <c r="I20" s="31"/>
      <c r="J20" s="89"/>
      <c r="K20" s="89"/>
      <c r="L20" s="355"/>
    </row>
    <row r="21" spans="1:13" ht="19.95" customHeight="1">
      <c r="A21" s="123">
        <v>44562</v>
      </c>
      <c r="B21" s="186">
        <v>50000</v>
      </c>
      <c r="C21" s="186">
        <f>IF(E21=1,0,B21)</f>
        <v>50000</v>
      </c>
      <c r="D21" s="124">
        <f>D20+1</f>
        <v>1</v>
      </c>
      <c r="E21" s="189">
        <f t="shared" si="1"/>
        <v>0.95238095238095233</v>
      </c>
      <c r="F21" s="160">
        <f>C21*E21</f>
        <v>47619.047619047618</v>
      </c>
      <c r="G21" s="120"/>
      <c r="H21" s="31"/>
      <c r="I21" s="31"/>
      <c r="J21" s="89"/>
      <c r="K21" s="89"/>
      <c r="L21" s="355"/>
    </row>
    <row r="22" spans="1:13" ht="19.95" customHeight="1">
      <c r="A22" s="123">
        <v>44927</v>
      </c>
      <c r="B22" s="186">
        <v>50000</v>
      </c>
      <c r="C22" s="186">
        <f t="shared" si="0"/>
        <v>50000</v>
      </c>
      <c r="D22" s="124">
        <f t="shared" ref="D22:D29" si="2">D21+1</f>
        <v>2</v>
      </c>
      <c r="E22" s="189">
        <f>1/(1+$H$9)^D22</f>
        <v>0.90702947845804982</v>
      </c>
      <c r="F22" s="160">
        <f t="shared" ref="F22:F29" si="3">C22*E22</f>
        <v>45351.473922902493</v>
      </c>
      <c r="G22" s="120"/>
      <c r="H22" s="125"/>
      <c r="I22" s="26"/>
      <c r="J22" s="591"/>
      <c r="K22" s="591"/>
      <c r="L22" s="355"/>
    </row>
    <row r="23" spans="1:13" ht="19.95" customHeight="1">
      <c r="A23" s="123">
        <v>45292</v>
      </c>
      <c r="B23" s="186">
        <v>50000</v>
      </c>
      <c r="C23" s="186">
        <f t="shared" si="0"/>
        <v>50000</v>
      </c>
      <c r="D23" s="124">
        <f t="shared" si="2"/>
        <v>3</v>
      </c>
      <c r="E23" s="189">
        <f>1/(1+$H$9)^D23</f>
        <v>0.86383759853147601</v>
      </c>
      <c r="F23" s="160">
        <f t="shared" si="3"/>
        <v>43191.879926573798</v>
      </c>
      <c r="G23" s="120"/>
      <c r="H23" s="125"/>
      <c r="I23" s="26"/>
      <c r="J23" s="591"/>
      <c r="K23" s="591"/>
      <c r="L23" s="355"/>
    </row>
    <row r="24" spans="1:13" ht="19.95" customHeight="1">
      <c r="A24" s="123">
        <v>45658</v>
      </c>
      <c r="B24" s="186">
        <v>50000</v>
      </c>
      <c r="C24" s="186">
        <f t="shared" si="0"/>
        <v>50000</v>
      </c>
      <c r="D24" s="124">
        <f t="shared" si="2"/>
        <v>4</v>
      </c>
      <c r="E24" s="189">
        <f t="shared" ref="E24:E29" si="4">1/(1+$H$9)^D24</f>
        <v>0.82270247479188197</v>
      </c>
      <c r="F24" s="160">
        <f t="shared" si="3"/>
        <v>41135.123739594099</v>
      </c>
      <c r="G24" s="120"/>
      <c r="H24" s="125"/>
      <c r="I24" s="26"/>
      <c r="J24" s="591"/>
      <c r="K24" s="591"/>
      <c r="L24" s="355"/>
    </row>
    <row r="25" spans="1:13" ht="19.95" customHeight="1">
      <c r="A25" s="123">
        <v>46023</v>
      </c>
      <c r="B25" s="186">
        <v>50000</v>
      </c>
      <c r="C25" s="186">
        <f t="shared" si="0"/>
        <v>50000</v>
      </c>
      <c r="D25" s="124">
        <f t="shared" si="2"/>
        <v>5</v>
      </c>
      <c r="E25" s="189">
        <f t="shared" si="4"/>
        <v>0.78352616646845896</v>
      </c>
      <c r="F25" s="160">
        <f t="shared" si="3"/>
        <v>39176.308323422949</v>
      </c>
      <c r="G25" s="120"/>
      <c r="H25" s="125"/>
      <c r="I25" s="26"/>
      <c r="J25" s="591"/>
      <c r="K25" s="591"/>
      <c r="L25" s="562"/>
      <c r="M25" s="267"/>
    </row>
    <row r="26" spans="1:13" ht="19.95" customHeight="1">
      <c r="A26" s="123">
        <v>46388</v>
      </c>
      <c r="B26" s="186">
        <v>50000</v>
      </c>
      <c r="C26" s="186">
        <f t="shared" si="0"/>
        <v>50000</v>
      </c>
      <c r="D26" s="124">
        <f t="shared" si="2"/>
        <v>6</v>
      </c>
      <c r="E26" s="189">
        <f t="shared" si="4"/>
        <v>0.74621539663662761</v>
      </c>
      <c r="F26" s="160">
        <f t="shared" si="3"/>
        <v>37310.769831831378</v>
      </c>
      <c r="G26" s="120"/>
      <c r="H26" s="125"/>
      <c r="I26" s="26"/>
      <c r="J26" s="591"/>
      <c r="K26" s="591"/>
      <c r="L26" s="562"/>
      <c r="M26" s="267"/>
    </row>
    <row r="27" spans="1:13" ht="19.95" customHeight="1">
      <c r="A27" s="123">
        <v>46753</v>
      </c>
      <c r="B27" s="186">
        <v>50000</v>
      </c>
      <c r="C27" s="186">
        <f t="shared" si="0"/>
        <v>50000</v>
      </c>
      <c r="D27" s="124">
        <f t="shared" si="2"/>
        <v>7</v>
      </c>
      <c r="E27" s="189">
        <f t="shared" si="4"/>
        <v>0.71068133013012147</v>
      </c>
      <c r="F27" s="160">
        <f t="shared" si="3"/>
        <v>35534.066506506075</v>
      </c>
      <c r="G27" s="120"/>
      <c r="H27" s="125"/>
      <c r="I27" s="26"/>
      <c r="J27" s="591"/>
      <c r="K27" s="591"/>
      <c r="L27" s="355"/>
    </row>
    <row r="28" spans="1:13" ht="19.95" customHeight="1">
      <c r="A28" s="123">
        <v>47119</v>
      </c>
      <c r="B28" s="186">
        <v>50000</v>
      </c>
      <c r="C28" s="186">
        <f t="shared" si="0"/>
        <v>50000</v>
      </c>
      <c r="D28" s="124">
        <f t="shared" si="2"/>
        <v>8</v>
      </c>
      <c r="E28" s="189">
        <f t="shared" si="4"/>
        <v>0.67683936202868722</v>
      </c>
      <c r="F28" s="160">
        <f t="shared" si="3"/>
        <v>33841.968101434359</v>
      </c>
      <c r="G28" s="120"/>
      <c r="H28" s="125"/>
      <c r="I28" s="26"/>
      <c r="J28" s="591"/>
      <c r="K28" s="591"/>
      <c r="L28" s="355"/>
    </row>
    <row r="29" spans="1:13" ht="19.95" customHeight="1">
      <c r="A29" s="123">
        <v>47484</v>
      </c>
      <c r="B29" s="186">
        <v>50000</v>
      </c>
      <c r="C29" s="186">
        <f t="shared" si="0"/>
        <v>50000</v>
      </c>
      <c r="D29" s="124">
        <f t="shared" si="2"/>
        <v>9</v>
      </c>
      <c r="E29" s="189">
        <f t="shared" si="4"/>
        <v>0.64460891621779726</v>
      </c>
      <c r="F29" s="160">
        <f t="shared" si="3"/>
        <v>32230.445810889862</v>
      </c>
      <c r="G29" s="120"/>
      <c r="H29" s="125"/>
      <c r="I29" s="26"/>
      <c r="J29" s="591"/>
      <c r="K29" s="591"/>
      <c r="L29" s="355"/>
    </row>
    <row r="30" spans="1:13" ht="19.95" customHeight="1">
      <c r="A30" s="266" t="s">
        <v>387</v>
      </c>
      <c r="B30" s="191">
        <f>SUM(B20:B29)</f>
        <v>500000</v>
      </c>
      <c r="C30" s="191">
        <f>SUM(C20:C29)</f>
        <v>450000</v>
      </c>
      <c r="D30" s="191"/>
      <c r="E30" s="191"/>
      <c r="F30" s="191">
        <f>SUM(F20:F29)</f>
        <v>355391.08378220262</v>
      </c>
      <c r="G30" s="191">
        <f>SUM(G20:G29)</f>
        <v>50000</v>
      </c>
      <c r="H30" s="191">
        <f>SUM(H20:H29)</f>
        <v>15000</v>
      </c>
      <c r="I30" s="191">
        <f>F30+G30+H30</f>
        <v>420391.08378220262</v>
      </c>
      <c r="J30" s="592"/>
      <c r="K30" s="592"/>
      <c r="L30" s="355"/>
    </row>
    <row r="31" spans="1:13" ht="19.95" customHeight="1">
      <c r="A31" s="126"/>
      <c r="B31" s="268"/>
      <c r="C31" s="113"/>
      <c r="D31" s="113"/>
      <c r="E31" s="113"/>
      <c r="F31" s="113"/>
      <c r="G31" s="113"/>
      <c r="H31" s="113"/>
      <c r="I31" s="113"/>
      <c r="J31" s="113"/>
      <c r="K31" s="113"/>
      <c r="L31" s="546"/>
    </row>
    <row r="32" spans="1:13" ht="19.95" customHeight="1">
      <c r="A32" s="256" t="s">
        <v>388</v>
      </c>
      <c r="B32" s="268"/>
      <c r="C32" s="113"/>
      <c r="D32" s="113"/>
      <c r="E32" s="113"/>
      <c r="F32" s="113"/>
      <c r="G32" s="139"/>
      <c r="H32" s="113"/>
      <c r="I32" s="113"/>
      <c r="J32" s="113"/>
      <c r="K32" s="113"/>
      <c r="L32" s="546"/>
    </row>
    <row r="33" spans="1:12" ht="19.95" customHeight="1">
      <c r="A33" s="698" t="s">
        <v>389</v>
      </c>
      <c r="B33" s="698" t="s">
        <v>390</v>
      </c>
      <c r="C33" s="698"/>
      <c r="D33" s="698"/>
      <c r="E33" s="698"/>
      <c r="F33" s="698"/>
      <c r="G33" s="699" t="s">
        <v>391</v>
      </c>
      <c r="H33" s="700"/>
      <c r="I33" s="700"/>
      <c r="J33" s="694" t="s">
        <v>794</v>
      </c>
      <c r="K33" s="694" t="s">
        <v>798</v>
      </c>
      <c r="L33" s="546"/>
    </row>
    <row r="34" spans="1:12" ht="19.95" customHeight="1">
      <c r="A34" s="698"/>
      <c r="B34" s="266" t="s">
        <v>392</v>
      </c>
      <c r="C34" s="328" t="s">
        <v>393</v>
      </c>
      <c r="D34" s="266" t="s">
        <v>394</v>
      </c>
      <c r="E34" s="266" t="s">
        <v>395</v>
      </c>
      <c r="F34" s="266" t="s">
        <v>363</v>
      </c>
      <c r="G34" s="266" t="s">
        <v>396</v>
      </c>
      <c r="H34" s="266" t="s">
        <v>364</v>
      </c>
      <c r="I34" s="266" t="s">
        <v>363</v>
      </c>
      <c r="J34" s="694"/>
      <c r="K34" s="694"/>
      <c r="L34" s="561"/>
    </row>
    <row r="35" spans="1:12" ht="19.95" customHeight="1">
      <c r="A35" s="127" t="s">
        <v>28</v>
      </c>
      <c r="B35" s="190">
        <f>F30</f>
        <v>355391.08378220262</v>
      </c>
      <c r="C35" s="188">
        <f>C20</f>
        <v>0</v>
      </c>
      <c r="D35" s="128">
        <v>1</v>
      </c>
      <c r="E35" s="188">
        <f>(B35-C35)*$H$9</f>
        <v>17769.554189110131</v>
      </c>
      <c r="F35" s="188">
        <f t="shared" ref="F35:F44" si="5">B35-C35+E35</f>
        <v>373160.63797131274</v>
      </c>
      <c r="G35" s="190">
        <f>I30</f>
        <v>420391.08378220262</v>
      </c>
      <c r="H35" s="188">
        <f>$I$30/$I$9</f>
        <v>42039.108378220262</v>
      </c>
      <c r="I35" s="188">
        <f>G35-H35</f>
        <v>378351.97540398233</v>
      </c>
      <c r="J35" s="188">
        <f>F35*$J$9</f>
        <v>93290.159492828185</v>
      </c>
      <c r="K35" s="188">
        <f>I35*$J$9</f>
        <v>94587.993850995583</v>
      </c>
      <c r="L35" s="546"/>
    </row>
    <row r="36" spans="1:12" ht="19.95" customHeight="1">
      <c r="A36" s="127" t="s">
        <v>397</v>
      </c>
      <c r="B36" s="188">
        <f>B35-C35+E35</f>
        <v>373160.63797131274</v>
      </c>
      <c r="C36" s="188">
        <f t="shared" ref="C36:C44" si="6">C21</f>
        <v>50000</v>
      </c>
      <c r="D36" s="128">
        <v>1</v>
      </c>
      <c r="E36" s="188">
        <f>(B36-C36)*$H$9</f>
        <v>16158.031898565638</v>
      </c>
      <c r="F36" s="188">
        <f>B36-C36+E36</f>
        <v>339318.66986987839</v>
      </c>
      <c r="G36" s="188">
        <f>I35</f>
        <v>378351.97540398233</v>
      </c>
      <c r="H36" s="188">
        <f>H35</f>
        <v>42039.108378220262</v>
      </c>
      <c r="I36" s="188">
        <f>G36-H36</f>
        <v>336312.8670257621</v>
      </c>
      <c r="J36" s="188">
        <f t="shared" ref="J36:J44" si="7">F36*$J$9</f>
        <v>84829.667467469597</v>
      </c>
      <c r="K36" s="188">
        <f t="shared" ref="K36:K44" si="8">I36*$J$9</f>
        <v>84078.216756440524</v>
      </c>
      <c r="L36" s="546"/>
    </row>
    <row r="37" spans="1:12" ht="19.95" customHeight="1">
      <c r="A37" s="127" t="s">
        <v>398</v>
      </c>
      <c r="B37" s="188">
        <f t="shared" ref="B37:B44" si="9">B36-C36+E36</f>
        <v>339318.66986987839</v>
      </c>
      <c r="C37" s="188">
        <f t="shared" si="6"/>
        <v>50000</v>
      </c>
      <c r="D37" s="128">
        <v>1</v>
      </c>
      <c r="E37" s="188">
        <f>(B37-C37)*$H$9</f>
        <v>14465.93349349392</v>
      </c>
      <c r="F37" s="188">
        <f t="shared" si="5"/>
        <v>303784.60336337233</v>
      </c>
      <c r="G37" s="188">
        <f t="shared" ref="G37:G44" si="10">I36</f>
        <v>336312.8670257621</v>
      </c>
      <c r="H37" s="188">
        <f t="shared" ref="H37:H44" si="11">H36</f>
        <v>42039.108378220262</v>
      </c>
      <c r="I37" s="188">
        <f t="shared" ref="I37:I44" si="12">G37-H37</f>
        <v>294273.75864754186</v>
      </c>
      <c r="J37" s="188">
        <f t="shared" si="7"/>
        <v>75946.150840843082</v>
      </c>
      <c r="K37" s="188">
        <f t="shared" si="8"/>
        <v>73568.439661885466</v>
      </c>
      <c r="L37" s="546"/>
    </row>
    <row r="38" spans="1:12" ht="19.95" customHeight="1">
      <c r="A38" s="127" t="s">
        <v>399</v>
      </c>
      <c r="B38" s="188">
        <f t="shared" si="9"/>
        <v>303784.60336337233</v>
      </c>
      <c r="C38" s="188">
        <f t="shared" si="6"/>
        <v>50000</v>
      </c>
      <c r="D38" s="128">
        <v>1</v>
      </c>
      <c r="E38" s="188">
        <f t="shared" ref="E38:E44" si="13">(B38-C38)*$H$9</f>
        <v>12689.230168168617</v>
      </c>
      <c r="F38" s="188">
        <f t="shared" si="5"/>
        <v>266473.83353154093</v>
      </c>
      <c r="G38" s="188">
        <f t="shared" si="10"/>
        <v>294273.75864754186</v>
      </c>
      <c r="H38" s="188">
        <f t="shared" si="11"/>
        <v>42039.108378220262</v>
      </c>
      <c r="I38" s="188">
        <f t="shared" si="12"/>
        <v>252234.6502693216</v>
      </c>
      <c r="J38" s="188">
        <f t="shared" si="7"/>
        <v>66618.458382885234</v>
      </c>
      <c r="K38" s="188">
        <f t="shared" si="8"/>
        <v>63058.662567330401</v>
      </c>
      <c r="L38" s="546"/>
    </row>
    <row r="39" spans="1:12" ht="19.95" customHeight="1">
      <c r="A39" s="127" t="s">
        <v>400</v>
      </c>
      <c r="B39" s="188">
        <f t="shared" si="9"/>
        <v>266473.83353154093</v>
      </c>
      <c r="C39" s="188">
        <f t="shared" si="6"/>
        <v>50000</v>
      </c>
      <c r="D39" s="128">
        <v>1</v>
      </c>
      <c r="E39" s="188">
        <f t="shared" si="13"/>
        <v>10823.691676577047</v>
      </c>
      <c r="F39" s="188">
        <f t="shared" si="5"/>
        <v>227297.52520811799</v>
      </c>
      <c r="G39" s="188">
        <f t="shared" si="10"/>
        <v>252234.6502693216</v>
      </c>
      <c r="H39" s="188">
        <f t="shared" si="11"/>
        <v>42039.108378220262</v>
      </c>
      <c r="I39" s="188">
        <f t="shared" si="12"/>
        <v>210195.54189110134</v>
      </c>
      <c r="J39" s="188">
        <f t="shared" si="7"/>
        <v>56824.381302029498</v>
      </c>
      <c r="K39" s="188">
        <f t="shared" si="8"/>
        <v>52548.885472775335</v>
      </c>
      <c r="L39" s="546"/>
    </row>
    <row r="40" spans="1:12" ht="19.95" customHeight="1">
      <c r="A40" s="127" t="s">
        <v>401</v>
      </c>
      <c r="B40" s="188">
        <f t="shared" si="9"/>
        <v>227297.52520811799</v>
      </c>
      <c r="C40" s="188">
        <f t="shared" si="6"/>
        <v>50000</v>
      </c>
      <c r="D40" s="128">
        <v>1</v>
      </c>
      <c r="E40" s="188">
        <f t="shared" si="13"/>
        <v>8864.8762604058993</v>
      </c>
      <c r="F40" s="188">
        <f t="shared" si="5"/>
        <v>186162.40146852389</v>
      </c>
      <c r="G40" s="188">
        <f t="shared" si="10"/>
        <v>210195.54189110134</v>
      </c>
      <c r="H40" s="188">
        <f t="shared" si="11"/>
        <v>42039.108378220262</v>
      </c>
      <c r="I40" s="188">
        <f t="shared" si="12"/>
        <v>168156.43351288108</v>
      </c>
      <c r="J40" s="188">
        <f t="shared" si="7"/>
        <v>46540.600367130974</v>
      </c>
      <c r="K40" s="188">
        <f t="shared" si="8"/>
        <v>42039.10837822027</v>
      </c>
      <c r="L40" s="546"/>
    </row>
    <row r="41" spans="1:12" ht="19.95" customHeight="1">
      <c r="A41" s="127" t="s">
        <v>402</v>
      </c>
      <c r="B41" s="188">
        <f t="shared" si="9"/>
        <v>186162.40146852389</v>
      </c>
      <c r="C41" s="188">
        <f t="shared" si="6"/>
        <v>50000</v>
      </c>
      <c r="D41" s="128">
        <v>1</v>
      </c>
      <c r="E41" s="188">
        <f t="shared" si="13"/>
        <v>6808.1200734261947</v>
      </c>
      <c r="F41" s="188">
        <f t="shared" si="5"/>
        <v>142970.52154195009</v>
      </c>
      <c r="G41" s="188">
        <f t="shared" si="10"/>
        <v>168156.43351288108</v>
      </c>
      <c r="H41" s="188">
        <f t="shared" si="11"/>
        <v>42039.108378220262</v>
      </c>
      <c r="I41" s="188">
        <f t="shared" si="12"/>
        <v>126117.32513466082</v>
      </c>
      <c r="J41" s="188">
        <f t="shared" si="7"/>
        <v>35742.630385487522</v>
      </c>
      <c r="K41" s="188">
        <f t="shared" si="8"/>
        <v>31529.331283665204</v>
      </c>
      <c r="L41" s="546"/>
    </row>
    <row r="42" spans="1:12" ht="19.95" customHeight="1">
      <c r="A42" s="127" t="s">
        <v>403</v>
      </c>
      <c r="B42" s="188">
        <f t="shared" si="9"/>
        <v>142970.52154195009</v>
      </c>
      <c r="C42" s="188">
        <f t="shared" si="6"/>
        <v>50000</v>
      </c>
      <c r="D42" s="128">
        <v>1</v>
      </c>
      <c r="E42" s="188">
        <f t="shared" si="13"/>
        <v>4648.5260770975046</v>
      </c>
      <c r="F42" s="188">
        <f t="shared" si="5"/>
        <v>97619.047619047589</v>
      </c>
      <c r="G42" s="188">
        <f t="shared" si="10"/>
        <v>126117.32513466082</v>
      </c>
      <c r="H42" s="188">
        <f t="shared" si="11"/>
        <v>42039.108378220262</v>
      </c>
      <c r="I42" s="188">
        <f t="shared" si="12"/>
        <v>84078.216756440554</v>
      </c>
      <c r="J42" s="188">
        <f t="shared" si="7"/>
        <v>24404.761904761897</v>
      </c>
      <c r="K42" s="188">
        <f t="shared" si="8"/>
        <v>21019.554189110138</v>
      </c>
      <c r="L42" s="546"/>
    </row>
    <row r="43" spans="1:12" ht="19.95" customHeight="1">
      <c r="A43" s="127" t="s">
        <v>404</v>
      </c>
      <c r="B43" s="188">
        <f t="shared" si="9"/>
        <v>97619.047619047589</v>
      </c>
      <c r="C43" s="188">
        <f t="shared" si="6"/>
        <v>50000</v>
      </c>
      <c r="D43" s="128">
        <v>1</v>
      </c>
      <c r="E43" s="188">
        <f t="shared" si="13"/>
        <v>2380.9523809523794</v>
      </c>
      <c r="F43" s="188">
        <f t="shared" si="5"/>
        <v>49999.999999999971</v>
      </c>
      <c r="G43" s="188">
        <f t="shared" si="10"/>
        <v>84078.216756440554</v>
      </c>
      <c r="H43" s="188">
        <f t="shared" si="11"/>
        <v>42039.108378220262</v>
      </c>
      <c r="I43" s="188">
        <f t="shared" si="12"/>
        <v>42039.108378220291</v>
      </c>
      <c r="J43" s="188">
        <f t="shared" si="7"/>
        <v>12499.999999999993</v>
      </c>
      <c r="K43" s="188">
        <f t="shared" si="8"/>
        <v>10509.777094555073</v>
      </c>
      <c r="L43" s="546"/>
    </row>
    <row r="44" spans="1:12" ht="19.95" customHeight="1">
      <c r="A44" s="127" t="s">
        <v>405</v>
      </c>
      <c r="B44" s="188">
        <f t="shared" si="9"/>
        <v>49999.999999999971</v>
      </c>
      <c r="C44" s="188">
        <f t="shared" si="6"/>
        <v>50000</v>
      </c>
      <c r="D44" s="128">
        <v>1</v>
      </c>
      <c r="E44" s="188">
        <f t="shared" si="13"/>
        <v>-1.4551915228366853E-12</v>
      </c>
      <c r="F44" s="188">
        <f t="shared" si="5"/>
        <v>-3.055902197957039E-11</v>
      </c>
      <c r="G44" s="188">
        <f t="shared" si="10"/>
        <v>42039.108378220291</v>
      </c>
      <c r="H44" s="188">
        <f t="shared" si="11"/>
        <v>42039.108378220262</v>
      </c>
      <c r="I44" s="188">
        <f t="shared" si="12"/>
        <v>0</v>
      </c>
      <c r="J44" s="188">
        <f t="shared" si="7"/>
        <v>-7.6397554948925975E-12</v>
      </c>
      <c r="K44" s="188">
        <f t="shared" si="8"/>
        <v>0</v>
      </c>
      <c r="L44" s="546"/>
    </row>
    <row r="45" spans="1:12" ht="19.95" customHeight="1">
      <c r="A45" s="266" t="s">
        <v>387</v>
      </c>
      <c r="B45" s="266"/>
      <c r="C45" s="192">
        <f>SUM(C35:C44)</f>
        <v>450000</v>
      </c>
      <c r="D45" s="191"/>
      <c r="E45" s="192">
        <f>SUM(E35:E44)</f>
        <v>94608.916217797319</v>
      </c>
      <c r="F45" s="191"/>
      <c r="G45" s="191"/>
      <c r="H45" s="192">
        <f>SUM(H35:H44)</f>
        <v>420391.08378220256</v>
      </c>
      <c r="I45" s="191"/>
      <c r="J45" s="191"/>
      <c r="K45" s="191"/>
      <c r="L45" s="546"/>
    </row>
    <row r="46" spans="1:12" ht="19.95" customHeight="1">
      <c r="A46" s="126"/>
      <c r="B46" s="268"/>
      <c r="C46" s="113"/>
      <c r="D46" s="113"/>
      <c r="E46" s="113"/>
      <c r="F46" s="113"/>
      <c r="G46" s="113"/>
      <c r="H46" s="113"/>
      <c r="I46" s="113"/>
      <c r="J46" s="113"/>
      <c r="K46" s="113"/>
      <c r="L46" s="546"/>
    </row>
    <row r="47" spans="1:12" ht="19.95" customHeight="1">
      <c r="A47" s="666" t="s">
        <v>29</v>
      </c>
      <c r="B47" s="666"/>
      <c r="C47" s="666"/>
      <c r="D47" s="666"/>
      <c r="E47" s="666"/>
      <c r="F47" s="666"/>
      <c r="G47" s="666"/>
      <c r="H47" s="666"/>
      <c r="I47" s="666"/>
      <c r="J47" s="572"/>
      <c r="K47" s="572"/>
      <c r="L47" s="546"/>
    </row>
    <row r="48" spans="1:12" ht="19.95" customHeight="1">
      <c r="A48" s="665"/>
      <c r="B48" s="665"/>
      <c r="C48" s="665"/>
      <c r="D48" s="665"/>
      <c r="E48" s="665"/>
      <c r="F48" s="665"/>
      <c r="G48" s="665"/>
      <c r="H48" s="665"/>
      <c r="I48" s="665"/>
      <c r="J48" s="571"/>
      <c r="K48" s="571"/>
      <c r="L48" s="546"/>
    </row>
    <row r="49" spans="1:12" ht="19.95" customHeight="1">
      <c r="A49" s="666" t="s">
        <v>30</v>
      </c>
      <c r="B49" s="666"/>
      <c r="C49" s="666"/>
      <c r="D49" s="666"/>
      <c r="E49" s="666"/>
      <c r="F49" s="666"/>
      <c r="G49" s="666"/>
      <c r="H49" s="666"/>
      <c r="I49" s="666"/>
      <c r="J49" s="572"/>
      <c r="K49" s="572"/>
      <c r="L49" s="546"/>
    </row>
    <row r="50" spans="1:12" ht="19.95" customHeight="1">
      <c r="A50" s="667"/>
      <c r="B50" s="667"/>
      <c r="C50" s="667"/>
      <c r="D50" s="667"/>
      <c r="E50" s="667"/>
      <c r="F50" s="667"/>
      <c r="G50" s="667"/>
      <c r="H50" s="667"/>
      <c r="I50" s="667"/>
      <c r="J50" s="573"/>
      <c r="K50" s="573"/>
      <c r="L50" s="546"/>
    </row>
    <row r="52" spans="1:12" s="130" customFormat="1" ht="19.95" customHeight="1">
      <c r="A52" s="385" t="s">
        <v>752</v>
      </c>
      <c r="L52" s="548"/>
    </row>
    <row r="53" spans="1:12" s="130" customFormat="1" ht="19.95" customHeight="1">
      <c r="A53" s="355" t="s">
        <v>724</v>
      </c>
      <c r="L53" s="548"/>
    </row>
    <row r="54" spans="1:12" s="130" customFormat="1" ht="19.95" customHeight="1">
      <c r="A54" s="355" t="s">
        <v>726</v>
      </c>
      <c r="L54" s="548"/>
    </row>
    <row r="55" spans="1:12" s="130" customFormat="1" ht="19.95" customHeight="1">
      <c r="A55" s="355" t="s">
        <v>725</v>
      </c>
      <c r="L55" s="548"/>
    </row>
    <row r="56" spans="1:12" s="130" customFormat="1" ht="19.95" customHeight="1">
      <c r="A56" s="93"/>
      <c r="L56" s="548"/>
    </row>
    <row r="57" spans="1:12" s="130" customFormat="1" ht="19.95" customHeight="1">
      <c r="A57" s="131"/>
      <c r="L57" s="548"/>
    </row>
    <row r="58" spans="1:12" ht="19.95" customHeight="1">
      <c r="A58" s="131"/>
    </row>
    <row r="59" spans="1:12" ht="19.95" customHeight="1">
      <c r="A59" s="131"/>
    </row>
  </sheetData>
  <mergeCells count="14">
    <mergeCell ref="A47:I47"/>
    <mergeCell ref="A48:I48"/>
    <mergeCell ref="A49:I49"/>
    <mergeCell ref="A50:I50"/>
    <mergeCell ref="A6:I6"/>
    <mergeCell ref="A33:A34"/>
    <mergeCell ref="B33:F33"/>
    <mergeCell ref="G33:I33"/>
    <mergeCell ref="J33:J34"/>
    <mergeCell ref="K33:K34"/>
    <mergeCell ref="A5:K5"/>
    <mergeCell ref="A1:K1"/>
    <mergeCell ref="A2:K2"/>
    <mergeCell ref="A11:G11"/>
  </mergeCells>
  <phoneticPr fontId="11" type="noConversion"/>
  <hyperlinks>
    <hyperlink ref="I3" location="底稿目录!A1" display="H8A"/>
  </hyperlinks>
  <printOptions horizontalCentered="1"/>
  <pageMargins left="0.94488188976377963" right="0.27559055118110237" top="0.62992125984251968" bottom="0.51181102362204722" header="0.51181102362204722" footer="0.35433070866141736"/>
  <pageSetup paperSize="9" scale="69" fitToHeight="0" orientation="portrait" blackAndWhite="1" r:id="rId1"/>
  <headerFooter alignWithMargins="0">
    <oddFooter>&amp;C&amp;P/&amp;N</oddFooter>
  </headerFooter>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P361"/>
  <sheetViews>
    <sheetView view="pageBreakPreview" zoomScaleNormal="100" zoomScaleSheetLayoutView="100" workbookViewId="0">
      <selection sqref="A1:M1"/>
    </sheetView>
  </sheetViews>
  <sheetFormatPr defaultColWidth="8.09765625" defaultRowHeight="19.95" customHeight="1"/>
  <cols>
    <col min="1" max="1" width="4.8984375" style="96" customWidth="1"/>
    <col min="2" max="2" width="16.09765625" style="96" customWidth="1"/>
    <col min="3" max="3" width="11.3984375" style="105" customWidth="1"/>
    <col min="4" max="4" width="11.59765625" style="96" customWidth="1"/>
    <col min="5" max="7" width="12.59765625" style="109" customWidth="1"/>
    <col min="8" max="8" width="19.296875" style="96" customWidth="1"/>
    <col min="9" max="9" width="12" style="96" customWidth="1"/>
    <col min="10" max="10" width="12.5" style="96" customWidth="1"/>
    <col min="11" max="11" width="12.3984375" style="96" bestFit="1" customWidth="1"/>
    <col min="12" max="12" width="11.3984375" style="96" bestFit="1" customWidth="1"/>
    <col min="13" max="13" width="11.09765625" style="96" customWidth="1"/>
    <col min="14" max="14" width="12.59765625" style="566" customWidth="1"/>
    <col min="15" max="16384" width="8.09765625" style="96"/>
  </cols>
  <sheetData>
    <row r="1" spans="1:16" s="306" customFormat="1" ht="19.95" customHeight="1">
      <c r="A1" s="701" t="s">
        <v>707</v>
      </c>
      <c r="B1" s="701"/>
      <c r="C1" s="701"/>
      <c r="D1" s="701"/>
      <c r="E1" s="701"/>
      <c r="F1" s="701"/>
      <c r="G1" s="701"/>
      <c r="H1" s="701"/>
      <c r="I1" s="701"/>
      <c r="J1" s="701"/>
      <c r="K1" s="701"/>
      <c r="L1" s="701"/>
      <c r="M1" s="701"/>
      <c r="N1" s="563"/>
    </row>
    <row r="2" spans="1:16" s="317" customFormat="1" ht="19.95" customHeight="1">
      <c r="A2" s="702" t="s">
        <v>876</v>
      </c>
      <c r="B2" s="703"/>
      <c r="C2" s="703"/>
      <c r="D2" s="703"/>
      <c r="E2" s="703"/>
      <c r="F2" s="703"/>
      <c r="G2" s="703"/>
      <c r="H2" s="703"/>
      <c r="I2" s="703"/>
      <c r="J2" s="703"/>
      <c r="K2" s="703"/>
      <c r="L2" s="703"/>
      <c r="M2" s="703"/>
      <c r="N2" s="564"/>
    </row>
    <row r="3" spans="1:16" s="92" customFormat="1" ht="19.95" customHeight="1">
      <c r="A3" s="92" t="str">
        <f>底稿目录!A2</f>
        <v>被审计单位：</v>
      </c>
      <c r="E3" s="92" t="str">
        <f>底稿目录!A4</f>
        <v>编制人：</v>
      </c>
      <c r="I3" s="93" t="str">
        <f>底稿目录!A6</f>
        <v>编制日期：</v>
      </c>
      <c r="L3" s="357" t="s">
        <v>733</v>
      </c>
      <c r="M3" s="210" t="s">
        <v>84</v>
      </c>
      <c r="N3" s="565"/>
    </row>
    <row r="4" spans="1:16" s="92" customFormat="1" ht="19.95" customHeight="1">
      <c r="A4" s="92" t="str">
        <f>底稿目录!A3</f>
        <v>截止日：202X年12月31日</v>
      </c>
      <c r="E4" s="92" t="str">
        <f>底稿目录!A5</f>
        <v>复核人：</v>
      </c>
      <c r="I4" s="93" t="str">
        <f>底稿目录!A7</f>
        <v>复核日期：</v>
      </c>
      <c r="L4" s="357" t="s">
        <v>734</v>
      </c>
      <c r="M4" s="218"/>
      <c r="N4" s="565"/>
    </row>
    <row r="5" spans="1:16" s="92" customFormat="1" ht="19.95" customHeight="1">
      <c r="C5" s="94"/>
      <c r="N5" s="565"/>
    </row>
    <row r="6" spans="1:16" s="92" customFormat="1" ht="19.95" customHeight="1">
      <c r="A6" s="99" t="s">
        <v>406</v>
      </c>
      <c r="B6" s="269"/>
      <c r="C6" s="94"/>
      <c r="N6" s="565"/>
    </row>
    <row r="7" spans="1:16" s="92" customFormat="1" ht="19.95" customHeight="1">
      <c r="A7" s="95" t="s">
        <v>407</v>
      </c>
      <c r="B7" s="270" t="s">
        <v>408</v>
      </c>
      <c r="C7" s="96" t="s">
        <v>409</v>
      </c>
      <c r="N7" s="565"/>
    </row>
    <row r="8" spans="1:16" s="92" customFormat="1" ht="19.95" customHeight="1">
      <c r="A8" s="95" t="s">
        <v>410</v>
      </c>
      <c r="B8" s="270" t="s">
        <v>411</v>
      </c>
      <c r="C8" s="96" t="s">
        <v>412</v>
      </c>
      <c r="N8" s="565"/>
    </row>
    <row r="9" spans="1:16" s="92" customFormat="1" ht="19.95" customHeight="1">
      <c r="A9" s="95" t="s">
        <v>413</v>
      </c>
      <c r="B9" s="270" t="s">
        <v>414</v>
      </c>
      <c r="C9" s="96" t="s">
        <v>415</v>
      </c>
      <c r="N9" s="565"/>
    </row>
    <row r="10" spans="1:16" s="92" customFormat="1" ht="19.95" customHeight="1">
      <c r="A10" s="95" t="s">
        <v>14</v>
      </c>
      <c r="B10" s="270" t="s">
        <v>416</v>
      </c>
      <c r="C10" s="270" t="s">
        <v>417</v>
      </c>
      <c r="N10" s="565"/>
    </row>
    <row r="11" spans="1:16" s="92" customFormat="1" ht="19.95" customHeight="1">
      <c r="A11" s="95" t="s">
        <v>117</v>
      </c>
      <c r="B11" s="270" t="s">
        <v>418</v>
      </c>
      <c r="C11" s="270" t="s">
        <v>419</v>
      </c>
      <c r="N11" s="565"/>
    </row>
    <row r="12" spans="1:16" s="92" customFormat="1" ht="19.95" customHeight="1">
      <c r="A12" s="270"/>
      <c r="C12" s="270"/>
      <c r="N12" s="565"/>
    </row>
    <row r="13" spans="1:16" ht="19.95" customHeight="1">
      <c r="A13" s="697" t="s">
        <v>420</v>
      </c>
      <c r="B13" s="697"/>
      <c r="C13" s="697"/>
      <c r="D13" s="697" t="s">
        <v>421</v>
      </c>
      <c r="E13" s="697"/>
      <c r="F13" s="697"/>
      <c r="G13" s="697"/>
      <c r="H13" s="697"/>
      <c r="I13" s="705"/>
      <c r="J13" s="705"/>
    </row>
    <row r="14" spans="1:16" s="98" customFormat="1" ht="19.95" customHeight="1">
      <c r="A14" s="704" t="s">
        <v>807</v>
      </c>
      <c r="B14" s="704"/>
      <c r="C14" s="412"/>
      <c r="D14" s="413"/>
      <c r="E14" s="414" t="s">
        <v>422</v>
      </c>
      <c r="F14" s="414" t="s">
        <v>423</v>
      </c>
      <c r="G14" s="414"/>
      <c r="H14" s="415"/>
      <c r="I14" s="459" t="s">
        <v>804</v>
      </c>
      <c r="J14" s="460" t="s">
        <v>809</v>
      </c>
      <c r="N14" s="567"/>
      <c r="O14" s="96"/>
      <c r="P14" s="96"/>
    </row>
    <row r="15" spans="1:16" ht="19.95" customHeight="1">
      <c r="A15" s="704" t="s">
        <v>808</v>
      </c>
      <c r="B15" s="704"/>
      <c r="C15" s="416">
        <v>44197</v>
      </c>
      <c r="D15" s="456" t="s">
        <v>800</v>
      </c>
      <c r="E15" s="417">
        <f>K22</f>
        <v>403559.44906082295</v>
      </c>
      <c r="F15" s="418"/>
      <c r="G15" s="417"/>
      <c r="H15" s="458" t="s">
        <v>802</v>
      </c>
      <c r="I15" s="417">
        <f>L22</f>
        <v>88758.153357977426</v>
      </c>
      <c r="J15" s="417"/>
      <c r="N15" s="567"/>
    </row>
    <row r="16" spans="1:16" ht="19.95" customHeight="1">
      <c r="A16" s="704" t="s">
        <v>810</v>
      </c>
      <c r="B16" s="704"/>
      <c r="C16" s="416">
        <v>47848</v>
      </c>
      <c r="D16" s="457" t="s">
        <v>25</v>
      </c>
      <c r="E16" s="418"/>
      <c r="F16" s="417">
        <f>E349</f>
        <v>353559.44906082295</v>
      </c>
      <c r="G16" s="418"/>
      <c r="H16" s="458" t="s">
        <v>803</v>
      </c>
      <c r="I16" s="417"/>
      <c r="J16" s="417">
        <f>M22</f>
        <v>100889.86226520574</v>
      </c>
    </row>
    <row r="17" spans="1:15" ht="19.95" customHeight="1">
      <c r="A17" s="704" t="s">
        <v>811</v>
      </c>
      <c r="B17" s="704"/>
      <c r="C17" s="419">
        <v>0.05</v>
      </c>
      <c r="D17" s="457" t="s">
        <v>801</v>
      </c>
      <c r="E17" s="418"/>
      <c r="F17" s="417">
        <f>H349</f>
        <v>50000</v>
      </c>
      <c r="G17" s="418"/>
      <c r="H17" s="458" t="s">
        <v>806</v>
      </c>
      <c r="I17" s="417">
        <f>J16-I15</f>
        <v>12131.708907228312</v>
      </c>
      <c r="J17" s="417"/>
    </row>
    <row r="18" spans="1:15" s="99" customFormat="1" ht="19.95" customHeight="1">
      <c r="A18" s="704" t="s">
        <v>805</v>
      </c>
      <c r="B18" s="704"/>
      <c r="C18" s="420">
        <f>(YEAR($C$16)-YEAR($C$15))*12+MONTH($C$16)-MONTH($C$15)+1</f>
        <v>120</v>
      </c>
      <c r="D18" s="421"/>
      <c r="E18" s="422">
        <f>SUM(E15:E17)</f>
        <v>403559.44906082295</v>
      </c>
      <c r="F18" s="422">
        <f>SUM(F15:F17)</f>
        <v>403559.44906082295</v>
      </c>
      <c r="G18" s="422"/>
      <c r="H18" s="417"/>
      <c r="I18" s="422">
        <f>SUM(I15:I17)</f>
        <v>100889.86226520574</v>
      </c>
      <c r="J18" s="423">
        <f>SUM(J15:J17)</f>
        <v>100889.86226520574</v>
      </c>
      <c r="K18" s="100"/>
      <c r="L18" s="185"/>
      <c r="N18" s="568"/>
    </row>
    <row r="19" spans="1:15" s="99" customFormat="1" ht="19.95" customHeight="1">
      <c r="A19" s="455" t="s">
        <v>935</v>
      </c>
      <c r="B19" s="455"/>
      <c r="C19" s="424">
        <v>0.25</v>
      </c>
      <c r="D19" s="421"/>
      <c r="E19" s="425"/>
      <c r="F19" s="425"/>
      <c r="G19" s="425"/>
      <c r="H19" s="418"/>
      <c r="I19" s="418"/>
      <c r="J19" s="418"/>
      <c r="K19" s="100"/>
      <c r="L19" s="185"/>
      <c r="N19" s="568"/>
    </row>
    <row r="20" spans="1:15" s="99" customFormat="1" ht="19.95" customHeight="1">
      <c r="A20" s="426"/>
      <c r="B20" s="426"/>
      <c r="C20" s="426"/>
      <c r="D20" s="426"/>
      <c r="E20" s="427"/>
      <c r="F20" s="427"/>
      <c r="G20" s="427"/>
      <c r="H20" s="427"/>
      <c r="I20" s="427"/>
      <c r="J20" s="427"/>
      <c r="K20" s="428"/>
      <c r="N20" s="568"/>
    </row>
    <row r="21" spans="1:15" s="454" customFormat="1" ht="36">
      <c r="A21" s="451" t="s">
        <v>792</v>
      </c>
      <c r="B21" s="452" t="s">
        <v>787</v>
      </c>
      <c r="C21" s="451" t="s">
        <v>790</v>
      </c>
      <c r="D21" s="451" t="s">
        <v>788</v>
      </c>
      <c r="E21" s="453" t="s">
        <v>795</v>
      </c>
      <c r="F21" s="453" t="s">
        <v>789</v>
      </c>
      <c r="G21" s="453" t="s">
        <v>793</v>
      </c>
      <c r="H21" s="451" t="s">
        <v>796</v>
      </c>
      <c r="I21" s="453" t="s">
        <v>799</v>
      </c>
      <c r="J21" s="453" t="s">
        <v>791</v>
      </c>
      <c r="K21" s="453" t="s">
        <v>797</v>
      </c>
      <c r="L21" s="453" t="s">
        <v>794</v>
      </c>
      <c r="M21" s="453" t="s">
        <v>798</v>
      </c>
      <c r="N21" s="569"/>
    </row>
    <row r="22" spans="1:15" s="102" customFormat="1" ht="19.95" customHeight="1">
      <c r="A22" s="429">
        <v>1</v>
      </c>
      <c r="B22" s="430">
        <f>C15</f>
        <v>44197</v>
      </c>
      <c r="C22" s="431"/>
      <c r="D22" s="432"/>
      <c r="E22" s="433">
        <f>(D22+C22)/(POWER((1+$C$17),A22-1))</f>
        <v>0</v>
      </c>
      <c r="F22" s="433">
        <f>$C$17/12*E349</f>
        <v>1473.1643710867622</v>
      </c>
      <c r="G22" s="433">
        <f>F22+E349</f>
        <v>355032.6134319097</v>
      </c>
      <c r="H22" s="434">
        <v>50000</v>
      </c>
      <c r="I22" s="435"/>
      <c r="J22" s="435"/>
      <c r="K22" s="436">
        <f>$E$349+$H$349-I22</f>
        <v>403559.44906082295</v>
      </c>
      <c r="L22" s="437">
        <f>G22*$C$19</f>
        <v>88758.153357977426</v>
      </c>
      <c r="M22" s="437">
        <f>K22*$C$19</f>
        <v>100889.86226520574</v>
      </c>
      <c r="N22" s="570"/>
      <c r="O22" s="101"/>
    </row>
    <row r="23" spans="1:15" ht="19.95" customHeight="1">
      <c r="A23" s="438">
        <f t="shared" ref="A23:A86" si="0">A22+1</f>
        <v>2</v>
      </c>
      <c r="B23" s="430">
        <f t="shared" ref="B23:B86" si="1">EDATE(B22,1)</f>
        <v>44228</v>
      </c>
      <c r="C23" s="431"/>
      <c r="D23" s="432"/>
      <c r="E23" s="433">
        <f>(D23+C23)/(POWER((1+$C$17/12),A23-1))</f>
        <v>0</v>
      </c>
      <c r="F23" s="433">
        <f>$C$17/12*(G22-C23)</f>
        <v>1479.3025559662904</v>
      </c>
      <c r="G23" s="433">
        <f>G22-C23+F23</f>
        <v>356511.91598787601</v>
      </c>
      <c r="H23" s="439"/>
      <c r="I23" s="436">
        <f>IF(($A23-1)&gt;$C$18,0,($E$349+$H$349)/($C$18))</f>
        <v>3362.9954088401914</v>
      </c>
      <c r="J23" s="436">
        <f>IF(I23=0,0,J22+I23)</f>
        <v>3362.9954088401914</v>
      </c>
      <c r="K23" s="436">
        <f t="shared" ref="K23:K86" si="2">K22-I23</f>
        <v>400196.45365198277</v>
      </c>
      <c r="L23" s="437">
        <f>G23*$C$19</f>
        <v>89127.978996969003</v>
      </c>
      <c r="M23" s="437">
        <f>K23*$C$19</f>
        <v>100049.11341299569</v>
      </c>
      <c r="N23" s="570"/>
      <c r="O23" s="101"/>
    </row>
    <row r="24" spans="1:15" ht="19.95" customHeight="1">
      <c r="A24" s="438">
        <f t="shared" si="0"/>
        <v>3</v>
      </c>
      <c r="B24" s="430">
        <f t="shared" si="1"/>
        <v>44256</v>
      </c>
      <c r="C24" s="431"/>
      <c r="D24" s="440"/>
      <c r="E24" s="433">
        <f t="shared" ref="E24:E86" si="3">(D24+C24)/(POWER((1+$C$17/12),A24-1))</f>
        <v>0</v>
      </c>
      <c r="F24" s="433">
        <f t="shared" ref="F24:F34" si="4">$C$17/12*(G23-C24)</f>
        <v>1485.4663166161499</v>
      </c>
      <c r="G24" s="433">
        <f>G23-C24+F24</f>
        <v>357997.38230449217</v>
      </c>
      <c r="H24" s="441"/>
      <c r="I24" s="436">
        <f t="shared" ref="I24:I86" si="5">IF(($A24-1)&gt;$C$18,0,($E$349+$H$349)/($C$18))</f>
        <v>3362.9954088401914</v>
      </c>
      <c r="J24" s="436">
        <f>IF(I24=0,0,J23+I24)</f>
        <v>6725.9908176803829</v>
      </c>
      <c r="K24" s="436">
        <f t="shared" si="2"/>
        <v>396833.45824314258</v>
      </c>
      <c r="L24" s="437">
        <f t="shared" ref="L24:L85" si="6">G24*$C$19</f>
        <v>89499.345576123043</v>
      </c>
      <c r="M24" s="437">
        <f t="shared" ref="M24:M86" si="7">K24*$C$19</f>
        <v>99208.364560785645</v>
      </c>
      <c r="N24" s="570"/>
      <c r="O24" s="101"/>
    </row>
    <row r="25" spans="1:15" ht="19.95" customHeight="1">
      <c r="A25" s="438">
        <f t="shared" si="0"/>
        <v>4</v>
      </c>
      <c r="B25" s="430">
        <f t="shared" si="1"/>
        <v>44287</v>
      </c>
      <c r="C25" s="431"/>
      <c r="D25" s="408"/>
      <c r="E25" s="433">
        <f t="shared" si="3"/>
        <v>0</v>
      </c>
      <c r="F25" s="433">
        <f t="shared" si="4"/>
        <v>1491.6557596020507</v>
      </c>
      <c r="G25" s="433">
        <f t="shared" ref="G25:G32" si="8">G24-C25+F25</f>
        <v>359489.0380640942</v>
      </c>
      <c r="H25" s="441"/>
      <c r="I25" s="436">
        <f t="shared" si="5"/>
        <v>3362.9954088401914</v>
      </c>
      <c r="J25" s="436">
        <f t="shared" ref="J25:J88" si="9">IF(I25=0,0,J24+I25)</f>
        <v>10088.986226520574</v>
      </c>
      <c r="K25" s="436">
        <f t="shared" si="2"/>
        <v>393470.46283430239</v>
      </c>
      <c r="L25" s="437">
        <f t="shared" si="6"/>
        <v>89872.259516023551</v>
      </c>
      <c r="M25" s="437">
        <f t="shared" si="7"/>
        <v>98367.615708575599</v>
      </c>
      <c r="N25" s="570"/>
      <c r="O25" s="101"/>
    </row>
    <row r="26" spans="1:15" ht="19.95" customHeight="1">
      <c r="A26" s="438">
        <f t="shared" si="0"/>
        <v>5</v>
      </c>
      <c r="B26" s="430">
        <f t="shared" si="1"/>
        <v>44317</v>
      </c>
      <c r="C26" s="431"/>
      <c r="D26" s="408"/>
      <c r="E26" s="433">
        <f t="shared" si="3"/>
        <v>0</v>
      </c>
      <c r="F26" s="433">
        <f t="shared" si="4"/>
        <v>1497.8709919337259</v>
      </c>
      <c r="G26" s="433">
        <f t="shared" si="8"/>
        <v>360986.90905602794</v>
      </c>
      <c r="H26" s="441"/>
      <c r="I26" s="436">
        <f t="shared" si="5"/>
        <v>3362.9954088401914</v>
      </c>
      <c r="J26" s="436">
        <f t="shared" si="9"/>
        <v>13451.981635360766</v>
      </c>
      <c r="K26" s="436">
        <f t="shared" si="2"/>
        <v>390107.46742546221</v>
      </c>
      <c r="L26" s="437">
        <f t="shared" si="6"/>
        <v>90246.727264006986</v>
      </c>
      <c r="M26" s="437">
        <f t="shared" si="7"/>
        <v>97526.866856365552</v>
      </c>
      <c r="N26" s="570"/>
      <c r="O26" s="101"/>
    </row>
    <row r="27" spans="1:15" ht="19.95" customHeight="1">
      <c r="A27" s="438">
        <f t="shared" si="0"/>
        <v>6</v>
      </c>
      <c r="B27" s="430">
        <f t="shared" si="1"/>
        <v>44348</v>
      </c>
      <c r="C27" s="431"/>
      <c r="D27" s="408"/>
      <c r="E27" s="433">
        <f t="shared" si="3"/>
        <v>0</v>
      </c>
      <c r="F27" s="433">
        <f t="shared" si="4"/>
        <v>1504.1121210667832</v>
      </c>
      <c r="G27" s="433">
        <f t="shared" si="8"/>
        <v>362491.02117709472</v>
      </c>
      <c r="H27" s="441"/>
      <c r="I27" s="436">
        <f t="shared" si="5"/>
        <v>3362.9954088401914</v>
      </c>
      <c r="J27" s="436">
        <f t="shared" si="9"/>
        <v>16814.977044200958</v>
      </c>
      <c r="K27" s="436">
        <f t="shared" si="2"/>
        <v>386744.47201662202</v>
      </c>
      <c r="L27" s="437">
        <f t="shared" si="6"/>
        <v>90622.75529427368</v>
      </c>
      <c r="M27" s="437">
        <f t="shared" si="7"/>
        <v>96686.118004155505</v>
      </c>
      <c r="N27" s="570"/>
      <c r="O27" s="101"/>
    </row>
    <row r="28" spans="1:15" ht="19.95" customHeight="1">
      <c r="A28" s="438">
        <f t="shared" si="0"/>
        <v>7</v>
      </c>
      <c r="B28" s="430">
        <f t="shared" si="1"/>
        <v>44378</v>
      </c>
      <c r="C28" s="431"/>
      <c r="D28" s="408"/>
      <c r="E28" s="433">
        <f t="shared" si="3"/>
        <v>0</v>
      </c>
      <c r="F28" s="433">
        <f t="shared" si="4"/>
        <v>1510.3792549045613</v>
      </c>
      <c r="G28" s="433">
        <f t="shared" si="8"/>
        <v>364001.4004319993</v>
      </c>
      <c r="H28" s="441"/>
      <c r="I28" s="436">
        <f t="shared" si="5"/>
        <v>3362.9954088401914</v>
      </c>
      <c r="J28" s="436">
        <f t="shared" si="9"/>
        <v>20177.972453041148</v>
      </c>
      <c r="K28" s="436">
        <f t="shared" si="2"/>
        <v>383381.47660778183</v>
      </c>
      <c r="L28" s="437">
        <f t="shared" si="6"/>
        <v>91000.350107999824</v>
      </c>
      <c r="M28" s="437">
        <f t="shared" si="7"/>
        <v>95845.369151945459</v>
      </c>
      <c r="N28" s="570"/>
      <c r="O28" s="101"/>
    </row>
    <row r="29" spans="1:15" ht="19.95" customHeight="1">
      <c r="A29" s="438">
        <f t="shared" si="0"/>
        <v>8</v>
      </c>
      <c r="B29" s="430">
        <f t="shared" si="1"/>
        <v>44409</v>
      </c>
      <c r="C29" s="431"/>
      <c r="D29" s="408"/>
      <c r="E29" s="433">
        <f t="shared" si="3"/>
        <v>0</v>
      </c>
      <c r="F29" s="433">
        <f t="shared" si="4"/>
        <v>1516.672501799997</v>
      </c>
      <c r="G29" s="433">
        <f t="shared" si="8"/>
        <v>365518.0729337993</v>
      </c>
      <c r="H29" s="441"/>
      <c r="I29" s="436">
        <f t="shared" si="5"/>
        <v>3362.9954088401914</v>
      </c>
      <c r="J29" s="436">
        <f t="shared" si="9"/>
        <v>23540.967861881338</v>
      </c>
      <c r="K29" s="436">
        <f t="shared" si="2"/>
        <v>380018.48119894165</v>
      </c>
      <c r="L29" s="437">
        <f t="shared" si="6"/>
        <v>91379.518233449824</v>
      </c>
      <c r="M29" s="437">
        <f t="shared" si="7"/>
        <v>95004.620299735412</v>
      </c>
      <c r="N29" s="570"/>
      <c r="O29" s="101"/>
    </row>
    <row r="30" spans="1:15" ht="19.95" customHeight="1">
      <c r="A30" s="438">
        <f t="shared" si="0"/>
        <v>9</v>
      </c>
      <c r="B30" s="430">
        <f t="shared" si="1"/>
        <v>44440</v>
      </c>
      <c r="C30" s="431"/>
      <c r="D30" s="408"/>
      <c r="E30" s="433">
        <f t="shared" si="3"/>
        <v>0</v>
      </c>
      <c r="F30" s="433">
        <f t="shared" si="4"/>
        <v>1522.9919705574971</v>
      </c>
      <c r="G30" s="433">
        <f t="shared" si="8"/>
        <v>367041.06490435678</v>
      </c>
      <c r="H30" s="441"/>
      <c r="I30" s="436">
        <f t="shared" si="5"/>
        <v>3362.9954088401914</v>
      </c>
      <c r="J30" s="436">
        <f t="shared" si="9"/>
        <v>26903.963270721528</v>
      </c>
      <c r="K30" s="436">
        <f t="shared" si="2"/>
        <v>376655.48579010146</v>
      </c>
      <c r="L30" s="437">
        <f t="shared" si="6"/>
        <v>91760.266226089196</v>
      </c>
      <c r="M30" s="437">
        <f t="shared" si="7"/>
        <v>94163.871447525366</v>
      </c>
      <c r="N30" s="570"/>
      <c r="O30" s="101"/>
    </row>
    <row r="31" spans="1:15" ht="19.95" customHeight="1">
      <c r="A31" s="438">
        <f t="shared" si="0"/>
        <v>10</v>
      </c>
      <c r="B31" s="442">
        <f t="shared" si="1"/>
        <v>44470</v>
      </c>
      <c r="C31" s="431"/>
      <c r="D31" s="408"/>
      <c r="E31" s="433">
        <f t="shared" si="3"/>
        <v>0</v>
      </c>
      <c r="F31" s="433">
        <f t="shared" si="4"/>
        <v>1529.33777043482</v>
      </c>
      <c r="G31" s="433">
        <f t="shared" si="8"/>
        <v>368570.40267479158</v>
      </c>
      <c r="H31" s="441"/>
      <c r="I31" s="436">
        <f t="shared" si="5"/>
        <v>3362.9954088401914</v>
      </c>
      <c r="J31" s="436">
        <f t="shared" si="9"/>
        <v>30266.958679561718</v>
      </c>
      <c r="K31" s="436">
        <f t="shared" si="2"/>
        <v>373292.49038126128</v>
      </c>
      <c r="L31" s="437">
        <f t="shared" si="6"/>
        <v>92142.600668697894</v>
      </c>
      <c r="M31" s="437">
        <f t="shared" si="7"/>
        <v>93323.122595315319</v>
      </c>
      <c r="N31" s="570"/>
      <c r="O31" s="101"/>
    </row>
    <row r="32" spans="1:15" ht="19.95" customHeight="1">
      <c r="A32" s="438">
        <f t="shared" si="0"/>
        <v>11</v>
      </c>
      <c r="B32" s="442">
        <f t="shared" si="1"/>
        <v>44501</v>
      </c>
      <c r="C32" s="431"/>
      <c r="D32" s="408"/>
      <c r="E32" s="433">
        <f t="shared" si="3"/>
        <v>0</v>
      </c>
      <c r="F32" s="433">
        <f t="shared" si="4"/>
        <v>1535.7100111449649</v>
      </c>
      <c r="G32" s="433">
        <f t="shared" si="8"/>
        <v>370106.11268593656</v>
      </c>
      <c r="H32" s="441"/>
      <c r="I32" s="436">
        <f t="shared" si="5"/>
        <v>3362.9954088401914</v>
      </c>
      <c r="J32" s="436">
        <f t="shared" si="9"/>
        <v>33629.954088401908</v>
      </c>
      <c r="K32" s="436">
        <f t="shared" si="2"/>
        <v>369929.49497242109</v>
      </c>
      <c r="L32" s="437">
        <f t="shared" si="6"/>
        <v>92526.52817148414</v>
      </c>
      <c r="M32" s="437">
        <f t="shared" si="7"/>
        <v>92482.373743105272</v>
      </c>
      <c r="N32" s="570"/>
      <c r="O32" s="101"/>
    </row>
    <row r="33" spans="1:15" ht="19.95" customHeight="1">
      <c r="A33" s="438">
        <f t="shared" si="0"/>
        <v>12</v>
      </c>
      <c r="B33" s="442">
        <f t="shared" si="1"/>
        <v>44531</v>
      </c>
      <c r="C33" s="431"/>
      <c r="D33" s="408"/>
      <c r="E33" s="433">
        <f t="shared" si="3"/>
        <v>0</v>
      </c>
      <c r="F33" s="433">
        <f t="shared" si="4"/>
        <v>1542.1088028580689</v>
      </c>
      <c r="G33" s="433">
        <f>G32-C33+F33</f>
        <v>371648.2214887946</v>
      </c>
      <c r="H33" s="441"/>
      <c r="I33" s="436">
        <f t="shared" si="5"/>
        <v>3362.9954088401914</v>
      </c>
      <c r="J33" s="436">
        <f t="shared" si="9"/>
        <v>36992.949497242102</v>
      </c>
      <c r="K33" s="436">
        <f t="shared" si="2"/>
        <v>366566.4995635809</v>
      </c>
      <c r="L33" s="437">
        <f t="shared" si="6"/>
        <v>92912.055372198651</v>
      </c>
      <c r="M33" s="437">
        <f t="shared" si="7"/>
        <v>91641.624890895226</v>
      </c>
      <c r="N33" s="570"/>
      <c r="O33" s="101"/>
    </row>
    <row r="34" spans="1:15" ht="19.95" customHeight="1">
      <c r="A34" s="438">
        <f t="shared" si="0"/>
        <v>13</v>
      </c>
      <c r="B34" s="442">
        <f t="shared" si="1"/>
        <v>44562</v>
      </c>
      <c r="C34" s="443">
        <v>50000</v>
      </c>
      <c r="D34" s="408"/>
      <c r="E34" s="433">
        <f t="shared" si="3"/>
        <v>47566.412082437862</v>
      </c>
      <c r="F34" s="433">
        <f t="shared" si="4"/>
        <v>1340.2009228699776</v>
      </c>
      <c r="G34" s="433">
        <f>G33-C34+F34</f>
        <v>322988.42241166456</v>
      </c>
      <c r="H34" s="441"/>
      <c r="I34" s="436">
        <f t="shared" si="5"/>
        <v>3362.9954088401914</v>
      </c>
      <c r="J34" s="436">
        <f t="shared" si="9"/>
        <v>40355.944906082295</v>
      </c>
      <c r="K34" s="436">
        <f t="shared" si="2"/>
        <v>363203.50415474072</v>
      </c>
      <c r="L34" s="437">
        <f t="shared" si="6"/>
        <v>80747.105602916141</v>
      </c>
      <c r="M34" s="437">
        <f t="shared" si="7"/>
        <v>90800.876038685179</v>
      </c>
    </row>
    <row r="35" spans="1:15" ht="19.95" customHeight="1">
      <c r="A35" s="438">
        <f t="shared" si="0"/>
        <v>14</v>
      </c>
      <c r="B35" s="442">
        <f t="shared" si="1"/>
        <v>44593</v>
      </c>
      <c r="C35" s="431"/>
      <c r="D35" s="408"/>
      <c r="E35" s="433">
        <f t="shared" si="3"/>
        <v>0</v>
      </c>
      <c r="F35" s="433">
        <f t="shared" ref="F35:F43" si="10">$C$17/12*(G34-C35)</f>
        <v>1345.7850933819357</v>
      </c>
      <c r="G35" s="433">
        <f t="shared" ref="G35:G43" si="11">G34-C35+F35</f>
        <v>324334.20750504651</v>
      </c>
      <c r="H35" s="441"/>
      <c r="I35" s="436">
        <f t="shared" si="5"/>
        <v>3362.9954088401914</v>
      </c>
      <c r="J35" s="436">
        <f t="shared" si="9"/>
        <v>43718.940314922489</v>
      </c>
      <c r="K35" s="436">
        <f t="shared" si="2"/>
        <v>359840.50874590053</v>
      </c>
      <c r="L35" s="437">
        <f t="shared" si="6"/>
        <v>81083.551876261627</v>
      </c>
      <c r="M35" s="437">
        <f t="shared" si="7"/>
        <v>89960.127186475132</v>
      </c>
    </row>
    <row r="36" spans="1:15" ht="19.95" customHeight="1">
      <c r="A36" s="438">
        <f t="shared" si="0"/>
        <v>15</v>
      </c>
      <c r="B36" s="442">
        <f t="shared" si="1"/>
        <v>44621</v>
      </c>
      <c r="C36" s="431"/>
      <c r="D36" s="408"/>
      <c r="E36" s="433">
        <f t="shared" si="3"/>
        <v>0</v>
      </c>
      <c r="F36" s="433">
        <f t="shared" si="10"/>
        <v>1351.3925312710271</v>
      </c>
      <c r="G36" s="433">
        <f t="shared" si="11"/>
        <v>325685.60003631754</v>
      </c>
      <c r="H36" s="441"/>
      <c r="I36" s="436">
        <f t="shared" si="5"/>
        <v>3362.9954088401914</v>
      </c>
      <c r="J36" s="436">
        <f t="shared" si="9"/>
        <v>47081.935723762683</v>
      </c>
      <c r="K36" s="436">
        <f t="shared" si="2"/>
        <v>356477.51333706034</v>
      </c>
      <c r="L36" s="437">
        <f t="shared" si="6"/>
        <v>81421.400009079385</v>
      </c>
      <c r="M36" s="437">
        <f t="shared" si="7"/>
        <v>89119.378334265086</v>
      </c>
    </row>
    <row r="37" spans="1:15" ht="19.95" customHeight="1">
      <c r="A37" s="438">
        <f t="shared" si="0"/>
        <v>16</v>
      </c>
      <c r="B37" s="442">
        <f t="shared" si="1"/>
        <v>44652</v>
      </c>
      <c r="C37" s="431"/>
      <c r="D37" s="408"/>
      <c r="E37" s="433">
        <f t="shared" si="3"/>
        <v>0</v>
      </c>
      <c r="F37" s="433">
        <f t="shared" si="10"/>
        <v>1357.0233334846564</v>
      </c>
      <c r="G37" s="433">
        <f t="shared" si="11"/>
        <v>327042.6233698022</v>
      </c>
      <c r="H37" s="441"/>
      <c r="I37" s="436">
        <f t="shared" si="5"/>
        <v>3362.9954088401914</v>
      </c>
      <c r="J37" s="436">
        <f t="shared" si="9"/>
        <v>50444.931132602876</v>
      </c>
      <c r="K37" s="436">
        <f t="shared" si="2"/>
        <v>353114.51792822016</v>
      </c>
      <c r="L37" s="437">
        <f t="shared" si="6"/>
        <v>81760.655842450549</v>
      </c>
      <c r="M37" s="437">
        <f t="shared" si="7"/>
        <v>88278.629482055039</v>
      </c>
    </row>
    <row r="38" spans="1:15" ht="19.95" customHeight="1">
      <c r="A38" s="438">
        <f t="shared" si="0"/>
        <v>17</v>
      </c>
      <c r="B38" s="442">
        <f t="shared" si="1"/>
        <v>44682</v>
      </c>
      <c r="C38" s="431"/>
      <c r="D38" s="408"/>
      <c r="E38" s="433">
        <f t="shared" si="3"/>
        <v>0</v>
      </c>
      <c r="F38" s="433">
        <f t="shared" si="10"/>
        <v>1362.6775973741758</v>
      </c>
      <c r="G38" s="433">
        <f t="shared" si="11"/>
        <v>328405.30096717639</v>
      </c>
      <c r="H38" s="441"/>
      <c r="I38" s="436">
        <f t="shared" si="5"/>
        <v>3362.9954088401914</v>
      </c>
      <c r="J38" s="436">
        <f t="shared" si="9"/>
        <v>53807.92654144307</v>
      </c>
      <c r="K38" s="436">
        <f t="shared" si="2"/>
        <v>349751.52251937997</v>
      </c>
      <c r="L38" s="437">
        <f t="shared" si="6"/>
        <v>82101.325241794097</v>
      </c>
      <c r="M38" s="437">
        <f t="shared" si="7"/>
        <v>87437.880629844993</v>
      </c>
    </row>
    <row r="39" spans="1:15" ht="19.95" customHeight="1">
      <c r="A39" s="438">
        <f t="shared" si="0"/>
        <v>18</v>
      </c>
      <c r="B39" s="442">
        <f t="shared" si="1"/>
        <v>44713</v>
      </c>
      <c r="C39" s="431"/>
      <c r="D39" s="408"/>
      <c r="E39" s="433">
        <f t="shared" si="3"/>
        <v>0</v>
      </c>
      <c r="F39" s="433">
        <f t="shared" si="10"/>
        <v>1368.3554206965682</v>
      </c>
      <c r="G39" s="433">
        <f t="shared" si="11"/>
        <v>329773.65638787294</v>
      </c>
      <c r="H39" s="441"/>
      <c r="I39" s="436">
        <f t="shared" si="5"/>
        <v>3362.9954088401914</v>
      </c>
      <c r="J39" s="436">
        <f t="shared" si="9"/>
        <v>57170.921950283264</v>
      </c>
      <c r="K39" s="436">
        <f t="shared" si="2"/>
        <v>346388.52711053978</v>
      </c>
      <c r="L39" s="437">
        <f t="shared" si="6"/>
        <v>82443.414096968234</v>
      </c>
      <c r="M39" s="437">
        <f t="shared" si="7"/>
        <v>86597.131777634946</v>
      </c>
    </row>
    <row r="40" spans="1:15" ht="19.95" customHeight="1">
      <c r="A40" s="438">
        <f t="shared" si="0"/>
        <v>19</v>
      </c>
      <c r="B40" s="442">
        <f t="shared" si="1"/>
        <v>44743</v>
      </c>
      <c r="C40" s="431"/>
      <c r="D40" s="408"/>
      <c r="E40" s="433">
        <f t="shared" si="3"/>
        <v>0</v>
      </c>
      <c r="F40" s="433">
        <f t="shared" si="10"/>
        <v>1374.0569016161371</v>
      </c>
      <c r="G40" s="433">
        <f t="shared" si="11"/>
        <v>331147.7132894891</v>
      </c>
      <c r="H40" s="441"/>
      <c r="I40" s="436">
        <f t="shared" si="5"/>
        <v>3362.9954088401914</v>
      </c>
      <c r="J40" s="436">
        <f t="shared" si="9"/>
        <v>60533.917359123458</v>
      </c>
      <c r="K40" s="436">
        <f t="shared" si="2"/>
        <v>343025.5317016996</v>
      </c>
      <c r="L40" s="437">
        <f t="shared" si="6"/>
        <v>82786.928322372274</v>
      </c>
      <c r="M40" s="437">
        <f t="shared" si="7"/>
        <v>85756.382925424899</v>
      </c>
    </row>
    <row r="41" spans="1:15" ht="19.95" customHeight="1">
      <c r="A41" s="438">
        <f t="shared" si="0"/>
        <v>20</v>
      </c>
      <c r="B41" s="442">
        <f t="shared" si="1"/>
        <v>44774</v>
      </c>
      <c r="C41" s="431"/>
      <c r="D41" s="408"/>
      <c r="E41" s="433">
        <f t="shared" si="3"/>
        <v>0</v>
      </c>
      <c r="F41" s="433">
        <f t="shared" si="10"/>
        <v>1379.7821387062045</v>
      </c>
      <c r="G41" s="433">
        <f t="shared" si="11"/>
        <v>332527.49542819528</v>
      </c>
      <c r="H41" s="441"/>
      <c r="I41" s="436">
        <f t="shared" si="5"/>
        <v>3362.9954088401914</v>
      </c>
      <c r="J41" s="436">
        <f t="shared" si="9"/>
        <v>63896.912767963651</v>
      </c>
      <c r="K41" s="436">
        <f t="shared" si="2"/>
        <v>339662.53629285941</v>
      </c>
      <c r="L41" s="437">
        <f t="shared" si="6"/>
        <v>83131.87385704882</v>
      </c>
      <c r="M41" s="437">
        <f t="shared" si="7"/>
        <v>84915.634073214853</v>
      </c>
    </row>
    <row r="42" spans="1:15" ht="19.95" customHeight="1">
      <c r="A42" s="438">
        <f t="shared" si="0"/>
        <v>21</v>
      </c>
      <c r="B42" s="442">
        <f t="shared" si="1"/>
        <v>44805</v>
      </c>
      <c r="C42" s="431"/>
      <c r="D42" s="408"/>
      <c r="E42" s="433">
        <f t="shared" si="3"/>
        <v>0</v>
      </c>
      <c r="F42" s="433">
        <f t="shared" si="10"/>
        <v>1385.5312309508136</v>
      </c>
      <c r="G42" s="433">
        <f t="shared" si="11"/>
        <v>333913.02665914607</v>
      </c>
      <c r="H42" s="441"/>
      <c r="I42" s="436">
        <f t="shared" si="5"/>
        <v>3362.9954088401914</v>
      </c>
      <c r="J42" s="436">
        <f t="shared" si="9"/>
        <v>67259.908176803845</v>
      </c>
      <c r="K42" s="436">
        <f t="shared" si="2"/>
        <v>336299.54088401922</v>
      </c>
      <c r="L42" s="437">
        <f t="shared" si="6"/>
        <v>83478.256664786517</v>
      </c>
      <c r="M42" s="437">
        <f t="shared" si="7"/>
        <v>84074.885221004806</v>
      </c>
    </row>
    <row r="43" spans="1:15" ht="19.95" customHeight="1">
      <c r="A43" s="438">
        <f t="shared" si="0"/>
        <v>22</v>
      </c>
      <c r="B43" s="442">
        <f t="shared" si="1"/>
        <v>44835</v>
      </c>
      <c r="C43" s="431"/>
      <c r="D43" s="408"/>
      <c r="E43" s="433">
        <f t="shared" si="3"/>
        <v>0</v>
      </c>
      <c r="F43" s="433">
        <f t="shared" si="10"/>
        <v>1391.304277746442</v>
      </c>
      <c r="G43" s="433">
        <f t="shared" si="11"/>
        <v>335304.33093689248</v>
      </c>
      <c r="H43" s="441"/>
      <c r="I43" s="436">
        <f t="shared" si="5"/>
        <v>3362.9954088401914</v>
      </c>
      <c r="J43" s="436">
        <f t="shared" si="9"/>
        <v>70622.903585644031</v>
      </c>
      <c r="K43" s="436">
        <f t="shared" si="2"/>
        <v>332936.54547517904</v>
      </c>
      <c r="L43" s="437">
        <f t="shared" si="6"/>
        <v>83826.08273422312</v>
      </c>
      <c r="M43" s="437">
        <f t="shared" si="7"/>
        <v>83234.13636879476</v>
      </c>
    </row>
    <row r="44" spans="1:15" ht="19.95" customHeight="1">
      <c r="A44" s="438">
        <f t="shared" si="0"/>
        <v>23</v>
      </c>
      <c r="B44" s="442">
        <f t="shared" si="1"/>
        <v>44866</v>
      </c>
      <c r="C44" s="431"/>
      <c r="D44" s="408"/>
      <c r="E44" s="433">
        <f t="shared" si="3"/>
        <v>0</v>
      </c>
      <c r="F44" s="433">
        <f t="shared" ref="F44:F48" si="12">$C$17/12*(G43-C44)</f>
        <v>1397.1013789037186</v>
      </c>
      <c r="G44" s="433">
        <f t="shared" ref="G44:G48" si="13">G43-C44+F44</f>
        <v>336701.43231579621</v>
      </c>
      <c r="H44" s="441"/>
      <c r="I44" s="436">
        <f t="shared" si="5"/>
        <v>3362.9954088401914</v>
      </c>
      <c r="J44" s="436">
        <f t="shared" si="9"/>
        <v>73985.898994484218</v>
      </c>
      <c r="K44" s="436">
        <f t="shared" si="2"/>
        <v>329573.55006633885</v>
      </c>
      <c r="L44" s="437">
        <f t="shared" si="6"/>
        <v>84175.358078949052</v>
      </c>
      <c r="M44" s="437">
        <f t="shared" si="7"/>
        <v>82393.387516584713</v>
      </c>
    </row>
    <row r="45" spans="1:15" ht="19.95" customHeight="1">
      <c r="A45" s="438">
        <f t="shared" si="0"/>
        <v>24</v>
      </c>
      <c r="B45" s="442">
        <f t="shared" si="1"/>
        <v>44896</v>
      </c>
      <c r="C45" s="431"/>
      <c r="D45" s="408"/>
      <c r="E45" s="433">
        <f t="shared" si="3"/>
        <v>0</v>
      </c>
      <c r="F45" s="433">
        <f t="shared" si="12"/>
        <v>1402.922634649151</v>
      </c>
      <c r="G45" s="433">
        <f t="shared" si="13"/>
        <v>338104.35495044535</v>
      </c>
      <c r="H45" s="441"/>
      <c r="I45" s="436">
        <f t="shared" si="5"/>
        <v>3362.9954088401914</v>
      </c>
      <c r="J45" s="436">
        <f t="shared" si="9"/>
        <v>77348.894403324404</v>
      </c>
      <c r="K45" s="436">
        <f t="shared" si="2"/>
        <v>326210.55465749867</v>
      </c>
      <c r="L45" s="437">
        <f t="shared" si="6"/>
        <v>84526.088737611339</v>
      </c>
      <c r="M45" s="437">
        <f t="shared" si="7"/>
        <v>81552.638664374666</v>
      </c>
    </row>
    <row r="46" spans="1:15" ht="19.95" customHeight="1">
      <c r="A46" s="438">
        <f t="shared" si="0"/>
        <v>25</v>
      </c>
      <c r="B46" s="442">
        <f t="shared" si="1"/>
        <v>44927</v>
      </c>
      <c r="C46" s="431">
        <v>50000</v>
      </c>
      <c r="D46" s="408"/>
      <c r="E46" s="433">
        <f t="shared" si="3"/>
        <v>45251.271167925814</v>
      </c>
      <c r="F46" s="433">
        <f t="shared" si="12"/>
        <v>1200.4348122935223</v>
      </c>
      <c r="G46" s="433">
        <f t="shared" si="13"/>
        <v>289304.78976273886</v>
      </c>
      <c r="H46" s="441"/>
      <c r="I46" s="436">
        <f t="shared" si="5"/>
        <v>3362.9954088401914</v>
      </c>
      <c r="J46" s="436">
        <f t="shared" si="9"/>
        <v>80711.889812164591</v>
      </c>
      <c r="K46" s="436">
        <f t="shared" si="2"/>
        <v>322847.55924865848</v>
      </c>
      <c r="L46" s="437">
        <f t="shared" si="6"/>
        <v>72326.197440684715</v>
      </c>
      <c r="M46" s="437">
        <f t="shared" si="7"/>
        <v>80711.88981216462</v>
      </c>
    </row>
    <row r="47" spans="1:15" ht="19.95" customHeight="1">
      <c r="A47" s="438">
        <f t="shared" si="0"/>
        <v>26</v>
      </c>
      <c r="B47" s="442">
        <f t="shared" si="1"/>
        <v>44958</v>
      </c>
      <c r="C47" s="431"/>
      <c r="D47" s="408"/>
      <c r="E47" s="433">
        <f t="shared" si="3"/>
        <v>0</v>
      </c>
      <c r="F47" s="433">
        <f t="shared" si="12"/>
        <v>1205.4366240114118</v>
      </c>
      <c r="G47" s="433">
        <f t="shared" si="13"/>
        <v>290510.22638675029</v>
      </c>
      <c r="H47" s="441"/>
      <c r="I47" s="436">
        <f t="shared" si="5"/>
        <v>3362.9954088401914</v>
      </c>
      <c r="J47" s="436">
        <f t="shared" si="9"/>
        <v>84074.885221004777</v>
      </c>
      <c r="K47" s="436">
        <f t="shared" si="2"/>
        <v>319484.56383981829</v>
      </c>
      <c r="L47" s="437">
        <f t="shared" si="6"/>
        <v>72627.556596687573</v>
      </c>
      <c r="M47" s="437">
        <f t="shared" si="7"/>
        <v>79871.140959954573</v>
      </c>
    </row>
    <row r="48" spans="1:15" ht="19.95" customHeight="1">
      <c r="A48" s="438">
        <f t="shared" si="0"/>
        <v>27</v>
      </c>
      <c r="B48" s="442">
        <f t="shared" si="1"/>
        <v>44986</v>
      </c>
      <c r="C48" s="431"/>
      <c r="D48" s="408"/>
      <c r="E48" s="433">
        <f t="shared" si="3"/>
        <v>0</v>
      </c>
      <c r="F48" s="433">
        <f t="shared" si="12"/>
        <v>1210.4592766114595</v>
      </c>
      <c r="G48" s="433">
        <f t="shared" si="13"/>
        <v>291720.68566336174</v>
      </c>
      <c r="H48" s="441"/>
      <c r="I48" s="436">
        <f t="shared" si="5"/>
        <v>3362.9954088401914</v>
      </c>
      <c r="J48" s="436">
        <f t="shared" si="9"/>
        <v>87437.880629844964</v>
      </c>
      <c r="K48" s="436">
        <f t="shared" si="2"/>
        <v>316121.56843097811</v>
      </c>
      <c r="L48" s="437">
        <f t="shared" si="6"/>
        <v>72930.171415840436</v>
      </c>
      <c r="M48" s="437">
        <f t="shared" si="7"/>
        <v>79030.392107744527</v>
      </c>
    </row>
    <row r="49" spans="1:13" ht="19.95" customHeight="1">
      <c r="A49" s="438">
        <f t="shared" si="0"/>
        <v>28</v>
      </c>
      <c r="B49" s="442">
        <f t="shared" si="1"/>
        <v>45017</v>
      </c>
      <c r="C49" s="431"/>
      <c r="D49" s="408"/>
      <c r="E49" s="433">
        <f t="shared" si="3"/>
        <v>0</v>
      </c>
      <c r="F49" s="433">
        <f t="shared" ref="F49:F53" si="14">$C$17/12*(G48-C49)</f>
        <v>1215.5028569306739</v>
      </c>
      <c r="G49" s="433">
        <f t="shared" ref="G49:G53" si="15">G48-C49+F49</f>
        <v>292936.1885202924</v>
      </c>
      <c r="H49" s="441"/>
      <c r="I49" s="436">
        <f t="shared" si="5"/>
        <v>3362.9954088401914</v>
      </c>
      <c r="J49" s="436">
        <f t="shared" si="9"/>
        <v>90800.87603868515</v>
      </c>
      <c r="K49" s="436">
        <f t="shared" si="2"/>
        <v>312758.57302213792</v>
      </c>
      <c r="L49" s="437">
        <f t="shared" si="6"/>
        <v>73234.047130073101</v>
      </c>
      <c r="M49" s="437">
        <f t="shared" si="7"/>
        <v>78189.64325553448</v>
      </c>
    </row>
    <row r="50" spans="1:13" ht="19.95" customHeight="1">
      <c r="A50" s="438">
        <f t="shared" si="0"/>
        <v>29</v>
      </c>
      <c r="B50" s="442">
        <f t="shared" si="1"/>
        <v>45047</v>
      </c>
      <c r="C50" s="431"/>
      <c r="D50" s="408"/>
      <c r="E50" s="433">
        <f t="shared" si="3"/>
        <v>0</v>
      </c>
      <c r="F50" s="433">
        <f t="shared" si="14"/>
        <v>1220.567452167885</v>
      </c>
      <c r="G50" s="433">
        <f t="shared" si="15"/>
        <v>294156.75597246026</v>
      </c>
      <c r="H50" s="441"/>
      <c r="I50" s="436">
        <f t="shared" si="5"/>
        <v>3362.9954088401914</v>
      </c>
      <c r="J50" s="436">
        <f t="shared" si="9"/>
        <v>94163.871447525336</v>
      </c>
      <c r="K50" s="436">
        <f t="shared" si="2"/>
        <v>309395.57761329773</v>
      </c>
      <c r="L50" s="437">
        <f t="shared" si="6"/>
        <v>73539.188993115065</v>
      </c>
      <c r="M50" s="437">
        <f t="shared" si="7"/>
        <v>77348.894403324433</v>
      </c>
    </row>
    <row r="51" spans="1:13" ht="19.95" customHeight="1">
      <c r="A51" s="438">
        <f t="shared" si="0"/>
        <v>30</v>
      </c>
      <c r="B51" s="442">
        <f t="shared" si="1"/>
        <v>45078</v>
      </c>
      <c r="C51" s="431"/>
      <c r="D51" s="408"/>
      <c r="E51" s="433">
        <f t="shared" si="3"/>
        <v>0</v>
      </c>
      <c r="F51" s="433">
        <f t="shared" si="14"/>
        <v>1225.653149885251</v>
      </c>
      <c r="G51" s="433">
        <f t="shared" si="15"/>
        <v>295382.4091223455</v>
      </c>
      <c r="H51" s="441"/>
      <c r="I51" s="436">
        <f t="shared" si="5"/>
        <v>3362.9954088401914</v>
      </c>
      <c r="J51" s="436">
        <f t="shared" si="9"/>
        <v>97526.866856365523</v>
      </c>
      <c r="K51" s="436">
        <f t="shared" si="2"/>
        <v>306032.58220445755</v>
      </c>
      <c r="L51" s="437">
        <f t="shared" si="6"/>
        <v>73845.602280586376</v>
      </c>
      <c r="M51" s="437">
        <f t="shared" si="7"/>
        <v>76508.145551114387</v>
      </c>
    </row>
    <row r="52" spans="1:13" ht="19.95" customHeight="1">
      <c r="A52" s="438">
        <f t="shared" si="0"/>
        <v>31</v>
      </c>
      <c r="B52" s="442">
        <f t="shared" si="1"/>
        <v>45108</v>
      </c>
      <c r="C52" s="431"/>
      <c r="D52" s="408"/>
      <c r="E52" s="433">
        <f t="shared" si="3"/>
        <v>0</v>
      </c>
      <c r="F52" s="433">
        <f t="shared" si="14"/>
        <v>1230.7600380097729</v>
      </c>
      <c r="G52" s="433">
        <f t="shared" si="15"/>
        <v>296613.16916035529</v>
      </c>
      <c r="H52" s="441"/>
      <c r="I52" s="436">
        <f t="shared" si="5"/>
        <v>3362.9954088401914</v>
      </c>
      <c r="J52" s="436">
        <f t="shared" si="9"/>
        <v>100889.86226520571</v>
      </c>
      <c r="K52" s="436">
        <f t="shared" si="2"/>
        <v>302669.58679561736</v>
      </c>
      <c r="L52" s="437">
        <f t="shared" si="6"/>
        <v>74153.292290088822</v>
      </c>
      <c r="M52" s="437">
        <f t="shared" si="7"/>
        <v>75667.39669890434</v>
      </c>
    </row>
    <row r="53" spans="1:13" ht="19.95" customHeight="1">
      <c r="A53" s="438">
        <f t="shared" si="0"/>
        <v>32</v>
      </c>
      <c r="B53" s="442">
        <f t="shared" si="1"/>
        <v>45139</v>
      </c>
      <c r="C53" s="431"/>
      <c r="D53" s="408"/>
      <c r="E53" s="433">
        <f t="shared" si="3"/>
        <v>0</v>
      </c>
      <c r="F53" s="433">
        <f t="shared" si="14"/>
        <v>1235.8882048348137</v>
      </c>
      <c r="G53" s="433">
        <f t="shared" si="15"/>
        <v>297849.05736519012</v>
      </c>
      <c r="H53" s="441"/>
      <c r="I53" s="436">
        <f t="shared" si="5"/>
        <v>3362.9954088401914</v>
      </c>
      <c r="J53" s="436">
        <f t="shared" si="9"/>
        <v>104252.8576740459</v>
      </c>
      <c r="K53" s="436">
        <f t="shared" si="2"/>
        <v>299306.59138677717</v>
      </c>
      <c r="L53" s="437">
        <f t="shared" si="6"/>
        <v>74462.26434129753</v>
      </c>
      <c r="M53" s="437">
        <f t="shared" si="7"/>
        <v>74826.647846694294</v>
      </c>
    </row>
    <row r="54" spans="1:13" ht="19.95" customHeight="1">
      <c r="A54" s="438">
        <f t="shared" si="0"/>
        <v>33</v>
      </c>
      <c r="B54" s="442">
        <f t="shared" si="1"/>
        <v>45170</v>
      </c>
      <c r="C54" s="431"/>
      <c r="D54" s="408"/>
      <c r="E54" s="433">
        <f t="shared" si="3"/>
        <v>0</v>
      </c>
      <c r="F54" s="433">
        <f t="shared" ref="F54:F64" si="16">$C$17/12*(G53-C54)</f>
        <v>1241.0377390216254</v>
      </c>
      <c r="G54" s="433">
        <f t="shared" ref="G54:G64" si="17">G53-C54+F54</f>
        <v>299090.09510421177</v>
      </c>
      <c r="H54" s="441"/>
      <c r="I54" s="436">
        <f t="shared" si="5"/>
        <v>3362.9954088401914</v>
      </c>
      <c r="J54" s="436">
        <f t="shared" si="9"/>
        <v>107615.85308288608</v>
      </c>
      <c r="K54" s="436">
        <f t="shared" si="2"/>
        <v>295943.59597793699</v>
      </c>
      <c r="L54" s="437">
        <f t="shared" si="6"/>
        <v>74772.523776052942</v>
      </c>
      <c r="M54" s="437">
        <f t="shared" si="7"/>
        <v>73985.898994484247</v>
      </c>
    </row>
    <row r="55" spans="1:13" ht="19.95" customHeight="1">
      <c r="A55" s="438">
        <f t="shared" si="0"/>
        <v>34</v>
      </c>
      <c r="B55" s="442">
        <f t="shared" si="1"/>
        <v>45200</v>
      </c>
      <c r="C55" s="431"/>
      <c r="D55" s="408"/>
      <c r="E55" s="433">
        <f t="shared" si="3"/>
        <v>0</v>
      </c>
      <c r="F55" s="433">
        <f t="shared" si="16"/>
        <v>1246.2087296008824</v>
      </c>
      <c r="G55" s="433">
        <f t="shared" si="17"/>
        <v>300336.30383381265</v>
      </c>
      <c r="H55" s="441"/>
      <c r="I55" s="436">
        <f t="shared" si="5"/>
        <v>3362.9954088401914</v>
      </c>
      <c r="J55" s="436">
        <f t="shared" si="9"/>
        <v>110978.84849172627</v>
      </c>
      <c r="K55" s="436">
        <f t="shared" si="2"/>
        <v>292580.6005690968</v>
      </c>
      <c r="L55" s="437">
        <f t="shared" si="6"/>
        <v>75084.075958453162</v>
      </c>
      <c r="M55" s="437">
        <f t="shared" si="7"/>
        <v>73145.1501422742</v>
      </c>
    </row>
    <row r="56" spans="1:13" ht="19.95" customHeight="1">
      <c r="A56" s="438">
        <f t="shared" si="0"/>
        <v>35</v>
      </c>
      <c r="B56" s="442">
        <f t="shared" si="1"/>
        <v>45231</v>
      </c>
      <c r="C56" s="431"/>
      <c r="D56" s="408"/>
      <c r="E56" s="433">
        <f t="shared" si="3"/>
        <v>0</v>
      </c>
      <c r="F56" s="433">
        <f t="shared" si="16"/>
        <v>1251.4012659742193</v>
      </c>
      <c r="G56" s="433">
        <f t="shared" si="17"/>
        <v>301587.70509978686</v>
      </c>
      <c r="H56" s="441"/>
      <c r="I56" s="436">
        <f t="shared" si="5"/>
        <v>3362.9954088401914</v>
      </c>
      <c r="J56" s="436">
        <f t="shared" si="9"/>
        <v>114341.84390056645</v>
      </c>
      <c r="K56" s="436">
        <f t="shared" si="2"/>
        <v>289217.60516025661</v>
      </c>
      <c r="L56" s="437">
        <f t="shared" si="6"/>
        <v>75396.926274946716</v>
      </c>
      <c r="M56" s="437">
        <f t="shared" si="7"/>
        <v>72304.401290064154</v>
      </c>
    </row>
    <row r="57" spans="1:13" ht="19.95" customHeight="1">
      <c r="A57" s="438">
        <f t="shared" si="0"/>
        <v>36</v>
      </c>
      <c r="B57" s="442">
        <f t="shared" si="1"/>
        <v>45261</v>
      </c>
      <c r="C57" s="431"/>
      <c r="D57" s="408"/>
      <c r="E57" s="433">
        <f t="shared" si="3"/>
        <v>0</v>
      </c>
      <c r="F57" s="433">
        <f t="shared" si="16"/>
        <v>1256.6154379157786</v>
      </c>
      <c r="G57" s="433">
        <f t="shared" si="17"/>
        <v>302844.32053770265</v>
      </c>
      <c r="H57" s="441"/>
      <c r="I57" s="436">
        <f t="shared" si="5"/>
        <v>3362.9954088401914</v>
      </c>
      <c r="J57" s="436">
        <f t="shared" si="9"/>
        <v>117704.83930940664</v>
      </c>
      <c r="K57" s="436">
        <f t="shared" si="2"/>
        <v>285854.60975141643</v>
      </c>
      <c r="L57" s="437">
        <f t="shared" si="6"/>
        <v>75711.080134425662</v>
      </c>
      <c r="M57" s="437">
        <f t="shared" si="7"/>
        <v>71463.652437854107</v>
      </c>
    </row>
    <row r="58" spans="1:13" ht="19.95" customHeight="1">
      <c r="A58" s="438">
        <f t="shared" si="0"/>
        <v>37</v>
      </c>
      <c r="B58" s="442">
        <f t="shared" si="1"/>
        <v>45292</v>
      </c>
      <c r="C58" s="431">
        <v>50000</v>
      </c>
      <c r="D58" s="408"/>
      <c r="E58" s="433">
        <f t="shared" si="3"/>
        <v>43048.812232553981</v>
      </c>
      <c r="F58" s="433">
        <f t="shared" si="16"/>
        <v>1053.5180022404277</v>
      </c>
      <c r="G58" s="433">
        <f t="shared" si="17"/>
        <v>253897.83853994307</v>
      </c>
      <c r="H58" s="441"/>
      <c r="I58" s="436">
        <f t="shared" si="5"/>
        <v>3362.9954088401914</v>
      </c>
      <c r="J58" s="436">
        <f t="shared" si="9"/>
        <v>121067.83471824683</v>
      </c>
      <c r="K58" s="436">
        <f t="shared" si="2"/>
        <v>282491.61434257624</v>
      </c>
      <c r="L58" s="437">
        <f t="shared" si="6"/>
        <v>63474.459634985767</v>
      </c>
      <c r="M58" s="437">
        <f t="shared" si="7"/>
        <v>70622.903585644061</v>
      </c>
    </row>
    <row r="59" spans="1:13" ht="19.95" customHeight="1">
      <c r="A59" s="438">
        <f t="shared" si="0"/>
        <v>38</v>
      </c>
      <c r="B59" s="442">
        <f t="shared" si="1"/>
        <v>45323</v>
      </c>
      <c r="C59" s="431"/>
      <c r="D59" s="408"/>
      <c r="E59" s="433">
        <f t="shared" si="3"/>
        <v>0</v>
      </c>
      <c r="F59" s="433">
        <f t="shared" si="16"/>
        <v>1057.907660583096</v>
      </c>
      <c r="G59" s="433">
        <f t="shared" si="17"/>
        <v>254955.74620052616</v>
      </c>
      <c r="H59" s="441"/>
      <c r="I59" s="436">
        <f t="shared" si="5"/>
        <v>3362.9954088401914</v>
      </c>
      <c r="J59" s="436">
        <f t="shared" si="9"/>
        <v>124430.83012708701</v>
      </c>
      <c r="K59" s="436">
        <f t="shared" si="2"/>
        <v>279128.61893373606</v>
      </c>
      <c r="L59" s="437">
        <f t="shared" si="6"/>
        <v>63738.936550131541</v>
      </c>
      <c r="M59" s="437">
        <f t="shared" si="7"/>
        <v>69782.154733434014</v>
      </c>
    </row>
    <row r="60" spans="1:13" ht="19.95" customHeight="1">
      <c r="A60" s="438">
        <f t="shared" si="0"/>
        <v>39</v>
      </c>
      <c r="B60" s="442">
        <f t="shared" si="1"/>
        <v>45352</v>
      </c>
      <c r="C60" s="431"/>
      <c r="D60" s="408"/>
      <c r="E60" s="433">
        <f t="shared" si="3"/>
        <v>0</v>
      </c>
      <c r="F60" s="433">
        <f t="shared" si="16"/>
        <v>1062.3156091688591</v>
      </c>
      <c r="G60" s="433">
        <f t="shared" si="17"/>
        <v>256018.06180969503</v>
      </c>
      <c r="H60" s="441"/>
      <c r="I60" s="436">
        <f t="shared" si="5"/>
        <v>3362.9954088401914</v>
      </c>
      <c r="J60" s="436">
        <f t="shared" si="9"/>
        <v>127793.8255359272</v>
      </c>
      <c r="K60" s="436">
        <f t="shared" si="2"/>
        <v>275765.62352489587</v>
      </c>
      <c r="L60" s="437">
        <f t="shared" si="6"/>
        <v>64004.515452423759</v>
      </c>
      <c r="M60" s="437">
        <f t="shared" si="7"/>
        <v>68941.405881223967</v>
      </c>
    </row>
    <row r="61" spans="1:13" ht="19.95" customHeight="1">
      <c r="A61" s="438">
        <f t="shared" si="0"/>
        <v>40</v>
      </c>
      <c r="B61" s="442">
        <f t="shared" si="1"/>
        <v>45383</v>
      </c>
      <c r="C61" s="431"/>
      <c r="D61" s="408"/>
      <c r="E61" s="433">
        <f t="shared" si="3"/>
        <v>0</v>
      </c>
      <c r="F61" s="433">
        <f t="shared" si="16"/>
        <v>1066.7419242070625</v>
      </c>
      <c r="G61" s="433">
        <f t="shared" si="17"/>
        <v>257084.80373390211</v>
      </c>
      <c r="H61" s="441"/>
      <c r="I61" s="436">
        <f t="shared" si="5"/>
        <v>3362.9954088401914</v>
      </c>
      <c r="J61" s="436">
        <f t="shared" si="9"/>
        <v>131156.82094476739</v>
      </c>
      <c r="K61" s="436">
        <f t="shared" si="2"/>
        <v>272402.62811605568</v>
      </c>
      <c r="L61" s="437">
        <f t="shared" si="6"/>
        <v>64271.200933475528</v>
      </c>
      <c r="M61" s="437">
        <f t="shared" si="7"/>
        <v>68100.657029013921</v>
      </c>
    </row>
    <row r="62" spans="1:13" ht="19.95" customHeight="1">
      <c r="A62" s="438">
        <f t="shared" si="0"/>
        <v>41</v>
      </c>
      <c r="B62" s="442">
        <f t="shared" si="1"/>
        <v>45413</v>
      </c>
      <c r="C62" s="431"/>
      <c r="D62" s="408"/>
      <c r="E62" s="433">
        <f t="shared" si="3"/>
        <v>0</v>
      </c>
      <c r="F62" s="433">
        <f t="shared" si="16"/>
        <v>1071.186682224592</v>
      </c>
      <c r="G62" s="433">
        <f t="shared" si="17"/>
        <v>258155.9904161267</v>
      </c>
      <c r="H62" s="441"/>
      <c r="I62" s="436">
        <f t="shared" si="5"/>
        <v>3362.9954088401914</v>
      </c>
      <c r="J62" s="436">
        <f t="shared" si="9"/>
        <v>134519.81635360757</v>
      </c>
      <c r="K62" s="436">
        <f t="shared" si="2"/>
        <v>269039.6327072155</v>
      </c>
      <c r="L62" s="437">
        <f t="shared" si="6"/>
        <v>64538.997604031676</v>
      </c>
      <c r="M62" s="437">
        <f t="shared" si="7"/>
        <v>67259.908176803874</v>
      </c>
    </row>
    <row r="63" spans="1:13" ht="19.95" customHeight="1">
      <c r="A63" s="438">
        <f t="shared" si="0"/>
        <v>42</v>
      </c>
      <c r="B63" s="442">
        <f t="shared" si="1"/>
        <v>45444</v>
      </c>
      <c r="C63" s="431"/>
      <c r="D63" s="408"/>
      <c r="E63" s="433">
        <f t="shared" si="3"/>
        <v>0</v>
      </c>
      <c r="F63" s="433">
        <f t="shared" si="16"/>
        <v>1075.6499600671946</v>
      </c>
      <c r="G63" s="433">
        <f t="shared" si="17"/>
        <v>259231.64037619389</v>
      </c>
      <c r="H63" s="441"/>
      <c r="I63" s="436">
        <f t="shared" si="5"/>
        <v>3362.9954088401914</v>
      </c>
      <c r="J63" s="436">
        <f t="shared" si="9"/>
        <v>137882.81176244776</v>
      </c>
      <c r="K63" s="436">
        <f t="shared" si="2"/>
        <v>265676.63729837531</v>
      </c>
      <c r="L63" s="437">
        <f t="shared" si="6"/>
        <v>64807.910094048471</v>
      </c>
      <c r="M63" s="437">
        <f t="shared" si="7"/>
        <v>66419.159324593827</v>
      </c>
    </row>
    <row r="64" spans="1:13" ht="19.95" customHeight="1">
      <c r="A64" s="438">
        <f t="shared" si="0"/>
        <v>43</v>
      </c>
      <c r="B64" s="442">
        <f t="shared" si="1"/>
        <v>45474</v>
      </c>
      <c r="C64" s="431"/>
      <c r="D64" s="408"/>
      <c r="E64" s="433">
        <f t="shared" si="3"/>
        <v>0</v>
      </c>
      <c r="F64" s="433">
        <f t="shared" si="16"/>
        <v>1080.1318349008079</v>
      </c>
      <c r="G64" s="433">
        <f t="shared" si="17"/>
        <v>260311.77221109471</v>
      </c>
      <c r="H64" s="441"/>
      <c r="I64" s="436">
        <f t="shared" si="5"/>
        <v>3362.9954088401914</v>
      </c>
      <c r="J64" s="436">
        <f t="shared" si="9"/>
        <v>141245.80717128795</v>
      </c>
      <c r="K64" s="436">
        <f t="shared" si="2"/>
        <v>262313.64188953512</v>
      </c>
      <c r="L64" s="437">
        <f t="shared" si="6"/>
        <v>65077.943052773677</v>
      </c>
      <c r="M64" s="437">
        <f t="shared" si="7"/>
        <v>65578.410472383781</v>
      </c>
    </row>
    <row r="65" spans="1:13" ht="19.95" customHeight="1">
      <c r="A65" s="438">
        <f t="shared" si="0"/>
        <v>44</v>
      </c>
      <c r="B65" s="442">
        <f t="shared" si="1"/>
        <v>45505</v>
      </c>
      <c r="C65" s="431"/>
      <c r="D65" s="408"/>
      <c r="E65" s="433">
        <f t="shared" si="3"/>
        <v>0</v>
      </c>
      <c r="F65" s="433">
        <f t="shared" ref="F65:F73" si="18">$C$17/12*(G64-C65)</f>
        <v>1084.6323842128945</v>
      </c>
      <c r="G65" s="433">
        <f t="shared" ref="G65:G73" si="19">G64-C65+F65</f>
        <v>261396.4045953076</v>
      </c>
      <c r="H65" s="441"/>
      <c r="I65" s="436">
        <f t="shared" si="5"/>
        <v>3362.9954088401914</v>
      </c>
      <c r="J65" s="436">
        <f t="shared" si="9"/>
        <v>144608.80258012813</v>
      </c>
      <c r="K65" s="436">
        <f t="shared" si="2"/>
        <v>258950.64648069494</v>
      </c>
      <c r="L65" s="437">
        <f t="shared" si="6"/>
        <v>65349.1011488269</v>
      </c>
      <c r="M65" s="437">
        <f t="shared" si="7"/>
        <v>64737.661620173734</v>
      </c>
    </row>
    <row r="66" spans="1:13" ht="19.95" customHeight="1">
      <c r="A66" s="438">
        <f t="shared" si="0"/>
        <v>45</v>
      </c>
      <c r="B66" s="442">
        <f t="shared" si="1"/>
        <v>45536</v>
      </c>
      <c r="C66" s="431"/>
      <c r="D66" s="408"/>
      <c r="E66" s="433">
        <f t="shared" si="3"/>
        <v>0</v>
      </c>
      <c r="F66" s="433">
        <f t="shared" si="18"/>
        <v>1089.1516858137816</v>
      </c>
      <c r="G66" s="433">
        <f t="shared" si="19"/>
        <v>262485.55628112139</v>
      </c>
      <c r="H66" s="441"/>
      <c r="I66" s="436">
        <f t="shared" si="5"/>
        <v>3362.9954088401914</v>
      </c>
      <c r="J66" s="436">
        <f t="shared" si="9"/>
        <v>147971.79798896832</v>
      </c>
      <c r="K66" s="436">
        <f t="shared" si="2"/>
        <v>255587.65107185475</v>
      </c>
      <c r="L66" s="437">
        <f t="shared" si="6"/>
        <v>65621.389070280347</v>
      </c>
      <c r="M66" s="437">
        <f t="shared" si="7"/>
        <v>63896.912767963688</v>
      </c>
    </row>
    <row r="67" spans="1:13" ht="19.95" customHeight="1">
      <c r="A67" s="438">
        <f t="shared" si="0"/>
        <v>46</v>
      </c>
      <c r="B67" s="442">
        <f t="shared" si="1"/>
        <v>45566</v>
      </c>
      <c r="C67" s="431"/>
      <c r="D67" s="408"/>
      <c r="E67" s="433">
        <f t="shared" si="3"/>
        <v>0</v>
      </c>
      <c r="F67" s="433">
        <f t="shared" si="18"/>
        <v>1093.6898178380059</v>
      </c>
      <c r="G67" s="433">
        <f t="shared" si="19"/>
        <v>263579.24609895941</v>
      </c>
      <c r="H67" s="441"/>
      <c r="I67" s="436">
        <f t="shared" si="5"/>
        <v>3362.9954088401914</v>
      </c>
      <c r="J67" s="436">
        <f t="shared" si="9"/>
        <v>151334.79339780851</v>
      </c>
      <c r="K67" s="436">
        <f t="shared" si="2"/>
        <v>252224.65566301456</v>
      </c>
      <c r="L67" s="437">
        <f t="shared" si="6"/>
        <v>65894.811524739853</v>
      </c>
      <c r="M67" s="437">
        <f t="shared" si="7"/>
        <v>63056.163915753641</v>
      </c>
    </row>
    <row r="68" spans="1:13" ht="19.95" customHeight="1">
      <c r="A68" s="438">
        <f t="shared" si="0"/>
        <v>47</v>
      </c>
      <c r="B68" s="442">
        <f t="shared" si="1"/>
        <v>45597</v>
      </c>
      <c r="C68" s="431"/>
      <c r="D68" s="408"/>
      <c r="E68" s="433">
        <f t="shared" si="3"/>
        <v>0</v>
      </c>
      <c r="F68" s="433">
        <f t="shared" si="18"/>
        <v>1098.2468587456642</v>
      </c>
      <c r="G68" s="433">
        <f t="shared" si="19"/>
        <v>264677.49295770505</v>
      </c>
      <c r="H68" s="441"/>
      <c r="I68" s="436">
        <f t="shared" si="5"/>
        <v>3362.9954088401914</v>
      </c>
      <c r="J68" s="436">
        <f t="shared" si="9"/>
        <v>154697.78880664869</v>
      </c>
      <c r="K68" s="436">
        <f t="shared" si="2"/>
        <v>248861.66025417438</v>
      </c>
      <c r="L68" s="437">
        <f t="shared" si="6"/>
        <v>66169.373239426262</v>
      </c>
      <c r="M68" s="437">
        <f t="shared" si="7"/>
        <v>62215.415063543594</v>
      </c>
    </row>
    <row r="69" spans="1:13" ht="19.95" customHeight="1">
      <c r="A69" s="438">
        <f t="shared" si="0"/>
        <v>48</v>
      </c>
      <c r="B69" s="442">
        <f t="shared" si="1"/>
        <v>45627</v>
      </c>
      <c r="C69" s="431"/>
      <c r="D69" s="408"/>
      <c r="E69" s="433">
        <f t="shared" si="3"/>
        <v>0</v>
      </c>
      <c r="F69" s="433">
        <f t="shared" si="18"/>
        <v>1102.8228873237711</v>
      </c>
      <c r="G69" s="433">
        <f t="shared" si="19"/>
        <v>265780.31584502885</v>
      </c>
      <c r="H69" s="441"/>
      <c r="I69" s="436">
        <f t="shared" si="5"/>
        <v>3362.9954088401914</v>
      </c>
      <c r="J69" s="436">
        <f t="shared" si="9"/>
        <v>158060.78421548888</v>
      </c>
      <c r="K69" s="436">
        <f t="shared" si="2"/>
        <v>245498.66484533419</v>
      </c>
      <c r="L69" s="437">
        <f t="shared" si="6"/>
        <v>66445.078961257212</v>
      </c>
      <c r="M69" s="437">
        <f t="shared" si="7"/>
        <v>61374.666211333548</v>
      </c>
    </row>
    <row r="70" spans="1:13" ht="19.95" customHeight="1">
      <c r="A70" s="438">
        <f t="shared" si="0"/>
        <v>49</v>
      </c>
      <c r="B70" s="442">
        <f t="shared" si="1"/>
        <v>45658</v>
      </c>
      <c r="C70" s="431">
        <v>50000</v>
      </c>
      <c r="D70" s="408"/>
      <c r="E70" s="433">
        <f t="shared" si="3"/>
        <v>40953.55084626309</v>
      </c>
      <c r="F70" s="433">
        <f t="shared" si="18"/>
        <v>899.08464935428685</v>
      </c>
      <c r="G70" s="433">
        <f t="shared" si="19"/>
        <v>216679.40049438312</v>
      </c>
      <c r="H70" s="441"/>
      <c r="I70" s="436">
        <f t="shared" si="5"/>
        <v>3362.9954088401914</v>
      </c>
      <c r="J70" s="436">
        <f t="shared" si="9"/>
        <v>161423.77962432906</v>
      </c>
      <c r="K70" s="436">
        <f t="shared" si="2"/>
        <v>242135.669436494</v>
      </c>
      <c r="L70" s="437">
        <f t="shared" si="6"/>
        <v>54169.850123595781</v>
      </c>
      <c r="M70" s="437">
        <f t="shared" si="7"/>
        <v>60533.917359123501</v>
      </c>
    </row>
    <row r="71" spans="1:13" ht="19.95" customHeight="1">
      <c r="A71" s="438">
        <f t="shared" si="0"/>
        <v>50</v>
      </c>
      <c r="B71" s="442">
        <f t="shared" si="1"/>
        <v>45689</v>
      </c>
      <c r="C71" s="431"/>
      <c r="D71" s="408"/>
      <c r="E71" s="433">
        <f t="shared" si="3"/>
        <v>0</v>
      </c>
      <c r="F71" s="433">
        <f t="shared" si="18"/>
        <v>902.83083539326299</v>
      </c>
      <c r="G71" s="433">
        <f t="shared" si="19"/>
        <v>217582.23132977638</v>
      </c>
      <c r="H71" s="441"/>
      <c r="I71" s="436">
        <f t="shared" si="5"/>
        <v>3362.9954088401914</v>
      </c>
      <c r="J71" s="436">
        <f t="shared" si="9"/>
        <v>164786.77503316925</v>
      </c>
      <c r="K71" s="436">
        <f t="shared" si="2"/>
        <v>238772.67402765382</v>
      </c>
      <c r="L71" s="437">
        <f t="shared" si="6"/>
        <v>54395.557832444094</v>
      </c>
      <c r="M71" s="437">
        <f t="shared" si="7"/>
        <v>59693.168506913455</v>
      </c>
    </row>
    <row r="72" spans="1:13" ht="19.95" customHeight="1">
      <c r="A72" s="438">
        <f t="shared" si="0"/>
        <v>51</v>
      </c>
      <c r="B72" s="442">
        <f t="shared" si="1"/>
        <v>45717</v>
      </c>
      <c r="C72" s="431"/>
      <c r="D72" s="408"/>
      <c r="E72" s="433">
        <f t="shared" si="3"/>
        <v>0</v>
      </c>
      <c r="F72" s="433">
        <f t="shared" si="18"/>
        <v>906.59263054073483</v>
      </c>
      <c r="G72" s="433">
        <f t="shared" si="19"/>
        <v>218488.82396031712</v>
      </c>
      <c r="H72" s="441"/>
      <c r="I72" s="436">
        <f t="shared" si="5"/>
        <v>3362.9954088401914</v>
      </c>
      <c r="J72" s="436">
        <f t="shared" si="9"/>
        <v>168149.77044200944</v>
      </c>
      <c r="K72" s="436">
        <f t="shared" si="2"/>
        <v>235409.67861881363</v>
      </c>
      <c r="L72" s="437">
        <f t="shared" si="6"/>
        <v>54622.205990079281</v>
      </c>
      <c r="M72" s="437">
        <f t="shared" si="7"/>
        <v>58852.419654703408</v>
      </c>
    </row>
    <row r="73" spans="1:13" ht="19.95" customHeight="1">
      <c r="A73" s="438">
        <f t="shared" si="0"/>
        <v>52</v>
      </c>
      <c r="B73" s="442">
        <f t="shared" si="1"/>
        <v>45748</v>
      </c>
      <c r="C73" s="431"/>
      <c r="D73" s="408"/>
      <c r="E73" s="433">
        <f t="shared" si="3"/>
        <v>0</v>
      </c>
      <c r="F73" s="433">
        <f t="shared" si="18"/>
        <v>910.37009983465464</v>
      </c>
      <c r="G73" s="433">
        <f t="shared" si="19"/>
        <v>219399.19406015179</v>
      </c>
      <c r="H73" s="441"/>
      <c r="I73" s="436">
        <f t="shared" si="5"/>
        <v>3362.9954088401914</v>
      </c>
      <c r="J73" s="436">
        <f t="shared" si="9"/>
        <v>171512.76585084962</v>
      </c>
      <c r="K73" s="436">
        <f t="shared" si="2"/>
        <v>232046.68320997345</v>
      </c>
      <c r="L73" s="437">
        <f t="shared" si="6"/>
        <v>54849.798515037946</v>
      </c>
      <c r="M73" s="437">
        <f t="shared" si="7"/>
        <v>58011.670802493361</v>
      </c>
    </row>
    <row r="74" spans="1:13" ht="19.95" customHeight="1">
      <c r="A74" s="438">
        <f t="shared" si="0"/>
        <v>53</v>
      </c>
      <c r="B74" s="442">
        <f t="shared" si="1"/>
        <v>45778</v>
      </c>
      <c r="C74" s="431"/>
      <c r="D74" s="408"/>
      <c r="E74" s="433">
        <f t="shared" si="3"/>
        <v>0</v>
      </c>
      <c r="F74" s="433">
        <f t="shared" ref="F74:F79" si="20">$C$17/12*(G73-C74)</f>
        <v>914.16330858396577</v>
      </c>
      <c r="G74" s="433">
        <f t="shared" ref="G74:G79" si="21">G73-C74+F74</f>
        <v>220313.35736873574</v>
      </c>
      <c r="H74" s="441"/>
      <c r="I74" s="436">
        <f t="shared" si="5"/>
        <v>3362.9954088401914</v>
      </c>
      <c r="J74" s="436">
        <f t="shared" si="9"/>
        <v>174875.76125968981</v>
      </c>
      <c r="K74" s="436">
        <f t="shared" si="2"/>
        <v>228683.68780113326</v>
      </c>
      <c r="L74" s="437">
        <f t="shared" si="6"/>
        <v>55078.339342183936</v>
      </c>
      <c r="M74" s="437">
        <f t="shared" si="7"/>
        <v>57170.921950283315</v>
      </c>
    </row>
    <row r="75" spans="1:13" ht="19.95" customHeight="1">
      <c r="A75" s="438">
        <f t="shared" si="0"/>
        <v>54</v>
      </c>
      <c r="B75" s="442">
        <f t="shared" si="1"/>
        <v>45809</v>
      </c>
      <c r="C75" s="431"/>
      <c r="D75" s="408"/>
      <c r="E75" s="433">
        <f t="shared" si="3"/>
        <v>0</v>
      </c>
      <c r="F75" s="433">
        <f t="shared" si="20"/>
        <v>917.9723223697323</v>
      </c>
      <c r="G75" s="433">
        <f t="shared" si="21"/>
        <v>221231.32969110546</v>
      </c>
      <c r="H75" s="441"/>
      <c r="I75" s="436">
        <f t="shared" si="5"/>
        <v>3362.9954088401914</v>
      </c>
      <c r="J75" s="436">
        <f t="shared" si="9"/>
        <v>178238.75666853</v>
      </c>
      <c r="K75" s="436">
        <f t="shared" si="2"/>
        <v>225320.69239229307</v>
      </c>
      <c r="L75" s="437">
        <f t="shared" si="6"/>
        <v>55307.832422776366</v>
      </c>
      <c r="M75" s="437">
        <f t="shared" si="7"/>
        <v>56330.173098073268</v>
      </c>
    </row>
    <row r="76" spans="1:13" ht="19.95" customHeight="1">
      <c r="A76" s="438">
        <f t="shared" si="0"/>
        <v>55</v>
      </c>
      <c r="B76" s="442">
        <f t="shared" si="1"/>
        <v>45839</v>
      </c>
      <c r="C76" s="431"/>
      <c r="D76" s="408"/>
      <c r="E76" s="433">
        <f t="shared" si="3"/>
        <v>0</v>
      </c>
      <c r="F76" s="433">
        <f t="shared" si="20"/>
        <v>921.79720704627277</v>
      </c>
      <c r="G76" s="433">
        <f t="shared" si="21"/>
        <v>222153.12689815174</v>
      </c>
      <c r="H76" s="441"/>
      <c r="I76" s="436">
        <f t="shared" si="5"/>
        <v>3362.9954088401914</v>
      </c>
      <c r="J76" s="436">
        <f t="shared" si="9"/>
        <v>181601.75207737018</v>
      </c>
      <c r="K76" s="436">
        <f t="shared" si="2"/>
        <v>221957.69698345289</v>
      </c>
      <c r="L76" s="437">
        <f t="shared" si="6"/>
        <v>55538.281724537934</v>
      </c>
      <c r="M76" s="437">
        <f t="shared" si="7"/>
        <v>55489.424245863222</v>
      </c>
    </row>
    <row r="77" spans="1:13" ht="19.95" customHeight="1">
      <c r="A77" s="438">
        <f t="shared" si="0"/>
        <v>56</v>
      </c>
      <c r="B77" s="442">
        <f t="shared" si="1"/>
        <v>45870</v>
      </c>
      <c r="C77" s="431"/>
      <c r="D77" s="408"/>
      <c r="E77" s="433">
        <f t="shared" si="3"/>
        <v>0</v>
      </c>
      <c r="F77" s="433">
        <f t="shared" si="20"/>
        <v>925.63802874229884</v>
      </c>
      <c r="G77" s="433">
        <f t="shared" si="21"/>
        <v>223078.76492689404</v>
      </c>
      <c r="H77" s="441"/>
      <c r="I77" s="436">
        <f t="shared" si="5"/>
        <v>3362.9954088401914</v>
      </c>
      <c r="J77" s="436">
        <f t="shared" si="9"/>
        <v>184964.74748621037</v>
      </c>
      <c r="K77" s="436">
        <f t="shared" si="2"/>
        <v>218594.7015746127</v>
      </c>
      <c r="L77" s="437">
        <f t="shared" si="6"/>
        <v>55769.691231723511</v>
      </c>
      <c r="M77" s="437">
        <f t="shared" si="7"/>
        <v>54648.675393653175</v>
      </c>
    </row>
    <row r="78" spans="1:13" ht="19.95" customHeight="1">
      <c r="A78" s="438">
        <f t="shared" si="0"/>
        <v>57</v>
      </c>
      <c r="B78" s="442">
        <f t="shared" si="1"/>
        <v>45901</v>
      </c>
      <c r="C78" s="431"/>
      <c r="D78" s="408"/>
      <c r="E78" s="433">
        <f t="shared" si="3"/>
        <v>0</v>
      </c>
      <c r="F78" s="433">
        <f t="shared" si="20"/>
        <v>929.49485386205845</v>
      </c>
      <c r="G78" s="433">
        <f t="shared" si="21"/>
        <v>224008.25978075611</v>
      </c>
      <c r="H78" s="441"/>
      <c r="I78" s="436">
        <f t="shared" si="5"/>
        <v>3362.9954088401914</v>
      </c>
      <c r="J78" s="436">
        <f t="shared" si="9"/>
        <v>188327.74289505056</v>
      </c>
      <c r="K78" s="436">
        <f t="shared" si="2"/>
        <v>215231.70616577251</v>
      </c>
      <c r="L78" s="437">
        <f t="shared" si="6"/>
        <v>56002.064945189028</v>
      </c>
      <c r="M78" s="437">
        <f t="shared" si="7"/>
        <v>53807.926541443128</v>
      </c>
    </row>
    <row r="79" spans="1:13" ht="19.95" customHeight="1">
      <c r="A79" s="438">
        <f t="shared" si="0"/>
        <v>58</v>
      </c>
      <c r="B79" s="442">
        <f t="shared" si="1"/>
        <v>45931</v>
      </c>
      <c r="C79" s="431"/>
      <c r="D79" s="408"/>
      <c r="E79" s="433">
        <f t="shared" si="3"/>
        <v>0</v>
      </c>
      <c r="F79" s="433">
        <f t="shared" si="20"/>
        <v>933.36774908648374</v>
      </c>
      <c r="G79" s="433">
        <f t="shared" si="21"/>
        <v>224941.6275298426</v>
      </c>
      <c r="H79" s="441"/>
      <c r="I79" s="436">
        <f t="shared" si="5"/>
        <v>3362.9954088401914</v>
      </c>
      <c r="J79" s="436">
        <f t="shared" si="9"/>
        <v>191690.73830389074</v>
      </c>
      <c r="K79" s="436">
        <f t="shared" si="2"/>
        <v>211868.71075693233</v>
      </c>
      <c r="L79" s="437">
        <f t="shared" si="6"/>
        <v>56235.406882460651</v>
      </c>
      <c r="M79" s="437">
        <f t="shared" si="7"/>
        <v>52967.177689233082</v>
      </c>
    </row>
    <row r="80" spans="1:13" ht="19.95" customHeight="1">
      <c r="A80" s="438">
        <f t="shared" si="0"/>
        <v>59</v>
      </c>
      <c r="B80" s="442">
        <f t="shared" si="1"/>
        <v>45962</v>
      </c>
      <c r="C80" s="431"/>
      <c r="D80" s="408"/>
      <c r="E80" s="433">
        <f t="shared" si="3"/>
        <v>0</v>
      </c>
      <c r="F80" s="433">
        <f t="shared" ref="F80:F82" si="22">$C$17/12*(G79-C80)</f>
        <v>937.2567813743442</v>
      </c>
      <c r="G80" s="433">
        <f t="shared" ref="G80:G82" si="23">G79-C80+F80</f>
        <v>225878.88431121694</v>
      </c>
      <c r="H80" s="441"/>
      <c r="I80" s="436">
        <f t="shared" si="5"/>
        <v>3362.9954088401914</v>
      </c>
      <c r="J80" s="436">
        <f t="shared" si="9"/>
        <v>195053.73371273093</v>
      </c>
      <c r="K80" s="436">
        <f t="shared" si="2"/>
        <v>208505.71534809214</v>
      </c>
      <c r="L80" s="437">
        <f t="shared" si="6"/>
        <v>56469.721077804235</v>
      </c>
      <c r="M80" s="437">
        <f t="shared" si="7"/>
        <v>52126.428837023035</v>
      </c>
    </row>
    <row r="81" spans="1:14" ht="19.95" customHeight="1">
      <c r="A81" s="438">
        <f t="shared" si="0"/>
        <v>60</v>
      </c>
      <c r="B81" s="442">
        <f t="shared" si="1"/>
        <v>45992</v>
      </c>
      <c r="C81" s="431"/>
      <c r="D81" s="408"/>
      <c r="E81" s="433">
        <f t="shared" si="3"/>
        <v>0</v>
      </c>
      <c r="F81" s="433">
        <f t="shared" si="22"/>
        <v>941.16201796340385</v>
      </c>
      <c r="G81" s="433">
        <f t="shared" si="23"/>
        <v>226820.04632918033</v>
      </c>
      <c r="H81" s="441"/>
      <c r="I81" s="436">
        <f t="shared" si="5"/>
        <v>3362.9954088401914</v>
      </c>
      <c r="J81" s="436">
        <f t="shared" si="9"/>
        <v>198416.72912157112</v>
      </c>
      <c r="K81" s="436">
        <f t="shared" si="2"/>
        <v>205142.71993925195</v>
      </c>
      <c r="L81" s="437">
        <f t="shared" si="6"/>
        <v>56705.011582295083</v>
      </c>
      <c r="M81" s="437">
        <f t="shared" si="7"/>
        <v>51285.679984812989</v>
      </c>
    </row>
    <row r="82" spans="1:14" ht="19.95" customHeight="1">
      <c r="A82" s="438">
        <f t="shared" si="0"/>
        <v>61</v>
      </c>
      <c r="B82" s="442">
        <f t="shared" si="1"/>
        <v>46023</v>
      </c>
      <c r="C82" s="431">
        <v>50000</v>
      </c>
      <c r="D82" s="408"/>
      <c r="E82" s="433">
        <f t="shared" si="3"/>
        <v>38960.269515848442</v>
      </c>
      <c r="F82" s="433">
        <f t="shared" si="22"/>
        <v>736.75019303825138</v>
      </c>
      <c r="G82" s="433">
        <f t="shared" si="23"/>
        <v>177556.79652221859</v>
      </c>
      <c r="H82" s="441"/>
      <c r="I82" s="436">
        <f t="shared" si="5"/>
        <v>3362.9954088401914</v>
      </c>
      <c r="J82" s="436">
        <f t="shared" si="9"/>
        <v>201779.7245304113</v>
      </c>
      <c r="K82" s="436">
        <f t="shared" si="2"/>
        <v>201779.72453041177</v>
      </c>
      <c r="L82" s="437">
        <f t="shared" si="6"/>
        <v>44389.199130554647</v>
      </c>
      <c r="M82" s="437">
        <f t="shared" si="7"/>
        <v>50444.931132602942</v>
      </c>
    </row>
    <row r="83" spans="1:14" ht="19.95" customHeight="1">
      <c r="A83" s="438">
        <f t="shared" si="0"/>
        <v>62</v>
      </c>
      <c r="B83" s="442">
        <f t="shared" si="1"/>
        <v>46054</v>
      </c>
      <c r="C83" s="431"/>
      <c r="D83" s="408"/>
      <c r="E83" s="433">
        <f t="shared" si="3"/>
        <v>0</v>
      </c>
      <c r="F83" s="433">
        <f t="shared" ref="F83:F92" si="24">$C$17/12*(G82-C83)</f>
        <v>739.81998550924413</v>
      </c>
      <c r="G83" s="433">
        <f t="shared" ref="G83:G92" si="25">G82-C83+F83</f>
        <v>178296.61650772783</v>
      </c>
      <c r="H83" s="441"/>
      <c r="I83" s="436">
        <f t="shared" si="5"/>
        <v>3362.9954088401914</v>
      </c>
      <c r="J83" s="436">
        <f t="shared" si="9"/>
        <v>205142.71993925149</v>
      </c>
      <c r="K83" s="436">
        <f t="shared" si="2"/>
        <v>198416.72912157158</v>
      </c>
      <c r="L83" s="437">
        <f t="shared" si="6"/>
        <v>44574.154126931957</v>
      </c>
      <c r="M83" s="437">
        <f t="shared" si="7"/>
        <v>49604.182280392895</v>
      </c>
    </row>
    <row r="84" spans="1:14" ht="19.95" customHeight="1">
      <c r="A84" s="438">
        <f t="shared" si="0"/>
        <v>63</v>
      </c>
      <c r="B84" s="442">
        <f t="shared" si="1"/>
        <v>46082</v>
      </c>
      <c r="C84" s="431"/>
      <c r="D84" s="408"/>
      <c r="E84" s="433">
        <f t="shared" si="3"/>
        <v>0</v>
      </c>
      <c r="F84" s="433">
        <f t="shared" si="24"/>
        <v>742.9025687821993</v>
      </c>
      <c r="G84" s="433">
        <f t="shared" si="25"/>
        <v>179039.51907651001</v>
      </c>
      <c r="H84" s="441"/>
      <c r="I84" s="436">
        <f t="shared" si="5"/>
        <v>3362.9954088401914</v>
      </c>
      <c r="J84" s="436">
        <f t="shared" si="9"/>
        <v>208505.71534809167</v>
      </c>
      <c r="K84" s="436">
        <f t="shared" si="2"/>
        <v>195053.73371273139</v>
      </c>
      <c r="L84" s="437">
        <f t="shared" si="6"/>
        <v>44759.879769127503</v>
      </c>
      <c r="M84" s="437">
        <f t="shared" si="7"/>
        <v>48763.433428182849</v>
      </c>
    </row>
    <row r="85" spans="1:14" ht="19.95" customHeight="1">
      <c r="A85" s="438">
        <f t="shared" si="0"/>
        <v>64</v>
      </c>
      <c r="B85" s="442">
        <f t="shared" si="1"/>
        <v>46113</v>
      </c>
      <c r="C85" s="431"/>
      <c r="D85" s="408"/>
      <c r="E85" s="433">
        <f t="shared" si="3"/>
        <v>0</v>
      </c>
      <c r="F85" s="433">
        <f t="shared" si="24"/>
        <v>745.9979961521251</v>
      </c>
      <c r="G85" s="433">
        <f t="shared" si="25"/>
        <v>179785.51707266213</v>
      </c>
      <c r="H85" s="441"/>
      <c r="I85" s="436">
        <f t="shared" si="5"/>
        <v>3362.9954088401914</v>
      </c>
      <c r="J85" s="436">
        <f t="shared" si="9"/>
        <v>211868.71075693186</v>
      </c>
      <c r="K85" s="436">
        <f t="shared" si="2"/>
        <v>191690.73830389121</v>
      </c>
      <c r="L85" s="437">
        <f t="shared" si="6"/>
        <v>44946.379268165532</v>
      </c>
      <c r="M85" s="437">
        <f t="shared" si="7"/>
        <v>47922.684575972802</v>
      </c>
    </row>
    <row r="86" spans="1:14" ht="19.95" customHeight="1">
      <c r="A86" s="438">
        <f t="shared" si="0"/>
        <v>65</v>
      </c>
      <c r="B86" s="442">
        <f t="shared" si="1"/>
        <v>46143</v>
      </c>
      <c r="C86" s="431"/>
      <c r="D86" s="408"/>
      <c r="E86" s="433">
        <f t="shared" si="3"/>
        <v>0</v>
      </c>
      <c r="F86" s="433">
        <f t="shared" si="24"/>
        <v>749.10632113609222</v>
      </c>
      <c r="G86" s="433">
        <f t="shared" si="25"/>
        <v>180534.62339379822</v>
      </c>
      <c r="H86" s="441"/>
      <c r="I86" s="436">
        <f t="shared" si="5"/>
        <v>3362.9954088401914</v>
      </c>
      <c r="J86" s="436">
        <f t="shared" si="9"/>
        <v>215231.70616577205</v>
      </c>
      <c r="K86" s="436">
        <f t="shared" si="2"/>
        <v>188327.74289505102</v>
      </c>
      <c r="L86" s="437">
        <f t="shared" ref="L86:L149" si="26">G86*$C$19</f>
        <v>45133.655848449554</v>
      </c>
      <c r="M86" s="437">
        <f t="shared" si="7"/>
        <v>47081.935723762756</v>
      </c>
    </row>
    <row r="87" spans="1:14" ht="19.95" customHeight="1">
      <c r="A87" s="438">
        <f t="shared" ref="A87:A150" si="27">A86+1</f>
        <v>66</v>
      </c>
      <c r="B87" s="442">
        <f t="shared" ref="B87:B150" si="28">EDATE(B86,1)</f>
        <v>46174</v>
      </c>
      <c r="C87" s="431"/>
      <c r="D87" s="408"/>
      <c r="E87" s="433">
        <f t="shared" ref="E87:E150" si="29">(D87+C87)/(POWER((1+$C$17/12),A87-1))</f>
        <v>0</v>
      </c>
      <c r="F87" s="433">
        <f t="shared" si="24"/>
        <v>752.22759747415921</v>
      </c>
      <c r="G87" s="433">
        <f t="shared" si="25"/>
        <v>181286.85099127237</v>
      </c>
      <c r="H87" s="441"/>
      <c r="I87" s="436">
        <f t="shared" ref="I87:I150" si="30">IF(($A87-1)&gt;$C$18,0,($E$349+$H$349)/($C$18))</f>
        <v>3362.9954088401914</v>
      </c>
      <c r="J87" s="436">
        <f t="shared" si="9"/>
        <v>218594.70157461223</v>
      </c>
      <c r="K87" s="436">
        <f t="shared" ref="K87:K150" si="31">K86-I87</f>
        <v>184964.74748621084</v>
      </c>
      <c r="L87" s="437">
        <f t="shared" si="26"/>
        <v>45321.712747818092</v>
      </c>
      <c r="M87" s="437">
        <f t="shared" ref="M87:M150" si="32">K87*$C$19</f>
        <v>46241.186871552709</v>
      </c>
    </row>
    <row r="88" spans="1:14" s="103" customFormat="1" ht="19.95" customHeight="1">
      <c r="A88" s="438">
        <f t="shared" si="27"/>
        <v>67</v>
      </c>
      <c r="B88" s="442">
        <f t="shared" si="28"/>
        <v>46204</v>
      </c>
      <c r="C88" s="431"/>
      <c r="D88" s="444"/>
      <c r="E88" s="433">
        <f t="shared" si="29"/>
        <v>0</v>
      </c>
      <c r="F88" s="433">
        <f t="shared" si="24"/>
        <v>755.36187913030153</v>
      </c>
      <c r="G88" s="433">
        <f t="shared" si="25"/>
        <v>182042.21287040267</v>
      </c>
      <c r="H88" s="441"/>
      <c r="I88" s="436">
        <f t="shared" si="30"/>
        <v>3362.9954088401914</v>
      </c>
      <c r="J88" s="436">
        <f t="shared" si="9"/>
        <v>221957.69698345242</v>
      </c>
      <c r="K88" s="436">
        <f t="shared" si="31"/>
        <v>181601.75207737065</v>
      </c>
      <c r="L88" s="437">
        <f t="shared" si="26"/>
        <v>45510.553217600667</v>
      </c>
      <c r="M88" s="437">
        <f t="shared" si="32"/>
        <v>45400.438019342662</v>
      </c>
      <c r="N88" s="568"/>
    </row>
    <row r="89" spans="1:14" ht="19.95" customHeight="1">
      <c r="A89" s="438">
        <f t="shared" si="27"/>
        <v>68</v>
      </c>
      <c r="B89" s="442">
        <f t="shared" si="28"/>
        <v>46235</v>
      </c>
      <c r="C89" s="431"/>
      <c r="D89" s="408"/>
      <c r="E89" s="433">
        <f t="shared" si="29"/>
        <v>0</v>
      </c>
      <c r="F89" s="433">
        <f t="shared" si="24"/>
        <v>758.50922029334447</v>
      </c>
      <c r="G89" s="433">
        <f t="shared" si="25"/>
        <v>182800.72209069601</v>
      </c>
      <c r="H89" s="441"/>
      <c r="I89" s="436">
        <f t="shared" si="30"/>
        <v>3362.9954088401914</v>
      </c>
      <c r="J89" s="436">
        <f t="shared" ref="J89:J152" si="33">IF(I89=0,0,J88+I89)</f>
        <v>225320.69239229261</v>
      </c>
      <c r="K89" s="436">
        <f t="shared" si="31"/>
        <v>178238.75666853046</v>
      </c>
      <c r="L89" s="437">
        <f t="shared" si="26"/>
        <v>45700.180522674003</v>
      </c>
      <c r="M89" s="437">
        <f t="shared" si="32"/>
        <v>44559.689167132616</v>
      </c>
    </row>
    <row r="90" spans="1:14" ht="19.95" customHeight="1">
      <c r="A90" s="438">
        <f t="shared" si="27"/>
        <v>69</v>
      </c>
      <c r="B90" s="442">
        <f t="shared" si="28"/>
        <v>46266</v>
      </c>
      <c r="C90" s="431"/>
      <c r="D90" s="408"/>
      <c r="E90" s="433">
        <f t="shared" si="29"/>
        <v>0</v>
      </c>
      <c r="F90" s="433">
        <f t="shared" si="24"/>
        <v>761.66967537790003</v>
      </c>
      <c r="G90" s="433">
        <f t="shared" si="25"/>
        <v>183562.39176607391</v>
      </c>
      <c r="H90" s="441"/>
      <c r="I90" s="436">
        <f t="shared" si="30"/>
        <v>3362.9954088401914</v>
      </c>
      <c r="J90" s="436">
        <f t="shared" si="33"/>
        <v>228683.68780113279</v>
      </c>
      <c r="K90" s="436">
        <f t="shared" si="31"/>
        <v>174875.76125969028</v>
      </c>
      <c r="L90" s="437">
        <f t="shared" si="26"/>
        <v>45890.597941518477</v>
      </c>
      <c r="M90" s="437">
        <f t="shared" si="32"/>
        <v>43718.940314922569</v>
      </c>
    </row>
    <row r="91" spans="1:14" ht="19.95" customHeight="1">
      <c r="A91" s="438">
        <f t="shared" si="27"/>
        <v>70</v>
      </c>
      <c r="B91" s="442">
        <f t="shared" si="28"/>
        <v>46296</v>
      </c>
      <c r="C91" s="431"/>
      <c r="D91" s="408"/>
      <c r="E91" s="433">
        <f t="shared" si="29"/>
        <v>0</v>
      </c>
      <c r="F91" s="433">
        <f t="shared" si="24"/>
        <v>764.84329902530794</v>
      </c>
      <c r="G91" s="433">
        <f t="shared" si="25"/>
        <v>184327.23506509923</v>
      </c>
      <c r="H91" s="441"/>
      <c r="I91" s="436">
        <f t="shared" si="30"/>
        <v>3362.9954088401914</v>
      </c>
      <c r="J91" s="436">
        <f t="shared" si="33"/>
        <v>232046.68320997298</v>
      </c>
      <c r="K91" s="436">
        <f t="shared" si="31"/>
        <v>171512.76585085009</v>
      </c>
      <c r="L91" s="437">
        <f t="shared" si="26"/>
        <v>46081.808766274808</v>
      </c>
      <c r="M91" s="437">
        <f t="shared" si="32"/>
        <v>42878.191462712522</v>
      </c>
    </row>
    <row r="92" spans="1:14" ht="19.95" customHeight="1">
      <c r="A92" s="438">
        <f t="shared" si="27"/>
        <v>71</v>
      </c>
      <c r="B92" s="442">
        <f t="shared" si="28"/>
        <v>46327</v>
      </c>
      <c r="C92" s="431"/>
      <c r="D92" s="408"/>
      <c r="E92" s="433">
        <f t="shared" si="29"/>
        <v>0</v>
      </c>
      <c r="F92" s="433">
        <f t="shared" si="24"/>
        <v>768.03014610458013</v>
      </c>
      <c r="G92" s="433">
        <f t="shared" si="25"/>
        <v>185095.2652112038</v>
      </c>
      <c r="H92" s="441"/>
      <c r="I92" s="436">
        <f t="shared" si="30"/>
        <v>3362.9954088401914</v>
      </c>
      <c r="J92" s="436">
        <f t="shared" si="33"/>
        <v>235409.67861881317</v>
      </c>
      <c r="K92" s="436">
        <f t="shared" si="31"/>
        <v>168149.7704420099</v>
      </c>
      <c r="L92" s="437">
        <f t="shared" si="26"/>
        <v>46273.816302800951</v>
      </c>
      <c r="M92" s="437">
        <f t="shared" si="32"/>
        <v>42037.442610502476</v>
      </c>
    </row>
    <row r="93" spans="1:14" ht="19.95" customHeight="1">
      <c r="A93" s="438">
        <f t="shared" si="27"/>
        <v>72</v>
      </c>
      <c r="B93" s="442">
        <f t="shared" si="28"/>
        <v>46357</v>
      </c>
      <c r="C93" s="431"/>
      <c r="D93" s="408"/>
      <c r="E93" s="433">
        <f t="shared" si="29"/>
        <v>0</v>
      </c>
      <c r="F93" s="433">
        <f t="shared" ref="F93:F98" si="34">$C$17/12*(G92-C93)</f>
        <v>771.23027171334923</v>
      </c>
      <c r="G93" s="433">
        <f t="shared" ref="G93:G98" si="35">G92-C93+F93</f>
        <v>185866.49548291715</v>
      </c>
      <c r="H93" s="441"/>
      <c r="I93" s="436">
        <f t="shared" si="30"/>
        <v>3362.9954088401914</v>
      </c>
      <c r="J93" s="436">
        <f t="shared" si="33"/>
        <v>238772.67402765335</v>
      </c>
      <c r="K93" s="436">
        <f t="shared" si="31"/>
        <v>164786.77503316972</v>
      </c>
      <c r="L93" s="437">
        <f t="shared" si="26"/>
        <v>46466.623870729287</v>
      </c>
      <c r="M93" s="437">
        <f t="shared" si="32"/>
        <v>41196.693758292429</v>
      </c>
    </row>
    <row r="94" spans="1:14" ht="19.95" customHeight="1">
      <c r="A94" s="438">
        <f t="shared" si="27"/>
        <v>73</v>
      </c>
      <c r="B94" s="442">
        <f t="shared" si="28"/>
        <v>46388</v>
      </c>
      <c r="C94" s="431">
        <v>50000</v>
      </c>
      <c r="D94" s="408"/>
      <c r="E94" s="433">
        <f t="shared" si="29"/>
        <v>37064.004692673778</v>
      </c>
      <c r="F94" s="433">
        <f t="shared" si="34"/>
        <v>566.11039784548814</v>
      </c>
      <c r="G94" s="433">
        <f t="shared" si="35"/>
        <v>136432.60588076263</v>
      </c>
      <c r="H94" s="441"/>
      <c r="I94" s="436">
        <f t="shared" si="30"/>
        <v>3362.9954088401914</v>
      </c>
      <c r="J94" s="436">
        <f t="shared" si="33"/>
        <v>242135.66943649354</v>
      </c>
      <c r="K94" s="436">
        <f t="shared" si="31"/>
        <v>161423.77962432953</v>
      </c>
      <c r="L94" s="437">
        <f t="shared" si="26"/>
        <v>34108.151470190656</v>
      </c>
      <c r="M94" s="437">
        <f t="shared" si="32"/>
        <v>40355.944906082383</v>
      </c>
    </row>
    <row r="95" spans="1:14" ht="19.95" customHeight="1">
      <c r="A95" s="438">
        <f t="shared" si="27"/>
        <v>74</v>
      </c>
      <c r="B95" s="442">
        <f t="shared" si="28"/>
        <v>46419</v>
      </c>
      <c r="C95" s="431"/>
      <c r="D95" s="408"/>
      <c r="E95" s="433">
        <f t="shared" si="29"/>
        <v>0</v>
      </c>
      <c r="F95" s="433">
        <f t="shared" si="34"/>
        <v>568.46919116984429</v>
      </c>
      <c r="G95" s="433">
        <f t="shared" si="35"/>
        <v>137001.07507193246</v>
      </c>
      <c r="H95" s="441"/>
      <c r="I95" s="436">
        <f t="shared" si="30"/>
        <v>3362.9954088401914</v>
      </c>
      <c r="J95" s="436">
        <f t="shared" si="33"/>
        <v>245498.66484533373</v>
      </c>
      <c r="K95" s="436">
        <f t="shared" si="31"/>
        <v>158060.78421548934</v>
      </c>
      <c r="L95" s="437">
        <f t="shared" si="26"/>
        <v>34250.268767983114</v>
      </c>
      <c r="M95" s="437">
        <f t="shared" si="32"/>
        <v>39515.196053872336</v>
      </c>
    </row>
    <row r="96" spans="1:14" ht="19.95" customHeight="1">
      <c r="A96" s="438">
        <f t="shared" si="27"/>
        <v>75</v>
      </c>
      <c r="B96" s="442">
        <f t="shared" si="28"/>
        <v>46447</v>
      </c>
      <c r="C96" s="431"/>
      <c r="D96" s="408"/>
      <c r="E96" s="433">
        <f t="shared" si="29"/>
        <v>0</v>
      </c>
      <c r="F96" s="433">
        <f t="shared" si="34"/>
        <v>570.83781279971856</v>
      </c>
      <c r="G96" s="433">
        <f t="shared" si="35"/>
        <v>137571.91288473218</v>
      </c>
      <c r="H96" s="441"/>
      <c r="I96" s="436">
        <f t="shared" si="30"/>
        <v>3362.9954088401914</v>
      </c>
      <c r="J96" s="436">
        <f t="shared" si="33"/>
        <v>248861.66025417391</v>
      </c>
      <c r="K96" s="436">
        <f t="shared" si="31"/>
        <v>154697.78880664916</v>
      </c>
      <c r="L96" s="437">
        <f t="shared" si="26"/>
        <v>34392.978221183046</v>
      </c>
      <c r="M96" s="437">
        <f t="shared" si="32"/>
        <v>38674.447201662289</v>
      </c>
    </row>
    <row r="97" spans="1:13" ht="19.95" customHeight="1">
      <c r="A97" s="438">
        <f t="shared" si="27"/>
        <v>76</v>
      </c>
      <c r="B97" s="442">
        <f t="shared" si="28"/>
        <v>46478</v>
      </c>
      <c r="C97" s="431"/>
      <c r="D97" s="408"/>
      <c r="E97" s="433">
        <f t="shared" si="29"/>
        <v>0</v>
      </c>
      <c r="F97" s="433">
        <f t="shared" si="34"/>
        <v>573.21630368638409</v>
      </c>
      <c r="G97" s="433">
        <f t="shared" si="35"/>
        <v>138145.12918841856</v>
      </c>
      <c r="H97" s="441"/>
      <c r="I97" s="436">
        <f t="shared" si="30"/>
        <v>3362.9954088401914</v>
      </c>
      <c r="J97" s="436">
        <f t="shared" si="33"/>
        <v>252224.6556630141</v>
      </c>
      <c r="K97" s="436">
        <f t="shared" si="31"/>
        <v>151334.79339780897</v>
      </c>
      <c r="L97" s="437">
        <f t="shared" si="26"/>
        <v>34536.282297104641</v>
      </c>
      <c r="M97" s="437">
        <f t="shared" si="32"/>
        <v>37833.698349452243</v>
      </c>
    </row>
    <row r="98" spans="1:13" ht="19.95" customHeight="1">
      <c r="A98" s="438">
        <f t="shared" si="27"/>
        <v>77</v>
      </c>
      <c r="B98" s="442">
        <f t="shared" si="28"/>
        <v>46508</v>
      </c>
      <c r="C98" s="431"/>
      <c r="D98" s="408"/>
      <c r="E98" s="433">
        <f t="shared" si="29"/>
        <v>0</v>
      </c>
      <c r="F98" s="433">
        <f t="shared" si="34"/>
        <v>575.604704951744</v>
      </c>
      <c r="G98" s="433">
        <f t="shared" si="35"/>
        <v>138720.73389337031</v>
      </c>
      <c r="H98" s="441"/>
      <c r="I98" s="436">
        <f t="shared" si="30"/>
        <v>3362.9954088401914</v>
      </c>
      <c r="J98" s="436">
        <f t="shared" si="33"/>
        <v>255587.65107185428</v>
      </c>
      <c r="K98" s="436">
        <f t="shared" si="31"/>
        <v>147971.79798896878</v>
      </c>
      <c r="L98" s="437">
        <f t="shared" si="26"/>
        <v>34680.183473342579</v>
      </c>
      <c r="M98" s="437">
        <f t="shared" si="32"/>
        <v>36992.949497242196</v>
      </c>
    </row>
    <row r="99" spans="1:13" ht="19.95" customHeight="1">
      <c r="A99" s="438">
        <f t="shared" si="27"/>
        <v>78</v>
      </c>
      <c r="B99" s="442">
        <f t="shared" si="28"/>
        <v>46539</v>
      </c>
      <c r="C99" s="431"/>
      <c r="D99" s="408"/>
      <c r="E99" s="433">
        <f t="shared" si="29"/>
        <v>0</v>
      </c>
      <c r="F99" s="433">
        <f t="shared" ref="F99:F106" si="36">$C$17/12*(G98-C99)</f>
        <v>578.00305788904302</v>
      </c>
      <c r="G99" s="433">
        <f t="shared" ref="G99:G106" si="37">G98-C99+F99</f>
        <v>139298.73695125934</v>
      </c>
      <c r="H99" s="441"/>
      <c r="I99" s="436">
        <f t="shared" si="30"/>
        <v>3362.9954088401914</v>
      </c>
      <c r="J99" s="436">
        <f t="shared" si="33"/>
        <v>258950.64648069447</v>
      </c>
      <c r="K99" s="436">
        <f t="shared" si="31"/>
        <v>144608.8025801286</v>
      </c>
      <c r="L99" s="437">
        <f t="shared" si="26"/>
        <v>34824.684237814836</v>
      </c>
      <c r="M99" s="437">
        <f t="shared" si="32"/>
        <v>36152.20064503215</v>
      </c>
    </row>
    <row r="100" spans="1:13" ht="19.95" customHeight="1">
      <c r="A100" s="438">
        <f t="shared" si="27"/>
        <v>79</v>
      </c>
      <c r="B100" s="442">
        <f t="shared" si="28"/>
        <v>46569</v>
      </c>
      <c r="C100" s="431"/>
      <c r="D100" s="408"/>
      <c r="E100" s="433">
        <f t="shared" si="29"/>
        <v>0</v>
      </c>
      <c r="F100" s="433">
        <f t="shared" si="36"/>
        <v>580.4114039635806</v>
      </c>
      <c r="G100" s="433">
        <f t="shared" si="37"/>
        <v>139879.14835522292</v>
      </c>
      <c r="H100" s="441"/>
      <c r="I100" s="436">
        <f t="shared" si="30"/>
        <v>3362.9954088401914</v>
      </c>
      <c r="J100" s="436">
        <f t="shared" si="33"/>
        <v>262313.64188953466</v>
      </c>
      <c r="K100" s="436">
        <f t="shared" si="31"/>
        <v>141245.80717128841</v>
      </c>
      <c r="L100" s="437">
        <f t="shared" si="26"/>
        <v>34969.78708880573</v>
      </c>
      <c r="M100" s="437">
        <f t="shared" si="32"/>
        <v>35311.451792822103</v>
      </c>
    </row>
    <row r="101" spans="1:13" ht="19.95" customHeight="1">
      <c r="A101" s="438">
        <f t="shared" si="27"/>
        <v>80</v>
      </c>
      <c r="B101" s="442">
        <f t="shared" si="28"/>
        <v>46600</v>
      </c>
      <c r="C101" s="431"/>
      <c r="D101" s="408"/>
      <c r="E101" s="433">
        <f t="shared" si="29"/>
        <v>0</v>
      </c>
      <c r="F101" s="433">
        <f t="shared" si="36"/>
        <v>582.82978481342877</v>
      </c>
      <c r="G101" s="433">
        <f t="shared" si="37"/>
        <v>140461.97814003634</v>
      </c>
      <c r="H101" s="441"/>
      <c r="I101" s="436">
        <f t="shared" si="30"/>
        <v>3362.9954088401914</v>
      </c>
      <c r="J101" s="436">
        <f t="shared" si="33"/>
        <v>265676.63729837484</v>
      </c>
      <c r="K101" s="436">
        <f t="shared" si="31"/>
        <v>137882.81176244823</v>
      </c>
      <c r="L101" s="437">
        <f t="shared" si="26"/>
        <v>35115.494535009086</v>
      </c>
      <c r="M101" s="437">
        <f t="shared" si="32"/>
        <v>34470.702940612056</v>
      </c>
    </row>
    <row r="102" spans="1:13" ht="19.95" customHeight="1">
      <c r="A102" s="438">
        <f t="shared" si="27"/>
        <v>81</v>
      </c>
      <c r="B102" s="442">
        <f t="shared" si="28"/>
        <v>46631</v>
      </c>
      <c r="C102" s="431"/>
      <c r="D102" s="408"/>
      <c r="E102" s="433">
        <f t="shared" si="29"/>
        <v>0</v>
      </c>
      <c r="F102" s="433">
        <f t="shared" si="36"/>
        <v>585.2582422501514</v>
      </c>
      <c r="G102" s="433">
        <f t="shared" si="37"/>
        <v>141047.2363822865</v>
      </c>
      <c r="H102" s="441"/>
      <c r="I102" s="436">
        <f t="shared" si="30"/>
        <v>3362.9954088401914</v>
      </c>
      <c r="J102" s="436">
        <f t="shared" si="33"/>
        <v>269039.63270721503</v>
      </c>
      <c r="K102" s="436">
        <f t="shared" si="31"/>
        <v>134519.81635360804</v>
      </c>
      <c r="L102" s="437">
        <f t="shared" si="26"/>
        <v>35261.809095571625</v>
      </c>
      <c r="M102" s="437">
        <f t="shared" si="32"/>
        <v>33629.95408840201</v>
      </c>
    </row>
    <row r="103" spans="1:13" ht="19.95" customHeight="1">
      <c r="A103" s="438">
        <f t="shared" si="27"/>
        <v>82</v>
      </c>
      <c r="B103" s="442">
        <f t="shared" si="28"/>
        <v>46661</v>
      </c>
      <c r="C103" s="431"/>
      <c r="D103" s="408"/>
      <c r="E103" s="433">
        <f t="shared" si="29"/>
        <v>0</v>
      </c>
      <c r="F103" s="433">
        <f t="shared" si="36"/>
        <v>587.69681825952705</v>
      </c>
      <c r="G103" s="433">
        <f t="shared" si="37"/>
        <v>141634.93320054602</v>
      </c>
      <c r="H103" s="441"/>
      <c r="I103" s="436">
        <f t="shared" si="30"/>
        <v>3362.9954088401914</v>
      </c>
      <c r="J103" s="436">
        <f t="shared" si="33"/>
        <v>272402.62811605522</v>
      </c>
      <c r="K103" s="436">
        <f t="shared" si="31"/>
        <v>131156.82094476785</v>
      </c>
      <c r="L103" s="437">
        <f t="shared" si="26"/>
        <v>35408.733300136504</v>
      </c>
      <c r="M103" s="437">
        <f t="shared" si="32"/>
        <v>32789.205236191963</v>
      </c>
    </row>
    <row r="104" spans="1:13" ht="19.95" customHeight="1">
      <c r="A104" s="438">
        <f t="shared" si="27"/>
        <v>83</v>
      </c>
      <c r="B104" s="442">
        <f t="shared" si="28"/>
        <v>46692</v>
      </c>
      <c r="C104" s="431"/>
      <c r="D104" s="408"/>
      <c r="E104" s="433">
        <f t="shared" si="29"/>
        <v>0</v>
      </c>
      <c r="F104" s="433">
        <f t="shared" si="36"/>
        <v>590.14555500227505</v>
      </c>
      <c r="G104" s="433">
        <f t="shared" si="37"/>
        <v>142225.07875554828</v>
      </c>
      <c r="H104" s="441"/>
      <c r="I104" s="436">
        <f t="shared" si="30"/>
        <v>3362.9954088401914</v>
      </c>
      <c r="J104" s="436">
        <f t="shared" si="33"/>
        <v>275765.6235248954</v>
      </c>
      <c r="K104" s="436">
        <f t="shared" si="31"/>
        <v>127793.82553592767</v>
      </c>
      <c r="L104" s="437">
        <f t="shared" si="26"/>
        <v>35556.269688887071</v>
      </c>
      <c r="M104" s="437">
        <f t="shared" si="32"/>
        <v>31948.456383981917</v>
      </c>
    </row>
    <row r="105" spans="1:13" ht="19.95" customHeight="1">
      <c r="A105" s="438">
        <f t="shared" si="27"/>
        <v>84</v>
      </c>
      <c r="B105" s="442">
        <f t="shared" si="28"/>
        <v>46722</v>
      </c>
      <c r="C105" s="431"/>
      <c r="D105" s="408"/>
      <c r="E105" s="433">
        <f t="shared" si="29"/>
        <v>0</v>
      </c>
      <c r="F105" s="433">
        <f t="shared" si="36"/>
        <v>592.60449481478452</v>
      </c>
      <c r="G105" s="433">
        <f t="shared" si="37"/>
        <v>142817.68325036307</v>
      </c>
      <c r="H105" s="441"/>
      <c r="I105" s="436">
        <f t="shared" si="30"/>
        <v>3362.9954088401914</v>
      </c>
      <c r="J105" s="436">
        <f t="shared" si="33"/>
        <v>279128.61893373559</v>
      </c>
      <c r="K105" s="436">
        <f t="shared" si="31"/>
        <v>124430.83012708748</v>
      </c>
      <c r="L105" s="437">
        <f t="shared" si="26"/>
        <v>35704.420812590768</v>
      </c>
      <c r="M105" s="437">
        <f t="shared" si="32"/>
        <v>31107.70753177187</v>
      </c>
    </row>
    <row r="106" spans="1:13" ht="19.95" customHeight="1">
      <c r="A106" s="438">
        <f t="shared" si="27"/>
        <v>85</v>
      </c>
      <c r="B106" s="442">
        <f t="shared" si="28"/>
        <v>46753</v>
      </c>
      <c r="C106" s="431">
        <v>50000</v>
      </c>
      <c r="D106" s="408"/>
      <c r="E106" s="433">
        <f t="shared" si="29"/>
        <v>35260.034412742636</v>
      </c>
      <c r="F106" s="433">
        <f t="shared" si="36"/>
        <v>386.74034687651277</v>
      </c>
      <c r="G106" s="433">
        <f t="shared" si="37"/>
        <v>93204.423597239584</v>
      </c>
      <c r="H106" s="441"/>
      <c r="I106" s="436">
        <f t="shared" si="30"/>
        <v>3362.9954088401914</v>
      </c>
      <c r="J106" s="436">
        <f t="shared" si="33"/>
        <v>282491.61434257578</v>
      </c>
      <c r="K106" s="436">
        <f t="shared" si="31"/>
        <v>121067.83471824729</v>
      </c>
      <c r="L106" s="437">
        <f t="shared" si="26"/>
        <v>23301.105899309896</v>
      </c>
      <c r="M106" s="437">
        <f t="shared" si="32"/>
        <v>30266.958679561823</v>
      </c>
    </row>
    <row r="107" spans="1:13" ht="19.95" customHeight="1">
      <c r="A107" s="438">
        <f t="shared" si="27"/>
        <v>86</v>
      </c>
      <c r="B107" s="442">
        <f t="shared" si="28"/>
        <v>46784</v>
      </c>
      <c r="C107" s="431"/>
      <c r="D107" s="408"/>
      <c r="E107" s="433">
        <f t="shared" si="29"/>
        <v>0</v>
      </c>
      <c r="F107" s="433">
        <f t="shared" ref="F107:F117" si="38">$C$17/12*(G106-C107)</f>
        <v>388.35176498849825</v>
      </c>
      <c r="G107" s="433">
        <f t="shared" ref="G107:G117" si="39">G106-C107+F107</f>
        <v>93592.775362228087</v>
      </c>
      <c r="H107" s="441"/>
      <c r="I107" s="436">
        <f t="shared" si="30"/>
        <v>3362.9954088401914</v>
      </c>
      <c r="J107" s="436">
        <f t="shared" si="33"/>
        <v>285854.60975141596</v>
      </c>
      <c r="K107" s="436">
        <f t="shared" si="31"/>
        <v>117704.83930940711</v>
      </c>
      <c r="L107" s="437">
        <f t="shared" si="26"/>
        <v>23398.193840557022</v>
      </c>
      <c r="M107" s="437">
        <f t="shared" si="32"/>
        <v>29426.209827351777</v>
      </c>
    </row>
    <row r="108" spans="1:13" ht="19.95" customHeight="1">
      <c r="A108" s="438">
        <f t="shared" si="27"/>
        <v>87</v>
      </c>
      <c r="B108" s="442">
        <f t="shared" si="28"/>
        <v>46813</v>
      </c>
      <c r="C108" s="431"/>
      <c r="D108" s="408"/>
      <c r="E108" s="433">
        <f t="shared" si="29"/>
        <v>0</v>
      </c>
      <c r="F108" s="433">
        <f t="shared" si="38"/>
        <v>389.969897342617</v>
      </c>
      <c r="G108" s="433">
        <f t="shared" si="39"/>
        <v>93982.7452595707</v>
      </c>
      <c r="H108" s="441"/>
      <c r="I108" s="436">
        <f t="shared" si="30"/>
        <v>3362.9954088401914</v>
      </c>
      <c r="J108" s="436">
        <f t="shared" si="33"/>
        <v>289217.60516025615</v>
      </c>
      <c r="K108" s="436">
        <f t="shared" si="31"/>
        <v>114341.84390056692</v>
      </c>
      <c r="L108" s="437">
        <f t="shared" si="26"/>
        <v>23495.686314892675</v>
      </c>
      <c r="M108" s="437">
        <f t="shared" si="32"/>
        <v>28585.46097514173</v>
      </c>
    </row>
    <row r="109" spans="1:13" ht="19.95" customHeight="1">
      <c r="A109" s="438">
        <f t="shared" si="27"/>
        <v>88</v>
      </c>
      <c r="B109" s="442">
        <f t="shared" si="28"/>
        <v>46844</v>
      </c>
      <c r="C109" s="431"/>
      <c r="D109" s="408"/>
      <c r="E109" s="433">
        <f t="shared" si="29"/>
        <v>0</v>
      </c>
      <c r="F109" s="433">
        <f t="shared" si="38"/>
        <v>391.59477191487792</v>
      </c>
      <c r="G109" s="433">
        <f t="shared" si="39"/>
        <v>94374.340031485583</v>
      </c>
      <c r="H109" s="441"/>
      <c r="I109" s="436">
        <f t="shared" si="30"/>
        <v>3362.9954088401914</v>
      </c>
      <c r="J109" s="436">
        <f t="shared" si="33"/>
        <v>292580.60056909634</v>
      </c>
      <c r="K109" s="436">
        <f t="shared" si="31"/>
        <v>110978.84849172673</v>
      </c>
      <c r="L109" s="437">
        <f t="shared" si="26"/>
        <v>23593.585007871396</v>
      </c>
      <c r="M109" s="437">
        <f t="shared" si="32"/>
        <v>27744.712122931684</v>
      </c>
    </row>
    <row r="110" spans="1:13" ht="19.95" customHeight="1">
      <c r="A110" s="438">
        <f t="shared" si="27"/>
        <v>89</v>
      </c>
      <c r="B110" s="442">
        <f t="shared" si="28"/>
        <v>46874</v>
      </c>
      <c r="C110" s="431"/>
      <c r="D110" s="408"/>
      <c r="E110" s="433">
        <f t="shared" si="29"/>
        <v>0</v>
      </c>
      <c r="F110" s="433">
        <f t="shared" si="38"/>
        <v>393.22641679785659</v>
      </c>
      <c r="G110" s="433">
        <f t="shared" si="39"/>
        <v>94767.56644828344</v>
      </c>
      <c r="H110" s="441"/>
      <c r="I110" s="436">
        <f t="shared" si="30"/>
        <v>3362.9954088401914</v>
      </c>
      <c r="J110" s="436">
        <f t="shared" si="33"/>
        <v>295943.59597793652</v>
      </c>
      <c r="K110" s="436">
        <f t="shared" si="31"/>
        <v>107615.85308288655</v>
      </c>
      <c r="L110" s="437">
        <f t="shared" si="26"/>
        <v>23691.89161207086</v>
      </c>
      <c r="M110" s="437">
        <f t="shared" si="32"/>
        <v>26903.963270721637</v>
      </c>
    </row>
    <row r="111" spans="1:13" ht="19.95" customHeight="1">
      <c r="A111" s="438">
        <f t="shared" si="27"/>
        <v>90</v>
      </c>
      <c r="B111" s="442">
        <f t="shared" si="28"/>
        <v>46905</v>
      </c>
      <c r="C111" s="431"/>
      <c r="D111" s="408"/>
      <c r="E111" s="433">
        <f t="shared" si="29"/>
        <v>0</v>
      </c>
      <c r="F111" s="433">
        <f t="shared" si="38"/>
        <v>394.86486020118099</v>
      </c>
      <c r="G111" s="433">
        <f t="shared" si="39"/>
        <v>95162.431308484622</v>
      </c>
      <c r="H111" s="441"/>
      <c r="I111" s="436">
        <f t="shared" si="30"/>
        <v>3362.9954088401914</v>
      </c>
      <c r="J111" s="436">
        <f t="shared" si="33"/>
        <v>299306.59138677671</v>
      </c>
      <c r="K111" s="436">
        <f t="shared" si="31"/>
        <v>104252.85767404636</v>
      </c>
      <c r="L111" s="437">
        <f t="shared" si="26"/>
        <v>23790.607827121155</v>
      </c>
      <c r="M111" s="437">
        <f t="shared" si="32"/>
        <v>26063.21441851159</v>
      </c>
    </row>
    <row r="112" spans="1:13" ht="19.95" customHeight="1">
      <c r="A112" s="438">
        <f t="shared" si="27"/>
        <v>91</v>
      </c>
      <c r="B112" s="442">
        <f t="shared" si="28"/>
        <v>46935</v>
      </c>
      <c r="C112" s="431"/>
      <c r="D112" s="408"/>
      <c r="E112" s="433">
        <f t="shared" si="29"/>
        <v>0</v>
      </c>
      <c r="F112" s="433">
        <f t="shared" si="38"/>
        <v>396.51013045201927</v>
      </c>
      <c r="G112" s="433">
        <f t="shared" si="39"/>
        <v>95558.941438936643</v>
      </c>
      <c r="H112" s="441"/>
      <c r="I112" s="436">
        <f t="shared" si="30"/>
        <v>3362.9954088401914</v>
      </c>
      <c r="J112" s="436">
        <f t="shared" si="33"/>
        <v>302669.58679561689</v>
      </c>
      <c r="K112" s="436">
        <f t="shared" si="31"/>
        <v>100889.86226520617</v>
      </c>
      <c r="L112" s="437">
        <f t="shared" si="26"/>
        <v>23889.735359734161</v>
      </c>
      <c r="M112" s="437">
        <f t="shared" si="32"/>
        <v>25222.465566301544</v>
      </c>
    </row>
    <row r="113" spans="1:14" ht="19.95" customHeight="1">
      <c r="A113" s="438">
        <f t="shared" si="27"/>
        <v>92</v>
      </c>
      <c r="B113" s="442">
        <f t="shared" si="28"/>
        <v>46966</v>
      </c>
      <c r="C113" s="431"/>
      <c r="D113" s="408"/>
      <c r="E113" s="433">
        <f t="shared" si="29"/>
        <v>0</v>
      </c>
      <c r="F113" s="433">
        <f t="shared" si="38"/>
        <v>398.16225599556935</v>
      </c>
      <c r="G113" s="433">
        <f t="shared" si="39"/>
        <v>95957.103694932215</v>
      </c>
      <c r="H113" s="441"/>
      <c r="I113" s="436">
        <f t="shared" si="30"/>
        <v>3362.9954088401914</v>
      </c>
      <c r="J113" s="436">
        <f t="shared" si="33"/>
        <v>306032.58220445708</v>
      </c>
      <c r="K113" s="436">
        <f t="shared" si="31"/>
        <v>97526.866856365988</v>
      </c>
      <c r="L113" s="437">
        <f t="shared" si="26"/>
        <v>23989.275923733054</v>
      </c>
      <c r="M113" s="437">
        <f t="shared" si="32"/>
        <v>24381.716714091497</v>
      </c>
    </row>
    <row r="114" spans="1:14" ht="19.95" customHeight="1">
      <c r="A114" s="438">
        <f t="shared" si="27"/>
        <v>93</v>
      </c>
      <c r="B114" s="442">
        <f t="shared" si="28"/>
        <v>46997</v>
      </c>
      <c r="C114" s="431"/>
      <c r="D114" s="408"/>
      <c r="E114" s="433">
        <f t="shared" si="29"/>
        <v>0</v>
      </c>
      <c r="F114" s="433">
        <f t="shared" si="38"/>
        <v>399.82126539555088</v>
      </c>
      <c r="G114" s="433">
        <f t="shared" si="39"/>
        <v>96356.924960327771</v>
      </c>
      <c r="H114" s="441"/>
      <c r="I114" s="436">
        <f t="shared" si="30"/>
        <v>3362.9954088401914</v>
      </c>
      <c r="J114" s="436">
        <f t="shared" si="33"/>
        <v>309395.57761329727</v>
      </c>
      <c r="K114" s="436">
        <f t="shared" si="31"/>
        <v>94163.871447525802</v>
      </c>
      <c r="L114" s="437">
        <f t="shared" si="26"/>
        <v>24089.231240081943</v>
      </c>
      <c r="M114" s="437">
        <f t="shared" si="32"/>
        <v>23540.967861881451</v>
      </c>
    </row>
    <row r="115" spans="1:14" ht="19.95" customHeight="1">
      <c r="A115" s="438">
        <f t="shared" si="27"/>
        <v>94</v>
      </c>
      <c r="B115" s="442">
        <f t="shared" si="28"/>
        <v>47027</v>
      </c>
      <c r="C115" s="431"/>
      <c r="D115" s="408"/>
      <c r="E115" s="433">
        <f t="shared" si="29"/>
        <v>0</v>
      </c>
      <c r="F115" s="433">
        <f t="shared" si="38"/>
        <v>401.48718733469906</v>
      </c>
      <c r="G115" s="433">
        <f t="shared" si="39"/>
        <v>96758.412147662471</v>
      </c>
      <c r="H115" s="441"/>
      <c r="I115" s="436">
        <f t="shared" si="30"/>
        <v>3362.9954088401914</v>
      </c>
      <c r="J115" s="436">
        <f t="shared" si="33"/>
        <v>312758.57302213745</v>
      </c>
      <c r="K115" s="436">
        <f t="shared" si="31"/>
        <v>90800.876038685616</v>
      </c>
      <c r="L115" s="437">
        <f t="shared" si="26"/>
        <v>24189.603036915618</v>
      </c>
      <c r="M115" s="437">
        <f t="shared" si="32"/>
        <v>22700.219009671404</v>
      </c>
    </row>
    <row r="116" spans="1:14" ht="19.95" customHeight="1">
      <c r="A116" s="438">
        <f t="shared" si="27"/>
        <v>95</v>
      </c>
      <c r="B116" s="442">
        <f t="shared" si="28"/>
        <v>47058</v>
      </c>
      <c r="C116" s="431"/>
      <c r="D116" s="445"/>
      <c r="E116" s="433">
        <f t="shared" si="29"/>
        <v>0</v>
      </c>
      <c r="F116" s="433">
        <f t="shared" si="38"/>
        <v>403.16005061526027</v>
      </c>
      <c r="G116" s="433">
        <f t="shared" si="39"/>
        <v>97161.572198277732</v>
      </c>
      <c r="H116" s="441"/>
      <c r="I116" s="436">
        <f t="shared" si="30"/>
        <v>3362.9954088401914</v>
      </c>
      <c r="J116" s="436">
        <f t="shared" si="33"/>
        <v>316121.56843097764</v>
      </c>
      <c r="K116" s="436">
        <f t="shared" si="31"/>
        <v>87437.880629845429</v>
      </c>
      <c r="L116" s="437">
        <f t="shared" si="26"/>
        <v>24290.393049569433</v>
      </c>
      <c r="M116" s="437">
        <f t="shared" si="32"/>
        <v>21859.470157461357</v>
      </c>
    </row>
    <row r="117" spans="1:14" ht="19.95" customHeight="1">
      <c r="A117" s="438">
        <f t="shared" si="27"/>
        <v>96</v>
      </c>
      <c r="B117" s="442">
        <f t="shared" si="28"/>
        <v>47088</v>
      </c>
      <c r="C117" s="431"/>
      <c r="D117" s="445"/>
      <c r="E117" s="433">
        <f t="shared" si="29"/>
        <v>0</v>
      </c>
      <c r="F117" s="433">
        <f t="shared" si="38"/>
        <v>404.83988415949057</v>
      </c>
      <c r="G117" s="433">
        <f t="shared" si="39"/>
        <v>97566.412082437222</v>
      </c>
      <c r="H117" s="441"/>
      <c r="I117" s="436">
        <f t="shared" si="30"/>
        <v>3362.9954088401914</v>
      </c>
      <c r="J117" s="436">
        <f t="shared" si="33"/>
        <v>319484.56383981783</v>
      </c>
      <c r="K117" s="436">
        <f t="shared" si="31"/>
        <v>84074.885221005243</v>
      </c>
      <c r="L117" s="437">
        <f t="shared" si="26"/>
        <v>24391.603020609306</v>
      </c>
      <c r="M117" s="437">
        <f t="shared" si="32"/>
        <v>21018.721305251311</v>
      </c>
    </row>
    <row r="118" spans="1:14" ht="19.95" customHeight="1">
      <c r="A118" s="438">
        <f t="shared" si="27"/>
        <v>97</v>
      </c>
      <c r="B118" s="442">
        <f t="shared" si="28"/>
        <v>47119</v>
      </c>
      <c r="C118" s="431">
        <v>50000</v>
      </c>
      <c r="D118" s="446"/>
      <c r="E118" s="433">
        <f t="shared" si="29"/>
        <v>33543.866538349124</v>
      </c>
      <c r="F118" s="433">
        <f t="shared" ref="F118:F129" si="40">$C$17/12*(G117-C118)</f>
        <v>198.19338367682175</v>
      </c>
      <c r="G118" s="433">
        <f t="shared" ref="G118:G129" si="41">G117-C118+F118</f>
        <v>47764.605466114044</v>
      </c>
      <c r="H118" s="441"/>
      <c r="I118" s="436">
        <f t="shared" si="30"/>
        <v>3362.9954088401914</v>
      </c>
      <c r="J118" s="436">
        <f t="shared" si="33"/>
        <v>322847.55924865801</v>
      </c>
      <c r="K118" s="436">
        <f t="shared" si="31"/>
        <v>80711.889812165056</v>
      </c>
      <c r="L118" s="437">
        <f t="shared" si="26"/>
        <v>11941.151366528511</v>
      </c>
      <c r="M118" s="437">
        <f t="shared" si="32"/>
        <v>20177.972453041264</v>
      </c>
    </row>
    <row r="119" spans="1:14" ht="19.95" customHeight="1">
      <c r="A119" s="438">
        <f t="shared" si="27"/>
        <v>98</v>
      </c>
      <c r="B119" s="442">
        <f t="shared" si="28"/>
        <v>47150</v>
      </c>
      <c r="C119" s="431"/>
      <c r="D119" s="408"/>
      <c r="E119" s="433">
        <f t="shared" si="29"/>
        <v>0</v>
      </c>
      <c r="F119" s="433">
        <f t="shared" si="40"/>
        <v>199.01918944214185</v>
      </c>
      <c r="G119" s="433">
        <f t="shared" si="41"/>
        <v>47963.624655556188</v>
      </c>
      <c r="H119" s="441"/>
      <c r="I119" s="436">
        <f t="shared" si="30"/>
        <v>3362.9954088401914</v>
      </c>
      <c r="J119" s="436">
        <f t="shared" si="33"/>
        <v>326210.5546574982</v>
      </c>
      <c r="K119" s="436">
        <f t="shared" si="31"/>
        <v>77348.89440332487</v>
      </c>
      <c r="L119" s="437">
        <f t="shared" si="26"/>
        <v>11990.906163889047</v>
      </c>
      <c r="M119" s="437">
        <f t="shared" si="32"/>
        <v>19337.223600831217</v>
      </c>
    </row>
    <row r="120" spans="1:14" ht="19.95" customHeight="1">
      <c r="A120" s="438">
        <f t="shared" si="27"/>
        <v>99</v>
      </c>
      <c r="B120" s="442">
        <f t="shared" si="28"/>
        <v>47178</v>
      </c>
      <c r="C120" s="431"/>
      <c r="D120" s="408"/>
      <c r="E120" s="433">
        <f t="shared" si="29"/>
        <v>0</v>
      </c>
      <c r="F120" s="433">
        <f t="shared" si="40"/>
        <v>199.84843606481746</v>
      </c>
      <c r="G120" s="433">
        <f t="shared" si="41"/>
        <v>48163.473091621003</v>
      </c>
      <c r="H120" s="441"/>
      <c r="I120" s="436">
        <f t="shared" si="30"/>
        <v>3362.9954088401914</v>
      </c>
      <c r="J120" s="436">
        <f t="shared" si="33"/>
        <v>329573.55006633839</v>
      </c>
      <c r="K120" s="436">
        <f t="shared" si="31"/>
        <v>73985.898994484683</v>
      </c>
      <c r="L120" s="437">
        <f t="shared" si="26"/>
        <v>12040.868272905251</v>
      </c>
      <c r="M120" s="437">
        <f t="shared" si="32"/>
        <v>18496.474748621171</v>
      </c>
    </row>
    <row r="121" spans="1:14" ht="19.95" customHeight="1">
      <c r="A121" s="438">
        <f t="shared" si="27"/>
        <v>100</v>
      </c>
      <c r="B121" s="442">
        <f t="shared" si="28"/>
        <v>47209</v>
      </c>
      <c r="C121" s="431"/>
      <c r="D121" s="408"/>
      <c r="E121" s="433">
        <f t="shared" si="29"/>
        <v>0</v>
      </c>
      <c r="F121" s="433">
        <f t="shared" si="40"/>
        <v>200.68113788175418</v>
      </c>
      <c r="G121" s="433">
        <f t="shared" si="41"/>
        <v>48364.154229502754</v>
      </c>
      <c r="H121" s="441"/>
      <c r="I121" s="436">
        <f t="shared" si="30"/>
        <v>3362.9954088401914</v>
      </c>
      <c r="J121" s="436">
        <f t="shared" si="33"/>
        <v>332936.54547517857</v>
      </c>
      <c r="K121" s="436">
        <f t="shared" si="31"/>
        <v>70622.903585644497</v>
      </c>
      <c r="L121" s="437">
        <f t="shared" si="26"/>
        <v>12091.038557375688</v>
      </c>
      <c r="M121" s="437">
        <f t="shared" si="32"/>
        <v>17655.725896411124</v>
      </c>
    </row>
    <row r="122" spans="1:14" ht="19.95" customHeight="1">
      <c r="A122" s="438">
        <f t="shared" si="27"/>
        <v>101</v>
      </c>
      <c r="B122" s="442">
        <f t="shared" si="28"/>
        <v>47239</v>
      </c>
      <c r="C122" s="431"/>
      <c r="D122" s="408"/>
      <c r="E122" s="433">
        <f t="shared" si="29"/>
        <v>0</v>
      </c>
      <c r="F122" s="433">
        <f t="shared" si="40"/>
        <v>201.51730928959481</v>
      </c>
      <c r="G122" s="433">
        <f t="shared" si="41"/>
        <v>48565.671538792347</v>
      </c>
      <c r="H122" s="441"/>
      <c r="I122" s="436">
        <f t="shared" si="30"/>
        <v>3362.9954088401914</v>
      </c>
      <c r="J122" s="436">
        <f t="shared" si="33"/>
        <v>336299.54088401876</v>
      </c>
      <c r="K122" s="436">
        <f t="shared" si="31"/>
        <v>67259.908176804311</v>
      </c>
      <c r="L122" s="437">
        <f t="shared" si="26"/>
        <v>12141.417884698087</v>
      </c>
      <c r="M122" s="437">
        <f t="shared" si="32"/>
        <v>16814.977044201078</v>
      </c>
    </row>
    <row r="123" spans="1:14" ht="19.95" customHeight="1">
      <c r="A123" s="438">
        <f t="shared" si="27"/>
        <v>102</v>
      </c>
      <c r="B123" s="442">
        <f t="shared" si="28"/>
        <v>47270</v>
      </c>
      <c r="C123" s="431"/>
      <c r="D123" s="408"/>
      <c r="E123" s="433">
        <f t="shared" si="29"/>
        <v>0</v>
      </c>
      <c r="F123" s="433">
        <f t="shared" si="40"/>
        <v>202.35696474496811</v>
      </c>
      <c r="G123" s="433">
        <f t="shared" si="41"/>
        <v>48768.028503537316</v>
      </c>
      <c r="H123" s="441"/>
      <c r="I123" s="436">
        <f t="shared" si="30"/>
        <v>3362.9954088401914</v>
      </c>
      <c r="J123" s="436">
        <f t="shared" si="33"/>
        <v>339662.53629285895</v>
      </c>
      <c r="K123" s="436">
        <f t="shared" si="31"/>
        <v>63896.912767964117</v>
      </c>
      <c r="L123" s="437">
        <f t="shared" si="26"/>
        <v>12192.007125884329</v>
      </c>
      <c r="M123" s="437">
        <f t="shared" si="32"/>
        <v>15974.228191991029</v>
      </c>
    </row>
    <row r="124" spans="1:14" s="103" customFormat="1" ht="19.95" customHeight="1">
      <c r="A124" s="438">
        <f t="shared" si="27"/>
        <v>103</v>
      </c>
      <c r="B124" s="442">
        <f t="shared" si="28"/>
        <v>47300</v>
      </c>
      <c r="C124" s="431"/>
      <c r="D124" s="444"/>
      <c r="E124" s="433">
        <f t="shared" si="29"/>
        <v>0</v>
      </c>
      <c r="F124" s="433">
        <f t="shared" si="40"/>
        <v>203.20011876473882</v>
      </c>
      <c r="G124" s="433">
        <f t="shared" si="41"/>
        <v>48971.228622302056</v>
      </c>
      <c r="H124" s="441"/>
      <c r="I124" s="436">
        <f t="shared" si="30"/>
        <v>3362.9954088401914</v>
      </c>
      <c r="J124" s="436">
        <f t="shared" si="33"/>
        <v>343025.53170169913</v>
      </c>
      <c r="K124" s="436">
        <f t="shared" si="31"/>
        <v>60533.917359123923</v>
      </c>
      <c r="L124" s="437">
        <f t="shared" si="26"/>
        <v>12242.807155575514</v>
      </c>
      <c r="M124" s="437">
        <f t="shared" si="32"/>
        <v>15133.479339780981</v>
      </c>
      <c r="N124" s="568"/>
    </row>
    <row r="125" spans="1:14" ht="19.95" customHeight="1">
      <c r="A125" s="438">
        <f t="shared" si="27"/>
        <v>104</v>
      </c>
      <c r="B125" s="442">
        <f t="shared" si="28"/>
        <v>47331</v>
      </c>
      <c r="C125" s="431"/>
      <c r="D125" s="408"/>
      <c r="E125" s="433">
        <f t="shared" si="29"/>
        <v>0</v>
      </c>
      <c r="F125" s="433">
        <f t="shared" si="40"/>
        <v>204.04678592625856</v>
      </c>
      <c r="G125" s="433">
        <f t="shared" si="41"/>
        <v>49175.275408228314</v>
      </c>
      <c r="H125" s="441"/>
      <c r="I125" s="436">
        <f t="shared" si="30"/>
        <v>3362.9954088401914</v>
      </c>
      <c r="J125" s="436">
        <f t="shared" si="33"/>
        <v>346388.52711053932</v>
      </c>
      <c r="K125" s="436">
        <f t="shared" si="31"/>
        <v>57170.92195028373</v>
      </c>
      <c r="L125" s="437">
        <f t="shared" si="26"/>
        <v>12293.818852057078</v>
      </c>
      <c r="M125" s="437">
        <f t="shared" si="32"/>
        <v>14292.730487570932</v>
      </c>
    </row>
    <row r="126" spans="1:14" ht="19.95" customHeight="1">
      <c r="A126" s="438">
        <f t="shared" si="27"/>
        <v>105</v>
      </c>
      <c r="B126" s="442">
        <f t="shared" si="28"/>
        <v>47362</v>
      </c>
      <c r="C126" s="431"/>
      <c r="D126" s="408"/>
      <c r="E126" s="433">
        <f t="shared" si="29"/>
        <v>0</v>
      </c>
      <c r="F126" s="433">
        <f t="shared" si="40"/>
        <v>204.89698086761797</v>
      </c>
      <c r="G126" s="433">
        <f t="shared" si="41"/>
        <v>49380.172389095933</v>
      </c>
      <c r="H126" s="441"/>
      <c r="I126" s="436">
        <f t="shared" si="30"/>
        <v>3362.9954088401914</v>
      </c>
      <c r="J126" s="436">
        <f t="shared" si="33"/>
        <v>349751.5225193795</v>
      </c>
      <c r="K126" s="436">
        <f t="shared" si="31"/>
        <v>53807.926541443536</v>
      </c>
      <c r="L126" s="437">
        <f t="shared" si="26"/>
        <v>12345.043097273983</v>
      </c>
      <c r="M126" s="437">
        <f t="shared" si="32"/>
        <v>13451.981635360884</v>
      </c>
    </row>
    <row r="127" spans="1:14" ht="19.95" customHeight="1">
      <c r="A127" s="438">
        <f t="shared" si="27"/>
        <v>106</v>
      </c>
      <c r="B127" s="442">
        <f t="shared" si="28"/>
        <v>47392</v>
      </c>
      <c r="C127" s="431"/>
      <c r="D127" s="408"/>
      <c r="E127" s="433">
        <f t="shared" si="29"/>
        <v>0</v>
      </c>
      <c r="F127" s="433">
        <f t="shared" si="40"/>
        <v>205.75071828789973</v>
      </c>
      <c r="G127" s="433">
        <f t="shared" si="41"/>
        <v>49585.923107383831</v>
      </c>
      <c r="H127" s="441"/>
      <c r="I127" s="436">
        <f t="shared" si="30"/>
        <v>3362.9954088401914</v>
      </c>
      <c r="J127" s="436">
        <f t="shared" si="33"/>
        <v>353114.51792821969</v>
      </c>
      <c r="K127" s="436">
        <f t="shared" si="31"/>
        <v>50444.931132603342</v>
      </c>
      <c r="L127" s="437">
        <f t="shared" si="26"/>
        <v>12396.480776845958</v>
      </c>
      <c r="M127" s="437">
        <f t="shared" si="32"/>
        <v>12611.232783150836</v>
      </c>
    </row>
    <row r="128" spans="1:14" ht="19.95" customHeight="1">
      <c r="A128" s="438">
        <f t="shared" si="27"/>
        <v>107</v>
      </c>
      <c r="B128" s="442">
        <f t="shared" si="28"/>
        <v>47423</v>
      </c>
      <c r="C128" s="431"/>
      <c r="D128" s="408"/>
      <c r="E128" s="433">
        <f t="shared" si="29"/>
        <v>0</v>
      </c>
      <c r="F128" s="433">
        <f t="shared" si="40"/>
        <v>206.60801294743263</v>
      </c>
      <c r="G128" s="433">
        <f t="shared" si="41"/>
        <v>49792.531120331267</v>
      </c>
      <c r="H128" s="441"/>
      <c r="I128" s="436">
        <f t="shared" si="30"/>
        <v>3362.9954088401914</v>
      </c>
      <c r="J128" s="436">
        <f t="shared" si="33"/>
        <v>356477.51333705988</v>
      </c>
      <c r="K128" s="436">
        <f t="shared" si="31"/>
        <v>47081.935723763148</v>
      </c>
      <c r="L128" s="437">
        <f t="shared" si="26"/>
        <v>12448.132780082817</v>
      </c>
      <c r="M128" s="437">
        <f t="shared" si="32"/>
        <v>11770.483930940787</v>
      </c>
    </row>
    <row r="129" spans="1:13" ht="19.95" customHeight="1">
      <c r="A129" s="438">
        <f t="shared" si="27"/>
        <v>108</v>
      </c>
      <c r="B129" s="442">
        <f t="shared" si="28"/>
        <v>47453</v>
      </c>
      <c r="C129" s="431"/>
      <c r="D129" s="408"/>
      <c r="E129" s="433">
        <f t="shared" si="29"/>
        <v>0</v>
      </c>
      <c r="F129" s="433">
        <f t="shared" si="40"/>
        <v>207.46887966804695</v>
      </c>
      <c r="G129" s="433">
        <f t="shared" si="41"/>
        <v>49999.999999999316</v>
      </c>
      <c r="H129" s="441"/>
      <c r="I129" s="436">
        <f t="shared" si="30"/>
        <v>3362.9954088401914</v>
      </c>
      <c r="J129" s="436">
        <f t="shared" si="33"/>
        <v>359840.50874590006</v>
      </c>
      <c r="K129" s="436">
        <f t="shared" si="31"/>
        <v>43718.940314922955</v>
      </c>
      <c r="L129" s="437">
        <f t="shared" si="26"/>
        <v>12499.999999999829</v>
      </c>
      <c r="M129" s="437">
        <f t="shared" si="32"/>
        <v>10929.735078730739</v>
      </c>
    </row>
    <row r="130" spans="1:13" ht="19.95" customHeight="1">
      <c r="A130" s="438">
        <f t="shared" si="27"/>
        <v>109</v>
      </c>
      <c r="B130" s="442">
        <f t="shared" si="28"/>
        <v>47484</v>
      </c>
      <c r="C130" s="431">
        <v>50000</v>
      </c>
      <c r="D130" s="408"/>
      <c r="E130" s="433">
        <f t="shared" si="29"/>
        <v>31911.22757202826</v>
      </c>
      <c r="F130" s="433">
        <f t="shared" ref="F130" si="42">$C$17/12*(G129-C130)</f>
        <v>-2.8497500655551751E-12</v>
      </c>
      <c r="G130" s="433">
        <f t="shared" ref="G130" si="43">G129-C130+F130</f>
        <v>-6.867897657987972E-10</v>
      </c>
      <c r="H130" s="441"/>
      <c r="I130" s="436">
        <f t="shared" si="30"/>
        <v>3362.9954088401914</v>
      </c>
      <c r="J130" s="436">
        <f t="shared" si="33"/>
        <v>363203.50415474025</v>
      </c>
      <c r="K130" s="436">
        <f t="shared" si="31"/>
        <v>40355.944906082761</v>
      </c>
      <c r="L130" s="437">
        <f t="shared" si="26"/>
        <v>-1.716974414496993E-10</v>
      </c>
      <c r="M130" s="437">
        <f t="shared" si="32"/>
        <v>10088.98622652069</v>
      </c>
    </row>
    <row r="131" spans="1:13" ht="19.95" customHeight="1">
      <c r="A131" s="438">
        <f t="shared" si="27"/>
        <v>110</v>
      </c>
      <c r="B131" s="442">
        <f t="shared" si="28"/>
        <v>47515</v>
      </c>
      <c r="C131" s="431"/>
      <c r="D131" s="408"/>
      <c r="E131" s="433">
        <f t="shared" si="29"/>
        <v>0</v>
      </c>
      <c r="F131" s="433">
        <f t="shared" ref="F131:F136" si="44">$C$17/12*(G130-C131)</f>
        <v>-2.8616240241616549E-12</v>
      </c>
      <c r="G131" s="433">
        <f t="shared" ref="G131:G136" si="45">G130-C131+F131</f>
        <v>-6.8965138982295882E-10</v>
      </c>
      <c r="H131" s="441"/>
      <c r="I131" s="436">
        <f t="shared" si="30"/>
        <v>3362.9954088401914</v>
      </c>
      <c r="J131" s="436">
        <f t="shared" si="33"/>
        <v>366566.49956358044</v>
      </c>
      <c r="K131" s="436">
        <f t="shared" si="31"/>
        <v>36992.949497242567</v>
      </c>
      <c r="L131" s="437">
        <f t="shared" si="26"/>
        <v>-1.7241284745573971E-10</v>
      </c>
      <c r="M131" s="437">
        <f t="shared" si="32"/>
        <v>9248.2373743106418</v>
      </c>
    </row>
    <row r="132" spans="1:13" ht="19.95" customHeight="1">
      <c r="A132" s="438">
        <f t="shared" si="27"/>
        <v>111</v>
      </c>
      <c r="B132" s="442">
        <f t="shared" si="28"/>
        <v>47543</v>
      </c>
      <c r="C132" s="431"/>
      <c r="D132" s="408"/>
      <c r="E132" s="433">
        <f t="shared" si="29"/>
        <v>0</v>
      </c>
      <c r="F132" s="433">
        <f t="shared" si="44"/>
        <v>-2.8735474575956617E-12</v>
      </c>
      <c r="G132" s="433">
        <f t="shared" si="45"/>
        <v>-6.9252493728055449E-10</v>
      </c>
      <c r="H132" s="441"/>
      <c r="I132" s="436">
        <f t="shared" si="30"/>
        <v>3362.9954088401914</v>
      </c>
      <c r="J132" s="436">
        <f t="shared" si="33"/>
        <v>369929.49497242062</v>
      </c>
      <c r="K132" s="436">
        <f t="shared" si="31"/>
        <v>33629.954088402374</v>
      </c>
      <c r="L132" s="437">
        <f t="shared" si="26"/>
        <v>-1.7313123432013862E-10</v>
      </c>
      <c r="M132" s="437">
        <f t="shared" si="32"/>
        <v>8407.4885221005934</v>
      </c>
    </row>
    <row r="133" spans="1:13" ht="19.95" customHeight="1">
      <c r="A133" s="438">
        <f t="shared" si="27"/>
        <v>112</v>
      </c>
      <c r="B133" s="442">
        <f t="shared" si="28"/>
        <v>47574</v>
      </c>
      <c r="C133" s="431"/>
      <c r="D133" s="408"/>
      <c r="E133" s="433">
        <f t="shared" si="29"/>
        <v>0</v>
      </c>
      <c r="F133" s="433">
        <f t="shared" si="44"/>
        <v>-2.8855205720023103E-12</v>
      </c>
      <c r="G133" s="433">
        <f t="shared" si="45"/>
        <v>-6.9541045785255679E-10</v>
      </c>
      <c r="H133" s="441"/>
      <c r="I133" s="436">
        <f t="shared" si="30"/>
        <v>3362.9954088401914</v>
      </c>
      <c r="J133" s="436">
        <f t="shared" si="33"/>
        <v>373292.49038126081</v>
      </c>
      <c r="K133" s="436">
        <f t="shared" si="31"/>
        <v>30266.958679562184</v>
      </c>
      <c r="L133" s="437">
        <f t="shared" si="26"/>
        <v>-1.738526144631392E-10</v>
      </c>
      <c r="M133" s="437">
        <f t="shared" si="32"/>
        <v>7566.7396698905459</v>
      </c>
    </row>
    <row r="134" spans="1:13" ht="19.95" customHeight="1">
      <c r="A134" s="438">
        <f t="shared" si="27"/>
        <v>113</v>
      </c>
      <c r="B134" s="442">
        <f t="shared" si="28"/>
        <v>47604</v>
      </c>
      <c r="C134" s="431"/>
      <c r="D134" s="408"/>
      <c r="E134" s="433">
        <f t="shared" si="29"/>
        <v>0</v>
      </c>
      <c r="F134" s="433">
        <f t="shared" si="44"/>
        <v>-2.8975435743856534E-12</v>
      </c>
      <c r="G134" s="433">
        <f t="shared" si="45"/>
        <v>-6.9830800142694242E-10</v>
      </c>
      <c r="H134" s="441"/>
      <c r="I134" s="436">
        <f t="shared" si="30"/>
        <v>3362.9954088401914</v>
      </c>
      <c r="J134" s="436">
        <f t="shared" si="33"/>
        <v>376655.485790101</v>
      </c>
      <c r="K134" s="436">
        <f t="shared" si="31"/>
        <v>26903.963270721993</v>
      </c>
      <c r="L134" s="437">
        <f t="shared" si="26"/>
        <v>-1.745770003567356E-10</v>
      </c>
      <c r="M134" s="437">
        <f t="shared" si="32"/>
        <v>6725.9908176804984</v>
      </c>
    </row>
    <row r="135" spans="1:13" ht="19.95" customHeight="1">
      <c r="A135" s="438">
        <f t="shared" si="27"/>
        <v>114</v>
      </c>
      <c r="B135" s="442">
        <f t="shared" si="28"/>
        <v>47635</v>
      </c>
      <c r="C135" s="431"/>
      <c r="D135" s="408"/>
      <c r="E135" s="433">
        <f t="shared" si="29"/>
        <v>0</v>
      </c>
      <c r="F135" s="433">
        <f t="shared" si="44"/>
        <v>-2.9096166726122599E-12</v>
      </c>
      <c r="G135" s="433">
        <f t="shared" si="45"/>
        <v>-7.0121761809955464E-10</v>
      </c>
      <c r="H135" s="441"/>
      <c r="I135" s="436">
        <f t="shared" si="30"/>
        <v>3362.9954088401914</v>
      </c>
      <c r="J135" s="436">
        <f t="shared" si="33"/>
        <v>380018.48119894118</v>
      </c>
      <c r="K135" s="436">
        <f t="shared" si="31"/>
        <v>23540.967861881803</v>
      </c>
      <c r="L135" s="437">
        <f t="shared" si="26"/>
        <v>-1.7530440452488866E-10</v>
      </c>
      <c r="M135" s="437">
        <f t="shared" si="32"/>
        <v>5885.2419654704509</v>
      </c>
    </row>
    <row r="136" spans="1:13" ht="19.95" customHeight="1">
      <c r="A136" s="438">
        <f t="shared" si="27"/>
        <v>115</v>
      </c>
      <c r="B136" s="442">
        <f t="shared" si="28"/>
        <v>47665</v>
      </c>
      <c r="C136" s="431"/>
      <c r="D136" s="408"/>
      <c r="E136" s="433">
        <f t="shared" si="29"/>
        <v>0</v>
      </c>
      <c r="F136" s="433">
        <f t="shared" si="44"/>
        <v>-2.921740075414811E-12</v>
      </c>
      <c r="G136" s="433">
        <f t="shared" si="45"/>
        <v>-7.0413935817496945E-10</v>
      </c>
      <c r="H136" s="441"/>
      <c r="I136" s="436">
        <f t="shared" si="30"/>
        <v>3362.9954088401914</v>
      </c>
      <c r="J136" s="436">
        <f t="shared" si="33"/>
        <v>383381.47660778137</v>
      </c>
      <c r="K136" s="436">
        <f t="shared" si="31"/>
        <v>20177.972453041613</v>
      </c>
      <c r="L136" s="437">
        <f t="shared" si="26"/>
        <v>-1.7603483954374236E-10</v>
      </c>
      <c r="M136" s="437">
        <f t="shared" si="32"/>
        <v>5044.4931132604033</v>
      </c>
    </row>
    <row r="137" spans="1:13" ht="19.95" customHeight="1">
      <c r="A137" s="438">
        <f t="shared" si="27"/>
        <v>116</v>
      </c>
      <c r="B137" s="442">
        <f t="shared" si="28"/>
        <v>47696</v>
      </c>
      <c r="C137" s="431"/>
      <c r="D137" s="408"/>
      <c r="E137" s="433">
        <f t="shared" si="29"/>
        <v>0</v>
      </c>
      <c r="F137" s="433">
        <f t="shared" ref="F137:F200" si="46">$C$17/12*(G136-C137)</f>
        <v>-2.9339139923957059E-12</v>
      </c>
      <c r="G137" s="433">
        <f t="shared" ref="G137:G200" si="47">G136-C137+F137</f>
        <v>-7.070732721673651E-10</v>
      </c>
      <c r="H137" s="441"/>
      <c r="I137" s="436">
        <f t="shared" si="30"/>
        <v>3362.9954088401914</v>
      </c>
      <c r="J137" s="436">
        <f t="shared" si="33"/>
        <v>386744.47201662156</v>
      </c>
      <c r="K137" s="436">
        <f t="shared" si="31"/>
        <v>16814.977044201423</v>
      </c>
      <c r="L137" s="437">
        <f t="shared" si="26"/>
        <v>-1.7676831804184128E-10</v>
      </c>
      <c r="M137" s="437">
        <f t="shared" si="32"/>
        <v>4203.7442610503558</v>
      </c>
    </row>
    <row r="138" spans="1:13" ht="19.95" customHeight="1">
      <c r="A138" s="438">
        <f t="shared" si="27"/>
        <v>117</v>
      </c>
      <c r="B138" s="442">
        <f t="shared" si="28"/>
        <v>47727</v>
      </c>
      <c r="C138" s="431"/>
      <c r="D138" s="408"/>
      <c r="E138" s="433">
        <f t="shared" si="29"/>
        <v>0</v>
      </c>
      <c r="F138" s="433">
        <f t="shared" si="46"/>
        <v>-2.946138634030688E-12</v>
      </c>
      <c r="G138" s="433">
        <f t="shared" si="47"/>
        <v>-7.1001941080139579E-10</v>
      </c>
      <c r="H138" s="441"/>
      <c r="I138" s="436">
        <f t="shared" si="30"/>
        <v>3362.9954088401914</v>
      </c>
      <c r="J138" s="436">
        <f t="shared" si="33"/>
        <v>390107.46742546174</v>
      </c>
      <c r="K138" s="436">
        <f t="shared" si="31"/>
        <v>13451.981635361231</v>
      </c>
      <c r="L138" s="437">
        <f t="shared" si="26"/>
        <v>-1.7750485270034895E-10</v>
      </c>
      <c r="M138" s="437">
        <f t="shared" si="32"/>
        <v>3362.9954088403078</v>
      </c>
    </row>
    <row r="139" spans="1:13" ht="19.95" customHeight="1">
      <c r="A139" s="438">
        <f t="shared" si="27"/>
        <v>118</v>
      </c>
      <c r="B139" s="442">
        <f t="shared" si="28"/>
        <v>47757</v>
      </c>
      <c r="C139" s="431"/>
      <c r="D139" s="408"/>
      <c r="E139" s="433">
        <f t="shared" si="29"/>
        <v>0</v>
      </c>
      <c r="F139" s="433">
        <f t="shared" si="46"/>
        <v>-2.9584142116724823E-12</v>
      </c>
      <c r="G139" s="433">
        <f t="shared" si="47"/>
        <v>-7.129778250130683E-10</v>
      </c>
      <c r="H139" s="441"/>
      <c r="I139" s="436">
        <f t="shared" si="30"/>
        <v>3362.9954088401914</v>
      </c>
      <c r="J139" s="436">
        <f t="shared" si="33"/>
        <v>393470.46283430193</v>
      </c>
      <c r="K139" s="436">
        <f t="shared" si="31"/>
        <v>10088.986226521039</v>
      </c>
      <c r="L139" s="437">
        <f t="shared" si="26"/>
        <v>-1.7824445625326707E-10</v>
      </c>
      <c r="M139" s="437">
        <f t="shared" si="32"/>
        <v>2522.2465566302599</v>
      </c>
    </row>
    <row r="140" spans="1:13" ht="19.95" customHeight="1">
      <c r="A140" s="438">
        <f t="shared" si="27"/>
        <v>119</v>
      </c>
      <c r="B140" s="442">
        <f t="shared" si="28"/>
        <v>47788</v>
      </c>
      <c r="C140" s="431"/>
      <c r="D140" s="408"/>
      <c r="E140" s="433">
        <f t="shared" si="29"/>
        <v>0</v>
      </c>
      <c r="F140" s="433">
        <f t="shared" si="46"/>
        <v>-2.970740937554451E-12</v>
      </c>
      <c r="G140" s="433">
        <f t="shared" si="47"/>
        <v>-7.1594856595062275E-10</v>
      </c>
      <c r="H140" s="441"/>
      <c r="I140" s="436">
        <f t="shared" si="30"/>
        <v>3362.9954088401914</v>
      </c>
      <c r="J140" s="436">
        <f t="shared" si="33"/>
        <v>396833.45824314211</v>
      </c>
      <c r="K140" s="436">
        <f t="shared" si="31"/>
        <v>6725.9908176808476</v>
      </c>
      <c r="L140" s="437">
        <f t="shared" si="26"/>
        <v>-1.7898714148765569E-10</v>
      </c>
      <c r="M140" s="437">
        <f t="shared" si="32"/>
        <v>1681.4977044202119</v>
      </c>
    </row>
    <row r="141" spans="1:13" ht="19.95" customHeight="1">
      <c r="A141" s="438">
        <f t="shared" si="27"/>
        <v>120</v>
      </c>
      <c r="B141" s="442">
        <f t="shared" si="28"/>
        <v>47818</v>
      </c>
      <c r="C141" s="431"/>
      <c r="D141" s="408"/>
      <c r="E141" s="433">
        <f t="shared" si="29"/>
        <v>0</v>
      </c>
      <c r="F141" s="433">
        <f t="shared" si="46"/>
        <v>-2.9831190247942616E-12</v>
      </c>
      <c r="G141" s="433">
        <f t="shared" si="47"/>
        <v>-7.18931684975417E-10</v>
      </c>
      <c r="H141" s="441"/>
      <c r="I141" s="436">
        <f t="shared" si="30"/>
        <v>3362.9954088401914</v>
      </c>
      <c r="J141" s="436">
        <f t="shared" si="33"/>
        <v>400196.4536519823</v>
      </c>
      <c r="K141" s="436">
        <f t="shared" si="31"/>
        <v>3362.9954088406562</v>
      </c>
      <c r="L141" s="437">
        <f t="shared" si="26"/>
        <v>-1.7973292124385425E-10</v>
      </c>
      <c r="M141" s="437">
        <f t="shared" si="32"/>
        <v>840.74885221016405</v>
      </c>
    </row>
    <row r="142" spans="1:13" ht="19.95" customHeight="1">
      <c r="A142" s="438">
        <f t="shared" si="27"/>
        <v>121</v>
      </c>
      <c r="B142" s="442">
        <f t="shared" si="28"/>
        <v>47849</v>
      </c>
      <c r="C142" s="431"/>
      <c r="D142" s="408"/>
      <c r="E142" s="433">
        <f t="shared" si="29"/>
        <v>0</v>
      </c>
      <c r="F142" s="433">
        <f t="shared" si="46"/>
        <v>-2.9955486873975707E-12</v>
      </c>
      <c r="G142" s="433">
        <f t="shared" si="47"/>
        <v>-7.2192723366281456E-10</v>
      </c>
      <c r="H142" s="441"/>
      <c r="I142" s="436">
        <f t="shared" si="30"/>
        <v>3362.9954088401914</v>
      </c>
      <c r="J142" s="436">
        <f t="shared" si="33"/>
        <v>403559.44906082249</v>
      </c>
      <c r="K142" s="436">
        <f t="shared" si="31"/>
        <v>4.6475179260596633E-10</v>
      </c>
      <c r="L142" s="437">
        <f t="shared" si="26"/>
        <v>-1.8048180841570364E-10</v>
      </c>
      <c r="M142" s="437">
        <f t="shared" si="32"/>
        <v>1.1618794815149158E-10</v>
      </c>
    </row>
    <row r="143" spans="1:13" ht="19.95" customHeight="1">
      <c r="A143" s="438">
        <f t="shared" si="27"/>
        <v>122</v>
      </c>
      <c r="B143" s="442">
        <f t="shared" si="28"/>
        <v>47880</v>
      </c>
      <c r="C143" s="431"/>
      <c r="D143" s="408"/>
      <c r="E143" s="433">
        <f t="shared" si="29"/>
        <v>0</v>
      </c>
      <c r="F143" s="433">
        <f t="shared" si="46"/>
        <v>-3.0080301402617272E-12</v>
      </c>
      <c r="G143" s="433">
        <f t="shared" si="47"/>
        <v>-7.2493526380307625E-10</v>
      </c>
      <c r="H143" s="441"/>
      <c r="I143" s="436">
        <f t="shared" si="30"/>
        <v>0</v>
      </c>
      <c r="J143" s="436">
        <f t="shared" si="33"/>
        <v>0</v>
      </c>
      <c r="K143" s="436">
        <f t="shared" si="31"/>
        <v>4.6475179260596633E-10</v>
      </c>
      <c r="L143" s="437">
        <f t="shared" si="26"/>
        <v>-1.8123381595076906E-10</v>
      </c>
      <c r="M143" s="437">
        <f t="shared" si="32"/>
        <v>1.1618794815149158E-10</v>
      </c>
    </row>
    <row r="144" spans="1:13" ht="19.95" customHeight="1">
      <c r="A144" s="438">
        <f t="shared" si="27"/>
        <v>123</v>
      </c>
      <c r="B144" s="442">
        <f t="shared" si="28"/>
        <v>47908</v>
      </c>
      <c r="C144" s="431"/>
      <c r="D144" s="408"/>
      <c r="E144" s="433">
        <f t="shared" si="29"/>
        <v>0</v>
      </c>
      <c r="F144" s="433">
        <f t="shared" si="46"/>
        <v>-3.0205635991794844E-12</v>
      </c>
      <c r="G144" s="433">
        <f t="shared" si="47"/>
        <v>-7.279558274022557E-10</v>
      </c>
      <c r="H144" s="441"/>
      <c r="I144" s="436">
        <f t="shared" si="30"/>
        <v>0</v>
      </c>
      <c r="J144" s="436">
        <f t="shared" si="33"/>
        <v>0</v>
      </c>
      <c r="K144" s="436">
        <f t="shared" si="31"/>
        <v>4.6475179260596633E-10</v>
      </c>
      <c r="L144" s="437">
        <f t="shared" si="26"/>
        <v>-1.8198895685056392E-10</v>
      </c>
      <c r="M144" s="437">
        <f t="shared" si="32"/>
        <v>1.1618794815149158E-10</v>
      </c>
    </row>
    <row r="145" spans="1:14" ht="19.95" customHeight="1">
      <c r="A145" s="438">
        <f t="shared" si="27"/>
        <v>124</v>
      </c>
      <c r="B145" s="442">
        <f t="shared" si="28"/>
        <v>47939</v>
      </c>
      <c r="C145" s="431"/>
      <c r="D145" s="408"/>
      <c r="E145" s="433">
        <f t="shared" si="29"/>
        <v>0</v>
      </c>
      <c r="F145" s="433">
        <f t="shared" si="46"/>
        <v>-3.0331492808427319E-12</v>
      </c>
      <c r="G145" s="433">
        <f t="shared" si="47"/>
        <v>-7.3098897668309847E-10</v>
      </c>
      <c r="H145" s="441"/>
      <c r="I145" s="436">
        <f t="shared" si="30"/>
        <v>0</v>
      </c>
      <c r="J145" s="436">
        <f t="shared" si="33"/>
        <v>0</v>
      </c>
      <c r="K145" s="436">
        <f t="shared" si="31"/>
        <v>4.6475179260596633E-10</v>
      </c>
      <c r="L145" s="437">
        <f t="shared" si="26"/>
        <v>-1.8274724417077462E-10</v>
      </c>
      <c r="M145" s="437">
        <f t="shared" si="32"/>
        <v>1.1618794815149158E-10</v>
      </c>
    </row>
    <row r="146" spans="1:14" ht="19.95" customHeight="1">
      <c r="A146" s="438">
        <f t="shared" si="27"/>
        <v>125</v>
      </c>
      <c r="B146" s="442">
        <f t="shared" si="28"/>
        <v>47969</v>
      </c>
      <c r="C146" s="431"/>
      <c r="D146" s="408"/>
      <c r="E146" s="433">
        <f t="shared" si="29"/>
        <v>0</v>
      </c>
      <c r="F146" s="433">
        <f t="shared" si="46"/>
        <v>-3.0457874028462435E-12</v>
      </c>
      <c r="G146" s="433">
        <f t="shared" si="47"/>
        <v>-7.3403476408594467E-10</v>
      </c>
      <c r="H146" s="441"/>
      <c r="I146" s="436">
        <f t="shared" si="30"/>
        <v>0</v>
      </c>
      <c r="J146" s="436">
        <f t="shared" si="33"/>
        <v>0</v>
      </c>
      <c r="K146" s="436">
        <f t="shared" si="31"/>
        <v>4.6475179260596633E-10</v>
      </c>
      <c r="L146" s="437">
        <f t="shared" si="26"/>
        <v>-1.8350869102148617E-10</v>
      </c>
      <c r="M146" s="437">
        <f t="shared" si="32"/>
        <v>1.1618794815149158E-10</v>
      </c>
    </row>
    <row r="147" spans="1:14" ht="19.95" customHeight="1">
      <c r="A147" s="438">
        <f t="shared" si="27"/>
        <v>126</v>
      </c>
      <c r="B147" s="442">
        <f t="shared" si="28"/>
        <v>48000</v>
      </c>
      <c r="C147" s="431"/>
      <c r="D147" s="408"/>
      <c r="E147" s="433">
        <f t="shared" si="29"/>
        <v>0</v>
      </c>
      <c r="F147" s="433">
        <f t="shared" si="46"/>
        <v>-3.0584781836914362E-12</v>
      </c>
      <c r="G147" s="433">
        <f t="shared" si="47"/>
        <v>-7.370932422696361E-10</v>
      </c>
      <c r="H147" s="441"/>
      <c r="I147" s="436">
        <f t="shared" si="30"/>
        <v>0</v>
      </c>
      <c r="J147" s="436">
        <f t="shared" si="33"/>
        <v>0</v>
      </c>
      <c r="K147" s="436">
        <f t="shared" si="31"/>
        <v>4.6475179260596633E-10</v>
      </c>
      <c r="L147" s="437">
        <f t="shared" si="26"/>
        <v>-1.8427331056740902E-10</v>
      </c>
      <c r="M147" s="437">
        <f t="shared" si="32"/>
        <v>1.1618794815149158E-10</v>
      </c>
    </row>
    <row r="148" spans="1:14" ht="19.95" customHeight="1">
      <c r="A148" s="438">
        <f t="shared" si="27"/>
        <v>127</v>
      </c>
      <c r="B148" s="442">
        <f t="shared" si="28"/>
        <v>48030</v>
      </c>
      <c r="C148" s="431"/>
      <c r="D148" s="408"/>
      <c r="E148" s="433">
        <f t="shared" si="29"/>
        <v>0</v>
      </c>
      <c r="F148" s="433">
        <f t="shared" si="46"/>
        <v>-3.0712218427901502E-12</v>
      </c>
      <c r="G148" s="433">
        <f t="shared" si="47"/>
        <v>-7.401644641124262E-10</v>
      </c>
      <c r="H148" s="441"/>
      <c r="I148" s="436">
        <f t="shared" si="30"/>
        <v>0</v>
      </c>
      <c r="J148" s="436">
        <f t="shared" si="33"/>
        <v>0</v>
      </c>
      <c r="K148" s="436">
        <f t="shared" si="31"/>
        <v>4.6475179260596633E-10</v>
      </c>
      <c r="L148" s="437">
        <f t="shared" si="26"/>
        <v>-1.8504111602810655E-10</v>
      </c>
      <c r="M148" s="437">
        <f t="shared" si="32"/>
        <v>1.1618794815149158E-10</v>
      </c>
    </row>
    <row r="149" spans="1:14" ht="19.95" customHeight="1">
      <c r="A149" s="438">
        <f t="shared" si="27"/>
        <v>128</v>
      </c>
      <c r="B149" s="442">
        <f t="shared" si="28"/>
        <v>48061</v>
      </c>
      <c r="C149" s="431"/>
      <c r="D149" s="408"/>
      <c r="E149" s="433">
        <f t="shared" si="29"/>
        <v>0</v>
      </c>
      <c r="F149" s="433">
        <f t="shared" si="46"/>
        <v>-3.0840186004684423E-12</v>
      </c>
      <c r="G149" s="433">
        <f t="shared" si="47"/>
        <v>-7.4324848271289468E-10</v>
      </c>
      <c r="H149" s="441"/>
      <c r="I149" s="436">
        <f t="shared" si="30"/>
        <v>0</v>
      </c>
      <c r="J149" s="436">
        <f t="shared" si="33"/>
        <v>0</v>
      </c>
      <c r="K149" s="436">
        <f t="shared" si="31"/>
        <v>4.6475179260596633E-10</v>
      </c>
      <c r="L149" s="437">
        <f t="shared" si="26"/>
        <v>-1.8581212067822367E-10</v>
      </c>
      <c r="M149" s="437">
        <f t="shared" si="32"/>
        <v>1.1618794815149158E-10</v>
      </c>
    </row>
    <row r="150" spans="1:14" ht="19.95" customHeight="1">
      <c r="A150" s="438">
        <f t="shared" si="27"/>
        <v>129</v>
      </c>
      <c r="B150" s="442">
        <f t="shared" si="28"/>
        <v>48092</v>
      </c>
      <c r="C150" s="431"/>
      <c r="D150" s="408"/>
      <c r="E150" s="433">
        <f t="shared" si="29"/>
        <v>0</v>
      </c>
      <c r="F150" s="433">
        <f t="shared" si="46"/>
        <v>-3.0968686779703946E-12</v>
      </c>
      <c r="G150" s="433">
        <f t="shared" si="47"/>
        <v>-7.4634535139086509E-10</v>
      </c>
      <c r="H150" s="441"/>
      <c r="I150" s="436">
        <f t="shared" si="30"/>
        <v>0</v>
      </c>
      <c r="J150" s="436">
        <f t="shared" si="33"/>
        <v>0</v>
      </c>
      <c r="K150" s="436">
        <f t="shared" si="31"/>
        <v>4.6475179260596633E-10</v>
      </c>
      <c r="L150" s="437">
        <f t="shared" ref="L150:L213" si="48">G150*$C$19</f>
        <v>-1.8658633784771627E-10</v>
      </c>
      <c r="M150" s="437">
        <f t="shared" si="32"/>
        <v>1.1618794815149158E-10</v>
      </c>
    </row>
    <row r="151" spans="1:14" ht="19.95" customHeight="1">
      <c r="A151" s="438">
        <f t="shared" ref="A151:A214" si="49">A150+1</f>
        <v>130</v>
      </c>
      <c r="B151" s="442">
        <f t="shared" ref="B151:B214" si="50">EDATE(B150,1)</f>
        <v>48122</v>
      </c>
      <c r="C151" s="431"/>
      <c r="D151" s="408"/>
      <c r="E151" s="433">
        <f t="shared" ref="E151:E214" si="51">(D151+C151)/(POWER((1+$C$17/12),A151-1))</f>
        <v>0</v>
      </c>
      <c r="F151" s="433">
        <f t="shared" si="46"/>
        <v>-3.1097722974619378E-12</v>
      </c>
      <c r="G151" s="433">
        <f t="shared" si="47"/>
        <v>-7.49455123688327E-10</v>
      </c>
      <c r="H151" s="441"/>
      <c r="I151" s="436">
        <f t="shared" ref="I151:I214" si="52">IF(($A151-1)&gt;$C$18,0,($E$349+$H$349)/($C$18))</f>
        <v>0</v>
      </c>
      <c r="J151" s="436">
        <f t="shared" si="33"/>
        <v>0</v>
      </c>
      <c r="K151" s="436">
        <f t="shared" ref="K151:K214" si="53">K150-I151</f>
        <v>4.6475179260596633E-10</v>
      </c>
      <c r="L151" s="437">
        <f t="shared" si="48"/>
        <v>-1.8736378092208175E-10</v>
      </c>
      <c r="M151" s="437">
        <f t="shared" ref="M151:M214" si="54">K151*$C$19</f>
        <v>1.1618794815149158E-10</v>
      </c>
    </row>
    <row r="152" spans="1:14" ht="19.95" customHeight="1">
      <c r="A152" s="438">
        <f t="shared" si="49"/>
        <v>131</v>
      </c>
      <c r="B152" s="442">
        <f t="shared" si="50"/>
        <v>48153</v>
      </c>
      <c r="C152" s="431"/>
      <c r="D152" s="408"/>
      <c r="E152" s="433">
        <f t="shared" si="51"/>
        <v>0</v>
      </c>
      <c r="F152" s="433">
        <f t="shared" si="46"/>
        <v>-3.1227296820346959E-12</v>
      </c>
      <c r="G152" s="433">
        <f t="shared" si="47"/>
        <v>-7.5257785337036171E-10</v>
      </c>
      <c r="H152" s="441"/>
      <c r="I152" s="436">
        <f t="shared" si="52"/>
        <v>0</v>
      </c>
      <c r="J152" s="436">
        <f t="shared" si="33"/>
        <v>0</v>
      </c>
      <c r="K152" s="436">
        <f t="shared" si="53"/>
        <v>4.6475179260596633E-10</v>
      </c>
      <c r="L152" s="437">
        <f t="shared" si="48"/>
        <v>-1.8814446334259043E-10</v>
      </c>
      <c r="M152" s="437">
        <f t="shared" si="54"/>
        <v>1.1618794815149158E-10</v>
      </c>
    </row>
    <row r="153" spans="1:14" ht="19.95" customHeight="1">
      <c r="A153" s="438">
        <f t="shared" si="49"/>
        <v>132</v>
      </c>
      <c r="B153" s="442">
        <f t="shared" si="50"/>
        <v>48183</v>
      </c>
      <c r="C153" s="431"/>
      <c r="D153" s="408"/>
      <c r="E153" s="433">
        <f t="shared" si="51"/>
        <v>0</v>
      </c>
      <c r="F153" s="433">
        <f t="shared" si="46"/>
        <v>-3.1357410557098403E-12</v>
      </c>
      <c r="G153" s="433">
        <f t="shared" si="47"/>
        <v>-7.5571359442607154E-10</v>
      </c>
      <c r="H153" s="441"/>
      <c r="I153" s="436">
        <f t="shared" si="52"/>
        <v>0</v>
      </c>
      <c r="J153" s="436">
        <f t="shared" ref="J153:J216" si="55">IF(I153=0,0,J152+I153)</f>
        <v>0</v>
      </c>
      <c r="K153" s="436">
        <f t="shared" si="53"/>
        <v>4.6475179260596633E-10</v>
      </c>
      <c r="L153" s="437">
        <f t="shared" si="48"/>
        <v>-1.8892839860651789E-10</v>
      </c>
      <c r="M153" s="437">
        <f t="shared" si="54"/>
        <v>1.1618794815149158E-10</v>
      </c>
    </row>
    <row r="154" spans="1:14" ht="19.95" customHeight="1">
      <c r="A154" s="438">
        <f t="shared" si="49"/>
        <v>133</v>
      </c>
      <c r="B154" s="442">
        <f t="shared" si="50"/>
        <v>48214</v>
      </c>
      <c r="C154" s="431"/>
      <c r="D154" s="408"/>
      <c r="E154" s="433">
        <f t="shared" si="51"/>
        <v>0</v>
      </c>
      <c r="F154" s="433">
        <f t="shared" si="46"/>
        <v>-3.1488066434419646E-12</v>
      </c>
      <c r="G154" s="433">
        <f t="shared" si="47"/>
        <v>-7.5886240106951356E-10</v>
      </c>
      <c r="H154" s="441"/>
      <c r="I154" s="436">
        <f t="shared" si="52"/>
        <v>0</v>
      </c>
      <c r="J154" s="436">
        <f t="shared" si="55"/>
        <v>0</v>
      </c>
      <c r="K154" s="436">
        <f t="shared" si="53"/>
        <v>4.6475179260596633E-10</v>
      </c>
      <c r="L154" s="437">
        <f t="shared" si="48"/>
        <v>-1.8971560026737839E-10</v>
      </c>
      <c r="M154" s="437">
        <f t="shared" si="54"/>
        <v>1.1618794815149158E-10</v>
      </c>
    </row>
    <row r="155" spans="1:14" ht="19.95" customHeight="1">
      <c r="A155" s="438">
        <f t="shared" si="49"/>
        <v>134</v>
      </c>
      <c r="B155" s="442">
        <f t="shared" si="50"/>
        <v>48245</v>
      </c>
      <c r="C155" s="431"/>
      <c r="D155" s="408"/>
      <c r="E155" s="433">
        <f t="shared" si="51"/>
        <v>0</v>
      </c>
      <c r="F155" s="433">
        <f t="shared" si="46"/>
        <v>-3.1619266711229731E-12</v>
      </c>
      <c r="G155" s="433">
        <f t="shared" si="47"/>
        <v>-7.6202432774063658E-10</v>
      </c>
      <c r="H155" s="441"/>
      <c r="I155" s="436">
        <f t="shared" si="52"/>
        <v>0</v>
      </c>
      <c r="J155" s="436">
        <f t="shared" si="55"/>
        <v>0</v>
      </c>
      <c r="K155" s="436">
        <f t="shared" si="53"/>
        <v>4.6475179260596633E-10</v>
      </c>
      <c r="L155" s="437">
        <f t="shared" si="48"/>
        <v>-1.9050608193515914E-10</v>
      </c>
      <c r="M155" s="437">
        <f t="shared" si="54"/>
        <v>1.1618794815149158E-10</v>
      </c>
    </row>
    <row r="156" spans="1:14" ht="19.95" customHeight="1">
      <c r="A156" s="438">
        <f t="shared" si="49"/>
        <v>135</v>
      </c>
      <c r="B156" s="442">
        <f t="shared" si="50"/>
        <v>48274</v>
      </c>
      <c r="C156" s="431"/>
      <c r="D156" s="408"/>
      <c r="E156" s="433">
        <f t="shared" si="51"/>
        <v>0</v>
      </c>
      <c r="F156" s="433">
        <f t="shared" si="46"/>
        <v>-3.1751013655859855E-12</v>
      </c>
      <c r="G156" s="433">
        <f t="shared" si="47"/>
        <v>-7.6519942910622261E-10</v>
      </c>
      <c r="H156" s="441"/>
      <c r="I156" s="436">
        <f t="shared" si="52"/>
        <v>0</v>
      </c>
      <c r="J156" s="436">
        <f t="shared" si="55"/>
        <v>0</v>
      </c>
      <c r="K156" s="436">
        <f t="shared" si="53"/>
        <v>4.6475179260596633E-10</v>
      </c>
      <c r="L156" s="437">
        <f t="shared" si="48"/>
        <v>-1.9129985727655565E-10</v>
      </c>
      <c r="M156" s="437">
        <f t="shared" si="54"/>
        <v>1.1618794815149158E-10</v>
      </c>
    </row>
    <row r="157" spans="1:14" ht="19.95" customHeight="1">
      <c r="A157" s="438">
        <f t="shared" si="49"/>
        <v>136</v>
      </c>
      <c r="B157" s="442">
        <f t="shared" si="50"/>
        <v>48305</v>
      </c>
      <c r="C157" s="431"/>
      <c r="D157" s="408"/>
      <c r="E157" s="433">
        <f t="shared" si="51"/>
        <v>0</v>
      </c>
      <c r="F157" s="433">
        <f t="shared" si="46"/>
        <v>-3.188330954609261E-12</v>
      </c>
      <c r="G157" s="433">
        <f t="shared" si="47"/>
        <v>-7.6838776006083192E-10</v>
      </c>
      <c r="H157" s="441"/>
      <c r="I157" s="436">
        <f t="shared" si="52"/>
        <v>0</v>
      </c>
      <c r="J157" s="436">
        <f t="shared" si="55"/>
        <v>0</v>
      </c>
      <c r="K157" s="436">
        <f t="shared" si="53"/>
        <v>4.6475179260596633E-10</v>
      </c>
      <c r="L157" s="437">
        <f t="shared" si="48"/>
        <v>-1.9209694001520798E-10</v>
      </c>
      <c r="M157" s="437">
        <f t="shared" si="54"/>
        <v>1.1618794815149158E-10</v>
      </c>
    </row>
    <row r="158" spans="1:14" ht="19.95" customHeight="1">
      <c r="A158" s="438">
        <f t="shared" si="49"/>
        <v>137</v>
      </c>
      <c r="B158" s="442">
        <f t="shared" si="50"/>
        <v>48335</v>
      </c>
      <c r="C158" s="431"/>
      <c r="D158" s="408"/>
      <c r="E158" s="433">
        <f t="shared" si="51"/>
        <v>0</v>
      </c>
      <c r="F158" s="433">
        <f t="shared" si="46"/>
        <v>-3.2016156669201331E-12</v>
      </c>
      <c r="G158" s="433">
        <f t="shared" si="47"/>
        <v>-7.7158937572775208E-10</v>
      </c>
      <c r="H158" s="441"/>
      <c r="I158" s="436">
        <f t="shared" si="52"/>
        <v>0</v>
      </c>
      <c r="J158" s="436">
        <f t="shared" si="55"/>
        <v>0</v>
      </c>
      <c r="K158" s="436">
        <f t="shared" si="53"/>
        <v>4.6475179260596633E-10</v>
      </c>
      <c r="L158" s="437">
        <f t="shared" si="48"/>
        <v>-1.9289734393193802E-10</v>
      </c>
      <c r="M158" s="437">
        <f t="shared" si="54"/>
        <v>1.1618794815149158E-10</v>
      </c>
    </row>
    <row r="159" spans="1:14" ht="19.95" customHeight="1">
      <c r="A159" s="438">
        <f t="shared" si="49"/>
        <v>138</v>
      </c>
      <c r="B159" s="442">
        <f t="shared" si="50"/>
        <v>48366</v>
      </c>
      <c r="C159" s="431"/>
      <c r="D159" s="408"/>
      <c r="E159" s="433">
        <f t="shared" si="51"/>
        <v>0</v>
      </c>
      <c r="F159" s="433">
        <f t="shared" si="46"/>
        <v>-3.2149557321989668E-12</v>
      </c>
      <c r="G159" s="433">
        <f t="shared" si="47"/>
        <v>-7.7480433145995104E-10</v>
      </c>
      <c r="H159" s="441"/>
      <c r="I159" s="436">
        <f t="shared" si="52"/>
        <v>0</v>
      </c>
      <c r="J159" s="436">
        <f t="shared" si="55"/>
        <v>0</v>
      </c>
      <c r="K159" s="436">
        <f t="shared" si="53"/>
        <v>4.6475179260596633E-10</v>
      </c>
      <c r="L159" s="437">
        <f t="shared" si="48"/>
        <v>-1.9370108286498776E-10</v>
      </c>
      <c r="M159" s="437">
        <f t="shared" si="54"/>
        <v>1.1618794815149158E-10</v>
      </c>
    </row>
    <row r="160" spans="1:14" s="103" customFormat="1" ht="19.95" customHeight="1">
      <c r="A160" s="438">
        <f t="shared" si="49"/>
        <v>139</v>
      </c>
      <c r="B160" s="442">
        <f t="shared" si="50"/>
        <v>48396</v>
      </c>
      <c r="C160" s="431"/>
      <c r="D160" s="444"/>
      <c r="E160" s="433">
        <f t="shared" si="51"/>
        <v>0</v>
      </c>
      <c r="F160" s="433">
        <f t="shared" si="46"/>
        <v>-3.2283513810831291E-12</v>
      </c>
      <c r="G160" s="433">
        <f t="shared" si="47"/>
        <v>-7.7803268284103422E-10</v>
      </c>
      <c r="H160" s="441"/>
      <c r="I160" s="436">
        <f t="shared" si="52"/>
        <v>0</v>
      </c>
      <c r="J160" s="436">
        <f t="shared" si="55"/>
        <v>0</v>
      </c>
      <c r="K160" s="436">
        <f t="shared" si="53"/>
        <v>4.6475179260596633E-10</v>
      </c>
      <c r="L160" s="437">
        <f t="shared" si="48"/>
        <v>-1.9450817071025855E-10</v>
      </c>
      <c r="M160" s="437">
        <f t="shared" si="54"/>
        <v>1.1618794815149158E-10</v>
      </c>
      <c r="N160" s="568"/>
    </row>
    <row r="161" spans="1:13" ht="19.95" customHeight="1">
      <c r="A161" s="438">
        <f t="shared" si="49"/>
        <v>140</v>
      </c>
      <c r="B161" s="442">
        <f t="shared" si="50"/>
        <v>48427</v>
      </c>
      <c r="C161" s="431"/>
      <c r="D161" s="408"/>
      <c r="E161" s="433">
        <f t="shared" si="51"/>
        <v>0</v>
      </c>
      <c r="F161" s="433">
        <f t="shared" si="46"/>
        <v>-3.2418028451709759E-12</v>
      </c>
      <c r="G161" s="433">
        <f t="shared" si="47"/>
        <v>-7.8127448568620521E-10</v>
      </c>
      <c r="H161" s="441"/>
      <c r="I161" s="436">
        <f t="shared" si="52"/>
        <v>0</v>
      </c>
      <c r="J161" s="436">
        <f t="shared" si="55"/>
        <v>0</v>
      </c>
      <c r="K161" s="436">
        <f t="shared" si="53"/>
        <v>4.6475179260596633E-10</v>
      </c>
      <c r="L161" s="437">
        <f t="shared" si="48"/>
        <v>-1.953186214215513E-10</v>
      </c>
      <c r="M161" s="437">
        <f t="shared" si="54"/>
        <v>1.1618794815149158E-10</v>
      </c>
    </row>
    <row r="162" spans="1:13" ht="19.95" customHeight="1">
      <c r="A162" s="438">
        <f t="shared" si="49"/>
        <v>141</v>
      </c>
      <c r="B162" s="442">
        <f t="shared" si="50"/>
        <v>48458</v>
      </c>
      <c r="C162" s="431"/>
      <c r="D162" s="408"/>
      <c r="E162" s="433">
        <f t="shared" si="51"/>
        <v>0</v>
      </c>
      <c r="F162" s="433">
        <f t="shared" si="46"/>
        <v>-3.2553103570258548E-12</v>
      </c>
      <c r="G162" s="433">
        <f t="shared" si="47"/>
        <v>-7.8452979604323109E-10</v>
      </c>
      <c r="H162" s="441"/>
      <c r="I162" s="436">
        <f t="shared" si="52"/>
        <v>0</v>
      </c>
      <c r="J162" s="436">
        <f t="shared" si="55"/>
        <v>0</v>
      </c>
      <c r="K162" s="436">
        <f t="shared" si="53"/>
        <v>4.6475179260596633E-10</v>
      </c>
      <c r="L162" s="437">
        <f t="shared" si="48"/>
        <v>-1.9613244901080777E-10</v>
      </c>
      <c r="M162" s="437">
        <f t="shared" si="54"/>
        <v>1.1618794815149158E-10</v>
      </c>
    </row>
    <row r="163" spans="1:13" ht="19.95" customHeight="1">
      <c r="A163" s="438">
        <f t="shared" si="49"/>
        <v>142</v>
      </c>
      <c r="B163" s="442">
        <f t="shared" si="50"/>
        <v>48488</v>
      </c>
      <c r="C163" s="431"/>
      <c r="D163" s="408"/>
      <c r="E163" s="433">
        <f t="shared" si="51"/>
        <v>0</v>
      </c>
      <c r="F163" s="433">
        <f t="shared" si="46"/>
        <v>-3.2688741501801294E-12</v>
      </c>
      <c r="G163" s="433">
        <f t="shared" si="47"/>
        <v>-7.8779867019341125E-10</v>
      </c>
      <c r="H163" s="441"/>
      <c r="I163" s="436">
        <f t="shared" si="52"/>
        <v>0</v>
      </c>
      <c r="J163" s="436">
        <f t="shared" si="55"/>
        <v>0</v>
      </c>
      <c r="K163" s="436">
        <f t="shared" si="53"/>
        <v>4.6475179260596633E-10</v>
      </c>
      <c r="L163" s="437">
        <f t="shared" si="48"/>
        <v>-1.9694966754835281E-10</v>
      </c>
      <c r="M163" s="437">
        <f t="shared" si="54"/>
        <v>1.1618794815149158E-10</v>
      </c>
    </row>
    <row r="164" spans="1:13" ht="19.95" customHeight="1">
      <c r="A164" s="438">
        <f t="shared" si="49"/>
        <v>143</v>
      </c>
      <c r="B164" s="442">
        <f t="shared" si="50"/>
        <v>48519</v>
      </c>
      <c r="C164" s="431"/>
      <c r="D164" s="408"/>
      <c r="E164" s="433">
        <f t="shared" si="51"/>
        <v>0</v>
      </c>
      <c r="F164" s="433">
        <f t="shared" si="46"/>
        <v>-3.2824944591392135E-12</v>
      </c>
      <c r="G164" s="433">
        <f t="shared" si="47"/>
        <v>-7.9108116465255048E-10</v>
      </c>
      <c r="H164" s="441"/>
      <c r="I164" s="436">
        <f t="shared" si="52"/>
        <v>0</v>
      </c>
      <c r="J164" s="436">
        <f t="shared" si="55"/>
        <v>0</v>
      </c>
      <c r="K164" s="436">
        <f t="shared" si="53"/>
        <v>4.6475179260596633E-10</v>
      </c>
      <c r="L164" s="437">
        <f t="shared" si="48"/>
        <v>-1.9777029116313762E-10</v>
      </c>
      <c r="M164" s="437">
        <f t="shared" si="54"/>
        <v>1.1618794815149158E-10</v>
      </c>
    </row>
    <row r="165" spans="1:13" ht="19.95" customHeight="1">
      <c r="A165" s="438">
        <f t="shared" si="49"/>
        <v>144</v>
      </c>
      <c r="B165" s="442">
        <f t="shared" si="50"/>
        <v>48549</v>
      </c>
      <c r="C165" s="431"/>
      <c r="D165" s="408"/>
      <c r="E165" s="433">
        <f t="shared" si="51"/>
        <v>0</v>
      </c>
      <c r="F165" s="433">
        <f t="shared" si="46"/>
        <v>-3.2961715193856269E-12</v>
      </c>
      <c r="G165" s="433">
        <f t="shared" si="47"/>
        <v>-7.9437733617193607E-10</v>
      </c>
      <c r="H165" s="441"/>
      <c r="I165" s="436">
        <f t="shared" si="52"/>
        <v>0</v>
      </c>
      <c r="J165" s="436">
        <f t="shared" si="55"/>
        <v>0</v>
      </c>
      <c r="K165" s="436">
        <f t="shared" si="53"/>
        <v>4.6475179260596633E-10</v>
      </c>
      <c r="L165" s="437">
        <f t="shared" si="48"/>
        <v>-1.9859433404298402E-10</v>
      </c>
      <c r="M165" s="437">
        <f t="shared" si="54"/>
        <v>1.1618794815149158E-10</v>
      </c>
    </row>
    <row r="166" spans="1:13" ht="19.95" customHeight="1">
      <c r="A166" s="438">
        <f t="shared" si="49"/>
        <v>145</v>
      </c>
      <c r="B166" s="442">
        <f t="shared" si="50"/>
        <v>48580</v>
      </c>
      <c r="C166" s="431"/>
      <c r="D166" s="408"/>
      <c r="E166" s="433">
        <f t="shared" si="51"/>
        <v>0</v>
      </c>
      <c r="F166" s="433">
        <f t="shared" si="46"/>
        <v>-3.3099055673830667E-12</v>
      </c>
      <c r="G166" s="433">
        <f t="shared" si="47"/>
        <v>-7.9768724173931916E-10</v>
      </c>
      <c r="H166" s="441"/>
      <c r="I166" s="436">
        <f t="shared" si="52"/>
        <v>0</v>
      </c>
      <c r="J166" s="436">
        <f t="shared" si="55"/>
        <v>0</v>
      </c>
      <c r="K166" s="436">
        <f t="shared" si="53"/>
        <v>4.6475179260596633E-10</v>
      </c>
      <c r="L166" s="437">
        <f t="shared" si="48"/>
        <v>-1.9942181043482979E-10</v>
      </c>
      <c r="M166" s="437">
        <f t="shared" si="54"/>
        <v>1.1618794815149158E-10</v>
      </c>
    </row>
    <row r="167" spans="1:13" ht="19.95" customHeight="1">
      <c r="A167" s="438">
        <f t="shared" si="49"/>
        <v>146</v>
      </c>
      <c r="B167" s="442">
        <f t="shared" si="50"/>
        <v>48611</v>
      </c>
      <c r="C167" s="431"/>
      <c r="D167" s="408"/>
      <c r="E167" s="433">
        <f t="shared" si="51"/>
        <v>0</v>
      </c>
      <c r="F167" s="433">
        <f t="shared" si="46"/>
        <v>-3.3236968405804964E-12</v>
      </c>
      <c r="G167" s="433">
        <f t="shared" si="47"/>
        <v>-8.0101093857989969E-10</v>
      </c>
      <c r="H167" s="441"/>
      <c r="I167" s="436">
        <f t="shared" si="52"/>
        <v>0</v>
      </c>
      <c r="J167" s="436">
        <f t="shared" si="55"/>
        <v>0</v>
      </c>
      <c r="K167" s="436">
        <f t="shared" si="53"/>
        <v>4.6475179260596633E-10</v>
      </c>
      <c r="L167" s="437">
        <f t="shared" si="48"/>
        <v>-2.0025273464497492E-10</v>
      </c>
      <c r="M167" s="437">
        <f t="shared" si="54"/>
        <v>1.1618794815149158E-10</v>
      </c>
    </row>
    <row r="168" spans="1:13" ht="19.95" customHeight="1">
      <c r="A168" s="438">
        <f t="shared" si="49"/>
        <v>147</v>
      </c>
      <c r="B168" s="442">
        <f t="shared" si="50"/>
        <v>48639</v>
      </c>
      <c r="C168" s="431"/>
      <c r="D168" s="408"/>
      <c r="E168" s="433">
        <f t="shared" si="51"/>
        <v>0</v>
      </c>
      <c r="F168" s="433">
        <f t="shared" si="46"/>
        <v>-3.3375455774162486E-12</v>
      </c>
      <c r="G168" s="433">
        <f t="shared" si="47"/>
        <v>-8.0434848415731595E-10</v>
      </c>
      <c r="H168" s="441"/>
      <c r="I168" s="436">
        <f t="shared" si="52"/>
        <v>0</v>
      </c>
      <c r="J168" s="436">
        <f t="shared" si="55"/>
        <v>0</v>
      </c>
      <c r="K168" s="436">
        <f t="shared" si="53"/>
        <v>4.6475179260596633E-10</v>
      </c>
      <c r="L168" s="437">
        <f t="shared" si="48"/>
        <v>-2.0108712103932899E-10</v>
      </c>
      <c r="M168" s="437">
        <f t="shared" si="54"/>
        <v>1.1618794815149158E-10</v>
      </c>
    </row>
    <row r="169" spans="1:13" ht="19.95" customHeight="1">
      <c r="A169" s="438">
        <f t="shared" si="49"/>
        <v>148</v>
      </c>
      <c r="B169" s="442">
        <f t="shared" si="50"/>
        <v>48670</v>
      </c>
      <c r="C169" s="431"/>
      <c r="D169" s="408"/>
      <c r="E169" s="433">
        <f t="shared" si="51"/>
        <v>0</v>
      </c>
      <c r="F169" s="433">
        <f t="shared" si="46"/>
        <v>-3.3514520173221497E-12</v>
      </c>
      <c r="G169" s="433">
        <f t="shared" si="47"/>
        <v>-8.0769993617463807E-10</v>
      </c>
      <c r="H169" s="441"/>
      <c r="I169" s="436">
        <f t="shared" si="52"/>
        <v>0</v>
      </c>
      <c r="J169" s="436">
        <f t="shared" si="55"/>
        <v>0</v>
      </c>
      <c r="K169" s="436">
        <f t="shared" si="53"/>
        <v>4.6475179260596633E-10</v>
      </c>
      <c r="L169" s="437">
        <f t="shared" si="48"/>
        <v>-2.0192498404365952E-10</v>
      </c>
      <c r="M169" s="437">
        <f t="shared" si="54"/>
        <v>1.1618794815149158E-10</v>
      </c>
    </row>
    <row r="170" spans="1:13" ht="19.95" customHeight="1">
      <c r="A170" s="438">
        <f t="shared" si="49"/>
        <v>149</v>
      </c>
      <c r="B170" s="442">
        <f t="shared" si="50"/>
        <v>48700</v>
      </c>
      <c r="C170" s="431"/>
      <c r="D170" s="408"/>
      <c r="E170" s="433">
        <f t="shared" si="51"/>
        <v>0</v>
      </c>
      <c r="F170" s="433">
        <f t="shared" si="46"/>
        <v>-3.3654164007276584E-12</v>
      </c>
      <c r="G170" s="433">
        <f t="shared" si="47"/>
        <v>-8.1106535257536577E-10</v>
      </c>
      <c r="H170" s="441"/>
      <c r="I170" s="436">
        <f t="shared" si="52"/>
        <v>0</v>
      </c>
      <c r="J170" s="436">
        <f t="shared" si="55"/>
        <v>0</v>
      </c>
      <c r="K170" s="436">
        <f t="shared" si="53"/>
        <v>4.6475179260596633E-10</v>
      </c>
      <c r="L170" s="437">
        <f t="shared" si="48"/>
        <v>-2.0276633814384144E-10</v>
      </c>
      <c r="M170" s="437">
        <f t="shared" si="54"/>
        <v>1.1618794815149158E-10</v>
      </c>
    </row>
    <row r="171" spans="1:13" ht="19.95" customHeight="1">
      <c r="A171" s="438">
        <f t="shared" si="49"/>
        <v>150</v>
      </c>
      <c r="B171" s="442">
        <f t="shared" si="50"/>
        <v>48731</v>
      </c>
      <c r="C171" s="431"/>
      <c r="D171" s="408"/>
      <c r="E171" s="433">
        <f t="shared" si="51"/>
        <v>0</v>
      </c>
      <c r="F171" s="433">
        <f t="shared" si="46"/>
        <v>-3.3794389690640241E-12</v>
      </c>
      <c r="G171" s="433">
        <f t="shared" si="47"/>
        <v>-8.1444479154442982E-10</v>
      </c>
      <c r="H171" s="441"/>
      <c r="I171" s="436">
        <f t="shared" si="52"/>
        <v>0</v>
      </c>
      <c r="J171" s="436">
        <f t="shared" si="55"/>
        <v>0</v>
      </c>
      <c r="K171" s="436">
        <f t="shared" si="53"/>
        <v>4.6475179260596633E-10</v>
      </c>
      <c r="L171" s="437">
        <f t="shared" si="48"/>
        <v>-2.0361119788610745E-10</v>
      </c>
      <c r="M171" s="437">
        <f t="shared" si="54"/>
        <v>1.1618794815149158E-10</v>
      </c>
    </row>
    <row r="172" spans="1:13" ht="19.95" customHeight="1">
      <c r="A172" s="438">
        <f t="shared" si="49"/>
        <v>151</v>
      </c>
      <c r="B172" s="442">
        <f t="shared" si="50"/>
        <v>48761</v>
      </c>
      <c r="C172" s="431"/>
      <c r="D172" s="408"/>
      <c r="E172" s="433">
        <f t="shared" si="51"/>
        <v>0</v>
      </c>
      <c r="F172" s="433">
        <f t="shared" si="46"/>
        <v>-3.3935199647684574E-12</v>
      </c>
      <c r="G172" s="433">
        <f t="shared" si="47"/>
        <v>-8.1783831150919833E-10</v>
      </c>
      <c r="H172" s="441"/>
      <c r="I172" s="436">
        <f t="shared" si="52"/>
        <v>0</v>
      </c>
      <c r="J172" s="436">
        <f t="shared" si="55"/>
        <v>0</v>
      </c>
      <c r="K172" s="436">
        <f t="shared" si="53"/>
        <v>4.6475179260596633E-10</v>
      </c>
      <c r="L172" s="437">
        <f t="shared" si="48"/>
        <v>-2.0445957787729958E-10</v>
      </c>
      <c r="M172" s="437">
        <f t="shared" si="54"/>
        <v>1.1618794815149158E-10</v>
      </c>
    </row>
    <row r="173" spans="1:13" ht="19.95" customHeight="1">
      <c r="A173" s="438">
        <f t="shared" si="49"/>
        <v>152</v>
      </c>
      <c r="B173" s="442">
        <f t="shared" si="50"/>
        <v>48792</v>
      </c>
      <c r="C173" s="431"/>
      <c r="D173" s="408"/>
      <c r="E173" s="433">
        <f t="shared" si="51"/>
        <v>0</v>
      </c>
      <c r="F173" s="433">
        <f t="shared" si="46"/>
        <v>-3.4076596312883262E-12</v>
      </c>
      <c r="G173" s="433">
        <f t="shared" si="47"/>
        <v>-8.2124597114048661E-10</v>
      </c>
      <c r="H173" s="441"/>
      <c r="I173" s="436">
        <f t="shared" si="52"/>
        <v>0</v>
      </c>
      <c r="J173" s="436">
        <f t="shared" si="55"/>
        <v>0</v>
      </c>
      <c r="K173" s="436">
        <f t="shared" si="53"/>
        <v>4.6475179260596633E-10</v>
      </c>
      <c r="L173" s="437">
        <f t="shared" si="48"/>
        <v>-2.0531149278512165E-10</v>
      </c>
      <c r="M173" s="437">
        <f t="shared" si="54"/>
        <v>1.1618794815149158E-10</v>
      </c>
    </row>
    <row r="174" spans="1:13" ht="19.95" customHeight="1">
      <c r="A174" s="438">
        <f t="shared" si="49"/>
        <v>153</v>
      </c>
      <c r="B174" s="442">
        <f t="shared" si="50"/>
        <v>48823</v>
      </c>
      <c r="C174" s="431"/>
      <c r="D174" s="408"/>
      <c r="E174" s="433">
        <f t="shared" si="51"/>
        <v>0</v>
      </c>
      <c r="F174" s="433">
        <f t="shared" si="46"/>
        <v>-3.4218582130853606E-12</v>
      </c>
      <c r="G174" s="433">
        <f t="shared" si="47"/>
        <v>-8.2466782935357196E-10</v>
      </c>
      <c r="H174" s="441"/>
      <c r="I174" s="436">
        <f t="shared" si="52"/>
        <v>0</v>
      </c>
      <c r="J174" s="436">
        <f t="shared" si="55"/>
        <v>0</v>
      </c>
      <c r="K174" s="436">
        <f t="shared" si="53"/>
        <v>4.6475179260596633E-10</v>
      </c>
      <c r="L174" s="437">
        <f t="shared" si="48"/>
        <v>-2.0616695733839299E-10</v>
      </c>
      <c r="M174" s="437">
        <f t="shared" si="54"/>
        <v>1.1618794815149158E-10</v>
      </c>
    </row>
    <row r="175" spans="1:13" ht="19.95" customHeight="1">
      <c r="A175" s="438">
        <f t="shared" si="49"/>
        <v>154</v>
      </c>
      <c r="B175" s="442">
        <f t="shared" si="50"/>
        <v>48853</v>
      </c>
      <c r="C175" s="431"/>
      <c r="D175" s="408"/>
      <c r="E175" s="433">
        <f t="shared" si="51"/>
        <v>0</v>
      </c>
      <c r="F175" s="433">
        <f t="shared" si="46"/>
        <v>-3.4361159556398832E-12</v>
      </c>
      <c r="G175" s="433">
        <f t="shared" si="47"/>
        <v>-8.2810394530921186E-10</v>
      </c>
      <c r="H175" s="441"/>
      <c r="I175" s="436">
        <f t="shared" si="52"/>
        <v>0</v>
      </c>
      <c r="J175" s="436">
        <f t="shared" si="55"/>
        <v>0</v>
      </c>
      <c r="K175" s="436">
        <f t="shared" si="53"/>
        <v>4.6475179260596633E-10</v>
      </c>
      <c r="L175" s="437">
        <f t="shared" si="48"/>
        <v>-2.0702598632730296E-10</v>
      </c>
      <c r="M175" s="437">
        <f t="shared" si="54"/>
        <v>1.1618794815149158E-10</v>
      </c>
    </row>
    <row r="176" spans="1:13" ht="19.95" customHeight="1">
      <c r="A176" s="438">
        <f t="shared" si="49"/>
        <v>155</v>
      </c>
      <c r="B176" s="442">
        <f t="shared" si="50"/>
        <v>48884</v>
      </c>
      <c r="C176" s="431"/>
      <c r="D176" s="408"/>
      <c r="E176" s="433">
        <f t="shared" si="51"/>
        <v>0</v>
      </c>
      <c r="F176" s="433">
        <f t="shared" si="46"/>
        <v>-3.4504331054550494E-12</v>
      </c>
      <c r="G176" s="433">
        <f t="shared" si="47"/>
        <v>-8.3155437841466695E-10</v>
      </c>
      <c r="H176" s="441"/>
      <c r="I176" s="436">
        <f t="shared" si="52"/>
        <v>0</v>
      </c>
      <c r="J176" s="436">
        <f t="shared" si="55"/>
        <v>0</v>
      </c>
      <c r="K176" s="436">
        <f t="shared" si="53"/>
        <v>4.6475179260596633E-10</v>
      </c>
      <c r="L176" s="437">
        <f t="shared" si="48"/>
        <v>-2.0788859460366674E-10</v>
      </c>
      <c r="M176" s="437">
        <f t="shared" si="54"/>
        <v>1.1618794815149158E-10</v>
      </c>
    </row>
    <row r="177" spans="1:13" ht="19.95" customHeight="1">
      <c r="A177" s="438">
        <f t="shared" si="49"/>
        <v>156</v>
      </c>
      <c r="B177" s="442">
        <f t="shared" si="50"/>
        <v>48914</v>
      </c>
      <c r="C177" s="431"/>
      <c r="D177" s="408"/>
      <c r="E177" s="433">
        <f t="shared" si="51"/>
        <v>0</v>
      </c>
      <c r="F177" s="433">
        <f t="shared" si="46"/>
        <v>-3.4648099100611121E-12</v>
      </c>
      <c r="G177" s="433">
        <f t="shared" si="47"/>
        <v>-8.3501918832472805E-10</v>
      </c>
      <c r="H177" s="441"/>
      <c r="I177" s="436">
        <f t="shared" si="52"/>
        <v>0</v>
      </c>
      <c r="J177" s="436">
        <f t="shared" si="55"/>
        <v>0</v>
      </c>
      <c r="K177" s="436">
        <f t="shared" si="53"/>
        <v>4.6475179260596633E-10</v>
      </c>
      <c r="L177" s="437">
        <f t="shared" si="48"/>
        <v>-2.0875479708118201E-10</v>
      </c>
      <c r="M177" s="437">
        <f t="shared" si="54"/>
        <v>1.1618794815149158E-10</v>
      </c>
    </row>
    <row r="178" spans="1:13" ht="19.95" customHeight="1">
      <c r="A178" s="438">
        <f t="shared" si="49"/>
        <v>157</v>
      </c>
      <c r="B178" s="442">
        <f t="shared" si="50"/>
        <v>48945</v>
      </c>
      <c r="C178" s="431"/>
      <c r="D178" s="408"/>
      <c r="E178" s="433">
        <f t="shared" si="51"/>
        <v>0</v>
      </c>
      <c r="F178" s="433">
        <f t="shared" si="46"/>
        <v>-3.4792466180197001E-12</v>
      </c>
      <c r="G178" s="433">
        <f t="shared" si="47"/>
        <v>-8.3849843494274774E-10</v>
      </c>
      <c r="H178" s="441"/>
      <c r="I178" s="436">
        <f t="shared" si="52"/>
        <v>0</v>
      </c>
      <c r="J178" s="436">
        <f t="shared" si="55"/>
        <v>0</v>
      </c>
      <c r="K178" s="436">
        <f t="shared" si="53"/>
        <v>4.6475179260596633E-10</v>
      </c>
      <c r="L178" s="437">
        <f t="shared" si="48"/>
        <v>-2.0962460873568693E-10</v>
      </c>
      <c r="M178" s="437">
        <f t="shared" si="54"/>
        <v>1.1618794815149158E-10</v>
      </c>
    </row>
    <row r="179" spans="1:13" ht="19.95" customHeight="1">
      <c r="A179" s="438">
        <f t="shared" si="49"/>
        <v>158</v>
      </c>
      <c r="B179" s="442">
        <f t="shared" si="50"/>
        <v>48976</v>
      </c>
      <c r="C179" s="431"/>
      <c r="D179" s="408"/>
      <c r="E179" s="433">
        <f t="shared" si="51"/>
        <v>0</v>
      </c>
      <c r="F179" s="433">
        <f t="shared" si="46"/>
        <v>-3.4937434789281155E-12</v>
      </c>
      <c r="G179" s="433">
        <f t="shared" si="47"/>
        <v>-8.419921784216759E-10</v>
      </c>
      <c r="H179" s="441"/>
      <c r="I179" s="436">
        <f t="shared" si="52"/>
        <v>0</v>
      </c>
      <c r="J179" s="436">
        <f t="shared" si="55"/>
        <v>0</v>
      </c>
      <c r="K179" s="436">
        <f t="shared" si="53"/>
        <v>4.6475179260596633E-10</v>
      </c>
      <c r="L179" s="437">
        <f t="shared" si="48"/>
        <v>-2.1049804460541898E-10</v>
      </c>
      <c r="M179" s="437">
        <f t="shared" si="54"/>
        <v>1.1618794815149158E-10</v>
      </c>
    </row>
    <row r="180" spans="1:13" ht="19.95" customHeight="1">
      <c r="A180" s="438">
        <f t="shared" si="49"/>
        <v>159</v>
      </c>
      <c r="B180" s="442">
        <f t="shared" si="50"/>
        <v>49004</v>
      </c>
      <c r="C180" s="431"/>
      <c r="D180" s="408"/>
      <c r="E180" s="433">
        <f t="shared" si="51"/>
        <v>0</v>
      </c>
      <c r="F180" s="433">
        <f t="shared" si="46"/>
        <v>-3.5083007434236495E-12</v>
      </c>
      <c r="G180" s="433">
        <f t="shared" si="47"/>
        <v>-8.4550047916509951E-10</v>
      </c>
      <c r="H180" s="441"/>
      <c r="I180" s="436">
        <f t="shared" si="52"/>
        <v>0</v>
      </c>
      <c r="J180" s="436">
        <f t="shared" si="55"/>
        <v>0</v>
      </c>
      <c r="K180" s="436">
        <f t="shared" si="53"/>
        <v>4.6475179260596633E-10</v>
      </c>
      <c r="L180" s="437">
        <f t="shared" si="48"/>
        <v>-2.1137511979127488E-10</v>
      </c>
      <c r="M180" s="437">
        <f t="shared" si="54"/>
        <v>1.1618794815149158E-10</v>
      </c>
    </row>
    <row r="181" spans="1:13" ht="19.95" customHeight="1">
      <c r="A181" s="438">
        <f t="shared" si="49"/>
        <v>160</v>
      </c>
      <c r="B181" s="442">
        <f t="shared" si="50"/>
        <v>49035</v>
      </c>
      <c r="C181" s="431"/>
      <c r="D181" s="408"/>
      <c r="E181" s="433">
        <f t="shared" si="51"/>
        <v>0</v>
      </c>
      <c r="F181" s="433">
        <f t="shared" si="46"/>
        <v>-3.5229186631879147E-12</v>
      </c>
      <c r="G181" s="433">
        <f t="shared" si="47"/>
        <v>-8.4902339782828743E-10</v>
      </c>
      <c r="H181" s="441"/>
      <c r="I181" s="436">
        <f t="shared" si="52"/>
        <v>0</v>
      </c>
      <c r="J181" s="436">
        <f t="shared" si="55"/>
        <v>0</v>
      </c>
      <c r="K181" s="436">
        <f t="shared" si="53"/>
        <v>4.6475179260596633E-10</v>
      </c>
      <c r="L181" s="437">
        <f t="shared" si="48"/>
        <v>-2.1225584945707186E-10</v>
      </c>
      <c r="M181" s="437">
        <f t="shared" si="54"/>
        <v>1.1618794815149158E-10</v>
      </c>
    </row>
    <row r="182" spans="1:13" ht="19.95" customHeight="1">
      <c r="A182" s="438">
        <f t="shared" si="49"/>
        <v>161</v>
      </c>
      <c r="B182" s="442">
        <f t="shared" si="50"/>
        <v>49065</v>
      </c>
      <c r="C182" s="431"/>
      <c r="D182" s="408"/>
      <c r="E182" s="433">
        <f t="shared" si="51"/>
        <v>0</v>
      </c>
      <c r="F182" s="433">
        <f t="shared" si="46"/>
        <v>-3.5375974909511974E-12</v>
      </c>
      <c r="G182" s="433">
        <f t="shared" si="47"/>
        <v>-8.5256099531923866E-10</v>
      </c>
      <c r="H182" s="441"/>
      <c r="I182" s="436">
        <f t="shared" si="52"/>
        <v>0</v>
      </c>
      <c r="J182" s="436">
        <f t="shared" si="55"/>
        <v>0</v>
      </c>
      <c r="K182" s="436">
        <f t="shared" si="53"/>
        <v>4.6475179260596633E-10</v>
      </c>
      <c r="L182" s="437">
        <f t="shared" si="48"/>
        <v>-2.1314024882980967E-10</v>
      </c>
      <c r="M182" s="437">
        <f t="shared" si="54"/>
        <v>1.1618794815149158E-10</v>
      </c>
    </row>
    <row r="183" spans="1:13" ht="19.95" customHeight="1">
      <c r="A183" s="438">
        <f t="shared" si="49"/>
        <v>162</v>
      </c>
      <c r="B183" s="442">
        <f t="shared" si="50"/>
        <v>49096</v>
      </c>
      <c r="C183" s="431"/>
      <c r="D183" s="408"/>
      <c r="E183" s="433">
        <f t="shared" si="51"/>
        <v>0</v>
      </c>
      <c r="F183" s="433">
        <f t="shared" si="46"/>
        <v>-3.5523374804968276E-12</v>
      </c>
      <c r="G183" s="433">
        <f t="shared" si="47"/>
        <v>-8.5611333279973547E-10</v>
      </c>
      <c r="H183" s="441"/>
      <c r="I183" s="436">
        <f t="shared" si="52"/>
        <v>0</v>
      </c>
      <c r="J183" s="436">
        <f t="shared" si="55"/>
        <v>0</v>
      </c>
      <c r="K183" s="436">
        <f t="shared" si="53"/>
        <v>4.6475179260596633E-10</v>
      </c>
      <c r="L183" s="437">
        <f t="shared" si="48"/>
        <v>-2.1402833319993387E-10</v>
      </c>
      <c r="M183" s="437">
        <f t="shared" si="54"/>
        <v>1.1618794815149158E-10</v>
      </c>
    </row>
    <row r="184" spans="1:13" ht="19.95" customHeight="1">
      <c r="A184" s="438">
        <f t="shared" si="49"/>
        <v>163</v>
      </c>
      <c r="B184" s="442">
        <f t="shared" si="50"/>
        <v>49126</v>
      </c>
      <c r="C184" s="431"/>
      <c r="D184" s="408"/>
      <c r="E184" s="433">
        <f t="shared" si="51"/>
        <v>0</v>
      </c>
      <c r="F184" s="433">
        <f t="shared" si="46"/>
        <v>-3.5671388866655644E-12</v>
      </c>
      <c r="G184" s="433">
        <f t="shared" si="47"/>
        <v>-8.5968047168640103E-10</v>
      </c>
      <c r="H184" s="441"/>
      <c r="I184" s="436">
        <f t="shared" si="52"/>
        <v>0</v>
      </c>
      <c r="J184" s="436">
        <f t="shared" si="55"/>
        <v>0</v>
      </c>
      <c r="K184" s="436">
        <f t="shared" si="53"/>
        <v>4.6475179260596633E-10</v>
      </c>
      <c r="L184" s="437">
        <f t="shared" si="48"/>
        <v>-2.1492011792160026E-10</v>
      </c>
      <c r="M184" s="437">
        <f t="shared" si="54"/>
        <v>1.1618794815149158E-10</v>
      </c>
    </row>
    <row r="185" spans="1:13" ht="19.95" customHeight="1">
      <c r="A185" s="438">
        <f t="shared" si="49"/>
        <v>164</v>
      </c>
      <c r="B185" s="442">
        <f t="shared" si="50"/>
        <v>49157</v>
      </c>
      <c r="C185" s="431"/>
      <c r="D185" s="408"/>
      <c r="E185" s="433">
        <f t="shared" si="51"/>
        <v>0</v>
      </c>
      <c r="F185" s="433">
        <f t="shared" si="46"/>
        <v>-3.5820019653600042E-12</v>
      </c>
      <c r="G185" s="433">
        <f t="shared" si="47"/>
        <v>-8.6326247365176099E-10</v>
      </c>
      <c r="H185" s="441"/>
      <c r="I185" s="436">
        <f t="shared" si="52"/>
        <v>0</v>
      </c>
      <c r="J185" s="436">
        <f t="shared" si="55"/>
        <v>0</v>
      </c>
      <c r="K185" s="436">
        <f t="shared" si="53"/>
        <v>4.6475179260596633E-10</v>
      </c>
      <c r="L185" s="437">
        <f t="shared" si="48"/>
        <v>-2.1581561841294025E-10</v>
      </c>
      <c r="M185" s="437">
        <f t="shared" si="54"/>
        <v>1.1618794815149158E-10</v>
      </c>
    </row>
    <row r="186" spans="1:13" ht="19.95" customHeight="1">
      <c r="A186" s="438">
        <f t="shared" si="49"/>
        <v>165</v>
      </c>
      <c r="B186" s="442">
        <f t="shared" si="50"/>
        <v>49188</v>
      </c>
      <c r="C186" s="431"/>
      <c r="D186" s="408"/>
      <c r="E186" s="433">
        <f t="shared" si="51"/>
        <v>0</v>
      </c>
      <c r="F186" s="433">
        <f t="shared" si="46"/>
        <v>-3.596926973549004E-12</v>
      </c>
      <c r="G186" s="433">
        <f t="shared" si="47"/>
        <v>-8.6685940062531004E-10</v>
      </c>
      <c r="H186" s="441"/>
      <c r="I186" s="436">
        <f t="shared" si="52"/>
        <v>0</v>
      </c>
      <c r="J186" s="436">
        <f t="shared" si="55"/>
        <v>0</v>
      </c>
      <c r="K186" s="436">
        <f t="shared" si="53"/>
        <v>4.6475179260596633E-10</v>
      </c>
      <c r="L186" s="437">
        <f t="shared" si="48"/>
        <v>-2.1671485015632751E-10</v>
      </c>
      <c r="M186" s="437">
        <f t="shared" si="54"/>
        <v>1.1618794815149158E-10</v>
      </c>
    </row>
    <row r="187" spans="1:13" ht="19.95" customHeight="1">
      <c r="A187" s="438">
        <f t="shared" si="49"/>
        <v>166</v>
      </c>
      <c r="B187" s="442">
        <f t="shared" si="50"/>
        <v>49218</v>
      </c>
      <c r="C187" s="431"/>
      <c r="D187" s="408"/>
      <c r="E187" s="433">
        <f t="shared" si="51"/>
        <v>0</v>
      </c>
      <c r="F187" s="433">
        <f t="shared" si="46"/>
        <v>-3.6119141692721249E-12</v>
      </c>
      <c r="G187" s="433">
        <f t="shared" si="47"/>
        <v>-8.7047131479458216E-10</v>
      </c>
      <c r="H187" s="441"/>
      <c r="I187" s="436">
        <f t="shared" si="52"/>
        <v>0</v>
      </c>
      <c r="J187" s="436">
        <f t="shared" si="55"/>
        <v>0</v>
      </c>
      <c r="K187" s="436">
        <f t="shared" si="53"/>
        <v>4.6475179260596633E-10</v>
      </c>
      <c r="L187" s="437">
        <f t="shared" si="48"/>
        <v>-2.1761782869864554E-10</v>
      </c>
      <c r="M187" s="437">
        <f t="shared" si="54"/>
        <v>1.1618794815149158E-10</v>
      </c>
    </row>
    <row r="188" spans="1:13" ht="19.95" customHeight="1">
      <c r="A188" s="438">
        <f t="shared" si="49"/>
        <v>167</v>
      </c>
      <c r="B188" s="442">
        <f t="shared" si="50"/>
        <v>49249</v>
      </c>
      <c r="C188" s="431"/>
      <c r="D188" s="408"/>
      <c r="E188" s="433">
        <f t="shared" si="51"/>
        <v>0</v>
      </c>
      <c r="F188" s="433">
        <f t="shared" si="46"/>
        <v>-3.6269638116440921E-12</v>
      </c>
      <c r="G188" s="433">
        <f t="shared" si="47"/>
        <v>-8.7409827860622621E-10</v>
      </c>
      <c r="H188" s="441"/>
      <c r="I188" s="436">
        <f t="shared" si="52"/>
        <v>0</v>
      </c>
      <c r="J188" s="436">
        <f t="shared" si="55"/>
        <v>0</v>
      </c>
      <c r="K188" s="436">
        <f t="shared" si="53"/>
        <v>4.6475179260596633E-10</v>
      </c>
      <c r="L188" s="437">
        <f t="shared" si="48"/>
        <v>-2.1852456965155655E-10</v>
      </c>
      <c r="M188" s="437">
        <f t="shared" si="54"/>
        <v>1.1618794815149158E-10</v>
      </c>
    </row>
    <row r="189" spans="1:13" ht="19.95" customHeight="1">
      <c r="A189" s="438">
        <f t="shared" si="49"/>
        <v>168</v>
      </c>
      <c r="B189" s="442">
        <f t="shared" si="50"/>
        <v>49279</v>
      </c>
      <c r="C189" s="431"/>
      <c r="D189" s="408"/>
      <c r="E189" s="433">
        <f t="shared" si="51"/>
        <v>0</v>
      </c>
      <c r="F189" s="433">
        <f t="shared" si="46"/>
        <v>-3.6420761608592759E-12</v>
      </c>
      <c r="G189" s="433">
        <f t="shared" si="47"/>
        <v>-8.7774035476708552E-10</v>
      </c>
      <c r="H189" s="441"/>
      <c r="I189" s="436">
        <f t="shared" si="52"/>
        <v>0</v>
      </c>
      <c r="J189" s="436">
        <f t="shared" si="55"/>
        <v>0</v>
      </c>
      <c r="K189" s="436">
        <f t="shared" si="53"/>
        <v>4.6475179260596633E-10</v>
      </c>
      <c r="L189" s="437">
        <f t="shared" si="48"/>
        <v>-2.1943508869177138E-10</v>
      </c>
      <c r="M189" s="437">
        <f t="shared" si="54"/>
        <v>1.1618794815149158E-10</v>
      </c>
    </row>
    <row r="190" spans="1:13" ht="19.95" customHeight="1">
      <c r="A190" s="438">
        <f t="shared" si="49"/>
        <v>169</v>
      </c>
      <c r="B190" s="442">
        <f t="shared" si="50"/>
        <v>49310</v>
      </c>
      <c r="C190" s="431"/>
      <c r="D190" s="408"/>
      <c r="E190" s="433">
        <f t="shared" si="51"/>
        <v>0</v>
      </c>
      <c r="F190" s="433">
        <f t="shared" si="46"/>
        <v>-3.6572514781961896E-12</v>
      </c>
      <c r="G190" s="433">
        <f t="shared" si="47"/>
        <v>-8.813976062452817E-10</v>
      </c>
      <c r="H190" s="441"/>
      <c r="I190" s="436">
        <f t="shared" si="52"/>
        <v>0</v>
      </c>
      <c r="J190" s="436">
        <f t="shared" si="55"/>
        <v>0</v>
      </c>
      <c r="K190" s="436">
        <f t="shared" si="53"/>
        <v>4.6475179260596633E-10</v>
      </c>
      <c r="L190" s="437">
        <f t="shared" si="48"/>
        <v>-2.2034940156132042E-10</v>
      </c>
      <c r="M190" s="437">
        <f t="shared" si="54"/>
        <v>1.1618794815149158E-10</v>
      </c>
    </row>
    <row r="191" spans="1:13" ht="19.95" customHeight="1">
      <c r="A191" s="438">
        <f t="shared" si="49"/>
        <v>170</v>
      </c>
      <c r="B191" s="442">
        <f t="shared" si="50"/>
        <v>49341</v>
      </c>
      <c r="C191" s="431"/>
      <c r="D191" s="408"/>
      <c r="E191" s="433">
        <f t="shared" si="51"/>
        <v>0</v>
      </c>
      <c r="F191" s="433">
        <f t="shared" si="46"/>
        <v>-3.6724900260220073E-12</v>
      </c>
      <c r="G191" s="433">
        <f t="shared" si="47"/>
        <v>-8.8507009627130374E-10</v>
      </c>
      <c r="H191" s="441"/>
      <c r="I191" s="436">
        <f t="shared" si="52"/>
        <v>0</v>
      </c>
      <c r="J191" s="436">
        <f t="shared" si="55"/>
        <v>0</v>
      </c>
      <c r="K191" s="436">
        <f t="shared" si="53"/>
        <v>4.6475179260596633E-10</v>
      </c>
      <c r="L191" s="437">
        <f t="shared" si="48"/>
        <v>-2.2126752406782594E-10</v>
      </c>
      <c r="M191" s="437">
        <f t="shared" si="54"/>
        <v>1.1618794815149158E-10</v>
      </c>
    </row>
    <row r="192" spans="1:13" ht="19.95" customHeight="1">
      <c r="A192" s="438">
        <f t="shared" si="49"/>
        <v>171</v>
      </c>
      <c r="B192" s="442">
        <f t="shared" si="50"/>
        <v>49369</v>
      </c>
      <c r="C192" s="431"/>
      <c r="D192" s="408"/>
      <c r="E192" s="433">
        <f t="shared" si="51"/>
        <v>0</v>
      </c>
      <c r="F192" s="433">
        <f t="shared" si="46"/>
        <v>-3.6877920677970986E-12</v>
      </c>
      <c r="G192" s="433">
        <f t="shared" si="47"/>
        <v>-8.8875788833910079E-10</v>
      </c>
      <c r="H192" s="441"/>
      <c r="I192" s="436">
        <f t="shared" si="52"/>
        <v>0</v>
      </c>
      <c r="J192" s="436">
        <f t="shared" si="55"/>
        <v>0</v>
      </c>
      <c r="K192" s="436">
        <f t="shared" si="53"/>
        <v>4.6475179260596633E-10</v>
      </c>
      <c r="L192" s="437">
        <f t="shared" si="48"/>
        <v>-2.221894720847752E-10</v>
      </c>
      <c r="M192" s="437">
        <f t="shared" si="54"/>
        <v>1.1618794815149158E-10</v>
      </c>
    </row>
    <row r="193" spans="1:14" ht="19.95" customHeight="1">
      <c r="A193" s="438">
        <f t="shared" si="49"/>
        <v>172</v>
      </c>
      <c r="B193" s="442">
        <f t="shared" si="50"/>
        <v>49400</v>
      </c>
      <c r="C193" s="431"/>
      <c r="D193" s="408"/>
      <c r="E193" s="433">
        <f t="shared" si="51"/>
        <v>0</v>
      </c>
      <c r="F193" s="433">
        <f t="shared" si="46"/>
        <v>-3.7031578680795862E-12</v>
      </c>
      <c r="G193" s="433">
        <f t="shared" si="47"/>
        <v>-8.924610462071804E-10</v>
      </c>
      <c r="H193" s="441"/>
      <c r="I193" s="436">
        <f t="shared" si="52"/>
        <v>0</v>
      </c>
      <c r="J193" s="436">
        <f t="shared" si="55"/>
        <v>0</v>
      </c>
      <c r="K193" s="436">
        <f t="shared" si="53"/>
        <v>4.6475179260596633E-10</v>
      </c>
      <c r="L193" s="437">
        <f t="shared" si="48"/>
        <v>-2.231152615517951E-10</v>
      </c>
      <c r="M193" s="437">
        <f t="shared" si="54"/>
        <v>1.1618794815149158E-10</v>
      </c>
    </row>
    <row r="194" spans="1:14" ht="19.95" customHeight="1">
      <c r="A194" s="438">
        <f t="shared" si="49"/>
        <v>173</v>
      </c>
      <c r="B194" s="442">
        <f t="shared" si="50"/>
        <v>49430</v>
      </c>
      <c r="C194" s="431"/>
      <c r="D194" s="408"/>
      <c r="E194" s="433">
        <f t="shared" si="51"/>
        <v>0</v>
      </c>
      <c r="F194" s="433">
        <f t="shared" si="46"/>
        <v>-3.7185876925299186E-12</v>
      </c>
      <c r="G194" s="433">
        <f t="shared" si="47"/>
        <v>-8.9617963389971033E-10</v>
      </c>
      <c r="H194" s="441"/>
      <c r="I194" s="436">
        <f t="shared" si="52"/>
        <v>0</v>
      </c>
      <c r="J194" s="436">
        <f t="shared" si="55"/>
        <v>0</v>
      </c>
      <c r="K194" s="436">
        <f t="shared" si="53"/>
        <v>4.6475179260596633E-10</v>
      </c>
      <c r="L194" s="437">
        <f t="shared" si="48"/>
        <v>-2.2404490847492758E-10</v>
      </c>
      <c r="M194" s="437">
        <f t="shared" si="54"/>
        <v>1.1618794815149158E-10</v>
      </c>
    </row>
    <row r="195" spans="1:14" ht="19.95" customHeight="1">
      <c r="A195" s="438">
        <f t="shared" si="49"/>
        <v>174</v>
      </c>
      <c r="B195" s="442">
        <f t="shared" si="50"/>
        <v>49461</v>
      </c>
      <c r="C195" s="431"/>
      <c r="D195" s="408"/>
      <c r="E195" s="433">
        <f t="shared" si="51"/>
        <v>0</v>
      </c>
      <c r="F195" s="433">
        <f t="shared" si="46"/>
        <v>-3.7340818079154597E-12</v>
      </c>
      <c r="G195" s="433">
        <f t="shared" si="47"/>
        <v>-8.9991371570762577E-10</v>
      </c>
      <c r="H195" s="441"/>
      <c r="I195" s="436">
        <f t="shared" si="52"/>
        <v>0</v>
      </c>
      <c r="J195" s="436">
        <f t="shared" si="55"/>
        <v>0</v>
      </c>
      <c r="K195" s="436">
        <f t="shared" si="53"/>
        <v>4.6475179260596633E-10</v>
      </c>
      <c r="L195" s="437">
        <f t="shared" si="48"/>
        <v>-2.2497842892690644E-10</v>
      </c>
      <c r="M195" s="437">
        <f t="shared" si="54"/>
        <v>1.1618794815149158E-10</v>
      </c>
    </row>
    <row r="196" spans="1:14" s="103" customFormat="1" ht="19.95" customHeight="1">
      <c r="A196" s="438">
        <f t="shared" si="49"/>
        <v>175</v>
      </c>
      <c r="B196" s="442">
        <f t="shared" si="50"/>
        <v>49491</v>
      </c>
      <c r="C196" s="431"/>
      <c r="D196" s="444"/>
      <c r="E196" s="433">
        <f t="shared" si="51"/>
        <v>0</v>
      </c>
      <c r="F196" s="433">
        <f t="shared" si="46"/>
        <v>-3.7496404821151072E-12</v>
      </c>
      <c r="G196" s="433">
        <f t="shared" si="47"/>
        <v>-9.0366335618974092E-10</v>
      </c>
      <c r="H196" s="441"/>
      <c r="I196" s="436">
        <f t="shared" si="52"/>
        <v>0</v>
      </c>
      <c r="J196" s="436">
        <f t="shared" si="55"/>
        <v>0</v>
      </c>
      <c r="K196" s="436">
        <f t="shared" si="53"/>
        <v>4.6475179260596633E-10</v>
      </c>
      <c r="L196" s="437">
        <f t="shared" si="48"/>
        <v>-2.2591583904743523E-10</v>
      </c>
      <c r="M196" s="437">
        <f t="shared" si="54"/>
        <v>1.1618794815149158E-10</v>
      </c>
      <c r="N196" s="568"/>
    </row>
    <row r="197" spans="1:14" ht="19.95" customHeight="1">
      <c r="A197" s="438">
        <f t="shared" si="49"/>
        <v>176</v>
      </c>
      <c r="B197" s="442">
        <f t="shared" si="50"/>
        <v>49522</v>
      </c>
      <c r="C197" s="431"/>
      <c r="D197" s="408"/>
      <c r="E197" s="433">
        <f t="shared" si="51"/>
        <v>0</v>
      </c>
      <c r="F197" s="433">
        <f t="shared" si="46"/>
        <v>-3.7652639841239208E-12</v>
      </c>
      <c r="G197" s="433">
        <f t="shared" si="47"/>
        <v>-9.0742862017386488E-10</v>
      </c>
      <c r="H197" s="441"/>
      <c r="I197" s="436">
        <f t="shared" si="52"/>
        <v>0</v>
      </c>
      <c r="J197" s="436">
        <f t="shared" si="55"/>
        <v>0</v>
      </c>
      <c r="K197" s="436">
        <f t="shared" si="53"/>
        <v>4.6475179260596633E-10</v>
      </c>
      <c r="L197" s="437">
        <f t="shared" si="48"/>
        <v>-2.2685715504346622E-10</v>
      </c>
      <c r="M197" s="437">
        <f t="shared" si="54"/>
        <v>1.1618794815149158E-10</v>
      </c>
    </row>
    <row r="198" spans="1:14" ht="19.95" customHeight="1">
      <c r="A198" s="438">
        <f t="shared" si="49"/>
        <v>177</v>
      </c>
      <c r="B198" s="442">
        <f t="shared" si="50"/>
        <v>49553</v>
      </c>
      <c r="C198" s="431"/>
      <c r="D198" s="408"/>
      <c r="E198" s="433">
        <f t="shared" si="51"/>
        <v>0</v>
      </c>
      <c r="F198" s="433">
        <f t="shared" si="46"/>
        <v>-3.7809525840577701E-12</v>
      </c>
      <c r="G198" s="433">
        <f t="shared" si="47"/>
        <v>-9.1120957275792268E-10</v>
      </c>
      <c r="H198" s="441"/>
      <c r="I198" s="436">
        <f t="shared" si="52"/>
        <v>0</v>
      </c>
      <c r="J198" s="436">
        <f t="shared" si="55"/>
        <v>0</v>
      </c>
      <c r="K198" s="436">
        <f t="shared" si="53"/>
        <v>4.6475179260596633E-10</v>
      </c>
      <c r="L198" s="437">
        <f t="shared" si="48"/>
        <v>-2.2780239318948067E-10</v>
      </c>
      <c r="M198" s="437">
        <f t="shared" si="54"/>
        <v>1.1618794815149158E-10</v>
      </c>
    </row>
    <row r="199" spans="1:14" ht="19.95" customHeight="1">
      <c r="A199" s="438">
        <f t="shared" si="49"/>
        <v>178</v>
      </c>
      <c r="B199" s="442">
        <f t="shared" si="50"/>
        <v>49583</v>
      </c>
      <c r="C199" s="431"/>
      <c r="D199" s="408"/>
      <c r="E199" s="433">
        <f t="shared" si="51"/>
        <v>0</v>
      </c>
      <c r="F199" s="433">
        <f t="shared" si="46"/>
        <v>-3.7967065531580111E-12</v>
      </c>
      <c r="G199" s="433">
        <f t="shared" si="47"/>
        <v>-9.1500627931108066E-10</v>
      </c>
      <c r="H199" s="441"/>
      <c r="I199" s="436">
        <f t="shared" si="52"/>
        <v>0</v>
      </c>
      <c r="J199" s="436">
        <f t="shared" si="55"/>
        <v>0</v>
      </c>
      <c r="K199" s="436">
        <f t="shared" si="53"/>
        <v>4.6475179260596633E-10</v>
      </c>
      <c r="L199" s="437">
        <f t="shared" si="48"/>
        <v>-2.2875156982777017E-10</v>
      </c>
      <c r="M199" s="437">
        <f t="shared" si="54"/>
        <v>1.1618794815149158E-10</v>
      </c>
    </row>
    <row r="200" spans="1:14" ht="19.95" customHeight="1">
      <c r="A200" s="438">
        <f t="shared" si="49"/>
        <v>179</v>
      </c>
      <c r="B200" s="442">
        <f t="shared" si="50"/>
        <v>49614</v>
      </c>
      <c r="C200" s="431"/>
      <c r="D200" s="408"/>
      <c r="E200" s="433">
        <f t="shared" si="51"/>
        <v>0</v>
      </c>
      <c r="F200" s="433">
        <f t="shared" si="46"/>
        <v>-3.8125261637961693E-12</v>
      </c>
      <c r="G200" s="433">
        <f t="shared" si="47"/>
        <v>-9.1881880547487683E-10</v>
      </c>
      <c r="H200" s="441"/>
      <c r="I200" s="436">
        <f t="shared" si="52"/>
        <v>0</v>
      </c>
      <c r="J200" s="436">
        <f t="shared" si="55"/>
        <v>0</v>
      </c>
      <c r="K200" s="436">
        <f t="shared" si="53"/>
        <v>4.6475179260596633E-10</v>
      </c>
      <c r="L200" s="437">
        <f t="shared" si="48"/>
        <v>-2.2970470136871921E-10</v>
      </c>
      <c r="M200" s="437">
        <f t="shared" si="54"/>
        <v>1.1618794815149158E-10</v>
      </c>
    </row>
    <row r="201" spans="1:14" ht="19.95" customHeight="1">
      <c r="A201" s="438">
        <f t="shared" si="49"/>
        <v>180</v>
      </c>
      <c r="B201" s="442">
        <f t="shared" si="50"/>
        <v>49644</v>
      </c>
      <c r="C201" s="431"/>
      <c r="D201" s="408"/>
      <c r="E201" s="433">
        <f t="shared" si="51"/>
        <v>0</v>
      </c>
      <c r="F201" s="433">
        <f t="shared" ref="F201:F264" si="56">$C$17/12*(G200-C201)</f>
        <v>-3.8284116894786532E-12</v>
      </c>
      <c r="G201" s="433">
        <f t="shared" ref="G201:G264" si="57">G200-C201+F201</f>
        <v>-9.2264721716435552E-10</v>
      </c>
      <c r="H201" s="441"/>
      <c r="I201" s="436">
        <f t="shared" si="52"/>
        <v>0</v>
      </c>
      <c r="J201" s="436">
        <f t="shared" si="55"/>
        <v>0</v>
      </c>
      <c r="K201" s="436">
        <f t="shared" si="53"/>
        <v>4.6475179260596633E-10</v>
      </c>
      <c r="L201" s="437">
        <f t="shared" si="48"/>
        <v>-2.3066180429108888E-10</v>
      </c>
      <c r="M201" s="437">
        <f t="shared" si="54"/>
        <v>1.1618794815149158E-10</v>
      </c>
    </row>
    <row r="202" spans="1:14" ht="19.95" customHeight="1">
      <c r="A202" s="438">
        <f t="shared" si="49"/>
        <v>181</v>
      </c>
      <c r="B202" s="442">
        <f t="shared" si="50"/>
        <v>49675</v>
      </c>
      <c r="C202" s="431"/>
      <c r="D202" s="408"/>
      <c r="E202" s="433">
        <f t="shared" si="51"/>
        <v>0</v>
      </c>
      <c r="F202" s="433">
        <f t="shared" si="56"/>
        <v>-3.8443634048514813E-12</v>
      </c>
      <c r="G202" s="433">
        <f t="shared" si="57"/>
        <v>-9.2649158056920705E-10</v>
      </c>
      <c r="H202" s="441"/>
      <c r="I202" s="436">
        <f t="shared" si="52"/>
        <v>0</v>
      </c>
      <c r="J202" s="436">
        <f t="shared" si="55"/>
        <v>0</v>
      </c>
      <c r="K202" s="436">
        <f t="shared" si="53"/>
        <v>4.6475179260596633E-10</v>
      </c>
      <c r="L202" s="437">
        <f t="shared" si="48"/>
        <v>-2.3162289514230176E-10</v>
      </c>
      <c r="M202" s="437">
        <f t="shared" si="54"/>
        <v>1.1618794815149158E-10</v>
      </c>
    </row>
    <row r="203" spans="1:14" ht="19.95" customHeight="1">
      <c r="A203" s="438">
        <f t="shared" si="49"/>
        <v>182</v>
      </c>
      <c r="B203" s="442">
        <f t="shared" si="50"/>
        <v>49706</v>
      </c>
      <c r="C203" s="431"/>
      <c r="D203" s="408"/>
      <c r="E203" s="433">
        <f t="shared" si="51"/>
        <v>0</v>
      </c>
      <c r="F203" s="433">
        <f t="shared" si="56"/>
        <v>-3.8603815857050296E-12</v>
      </c>
      <c r="G203" s="433">
        <f t="shared" si="57"/>
        <v>-9.3035196215491204E-10</v>
      </c>
      <c r="H203" s="441"/>
      <c r="I203" s="436">
        <f t="shared" si="52"/>
        <v>0</v>
      </c>
      <c r="J203" s="436">
        <f t="shared" si="55"/>
        <v>0</v>
      </c>
      <c r="K203" s="436">
        <f t="shared" si="53"/>
        <v>4.6475179260596633E-10</v>
      </c>
      <c r="L203" s="437">
        <f t="shared" si="48"/>
        <v>-2.3258799053872801E-10</v>
      </c>
      <c r="M203" s="437">
        <f t="shared" si="54"/>
        <v>1.1618794815149158E-10</v>
      </c>
    </row>
    <row r="204" spans="1:14" ht="19.95" customHeight="1">
      <c r="A204" s="438">
        <f t="shared" si="49"/>
        <v>183</v>
      </c>
      <c r="B204" s="442">
        <f t="shared" si="50"/>
        <v>49735</v>
      </c>
      <c r="C204" s="431"/>
      <c r="D204" s="408"/>
      <c r="E204" s="433">
        <f t="shared" si="51"/>
        <v>0</v>
      </c>
      <c r="F204" s="433">
        <f t="shared" si="56"/>
        <v>-3.8764665089788003E-12</v>
      </c>
      <c r="G204" s="433">
        <f t="shared" si="57"/>
        <v>-9.3422842866389075E-10</v>
      </c>
      <c r="H204" s="441"/>
      <c r="I204" s="436">
        <f t="shared" si="52"/>
        <v>0</v>
      </c>
      <c r="J204" s="436">
        <f t="shared" si="55"/>
        <v>0</v>
      </c>
      <c r="K204" s="436">
        <f t="shared" si="53"/>
        <v>4.6475179260596633E-10</v>
      </c>
      <c r="L204" s="437">
        <f t="shared" si="48"/>
        <v>-2.3355710716597269E-10</v>
      </c>
      <c r="M204" s="437">
        <f t="shared" si="54"/>
        <v>1.1618794815149158E-10</v>
      </c>
    </row>
    <row r="205" spans="1:14" ht="19.95" customHeight="1">
      <c r="A205" s="438">
        <f t="shared" si="49"/>
        <v>184</v>
      </c>
      <c r="B205" s="442">
        <f t="shared" si="50"/>
        <v>49766</v>
      </c>
      <c r="C205" s="431"/>
      <c r="D205" s="408"/>
      <c r="E205" s="433">
        <f t="shared" si="51"/>
        <v>0</v>
      </c>
      <c r="F205" s="433">
        <f t="shared" si="56"/>
        <v>-3.8926184527662115E-12</v>
      </c>
      <c r="G205" s="433">
        <f t="shared" si="57"/>
        <v>-9.3812104711665703E-10</v>
      </c>
      <c r="H205" s="441"/>
      <c r="I205" s="436">
        <f t="shared" si="52"/>
        <v>0</v>
      </c>
      <c r="J205" s="436">
        <f t="shared" si="55"/>
        <v>0</v>
      </c>
      <c r="K205" s="436">
        <f t="shared" si="53"/>
        <v>4.6475179260596633E-10</v>
      </c>
      <c r="L205" s="437">
        <f t="shared" si="48"/>
        <v>-2.3453026177916426E-10</v>
      </c>
      <c r="M205" s="437">
        <f t="shared" si="54"/>
        <v>1.1618794815149158E-10</v>
      </c>
    </row>
    <row r="206" spans="1:14" ht="19.95" customHeight="1">
      <c r="A206" s="438">
        <f t="shared" si="49"/>
        <v>185</v>
      </c>
      <c r="B206" s="442">
        <f t="shared" si="50"/>
        <v>49796</v>
      </c>
      <c r="C206" s="431"/>
      <c r="D206" s="408"/>
      <c r="E206" s="433">
        <f t="shared" si="51"/>
        <v>0</v>
      </c>
      <c r="F206" s="433">
        <f t="shared" si="56"/>
        <v>-3.9088376963194045E-12</v>
      </c>
      <c r="G206" s="433">
        <f t="shared" si="57"/>
        <v>-9.4202988481297644E-10</v>
      </c>
      <c r="H206" s="441"/>
      <c r="I206" s="436">
        <f t="shared" si="52"/>
        <v>0</v>
      </c>
      <c r="J206" s="436">
        <f t="shared" si="55"/>
        <v>0</v>
      </c>
      <c r="K206" s="436">
        <f t="shared" si="53"/>
        <v>4.6475179260596633E-10</v>
      </c>
      <c r="L206" s="437">
        <f t="shared" si="48"/>
        <v>-2.3550747120324411E-10</v>
      </c>
      <c r="M206" s="437">
        <f t="shared" si="54"/>
        <v>1.1618794815149158E-10</v>
      </c>
    </row>
    <row r="207" spans="1:14" ht="19.95" customHeight="1">
      <c r="A207" s="438">
        <f t="shared" si="49"/>
        <v>186</v>
      </c>
      <c r="B207" s="442">
        <f t="shared" si="50"/>
        <v>49827</v>
      </c>
      <c r="C207" s="431"/>
      <c r="D207" s="408"/>
      <c r="E207" s="433">
        <f t="shared" si="51"/>
        <v>0</v>
      </c>
      <c r="F207" s="433">
        <f t="shared" si="56"/>
        <v>-3.9251245200540685E-12</v>
      </c>
      <c r="G207" s="433">
        <f t="shared" si="57"/>
        <v>-9.4595500933303043E-10</v>
      </c>
      <c r="H207" s="441"/>
      <c r="I207" s="436">
        <f t="shared" si="52"/>
        <v>0</v>
      </c>
      <c r="J207" s="436">
        <f t="shared" si="55"/>
        <v>0</v>
      </c>
      <c r="K207" s="436">
        <f t="shared" si="53"/>
        <v>4.6475179260596633E-10</v>
      </c>
      <c r="L207" s="437">
        <f t="shared" si="48"/>
        <v>-2.3648875233325761E-10</v>
      </c>
      <c r="M207" s="437">
        <f t="shared" si="54"/>
        <v>1.1618794815149158E-10</v>
      </c>
    </row>
    <row r="208" spans="1:14" ht="19.95" customHeight="1">
      <c r="A208" s="438">
        <f t="shared" si="49"/>
        <v>187</v>
      </c>
      <c r="B208" s="442">
        <f t="shared" si="50"/>
        <v>49857</v>
      </c>
      <c r="C208" s="431"/>
      <c r="D208" s="408"/>
      <c r="E208" s="433">
        <f t="shared" si="51"/>
        <v>0</v>
      </c>
      <c r="F208" s="433">
        <f t="shared" si="56"/>
        <v>-3.9414792055542931E-12</v>
      </c>
      <c r="G208" s="433">
        <f t="shared" si="57"/>
        <v>-9.4989648853858473E-10</v>
      </c>
      <c r="H208" s="441"/>
      <c r="I208" s="436">
        <f t="shared" si="52"/>
        <v>0</v>
      </c>
      <c r="J208" s="436">
        <f t="shared" si="55"/>
        <v>0</v>
      </c>
      <c r="K208" s="436">
        <f t="shared" si="53"/>
        <v>4.6475179260596633E-10</v>
      </c>
      <c r="L208" s="437">
        <f t="shared" si="48"/>
        <v>-2.3747412213464618E-10</v>
      </c>
      <c r="M208" s="437">
        <f t="shared" si="54"/>
        <v>1.1618794815149158E-10</v>
      </c>
    </row>
    <row r="209" spans="1:13" ht="19.95" customHeight="1">
      <c r="A209" s="438">
        <f t="shared" si="49"/>
        <v>188</v>
      </c>
      <c r="B209" s="442">
        <f t="shared" si="50"/>
        <v>49888</v>
      </c>
      <c r="C209" s="431"/>
      <c r="D209" s="408"/>
      <c r="E209" s="433">
        <f t="shared" si="51"/>
        <v>0</v>
      </c>
      <c r="F209" s="433">
        <f t="shared" si="56"/>
        <v>-3.9579020355774363E-12</v>
      </c>
      <c r="G209" s="433">
        <f t="shared" si="57"/>
        <v>-9.5385439057416207E-10</v>
      </c>
      <c r="H209" s="441"/>
      <c r="I209" s="436">
        <f t="shared" si="52"/>
        <v>0</v>
      </c>
      <c r="J209" s="436">
        <f t="shared" si="55"/>
        <v>0</v>
      </c>
      <c r="K209" s="436">
        <f t="shared" si="53"/>
        <v>4.6475179260596633E-10</v>
      </c>
      <c r="L209" s="437">
        <f t="shared" si="48"/>
        <v>-2.3846359764354052E-10</v>
      </c>
      <c r="M209" s="437">
        <f t="shared" si="54"/>
        <v>1.1618794815149158E-10</v>
      </c>
    </row>
    <row r="210" spans="1:13" ht="19.95" customHeight="1">
      <c r="A210" s="438">
        <f t="shared" si="49"/>
        <v>189</v>
      </c>
      <c r="B210" s="442">
        <f t="shared" si="50"/>
        <v>49919</v>
      </c>
      <c r="C210" s="431"/>
      <c r="D210" s="408"/>
      <c r="E210" s="433">
        <f t="shared" si="51"/>
        <v>0</v>
      </c>
      <c r="F210" s="433">
        <f t="shared" si="56"/>
        <v>-3.9743932940590086E-12</v>
      </c>
      <c r="G210" s="433">
        <f t="shared" si="57"/>
        <v>-9.5782878386822114E-10</v>
      </c>
      <c r="H210" s="441"/>
      <c r="I210" s="436">
        <f t="shared" si="52"/>
        <v>0</v>
      </c>
      <c r="J210" s="436">
        <f t="shared" si="55"/>
        <v>0</v>
      </c>
      <c r="K210" s="436">
        <f t="shared" si="53"/>
        <v>4.6475179260596633E-10</v>
      </c>
      <c r="L210" s="437">
        <f t="shared" si="48"/>
        <v>-2.3945719596705529E-10</v>
      </c>
      <c r="M210" s="437">
        <f t="shared" si="54"/>
        <v>1.1618794815149158E-10</v>
      </c>
    </row>
    <row r="211" spans="1:13" ht="19.95" customHeight="1">
      <c r="A211" s="438">
        <f t="shared" si="49"/>
        <v>190</v>
      </c>
      <c r="B211" s="442">
        <f t="shared" si="50"/>
        <v>49949</v>
      </c>
      <c r="C211" s="431"/>
      <c r="D211" s="408"/>
      <c r="E211" s="433">
        <f t="shared" si="51"/>
        <v>0</v>
      </c>
      <c r="F211" s="433">
        <f t="shared" si="56"/>
        <v>-3.9909532661175883E-12</v>
      </c>
      <c r="G211" s="433">
        <f t="shared" si="57"/>
        <v>-9.6181973713433883E-10</v>
      </c>
      <c r="H211" s="441"/>
      <c r="I211" s="436">
        <f t="shared" si="52"/>
        <v>0</v>
      </c>
      <c r="J211" s="436">
        <f t="shared" si="55"/>
        <v>0</v>
      </c>
      <c r="K211" s="436">
        <f t="shared" si="53"/>
        <v>4.6475179260596633E-10</v>
      </c>
      <c r="L211" s="437">
        <f t="shared" si="48"/>
        <v>-2.4045493428358471E-10</v>
      </c>
      <c r="M211" s="437">
        <f t="shared" si="54"/>
        <v>1.1618794815149158E-10</v>
      </c>
    </row>
    <row r="212" spans="1:13" ht="19.95" customHeight="1">
      <c r="A212" s="438">
        <f t="shared" si="49"/>
        <v>191</v>
      </c>
      <c r="B212" s="442">
        <f t="shared" si="50"/>
        <v>49980</v>
      </c>
      <c r="C212" s="431"/>
      <c r="D212" s="408"/>
      <c r="E212" s="433">
        <f t="shared" si="51"/>
        <v>0</v>
      </c>
      <c r="F212" s="433">
        <f t="shared" si="56"/>
        <v>-4.0075822380597451E-12</v>
      </c>
      <c r="G212" s="433">
        <f t="shared" si="57"/>
        <v>-9.6582731937239865E-10</v>
      </c>
      <c r="H212" s="441"/>
      <c r="I212" s="436">
        <f t="shared" si="52"/>
        <v>0</v>
      </c>
      <c r="J212" s="436">
        <f t="shared" si="55"/>
        <v>0</v>
      </c>
      <c r="K212" s="436">
        <f t="shared" si="53"/>
        <v>4.6475179260596633E-10</v>
      </c>
      <c r="L212" s="437">
        <f t="shared" si="48"/>
        <v>-2.4145682984309966E-10</v>
      </c>
      <c r="M212" s="437">
        <f t="shared" si="54"/>
        <v>1.1618794815149158E-10</v>
      </c>
    </row>
    <row r="213" spans="1:13" ht="19.95" customHeight="1">
      <c r="A213" s="438">
        <f t="shared" si="49"/>
        <v>192</v>
      </c>
      <c r="B213" s="442">
        <f t="shared" si="50"/>
        <v>50010</v>
      </c>
      <c r="C213" s="431"/>
      <c r="D213" s="408"/>
      <c r="E213" s="433">
        <f t="shared" si="51"/>
        <v>0</v>
      </c>
      <c r="F213" s="433">
        <f t="shared" si="56"/>
        <v>-4.0242804973849947E-12</v>
      </c>
      <c r="G213" s="433">
        <f t="shared" si="57"/>
        <v>-9.6985159986978358E-10</v>
      </c>
      <c r="H213" s="441"/>
      <c r="I213" s="436">
        <f t="shared" si="52"/>
        <v>0</v>
      </c>
      <c r="J213" s="436">
        <f t="shared" si="55"/>
        <v>0</v>
      </c>
      <c r="K213" s="436">
        <f t="shared" si="53"/>
        <v>4.6475179260596633E-10</v>
      </c>
      <c r="L213" s="437">
        <f t="shared" si="48"/>
        <v>-2.424628999674459E-10</v>
      </c>
      <c r="M213" s="437">
        <f t="shared" si="54"/>
        <v>1.1618794815149158E-10</v>
      </c>
    </row>
    <row r="214" spans="1:13" ht="19.95" customHeight="1">
      <c r="A214" s="438">
        <f t="shared" si="49"/>
        <v>193</v>
      </c>
      <c r="B214" s="442">
        <f t="shared" si="50"/>
        <v>50041</v>
      </c>
      <c r="C214" s="431"/>
      <c r="D214" s="408"/>
      <c r="E214" s="433">
        <f t="shared" si="51"/>
        <v>0</v>
      </c>
      <c r="F214" s="433">
        <f t="shared" si="56"/>
        <v>-4.0410483327907649E-12</v>
      </c>
      <c r="G214" s="433">
        <f t="shared" si="57"/>
        <v>-9.7389264820257443E-10</v>
      </c>
      <c r="H214" s="441"/>
      <c r="I214" s="436">
        <f t="shared" si="52"/>
        <v>0</v>
      </c>
      <c r="J214" s="436">
        <f t="shared" si="55"/>
        <v>0</v>
      </c>
      <c r="K214" s="436">
        <f t="shared" si="53"/>
        <v>4.6475179260596633E-10</v>
      </c>
      <c r="L214" s="437">
        <f t="shared" ref="L214:L277" si="58">G214*$C$19</f>
        <v>-2.4347316205064361E-10</v>
      </c>
      <c r="M214" s="437">
        <f t="shared" si="54"/>
        <v>1.1618794815149158E-10</v>
      </c>
    </row>
    <row r="215" spans="1:13" ht="19.95" customHeight="1">
      <c r="A215" s="438">
        <f t="shared" ref="A215:A278" si="59">A214+1</f>
        <v>194</v>
      </c>
      <c r="B215" s="442">
        <f t="shared" ref="B215:B278" si="60">EDATE(B214,1)</f>
        <v>50072</v>
      </c>
      <c r="C215" s="431"/>
      <c r="D215" s="408"/>
      <c r="E215" s="433">
        <f t="shared" ref="E215:E278" si="61">(D215+C215)/(POWER((1+$C$17/12),A215-1))</f>
        <v>0</v>
      </c>
      <c r="F215" s="433">
        <f t="shared" si="56"/>
        <v>-4.0578860341773931E-12</v>
      </c>
      <c r="G215" s="433">
        <f t="shared" si="57"/>
        <v>-9.7795053423675189E-10</v>
      </c>
      <c r="H215" s="441"/>
      <c r="I215" s="436">
        <f t="shared" ref="I215:I278" si="62">IF(($A215-1)&gt;$C$18,0,($E$349+$H$349)/($C$18))</f>
        <v>0</v>
      </c>
      <c r="J215" s="436">
        <f t="shared" si="55"/>
        <v>0</v>
      </c>
      <c r="K215" s="436">
        <f t="shared" ref="K215:K278" si="63">K214-I215</f>
        <v>4.6475179260596633E-10</v>
      </c>
      <c r="L215" s="437">
        <f t="shared" si="58"/>
        <v>-2.4448763355918797E-10</v>
      </c>
      <c r="M215" s="437">
        <f t="shared" ref="M215:M278" si="64">K215*$C$19</f>
        <v>1.1618794815149158E-10</v>
      </c>
    </row>
    <row r="216" spans="1:13" ht="19.95" customHeight="1">
      <c r="A216" s="438">
        <f t="shared" si="59"/>
        <v>195</v>
      </c>
      <c r="B216" s="442">
        <f t="shared" si="60"/>
        <v>50100</v>
      </c>
      <c r="C216" s="431"/>
      <c r="D216" s="408"/>
      <c r="E216" s="433">
        <f t="shared" si="61"/>
        <v>0</v>
      </c>
      <c r="F216" s="433">
        <f t="shared" si="56"/>
        <v>-4.0747938926531329E-12</v>
      </c>
      <c r="G216" s="433">
        <f t="shared" si="57"/>
        <v>-9.8202532812940492E-10</v>
      </c>
      <c r="H216" s="441"/>
      <c r="I216" s="436">
        <f t="shared" si="62"/>
        <v>0</v>
      </c>
      <c r="J216" s="436">
        <f t="shared" si="55"/>
        <v>0</v>
      </c>
      <c r="K216" s="436">
        <f t="shared" si="63"/>
        <v>4.6475179260596633E-10</v>
      </c>
      <c r="L216" s="437">
        <f t="shared" si="58"/>
        <v>-2.4550633203235123E-10</v>
      </c>
      <c r="M216" s="437">
        <f t="shared" si="64"/>
        <v>1.1618794815149158E-10</v>
      </c>
    </row>
    <row r="217" spans="1:13" ht="19.95" customHeight="1">
      <c r="A217" s="438">
        <f t="shared" si="59"/>
        <v>196</v>
      </c>
      <c r="B217" s="442">
        <f t="shared" si="60"/>
        <v>50131</v>
      </c>
      <c r="C217" s="431"/>
      <c r="D217" s="408"/>
      <c r="E217" s="433">
        <f t="shared" si="61"/>
        <v>0</v>
      </c>
      <c r="F217" s="433">
        <f t="shared" si="56"/>
        <v>-4.091772200539187E-12</v>
      </c>
      <c r="G217" s="433">
        <f t="shared" si="57"/>
        <v>-9.8611710032994416E-10</v>
      </c>
      <c r="H217" s="441"/>
      <c r="I217" s="436">
        <f t="shared" si="62"/>
        <v>0</v>
      </c>
      <c r="J217" s="436">
        <f t="shared" ref="J217:J280" si="65">IF(I217=0,0,J216+I217)</f>
        <v>0</v>
      </c>
      <c r="K217" s="436">
        <f t="shared" si="63"/>
        <v>4.6475179260596633E-10</v>
      </c>
      <c r="L217" s="437">
        <f t="shared" si="58"/>
        <v>-2.4652927508248604E-10</v>
      </c>
      <c r="M217" s="437">
        <f t="shared" si="64"/>
        <v>1.1618794815149158E-10</v>
      </c>
    </row>
    <row r="218" spans="1:13" ht="19.95" customHeight="1">
      <c r="A218" s="438">
        <f t="shared" si="59"/>
        <v>197</v>
      </c>
      <c r="B218" s="442">
        <f t="shared" si="60"/>
        <v>50161</v>
      </c>
      <c r="C218" s="431"/>
      <c r="D218" s="408"/>
      <c r="E218" s="433">
        <f t="shared" si="61"/>
        <v>0</v>
      </c>
      <c r="F218" s="433">
        <f t="shared" si="56"/>
        <v>-4.1088212513747675E-12</v>
      </c>
      <c r="G218" s="433">
        <f t="shared" si="57"/>
        <v>-9.9022592158131893E-10</v>
      </c>
      <c r="H218" s="441"/>
      <c r="I218" s="436">
        <f t="shared" si="62"/>
        <v>0</v>
      </c>
      <c r="J218" s="436">
        <f t="shared" si="65"/>
        <v>0</v>
      </c>
      <c r="K218" s="436">
        <f t="shared" si="63"/>
        <v>4.6475179260596633E-10</v>
      </c>
      <c r="L218" s="437">
        <f t="shared" si="58"/>
        <v>-2.4755648039532973E-10</v>
      </c>
      <c r="M218" s="437">
        <f t="shared" si="64"/>
        <v>1.1618794815149158E-10</v>
      </c>
    </row>
    <row r="219" spans="1:13" ht="19.95" customHeight="1">
      <c r="A219" s="438">
        <f t="shared" si="59"/>
        <v>198</v>
      </c>
      <c r="B219" s="442">
        <f t="shared" si="60"/>
        <v>50192</v>
      </c>
      <c r="C219" s="431"/>
      <c r="D219" s="408"/>
      <c r="E219" s="433">
        <f t="shared" si="61"/>
        <v>0</v>
      </c>
      <c r="F219" s="433">
        <f t="shared" si="56"/>
        <v>-4.1259413399221622E-12</v>
      </c>
      <c r="G219" s="433">
        <f t="shared" si="57"/>
        <v>-9.9435186292124106E-10</v>
      </c>
      <c r="H219" s="441"/>
      <c r="I219" s="436">
        <f t="shared" si="62"/>
        <v>0</v>
      </c>
      <c r="J219" s="436">
        <f t="shared" si="65"/>
        <v>0</v>
      </c>
      <c r="K219" s="436">
        <f t="shared" si="63"/>
        <v>4.6475179260596633E-10</v>
      </c>
      <c r="L219" s="437">
        <f t="shared" si="58"/>
        <v>-2.4858796573031027E-10</v>
      </c>
      <c r="M219" s="437">
        <f t="shared" si="64"/>
        <v>1.1618794815149158E-10</v>
      </c>
    </row>
    <row r="220" spans="1:13" ht="19.95" customHeight="1">
      <c r="A220" s="438">
        <f t="shared" si="59"/>
        <v>199</v>
      </c>
      <c r="B220" s="442">
        <f t="shared" si="60"/>
        <v>50222</v>
      </c>
      <c r="C220" s="431"/>
      <c r="D220" s="408"/>
      <c r="E220" s="433">
        <f t="shared" si="61"/>
        <v>0</v>
      </c>
      <c r="F220" s="433">
        <f t="shared" si="56"/>
        <v>-4.1431327621718378E-12</v>
      </c>
      <c r="G220" s="433">
        <f t="shared" si="57"/>
        <v>-9.9849499568341285E-10</v>
      </c>
      <c r="H220" s="441"/>
      <c r="I220" s="436">
        <f t="shared" si="62"/>
        <v>0</v>
      </c>
      <c r="J220" s="436">
        <f t="shared" si="65"/>
        <v>0</v>
      </c>
      <c r="K220" s="436">
        <f t="shared" si="63"/>
        <v>4.6475179260596633E-10</v>
      </c>
      <c r="L220" s="437">
        <f t="shared" si="58"/>
        <v>-2.4962374892085321E-10</v>
      </c>
      <c r="M220" s="437">
        <f t="shared" si="64"/>
        <v>1.1618794815149158E-10</v>
      </c>
    </row>
    <row r="221" spans="1:13" ht="19.95" customHeight="1">
      <c r="A221" s="438">
        <f t="shared" si="59"/>
        <v>200</v>
      </c>
      <c r="B221" s="442">
        <f t="shared" si="60"/>
        <v>50253</v>
      </c>
      <c r="C221" s="431"/>
      <c r="D221" s="408"/>
      <c r="E221" s="433">
        <f t="shared" si="61"/>
        <v>0</v>
      </c>
      <c r="F221" s="433">
        <f t="shared" si="56"/>
        <v>-4.1603958153475534E-12</v>
      </c>
      <c r="G221" s="433">
        <f t="shared" si="57"/>
        <v>-1.0026553914987604E-9</v>
      </c>
      <c r="H221" s="441"/>
      <c r="I221" s="436">
        <f t="shared" si="62"/>
        <v>0</v>
      </c>
      <c r="J221" s="436">
        <f t="shared" si="65"/>
        <v>0</v>
      </c>
      <c r="K221" s="436">
        <f t="shared" si="63"/>
        <v>4.6475179260596633E-10</v>
      </c>
      <c r="L221" s="437">
        <f t="shared" si="58"/>
        <v>-2.5066384787469009E-10</v>
      </c>
      <c r="M221" s="437">
        <f t="shared" si="64"/>
        <v>1.1618794815149158E-10</v>
      </c>
    </row>
    <row r="222" spans="1:13" ht="19.95" customHeight="1">
      <c r="A222" s="438">
        <f t="shared" si="59"/>
        <v>201</v>
      </c>
      <c r="B222" s="442">
        <f t="shared" si="60"/>
        <v>50284</v>
      </c>
      <c r="C222" s="431"/>
      <c r="D222" s="408"/>
      <c r="E222" s="433">
        <f t="shared" si="61"/>
        <v>0</v>
      </c>
      <c r="F222" s="433">
        <f t="shared" si="56"/>
        <v>-4.1777307979115013E-12</v>
      </c>
      <c r="G222" s="433">
        <f t="shared" si="57"/>
        <v>-1.0068331222966719E-9</v>
      </c>
      <c r="H222" s="441"/>
      <c r="I222" s="436">
        <f t="shared" si="62"/>
        <v>0</v>
      </c>
      <c r="J222" s="436">
        <f t="shared" si="65"/>
        <v>0</v>
      </c>
      <c r="K222" s="436">
        <f t="shared" si="63"/>
        <v>4.6475179260596633E-10</v>
      </c>
      <c r="L222" s="437">
        <f t="shared" si="58"/>
        <v>-2.5170828057416798E-10</v>
      </c>
      <c r="M222" s="437">
        <f t="shared" si="64"/>
        <v>1.1618794815149158E-10</v>
      </c>
    </row>
    <row r="223" spans="1:13" ht="19.95" customHeight="1">
      <c r="A223" s="438">
        <f t="shared" si="59"/>
        <v>202</v>
      </c>
      <c r="B223" s="442">
        <f t="shared" si="60"/>
        <v>50314</v>
      </c>
      <c r="C223" s="431"/>
      <c r="D223" s="408"/>
      <c r="E223" s="433">
        <f t="shared" si="61"/>
        <v>0</v>
      </c>
      <c r="F223" s="433">
        <f t="shared" si="56"/>
        <v>-4.1951380095694662E-12</v>
      </c>
      <c r="G223" s="433">
        <f t="shared" si="57"/>
        <v>-1.0110282603062414E-9</v>
      </c>
      <c r="H223" s="441"/>
      <c r="I223" s="436">
        <f t="shared" si="62"/>
        <v>0</v>
      </c>
      <c r="J223" s="436">
        <f t="shared" si="65"/>
        <v>0</v>
      </c>
      <c r="K223" s="436">
        <f t="shared" si="63"/>
        <v>4.6475179260596633E-10</v>
      </c>
      <c r="L223" s="437">
        <f t="shared" si="58"/>
        <v>-2.5275706507656034E-10</v>
      </c>
      <c r="M223" s="437">
        <f t="shared" si="64"/>
        <v>1.1618794815149158E-10</v>
      </c>
    </row>
    <row r="224" spans="1:13" ht="19.95" customHeight="1">
      <c r="A224" s="438">
        <f t="shared" si="59"/>
        <v>203</v>
      </c>
      <c r="B224" s="442">
        <f t="shared" si="60"/>
        <v>50345</v>
      </c>
      <c r="C224" s="431"/>
      <c r="D224" s="408"/>
      <c r="E224" s="433">
        <f t="shared" si="61"/>
        <v>0</v>
      </c>
      <c r="F224" s="433">
        <f t="shared" si="56"/>
        <v>-4.2126177512760059E-12</v>
      </c>
      <c r="G224" s="433">
        <f t="shared" si="57"/>
        <v>-1.0152408780575174E-9</v>
      </c>
      <c r="H224" s="441"/>
      <c r="I224" s="436">
        <f t="shared" si="62"/>
        <v>0</v>
      </c>
      <c r="J224" s="436">
        <f t="shared" si="65"/>
        <v>0</v>
      </c>
      <c r="K224" s="436">
        <f t="shared" si="63"/>
        <v>4.6475179260596633E-10</v>
      </c>
      <c r="L224" s="437">
        <f t="shared" si="58"/>
        <v>-2.5381021951437935E-10</v>
      </c>
      <c r="M224" s="437">
        <f t="shared" si="64"/>
        <v>1.1618794815149158E-10</v>
      </c>
    </row>
    <row r="225" spans="1:13" ht="19.95" customHeight="1">
      <c r="A225" s="438">
        <f t="shared" si="59"/>
        <v>204</v>
      </c>
      <c r="B225" s="442">
        <f t="shared" si="60"/>
        <v>50375</v>
      </c>
      <c r="C225" s="431"/>
      <c r="D225" s="408"/>
      <c r="E225" s="433">
        <f t="shared" si="61"/>
        <v>0</v>
      </c>
      <c r="F225" s="433">
        <f t="shared" si="56"/>
        <v>-4.2301703252396555E-12</v>
      </c>
      <c r="G225" s="433">
        <f t="shared" si="57"/>
        <v>-1.019471048382757E-9</v>
      </c>
      <c r="H225" s="441"/>
      <c r="I225" s="436">
        <f t="shared" si="62"/>
        <v>0</v>
      </c>
      <c r="J225" s="436">
        <f t="shared" si="65"/>
        <v>0</v>
      </c>
      <c r="K225" s="436">
        <f t="shared" si="63"/>
        <v>4.6475179260596633E-10</v>
      </c>
      <c r="L225" s="437">
        <f t="shared" si="58"/>
        <v>-2.5486776209568924E-10</v>
      </c>
      <c r="M225" s="437">
        <f t="shared" si="64"/>
        <v>1.1618794815149158E-10</v>
      </c>
    </row>
    <row r="226" spans="1:13" ht="19.95" customHeight="1">
      <c r="A226" s="438">
        <f t="shared" si="59"/>
        <v>205</v>
      </c>
      <c r="B226" s="442">
        <f t="shared" si="60"/>
        <v>50406</v>
      </c>
      <c r="C226" s="431"/>
      <c r="D226" s="408"/>
      <c r="E226" s="433">
        <f t="shared" si="61"/>
        <v>0</v>
      </c>
      <c r="F226" s="433">
        <f t="shared" si="56"/>
        <v>-4.2477960349281544E-12</v>
      </c>
      <c r="G226" s="433">
        <f t="shared" si="57"/>
        <v>-1.0237188444176851E-9</v>
      </c>
      <c r="H226" s="441"/>
      <c r="I226" s="436">
        <f t="shared" si="62"/>
        <v>0</v>
      </c>
      <c r="J226" s="436">
        <f t="shared" si="65"/>
        <v>0</v>
      </c>
      <c r="K226" s="436">
        <f t="shared" si="63"/>
        <v>4.6475179260596633E-10</v>
      </c>
      <c r="L226" s="437">
        <f t="shared" si="58"/>
        <v>-2.5592971110442127E-10</v>
      </c>
      <c r="M226" s="437">
        <f t="shared" si="64"/>
        <v>1.1618794815149158E-10</v>
      </c>
    </row>
    <row r="227" spans="1:13" ht="19.95" customHeight="1">
      <c r="A227" s="438">
        <f t="shared" si="59"/>
        <v>206</v>
      </c>
      <c r="B227" s="442">
        <f t="shared" si="60"/>
        <v>50437</v>
      </c>
      <c r="C227" s="431"/>
      <c r="D227" s="408"/>
      <c r="E227" s="433">
        <f t="shared" si="61"/>
        <v>0</v>
      </c>
      <c r="F227" s="433">
        <f t="shared" si="56"/>
        <v>-4.2654951850736882E-12</v>
      </c>
      <c r="G227" s="433">
        <f t="shared" si="57"/>
        <v>-1.0279843396027588E-9</v>
      </c>
      <c r="H227" s="441"/>
      <c r="I227" s="436">
        <f t="shared" si="62"/>
        <v>0</v>
      </c>
      <c r="J227" s="436">
        <f t="shared" si="65"/>
        <v>0</v>
      </c>
      <c r="K227" s="436">
        <f t="shared" si="63"/>
        <v>4.6475179260596633E-10</v>
      </c>
      <c r="L227" s="437">
        <f t="shared" si="58"/>
        <v>-2.569960849006897E-10</v>
      </c>
      <c r="M227" s="437">
        <f t="shared" si="64"/>
        <v>1.1618794815149158E-10</v>
      </c>
    </row>
    <row r="228" spans="1:13" ht="19.95" customHeight="1">
      <c r="A228" s="438">
        <f t="shared" si="59"/>
        <v>207</v>
      </c>
      <c r="B228" s="442">
        <f t="shared" si="60"/>
        <v>50465</v>
      </c>
      <c r="C228" s="431"/>
      <c r="D228" s="408"/>
      <c r="E228" s="433">
        <f t="shared" si="61"/>
        <v>0</v>
      </c>
      <c r="F228" s="433">
        <f t="shared" si="56"/>
        <v>-4.2832680816781618E-12</v>
      </c>
      <c r="G228" s="433">
        <f t="shared" si="57"/>
        <v>-1.032267607684437E-9</v>
      </c>
      <c r="H228" s="441"/>
      <c r="I228" s="436">
        <f t="shared" si="62"/>
        <v>0</v>
      </c>
      <c r="J228" s="436">
        <f t="shared" si="65"/>
        <v>0</v>
      </c>
      <c r="K228" s="436">
        <f t="shared" si="63"/>
        <v>4.6475179260596633E-10</v>
      </c>
      <c r="L228" s="437">
        <f t="shared" si="58"/>
        <v>-2.5806690192110925E-10</v>
      </c>
      <c r="M228" s="437">
        <f t="shared" si="64"/>
        <v>1.1618794815149158E-10</v>
      </c>
    </row>
    <row r="229" spans="1:13" ht="19.95" customHeight="1">
      <c r="A229" s="438">
        <f t="shared" si="59"/>
        <v>208</v>
      </c>
      <c r="B229" s="442">
        <f t="shared" si="60"/>
        <v>50496</v>
      </c>
      <c r="C229" s="431"/>
      <c r="D229" s="408"/>
      <c r="E229" s="433">
        <f t="shared" si="61"/>
        <v>0</v>
      </c>
      <c r="F229" s="433">
        <f t="shared" si="56"/>
        <v>-4.3011150320184875E-12</v>
      </c>
      <c r="G229" s="433">
        <f t="shared" si="57"/>
        <v>-1.0365687227164555E-9</v>
      </c>
      <c r="H229" s="441"/>
      <c r="I229" s="436">
        <f t="shared" si="62"/>
        <v>0</v>
      </c>
      <c r="J229" s="436">
        <f t="shared" si="65"/>
        <v>0</v>
      </c>
      <c r="K229" s="436">
        <f t="shared" si="63"/>
        <v>4.6475179260596633E-10</v>
      </c>
      <c r="L229" s="437">
        <f t="shared" si="58"/>
        <v>-2.5914218067911388E-10</v>
      </c>
      <c r="M229" s="437">
        <f t="shared" si="64"/>
        <v>1.1618794815149158E-10</v>
      </c>
    </row>
    <row r="230" spans="1:13" ht="19.95" customHeight="1">
      <c r="A230" s="438">
        <f t="shared" si="59"/>
        <v>209</v>
      </c>
      <c r="B230" s="442">
        <f t="shared" si="60"/>
        <v>50526</v>
      </c>
      <c r="C230" s="431"/>
      <c r="D230" s="408"/>
      <c r="E230" s="433">
        <f t="shared" si="61"/>
        <v>0</v>
      </c>
      <c r="F230" s="433">
        <f t="shared" si="56"/>
        <v>-4.3190363446518981E-12</v>
      </c>
      <c r="G230" s="433">
        <f t="shared" si="57"/>
        <v>-1.0408877590611075E-9</v>
      </c>
      <c r="H230" s="441"/>
      <c r="I230" s="436">
        <f t="shared" si="62"/>
        <v>0</v>
      </c>
      <c r="J230" s="436">
        <f t="shared" si="65"/>
        <v>0</v>
      </c>
      <c r="K230" s="436">
        <f t="shared" si="63"/>
        <v>4.6475179260596633E-10</v>
      </c>
      <c r="L230" s="437">
        <f t="shared" si="58"/>
        <v>-2.6022193976527687E-10</v>
      </c>
      <c r="M230" s="437">
        <f t="shared" si="64"/>
        <v>1.1618794815149158E-10</v>
      </c>
    </row>
    <row r="231" spans="1:13" ht="19.95" customHeight="1">
      <c r="A231" s="438">
        <f t="shared" si="59"/>
        <v>210</v>
      </c>
      <c r="B231" s="442">
        <f t="shared" si="60"/>
        <v>50557</v>
      </c>
      <c r="C231" s="431"/>
      <c r="D231" s="408"/>
      <c r="E231" s="433">
        <f t="shared" si="61"/>
        <v>0</v>
      </c>
      <c r="F231" s="433">
        <f t="shared" si="56"/>
        <v>-4.3370323294212811E-12</v>
      </c>
      <c r="G231" s="433">
        <f t="shared" si="57"/>
        <v>-1.0452247913905287E-9</v>
      </c>
      <c r="H231" s="441"/>
      <c r="I231" s="436">
        <f t="shared" si="62"/>
        <v>0</v>
      </c>
      <c r="J231" s="436">
        <f t="shared" si="65"/>
        <v>0</v>
      </c>
      <c r="K231" s="436">
        <f t="shared" si="63"/>
        <v>4.6475179260596633E-10</v>
      </c>
      <c r="L231" s="437">
        <f t="shared" si="58"/>
        <v>-2.6130619784763218E-10</v>
      </c>
      <c r="M231" s="437">
        <f t="shared" si="64"/>
        <v>1.1618794815149158E-10</v>
      </c>
    </row>
    <row r="232" spans="1:13" ht="19.95" customHeight="1">
      <c r="A232" s="438">
        <f t="shared" si="59"/>
        <v>211</v>
      </c>
      <c r="B232" s="442">
        <f t="shared" si="60"/>
        <v>50587</v>
      </c>
      <c r="C232" s="431"/>
      <c r="D232" s="408"/>
      <c r="E232" s="433">
        <f t="shared" si="61"/>
        <v>0</v>
      </c>
      <c r="F232" s="433">
        <f t="shared" si="56"/>
        <v>-4.3551032974605367E-12</v>
      </c>
      <c r="G232" s="433">
        <f t="shared" si="57"/>
        <v>-1.0495798946879892E-9</v>
      </c>
      <c r="H232" s="441"/>
      <c r="I232" s="436">
        <f t="shared" si="62"/>
        <v>0</v>
      </c>
      <c r="J232" s="436">
        <f t="shared" si="65"/>
        <v>0</v>
      </c>
      <c r="K232" s="436">
        <f t="shared" si="63"/>
        <v>4.6475179260596633E-10</v>
      </c>
      <c r="L232" s="437">
        <f t="shared" si="58"/>
        <v>-2.623949736719973E-10</v>
      </c>
      <c r="M232" s="437">
        <f t="shared" si="64"/>
        <v>1.1618794815149158E-10</v>
      </c>
    </row>
    <row r="233" spans="1:13" ht="19.95" customHeight="1">
      <c r="A233" s="438">
        <f t="shared" si="59"/>
        <v>212</v>
      </c>
      <c r="B233" s="442">
        <f t="shared" si="60"/>
        <v>50618</v>
      </c>
      <c r="C233" s="431"/>
      <c r="D233" s="408"/>
      <c r="E233" s="433">
        <f t="shared" si="61"/>
        <v>0</v>
      </c>
      <c r="F233" s="433">
        <f t="shared" si="56"/>
        <v>-4.3732495611999547E-12</v>
      </c>
      <c r="G233" s="433">
        <f t="shared" si="57"/>
        <v>-1.0539531442491892E-9</v>
      </c>
      <c r="H233" s="441"/>
      <c r="I233" s="436">
        <f t="shared" si="62"/>
        <v>0</v>
      </c>
      <c r="J233" s="436">
        <f t="shared" si="65"/>
        <v>0</v>
      </c>
      <c r="K233" s="436">
        <f t="shared" si="63"/>
        <v>4.6475179260596633E-10</v>
      </c>
      <c r="L233" s="437">
        <f t="shared" si="58"/>
        <v>-2.6348828606229729E-10</v>
      </c>
      <c r="M233" s="437">
        <f t="shared" si="64"/>
        <v>1.1618794815149158E-10</v>
      </c>
    </row>
    <row r="234" spans="1:13" ht="19.95" customHeight="1">
      <c r="A234" s="438">
        <f t="shared" si="59"/>
        <v>213</v>
      </c>
      <c r="B234" s="442">
        <f t="shared" si="60"/>
        <v>50649</v>
      </c>
      <c r="C234" s="431"/>
      <c r="D234" s="408"/>
      <c r="E234" s="433">
        <f t="shared" si="61"/>
        <v>0</v>
      </c>
      <c r="F234" s="433">
        <f t="shared" si="56"/>
        <v>-4.3914714343716212E-12</v>
      </c>
      <c r="G234" s="433">
        <f t="shared" si="57"/>
        <v>-1.0583446156835608E-9</v>
      </c>
      <c r="H234" s="441"/>
      <c r="I234" s="436">
        <f t="shared" si="62"/>
        <v>0</v>
      </c>
      <c r="J234" s="436">
        <f t="shared" si="65"/>
        <v>0</v>
      </c>
      <c r="K234" s="436">
        <f t="shared" si="63"/>
        <v>4.6475179260596633E-10</v>
      </c>
      <c r="L234" s="437">
        <f t="shared" si="58"/>
        <v>-2.6458615392089021E-10</v>
      </c>
      <c r="M234" s="437">
        <f t="shared" si="64"/>
        <v>1.1618794815149158E-10</v>
      </c>
    </row>
    <row r="235" spans="1:13" ht="19.95" customHeight="1">
      <c r="A235" s="438">
        <f t="shared" si="59"/>
        <v>214</v>
      </c>
      <c r="B235" s="442">
        <f t="shared" si="60"/>
        <v>50679</v>
      </c>
      <c r="C235" s="431"/>
      <c r="D235" s="408"/>
      <c r="E235" s="433">
        <f t="shared" si="61"/>
        <v>0</v>
      </c>
      <c r="F235" s="433">
        <f t="shared" si="56"/>
        <v>-4.4097692320148366E-12</v>
      </c>
      <c r="G235" s="433">
        <f t="shared" si="57"/>
        <v>-1.0627543849155757E-9</v>
      </c>
      <c r="H235" s="441"/>
      <c r="I235" s="436">
        <f t="shared" si="62"/>
        <v>0</v>
      </c>
      <c r="J235" s="436">
        <f t="shared" si="65"/>
        <v>0</v>
      </c>
      <c r="K235" s="436">
        <f t="shared" si="63"/>
        <v>4.6475179260596633E-10</v>
      </c>
      <c r="L235" s="437">
        <f t="shared" si="58"/>
        <v>-2.6568859622889394E-10</v>
      </c>
      <c r="M235" s="437">
        <f t="shared" si="64"/>
        <v>1.1618794815149158E-10</v>
      </c>
    </row>
    <row r="236" spans="1:13" ht="19.95" customHeight="1">
      <c r="A236" s="438">
        <f t="shared" si="59"/>
        <v>215</v>
      </c>
      <c r="B236" s="442">
        <f t="shared" si="60"/>
        <v>50710</v>
      </c>
      <c r="C236" s="431"/>
      <c r="D236" s="408"/>
      <c r="E236" s="433">
        <f t="shared" si="61"/>
        <v>0</v>
      </c>
      <c r="F236" s="433">
        <f t="shared" si="56"/>
        <v>-4.4281432704815659E-12</v>
      </c>
      <c r="G236" s="433">
        <f t="shared" si="57"/>
        <v>-1.0671825281860574E-9</v>
      </c>
      <c r="H236" s="441"/>
      <c r="I236" s="436">
        <f t="shared" si="62"/>
        <v>0</v>
      </c>
      <c r="J236" s="436">
        <f t="shared" si="65"/>
        <v>0</v>
      </c>
      <c r="K236" s="436">
        <f t="shared" si="63"/>
        <v>4.6475179260596633E-10</v>
      </c>
      <c r="L236" s="437">
        <f t="shared" si="58"/>
        <v>-2.6679563204651434E-10</v>
      </c>
      <c r="M236" s="437">
        <f t="shared" si="64"/>
        <v>1.1618794815149158E-10</v>
      </c>
    </row>
    <row r="237" spans="1:13" ht="19.95" customHeight="1">
      <c r="A237" s="438">
        <f t="shared" si="59"/>
        <v>216</v>
      </c>
      <c r="B237" s="442">
        <f t="shared" si="60"/>
        <v>50740</v>
      </c>
      <c r="C237" s="431"/>
      <c r="D237" s="408"/>
      <c r="E237" s="433">
        <f t="shared" si="61"/>
        <v>0</v>
      </c>
      <c r="F237" s="433">
        <f t="shared" si="56"/>
        <v>-4.4465938674419059E-12</v>
      </c>
      <c r="G237" s="433">
        <f t="shared" si="57"/>
        <v>-1.0716291220534992E-9</v>
      </c>
      <c r="H237" s="441"/>
      <c r="I237" s="436">
        <f t="shared" si="62"/>
        <v>0</v>
      </c>
      <c r="J237" s="436">
        <f t="shared" si="65"/>
        <v>0</v>
      </c>
      <c r="K237" s="436">
        <f t="shared" si="63"/>
        <v>4.6475179260596633E-10</v>
      </c>
      <c r="L237" s="437">
        <f t="shared" si="58"/>
        <v>-2.679072805133748E-10</v>
      </c>
      <c r="M237" s="437">
        <f t="shared" si="64"/>
        <v>1.1618794815149158E-10</v>
      </c>
    </row>
    <row r="238" spans="1:13" ht="19.95" customHeight="1">
      <c r="A238" s="438">
        <f t="shared" si="59"/>
        <v>217</v>
      </c>
      <c r="B238" s="442">
        <f t="shared" si="60"/>
        <v>50771</v>
      </c>
      <c r="C238" s="431"/>
      <c r="D238" s="408"/>
      <c r="E238" s="433">
        <f t="shared" si="61"/>
        <v>0</v>
      </c>
      <c r="F238" s="433">
        <f t="shared" si="56"/>
        <v>-4.4651213418895796E-12</v>
      </c>
      <c r="G238" s="433">
        <f t="shared" si="57"/>
        <v>-1.0760942433953889E-9</v>
      </c>
      <c r="H238" s="441"/>
      <c r="I238" s="436">
        <f t="shared" si="62"/>
        <v>0</v>
      </c>
      <c r="J238" s="436">
        <f t="shared" si="65"/>
        <v>0</v>
      </c>
      <c r="K238" s="436">
        <f t="shared" si="63"/>
        <v>4.6475179260596633E-10</v>
      </c>
      <c r="L238" s="437">
        <f t="shared" si="58"/>
        <v>-2.6902356084884722E-10</v>
      </c>
      <c r="M238" s="437">
        <f t="shared" si="64"/>
        <v>1.1618794815149158E-10</v>
      </c>
    </row>
    <row r="239" spans="1:13" ht="19.95" customHeight="1">
      <c r="A239" s="438">
        <f t="shared" si="59"/>
        <v>218</v>
      </c>
      <c r="B239" s="442">
        <f t="shared" si="60"/>
        <v>50802</v>
      </c>
      <c r="C239" s="431"/>
      <c r="D239" s="408"/>
      <c r="E239" s="433">
        <f t="shared" si="61"/>
        <v>0</v>
      </c>
      <c r="F239" s="433">
        <f t="shared" si="56"/>
        <v>-4.4837260141474534E-12</v>
      </c>
      <c r="G239" s="433">
        <f t="shared" si="57"/>
        <v>-1.0805779694095364E-9</v>
      </c>
      <c r="H239" s="441"/>
      <c r="I239" s="436">
        <f t="shared" si="62"/>
        <v>0</v>
      </c>
      <c r="J239" s="436">
        <f t="shared" si="65"/>
        <v>0</v>
      </c>
      <c r="K239" s="436">
        <f t="shared" si="63"/>
        <v>4.6475179260596633E-10</v>
      </c>
      <c r="L239" s="437">
        <f t="shared" si="58"/>
        <v>-2.701444923523841E-10</v>
      </c>
      <c r="M239" s="437">
        <f t="shared" si="64"/>
        <v>1.1618794815149158E-10</v>
      </c>
    </row>
    <row r="240" spans="1:13" ht="19.95" customHeight="1">
      <c r="A240" s="438">
        <f t="shared" si="59"/>
        <v>219</v>
      </c>
      <c r="B240" s="442">
        <f t="shared" si="60"/>
        <v>50830</v>
      </c>
      <c r="C240" s="431"/>
      <c r="D240" s="408"/>
      <c r="E240" s="433">
        <f t="shared" si="61"/>
        <v>0</v>
      </c>
      <c r="F240" s="433">
        <f t="shared" si="56"/>
        <v>-4.5024082058730685E-12</v>
      </c>
      <c r="G240" s="433">
        <f t="shared" si="57"/>
        <v>-1.0850803776154095E-9</v>
      </c>
      <c r="H240" s="441"/>
      <c r="I240" s="436">
        <f t="shared" si="62"/>
        <v>0</v>
      </c>
      <c r="J240" s="436">
        <f t="shared" si="65"/>
        <v>0</v>
      </c>
      <c r="K240" s="436">
        <f t="shared" si="63"/>
        <v>4.6475179260596633E-10</v>
      </c>
      <c r="L240" s="437">
        <f t="shared" si="58"/>
        <v>-2.7127009440385237E-10</v>
      </c>
      <c r="M240" s="437">
        <f t="shared" si="64"/>
        <v>1.1618794815149158E-10</v>
      </c>
    </row>
    <row r="241" spans="1:13" ht="19.95" customHeight="1">
      <c r="A241" s="438">
        <f t="shared" si="59"/>
        <v>220</v>
      </c>
      <c r="B241" s="442">
        <f t="shared" si="60"/>
        <v>50861</v>
      </c>
      <c r="C241" s="431"/>
      <c r="D241" s="408"/>
      <c r="E241" s="433">
        <f t="shared" si="61"/>
        <v>0</v>
      </c>
      <c r="F241" s="433">
        <f t="shared" si="56"/>
        <v>-4.5211682400642062E-12</v>
      </c>
      <c r="G241" s="433">
        <f t="shared" si="57"/>
        <v>-1.0896015458554737E-9</v>
      </c>
      <c r="H241" s="441"/>
      <c r="I241" s="436">
        <f t="shared" si="62"/>
        <v>0</v>
      </c>
      <c r="J241" s="436">
        <f t="shared" si="65"/>
        <v>0</v>
      </c>
      <c r="K241" s="436">
        <f t="shared" si="63"/>
        <v>4.6475179260596633E-10</v>
      </c>
      <c r="L241" s="437">
        <f t="shared" si="58"/>
        <v>-2.7240038646386843E-10</v>
      </c>
      <c r="M241" s="437">
        <f t="shared" si="64"/>
        <v>1.1618794815149158E-10</v>
      </c>
    </row>
    <row r="242" spans="1:13" ht="19.95" customHeight="1">
      <c r="A242" s="438">
        <f t="shared" si="59"/>
        <v>221</v>
      </c>
      <c r="B242" s="442">
        <f t="shared" si="60"/>
        <v>50891</v>
      </c>
      <c r="C242" s="431"/>
      <c r="D242" s="408"/>
      <c r="E242" s="433">
        <f t="shared" si="61"/>
        <v>0</v>
      </c>
      <c r="F242" s="433">
        <f t="shared" si="56"/>
        <v>-4.5400064410644737E-12</v>
      </c>
      <c r="G242" s="433">
        <f t="shared" si="57"/>
        <v>-1.0941415522965381E-9</v>
      </c>
      <c r="H242" s="441"/>
      <c r="I242" s="436">
        <f t="shared" si="62"/>
        <v>0</v>
      </c>
      <c r="J242" s="436">
        <f t="shared" si="65"/>
        <v>0</v>
      </c>
      <c r="K242" s="436">
        <f t="shared" si="63"/>
        <v>4.6475179260596633E-10</v>
      </c>
      <c r="L242" s="437">
        <f t="shared" si="58"/>
        <v>-2.7353538807413453E-10</v>
      </c>
      <c r="M242" s="437">
        <f t="shared" si="64"/>
        <v>1.1618794815149158E-10</v>
      </c>
    </row>
    <row r="243" spans="1:13" ht="19.95" customHeight="1">
      <c r="A243" s="438">
        <f t="shared" si="59"/>
        <v>222</v>
      </c>
      <c r="B243" s="442">
        <f t="shared" si="60"/>
        <v>50922</v>
      </c>
      <c r="C243" s="431"/>
      <c r="D243" s="408"/>
      <c r="E243" s="433">
        <f t="shared" si="61"/>
        <v>0</v>
      </c>
      <c r="F243" s="433">
        <f t="shared" si="56"/>
        <v>-4.5589231345689088E-12</v>
      </c>
      <c r="G243" s="433">
        <f t="shared" si="57"/>
        <v>-1.098700475431107E-9</v>
      </c>
      <c r="H243" s="441"/>
      <c r="I243" s="436">
        <f t="shared" si="62"/>
        <v>0</v>
      </c>
      <c r="J243" s="436">
        <f t="shared" si="65"/>
        <v>0</v>
      </c>
      <c r="K243" s="436">
        <f t="shared" si="63"/>
        <v>4.6475179260596633E-10</v>
      </c>
      <c r="L243" s="437">
        <f t="shared" si="58"/>
        <v>-2.7467511885777674E-10</v>
      </c>
      <c r="M243" s="437">
        <f t="shared" si="64"/>
        <v>1.1618794815149158E-10</v>
      </c>
    </row>
    <row r="244" spans="1:13" ht="19.95" customHeight="1">
      <c r="A244" s="438">
        <f t="shared" si="59"/>
        <v>223</v>
      </c>
      <c r="B244" s="442">
        <f t="shared" si="60"/>
        <v>50952</v>
      </c>
      <c r="C244" s="431"/>
      <c r="D244" s="408"/>
      <c r="E244" s="433">
        <f t="shared" si="61"/>
        <v>0</v>
      </c>
      <c r="F244" s="433">
        <f t="shared" si="56"/>
        <v>-4.5779186476296121E-12</v>
      </c>
      <c r="G244" s="433">
        <f t="shared" si="57"/>
        <v>-1.1032783940787366E-9</v>
      </c>
      <c r="H244" s="441"/>
      <c r="I244" s="436">
        <f t="shared" si="62"/>
        <v>0</v>
      </c>
      <c r="J244" s="436">
        <f t="shared" si="65"/>
        <v>0</v>
      </c>
      <c r="K244" s="436">
        <f t="shared" si="63"/>
        <v>4.6475179260596633E-10</v>
      </c>
      <c r="L244" s="437">
        <f t="shared" si="58"/>
        <v>-2.7581959851968415E-10</v>
      </c>
      <c r="M244" s="437">
        <f t="shared" si="64"/>
        <v>1.1618794815149158E-10</v>
      </c>
    </row>
    <row r="245" spans="1:13" ht="19.95" customHeight="1">
      <c r="A245" s="438">
        <f t="shared" si="59"/>
        <v>224</v>
      </c>
      <c r="B245" s="442">
        <f t="shared" si="60"/>
        <v>50983</v>
      </c>
      <c r="C245" s="431"/>
      <c r="D245" s="408"/>
      <c r="E245" s="433">
        <f t="shared" si="61"/>
        <v>0</v>
      </c>
      <c r="F245" s="433">
        <f t="shared" si="56"/>
        <v>-4.5969933086614026E-12</v>
      </c>
      <c r="G245" s="433">
        <f t="shared" si="57"/>
        <v>-1.1078753873873981E-9</v>
      </c>
      <c r="H245" s="441"/>
      <c r="I245" s="436">
        <f t="shared" si="62"/>
        <v>0</v>
      </c>
      <c r="J245" s="436">
        <f t="shared" si="65"/>
        <v>0</v>
      </c>
      <c r="K245" s="436">
        <f t="shared" si="63"/>
        <v>4.6475179260596633E-10</v>
      </c>
      <c r="L245" s="437">
        <f t="shared" si="58"/>
        <v>-2.7696884684684951E-10</v>
      </c>
      <c r="M245" s="437">
        <f t="shared" si="64"/>
        <v>1.1618794815149158E-10</v>
      </c>
    </row>
    <row r="246" spans="1:13" ht="19.95" customHeight="1">
      <c r="A246" s="438">
        <f t="shared" si="59"/>
        <v>225</v>
      </c>
      <c r="B246" s="442">
        <f t="shared" si="60"/>
        <v>51014</v>
      </c>
      <c r="C246" s="431"/>
      <c r="D246" s="408"/>
      <c r="E246" s="433">
        <f t="shared" si="61"/>
        <v>0</v>
      </c>
      <c r="F246" s="433">
        <f t="shared" si="56"/>
        <v>-4.6161474474474919E-12</v>
      </c>
      <c r="G246" s="433">
        <f t="shared" si="57"/>
        <v>-1.1124915348348456E-9</v>
      </c>
      <c r="H246" s="441"/>
      <c r="I246" s="436">
        <f t="shared" si="62"/>
        <v>0</v>
      </c>
      <c r="J246" s="436">
        <f t="shared" si="65"/>
        <v>0</v>
      </c>
      <c r="K246" s="436">
        <f t="shared" si="63"/>
        <v>4.6475179260596633E-10</v>
      </c>
      <c r="L246" s="437">
        <f t="shared" si="58"/>
        <v>-2.781228837087114E-10</v>
      </c>
      <c r="M246" s="437">
        <f t="shared" si="64"/>
        <v>1.1618794815149158E-10</v>
      </c>
    </row>
    <row r="247" spans="1:13" ht="19.95" customHeight="1">
      <c r="A247" s="438">
        <f t="shared" si="59"/>
        <v>226</v>
      </c>
      <c r="B247" s="442">
        <f t="shared" si="60"/>
        <v>51044</v>
      </c>
      <c r="C247" s="431"/>
      <c r="D247" s="408"/>
      <c r="E247" s="433">
        <f t="shared" si="61"/>
        <v>0</v>
      </c>
      <c r="F247" s="433">
        <f t="shared" si="56"/>
        <v>-4.6353813951451897E-12</v>
      </c>
      <c r="G247" s="433">
        <f t="shared" si="57"/>
        <v>-1.1171269162299907E-9</v>
      </c>
      <c r="H247" s="441"/>
      <c r="I247" s="436">
        <f t="shared" si="62"/>
        <v>0</v>
      </c>
      <c r="J247" s="436">
        <f t="shared" si="65"/>
        <v>0</v>
      </c>
      <c r="K247" s="436">
        <f t="shared" si="63"/>
        <v>4.6475179260596633E-10</v>
      </c>
      <c r="L247" s="437">
        <f t="shared" si="58"/>
        <v>-2.7928172905749769E-10</v>
      </c>
      <c r="M247" s="437">
        <f t="shared" si="64"/>
        <v>1.1618794815149158E-10</v>
      </c>
    </row>
    <row r="248" spans="1:13" ht="19.95" customHeight="1">
      <c r="A248" s="438">
        <f t="shared" si="59"/>
        <v>227</v>
      </c>
      <c r="B248" s="442">
        <f t="shared" si="60"/>
        <v>51075</v>
      </c>
      <c r="C248" s="431"/>
      <c r="D248" s="408"/>
      <c r="E248" s="433">
        <f t="shared" si="61"/>
        <v>0</v>
      </c>
      <c r="F248" s="433">
        <f t="shared" si="56"/>
        <v>-4.6546954842916279E-12</v>
      </c>
      <c r="G248" s="433">
        <f t="shared" si="57"/>
        <v>-1.1217816117142824E-9</v>
      </c>
      <c r="H248" s="441"/>
      <c r="I248" s="436">
        <f t="shared" si="62"/>
        <v>0</v>
      </c>
      <c r="J248" s="436">
        <f t="shared" si="65"/>
        <v>0</v>
      </c>
      <c r="K248" s="436">
        <f t="shared" si="63"/>
        <v>4.6475179260596633E-10</v>
      </c>
      <c r="L248" s="437">
        <f t="shared" si="58"/>
        <v>-2.8044540292857059E-10</v>
      </c>
      <c r="M248" s="437">
        <f t="shared" si="64"/>
        <v>1.1618794815149158E-10</v>
      </c>
    </row>
    <row r="249" spans="1:13" ht="19.95" customHeight="1">
      <c r="A249" s="438">
        <f t="shared" si="59"/>
        <v>228</v>
      </c>
      <c r="B249" s="442">
        <f t="shared" si="60"/>
        <v>51105</v>
      </c>
      <c r="C249" s="431"/>
      <c r="D249" s="408"/>
      <c r="E249" s="433">
        <f t="shared" si="61"/>
        <v>0</v>
      </c>
      <c r="F249" s="433">
        <f t="shared" si="56"/>
        <v>-4.6740900488095101E-12</v>
      </c>
      <c r="G249" s="433">
        <f t="shared" si="57"/>
        <v>-1.1264557017630918E-9</v>
      </c>
      <c r="H249" s="441"/>
      <c r="I249" s="436">
        <f t="shared" si="62"/>
        <v>0</v>
      </c>
      <c r="J249" s="436">
        <f t="shared" si="65"/>
        <v>0</v>
      </c>
      <c r="K249" s="436">
        <f t="shared" si="63"/>
        <v>4.6475179260596633E-10</v>
      </c>
      <c r="L249" s="437">
        <f t="shared" si="58"/>
        <v>-2.8161392544077294E-10</v>
      </c>
      <c r="M249" s="437">
        <f t="shared" si="64"/>
        <v>1.1618794815149158E-10</v>
      </c>
    </row>
    <row r="250" spans="1:13" ht="19.95" customHeight="1">
      <c r="A250" s="438">
        <f t="shared" si="59"/>
        <v>229</v>
      </c>
      <c r="B250" s="442">
        <f t="shared" si="60"/>
        <v>51136</v>
      </c>
      <c r="C250" s="431"/>
      <c r="D250" s="408"/>
      <c r="E250" s="433">
        <f t="shared" si="61"/>
        <v>0</v>
      </c>
      <c r="F250" s="433">
        <f t="shared" si="56"/>
        <v>-4.6935654240128823E-12</v>
      </c>
      <c r="G250" s="433">
        <f t="shared" si="57"/>
        <v>-1.1311492671871047E-9</v>
      </c>
      <c r="H250" s="441"/>
      <c r="I250" s="436">
        <f t="shared" si="62"/>
        <v>0</v>
      </c>
      <c r="J250" s="436">
        <f t="shared" si="65"/>
        <v>0</v>
      </c>
      <c r="K250" s="436">
        <f t="shared" si="63"/>
        <v>4.6475179260596633E-10</v>
      </c>
      <c r="L250" s="437">
        <f t="shared" si="58"/>
        <v>-2.8278731679677618E-10</v>
      </c>
      <c r="M250" s="437">
        <f t="shared" si="64"/>
        <v>1.1618794815149158E-10</v>
      </c>
    </row>
    <row r="251" spans="1:13" ht="19.95" customHeight="1">
      <c r="A251" s="438">
        <f t="shared" si="59"/>
        <v>230</v>
      </c>
      <c r="B251" s="442">
        <f t="shared" si="60"/>
        <v>51167</v>
      </c>
      <c r="C251" s="431"/>
      <c r="D251" s="408"/>
      <c r="E251" s="433">
        <f t="shared" si="61"/>
        <v>0</v>
      </c>
      <c r="F251" s="433">
        <f t="shared" si="56"/>
        <v>-4.713121946612936E-12</v>
      </c>
      <c r="G251" s="433">
        <f t="shared" si="57"/>
        <v>-1.1358623891337177E-9</v>
      </c>
      <c r="H251" s="441"/>
      <c r="I251" s="436">
        <f t="shared" si="62"/>
        <v>0</v>
      </c>
      <c r="J251" s="436">
        <f t="shared" si="65"/>
        <v>0</v>
      </c>
      <c r="K251" s="436">
        <f t="shared" si="63"/>
        <v>4.6475179260596633E-10</v>
      </c>
      <c r="L251" s="437">
        <f t="shared" si="58"/>
        <v>-2.8396559728342942E-10</v>
      </c>
      <c r="M251" s="437">
        <f t="shared" si="64"/>
        <v>1.1618794815149158E-10</v>
      </c>
    </row>
    <row r="252" spans="1:13" ht="19.95" customHeight="1">
      <c r="A252" s="438">
        <f t="shared" si="59"/>
        <v>231</v>
      </c>
      <c r="B252" s="442">
        <f t="shared" si="60"/>
        <v>51196</v>
      </c>
      <c r="C252" s="431"/>
      <c r="D252" s="408"/>
      <c r="E252" s="433">
        <f t="shared" si="61"/>
        <v>0</v>
      </c>
      <c r="F252" s="433">
        <f t="shared" si="56"/>
        <v>-4.7327599547238238E-12</v>
      </c>
      <c r="G252" s="433">
        <f t="shared" si="57"/>
        <v>-1.1405951490884415E-9</v>
      </c>
      <c r="H252" s="441"/>
      <c r="I252" s="436">
        <f t="shared" si="62"/>
        <v>0</v>
      </c>
      <c r="J252" s="436">
        <f t="shared" si="65"/>
        <v>0</v>
      </c>
      <c r="K252" s="436">
        <f t="shared" si="63"/>
        <v>4.6475179260596633E-10</v>
      </c>
      <c r="L252" s="437">
        <f t="shared" si="58"/>
        <v>-2.8514878727211036E-10</v>
      </c>
      <c r="M252" s="437">
        <f t="shared" si="64"/>
        <v>1.1618794815149158E-10</v>
      </c>
    </row>
    <row r="253" spans="1:13" ht="19.95" customHeight="1">
      <c r="A253" s="438">
        <f t="shared" si="59"/>
        <v>232</v>
      </c>
      <c r="B253" s="442">
        <f t="shared" si="60"/>
        <v>51227</v>
      </c>
      <c r="C253" s="431"/>
      <c r="D253" s="408"/>
      <c r="E253" s="433">
        <f t="shared" si="61"/>
        <v>0</v>
      </c>
      <c r="F253" s="433">
        <f t="shared" si="56"/>
        <v>-4.752479787868506E-12</v>
      </c>
      <c r="G253" s="433">
        <f t="shared" si="57"/>
        <v>-1.1453476288763101E-9</v>
      </c>
      <c r="H253" s="441"/>
      <c r="I253" s="436">
        <f t="shared" si="62"/>
        <v>0</v>
      </c>
      <c r="J253" s="436">
        <f t="shared" si="65"/>
        <v>0</v>
      </c>
      <c r="K253" s="436">
        <f t="shared" si="63"/>
        <v>4.6475179260596633E-10</v>
      </c>
      <c r="L253" s="437">
        <f t="shared" si="58"/>
        <v>-2.8633690721907751E-10</v>
      </c>
      <c r="M253" s="437">
        <f t="shared" si="64"/>
        <v>1.1618794815149158E-10</v>
      </c>
    </row>
    <row r="254" spans="1:13" ht="19.95" customHeight="1">
      <c r="A254" s="438">
        <f t="shared" si="59"/>
        <v>233</v>
      </c>
      <c r="B254" s="442">
        <f t="shared" si="60"/>
        <v>51257</v>
      </c>
      <c r="C254" s="431"/>
      <c r="D254" s="408"/>
      <c r="E254" s="433">
        <f t="shared" si="61"/>
        <v>0</v>
      </c>
      <c r="F254" s="433">
        <f t="shared" si="56"/>
        <v>-4.7722817869846254E-12</v>
      </c>
      <c r="G254" s="433">
        <f t="shared" si="57"/>
        <v>-1.1501199106632946E-9</v>
      </c>
      <c r="H254" s="441"/>
      <c r="I254" s="436">
        <f t="shared" si="62"/>
        <v>0</v>
      </c>
      <c r="J254" s="436">
        <f t="shared" si="65"/>
        <v>0</v>
      </c>
      <c r="K254" s="436">
        <f t="shared" si="63"/>
        <v>4.6475179260596633E-10</v>
      </c>
      <c r="L254" s="437">
        <f t="shared" si="58"/>
        <v>-2.8752997766582365E-10</v>
      </c>
      <c r="M254" s="437">
        <f t="shared" si="64"/>
        <v>1.1618794815149158E-10</v>
      </c>
    </row>
    <row r="255" spans="1:13" ht="19.95" customHeight="1">
      <c r="A255" s="438">
        <f t="shared" si="59"/>
        <v>234</v>
      </c>
      <c r="B255" s="442">
        <f t="shared" si="60"/>
        <v>51288</v>
      </c>
      <c r="C255" s="431"/>
      <c r="D255" s="408"/>
      <c r="E255" s="433">
        <f t="shared" si="61"/>
        <v>0</v>
      </c>
      <c r="F255" s="433">
        <f t="shared" si="56"/>
        <v>-4.7921662944303939E-12</v>
      </c>
      <c r="G255" s="433">
        <f t="shared" si="57"/>
        <v>-1.1549120769577249E-9</v>
      </c>
      <c r="H255" s="441"/>
      <c r="I255" s="436">
        <f t="shared" si="62"/>
        <v>0</v>
      </c>
      <c r="J255" s="436">
        <f t="shared" si="65"/>
        <v>0</v>
      </c>
      <c r="K255" s="436">
        <f t="shared" si="63"/>
        <v>4.6475179260596633E-10</v>
      </c>
      <c r="L255" s="437">
        <f t="shared" si="58"/>
        <v>-2.8872801923943122E-10</v>
      </c>
      <c r="M255" s="437">
        <f t="shared" si="64"/>
        <v>1.1618794815149158E-10</v>
      </c>
    </row>
    <row r="256" spans="1:13" ht="19.95" customHeight="1">
      <c r="A256" s="438">
        <f t="shared" si="59"/>
        <v>235</v>
      </c>
      <c r="B256" s="442">
        <f t="shared" si="60"/>
        <v>51318</v>
      </c>
      <c r="C256" s="431"/>
      <c r="D256" s="408"/>
      <c r="E256" s="433">
        <f t="shared" si="61"/>
        <v>0</v>
      </c>
      <c r="F256" s="433">
        <f t="shared" si="56"/>
        <v>-4.8121336539905201E-12</v>
      </c>
      <c r="G256" s="433">
        <f t="shared" si="57"/>
        <v>-1.1597242106117155E-9</v>
      </c>
      <c r="H256" s="441"/>
      <c r="I256" s="436">
        <f t="shared" si="62"/>
        <v>0</v>
      </c>
      <c r="J256" s="436">
        <f t="shared" si="65"/>
        <v>0</v>
      </c>
      <c r="K256" s="436">
        <f t="shared" si="63"/>
        <v>4.6475179260596633E-10</v>
      </c>
      <c r="L256" s="437">
        <f t="shared" si="58"/>
        <v>-2.8993105265292888E-10</v>
      </c>
      <c r="M256" s="437">
        <f t="shared" si="64"/>
        <v>1.1618794815149158E-10</v>
      </c>
    </row>
    <row r="257" spans="1:13" ht="19.95" customHeight="1">
      <c r="A257" s="438">
        <f t="shared" si="59"/>
        <v>236</v>
      </c>
      <c r="B257" s="442">
        <f t="shared" si="60"/>
        <v>51349</v>
      </c>
      <c r="C257" s="431"/>
      <c r="D257" s="408"/>
      <c r="E257" s="433">
        <f t="shared" si="61"/>
        <v>0</v>
      </c>
      <c r="F257" s="433">
        <f t="shared" si="56"/>
        <v>-4.8321842108821475E-12</v>
      </c>
      <c r="G257" s="433">
        <f t="shared" si="57"/>
        <v>-1.1645563948225976E-9</v>
      </c>
      <c r="H257" s="441"/>
      <c r="I257" s="436">
        <f t="shared" si="62"/>
        <v>0</v>
      </c>
      <c r="J257" s="436">
        <f t="shared" si="65"/>
        <v>0</v>
      </c>
      <c r="K257" s="436">
        <f t="shared" si="63"/>
        <v>4.6475179260596633E-10</v>
      </c>
      <c r="L257" s="437">
        <f t="shared" si="58"/>
        <v>-2.911390987056494E-10</v>
      </c>
      <c r="M257" s="437">
        <f t="shared" si="64"/>
        <v>1.1618794815149158E-10</v>
      </c>
    </row>
    <row r="258" spans="1:13" ht="19.95" customHeight="1">
      <c r="A258" s="438">
        <f t="shared" si="59"/>
        <v>237</v>
      </c>
      <c r="B258" s="442">
        <f t="shared" si="60"/>
        <v>51380</v>
      </c>
      <c r="C258" s="431"/>
      <c r="D258" s="408"/>
      <c r="E258" s="433">
        <f t="shared" si="61"/>
        <v>0</v>
      </c>
      <c r="F258" s="433">
        <f t="shared" si="56"/>
        <v>-4.8523183117608236E-12</v>
      </c>
      <c r="G258" s="433">
        <f t="shared" si="57"/>
        <v>-1.1694087131343584E-9</v>
      </c>
      <c r="H258" s="441"/>
      <c r="I258" s="436">
        <f t="shared" si="62"/>
        <v>0</v>
      </c>
      <c r="J258" s="436">
        <f t="shared" si="65"/>
        <v>0</v>
      </c>
      <c r="K258" s="436">
        <f t="shared" si="63"/>
        <v>4.6475179260596633E-10</v>
      </c>
      <c r="L258" s="437">
        <f t="shared" si="58"/>
        <v>-2.923521782835896E-10</v>
      </c>
      <c r="M258" s="437">
        <f t="shared" si="64"/>
        <v>1.1618794815149158E-10</v>
      </c>
    </row>
    <row r="259" spans="1:13" ht="19.95" customHeight="1">
      <c r="A259" s="438">
        <f t="shared" si="59"/>
        <v>238</v>
      </c>
      <c r="B259" s="442">
        <f t="shared" si="60"/>
        <v>51410</v>
      </c>
      <c r="C259" s="431"/>
      <c r="D259" s="408"/>
      <c r="E259" s="433">
        <f t="shared" si="61"/>
        <v>0</v>
      </c>
      <c r="F259" s="433">
        <f t="shared" si="56"/>
        <v>-4.8725363047264935E-12</v>
      </c>
      <c r="G259" s="433">
        <f t="shared" si="57"/>
        <v>-1.1742812494390849E-9</v>
      </c>
      <c r="H259" s="441"/>
      <c r="I259" s="436">
        <f t="shared" si="62"/>
        <v>0</v>
      </c>
      <c r="J259" s="436">
        <f t="shared" si="65"/>
        <v>0</v>
      </c>
      <c r="K259" s="436">
        <f t="shared" si="63"/>
        <v>4.6475179260596633E-10</v>
      </c>
      <c r="L259" s="437">
        <f t="shared" si="58"/>
        <v>-2.9357031235977122E-10</v>
      </c>
      <c r="M259" s="437">
        <f t="shared" si="64"/>
        <v>1.1618794815149158E-10</v>
      </c>
    </row>
    <row r="260" spans="1:13" ht="19.95" customHeight="1">
      <c r="A260" s="438">
        <f t="shared" si="59"/>
        <v>239</v>
      </c>
      <c r="B260" s="442">
        <f t="shared" si="60"/>
        <v>51441</v>
      </c>
      <c r="C260" s="431"/>
      <c r="D260" s="408"/>
      <c r="E260" s="433">
        <f t="shared" si="61"/>
        <v>0</v>
      </c>
      <c r="F260" s="433">
        <f t="shared" si="56"/>
        <v>-4.8928385393295203E-12</v>
      </c>
      <c r="G260" s="433">
        <f t="shared" si="57"/>
        <v>-1.1791740879784144E-9</v>
      </c>
      <c r="H260" s="441"/>
      <c r="I260" s="436">
        <f t="shared" si="62"/>
        <v>0</v>
      </c>
      <c r="J260" s="436">
        <f t="shared" si="65"/>
        <v>0</v>
      </c>
      <c r="K260" s="436">
        <f t="shared" si="63"/>
        <v>4.6475179260596633E-10</v>
      </c>
      <c r="L260" s="437">
        <f t="shared" si="58"/>
        <v>-2.947935219946036E-10</v>
      </c>
      <c r="M260" s="437">
        <f t="shared" si="64"/>
        <v>1.1618794815149158E-10</v>
      </c>
    </row>
    <row r="261" spans="1:13" ht="19.95" customHeight="1">
      <c r="A261" s="438">
        <f t="shared" si="59"/>
        <v>240</v>
      </c>
      <c r="B261" s="442">
        <f t="shared" si="60"/>
        <v>51471</v>
      </c>
      <c r="C261" s="431"/>
      <c r="D261" s="408"/>
      <c r="E261" s="433">
        <f t="shared" si="61"/>
        <v>0</v>
      </c>
      <c r="F261" s="433">
        <f t="shared" si="56"/>
        <v>-4.9132253665767267E-12</v>
      </c>
      <c r="G261" s="433">
        <f t="shared" si="57"/>
        <v>-1.1840873133449912E-9</v>
      </c>
      <c r="H261" s="441"/>
      <c r="I261" s="436">
        <f t="shared" si="62"/>
        <v>0</v>
      </c>
      <c r="J261" s="436">
        <f t="shared" si="65"/>
        <v>0</v>
      </c>
      <c r="K261" s="436">
        <f t="shared" si="63"/>
        <v>4.6475179260596633E-10</v>
      </c>
      <c r="L261" s="437">
        <f t="shared" si="58"/>
        <v>-2.9602182833624781E-10</v>
      </c>
      <c r="M261" s="437">
        <f t="shared" si="64"/>
        <v>1.1618794815149158E-10</v>
      </c>
    </row>
    <row r="262" spans="1:13" ht="19.95" customHeight="1">
      <c r="A262" s="438">
        <f t="shared" si="59"/>
        <v>241</v>
      </c>
      <c r="B262" s="442">
        <f t="shared" si="60"/>
        <v>51502</v>
      </c>
      <c r="C262" s="431"/>
      <c r="D262" s="408"/>
      <c r="E262" s="433">
        <f t="shared" si="61"/>
        <v>0</v>
      </c>
      <c r="F262" s="433">
        <f t="shared" si="56"/>
        <v>-4.9336971389374636E-12</v>
      </c>
      <c r="G262" s="433">
        <f t="shared" si="57"/>
        <v>-1.1890210104839286E-9</v>
      </c>
      <c r="H262" s="441"/>
      <c r="I262" s="436">
        <f t="shared" si="62"/>
        <v>0</v>
      </c>
      <c r="J262" s="436">
        <f t="shared" si="65"/>
        <v>0</v>
      </c>
      <c r="K262" s="436">
        <f t="shared" si="63"/>
        <v>4.6475179260596633E-10</v>
      </c>
      <c r="L262" s="437">
        <f t="shared" si="58"/>
        <v>-2.9725525262098216E-10</v>
      </c>
      <c r="M262" s="437">
        <f t="shared" si="64"/>
        <v>1.1618794815149158E-10</v>
      </c>
    </row>
    <row r="263" spans="1:13" ht="19.95" customHeight="1">
      <c r="A263" s="438">
        <f t="shared" si="59"/>
        <v>242</v>
      </c>
      <c r="B263" s="442">
        <f t="shared" si="60"/>
        <v>51533</v>
      </c>
      <c r="C263" s="431"/>
      <c r="D263" s="408"/>
      <c r="E263" s="433">
        <f t="shared" si="61"/>
        <v>0</v>
      </c>
      <c r="F263" s="433">
        <f t="shared" si="56"/>
        <v>-4.9542542103497022E-12</v>
      </c>
      <c r="G263" s="433">
        <f t="shared" si="57"/>
        <v>-1.1939752646942783E-9</v>
      </c>
      <c r="H263" s="441"/>
      <c r="I263" s="436">
        <f t="shared" si="62"/>
        <v>0</v>
      </c>
      <c r="J263" s="436">
        <f t="shared" si="65"/>
        <v>0</v>
      </c>
      <c r="K263" s="436">
        <f t="shared" si="63"/>
        <v>4.6475179260596633E-10</v>
      </c>
      <c r="L263" s="437">
        <f t="shared" si="58"/>
        <v>-2.9849381617356958E-10</v>
      </c>
      <c r="M263" s="437">
        <f t="shared" si="64"/>
        <v>1.1618794815149158E-10</v>
      </c>
    </row>
    <row r="264" spans="1:13" ht="19.95" customHeight="1">
      <c r="A264" s="438">
        <f t="shared" si="59"/>
        <v>243</v>
      </c>
      <c r="B264" s="442">
        <f t="shared" si="60"/>
        <v>51561</v>
      </c>
      <c r="C264" s="431"/>
      <c r="D264" s="408"/>
      <c r="E264" s="433">
        <f t="shared" si="61"/>
        <v>0</v>
      </c>
      <c r="F264" s="433">
        <f t="shared" si="56"/>
        <v>-4.9748969362261596E-12</v>
      </c>
      <c r="G264" s="433">
        <f t="shared" si="57"/>
        <v>-1.1989501616305045E-9</v>
      </c>
      <c r="H264" s="441"/>
      <c r="I264" s="436">
        <f t="shared" si="62"/>
        <v>0</v>
      </c>
      <c r="J264" s="436">
        <f t="shared" si="65"/>
        <v>0</v>
      </c>
      <c r="K264" s="436">
        <f t="shared" si="63"/>
        <v>4.6475179260596633E-10</v>
      </c>
      <c r="L264" s="437">
        <f t="shared" si="58"/>
        <v>-2.9973754040762612E-10</v>
      </c>
      <c r="M264" s="437">
        <f t="shared" si="64"/>
        <v>1.1618794815149158E-10</v>
      </c>
    </row>
    <row r="265" spans="1:13" ht="19.95" customHeight="1">
      <c r="A265" s="438">
        <f t="shared" si="59"/>
        <v>244</v>
      </c>
      <c r="B265" s="442">
        <f t="shared" si="60"/>
        <v>51592</v>
      </c>
      <c r="C265" s="431"/>
      <c r="D265" s="408"/>
      <c r="E265" s="433">
        <f t="shared" si="61"/>
        <v>0</v>
      </c>
      <c r="F265" s="433">
        <f t="shared" ref="F265:F328" si="66">$C$17/12*(G264-C265)</f>
        <v>-4.9956256734604356E-12</v>
      </c>
      <c r="G265" s="433">
        <f t="shared" ref="G265:G328" si="67">G264-C265+F265</f>
        <v>-1.2039457873039649E-9</v>
      </c>
      <c r="H265" s="441"/>
      <c r="I265" s="436">
        <f t="shared" si="62"/>
        <v>0</v>
      </c>
      <c r="J265" s="436">
        <f t="shared" si="65"/>
        <v>0</v>
      </c>
      <c r="K265" s="436">
        <f t="shared" si="63"/>
        <v>4.6475179260596633E-10</v>
      </c>
      <c r="L265" s="437">
        <f t="shared" si="58"/>
        <v>-3.0098644682599122E-10</v>
      </c>
      <c r="M265" s="437">
        <f t="shared" si="64"/>
        <v>1.1618794815149158E-10</v>
      </c>
    </row>
    <row r="266" spans="1:13" ht="19.95" customHeight="1">
      <c r="A266" s="438">
        <f t="shared" si="59"/>
        <v>245</v>
      </c>
      <c r="B266" s="442">
        <f t="shared" si="60"/>
        <v>51622</v>
      </c>
      <c r="C266" s="431"/>
      <c r="D266" s="408"/>
      <c r="E266" s="433">
        <f t="shared" si="61"/>
        <v>0</v>
      </c>
      <c r="F266" s="433">
        <f t="shared" si="66"/>
        <v>-5.0164407804331868E-12</v>
      </c>
      <c r="G266" s="433">
        <f t="shared" si="67"/>
        <v>-1.2089622280843981E-9</v>
      </c>
      <c r="H266" s="441"/>
      <c r="I266" s="436">
        <f t="shared" si="62"/>
        <v>0</v>
      </c>
      <c r="J266" s="436">
        <f t="shared" si="65"/>
        <v>0</v>
      </c>
      <c r="K266" s="436">
        <f t="shared" si="63"/>
        <v>4.6475179260596633E-10</v>
      </c>
      <c r="L266" s="437">
        <f t="shared" si="58"/>
        <v>-3.0224055702109953E-10</v>
      </c>
      <c r="M266" s="437">
        <f t="shared" si="64"/>
        <v>1.1618794815149158E-10</v>
      </c>
    </row>
    <row r="267" spans="1:13" ht="19.95" customHeight="1">
      <c r="A267" s="438">
        <f t="shared" si="59"/>
        <v>246</v>
      </c>
      <c r="B267" s="442">
        <f t="shared" si="60"/>
        <v>51653</v>
      </c>
      <c r="C267" s="431"/>
      <c r="D267" s="408"/>
      <c r="E267" s="433">
        <f t="shared" si="61"/>
        <v>0</v>
      </c>
      <c r="F267" s="433">
        <f t="shared" si="66"/>
        <v>-5.0373426170183254E-12</v>
      </c>
      <c r="G267" s="433">
        <f t="shared" si="67"/>
        <v>-1.2139995707014164E-9</v>
      </c>
      <c r="H267" s="441"/>
      <c r="I267" s="436">
        <f t="shared" si="62"/>
        <v>0</v>
      </c>
      <c r="J267" s="436">
        <f t="shared" si="65"/>
        <v>0</v>
      </c>
      <c r="K267" s="436">
        <f t="shared" si="63"/>
        <v>4.6475179260596633E-10</v>
      </c>
      <c r="L267" s="437">
        <f t="shared" si="58"/>
        <v>-3.0349989267535409E-10</v>
      </c>
      <c r="M267" s="437">
        <f t="shared" si="64"/>
        <v>1.1618794815149158E-10</v>
      </c>
    </row>
    <row r="268" spans="1:13" ht="19.95" customHeight="1">
      <c r="A268" s="438">
        <f t="shared" si="59"/>
        <v>247</v>
      </c>
      <c r="B268" s="442">
        <f t="shared" si="60"/>
        <v>51683</v>
      </c>
      <c r="C268" s="431"/>
      <c r="D268" s="408"/>
      <c r="E268" s="433">
        <f t="shared" si="61"/>
        <v>0</v>
      </c>
      <c r="F268" s="433">
        <f t="shared" si="66"/>
        <v>-5.0583315445892351E-12</v>
      </c>
      <c r="G268" s="433">
        <f t="shared" si="67"/>
        <v>-1.2190579022460055E-9</v>
      </c>
      <c r="H268" s="441"/>
      <c r="I268" s="436">
        <f t="shared" si="62"/>
        <v>0</v>
      </c>
      <c r="J268" s="436">
        <f t="shared" si="65"/>
        <v>0</v>
      </c>
      <c r="K268" s="436">
        <f t="shared" si="63"/>
        <v>4.6475179260596633E-10</v>
      </c>
      <c r="L268" s="437">
        <f t="shared" si="58"/>
        <v>-3.0476447556150139E-10</v>
      </c>
      <c r="M268" s="437">
        <f t="shared" si="64"/>
        <v>1.1618794815149158E-10</v>
      </c>
    </row>
    <row r="269" spans="1:13" ht="19.95" customHeight="1">
      <c r="A269" s="438">
        <f t="shared" si="59"/>
        <v>248</v>
      </c>
      <c r="B269" s="442">
        <f t="shared" si="60"/>
        <v>51714</v>
      </c>
      <c r="C269" s="431"/>
      <c r="D269" s="408"/>
      <c r="E269" s="433">
        <f t="shared" si="61"/>
        <v>0</v>
      </c>
      <c r="F269" s="433">
        <f t="shared" si="66"/>
        <v>-5.0794079260250231E-12</v>
      </c>
      <c r="G269" s="433">
        <f t="shared" si="67"/>
        <v>-1.2241373101720305E-9</v>
      </c>
      <c r="H269" s="441"/>
      <c r="I269" s="436">
        <f t="shared" si="62"/>
        <v>0</v>
      </c>
      <c r="J269" s="436">
        <f t="shared" si="65"/>
        <v>0</v>
      </c>
      <c r="K269" s="436">
        <f t="shared" si="63"/>
        <v>4.6475179260596633E-10</v>
      </c>
      <c r="L269" s="437">
        <f t="shared" si="58"/>
        <v>-3.0603432754300762E-10</v>
      </c>
      <c r="M269" s="437">
        <f t="shared" si="64"/>
        <v>1.1618794815149158E-10</v>
      </c>
    </row>
    <row r="270" spans="1:13" ht="19.95" customHeight="1">
      <c r="A270" s="438">
        <f t="shared" si="59"/>
        <v>249</v>
      </c>
      <c r="B270" s="442">
        <f t="shared" si="60"/>
        <v>51745</v>
      </c>
      <c r="C270" s="431"/>
      <c r="D270" s="408"/>
      <c r="E270" s="433">
        <f t="shared" si="61"/>
        <v>0</v>
      </c>
      <c r="F270" s="433">
        <f t="shared" si="66"/>
        <v>-5.1005721257167936E-12</v>
      </c>
      <c r="G270" s="433">
        <f t="shared" si="67"/>
        <v>-1.2292378822977473E-9</v>
      </c>
      <c r="H270" s="441"/>
      <c r="I270" s="436">
        <f t="shared" si="62"/>
        <v>0</v>
      </c>
      <c r="J270" s="436">
        <f t="shared" si="65"/>
        <v>0</v>
      </c>
      <c r="K270" s="436">
        <f t="shared" si="63"/>
        <v>4.6475179260596633E-10</v>
      </c>
      <c r="L270" s="437">
        <f t="shared" si="58"/>
        <v>-3.0730947057443683E-10</v>
      </c>
      <c r="M270" s="437">
        <f t="shared" si="64"/>
        <v>1.1618794815149158E-10</v>
      </c>
    </row>
    <row r="271" spans="1:13" ht="19.95" customHeight="1">
      <c r="A271" s="438">
        <f t="shared" si="59"/>
        <v>250</v>
      </c>
      <c r="B271" s="442">
        <f t="shared" si="60"/>
        <v>51775</v>
      </c>
      <c r="C271" s="431"/>
      <c r="D271" s="408"/>
      <c r="E271" s="433">
        <f t="shared" si="61"/>
        <v>0</v>
      </c>
      <c r="F271" s="433">
        <f t="shared" si="66"/>
        <v>-5.1218245095739474E-12</v>
      </c>
      <c r="G271" s="433">
        <f t="shared" si="67"/>
        <v>-1.2343597068073213E-9</v>
      </c>
      <c r="H271" s="441"/>
      <c r="I271" s="436">
        <f t="shared" si="62"/>
        <v>0</v>
      </c>
      <c r="J271" s="436">
        <f t="shared" si="65"/>
        <v>0</v>
      </c>
      <c r="K271" s="436">
        <f t="shared" si="63"/>
        <v>4.6475179260596633E-10</v>
      </c>
      <c r="L271" s="437">
        <f t="shared" si="58"/>
        <v>-3.0858992670183032E-10</v>
      </c>
      <c r="M271" s="437">
        <f t="shared" si="64"/>
        <v>1.1618794815149158E-10</v>
      </c>
    </row>
    <row r="272" spans="1:13" ht="19.95" customHeight="1">
      <c r="A272" s="438">
        <f t="shared" si="59"/>
        <v>251</v>
      </c>
      <c r="B272" s="442">
        <f t="shared" si="60"/>
        <v>51806</v>
      </c>
      <c r="C272" s="431"/>
      <c r="D272" s="408"/>
      <c r="E272" s="433">
        <f t="shared" si="61"/>
        <v>0</v>
      </c>
      <c r="F272" s="433">
        <f t="shared" si="66"/>
        <v>-5.1431654450305053E-12</v>
      </c>
      <c r="G272" s="433">
        <f t="shared" si="67"/>
        <v>-1.2395028722523519E-9</v>
      </c>
      <c r="H272" s="441"/>
      <c r="I272" s="436">
        <f t="shared" si="62"/>
        <v>0</v>
      </c>
      <c r="J272" s="436">
        <f t="shared" si="65"/>
        <v>0</v>
      </c>
      <c r="K272" s="436">
        <f t="shared" si="63"/>
        <v>4.6475179260596633E-10</v>
      </c>
      <c r="L272" s="437">
        <f t="shared" si="58"/>
        <v>-3.0987571806308797E-10</v>
      </c>
      <c r="M272" s="437">
        <f t="shared" si="64"/>
        <v>1.1618794815149158E-10</v>
      </c>
    </row>
    <row r="273" spans="1:13" ht="19.95" customHeight="1">
      <c r="A273" s="438">
        <f t="shared" si="59"/>
        <v>252</v>
      </c>
      <c r="B273" s="442">
        <f t="shared" si="60"/>
        <v>51836</v>
      </c>
      <c r="C273" s="431"/>
      <c r="D273" s="408"/>
      <c r="E273" s="433">
        <f t="shared" si="61"/>
        <v>0</v>
      </c>
      <c r="F273" s="433">
        <f t="shared" si="66"/>
        <v>-5.1645953010514658E-12</v>
      </c>
      <c r="G273" s="433">
        <f t="shared" si="67"/>
        <v>-1.2446674675534033E-9</v>
      </c>
      <c r="H273" s="441"/>
      <c r="I273" s="436">
        <f t="shared" si="62"/>
        <v>0</v>
      </c>
      <c r="J273" s="436">
        <f t="shared" si="65"/>
        <v>0</v>
      </c>
      <c r="K273" s="436">
        <f t="shared" si="63"/>
        <v>4.6475179260596633E-10</v>
      </c>
      <c r="L273" s="437">
        <f t="shared" si="58"/>
        <v>-3.1116686688835084E-10</v>
      </c>
      <c r="M273" s="437">
        <f t="shared" si="64"/>
        <v>1.1618794815149158E-10</v>
      </c>
    </row>
    <row r="274" spans="1:13" ht="19.95" customHeight="1">
      <c r="A274" s="438">
        <f t="shared" si="59"/>
        <v>253</v>
      </c>
      <c r="B274" s="442">
        <f t="shared" si="60"/>
        <v>51867</v>
      </c>
      <c r="C274" s="431"/>
      <c r="D274" s="408"/>
      <c r="E274" s="433">
        <f t="shared" si="61"/>
        <v>0</v>
      </c>
      <c r="F274" s="433">
        <f t="shared" si="66"/>
        <v>-5.1861144481391802E-12</v>
      </c>
      <c r="G274" s="433">
        <f t="shared" si="67"/>
        <v>-1.2498535820015426E-9</v>
      </c>
      <c r="H274" s="441"/>
      <c r="I274" s="436">
        <f t="shared" si="62"/>
        <v>0</v>
      </c>
      <c r="J274" s="436">
        <f t="shared" si="65"/>
        <v>0</v>
      </c>
      <c r="K274" s="436">
        <f t="shared" si="63"/>
        <v>4.6475179260596633E-10</v>
      </c>
      <c r="L274" s="437">
        <f t="shared" si="58"/>
        <v>-3.1246339550038565E-10</v>
      </c>
      <c r="M274" s="437">
        <f t="shared" si="64"/>
        <v>1.1618794815149158E-10</v>
      </c>
    </row>
    <row r="275" spans="1:13" ht="19.95" customHeight="1">
      <c r="A275" s="438">
        <f t="shared" si="59"/>
        <v>254</v>
      </c>
      <c r="B275" s="442">
        <f t="shared" si="60"/>
        <v>51898</v>
      </c>
      <c r="C275" s="431"/>
      <c r="D275" s="408"/>
      <c r="E275" s="433">
        <f t="shared" si="61"/>
        <v>0</v>
      </c>
      <c r="F275" s="433">
        <f t="shared" si="66"/>
        <v>-5.2077232583397608E-12</v>
      </c>
      <c r="G275" s="433">
        <f t="shared" si="67"/>
        <v>-1.2550613052598823E-9</v>
      </c>
      <c r="H275" s="441"/>
      <c r="I275" s="436">
        <f t="shared" si="62"/>
        <v>0</v>
      </c>
      <c r="J275" s="436">
        <f t="shared" si="65"/>
        <v>0</v>
      </c>
      <c r="K275" s="436">
        <f t="shared" si="63"/>
        <v>4.6475179260596633E-10</v>
      </c>
      <c r="L275" s="437">
        <f t="shared" si="58"/>
        <v>-3.1376532631497057E-10</v>
      </c>
      <c r="M275" s="437">
        <f t="shared" si="64"/>
        <v>1.1618794815149158E-10</v>
      </c>
    </row>
    <row r="276" spans="1:13" ht="19.95" customHeight="1">
      <c r="A276" s="438">
        <f t="shared" si="59"/>
        <v>255</v>
      </c>
      <c r="B276" s="442">
        <f t="shared" si="60"/>
        <v>51926</v>
      </c>
      <c r="C276" s="431"/>
      <c r="D276" s="408"/>
      <c r="E276" s="433">
        <f t="shared" si="61"/>
        <v>0</v>
      </c>
      <c r="F276" s="433">
        <f t="shared" si="66"/>
        <v>-5.2294221052495097E-12</v>
      </c>
      <c r="G276" s="433">
        <f t="shared" si="67"/>
        <v>-1.2602907273651317E-9</v>
      </c>
      <c r="H276" s="441"/>
      <c r="I276" s="436">
        <f t="shared" si="62"/>
        <v>0</v>
      </c>
      <c r="J276" s="436">
        <f t="shared" si="65"/>
        <v>0</v>
      </c>
      <c r="K276" s="436">
        <f t="shared" si="63"/>
        <v>4.6475179260596633E-10</v>
      </c>
      <c r="L276" s="437">
        <f t="shared" si="58"/>
        <v>-3.1507268184128292E-10</v>
      </c>
      <c r="M276" s="437">
        <f t="shared" si="64"/>
        <v>1.1618794815149158E-10</v>
      </c>
    </row>
    <row r="277" spans="1:13" ht="19.95" customHeight="1">
      <c r="A277" s="438">
        <f t="shared" si="59"/>
        <v>256</v>
      </c>
      <c r="B277" s="442">
        <f t="shared" si="60"/>
        <v>51957</v>
      </c>
      <c r="C277" s="431"/>
      <c r="D277" s="408"/>
      <c r="E277" s="433">
        <f t="shared" si="61"/>
        <v>0</v>
      </c>
      <c r="F277" s="433">
        <f t="shared" si="66"/>
        <v>-5.251211364021382E-12</v>
      </c>
      <c r="G277" s="433">
        <f t="shared" si="67"/>
        <v>-1.2655419387291531E-9</v>
      </c>
      <c r="H277" s="441"/>
      <c r="I277" s="436">
        <f t="shared" si="62"/>
        <v>0</v>
      </c>
      <c r="J277" s="436">
        <f t="shared" si="65"/>
        <v>0</v>
      </c>
      <c r="K277" s="436">
        <f t="shared" si="63"/>
        <v>4.6475179260596633E-10</v>
      </c>
      <c r="L277" s="437">
        <f t="shared" si="58"/>
        <v>-3.1638548468228828E-10</v>
      </c>
      <c r="M277" s="437">
        <f t="shared" si="64"/>
        <v>1.1618794815149158E-10</v>
      </c>
    </row>
    <row r="278" spans="1:13" ht="19.95" customHeight="1">
      <c r="A278" s="438">
        <f t="shared" si="59"/>
        <v>257</v>
      </c>
      <c r="B278" s="442">
        <f t="shared" si="60"/>
        <v>51987</v>
      </c>
      <c r="C278" s="431"/>
      <c r="D278" s="408"/>
      <c r="E278" s="433">
        <f t="shared" si="61"/>
        <v>0</v>
      </c>
      <c r="F278" s="433">
        <f t="shared" si="66"/>
        <v>-5.2730914113714709E-12</v>
      </c>
      <c r="G278" s="433">
        <f t="shared" si="67"/>
        <v>-1.2708150301405245E-9</v>
      </c>
      <c r="H278" s="441"/>
      <c r="I278" s="436">
        <f t="shared" si="62"/>
        <v>0</v>
      </c>
      <c r="J278" s="436">
        <f t="shared" si="65"/>
        <v>0</v>
      </c>
      <c r="K278" s="436">
        <f t="shared" si="63"/>
        <v>4.6475179260596633E-10</v>
      </c>
      <c r="L278" s="437">
        <f t="shared" ref="L278:L341" si="68">G278*$C$19</f>
        <v>-3.1770375753513112E-10</v>
      </c>
      <c r="M278" s="437">
        <f t="shared" si="64"/>
        <v>1.1618794815149158E-10</v>
      </c>
    </row>
    <row r="279" spans="1:13" ht="19.95" customHeight="1">
      <c r="A279" s="438">
        <f t="shared" ref="A279:A342" si="69">A278+1</f>
        <v>258</v>
      </c>
      <c r="B279" s="442">
        <f t="shared" ref="B279:B342" si="70">EDATE(B278,1)</f>
        <v>52018</v>
      </c>
      <c r="C279" s="431"/>
      <c r="D279" s="408"/>
      <c r="E279" s="433">
        <f t="shared" ref="E279:E342" si="71">(D279+C279)/(POWER((1+$C$17/12),A279-1))</f>
        <v>0</v>
      </c>
      <c r="F279" s="433">
        <f t="shared" si="66"/>
        <v>-5.2950626255855188E-12</v>
      </c>
      <c r="G279" s="433">
        <f t="shared" si="67"/>
        <v>-1.27611009276611E-9</v>
      </c>
      <c r="H279" s="441"/>
      <c r="I279" s="436">
        <f t="shared" ref="I279:I342" si="72">IF(($A279-1)&gt;$C$18,0,($E$349+$H$349)/($C$18))</f>
        <v>0</v>
      </c>
      <c r="J279" s="436">
        <f t="shared" si="65"/>
        <v>0</v>
      </c>
      <c r="K279" s="436">
        <f t="shared" ref="K279:K342" si="73">K278-I279</f>
        <v>4.6475179260596633E-10</v>
      </c>
      <c r="L279" s="437">
        <f t="shared" si="68"/>
        <v>-3.190275231915275E-10</v>
      </c>
      <c r="M279" s="437">
        <f t="shared" ref="M279:M342" si="74">K279*$C$19</f>
        <v>1.1618794815149158E-10</v>
      </c>
    </row>
    <row r="280" spans="1:13" ht="19.95" customHeight="1">
      <c r="A280" s="438">
        <f t="shared" si="69"/>
        <v>259</v>
      </c>
      <c r="B280" s="442">
        <f t="shared" si="70"/>
        <v>52048</v>
      </c>
      <c r="C280" s="431"/>
      <c r="D280" s="408"/>
      <c r="E280" s="433">
        <f t="shared" si="71"/>
        <v>0</v>
      </c>
      <c r="F280" s="433">
        <f t="shared" si="66"/>
        <v>-5.3171253865254586E-12</v>
      </c>
      <c r="G280" s="433">
        <f t="shared" si="67"/>
        <v>-1.2814272181526354E-9</v>
      </c>
      <c r="H280" s="441"/>
      <c r="I280" s="436">
        <f t="shared" si="72"/>
        <v>0</v>
      </c>
      <c r="J280" s="436">
        <f t="shared" si="65"/>
        <v>0</v>
      </c>
      <c r="K280" s="436">
        <f t="shared" si="73"/>
        <v>4.6475179260596633E-10</v>
      </c>
      <c r="L280" s="437">
        <f t="shared" si="68"/>
        <v>-3.2035680453815886E-10</v>
      </c>
      <c r="M280" s="437">
        <f t="shared" si="74"/>
        <v>1.1618794815149158E-10</v>
      </c>
    </row>
    <row r="281" spans="1:13" ht="19.95" customHeight="1">
      <c r="A281" s="438">
        <f t="shared" si="69"/>
        <v>260</v>
      </c>
      <c r="B281" s="442">
        <f t="shared" si="70"/>
        <v>52079</v>
      </c>
      <c r="C281" s="431"/>
      <c r="D281" s="408"/>
      <c r="E281" s="433">
        <f t="shared" si="71"/>
        <v>0</v>
      </c>
      <c r="F281" s="433">
        <f t="shared" si="66"/>
        <v>-5.3392800756359806E-12</v>
      </c>
      <c r="G281" s="433">
        <f t="shared" si="67"/>
        <v>-1.2867664982282714E-9</v>
      </c>
      <c r="H281" s="441"/>
      <c r="I281" s="436">
        <f t="shared" si="72"/>
        <v>0</v>
      </c>
      <c r="J281" s="436">
        <f t="shared" ref="J281:J344" si="75">IF(I281=0,0,J280+I281)</f>
        <v>0</v>
      </c>
      <c r="K281" s="436">
        <f t="shared" si="73"/>
        <v>4.6475179260596633E-10</v>
      </c>
      <c r="L281" s="437">
        <f t="shared" si="68"/>
        <v>-3.2169162455706784E-10</v>
      </c>
      <c r="M281" s="437">
        <f t="shared" si="74"/>
        <v>1.1618794815149158E-10</v>
      </c>
    </row>
    <row r="282" spans="1:13" ht="19.95" customHeight="1">
      <c r="A282" s="438">
        <f t="shared" si="69"/>
        <v>261</v>
      </c>
      <c r="B282" s="442">
        <f t="shared" si="70"/>
        <v>52110</v>
      </c>
      <c r="C282" s="431"/>
      <c r="D282" s="408"/>
      <c r="E282" s="433">
        <f t="shared" si="71"/>
        <v>0</v>
      </c>
      <c r="F282" s="433">
        <f t="shared" si="66"/>
        <v>-5.3615270759511309E-12</v>
      </c>
      <c r="G282" s="433">
        <f t="shared" si="67"/>
        <v>-1.2921280253042225E-9</v>
      </c>
      <c r="H282" s="441"/>
      <c r="I282" s="436">
        <f t="shared" si="72"/>
        <v>0</v>
      </c>
      <c r="J282" s="436">
        <f t="shared" si="75"/>
        <v>0</v>
      </c>
      <c r="K282" s="436">
        <f t="shared" si="73"/>
        <v>4.6475179260596633E-10</v>
      </c>
      <c r="L282" s="437">
        <f t="shared" si="68"/>
        <v>-3.2303200632605563E-10</v>
      </c>
      <c r="M282" s="437">
        <f t="shared" si="74"/>
        <v>1.1618794815149158E-10</v>
      </c>
    </row>
    <row r="283" spans="1:13" ht="19.95" customHeight="1">
      <c r="A283" s="438">
        <f t="shared" si="69"/>
        <v>262</v>
      </c>
      <c r="B283" s="442">
        <f t="shared" si="70"/>
        <v>52140</v>
      </c>
      <c r="C283" s="431"/>
      <c r="D283" s="408"/>
      <c r="E283" s="433">
        <f t="shared" si="71"/>
        <v>0</v>
      </c>
      <c r="F283" s="433">
        <f t="shared" si="66"/>
        <v>-5.383866772100927E-12</v>
      </c>
      <c r="G283" s="433">
        <f t="shared" si="67"/>
        <v>-1.2975118920763234E-9</v>
      </c>
      <c r="H283" s="441"/>
      <c r="I283" s="436">
        <f t="shared" si="72"/>
        <v>0</v>
      </c>
      <c r="J283" s="436">
        <f t="shared" si="75"/>
        <v>0</v>
      </c>
      <c r="K283" s="436">
        <f t="shared" si="73"/>
        <v>4.6475179260596633E-10</v>
      </c>
      <c r="L283" s="437">
        <f t="shared" si="68"/>
        <v>-3.2437797301908084E-10</v>
      </c>
      <c r="M283" s="437">
        <f t="shared" si="74"/>
        <v>1.1618794815149158E-10</v>
      </c>
    </row>
    <row r="284" spans="1:13" ht="19.95" customHeight="1">
      <c r="A284" s="438">
        <f t="shared" si="69"/>
        <v>263</v>
      </c>
      <c r="B284" s="442">
        <f t="shared" si="70"/>
        <v>52171</v>
      </c>
      <c r="C284" s="431"/>
      <c r="D284" s="408"/>
      <c r="E284" s="433">
        <f t="shared" si="71"/>
        <v>0</v>
      </c>
      <c r="F284" s="433">
        <f t="shared" si="66"/>
        <v>-5.406299550318014E-12</v>
      </c>
      <c r="G284" s="433">
        <f t="shared" si="67"/>
        <v>-1.3029181916266415E-9</v>
      </c>
      <c r="H284" s="441"/>
      <c r="I284" s="436">
        <f t="shared" si="72"/>
        <v>0</v>
      </c>
      <c r="J284" s="436">
        <f t="shared" si="75"/>
        <v>0</v>
      </c>
      <c r="K284" s="436">
        <f t="shared" si="73"/>
        <v>4.6475179260596633E-10</v>
      </c>
      <c r="L284" s="437">
        <f t="shared" si="68"/>
        <v>-3.2572954790666036E-10</v>
      </c>
      <c r="M284" s="437">
        <f t="shared" si="74"/>
        <v>1.1618794815149158E-10</v>
      </c>
    </row>
    <row r="285" spans="1:13" ht="19.95" customHeight="1">
      <c r="A285" s="438">
        <f t="shared" si="69"/>
        <v>264</v>
      </c>
      <c r="B285" s="442">
        <f t="shared" si="70"/>
        <v>52201</v>
      </c>
      <c r="C285" s="431"/>
      <c r="D285" s="408"/>
      <c r="E285" s="433">
        <f t="shared" si="71"/>
        <v>0</v>
      </c>
      <c r="F285" s="433">
        <f t="shared" si="66"/>
        <v>-5.428825798444339E-12</v>
      </c>
      <c r="G285" s="433">
        <f t="shared" si="67"/>
        <v>-1.3083470174250857E-9</v>
      </c>
      <c r="H285" s="441"/>
      <c r="I285" s="436">
        <f t="shared" si="72"/>
        <v>0</v>
      </c>
      <c r="J285" s="436">
        <f t="shared" si="75"/>
        <v>0</v>
      </c>
      <c r="K285" s="436">
        <f t="shared" si="73"/>
        <v>4.6475179260596633E-10</v>
      </c>
      <c r="L285" s="437">
        <f t="shared" si="68"/>
        <v>-3.2708675435627143E-10</v>
      </c>
      <c r="M285" s="437">
        <f t="shared" si="74"/>
        <v>1.1618794815149158E-10</v>
      </c>
    </row>
    <row r="286" spans="1:13" ht="19.95" customHeight="1">
      <c r="A286" s="438">
        <f t="shared" si="69"/>
        <v>265</v>
      </c>
      <c r="B286" s="442">
        <f t="shared" si="70"/>
        <v>52232</v>
      </c>
      <c r="C286" s="431"/>
      <c r="D286" s="408"/>
      <c r="E286" s="433">
        <f t="shared" si="71"/>
        <v>0</v>
      </c>
      <c r="F286" s="433">
        <f t="shared" si="66"/>
        <v>-5.4514459059378569E-12</v>
      </c>
      <c r="G286" s="433">
        <f t="shared" si="67"/>
        <v>-1.3137984633310236E-9</v>
      </c>
      <c r="H286" s="441"/>
      <c r="I286" s="436">
        <f t="shared" si="72"/>
        <v>0</v>
      </c>
      <c r="J286" s="436">
        <f t="shared" si="75"/>
        <v>0</v>
      </c>
      <c r="K286" s="436">
        <f t="shared" si="73"/>
        <v>4.6475179260596633E-10</v>
      </c>
      <c r="L286" s="437">
        <f t="shared" si="68"/>
        <v>-3.2844961583275589E-10</v>
      </c>
      <c r="M286" s="437">
        <f t="shared" si="74"/>
        <v>1.1618794815149158E-10</v>
      </c>
    </row>
    <row r="287" spans="1:13" ht="19.95" customHeight="1">
      <c r="A287" s="438">
        <f t="shared" si="69"/>
        <v>266</v>
      </c>
      <c r="B287" s="442">
        <f t="shared" si="70"/>
        <v>52263</v>
      </c>
      <c r="C287" s="431"/>
      <c r="D287" s="408"/>
      <c r="E287" s="433">
        <f t="shared" si="71"/>
        <v>0</v>
      </c>
      <c r="F287" s="433">
        <f t="shared" si="66"/>
        <v>-5.474160263879265E-12</v>
      </c>
      <c r="G287" s="433">
        <f t="shared" si="67"/>
        <v>-1.3192726235949028E-9</v>
      </c>
      <c r="H287" s="441"/>
      <c r="I287" s="436">
        <f t="shared" si="72"/>
        <v>0</v>
      </c>
      <c r="J287" s="436">
        <f t="shared" si="75"/>
        <v>0</v>
      </c>
      <c r="K287" s="436">
        <f t="shared" si="73"/>
        <v>4.6475179260596633E-10</v>
      </c>
      <c r="L287" s="437">
        <f t="shared" si="68"/>
        <v>-3.2981815589872569E-10</v>
      </c>
      <c r="M287" s="437">
        <f t="shared" si="74"/>
        <v>1.1618794815149158E-10</v>
      </c>
    </row>
    <row r="288" spans="1:13" ht="19.95" customHeight="1">
      <c r="A288" s="438">
        <f t="shared" si="69"/>
        <v>267</v>
      </c>
      <c r="B288" s="442">
        <f t="shared" si="70"/>
        <v>52291</v>
      </c>
      <c r="C288" s="431"/>
      <c r="D288" s="408"/>
      <c r="E288" s="433">
        <f t="shared" si="71"/>
        <v>0</v>
      </c>
      <c r="F288" s="433">
        <f t="shared" si="66"/>
        <v>-5.4969692649787615E-12</v>
      </c>
      <c r="G288" s="433">
        <f t="shared" si="67"/>
        <v>-1.3247695928598816E-9</v>
      </c>
      <c r="H288" s="441"/>
      <c r="I288" s="436">
        <f t="shared" si="72"/>
        <v>0</v>
      </c>
      <c r="J288" s="436">
        <f t="shared" si="75"/>
        <v>0</v>
      </c>
      <c r="K288" s="436">
        <f t="shared" si="73"/>
        <v>4.6475179260596633E-10</v>
      </c>
      <c r="L288" s="437">
        <f t="shared" si="68"/>
        <v>-3.3119239821497041E-10</v>
      </c>
      <c r="M288" s="437">
        <f t="shared" si="74"/>
        <v>1.1618794815149158E-10</v>
      </c>
    </row>
    <row r="289" spans="1:13" ht="19.95" customHeight="1">
      <c r="A289" s="438">
        <f t="shared" si="69"/>
        <v>268</v>
      </c>
      <c r="B289" s="442">
        <f t="shared" si="70"/>
        <v>52322</v>
      </c>
      <c r="C289" s="431"/>
      <c r="D289" s="408"/>
      <c r="E289" s="433">
        <f t="shared" si="71"/>
        <v>0</v>
      </c>
      <c r="F289" s="433">
        <f t="shared" si="66"/>
        <v>-5.5198733035828402E-12</v>
      </c>
      <c r="G289" s="433">
        <f t="shared" si="67"/>
        <v>-1.3302894661634644E-9</v>
      </c>
      <c r="H289" s="441"/>
      <c r="I289" s="436">
        <f t="shared" si="72"/>
        <v>0</v>
      </c>
      <c r="J289" s="436">
        <f t="shared" si="75"/>
        <v>0</v>
      </c>
      <c r="K289" s="436">
        <f t="shared" si="73"/>
        <v>4.6475179260596633E-10</v>
      </c>
      <c r="L289" s="437">
        <f t="shared" si="68"/>
        <v>-3.3257236654086611E-10</v>
      </c>
      <c r="M289" s="437">
        <f t="shared" si="74"/>
        <v>1.1618794815149158E-10</v>
      </c>
    </row>
    <row r="290" spans="1:13" ht="19.95" customHeight="1">
      <c r="A290" s="438">
        <f t="shared" si="69"/>
        <v>269</v>
      </c>
      <c r="B290" s="442">
        <f t="shared" si="70"/>
        <v>52352</v>
      </c>
      <c r="C290" s="431"/>
      <c r="D290" s="408"/>
      <c r="E290" s="433">
        <f t="shared" si="71"/>
        <v>0</v>
      </c>
      <c r="F290" s="433">
        <f t="shared" si="66"/>
        <v>-5.5428727756811018E-12</v>
      </c>
      <c r="G290" s="433">
        <f t="shared" si="67"/>
        <v>-1.3358323389391456E-9</v>
      </c>
      <c r="H290" s="441"/>
      <c r="I290" s="436">
        <f t="shared" si="72"/>
        <v>0</v>
      </c>
      <c r="J290" s="436">
        <f t="shared" si="75"/>
        <v>0</v>
      </c>
      <c r="K290" s="436">
        <f t="shared" si="73"/>
        <v>4.6475179260596633E-10</v>
      </c>
      <c r="L290" s="437">
        <f t="shared" si="68"/>
        <v>-3.3395808473478641E-10</v>
      </c>
      <c r="M290" s="437">
        <f t="shared" si="74"/>
        <v>1.1618794815149158E-10</v>
      </c>
    </row>
    <row r="291" spans="1:13" ht="19.95" customHeight="1">
      <c r="A291" s="438">
        <f t="shared" si="69"/>
        <v>270</v>
      </c>
      <c r="B291" s="442">
        <f t="shared" si="70"/>
        <v>52383</v>
      </c>
      <c r="C291" s="431"/>
      <c r="D291" s="408"/>
      <c r="E291" s="433">
        <f t="shared" si="71"/>
        <v>0</v>
      </c>
      <c r="F291" s="433">
        <f t="shared" si="66"/>
        <v>-5.5659680789131068E-12</v>
      </c>
      <c r="G291" s="433">
        <f t="shared" si="67"/>
        <v>-1.3413983070180588E-9</v>
      </c>
      <c r="H291" s="441"/>
      <c r="I291" s="436">
        <f t="shared" si="72"/>
        <v>0</v>
      </c>
      <c r="J291" s="436">
        <f t="shared" si="75"/>
        <v>0</v>
      </c>
      <c r="K291" s="436">
        <f t="shared" si="73"/>
        <v>4.6475179260596633E-10</v>
      </c>
      <c r="L291" s="437">
        <f t="shared" si="68"/>
        <v>-3.3534957675451471E-10</v>
      </c>
      <c r="M291" s="437">
        <f t="shared" si="74"/>
        <v>1.1618794815149158E-10</v>
      </c>
    </row>
    <row r="292" spans="1:13" ht="19.95" customHeight="1">
      <c r="A292" s="438">
        <f t="shared" si="69"/>
        <v>271</v>
      </c>
      <c r="B292" s="442">
        <f t="shared" si="70"/>
        <v>52413</v>
      </c>
      <c r="C292" s="431"/>
      <c r="D292" s="408"/>
      <c r="E292" s="433">
        <f t="shared" si="71"/>
        <v>0</v>
      </c>
      <c r="F292" s="433">
        <f t="shared" si="66"/>
        <v>-5.5891596125752453E-12</v>
      </c>
      <c r="G292" s="433">
        <f t="shared" si="67"/>
        <v>-1.3469874666306341E-9</v>
      </c>
      <c r="H292" s="441"/>
      <c r="I292" s="436">
        <f t="shared" si="72"/>
        <v>0</v>
      </c>
      <c r="J292" s="436">
        <f t="shared" si="75"/>
        <v>0</v>
      </c>
      <c r="K292" s="436">
        <f t="shared" si="73"/>
        <v>4.6475179260596633E-10</v>
      </c>
      <c r="L292" s="437">
        <f t="shared" si="68"/>
        <v>-3.3674686665765852E-10</v>
      </c>
      <c r="M292" s="437">
        <f t="shared" si="74"/>
        <v>1.1618794815149158E-10</v>
      </c>
    </row>
    <row r="293" spans="1:13" ht="19.95" customHeight="1">
      <c r="A293" s="438">
        <f t="shared" si="69"/>
        <v>272</v>
      </c>
      <c r="B293" s="442">
        <f t="shared" si="70"/>
        <v>52444</v>
      </c>
      <c r="C293" s="431"/>
      <c r="D293" s="408"/>
      <c r="E293" s="433">
        <f t="shared" si="71"/>
        <v>0</v>
      </c>
      <c r="F293" s="433">
        <f t="shared" si="66"/>
        <v>-5.6124477776276417E-12</v>
      </c>
      <c r="G293" s="433">
        <f t="shared" si="67"/>
        <v>-1.3525999144082617E-9</v>
      </c>
      <c r="H293" s="441"/>
      <c r="I293" s="436">
        <f t="shared" si="72"/>
        <v>0</v>
      </c>
      <c r="J293" s="436">
        <f t="shared" si="75"/>
        <v>0</v>
      </c>
      <c r="K293" s="436">
        <f t="shared" si="73"/>
        <v>4.6475179260596633E-10</v>
      </c>
      <c r="L293" s="437">
        <f t="shared" si="68"/>
        <v>-3.3814997860206542E-10</v>
      </c>
      <c r="M293" s="437">
        <f t="shared" si="74"/>
        <v>1.1618794815149158E-10</v>
      </c>
    </row>
    <row r="294" spans="1:13" ht="19.95" customHeight="1">
      <c r="A294" s="438">
        <f t="shared" si="69"/>
        <v>273</v>
      </c>
      <c r="B294" s="442">
        <f t="shared" si="70"/>
        <v>52475</v>
      </c>
      <c r="C294" s="431"/>
      <c r="D294" s="408"/>
      <c r="E294" s="433">
        <f t="shared" si="71"/>
        <v>0</v>
      </c>
      <c r="F294" s="433">
        <f t="shared" si="66"/>
        <v>-5.63583297670109E-12</v>
      </c>
      <c r="G294" s="433">
        <f t="shared" si="67"/>
        <v>-1.3582357473849627E-9</v>
      </c>
      <c r="H294" s="441"/>
      <c r="I294" s="436">
        <f t="shared" si="72"/>
        <v>0</v>
      </c>
      <c r="J294" s="436">
        <f t="shared" si="75"/>
        <v>0</v>
      </c>
      <c r="K294" s="436">
        <f t="shared" si="73"/>
        <v>4.6475179260596633E-10</v>
      </c>
      <c r="L294" s="437">
        <f t="shared" si="68"/>
        <v>-3.3955893684624068E-10</v>
      </c>
      <c r="M294" s="437">
        <f t="shared" si="74"/>
        <v>1.1618794815149158E-10</v>
      </c>
    </row>
    <row r="295" spans="1:13" ht="19.95" customHeight="1">
      <c r="A295" s="438">
        <f t="shared" si="69"/>
        <v>274</v>
      </c>
      <c r="B295" s="442">
        <f t="shared" si="70"/>
        <v>52505</v>
      </c>
      <c r="C295" s="431"/>
      <c r="D295" s="408"/>
      <c r="E295" s="433">
        <f t="shared" si="71"/>
        <v>0</v>
      </c>
      <c r="F295" s="433">
        <f t="shared" si="66"/>
        <v>-5.6593156141040115E-12</v>
      </c>
      <c r="G295" s="433">
        <f t="shared" si="67"/>
        <v>-1.3638950629990667E-9</v>
      </c>
      <c r="H295" s="441"/>
      <c r="I295" s="436">
        <f t="shared" si="72"/>
        <v>0</v>
      </c>
      <c r="J295" s="436">
        <f t="shared" si="75"/>
        <v>0</v>
      </c>
      <c r="K295" s="436">
        <f t="shared" si="73"/>
        <v>4.6475179260596633E-10</v>
      </c>
      <c r="L295" s="437">
        <f t="shared" si="68"/>
        <v>-3.4097376574976667E-10</v>
      </c>
      <c r="M295" s="437">
        <f t="shared" si="74"/>
        <v>1.1618794815149158E-10</v>
      </c>
    </row>
    <row r="296" spans="1:13" ht="19.95" customHeight="1">
      <c r="A296" s="438">
        <f t="shared" si="69"/>
        <v>275</v>
      </c>
      <c r="B296" s="442">
        <f t="shared" si="70"/>
        <v>52536</v>
      </c>
      <c r="C296" s="431"/>
      <c r="D296" s="408"/>
      <c r="E296" s="433">
        <f t="shared" si="71"/>
        <v>0</v>
      </c>
      <c r="F296" s="433">
        <f t="shared" si="66"/>
        <v>-5.6828960958294447E-12</v>
      </c>
      <c r="G296" s="433">
        <f t="shared" si="67"/>
        <v>-1.3695779590948962E-9</v>
      </c>
      <c r="H296" s="441"/>
      <c r="I296" s="436">
        <f t="shared" si="72"/>
        <v>0</v>
      </c>
      <c r="J296" s="436">
        <f t="shared" si="75"/>
        <v>0</v>
      </c>
      <c r="K296" s="436">
        <f t="shared" si="73"/>
        <v>4.6475179260596633E-10</v>
      </c>
      <c r="L296" s="437">
        <f t="shared" si="68"/>
        <v>-3.4239448977372406E-10</v>
      </c>
      <c r="M296" s="437">
        <f t="shared" si="74"/>
        <v>1.1618794815149158E-10</v>
      </c>
    </row>
    <row r="297" spans="1:13" ht="19.95" customHeight="1">
      <c r="A297" s="438">
        <f t="shared" si="69"/>
        <v>276</v>
      </c>
      <c r="B297" s="442">
        <f t="shared" si="70"/>
        <v>52566</v>
      </c>
      <c r="C297" s="431"/>
      <c r="D297" s="408"/>
      <c r="E297" s="433">
        <f t="shared" si="71"/>
        <v>0</v>
      </c>
      <c r="F297" s="433">
        <f t="shared" si="66"/>
        <v>-5.7065748295620674E-12</v>
      </c>
      <c r="G297" s="433">
        <f t="shared" si="67"/>
        <v>-1.3752845339244583E-9</v>
      </c>
      <c r="H297" s="441"/>
      <c r="I297" s="436">
        <f t="shared" si="72"/>
        <v>0</v>
      </c>
      <c r="J297" s="436">
        <f t="shared" si="75"/>
        <v>0</v>
      </c>
      <c r="K297" s="436">
        <f t="shared" si="73"/>
        <v>4.6475179260596633E-10</v>
      </c>
      <c r="L297" s="437">
        <f t="shared" si="68"/>
        <v>-3.4382113348111457E-10</v>
      </c>
      <c r="M297" s="437">
        <f t="shared" si="74"/>
        <v>1.1618794815149158E-10</v>
      </c>
    </row>
    <row r="298" spans="1:13" ht="19.95" customHeight="1">
      <c r="A298" s="438">
        <f t="shared" si="69"/>
        <v>277</v>
      </c>
      <c r="B298" s="442">
        <f t="shared" si="70"/>
        <v>52597</v>
      </c>
      <c r="C298" s="431"/>
      <c r="D298" s="408"/>
      <c r="E298" s="433">
        <f t="shared" si="71"/>
        <v>0</v>
      </c>
      <c r="F298" s="433">
        <f t="shared" si="66"/>
        <v>-5.730352224685243E-12</v>
      </c>
      <c r="G298" s="433">
        <f t="shared" si="67"/>
        <v>-1.3810148861491434E-9</v>
      </c>
      <c r="H298" s="441"/>
      <c r="I298" s="436">
        <f t="shared" si="72"/>
        <v>0</v>
      </c>
      <c r="J298" s="436">
        <f t="shared" si="75"/>
        <v>0</v>
      </c>
      <c r="K298" s="436">
        <f t="shared" si="73"/>
        <v>4.6475179260596633E-10</v>
      </c>
      <c r="L298" s="437">
        <f t="shared" si="68"/>
        <v>-3.4525372153728585E-10</v>
      </c>
      <c r="M298" s="437">
        <f t="shared" si="74"/>
        <v>1.1618794815149158E-10</v>
      </c>
    </row>
    <row r="299" spans="1:13" ht="19.95" customHeight="1">
      <c r="A299" s="438">
        <f t="shared" si="69"/>
        <v>278</v>
      </c>
      <c r="B299" s="442">
        <f t="shared" si="70"/>
        <v>52628</v>
      </c>
      <c r="C299" s="431"/>
      <c r="D299" s="408"/>
      <c r="E299" s="433">
        <f t="shared" si="71"/>
        <v>0</v>
      </c>
      <c r="F299" s="433">
        <f t="shared" si="66"/>
        <v>-5.7542286922880977E-12</v>
      </c>
      <c r="G299" s="433">
        <f t="shared" si="67"/>
        <v>-1.3867691148414316E-9</v>
      </c>
      <c r="H299" s="441"/>
      <c r="I299" s="436">
        <f t="shared" si="72"/>
        <v>0</v>
      </c>
      <c r="J299" s="436">
        <f t="shared" si="75"/>
        <v>0</v>
      </c>
      <c r="K299" s="436">
        <f t="shared" si="73"/>
        <v>4.6475179260596633E-10</v>
      </c>
      <c r="L299" s="437">
        <f t="shared" si="68"/>
        <v>-3.466922787103579E-10</v>
      </c>
      <c r="M299" s="437">
        <f t="shared" si="74"/>
        <v>1.1618794815149158E-10</v>
      </c>
    </row>
    <row r="300" spans="1:13" ht="19.95" customHeight="1">
      <c r="A300" s="438">
        <f t="shared" si="69"/>
        <v>279</v>
      </c>
      <c r="B300" s="442">
        <f t="shared" si="70"/>
        <v>52657</v>
      </c>
      <c r="C300" s="431"/>
      <c r="D300" s="408"/>
      <c r="E300" s="433">
        <f t="shared" si="71"/>
        <v>0</v>
      </c>
      <c r="F300" s="433">
        <f t="shared" si="66"/>
        <v>-5.7782046451726313E-12</v>
      </c>
      <c r="G300" s="433">
        <f t="shared" si="67"/>
        <v>-1.3925473194866043E-9</v>
      </c>
      <c r="H300" s="441"/>
      <c r="I300" s="436">
        <f t="shared" si="72"/>
        <v>0</v>
      </c>
      <c r="J300" s="436">
        <f t="shared" si="75"/>
        <v>0</v>
      </c>
      <c r="K300" s="436">
        <f t="shared" si="73"/>
        <v>4.6475179260596633E-10</v>
      </c>
      <c r="L300" s="437">
        <f t="shared" si="68"/>
        <v>-3.4813682987165108E-10</v>
      </c>
      <c r="M300" s="437">
        <f t="shared" si="74"/>
        <v>1.1618794815149158E-10</v>
      </c>
    </row>
    <row r="301" spans="1:13" ht="19.95" customHeight="1">
      <c r="A301" s="438">
        <f t="shared" si="69"/>
        <v>280</v>
      </c>
      <c r="B301" s="442">
        <f t="shared" si="70"/>
        <v>52688</v>
      </c>
      <c r="C301" s="431"/>
      <c r="D301" s="408"/>
      <c r="E301" s="433">
        <f t="shared" si="71"/>
        <v>0</v>
      </c>
      <c r="F301" s="433">
        <f t="shared" si="66"/>
        <v>-5.8022804978608512E-12</v>
      </c>
      <c r="G301" s="433">
        <f t="shared" si="67"/>
        <v>-1.3983495999844652E-9</v>
      </c>
      <c r="H301" s="441"/>
      <c r="I301" s="436">
        <f t="shared" si="72"/>
        <v>0</v>
      </c>
      <c r="J301" s="436">
        <f t="shared" si="75"/>
        <v>0</v>
      </c>
      <c r="K301" s="436">
        <f t="shared" si="73"/>
        <v>4.6475179260596633E-10</v>
      </c>
      <c r="L301" s="437">
        <f t="shared" si="68"/>
        <v>-3.4958739999611631E-10</v>
      </c>
      <c r="M301" s="437">
        <f t="shared" si="74"/>
        <v>1.1618794815149158E-10</v>
      </c>
    </row>
    <row r="302" spans="1:13" ht="19.95" customHeight="1">
      <c r="A302" s="438">
        <f t="shared" si="69"/>
        <v>281</v>
      </c>
      <c r="B302" s="442">
        <f t="shared" si="70"/>
        <v>52718</v>
      </c>
      <c r="C302" s="431"/>
      <c r="D302" s="408"/>
      <c r="E302" s="433">
        <f t="shared" si="71"/>
        <v>0</v>
      </c>
      <c r="F302" s="433">
        <f t="shared" si="66"/>
        <v>-5.8264566666019389E-12</v>
      </c>
      <c r="G302" s="433">
        <f t="shared" si="67"/>
        <v>-1.4041760566510671E-9</v>
      </c>
      <c r="H302" s="441"/>
      <c r="I302" s="436">
        <f t="shared" si="72"/>
        <v>0</v>
      </c>
      <c r="J302" s="436">
        <f t="shared" si="75"/>
        <v>0</v>
      </c>
      <c r="K302" s="436">
        <f t="shared" si="73"/>
        <v>4.6475179260596633E-10</v>
      </c>
      <c r="L302" s="437">
        <f t="shared" si="68"/>
        <v>-3.5104401416276677E-10</v>
      </c>
      <c r="M302" s="437">
        <f t="shared" si="74"/>
        <v>1.1618794815149158E-10</v>
      </c>
    </row>
    <row r="303" spans="1:13" ht="19.95" customHeight="1">
      <c r="A303" s="438">
        <f t="shared" si="69"/>
        <v>282</v>
      </c>
      <c r="B303" s="442">
        <f t="shared" si="70"/>
        <v>52749</v>
      </c>
      <c r="C303" s="431"/>
      <c r="D303" s="408"/>
      <c r="E303" s="433">
        <f t="shared" si="71"/>
        <v>0</v>
      </c>
      <c r="F303" s="433">
        <f t="shared" si="66"/>
        <v>-5.8507335693794464E-12</v>
      </c>
      <c r="G303" s="433">
        <f t="shared" si="67"/>
        <v>-1.4100267902204464E-9</v>
      </c>
      <c r="H303" s="441"/>
      <c r="I303" s="436">
        <f t="shared" si="72"/>
        <v>0</v>
      </c>
      <c r="J303" s="436">
        <f t="shared" si="75"/>
        <v>0</v>
      </c>
      <c r="K303" s="436">
        <f t="shared" si="73"/>
        <v>4.6475179260596633E-10</v>
      </c>
      <c r="L303" s="437">
        <f t="shared" si="68"/>
        <v>-3.5250669755511161E-10</v>
      </c>
      <c r="M303" s="437">
        <f t="shared" si="74"/>
        <v>1.1618794815149158E-10</v>
      </c>
    </row>
    <row r="304" spans="1:13" ht="19.95" customHeight="1">
      <c r="A304" s="438">
        <f t="shared" si="69"/>
        <v>283</v>
      </c>
      <c r="B304" s="442">
        <f t="shared" si="70"/>
        <v>52779</v>
      </c>
      <c r="C304" s="431"/>
      <c r="D304" s="408"/>
      <c r="E304" s="433">
        <f t="shared" si="71"/>
        <v>0</v>
      </c>
      <c r="F304" s="433">
        <f t="shared" si="66"/>
        <v>-5.8751116259185264E-12</v>
      </c>
      <c r="G304" s="433">
        <f t="shared" si="67"/>
        <v>-1.415901901846365E-9</v>
      </c>
      <c r="H304" s="441"/>
      <c r="I304" s="436">
        <f t="shared" si="72"/>
        <v>0</v>
      </c>
      <c r="J304" s="436">
        <f t="shared" si="75"/>
        <v>0</v>
      </c>
      <c r="K304" s="436">
        <f t="shared" si="73"/>
        <v>4.6475179260596633E-10</v>
      </c>
      <c r="L304" s="437">
        <f t="shared" si="68"/>
        <v>-3.5397547546159124E-10</v>
      </c>
      <c r="M304" s="437">
        <f t="shared" si="74"/>
        <v>1.1618794815149158E-10</v>
      </c>
    </row>
    <row r="305" spans="1:13" ht="19.95" customHeight="1">
      <c r="A305" s="438">
        <f t="shared" si="69"/>
        <v>284</v>
      </c>
      <c r="B305" s="442">
        <f t="shared" si="70"/>
        <v>52810</v>
      </c>
      <c r="C305" s="431"/>
      <c r="D305" s="408"/>
      <c r="E305" s="433">
        <f t="shared" si="71"/>
        <v>0</v>
      </c>
      <c r="F305" s="433">
        <f t="shared" si="66"/>
        <v>-5.899591257693187E-12</v>
      </c>
      <c r="G305" s="433">
        <f t="shared" si="67"/>
        <v>-1.4218014931040581E-9</v>
      </c>
      <c r="H305" s="441"/>
      <c r="I305" s="436">
        <f t="shared" si="72"/>
        <v>0</v>
      </c>
      <c r="J305" s="436">
        <f t="shared" si="75"/>
        <v>0</v>
      </c>
      <c r="K305" s="436">
        <f t="shared" si="73"/>
        <v>4.6475179260596633E-10</v>
      </c>
      <c r="L305" s="437">
        <f t="shared" si="68"/>
        <v>-3.5545037327601453E-10</v>
      </c>
      <c r="M305" s="437">
        <f t="shared" si="74"/>
        <v>1.1618794815149158E-10</v>
      </c>
    </row>
    <row r="306" spans="1:13" ht="19.95" customHeight="1">
      <c r="A306" s="438">
        <f t="shared" si="69"/>
        <v>285</v>
      </c>
      <c r="B306" s="442">
        <f t="shared" si="70"/>
        <v>52841</v>
      </c>
      <c r="C306" s="431"/>
      <c r="D306" s="408"/>
      <c r="E306" s="433">
        <f t="shared" si="71"/>
        <v>0</v>
      </c>
      <c r="F306" s="433">
        <f t="shared" si="66"/>
        <v>-5.9241728879335754E-12</v>
      </c>
      <c r="G306" s="433">
        <f t="shared" si="67"/>
        <v>-1.4277256659919916E-9</v>
      </c>
      <c r="H306" s="441"/>
      <c r="I306" s="436">
        <f t="shared" si="72"/>
        <v>0</v>
      </c>
      <c r="J306" s="436">
        <f t="shared" si="75"/>
        <v>0</v>
      </c>
      <c r="K306" s="436">
        <f t="shared" si="73"/>
        <v>4.6475179260596633E-10</v>
      </c>
      <c r="L306" s="437">
        <f t="shared" si="68"/>
        <v>-3.569314164979979E-10</v>
      </c>
      <c r="M306" s="437">
        <f t="shared" si="74"/>
        <v>1.1618794815149158E-10</v>
      </c>
    </row>
    <row r="307" spans="1:13" ht="19.95" customHeight="1">
      <c r="A307" s="438">
        <f t="shared" si="69"/>
        <v>286</v>
      </c>
      <c r="B307" s="442">
        <f t="shared" si="70"/>
        <v>52871</v>
      </c>
      <c r="C307" s="431"/>
      <c r="D307" s="408"/>
      <c r="E307" s="433">
        <f t="shared" si="71"/>
        <v>0</v>
      </c>
      <c r="F307" s="433">
        <f t="shared" si="66"/>
        <v>-5.9488569416332979E-12</v>
      </c>
      <c r="G307" s="433">
        <f t="shared" si="67"/>
        <v>-1.4336745229336249E-9</v>
      </c>
      <c r="H307" s="441"/>
      <c r="I307" s="436">
        <f t="shared" si="72"/>
        <v>0</v>
      </c>
      <c r="J307" s="436">
        <f t="shared" si="75"/>
        <v>0</v>
      </c>
      <c r="K307" s="436">
        <f t="shared" si="73"/>
        <v>4.6475179260596633E-10</v>
      </c>
      <c r="L307" s="437">
        <f t="shared" si="68"/>
        <v>-3.5841863073340623E-10</v>
      </c>
      <c r="M307" s="437">
        <f t="shared" si="74"/>
        <v>1.1618794815149158E-10</v>
      </c>
    </row>
    <row r="308" spans="1:13" ht="19.95" customHeight="1">
      <c r="A308" s="438">
        <f t="shared" si="69"/>
        <v>287</v>
      </c>
      <c r="B308" s="442">
        <f t="shared" si="70"/>
        <v>52902</v>
      </c>
      <c r="C308" s="431"/>
      <c r="D308" s="408"/>
      <c r="E308" s="433">
        <f t="shared" si="71"/>
        <v>0</v>
      </c>
      <c r="F308" s="433">
        <f t="shared" si="66"/>
        <v>-5.9736438455567708E-12</v>
      </c>
      <c r="G308" s="433">
        <f t="shared" si="67"/>
        <v>-1.4396481667791816E-9</v>
      </c>
      <c r="H308" s="441"/>
      <c r="I308" s="436">
        <f t="shared" si="72"/>
        <v>0</v>
      </c>
      <c r="J308" s="436">
        <f t="shared" si="75"/>
        <v>0</v>
      </c>
      <c r="K308" s="436">
        <f t="shared" si="73"/>
        <v>4.6475179260596633E-10</v>
      </c>
      <c r="L308" s="437">
        <f t="shared" si="68"/>
        <v>-3.5991204169479541E-10</v>
      </c>
      <c r="M308" s="437">
        <f t="shared" si="74"/>
        <v>1.1618794815149158E-10</v>
      </c>
    </row>
    <row r="309" spans="1:13" ht="19.95" customHeight="1">
      <c r="A309" s="438">
        <f t="shared" si="69"/>
        <v>288</v>
      </c>
      <c r="B309" s="442">
        <f t="shared" si="70"/>
        <v>52932</v>
      </c>
      <c r="C309" s="431"/>
      <c r="D309" s="408"/>
      <c r="E309" s="433">
        <f t="shared" si="71"/>
        <v>0</v>
      </c>
      <c r="F309" s="433">
        <f t="shared" si="66"/>
        <v>-5.99853402824659E-12</v>
      </c>
      <c r="G309" s="433">
        <f t="shared" si="67"/>
        <v>-1.4456467008074282E-9</v>
      </c>
      <c r="H309" s="441"/>
      <c r="I309" s="436">
        <f t="shared" si="72"/>
        <v>0</v>
      </c>
      <c r="J309" s="436">
        <f t="shared" si="75"/>
        <v>0</v>
      </c>
      <c r="K309" s="436">
        <f t="shared" si="73"/>
        <v>4.6475179260596633E-10</v>
      </c>
      <c r="L309" s="437">
        <f t="shared" si="68"/>
        <v>-3.6141167520185705E-10</v>
      </c>
      <c r="M309" s="437">
        <f t="shared" si="74"/>
        <v>1.1618794815149158E-10</v>
      </c>
    </row>
    <row r="310" spans="1:13" ht="19.95" customHeight="1">
      <c r="A310" s="438">
        <f t="shared" si="69"/>
        <v>289</v>
      </c>
      <c r="B310" s="442">
        <f t="shared" si="70"/>
        <v>52963</v>
      </c>
      <c r="C310" s="431"/>
      <c r="D310" s="408"/>
      <c r="E310" s="433">
        <f t="shared" si="71"/>
        <v>0</v>
      </c>
      <c r="F310" s="433">
        <f t="shared" si="66"/>
        <v>-6.0235279200309507E-12</v>
      </c>
      <c r="G310" s="433">
        <f t="shared" si="67"/>
        <v>-1.4516702287274591E-9</v>
      </c>
      <c r="H310" s="441"/>
      <c r="I310" s="436">
        <f t="shared" si="72"/>
        <v>0</v>
      </c>
      <c r="J310" s="436">
        <f t="shared" si="75"/>
        <v>0</v>
      </c>
      <c r="K310" s="436">
        <f t="shared" si="73"/>
        <v>4.6475179260596633E-10</v>
      </c>
      <c r="L310" s="437">
        <f t="shared" si="68"/>
        <v>-3.6291755718186479E-10</v>
      </c>
      <c r="M310" s="437">
        <f t="shared" si="74"/>
        <v>1.1618794815149158E-10</v>
      </c>
    </row>
    <row r="311" spans="1:13" ht="19.95" customHeight="1">
      <c r="A311" s="438">
        <f t="shared" si="69"/>
        <v>290</v>
      </c>
      <c r="B311" s="442">
        <f t="shared" si="70"/>
        <v>52994</v>
      </c>
      <c r="C311" s="431"/>
      <c r="D311" s="408"/>
      <c r="E311" s="433">
        <f t="shared" si="71"/>
        <v>0</v>
      </c>
      <c r="F311" s="433">
        <f t="shared" si="66"/>
        <v>-6.0486259530310793E-12</v>
      </c>
      <c r="G311" s="433">
        <f t="shared" si="67"/>
        <v>-1.4577188546804903E-9</v>
      </c>
      <c r="H311" s="441"/>
      <c r="I311" s="436">
        <f t="shared" si="72"/>
        <v>0</v>
      </c>
      <c r="J311" s="436">
        <f t="shared" si="75"/>
        <v>0</v>
      </c>
      <c r="K311" s="436">
        <f t="shared" si="73"/>
        <v>4.6475179260596633E-10</v>
      </c>
      <c r="L311" s="437">
        <f t="shared" si="68"/>
        <v>-3.6442971367012257E-10</v>
      </c>
      <c r="M311" s="437">
        <f t="shared" si="74"/>
        <v>1.1618794815149158E-10</v>
      </c>
    </row>
    <row r="312" spans="1:13" ht="19.95" customHeight="1">
      <c r="A312" s="438">
        <f t="shared" si="69"/>
        <v>291</v>
      </c>
      <c r="B312" s="442">
        <f t="shared" si="70"/>
        <v>53022</v>
      </c>
      <c r="C312" s="431"/>
      <c r="D312" s="408"/>
      <c r="E312" s="433">
        <f t="shared" si="71"/>
        <v>0</v>
      </c>
      <c r="F312" s="433">
        <f t="shared" si="66"/>
        <v>-6.0738285611687095E-12</v>
      </c>
      <c r="G312" s="433">
        <f t="shared" si="67"/>
        <v>-1.4637926832416591E-9</v>
      </c>
      <c r="H312" s="441"/>
      <c r="I312" s="436">
        <f t="shared" si="72"/>
        <v>0</v>
      </c>
      <c r="J312" s="436">
        <f t="shared" si="75"/>
        <v>0</v>
      </c>
      <c r="K312" s="436">
        <f t="shared" si="73"/>
        <v>4.6475179260596633E-10</v>
      </c>
      <c r="L312" s="437">
        <f t="shared" si="68"/>
        <v>-3.6594817081041478E-10</v>
      </c>
      <c r="M312" s="437">
        <f t="shared" si="74"/>
        <v>1.1618794815149158E-10</v>
      </c>
    </row>
    <row r="313" spans="1:13" ht="19.95" customHeight="1">
      <c r="A313" s="438">
        <f t="shared" si="69"/>
        <v>292</v>
      </c>
      <c r="B313" s="442">
        <f t="shared" si="70"/>
        <v>53053</v>
      </c>
      <c r="C313" s="431"/>
      <c r="D313" s="408"/>
      <c r="E313" s="433">
        <f t="shared" si="71"/>
        <v>0</v>
      </c>
      <c r="F313" s="433">
        <f t="shared" si="66"/>
        <v>-6.0991361801735793E-12</v>
      </c>
      <c r="G313" s="433">
        <f t="shared" si="67"/>
        <v>-1.4698918194218326E-9</v>
      </c>
      <c r="H313" s="441"/>
      <c r="I313" s="436">
        <f t="shared" si="72"/>
        <v>0</v>
      </c>
      <c r="J313" s="436">
        <f t="shared" si="75"/>
        <v>0</v>
      </c>
      <c r="K313" s="436">
        <f t="shared" si="73"/>
        <v>4.6475179260596633E-10</v>
      </c>
      <c r="L313" s="437">
        <f t="shared" si="68"/>
        <v>-3.6747295485545815E-10</v>
      </c>
      <c r="M313" s="437">
        <f t="shared" si="74"/>
        <v>1.1618794815149158E-10</v>
      </c>
    </row>
    <row r="314" spans="1:13" ht="19.95" customHeight="1">
      <c r="A314" s="438">
        <f t="shared" si="69"/>
        <v>293</v>
      </c>
      <c r="B314" s="442">
        <f t="shared" si="70"/>
        <v>53083</v>
      </c>
      <c r="C314" s="431"/>
      <c r="D314" s="408"/>
      <c r="E314" s="433">
        <f t="shared" si="71"/>
        <v>0</v>
      </c>
      <c r="F314" s="433">
        <f t="shared" si="66"/>
        <v>-6.1245492475909695E-12</v>
      </c>
      <c r="G314" s="433">
        <f t="shared" si="67"/>
        <v>-1.4760163686694235E-9</v>
      </c>
      <c r="H314" s="441"/>
      <c r="I314" s="436">
        <f t="shared" si="72"/>
        <v>0</v>
      </c>
      <c r="J314" s="436">
        <f t="shared" si="75"/>
        <v>0</v>
      </c>
      <c r="K314" s="436">
        <f t="shared" si="73"/>
        <v>4.6475179260596633E-10</v>
      </c>
      <c r="L314" s="437">
        <f t="shared" si="68"/>
        <v>-3.6900409216735588E-10</v>
      </c>
      <c r="M314" s="437">
        <f t="shared" si="74"/>
        <v>1.1618794815149158E-10</v>
      </c>
    </row>
    <row r="315" spans="1:13" ht="19.95" customHeight="1">
      <c r="A315" s="438">
        <f t="shared" si="69"/>
        <v>294</v>
      </c>
      <c r="B315" s="442">
        <f t="shared" si="70"/>
        <v>53114</v>
      </c>
      <c r="C315" s="431"/>
      <c r="D315" s="408"/>
      <c r="E315" s="433">
        <f t="shared" si="71"/>
        <v>0</v>
      </c>
      <c r="F315" s="433">
        <f t="shared" si="66"/>
        <v>-6.1500682027892644E-12</v>
      </c>
      <c r="G315" s="433">
        <f t="shared" si="67"/>
        <v>-1.4821664368722129E-9</v>
      </c>
      <c r="H315" s="441"/>
      <c r="I315" s="436">
        <f t="shared" si="72"/>
        <v>0</v>
      </c>
      <c r="J315" s="436">
        <f t="shared" si="75"/>
        <v>0</v>
      </c>
      <c r="K315" s="436">
        <f t="shared" si="73"/>
        <v>4.6475179260596633E-10</v>
      </c>
      <c r="L315" s="437">
        <f t="shared" si="68"/>
        <v>-3.7054160921805322E-10</v>
      </c>
      <c r="M315" s="437">
        <f t="shared" si="74"/>
        <v>1.1618794815149158E-10</v>
      </c>
    </row>
    <row r="316" spans="1:13" ht="19.95" customHeight="1">
      <c r="A316" s="438">
        <f t="shared" si="69"/>
        <v>295</v>
      </c>
      <c r="B316" s="442">
        <f t="shared" si="70"/>
        <v>53144</v>
      </c>
      <c r="C316" s="431"/>
      <c r="D316" s="408"/>
      <c r="E316" s="433">
        <f t="shared" si="71"/>
        <v>0</v>
      </c>
      <c r="F316" s="433">
        <f t="shared" si="66"/>
        <v>-6.1756934869675533E-12</v>
      </c>
      <c r="G316" s="433">
        <f t="shared" si="67"/>
        <v>-1.4883421303591805E-9</v>
      </c>
      <c r="H316" s="441"/>
      <c r="I316" s="436">
        <f t="shared" si="72"/>
        <v>0</v>
      </c>
      <c r="J316" s="436">
        <f t="shared" si="75"/>
        <v>0</v>
      </c>
      <c r="K316" s="436">
        <f t="shared" si="73"/>
        <v>4.6475179260596633E-10</v>
      </c>
      <c r="L316" s="437">
        <f t="shared" si="68"/>
        <v>-3.7208553258979512E-10</v>
      </c>
      <c r="M316" s="437">
        <f t="shared" si="74"/>
        <v>1.1618794815149158E-10</v>
      </c>
    </row>
    <row r="317" spans="1:13" ht="19.95" customHeight="1">
      <c r="A317" s="438">
        <f t="shared" si="69"/>
        <v>296</v>
      </c>
      <c r="B317" s="442">
        <f t="shared" si="70"/>
        <v>53175</v>
      </c>
      <c r="C317" s="431"/>
      <c r="D317" s="408"/>
      <c r="E317" s="433">
        <f t="shared" si="71"/>
        <v>0</v>
      </c>
      <c r="F317" s="433">
        <f t="shared" si="66"/>
        <v>-6.2014255431632521E-12</v>
      </c>
      <c r="G317" s="433">
        <f t="shared" si="67"/>
        <v>-1.4945435559023437E-9</v>
      </c>
      <c r="H317" s="441"/>
      <c r="I317" s="436">
        <f t="shared" si="72"/>
        <v>0</v>
      </c>
      <c r="J317" s="436">
        <f t="shared" si="75"/>
        <v>0</v>
      </c>
      <c r="K317" s="436">
        <f t="shared" si="73"/>
        <v>4.6475179260596633E-10</v>
      </c>
      <c r="L317" s="437">
        <f t="shared" si="68"/>
        <v>-3.7363588897558593E-10</v>
      </c>
      <c r="M317" s="437">
        <f t="shared" si="74"/>
        <v>1.1618794815149158E-10</v>
      </c>
    </row>
    <row r="318" spans="1:13" ht="19.95" customHeight="1">
      <c r="A318" s="438">
        <f t="shared" si="69"/>
        <v>297</v>
      </c>
      <c r="B318" s="442">
        <f t="shared" si="70"/>
        <v>53206</v>
      </c>
      <c r="C318" s="431"/>
      <c r="D318" s="408"/>
      <c r="E318" s="433">
        <f t="shared" si="71"/>
        <v>0</v>
      </c>
      <c r="F318" s="433">
        <f t="shared" si="66"/>
        <v>-6.2272648162597651E-12</v>
      </c>
      <c r="G318" s="433">
        <f t="shared" si="67"/>
        <v>-1.5007708207186036E-9</v>
      </c>
      <c r="H318" s="441"/>
      <c r="I318" s="436">
        <f t="shared" si="72"/>
        <v>0</v>
      </c>
      <c r="J318" s="436">
        <f t="shared" si="75"/>
        <v>0</v>
      </c>
      <c r="K318" s="436">
        <f t="shared" si="73"/>
        <v>4.6475179260596633E-10</v>
      </c>
      <c r="L318" s="437">
        <f t="shared" si="68"/>
        <v>-3.7519270517965089E-10</v>
      </c>
      <c r="M318" s="437">
        <f t="shared" si="74"/>
        <v>1.1618794815149158E-10</v>
      </c>
    </row>
    <row r="319" spans="1:13" ht="19.95" customHeight="1">
      <c r="A319" s="438">
        <f t="shared" si="69"/>
        <v>298</v>
      </c>
      <c r="B319" s="442">
        <f t="shared" si="70"/>
        <v>53236</v>
      </c>
      <c r="C319" s="431"/>
      <c r="D319" s="408"/>
      <c r="E319" s="433">
        <f t="shared" si="71"/>
        <v>0</v>
      </c>
      <c r="F319" s="433">
        <f t="shared" si="66"/>
        <v>-6.2532117529941817E-12</v>
      </c>
      <c r="G319" s="433">
        <f t="shared" si="67"/>
        <v>-1.5070240324715977E-9</v>
      </c>
      <c r="H319" s="441"/>
      <c r="I319" s="436">
        <f t="shared" si="72"/>
        <v>0</v>
      </c>
      <c r="J319" s="436">
        <f t="shared" si="75"/>
        <v>0</v>
      </c>
      <c r="K319" s="436">
        <f t="shared" si="73"/>
        <v>4.6475179260596633E-10</v>
      </c>
      <c r="L319" s="437">
        <f t="shared" si="68"/>
        <v>-3.7675600811789942E-10</v>
      </c>
      <c r="M319" s="437">
        <f t="shared" si="74"/>
        <v>1.1618794815149158E-10</v>
      </c>
    </row>
    <row r="320" spans="1:13" ht="19.95" customHeight="1">
      <c r="A320" s="438">
        <f t="shared" si="69"/>
        <v>299</v>
      </c>
      <c r="B320" s="442">
        <f t="shared" si="70"/>
        <v>53267</v>
      </c>
      <c r="C320" s="431"/>
      <c r="D320" s="408"/>
      <c r="E320" s="433">
        <f t="shared" si="71"/>
        <v>0</v>
      </c>
      <c r="F320" s="433">
        <f t="shared" si="66"/>
        <v>-6.2792668019649901E-12</v>
      </c>
      <c r="G320" s="433">
        <f t="shared" si="67"/>
        <v>-1.5133032992735627E-9</v>
      </c>
      <c r="H320" s="441"/>
      <c r="I320" s="436">
        <f t="shared" si="72"/>
        <v>0</v>
      </c>
      <c r="J320" s="436">
        <f t="shared" si="75"/>
        <v>0</v>
      </c>
      <c r="K320" s="436">
        <f t="shared" si="73"/>
        <v>4.6475179260596633E-10</v>
      </c>
      <c r="L320" s="437">
        <f t="shared" si="68"/>
        <v>-3.7832582481839067E-10</v>
      </c>
      <c r="M320" s="437">
        <f t="shared" si="74"/>
        <v>1.1618794815149158E-10</v>
      </c>
    </row>
    <row r="321" spans="1:13" ht="19.95" customHeight="1">
      <c r="A321" s="438">
        <f t="shared" si="69"/>
        <v>300</v>
      </c>
      <c r="B321" s="442">
        <f t="shared" si="70"/>
        <v>53297</v>
      </c>
      <c r="C321" s="431"/>
      <c r="D321" s="408"/>
      <c r="E321" s="433">
        <f t="shared" si="71"/>
        <v>0</v>
      </c>
      <c r="F321" s="433">
        <f t="shared" si="66"/>
        <v>-6.3054304136398447E-12</v>
      </c>
      <c r="G321" s="433">
        <f t="shared" si="67"/>
        <v>-1.5196087296872025E-9</v>
      </c>
      <c r="H321" s="441"/>
      <c r="I321" s="436">
        <f t="shared" si="72"/>
        <v>0</v>
      </c>
      <c r="J321" s="436">
        <f t="shared" si="75"/>
        <v>0</v>
      </c>
      <c r="K321" s="436">
        <f t="shared" si="73"/>
        <v>4.6475179260596633E-10</v>
      </c>
      <c r="L321" s="437">
        <f t="shared" si="68"/>
        <v>-3.7990218242180062E-10</v>
      </c>
      <c r="M321" s="437">
        <f t="shared" si="74"/>
        <v>1.1618794815149158E-10</v>
      </c>
    </row>
    <row r="322" spans="1:13" ht="19.95" customHeight="1">
      <c r="A322" s="438">
        <f t="shared" si="69"/>
        <v>301</v>
      </c>
      <c r="B322" s="442">
        <f t="shared" si="70"/>
        <v>53328</v>
      </c>
      <c r="C322" s="431"/>
      <c r="D322" s="408"/>
      <c r="E322" s="433">
        <f t="shared" si="71"/>
        <v>0</v>
      </c>
      <c r="F322" s="433">
        <f t="shared" si="66"/>
        <v>-6.3317030403633434E-12</v>
      </c>
      <c r="G322" s="433">
        <f t="shared" si="67"/>
        <v>-1.5259404327275659E-9</v>
      </c>
      <c r="H322" s="441"/>
      <c r="I322" s="436">
        <f t="shared" si="72"/>
        <v>0</v>
      </c>
      <c r="J322" s="436">
        <f t="shared" si="75"/>
        <v>0</v>
      </c>
      <c r="K322" s="436">
        <f t="shared" si="73"/>
        <v>4.6475179260596633E-10</v>
      </c>
      <c r="L322" s="437">
        <f t="shared" si="68"/>
        <v>-3.8148510818189147E-10</v>
      </c>
      <c r="M322" s="437">
        <f t="shared" si="74"/>
        <v>1.1618794815149158E-10</v>
      </c>
    </row>
    <row r="323" spans="1:13" ht="19.95" customHeight="1">
      <c r="A323" s="438">
        <f t="shared" si="69"/>
        <v>302</v>
      </c>
      <c r="B323" s="442">
        <f t="shared" si="70"/>
        <v>53359</v>
      </c>
      <c r="C323" s="431"/>
      <c r="D323" s="408"/>
      <c r="E323" s="433">
        <f t="shared" si="71"/>
        <v>0</v>
      </c>
      <c r="F323" s="433">
        <f t="shared" si="66"/>
        <v>-6.3580851363648574E-12</v>
      </c>
      <c r="G323" s="433">
        <f t="shared" si="67"/>
        <v>-1.5322985178639308E-9</v>
      </c>
      <c r="H323" s="441"/>
      <c r="I323" s="436">
        <f t="shared" si="72"/>
        <v>0</v>
      </c>
      <c r="J323" s="436">
        <f t="shared" si="75"/>
        <v>0</v>
      </c>
      <c r="K323" s="436">
        <f t="shared" si="73"/>
        <v>4.6475179260596633E-10</v>
      </c>
      <c r="L323" s="437">
        <f t="shared" si="68"/>
        <v>-3.8307462946598269E-10</v>
      </c>
      <c r="M323" s="437">
        <f t="shared" si="74"/>
        <v>1.1618794815149158E-10</v>
      </c>
    </row>
    <row r="324" spans="1:13" ht="19.95" customHeight="1">
      <c r="A324" s="438">
        <f t="shared" si="69"/>
        <v>303</v>
      </c>
      <c r="B324" s="442">
        <f t="shared" si="70"/>
        <v>53387</v>
      </c>
      <c r="C324" s="431"/>
      <c r="D324" s="408"/>
      <c r="E324" s="433">
        <f t="shared" si="71"/>
        <v>0</v>
      </c>
      <c r="F324" s="433">
        <f t="shared" si="66"/>
        <v>-6.3845771577663784E-12</v>
      </c>
      <c r="G324" s="433">
        <f t="shared" si="67"/>
        <v>-1.5386830950216971E-9</v>
      </c>
      <c r="H324" s="441"/>
      <c r="I324" s="436">
        <f t="shared" si="72"/>
        <v>0</v>
      </c>
      <c r="J324" s="436">
        <f t="shared" si="75"/>
        <v>0</v>
      </c>
      <c r="K324" s="436">
        <f t="shared" si="73"/>
        <v>4.6475179260596633E-10</v>
      </c>
      <c r="L324" s="437">
        <f t="shared" si="68"/>
        <v>-3.8467077375542427E-10</v>
      </c>
      <c r="M324" s="437">
        <f t="shared" si="74"/>
        <v>1.1618794815149158E-10</v>
      </c>
    </row>
    <row r="325" spans="1:13" ht="19.95" customHeight="1">
      <c r="A325" s="438">
        <f t="shared" si="69"/>
        <v>304</v>
      </c>
      <c r="B325" s="442">
        <f t="shared" si="70"/>
        <v>53418</v>
      </c>
      <c r="C325" s="431"/>
      <c r="D325" s="408"/>
      <c r="E325" s="433">
        <f t="shared" si="71"/>
        <v>0</v>
      </c>
      <c r="F325" s="433">
        <f t="shared" si="66"/>
        <v>-6.4111795625904041E-12</v>
      </c>
      <c r="G325" s="433">
        <f t="shared" si="67"/>
        <v>-1.5450942745842876E-9</v>
      </c>
      <c r="H325" s="441"/>
      <c r="I325" s="436">
        <f t="shared" si="72"/>
        <v>0</v>
      </c>
      <c r="J325" s="436">
        <f t="shared" si="75"/>
        <v>0</v>
      </c>
      <c r="K325" s="436">
        <f t="shared" si="73"/>
        <v>4.6475179260596633E-10</v>
      </c>
      <c r="L325" s="437">
        <f t="shared" si="68"/>
        <v>-3.8627356864607189E-10</v>
      </c>
      <c r="M325" s="437">
        <f t="shared" si="74"/>
        <v>1.1618794815149158E-10</v>
      </c>
    </row>
    <row r="326" spans="1:13" ht="19.95" customHeight="1">
      <c r="A326" s="438">
        <f t="shared" si="69"/>
        <v>305</v>
      </c>
      <c r="B326" s="442">
        <f t="shared" si="70"/>
        <v>53448</v>
      </c>
      <c r="C326" s="431"/>
      <c r="D326" s="408"/>
      <c r="E326" s="433">
        <f t="shared" si="71"/>
        <v>0</v>
      </c>
      <c r="F326" s="433">
        <f t="shared" si="66"/>
        <v>-6.437892810767865E-12</v>
      </c>
      <c r="G326" s="433">
        <f t="shared" si="67"/>
        <v>-1.5515321673950555E-9</v>
      </c>
      <c r="H326" s="441"/>
      <c r="I326" s="436">
        <f t="shared" si="72"/>
        <v>0</v>
      </c>
      <c r="J326" s="436">
        <f t="shared" si="75"/>
        <v>0</v>
      </c>
      <c r="K326" s="436">
        <f t="shared" si="73"/>
        <v>4.6475179260596633E-10</v>
      </c>
      <c r="L326" s="437">
        <f t="shared" si="68"/>
        <v>-3.8788304184876387E-10</v>
      </c>
      <c r="M326" s="437">
        <f t="shared" si="74"/>
        <v>1.1618794815149158E-10</v>
      </c>
    </row>
    <row r="327" spans="1:13" ht="19.95" customHeight="1">
      <c r="A327" s="438">
        <f t="shared" si="69"/>
        <v>306</v>
      </c>
      <c r="B327" s="442">
        <f t="shared" si="70"/>
        <v>53479</v>
      </c>
      <c r="C327" s="431"/>
      <c r="D327" s="408"/>
      <c r="E327" s="433">
        <f t="shared" si="71"/>
        <v>0</v>
      </c>
      <c r="F327" s="433">
        <f t="shared" si="66"/>
        <v>-6.4647173641460644E-12</v>
      </c>
      <c r="G327" s="433">
        <f t="shared" si="67"/>
        <v>-1.5579968847592016E-9</v>
      </c>
      <c r="H327" s="441"/>
      <c r="I327" s="436">
        <f t="shared" si="72"/>
        <v>0</v>
      </c>
      <c r="J327" s="436">
        <f t="shared" si="75"/>
        <v>0</v>
      </c>
      <c r="K327" s="436">
        <f t="shared" si="73"/>
        <v>4.6475179260596633E-10</v>
      </c>
      <c r="L327" s="437">
        <f t="shared" si="68"/>
        <v>-3.894992211898004E-10</v>
      </c>
      <c r="M327" s="437">
        <f t="shared" si="74"/>
        <v>1.1618794815149158E-10</v>
      </c>
    </row>
    <row r="328" spans="1:13" ht="19.95" customHeight="1">
      <c r="A328" s="438">
        <f t="shared" si="69"/>
        <v>307</v>
      </c>
      <c r="B328" s="442">
        <f t="shared" si="70"/>
        <v>53509</v>
      </c>
      <c r="C328" s="431"/>
      <c r="D328" s="408"/>
      <c r="E328" s="433">
        <f t="shared" si="71"/>
        <v>0</v>
      </c>
      <c r="F328" s="433">
        <f t="shared" si="66"/>
        <v>-6.491653686496673E-12</v>
      </c>
      <c r="G328" s="433">
        <f t="shared" si="67"/>
        <v>-1.5644885384456982E-9</v>
      </c>
      <c r="H328" s="441"/>
      <c r="I328" s="436">
        <f t="shared" si="72"/>
        <v>0</v>
      </c>
      <c r="J328" s="436">
        <f t="shared" si="75"/>
        <v>0</v>
      </c>
      <c r="K328" s="436">
        <f t="shared" si="73"/>
        <v>4.6475179260596633E-10</v>
      </c>
      <c r="L328" s="437">
        <f t="shared" si="68"/>
        <v>-3.9112213461142455E-10</v>
      </c>
      <c r="M328" s="437">
        <f t="shared" si="74"/>
        <v>1.1618794815149158E-10</v>
      </c>
    </row>
    <row r="329" spans="1:13" ht="19.95" customHeight="1">
      <c r="A329" s="438">
        <f t="shared" si="69"/>
        <v>308</v>
      </c>
      <c r="B329" s="442">
        <f t="shared" si="70"/>
        <v>53540</v>
      </c>
      <c r="C329" s="431"/>
      <c r="D329" s="408"/>
      <c r="E329" s="433">
        <f t="shared" si="71"/>
        <v>0</v>
      </c>
      <c r="F329" s="433">
        <f t="shared" ref="F329:F348" si="76">$C$17/12*(G328-C329)</f>
        <v>-6.5187022435237422E-12</v>
      </c>
      <c r="G329" s="433">
        <f t="shared" ref="G329:G348" si="77">G328-C329+F329</f>
        <v>-1.571007240689222E-9</v>
      </c>
      <c r="H329" s="441"/>
      <c r="I329" s="436">
        <f t="shared" si="72"/>
        <v>0</v>
      </c>
      <c r="J329" s="436">
        <f t="shared" si="75"/>
        <v>0</v>
      </c>
      <c r="K329" s="436">
        <f t="shared" si="73"/>
        <v>4.6475179260596633E-10</v>
      </c>
      <c r="L329" s="437">
        <f t="shared" si="68"/>
        <v>-3.9275181017230551E-10</v>
      </c>
      <c r="M329" s="437">
        <f t="shared" si="74"/>
        <v>1.1618794815149158E-10</v>
      </c>
    </row>
    <row r="330" spans="1:13" ht="19.95" customHeight="1">
      <c r="A330" s="438">
        <f t="shared" si="69"/>
        <v>309</v>
      </c>
      <c r="B330" s="442">
        <f t="shared" si="70"/>
        <v>53571</v>
      </c>
      <c r="C330" s="431"/>
      <c r="D330" s="408"/>
      <c r="E330" s="433">
        <f t="shared" si="71"/>
        <v>0</v>
      </c>
      <c r="F330" s="433">
        <f t="shared" si="76"/>
        <v>-6.545863502871758E-12</v>
      </c>
      <c r="G330" s="433">
        <f t="shared" si="77"/>
        <v>-1.5775531041920938E-9</v>
      </c>
      <c r="H330" s="441"/>
      <c r="I330" s="436">
        <f t="shared" si="72"/>
        <v>0</v>
      </c>
      <c r="J330" s="436">
        <f t="shared" si="75"/>
        <v>0</v>
      </c>
      <c r="K330" s="436">
        <f t="shared" si="73"/>
        <v>4.6475179260596633E-10</v>
      </c>
      <c r="L330" s="437">
        <f t="shared" si="68"/>
        <v>-3.9438827604802345E-10</v>
      </c>
      <c r="M330" s="437">
        <f t="shared" si="74"/>
        <v>1.1618794815149158E-10</v>
      </c>
    </row>
    <row r="331" spans="1:13" ht="19.95" customHeight="1">
      <c r="A331" s="438">
        <f t="shared" si="69"/>
        <v>310</v>
      </c>
      <c r="B331" s="442">
        <f t="shared" si="70"/>
        <v>53601</v>
      </c>
      <c r="C331" s="431"/>
      <c r="D331" s="408"/>
      <c r="E331" s="433">
        <f t="shared" si="71"/>
        <v>0</v>
      </c>
      <c r="F331" s="433">
        <f t="shared" si="76"/>
        <v>-6.5731379341337243E-12</v>
      </c>
      <c r="G331" s="433">
        <f t="shared" si="77"/>
        <v>-1.5841262421262274E-9</v>
      </c>
      <c r="H331" s="441"/>
      <c r="I331" s="436">
        <f t="shared" si="72"/>
        <v>0</v>
      </c>
      <c r="J331" s="436">
        <f t="shared" si="75"/>
        <v>0</v>
      </c>
      <c r="K331" s="436">
        <f t="shared" si="73"/>
        <v>4.6475179260596633E-10</v>
      </c>
      <c r="L331" s="437">
        <f t="shared" si="68"/>
        <v>-3.9603156053155686E-10</v>
      </c>
      <c r="M331" s="437">
        <f t="shared" si="74"/>
        <v>1.1618794815149158E-10</v>
      </c>
    </row>
    <row r="332" spans="1:13" ht="19.95" customHeight="1">
      <c r="A332" s="438">
        <f t="shared" si="69"/>
        <v>311</v>
      </c>
      <c r="B332" s="442">
        <f t="shared" si="70"/>
        <v>53632</v>
      </c>
      <c r="C332" s="431"/>
      <c r="D332" s="408"/>
      <c r="E332" s="433">
        <f t="shared" si="71"/>
        <v>0</v>
      </c>
      <c r="F332" s="433">
        <f t="shared" si="76"/>
        <v>-6.6005260088592805E-12</v>
      </c>
      <c r="G332" s="433">
        <f t="shared" si="77"/>
        <v>-1.5907267681350868E-9</v>
      </c>
      <c r="H332" s="441"/>
      <c r="I332" s="436">
        <f t="shared" si="72"/>
        <v>0</v>
      </c>
      <c r="J332" s="436">
        <f t="shared" si="75"/>
        <v>0</v>
      </c>
      <c r="K332" s="436">
        <f t="shared" si="73"/>
        <v>4.6475179260596633E-10</v>
      </c>
      <c r="L332" s="437">
        <f t="shared" si="68"/>
        <v>-3.976816920337717E-10</v>
      </c>
      <c r="M332" s="437">
        <f t="shared" si="74"/>
        <v>1.1618794815149158E-10</v>
      </c>
    </row>
    <row r="333" spans="1:13" ht="19.95" customHeight="1">
      <c r="A333" s="438">
        <f t="shared" si="69"/>
        <v>312</v>
      </c>
      <c r="B333" s="442">
        <f t="shared" si="70"/>
        <v>53662</v>
      </c>
      <c r="C333" s="431"/>
      <c r="D333" s="408"/>
      <c r="E333" s="433">
        <f t="shared" si="71"/>
        <v>0</v>
      </c>
      <c r="F333" s="433">
        <f t="shared" si="76"/>
        <v>-6.6280282005628614E-12</v>
      </c>
      <c r="G333" s="433">
        <f t="shared" si="77"/>
        <v>-1.5973547963356496E-9</v>
      </c>
      <c r="H333" s="441"/>
      <c r="I333" s="436">
        <f t="shared" si="72"/>
        <v>0</v>
      </c>
      <c r="J333" s="436">
        <f t="shared" si="75"/>
        <v>0</v>
      </c>
      <c r="K333" s="436">
        <f t="shared" si="73"/>
        <v>4.6475179260596633E-10</v>
      </c>
      <c r="L333" s="437">
        <f t="shared" si="68"/>
        <v>-3.993386990839124E-10</v>
      </c>
      <c r="M333" s="437">
        <f t="shared" si="74"/>
        <v>1.1618794815149158E-10</v>
      </c>
    </row>
    <row r="334" spans="1:13" ht="19.95" customHeight="1">
      <c r="A334" s="438">
        <f t="shared" si="69"/>
        <v>313</v>
      </c>
      <c r="B334" s="442">
        <f t="shared" si="70"/>
        <v>53693</v>
      </c>
      <c r="C334" s="431"/>
      <c r="D334" s="408"/>
      <c r="E334" s="433">
        <f t="shared" si="71"/>
        <v>0</v>
      </c>
      <c r="F334" s="433">
        <f t="shared" si="76"/>
        <v>-6.655644984731873E-12</v>
      </c>
      <c r="G334" s="433">
        <f t="shared" si="77"/>
        <v>-1.6040104413203815E-9</v>
      </c>
      <c r="H334" s="441"/>
      <c r="I334" s="436">
        <f t="shared" si="72"/>
        <v>0</v>
      </c>
      <c r="J334" s="436">
        <f t="shared" si="75"/>
        <v>0</v>
      </c>
      <c r="K334" s="436">
        <f t="shared" si="73"/>
        <v>4.6475179260596633E-10</v>
      </c>
      <c r="L334" s="437">
        <f t="shared" si="68"/>
        <v>-4.0100261033009537E-10</v>
      </c>
      <c r="M334" s="437">
        <f t="shared" si="74"/>
        <v>1.1618794815149158E-10</v>
      </c>
    </row>
    <row r="335" spans="1:13" ht="19.95" customHeight="1">
      <c r="A335" s="438">
        <f t="shared" si="69"/>
        <v>314</v>
      </c>
      <c r="B335" s="442">
        <f t="shared" si="70"/>
        <v>53724</v>
      </c>
      <c r="C335" s="431"/>
      <c r="D335" s="408"/>
      <c r="E335" s="433">
        <f t="shared" si="71"/>
        <v>0</v>
      </c>
      <c r="F335" s="433">
        <f t="shared" si="76"/>
        <v>-6.6833768388349228E-12</v>
      </c>
      <c r="G335" s="433">
        <f t="shared" si="77"/>
        <v>-1.6106938181592165E-9</v>
      </c>
      <c r="H335" s="441"/>
      <c r="I335" s="436">
        <f t="shared" si="72"/>
        <v>0</v>
      </c>
      <c r="J335" s="436">
        <f t="shared" si="75"/>
        <v>0</v>
      </c>
      <c r="K335" s="436">
        <f t="shared" si="73"/>
        <v>4.6475179260596633E-10</v>
      </c>
      <c r="L335" s="437">
        <f t="shared" si="68"/>
        <v>-4.0267345453980412E-10</v>
      </c>
      <c r="M335" s="437">
        <f t="shared" si="74"/>
        <v>1.1618794815149158E-10</v>
      </c>
    </row>
    <row r="336" spans="1:13" ht="19.95" customHeight="1">
      <c r="A336" s="438">
        <f t="shared" si="69"/>
        <v>315</v>
      </c>
      <c r="B336" s="442">
        <f t="shared" si="70"/>
        <v>53752</v>
      </c>
      <c r="C336" s="431"/>
      <c r="D336" s="408"/>
      <c r="E336" s="433">
        <f t="shared" si="71"/>
        <v>0</v>
      </c>
      <c r="F336" s="433">
        <f t="shared" si="76"/>
        <v>-6.7112242423300681E-12</v>
      </c>
      <c r="G336" s="433">
        <f t="shared" si="77"/>
        <v>-1.6174050424015466E-9</v>
      </c>
      <c r="H336" s="441"/>
      <c r="I336" s="436">
        <f t="shared" si="72"/>
        <v>0</v>
      </c>
      <c r="J336" s="436">
        <f t="shared" si="75"/>
        <v>0</v>
      </c>
      <c r="K336" s="436">
        <f t="shared" si="73"/>
        <v>4.6475179260596633E-10</v>
      </c>
      <c r="L336" s="437">
        <f t="shared" si="68"/>
        <v>-4.0435126060038664E-10</v>
      </c>
      <c r="M336" s="437">
        <f t="shared" si="74"/>
        <v>1.1618794815149158E-10</v>
      </c>
    </row>
    <row r="337" spans="1:14" ht="19.95" customHeight="1">
      <c r="A337" s="438">
        <f t="shared" si="69"/>
        <v>316</v>
      </c>
      <c r="B337" s="442">
        <f t="shared" si="70"/>
        <v>53783</v>
      </c>
      <c r="C337" s="431"/>
      <c r="D337" s="408"/>
      <c r="E337" s="433">
        <f t="shared" si="71"/>
        <v>0</v>
      </c>
      <c r="F337" s="433">
        <f t="shared" si="76"/>
        <v>-6.7391876766731105E-12</v>
      </c>
      <c r="G337" s="433">
        <f t="shared" si="77"/>
        <v>-1.6241442300782196E-9</v>
      </c>
      <c r="H337" s="441"/>
      <c r="I337" s="436">
        <f t="shared" si="72"/>
        <v>0</v>
      </c>
      <c r="J337" s="436">
        <f t="shared" si="75"/>
        <v>0</v>
      </c>
      <c r="K337" s="436">
        <f t="shared" si="73"/>
        <v>4.6475179260596633E-10</v>
      </c>
      <c r="L337" s="437">
        <f t="shared" si="68"/>
        <v>-4.060360575195549E-10</v>
      </c>
      <c r="M337" s="437">
        <f t="shared" si="74"/>
        <v>1.1618794815149158E-10</v>
      </c>
    </row>
    <row r="338" spans="1:14" ht="19.95" customHeight="1">
      <c r="A338" s="438">
        <f t="shared" si="69"/>
        <v>317</v>
      </c>
      <c r="B338" s="442">
        <f t="shared" si="70"/>
        <v>53813</v>
      </c>
      <c r="C338" s="431"/>
      <c r="D338" s="408"/>
      <c r="E338" s="433">
        <f t="shared" si="71"/>
        <v>0</v>
      </c>
      <c r="F338" s="433">
        <f t="shared" si="76"/>
        <v>-6.7672676253259148E-12</v>
      </c>
      <c r="G338" s="433">
        <f t="shared" si="77"/>
        <v>-1.6309114977035456E-9</v>
      </c>
      <c r="H338" s="441"/>
      <c r="I338" s="436">
        <f t="shared" si="72"/>
        <v>0</v>
      </c>
      <c r="J338" s="436">
        <f t="shared" si="75"/>
        <v>0</v>
      </c>
      <c r="K338" s="436">
        <f t="shared" si="73"/>
        <v>4.6475179260596633E-10</v>
      </c>
      <c r="L338" s="437">
        <f t="shared" si="68"/>
        <v>-4.077278744258864E-10</v>
      </c>
      <c r="M338" s="437">
        <f t="shared" si="74"/>
        <v>1.1618794815149158E-10</v>
      </c>
    </row>
    <row r="339" spans="1:14" ht="19.95" customHeight="1">
      <c r="A339" s="438">
        <f t="shared" si="69"/>
        <v>318</v>
      </c>
      <c r="B339" s="442">
        <f t="shared" si="70"/>
        <v>53844</v>
      </c>
      <c r="C339" s="431"/>
      <c r="D339" s="408"/>
      <c r="E339" s="433">
        <f t="shared" si="71"/>
        <v>0</v>
      </c>
      <c r="F339" s="433">
        <f t="shared" si="76"/>
        <v>-6.795464573764773E-12</v>
      </c>
      <c r="G339" s="433">
        <f t="shared" si="77"/>
        <v>-1.6377069622773104E-9</v>
      </c>
      <c r="H339" s="441"/>
      <c r="I339" s="436">
        <f t="shared" si="72"/>
        <v>0</v>
      </c>
      <c r="J339" s="436">
        <f t="shared" si="75"/>
        <v>0</v>
      </c>
      <c r="K339" s="436">
        <f t="shared" si="73"/>
        <v>4.6475179260596633E-10</v>
      </c>
      <c r="L339" s="437">
        <f t="shared" si="68"/>
        <v>-4.0942674056932759E-10</v>
      </c>
      <c r="M339" s="437">
        <f t="shared" si="74"/>
        <v>1.1618794815149158E-10</v>
      </c>
    </row>
    <row r="340" spans="1:14" ht="19.95" customHeight="1">
      <c r="A340" s="438">
        <f t="shared" si="69"/>
        <v>319</v>
      </c>
      <c r="B340" s="442">
        <f t="shared" si="70"/>
        <v>53874</v>
      </c>
      <c r="C340" s="431"/>
      <c r="D340" s="408"/>
      <c r="E340" s="433">
        <f t="shared" si="71"/>
        <v>0</v>
      </c>
      <c r="F340" s="433">
        <f t="shared" si="76"/>
        <v>-6.8237790094887932E-12</v>
      </c>
      <c r="G340" s="433">
        <f t="shared" si="77"/>
        <v>-1.6445307412867991E-9</v>
      </c>
      <c r="H340" s="441"/>
      <c r="I340" s="436">
        <f t="shared" si="72"/>
        <v>0</v>
      </c>
      <c r="J340" s="436">
        <f t="shared" si="75"/>
        <v>0</v>
      </c>
      <c r="K340" s="436">
        <f t="shared" si="73"/>
        <v>4.6475179260596633E-10</v>
      </c>
      <c r="L340" s="437">
        <f t="shared" si="68"/>
        <v>-4.1113268532169977E-10</v>
      </c>
      <c r="M340" s="437">
        <f t="shared" si="74"/>
        <v>1.1618794815149158E-10</v>
      </c>
    </row>
    <row r="341" spans="1:14" ht="19.95" customHeight="1">
      <c r="A341" s="438">
        <f t="shared" si="69"/>
        <v>320</v>
      </c>
      <c r="B341" s="442">
        <f t="shared" si="70"/>
        <v>53905</v>
      </c>
      <c r="C341" s="431"/>
      <c r="D341" s="408"/>
      <c r="E341" s="433">
        <f t="shared" si="71"/>
        <v>0</v>
      </c>
      <c r="F341" s="433">
        <f t="shared" si="76"/>
        <v>-6.852211422028329E-12</v>
      </c>
      <c r="G341" s="433">
        <f t="shared" si="77"/>
        <v>-1.6513829527088273E-9</v>
      </c>
      <c r="H341" s="441"/>
      <c r="I341" s="436">
        <f t="shared" si="72"/>
        <v>0</v>
      </c>
      <c r="J341" s="436">
        <f t="shared" si="75"/>
        <v>0</v>
      </c>
      <c r="K341" s="436">
        <f t="shared" si="73"/>
        <v>4.6475179260596633E-10</v>
      </c>
      <c r="L341" s="437">
        <f t="shared" si="68"/>
        <v>-4.1284573817720683E-10</v>
      </c>
      <c r="M341" s="437">
        <f t="shared" si="74"/>
        <v>1.1618794815149158E-10</v>
      </c>
    </row>
    <row r="342" spans="1:14" ht="19.95" customHeight="1">
      <c r="A342" s="438">
        <f t="shared" si="69"/>
        <v>321</v>
      </c>
      <c r="B342" s="442">
        <f t="shared" si="70"/>
        <v>53936</v>
      </c>
      <c r="C342" s="431"/>
      <c r="D342" s="408"/>
      <c r="E342" s="433">
        <f t="shared" si="71"/>
        <v>0</v>
      </c>
      <c r="F342" s="433">
        <f t="shared" si="76"/>
        <v>-6.8807623029534471E-12</v>
      </c>
      <c r="G342" s="433">
        <f t="shared" si="77"/>
        <v>-1.6582637150117808E-9</v>
      </c>
      <c r="H342" s="441"/>
      <c r="I342" s="436">
        <f t="shared" si="72"/>
        <v>0</v>
      </c>
      <c r="J342" s="436">
        <f t="shared" si="75"/>
        <v>0</v>
      </c>
      <c r="K342" s="436">
        <f t="shared" si="73"/>
        <v>4.6475179260596633E-10</v>
      </c>
      <c r="L342" s="437">
        <f t="shared" ref="L342:L348" si="78">G342*$C$19</f>
        <v>-4.1456592875294521E-10</v>
      </c>
      <c r="M342" s="437">
        <f t="shared" si="74"/>
        <v>1.1618794815149158E-10</v>
      </c>
    </row>
    <row r="343" spans="1:14" ht="19.95" customHeight="1">
      <c r="A343" s="438">
        <f t="shared" ref="A343:A348" si="79">A342+1</f>
        <v>322</v>
      </c>
      <c r="B343" s="442">
        <f t="shared" ref="B343:B348" si="80">EDATE(B342,1)</f>
        <v>53966</v>
      </c>
      <c r="C343" s="431"/>
      <c r="D343" s="408"/>
      <c r="E343" s="433">
        <f t="shared" ref="E343:E348" si="81">(D343+C343)/(POWER((1+$C$17/12),A343-1))</f>
        <v>0</v>
      </c>
      <c r="F343" s="433">
        <f t="shared" si="76"/>
        <v>-6.9094321458824197E-12</v>
      </c>
      <c r="G343" s="433">
        <f t="shared" si="77"/>
        <v>-1.6651731471576632E-9</v>
      </c>
      <c r="H343" s="441"/>
      <c r="I343" s="436">
        <f t="shared" ref="I343:I348" si="82">IF(($A343-1)&gt;$C$18,0,($E$349+$H$349)/($C$18))</f>
        <v>0</v>
      </c>
      <c r="J343" s="436">
        <f t="shared" si="75"/>
        <v>0</v>
      </c>
      <c r="K343" s="436">
        <f t="shared" ref="K343:K348" si="83">K342-I343</f>
        <v>4.6475179260596633E-10</v>
      </c>
      <c r="L343" s="437">
        <f t="shared" si="78"/>
        <v>-4.162932867894158E-10</v>
      </c>
      <c r="M343" s="437">
        <f t="shared" ref="M343:M348" si="84">K343*$C$19</f>
        <v>1.1618794815149158E-10</v>
      </c>
    </row>
    <row r="344" spans="1:14" ht="19.95" customHeight="1">
      <c r="A344" s="438">
        <f t="shared" si="79"/>
        <v>323</v>
      </c>
      <c r="B344" s="442">
        <f t="shared" si="80"/>
        <v>53997</v>
      </c>
      <c r="C344" s="431"/>
      <c r="D344" s="408"/>
      <c r="E344" s="433">
        <f t="shared" si="81"/>
        <v>0</v>
      </c>
      <c r="F344" s="433">
        <f t="shared" si="76"/>
        <v>-6.9382214464902629E-12</v>
      </c>
      <c r="G344" s="433">
        <f t="shared" si="77"/>
        <v>-1.6721113686041534E-9</v>
      </c>
      <c r="H344" s="441"/>
      <c r="I344" s="436">
        <f t="shared" si="82"/>
        <v>0</v>
      </c>
      <c r="J344" s="436">
        <f t="shared" si="75"/>
        <v>0</v>
      </c>
      <c r="K344" s="436">
        <f t="shared" si="83"/>
        <v>4.6475179260596633E-10</v>
      </c>
      <c r="L344" s="437">
        <f t="shared" si="78"/>
        <v>-4.1802784215103836E-10</v>
      </c>
      <c r="M344" s="437">
        <f t="shared" si="84"/>
        <v>1.1618794815149158E-10</v>
      </c>
    </row>
    <row r="345" spans="1:14" ht="19.95" customHeight="1">
      <c r="A345" s="438">
        <f t="shared" si="79"/>
        <v>324</v>
      </c>
      <c r="B345" s="442">
        <f t="shared" si="80"/>
        <v>54027</v>
      </c>
      <c r="C345" s="431"/>
      <c r="D345" s="408"/>
      <c r="E345" s="433">
        <f t="shared" si="81"/>
        <v>0</v>
      </c>
      <c r="F345" s="433">
        <f t="shared" si="76"/>
        <v>-6.9671307025173061E-12</v>
      </c>
      <c r="G345" s="433">
        <f t="shared" si="77"/>
        <v>-1.6790784993066707E-9</v>
      </c>
      <c r="H345" s="441"/>
      <c r="I345" s="436">
        <f t="shared" si="82"/>
        <v>0</v>
      </c>
      <c r="J345" s="436">
        <f t="shared" ref="J345:J348" si="85">IF(I345=0,0,J344+I345)</f>
        <v>0</v>
      </c>
      <c r="K345" s="436">
        <f t="shared" si="83"/>
        <v>4.6475179260596633E-10</v>
      </c>
      <c r="L345" s="437">
        <f t="shared" si="78"/>
        <v>-4.1976962482666769E-10</v>
      </c>
      <c r="M345" s="437">
        <f t="shared" si="84"/>
        <v>1.1618794815149158E-10</v>
      </c>
    </row>
    <row r="346" spans="1:14" ht="19.95" customHeight="1">
      <c r="A346" s="438">
        <f t="shared" si="79"/>
        <v>325</v>
      </c>
      <c r="B346" s="442">
        <f t="shared" si="80"/>
        <v>54058</v>
      </c>
      <c r="C346" s="431"/>
      <c r="D346" s="408"/>
      <c r="E346" s="433">
        <f t="shared" si="81"/>
        <v>0</v>
      </c>
      <c r="F346" s="433">
        <f t="shared" si="76"/>
        <v>-6.9961604137777943E-12</v>
      </c>
      <c r="G346" s="433">
        <f t="shared" si="77"/>
        <v>-1.6860746597204485E-9</v>
      </c>
      <c r="H346" s="441"/>
      <c r="I346" s="436">
        <f t="shared" si="82"/>
        <v>0</v>
      </c>
      <c r="J346" s="436">
        <f t="shared" si="85"/>
        <v>0</v>
      </c>
      <c r="K346" s="436">
        <f t="shared" si="83"/>
        <v>4.6475179260596633E-10</v>
      </c>
      <c r="L346" s="437">
        <f t="shared" si="78"/>
        <v>-4.2151866493011214E-10</v>
      </c>
      <c r="M346" s="437">
        <f t="shared" si="84"/>
        <v>1.1618794815149158E-10</v>
      </c>
    </row>
    <row r="347" spans="1:14" ht="19.95" customHeight="1">
      <c r="A347" s="438">
        <f t="shared" si="79"/>
        <v>326</v>
      </c>
      <c r="B347" s="442">
        <f t="shared" si="80"/>
        <v>54089</v>
      </c>
      <c r="C347" s="431"/>
      <c r="D347" s="408"/>
      <c r="E347" s="433">
        <f t="shared" si="81"/>
        <v>0</v>
      </c>
      <c r="F347" s="433">
        <f t="shared" si="76"/>
        <v>-7.0253110821685353E-12</v>
      </c>
      <c r="G347" s="433">
        <f t="shared" si="77"/>
        <v>-1.693099970802617E-9</v>
      </c>
      <c r="H347" s="441"/>
      <c r="I347" s="436">
        <f t="shared" si="82"/>
        <v>0</v>
      </c>
      <c r="J347" s="436">
        <f t="shared" si="85"/>
        <v>0</v>
      </c>
      <c r="K347" s="436">
        <f t="shared" si="83"/>
        <v>4.6475179260596633E-10</v>
      </c>
      <c r="L347" s="437">
        <f t="shared" si="78"/>
        <v>-4.2327499270065425E-10</v>
      </c>
      <c r="M347" s="437">
        <f t="shared" si="84"/>
        <v>1.1618794815149158E-10</v>
      </c>
    </row>
    <row r="348" spans="1:14" ht="19.95" customHeight="1">
      <c r="A348" s="438">
        <f t="shared" si="79"/>
        <v>327</v>
      </c>
      <c r="B348" s="442">
        <f t="shared" si="80"/>
        <v>54118</v>
      </c>
      <c r="C348" s="431"/>
      <c r="D348" s="408"/>
      <c r="E348" s="433">
        <f t="shared" si="81"/>
        <v>0</v>
      </c>
      <c r="F348" s="433">
        <f t="shared" si="76"/>
        <v>-7.0545832116775707E-12</v>
      </c>
      <c r="G348" s="433">
        <f t="shared" si="77"/>
        <v>-1.7001545540142947E-9</v>
      </c>
      <c r="H348" s="441"/>
      <c r="I348" s="436">
        <f t="shared" si="82"/>
        <v>0</v>
      </c>
      <c r="J348" s="436">
        <f t="shared" si="85"/>
        <v>0</v>
      </c>
      <c r="K348" s="436">
        <f t="shared" si="83"/>
        <v>4.6475179260596633E-10</v>
      </c>
      <c r="L348" s="437">
        <f t="shared" si="78"/>
        <v>-4.2503863850357367E-10</v>
      </c>
      <c r="M348" s="437">
        <f t="shared" si="84"/>
        <v>1.1618794815149158E-10</v>
      </c>
    </row>
    <row r="349" spans="1:14" s="99" customFormat="1" ht="19.95" customHeight="1">
      <c r="A349" s="447"/>
      <c r="B349" s="448" t="s">
        <v>248</v>
      </c>
      <c r="C349" s="449">
        <f>SUM(C22:C348)</f>
        <v>450000</v>
      </c>
      <c r="D349" s="450">
        <f>SUM(D22:D348)</f>
        <v>0</v>
      </c>
      <c r="E349" s="450">
        <f>SUM(E22:E348)</f>
        <v>353559.44906082295</v>
      </c>
      <c r="F349" s="450">
        <f t="shared" ref="F349" si="86">SUM(F22:F348)</f>
        <v>96440.550939176464</v>
      </c>
      <c r="G349" s="450"/>
      <c r="H349" s="450">
        <f>SUM(H22:H348)</f>
        <v>50000</v>
      </c>
      <c r="I349" s="450">
        <f>SUM(I22:I348)</f>
        <v>403559.44906082249</v>
      </c>
      <c r="J349" s="449" t="s">
        <v>59</v>
      </c>
      <c r="K349" s="449" t="s">
        <v>59</v>
      </c>
      <c r="L349" s="450"/>
      <c r="M349" s="450"/>
      <c r="N349" s="568"/>
    </row>
    <row r="350" spans="1:14" s="99" customFormat="1" ht="19.95" customHeight="1">
      <c r="A350" s="105"/>
      <c r="B350" s="106"/>
      <c r="C350" s="90"/>
      <c r="D350" s="91"/>
      <c r="E350" s="91"/>
      <c r="F350" s="91"/>
      <c r="G350" s="91"/>
      <c r="H350" s="91"/>
      <c r="I350" s="91"/>
      <c r="J350" s="91"/>
      <c r="K350" s="91"/>
      <c r="L350" s="104"/>
      <c r="N350" s="568"/>
    </row>
    <row r="351" spans="1:14" s="99" customFormat="1" ht="19.95" customHeight="1">
      <c r="A351" s="105"/>
      <c r="B351" s="106"/>
      <c r="C351" s="90"/>
      <c r="D351" s="91"/>
      <c r="E351" s="91"/>
      <c r="F351" s="91"/>
      <c r="G351" s="91"/>
      <c r="H351" s="91"/>
      <c r="I351" s="91"/>
      <c r="J351" s="91"/>
      <c r="K351" s="104"/>
      <c r="N351" s="568"/>
    </row>
    <row r="352" spans="1:14" s="92" customFormat="1" ht="19.95" customHeight="1">
      <c r="A352" s="271" t="s">
        <v>424</v>
      </c>
      <c r="B352" s="271"/>
      <c r="C352" s="271"/>
      <c r="D352" s="271"/>
      <c r="E352" s="272"/>
      <c r="F352" s="272"/>
      <c r="G352" s="272"/>
      <c r="H352" s="271"/>
      <c r="I352" s="273"/>
      <c r="J352" s="273"/>
      <c r="K352" s="274"/>
      <c r="N352" s="565"/>
    </row>
    <row r="353" spans="1:14" s="92" customFormat="1" ht="19.95" customHeight="1">
      <c r="A353" s="391" t="s">
        <v>762</v>
      </c>
      <c r="C353" s="46"/>
      <c r="D353" s="46"/>
      <c r="E353" s="183"/>
      <c r="F353" s="183"/>
      <c r="G353" s="183"/>
      <c r="H353" s="46"/>
      <c r="J353" s="273"/>
      <c r="K353" s="273"/>
      <c r="N353" s="565"/>
    </row>
    <row r="354" spans="1:14" s="92" customFormat="1" ht="19.95" customHeight="1">
      <c r="A354" s="391" t="s">
        <v>763</v>
      </c>
      <c r="E354" s="184"/>
      <c r="F354" s="184"/>
      <c r="G354" s="184"/>
      <c r="J354" s="274"/>
      <c r="K354" s="274"/>
      <c r="N354" s="565"/>
    </row>
    <row r="355" spans="1:14" s="92" customFormat="1" ht="19.95" customHeight="1">
      <c r="A355" s="391" t="s">
        <v>764</v>
      </c>
      <c r="C355" s="276"/>
      <c r="E355" s="184"/>
      <c r="F355" s="184"/>
      <c r="G355" s="184"/>
      <c r="H355" s="276"/>
      <c r="J355" s="273"/>
      <c r="K355" s="273"/>
      <c r="N355" s="565"/>
    </row>
    <row r="356" spans="1:14" s="92" customFormat="1" ht="19.95" customHeight="1">
      <c r="A356" s="46"/>
      <c r="B356" s="275"/>
      <c r="C356" s="46"/>
      <c r="D356" s="46"/>
      <c r="E356" s="183"/>
      <c r="F356" s="183"/>
      <c r="G356" s="183"/>
      <c r="H356" s="46"/>
      <c r="J356" s="274"/>
      <c r="K356" s="274"/>
      <c r="N356" s="565"/>
    </row>
    <row r="357" spans="1:14" s="92" customFormat="1" ht="19.95" customHeight="1">
      <c r="A357" s="271" t="s">
        <v>425</v>
      </c>
      <c r="B357" s="271"/>
      <c r="C357" s="271"/>
      <c r="D357" s="271"/>
      <c r="E357" s="272"/>
      <c r="F357" s="272"/>
      <c r="G357" s="272"/>
      <c r="H357" s="271"/>
      <c r="I357" s="277"/>
      <c r="J357" s="274"/>
      <c r="K357" s="274"/>
      <c r="N357" s="565"/>
    </row>
    <row r="358" spans="1:14" s="92" customFormat="1" ht="19.95" customHeight="1">
      <c r="A358" s="46"/>
      <c r="B358" s="46"/>
      <c r="C358" s="46"/>
      <c r="D358" s="46"/>
      <c r="E358" s="183"/>
      <c r="F358" s="183"/>
      <c r="G358" s="183"/>
      <c r="H358" s="46"/>
      <c r="I358" s="277"/>
      <c r="J358" s="274"/>
      <c r="K358" s="274"/>
      <c r="N358" s="565"/>
    </row>
    <row r="359" spans="1:14" s="92" customFormat="1" ht="19.95" customHeight="1">
      <c r="A359" s="46"/>
      <c r="B359" s="46"/>
      <c r="C359" s="46"/>
      <c r="D359" s="46"/>
      <c r="E359" s="183"/>
      <c r="F359" s="183"/>
      <c r="G359" s="183"/>
      <c r="H359" s="46"/>
      <c r="I359" s="277"/>
      <c r="J359" s="274"/>
      <c r="K359" s="274"/>
      <c r="N359" s="565"/>
    </row>
    <row r="360" spans="1:14" s="92" customFormat="1" ht="19.95" customHeight="1">
      <c r="A360" s="46"/>
      <c r="B360" s="46"/>
      <c r="C360" s="46"/>
      <c r="D360" s="46"/>
      <c r="E360" s="183"/>
      <c r="F360" s="183"/>
      <c r="G360" s="183"/>
      <c r="H360" s="46"/>
      <c r="I360" s="277"/>
      <c r="J360" s="274"/>
      <c r="K360" s="274"/>
      <c r="N360" s="565"/>
    </row>
    <row r="361" spans="1:14" ht="19.95" customHeight="1">
      <c r="B361" s="97"/>
      <c r="C361" s="97"/>
      <c r="D361" s="107"/>
      <c r="E361" s="184"/>
      <c r="F361" s="184"/>
      <c r="G361" s="184"/>
      <c r="H361" s="108"/>
      <c r="I361" s="108"/>
    </row>
  </sheetData>
  <autoFilter ref="A21:K349"/>
  <mergeCells count="9">
    <mergeCell ref="A1:M1"/>
    <mergeCell ref="A2:M2"/>
    <mergeCell ref="A16:B16"/>
    <mergeCell ref="A17:B17"/>
    <mergeCell ref="A18:B18"/>
    <mergeCell ref="A13:C13"/>
    <mergeCell ref="D13:J13"/>
    <mergeCell ref="A14:B14"/>
    <mergeCell ref="A15:B15"/>
  </mergeCells>
  <phoneticPr fontId="11" type="noConversion"/>
  <hyperlinks>
    <hyperlink ref="M3" location="底稿目录!A1" display="H8A"/>
  </hyperlinks>
  <pageMargins left="0.70866141732283472" right="0.70866141732283472" top="0.74803149606299213" bottom="0.74803149606299213" header="0.31496062992125984" footer="0.31496062992125984"/>
  <pageSetup paperSize="9" scale="51" fitToHeight="100" orientation="portrait" blackAndWhite="1" horizontalDpi="1200" verticalDpi="1200" r:id="rId1"/>
  <headerFooter>
    <oddFooter>&amp;C&amp;P/&amp;N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pageSetUpPr fitToPage="1"/>
  </sheetPr>
  <dimension ref="A1:K100"/>
  <sheetViews>
    <sheetView view="pageBreakPreview" zoomScaleNormal="130" zoomScaleSheetLayoutView="100" workbookViewId="0">
      <selection sqref="A1:I1"/>
    </sheetView>
  </sheetViews>
  <sheetFormatPr defaultColWidth="9" defaultRowHeight="19.95" customHeight="1"/>
  <cols>
    <col min="1" max="1" width="14.8984375" style="93" customWidth="1"/>
    <col min="2" max="2" width="13.69921875" style="93" customWidth="1"/>
    <col min="3" max="3" width="11.09765625" style="93" customWidth="1"/>
    <col min="4" max="4" width="10.3984375" style="93" customWidth="1"/>
    <col min="5" max="5" width="11.59765625" style="93" customWidth="1"/>
    <col min="6" max="6" width="11.19921875" style="93" customWidth="1"/>
    <col min="7" max="7" width="10.5" style="93" customWidth="1"/>
    <col min="8" max="8" width="9.3984375" style="93" customWidth="1"/>
    <col min="9" max="9" width="12.19921875" style="93" customWidth="1"/>
    <col min="10" max="10" width="57.59765625" style="548" customWidth="1"/>
    <col min="11" max="16384" width="9" style="93"/>
  </cols>
  <sheetData>
    <row r="1" spans="1:10" s="111" customFormat="1" ht="19.95" customHeight="1">
      <c r="A1" s="750" t="s">
        <v>941</v>
      </c>
      <c r="B1" s="750"/>
      <c r="C1" s="750"/>
      <c r="D1" s="750"/>
      <c r="E1" s="750"/>
      <c r="F1" s="750"/>
      <c r="G1" s="750"/>
      <c r="H1" s="750"/>
      <c r="I1" s="750"/>
      <c r="J1" s="544"/>
    </row>
    <row r="2" spans="1:10" s="316" customFormat="1" ht="19.95" customHeight="1">
      <c r="A2" s="696" t="s">
        <v>942</v>
      </c>
      <c r="B2" s="751"/>
      <c r="C2" s="751"/>
      <c r="D2" s="751"/>
      <c r="E2" s="751"/>
      <c r="F2" s="751"/>
      <c r="G2" s="751"/>
      <c r="H2" s="751"/>
      <c r="I2" s="751"/>
      <c r="J2" s="545"/>
    </row>
    <row r="3" spans="1:10" ht="19.95" customHeight="1">
      <c r="A3" s="93" t="str">
        <f>底稿目录!A2</f>
        <v>被审计单位：</v>
      </c>
      <c r="D3" s="112" t="str">
        <f>底稿目录!A4</f>
        <v>编制人：</v>
      </c>
      <c r="F3" s="93" t="str">
        <f>底稿目录!A6</f>
        <v>编制日期：</v>
      </c>
      <c r="H3" s="357" t="s">
        <v>733</v>
      </c>
      <c r="I3" s="210" t="s">
        <v>85</v>
      </c>
      <c r="J3" s="546"/>
    </row>
    <row r="4" spans="1:10" ht="19.95" customHeight="1">
      <c r="A4" s="93" t="str">
        <f>底稿目录!A3</f>
        <v>截止日：202X年12月31日</v>
      </c>
      <c r="D4" s="112" t="str">
        <f>底稿目录!A5</f>
        <v>复核人：</v>
      </c>
      <c r="F4" s="93" t="str">
        <f>底稿目录!A7</f>
        <v>复核日期：</v>
      </c>
      <c r="H4" s="357" t="s">
        <v>734</v>
      </c>
      <c r="I4" s="218"/>
      <c r="J4" s="546"/>
    </row>
    <row r="5" spans="1:10" s="509" customFormat="1" ht="52.2" customHeight="1">
      <c r="A5" s="706" t="s">
        <v>426</v>
      </c>
      <c r="B5" s="706"/>
      <c r="C5" s="706"/>
      <c r="D5" s="706"/>
      <c r="E5" s="706"/>
      <c r="F5" s="706"/>
      <c r="G5" s="706"/>
      <c r="H5" s="706"/>
      <c r="I5" s="706"/>
      <c r="J5" s="547"/>
    </row>
    <row r="6" spans="1:10" ht="19.95" customHeight="1">
      <c r="A6" s="171" t="s">
        <v>27</v>
      </c>
      <c r="B6" s="171"/>
      <c r="C6" s="171"/>
      <c r="D6" s="171"/>
      <c r="E6" s="171"/>
      <c r="F6" s="171"/>
      <c r="G6" s="171"/>
      <c r="H6" s="171"/>
      <c r="I6" s="171"/>
      <c r="J6" s="546"/>
    </row>
    <row r="7" spans="1:10" ht="19.95" customHeight="1">
      <c r="A7" s="197" t="s">
        <v>31</v>
      </c>
      <c r="B7" s="197"/>
      <c r="C7" s="197"/>
      <c r="D7" s="197"/>
      <c r="E7" s="197"/>
      <c r="F7" s="197"/>
      <c r="G7" s="197"/>
      <c r="H7" s="197"/>
      <c r="I7" s="197"/>
      <c r="J7" s="546"/>
    </row>
    <row r="8" spans="1:10" ht="19.95" customHeight="1">
      <c r="A8" s="197" t="s">
        <v>32</v>
      </c>
      <c r="B8" s="197"/>
      <c r="C8" s="197"/>
      <c r="D8" s="113" t="s">
        <v>355</v>
      </c>
      <c r="E8" s="257" t="s">
        <v>272</v>
      </c>
      <c r="F8" s="197"/>
      <c r="G8" s="197"/>
      <c r="H8" s="197"/>
      <c r="I8" s="197"/>
      <c r="J8" s="546"/>
    </row>
    <row r="9" spans="1:10" ht="19.95" customHeight="1">
      <c r="A9" s="681" t="s">
        <v>275</v>
      </c>
      <c r="B9" s="682"/>
      <c r="C9" s="648" t="s">
        <v>325</v>
      </c>
      <c r="D9" s="675"/>
      <c r="E9" s="366" t="s">
        <v>269</v>
      </c>
      <c r="F9" s="672" t="s">
        <v>427</v>
      </c>
      <c r="G9" s="710"/>
      <c r="H9" s="711"/>
      <c r="I9" s="366" t="s">
        <v>335</v>
      </c>
      <c r="J9" s="546"/>
    </row>
    <row r="10" spans="1:10" ht="44.4" customHeight="1">
      <c r="A10" s="686" t="s">
        <v>428</v>
      </c>
      <c r="B10" s="687"/>
      <c r="C10" s="688"/>
      <c r="D10" s="689"/>
      <c r="E10" s="116"/>
      <c r="F10" s="707"/>
      <c r="G10" s="708"/>
      <c r="H10" s="709"/>
      <c r="I10" s="124"/>
      <c r="J10" s="546" t="s">
        <v>917</v>
      </c>
    </row>
    <row r="11" spans="1:10" ht="42.6" customHeight="1">
      <c r="A11" s="686" t="s">
        <v>429</v>
      </c>
      <c r="B11" s="687"/>
      <c r="C11" s="688"/>
      <c r="D11" s="689"/>
      <c r="E11" s="116"/>
      <c r="F11" s="707"/>
      <c r="G11" s="708"/>
      <c r="H11" s="709"/>
      <c r="I11" s="124"/>
      <c r="J11" s="546"/>
    </row>
    <row r="12" spans="1:10" ht="34.200000000000003" customHeight="1">
      <c r="A12" s="681" t="s">
        <v>430</v>
      </c>
      <c r="B12" s="685"/>
      <c r="C12" s="678" t="str">
        <f>IF(AND(E10="是",E11="是"),"应当将该租赁变更作为一项单独租赁进行会计处理","应当分摊变更后合同的对价，重新确定租赁期，并按照变更后租赁付款额和修订后的折现率计算的现值重新计量租赁负债")</f>
        <v>应当分摊变更后合同的对价，重新确定租赁期，并按照变更后租赁付款额和修订后的折现率计算的现值重新计量租赁负债</v>
      </c>
      <c r="D12" s="679"/>
      <c r="E12" s="679"/>
      <c r="F12" s="679"/>
      <c r="G12" s="679"/>
      <c r="H12" s="679"/>
      <c r="I12" s="680"/>
      <c r="J12" s="546"/>
    </row>
    <row r="13" spans="1:10" ht="19.95" customHeight="1">
      <c r="A13" s="197"/>
      <c r="B13" s="197"/>
      <c r="C13" s="197"/>
      <c r="D13" s="197"/>
      <c r="E13" s="197"/>
      <c r="F13" s="197"/>
      <c r="G13" s="197"/>
      <c r="H13" s="197"/>
      <c r="I13" s="197"/>
      <c r="J13" s="546"/>
    </row>
    <row r="14" spans="1:10" ht="19.95" customHeight="1">
      <c r="A14" s="197" t="s">
        <v>33</v>
      </c>
      <c r="B14" s="197"/>
      <c r="C14" s="197"/>
      <c r="D14" s="113" t="s">
        <v>267</v>
      </c>
      <c r="E14" s="257" t="s">
        <v>272</v>
      </c>
      <c r="F14" s="197"/>
      <c r="G14" s="197"/>
      <c r="H14" s="197"/>
      <c r="I14" s="197"/>
      <c r="J14" s="546"/>
    </row>
    <row r="15" spans="1:10" ht="19.95" customHeight="1">
      <c r="A15" s="681" t="s">
        <v>431</v>
      </c>
      <c r="B15" s="682"/>
      <c r="C15" s="648" t="s">
        <v>331</v>
      </c>
      <c r="D15" s="675"/>
      <c r="E15" s="366" t="s">
        <v>432</v>
      </c>
      <c r="F15" s="672" t="s">
        <v>433</v>
      </c>
      <c r="G15" s="710"/>
      <c r="H15" s="711"/>
      <c r="I15" s="366" t="s">
        <v>285</v>
      </c>
      <c r="J15" s="546"/>
    </row>
    <row r="16" spans="1:10" ht="49.2" customHeight="1">
      <c r="A16" s="686" t="s">
        <v>434</v>
      </c>
      <c r="B16" s="687"/>
      <c r="C16" s="688"/>
      <c r="D16" s="689"/>
      <c r="E16" s="116"/>
      <c r="F16" s="707" t="s">
        <v>435</v>
      </c>
      <c r="G16" s="708"/>
      <c r="H16" s="709"/>
      <c r="I16" s="124"/>
      <c r="J16" s="546"/>
    </row>
    <row r="17" spans="1:10" ht="44.4" customHeight="1">
      <c r="A17" s="686" t="s">
        <v>436</v>
      </c>
      <c r="B17" s="687"/>
      <c r="C17" s="712" t="s">
        <v>437</v>
      </c>
      <c r="D17" s="713"/>
      <c r="E17" s="116" t="s">
        <v>273</v>
      </c>
      <c r="F17" s="707" t="s">
        <v>438</v>
      </c>
      <c r="G17" s="708"/>
      <c r="H17" s="709"/>
      <c r="I17" s="124"/>
      <c r="J17" s="546"/>
    </row>
    <row r="18" spans="1:10" ht="19.95" customHeight="1">
      <c r="A18" s="681" t="s">
        <v>282</v>
      </c>
      <c r="B18" s="685"/>
      <c r="C18" s="678"/>
      <c r="D18" s="679"/>
      <c r="E18" s="679"/>
      <c r="F18" s="679"/>
      <c r="G18" s="679"/>
      <c r="H18" s="679"/>
      <c r="I18" s="680"/>
      <c r="J18" s="546"/>
    </row>
    <row r="19" spans="1:10" ht="19.95" customHeight="1">
      <c r="A19" s="197"/>
      <c r="B19" s="197"/>
      <c r="C19" s="197"/>
      <c r="D19" s="197"/>
      <c r="E19" s="197"/>
      <c r="F19" s="197"/>
      <c r="G19" s="197"/>
      <c r="H19" s="197"/>
      <c r="I19" s="197"/>
      <c r="J19" s="546"/>
    </row>
    <row r="20" spans="1:10" ht="19.95" customHeight="1">
      <c r="A20" s="197" t="s">
        <v>439</v>
      </c>
      <c r="B20" s="197"/>
      <c r="C20" s="197"/>
      <c r="D20" s="197"/>
      <c r="E20" s="197"/>
      <c r="F20" s="197"/>
      <c r="G20" s="197"/>
      <c r="H20" s="197"/>
      <c r="I20" s="197"/>
      <c r="J20" s="546"/>
    </row>
    <row r="21" spans="1:10" ht="19.95" customHeight="1">
      <c r="A21" s="256" t="s">
        <v>440</v>
      </c>
      <c r="B21" s="113"/>
      <c r="C21" s="113"/>
      <c r="D21" s="113"/>
      <c r="E21" s="113"/>
      <c r="G21" s="114"/>
      <c r="H21" s="113"/>
      <c r="I21" s="113"/>
      <c r="J21" s="546"/>
    </row>
    <row r="22" spans="1:10" ht="24">
      <c r="A22" s="266" t="s">
        <v>367</v>
      </c>
      <c r="B22" s="266" t="s">
        <v>441</v>
      </c>
      <c r="C22" s="266" t="s">
        <v>442</v>
      </c>
      <c r="D22" s="369" t="s">
        <v>443</v>
      </c>
      <c r="E22" s="266" t="s">
        <v>444</v>
      </c>
      <c r="F22" s="266" t="s">
        <v>445</v>
      </c>
      <c r="G22" s="369" t="s">
        <v>446</v>
      </c>
      <c r="H22" s="369" t="s">
        <v>447</v>
      </c>
      <c r="I22" s="266" t="s">
        <v>448</v>
      </c>
      <c r="J22" s="546"/>
    </row>
    <row r="23" spans="1:10" ht="19.95" customHeight="1">
      <c r="A23" s="264" t="s">
        <v>376</v>
      </c>
      <c r="B23" s="115">
        <v>44197</v>
      </c>
      <c r="C23" s="115">
        <v>47118</v>
      </c>
      <c r="D23" s="116">
        <f>2</f>
        <v>2</v>
      </c>
      <c r="E23" s="116">
        <f>(YEAR(C23)-YEAR(B23))+D23+(MONTH(C23)-MONTH(B23)+1)/12</f>
        <v>10</v>
      </c>
      <c r="F23" s="115">
        <f>DATE(YEAR(C23)+D23,MONTH(C23),DAY(C23))</f>
        <v>47848</v>
      </c>
      <c r="G23" s="117">
        <v>0.05</v>
      </c>
      <c r="H23" s="117">
        <v>0.05</v>
      </c>
      <c r="I23" s="118">
        <v>10</v>
      </c>
      <c r="J23" s="546"/>
    </row>
    <row r="24" spans="1:10" ht="19.95" customHeight="1">
      <c r="A24" s="265"/>
      <c r="B24" s="119"/>
      <c r="C24" s="120"/>
      <c r="D24" s="120"/>
      <c r="E24" s="120"/>
      <c r="F24" s="121"/>
      <c r="G24" s="120"/>
      <c r="H24" s="122"/>
      <c r="I24" s="122"/>
      <c r="J24" s="546"/>
    </row>
    <row r="25" spans="1:10" ht="19.95" customHeight="1">
      <c r="A25" s="258"/>
      <c r="B25" s="113"/>
      <c r="C25" s="113"/>
      <c r="D25" s="113"/>
      <c r="E25" s="113"/>
      <c r="F25" s="113"/>
      <c r="G25" s="113"/>
      <c r="H25" s="113"/>
      <c r="I25" s="113"/>
      <c r="J25" s="546"/>
    </row>
    <row r="26" spans="1:10" ht="19.95" customHeight="1">
      <c r="A26" s="256" t="s">
        <v>449</v>
      </c>
      <c r="B26" s="113"/>
      <c r="C26" s="113"/>
      <c r="D26" s="113"/>
      <c r="E26" s="113"/>
      <c r="F26" s="113"/>
      <c r="G26" s="113"/>
      <c r="H26" s="113"/>
      <c r="I26" s="113"/>
      <c r="J26" s="355"/>
    </row>
    <row r="27" spans="1:10" ht="25.8">
      <c r="A27" s="266" t="s">
        <v>378</v>
      </c>
      <c r="B27" s="266" t="s">
        <v>379</v>
      </c>
      <c r="C27" s="266" t="s">
        <v>380</v>
      </c>
      <c r="D27" s="266" t="s">
        <v>450</v>
      </c>
      <c r="E27" s="266" t="s">
        <v>451</v>
      </c>
      <c r="F27" s="266" t="s">
        <v>383</v>
      </c>
      <c r="G27" s="266" t="s">
        <v>452</v>
      </c>
      <c r="H27" s="266" t="s">
        <v>385</v>
      </c>
      <c r="I27" s="266" t="s">
        <v>453</v>
      </c>
      <c r="J27" s="561"/>
    </row>
    <row r="28" spans="1:10" ht="19.95" customHeight="1">
      <c r="A28" s="123">
        <v>44197</v>
      </c>
      <c r="B28" s="186">
        <v>50000</v>
      </c>
      <c r="C28" s="186">
        <f t="shared" ref="C28:C37" si="0">IF(E28=1,0,B28)</f>
        <v>0</v>
      </c>
      <c r="D28" s="124">
        <v>0</v>
      </c>
      <c r="E28" s="193">
        <f t="shared" ref="E28:E29" si="1">1/(1+$H$23)^D28</f>
        <v>1</v>
      </c>
      <c r="F28" s="186">
        <f>C28*E28</f>
        <v>0</v>
      </c>
      <c r="G28" s="187">
        <f>B28</f>
        <v>50000</v>
      </c>
      <c r="H28" s="188">
        <v>15000</v>
      </c>
      <c r="I28" s="31"/>
      <c r="J28" s="355"/>
    </row>
    <row r="29" spans="1:10" ht="19.95" customHeight="1">
      <c r="A29" s="123">
        <v>44562</v>
      </c>
      <c r="B29" s="186">
        <v>50000</v>
      </c>
      <c r="C29" s="186">
        <f t="shared" si="0"/>
        <v>50000</v>
      </c>
      <c r="D29" s="124">
        <f>D28+1</f>
        <v>1</v>
      </c>
      <c r="E29" s="193">
        <f t="shared" si="1"/>
        <v>0.95238095238095233</v>
      </c>
      <c r="F29" s="186">
        <f t="shared" ref="F29:F37" si="2">C29*E29</f>
        <v>47619.047619047618</v>
      </c>
      <c r="G29" s="120"/>
      <c r="H29" s="31"/>
      <c r="I29" s="31"/>
      <c r="J29" s="355"/>
    </row>
    <row r="30" spans="1:10" ht="19.95" customHeight="1">
      <c r="A30" s="123">
        <v>44927</v>
      </c>
      <c r="B30" s="186">
        <v>50000</v>
      </c>
      <c r="C30" s="186">
        <f t="shared" si="0"/>
        <v>50000</v>
      </c>
      <c r="D30" s="124">
        <f t="shared" ref="D30:D37" si="3">D29+1</f>
        <v>2</v>
      </c>
      <c r="E30" s="193">
        <f>1/(1+$H$23)^D30</f>
        <v>0.90702947845804982</v>
      </c>
      <c r="F30" s="186">
        <f t="shared" si="2"/>
        <v>45351.473922902493</v>
      </c>
      <c r="G30" s="120"/>
      <c r="H30" s="125"/>
      <c r="I30" s="26"/>
      <c r="J30" s="355"/>
    </row>
    <row r="31" spans="1:10" ht="19.95" customHeight="1">
      <c r="A31" s="123">
        <v>45292</v>
      </c>
      <c r="B31" s="186">
        <v>50000</v>
      </c>
      <c r="C31" s="186">
        <f t="shared" si="0"/>
        <v>50000</v>
      </c>
      <c r="D31" s="124">
        <f t="shared" si="3"/>
        <v>3</v>
      </c>
      <c r="E31" s="193">
        <f>1/(1+$H$23)^D31</f>
        <v>0.86383759853147601</v>
      </c>
      <c r="F31" s="186">
        <f t="shared" si="2"/>
        <v>43191.879926573798</v>
      </c>
      <c r="G31" s="120"/>
      <c r="H31" s="125"/>
      <c r="I31" s="26"/>
      <c r="J31" s="355"/>
    </row>
    <row r="32" spans="1:10" ht="19.95" customHeight="1">
      <c r="A32" s="123">
        <v>45658</v>
      </c>
      <c r="B32" s="186">
        <v>50000</v>
      </c>
      <c r="C32" s="186">
        <f t="shared" si="0"/>
        <v>50000</v>
      </c>
      <c r="D32" s="124">
        <f t="shared" si="3"/>
        <v>4</v>
      </c>
      <c r="E32" s="193">
        <f t="shared" ref="E32:E37" si="4">1/(1+$H$23)^D32</f>
        <v>0.82270247479188197</v>
      </c>
      <c r="F32" s="186">
        <f t="shared" si="2"/>
        <v>41135.123739594099</v>
      </c>
      <c r="G32" s="120"/>
      <c r="H32" s="125"/>
      <c r="I32" s="26"/>
      <c r="J32" s="355"/>
    </row>
    <row r="33" spans="1:11" ht="19.95" customHeight="1">
      <c r="A33" s="123">
        <v>46023</v>
      </c>
      <c r="B33" s="186">
        <v>50000</v>
      </c>
      <c r="C33" s="186">
        <f t="shared" si="0"/>
        <v>50000</v>
      </c>
      <c r="D33" s="124">
        <f t="shared" si="3"/>
        <v>5</v>
      </c>
      <c r="E33" s="193">
        <f t="shared" si="4"/>
        <v>0.78352616646845896</v>
      </c>
      <c r="F33" s="186">
        <f t="shared" si="2"/>
        <v>39176.308323422949</v>
      </c>
      <c r="G33" s="120"/>
      <c r="H33" s="125"/>
      <c r="I33" s="26"/>
      <c r="J33" s="562"/>
      <c r="K33" s="267"/>
    </row>
    <row r="34" spans="1:11" ht="19.95" customHeight="1">
      <c r="A34" s="123">
        <v>46388</v>
      </c>
      <c r="B34" s="186">
        <v>50000</v>
      </c>
      <c r="C34" s="186">
        <f t="shared" si="0"/>
        <v>50000</v>
      </c>
      <c r="D34" s="124">
        <f t="shared" si="3"/>
        <v>6</v>
      </c>
      <c r="E34" s="193">
        <f t="shared" si="4"/>
        <v>0.74621539663662761</v>
      </c>
      <c r="F34" s="186">
        <f t="shared" si="2"/>
        <v>37310.769831831378</v>
      </c>
      <c r="G34" s="120"/>
      <c r="H34" s="125"/>
      <c r="I34" s="26"/>
      <c r="J34" s="562"/>
      <c r="K34" s="267"/>
    </row>
    <row r="35" spans="1:11" ht="19.95" customHeight="1">
      <c r="A35" s="123">
        <v>46753</v>
      </c>
      <c r="B35" s="186">
        <v>50000</v>
      </c>
      <c r="C35" s="186">
        <f t="shared" si="0"/>
        <v>50000</v>
      </c>
      <c r="D35" s="124">
        <f t="shared" si="3"/>
        <v>7</v>
      </c>
      <c r="E35" s="193">
        <f t="shared" si="4"/>
        <v>0.71068133013012147</v>
      </c>
      <c r="F35" s="186">
        <f t="shared" si="2"/>
        <v>35534.066506506075</v>
      </c>
      <c r="G35" s="120"/>
      <c r="H35" s="125"/>
      <c r="I35" s="26"/>
      <c r="J35" s="355"/>
    </row>
    <row r="36" spans="1:11" ht="19.95" customHeight="1">
      <c r="A36" s="123">
        <v>47119</v>
      </c>
      <c r="B36" s="186">
        <v>50000</v>
      </c>
      <c r="C36" s="186">
        <f t="shared" si="0"/>
        <v>50000</v>
      </c>
      <c r="D36" s="124">
        <f t="shared" si="3"/>
        <v>8</v>
      </c>
      <c r="E36" s="193">
        <f t="shared" si="4"/>
        <v>0.67683936202868722</v>
      </c>
      <c r="F36" s="186">
        <f t="shared" si="2"/>
        <v>33841.968101434359</v>
      </c>
      <c r="G36" s="120"/>
      <c r="H36" s="125"/>
      <c r="I36" s="26"/>
      <c r="J36" s="355"/>
    </row>
    <row r="37" spans="1:11" ht="19.95" customHeight="1">
      <c r="A37" s="123">
        <v>47484</v>
      </c>
      <c r="B37" s="186">
        <v>50000</v>
      </c>
      <c r="C37" s="186">
        <f t="shared" si="0"/>
        <v>50000</v>
      </c>
      <c r="D37" s="124">
        <f t="shared" si="3"/>
        <v>9</v>
      </c>
      <c r="E37" s="193">
        <f t="shared" si="4"/>
        <v>0.64460891621779726</v>
      </c>
      <c r="F37" s="186">
        <f t="shared" si="2"/>
        <v>32230.445810889862</v>
      </c>
      <c r="G37" s="120"/>
      <c r="H37" s="125"/>
      <c r="I37" s="26"/>
      <c r="J37" s="355"/>
    </row>
    <row r="38" spans="1:11" ht="19.95" customHeight="1">
      <c r="A38" s="266" t="s">
        <v>387</v>
      </c>
      <c r="B38" s="191">
        <f>SUM(B28:B37)</f>
        <v>500000</v>
      </c>
      <c r="C38" s="191">
        <f>SUM(C28:C37)</f>
        <v>450000</v>
      </c>
      <c r="D38" s="191"/>
      <c r="E38" s="191"/>
      <c r="F38" s="191">
        <f>SUM(F28:F37)</f>
        <v>355391.08378220262</v>
      </c>
      <c r="G38" s="191">
        <f>SUM(G28:G37)</f>
        <v>50000</v>
      </c>
      <c r="H38" s="191">
        <f>SUM(H28:H37)</f>
        <v>15000</v>
      </c>
      <c r="I38" s="191">
        <f>F38+G38+H38</f>
        <v>420391.08378220262</v>
      </c>
      <c r="J38" s="355"/>
    </row>
    <row r="39" spans="1:11" ht="19.95" customHeight="1">
      <c r="A39" s="126"/>
      <c r="B39" s="268"/>
      <c r="C39" s="113"/>
      <c r="D39" s="113"/>
      <c r="E39" s="139"/>
      <c r="F39" s="113"/>
      <c r="G39" s="113"/>
      <c r="H39" s="113"/>
      <c r="I39" s="113"/>
      <c r="J39" s="546"/>
    </row>
    <row r="40" spans="1:11" ht="19.95" customHeight="1">
      <c r="A40" s="256" t="s">
        <v>454</v>
      </c>
      <c r="B40" s="268"/>
      <c r="C40" s="113"/>
      <c r="D40" s="113"/>
      <c r="E40" s="113"/>
      <c r="F40" s="113"/>
      <c r="G40" s="113"/>
      <c r="H40" s="113"/>
      <c r="I40" s="113"/>
      <c r="J40" s="546"/>
    </row>
    <row r="41" spans="1:11" ht="19.95" customHeight="1">
      <c r="A41" s="698" t="s">
        <v>455</v>
      </c>
      <c r="B41" s="698" t="s">
        <v>390</v>
      </c>
      <c r="C41" s="698"/>
      <c r="D41" s="698"/>
      <c r="E41" s="698"/>
      <c r="F41" s="698"/>
      <c r="G41" s="699" t="s">
        <v>391</v>
      </c>
      <c r="H41" s="700"/>
      <c r="I41" s="700"/>
      <c r="J41" s="546"/>
    </row>
    <row r="42" spans="1:11" ht="19.95" customHeight="1">
      <c r="A42" s="698"/>
      <c r="B42" s="266" t="s">
        <v>396</v>
      </c>
      <c r="C42" s="328" t="s">
        <v>393</v>
      </c>
      <c r="D42" s="266" t="s">
        <v>394</v>
      </c>
      <c r="E42" s="266" t="s">
        <v>456</v>
      </c>
      <c r="F42" s="266" t="s">
        <v>457</v>
      </c>
      <c r="G42" s="266" t="s">
        <v>458</v>
      </c>
      <c r="H42" s="266" t="s">
        <v>459</v>
      </c>
      <c r="I42" s="266" t="s">
        <v>363</v>
      </c>
      <c r="J42" s="561"/>
    </row>
    <row r="43" spans="1:11" ht="19.95" customHeight="1">
      <c r="A43" s="127" t="s">
        <v>28</v>
      </c>
      <c r="B43" s="190">
        <f>F38</f>
        <v>355391.08378220262</v>
      </c>
      <c r="C43" s="188">
        <f>C28</f>
        <v>0</v>
      </c>
      <c r="D43" s="128">
        <v>1</v>
      </c>
      <c r="E43" s="188">
        <f>(B43-C43)*$H$23</f>
        <v>17769.554189110131</v>
      </c>
      <c r="F43" s="188">
        <f t="shared" ref="F43:F52" si="5">B43-C43+E43</f>
        <v>373160.63797131274</v>
      </c>
      <c r="G43" s="190">
        <f>I38</f>
        <v>420391.08378220262</v>
      </c>
      <c r="H43" s="188">
        <f>$I$38/$I$23</f>
        <v>42039.108378220262</v>
      </c>
      <c r="I43" s="188">
        <f>G43-H43</f>
        <v>378351.97540398233</v>
      </c>
      <c r="J43" s="546"/>
    </row>
    <row r="44" spans="1:11" ht="19.95" customHeight="1">
      <c r="A44" s="127" t="s">
        <v>397</v>
      </c>
      <c r="B44" s="188">
        <f t="shared" ref="B44:B52" si="6">B43-C43+E43</f>
        <v>373160.63797131274</v>
      </c>
      <c r="C44" s="188">
        <f>C29</f>
        <v>50000</v>
      </c>
      <c r="D44" s="128">
        <v>1</v>
      </c>
      <c r="E44" s="188">
        <f t="shared" ref="E44:E52" si="7">(B44-C44)*$H$23</f>
        <v>16158.031898565638</v>
      </c>
      <c r="F44" s="188">
        <f t="shared" si="5"/>
        <v>339318.66986987839</v>
      </c>
      <c r="G44" s="188">
        <f>I43</f>
        <v>378351.97540398233</v>
      </c>
      <c r="H44" s="188">
        <f>H43</f>
        <v>42039.108378220262</v>
      </c>
      <c r="I44" s="188">
        <f>G44-H44</f>
        <v>336312.8670257621</v>
      </c>
      <c r="J44" s="546"/>
    </row>
    <row r="45" spans="1:11" ht="19.95" customHeight="1">
      <c r="A45" s="127" t="s">
        <v>398</v>
      </c>
      <c r="B45" s="188">
        <f t="shared" si="6"/>
        <v>339318.66986987839</v>
      </c>
      <c r="C45" s="188">
        <f t="shared" ref="C45:C52" si="8">C30</f>
        <v>50000</v>
      </c>
      <c r="D45" s="128">
        <v>1</v>
      </c>
      <c r="E45" s="188">
        <f t="shared" si="7"/>
        <v>14465.93349349392</v>
      </c>
      <c r="F45" s="188">
        <f t="shared" si="5"/>
        <v>303784.60336337233</v>
      </c>
      <c r="G45" s="188">
        <f t="shared" ref="G45:G52" si="9">I44</f>
        <v>336312.8670257621</v>
      </c>
      <c r="H45" s="188">
        <f t="shared" ref="H45:H52" si="10">H44</f>
        <v>42039.108378220262</v>
      </c>
      <c r="I45" s="188">
        <f t="shared" ref="I45:I52" si="11">G45-H45</f>
        <v>294273.75864754186</v>
      </c>
      <c r="J45" s="546"/>
    </row>
    <row r="46" spans="1:11" ht="19.95" customHeight="1">
      <c r="A46" s="127" t="s">
        <v>399</v>
      </c>
      <c r="B46" s="188">
        <f t="shared" si="6"/>
        <v>303784.60336337233</v>
      </c>
      <c r="C46" s="188">
        <f t="shared" si="8"/>
        <v>50000</v>
      </c>
      <c r="D46" s="128">
        <v>1</v>
      </c>
      <c r="E46" s="188">
        <f t="shared" si="7"/>
        <v>12689.230168168617</v>
      </c>
      <c r="F46" s="188">
        <f t="shared" si="5"/>
        <v>266473.83353154093</v>
      </c>
      <c r="G46" s="188">
        <f t="shared" si="9"/>
        <v>294273.75864754186</v>
      </c>
      <c r="H46" s="188">
        <f t="shared" si="10"/>
        <v>42039.108378220262</v>
      </c>
      <c r="I46" s="188">
        <f t="shared" si="11"/>
        <v>252234.6502693216</v>
      </c>
      <c r="J46" s="546"/>
    </row>
    <row r="47" spans="1:11" ht="19.95" customHeight="1">
      <c r="A47" s="127" t="s">
        <v>400</v>
      </c>
      <c r="B47" s="188">
        <f t="shared" si="6"/>
        <v>266473.83353154093</v>
      </c>
      <c r="C47" s="188">
        <f t="shared" si="8"/>
        <v>50000</v>
      </c>
      <c r="D47" s="128">
        <v>1</v>
      </c>
      <c r="E47" s="188">
        <f t="shared" si="7"/>
        <v>10823.691676577047</v>
      </c>
      <c r="F47" s="188">
        <f t="shared" si="5"/>
        <v>227297.52520811799</v>
      </c>
      <c r="G47" s="188">
        <f t="shared" si="9"/>
        <v>252234.6502693216</v>
      </c>
      <c r="H47" s="188">
        <f t="shared" si="10"/>
        <v>42039.108378220262</v>
      </c>
      <c r="I47" s="188">
        <f t="shared" si="11"/>
        <v>210195.54189110134</v>
      </c>
      <c r="J47" s="546"/>
    </row>
    <row r="48" spans="1:11" ht="19.95" customHeight="1">
      <c r="A48" s="327" t="s">
        <v>401</v>
      </c>
      <c r="B48" s="188">
        <f t="shared" si="6"/>
        <v>227297.52520811799</v>
      </c>
      <c r="C48" s="188">
        <f t="shared" si="8"/>
        <v>50000</v>
      </c>
      <c r="D48" s="128">
        <v>1</v>
      </c>
      <c r="E48" s="188">
        <f t="shared" si="7"/>
        <v>8864.8762604058993</v>
      </c>
      <c r="F48" s="190">
        <f t="shared" si="5"/>
        <v>186162.40146852389</v>
      </c>
      <c r="G48" s="188">
        <f t="shared" si="9"/>
        <v>210195.54189110134</v>
      </c>
      <c r="H48" s="188">
        <f t="shared" si="10"/>
        <v>42039.108378220262</v>
      </c>
      <c r="I48" s="190">
        <f t="shared" si="11"/>
        <v>168156.43351288108</v>
      </c>
      <c r="J48" s="546"/>
    </row>
    <row r="49" spans="1:10" ht="19.95" customHeight="1">
      <c r="A49" s="127" t="s">
        <v>402</v>
      </c>
      <c r="B49" s="188">
        <f t="shared" si="6"/>
        <v>186162.40146852389</v>
      </c>
      <c r="C49" s="188">
        <f t="shared" si="8"/>
        <v>50000</v>
      </c>
      <c r="D49" s="128">
        <v>1</v>
      </c>
      <c r="E49" s="188">
        <f t="shared" si="7"/>
        <v>6808.1200734261947</v>
      </c>
      <c r="F49" s="188">
        <f t="shared" si="5"/>
        <v>142970.52154195009</v>
      </c>
      <c r="G49" s="188">
        <f t="shared" si="9"/>
        <v>168156.43351288108</v>
      </c>
      <c r="H49" s="188">
        <f t="shared" si="10"/>
        <v>42039.108378220262</v>
      </c>
      <c r="I49" s="188">
        <f t="shared" si="11"/>
        <v>126117.32513466082</v>
      </c>
      <c r="J49" s="546"/>
    </row>
    <row r="50" spans="1:10" ht="19.95" customHeight="1">
      <c r="A50" s="127" t="s">
        <v>403</v>
      </c>
      <c r="B50" s="188">
        <f t="shared" si="6"/>
        <v>142970.52154195009</v>
      </c>
      <c r="C50" s="188">
        <f t="shared" si="8"/>
        <v>50000</v>
      </c>
      <c r="D50" s="128">
        <v>1</v>
      </c>
      <c r="E50" s="188">
        <f t="shared" si="7"/>
        <v>4648.5260770975046</v>
      </c>
      <c r="F50" s="188">
        <f t="shared" si="5"/>
        <v>97619.047619047589</v>
      </c>
      <c r="G50" s="188">
        <f t="shared" si="9"/>
        <v>126117.32513466082</v>
      </c>
      <c r="H50" s="188">
        <f t="shared" si="10"/>
        <v>42039.108378220262</v>
      </c>
      <c r="I50" s="188">
        <f t="shared" si="11"/>
        <v>84078.216756440554</v>
      </c>
      <c r="J50" s="546"/>
    </row>
    <row r="51" spans="1:10" ht="19.95" customHeight="1">
      <c r="A51" s="127" t="s">
        <v>460</v>
      </c>
      <c r="B51" s="188">
        <f t="shared" si="6"/>
        <v>97619.047619047589</v>
      </c>
      <c r="C51" s="188">
        <f t="shared" si="8"/>
        <v>50000</v>
      </c>
      <c r="D51" s="128">
        <v>1</v>
      </c>
      <c r="E51" s="188">
        <f t="shared" si="7"/>
        <v>2380.9523809523794</v>
      </c>
      <c r="F51" s="188">
        <f t="shared" si="5"/>
        <v>49999.999999999971</v>
      </c>
      <c r="G51" s="188">
        <f t="shared" si="9"/>
        <v>84078.216756440554</v>
      </c>
      <c r="H51" s="188">
        <f t="shared" si="10"/>
        <v>42039.108378220262</v>
      </c>
      <c r="I51" s="188">
        <f t="shared" si="11"/>
        <v>42039.108378220291</v>
      </c>
      <c r="J51" s="546"/>
    </row>
    <row r="52" spans="1:10" ht="19.95" customHeight="1">
      <c r="A52" s="127" t="s">
        <v>405</v>
      </c>
      <c r="B52" s="188">
        <f t="shared" si="6"/>
        <v>49999.999999999971</v>
      </c>
      <c r="C52" s="188">
        <f t="shared" si="8"/>
        <v>50000</v>
      </c>
      <c r="D52" s="128">
        <v>1</v>
      </c>
      <c r="E52" s="188">
        <f t="shared" si="7"/>
        <v>-1.4551915228366853E-12</v>
      </c>
      <c r="F52" s="188">
        <f t="shared" si="5"/>
        <v>-3.055902197957039E-11</v>
      </c>
      <c r="G52" s="188">
        <f t="shared" si="9"/>
        <v>42039.108378220291</v>
      </c>
      <c r="H52" s="188">
        <f t="shared" si="10"/>
        <v>42039.108378220262</v>
      </c>
      <c r="I52" s="188">
        <f t="shared" si="11"/>
        <v>0</v>
      </c>
      <c r="J52" s="546"/>
    </row>
    <row r="53" spans="1:10" ht="19.95" customHeight="1">
      <c r="A53" s="266" t="s">
        <v>387</v>
      </c>
      <c r="B53" s="329"/>
      <c r="C53" s="192">
        <f>SUM(C43:C52)</f>
        <v>450000</v>
      </c>
      <c r="D53" s="192"/>
      <c r="E53" s="192">
        <f>SUM(E43:E52)</f>
        <v>94608.916217797319</v>
      </c>
      <c r="F53" s="192"/>
      <c r="G53" s="192"/>
      <c r="H53" s="192">
        <f>SUM(H43:H52)</f>
        <v>420391.08378220256</v>
      </c>
      <c r="I53" s="191"/>
      <c r="J53" s="546"/>
    </row>
    <row r="54" spans="1:10" ht="19.95" customHeight="1">
      <c r="A54" s="126"/>
      <c r="B54" s="268"/>
      <c r="C54" s="113"/>
      <c r="D54" s="113"/>
      <c r="E54" s="113"/>
      <c r="F54" s="113"/>
      <c r="G54" s="113"/>
      <c r="H54" s="113"/>
      <c r="I54" s="113"/>
      <c r="J54" s="546"/>
    </row>
    <row r="55" spans="1:10" ht="19.95" customHeight="1">
      <c r="A55" s="197" t="s">
        <v>461</v>
      </c>
      <c r="B55" s="197"/>
      <c r="C55" s="197"/>
      <c r="D55" s="197"/>
      <c r="E55" s="197"/>
      <c r="F55" s="197"/>
      <c r="G55" s="197"/>
      <c r="H55" s="197"/>
      <c r="I55" s="197"/>
      <c r="J55" s="546"/>
    </row>
    <row r="56" spans="1:10" ht="19.95" customHeight="1">
      <c r="A56" s="256" t="s">
        <v>462</v>
      </c>
      <c r="B56" s="113"/>
      <c r="C56" s="113"/>
      <c r="D56" s="113"/>
      <c r="E56" s="113"/>
      <c r="G56" s="114"/>
      <c r="H56" s="113"/>
      <c r="I56" s="113"/>
      <c r="J56" s="546"/>
    </row>
    <row r="57" spans="1:10" ht="24">
      <c r="A57" s="266" t="s">
        <v>367</v>
      </c>
      <c r="B57" s="266" t="s">
        <v>463</v>
      </c>
      <c r="C57" s="266" t="s">
        <v>442</v>
      </c>
      <c r="D57" s="369" t="s">
        <v>464</v>
      </c>
      <c r="E57" s="266" t="s">
        <v>444</v>
      </c>
      <c r="F57" s="266" t="s">
        <v>465</v>
      </c>
      <c r="G57" s="369" t="s">
        <v>466</v>
      </c>
      <c r="H57" s="369" t="s">
        <v>447</v>
      </c>
      <c r="I57" s="266" t="s">
        <v>467</v>
      </c>
      <c r="J57" s="546"/>
    </row>
    <row r="58" spans="1:10" ht="19.95" customHeight="1">
      <c r="A58" s="264" t="s">
        <v>376</v>
      </c>
      <c r="B58" s="115">
        <v>44197</v>
      </c>
      <c r="C58" s="115">
        <v>47118</v>
      </c>
      <c r="D58" s="116">
        <v>7</v>
      </c>
      <c r="E58" s="116">
        <f>(YEAR(C58)-YEAR(B58))+D58+(MONTH(C58)-MONTH(B58)+1)/12</f>
        <v>15</v>
      </c>
      <c r="F58" s="115">
        <f>DATE(YEAR(C58)+D58,MONTH(C58),DAY(C58))</f>
        <v>49674</v>
      </c>
      <c r="G58" s="117">
        <v>0.06</v>
      </c>
      <c r="H58" s="117">
        <v>0.06</v>
      </c>
      <c r="I58" s="118">
        <v>9</v>
      </c>
      <c r="J58" s="546"/>
    </row>
    <row r="59" spans="1:10" ht="19.95" customHeight="1">
      <c r="A59" s="265"/>
      <c r="B59" s="119"/>
      <c r="C59" s="120"/>
      <c r="D59" s="120"/>
      <c r="E59" s="120"/>
      <c r="F59" s="121"/>
      <c r="G59" s="120"/>
      <c r="H59" s="122"/>
      <c r="I59" s="122"/>
      <c r="J59" s="546"/>
    </row>
    <row r="60" spans="1:10" ht="19.95" customHeight="1">
      <c r="A60" s="258"/>
      <c r="B60" s="113"/>
      <c r="C60" s="113"/>
      <c r="D60" s="113"/>
      <c r="E60" s="113"/>
      <c r="F60" s="113"/>
      <c r="G60" s="113"/>
      <c r="H60" s="113"/>
      <c r="I60" s="113"/>
      <c r="J60" s="546"/>
    </row>
    <row r="61" spans="1:10" ht="19.95" customHeight="1">
      <c r="A61" s="256" t="s">
        <v>468</v>
      </c>
      <c r="B61" s="113"/>
      <c r="C61" s="113"/>
      <c r="D61" s="113"/>
      <c r="E61" s="113"/>
      <c r="F61" s="113"/>
      <c r="G61" s="113"/>
      <c r="H61" s="113"/>
      <c r="I61" s="113"/>
      <c r="J61" s="355"/>
    </row>
    <row r="62" spans="1:10" ht="25.8">
      <c r="A62" s="266" t="s">
        <v>469</v>
      </c>
      <c r="B62" s="266" t="s">
        <v>379</v>
      </c>
      <c r="C62" s="266" t="s">
        <v>470</v>
      </c>
      <c r="D62" s="266" t="s">
        <v>471</v>
      </c>
      <c r="E62" s="266" t="s">
        <v>451</v>
      </c>
      <c r="F62" s="266" t="s">
        <v>383</v>
      </c>
      <c r="G62" s="266" t="s">
        <v>452</v>
      </c>
      <c r="H62" s="266" t="s">
        <v>385</v>
      </c>
      <c r="I62" s="266" t="s">
        <v>472</v>
      </c>
      <c r="J62" s="561"/>
    </row>
    <row r="63" spans="1:10" ht="19.95" customHeight="1">
      <c r="A63" s="123">
        <v>46387</v>
      </c>
      <c r="B63" s="186">
        <v>50000</v>
      </c>
      <c r="C63" s="186">
        <f>B63</f>
        <v>50000</v>
      </c>
      <c r="D63" s="124">
        <v>0</v>
      </c>
      <c r="E63" s="193">
        <f t="shared" ref="E63:E71" si="12">1/(1+$H$58)^D63</f>
        <v>1</v>
      </c>
      <c r="F63" s="186">
        <f>C63*E63</f>
        <v>50000</v>
      </c>
      <c r="G63" s="132"/>
      <c r="H63" s="31"/>
      <c r="I63" s="31"/>
      <c r="J63" s="355"/>
    </row>
    <row r="64" spans="1:10" ht="19.95" customHeight="1">
      <c r="A64" s="123">
        <v>46753</v>
      </c>
      <c r="B64" s="186">
        <v>50000</v>
      </c>
      <c r="C64" s="186">
        <f t="shared" ref="C64:C71" si="13">B64</f>
        <v>50000</v>
      </c>
      <c r="D64" s="124">
        <v>1</v>
      </c>
      <c r="E64" s="193">
        <f t="shared" si="12"/>
        <v>0.94339622641509424</v>
      </c>
      <c r="F64" s="186">
        <f t="shared" ref="F64:F71" si="14">C64*E64</f>
        <v>47169.811320754714</v>
      </c>
      <c r="G64" s="120"/>
      <c r="H64" s="125"/>
      <c r="I64" s="26"/>
      <c r="J64" s="355"/>
    </row>
    <row r="65" spans="1:11" ht="19.95" customHeight="1">
      <c r="A65" s="123">
        <v>47119</v>
      </c>
      <c r="B65" s="186">
        <v>50000</v>
      </c>
      <c r="C65" s="186">
        <f t="shared" si="13"/>
        <v>50000</v>
      </c>
      <c r="D65" s="124">
        <v>2</v>
      </c>
      <c r="E65" s="193">
        <f t="shared" si="12"/>
        <v>0.88999644001423983</v>
      </c>
      <c r="F65" s="186">
        <f t="shared" si="14"/>
        <v>44499.822000711989</v>
      </c>
      <c r="G65" s="120"/>
      <c r="H65" s="125"/>
      <c r="I65" s="26"/>
      <c r="J65" s="355"/>
    </row>
    <row r="66" spans="1:11" ht="19.95" customHeight="1">
      <c r="A66" s="123">
        <v>47484</v>
      </c>
      <c r="B66" s="186">
        <v>50000</v>
      </c>
      <c r="C66" s="186">
        <f t="shared" si="13"/>
        <v>50000</v>
      </c>
      <c r="D66" s="124">
        <v>3</v>
      </c>
      <c r="E66" s="193">
        <f t="shared" si="12"/>
        <v>0.8396192830323016</v>
      </c>
      <c r="F66" s="186">
        <f t="shared" si="14"/>
        <v>41980.96415161508</v>
      </c>
      <c r="G66" s="120"/>
      <c r="H66" s="125"/>
      <c r="I66" s="26"/>
      <c r="J66" s="355"/>
    </row>
    <row r="67" spans="1:11" ht="19.95" customHeight="1">
      <c r="A67" s="123">
        <v>47849</v>
      </c>
      <c r="B67" s="186">
        <v>55000</v>
      </c>
      <c r="C67" s="186">
        <f t="shared" si="13"/>
        <v>55000</v>
      </c>
      <c r="D67" s="124">
        <v>4</v>
      </c>
      <c r="E67" s="193">
        <f t="shared" si="12"/>
        <v>0.79209366323802044</v>
      </c>
      <c r="F67" s="186">
        <f t="shared" si="14"/>
        <v>43565.151478091124</v>
      </c>
      <c r="G67" s="120"/>
      <c r="H67" s="125"/>
      <c r="I67" s="26"/>
      <c r="J67" s="562"/>
      <c r="K67" s="267"/>
    </row>
    <row r="68" spans="1:11" ht="19.95" customHeight="1">
      <c r="A68" s="123">
        <v>48214</v>
      </c>
      <c r="B68" s="186">
        <v>55000</v>
      </c>
      <c r="C68" s="186">
        <f t="shared" si="13"/>
        <v>55000</v>
      </c>
      <c r="D68" s="124">
        <v>5</v>
      </c>
      <c r="E68" s="193">
        <f t="shared" si="12"/>
        <v>0.74725817286605689</v>
      </c>
      <c r="F68" s="186">
        <f t="shared" si="14"/>
        <v>41099.19950763313</v>
      </c>
      <c r="G68" s="120"/>
      <c r="H68" s="125"/>
      <c r="I68" s="26"/>
      <c r="J68" s="562"/>
      <c r="K68" s="267"/>
    </row>
    <row r="69" spans="1:11" ht="19.95" customHeight="1">
      <c r="A69" s="123">
        <v>48580</v>
      </c>
      <c r="B69" s="186">
        <v>55000</v>
      </c>
      <c r="C69" s="186">
        <f t="shared" si="13"/>
        <v>55000</v>
      </c>
      <c r="D69" s="124">
        <v>6</v>
      </c>
      <c r="E69" s="193">
        <f t="shared" si="12"/>
        <v>0.70496054043967626</v>
      </c>
      <c r="F69" s="186">
        <f t="shared" si="14"/>
        <v>38772.829724182193</v>
      </c>
      <c r="G69" s="120"/>
      <c r="H69" s="125"/>
      <c r="I69" s="26"/>
      <c r="J69" s="355"/>
    </row>
    <row r="70" spans="1:11" ht="19.95" customHeight="1">
      <c r="A70" s="123">
        <v>48945</v>
      </c>
      <c r="B70" s="186">
        <v>55000</v>
      </c>
      <c r="C70" s="186">
        <f t="shared" si="13"/>
        <v>55000</v>
      </c>
      <c r="D70" s="124">
        <v>7</v>
      </c>
      <c r="E70" s="193">
        <f t="shared" si="12"/>
        <v>0.66505711362233599</v>
      </c>
      <c r="F70" s="186">
        <f t="shared" si="14"/>
        <v>36578.14124922848</v>
      </c>
      <c r="G70" s="120"/>
      <c r="H70" s="125"/>
      <c r="I70" s="26"/>
      <c r="J70" s="355"/>
    </row>
    <row r="71" spans="1:11" ht="19.95" customHeight="1">
      <c r="A71" s="123">
        <v>49310</v>
      </c>
      <c r="B71" s="186">
        <v>55000</v>
      </c>
      <c r="C71" s="186">
        <f t="shared" si="13"/>
        <v>55000</v>
      </c>
      <c r="D71" s="124">
        <v>8</v>
      </c>
      <c r="E71" s="193">
        <f t="shared" si="12"/>
        <v>0.62741237134182648</v>
      </c>
      <c r="F71" s="186">
        <f t="shared" si="14"/>
        <v>34507.680423800455</v>
      </c>
      <c r="G71" s="120"/>
      <c r="H71" s="125"/>
      <c r="I71" s="26"/>
      <c r="J71" s="355"/>
    </row>
    <row r="72" spans="1:11" ht="19.95" customHeight="1">
      <c r="A72" s="266" t="s">
        <v>387</v>
      </c>
      <c r="B72" s="192">
        <f>SUM(B63:B71)</f>
        <v>475000</v>
      </c>
      <c r="C72" s="192">
        <f>SUM(C63:C71)</f>
        <v>475000</v>
      </c>
      <c r="D72" s="191"/>
      <c r="E72" s="192"/>
      <c r="F72" s="192">
        <f>SUM(F63:F71)</f>
        <v>378173.59985601716</v>
      </c>
      <c r="G72" s="191">
        <f>SUM(G63:G71)</f>
        <v>0</v>
      </c>
      <c r="H72" s="191">
        <f>SUM(H63:H71)</f>
        <v>0</v>
      </c>
      <c r="I72" s="192">
        <f>F72-F48+I48+G72+H72</f>
        <v>360167.63190037431</v>
      </c>
      <c r="J72" s="355"/>
    </row>
    <row r="73" spans="1:11" ht="19.95" customHeight="1">
      <c r="A73" s="126"/>
      <c r="B73" s="268"/>
      <c r="C73" s="113"/>
      <c r="D73" s="113"/>
      <c r="E73" s="113"/>
      <c r="F73" s="113"/>
      <c r="G73" s="113"/>
      <c r="H73" s="113"/>
      <c r="I73" s="113"/>
      <c r="J73" s="546"/>
    </row>
    <row r="74" spans="1:11" ht="19.95" customHeight="1">
      <c r="A74" s="256" t="s">
        <v>473</v>
      </c>
      <c r="B74" s="268"/>
      <c r="C74" s="113"/>
      <c r="D74" s="113"/>
      <c r="E74" s="113"/>
      <c r="F74" s="113"/>
      <c r="G74" s="113"/>
      <c r="H74" s="113"/>
      <c r="I74" s="113"/>
      <c r="J74" s="546"/>
    </row>
    <row r="75" spans="1:11" ht="19.95" customHeight="1">
      <c r="A75" s="698" t="s">
        <v>474</v>
      </c>
      <c r="B75" s="698" t="s">
        <v>390</v>
      </c>
      <c r="C75" s="698"/>
      <c r="D75" s="698"/>
      <c r="E75" s="698"/>
      <c r="F75" s="698"/>
      <c r="G75" s="699" t="s">
        <v>391</v>
      </c>
      <c r="H75" s="700"/>
      <c r="I75" s="700"/>
      <c r="J75" s="546"/>
    </row>
    <row r="76" spans="1:11" ht="19.95" customHeight="1">
      <c r="A76" s="698"/>
      <c r="B76" s="266" t="s">
        <v>396</v>
      </c>
      <c r="C76" s="328" t="s">
        <v>475</v>
      </c>
      <c r="D76" s="266" t="s">
        <v>476</v>
      </c>
      <c r="E76" s="266" t="s">
        <v>477</v>
      </c>
      <c r="F76" s="266" t="s">
        <v>478</v>
      </c>
      <c r="G76" s="266" t="s">
        <v>396</v>
      </c>
      <c r="H76" s="266" t="s">
        <v>479</v>
      </c>
      <c r="I76" s="266" t="s">
        <v>363</v>
      </c>
      <c r="J76" s="561"/>
    </row>
    <row r="77" spans="1:11" ht="19.95" customHeight="1">
      <c r="A77" s="127" t="s">
        <v>402</v>
      </c>
      <c r="B77" s="190">
        <f>F72</f>
        <v>378173.59985601716</v>
      </c>
      <c r="C77" s="188">
        <f>C63</f>
        <v>50000</v>
      </c>
      <c r="D77" s="128">
        <v>1</v>
      </c>
      <c r="E77" s="188">
        <f>(B77-C77)*$H$58</f>
        <v>19690.415991361027</v>
      </c>
      <c r="F77" s="188">
        <f t="shared" ref="F77:F85" si="15">B77-C77+E77</f>
        <v>347864.01584737818</v>
      </c>
      <c r="G77" s="190">
        <f>I72</f>
        <v>360167.63190037431</v>
      </c>
      <c r="H77" s="188">
        <f>$I$72/$I$58</f>
        <v>40018.625766708254</v>
      </c>
      <c r="I77" s="188">
        <f>G77-H77</f>
        <v>320149.00613366603</v>
      </c>
      <c r="J77" s="546"/>
    </row>
    <row r="78" spans="1:11" ht="19.95" customHeight="1">
      <c r="A78" s="127" t="s">
        <v>403</v>
      </c>
      <c r="B78" s="188">
        <f t="shared" ref="B78:B85" si="16">B77-C77+E77</f>
        <v>347864.01584737818</v>
      </c>
      <c r="C78" s="188">
        <f t="shared" ref="C78:C85" si="17">C64</f>
        <v>50000</v>
      </c>
      <c r="D78" s="128">
        <v>1</v>
      </c>
      <c r="E78" s="188">
        <f t="shared" ref="E78:E85" si="18">(B78-C78)*$H$58</f>
        <v>17871.840950842688</v>
      </c>
      <c r="F78" s="188">
        <f t="shared" si="15"/>
        <v>315735.85679822089</v>
      </c>
      <c r="G78" s="188">
        <f>I77</f>
        <v>320149.00613366603</v>
      </c>
      <c r="H78" s="188">
        <f>H77</f>
        <v>40018.625766708254</v>
      </c>
      <c r="I78" s="188">
        <f>G78-H78</f>
        <v>280130.38036695775</v>
      </c>
      <c r="J78" s="546"/>
    </row>
    <row r="79" spans="1:11" ht="19.95" customHeight="1">
      <c r="A79" s="127" t="s">
        <v>404</v>
      </c>
      <c r="B79" s="188">
        <f t="shared" si="16"/>
        <v>315735.85679822089</v>
      </c>
      <c r="C79" s="188">
        <f t="shared" si="17"/>
        <v>50000</v>
      </c>
      <c r="D79" s="128">
        <v>1</v>
      </c>
      <c r="E79" s="188">
        <f t="shared" si="18"/>
        <v>15944.151407893252</v>
      </c>
      <c r="F79" s="188">
        <f t="shared" si="15"/>
        <v>281680.00820611417</v>
      </c>
      <c r="G79" s="188">
        <f t="shared" ref="G79:G85" si="19">I78</f>
        <v>280130.38036695775</v>
      </c>
      <c r="H79" s="188">
        <f t="shared" ref="H79:H85" si="20">H78</f>
        <v>40018.625766708254</v>
      </c>
      <c r="I79" s="188">
        <f t="shared" ref="I79:I85" si="21">G79-H79</f>
        <v>240111.75460024949</v>
      </c>
      <c r="J79" s="546"/>
    </row>
    <row r="80" spans="1:11" ht="19.95" customHeight="1">
      <c r="A80" s="127" t="s">
        <v>405</v>
      </c>
      <c r="B80" s="188">
        <f t="shared" si="16"/>
        <v>281680.00820611417</v>
      </c>
      <c r="C80" s="188">
        <f t="shared" si="17"/>
        <v>50000</v>
      </c>
      <c r="D80" s="128">
        <v>1</v>
      </c>
      <c r="E80" s="188">
        <f t="shared" si="18"/>
        <v>13900.80049236685</v>
      </c>
      <c r="F80" s="188">
        <f t="shared" si="15"/>
        <v>245580.80869848104</v>
      </c>
      <c r="G80" s="188">
        <f t="shared" si="19"/>
        <v>240111.75460024949</v>
      </c>
      <c r="H80" s="188">
        <f t="shared" si="20"/>
        <v>40018.625766708254</v>
      </c>
      <c r="I80" s="188">
        <f t="shared" si="21"/>
        <v>200093.12883354124</v>
      </c>
      <c r="J80" s="546"/>
    </row>
    <row r="81" spans="1:10" ht="19.95" customHeight="1">
      <c r="A81" s="127" t="s">
        <v>480</v>
      </c>
      <c r="B81" s="188">
        <f t="shared" si="16"/>
        <v>245580.80869848104</v>
      </c>
      <c r="C81" s="188">
        <f t="shared" si="17"/>
        <v>55000</v>
      </c>
      <c r="D81" s="128">
        <v>1</v>
      </c>
      <c r="E81" s="188">
        <f t="shared" si="18"/>
        <v>11434.848521908862</v>
      </c>
      <c r="F81" s="188">
        <f t="shared" si="15"/>
        <v>202015.6572203899</v>
      </c>
      <c r="G81" s="188">
        <f t="shared" si="19"/>
        <v>200093.12883354124</v>
      </c>
      <c r="H81" s="188">
        <f t="shared" si="20"/>
        <v>40018.625766708254</v>
      </c>
      <c r="I81" s="188">
        <f t="shared" si="21"/>
        <v>160074.50306683299</v>
      </c>
      <c r="J81" s="546"/>
    </row>
    <row r="82" spans="1:10" ht="19.95" customHeight="1">
      <c r="A82" s="127" t="s">
        <v>481</v>
      </c>
      <c r="B82" s="188">
        <f t="shared" si="16"/>
        <v>202015.6572203899</v>
      </c>
      <c r="C82" s="188">
        <f t="shared" si="17"/>
        <v>55000</v>
      </c>
      <c r="D82" s="128">
        <v>1</v>
      </c>
      <c r="E82" s="188">
        <f t="shared" si="18"/>
        <v>8820.9394332233933</v>
      </c>
      <c r="F82" s="188">
        <f t="shared" si="15"/>
        <v>155836.59665361329</v>
      </c>
      <c r="G82" s="188">
        <f t="shared" si="19"/>
        <v>160074.50306683299</v>
      </c>
      <c r="H82" s="188">
        <f t="shared" si="20"/>
        <v>40018.625766708254</v>
      </c>
      <c r="I82" s="188">
        <f t="shared" si="21"/>
        <v>120055.87730012473</v>
      </c>
      <c r="J82" s="546"/>
    </row>
    <row r="83" spans="1:10" ht="19.95" customHeight="1">
      <c r="A83" s="127" t="s">
        <v>482</v>
      </c>
      <c r="B83" s="188">
        <f t="shared" si="16"/>
        <v>155836.59665361329</v>
      </c>
      <c r="C83" s="188">
        <f t="shared" si="17"/>
        <v>55000</v>
      </c>
      <c r="D83" s="128">
        <v>1</v>
      </c>
      <c r="E83" s="188">
        <f t="shared" si="18"/>
        <v>6050.1957992167972</v>
      </c>
      <c r="F83" s="188">
        <f t="shared" si="15"/>
        <v>106886.79245283009</v>
      </c>
      <c r="G83" s="188">
        <f t="shared" si="19"/>
        <v>120055.87730012473</v>
      </c>
      <c r="H83" s="188">
        <f t="shared" si="20"/>
        <v>40018.625766708254</v>
      </c>
      <c r="I83" s="188">
        <f t="shared" si="21"/>
        <v>80037.251533416478</v>
      </c>
      <c r="J83" s="546"/>
    </row>
    <row r="84" spans="1:10" ht="19.95" customHeight="1">
      <c r="A84" s="127" t="s">
        <v>483</v>
      </c>
      <c r="B84" s="188">
        <f t="shared" si="16"/>
        <v>106886.79245283009</v>
      </c>
      <c r="C84" s="188">
        <f t="shared" si="17"/>
        <v>55000</v>
      </c>
      <c r="D84" s="128">
        <v>1</v>
      </c>
      <c r="E84" s="188">
        <f t="shared" si="18"/>
        <v>3113.2075471698054</v>
      </c>
      <c r="F84" s="188">
        <f t="shared" si="15"/>
        <v>54999.999999999898</v>
      </c>
      <c r="G84" s="188">
        <f t="shared" si="19"/>
        <v>80037.251533416478</v>
      </c>
      <c r="H84" s="188">
        <f t="shared" si="20"/>
        <v>40018.625766708254</v>
      </c>
      <c r="I84" s="188">
        <f t="shared" si="21"/>
        <v>40018.625766708225</v>
      </c>
      <c r="J84" s="546"/>
    </row>
    <row r="85" spans="1:10" ht="19.95" customHeight="1">
      <c r="A85" s="127" t="s">
        <v>484</v>
      </c>
      <c r="B85" s="188">
        <f t="shared" si="16"/>
        <v>54999.999999999898</v>
      </c>
      <c r="C85" s="188">
        <f t="shared" si="17"/>
        <v>55000</v>
      </c>
      <c r="D85" s="128">
        <v>1</v>
      </c>
      <c r="E85" s="188">
        <f t="shared" si="18"/>
        <v>-6.1118043959140775E-12</v>
      </c>
      <c r="F85" s="188">
        <f t="shared" si="15"/>
        <v>-1.0797521099448204E-10</v>
      </c>
      <c r="G85" s="188">
        <f t="shared" si="19"/>
        <v>40018.625766708225</v>
      </c>
      <c r="H85" s="188">
        <f t="shared" si="20"/>
        <v>40018.625766708254</v>
      </c>
      <c r="I85" s="188">
        <f t="shared" si="21"/>
        <v>0</v>
      </c>
      <c r="J85" s="546"/>
    </row>
    <row r="86" spans="1:10" ht="19.95" customHeight="1">
      <c r="A86" s="266" t="s">
        <v>387</v>
      </c>
      <c r="B86" s="329"/>
      <c r="C86" s="192">
        <f>SUM(C77:C85)</f>
        <v>475000</v>
      </c>
      <c r="D86" s="191"/>
      <c r="E86" s="192">
        <f>SUM(E77:E85)</f>
        <v>96826.400143982682</v>
      </c>
      <c r="F86" s="192"/>
      <c r="G86" s="192"/>
      <c r="H86" s="192">
        <f>SUM(H77:H85)</f>
        <v>360167.63190037431</v>
      </c>
      <c r="I86" s="192"/>
      <c r="J86" s="546"/>
    </row>
    <row r="87" spans="1:10" ht="19.95" customHeight="1">
      <c r="A87" s="126"/>
      <c r="B87" s="268"/>
      <c r="C87" s="113"/>
      <c r="D87" s="113"/>
      <c r="E87" s="113"/>
      <c r="F87" s="113"/>
      <c r="G87" s="113"/>
      <c r="H87" s="113"/>
      <c r="I87" s="113"/>
      <c r="J87" s="546"/>
    </row>
    <row r="88" spans="1:10" ht="19.95" customHeight="1">
      <c r="A88" s="666" t="s">
        <v>29</v>
      </c>
      <c r="B88" s="666"/>
      <c r="C88" s="666"/>
      <c r="D88" s="666"/>
      <c r="E88" s="666"/>
      <c r="F88" s="666"/>
      <c r="G88" s="666"/>
      <c r="H88" s="666"/>
      <c r="I88" s="666"/>
      <c r="J88" s="546"/>
    </row>
    <row r="89" spans="1:10" ht="19.95" customHeight="1">
      <c r="A89" s="665"/>
      <c r="B89" s="665"/>
      <c r="C89" s="665"/>
      <c r="D89" s="665"/>
      <c r="E89" s="665"/>
      <c r="F89" s="665"/>
      <c r="G89" s="665"/>
      <c r="H89" s="665"/>
      <c r="I89" s="665"/>
      <c r="J89" s="546"/>
    </row>
    <row r="90" spans="1:10" ht="19.95" customHeight="1">
      <c r="A90" s="666" t="s">
        <v>30</v>
      </c>
      <c r="B90" s="666"/>
      <c r="C90" s="666"/>
      <c r="D90" s="666"/>
      <c r="E90" s="666"/>
      <c r="F90" s="666"/>
      <c r="G90" s="666"/>
      <c r="H90" s="666"/>
      <c r="I90" s="666"/>
      <c r="J90" s="546"/>
    </row>
    <row r="91" spans="1:10" ht="19.95" customHeight="1">
      <c r="A91" s="667"/>
      <c r="B91" s="667"/>
      <c r="C91" s="667"/>
      <c r="D91" s="667"/>
      <c r="E91" s="667"/>
      <c r="F91" s="667"/>
      <c r="G91" s="667"/>
      <c r="H91" s="667"/>
      <c r="I91" s="667"/>
      <c r="J91" s="546"/>
    </row>
    <row r="93" spans="1:10" s="130" customFormat="1" ht="19.95" customHeight="1">
      <c r="A93" s="385" t="s">
        <v>752</v>
      </c>
      <c r="J93" s="548"/>
    </row>
    <row r="94" spans="1:10" s="130" customFormat="1" ht="19.95" customHeight="1">
      <c r="A94" s="355" t="s">
        <v>727</v>
      </c>
      <c r="J94" s="548"/>
    </row>
    <row r="95" spans="1:10" s="130" customFormat="1" ht="19.95" customHeight="1">
      <c r="A95" s="93"/>
      <c r="J95" s="548"/>
    </row>
    <row r="96" spans="1:10" s="130" customFormat="1" ht="19.95" customHeight="1">
      <c r="A96" s="93"/>
      <c r="J96" s="548"/>
    </row>
    <row r="97" spans="1:10" s="130" customFormat="1" ht="19.95" customHeight="1">
      <c r="A97" s="93"/>
      <c r="J97" s="548"/>
    </row>
    <row r="98" spans="1:10" s="130" customFormat="1" ht="19.95" customHeight="1">
      <c r="A98" s="131"/>
      <c r="J98" s="548"/>
    </row>
    <row r="99" spans="1:10" ht="19.95" customHeight="1">
      <c r="A99" s="131"/>
    </row>
    <row r="100" spans="1:10" ht="19.95" customHeight="1">
      <c r="A100" s="131"/>
    </row>
  </sheetData>
  <mergeCells count="35">
    <mergeCell ref="C18:I18"/>
    <mergeCell ref="A88:I88"/>
    <mergeCell ref="A89:I89"/>
    <mergeCell ref="A90:I90"/>
    <mergeCell ref="A91:I91"/>
    <mergeCell ref="A75:A76"/>
    <mergeCell ref="B75:F75"/>
    <mergeCell ref="G75:I75"/>
    <mergeCell ref="A18:B18"/>
    <mergeCell ref="C12:I12"/>
    <mergeCell ref="A15:B15"/>
    <mergeCell ref="C17:D17"/>
    <mergeCell ref="F17:H17"/>
    <mergeCell ref="A9:B9"/>
    <mergeCell ref="C9:D9"/>
    <mergeCell ref="F9:H9"/>
    <mergeCell ref="A10:B10"/>
    <mergeCell ref="C10:D10"/>
    <mergeCell ref="F10:H10"/>
    <mergeCell ref="A1:I1"/>
    <mergeCell ref="A2:I2"/>
    <mergeCell ref="A5:I5"/>
    <mergeCell ref="A41:A42"/>
    <mergeCell ref="B41:F41"/>
    <mergeCell ref="G41:I41"/>
    <mergeCell ref="A11:B11"/>
    <mergeCell ref="C11:D11"/>
    <mergeCell ref="F11:H11"/>
    <mergeCell ref="C15:D15"/>
    <mergeCell ref="F15:H15"/>
    <mergeCell ref="A16:B16"/>
    <mergeCell ref="C16:D16"/>
    <mergeCell ref="F16:H16"/>
    <mergeCell ref="A17:B17"/>
    <mergeCell ref="A12:B12"/>
  </mergeCells>
  <phoneticPr fontId="11" type="noConversion"/>
  <dataValidations count="1">
    <dataValidation type="list" allowBlank="1" showInputMessage="1" showErrorMessage="1" sqref="E10:E11 E8 E16:E17 E14">
      <formula1>"是,否"</formula1>
    </dataValidation>
  </dataValidations>
  <hyperlinks>
    <hyperlink ref="I3" location="底稿目录!A1" display="H8A"/>
  </hyperlinks>
  <printOptions horizontalCentered="1"/>
  <pageMargins left="0.94488188976377963" right="0.27559055118110237" top="0.62992125984251968" bottom="0.51181102362204722" header="0.51181102362204722" footer="0.35433070866141736"/>
  <pageSetup paperSize="9" scale="80" fitToHeight="2" orientation="portrait" blackAndWhite="1" r:id="rId1"/>
  <headerFooter alignWithMargins="0">
    <oddFooter>&amp;C&amp;P/&amp;N</oddFooter>
  </headerFooter>
  <rowBreaks count="2" manualBreakCount="2">
    <brk id="39" max="8" man="1"/>
    <brk id="90" max="8" man="1"/>
  </rowBreak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Y51"/>
  <sheetViews>
    <sheetView showZeros="0" view="pageBreakPreview" zoomScaleSheetLayoutView="100" workbookViewId="0">
      <selection activeCell="A2" sqref="A2:R2"/>
    </sheetView>
  </sheetViews>
  <sheetFormatPr defaultColWidth="9" defaultRowHeight="19.95" customHeight="1"/>
  <cols>
    <col min="1" max="1" width="12.59765625" style="142" customWidth="1"/>
    <col min="2" max="2" width="13.19921875" style="142" customWidth="1"/>
    <col min="3" max="3" width="13.69921875" style="142" customWidth="1"/>
    <col min="4" max="4" width="11.8984375" style="142" customWidth="1"/>
    <col min="5" max="5" width="9" style="142"/>
    <col min="6" max="6" width="9" style="69"/>
    <col min="7" max="7" width="7.8984375" style="142" customWidth="1"/>
    <col min="8" max="8" width="7.09765625" style="142" bestFit="1" customWidth="1"/>
    <col min="9" max="9" width="9" style="142"/>
    <col min="10" max="10" width="6.3984375" style="142" bestFit="1" customWidth="1"/>
    <col min="11" max="11" width="8.3984375" style="69" customWidth="1"/>
    <col min="12" max="12" width="8.3984375" style="142" customWidth="1"/>
    <col min="13" max="13" width="6.3984375" style="142" customWidth="1"/>
    <col min="14" max="14" width="8.8984375" style="142" bestFit="1" customWidth="1"/>
    <col min="15" max="15" width="10.09765625" style="142" bestFit="1" customWidth="1"/>
    <col min="16" max="16" width="8.19921875" style="142" customWidth="1"/>
    <col min="17" max="17" width="10.09765625" style="142" bestFit="1" customWidth="1"/>
    <col min="18" max="18" width="9.5" style="142" bestFit="1" customWidth="1"/>
    <col min="19" max="16384" width="9" style="142"/>
  </cols>
  <sheetData>
    <row r="1" spans="1:25" s="141" customFormat="1" ht="19.95" customHeight="1">
      <c r="A1" s="752" t="s">
        <v>941</v>
      </c>
      <c r="B1" s="752"/>
      <c r="C1" s="752"/>
      <c r="D1" s="752"/>
      <c r="E1" s="752"/>
      <c r="F1" s="752"/>
      <c r="G1" s="752"/>
      <c r="H1" s="752"/>
      <c r="I1" s="752"/>
      <c r="J1" s="752"/>
      <c r="K1" s="752"/>
      <c r="L1" s="752"/>
      <c r="M1" s="752"/>
      <c r="N1" s="752"/>
      <c r="O1" s="752"/>
      <c r="P1" s="752"/>
      <c r="Q1" s="752"/>
      <c r="R1" s="752"/>
    </row>
    <row r="2" spans="1:25" s="315" customFormat="1" ht="19.95" customHeight="1">
      <c r="A2" s="753" t="s">
        <v>943</v>
      </c>
      <c r="B2" s="753"/>
      <c r="C2" s="753"/>
      <c r="D2" s="753"/>
      <c r="E2" s="753"/>
      <c r="F2" s="753"/>
      <c r="G2" s="753"/>
      <c r="H2" s="753"/>
      <c r="I2" s="753"/>
      <c r="J2" s="753"/>
      <c r="K2" s="753"/>
      <c r="L2" s="753"/>
      <c r="M2" s="753"/>
      <c r="N2" s="753"/>
      <c r="O2" s="753"/>
      <c r="P2" s="753"/>
      <c r="Q2" s="753"/>
      <c r="R2" s="753"/>
    </row>
    <row r="3" spans="1:25" ht="19.95" customHeight="1">
      <c r="A3" s="142" t="str">
        <f>底稿目录!A2</f>
        <v>被审计单位：</v>
      </c>
      <c r="B3" s="143"/>
      <c r="D3" s="144"/>
      <c r="E3" s="142" t="str">
        <f>底稿目录!A4</f>
        <v>编制人：</v>
      </c>
      <c r="L3" s="142" t="str">
        <f>底稿目录!A6</f>
        <v>编制日期：</v>
      </c>
      <c r="Q3" s="357" t="s">
        <v>733</v>
      </c>
      <c r="R3" s="210" t="s">
        <v>86</v>
      </c>
    </row>
    <row r="4" spans="1:25" ht="19.95" customHeight="1">
      <c r="A4" s="142" t="str">
        <f>底稿目录!A3</f>
        <v>截止日：202X年12月31日</v>
      </c>
      <c r="B4" s="143"/>
      <c r="D4" s="144"/>
      <c r="E4" s="142" t="str">
        <f>底稿目录!A5</f>
        <v>复核人：</v>
      </c>
      <c r="L4" s="142" t="str">
        <f>底稿目录!A7</f>
        <v>复核日期：</v>
      </c>
      <c r="Q4" s="357" t="s">
        <v>734</v>
      </c>
      <c r="R4" s="218"/>
    </row>
    <row r="5" spans="1:25" s="511" customFormat="1" ht="19.95" customHeight="1">
      <c r="A5" s="279" t="s">
        <v>485</v>
      </c>
      <c r="B5" s="510"/>
      <c r="E5" s="512"/>
      <c r="F5" s="513"/>
      <c r="K5" s="514"/>
      <c r="S5" s="515"/>
      <c r="T5" s="515"/>
      <c r="U5" s="515"/>
      <c r="V5" s="515"/>
      <c r="W5" s="515"/>
      <c r="X5" s="515"/>
      <c r="Y5" s="515"/>
    </row>
    <row r="6" spans="1:25" ht="19.95" customHeight="1">
      <c r="A6" s="279" t="s">
        <v>486</v>
      </c>
      <c r="B6" s="145"/>
      <c r="E6" s="144"/>
      <c r="K6" s="280"/>
      <c r="S6" s="278"/>
      <c r="T6" s="278"/>
      <c r="U6" s="278"/>
      <c r="V6" s="278"/>
      <c r="W6" s="278"/>
      <c r="X6" s="278"/>
      <c r="Y6" s="278"/>
    </row>
    <row r="7" spans="1:25" s="147" customFormat="1" ht="19.95" customHeight="1">
      <c r="A7" s="146" t="s">
        <v>487</v>
      </c>
      <c r="B7" s="516">
        <v>45658</v>
      </c>
      <c r="C7" s="146" t="s">
        <v>488</v>
      </c>
      <c r="D7" s="516">
        <v>46022</v>
      </c>
      <c r="F7" s="281" t="s">
        <v>489</v>
      </c>
      <c r="H7" s="148"/>
      <c r="K7" s="157"/>
      <c r="L7" s="148"/>
      <c r="M7" s="148"/>
      <c r="O7" s="142"/>
      <c r="P7" s="142"/>
    </row>
    <row r="8" spans="1:25" s="464" customFormat="1" ht="28.2" customHeight="1">
      <c r="A8" s="465" t="s">
        <v>812</v>
      </c>
      <c r="B8" s="465" t="s">
        <v>827</v>
      </c>
      <c r="C8" s="465" t="s">
        <v>11</v>
      </c>
      <c r="D8" s="461" t="s">
        <v>813</v>
      </c>
      <c r="E8" s="461" t="s">
        <v>814</v>
      </c>
      <c r="F8" s="462" t="s">
        <v>821</v>
      </c>
      <c r="G8" s="461" t="s">
        <v>815</v>
      </c>
      <c r="H8" s="461" t="s">
        <v>824</v>
      </c>
      <c r="I8" s="461" t="s">
        <v>825</v>
      </c>
      <c r="J8" s="461" t="s">
        <v>819</v>
      </c>
      <c r="K8" s="463" t="s">
        <v>828</v>
      </c>
      <c r="L8" s="461" t="s">
        <v>817</v>
      </c>
      <c r="M8" s="461" t="s">
        <v>826</v>
      </c>
      <c r="N8" s="461" t="s">
        <v>829</v>
      </c>
      <c r="O8" s="461" t="s">
        <v>818</v>
      </c>
      <c r="P8" s="461" t="s">
        <v>822</v>
      </c>
      <c r="Q8" s="461" t="s">
        <v>820</v>
      </c>
      <c r="R8" s="461" t="s">
        <v>823</v>
      </c>
    </row>
    <row r="9" spans="1:25" s="147" customFormat="1" ht="19.95" customHeight="1">
      <c r="A9" s="149">
        <f>'明细表H8-2'!A12</f>
        <v>0</v>
      </c>
      <c r="B9" s="149">
        <f>'明细表H8-2'!B12</f>
        <v>0</v>
      </c>
      <c r="C9" s="149">
        <f>'明细表H8-2'!C12</f>
        <v>0</v>
      </c>
      <c r="D9" s="150">
        <f>'明细表H8-2'!S12</f>
        <v>0</v>
      </c>
      <c r="E9" s="150">
        <f>'明细表H8-2'!AJ12</f>
        <v>0</v>
      </c>
      <c r="F9" s="27"/>
      <c r="G9" s="151"/>
      <c r="H9" s="29"/>
      <c r="I9" s="152"/>
      <c r="J9" s="150">
        <f>IF(G9=0,0,IF(RIGHT(G9,1)&lt;&gt;"年",G9*12,IF(LEN(G9)=3,VALUE(LEFT(G9,2))*12,IF(LEN(G9)=2,VALUE(LEFT(G9,1))*12,"??"))))</f>
        <v>0</v>
      </c>
      <c r="K9" s="140">
        <f>DATE((YEAR(F9)+G9),MONTH(F9),DAY(F9))</f>
        <v>0</v>
      </c>
      <c r="L9" s="150">
        <f t="shared" ref="L9:L28" si="0">MIN((YEAR(K9)-YEAR(F9))*12+(MONTH(K9)-MONTH(F9)),(YEAR($D$7)-YEAR(F9))*12+MONTH($D$7)-MONTH(F9),G9*12)</f>
        <v>0</v>
      </c>
      <c r="M9" s="150">
        <f>IF(K9&lt;$B$7,0,IF($D$7&gt;K9,MIN(MONTH($D$7),DATEDIF(DATE(YEAR(F9),MONTH(F9),"1"),$D$7,"M")-DATEDIF(DATE(YEAR(F9),MONTH(F9),"1"),DATEDIF(YEAR(K9),MONTH(K9),"1"),"M")),MIN(DATEDIF(DATE(YEAR(F9),MONTH(F9),"1"),$D$7,"m"),MONTH($D$7))))</f>
        <v>0</v>
      </c>
      <c r="N9" s="150">
        <f>IF(J9=0,0,ROUND(((1-H9)/J9)*D9,4))</f>
        <v>0</v>
      </c>
      <c r="O9" s="150">
        <f>ROUND(N9*M9,2)</f>
        <v>0</v>
      </c>
      <c r="P9" s="150">
        <f>ROUND(I9-N9,2)</f>
        <v>0</v>
      </c>
      <c r="Q9" s="150">
        <f>ROUND(N9*L9,2)</f>
        <v>0</v>
      </c>
      <c r="R9" s="150">
        <f>ROUND(E9-Q9,2)</f>
        <v>0</v>
      </c>
    </row>
    <row r="10" spans="1:25" s="147" customFormat="1" ht="19.95" customHeight="1">
      <c r="A10" s="149">
        <f>'明细表H8-2'!A13</f>
        <v>0</v>
      </c>
      <c r="B10" s="149">
        <f>'明细表H8-2'!B13</f>
        <v>0</v>
      </c>
      <c r="C10" s="149">
        <f>'明细表H8-2'!C13</f>
        <v>0</v>
      </c>
      <c r="D10" s="150">
        <f>'明细表H8-2'!S13</f>
        <v>0</v>
      </c>
      <c r="E10" s="150">
        <f>'明细表H8-2'!AJ13</f>
        <v>0</v>
      </c>
      <c r="F10" s="27"/>
      <c r="G10" s="151"/>
      <c r="H10" s="29"/>
      <c r="I10" s="152"/>
      <c r="J10" s="150">
        <f t="shared" ref="J10:J28" si="1">IF(G10=0,0,IF(RIGHT(G10,1)&lt;&gt;"年",G10*12,IF(LEN(G10)=3,VALUE(LEFT(G10,2))*12,IF(LEN(G10)=2,VALUE(LEFT(G10,1))*12,"??"))))</f>
        <v>0</v>
      </c>
      <c r="K10" s="140">
        <f t="shared" ref="K10:K28" si="2">DATE((YEAR(F10)+G10),MONTH(F10),DAY(F10))</f>
        <v>0</v>
      </c>
      <c r="L10" s="150">
        <f t="shared" si="0"/>
        <v>0</v>
      </c>
      <c r="M10" s="150">
        <f t="shared" ref="M10:M28" si="3">IF(K10&lt;$B$7,0,IF($D$7&gt;K10,MIN(MONTH($D$7),DATEDIF(DATE(YEAR(F10),MONTH(F10),"1"),$D$7,"M")-DATEDIF(DATE(YEAR(F10),MONTH(F10),"1"),DATEDIF(YEAR(K10),MONTH(K10),"1"),"M")),MIN(DATEDIF(DATE(YEAR(F10),MONTH(F10),"1"),$D$7,"m"),MONTH($D$7))))</f>
        <v>0</v>
      </c>
      <c r="N10" s="150">
        <f t="shared" ref="N10:N28" si="4">IF(J10=0,0,ROUND(((1-H10)/J10)*D10,4))</f>
        <v>0</v>
      </c>
      <c r="O10" s="150">
        <f t="shared" ref="O10:O28" si="5">ROUND(N10*M10,2)</f>
        <v>0</v>
      </c>
      <c r="P10" s="150">
        <f t="shared" ref="P10:P28" si="6">ROUND(I10-N10,2)</f>
        <v>0</v>
      </c>
      <c r="Q10" s="150">
        <f t="shared" ref="Q10:Q28" si="7">ROUND(N10*L10,2)</f>
        <v>0</v>
      </c>
      <c r="R10" s="150">
        <f t="shared" ref="R10:R28" si="8">ROUND(E10-Q10,2)</f>
        <v>0</v>
      </c>
    </row>
    <row r="11" spans="1:25" ht="19.95" customHeight="1">
      <c r="A11" s="149">
        <f>'明细表H8-2'!A14</f>
        <v>0</v>
      </c>
      <c r="B11" s="149">
        <f>'明细表H8-2'!B14</f>
        <v>0</v>
      </c>
      <c r="C11" s="149">
        <f>'明细表H8-2'!C14</f>
        <v>0</v>
      </c>
      <c r="D11" s="150">
        <f>'明细表H8-2'!S14</f>
        <v>0</v>
      </c>
      <c r="E11" s="150">
        <f>'明细表H8-2'!AJ14</f>
        <v>0</v>
      </c>
      <c r="F11" s="27"/>
      <c r="G11" s="151"/>
      <c r="H11" s="29"/>
      <c r="I11" s="152"/>
      <c r="J11" s="150">
        <f t="shared" si="1"/>
        <v>0</v>
      </c>
      <c r="K11" s="140">
        <f t="shared" si="2"/>
        <v>0</v>
      </c>
      <c r="L11" s="150">
        <f t="shared" si="0"/>
        <v>0</v>
      </c>
      <c r="M11" s="150">
        <f t="shared" si="3"/>
        <v>0</v>
      </c>
      <c r="N11" s="150">
        <f t="shared" si="4"/>
        <v>0</v>
      </c>
      <c r="O11" s="150">
        <f t="shared" si="5"/>
        <v>0</v>
      </c>
      <c r="P11" s="150">
        <f t="shared" si="6"/>
        <v>0</v>
      </c>
      <c r="Q11" s="150">
        <f t="shared" si="7"/>
        <v>0</v>
      </c>
      <c r="R11" s="150">
        <f t="shared" si="8"/>
        <v>0</v>
      </c>
    </row>
    <row r="12" spans="1:25" ht="19.95" customHeight="1">
      <c r="A12" s="149">
        <f>'明细表H8-2'!A15</f>
        <v>0</v>
      </c>
      <c r="B12" s="149">
        <f>'明细表H8-2'!B15</f>
        <v>0</v>
      </c>
      <c r="C12" s="149">
        <f>'明细表H8-2'!C15</f>
        <v>0</v>
      </c>
      <c r="D12" s="150">
        <f>'明细表H8-2'!S15</f>
        <v>0</v>
      </c>
      <c r="E12" s="150">
        <f>'明细表H8-2'!AJ15</f>
        <v>0</v>
      </c>
      <c r="F12" s="27"/>
      <c r="G12" s="151"/>
      <c r="H12" s="29"/>
      <c r="I12" s="152"/>
      <c r="J12" s="150">
        <f t="shared" si="1"/>
        <v>0</v>
      </c>
      <c r="K12" s="140">
        <f t="shared" si="2"/>
        <v>0</v>
      </c>
      <c r="L12" s="150">
        <f t="shared" si="0"/>
        <v>0</v>
      </c>
      <c r="M12" s="150">
        <f t="shared" si="3"/>
        <v>0</v>
      </c>
      <c r="N12" s="150">
        <f t="shared" si="4"/>
        <v>0</v>
      </c>
      <c r="O12" s="150">
        <f t="shared" si="5"/>
        <v>0</v>
      </c>
      <c r="P12" s="150">
        <f t="shared" si="6"/>
        <v>0</v>
      </c>
      <c r="Q12" s="150">
        <f t="shared" si="7"/>
        <v>0</v>
      </c>
      <c r="R12" s="150">
        <f t="shared" si="8"/>
        <v>0</v>
      </c>
    </row>
    <row r="13" spans="1:25" ht="19.95" customHeight="1">
      <c r="A13" s="149">
        <f>'明细表H8-2'!A16</f>
        <v>0</v>
      </c>
      <c r="B13" s="149">
        <f>'明细表H8-2'!B16</f>
        <v>0</v>
      </c>
      <c r="C13" s="149">
        <f>'明细表H8-2'!C16</f>
        <v>0</v>
      </c>
      <c r="D13" s="150">
        <f>'明细表H8-2'!S16</f>
        <v>0</v>
      </c>
      <c r="E13" s="150">
        <f>'明细表H8-2'!AJ16</f>
        <v>0</v>
      </c>
      <c r="F13" s="27"/>
      <c r="G13" s="151"/>
      <c r="H13" s="29"/>
      <c r="I13" s="152"/>
      <c r="J13" s="150">
        <f t="shared" si="1"/>
        <v>0</v>
      </c>
      <c r="K13" s="140">
        <f t="shared" si="2"/>
        <v>0</v>
      </c>
      <c r="L13" s="150">
        <f t="shared" si="0"/>
        <v>0</v>
      </c>
      <c r="M13" s="150">
        <f t="shared" si="3"/>
        <v>0</v>
      </c>
      <c r="N13" s="150">
        <f t="shared" si="4"/>
        <v>0</v>
      </c>
      <c r="O13" s="150">
        <f t="shared" si="5"/>
        <v>0</v>
      </c>
      <c r="P13" s="150">
        <f t="shared" si="6"/>
        <v>0</v>
      </c>
      <c r="Q13" s="150">
        <f t="shared" si="7"/>
        <v>0</v>
      </c>
      <c r="R13" s="150">
        <f t="shared" si="8"/>
        <v>0</v>
      </c>
    </row>
    <row r="14" spans="1:25" ht="19.95" customHeight="1">
      <c r="A14" s="149">
        <f>'明细表H8-2'!A17</f>
        <v>0</v>
      </c>
      <c r="B14" s="149">
        <f>'明细表H8-2'!B17</f>
        <v>0</v>
      </c>
      <c r="C14" s="149">
        <f>'明细表H8-2'!C17</f>
        <v>0</v>
      </c>
      <c r="D14" s="150">
        <f>'明细表H8-2'!S17</f>
        <v>0</v>
      </c>
      <c r="E14" s="150">
        <f>'明细表H8-2'!AJ17</f>
        <v>0</v>
      </c>
      <c r="F14" s="27"/>
      <c r="G14" s="151"/>
      <c r="H14" s="29"/>
      <c r="I14" s="152"/>
      <c r="J14" s="150">
        <f t="shared" si="1"/>
        <v>0</v>
      </c>
      <c r="K14" s="140">
        <f t="shared" si="2"/>
        <v>0</v>
      </c>
      <c r="L14" s="150">
        <f t="shared" si="0"/>
        <v>0</v>
      </c>
      <c r="M14" s="150">
        <f t="shared" si="3"/>
        <v>0</v>
      </c>
      <c r="N14" s="150">
        <f t="shared" si="4"/>
        <v>0</v>
      </c>
      <c r="O14" s="150">
        <f t="shared" si="5"/>
        <v>0</v>
      </c>
      <c r="P14" s="150">
        <f t="shared" si="6"/>
        <v>0</v>
      </c>
      <c r="Q14" s="150">
        <f t="shared" si="7"/>
        <v>0</v>
      </c>
      <c r="R14" s="150">
        <f t="shared" si="8"/>
        <v>0</v>
      </c>
    </row>
    <row r="15" spans="1:25" ht="19.95" customHeight="1">
      <c r="A15" s="149">
        <f>'明细表H8-2'!A18</f>
        <v>0</v>
      </c>
      <c r="B15" s="149">
        <f>'明细表H8-2'!B18</f>
        <v>0</v>
      </c>
      <c r="C15" s="149">
        <f>'明细表H8-2'!C18</f>
        <v>0</v>
      </c>
      <c r="D15" s="150">
        <f>'明细表H8-2'!S18</f>
        <v>0</v>
      </c>
      <c r="E15" s="150">
        <f>'明细表H8-2'!AJ18</f>
        <v>0</v>
      </c>
      <c r="F15" s="27"/>
      <c r="G15" s="151"/>
      <c r="H15" s="29"/>
      <c r="I15" s="152"/>
      <c r="J15" s="150">
        <f t="shared" si="1"/>
        <v>0</v>
      </c>
      <c r="K15" s="140">
        <f t="shared" si="2"/>
        <v>0</v>
      </c>
      <c r="L15" s="150">
        <f t="shared" si="0"/>
        <v>0</v>
      </c>
      <c r="M15" s="150">
        <f t="shared" si="3"/>
        <v>0</v>
      </c>
      <c r="N15" s="150">
        <f t="shared" si="4"/>
        <v>0</v>
      </c>
      <c r="O15" s="150">
        <f t="shared" si="5"/>
        <v>0</v>
      </c>
      <c r="P15" s="150">
        <f t="shared" si="6"/>
        <v>0</v>
      </c>
      <c r="Q15" s="150">
        <f t="shared" si="7"/>
        <v>0</v>
      </c>
      <c r="R15" s="150">
        <f t="shared" si="8"/>
        <v>0</v>
      </c>
    </row>
    <row r="16" spans="1:25" ht="19.95" customHeight="1">
      <c r="A16" s="149">
        <f>'明细表H8-2'!A19</f>
        <v>0</v>
      </c>
      <c r="B16" s="149">
        <f>'明细表H8-2'!B19</f>
        <v>0</v>
      </c>
      <c r="C16" s="149">
        <f>'明细表H8-2'!C19</f>
        <v>0</v>
      </c>
      <c r="D16" s="150">
        <f>'明细表H8-2'!S19</f>
        <v>0</v>
      </c>
      <c r="E16" s="150">
        <f>'明细表H8-2'!AJ19</f>
        <v>0</v>
      </c>
      <c r="F16" s="27"/>
      <c r="G16" s="151"/>
      <c r="H16" s="29"/>
      <c r="I16" s="152"/>
      <c r="J16" s="150">
        <f t="shared" si="1"/>
        <v>0</v>
      </c>
      <c r="K16" s="140">
        <f t="shared" si="2"/>
        <v>0</v>
      </c>
      <c r="L16" s="150">
        <f t="shared" si="0"/>
        <v>0</v>
      </c>
      <c r="M16" s="150">
        <f t="shared" si="3"/>
        <v>0</v>
      </c>
      <c r="N16" s="150">
        <f t="shared" si="4"/>
        <v>0</v>
      </c>
      <c r="O16" s="150">
        <f t="shared" si="5"/>
        <v>0</v>
      </c>
      <c r="P16" s="150">
        <f t="shared" si="6"/>
        <v>0</v>
      </c>
      <c r="Q16" s="150">
        <f t="shared" si="7"/>
        <v>0</v>
      </c>
      <c r="R16" s="150">
        <f t="shared" si="8"/>
        <v>0</v>
      </c>
    </row>
    <row r="17" spans="1:18" ht="19.95" customHeight="1">
      <c r="A17" s="149">
        <f>'明细表H8-2'!A20</f>
        <v>0</v>
      </c>
      <c r="B17" s="149">
        <f>'明细表H8-2'!B20</f>
        <v>0</v>
      </c>
      <c r="C17" s="149">
        <f>'明细表H8-2'!C20</f>
        <v>0</v>
      </c>
      <c r="D17" s="150">
        <f>'明细表H8-2'!S20</f>
        <v>0</v>
      </c>
      <c r="E17" s="150">
        <f>'明细表H8-2'!AJ20</f>
        <v>0</v>
      </c>
      <c r="F17" s="27"/>
      <c r="G17" s="151"/>
      <c r="H17" s="29"/>
      <c r="I17" s="152"/>
      <c r="J17" s="150">
        <f t="shared" si="1"/>
        <v>0</v>
      </c>
      <c r="K17" s="140">
        <f t="shared" si="2"/>
        <v>0</v>
      </c>
      <c r="L17" s="150">
        <f t="shared" si="0"/>
        <v>0</v>
      </c>
      <c r="M17" s="150">
        <f t="shared" si="3"/>
        <v>0</v>
      </c>
      <c r="N17" s="150">
        <f t="shared" si="4"/>
        <v>0</v>
      </c>
      <c r="O17" s="150">
        <f t="shared" si="5"/>
        <v>0</v>
      </c>
      <c r="P17" s="150">
        <f t="shared" si="6"/>
        <v>0</v>
      </c>
      <c r="Q17" s="150">
        <f t="shared" si="7"/>
        <v>0</v>
      </c>
      <c r="R17" s="150">
        <f t="shared" si="8"/>
        <v>0</v>
      </c>
    </row>
    <row r="18" spans="1:18" ht="19.95" customHeight="1">
      <c r="A18" s="149">
        <f>'明细表H8-2'!A21</f>
        <v>0</v>
      </c>
      <c r="B18" s="149">
        <f>'明细表H8-2'!B21</f>
        <v>0</v>
      </c>
      <c r="C18" s="149">
        <f>'明细表H8-2'!C21</f>
        <v>0</v>
      </c>
      <c r="D18" s="150">
        <f>'明细表H8-2'!S21</f>
        <v>0</v>
      </c>
      <c r="E18" s="150">
        <f>'明细表H8-2'!AJ21</f>
        <v>0</v>
      </c>
      <c r="F18" s="27"/>
      <c r="G18" s="151"/>
      <c r="H18" s="29"/>
      <c r="I18" s="152"/>
      <c r="J18" s="150">
        <f t="shared" si="1"/>
        <v>0</v>
      </c>
      <c r="K18" s="140">
        <f t="shared" si="2"/>
        <v>0</v>
      </c>
      <c r="L18" s="150">
        <f t="shared" si="0"/>
        <v>0</v>
      </c>
      <c r="M18" s="150">
        <f t="shared" si="3"/>
        <v>0</v>
      </c>
      <c r="N18" s="150">
        <f t="shared" si="4"/>
        <v>0</v>
      </c>
      <c r="O18" s="150">
        <f t="shared" si="5"/>
        <v>0</v>
      </c>
      <c r="P18" s="150">
        <f t="shared" si="6"/>
        <v>0</v>
      </c>
      <c r="Q18" s="150">
        <f t="shared" si="7"/>
        <v>0</v>
      </c>
      <c r="R18" s="150">
        <f t="shared" si="8"/>
        <v>0</v>
      </c>
    </row>
    <row r="19" spans="1:18" ht="19.95" customHeight="1">
      <c r="A19" s="149">
        <f>'明细表H8-2'!A22</f>
        <v>0</v>
      </c>
      <c r="B19" s="149">
        <f>'明细表H8-2'!B22</f>
        <v>0</v>
      </c>
      <c r="C19" s="149">
        <f>'明细表H8-2'!C22</f>
        <v>0</v>
      </c>
      <c r="D19" s="150">
        <f>'明细表H8-2'!S22</f>
        <v>0</v>
      </c>
      <c r="E19" s="150">
        <f>'明细表H8-2'!AJ22</f>
        <v>0</v>
      </c>
      <c r="F19" s="27"/>
      <c r="G19" s="151"/>
      <c r="H19" s="29"/>
      <c r="I19" s="152"/>
      <c r="J19" s="150">
        <f t="shared" si="1"/>
        <v>0</v>
      </c>
      <c r="K19" s="140">
        <f t="shared" si="2"/>
        <v>0</v>
      </c>
      <c r="L19" s="150">
        <f t="shared" si="0"/>
        <v>0</v>
      </c>
      <c r="M19" s="150">
        <f t="shared" si="3"/>
        <v>0</v>
      </c>
      <c r="N19" s="150">
        <f t="shared" si="4"/>
        <v>0</v>
      </c>
      <c r="O19" s="150">
        <f t="shared" si="5"/>
        <v>0</v>
      </c>
      <c r="P19" s="150">
        <f t="shared" si="6"/>
        <v>0</v>
      </c>
      <c r="Q19" s="150">
        <f t="shared" si="7"/>
        <v>0</v>
      </c>
      <c r="R19" s="150">
        <f t="shared" si="8"/>
        <v>0</v>
      </c>
    </row>
    <row r="20" spans="1:18" ht="19.95" customHeight="1">
      <c r="A20" s="149">
        <f>'明细表H8-2'!A23</f>
        <v>0</v>
      </c>
      <c r="B20" s="149">
        <f>'明细表H8-2'!B23</f>
        <v>0</v>
      </c>
      <c r="C20" s="149">
        <f>'明细表H8-2'!C23</f>
        <v>0</v>
      </c>
      <c r="D20" s="150">
        <f>'明细表H8-2'!S23</f>
        <v>0</v>
      </c>
      <c r="E20" s="150">
        <f>'明细表H8-2'!AJ23</f>
        <v>0</v>
      </c>
      <c r="F20" s="27"/>
      <c r="G20" s="151"/>
      <c r="H20" s="29"/>
      <c r="I20" s="152"/>
      <c r="J20" s="150">
        <f t="shared" si="1"/>
        <v>0</v>
      </c>
      <c r="K20" s="140">
        <f t="shared" si="2"/>
        <v>0</v>
      </c>
      <c r="L20" s="150">
        <f t="shared" si="0"/>
        <v>0</v>
      </c>
      <c r="M20" s="150">
        <f t="shared" si="3"/>
        <v>0</v>
      </c>
      <c r="N20" s="150">
        <f t="shared" si="4"/>
        <v>0</v>
      </c>
      <c r="O20" s="150">
        <f t="shared" si="5"/>
        <v>0</v>
      </c>
      <c r="P20" s="150">
        <f t="shared" si="6"/>
        <v>0</v>
      </c>
      <c r="Q20" s="150">
        <f t="shared" si="7"/>
        <v>0</v>
      </c>
      <c r="R20" s="150">
        <f t="shared" si="8"/>
        <v>0</v>
      </c>
    </row>
    <row r="21" spans="1:18" ht="19.95" customHeight="1">
      <c r="A21" s="149">
        <f>'明细表H8-2'!A24</f>
        <v>0</v>
      </c>
      <c r="B21" s="149">
        <f>'明细表H8-2'!B24</f>
        <v>0</v>
      </c>
      <c r="C21" s="149">
        <f>'明细表H8-2'!C24</f>
        <v>0</v>
      </c>
      <c r="D21" s="150">
        <f>'明细表H8-2'!S24</f>
        <v>0</v>
      </c>
      <c r="E21" s="150">
        <f>'明细表H8-2'!AJ24</f>
        <v>0</v>
      </c>
      <c r="F21" s="27"/>
      <c r="G21" s="151"/>
      <c r="H21" s="29"/>
      <c r="I21" s="152"/>
      <c r="J21" s="150">
        <f t="shared" si="1"/>
        <v>0</v>
      </c>
      <c r="K21" s="140">
        <f t="shared" si="2"/>
        <v>0</v>
      </c>
      <c r="L21" s="150">
        <f t="shared" si="0"/>
        <v>0</v>
      </c>
      <c r="M21" s="150">
        <f t="shared" si="3"/>
        <v>0</v>
      </c>
      <c r="N21" s="150">
        <f t="shared" si="4"/>
        <v>0</v>
      </c>
      <c r="O21" s="150">
        <f t="shared" si="5"/>
        <v>0</v>
      </c>
      <c r="P21" s="150">
        <f t="shared" si="6"/>
        <v>0</v>
      </c>
      <c r="Q21" s="150">
        <f t="shared" si="7"/>
        <v>0</v>
      </c>
      <c r="R21" s="150">
        <f t="shared" si="8"/>
        <v>0</v>
      </c>
    </row>
    <row r="22" spans="1:18" ht="19.95" customHeight="1">
      <c r="A22" s="149">
        <f>'明细表H8-2'!A25</f>
        <v>0</v>
      </c>
      <c r="B22" s="149">
        <f>'明细表H8-2'!B25</f>
        <v>0</v>
      </c>
      <c r="C22" s="149">
        <f>'明细表H8-2'!C25</f>
        <v>0</v>
      </c>
      <c r="D22" s="150">
        <f>'明细表H8-2'!S25</f>
        <v>0</v>
      </c>
      <c r="E22" s="150">
        <f>'明细表H8-2'!AJ25</f>
        <v>0</v>
      </c>
      <c r="F22" s="27"/>
      <c r="G22" s="151"/>
      <c r="H22" s="29"/>
      <c r="I22" s="152"/>
      <c r="J22" s="150">
        <f t="shared" si="1"/>
        <v>0</v>
      </c>
      <c r="K22" s="140">
        <f t="shared" si="2"/>
        <v>0</v>
      </c>
      <c r="L22" s="150">
        <f t="shared" si="0"/>
        <v>0</v>
      </c>
      <c r="M22" s="150">
        <f t="shared" si="3"/>
        <v>0</v>
      </c>
      <c r="N22" s="150">
        <f t="shared" si="4"/>
        <v>0</v>
      </c>
      <c r="O22" s="150">
        <f t="shared" si="5"/>
        <v>0</v>
      </c>
      <c r="P22" s="150">
        <f t="shared" si="6"/>
        <v>0</v>
      </c>
      <c r="Q22" s="150">
        <f t="shared" si="7"/>
        <v>0</v>
      </c>
      <c r="R22" s="150">
        <f t="shared" si="8"/>
        <v>0</v>
      </c>
    </row>
    <row r="23" spans="1:18" ht="19.95" customHeight="1">
      <c r="A23" s="149">
        <f>'明细表H8-2'!A26</f>
        <v>0</v>
      </c>
      <c r="B23" s="149">
        <f>'明细表H8-2'!B26</f>
        <v>0</v>
      </c>
      <c r="C23" s="149">
        <f>'明细表H8-2'!C26</f>
        <v>0</v>
      </c>
      <c r="D23" s="150">
        <f>'明细表H8-2'!S26</f>
        <v>0</v>
      </c>
      <c r="E23" s="150">
        <f>'明细表H8-2'!AJ26</f>
        <v>0</v>
      </c>
      <c r="F23" s="27"/>
      <c r="G23" s="151"/>
      <c r="H23" s="29"/>
      <c r="I23" s="152"/>
      <c r="J23" s="150">
        <f t="shared" si="1"/>
        <v>0</v>
      </c>
      <c r="K23" s="140">
        <f t="shared" si="2"/>
        <v>0</v>
      </c>
      <c r="L23" s="150">
        <f t="shared" si="0"/>
        <v>0</v>
      </c>
      <c r="M23" s="150">
        <f t="shared" si="3"/>
        <v>0</v>
      </c>
      <c r="N23" s="150">
        <f t="shared" si="4"/>
        <v>0</v>
      </c>
      <c r="O23" s="150">
        <f t="shared" si="5"/>
        <v>0</v>
      </c>
      <c r="P23" s="150">
        <f t="shared" si="6"/>
        <v>0</v>
      </c>
      <c r="Q23" s="150">
        <f t="shared" si="7"/>
        <v>0</v>
      </c>
      <c r="R23" s="150">
        <f t="shared" si="8"/>
        <v>0</v>
      </c>
    </row>
    <row r="24" spans="1:18" ht="19.95" customHeight="1">
      <c r="A24" s="149">
        <f>'明细表H8-2'!A27</f>
        <v>0</v>
      </c>
      <c r="B24" s="149">
        <f>'明细表H8-2'!B27</f>
        <v>0</v>
      </c>
      <c r="C24" s="149">
        <f>'明细表H8-2'!C27</f>
        <v>0</v>
      </c>
      <c r="D24" s="150">
        <f>'明细表H8-2'!S27</f>
        <v>0</v>
      </c>
      <c r="E24" s="150">
        <f>'明细表H8-2'!AJ27</f>
        <v>0</v>
      </c>
      <c r="F24" s="27"/>
      <c r="G24" s="151"/>
      <c r="H24" s="29"/>
      <c r="I24" s="152"/>
      <c r="J24" s="150">
        <f t="shared" si="1"/>
        <v>0</v>
      </c>
      <c r="K24" s="140">
        <f t="shared" si="2"/>
        <v>0</v>
      </c>
      <c r="L24" s="150">
        <f t="shared" si="0"/>
        <v>0</v>
      </c>
      <c r="M24" s="150">
        <f t="shared" si="3"/>
        <v>0</v>
      </c>
      <c r="N24" s="150">
        <f t="shared" si="4"/>
        <v>0</v>
      </c>
      <c r="O24" s="150">
        <f t="shared" si="5"/>
        <v>0</v>
      </c>
      <c r="P24" s="150">
        <f t="shared" si="6"/>
        <v>0</v>
      </c>
      <c r="Q24" s="150">
        <f t="shared" si="7"/>
        <v>0</v>
      </c>
      <c r="R24" s="150">
        <f t="shared" si="8"/>
        <v>0</v>
      </c>
    </row>
    <row r="25" spans="1:18" ht="19.95" customHeight="1">
      <c r="A25" s="149">
        <f>'明细表H8-2'!A28</f>
        <v>0</v>
      </c>
      <c r="B25" s="149">
        <f>'明细表H8-2'!B28</f>
        <v>0</v>
      </c>
      <c r="C25" s="149">
        <f>'明细表H8-2'!C28</f>
        <v>0</v>
      </c>
      <c r="D25" s="150">
        <f>'明细表H8-2'!S28</f>
        <v>0</v>
      </c>
      <c r="E25" s="150">
        <f>'明细表H8-2'!AJ28</f>
        <v>0</v>
      </c>
      <c r="F25" s="27"/>
      <c r="G25" s="151"/>
      <c r="H25" s="29"/>
      <c r="I25" s="152"/>
      <c r="J25" s="150">
        <f t="shared" si="1"/>
        <v>0</v>
      </c>
      <c r="K25" s="140">
        <f t="shared" si="2"/>
        <v>0</v>
      </c>
      <c r="L25" s="150">
        <f t="shared" si="0"/>
        <v>0</v>
      </c>
      <c r="M25" s="150">
        <f t="shared" si="3"/>
        <v>0</v>
      </c>
      <c r="N25" s="150">
        <f t="shared" si="4"/>
        <v>0</v>
      </c>
      <c r="O25" s="150">
        <f t="shared" si="5"/>
        <v>0</v>
      </c>
      <c r="P25" s="150">
        <f t="shared" si="6"/>
        <v>0</v>
      </c>
      <c r="Q25" s="150">
        <f t="shared" si="7"/>
        <v>0</v>
      </c>
      <c r="R25" s="150">
        <f t="shared" si="8"/>
        <v>0</v>
      </c>
    </row>
    <row r="26" spans="1:18" ht="19.95" customHeight="1">
      <c r="A26" s="149">
        <f>'明细表H8-2'!A29</f>
        <v>0</v>
      </c>
      <c r="B26" s="149">
        <f>'明细表H8-2'!B29</f>
        <v>0</v>
      </c>
      <c r="C26" s="149">
        <f>'明细表H8-2'!C29</f>
        <v>0</v>
      </c>
      <c r="D26" s="150">
        <f>'明细表H8-2'!S29</f>
        <v>0</v>
      </c>
      <c r="E26" s="150">
        <f>'明细表H8-2'!AJ29</f>
        <v>0</v>
      </c>
      <c r="F26" s="27"/>
      <c r="G26" s="151"/>
      <c r="H26" s="29"/>
      <c r="I26" s="152"/>
      <c r="J26" s="150">
        <f t="shared" si="1"/>
        <v>0</v>
      </c>
      <c r="K26" s="140">
        <f t="shared" si="2"/>
        <v>0</v>
      </c>
      <c r="L26" s="150">
        <f t="shared" si="0"/>
        <v>0</v>
      </c>
      <c r="M26" s="150">
        <f t="shared" si="3"/>
        <v>0</v>
      </c>
      <c r="N26" s="150">
        <f t="shared" si="4"/>
        <v>0</v>
      </c>
      <c r="O26" s="150">
        <f t="shared" si="5"/>
        <v>0</v>
      </c>
      <c r="P26" s="150">
        <f t="shared" si="6"/>
        <v>0</v>
      </c>
      <c r="Q26" s="150">
        <f t="shared" si="7"/>
        <v>0</v>
      </c>
      <c r="R26" s="150">
        <f t="shared" si="8"/>
        <v>0</v>
      </c>
    </row>
    <row r="27" spans="1:18" ht="19.95" customHeight="1">
      <c r="A27" s="149">
        <f>'明细表H8-2'!A30</f>
        <v>0</v>
      </c>
      <c r="B27" s="149">
        <f>'明细表H8-2'!B30</f>
        <v>0</v>
      </c>
      <c r="C27" s="149">
        <f>'明细表H8-2'!C30</f>
        <v>0</v>
      </c>
      <c r="D27" s="150">
        <f>'明细表H8-2'!S30</f>
        <v>0</v>
      </c>
      <c r="E27" s="150">
        <f>'明细表H8-2'!AJ30</f>
        <v>0</v>
      </c>
      <c r="F27" s="27"/>
      <c r="G27" s="151"/>
      <c r="H27" s="29"/>
      <c r="I27" s="152"/>
      <c r="J27" s="150">
        <f t="shared" si="1"/>
        <v>0</v>
      </c>
      <c r="K27" s="140">
        <f t="shared" si="2"/>
        <v>0</v>
      </c>
      <c r="L27" s="150">
        <f t="shared" si="0"/>
        <v>0</v>
      </c>
      <c r="M27" s="150">
        <f t="shared" si="3"/>
        <v>0</v>
      </c>
      <c r="N27" s="150">
        <f t="shared" si="4"/>
        <v>0</v>
      </c>
      <c r="O27" s="150">
        <f t="shared" si="5"/>
        <v>0</v>
      </c>
      <c r="P27" s="150">
        <f t="shared" si="6"/>
        <v>0</v>
      </c>
      <c r="Q27" s="150">
        <f t="shared" si="7"/>
        <v>0</v>
      </c>
      <c r="R27" s="150">
        <f t="shared" si="8"/>
        <v>0</v>
      </c>
    </row>
    <row r="28" spans="1:18" ht="19.95" customHeight="1">
      <c r="A28" s="149">
        <f>'明细表H8-2'!A31</f>
        <v>0</v>
      </c>
      <c r="B28" s="149">
        <f>'明细表H8-2'!B31</f>
        <v>0</v>
      </c>
      <c r="C28" s="149">
        <f>'明细表H8-2'!C31</f>
        <v>0</v>
      </c>
      <c r="D28" s="150">
        <f>'明细表H8-2'!S31</f>
        <v>0</v>
      </c>
      <c r="E28" s="150">
        <f>'明细表H8-2'!AJ31</f>
        <v>0</v>
      </c>
      <c r="F28" s="27"/>
      <c r="G28" s="151"/>
      <c r="H28" s="29"/>
      <c r="I28" s="152"/>
      <c r="J28" s="150">
        <f t="shared" si="1"/>
        <v>0</v>
      </c>
      <c r="K28" s="140">
        <f t="shared" si="2"/>
        <v>0</v>
      </c>
      <c r="L28" s="150">
        <f t="shared" si="0"/>
        <v>0</v>
      </c>
      <c r="M28" s="150">
        <f t="shared" si="3"/>
        <v>0</v>
      </c>
      <c r="N28" s="150">
        <f t="shared" si="4"/>
        <v>0</v>
      </c>
      <c r="O28" s="150">
        <f t="shared" si="5"/>
        <v>0</v>
      </c>
      <c r="P28" s="150">
        <f t="shared" si="6"/>
        <v>0</v>
      </c>
      <c r="Q28" s="150">
        <f t="shared" si="7"/>
        <v>0</v>
      </c>
      <c r="R28" s="150">
        <f t="shared" si="8"/>
        <v>0</v>
      </c>
    </row>
    <row r="29" spans="1:18" s="283" customFormat="1" ht="19.95" customHeight="1">
      <c r="A29" s="153"/>
      <c r="B29" s="153" t="s">
        <v>248</v>
      </c>
      <c r="C29" s="153"/>
      <c r="D29" s="330">
        <f>SUM(D9:D28)</f>
        <v>0</v>
      </c>
      <c r="E29" s="330">
        <f>SUM(E9:E28)</f>
        <v>0</v>
      </c>
      <c r="F29" s="330"/>
      <c r="G29" s="330"/>
      <c r="H29" s="330"/>
      <c r="I29" s="330"/>
      <c r="J29" s="330"/>
      <c r="K29" s="331"/>
      <c r="L29" s="330"/>
      <c r="M29" s="330"/>
      <c r="N29" s="517">
        <f t="shared" ref="N29:O29" si="9">SUM(N9:N28)</f>
        <v>0</v>
      </c>
      <c r="O29" s="517">
        <f t="shared" si="9"/>
        <v>0</v>
      </c>
      <c r="P29" s="330">
        <f>SUM(P9:P28)</f>
        <v>0</v>
      </c>
      <c r="Q29" s="330">
        <f>SUM(Q9:Q28)</f>
        <v>0</v>
      </c>
      <c r="R29" s="330">
        <f>SUM(R9:R28)</f>
        <v>0</v>
      </c>
    </row>
    <row r="30" spans="1:18" s="283" customFormat="1" ht="19.95" customHeight="1">
      <c r="A30" s="714" t="str">
        <f>'明细表H8-2'!A33:C33</f>
        <v>其中：</v>
      </c>
      <c r="B30" s="714"/>
      <c r="C30" s="714"/>
      <c r="D30" s="330"/>
      <c r="E30" s="330"/>
      <c r="F30" s="33"/>
      <c r="G30" s="154"/>
      <c r="H30" s="155"/>
      <c r="I30" s="154"/>
      <c r="J30" s="154"/>
      <c r="K30" s="33"/>
      <c r="L30" s="154"/>
      <c r="M30" s="154"/>
      <c r="N30" s="154"/>
      <c r="O30" s="154"/>
      <c r="P30" s="154"/>
      <c r="Q30" s="154"/>
      <c r="R30" s="154"/>
    </row>
    <row r="31" spans="1:18" s="283" customFormat="1" ht="19.95" customHeight="1">
      <c r="A31" s="714" t="str">
        <f>'明细表H8-2'!A34:C34</f>
        <v>房屋及建筑物</v>
      </c>
      <c r="B31" s="714"/>
      <c r="C31" s="714"/>
      <c r="D31" s="330">
        <f>SUMPRODUCT(($A$9:$A$28=$A31)*(D$9:D$28))</f>
        <v>0</v>
      </c>
      <c r="E31" s="330">
        <f>SUMPRODUCT(($A$9:$A$28=$A31)*(E$9:E$28))</f>
        <v>0</v>
      </c>
      <c r="F31" s="330"/>
      <c r="G31" s="330"/>
      <c r="H31" s="330"/>
      <c r="I31" s="330"/>
      <c r="J31" s="330"/>
      <c r="K31" s="330"/>
      <c r="L31" s="330"/>
      <c r="M31" s="330"/>
      <c r="N31" s="330">
        <f t="shared" ref="N31:Q31" si="10">SUMPRODUCT(($A$9:$A$28=$A31)*(N$9:N$28))</f>
        <v>0</v>
      </c>
      <c r="O31" s="330">
        <f t="shared" si="10"/>
        <v>0</v>
      </c>
      <c r="P31" s="330">
        <f t="shared" si="10"/>
        <v>0</v>
      </c>
      <c r="Q31" s="330">
        <f t="shared" si="10"/>
        <v>0</v>
      </c>
      <c r="R31" s="330">
        <f>SUMPRODUCT(($A$9:$A$28=$A31)*(R$9:R$28))</f>
        <v>0</v>
      </c>
    </row>
    <row r="32" spans="1:18" s="283" customFormat="1" ht="19.95" customHeight="1">
      <c r="A32" s="714" t="str">
        <f>'明细表H8-2'!A35:C35</f>
        <v>机器设备</v>
      </c>
      <c r="B32" s="714"/>
      <c r="C32" s="714"/>
      <c r="D32" s="330">
        <f t="shared" ref="D32:R35" si="11">SUMPRODUCT(($A$9:$A$28=$A32)*(D$9:D$28))</f>
        <v>0</v>
      </c>
      <c r="E32" s="330">
        <f t="shared" si="11"/>
        <v>0</v>
      </c>
      <c r="F32" s="330"/>
      <c r="G32" s="330"/>
      <c r="H32" s="330"/>
      <c r="I32" s="330"/>
      <c r="J32" s="330"/>
      <c r="K32" s="330"/>
      <c r="L32" s="330"/>
      <c r="M32" s="330"/>
      <c r="N32" s="330">
        <f t="shared" si="11"/>
        <v>0</v>
      </c>
      <c r="O32" s="330">
        <f t="shared" si="11"/>
        <v>0</v>
      </c>
      <c r="P32" s="330">
        <f t="shared" si="11"/>
        <v>0</v>
      </c>
      <c r="Q32" s="330">
        <f t="shared" si="11"/>
        <v>0</v>
      </c>
      <c r="R32" s="330">
        <f t="shared" si="11"/>
        <v>0</v>
      </c>
    </row>
    <row r="33" spans="1:18" s="283" customFormat="1" ht="19.95" customHeight="1">
      <c r="A33" s="714" t="str">
        <f>'明细表H8-2'!A36:C36</f>
        <v>运输设备</v>
      </c>
      <c r="B33" s="714"/>
      <c r="C33" s="714"/>
      <c r="D33" s="330">
        <f t="shared" si="11"/>
        <v>0</v>
      </c>
      <c r="E33" s="330">
        <f t="shared" si="11"/>
        <v>0</v>
      </c>
      <c r="F33" s="330"/>
      <c r="G33" s="330"/>
      <c r="H33" s="330"/>
      <c r="I33" s="330"/>
      <c r="J33" s="330"/>
      <c r="K33" s="330"/>
      <c r="L33" s="330"/>
      <c r="M33" s="330"/>
      <c r="N33" s="330">
        <f t="shared" si="11"/>
        <v>0</v>
      </c>
      <c r="O33" s="330">
        <f t="shared" si="11"/>
        <v>0</v>
      </c>
      <c r="P33" s="330">
        <f t="shared" si="11"/>
        <v>0</v>
      </c>
      <c r="Q33" s="330">
        <f t="shared" si="11"/>
        <v>0</v>
      </c>
      <c r="R33" s="330">
        <f t="shared" si="11"/>
        <v>0</v>
      </c>
    </row>
    <row r="34" spans="1:18" s="283" customFormat="1" ht="19.95" customHeight="1">
      <c r="A34" s="714" t="str">
        <f>'明细表H8-2'!A37:C37</f>
        <v>办公设备</v>
      </c>
      <c r="B34" s="714"/>
      <c r="C34" s="714"/>
      <c r="D34" s="330">
        <f t="shared" si="11"/>
        <v>0</v>
      </c>
      <c r="E34" s="330">
        <f t="shared" si="11"/>
        <v>0</v>
      </c>
      <c r="F34" s="330"/>
      <c r="G34" s="330"/>
      <c r="H34" s="330"/>
      <c r="I34" s="330"/>
      <c r="J34" s="330"/>
      <c r="K34" s="330"/>
      <c r="L34" s="330"/>
      <c r="M34" s="330"/>
      <c r="N34" s="330">
        <f t="shared" si="11"/>
        <v>0</v>
      </c>
      <c r="O34" s="330">
        <f t="shared" si="11"/>
        <v>0</v>
      </c>
      <c r="P34" s="330">
        <f t="shared" si="11"/>
        <v>0</v>
      </c>
      <c r="Q34" s="330">
        <f t="shared" si="11"/>
        <v>0</v>
      </c>
      <c r="R34" s="330">
        <f t="shared" si="11"/>
        <v>0</v>
      </c>
    </row>
    <row r="35" spans="1:18" s="283" customFormat="1" ht="19.95" customHeight="1">
      <c r="A35" s="714" t="str">
        <f>'明细表H8-2'!A38:C38</f>
        <v>其他设备</v>
      </c>
      <c r="B35" s="714"/>
      <c r="C35" s="714"/>
      <c r="D35" s="330">
        <f t="shared" si="11"/>
        <v>0</v>
      </c>
      <c r="E35" s="330">
        <f>SUMPRODUCT(($A$9:$A$28=$A35)*(E$9:E$28))</f>
        <v>0</v>
      </c>
      <c r="F35" s="330"/>
      <c r="G35" s="330"/>
      <c r="H35" s="330"/>
      <c r="I35" s="330"/>
      <c r="J35" s="330"/>
      <c r="K35" s="330"/>
      <c r="L35" s="330"/>
      <c r="M35" s="330"/>
      <c r="N35" s="330">
        <f t="shared" si="11"/>
        <v>0</v>
      </c>
      <c r="O35" s="330">
        <f t="shared" si="11"/>
        <v>0</v>
      </c>
      <c r="P35" s="330">
        <f t="shared" si="11"/>
        <v>0</v>
      </c>
      <c r="Q35" s="330">
        <f t="shared" si="11"/>
        <v>0</v>
      </c>
      <c r="R35" s="330">
        <f t="shared" si="11"/>
        <v>0</v>
      </c>
    </row>
    <row r="36" spans="1:18" ht="19.95" customHeight="1">
      <c r="B36" s="282" t="s">
        <v>250</v>
      </c>
      <c r="C36" s="168"/>
      <c r="D36" s="168"/>
      <c r="E36" s="168"/>
      <c r="F36" s="169"/>
      <c r="G36" s="168"/>
      <c r="H36" s="168"/>
      <c r="I36" s="168"/>
      <c r="J36" s="168"/>
      <c r="K36" s="169"/>
      <c r="L36" s="168"/>
      <c r="M36" s="168"/>
      <c r="N36" s="283" t="s">
        <v>491</v>
      </c>
      <c r="O36" s="168"/>
      <c r="P36" s="168"/>
      <c r="Q36" s="168"/>
      <c r="R36" s="168"/>
    </row>
    <row r="39" spans="1:18" s="156" customFormat="1" ht="19.95" customHeight="1">
      <c r="A39" s="392" t="s">
        <v>765</v>
      </c>
      <c r="F39" s="158"/>
      <c r="K39" s="158"/>
    </row>
    <row r="40" spans="1:18" s="156" customFormat="1" ht="19.95" customHeight="1">
      <c r="A40" s="284" t="s">
        <v>492</v>
      </c>
      <c r="F40" s="158"/>
      <c r="K40" s="158"/>
    </row>
    <row r="41" spans="1:18" s="156" customFormat="1" ht="19.95" customHeight="1">
      <c r="A41" s="156" t="s">
        <v>493</v>
      </c>
      <c r="F41" s="158"/>
      <c r="K41" s="158"/>
    </row>
    <row r="42" spans="1:18" s="156" customFormat="1" ht="19.95" customHeight="1">
      <c r="A42" s="156" t="s">
        <v>494</v>
      </c>
      <c r="F42" s="158"/>
      <c r="K42" s="158"/>
    </row>
    <row r="47" spans="1:18" ht="19.95" customHeight="1">
      <c r="A47" s="207"/>
    </row>
    <row r="48" spans="1:18" ht="19.95" customHeight="1">
      <c r="A48" s="207"/>
    </row>
    <row r="49" spans="1:1" ht="19.95" customHeight="1">
      <c r="A49" s="207"/>
    </row>
    <row r="50" spans="1:1" ht="19.95" customHeight="1">
      <c r="A50" s="207"/>
    </row>
    <row r="51" spans="1:1" ht="19.95" customHeight="1">
      <c r="A51" s="207"/>
    </row>
  </sheetData>
  <mergeCells count="8">
    <mergeCell ref="A1:R1"/>
    <mergeCell ref="A2:R2"/>
    <mergeCell ref="A35:C35"/>
    <mergeCell ref="A30:C30"/>
    <mergeCell ref="A31:C31"/>
    <mergeCell ref="A32:C32"/>
    <mergeCell ref="A33:C33"/>
    <mergeCell ref="A34:C34"/>
  </mergeCells>
  <phoneticPr fontId="11" type="noConversion"/>
  <hyperlinks>
    <hyperlink ref="R3" location="底稿目录!A1" display="H8A"/>
  </hyperlinks>
  <printOptions horizontalCentered="1"/>
  <pageMargins left="0.31496062992125984" right="0.23622047244094491" top="0.55118110236220474" bottom="0.43307086614173229" header="0.51181102362204722" footer="0.31496062992125984"/>
  <pageSetup paperSize="9" scale="70" orientation="landscape" blackAndWhite="1" r:id="rId1"/>
  <headerFooter alignWithMargins="0">
    <oddFooter>&amp;C&amp;N/&amp;N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AA49"/>
  <sheetViews>
    <sheetView showZeros="0" view="pageBreakPreview" zoomScaleSheetLayoutView="100" workbookViewId="0">
      <selection sqref="A1:X1"/>
    </sheetView>
  </sheetViews>
  <sheetFormatPr defaultColWidth="9" defaultRowHeight="19.95" customHeight="1"/>
  <cols>
    <col min="1" max="1" width="13" style="2" customWidth="1"/>
    <col min="2" max="2" width="14.19921875" style="2" customWidth="1"/>
    <col min="3" max="5" width="11.5" style="2" customWidth="1"/>
    <col min="6" max="6" width="9" style="2"/>
    <col min="7" max="7" width="8.09765625" style="2" customWidth="1"/>
    <col min="8" max="8" width="4.8984375" style="2" customWidth="1"/>
    <col min="9" max="9" width="6.3984375" style="2" bestFit="1" customWidth="1"/>
    <col min="10" max="10" width="8.8984375" style="2" customWidth="1"/>
    <col min="11" max="11" width="6.19921875" style="2" customWidth="1"/>
    <col min="12" max="12" width="8.19921875" style="2" customWidth="1"/>
    <col min="13" max="13" width="6.3984375" style="2" customWidth="1"/>
    <col min="14" max="14" width="11.19921875" style="2" customWidth="1"/>
    <col min="15" max="15" width="8.59765625" style="2" customWidth="1"/>
    <col min="16" max="16" width="7.8984375" style="2" customWidth="1"/>
    <col min="17" max="17" width="8.5" style="2" customWidth="1"/>
    <col min="18" max="18" width="8.8984375" style="2" bestFit="1" customWidth="1"/>
    <col min="19" max="20" width="8.8984375" style="2" customWidth="1"/>
    <col min="21" max="21" width="10.09765625" style="2" bestFit="1" customWidth="1"/>
    <col min="22" max="22" width="8.19921875" style="2" customWidth="1"/>
    <col min="23" max="23" width="10.09765625" style="2" bestFit="1" customWidth="1"/>
    <col min="24" max="24" width="9.5" style="2" bestFit="1" customWidth="1"/>
    <col min="25" max="16384" width="9" style="2"/>
  </cols>
  <sheetData>
    <row r="1" spans="1:27" s="5" customFormat="1" ht="19.95" customHeight="1">
      <c r="A1" s="754" t="s">
        <v>941</v>
      </c>
      <c r="B1" s="754"/>
      <c r="C1" s="754"/>
      <c r="D1" s="754"/>
      <c r="E1" s="754"/>
      <c r="F1" s="754"/>
      <c r="G1" s="754"/>
      <c r="H1" s="754"/>
      <c r="I1" s="754"/>
      <c r="J1" s="754"/>
      <c r="K1" s="754"/>
      <c r="L1" s="754"/>
      <c r="M1" s="754"/>
      <c r="N1" s="754"/>
      <c r="O1" s="754"/>
      <c r="P1" s="754"/>
      <c r="Q1" s="754"/>
      <c r="R1" s="754"/>
      <c r="S1" s="754"/>
      <c r="T1" s="754"/>
      <c r="U1" s="754"/>
      <c r="V1" s="754"/>
      <c r="W1" s="754"/>
      <c r="X1" s="754"/>
    </row>
    <row r="2" spans="1:27" s="312" customFormat="1" ht="19.95" customHeight="1">
      <c r="A2" s="755" t="s">
        <v>943</v>
      </c>
      <c r="B2" s="755"/>
      <c r="C2" s="755"/>
      <c r="D2" s="755"/>
      <c r="E2" s="755"/>
      <c r="F2" s="755"/>
      <c r="G2" s="755"/>
      <c r="H2" s="755"/>
      <c r="I2" s="755"/>
      <c r="J2" s="755"/>
      <c r="K2" s="755"/>
      <c r="L2" s="755"/>
      <c r="M2" s="755"/>
      <c r="N2" s="755"/>
      <c r="O2" s="755"/>
      <c r="P2" s="755"/>
      <c r="Q2" s="755"/>
      <c r="R2" s="755"/>
      <c r="S2" s="755"/>
      <c r="T2" s="755"/>
      <c r="U2" s="755"/>
      <c r="V2" s="755"/>
      <c r="W2" s="755"/>
      <c r="X2" s="755"/>
    </row>
    <row r="3" spans="1:27" ht="19.95" customHeight="1">
      <c r="A3" s="2" t="str">
        <f>底稿目录!A2</f>
        <v>被审计单位：</v>
      </c>
      <c r="B3" s="13"/>
      <c r="D3" s="6"/>
      <c r="E3" s="2" t="str">
        <f>底稿目录!A4</f>
        <v>编制人：</v>
      </c>
      <c r="Q3" s="2" t="str">
        <f>底稿目录!A6</f>
        <v>编制日期：</v>
      </c>
      <c r="R3" s="69"/>
      <c r="W3" s="357" t="s">
        <v>733</v>
      </c>
      <c r="X3" s="210" t="s">
        <v>86</v>
      </c>
    </row>
    <row r="4" spans="1:27" ht="19.95" customHeight="1">
      <c r="A4" s="2" t="str">
        <f>底稿目录!A3</f>
        <v>截止日：202X年12月31日</v>
      </c>
      <c r="B4" s="13"/>
      <c r="D4" s="6"/>
      <c r="E4" s="2" t="str">
        <f>底稿目录!A5</f>
        <v>复核人：</v>
      </c>
      <c r="Q4" s="2" t="str">
        <f>底稿目录!A7</f>
        <v>复核日期：</v>
      </c>
      <c r="R4" s="69"/>
      <c r="W4" s="357" t="s">
        <v>734</v>
      </c>
      <c r="X4" s="218"/>
    </row>
    <row r="5" spans="1:27" s="501" customFormat="1" ht="19.95" customHeight="1">
      <c r="A5" s="279" t="s">
        <v>485</v>
      </c>
      <c r="B5" s="510"/>
      <c r="C5" s="511"/>
      <c r="D5" s="511"/>
      <c r="E5" s="512"/>
      <c r="F5" s="513"/>
      <c r="G5" s="511"/>
      <c r="H5" s="511"/>
      <c r="I5" s="511"/>
      <c r="J5" s="511"/>
      <c r="K5" s="514"/>
      <c r="U5" s="503"/>
      <c r="V5" s="503"/>
      <c r="W5" s="503"/>
      <c r="X5" s="503"/>
      <c r="Y5" s="503"/>
      <c r="Z5" s="503"/>
      <c r="AA5" s="503"/>
    </row>
    <row r="6" spans="1:27" ht="19.95" customHeight="1">
      <c r="A6" s="44" t="s">
        <v>201</v>
      </c>
      <c r="B6" s="45"/>
      <c r="E6" s="6"/>
      <c r="I6" s="47"/>
      <c r="J6" s="4"/>
      <c r="U6" s="138"/>
      <c r="V6" s="138"/>
      <c r="W6" s="138"/>
      <c r="X6" s="138"/>
      <c r="Y6" s="138"/>
      <c r="Z6" s="138"/>
      <c r="AA6" s="138"/>
    </row>
    <row r="7" spans="1:27" s="30" customFormat="1" ht="19.95" customHeight="1">
      <c r="A7" s="466" t="s">
        <v>495</v>
      </c>
      <c r="B7" s="518">
        <v>45658</v>
      </c>
      <c r="C7" s="466" t="s">
        <v>47</v>
      </c>
      <c r="D7" s="518">
        <v>46022</v>
      </c>
      <c r="E7" s="467" t="s">
        <v>496</v>
      </c>
      <c r="F7" s="518">
        <v>42129</v>
      </c>
      <c r="G7" s="285" t="s">
        <v>497</v>
      </c>
      <c r="L7" s="25"/>
      <c r="M7" s="25"/>
      <c r="N7" s="25"/>
      <c r="O7" s="25"/>
      <c r="P7" s="25"/>
      <c r="U7" s="2"/>
      <c r="V7" s="2"/>
    </row>
    <row r="8" spans="1:27" s="470" customFormat="1" ht="48">
      <c r="A8" s="577" t="s">
        <v>830</v>
      </c>
      <c r="B8" s="468" t="s">
        <v>831</v>
      </c>
      <c r="C8" s="468" t="s">
        <v>11</v>
      </c>
      <c r="D8" s="469" t="s">
        <v>813</v>
      </c>
      <c r="E8" s="469" t="s">
        <v>814</v>
      </c>
      <c r="F8" s="469" t="s">
        <v>835</v>
      </c>
      <c r="G8" s="463" t="s">
        <v>832</v>
      </c>
      <c r="H8" s="463" t="s">
        <v>815</v>
      </c>
      <c r="I8" s="463" t="s">
        <v>816</v>
      </c>
      <c r="J8" s="463" t="s">
        <v>838</v>
      </c>
      <c r="K8" s="463" t="s">
        <v>833</v>
      </c>
      <c r="L8" s="463" t="s">
        <v>839</v>
      </c>
      <c r="M8" s="463" t="s">
        <v>817</v>
      </c>
      <c r="N8" s="463" t="s">
        <v>840</v>
      </c>
      <c r="O8" s="463" t="s">
        <v>841</v>
      </c>
      <c r="P8" s="463" t="s">
        <v>834</v>
      </c>
      <c r="Q8" s="463" t="s">
        <v>842</v>
      </c>
      <c r="R8" s="463" t="s">
        <v>843</v>
      </c>
      <c r="S8" s="463" t="s">
        <v>844</v>
      </c>
      <c r="T8" s="463" t="s">
        <v>845</v>
      </c>
      <c r="U8" s="463" t="s">
        <v>846</v>
      </c>
      <c r="V8" s="463" t="s">
        <v>836</v>
      </c>
      <c r="W8" s="463" t="s">
        <v>847</v>
      </c>
      <c r="X8" s="463" t="s">
        <v>837</v>
      </c>
    </row>
    <row r="9" spans="1:27" s="30" customFormat="1" ht="19.95" customHeight="1">
      <c r="A9" s="159">
        <f>'明细表H8-2'!A12</f>
        <v>0</v>
      </c>
      <c r="B9" s="159">
        <f>'明细表H8-2'!B12</f>
        <v>0</v>
      </c>
      <c r="C9" s="159">
        <f>'明细表H8-2'!C12</f>
        <v>0</v>
      </c>
      <c r="D9" s="160">
        <f>'明细表H8-2'!S12</f>
        <v>0</v>
      </c>
      <c r="E9" s="160">
        <f>'明细表H8-2'!AJ12</f>
        <v>0</v>
      </c>
      <c r="F9" s="160">
        <f>'明细表H8-2'!BA12</f>
        <v>0</v>
      </c>
      <c r="G9" s="27"/>
      <c r="H9" s="28"/>
      <c r="I9" s="29"/>
      <c r="J9" s="26"/>
      <c r="K9" s="161">
        <f t="shared" ref="K9:K28" si="0">IF(H9=0,0,IF(RIGHT(H9,1)&lt;&gt;"年",H9*12,IF(LEN(H9)=3,VALUE(LEFT(H9,2))*12,IF(LEN(H9)=2,VALUE(LEFT(H9,1))*12,"??"))))</f>
        <v>0</v>
      </c>
      <c r="L9" s="162">
        <f t="shared" ref="L9:L21" si="1">IF(DAY(G9)=1,IF(G9=0,0,DATE(YEAR(G9),MONTH(G9)+K9,DAY(G9))),IF(G9=0,0,DATE(YEAR(G9),MONTH(G9)+K9,DAY(G9)-1)))</f>
        <v>0</v>
      </c>
      <c r="M9" s="164">
        <f t="shared" ref="M9:M28" si="2">MIN(IF(AND(DAY(G9)=31,DAY($D$7)=30),IF(G9=0,0,IF(L9&gt;$D$7,VALUE(DATEDIF(G9,MIN($D$7,L9),"m"))+1,VALUE(DATEDIF(G9,MIN($D$7,L9),"m")+2))),IF(G9=0,0,IF(L9&gt;$D$7,DATEDIF(G9,MIN($D$7,L9),"m"),VALUE(DATEDIF(G9,MIN($D$7,L9),"m")+1)))),K9)</f>
        <v>0</v>
      </c>
      <c r="N9" s="164">
        <f t="shared" ref="N9:N28" si="3">IF(AND(DAY(G9)=31,DAY($F$7)=30),MIN(IF(G9=0,0,IF($F$7&gt;G9,VALUE(DATEDIF(G9,$F$7,"m"))+1,0)),M9+1),MIN(IF(G9=0,0,IF($F$7&gt;G9,DATEDIF(G9,$F$7,"m"),0)),M9))</f>
        <v>0</v>
      </c>
      <c r="O9" s="164">
        <f t="shared" ref="O9:O28" si="4">IF(OR(G9=0,L9&lt;$B$7),0,IF(AND(G9&lt;$B$7,L9&gt;$D$7),VALUE(DATEDIF($B$7,$D$7,"m")+1),IF(AND(G9&lt;$B$7,L9&lt;=$D$7),VALUE(DATEDIF($B$7,L9,"m")+1),IF(AND(G9&gt;=$B$7,L9&gt;$D$7),VALUE(DATEDIF(G9,$D$7,"m")),IF(AND(G9&gt;=$B$7,L9&lt;=$D$7),VALUE(DATEDIF(G9,L9,"m")+1),)))))</f>
        <v>0</v>
      </c>
      <c r="P9" s="164">
        <f t="shared" ref="P9:P28" si="5">IF(AND(YEAR(G9)=YEAR($D$7),DAY(G9)=31,DAY($D$7)=30),IF(G9&gt;$F$7,0,O9-Q9+1),IF(G9&gt;$F$7,0,O9-Q9))</f>
        <v>0</v>
      </c>
      <c r="Q9" s="164">
        <f t="shared" ref="Q9:Q28" si="6">IF(AND(DAY($F$7)=31,DAY($D$7)=30),IF(G9=0,0,IF($F$7&lt;$B$7,O9,VALUE(DATEDIF(MAX(G9,$F$7),MIN(L9,$D$7),"m")))+1),IF(G9=0,0,IF($F$7&lt;$B$7,O9,DATEDIF(MAX(G9,$F$7),MIN(L9,$D$7),"m"))))</f>
        <v>0</v>
      </c>
      <c r="R9" s="164">
        <f t="shared" ref="R9" si="7">IF(K9=0,0,ROUND(((1-I9)/K9)*D9,4))</f>
        <v>0</v>
      </c>
      <c r="S9" s="164">
        <f t="shared" ref="S9" si="8">ROUND(R9*N9,2)</f>
        <v>0</v>
      </c>
      <c r="T9" s="164">
        <f t="shared" ref="T9" si="9">IF((D9*(1-I9)-S9-F9)&gt;0,(D9*(1-I9)-S9-F9)/(K9-N9),0)</f>
        <v>0</v>
      </c>
      <c r="U9" s="164">
        <f t="shared" ref="U9" si="10">ROUND(R9*P9,2)+ROUND(T9*Q9,2)</f>
        <v>0</v>
      </c>
      <c r="V9" s="164">
        <f t="shared" ref="V9" si="11">ROUND(J9-T9,2)</f>
        <v>0</v>
      </c>
      <c r="W9" s="164">
        <f t="shared" ref="W9" si="12">ROUND(R9*N9,2)+ROUND(T9*(M9-N9),2)</f>
        <v>0</v>
      </c>
      <c r="X9" s="164">
        <f t="shared" ref="X9" si="13">ROUND(E9-W9,2)</f>
        <v>0</v>
      </c>
    </row>
    <row r="10" spans="1:27" s="30" customFormat="1" ht="19.95" customHeight="1">
      <c r="A10" s="159">
        <f>'明细表H8-2'!A13</f>
        <v>0</v>
      </c>
      <c r="B10" s="159">
        <f>'明细表H8-2'!B13</f>
        <v>0</v>
      </c>
      <c r="C10" s="159">
        <f>'明细表H8-2'!C13</f>
        <v>0</v>
      </c>
      <c r="D10" s="160">
        <f>'明细表H8-2'!S13</f>
        <v>0</v>
      </c>
      <c r="E10" s="160">
        <f>'明细表H8-2'!AJ13</f>
        <v>0</v>
      </c>
      <c r="F10" s="160">
        <f>'明细表H8-2'!BA13</f>
        <v>0</v>
      </c>
      <c r="G10" s="27"/>
      <c r="H10" s="28"/>
      <c r="I10" s="29"/>
      <c r="J10" s="26"/>
      <c r="K10" s="161">
        <f t="shared" si="0"/>
        <v>0</v>
      </c>
      <c r="L10" s="162">
        <f t="shared" si="1"/>
        <v>0</v>
      </c>
      <c r="M10" s="164">
        <f t="shared" si="2"/>
        <v>0</v>
      </c>
      <c r="N10" s="164">
        <f t="shared" si="3"/>
        <v>0</v>
      </c>
      <c r="O10" s="164">
        <f t="shared" si="4"/>
        <v>0</v>
      </c>
      <c r="P10" s="164">
        <f t="shared" si="5"/>
        <v>0</v>
      </c>
      <c r="Q10" s="164">
        <f t="shared" si="6"/>
        <v>0</v>
      </c>
      <c r="R10" s="164">
        <f t="shared" ref="R10:R28" si="14">IF(K10=0,0,ROUND(((1-I10)/K10)*D10,4))</f>
        <v>0</v>
      </c>
      <c r="S10" s="164">
        <f t="shared" ref="S10:S28" si="15">ROUND(R10*N10,2)</f>
        <v>0</v>
      </c>
      <c r="T10" s="164">
        <f t="shared" ref="T10:T28" si="16">IF((D10*(1-I10)-S10-F10)&gt;0,(D10*(1-I10)-S10-F10)/(K10-N10),0)</f>
        <v>0</v>
      </c>
      <c r="U10" s="164">
        <f t="shared" ref="U10:U27" si="17">ROUND(R10*P10,2)+ROUND(T10*Q10,2)</f>
        <v>0</v>
      </c>
      <c r="V10" s="164">
        <f t="shared" ref="V10:V27" si="18">ROUND(J10-T10,2)</f>
        <v>0</v>
      </c>
      <c r="W10" s="164">
        <f t="shared" ref="W10:W27" si="19">ROUND(R10*N10,2)+ROUND(T10*(M10-N10),2)</f>
        <v>0</v>
      </c>
      <c r="X10" s="164">
        <f t="shared" ref="X10:X27" si="20">ROUND(E10-W10,2)</f>
        <v>0</v>
      </c>
    </row>
    <row r="11" spans="1:27" ht="19.95" customHeight="1">
      <c r="A11" s="159">
        <f>'明细表H8-2'!A14</f>
        <v>0</v>
      </c>
      <c r="B11" s="159">
        <f>'明细表H8-2'!B14</f>
        <v>0</v>
      </c>
      <c r="C11" s="159">
        <f>'明细表H8-2'!C14</f>
        <v>0</v>
      </c>
      <c r="D11" s="160">
        <f>'明细表H8-2'!S14</f>
        <v>0</v>
      </c>
      <c r="E11" s="160">
        <f>'明细表H8-2'!AJ14</f>
        <v>0</v>
      </c>
      <c r="F11" s="160">
        <f>'明细表H8-2'!BA14</f>
        <v>0</v>
      </c>
      <c r="G11" s="27"/>
      <c r="H11" s="28"/>
      <c r="I11" s="29"/>
      <c r="J11" s="26"/>
      <c r="K11" s="161">
        <f t="shared" si="0"/>
        <v>0</v>
      </c>
      <c r="L11" s="162">
        <f t="shared" si="1"/>
        <v>0</v>
      </c>
      <c r="M11" s="164">
        <f t="shared" si="2"/>
        <v>0</v>
      </c>
      <c r="N11" s="164">
        <f t="shared" si="3"/>
        <v>0</v>
      </c>
      <c r="O11" s="164">
        <f t="shared" si="4"/>
        <v>0</v>
      </c>
      <c r="P11" s="164">
        <f t="shared" si="5"/>
        <v>0</v>
      </c>
      <c r="Q11" s="164">
        <f t="shared" si="6"/>
        <v>0</v>
      </c>
      <c r="R11" s="164">
        <f t="shared" si="14"/>
        <v>0</v>
      </c>
      <c r="S11" s="164">
        <f t="shared" si="15"/>
        <v>0</v>
      </c>
      <c r="T11" s="164">
        <f t="shared" si="16"/>
        <v>0</v>
      </c>
      <c r="U11" s="164">
        <f t="shared" si="17"/>
        <v>0</v>
      </c>
      <c r="V11" s="164">
        <f t="shared" si="18"/>
        <v>0</v>
      </c>
      <c r="W11" s="164">
        <f t="shared" si="19"/>
        <v>0</v>
      </c>
      <c r="X11" s="164">
        <f t="shared" si="20"/>
        <v>0</v>
      </c>
    </row>
    <row r="12" spans="1:27" ht="19.95" customHeight="1">
      <c r="A12" s="159">
        <f>'明细表H8-2'!A15</f>
        <v>0</v>
      </c>
      <c r="B12" s="159">
        <f>'明细表H8-2'!B15</f>
        <v>0</v>
      </c>
      <c r="C12" s="159">
        <f>'明细表H8-2'!C15</f>
        <v>0</v>
      </c>
      <c r="D12" s="160">
        <f>'明细表H8-2'!S15</f>
        <v>0</v>
      </c>
      <c r="E12" s="160">
        <f>'明细表H8-2'!AJ15</f>
        <v>0</v>
      </c>
      <c r="F12" s="160">
        <f>'明细表H8-2'!BA15</f>
        <v>0</v>
      </c>
      <c r="G12" s="27"/>
      <c r="H12" s="28"/>
      <c r="I12" s="29"/>
      <c r="J12" s="26"/>
      <c r="K12" s="161">
        <f t="shared" si="0"/>
        <v>0</v>
      </c>
      <c r="L12" s="162">
        <f t="shared" si="1"/>
        <v>0</v>
      </c>
      <c r="M12" s="164">
        <f t="shared" si="2"/>
        <v>0</v>
      </c>
      <c r="N12" s="164">
        <f t="shared" si="3"/>
        <v>0</v>
      </c>
      <c r="O12" s="164">
        <f t="shared" si="4"/>
        <v>0</v>
      </c>
      <c r="P12" s="164">
        <f t="shared" si="5"/>
        <v>0</v>
      </c>
      <c r="Q12" s="164">
        <f t="shared" si="6"/>
        <v>0</v>
      </c>
      <c r="R12" s="164">
        <f t="shared" si="14"/>
        <v>0</v>
      </c>
      <c r="S12" s="164">
        <f t="shared" si="15"/>
        <v>0</v>
      </c>
      <c r="T12" s="164">
        <f t="shared" si="16"/>
        <v>0</v>
      </c>
      <c r="U12" s="164">
        <f t="shared" si="17"/>
        <v>0</v>
      </c>
      <c r="V12" s="164">
        <f t="shared" si="18"/>
        <v>0</v>
      </c>
      <c r="W12" s="164">
        <f t="shared" si="19"/>
        <v>0</v>
      </c>
      <c r="X12" s="164">
        <f t="shared" si="20"/>
        <v>0</v>
      </c>
    </row>
    <row r="13" spans="1:27" ht="19.95" customHeight="1">
      <c r="A13" s="159">
        <f>'明细表H8-2'!A16</f>
        <v>0</v>
      </c>
      <c r="B13" s="159">
        <f>'明细表H8-2'!B16</f>
        <v>0</v>
      </c>
      <c r="C13" s="159">
        <f>'明细表H8-2'!C16</f>
        <v>0</v>
      </c>
      <c r="D13" s="160">
        <f>'明细表H8-2'!S16</f>
        <v>0</v>
      </c>
      <c r="E13" s="160">
        <f>'明细表H8-2'!AJ16</f>
        <v>0</v>
      </c>
      <c r="F13" s="160">
        <f>'明细表H8-2'!BA16</f>
        <v>0</v>
      </c>
      <c r="G13" s="27"/>
      <c r="H13" s="28"/>
      <c r="I13" s="29"/>
      <c r="J13" s="26"/>
      <c r="K13" s="161">
        <f t="shared" si="0"/>
        <v>0</v>
      </c>
      <c r="L13" s="162">
        <f t="shared" si="1"/>
        <v>0</v>
      </c>
      <c r="M13" s="164">
        <f t="shared" si="2"/>
        <v>0</v>
      </c>
      <c r="N13" s="164">
        <f t="shared" si="3"/>
        <v>0</v>
      </c>
      <c r="O13" s="164">
        <f t="shared" si="4"/>
        <v>0</v>
      </c>
      <c r="P13" s="164">
        <f t="shared" si="5"/>
        <v>0</v>
      </c>
      <c r="Q13" s="164">
        <f t="shared" si="6"/>
        <v>0</v>
      </c>
      <c r="R13" s="164">
        <f t="shared" si="14"/>
        <v>0</v>
      </c>
      <c r="S13" s="164">
        <f t="shared" si="15"/>
        <v>0</v>
      </c>
      <c r="T13" s="164">
        <f t="shared" si="16"/>
        <v>0</v>
      </c>
      <c r="U13" s="164">
        <f t="shared" si="17"/>
        <v>0</v>
      </c>
      <c r="V13" s="164">
        <f t="shared" si="18"/>
        <v>0</v>
      </c>
      <c r="W13" s="164">
        <f t="shared" si="19"/>
        <v>0</v>
      </c>
      <c r="X13" s="164">
        <f t="shared" si="20"/>
        <v>0</v>
      </c>
    </row>
    <row r="14" spans="1:27" ht="19.95" customHeight="1">
      <c r="A14" s="159">
        <f>'明细表H8-2'!A17</f>
        <v>0</v>
      </c>
      <c r="B14" s="159">
        <f>'明细表H8-2'!B17</f>
        <v>0</v>
      </c>
      <c r="C14" s="159">
        <f>'明细表H8-2'!C17</f>
        <v>0</v>
      </c>
      <c r="D14" s="160">
        <f>'明细表H8-2'!S17</f>
        <v>0</v>
      </c>
      <c r="E14" s="160">
        <f>'明细表H8-2'!AJ17</f>
        <v>0</v>
      </c>
      <c r="F14" s="160">
        <f>'明细表H8-2'!BA17</f>
        <v>0</v>
      </c>
      <c r="G14" s="27"/>
      <c r="H14" s="28"/>
      <c r="I14" s="29"/>
      <c r="J14" s="26"/>
      <c r="K14" s="161">
        <f t="shared" si="0"/>
        <v>0</v>
      </c>
      <c r="L14" s="162">
        <f t="shared" si="1"/>
        <v>0</v>
      </c>
      <c r="M14" s="164">
        <f t="shared" si="2"/>
        <v>0</v>
      </c>
      <c r="N14" s="164">
        <f t="shared" si="3"/>
        <v>0</v>
      </c>
      <c r="O14" s="164">
        <f t="shared" si="4"/>
        <v>0</v>
      </c>
      <c r="P14" s="164">
        <f t="shared" si="5"/>
        <v>0</v>
      </c>
      <c r="Q14" s="164">
        <f t="shared" si="6"/>
        <v>0</v>
      </c>
      <c r="R14" s="164">
        <f t="shared" si="14"/>
        <v>0</v>
      </c>
      <c r="S14" s="164">
        <f t="shared" si="15"/>
        <v>0</v>
      </c>
      <c r="T14" s="164">
        <f t="shared" si="16"/>
        <v>0</v>
      </c>
      <c r="U14" s="164">
        <f t="shared" si="17"/>
        <v>0</v>
      </c>
      <c r="V14" s="164">
        <f t="shared" si="18"/>
        <v>0</v>
      </c>
      <c r="W14" s="164">
        <f t="shared" si="19"/>
        <v>0</v>
      </c>
      <c r="X14" s="164">
        <f t="shared" si="20"/>
        <v>0</v>
      </c>
    </row>
    <row r="15" spans="1:27" ht="19.95" customHeight="1">
      <c r="A15" s="159">
        <f>'明细表H8-2'!A18</f>
        <v>0</v>
      </c>
      <c r="B15" s="159">
        <f>'明细表H8-2'!B18</f>
        <v>0</v>
      </c>
      <c r="C15" s="159">
        <f>'明细表H8-2'!C18</f>
        <v>0</v>
      </c>
      <c r="D15" s="160">
        <f>'明细表H8-2'!S18</f>
        <v>0</v>
      </c>
      <c r="E15" s="160">
        <f>'明细表H8-2'!AJ18</f>
        <v>0</v>
      </c>
      <c r="F15" s="160">
        <f>'明细表H8-2'!BA18</f>
        <v>0</v>
      </c>
      <c r="G15" s="27"/>
      <c r="H15" s="28"/>
      <c r="I15" s="29"/>
      <c r="J15" s="26"/>
      <c r="K15" s="161">
        <f>IF(H15=0,0,IF(RIGHT(H15,1)&lt;&gt;"年",H15*12,IF(LEN(H15)=3,VALUE(LEFT(H15,2))*12,IF(LEN(H15)=2,VALUE(LEFT(H15,1))*12,"??"))))</f>
        <v>0</v>
      </c>
      <c r="L15" s="162">
        <f t="shared" si="1"/>
        <v>0</v>
      </c>
      <c r="M15" s="164">
        <f t="shared" si="2"/>
        <v>0</v>
      </c>
      <c r="N15" s="164">
        <f t="shared" si="3"/>
        <v>0</v>
      </c>
      <c r="O15" s="164">
        <f t="shared" si="4"/>
        <v>0</v>
      </c>
      <c r="P15" s="164">
        <f t="shared" si="5"/>
        <v>0</v>
      </c>
      <c r="Q15" s="164">
        <f t="shared" si="6"/>
        <v>0</v>
      </c>
      <c r="R15" s="164">
        <f t="shared" si="14"/>
        <v>0</v>
      </c>
      <c r="S15" s="164">
        <f t="shared" si="15"/>
        <v>0</v>
      </c>
      <c r="T15" s="164">
        <f t="shared" si="16"/>
        <v>0</v>
      </c>
      <c r="U15" s="164">
        <f t="shared" si="17"/>
        <v>0</v>
      </c>
      <c r="V15" s="164">
        <f t="shared" si="18"/>
        <v>0</v>
      </c>
      <c r="W15" s="164">
        <f t="shared" si="19"/>
        <v>0</v>
      </c>
      <c r="X15" s="164">
        <f t="shared" si="20"/>
        <v>0</v>
      </c>
    </row>
    <row r="16" spans="1:27" ht="19.95" customHeight="1">
      <c r="A16" s="159">
        <f>'明细表H8-2'!A19</f>
        <v>0</v>
      </c>
      <c r="B16" s="159">
        <f>'明细表H8-2'!B19</f>
        <v>0</v>
      </c>
      <c r="C16" s="159">
        <f>'明细表H8-2'!C19</f>
        <v>0</v>
      </c>
      <c r="D16" s="160">
        <f>'明细表H8-2'!S19</f>
        <v>0</v>
      </c>
      <c r="E16" s="160">
        <f>'明细表H8-2'!AJ19</f>
        <v>0</v>
      </c>
      <c r="F16" s="160">
        <f>'明细表H8-2'!BA19</f>
        <v>0</v>
      </c>
      <c r="G16" s="27"/>
      <c r="H16" s="28"/>
      <c r="I16" s="29"/>
      <c r="J16" s="26"/>
      <c r="K16" s="161">
        <f t="shared" si="0"/>
        <v>0</v>
      </c>
      <c r="L16" s="162">
        <f t="shared" si="1"/>
        <v>0</v>
      </c>
      <c r="M16" s="164">
        <f t="shared" si="2"/>
        <v>0</v>
      </c>
      <c r="N16" s="164">
        <f t="shared" si="3"/>
        <v>0</v>
      </c>
      <c r="O16" s="164">
        <f t="shared" si="4"/>
        <v>0</v>
      </c>
      <c r="P16" s="164">
        <f t="shared" si="5"/>
        <v>0</v>
      </c>
      <c r="Q16" s="164">
        <f t="shared" si="6"/>
        <v>0</v>
      </c>
      <c r="R16" s="164">
        <f t="shared" si="14"/>
        <v>0</v>
      </c>
      <c r="S16" s="164">
        <f t="shared" si="15"/>
        <v>0</v>
      </c>
      <c r="T16" s="164">
        <f t="shared" si="16"/>
        <v>0</v>
      </c>
      <c r="U16" s="164">
        <f t="shared" si="17"/>
        <v>0</v>
      </c>
      <c r="V16" s="164">
        <f t="shared" si="18"/>
        <v>0</v>
      </c>
      <c r="W16" s="164">
        <f t="shared" si="19"/>
        <v>0</v>
      </c>
      <c r="X16" s="164">
        <f t="shared" si="20"/>
        <v>0</v>
      </c>
    </row>
    <row r="17" spans="1:24" ht="19.95" customHeight="1">
      <c r="A17" s="159">
        <f>'明细表H8-2'!A20</f>
        <v>0</v>
      </c>
      <c r="B17" s="159">
        <f>'明细表H8-2'!B20</f>
        <v>0</v>
      </c>
      <c r="C17" s="159">
        <f>'明细表H8-2'!C20</f>
        <v>0</v>
      </c>
      <c r="D17" s="160">
        <f>'明细表H8-2'!S20</f>
        <v>0</v>
      </c>
      <c r="E17" s="160">
        <f>'明细表H8-2'!AJ20</f>
        <v>0</v>
      </c>
      <c r="F17" s="160">
        <f>'明细表H8-2'!BA20</f>
        <v>0</v>
      </c>
      <c r="G17" s="27"/>
      <c r="H17" s="28"/>
      <c r="I17" s="29"/>
      <c r="J17" s="26"/>
      <c r="K17" s="161">
        <f t="shared" si="0"/>
        <v>0</v>
      </c>
      <c r="L17" s="162">
        <f t="shared" si="1"/>
        <v>0</v>
      </c>
      <c r="M17" s="164">
        <f t="shared" si="2"/>
        <v>0</v>
      </c>
      <c r="N17" s="164">
        <f t="shared" si="3"/>
        <v>0</v>
      </c>
      <c r="O17" s="164">
        <f t="shared" si="4"/>
        <v>0</v>
      </c>
      <c r="P17" s="164">
        <f t="shared" si="5"/>
        <v>0</v>
      </c>
      <c r="Q17" s="164">
        <f t="shared" si="6"/>
        <v>0</v>
      </c>
      <c r="R17" s="164">
        <f t="shared" si="14"/>
        <v>0</v>
      </c>
      <c r="S17" s="164">
        <f t="shared" si="15"/>
        <v>0</v>
      </c>
      <c r="T17" s="164">
        <f t="shared" si="16"/>
        <v>0</v>
      </c>
      <c r="U17" s="164">
        <f t="shared" si="17"/>
        <v>0</v>
      </c>
      <c r="V17" s="164">
        <f t="shared" si="18"/>
        <v>0</v>
      </c>
      <c r="W17" s="164">
        <f t="shared" si="19"/>
        <v>0</v>
      </c>
      <c r="X17" s="164">
        <f t="shared" si="20"/>
        <v>0</v>
      </c>
    </row>
    <row r="18" spans="1:24" ht="19.95" customHeight="1">
      <c r="A18" s="159">
        <f>'明细表H8-2'!A21</f>
        <v>0</v>
      </c>
      <c r="B18" s="159">
        <f>'明细表H8-2'!B21</f>
        <v>0</v>
      </c>
      <c r="C18" s="159">
        <f>'明细表H8-2'!C21</f>
        <v>0</v>
      </c>
      <c r="D18" s="160">
        <f>'明细表H8-2'!S21</f>
        <v>0</v>
      </c>
      <c r="E18" s="160">
        <f>'明细表H8-2'!AJ21</f>
        <v>0</v>
      </c>
      <c r="F18" s="160">
        <f>'明细表H8-2'!BA21</f>
        <v>0</v>
      </c>
      <c r="G18" s="27"/>
      <c r="H18" s="28"/>
      <c r="I18" s="29"/>
      <c r="J18" s="26"/>
      <c r="K18" s="161">
        <f t="shared" si="0"/>
        <v>0</v>
      </c>
      <c r="L18" s="162">
        <f t="shared" si="1"/>
        <v>0</v>
      </c>
      <c r="M18" s="164">
        <f t="shared" si="2"/>
        <v>0</v>
      </c>
      <c r="N18" s="164">
        <f t="shared" si="3"/>
        <v>0</v>
      </c>
      <c r="O18" s="164">
        <f t="shared" si="4"/>
        <v>0</v>
      </c>
      <c r="P18" s="164">
        <f t="shared" si="5"/>
        <v>0</v>
      </c>
      <c r="Q18" s="164">
        <f t="shared" si="6"/>
        <v>0</v>
      </c>
      <c r="R18" s="164">
        <f t="shared" si="14"/>
        <v>0</v>
      </c>
      <c r="S18" s="164">
        <f t="shared" si="15"/>
        <v>0</v>
      </c>
      <c r="T18" s="164">
        <f t="shared" si="16"/>
        <v>0</v>
      </c>
      <c r="U18" s="164">
        <f t="shared" si="17"/>
        <v>0</v>
      </c>
      <c r="V18" s="164">
        <f t="shared" si="18"/>
        <v>0</v>
      </c>
      <c r="W18" s="164">
        <f t="shared" si="19"/>
        <v>0</v>
      </c>
      <c r="X18" s="164">
        <f t="shared" si="20"/>
        <v>0</v>
      </c>
    </row>
    <row r="19" spans="1:24" ht="19.95" customHeight="1">
      <c r="A19" s="159">
        <f>'明细表H8-2'!A22</f>
        <v>0</v>
      </c>
      <c r="B19" s="159">
        <f>'明细表H8-2'!B22</f>
        <v>0</v>
      </c>
      <c r="C19" s="159">
        <f>'明细表H8-2'!C22</f>
        <v>0</v>
      </c>
      <c r="D19" s="160">
        <f>'明细表H8-2'!S22</f>
        <v>0</v>
      </c>
      <c r="E19" s="160">
        <f>'明细表H8-2'!AJ22</f>
        <v>0</v>
      </c>
      <c r="F19" s="160">
        <f>'明细表H8-2'!BA22</f>
        <v>0</v>
      </c>
      <c r="G19" s="27"/>
      <c r="H19" s="28"/>
      <c r="I19" s="29"/>
      <c r="J19" s="26"/>
      <c r="K19" s="161">
        <f t="shared" si="0"/>
        <v>0</v>
      </c>
      <c r="L19" s="162">
        <f t="shared" si="1"/>
        <v>0</v>
      </c>
      <c r="M19" s="164">
        <f t="shared" si="2"/>
        <v>0</v>
      </c>
      <c r="N19" s="164">
        <f t="shared" si="3"/>
        <v>0</v>
      </c>
      <c r="O19" s="164">
        <f t="shared" si="4"/>
        <v>0</v>
      </c>
      <c r="P19" s="164">
        <f t="shared" si="5"/>
        <v>0</v>
      </c>
      <c r="Q19" s="164">
        <f t="shared" si="6"/>
        <v>0</v>
      </c>
      <c r="R19" s="164">
        <f t="shared" si="14"/>
        <v>0</v>
      </c>
      <c r="S19" s="164">
        <f t="shared" si="15"/>
        <v>0</v>
      </c>
      <c r="T19" s="164">
        <f t="shared" si="16"/>
        <v>0</v>
      </c>
      <c r="U19" s="164">
        <f t="shared" si="17"/>
        <v>0</v>
      </c>
      <c r="V19" s="164">
        <f t="shared" si="18"/>
        <v>0</v>
      </c>
      <c r="W19" s="164">
        <f t="shared" si="19"/>
        <v>0</v>
      </c>
      <c r="X19" s="164">
        <f t="shared" si="20"/>
        <v>0</v>
      </c>
    </row>
    <row r="20" spans="1:24" ht="19.95" customHeight="1">
      <c r="A20" s="159">
        <f>'明细表H8-2'!A23</f>
        <v>0</v>
      </c>
      <c r="B20" s="159">
        <f>'明细表H8-2'!B23</f>
        <v>0</v>
      </c>
      <c r="C20" s="159">
        <f>'明细表H8-2'!C23</f>
        <v>0</v>
      </c>
      <c r="D20" s="160">
        <f>'明细表H8-2'!S23</f>
        <v>0</v>
      </c>
      <c r="E20" s="160">
        <f>'明细表H8-2'!AJ23</f>
        <v>0</v>
      </c>
      <c r="F20" s="160">
        <f>'明细表H8-2'!BA23</f>
        <v>0</v>
      </c>
      <c r="G20" s="27"/>
      <c r="H20" s="28"/>
      <c r="I20" s="29"/>
      <c r="J20" s="26"/>
      <c r="K20" s="161">
        <f t="shared" si="0"/>
        <v>0</v>
      </c>
      <c r="L20" s="162">
        <f t="shared" si="1"/>
        <v>0</v>
      </c>
      <c r="M20" s="164">
        <f t="shared" si="2"/>
        <v>0</v>
      </c>
      <c r="N20" s="164">
        <f t="shared" si="3"/>
        <v>0</v>
      </c>
      <c r="O20" s="164">
        <f t="shared" si="4"/>
        <v>0</v>
      </c>
      <c r="P20" s="164">
        <f t="shared" si="5"/>
        <v>0</v>
      </c>
      <c r="Q20" s="164">
        <f t="shared" si="6"/>
        <v>0</v>
      </c>
      <c r="R20" s="164">
        <f t="shared" si="14"/>
        <v>0</v>
      </c>
      <c r="S20" s="164">
        <f t="shared" si="15"/>
        <v>0</v>
      </c>
      <c r="T20" s="164">
        <f t="shared" si="16"/>
        <v>0</v>
      </c>
      <c r="U20" s="164">
        <f t="shared" si="17"/>
        <v>0</v>
      </c>
      <c r="V20" s="164">
        <f t="shared" si="18"/>
        <v>0</v>
      </c>
      <c r="W20" s="164">
        <f t="shared" si="19"/>
        <v>0</v>
      </c>
      <c r="X20" s="164">
        <f t="shared" si="20"/>
        <v>0</v>
      </c>
    </row>
    <row r="21" spans="1:24" ht="19.95" customHeight="1">
      <c r="A21" s="159">
        <f>'明细表H8-2'!A24</f>
        <v>0</v>
      </c>
      <c r="B21" s="159">
        <f>'明细表H8-2'!B24</f>
        <v>0</v>
      </c>
      <c r="C21" s="159">
        <f>'明细表H8-2'!C24</f>
        <v>0</v>
      </c>
      <c r="D21" s="160">
        <f>'明细表H8-2'!S24</f>
        <v>0</v>
      </c>
      <c r="E21" s="160">
        <f>'明细表H8-2'!AJ24</f>
        <v>0</v>
      </c>
      <c r="F21" s="160">
        <f>'明细表H8-2'!BA24</f>
        <v>0</v>
      </c>
      <c r="G21" s="27"/>
      <c r="H21" s="28"/>
      <c r="I21" s="29"/>
      <c r="J21" s="26"/>
      <c r="K21" s="161">
        <f t="shared" si="0"/>
        <v>0</v>
      </c>
      <c r="L21" s="162">
        <f t="shared" si="1"/>
        <v>0</v>
      </c>
      <c r="M21" s="164">
        <f t="shared" si="2"/>
        <v>0</v>
      </c>
      <c r="N21" s="164">
        <f t="shared" si="3"/>
        <v>0</v>
      </c>
      <c r="O21" s="164">
        <f t="shared" si="4"/>
        <v>0</v>
      </c>
      <c r="P21" s="164">
        <f t="shared" si="5"/>
        <v>0</v>
      </c>
      <c r="Q21" s="164">
        <f t="shared" si="6"/>
        <v>0</v>
      </c>
      <c r="R21" s="164">
        <f t="shared" si="14"/>
        <v>0</v>
      </c>
      <c r="S21" s="164">
        <f t="shared" si="15"/>
        <v>0</v>
      </c>
      <c r="T21" s="164">
        <f t="shared" si="16"/>
        <v>0</v>
      </c>
      <c r="U21" s="164">
        <f t="shared" si="17"/>
        <v>0</v>
      </c>
      <c r="V21" s="164">
        <f t="shared" si="18"/>
        <v>0</v>
      </c>
      <c r="W21" s="164">
        <f t="shared" si="19"/>
        <v>0</v>
      </c>
      <c r="X21" s="164">
        <f t="shared" si="20"/>
        <v>0</v>
      </c>
    </row>
    <row r="22" spans="1:24" ht="19.95" customHeight="1">
      <c r="A22" s="159">
        <f>'明细表H8-2'!A25</f>
        <v>0</v>
      </c>
      <c r="B22" s="159">
        <f>'明细表H8-2'!B25</f>
        <v>0</v>
      </c>
      <c r="C22" s="159">
        <f>'明细表H8-2'!C25</f>
        <v>0</v>
      </c>
      <c r="D22" s="160">
        <f>'明细表H8-2'!S25</f>
        <v>0</v>
      </c>
      <c r="E22" s="160">
        <f>'明细表H8-2'!AJ25</f>
        <v>0</v>
      </c>
      <c r="F22" s="160">
        <f>'明细表H8-2'!BA25</f>
        <v>0</v>
      </c>
      <c r="G22" s="27"/>
      <c r="H22" s="28"/>
      <c r="I22" s="29"/>
      <c r="J22" s="26"/>
      <c r="K22" s="161">
        <f t="shared" si="0"/>
        <v>0</v>
      </c>
      <c r="L22" s="162">
        <f>IF(DAY(G22)=1,IF(G22=0,0,DATE(YEAR(G22),MONTH(G22)+K22,DAY(G22))),IF(G22=0,0,DATE(YEAR(G22),MONTH(G22)+K22,DAY(G22)-1)))</f>
        <v>0</v>
      </c>
      <c r="M22" s="164">
        <f t="shared" si="2"/>
        <v>0</v>
      </c>
      <c r="N22" s="164">
        <f t="shared" si="3"/>
        <v>0</v>
      </c>
      <c r="O22" s="164">
        <f t="shared" si="4"/>
        <v>0</v>
      </c>
      <c r="P22" s="164">
        <f t="shared" si="5"/>
        <v>0</v>
      </c>
      <c r="Q22" s="164">
        <f t="shared" si="6"/>
        <v>0</v>
      </c>
      <c r="R22" s="164">
        <f t="shared" si="14"/>
        <v>0</v>
      </c>
      <c r="S22" s="164">
        <f t="shared" si="15"/>
        <v>0</v>
      </c>
      <c r="T22" s="164">
        <f t="shared" si="16"/>
        <v>0</v>
      </c>
      <c r="U22" s="164">
        <f t="shared" si="17"/>
        <v>0</v>
      </c>
      <c r="V22" s="164">
        <f t="shared" si="18"/>
        <v>0</v>
      </c>
      <c r="W22" s="164">
        <f t="shared" si="19"/>
        <v>0</v>
      </c>
      <c r="X22" s="164">
        <f t="shared" si="20"/>
        <v>0</v>
      </c>
    </row>
    <row r="23" spans="1:24" ht="19.95" customHeight="1">
      <c r="A23" s="159">
        <f>'明细表H8-2'!A26</f>
        <v>0</v>
      </c>
      <c r="B23" s="159">
        <f>'明细表H8-2'!B26</f>
        <v>0</v>
      </c>
      <c r="C23" s="159">
        <f>'明细表H8-2'!C26</f>
        <v>0</v>
      </c>
      <c r="D23" s="160">
        <f>'明细表H8-2'!S26</f>
        <v>0</v>
      </c>
      <c r="E23" s="160">
        <f>'明细表H8-2'!AJ26</f>
        <v>0</v>
      </c>
      <c r="F23" s="160">
        <f>'明细表H8-2'!BA26</f>
        <v>0</v>
      </c>
      <c r="G23" s="27"/>
      <c r="H23" s="28"/>
      <c r="I23" s="29"/>
      <c r="J23" s="26"/>
      <c r="K23" s="161">
        <f t="shared" si="0"/>
        <v>0</v>
      </c>
      <c r="L23" s="162">
        <f>IF(DAY(G23)=1,IF(G23=0,0,DATE(YEAR(G23),MONTH(G23)+K23,DAY(G23))),IF(G23=0,0,DATE(YEAR(G23),MONTH(G23)+K23,DAY(G23)-1)))</f>
        <v>0</v>
      </c>
      <c r="M23" s="164">
        <f t="shared" si="2"/>
        <v>0</v>
      </c>
      <c r="N23" s="164">
        <f t="shared" si="3"/>
        <v>0</v>
      </c>
      <c r="O23" s="164">
        <f t="shared" si="4"/>
        <v>0</v>
      </c>
      <c r="P23" s="164">
        <f t="shared" si="5"/>
        <v>0</v>
      </c>
      <c r="Q23" s="164">
        <f t="shared" si="6"/>
        <v>0</v>
      </c>
      <c r="R23" s="164">
        <f t="shared" si="14"/>
        <v>0</v>
      </c>
      <c r="S23" s="164">
        <f t="shared" si="15"/>
        <v>0</v>
      </c>
      <c r="T23" s="164">
        <f t="shared" si="16"/>
        <v>0</v>
      </c>
      <c r="U23" s="164">
        <f t="shared" si="17"/>
        <v>0</v>
      </c>
      <c r="V23" s="164">
        <f t="shared" si="18"/>
        <v>0</v>
      </c>
      <c r="W23" s="164">
        <f t="shared" si="19"/>
        <v>0</v>
      </c>
      <c r="X23" s="164">
        <f t="shared" si="20"/>
        <v>0</v>
      </c>
    </row>
    <row r="24" spans="1:24" ht="19.95" customHeight="1">
      <c r="A24" s="159">
        <f>'明细表H8-2'!A27</f>
        <v>0</v>
      </c>
      <c r="B24" s="159">
        <f>'明细表H8-2'!B27</f>
        <v>0</v>
      </c>
      <c r="C24" s="159">
        <f>'明细表H8-2'!C27</f>
        <v>0</v>
      </c>
      <c r="D24" s="160">
        <f>'明细表H8-2'!S27</f>
        <v>0</v>
      </c>
      <c r="E24" s="160">
        <f>'明细表H8-2'!AJ27</f>
        <v>0</v>
      </c>
      <c r="F24" s="160">
        <f>'明细表H8-2'!BA27</f>
        <v>0</v>
      </c>
      <c r="G24" s="27"/>
      <c r="H24" s="28"/>
      <c r="I24" s="29"/>
      <c r="J24" s="26"/>
      <c r="K24" s="161">
        <f t="shared" si="0"/>
        <v>0</v>
      </c>
      <c r="L24" s="162">
        <f>IF(DAY(G24)=1,IF(G24=0,0,DATE(YEAR(G24),MONTH(G24)+K24,DAY(G24))),IF(G24=0,0,DATE(YEAR(G24),MONTH(G24)+K24,DAY(G24)-1)))</f>
        <v>0</v>
      </c>
      <c r="M24" s="164">
        <f t="shared" si="2"/>
        <v>0</v>
      </c>
      <c r="N24" s="164">
        <f t="shared" si="3"/>
        <v>0</v>
      </c>
      <c r="O24" s="164">
        <f t="shared" si="4"/>
        <v>0</v>
      </c>
      <c r="P24" s="164">
        <f t="shared" si="5"/>
        <v>0</v>
      </c>
      <c r="Q24" s="164">
        <f t="shared" si="6"/>
        <v>0</v>
      </c>
      <c r="R24" s="164">
        <f t="shared" si="14"/>
        <v>0</v>
      </c>
      <c r="S24" s="164">
        <f t="shared" si="15"/>
        <v>0</v>
      </c>
      <c r="T24" s="164">
        <f t="shared" si="16"/>
        <v>0</v>
      </c>
      <c r="U24" s="164">
        <f t="shared" si="17"/>
        <v>0</v>
      </c>
      <c r="V24" s="164">
        <f t="shared" si="18"/>
        <v>0</v>
      </c>
      <c r="W24" s="164">
        <f t="shared" si="19"/>
        <v>0</v>
      </c>
      <c r="X24" s="164">
        <f t="shared" si="20"/>
        <v>0</v>
      </c>
    </row>
    <row r="25" spans="1:24" ht="19.95" customHeight="1">
      <c r="A25" s="159">
        <f>'明细表H8-2'!A28</f>
        <v>0</v>
      </c>
      <c r="B25" s="159">
        <f>'明细表H8-2'!B28</f>
        <v>0</v>
      </c>
      <c r="C25" s="159">
        <f>'明细表H8-2'!C28</f>
        <v>0</v>
      </c>
      <c r="D25" s="160">
        <f>'明细表H8-2'!S28</f>
        <v>0</v>
      </c>
      <c r="E25" s="160">
        <f>'明细表H8-2'!AJ28</f>
        <v>0</v>
      </c>
      <c r="F25" s="160">
        <f>'明细表H8-2'!BA28</f>
        <v>0</v>
      </c>
      <c r="G25" s="27"/>
      <c r="H25" s="28"/>
      <c r="I25" s="29"/>
      <c r="J25" s="26"/>
      <c r="K25" s="519">
        <f t="shared" si="0"/>
        <v>0</v>
      </c>
      <c r="L25" s="520">
        <f t="shared" ref="L25:L28" si="21">IF(DAY(G25)=1,IF(G25=0,0,DATE(YEAR(G25),MONTH(G25)+K25,DAY(G25))),IF(G25=0,0,DATE(YEAR(G25),MONTH(G25)+K25,DAY(G25)-1)))</f>
        <v>0</v>
      </c>
      <c r="M25" s="160">
        <f t="shared" si="2"/>
        <v>0</v>
      </c>
      <c r="N25" s="160">
        <f t="shared" si="3"/>
        <v>0</v>
      </c>
      <c r="O25" s="160">
        <f t="shared" si="4"/>
        <v>0</v>
      </c>
      <c r="P25" s="160">
        <f t="shared" si="5"/>
        <v>0</v>
      </c>
      <c r="Q25" s="160">
        <f t="shared" si="6"/>
        <v>0</v>
      </c>
      <c r="R25" s="160">
        <f t="shared" si="14"/>
        <v>0</v>
      </c>
      <c r="S25" s="160">
        <f t="shared" si="15"/>
        <v>0</v>
      </c>
      <c r="T25" s="160">
        <f t="shared" si="16"/>
        <v>0</v>
      </c>
      <c r="U25" s="160">
        <f t="shared" si="17"/>
        <v>0</v>
      </c>
      <c r="V25" s="164">
        <f t="shared" si="18"/>
        <v>0</v>
      </c>
      <c r="W25" s="164">
        <f t="shared" si="19"/>
        <v>0</v>
      </c>
      <c r="X25" s="164">
        <f t="shared" si="20"/>
        <v>0</v>
      </c>
    </row>
    <row r="26" spans="1:24" ht="19.95" customHeight="1">
      <c r="A26" s="159">
        <f>'明细表H8-2'!A29</f>
        <v>0</v>
      </c>
      <c r="B26" s="159">
        <f>'明细表H8-2'!B29</f>
        <v>0</v>
      </c>
      <c r="C26" s="159">
        <f>'明细表H8-2'!C29</f>
        <v>0</v>
      </c>
      <c r="D26" s="160">
        <f>'明细表H8-2'!S29</f>
        <v>0</v>
      </c>
      <c r="E26" s="160">
        <f>'明细表H8-2'!AJ29</f>
        <v>0</v>
      </c>
      <c r="F26" s="160">
        <f>'明细表H8-2'!BA29</f>
        <v>0</v>
      </c>
      <c r="G26" s="27"/>
      <c r="H26" s="28"/>
      <c r="I26" s="29"/>
      <c r="J26" s="26"/>
      <c r="K26" s="519">
        <f t="shared" si="0"/>
        <v>0</v>
      </c>
      <c r="L26" s="520">
        <f t="shared" si="21"/>
        <v>0</v>
      </c>
      <c r="M26" s="160">
        <f t="shared" si="2"/>
        <v>0</v>
      </c>
      <c r="N26" s="160">
        <f t="shared" si="3"/>
        <v>0</v>
      </c>
      <c r="O26" s="160">
        <f t="shared" si="4"/>
        <v>0</v>
      </c>
      <c r="P26" s="160">
        <f t="shared" si="5"/>
        <v>0</v>
      </c>
      <c r="Q26" s="160">
        <f t="shared" si="6"/>
        <v>0</v>
      </c>
      <c r="R26" s="160">
        <f t="shared" si="14"/>
        <v>0</v>
      </c>
      <c r="S26" s="160">
        <f t="shared" si="15"/>
        <v>0</v>
      </c>
      <c r="T26" s="160">
        <f t="shared" si="16"/>
        <v>0</v>
      </c>
      <c r="U26" s="160">
        <f t="shared" si="17"/>
        <v>0</v>
      </c>
      <c r="V26" s="164">
        <f t="shared" si="18"/>
        <v>0</v>
      </c>
      <c r="W26" s="164">
        <f t="shared" si="19"/>
        <v>0</v>
      </c>
      <c r="X26" s="164">
        <f t="shared" si="20"/>
        <v>0</v>
      </c>
    </row>
    <row r="27" spans="1:24" ht="19.95" customHeight="1">
      <c r="A27" s="159">
        <f>'明细表H8-2'!A30</f>
        <v>0</v>
      </c>
      <c r="B27" s="159">
        <f>'明细表H8-2'!B30</f>
        <v>0</v>
      </c>
      <c r="C27" s="159">
        <f>'明细表H8-2'!C30</f>
        <v>0</v>
      </c>
      <c r="D27" s="160">
        <f>'明细表H8-2'!S30</f>
        <v>0</v>
      </c>
      <c r="E27" s="160">
        <f>'明细表H8-2'!AJ30</f>
        <v>0</v>
      </c>
      <c r="F27" s="160">
        <f>'明细表H8-2'!BA30</f>
        <v>0</v>
      </c>
      <c r="G27" s="27"/>
      <c r="H27" s="28"/>
      <c r="I27" s="29"/>
      <c r="J27" s="26"/>
      <c r="K27" s="519">
        <f t="shared" si="0"/>
        <v>0</v>
      </c>
      <c r="L27" s="520">
        <f t="shared" si="21"/>
        <v>0</v>
      </c>
      <c r="M27" s="160">
        <f t="shared" si="2"/>
        <v>0</v>
      </c>
      <c r="N27" s="160">
        <f t="shared" si="3"/>
        <v>0</v>
      </c>
      <c r="O27" s="160">
        <f t="shared" si="4"/>
        <v>0</v>
      </c>
      <c r="P27" s="160">
        <f t="shared" si="5"/>
        <v>0</v>
      </c>
      <c r="Q27" s="160">
        <f t="shared" si="6"/>
        <v>0</v>
      </c>
      <c r="R27" s="160">
        <f t="shared" si="14"/>
        <v>0</v>
      </c>
      <c r="S27" s="160">
        <f t="shared" si="15"/>
        <v>0</v>
      </c>
      <c r="T27" s="160">
        <f t="shared" si="16"/>
        <v>0</v>
      </c>
      <c r="U27" s="160">
        <f t="shared" si="17"/>
        <v>0</v>
      </c>
      <c r="V27" s="164">
        <f t="shared" si="18"/>
        <v>0</v>
      </c>
      <c r="W27" s="164">
        <f t="shared" si="19"/>
        <v>0</v>
      </c>
      <c r="X27" s="164">
        <f t="shared" si="20"/>
        <v>0</v>
      </c>
    </row>
    <row r="28" spans="1:24" ht="19.95" customHeight="1">
      <c r="A28" s="159">
        <f>'明细表H8-2'!A31</f>
        <v>0</v>
      </c>
      <c r="B28" s="159">
        <f>'明细表H8-2'!B31</f>
        <v>0</v>
      </c>
      <c r="C28" s="159">
        <f>'明细表H8-2'!C31</f>
        <v>0</v>
      </c>
      <c r="D28" s="160">
        <f>'明细表H8-2'!S31</f>
        <v>0</v>
      </c>
      <c r="E28" s="160">
        <f>'明细表H8-2'!AJ31</f>
        <v>0</v>
      </c>
      <c r="F28" s="160">
        <f>'明细表H8-2'!BA31</f>
        <v>0</v>
      </c>
      <c r="G28" s="27"/>
      <c r="H28" s="28"/>
      <c r="I28" s="29"/>
      <c r="J28" s="26"/>
      <c r="K28" s="519">
        <f t="shared" si="0"/>
        <v>0</v>
      </c>
      <c r="L28" s="520">
        <f t="shared" si="21"/>
        <v>0</v>
      </c>
      <c r="M28" s="160">
        <f t="shared" si="2"/>
        <v>0</v>
      </c>
      <c r="N28" s="160">
        <f t="shared" si="3"/>
        <v>0</v>
      </c>
      <c r="O28" s="160">
        <f t="shared" si="4"/>
        <v>0</v>
      </c>
      <c r="P28" s="160">
        <f t="shared" si="5"/>
        <v>0</v>
      </c>
      <c r="Q28" s="160">
        <f t="shared" si="6"/>
        <v>0</v>
      </c>
      <c r="R28" s="160">
        <f t="shared" si="14"/>
        <v>0</v>
      </c>
      <c r="S28" s="160">
        <f t="shared" si="15"/>
        <v>0</v>
      </c>
      <c r="T28" s="160">
        <f t="shared" si="16"/>
        <v>0</v>
      </c>
      <c r="U28" s="160">
        <f>ROUND(R28*P28,2)+ROUND(T28*Q28,2)</f>
        <v>0</v>
      </c>
      <c r="V28" s="164">
        <f>ROUND(J28-T28,2)</f>
        <v>0</v>
      </c>
      <c r="W28" s="164">
        <f>ROUND(R28*N28,2)+ROUND(T28*(M28-N28),2)</f>
        <v>0</v>
      </c>
      <c r="X28" s="164">
        <f>ROUND(E28-W28,2)</f>
        <v>0</v>
      </c>
    </row>
    <row r="29" spans="1:24" s="18" customFormat="1" ht="19.95" customHeight="1">
      <c r="A29" s="715" t="s">
        <v>248</v>
      </c>
      <c r="B29" s="716"/>
      <c r="C29" s="717"/>
      <c r="D29" s="333">
        <f>SUM(D9:D28)</f>
        <v>0</v>
      </c>
      <c r="E29" s="333">
        <f t="shared" ref="E29" si="22">SUM(E9:E28)</f>
        <v>0</v>
      </c>
      <c r="F29" s="333">
        <f>SUM(F9:F28)</f>
        <v>0</v>
      </c>
      <c r="G29" s="333"/>
      <c r="H29" s="333"/>
      <c r="I29" s="333"/>
      <c r="J29" s="333"/>
      <c r="K29" s="521"/>
      <c r="L29" s="333"/>
      <c r="M29" s="333"/>
      <c r="N29" s="333"/>
      <c r="O29" s="333"/>
      <c r="P29" s="333"/>
      <c r="Q29" s="333"/>
      <c r="R29" s="333"/>
      <c r="S29" s="333">
        <f t="shared" ref="S29:T29" si="23">SUM(S9:S28)</f>
        <v>0</v>
      </c>
      <c r="T29" s="333">
        <f t="shared" si="23"/>
        <v>0</v>
      </c>
      <c r="U29" s="333">
        <f>SUM(U9:U28)</f>
        <v>0</v>
      </c>
      <c r="V29" s="333">
        <f>SUM(V9:V28)</f>
        <v>0</v>
      </c>
      <c r="W29" s="333">
        <f>SUM(W9:W28)</f>
        <v>0</v>
      </c>
      <c r="X29" s="333">
        <f>SUM(X9:X28)</f>
        <v>0</v>
      </c>
    </row>
    <row r="30" spans="1:24" s="18" customFormat="1" ht="19.95" customHeight="1">
      <c r="A30" s="637" t="str">
        <f>'明细表H8-2'!A33:C33</f>
        <v>其中：</v>
      </c>
      <c r="B30" s="637"/>
      <c r="C30" s="637"/>
      <c r="D30" s="333"/>
      <c r="E30" s="333"/>
      <c r="F30" s="333"/>
      <c r="G30" s="33"/>
      <c r="H30" s="34"/>
      <c r="I30" s="35"/>
      <c r="J30" s="36"/>
      <c r="K30" s="36"/>
      <c r="L30" s="36"/>
      <c r="M30" s="36"/>
      <c r="N30" s="371"/>
      <c r="O30" s="371"/>
      <c r="P30" s="371"/>
      <c r="Q30" s="371"/>
      <c r="R30" s="371"/>
      <c r="S30" s="371"/>
      <c r="T30" s="371"/>
      <c r="U30" s="371"/>
      <c r="V30" s="371"/>
      <c r="W30" s="371"/>
      <c r="X30" s="371"/>
    </row>
    <row r="31" spans="1:24" s="18" customFormat="1" ht="19.95" customHeight="1">
      <c r="A31" s="637" t="str">
        <f>'明细表H8-2'!A34:C34</f>
        <v>房屋及建筑物</v>
      </c>
      <c r="B31" s="637"/>
      <c r="C31" s="637"/>
      <c r="D31" s="333">
        <f>SUMPRODUCT(($A$9:$A$28=$A31)*(D$9:D$28))</f>
        <v>0</v>
      </c>
      <c r="E31" s="333">
        <f t="shared" ref="E31:T35" si="24">SUMPRODUCT(($A$9:$A$28=$A31)*(E$9:E$28))</f>
        <v>0</v>
      </c>
      <c r="F31" s="333">
        <f t="shared" si="24"/>
        <v>0</v>
      </c>
      <c r="G31" s="332"/>
      <c r="H31" s="332"/>
      <c r="I31" s="332"/>
      <c r="J31" s="332"/>
      <c r="K31" s="332"/>
      <c r="L31" s="332"/>
      <c r="M31" s="332"/>
      <c r="N31" s="333"/>
      <c r="O31" s="333"/>
      <c r="P31" s="333">
        <f t="shared" si="24"/>
        <v>0</v>
      </c>
      <c r="Q31" s="333">
        <f t="shared" si="24"/>
        <v>0</v>
      </c>
      <c r="R31" s="333">
        <f t="shared" si="24"/>
        <v>0</v>
      </c>
      <c r="S31" s="333">
        <f t="shared" si="24"/>
        <v>0</v>
      </c>
      <c r="T31" s="333">
        <f t="shared" si="24"/>
        <v>0</v>
      </c>
      <c r="U31" s="333">
        <f t="shared" ref="P31:X35" si="25">SUMPRODUCT(($A$9:$A$28=$A31)*(U$9:U$28))</f>
        <v>0</v>
      </c>
      <c r="V31" s="333">
        <f t="shared" si="25"/>
        <v>0</v>
      </c>
      <c r="W31" s="333">
        <f t="shared" si="25"/>
        <v>0</v>
      </c>
      <c r="X31" s="333">
        <f t="shared" si="25"/>
        <v>0</v>
      </c>
    </row>
    <row r="32" spans="1:24" s="18" customFormat="1" ht="19.95" customHeight="1">
      <c r="A32" s="637" t="str">
        <f>'明细表H8-2'!A35:C35</f>
        <v>机器设备</v>
      </c>
      <c r="B32" s="637"/>
      <c r="C32" s="637"/>
      <c r="D32" s="333">
        <f t="shared" ref="D32:D35" si="26">SUMPRODUCT(($A$9:$A$28=$A32)*(D$9:D$28))</f>
        <v>0</v>
      </c>
      <c r="E32" s="333">
        <f t="shared" si="24"/>
        <v>0</v>
      </c>
      <c r="F32" s="333">
        <f t="shared" si="24"/>
        <v>0</v>
      </c>
      <c r="G32" s="332"/>
      <c r="H32" s="332"/>
      <c r="I32" s="332"/>
      <c r="J32" s="332"/>
      <c r="K32" s="332"/>
      <c r="L32" s="332"/>
      <c r="M32" s="332"/>
      <c r="N32" s="333"/>
      <c r="O32" s="333"/>
      <c r="P32" s="333">
        <f t="shared" si="25"/>
        <v>0</v>
      </c>
      <c r="Q32" s="333">
        <f t="shared" si="25"/>
        <v>0</v>
      </c>
      <c r="R32" s="333">
        <f t="shared" si="25"/>
        <v>0</v>
      </c>
      <c r="S32" s="333">
        <f t="shared" si="25"/>
        <v>0</v>
      </c>
      <c r="T32" s="333">
        <f t="shared" si="25"/>
        <v>0</v>
      </c>
      <c r="U32" s="333">
        <f t="shared" si="25"/>
        <v>0</v>
      </c>
      <c r="V32" s="333">
        <f t="shared" si="25"/>
        <v>0</v>
      </c>
      <c r="W32" s="333">
        <f t="shared" si="25"/>
        <v>0</v>
      </c>
      <c r="X32" s="333">
        <f t="shared" si="25"/>
        <v>0</v>
      </c>
    </row>
    <row r="33" spans="1:24" s="18" customFormat="1" ht="19.95" customHeight="1">
      <c r="A33" s="637" t="str">
        <f>'明细表H8-2'!A36:C36</f>
        <v>运输设备</v>
      </c>
      <c r="B33" s="637"/>
      <c r="C33" s="637"/>
      <c r="D33" s="333">
        <f t="shared" si="26"/>
        <v>0</v>
      </c>
      <c r="E33" s="333">
        <f t="shared" si="24"/>
        <v>0</v>
      </c>
      <c r="F33" s="333">
        <f t="shared" si="24"/>
        <v>0</v>
      </c>
      <c r="G33" s="332"/>
      <c r="H33" s="332"/>
      <c r="I33" s="332"/>
      <c r="J33" s="332"/>
      <c r="K33" s="332"/>
      <c r="L33" s="332"/>
      <c r="M33" s="332"/>
      <c r="N33" s="333"/>
      <c r="O33" s="333"/>
      <c r="P33" s="333">
        <f t="shared" si="25"/>
        <v>0</v>
      </c>
      <c r="Q33" s="333">
        <f t="shared" si="25"/>
        <v>0</v>
      </c>
      <c r="R33" s="333">
        <f t="shared" si="25"/>
        <v>0</v>
      </c>
      <c r="S33" s="333">
        <f t="shared" si="25"/>
        <v>0</v>
      </c>
      <c r="T33" s="333">
        <f t="shared" si="25"/>
        <v>0</v>
      </c>
      <c r="U33" s="333">
        <f t="shared" si="25"/>
        <v>0</v>
      </c>
      <c r="V33" s="333">
        <f t="shared" si="25"/>
        <v>0</v>
      </c>
      <c r="W33" s="333">
        <f t="shared" si="25"/>
        <v>0</v>
      </c>
      <c r="X33" s="333">
        <f t="shared" si="25"/>
        <v>0</v>
      </c>
    </row>
    <row r="34" spans="1:24" s="18" customFormat="1" ht="19.95" customHeight="1">
      <c r="A34" s="637" t="str">
        <f>'明细表H8-2'!A37:C37</f>
        <v>办公设备</v>
      </c>
      <c r="B34" s="637"/>
      <c r="C34" s="637"/>
      <c r="D34" s="333">
        <f t="shared" si="26"/>
        <v>0</v>
      </c>
      <c r="E34" s="333">
        <f t="shared" si="24"/>
        <v>0</v>
      </c>
      <c r="F34" s="333">
        <f t="shared" si="24"/>
        <v>0</v>
      </c>
      <c r="G34" s="332"/>
      <c r="H34" s="332"/>
      <c r="I34" s="332"/>
      <c r="J34" s="332"/>
      <c r="K34" s="332"/>
      <c r="L34" s="332"/>
      <c r="M34" s="332"/>
      <c r="N34" s="333"/>
      <c r="O34" s="333"/>
      <c r="P34" s="333">
        <f t="shared" si="25"/>
        <v>0</v>
      </c>
      <c r="Q34" s="333">
        <f t="shared" si="25"/>
        <v>0</v>
      </c>
      <c r="R34" s="333">
        <f t="shared" si="25"/>
        <v>0</v>
      </c>
      <c r="S34" s="333">
        <f t="shared" si="25"/>
        <v>0</v>
      </c>
      <c r="T34" s="333">
        <f t="shared" si="25"/>
        <v>0</v>
      </c>
      <c r="U34" s="333">
        <f t="shared" si="25"/>
        <v>0</v>
      </c>
      <c r="V34" s="333">
        <f t="shared" si="25"/>
        <v>0</v>
      </c>
      <c r="W34" s="333">
        <f t="shared" si="25"/>
        <v>0</v>
      </c>
      <c r="X34" s="333">
        <f t="shared" si="25"/>
        <v>0</v>
      </c>
    </row>
    <row r="35" spans="1:24" s="18" customFormat="1" ht="19.95" customHeight="1">
      <c r="A35" s="637" t="str">
        <f>'明细表H8-2'!A38:C38</f>
        <v>其他设备</v>
      </c>
      <c r="B35" s="637"/>
      <c r="C35" s="637"/>
      <c r="D35" s="333">
        <f t="shared" si="26"/>
        <v>0</v>
      </c>
      <c r="E35" s="333">
        <f t="shared" si="24"/>
        <v>0</v>
      </c>
      <c r="F35" s="333">
        <f t="shared" si="24"/>
        <v>0</v>
      </c>
      <c r="G35" s="332"/>
      <c r="H35" s="332"/>
      <c r="I35" s="332"/>
      <c r="J35" s="332"/>
      <c r="K35" s="332"/>
      <c r="L35" s="332"/>
      <c r="M35" s="332"/>
      <c r="N35" s="333"/>
      <c r="O35" s="333"/>
      <c r="P35" s="333">
        <f t="shared" si="25"/>
        <v>0</v>
      </c>
      <c r="Q35" s="333">
        <f t="shared" si="25"/>
        <v>0</v>
      </c>
      <c r="R35" s="333">
        <f t="shared" si="25"/>
        <v>0</v>
      </c>
      <c r="S35" s="333">
        <f t="shared" si="25"/>
        <v>0</v>
      </c>
      <c r="T35" s="333">
        <f t="shared" si="25"/>
        <v>0</v>
      </c>
      <c r="U35" s="333">
        <f t="shared" si="25"/>
        <v>0</v>
      </c>
      <c r="V35" s="333">
        <f t="shared" si="25"/>
        <v>0</v>
      </c>
      <c r="W35" s="333">
        <f t="shared" si="25"/>
        <v>0</v>
      </c>
      <c r="X35" s="333">
        <f t="shared" si="25"/>
        <v>0</v>
      </c>
    </row>
    <row r="36" spans="1:24" ht="19.95" customHeight="1">
      <c r="B36" s="247" t="s">
        <v>250</v>
      </c>
      <c r="C36" s="170"/>
      <c r="D36" s="170"/>
      <c r="E36" s="170"/>
      <c r="F36" s="170"/>
      <c r="G36" s="170"/>
      <c r="H36" s="170"/>
      <c r="I36" s="170"/>
      <c r="J36" s="170"/>
      <c r="K36" s="170"/>
      <c r="L36" s="170"/>
      <c r="M36" s="170"/>
      <c r="N36" s="170"/>
      <c r="O36" s="170"/>
      <c r="P36" s="170"/>
      <c r="Q36" s="170"/>
      <c r="R36" s="170"/>
      <c r="S36" s="18" t="s">
        <v>499</v>
      </c>
      <c r="T36" s="170"/>
      <c r="U36" s="170"/>
      <c r="V36" s="170"/>
      <c r="W36" s="170"/>
      <c r="X36" s="170"/>
    </row>
    <row r="40" spans="1:24" ht="19.95" customHeight="1">
      <c r="B40" s="18"/>
    </row>
    <row r="45" spans="1:24" ht="19.95" customHeight="1">
      <c r="A45" s="208"/>
    </row>
    <row r="46" spans="1:24" ht="19.95" customHeight="1">
      <c r="A46" s="208"/>
    </row>
    <row r="47" spans="1:24" ht="19.95" customHeight="1">
      <c r="A47" s="208"/>
    </row>
    <row r="48" spans="1:24" ht="19.95" customHeight="1">
      <c r="A48" s="208"/>
    </row>
    <row r="49" spans="1:1" ht="19.95" customHeight="1">
      <c r="A49" s="208"/>
    </row>
  </sheetData>
  <mergeCells count="9">
    <mergeCell ref="A1:X1"/>
    <mergeCell ref="A2:X2"/>
    <mergeCell ref="A34:C34"/>
    <mergeCell ref="A35:C35"/>
    <mergeCell ref="A29:C29"/>
    <mergeCell ref="A30:C30"/>
    <mergeCell ref="A31:C31"/>
    <mergeCell ref="A32:C32"/>
    <mergeCell ref="A33:C33"/>
  </mergeCells>
  <phoneticPr fontId="11" type="noConversion"/>
  <hyperlinks>
    <hyperlink ref="X3" location="底稿目录!A1" display="H8A"/>
  </hyperlinks>
  <printOptions horizontalCentered="1"/>
  <pageMargins left="0.31496062992125984" right="0.23622047244094491" top="0.55118110236220474" bottom="0.43307086614173229" header="0.51181102362204722" footer="0.31496062992125984"/>
  <pageSetup paperSize="9" scale="60" fitToHeight="10" orientation="landscape" blackAndWhite="1" r:id="rId1"/>
  <headerFooter alignWithMargins="0">
    <oddFooter>&amp;C&amp;P/&amp;N</oddFooter>
  </headerFooter>
  <rowBreaks count="1" manualBreakCount="1">
    <brk id="23" max="2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J24"/>
  <sheetViews>
    <sheetView view="pageBreakPreview" zoomScaleSheetLayoutView="100" workbookViewId="0">
      <selection sqref="A1:J1"/>
    </sheetView>
  </sheetViews>
  <sheetFormatPr defaultColWidth="9" defaultRowHeight="19.95" customHeight="1"/>
  <cols>
    <col min="1" max="1" width="6.69921875" style="65" customWidth="1"/>
    <col min="2" max="2" width="19.8984375" style="65" customWidth="1"/>
    <col min="3" max="8" width="15.5" style="65" customWidth="1"/>
    <col min="9" max="9" width="13.69921875" style="65" customWidth="1"/>
    <col min="10" max="10" width="15.5" style="65" customWidth="1"/>
    <col min="11" max="16384" width="9" style="65"/>
  </cols>
  <sheetData>
    <row r="1" spans="1:10" s="66" customFormat="1" ht="19.95" customHeight="1">
      <c r="A1" s="756" t="s">
        <v>941</v>
      </c>
      <c r="B1" s="756"/>
      <c r="C1" s="756"/>
      <c r="D1" s="756"/>
      <c r="E1" s="756"/>
      <c r="F1" s="756"/>
      <c r="G1" s="756"/>
      <c r="H1" s="756"/>
      <c r="I1" s="756"/>
      <c r="J1" s="756"/>
    </row>
    <row r="2" spans="1:10" s="314" customFormat="1" ht="19.95" customHeight="1">
      <c r="A2" s="757" t="s">
        <v>944</v>
      </c>
      <c r="B2" s="757"/>
      <c r="C2" s="757"/>
      <c r="D2" s="757"/>
      <c r="E2" s="757"/>
      <c r="F2" s="757"/>
      <c r="G2" s="757"/>
      <c r="H2" s="757"/>
      <c r="I2" s="757"/>
      <c r="J2" s="757"/>
    </row>
    <row r="3" spans="1:10" ht="19.95" customHeight="1">
      <c r="A3" s="62" t="str">
        <f>底稿目录!A2</f>
        <v>被审计单位：</v>
      </c>
      <c r="B3" s="62"/>
      <c r="C3" s="62"/>
      <c r="D3" s="62" t="str">
        <f>底稿目录!A4</f>
        <v>编制人：</v>
      </c>
      <c r="E3" s="62"/>
      <c r="F3" s="62"/>
      <c r="G3" s="62" t="str">
        <f>底稿目录!A6</f>
        <v>编制日期：</v>
      </c>
      <c r="H3" s="70"/>
      <c r="I3" s="357" t="s">
        <v>733</v>
      </c>
      <c r="J3" s="210" t="s">
        <v>87</v>
      </c>
    </row>
    <row r="4" spans="1:10" ht="19.95" customHeight="1">
      <c r="A4" s="62" t="str">
        <f>底稿目录!A3</f>
        <v>截止日：202X年12月31日</v>
      </c>
      <c r="B4" s="62"/>
      <c r="C4" s="62"/>
      <c r="D4" s="62" t="str">
        <f>底稿目录!A5</f>
        <v>复核人：</v>
      </c>
      <c r="E4" s="62"/>
      <c r="F4" s="62"/>
      <c r="G4" s="62" t="str">
        <f>底稿目录!A7</f>
        <v>复核日期：</v>
      </c>
      <c r="H4" s="70"/>
      <c r="I4" s="357" t="s">
        <v>734</v>
      </c>
      <c r="J4" s="218"/>
    </row>
    <row r="5" spans="1:10" s="522" customFormat="1" ht="19.95" customHeight="1">
      <c r="A5" s="279" t="s">
        <v>510</v>
      </c>
      <c r="B5" s="510"/>
      <c r="C5" s="511"/>
      <c r="D5" s="511"/>
      <c r="E5" s="512"/>
      <c r="F5" s="513"/>
      <c r="G5" s="511"/>
      <c r="H5" s="511"/>
      <c r="I5" s="511"/>
      <c r="J5" s="511"/>
    </row>
    <row r="6" spans="1:10" ht="19.95" customHeight="1">
      <c r="A6" s="44" t="s">
        <v>511</v>
      </c>
      <c r="B6" s="45"/>
      <c r="C6" s="45"/>
      <c r="D6" s="45"/>
      <c r="E6" s="45"/>
      <c r="F6" s="45"/>
      <c r="G6" s="45"/>
      <c r="H6" s="6"/>
      <c r="I6" s="45"/>
      <c r="J6" s="45"/>
    </row>
    <row r="7" spans="1:10" ht="19.95" customHeight="1">
      <c r="A7" s="198" t="s">
        <v>67</v>
      </c>
      <c r="B7" s="198" t="s">
        <v>501</v>
      </c>
      <c r="C7" s="198" t="s">
        <v>512</v>
      </c>
      <c r="D7" s="198" t="s">
        <v>502</v>
      </c>
      <c r="E7" s="198" t="s">
        <v>513</v>
      </c>
      <c r="F7" s="198" t="s">
        <v>503</v>
      </c>
      <c r="G7" s="198" t="s">
        <v>514</v>
      </c>
      <c r="H7" s="198" t="s">
        <v>7</v>
      </c>
      <c r="I7" s="198" t="s">
        <v>515</v>
      </c>
      <c r="J7" s="198" t="s">
        <v>53</v>
      </c>
    </row>
    <row r="8" spans="1:10" ht="19.95" customHeight="1">
      <c r="A8" s="72">
        <v>1</v>
      </c>
      <c r="B8" s="286" t="s">
        <v>504</v>
      </c>
      <c r="C8" s="64"/>
      <c r="D8" s="64"/>
      <c r="E8" s="64"/>
      <c r="F8" s="64"/>
      <c r="G8" s="64"/>
      <c r="H8" s="64"/>
      <c r="I8" s="166">
        <f>SUM(C8:H8)</f>
        <v>0</v>
      </c>
      <c r="J8" s="64"/>
    </row>
    <row r="9" spans="1:10" ht="19.95" customHeight="1">
      <c r="A9" s="72">
        <v>2</v>
      </c>
      <c r="B9" s="286" t="s">
        <v>505</v>
      </c>
      <c r="C9" s="64"/>
      <c r="D9" s="64"/>
      <c r="E9" s="64"/>
      <c r="F9" s="64"/>
      <c r="G9" s="64"/>
      <c r="H9" s="64"/>
      <c r="I9" s="166">
        <f t="shared" ref="I9:I12" si="0">SUM(C9:H9)</f>
        <v>0</v>
      </c>
      <c r="J9" s="64"/>
    </row>
    <row r="10" spans="1:10" ht="19.95" customHeight="1">
      <c r="A10" s="72">
        <v>3</v>
      </c>
      <c r="B10" s="286" t="s">
        <v>500</v>
      </c>
      <c r="C10" s="64"/>
      <c r="D10" s="64"/>
      <c r="E10" s="64"/>
      <c r="F10" s="64"/>
      <c r="G10" s="64"/>
      <c r="H10" s="64"/>
      <c r="I10" s="166">
        <f t="shared" si="0"/>
        <v>0</v>
      </c>
      <c r="J10" s="64"/>
    </row>
    <row r="11" spans="1:10" ht="19.95" customHeight="1">
      <c r="A11" s="72">
        <v>4</v>
      </c>
      <c r="B11" s="286" t="s">
        <v>506</v>
      </c>
      <c r="C11" s="64"/>
      <c r="D11" s="64"/>
      <c r="E11" s="64"/>
      <c r="F11" s="64"/>
      <c r="G11" s="64"/>
      <c r="H11" s="64"/>
      <c r="I11" s="166">
        <f t="shared" si="0"/>
        <v>0</v>
      </c>
      <c r="J11" s="64"/>
    </row>
    <row r="12" spans="1:10" ht="19.95" customHeight="1">
      <c r="A12" s="375">
        <v>5</v>
      </c>
      <c r="B12" s="376" t="s">
        <v>507</v>
      </c>
      <c r="C12" s="377"/>
      <c r="D12" s="377"/>
      <c r="E12" s="377"/>
      <c r="F12" s="377"/>
      <c r="G12" s="377"/>
      <c r="H12" s="377"/>
      <c r="I12" s="378">
        <f t="shared" si="0"/>
        <v>0</v>
      </c>
      <c r="J12" s="377"/>
    </row>
    <row r="13" spans="1:10" ht="19.95" customHeight="1">
      <c r="A13" s="718" t="s">
        <v>248</v>
      </c>
      <c r="B13" s="718"/>
      <c r="C13" s="166">
        <f>SUM(C8:C12)</f>
        <v>0</v>
      </c>
      <c r="D13" s="166">
        <f t="shared" ref="D13:I13" si="1">SUM(D8:D12)</f>
        <v>0</v>
      </c>
      <c r="E13" s="166">
        <f t="shared" si="1"/>
        <v>0</v>
      </c>
      <c r="F13" s="166">
        <f t="shared" si="1"/>
        <v>0</v>
      </c>
      <c r="G13" s="166">
        <f t="shared" si="1"/>
        <v>0</v>
      </c>
      <c r="H13" s="166">
        <f t="shared" si="1"/>
        <v>0</v>
      </c>
      <c r="I13" s="166">
        <f t="shared" si="1"/>
        <v>0</v>
      </c>
      <c r="J13" s="166"/>
    </row>
    <row r="14" spans="1:10" ht="27.6">
      <c r="A14" s="372"/>
      <c r="B14" s="373" t="s">
        <v>747</v>
      </c>
      <c r="C14" s="374" t="s">
        <v>748</v>
      </c>
      <c r="D14" s="374" t="s">
        <v>748</v>
      </c>
      <c r="E14" s="374" t="s">
        <v>749</v>
      </c>
      <c r="F14" s="374" t="s">
        <v>749</v>
      </c>
      <c r="G14" s="374" t="s">
        <v>749</v>
      </c>
      <c r="H14" s="374" t="s">
        <v>749</v>
      </c>
      <c r="I14" s="166"/>
      <c r="J14" s="166"/>
    </row>
    <row r="15" spans="1:10" ht="19.95" customHeight="1">
      <c r="A15" s="247" t="s">
        <v>516</v>
      </c>
      <c r="B15" s="379"/>
      <c r="C15" s="379"/>
      <c r="D15" s="379"/>
      <c r="E15" s="379"/>
      <c r="F15" s="379"/>
      <c r="G15" s="379"/>
      <c r="H15" s="379"/>
      <c r="I15" s="379"/>
      <c r="J15" s="379"/>
    </row>
    <row r="16" spans="1:10" ht="19.95" customHeight="1">
      <c r="A16" s="2"/>
    </row>
    <row r="17" spans="1:1" ht="19.95" customHeight="1">
      <c r="A17" s="18" t="s">
        <v>517</v>
      </c>
    </row>
    <row r="18" spans="1:1" ht="19.95" customHeight="1">
      <c r="A18" s="62"/>
    </row>
    <row r="22" spans="1:1" ht="19.95" customHeight="1">
      <c r="A22" s="393" t="s">
        <v>752</v>
      </c>
    </row>
    <row r="23" spans="1:1" ht="19.95" customHeight="1">
      <c r="A23" s="288" t="s">
        <v>509</v>
      </c>
    </row>
    <row r="24" spans="1:1" ht="19.95" customHeight="1">
      <c r="A24" s="288" t="s">
        <v>508</v>
      </c>
    </row>
  </sheetData>
  <mergeCells count="3">
    <mergeCell ref="A1:J1"/>
    <mergeCell ref="A2:J2"/>
    <mergeCell ref="A13:B13"/>
  </mergeCells>
  <phoneticPr fontId="11" type="noConversion"/>
  <hyperlinks>
    <hyperlink ref="J3" location="底稿目录!A1" display="H8A"/>
  </hyperlinks>
  <printOptions horizontalCentered="1"/>
  <pageMargins left="0.70866141732283472" right="0.70866141732283472" top="0.74803149606299213" bottom="0.74803149606299213" header="0.31496062992125984" footer="0.31496062992125984"/>
  <pageSetup paperSize="9" scale="82" orientation="landscape" blackAndWhite="1" r:id="rId1"/>
  <headerFooter>
    <oddFooter>&amp;C&amp;P/&amp;N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AF35"/>
  <sheetViews>
    <sheetView view="pageBreakPreview" zoomScaleSheetLayoutView="100" workbookViewId="0">
      <selection sqref="A1:L1"/>
    </sheetView>
  </sheetViews>
  <sheetFormatPr defaultColWidth="9" defaultRowHeight="19.95" customHeight="1"/>
  <cols>
    <col min="1" max="1" width="20.8984375" style="2" customWidth="1"/>
    <col min="2" max="2" width="7.69921875" style="2" customWidth="1"/>
    <col min="3" max="3" width="13.19921875" style="2" customWidth="1"/>
    <col min="4" max="4" width="12.19921875" style="2" customWidth="1"/>
    <col min="5" max="5" width="13.69921875" style="2" customWidth="1"/>
    <col min="6" max="6" width="13.09765625" style="2" customWidth="1"/>
    <col min="7" max="7" width="14" style="2" customWidth="1"/>
    <col min="8" max="9" width="12.5" style="2" customWidth="1"/>
    <col min="10" max="10" width="17.796875" style="2" customWidth="1"/>
    <col min="11" max="11" width="12.5" style="2" customWidth="1"/>
    <col min="12" max="12" width="12.69921875" style="2" customWidth="1"/>
    <col min="13" max="16384" width="9" style="2"/>
  </cols>
  <sheetData>
    <row r="1" spans="1:32" s="5" customFormat="1" ht="19.95" customHeight="1">
      <c r="A1" s="754" t="s">
        <v>941</v>
      </c>
      <c r="B1" s="758"/>
      <c r="C1" s="758"/>
      <c r="D1" s="758"/>
      <c r="E1" s="758"/>
      <c r="F1" s="758"/>
      <c r="G1" s="758"/>
      <c r="H1" s="758"/>
      <c r="I1" s="758"/>
      <c r="J1" s="758"/>
      <c r="K1" s="758"/>
      <c r="L1" s="758"/>
    </row>
    <row r="2" spans="1:32" s="312" customFormat="1" ht="19.95" customHeight="1">
      <c r="A2" s="755" t="s">
        <v>945</v>
      </c>
      <c r="B2" s="755"/>
      <c r="C2" s="755"/>
      <c r="D2" s="755"/>
      <c r="E2" s="755"/>
      <c r="F2" s="755"/>
      <c r="G2" s="755"/>
      <c r="H2" s="755"/>
      <c r="I2" s="755"/>
      <c r="J2" s="755"/>
      <c r="K2" s="755"/>
      <c r="L2" s="755"/>
    </row>
    <row r="3" spans="1:32" ht="19.95" customHeight="1">
      <c r="A3" s="2" t="str">
        <f>底稿目录!A2</f>
        <v>被审计单位：</v>
      </c>
      <c r="E3" s="2" t="str">
        <f>底稿目录!A4</f>
        <v>编制人：</v>
      </c>
      <c r="G3" s="45"/>
      <c r="H3" s="2" t="str">
        <f>底稿目录!A6</f>
        <v>编制日期：</v>
      </c>
      <c r="K3" s="357" t="s">
        <v>733</v>
      </c>
      <c r="L3" s="210" t="s">
        <v>88</v>
      </c>
    </row>
    <row r="4" spans="1:32" ht="19.95" customHeight="1">
      <c r="A4" s="2" t="str">
        <f>底稿目录!A3</f>
        <v>截止日：202X年12月31日</v>
      </c>
      <c r="E4" s="2" t="str">
        <f>底稿目录!A5</f>
        <v>复核人：</v>
      </c>
      <c r="G4" s="45"/>
      <c r="H4" s="2" t="str">
        <f>底稿目录!A7</f>
        <v>复核日期：</v>
      </c>
      <c r="K4" s="357" t="s">
        <v>734</v>
      </c>
      <c r="L4" s="218"/>
    </row>
    <row r="5" spans="1:32" s="501" customFormat="1" ht="19.95" customHeight="1">
      <c r="A5" s="279" t="s">
        <v>485</v>
      </c>
      <c r="B5" s="500"/>
      <c r="C5" s="523"/>
      <c r="H5" s="524"/>
      <c r="I5" s="524"/>
      <c r="J5" s="524"/>
      <c r="K5" s="524"/>
      <c r="O5" s="525"/>
      <c r="P5" s="502"/>
      <c r="Z5" s="503"/>
      <c r="AA5" s="503"/>
      <c r="AB5" s="503"/>
      <c r="AC5" s="503"/>
      <c r="AD5" s="503"/>
      <c r="AE5" s="503"/>
      <c r="AF5" s="503"/>
    </row>
    <row r="6" spans="1:32" ht="19.95" customHeight="1">
      <c r="A6" s="44" t="s">
        <v>201</v>
      </c>
      <c r="B6" s="45"/>
      <c r="C6" s="45"/>
      <c r="H6" s="6"/>
      <c r="I6" s="6"/>
      <c r="J6" s="6"/>
      <c r="K6" s="6"/>
      <c r="O6" s="47"/>
      <c r="P6" s="4"/>
      <c r="Z6" s="138"/>
      <c r="AA6" s="138"/>
      <c r="AB6" s="138"/>
      <c r="AC6" s="138"/>
      <c r="AD6" s="138"/>
      <c r="AE6" s="138"/>
      <c r="AF6" s="138"/>
    </row>
    <row r="7" spans="1:32" s="526" customFormat="1" ht="19.95" customHeight="1">
      <c r="A7" s="640" t="s">
        <v>203</v>
      </c>
      <c r="B7" s="722" t="s">
        <v>518</v>
      </c>
      <c r="C7" s="722" t="s">
        <v>519</v>
      </c>
      <c r="D7" s="640" t="s">
        <v>520</v>
      </c>
      <c r="E7" s="719" t="s">
        <v>521</v>
      </c>
      <c r="F7" s="720"/>
      <c r="G7" s="721"/>
      <c r="H7" s="722" t="s">
        <v>522</v>
      </c>
      <c r="I7" s="722" t="s">
        <v>523</v>
      </c>
      <c r="J7" s="722" t="s">
        <v>524</v>
      </c>
      <c r="K7" s="640" t="s">
        <v>525</v>
      </c>
      <c r="L7" s="640" t="s">
        <v>526</v>
      </c>
    </row>
    <row r="8" spans="1:32" s="527" customFormat="1" ht="30" customHeight="1">
      <c r="A8" s="640"/>
      <c r="B8" s="724"/>
      <c r="C8" s="723"/>
      <c r="D8" s="640"/>
      <c r="E8" s="336" t="s">
        <v>527</v>
      </c>
      <c r="F8" s="336" t="s">
        <v>528</v>
      </c>
      <c r="G8" s="336" t="s">
        <v>529</v>
      </c>
      <c r="H8" s="723"/>
      <c r="I8" s="723" t="s">
        <v>530</v>
      </c>
      <c r="J8" s="723"/>
      <c r="K8" s="640"/>
      <c r="L8" s="640"/>
    </row>
    <row r="9" spans="1:32" s="527" customFormat="1" ht="19.95" customHeight="1">
      <c r="A9" s="640"/>
      <c r="B9" s="723"/>
      <c r="C9" s="336" t="s">
        <v>531</v>
      </c>
      <c r="D9" s="336" t="s">
        <v>18</v>
      </c>
      <c r="E9" s="336" t="s">
        <v>532</v>
      </c>
      <c r="F9" s="336" t="s">
        <v>533</v>
      </c>
      <c r="G9" s="336" t="s">
        <v>534</v>
      </c>
      <c r="H9" s="336" t="s">
        <v>535</v>
      </c>
      <c r="I9" s="336" t="s">
        <v>536</v>
      </c>
      <c r="J9" s="336" t="s">
        <v>537</v>
      </c>
      <c r="K9" s="640"/>
      <c r="L9" s="640"/>
    </row>
    <row r="10" spans="1:32" ht="19.95" customHeight="1">
      <c r="A10" s="56"/>
      <c r="B10" s="334"/>
      <c r="C10" s="37"/>
      <c r="D10" s="338"/>
      <c r="E10" s="338"/>
      <c r="F10" s="338"/>
      <c r="G10" s="164">
        <f>MAX(E10,F10)</f>
        <v>0</v>
      </c>
      <c r="H10" s="164">
        <f>IF(D10&gt;G10,D10-G10,0)</f>
        <v>0</v>
      </c>
      <c r="I10" s="31"/>
      <c r="J10" s="164">
        <f>H10-I10</f>
        <v>0</v>
      </c>
      <c r="K10" s="335"/>
      <c r="L10" s="56"/>
    </row>
    <row r="11" spans="1:32" ht="19.95" customHeight="1">
      <c r="A11" s="56"/>
      <c r="B11" s="334"/>
      <c r="C11" s="37"/>
      <c r="D11" s="338"/>
      <c r="E11" s="338"/>
      <c r="F11" s="338"/>
      <c r="G11" s="164">
        <f t="shared" ref="G11:G21" si="0">MAX(E11,F11)</f>
        <v>0</v>
      </c>
      <c r="H11" s="164">
        <f t="shared" ref="H11:H21" si="1">IF(D11&gt;G11,D11-G11,0)</f>
        <v>0</v>
      </c>
      <c r="I11" s="31"/>
      <c r="J11" s="164">
        <f t="shared" ref="J11:J21" si="2">H11-I11</f>
        <v>0</v>
      </c>
      <c r="K11" s="335"/>
      <c r="L11" s="56"/>
    </row>
    <row r="12" spans="1:32" ht="19.95" customHeight="1">
      <c r="A12" s="56"/>
      <c r="B12" s="334"/>
      <c r="C12" s="37"/>
      <c r="D12" s="338"/>
      <c r="E12" s="338"/>
      <c r="F12" s="338"/>
      <c r="G12" s="164">
        <f t="shared" si="0"/>
        <v>0</v>
      </c>
      <c r="H12" s="164">
        <f t="shared" si="1"/>
        <v>0</v>
      </c>
      <c r="I12" s="31"/>
      <c r="J12" s="164">
        <f t="shared" si="2"/>
        <v>0</v>
      </c>
      <c r="K12" s="335"/>
      <c r="L12" s="56"/>
    </row>
    <row r="13" spans="1:32" ht="19.95" customHeight="1">
      <c r="A13" s="56"/>
      <c r="B13" s="334"/>
      <c r="C13" s="37"/>
      <c r="D13" s="338"/>
      <c r="E13" s="338"/>
      <c r="F13" s="338"/>
      <c r="G13" s="164">
        <f t="shared" si="0"/>
        <v>0</v>
      </c>
      <c r="H13" s="164">
        <f t="shared" si="1"/>
        <v>0</v>
      </c>
      <c r="I13" s="31"/>
      <c r="J13" s="164">
        <f t="shared" si="2"/>
        <v>0</v>
      </c>
      <c r="K13" s="335"/>
      <c r="L13" s="56"/>
    </row>
    <row r="14" spans="1:32" ht="19.95" customHeight="1">
      <c r="A14" s="56"/>
      <c r="B14" s="334"/>
      <c r="C14" s="37"/>
      <c r="D14" s="338"/>
      <c r="E14" s="338"/>
      <c r="F14" s="338"/>
      <c r="G14" s="164">
        <f t="shared" si="0"/>
        <v>0</v>
      </c>
      <c r="H14" s="164">
        <f t="shared" si="1"/>
        <v>0</v>
      </c>
      <c r="I14" s="31"/>
      <c r="J14" s="164">
        <f t="shared" si="2"/>
        <v>0</v>
      </c>
      <c r="K14" s="335"/>
      <c r="L14" s="56"/>
    </row>
    <row r="15" spans="1:32" ht="19.95" customHeight="1">
      <c r="A15" s="56"/>
      <c r="B15" s="334"/>
      <c r="C15" s="37"/>
      <c r="D15" s="338"/>
      <c r="E15" s="338"/>
      <c r="F15" s="338"/>
      <c r="G15" s="164">
        <f t="shared" si="0"/>
        <v>0</v>
      </c>
      <c r="H15" s="164">
        <f t="shared" si="1"/>
        <v>0</v>
      </c>
      <c r="I15" s="31"/>
      <c r="J15" s="164">
        <f t="shared" si="2"/>
        <v>0</v>
      </c>
      <c r="K15" s="335"/>
      <c r="L15" s="56"/>
    </row>
    <row r="16" spans="1:32" ht="19.95" customHeight="1">
      <c r="A16" s="56"/>
      <c r="B16" s="334"/>
      <c r="C16" s="37"/>
      <c r="D16" s="338"/>
      <c r="E16" s="338"/>
      <c r="F16" s="338"/>
      <c r="G16" s="164">
        <f t="shared" si="0"/>
        <v>0</v>
      </c>
      <c r="H16" s="164">
        <f t="shared" si="1"/>
        <v>0</v>
      </c>
      <c r="I16" s="31"/>
      <c r="J16" s="164">
        <f t="shared" si="2"/>
        <v>0</v>
      </c>
      <c r="K16" s="335"/>
      <c r="L16" s="56"/>
    </row>
    <row r="17" spans="1:12" ht="19.95" customHeight="1">
      <c r="A17" s="56"/>
      <c r="B17" s="334"/>
      <c r="C17" s="37"/>
      <c r="D17" s="338"/>
      <c r="E17" s="338"/>
      <c r="F17" s="338"/>
      <c r="G17" s="164">
        <f t="shared" si="0"/>
        <v>0</v>
      </c>
      <c r="H17" s="164">
        <f t="shared" si="1"/>
        <v>0</v>
      </c>
      <c r="I17" s="31"/>
      <c r="J17" s="164">
        <f t="shared" si="2"/>
        <v>0</v>
      </c>
      <c r="K17" s="335"/>
      <c r="L17" s="56"/>
    </row>
    <row r="18" spans="1:12" ht="19.95" customHeight="1">
      <c r="A18" s="56"/>
      <c r="B18" s="334"/>
      <c r="C18" s="37"/>
      <c r="D18" s="338"/>
      <c r="E18" s="338"/>
      <c r="F18" s="338"/>
      <c r="G18" s="164">
        <f t="shared" si="0"/>
        <v>0</v>
      </c>
      <c r="H18" s="164">
        <f t="shared" si="1"/>
        <v>0</v>
      </c>
      <c r="I18" s="31"/>
      <c r="J18" s="164">
        <f t="shared" si="2"/>
        <v>0</v>
      </c>
      <c r="K18" s="335"/>
      <c r="L18" s="56"/>
    </row>
    <row r="19" spans="1:12" ht="19.95" customHeight="1">
      <c r="A19" s="56"/>
      <c r="B19" s="334"/>
      <c r="C19" s="37"/>
      <c r="D19" s="338"/>
      <c r="E19" s="338"/>
      <c r="F19" s="338"/>
      <c r="G19" s="164">
        <f t="shared" si="0"/>
        <v>0</v>
      </c>
      <c r="H19" s="164">
        <f t="shared" si="1"/>
        <v>0</v>
      </c>
      <c r="I19" s="31"/>
      <c r="J19" s="164">
        <f t="shared" si="2"/>
        <v>0</v>
      </c>
      <c r="K19" s="335"/>
      <c r="L19" s="56"/>
    </row>
    <row r="20" spans="1:12" ht="19.95" customHeight="1">
      <c r="A20" s="56"/>
      <c r="B20" s="334"/>
      <c r="C20" s="37"/>
      <c r="D20" s="338"/>
      <c r="E20" s="338"/>
      <c r="F20" s="338"/>
      <c r="G20" s="164">
        <f t="shared" si="0"/>
        <v>0</v>
      </c>
      <c r="H20" s="164">
        <f t="shared" si="1"/>
        <v>0</v>
      </c>
      <c r="I20" s="31"/>
      <c r="J20" s="164">
        <f t="shared" si="2"/>
        <v>0</v>
      </c>
      <c r="K20" s="335"/>
      <c r="L20" s="56"/>
    </row>
    <row r="21" spans="1:12" ht="19.95" customHeight="1">
      <c r="A21" s="56"/>
      <c r="B21" s="334"/>
      <c r="C21" s="37"/>
      <c r="D21" s="338"/>
      <c r="E21" s="338"/>
      <c r="F21" s="338"/>
      <c r="G21" s="164">
        <f t="shared" si="0"/>
        <v>0</v>
      </c>
      <c r="H21" s="164">
        <f t="shared" si="1"/>
        <v>0</v>
      </c>
      <c r="I21" s="31"/>
      <c r="J21" s="164">
        <f t="shared" si="2"/>
        <v>0</v>
      </c>
      <c r="K21" s="335"/>
      <c r="L21" s="56"/>
    </row>
    <row r="22" spans="1:12" ht="19.95" customHeight="1">
      <c r="A22" s="336" t="s">
        <v>248</v>
      </c>
      <c r="B22" s="332"/>
      <c r="C22" s="332"/>
      <c r="D22" s="333">
        <f t="shared" ref="D22:G22" si="3">SUM(D10:D21)</f>
        <v>0</v>
      </c>
      <c r="E22" s="333">
        <f t="shared" si="3"/>
        <v>0</v>
      </c>
      <c r="F22" s="333">
        <f t="shared" si="3"/>
        <v>0</v>
      </c>
      <c r="G22" s="333">
        <f t="shared" si="3"/>
        <v>0</v>
      </c>
      <c r="H22" s="333">
        <f>SUM(H10:H21)</f>
        <v>0</v>
      </c>
      <c r="I22" s="333">
        <f t="shared" ref="I22:J22" si="4">SUM(I10:I21)</f>
        <v>0</v>
      </c>
      <c r="J22" s="333">
        <f t="shared" si="4"/>
        <v>0</v>
      </c>
      <c r="K22" s="337"/>
      <c r="L22" s="337"/>
    </row>
    <row r="23" spans="1:12" ht="19.95" customHeight="1">
      <c r="A23" s="287" t="s">
        <v>250</v>
      </c>
      <c r="B23" s="9"/>
      <c r="C23" s="9"/>
      <c r="D23" s="9"/>
      <c r="E23" s="9"/>
      <c r="F23" s="9"/>
      <c r="G23" s="9"/>
      <c r="H23" s="9"/>
      <c r="I23" s="9"/>
      <c r="J23" s="9"/>
      <c r="K23" s="9"/>
      <c r="L23" s="9"/>
    </row>
    <row r="26" spans="1:12" ht="19.95" customHeight="1">
      <c r="A26" s="18" t="s">
        <v>251</v>
      </c>
    </row>
    <row r="30" spans="1:12" ht="19.95" customHeight="1">
      <c r="A30" s="394" t="s">
        <v>752</v>
      </c>
    </row>
    <row r="31" spans="1:12" ht="19.95" customHeight="1">
      <c r="A31" s="208" t="s">
        <v>538</v>
      </c>
    </row>
    <row r="32" spans="1:12" ht="19.95" customHeight="1">
      <c r="A32" s="208" t="s">
        <v>539</v>
      </c>
    </row>
    <row r="33" spans="1:1" ht="19.95" customHeight="1">
      <c r="A33" s="208" t="s">
        <v>540</v>
      </c>
    </row>
    <row r="34" spans="1:1" ht="19.95" customHeight="1">
      <c r="A34" s="208" t="s">
        <v>541</v>
      </c>
    </row>
    <row r="35" spans="1:1" ht="19.95" customHeight="1">
      <c r="A35" s="208" t="s">
        <v>542</v>
      </c>
    </row>
  </sheetData>
  <mergeCells count="12">
    <mergeCell ref="A1:L1"/>
    <mergeCell ref="A2:L2"/>
    <mergeCell ref="A7:A9"/>
    <mergeCell ref="D7:D8"/>
    <mergeCell ref="L7:L9"/>
    <mergeCell ref="E7:G7"/>
    <mergeCell ref="H7:H8"/>
    <mergeCell ref="K7:K9"/>
    <mergeCell ref="C7:C8"/>
    <mergeCell ref="B7:B9"/>
    <mergeCell ref="I7:I8"/>
    <mergeCell ref="J7:J8"/>
  </mergeCells>
  <phoneticPr fontId="11" type="noConversion"/>
  <dataValidations count="1">
    <dataValidation type="list" allowBlank="1" showInputMessage="1" showErrorMessage="1" sqref="B10:B21">
      <formula1>"√,×"</formula1>
    </dataValidation>
  </dataValidations>
  <hyperlinks>
    <hyperlink ref="L3" location="底稿目录!A1" display="H8A"/>
  </hyperlinks>
  <printOptions horizontalCentered="1"/>
  <pageMargins left="0.70866141732283472" right="0.70866141732283472" top="0.74803149606299213" bottom="0.74803149606299213" header="0.31496062992125984" footer="0.31496062992125984"/>
  <pageSetup paperSize="9" scale="75" orientation="landscape" blackAndWhite="1" r:id="rId1"/>
  <headerFooter>
    <oddFooter>&amp;C&amp;P/&amp;N</oddFooter>
  </headerFooter>
  <rowBreaks count="1" manualBreakCount="1">
    <brk id="17" max="11" man="1"/>
  </rowBrea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dimension ref="A1:AB90"/>
  <sheetViews>
    <sheetView view="pageBreakPreview" zoomScaleNormal="115" zoomScaleSheetLayoutView="100" workbookViewId="0">
      <selection sqref="A1:O1"/>
    </sheetView>
  </sheetViews>
  <sheetFormatPr defaultColWidth="9" defaultRowHeight="19.95" customHeight="1"/>
  <cols>
    <col min="1" max="1" width="18.69921875" style="2" customWidth="1"/>
    <col min="2" max="2" width="8.8984375" style="2" customWidth="1"/>
    <col min="3" max="3" width="8.5" style="2" customWidth="1"/>
    <col min="4" max="4" width="8.8984375" style="2" customWidth="1"/>
    <col min="5" max="5" width="8" style="2" customWidth="1"/>
    <col min="6" max="6" width="7.8984375" style="2" customWidth="1"/>
    <col min="7" max="7" width="7.3984375" style="2" customWidth="1"/>
    <col min="8" max="8" width="8.8984375" style="2" customWidth="1"/>
    <col min="9" max="9" width="9.19921875" style="2" customWidth="1"/>
    <col min="10" max="10" width="6.59765625" style="2" customWidth="1"/>
    <col min="11" max="11" width="9.69921875" style="2" customWidth="1"/>
    <col min="12" max="12" width="8.59765625" style="2" customWidth="1"/>
    <col min="13" max="13" width="10.09765625" style="2" customWidth="1"/>
    <col min="14" max="14" width="9.69921875" style="2" customWidth="1"/>
    <col min="15" max="15" width="10.59765625" style="2" customWidth="1"/>
    <col min="16" max="16384" width="9" style="2"/>
  </cols>
  <sheetData>
    <row r="1" spans="1:28" s="5" customFormat="1" ht="19.95" customHeight="1">
      <c r="A1" s="754" t="s">
        <v>941</v>
      </c>
      <c r="B1" s="758"/>
      <c r="C1" s="758"/>
      <c r="D1" s="758"/>
      <c r="E1" s="758"/>
      <c r="F1" s="758"/>
      <c r="G1" s="758"/>
      <c r="H1" s="758"/>
      <c r="I1" s="758"/>
      <c r="J1" s="758"/>
      <c r="K1" s="758"/>
      <c r="L1" s="758"/>
      <c r="M1" s="758"/>
      <c r="N1" s="758"/>
      <c r="O1" s="758"/>
    </row>
    <row r="2" spans="1:28" s="312" customFormat="1" ht="19.95" customHeight="1">
      <c r="A2" s="755" t="s">
        <v>946</v>
      </c>
      <c r="B2" s="755"/>
      <c r="C2" s="755"/>
      <c r="D2" s="755"/>
      <c r="E2" s="755"/>
      <c r="F2" s="755"/>
      <c r="G2" s="755"/>
      <c r="H2" s="755"/>
      <c r="I2" s="755"/>
      <c r="J2" s="755"/>
      <c r="K2" s="755"/>
      <c r="L2" s="755"/>
      <c r="M2" s="755"/>
      <c r="N2" s="755"/>
      <c r="O2" s="755"/>
    </row>
    <row r="3" spans="1:28" ht="19.95" customHeight="1">
      <c r="A3" s="2" t="str">
        <f>底稿目录!A2</f>
        <v>被审计单位：</v>
      </c>
      <c r="B3" s="13"/>
      <c r="E3" s="2" t="str">
        <f>底稿目录!A4</f>
        <v>编制人：</v>
      </c>
      <c r="F3" s="6"/>
      <c r="J3" s="2" t="str">
        <f>底稿目录!A6</f>
        <v>编制日期：</v>
      </c>
      <c r="N3" s="357" t="s">
        <v>733</v>
      </c>
      <c r="O3" s="210" t="s">
        <v>89</v>
      </c>
    </row>
    <row r="4" spans="1:28" ht="19.95" customHeight="1">
      <c r="A4" s="2" t="str">
        <f>底稿目录!A3</f>
        <v>截止日：202X年12月31日</v>
      </c>
      <c r="B4" s="13"/>
      <c r="E4" s="2" t="str">
        <f>底稿目录!A5</f>
        <v>复核人：</v>
      </c>
      <c r="F4" s="6"/>
      <c r="J4" s="2" t="str">
        <f>底稿目录!A7</f>
        <v>复核日期：</v>
      </c>
      <c r="N4" s="357" t="s">
        <v>734</v>
      </c>
      <c r="O4" s="218"/>
    </row>
    <row r="5" spans="1:28" s="501" customFormat="1" ht="19.95" customHeight="1">
      <c r="A5" s="279" t="s">
        <v>485</v>
      </c>
      <c r="B5" s="500"/>
      <c r="C5" s="523"/>
      <c r="H5" s="524"/>
      <c r="K5" s="525"/>
      <c r="L5" s="502"/>
      <c r="V5" s="503"/>
      <c r="W5" s="503"/>
      <c r="X5" s="503"/>
      <c r="Y5" s="503"/>
      <c r="Z5" s="503"/>
      <c r="AA5" s="503"/>
      <c r="AB5" s="503"/>
    </row>
    <row r="6" spans="1:28" ht="19.95" customHeight="1">
      <c r="A6" s="44" t="s">
        <v>201</v>
      </c>
      <c r="B6" s="45"/>
      <c r="G6" s="6"/>
      <c r="K6" s="47"/>
      <c r="L6" s="4"/>
      <c r="V6" s="138"/>
      <c r="W6" s="138"/>
      <c r="X6" s="138"/>
      <c r="Y6" s="138"/>
      <c r="Z6" s="138"/>
      <c r="AA6" s="138"/>
      <c r="AB6" s="138"/>
    </row>
    <row r="7" spans="1:28" ht="19.95" customHeight="1">
      <c r="A7" s="18" t="s">
        <v>615</v>
      </c>
      <c r="G7" s="6"/>
    </row>
    <row r="8" spans="1:28" ht="19.95" customHeight="1">
      <c r="A8" s="718" t="s">
        <v>203</v>
      </c>
      <c r="B8" s="57" t="s">
        <v>616</v>
      </c>
      <c r="C8" s="57"/>
      <c r="D8" s="57"/>
      <c r="E8" s="57"/>
      <c r="F8" s="57"/>
      <c r="G8" s="58"/>
      <c r="H8" s="57" t="s">
        <v>617</v>
      </c>
      <c r="I8" s="57"/>
      <c r="J8" s="57"/>
      <c r="K8" s="57"/>
      <c r="L8" s="57"/>
      <c r="M8" s="57"/>
      <c r="N8" s="718" t="s">
        <v>618</v>
      </c>
      <c r="O8" s="718" t="s">
        <v>53</v>
      </c>
    </row>
    <row r="9" spans="1:28" ht="24">
      <c r="A9" s="718"/>
      <c r="B9" s="198" t="s">
        <v>619</v>
      </c>
      <c r="C9" s="198" t="s">
        <v>543</v>
      </c>
      <c r="D9" s="198" t="s">
        <v>620</v>
      </c>
      <c r="E9" s="198" t="s">
        <v>621</v>
      </c>
      <c r="F9" s="198" t="s">
        <v>544</v>
      </c>
      <c r="G9" s="198" t="s">
        <v>622</v>
      </c>
      <c r="H9" s="198" t="s">
        <v>545</v>
      </c>
      <c r="I9" s="198" t="s">
        <v>623</v>
      </c>
      <c r="J9" s="198" t="s">
        <v>546</v>
      </c>
      <c r="K9" s="198" t="s">
        <v>624</v>
      </c>
      <c r="L9" s="198" t="s">
        <v>625</v>
      </c>
      <c r="M9" s="198" t="s">
        <v>626</v>
      </c>
      <c r="N9" s="718"/>
      <c r="O9" s="718"/>
    </row>
    <row r="10" spans="1:28" ht="19.95" customHeight="1">
      <c r="A10" s="7"/>
      <c r="B10" s="37"/>
      <c r="C10" s="38"/>
      <c r="D10" s="37"/>
      <c r="E10" s="38"/>
      <c r="F10" s="37"/>
      <c r="G10" s="38"/>
      <c r="H10" s="37"/>
      <c r="I10" s="37"/>
      <c r="J10" s="37"/>
      <c r="K10" s="37"/>
      <c r="L10" s="37"/>
      <c r="M10" s="164">
        <f>SUM(H10:L10)</f>
        <v>0</v>
      </c>
      <c r="N10" s="164">
        <f>IF(B10&gt;0,B10,IF(D10&gt;0,D10,F10))-M10</f>
        <v>0</v>
      </c>
      <c r="O10" s="7"/>
    </row>
    <row r="11" spans="1:28" ht="19.95" customHeight="1">
      <c r="A11" s="7"/>
      <c r="B11" s="37"/>
      <c r="C11" s="38"/>
      <c r="D11" s="37"/>
      <c r="E11" s="38"/>
      <c r="F11" s="37"/>
      <c r="G11" s="38"/>
      <c r="H11" s="37"/>
      <c r="I11" s="37"/>
      <c r="J11" s="37"/>
      <c r="K11" s="37"/>
      <c r="L11" s="37"/>
      <c r="M11" s="164">
        <f>SUM(H11:L11)</f>
        <v>0</v>
      </c>
      <c r="N11" s="164">
        <f>IF(B11&gt;0,B11,IF(D11&gt;0,D11,F11))-M11</f>
        <v>0</v>
      </c>
      <c r="O11" s="7"/>
    </row>
    <row r="12" spans="1:28" ht="19.95" customHeight="1">
      <c r="A12" s="7"/>
      <c r="B12" s="37"/>
      <c r="C12" s="38"/>
      <c r="D12" s="37"/>
      <c r="E12" s="38"/>
      <c r="F12" s="37"/>
      <c r="G12" s="38"/>
      <c r="H12" s="37"/>
      <c r="I12" s="37"/>
      <c r="J12" s="37"/>
      <c r="K12" s="37"/>
      <c r="L12" s="37"/>
      <c r="M12" s="164">
        <f>SUM(H12:L12)</f>
        <v>0</v>
      </c>
      <c r="N12" s="164">
        <f>IF(B12&gt;0,B12,IF(D12&gt;0,D12,F12))-M12</f>
        <v>0</v>
      </c>
      <c r="O12" s="7"/>
    </row>
    <row r="13" spans="1:28" ht="19.95" customHeight="1">
      <c r="A13" s="336" t="s">
        <v>547</v>
      </c>
      <c r="B13" s="333">
        <f>SUM(B10:B12)</f>
        <v>0</v>
      </c>
      <c r="C13" s="333"/>
      <c r="D13" s="333">
        <f>SUM(D10:D12)</f>
        <v>0</v>
      </c>
      <c r="E13" s="333"/>
      <c r="F13" s="333">
        <f>SUM(F10:F12)</f>
        <v>0</v>
      </c>
      <c r="G13" s="333"/>
      <c r="H13" s="333">
        <f t="shared" ref="H13:N13" si="0">SUM(H10:H12)</f>
        <v>0</v>
      </c>
      <c r="I13" s="333">
        <f t="shared" si="0"/>
        <v>0</v>
      </c>
      <c r="J13" s="333">
        <f t="shared" si="0"/>
        <v>0</v>
      </c>
      <c r="K13" s="333">
        <f t="shared" si="0"/>
        <v>0</v>
      </c>
      <c r="L13" s="333">
        <f t="shared" si="0"/>
        <v>0</v>
      </c>
      <c r="M13" s="333">
        <f t="shared" si="0"/>
        <v>0</v>
      </c>
      <c r="N13" s="333">
        <f t="shared" si="0"/>
        <v>0</v>
      </c>
      <c r="O13" s="339"/>
    </row>
    <row r="14" spans="1:28" s="20" customFormat="1" ht="19.95" customHeight="1">
      <c r="A14" s="24" t="s">
        <v>548</v>
      </c>
    </row>
    <row r="15" spans="1:28" s="20" customFormat="1" ht="19.95" customHeight="1"/>
    <row r="16" spans="1:28" ht="19.95" customHeight="1">
      <c r="A16" s="18" t="s">
        <v>549</v>
      </c>
      <c r="G16" s="6"/>
    </row>
    <row r="17" spans="1:15" ht="19.95" customHeight="1">
      <c r="A17" s="718" t="s">
        <v>550</v>
      </c>
      <c r="B17" s="57" t="s">
        <v>551</v>
      </c>
      <c r="C17" s="57"/>
      <c r="D17" s="57"/>
      <c r="E17" s="57"/>
      <c r="F17" s="57"/>
      <c r="G17" s="57" t="s">
        <v>552</v>
      </c>
      <c r="H17" s="57"/>
      <c r="I17" s="727" t="s">
        <v>553</v>
      </c>
      <c r="J17" s="727" t="s">
        <v>627</v>
      </c>
      <c r="K17" s="727" t="s">
        <v>628</v>
      </c>
      <c r="L17" s="718" t="s">
        <v>554</v>
      </c>
      <c r="M17" s="718"/>
      <c r="N17" s="718" t="s">
        <v>629</v>
      </c>
      <c r="O17" s="718" t="s">
        <v>53</v>
      </c>
    </row>
    <row r="18" spans="1:15" ht="19.95" customHeight="1">
      <c r="A18" s="718"/>
      <c r="B18" s="198" t="s">
        <v>555</v>
      </c>
      <c r="C18" s="198" t="s">
        <v>556</v>
      </c>
      <c r="D18" s="198" t="s">
        <v>630</v>
      </c>
      <c r="E18" s="198" t="s">
        <v>557</v>
      </c>
      <c r="F18" s="198" t="s">
        <v>558</v>
      </c>
      <c r="G18" s="198" t="s">
        <v>559</v>
      </c>
      <c r="H18" s="198" t="s">
        <v>560</v>
      </c>
      <c r="I18" s="727"/>
      <c r="J18" s="727"/>
      <c r="K18" s="727"/>
      <c r="L18" s="718"/>
      <c r="M18" s="718"/>
      <c r="N18" s="718"/>
      <c r="O18" s="718"/>
    </row>
    <row r="19" spans="1:15" ht="19.95" customHeight="1">
      <c r="A19" s="7" t="s">
        <v>561</v>
      </c>
      <c r="B19" s="37"/>
      <c r="C19" s="37"/>
      <c r="D19" s="37"/>
      <c r="E19" s="37"/>
      <c r="F19" s="37"/>
      <c r="G19" s="163">
        <f>F19</f>
        <v>0</v>
      </c>
      <c r="H19" s="39"/>
      <c r="I19" s="39"/>
      <c r="J19" s="39"/>
      <c r="K19" s="39"/>
      <c r="L19" s="8"/>
      <c r="M19" s="75"/>
      <c r="N19" s="84"/>
      <c r="O19" s="726"/>
    </row>
    <row r="20" spans="1:15" ht="19.95" customHeight="1">
      <c r="A20" s="7" t="s">
        <v>562</v>
      </c>
      <c r="B20" s="341" t="e">
        <f>1/(1+$K$24)^1</f>
        <v>#DIV/0!</v>
      </c>
      <c r="C20" s="341" t="e">
        <f>1/(1+$K$24)^2</f>
        <v>#DIV/0!</v>
      </c>
      <c r="D20" s="341" t="e">
        <f>1/(1+$K$24)^3</f>
        <v>#DIV/0!</v>
      </c>
      <c r="E20" s="341" t="e">
        <f>1/(1+$K$24)^4</f>
        <v>#DIV/0!</v>
      </c>
      <c r="F20" s="341" t="e">
        <f>1/(1+$K$24)^5</f>
        <v>#DIV/0!</v>
      </c>
      <c r="G20" s="341" t="e">
        <f>(1+H19)/((J24-H19)*(1+K24)^5)</f>
        <v>#DIV/0!</v>
      </c>
      <c r="H20" s="289" t="s">
        <v>563</v>
      </c>
      <c r="I20" s="37"/>
      <c r="J20" s="85"/>
      <c r="K20" s="86"/>
      <c r="L20" s="87"/>
      <c r="M20" s="86"/>
      <c r="N20" s="84"/>
      <c r="O20" s="726"/>
    </row>
    <row r="21" spans="1:15" ht="19.95" customHeight="1">
      <c r="A21" s="7" t="s">
        <v>564</v>
      </c>
      <c r="B21" s="164" t="e">
        <f t="shared" ref="B21:G21" si="1">B19*B20</f>
        <v>#DIV/0!</v>
      </c>
      <c r="C21" s="164" t="e">
        <f t="shared" si="1"/>
        <v>#DIV/0!</v>
      </c>
      <c r="D21" s="164" t="e">
        <f t="shared" si="1"/>
        <v>#DIV/0!</v>
      </c>
      <c r="E21" s="164" t="e">
        <f t="shared" si="1"/>
        <v>#DIV/0!</v>
      </c>
      <c r="F21" s="164" t="e">
        <f t="shared" si="1"/>
        <v>#DIV/0!</v>
      </c>
      <c r="G21" s="164" t="e">
        <f t="shared" si="1"/>
        <v>#DIV/0!</v>
      </c>
      <c r="H21" s="289" t="s">
        <v>565</v>
      </c>
      <c r="I21" s="37"/>
      <c r="J21" s="85"/>
      <c r="K21" s="86"/>
      <c r="L21" s="87"/>
      <c r="M21" s="86"/>
      <c r="N21" s="163" t="e">
        <f>SUM(B21:G21)</f>
        <v>#DIV/0!</v>
      </c>
      <c r="O21" s="726"/>
    </row>
    <row r="22" spans="1:15" ht="19.95" customHeight="1">
      <c r="A22" s="718" t="s">
        <v>566</v>
      </c>
      <c r="B22" s="198" t="s">
        <v>567</v>
      </c>
      <c r="C22" s="718" t="s">
        <v>568</v>
      </c>
      <c r="D22" s="718" t="s">
        <v>569</v>
      </c>
      <c r="E22" s="718" t="s">
        <v>570</v>
      </c>
      <c r="F22" s="718" t="s">
        <v>571</v>
      </c>
      <c r="G22" s="718" t="s">
        <v>572</v>
      </c>
      <c r="H22" s="718" t="s">
        <v>3</v>
      </c>
      <c r="I22" s="718" t="s">
        <v>573</v>
      </c>
      <c r="J22" s="718" t="s">
        <v>574</v>
      </c>
      <c r="K22" s="718" t="s">
        <v>575</v>
      </c>
      <c r="L22" s="725" t="s">
        <v>576</v>
      </c>
      <c r="M22" s="725"/>
      <c r="N22" s="718" t="s">
        <v>521</v>
      </c>
      <c r="O22" s="718" t="s">
        <v>53</v>
      </c>
    </row>
    <row r="23" spans="1:15" ht="19.95" customHeight="1">
      <c r="A23" s="718"/>
      <c r="B23" s="198" t="s">
        <v>577</v>
      </c>
      <c r="C23" s="718"/>
      <c r="D23" s="718"/>
      <c r="E23" s="718"/>
      <c r="F23" s="718"/>
      <c r="G23" s="718"/>
      <c r="H23" s="718"/>
      <c r="I23" s="718"/>
      <c r="J23" s="718"/>
      <c r="K23" s="718"/>
      <c r="L23" s="198" t="s">
        <v>578</v>
      </c>
      <c r="M23" s="63" t="s">
        <v>579</v>
      </c>
      <c r="N23" s="718"/>
      <c r="O23" s="718"/>
    </row>
    <row r="24" spans="1:15" ht="19.95" customHeight="1">
      <c r="A24" s="7" t="s">
        <v>580</v>
      </c>
      <c r="B24" s="40"/>
      <c r="C24" s="37"/>
      <c r="D24" s="37"/>
      <c r="E24" s="22"/>
      <c r="F24" s="22"/>
      <c r="G24" s="38"/>
      <c r="H24" s="22"/>
      <c r="I24" s="340">
        <f>F24+G24*(H24-F24)</f>
        <v>0</v>
      </c>
      <c r="J24" s="340" t="e">
        <f>((C24*E24*(1-B24)+D24*I24))/(C24+D24)</f>
        <v>#DIV/0!</v>
      </c>
      <c r="K24" s="340" t="e">
        <f>J24/(1-(B24+L24))</f>
        <v>#DIV/0!</v>
      </c>
      <c r="L24" s="22"/>
      <c r="M24" s="32"/>
      <c r="N24" s="164" t="e">
        <f>MAX(N13,N21)</f>
        <v>#DIV/0!</v>
      </c>
      <c r="O24" s="40"/>
    </row>
    <row r="25" spans="1:15" s="20" customFormat="1" ht="19.95" customHeight="1">
      <c r="A25" s="24" t="s">
        <v>548</v>
      </c>
    </row>
    <row r="26" spans="1:15" s="20" customFormat="1" ht="19.95" customHeight="1"/>
    <row r="27" spans="1:15" s="20" customFormat="1" ht="19.95" customHeight="1">
      <c r="A27" s="18" t="s">
        <v>581</v>
      </c>
    </row>
    <row r="28" spans="1:15" s="20" customFormat="1" ht="19.95" customHeight="1">
      <c r="A28" s="67"/>
      <c r="B28" s="165" t="e">
        <f>N24</f>
        <v>#DIV/0!</v>
      </c>
      <c r="C28" s="20" t="s">
        <v>582</v>
      </c>
    </row>
    <row r="29" spans="1:15" s="20" customFormat="1" ht="19.95" customHeight="1">
      <c r="A29" s="24" t="s">
        <v>250</v>
      </c>
      <c r="B29" s="48"/>
    </row>
    <row r="30" spans="1:15" s="20" customFormat="1" ht="19.95" customHeight="1">
      <c r="A30" s="67"/>
      <c r="B30" s="48"/>
    </row>
    <row r="31" spans="1:15" s="20" customFormat="1" ht="19.95" customHeight="1">
      <c r="A31" s="67"/>
      <c r="B31" s="48"/>
    </row>
    <row r="32" spans="1:15" s="20" customFormat="1" ht="19.95" customHeight="1">
      <c r="A32" s="24" t="s">
        <v>251</v>
      </c>
      <c r="B32" s="48"/>
    </row>
    <row r="33" spans="1:2" s="20" customFormat="1" ht="19.95" customHeight="1">
      <c r="A33" s="67"/>
      <c r="B33" s="48"/>
    </row>
    <row r="34" spans="1:2" s="20" customFormat="1" ht="19.95" customHeight="1">
      <c r="A34" s="67"/>
      <c r="B34" s="48"/>
    </row>
    <row r="35" spans="1:2" s="20" customFormat="1" ht="19.95" customHeight="1"/>
    <row r="36" spans="1:2" s="20" customFormat="1" ht="19.95" customHeight="1"/>
    <row r="37" spans="1:2" s="20" customFormat="1" ht="19.95" customHeight="1"/>
    <row r="38" spans="1:2" s="20" customFormat="1" ht="19.95" customHeight="1">
      <c r="A38" s="395" t="s">
        <v>752</v>
      </c>
    </row>
    <row r="39" spans="1:2" s="20" customFormat="1" ht="19.95" customHeight="1">
      <c r="A39" s="73" t="s">
        <v>583</v>
      </c>
    </row>
    <row r="40" spans="1:2" s="20" customFormat="1" ht="19.95" customHeight="1">
      <c r="A40" s="73"/>
    </row>
    <row r="41" spans="1:2" s="20" customFormat="1" ht="19.95" customHeight="1">
      <c r="A41" s="73" t="s">
        <v>584</v>
      </c>
    </row>
    <row r="42" spans="1:2" s="20" customFormat="1" ht="19.95" customHeight="1">
      <c r="A42" s="73" t="s">
        <v>585</v>
      </c>
    </row>
    <row r="43" spans="1:2" s="20" customFormat="1" ht="19.95" customHeight="1">
      <c r="A43" s="73" t="s">
        <v>586</v>
      </c>
    </row>
    <row r="44" spans="1:2" s="20" customFormat="1" ht="19.95" customHeight="1">
      <c r="A44" s="73" t="s">
        <v>587</v>
      </c>
    </row>
    <row r="45" spans="1:2" s="20" customFormat="1" ht="19.95" customHeight="1">
      <c r="A45" s="73" t="s">
        <v>588</v>
      </c>
    </row>
    <row r="46" spans="1:2" s="20" customFormat="1" ht="19.95" customHeight="1"/>
    <row r="47" spans="1:2" s="20" customFormat="1" ht="19.95" customHeight="1">
      <c r="A47" s="73" t="s">
        <v>589</v>
      </c>
    </row>
    <row r="48" spans="1:2" s="20" customFormat="1" ht="19.95" customHeight="1">
      <c r="A48" s="176"/>
    </row>
    <row r="49" spans="1:5" s="20" customFormat="1" ht="19.95" customHeight="1">
      <c r="A49" s="73"/>
    </row>
    <row r="50" spans="1:5" s="20" customFormat="1" ht="19.95" customHeight="1">
      <c r="A50" s="73"/>
    </row>
    <row r="51" spans="1:5" s="20" customFormat="1" ht="19.95" customHeight="1">
      <c r="A51" s="73"/>
    </row>
    <row r="52" spans="1:5" s="20" customFormat="1" ht="19.95" customHeight="1">
      <c r="A52" s="73" t="s">
        <v>590</v>
      </c>
    </row>
    <row r="53" spans="1:5" s="20" customFormat="1" ht="19.95" customHeight="1">
      <c r="A53" s="73" t="s">
        <v>591</v>
      </c>
    </row>
    <row r="54" spans="1:5" s="20" customFormat="1" ht="19.95" customHeight="1">
      <c r="A54" s="73" t="s">
        <v>592</v>
      </c>
    </row>
    <row r="55" spans="1:5" s="20" customFormat="1" ht="19.95" customHeight="1">
      <c r="A55" s="73" t="s">
        <v>593</v>
      </c>
    </row>
    <row r="56" spans="1:5" s="20" customFormat="1" ht="19.95" customHeight="1">
      <c r="A56" s="73" t="s">
        <v>594</v>
      </c>
    </row>
    <row r="57" spans="1:5" s="20" customFormat="1" ht="19.95" customHeight="1">
      <c r="A57" s="73" t="s">
        <v>595</v>
      </c>
    </row>
    <row r="58" spans="1:5" s="20" customFormat="1" ht="19.95" customHeight="1">
      <c r="A58" s="73" t="s">
        <v>596</v>
      </c>
    </row>
    <row r="59" spans="1:5" s="20" customFormat="1" ht="19.95" customHeight="1">
      <c r="A59" s="74" t="s">
        <v>597</v>
      </c>
    </row>
    <row r="61" spans="1:5" s="20" customFormat="1" ht="19.95" customHeight="1">
      <c r="A61" s="73" t="s">
        <v>598</v>
      </c>
    </row>
    <row r="62" spans="1:5" s="20" customFormat="1" ht="19.95" customHeight="1">
      <c r="A62" s="73" t="s">
        <v>599</v>
      </c>
    </row>
    <row r="63" spans="1:5" s="20" customFormat="1" ht="19.95" customHeight="1">
      <c r="A63" s="73" t="s">
        <v>600</v>
      </c>
    </row>
    <row r="64" spans="1:5" s="20" customFormat="1" ht="19.95" customHeight="1">
      <c r="E64" s="176"/>
    </row>
    <row r="65" spans="1:1" s="20" customFormat="1" ht="19.95" customHeight="1"/>
    <row r="66" spans="1:1" s="20" customFormat="1" ht="19.95" customHeight="1"/>
    <row r="67" spans="1:1" s="20" customFormat="1" ht="19.95" customHeight="1">
      <c r="A67" s="20" t="s">
        <v>601</v>
      </c>
    </row>
    <row r="68" spans="1:1" s="20" customFormat="1" ht="19.95" customHeight="1">
      <c r="A68" s="20" t="s">
        <v>602</v>
      </c>
    </row>
    <row r="69" spans="1:1" s="20" customFormat="1" ht="19.95" customHeight="1">
      <c r="A69" s="18" t="s">
        <v>0</v>
      </c>
    </row>
    <row r="70" spans="1:1" s="20" customFormat="1" ht="19.95" customHeight="1">
      <c r="A70" s="2" t="s">
        <v>1</v>
      </c>
    </row>
    <row r="71" spans="1:1" s="20" customFormat="1" ht="19.95" customHeight="1">
      <c r="A71" s="2" t="s">
        <v>603</v>
      </c>
    </row>
    <row r="72" spans="1:1" s="20" customFormat="1" ht="19.95" customHeight="1">
      <c r="A72" s="2" t="s">
        <v>604</v>
      </c>
    </row>
    <row r="73" spans="1:1" ht="19.95" customHeight="1">
      <c r="A73" s="18" t="s">
        <v>605</v>
      </c>
    </row>
    <row r="74" spans="1:1" ht="19.95" customHeight="1">
      <c r="A74" s="2" t="s">
        <v>631</v>
      </c>
    </row>
    <row r="75" spans="1:1" ht="19.95" customHeight="1">
      <c r="A75" s="2" t="s">
        <v>606</v>
      </c>
    </row>
    <row r="76" spans="1:1" ht="19.95" customHeight="1">
      <c r="A76" s="18" t="s">
        <v>607</v>
      </c>
    </row>
    <row r="77" spans="1:1" ht="19.95" customHeight="1">
      <c r="A77" s="2" t="s">
        <v>608</v>
      </c>
    </row>
    <row r="78" spans="1:1" ht="19.95" customHeight="1">
      <c r="A78" s="2" t="s">
        <v>609</v>
      </c>
    </row>
    <row r="79" spans="1:1" ht="19.95" customHeight="1">
      <c r="A79" s="2" t="s">
        <v>610</v>
      </c>
    </row>
    <row r="80" spans="1:1" ht="19.95" customHeight="1">
      <c r="A80" s="18" t="s">
        <v>571</v>
      </c>
    </row>
    <row r="81" spans="1:1" ht="19.95" customHeight="1">
      <c r="A81" s="2" t="s">
        <v>2</v>
      </c>
    </row>
    <row r="82" spans="1:1" ht="19.95" customHeight="1">
      <c r="A82" s="18" t="s">
        <v>632</v>
      </c>
    </row>
    <row r="83" spans="1:1" ht="19.95" customHeight="1">
      <c r="A83" s="2" t="s">
        <v>611</v>
      </c>
    </row>
    <row r="84" spans="1:1" ht="19.95" customHeight="1">
      <c r="A84" s="2" t="s">
        <v>4</v>
      </c>
    </row>
    <row r="85" spans="1:1" ht="19.95" customHeight="1">
      <c r="A85" s="18" t="s">
        <v>572</v>
      </c>
    </row>
    <row r="86" spans="1:1" ht="19.95" customHeight="1">
      <c r="A86" s="2" t="s">
        <v>5</v>
      </c>
    </row>
    <row r="87" spans="1:1" ht="19.95" customHeight="1">
      <c r="A87" s="2" t="s">
        <v>612</v>
      </c>
    </row>
    <row r="88" spans="1:1" ht="19.95" customHeight="1">
      <c r="A88" s="2" t="s">
        <v>613</v>
      </c>
    </row>
    <row r="89" spans="1:1" s="20" customFormat="1" ht="19.95" customHeight="1"/>
    <row r="90" spans="1:1" s="20" customFormat="1" ht="19.95" customHeight="1">
      <c r="A90" s="73" t="s">
        <v>614</v>
      </c>
    </row>
  </sheetData>
  <mergeCells count="26">
    <mergeCell ref="A1:O1"/>
    <mergeCell ref="A2:O2"/>
    <mergeCell ref="A8:A9"/>
    <mergeCell ref="N8:N9"/>
    <mergeCell ref="O8:O9"/>
    <mergeCell ref="N17:N18"/>
    <mergeCell ref="O17:O18"/>
    <mergeCell ref="O19:O21"/>
    <mergeCell ref="A22:A23"/>
    <mergeCell ref="C22:C23"/>
    <mergeCell ref="D22:D23"/>
    <mergeCell ref="E22:E23"/>
    <mergeCell ref="F22:F23"/>
    <mergeCell ref="G22:G23"/>
    <mergeCell ref="A17:A18"/>
    <mergeCell ref="I17:I18"/>
    <mergeCell ref="J17:J18"/>
    <mergeCell ref="K17:K18"/>
    <mergeCell ref="L17:M18"/>
    <mergeCell ref="O22:O23"/>
    <mergeCell ref="N22:N23"/>
    <mergeCell ref="H22:H23"/>
    <mergeCell ref="I22:I23"/>
    <mergeCell ref="J22:J23"/>
    <mergeCell ref="K22:K23"/>
    <mergeCell ref="L22:M22"/>
  </mergeCells>
  <phoneticPr fontId="11" type="noConversion"/>
  <dataValidations count="2">
    <dataValidation allowBlank="1" showInputMessage="1" showErrorMessage="1" prompt="可使用万德（Wind）的BETA计算器计算β系数。" sqref="G24 JC24 SY24 ACU24 AMQ24 AWM24 BGI24 BQE24 CAA24 CJW24 CTS24 DDO24 DNK24 DXG24 EHC24 EQY24 FAU24 FKQ24 FUM24 GEI24 GOE24 GYA24 HHW24 HRS24 IBO24 ILK24 IVG24 JFC24 JOY24 JYU24 KIQ24 KSM24 LCI24 LME24 LWA24 MFW24 MPS24 MZO24 NJK24 NTG24 ODC24 OMY24 OWU24 PGQ24 PQM24 QAI24 QKE24 QUA24 RDW24 RNS24 RXO24 SHK24 SRG24 TBC24 TKY24 TUU24 UEQ24 UOM24 UYI24 VIE24 VSA24 WBW24 WLS24 WVO24"/>
    <dataValidation allowBlank="1" showInputMessage="1" showErrorMessage="1" prompt="可使用万德（Wind）的WACC计算器取数。" sqref="H24 JD24 SZ24 ACV24 AMR24 AWN24 BGJ24 BQF24 CAB24 CJX24 CTT24 DDP24 DNL24 DXH24 EHD24 EQZ24 FAV24 FKR24 FUN24 GEJ24 GOF24 GYB24 HHX24 HRT24 IBP24 ILL24 IVH24 JFD24 JOZ24 JYV24 KIR24 KSN24 LCJ24 LMF24 LWB24 MFX24 MPT24 MZP24 NJL24 NTH24 ODD24 OMZ24 OWV24 PGR24 PQN24 QAJ24 QKF24 QUB24 RDX24 RNT24 RXP24 SHL24 SRH24 TBD24 TKZ24 TUV24 UER24 UON24 UYJ24 VIF24 VSB24 WBX24 WLT24 WVP24 E24:F24 JA24:JB24 SW24:SX24 ACS24:ACT24 AMO24:AMP24 AWK24:AWL24 BGG24:BGH24 BQC24:BQD24 BZY24:BZZ24 CJU24:CJV24 CTQ24:CTR24 DDM24:DDN24 DNI24:DNJ24 DXE24:DXF24 EHA24:EHB24 EQW24:EQX24 FAS24:FAT24 FKO24:FKP24 FUK24:FUL24 GEG24:GEH24 GOC24:GOD24 GXY24:GXZ24 HHU24:HHV24 HRQ24:HRR24 IBM24:IBN24 ILI24:ILJ24 IVE24:IVF24 JFA24:JFB24 JOW24:JOX24 JYS24:JYT24 KIO24:KIP24 KSK24:KSL24 LCG24:LCH24 LMC24:LMD24 LVY24:LVZ24 MFU24:MFV24 MPQ24:MPR24 MZM24:MZN24 NJI24:NJJ24 NTE24:NTF24 ODA24:ODB24 OMW24:OMX24 OWS24:OWT24 PGO24:PGP24 PQK24:PQL24 QAG24:QAH24 QKC24:QKD24 QTY24:QTZ24 RDU24:RDV24 RNQ24:RNR24 RXM24:RXN24 SHI24:SHJ24 SRE24:SRF24 TBA24:TBB24 TKW24:TKX24 TUS24:TUT24 UEO24:UEP24 UOK24:UOL24 UYG24:UYH24 VIC24:VID24 VRY24:VRZ24 WBU24:WBV24 WLQ24:WLR24 WVM24:WVN24"/>
  </dataValidations>
  <hyperlinks>
    <hyperlink ref="O3" location="底稿目录!A1" display="H8A"/>
  </hyperlinks>
  <printOptions horizontalCentered="1"/>
  <pageMargins left="0.43307086614173229" right="0.39370078740157483" top="0.39370078740157483" bottom="0.39370078740157483" header="0.31496062992125984" footer="0.31496062992125984"/>
  <pageSetup paperSize="9" scale="75" fitToHeight="2" orientation="landscape" blackAndWhite="1" r:id="rId1"/>
  <headerFooter alignWithMargins="0">
    <oddFooter>&amp;C&amp;P/&amp;N</oddFooter>
  </headerFooter>
  <drawing r:id="rId2"/>
  <legacyDrawing r:id="rId3"/>
  <oleObjects>
    <mc:AlternateContent xmlns:mc="http://schemas.openxmlformats.org/markup-compatibility/2006">
      <mc:Choice Requires="x14">
        <oleObject progId="Equation.3" shapeId="7171" r:id="rId4">
          <objectPr defaultSize="0" autoPict="0" r:id="rId5">
            <anchor moveWithCells="1" sizeWithCells="1">
              <from>
                <xdr:col>0</xdr:col>
                <xdr:colOff>99060</xdr:colOff>
                <xdr:row>63</xdr:row>
                <xdr:rowOff>30480</xdr:rowOff>
              </from>
              <to>
                <xdr:col>3</xdr:col>
                <xdr:colOff>541020</xdr:colOff>
                <xdr:row>66</xdr:row>
                <xdr:rowOff>0</xdr:rowOff>
              </to>
            </anchor>
          </objectPr>
        </oleObject>
      </mc:Choice>
      <mc:Fallback>
        <oleObject progId="Equation.3" shapeId="7171" r:id="rId4"/>
      </mc:Fallback>
    </mc:AlternateContent>
    <mc:AlternateContent xmlns:mc="http://schemas.openxmlformats.org/markup-compatibility/2006">
      <mc:Choice Requires="x14">
        <oleObject progId="Equation.3" shapeId="7172" r:id="rId6">
          <objectPr defaultSize="0" autoPict="0" r:id="rId7">
            <anchor moveWithCells="1" sizeWithCells="1">
              <from>
                <xdr:col>3</xdr:col>
                <xdr:colOff>655320</xdr:colOff>
                <xdr:row>63</xdr:row>
                <xdr:rowOff>144780</xdr:rowOff>
              </from>
              <to>
                <xdr:col>7</xdr:col>
                <xdr:colOff>198120</xdr:colOff>
                <xdr:row>65</xdr:row>
                <xdr:rowOff>76200</xdr:rowOff>
              </to>
            </anchor>
          </objectPr>
        </oleObject>
      </mc:Choice>
      <mc:Fallback>
        <oleObject progId="Equation.3" shapeId="7172" r:id="rId6"/>
      </mc:Fallback>
    </mc:AlternateContent>
    <mc:AlternateContent xmlns:mc="http://schemas.openxmlformats.org/markup-compatibility/2006">
      <mc:Choice Requires="x14">
        <oleObject progId="Equation.3" shapeId="7173" r:id="rId8">
          <objectPr defaultSize="0" autoPict="0" r:id="rId9">
            <anchor moveWithCells="1" sizeWithCells="1">
              <from>
                <xdr:col>0</xdr:col>
                <xdr:colOff>0</xdr:colOff>
                <xdr:row>47</xdr:row>
                <xdr:rowOff>0</xdr:rowOff>
              </from>
              <to>
                <xdr:col>7</xdr:col>
                <xdr:colOff>480060</xdr:colOff>
                <xdr:row>50</xdr:row>
                <xdr:rowOff>30480</xdr:rowOff>
              </to>
            </anchor>
          </objectPr>
        </oleObject>
      </mc:Choice>
      <mc:Fallback>
        <oleObject progId="Equation.3" shapeId="7173" r:id="rId8"/>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AB39"/>
  <sheetViews>
    <sheetView view="pageBreakPreview" zoomScaleSheetLayoutView="100" workbookViewId="0">
      <selection sqref="A1:V1"/>
    </sheetView>
  </sheetViews>
  <sheetFormatPr defaultColWidth="9" defaultRowHeight="19.95" customHeight="1"/>
  <cols>
    <col min="1" max="1" width="8.09765625" style="2" customWidth="1"/>
    <col min="2" max="4" width="12.3984375" style="2" customWidth="1"/>
    <col min="5" max="8" width="8.09765625" style="2" customWidth="1"/>
    <col min="9" max="9" width="8.59765625" style="2" customWidth="1"/>
    <col min="10" max="12" width="8.69921875" style="2" customWidth="1"/>
    <col min="13" max="13" width="8.8984375" style="2" customWidth="1"/>
    <col min="14" max="14" width="16.09765625" style="47" customWidth="1"/>
    <col min="15" max="19" width="4.3984375" style="47" customWidth="1"/>
    <col min="20" max="20" width="9.5" style="47" customWidth="1"/>
    <col min="21" max="21" width="6.296875" style="47" customWidth="1"/>
    <col min="22" max="22" width="9.5" style="2" customWidth="1"/>
    <col min="23" max="16384" width="9" style="2"/>
  </cols>
  <sheetData>
    <row r="1" spans="1:28" s="19" customFormat="1" ht="19.95" customHeight="1">
      <c r="A1" s="759" t="s">
        <v>941</v>
      </c>
      <c r="B1" s="759"/>
      <c r="C1" s="759"/>
      <c r="D1" s="759"/>
      <c r="E1" s="759"/>
      <c r="F1" s="759"/>
      <c r="G1" s="759"/>
      <c r="H1" s="759"/>
      <c r="I1" s="759"/>
      <c r="J1" s="759"/>
      <c r="K1" s="759"/>
      <c r="L1" s="759"/>
      <c r="M1" s="759"/>
      <c r="N1" s="759"/>
      <c r="O1" s="759"/>
      <c r="P1" s="759"/>
      <c r="Q1" s="759"/>
      <c r="R1" s="759"/>
      <c r="S1" s="759"/>
      <c r="T1" s="759"/>
      <c r="U1" s="759"/>
      <c r="V1" s="759"/>
    </row>
    <row r="2" spans="1:28" s="528" customFormat="1" ht="19.95" customHeight="1">
      <c r="A2" s="760" t="s">
        <v>947</v>
      </c>
      <c r="B2" s="760"/>
      <c r="C2" s="760"/>
      <c r="D2" s="760"/>
      <c r="E2" s="760"/>
      <c r="F2" s="760"/>
      <c r="G2" s="760"/>
      <c r="H2" s="760"/>
      <c r="I2" s="760"/>
      <c r="J2" s="760"/>
      <c r="K2" s="760"/>
      <c r="L2" s="760"/>
      <c r="M2" s="760"/>
      <c r="N2" s="760"/>
      <c r="O2" s="760"/>
      <c r="P2" s="760"/>
      <c r="Q2" s="760"/>
      <c r="R2" s="760"/>
      <c r="S2" s="760"/>
      <c r="T2" s="760"/>
      <c r="U2" s="760"/>
      <c r="V2" s="760"/>
    </row>
    <row r="3" spans="1:28" ht="19.95" customHeight="1">
      <c r="A3" s="2" t="str">
        <f>底稿目录!A2</f>
        <v>被审计单位：</v>
      </c>
      <c r="B3" s="13"/>
      <c r="F3" s="2" t="str">
        <f>底稿目录!A4</f>
        <v>编制人：</v>
      </c>
      <c r="K3" s="2" t="str">
        <f>底稿目录!A6</f>
        <v>编制日期：</v>
      </c>
      <c r="L3" s="6"/>
      <c r="M3" s="6"/>
      <c r="N3" s="49"/>
      <c r="O3" s="49"/>
      <c r="P3" s="49"/>
      <c r="Q3" s="49"/>
      <c r="R3" s="49"/>
      <c r="U3" s="357" t="s">
        <v>733</v>
      </c>
      <c r="V3" s="210" t="s">
        <v>91</v>
      </c>
    </row>
    <row r="4" spans="1:28" ht="19.95" customHeight="1">
      <c r="A4" s="2" t="str">
        <f>底稿目录!A3</f>
        <v>截止日：202X年12月31日</v>
      </c>
      <c r="B4" s="13"/>
      <c r="F4" s="2" t="str">
        <f>底稿目录!A5</f>
        <v>复核人：</v>
      </c>
      <c r="K4" s="2" t="str">
        <f>底稿目录!A7</f>
        <v>复核日期：</v>
      </c>
      <c r="L4" s="6"/>
      <c r="M4" s="6"/>
      <c r="N4" s="49"/>
      <c r="O4" s="49"/>
      <c r="P4" s="49"/>
      <c r="Q4" s="49"/>
      <c r="R4" s="49"/>
      <c r="U4" s="357" t="s">
        <v>734</v>
      </c>
      <c r="V4" s="218"/>
    </row>
    <row r="5" spans="1:28" s="530" customFormat="1" ht="33.6" customHeight="1">
      <c r="A5" s="740" t="s">
        <v>659</v>
      </c>
      <c r="B5" s="740"/>
      <c r="C5" s="740"/>
      <c r="D5" s="740"/>
      <c r="E5" s="740"/>
      <c r="F5" s="740"/>
      <c r="G5" s="740"/>
      <c r="H5" s="740"/>
      <c r="I5" s="740"/>
      <c r="J5" s="740"/>
      <c r="K5" s="740"/>
      <c r="L5" s="740"/>
      <c r="M5" s="740"/>
      <c r="N5" s="740"/>
      <c r="O5" s="740"/>
      <c r="P5" s="740"/>
      <c r="Q5" s="740"/>
      <c r="R5" s="740"/>
      <c r="S5" s="740"/>
      <c r="T5" s="740"/>
      <c r="U5" s="740"/>
      <c r="V5" s="740"/>
      <c r="W5" s="529"/>
      <c r="X5" s="529"/>
      <c r="Y5" s="529"/>
      <c r="Z5" s="529"/>
      <c r="AA5" s="529"/>
      <c r="AB5" s="529"/>
    </row>
    <row r="6" spans="1:28" s="530" customFormat="1" ht="19.95" customHeight="1">
      <c r="A6" s="531" t="s">
        <v>660</v>
      </c>
      <c r="B6" s="531"/>
      <c r="C6" s="532"/>
      <c r="D6" s="532"/>
      <c r="E6" s="532"/>
      <c r="F6" s="532"/>
      <c r="G6" s="532"/>
      <c r="H6" s="532"/>
      <c r="I6" s="532"/>
      <c r="J6" s="532"/>
      <c r="K6" s="532"/>
      <c r="L6" s="532"/>
      <c r="M6" s="532"/>
      <c r="N6" s="533"/>
      <c r="O6" s="533"/>
      <c r="P6" s="533"/>
      <c r="Q6" s="533"/>
      <c r="R6" s="533"/>
      <c r="S6" s="533"/>
      <c r="T6" s="533"/>
      <c r="U6" s="533"/>
    </row>
    <row r="7" spans="1:28" s="536" customFormat="1" ht="19.95" customHeight="1">
      <c r="A7" s="534" t="s">
        <v>661</v>
      </c>
      <c r="B7" s="535" t="s">
        <v>848</v>
      </c>
      <c r="C7" s="532"/>
      <c r="D7" s="532"/>
      <c r="E7" s="532"/>
      <c r="F7" s="534"/>
      <c r="G7" s="535"/>
      <c r="H7" s="532"/>
      <c r="I7" s="534" t="s">
        <v>655</v>
      </c>
      <c r="J7" s="535" t="s">
        <v>662</v>
      </c>
      <c r="K7" s="532"/>
      <c r="L7" s="532"/>
      <c r="M7" s="532"/>
    </row>
    <row r="8" spans="1:28" s="536" customFormat="1" ht="19.95" customHeight="1">
      <c r="A8" s="534" t="s">
        <v>663</v>
      </c>
      <c r="B8" s="535" t="s">
        <v>664</v>
      </c>
      <c r="C8" s="532"/>
      <c r="D8" s="532"/>
      <c r="E8" s="532"/>
      <c r="F8" s="534"/>
      <c r="G8" s="535"/>
      <c r="H8" s="532"/>
      <c r="I8" s="534" t="s">
        <v>656</v>
      </c>
      <c r="J8" s="535"/>
      <c r="K8" s="535" t="s">
        <v>665</v>
      </c>
      <c r="L8" s="535" t="s">
        <v>666</v>
      </c>
      <c r="M8" s="532"/>
      <c r="N8" s="537"/>
      <c r="O8" s="537"/>
      <c r="P8" s="537"/>
      <c r="Q8" s="537"/>
      <c r="R8" s="537"/>
    </row>
    <row r="9" spans="1:28" s="536" customFormat="1" ht="19.95" customHeight="1">
      <c r="A9" s="534" t="s">
        <v>667</v>
      </c>
      <c r="B9" s="578" t="s">
        <v>932</v>
      </c>
      <c r="C9" s="532"/>
      <c r="D9" s="532"/>
      <c r="E9" s="532"/>
      <c r="F9" s="534"/>
      <c r="G9" s="535"/>
      <c r="H9" s="532"/>
      <c r="I9" s="534" t="s">
        <v>668</v>
      </c>
      <c r="J9" s="535" t="s">
        <v>669</v>
      </c>
      <c r="K9" s="532"/>
      <c r="L9" s="532"/>
      <c r="M9" s="532"/>
      <c r="N9" s="537"/>
      <c r="O9" s="537"/>
      <c r="P9" s="537"/>
      <c r="Q9" s="537"/>
      <c r="R9" s="537"/>
    </row>
    <row r="10" spans="1:28" s="17" customFormat="1" ht="19.95" customHeight="1">
      <c r="A10" s="42" t="s">
        <v>670</v>
      </c>
      <c r="B10" s="14"/>
      <c r="C10" s="14"/>
      <c r="D10" s="14"/>
      <c r="E10" s="14"/>
      <c r="F10" s="14"/>
      <c r="G10" s="14"/>
      <c r="H10" s="14"/>
      <c r="I10" s="15"/>
      <c r="J10" s="16"/>
      <c r="K10" s="16"/>
      <c r="L10" s="16"/>
      <c r="M10" s="16"/>
      <c r="N10" s="16"/>
      <c r="O10" s="16"/>
      <c r="P10" s="16"/>
      <c r="Q10" s="16"/>
      <c r="R10" s="16"/>
      <c r="S10" s="16"/>
      <c r="T10" s="16"/>
      <c r="U10" s="16"/>
      <c r="V10" s="16"/>
    </row>
    <row r="11" spans="1:28" s="17" customFormat="1" ht="19.95" customHeight="1">
      <c r="A11" s="380" t="s">
        <v>750</v>
      </c>
      <c r="B11" s="14"/>
      <c r="C11" s="14"/>
      <c r="D11" s="14"/>
      <c r="E11" s="14"/>
      <c r="F11" s="14"/>
      <c r="G11" s="14"/>
      <c r="H11" s="14"/>
      <c r="I11" s="15"/>
      <c r="J11" s="16"/>
      <c r="K11" s="16"/>
      <c r="L11" s="16"/>
      <c r="M11" s="16"/>
      <c r="N11" s="16"/>
      <c r="O11" s="16"/>
      <c r="P11" s="16"/>
      <c r="Q11" s="16"/>
      <c r="R11" s="16"/>
      <c r="S11" s="16"/>
      <c r="T11" s="16"/>
      <c r="U11" s="16"/>
      <c r="V11" s="16"/>
    </row>
    <row r="12" spans="1:28" s="538" customFormat="1" ht="19.95" customHeight="1">
      <c r="A12" s="736" t="s">
        <v>671</v>
      </c>
      <c r="B12" s="738" t="s">
        <v>501</v>
      </c>
      <c r="C12" s="738" t="s">
        <v>490</v>
      </c>
      <c r="D12" s="738" t="s">
        <v>652</v>
      </c>
      <c r="E12" s="738" t="s">
        <v>672</v>
      </c>
      <c r="F12" s="738" t="s">
        <v>673</v>
      </c>
      <c r="G12" s="738" t="s">
        <v>674</v>
      </c>
      <c r="H12" s="738" t="s">
        <v>675</v>
      </c>
      <c r="I12" s="715" t="s">
        <v>657</v>
      </c>
      <c r="J12" s="716"/>
      <c r="K12" s="716"/>
      <c r="L12" s="716"/>
      <c r="M12" s="716"/>
      <c r="N12" s="730" t="s">
        <v>849</v>
      </c>
      <c r="O12" s="715" t="s">
        <v>850</v>
      </c>
      <c r="P12" s="716"/>
      <c r="Q12" s="716"/>
      <c r="R12" s="716"/>
      <c r="S12" s="716"/>
      <c r="T12" s="741" t="s">
        <v>851</v>
      </c>
      <c r="U12" s="742" t="s">
        <v>852</v>
      </c>
      <c r="V12" s="728" t="s">
        <v>853</v>
      </c>
    </row>
    <row r="13" spans="1:28" s="538" customFormat="1" ht="31.2" customHeight="1">
      <c r="A13" s="737"/>
      <c r="B13" s="739"/>
      <c r="C13" s="739"/>
      <c r="D13" s="739"/>
      <c r="E13" s="739"/>
      <c r="F13" s="739"/>
      <c r="G13" s="739"/>
      <c r="H13" s="739"/>
      <c r="I13" s="498" t="s">
        <v>676</v>
      </c>
      <c r="J13" s="497" t="s">
        <v>658</v>
      </c>
      <c r="K13" s="497" t="s">
        <v>677</v>
      </c>
      <c r="L13" s="497" t="s">
        <v>498</v>
      </c>
      <c r="M13" s="497" t="s">
        <v>651</v>
      </c>
      <c r="N13" s="731"/>
      <c r="O13" s="471">
        <v>1</v>
      </c>
      <c r="P13" s="471">
        <v>2</v>
      </c>
      <c r="Q13" s="471">
        <v>3</v>
      </c>
      <c r="R13" s="471">
        <v>4</v>
      </c>
      <c r="S13" s="471">
        <v>5</v>
      </c>
      <c r="T13" s="741"/>
      <c r="U13" s="743"/>
      <c r="V13" s="729"/>
      <c r="W13" s="539"/>
    </row>
    <row r="14" spans="1:28" ht="19.95" customHeight="1">
      <c r="A14" s="71">
        <v>1</v>
      </c>
      <c r="B14" s="21"/>
      <c r="C14" s="343"/>
      <c r="D14" s="23"/>
      <c r="E14" s="344"/>
      <c r="F14" s="345"/>
      <c r="G14" s="343"/>
      <c r="H14" s="23"/>
      <c r="I14" s="346"/>
      <c r="J14" s="346"/>
      <c r="K14" s="346"/>
      <c r="L14" s="346"/>
      <c r="M14" s="167">
        <f>J14-K14-L14</f>
        <v>0</v>
      </c>
      <c r="N14" s="472"/>
      <c r="O14" s="382"/>
      <c r="P14" s="382"/>
      <c r="Q14" s="382"/>
      <c r="R14" s="382"/>
      <c r="S14" s="382"/>
      <c r="T14" s="472"/>
      <c r="U14" s="473"/>
      <c r="V14" s="473"/>
    </row>
    <row r="15" spans="1:28" ht="19.95" customHeight="1">
      <c r="A15" s="71">
        <v>2</v>
      </c>
      <c r="B15" s="21"/>
      <c r="C15" s="343"/>
      <c r="D15" s="23"/>
      <c r="E15" s="344"/>
      <c r="F15" s="345"/>
      <c r="G15" s="343"/>
      <c r="H15" s="23"/>
      <c r="I15" s="346"/>
      <c r="J15" s="346"/>
      <c r="K15" s="346"/>
      <c r="L15" s="346"/>
      <c r="M15" s="167">
        <f t="shared" ref="M15:M28" si="0">J15-K15-L15</f>
        <v>0</v>
      </c>
      <c r="N15" s="472"/>
      <c r="O15" s="382"/>
      <c r="P15" s="382"/>
      <c r="Q15" s="382"/>
      <c r="R15" s="382"/>
      <c r="S15" s="382"/>
      <c r="T15" s="472"/>
      <c r="U15" s="473"/>
      <c r="V15" s="473"/>
    </row>
    <row r="16" spans="1:28" ht="19.95" customHeight="1">
      <c r="A16" s="71">
        <v>3</v>
      </c>
      <c r="B16" s="21"/>
      <c r="C16" s="343"/>
      <c r="D16" s="23"/>
      <c r="E16" s="344"/>
      <c r="F16" s="345"/>
      <c r="G16" s="343"/>
      <c r="H16" s="23"/>
      <c r="I16" s="346"/>
      <c r="J16" s="346"/>
      <c r="K16" s="346"/>
      <c r="L16" s="346"/>
      <c r="M16" s="167">
        <f t="shared" si="0"/>
        <v>0</v>
      </c>
      <c r="N16" s="472"/>
      <c r="O16" s="382"/>
      <c r="P16" s="382"/>
      <c r="Q16" s="382"/>
      <c r="R16" s="382"/>
      <c r="S16" s="382"/>
      <c r="T16" s="472"/>
      <c r="U16" s="473"/>
      <c r="V16" s="473"/>
    </row>
    <row r="17" spans="1:22" ht="19.95" customHeight="1">
      <c r="A17" s="71">
        <v>4</v>
      </c>
      <c r="B17" s="21"/>
      <c r="C17" s="343"/>
      <c r="D17" s="23"/>
      <c r="E17" s="344"/>
      <c r="F17" s="345"/>
      <c r="G17" s="343"/>
      <c r="H17" s="23"/>
      <c r="I17" s="346"/>
      <c r="J17" s="346"/>
      <c r="K17" s="346"/>
      <c r="L17" s="346"/>
      <c r="M17" s="167">
        <f t="shared" si="0"/>
        <v>0</v>
      </c>
      <c r="N17" s="472"/>
      <c r="O17" s="382"/>
      <c r="P17" s="382"/>
      <c r="Q17" s="382"/>
      <c r="R17" s="382"/>
      <c r="S17" s="382"/>
      <c r="T17" s="472"/>
      <c r="U17" s="473"/>
      <c r="V17" s="473"/>
    </row>
    <row r="18" spans="1:22" ht="19.95" customHeight="1">
      <c r="A18" s="71">
        <v>5</v>
      </c>
      <c r="B18" s="21"/>
      <c r="C18" s="343"/>
      <c r="D18" s="23"/>
      <c r="E18" s="344"/>
      <c r="F18" s="345"/>
      <c r="G18" s="343"/>
      <c r="H18" s="23"/>
      <c r="I18" s="346"/>
      <c r="J18" s="346"/>
      <c r="K18" s="346"/>
      <c r="L18" s="346"/>
      <c r="M18" s="167">
        <f t="shared" si="0"/>
        <v>0</v>
      </c>
      <c r="N18" s="472"/>
      <c r="O18" s="382"/>
      <c r="P18" s="382"/>
      <c r="Q18" s="382"/>
      <c r="R18" s="382"/>
      <c r="S18" s="382"/>
      <c r="T18" s="472"/>
      <c r="U18" s="473"/>
      <c r="V18" s="473"/>
    </row>
    <row r="19" spans="1:22" ht="19.95" customHeight="1">
      <c r="A19" s="71">
        <v>6</v>
      </c>
      <c r="B19" s="21"/>
      <c r="C19" s="343"/>
      <c r="D19" s="23"/>
      <c r="E19" s="344"/>
      <c r="F19" s="345"/>
      <c r="G19" s="343"/>
      <c r="H19" s="23"/>
      <c r="I19" s="346"/>
      <c r="J19" s="346"/>
      <c r="K19" s="346"/>
      <c r="L19" s="346"/>
      <c r="M19" s="167">
        <f t="shared" si="0"/>
        <v>0</v>
      </c>
      <c r="N19" s="472"/>
      <c r="O19" s="382"/>
      <c r="P19" s="382"/>
      <c r="Q19" s="382"/>
      <c r="R19" s="382"/>
      <c r="S19" s="382"/>
      <c r="T19" s="472"/>
      <c r="U19" s="473"/>
      <c r="V19" s="473"/>
    </row>
    <row r="20" spans="1:22" ht="19.95" customHeight="1">
      <c r="A20" s="71">
        <v>7</v>
      </c>
      <c r="B20" s="21"/>
      <c r="C20" s="343"/>
      <c r="D20" s="23"/>
      <c r="E20" s="344"/>
      <c r="F20" s="345"/>
      <c r="G20" s="343"/>
      <c r="H20" s="23"/>
      <c r="I20" s="346"/>
      <c r="J20" s="346"/>
      <c r="K20" s="346"/>
      <c r="L20" s="346"/>
      <c r="M20" s="167">
        <f t="shared" si="0"/>
        <v>0</v>
      </c>
      <c r="N20" s="472"/>
      <c r="O20" s="382"/>
      <c r="P20" s="382"/>
      <c r="Q20" s="382"/>
      <c r="R20" s="382"/>
      <c r="S20" s="382"/>
      <c r="T20" s="472"/>
      <c r="U20" s="473"/>
      <c r="V20" s="473"/>
    </row>
    <row r="21" spans="1:22" ht="19.95" customHeight="1">
      <c r="A21" s="71">
        <v>8</v>
      </c>
      <c r="B21" s="21"/>
      <c r="C21" s="343"/>
      <c r="D21" s="23"/>
      <c r="E21" s="344"/>
      <c r="F21" s="345"/>
      <c r="G21" s="343"/>
      <c r="H21" s="23"/>
      <c r="I21" s="346"/>
      <c r="J21" s="346"/>
      <c r="K21" s="346"/>
      <c r="L21" s="346"/>
      <c r="M21" s="167">
        <f t="shared" si="0"/>
        <v>0</v>
      </c>
      <c r="N21" s="472"/>
      <c r="O21" s="382"/>
      <c r="P21" s="382"/>
      <c r="Q21" s="382"/>
      <c r="R21" s="382"/>
      <c r="S21" s="382"/>
      <c r="T21" s="472"/>
      <c r="U21" s="473"/>
      <c r="V21" s="473"/>
    </row>
    <row r="22" spans="1:22" ht="19.95" customHeight="1">
      <c r="A22" s="71">
        <v>9</v>
      </c>
      <c r="B22" s="21"/>
      <c r="C22" s="343"/>
      <c r="D22" s="23"/>
      <c r="E22" s="344"/>
      <c r="F22" s="345"/>
      <c r="G22" s="343"/>
      <c r="H22" s="23"/>
      <c r="I22" s="346"/>
      <c r="J22" s="346"/>
      <c r="K22" s="346"/>
      <c r="L22" s="346"/>
      <c r="M22" s="167">
        <f t="shared" si="0"/>
        <v>0</v>
      </c>
      <c r="N22" s="472"/>
      <c r="O22" s="382"/>
      <c r="P22" s="382"/>
      <c r="Q22" s="382"/>
      <c r="R22" s="382"/>
      <c r="S22" s="382"/>
      <c r="T22" s="472"/>
      <c r="U22" s="473"/>
      <c r="V22" s="473"/>
    </row>
    <row r="23" spans="1:22" ht="19.95" customHeight="1">
      <c r="A23" s="71">
        <v>10</v>
      </c>
      <c r="B23" s="21"/>
      <c r="C23" s="343"/>
      <c r="D23" s="23"/>
      <c r="E23" s="344"/>
      <c r="F23" s="345"/>
      <c r="G23" s="343"/>
      <c r="H23" s="23"/>
      <c r="I23" s="346"/>
      <c r="J23" s="346"/>
      <c r="K23" s="346"/>
      <c r="L23" s="346"/>
      <c r="M23" s="167">
        <f t="shared" si="0"/>
        <v>0</v>
      </c>
      <c r="N23" s="472"/>
      <c r="O23" s="382"/>
      <c r="P23" s="382"/>
      <c r="Q23" s="382"/>
      <c r="R23" s="382"/>
      <c r="S23" s="382"/>
      <c r="T23" s="472"/>
      <c r="U23" s="473"/>
      <c r="V23" s="473"/>
    </row>
    <row r="24" spans="1:22" ht="19.95" customHeight="1">
      <c r="A24" s="71">
        <v>11</v>
      </c>
      <c r="B24" s="21"/>
      <c r="C24" s="343"/>
      <c r="D24" s="23"/>
      <c r="E24" s="344"/>
      <c r="F24" s="345"/>
      <c r="G24" s="343"/>
      <c r="H24" s="23"/>
      <c r="I24" s="346"/>
      <c r="J24" s="346"/>
      <c r="K24" s="346"/>
      <c r="L24" s="346"/>
      <c r="M24" s="167">
        <f t="shared" si="0"/>
        <v>0</v>
      </c>
      <c r="N24" s="472"/>
      <c r="O24" s="382"/>
      <c r="P24" s="382"/>
      <c r="Q24" s="382"/>
      <c r="R24" s="382"/>
      <c r="S24" s="382"/>
      <c r="T24" s="472"/>
      <c r="U24" s="473"/>
      <c r="V24" s="473"/>
    </row>
    <row r="25" spans="1:22" ht="19.95" customHeight="1">
      <c r="A25" s="71">
        <v>12</v>
      </c>
      <c r="B25" s="21"/>
      <c r="C25" s="343"/>
      <c r="D25" s="23"/>
      <c r="E25" s="344"/>
      <c r="F25" s="345"/>
      <c r="G25" s="343"/>
      <c r="H25" s="23"/>
      <c r="I25" s="346"/>
      <c r="J25" s="346"/>
      <c r="K25" s="346"/>
      <c r="L25" s="346"/>
      <c r="M25" s="167">
        <f t="shared" si="0"/>
        <v>0</v>
      </c>
      <c r="N25" s="472"/>
      <c r="O25" s="382"/>
      <c r="P25" s="382"/>
      <c r="Q25" s="382"/>
      <c r="R25" s="382"/>
      <c r="S25" s="382"/>
      <c r="T25" s="472"/>
      <c r="U25" s="473"/>
      <c r="V25" s="473"/>
    </row>
    <row r="26" spans="1:22" ht="19.95" customHeight="1">
      <c r="A26" s="71">
        <v>13</v>
      </c>
      <c r="B26" s="21"/>
      <c r="C26" s="343"/>
      <c r="D26" s="23"/>
      <c r="E26" s="344"/>
      <c r="F26" s="345"/>
      <c r="G26" s="343"/>
      <c r="H26" s="23"/>
      <c r="I26" s="346"/>
      <c r="J26" s="346"/>
      <c r="K26" s="346"/>
      <c r="L26" s="346"/>
      <c r="M26" s="167">
        <f t="shared" si="0"/>
        <v>0</v>
      </c>
      <c r="N26" s="472"/>
      <c r="O26" s="382"/>
      <c r="P26" s="382"/>
      <c r="Q26" s="382"/>
      <c r="R26" s="382"/>
      <c r="S26" s="382"/>
      <c r="T26" s="472"/>
      <c r="U26" s="473"/>
      <c r="V26" s="473"/>
    </row>
    <row r="27" spans="1:22" ht="19.95" customHeight="1">
      <c r="A27" s="71">
        <v>14</v>
      </c>
      <c r="B27" s="21"/>
      <c r="C27" s="343"/>
      <c r="D27" s="23"/>
      <c r="E27" s="344"/>
      <c r="F27" s="345"/>
      <c r="G27" s="343"/>
      <c r="H27" s="23"/>
      <c r="I27" s="346"/>
      <c r="J27" s="346"/>
      <c r="K27" s="346"/>
      <c r="L27" s="346"/>
      <c r="M27" s="167">
        <f t="shared" si="0"/>
        <v>0</v>
      </c>
      <c r="N27" s="472"/>
      <c r="O27" s="382"/>
      <c r="P27" s="382"/>
      <c r="Q27" s="382"/>
      <c r="R27" s="382"/>
      <c r="S27" s="382"/>
      <c r="T27" s="472"/>
      <c r="U27" s="473"/>
      <c r="V27" s="473"/>
    </row>
    <row r="28" spans="1:22" ht="19.95" customHeight="1">
      <c r="A28" s="71">
        <v>15</v>
      </c>
      <c r="B28" s="21"/>
      <c r="C28" s="343"/>
      <c r="D28" s="23"/>
      <c r="E28" s="344"/>
      <c r="F28" s="345"/>
      <c r="G28" s="343"/>
      <c r="H28" s="23"/>
      <c r="I28" s="346"/>
      <c r="J28" s="346"/>
      <c r="K28" s="346"/>
      <c r="L28" s="346"/>
      <c r="M28" s="167">
        <f t="shared" si="0"/>
        <v>0</v>
      </c>
      <c r="N28" s="472"/>
      <c r="O28" s="382"/>
      <c r="P28" s="382"/>
      <c r="Q28" s="382"/>
      <c r="R28" s="382"/>
      <c r="S28" s="382"/>
      <c r="T28" s="472"/>
      <c r="U28" s="473"/>
      <c r="V28" s="473"/>
    </row>
    <row r="29" spans="1:22" ht="19.95" customHeight="1">
      <c r="A29" s="71" t="s">
        <v>933</v>
      </c>
      <c r="B29" s="21"/>
      <c r="C29" s="343"/>
      <c r="D29" s="23"/>
      <c r="E29" s="344"/>
      <c r="F29" s="345"/>
      <c r="G29" s="343"/>
      <c r="H29" s="23"/>
      <c r="I29" s="346"/>
      <c r="J29" s="346"/>
      <c r="K29" s="346"/>
      <c r="L29" s="346"/>
      <c r="M29" s="167">
        <f>J29-K29-L29</f>
        <v>0</v>
      </c>
      <c r="N29" s="472"/>
      <c r="O29" s="382"/>
      <c r="P29" s="382"/>
      <c r="Q29" s="382"/>
      <c r="R29" s="382"/>
      <c r="S29" s="382"/>
      <c r="T29" s="472"/>
      <c r="U29" s="473"/>
      <c r="V29" s="473"/>
    </row>
    <row r="30" spans="1:22" ht="19.95" customHeight="1">
      <c r="A30" s="735" t="s">
        <v>653</v>
      </c>
      <c r="B30" s="733"/>
      <c r="C30" s="733"/>
      <c r="D30" s="733"/>
      <c r="E30" s="733"/>
      <c r="F30" s="733"/>
      <c r="G30" s="733"/>
      <c r="H30" s="734"/>
      <c r="I30" s="166">
        <f t="shared" ref="I30:L30" si="1">SUM(I14:I29)</f>
        <v>0</v>
      </c>
      <c r="J30" s="166">
        <f t="shared" si="1"/>
        <v>0</v>
      </c>
      <c r="K30" s="166">
        <f t="shared" si="1"/>
        <v>0</v>
      </c>
      <c r="L30" s="166">
        <f t="shared" si="1"/>
        <v>0</v>
      </c>
      <c r="M30" s="323">
        <f>SUM(M14:M29)</f>
        <v>0</v>
      </c>
      <c r="N30" s="353"/>
      <c r="O30" s="353"/>
      <c r="P30" s="353"/>
      <c r="Q30" s="353"/>
      <c r="R30" s="353"/>
      <c r="S30" s="353"/>
      <c r="T30" s="353"/>
      <c r="U30" s="353"/>
      <c r="V30" s="353"/>
    </row>
    <row r="31" spans="1:22" ht="19.95" customHeight="1">
      <c r="A31" s="735" t="s">
        <v>654</v>
      </c>
      <c r="B31" s="733"/>
      <c r="C31" s="733"/>
      <c r="D31" s="733"/>
      <c r="E31" s="733"/>
      <c r="F31" s="733"/>
      <c r="G31" s="733"/>
      <c r="H31" s="734"/>
      <c r="I31" s="347"/>
      <c r="J31" s="348">
        <f>'明细表H8-2'!U32</f>
        <v>0</v>
      </c>
      <c r="K31" s="347"/>
      <c r="L31" s="347"/>
      <c r="M31" s="347"/>
      <c r="N31" s="349"/>
      <c r="O31" s="349"/>
      <c r="P31" s="349"/>
      <c r="Q31" s="349"/>
      <c r="R31" s="349"/>
      <c r="S31" s="349"/>
      <c r="T31" s="349"/>
      <c r="U31" s="349"/>
      <c r="V31" s="350"/>
    </row>
    <row r="32" spans="1:22" ht="19.95" customHeight="1">
      <c r="A32" s="732" t="s">
        <v>938</v>
      </c>
      <c r="B32" s="733"/>
      <c r="C32" s="733"/>
      <c r="D32" s="733"/>
      <c r="E32" s="733"/>
      <c r="F32" s="733"/>
      <c r="G32" s="733"/>
      <c r="H32" s="734"/>
      <c r="I32" s="347"/>
      <c r="J32" s="351">
        <f>IF(J30=0,0,J30/$J$31)</f>
        <v>0</v>
      </c>
      <c r="K32" s="347"/>
      <c r="L32" s="347"/>
      <c r="M32" s="347"/>
      <c r="N32" s="352"/>
      <c r="O32" s="352"/>
      <c r="P32" s="352"/>
      <c r="Q32" s="352"/>
      <c r="R32" s="352"/>
      <c r="S32" s="352"/>
      <c r="T32" s="352"/>
      <c r="U32" s="352"/>
      <c r="V32" s="353"/>
    </row>
    <row r="33" spans="1:22" ht="19.95" customHeight="1">
      <c r="A33" s="302" t="s">
        <v>678</v>
      </c>
      <c r="B33" s="9"/>
      <c r="C33" s="9"/>
      <c r="D33" s="9"/>
      <c r="E33" s="9"/>
      <c r="F33" s="9"/>
      <c r="G33" s="9"/>
      <c r="H33" s="9"/>
      <c r="I33" s="9"/>
      <c r="J33" s="9"/>
      <c r="K33" s="9"/>
      <c r="L33" s="9"/>
      <c r="M33" s="303"/>
      <c r="N33" s="2"/>
      <c r="O33" s="2"/>
      <c r="P33" s="2"/>
      <c r="Q33" s="2"/>
      <c r="R33" s="2"/>
      <c r="S33" s="51"/>
      <c r="T33" s="51"/>
      <c r="U33" s="51"/>
      <c r="V33" s="41"/>
    </row>
    <row r="34" spans="1:22" ht="19.95" customHeight="1">
      <c r="A34" s="601" t="s">
        <v>939</v>
      </c>
      <c r="M34" s="361"/>
      <c r="N34" s="2"/>
      <c r="O34" s="2"/>
      <c r="P34" s="2"/>
      <c r="Q34" s="2"/>
      <c r="R34" s="2"/>
      <c r="S34" s="52"/>
      <c r="T34" s="52"/>
      <c r="U34" s="52"/>
      <c r="V34" s="20"/>
    </row>
    <row r="35" spans="1:22" s="18" customFormat="1" ht="19.95" customHeight="1">
      <c r="A35" s="601" t="s">
        <v>940</v>
      </c>
      <c r="M35" s="361"/>
      <c r="S35" s="53"/>
      <c r="T35" s="53"/>
      <c r="U35" s="54"/>
      <c r="V35" s="24"/>
    </row>
    <row r="36" spans="1:22" ht="19.95" customHeight="1">
      <c r="A36" s="18" t="s">
        <v>679</v>
      </c>
      <c r="M36" s="361"/>
      <c r="N36" s="2"/>
      <c r="O36" s="2"/>
      <c r="P36" s="2"/>
      <c r="Q36" s="2"/>
      <c r="R36" s="2"/>
      <c r="S36" s="49"/>
      <c r="T36" s="49"/>
      <c r="U36" s="49"/>
      <c r="V36" s="20"/>
    </row>
    <row r="37" spans="1:22" ht="19.95" customHeight="1">
      <c r="A37" s="18"/>
      <c r="N37" s="49"/>
      <c r="O37" s="49"/>
      <c r="P37" s="49"/>
      <c r="Q37" s="49"/>
      <c r="R37" s="49"/>
      <c r="S37" s="49"/>
      <c r="T37" s="49"/>
      <c r="U37" s="49"/>
      <c r="V37" s="20"/>
    </row>
    <row r="38" spans="1:22" ht="19.95" customHeight="1">
      <c r="N38" s="49"/>
      <c r="O38" s="49"/>
      <c r="P38" s="49"/>
      <c r="Q38" s="49"/>
      <c r="R38" s="49"/>
      <c r="S38" s="49"/>
      <c r="T38" s="49"/>
      <c r="U38" s="49"/>
      <c r="V38" s="20"/>
    </row>
    <row r="39" spans="1:22" ht="19.95" customHeight="1">
      <c r="A39" s="12"/>
      <c r="C39" s="20"/>
      <c r="D39" s="20"/>
      <c r="E39" s="20"/>
      <c r="F39" s="20"/>
      <c r="G39" s="20"/>
      <c r="H39" s="20"/>
      <c r="I39" s="20"/>
      <c r="J39" s="20"/>
      <c r="K39" s="20"/>
      <c r="L39" s="20"/>
      <c r="M39" s="20"/>
      <c r="N39" s="49"/>
      <c r="O39" s="49"/>
      <c r="P39" s="49"/>
      <c r="Q39" s="49"/>
      <c r="R39" s="49"/>
      <c r="S39" s="49"/>
      <c r="T39" s="49"/>
      <c r="U39" s="49"/>
      <c r="V39" s="20"/>
    </row>
  </sheetData>
  <mergeCells count="20">
    <mergeCell ref="A5:V5"/>
    <mergeCell ref="H12:H13"/>
    <mergeCell ref="T12:T13"/>
    <mergeCell ref="U12:U13"/>
    <mergeCell ref="V12:V13"/>
    <mergeCell ref="N12:N13"/>
    <mergeCell ref="O12:S12"/>
    <mergeCell ref="A32:H32"/>
    <mergeCell ref="A1:V1"/>
    <mergeCell ref="A2:V2"/>
    <mergeCell ref="I12:M12"/>
    <mergeCell ref="A30:H30"/>
    <mergeCell ref="A31:H31"/>
    <mergeCell ref="A12:A13"/>
    <mergeCell ref="B12:B13"/>
    <mergeCell ref="C12:C13"/>
    <mergeCell ref="D12:D13"/>
    <mergeCell ref="E12:E13"/>
    <mergeCell ref="F12:F13"/>
    <mergeCell ref="G12:G13"/>
  </mergeCells>
  <phoneticPr fontId="11" type="noConversion"/>
  <dataValidations count="4">
    <dataValidation type="list" allowBlank="1" showInputMessage="1" showErrorMessage="1" sqref="N31:U32">
      <formula1>"√,×"</formula1>
    </dataValidation>
    <dataValidation type="list" allowBlank="1" showInputMessage="1" showErrorMessage="1" prompt="如要修改下列框的选项，单击“数据-数据有效性-设置-序列-来源”。_x000a_" sqref="E14:E29">
      <formula1>"处置,其他减少"</formula1>
    </dataValidation>
    <dataValidation type="list" allowBlank="1" showInputMessage="1" showErrorMessage="1" prompt="如要修改下列框的选项，单击“数据-数据有效性-设置-序列-来源”。" sqref="B14:B29">
      <formula1>"房屋及建筑物,机器设备,运输设备,办公设备,其他设备"</formula1>
    </dataValidation>
    <dataValidation type="list" allowBlank="1" showInputMessage="1" showErrorMessage="1" sqref="O14:S29">
      <formula1>"√,X"</formula1>
    </dataValidation>
  </dataValidations>
  <hyperlinks>
    <hyperlink ref="V3" location="底稿目录!A1" display="H8A"/>
  </hyperlinks>
  <printOptions horizontalCentered="1"/>
  <pageMargins left="0.39370078740157483" right="0.39370078740157483" top="0.35433070866141736" bottom="0.27559055118110237" header="0.31496062992125984" footer="0.19685039370078741"/>
  <pageSetup paperSize="9" scale="70" orientation="landscape" blackAndWhite="1" r:id="rId1"/>
  <headerFooter alignWithMargins="0">
    <oddFooter>&amp;C&amp;P/&amp;N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R99"/>
  <sheetViews>
    <sheetView view="pageBreakPreview" zoomScaleSheetLayoutView="100" workbookViewId="0">
      <selection sqref="A1:O1"/>
    </sheetView>
  </sheetViews>
  <sheetFormatPr defaultColWidth="9" defaultRowHeight="19.95" customHeight="1"/>
  <cols>
    <col min="1" max="1" width="6.5" style="2" customWidth="1"/>
    <col min="2" max="2" width="11.59765625" style="2" customWidth="1"/>
    <col min="3" max="3" width="14.19921875" style="2" customWidth="1"/>
    <col min="4" max="4" width="10.09765625" style="2" customWidth="1"/>
    <col min="5" max="5" width="10.59765625" style="2" customWidth="1"/>
    <col min="6" max="6" width="9.09765625" style="2" customWidth="1"/>
    <col min="7" max="9" width="10.09765625" style="2" customWidth="1"/>
    <col min="10" max="10" width="10.5" style="2" customWidth="1"/>
    <col min="11" max="11" width="11.09765625" style="2" customWidth="1"/>
    <col min="12" max="12" width="12" style="2" customWidth="1"/>
    <col min="13" max="13" width="10.5" style="2" customWidth="1"/>
    <col min="14" max="14" width="13.3984375" style="2" customWidth="1"/>
    <col min="15" max="15" width="9.69921875" style="13" customWidth="1"/>
    <col min="16" max="16" width="9" style="2"/>
    <col min="17" max="17" width="9.09765625" style="2" customWidth="1"/>
    <col min="18" max="16384" width="9" style="2"/>
  </cols>
  <sheetData>
    <row r="1" spans="1:18" s="19" customFormat="1" ht="19.95" customHeight="1">
      <c r="A1" s="761" t="s">
        <v>941</v>
      </c>
      <c r="B1" s="761"/>
      <c r="C1" s="762"/>
      <c r="D1" s="762"/>
      <c r="E1" s="762"/>
      <c r="F1" s="762"/>
      <c r="G1" s="762"/>
      <c r="H1" s="762"/>
      <c r="I1" s="762"/>
      <c r="J1" s="762"/>
      <c r="K1" s="762"/>
      <c r="L1" s="762"/>
      <c r="M1" s="762"/>
      <c r="N1" s="762"/>
      <c r="O1" s="762"/>
    </row>
    <row r="2" spans="1:18" s="313" customFormat="1" ht="19.95" customHeight="1">
      <c r="A2" s="763" t="s">
        <v>948</v>
      </c>
      <c r="B2" s="763"/>
      <c r="C2" s="763"/>
      <c r="D2" s="763"/>
      <c r="E2" s="763"/>
      <c r="F2" s="763"/>
      <c r="G2" s="763"/>
      <c r="H2" s="763"/>
      <c r="I2" s="763"/>
      <c r="J2" s="763"/>
      <c r="K2" s="763"/>
      <c r="L2" s="763"/>
      <c r="M2" s="763"/>
      <c r="N2" s="763"/>
      <c r="O2" s="763"/>
    </row>
    <row r="3" spans="1:18" ht="19.95" customHeight="1">
      <c r="A3" s="2" t="str">
        <f>底稿目录!A2</f>
        <v>被审计单位：</v>
      </c>
      <c r="E3" s="13" t="str">
        <f>底稿目录!A4</f>
        <v>编制人：</v>
      </c>
      <c r="K3" s="2" t="str">
        <f>底稿目录!A6</f>
        <v>编制日期：</v>
      </c>
      <c r="L3" s="69"/>
      <c r="N3" s="357" t="s">
        <v>733</v>
      </c>
      <c r="O3" s="210" t="s">
        <v>90</v>
      </c>
    </row>
    <row r="4" spans="1:18" ht="19.95" customHeight="1">
      <c r="A4" s="2" t="str">
        <f>底稿目录!A3</f>
        <v>截止日：202X年12月31日</v>
      </c>
      <c r="E4" s="13" t="str">
        <f>底稿目录!A5</f>
        <v>复核人：</v>
      </c>
      <c r="K4" s="2" t="str">
        <f>底稿目录!A7</f>
        <v>复核日期：</v>
      </c>
      <c r="L4" s="69"/>
      <c r="N4" s="357" t="s">
        <v>734</v>
      </c>
      <c r="O4" s="218"/>
    </row>
    <row r="5" spans="1:18" s="17" customFormat="1" ht="19.95" customHeight="1">
      <c r="A5" s="43" t="s">
        <v>633</v>
      </c>
      <c r="B5" s="290"/>
      <c r="C5" s="43"/>
      <c r="D5" s="43"/>
      <c r="E5" s="43"/>
      <c r="F5" s="43"/>
      <c r="G5" s="43"/>
      <c r="H5" s="43"/>
      <c r="I5" s="43"/>
      <c r="J5" s="43"/>
      <c r="K5" s="43"/>
      <c r="L5" s="43"/>
      <c r="M5" s="43"/>
      <c r="N5" s="43"/>
      <c r="O5" s="291"/>
    </row>
    <row r="6" spans="1:18" s="530" customFormat="1" ht="19.95" customHeight="1">
      <c r="A6" s="499" t="s">
        <v>634</v>
      </c>
      <c r="B6" s="540"/>
      <c r="C6" s="499"/>
      <c r="D6" s="499"/>
      <c r="E6" s="499"/>
      <c r="F6" s="499"/>
      <c r="G6" s="499"/>
      <c r="H6" s="499"/>
      <c r="I6" s="499"/>
      <c r="J6" s="499"/>
      <c r="K6" s="499"/>
      <c r="L6" s="499"/>
      <c r="M6" s="499"/>
      <c r="N6" s="499"/>
      <c r="O6" s="541"/>
    </row>
    <row r="7" spans="1:18" s="530" customFormat="1" ht="19.95" customHeight="1">
      <c r="A7" s="499" t="s">
        <v>635</v>
      </c>
      <c r="B7" s="540"/>
      <c r="C7" s="499"/>
      <c r="D7" s="499"/>
      <c r="E7" s="499"/>
      <c r="F7" s="499"/>
      <c r="G7" s="499"/>
      <c r="H7" s="499"/>
      <c r="I7" s="499"/>
      <c r="J7" s="499"/>
      <c r="K7" s="499"/>
      <c r="L7" s="499"/>
      <c r="M7" s="499"/>
      <c r="N7" s="499"/>
      <c r="O7" s="541"/>
    </row>
    <row r="8" spans="1:18" s="17" customFormat="1" ht="19.95" customHeight="1">
      <c r="A8" s="43" t="s">
        <v>486</v>
      </c>
      <c r="C8" s="290"/>
      <c r="D8" s="290"/>
      <c r="E8" s="290"/>
      <c r="F8" s="290"/>
      <c r="G8" s="290"/>
      <c r="H8" s="290"/>
      <c r="I8" s="290"/>
      <c r="J8" s="290"/>
      <c r="K8" s="290"/>
      <c r="L8" s="290"/>
      <c r="M8" s="290"/>
      <c r="N8" s="290"/>
      <c r="O8" s="291"/>
    </row>
    <row r="9" spans="1:18" s="12" customFormat="1" ht="31.2" customHeight="1">
      <c r="A9" s="198" t="s">
        <v>67</v>
      </c>
      <c r="B9" s="198" t="s">
        <v>636</v>
      </c>
      <c r="C9" s="198" t="s">
        <v>637</v>
      </c>
      <c r="D9" s="198" t="s">
        <v>638</v>
      </c>
      <c r="E9" s="198" t="s">
        <v>639</v>
      </c>
      <c r="F9" s="198" t="s">
        <v>640</v>
      </c>
      <c r="G9" s="198" t="s">
        <v>641</v>
      </c>
      <c r="H9" s="198" t="s">
        <v>642</v>
      </c>
      <c r="I9" s="198" t="s">
        <v>643</v>
      </c>
      <c r="J9" s="198" t="s">
        <v>644</v>
      </c>
      <c r="K9" s="198" t="s">
        <v>645</v>
      </c>
      <c r="L9" s="198" t="s">
        <v>646</v>
      </c>
      <c r="M9" s="198" t="s">
        <v>647</v>
      </c>
      <c r="N9" s="198" t="s">
        <v>648</v>
      </c>
      <c r="O9" s="198" t="s">
        <v>57</v>
      </c>
      <c r="P9" s="292"/>
      <c r="Q9" s="292"/>
      <c r="R9" s="292"/>
    </row>
    <row r="10" spans="1:18" ht="19.95" customHeight="1">
      <c r="A10" s="71">
        <v>1</v>
      </c>
      <c r="B10" s="68"/>
      <c r="C10" s="8"/>
      <c r="D10" s="8"/>
      <c r="E10" s="76"/>
      <c r="F10" s="76"/>
      <c r="G10" s="76"/>
      <c r="H10" s="305"/>
      <c r="I10" s="305"/>
      <c r="J10" s="305"/>
      <c r="K10" s="80">
        <f>I10*J10</f>
        <v>0</v>
      </c>
      <c r="L10" s="55"/>
      <c r="M10" s="80">
        <f>K10-L10</f>
        <v>0</v>
      </c>
      <c r="N10" s="474"/>
      <c r="O10" s="71"/>
      <c r="P10" s="290"/>
      <c r="Q10" s="290"/>
      <c r="R10" s="290"/>
    </row>
    <row r="11" spans="1:18" ht="19.95" customHeight="1">
      <c r="A11" s="71">
        <v>2</v>
      </c>
      <c r="B11" s="68"/>
      <c r="C11" s="8"/>
      <c r="D11" s="8"/>
      <c r="E11" s="76"/>
      <c r="F11" s="76"/>
      <c r="G11" s="76"/>
      <c r="H11" s="305"/>
      <c r="I11" s="305"/>
      <c r="J11" s="305"/>
      <c r="K11" s="80">
        <f t="shared" ref="K11:K17" si="0">I11*J11</f>
        <v>0</v>
      </c>
      <c r="L11" s="55"/>
      <c r="M11" s="80">
        <f t="shared" ref="M11:M17" si="1">K11-L11</f>
        <v>0</v>
      </c>
      <c r="N11" s="342"/>
      <c r="O11" s="71"/>
      <c r="P11" s="290"/>
      <c r="Q11" s="290"/>
      <c r="R11" s="290"/>
    </row>
    <row r="12" spans="1:18" ht="19.95" customHeight="1">
      <c r="A12" s="71">
        <v>3</v>
      </c>
      <c r="B12" s="68"/>
      <c r="C12" s="8"/>
      <c r="D12" s="8"/>
      <c r="E12" s="76"/>
      <c r="F12" s="76"/>
      <c r="G12" s="76"/>
      <c r="H12" s="305"/>
      <c r="I12" s="305"/>
      <c r="J12" s="305"/>
      <c r="K12" s="80">
        <f t="shared" si="0"/>
        <v>0</v>
      </c>
      <c r="L12" s="55"/>
      <c r="M12" s="80">
        <f t="shared" si="1"/>
        <v>0</v>
      </c>
      <c r="N12" s="342"/>
      <c r="O12" s="71"/>
      <c r="P12" s="290"/>
      <c r="Q12" s="290"/>
      <c r="R12" s="290"/>
    </row>
    <row r="13" spans="1:18" ht="19.95" customHeight="1">
      <c r="A13" s="71">
        <v>4</v>
      </c>
      <c r="B13" s="68"/>
      <c r="C13" s="8"/>
      <c r="D13" s="8"/>
      <c r="E13" s="76"/>
      <c r="F13" s="76"/>
      <c r="G13" s="76"/>
      <c r="H13" s="305"/>
      <c r="I13" s="305"/>
      <c r="J13" s="305"/>
      <c r="K13" s="80">
        <f t="shared" si="0"/>
        <v>0</v>
      </c>
      <c r="L13" s="55"/>
      <c r="M13" s="80">
        <f t="shared" si="1"/>
        <v>0</v>
      </c>
      <c r="N13" s="342"/>
      <c r="O13" s="71"/>
      <c r="P13" s="290"/>
      <c r="Q13" s="290"/>
      <c r="R13" s="290"/>
    </row>
    <row r="14" spans="1:18" ht="19.95" customHeight="1">
      <c r="A14" s="71">
        <v>5</v>
      </c>
      <c r="B14" s="68"/>
      <c r="C14" s="8"/>
      <c r="D14" s="8"/>
      <c r="E14" s="76"/>
      <c r="F14" s="76"/>
      <c r="G14" s="76"/>
      <c r="H14" s="305"/>
      <c r="I14" s="305"/>
      <c r="J14" s="305"/>
      <c r="K14" s="80">
        <f t="shared" si="0"/>
        <v>0</v>
      </c>
      <c r="L14" s="55"/>
      <c r="M14" s="80">
        <f t="shared" si="1"/>
        <v>0</v>
      </c>
      <c r="N14" s="342"/>
      <c r="O14" s="71"/>
      <c r="P14" s="290"/>
      <c r="Q14" s="290"/>
      <c r="R14" s="290"/>
    </row>
    <row r="15" spans="1:18" ht="19.95" customHeight="1">
      <c r="A15" s="71">
        <v>6</v>
      </c>
      <c r="B15" s="68"/>
      <c r="C15" s="8"/>
      <c r="D15" s="8"/>
      <c r="E15" s="76"/>
      <c r="F15" s="76"/>
      <c r="G15" s="76"/>
      <c r="H15" s="305"/>
      <c r="I15" s="305"/>
      <c r="J15" s="305"/>
      <c r="K15" s="80">
        <f t="shared" si="0"/>
        <v>0</v>
      </c>
      <c r="L15" s="55"/>
      <c r="M15" s="80">
        <f t="shared" si="1"/>
        <v>0</v>
      </c>
      <c r="N15" s="342"/>
      <c r="O15" s="71"/>
      <c r="P15" s="290"/>
      <c r="Q15" s="290"/>
      <c r="R15" s="290"/>
    </row>
    <row r="16" spans="1:18" ht="19.95" customHeight="1">
      <c r="A16" s="71">
        <v>7</v>
      </c>
      <c r="B16" s="68"/>
      <c r="C16" s="8"/>
      <c r="D16" s="8"/>
      <c r="E16" s="76"/>
      <c r="F16" s="76"/>
      <c r="G16" s="76"/>
      <c r="H16" s="305"/>
      <c r="I16" s="305"/>
      <c r="J16" s="305"/>
      <c r="K16" s="80">
        <f t="shared" si="0"/>
        <v>0</v>
      </c>
      <c r="L16" s="55"/>
      <c r="M16" s="80">
        <f t="shared" si="1"/>
        <v>0</v>
      </c>
      <c r="N16" s="342"/>
      <c r="O16" s="71"/>
      <c r="P16" s="290"/>
      <c r="Q16" s="290"/>
      <c r="R16" s="290"/>
    </row>
    <row r="17" spans="1:18" ht="19.95" customHeight="1">
      <c r="A17" s="71">
        <v>8</v>
      </c>
      <c r="B17" s="68"/>
      <c r="C17" s="8"/>
      <c r="D17" s="8"/>
      <c r="E17" s="76"/>
      <c r="F17" s="76"/>
      <c r="G17" s="76"/>
      <c r="H17" s="305"/>
      <c r="I17" s="305"/>
      <c r="J17" s="305"/>
      <c r="K17" s="80">
        <f t="shared" si="0"/>
        <v>0</v>
      </c>
      <c r="L17" s="55"/>
      <c r="M17" s="80">
        <f t="shared" si="1"/>
        <v>0</v>
      </c>
      <c r="N17" s="342"/>
      <c r="O17" s="71"/>
      <c r="P17" s="290"/>
      <c r="Q17" s="290"/>
      <c r="R17" s="290"/>
    </row>
    <row r="18" spans="1:18" ht="19.95" customHeight="1">
      <c r="A18" s="71">
        <v>9</v>
      </c>
      <c r="B18" s="68"/>
      <c r="C18" s="8"/>
      <c r="D18" s="8"/>
      <c r="E18" s="76"/>
      <c r="F18" s="76"/>
      <c r="G18" s="76"/>
      <c r="H18" s="305"/>
      <c r="I18" s="305"/>
      <c r="J18" s="305"/>
      <c r="K18" s="80">
        <f t="shared" ref="K18:K19" si="2">I18*J18</f>
        <v>0</v>
      </c>
      <c r="L18" s="55"/>
      <c r="M18" s="80">
        <f t="shared" ref="M18:M19" si="3">K18-L18</f>
        <v>0</v>
      </c>
      <c r="N18" s="342"/>
      <c r="O18" s="71"/>
      <c r="P18" s="290"/>
      <c r="Q18" s="290"/>
      <c r="R18" s="290"/>
    </row>
    <row r="19" spans="1:18" ht="19.95" customHeight="1">
      <c r="A19" s="71">
        <v>10</v>
      </c>
      <c r="B19" s="68"/>
      <c r="C19" s="8"/>
      <c r="D19" s="8"/>
      <c r="E19" s="76"/>
      <c r="F19" s="76"/>
      <c r="G19" s="76"/>
      <c r="H19" s="305"/>
      <c r="I19" s="305"/>
      <c r="J19" s="305"/>
      <c r="K19" s="80">
        <f t="shared" si="2"/>
        <v>0</v>
      </c>
      <c r="L19" s="55"/>
      <c r="M19" s="80">
        <f t="shared" si="3"/>
        <v>0</v>
      </c>
      <c r="N19" s="342"/>
      <c r="O19" s="71"/>
      <c r="P19" s="290"/>
      <c r="Q19" s="290"/>
      <c r="R19" s="290"/>
    </row>
    <row r="20" spans="1:18" s="507" customFormat="1" ht="19.95" customHeight="1">
      <c r="A20" s="744" t="s">
        <v>934</v>
      </c>
      <c r="B20" s="745"/>
      <c r="C20" s="745"/>
      <c r="D20" s="746"/>
      <c r="E20" s="579"/>
      <c r="F20" s="579"/>
      <c r="G20" s="579"/>
      <c r="H20" s="348">
        <f>SUM(H10:H19)</f>
        <v>0</v>
      </c>
      <c r="I20" s="580"/>
      <c r="J20" s="580"/>
      <c r="K20" s="348">
        <f>SUM(K10:K19)</f>
        <v>0</v>
      </c>
      <c r="L20" s="348">
        <f t="shared" ref="L20:M20" si="4">SUM(L10:L19)</f>
        <v>0</v>
      </c>
      <c r="M20" s="348">
        <f t="shared" si="4"/>
        <v>0</v>
      </c>
      <c r="N20" s="581"/>
      <c r="O20" s="582"/>
      <c r="P20" s="583"/>
      <c r="Q20" s="583"/>
      <c r="R20" s="583"/>
    </row>
    <row r="21" spans="1:18" ht="19.95" customHeight="1">
      <c r="A21" s="43" t="s">
        <v>424</v>
      </c>
      <c r="B21" s="43"/>
      <c r="C21" s="43"/>
      <c r="D21" s="43"/>
      <c r="E21" s="43"/>
      <c r="F21" s="43"/>
      <c r="G21" s="43"/>
      <c r="H21" s="43"/>
      <c r="I21" s="272"/>
      <c r="J21" s="272"/>
      <c r="K21" s="43"/>
      <c r="L21" s="43"/>
      <c r="M21" s="43"/>
      <c r="N21" s="43"/>
      <c r="O21" s="293"/>
      <c r="P21" s="290"/>
      <c r="Q21" s="290"/>
      <c r="R21" s="290"/>
    </row>
    <row r="22" spans="1:18" ht="19.95" customHeight="1">
      <c r="A22" s="46"/>
      <c r="B22" s="294"/>
      <c r="C22" s="46"/>
      <c r="D22" s="46"/>
      <c r="E22" s="46"/>
      <c r="F22" s="46"/>
      <c r="G22" s="46"/>
      <c r="H22" s="46"/>
      <c r="I22" s="46"/>
      <c r="J22" s="46"/>
      <c r="K22" s="46"/>
      <c r="L22" s="46"/>
      <c r="M22" s="46"/>
      <c r="N22" s="46"/>
      <c r="O22" s="293"/>
    </row>
    <row r="23" spans="1:18" ht="19.95" customHeight="1">
      <c r="A23" s="46"/>
      <c r="B23" s="294"/>
      <c r="C23" s="46"/>
      <c r="D23" s="296"/>
      <c r="E23" s="296"/>
      <c r="F23" s="296"/>
      <c r="G23" s="296"/>
      <c r="H23" s="296"/>
      <c r="I23" s="296"/>
      <c r="J23" s="296"/>
      <c r="K23" s="296"/>
      <c r="L23" s="296"/>
      <c r="M23" s="296"/>
      <c r="N23" s="296"/>
      <c r="O23" s="293"/>
    </row>
    <row r="24" spans="1:18" ht="19.95" customHeight="1">
      <c r="A24" s="46"/>
      <c r="B24" s="294"/>
      <c r="C24" s="46"/>
      <c r="D24" s="46"/>
      <c r="E24" s="46"/>
      <c r="F24" s="46"/>
      <c r="G24" s="46"/>
      <c r="H24" s="46"/>
      <c r="I24" s="46"/>
      <c r="J24" s="46"/>
      <c r="K24" s="46"/>
      <c r="L24" s="46"/>
      <c r="M24" s="46"/>
      <c r="N24" s="46"/>
      <c r="O24" s="295"/>
    </row>
    <row r="25" spans="1:18" ht="19.95" customHeight="1">
      <c r="A25" s="43" t="s">
        <v>425</v>
      </c>
      <c r="B25" s="43"/>
      <c r="C25" s="43"/>
      <c r="D25" s="43"/>
      <c r="E25" s="43"/>
      <c r="F25" s="43"/>
      <c r="G25" s="43"/>
      <c r="H25" s="43"/>
      <c r="I25" s="43"/>
      <c r="J25" s="43"/>
      <c r="K25" s="43"/>
      <c r="L25" s="43"/>
      <c r="M25" s="43"/>
      <c r="N25" s="43"/>
      <c r="O25" s="295"/>
    </row>
    <row r="26" spans="1:18" ht="19.95" customHeight="1">
      <c r="A26" s="46"/>
      <c r="B26" s="46"/>
      <c r="C26" s="46"/>
      <c r="D26" s="46"/>
      <c r="E26" s="46"/>
      <c r="F26" s="46"/>
      <c r="G26" s="46"/>
      <c r="H26" s="46"/>
      <c r="I26" s="46"/>
      <c r="J26" s="46"/>
      <c r="K26" s="46"/>
      <c r="L26" s="46"/>
      <c r="M26" s="46"/>
      <c r="N26" s="46"/>
      <c r="O26" s="295"/>
    </row>
    <row r="27" spans="1:18" ht="19.95" customHeight="1">
      <c r="A27" s="46"/>
      <c r="B27" s="46"/>
      <c r="C27" s="46"/>
      <c r="D27" s="46"/>
      <c r="E27" s="46"/>
      <c r="F27" s="46"/>
      <c r="G27" s="46"/>
      <c r="H27" s="46"/>
      <c r="I27" s="46"/>
      <c r="J27" s="46"/>
      <c r="K27" s="46"/>
      <c r="L27" s="46"/>
      <c r="M27" s="46"/>
      <c r="N27" s="46"/>
      <c r="O27" s="295"/>
    </row>
    <row r="28" spans="1:18" ht="19.95" customHeight="1">
      <c r="A28" s="43"/>
      <c r="B28" s="43"/>
      <c r="C28" s="43"/>
      <c r="D28" s="43"/>
      <c r="E28" s="43"/>
      <c r="F28" s="43"/>
      <c r="G28" s="43"/>
      <c r="H28" s="43"/>
      <c r="I28" s="43"/>
      <c r="J28" s="43"/>
      <c r="K28" s="43"/>
      <c r="L28" s="43"/>
      <c r="M28" s="43"/>
      <c r="N28" s="43"/>
      <c r="O28" s="297"/>
    </row>
    <row r="29" spans="1:18" ht="19.95" customHeight="1">
      <c r="A29" s="396" t="s">
        <v>766</v>
      </c>
      <c r="B29" s="299"/>
      <c r="C29" s="299"/>
      <c r="D29" s="299"/>
      <c r="E29" s="299"/>
      <c r="F29" s="299"/>
      <c r="G29" s="299"/>
      <c r="H29" s="299"/>
      <c r="I29" s="299"/>
      <c r="J29" s="299"/>
      <c r="K29" s="299"/>
      <c r="L29" s="299"/>
      <c r="M29" s="299"/>
      <c r="N29" s="299"/>
      <c r="O29" s="297"/>
    </row>
    <row r="30" spans="1:18" ht="19.95" customHeight="1">
      <c r="A30" s="298" t="s">
        <v>649</v>
      </c>
      <c r="B30" s="299"/>
      <c r="C30" s="299"/>
      <c r="D30" s="299"/>
      <c r="E30" s="299"/>
      <c r="F30" s="299"/>
      <c r="G30" s="299"/>
      <c r="H30" s="299"/>
      <c r="I30" s="299"/>
      <c r="J30" s="299"/>
      <c r="K30" s="299"/>
      <c r="L30" s="299"/>
      <c r="M30" s="299"/>
      <c r="N30" s="299"/>
      <c r="O30" s="297"/>
    </row>
    <row r="31" spans="1:18" ht="19.95" customHeight="1">
      <c r="A31" s="298" t="s">
        <v>650</v>
      </c>
      <c r="B31" s="299"/>
      <c r="C31" s="299"/>
      <c r="D31" s="299"/>
      <c r="E31" s="299"/>
      <c r="F31" s="299"/>
      <c r="G31" s="299"/>
      <c r="H31" s="299"/>
      <c r="I31" s="299"/>
      <c r="J31" s="299"/>
      <c r="K31" s="299"/>
      <c r="L31" s="299"/>
      <c r="M31" s="299"/>
      <c r="N31" s="299"/>
      <c r="O31" s="297"/>
    </row>
    <row r="32" spans="1:18" ht="19.95" customHeight="1">
      <c r="A32" s="298"/>
      <c r="B32" s="299"/>
      <c r="C32" s="299"/>
      <c r="D32" s="299"/>
      <c r="E32" s="299"/>
      <c r="F32" s="299"/>
      <c r="G32" s="299"/>
      <c r="H32" s="299"/>
      <c r="I32" s="299"/>
      <c r="J32" s="299"/>
      <c r="K32" s="299"/>
      <c r="L32" s="299"/>
      <c r="M32" s="299"/>
      <c r="N32" s="299"/>
      <c r="O32" s="297"/>
    </row>
    <row r="33" spans="1:15" ht="19.95" customHeight="1">
      <c r="A33" s="298"/>
      <c r="B33" s="299"/>
      <c r="C33" s="299"/>
      <c r="D33" s="299"/>
      <c r="E33" s="299"/>
      <c r="F33" s="299"/>
      <c r="G33" s="299"/>
      <c r="H33" s="299"/>
      <c r="I33" s="299"/>
      <c r="J33" s="299"/>
      <c r="K33" s="299"/>
      <c r="L33" s="299"/>
      <c r="M33" s="299"/>
      <c r="N33" s="299"/>
      <c r="O33" s="297"/>
    </row>
    <row r="34" spans="1:15" ht="19.95" customHeight="1">
      <c r="A34" s="300"/>
      <c r="B34" s="299"/>
      <c r="C34" s="299"/>
      <c r="D34" s="299"/>
      <c r="E34" s="299"/>
      <c r="F34" s="299"/>
      <c r="G34" s="299"/>
      <c r="H34" s="299"/>
      <c r="I34" s="299"/>
      <c r="J34" s="299"/>
      <c r="K34" s="299"/>
      <c r="L34" s="299"/>
      <c r="M34" s="299"/>
      <c r="N34" s="299"/>
      <c r="O34" s="297"/>
    </row>
    <row r="35" spans="1:15" ht="19.95" customHeight="1">
      <c r="A35" s="301"/>
      <c r="B35" s="299"/>
      <c r="C35" s="299"/>
      <c r="D35" s="299"/>
      <c r="E35" s="299"/>
      <c r="F35" s="299"/>
      <c r="G35" s="299"/>
      <c r="H35" s="299"/>
      <c r="I35" s="299"/>
      <c r="J35" s="299"/>
      <c r="K35" s="299"/>
      <c r="L35" s="299"/>
      <c r="M35" s="299"/>
      <c r="N35" s="299"/>
      <c r="O35" s="297"/>
    </row>
    <row r="36" spans="1:15" ht="19.95" customHeight="1">
      <c r="A36" s="298"/>
      <c r="B36" s="299"/>
      <c r="C36" s="299"/>
      <c r="D36" s="299"/>
      <c r="E36" s="299"/>
      <c r="F36" s="299"/>
      <c r="G36" s="299"/>
      <c r="H36" s="299"/>
      <c r="I36" s="299"/>
      <c r="J36" s="299"/>
      <c r="K36" s="299"/>
      <c r="L36" s="299"/>
      <c r="M36" s="299"/>
      <c r="N36" s="299"/>
      <c r="O36" s="297"/>
    </row>
    <row r="37" spans="1:15" ht="19.95" customHeight="1">
      <c r="A37" s="299"/>
      <c r="B37" s="299"/>
      <c r="C37" s="299"/>
      <c r="D37" s="299"/>
      <c r="E37" s="299"/>
      <c r="F37" s="299"/>
      <c r="G37" s="299"/>
      <c r="H37" s="299"/>
      <c r="I37" s="299"/>
      <c r="J37" s="299"/>
      <c r="K37" s="299"/>
      <c r="L37" s="299"/>
      <c r="M37" s="299"/>
      <c r="N37" s="299"/>
      <c r="O37" s="297"/>
    </row>
    <row r="38" spans="1:15" ht="19.95" customHeight="1">
      <c r="A38" s="299"/>
      <c r="B38" s="299"/>
      <c r="C38" s="299"/>
      <c r="D38" s="299"/>
      <c r="E38" s="299"/>
      <c r="F38" s="299"/>
      <c r="G38" s="299"/>
      <c r="H38" s="299"/>
      <c r="I38" s="299"/>
      <c r="J38" s="299"/>
      <c r="K38" s="299"/>
      <c r="L38" s="299"/>
      <c r="M38" s="299"/>
      <c r="N38" s="299"/>
      <c r="O38" s="297"/>
    </row>
    <row r="39" spans="1:15" ht="19.95" customHeight="1">
      <c r="A39" s="299"/>
      <c r="B39" s="299"/>
      <c r="C39" s="299"/>
      <c r="D39" s="299"/>
      <c r="E39" s="299"/>
      <c r="F39" s="299"/>
      <c r="G39" s="299"/>
      <c r="H39" s="299"/>
      <c r="I39" s="299"/>
      <c r="J39" s="299"/>
      <c r="K39" s="299"/>
      <c r="L39" s="299"/>
      <c r="M39" s="299"/>
      <c r="N39" s="299"/>
      <c r="O39" s="297"/>
    </row>
    <row r="40" spans="1:15" ht="19.95" customHeight="1">
      <c r="A40" s="299"/>
      <c r="B40" s="299"/>
      <c r="C40" s="299"/>
      <c r="D40" s="299"/>
      <c r="E40" s="299"/>
      <c r="F40" s="299"/>
      <c r="G40" s="299"/>
      <c r="H40" s="299"/>
      <c r="I40" s="299"/>
      <c r="J40" s="299"/>
      <c r="K40" s="299"/>
      <c r="L40" s="299"/>
      <c r="M40" s="299"/>
      <c r="N40" s="299"/>
      <c r="O40" s="297"/>
    </row>
    <row r="41" spans="1:15" ht="19.95" customHeight="1">
      <c r="A41" s="299"/>
      <c r="B41" s="299"/>
      <c r="C41" s="299"/>
      <c r="D41" s="299"/>
      <c r="E41" s="299"/>
      <c r="F41" s="299"/>
      <c r="G41" s="299"/>
      <c r="H41" s="299"/>
      <c r="I41" s="299"/>
      <c r="J41" s="299"/>
      <c r="K41" s="299"/>
      <c r="L41" s="299"/>
      <c r="M41" s="299"/>
      <c r="N41" s="299"/>
      <c r="O41" s="297"/>
    </row>
    <row r="42" spans="1:15" ht="19.95" customHeight="1">
      <c r="A42" s="299"/>
      <c r="B42" s="299"/>
      <c r="C42" s="299"/>
      <c r="D42" s="299"/>
      <c r="E42" s="299"/>
      <c r="F42" s="299"/>
      <c r="G42" s="299"/>
      <c r="H42" s="299"/>
      <c r="I42" s="299"/>
      <c r="J42" s="299"/>
      <c r="K42" s="299"/>
      <c r="L42" s="299"/>
      <c r="M42" s="299"/>
      <c r="N42" s="299"/>
      <c r="O42" s="297"/>
    </row>
    <row r="43" spans="1:15" ht="19.95" customHeight="1">
      <c r="A43" s="299"/>
      <c r="B43" s="299"/>
      <c r="C43" s="299"/>
      <c r="D43" s="299"/>
      <c r="E43" s="299"/>
      <c r="F43" s="299"/>
      <c r="G43" s="299"/>
      <c r="H43" s="299"/>
      <c r="I43" s="299"/>
      <c r="J43" s="299"/>
      <c r="K43" s="299"/>
      <c r="L43" s="299"/>
      <c r="M43" s="299"/>
      <c r="N43" s="299"/>
      <c r="O43" s="297"/>
    </row>
    <row r="44" spans="1:15" ht="19.95" customHeight="1">
      <c r="A44" s="299"/>
      <c r="B44" s="299"/>
      <c r="C44" s="299"/>
      <c r="D44" s="299"/>
      <c r="E44" s="299"/>
      <c r="F44" s="299"/>
      <c r="G44" s="299"/>
      <c r="H44" s="299"/>
      <c r="I44" s="299"/>
      <c r="J44" s="299"/>
      <c r="K44" s="299"/>
      <c r="L44" s="299"/>
      <c r="M44" s="299"/>
      <c r="N44" s="299"/>
      <c r="O44" s="297"/>
    </row>
    <row r="45" spans="1:15" ht="19.95" customHeight="1">
      <c r="A45" s="299"/>
      <c r="B45" s="299"/>
      <c r="C45" s="299"/>
      <c r="D45" s="299"/>
      <c r="E45" s="299"/>
      <c r="F45" s="299"/>
      <c r="G45" s="299"/>
      <c r="H45" s="299"/>
      <c r="I45" s="299"/>
      <c r="J45" s="299"/>
      <c r="K45" s="299"/>
      <c r="L45" s="299"/>
      <c r="M45" s="299"/>
      <c r="N45" s="299"/>
      <c r="O45" s="297"/>
    </row>
    <row r="46" spans="1:15" ht="19.95" customHeight="1">
      <c r="A46" s="299"/>
      <c r="B46" s="299"/>
      <c r="C46" s="299"/>
      <c r="D46" s="299"/>
      <c r="E46" s="299"/>
      <c r="F46" s="299"/>
      <c r="G46" s="299"/>
      <c r="H46" s="299"/>
      <c r="I46" s="299"/>
      <c r="J46" s="299"/>
      <c r="K46" s="299"/>
      <c r="L46" s="299"/>
      <c r="M46" s="299"/>
      <c r="N46" s="299"/>
      <c r="O46" s="297"/>
    </row>
    <row r="47" spans="1:15" ht="19.95" customHeight="1">
      <c r="A47" s="299"/>
      <c r="B47" s="299"/>
      <c r="C47" s="299"/>
      <c r="D47" s="299"/>
      <c r="E47" s="299"/>
      <c r="F47" s="299"/>
      <c r="G47" s="299"/>
      <c r="H47" s="299"/>
      <c r="I47" s="299"/>
      <c r="J47" s="299"/>
      <c r="K47" s="299"/>
      <c r="L47" s="299"/>
      <c r="M47" s="299"/>
      <c r="N47" s="299"/>
      <c r="O47" s="297"/>
    </row>
    <row r="48" spans="1:15" ht="19.95" customHeight="1">
      <c r="A48" s="299"/>
      <c r="B48" s="299"/>
      <c r="C48" s="299"/>
      <c r="D48" s="299"/>
      <c r="E48" s="299"/>
      <c r="F48" s="299"/>
      <c r="G48" s="299"/>
      <c r="H48" s="299"/>
      <c r="I48" s="299"/>
      <c r="J48" s="299"/>
      <c r="K48" s="299"/>
      <c r="L48" s="299"/>
      <c r="M48" s="299"/>
      <c r="N48" s="299"/>
      <c r="O48" s="297"/>
    </row>
    <row r="49" spans="1:15" ht="19.95" customHeight="1">
      <c r="A49" s="299"/>
      <c r="B49" s="299"/>
      <c r="C49" s="299"/>
      <c r="D49" s="299"/>
      <c r="E49" s="299"/>
      <c r="F49" s="299"/>
      <c r="G49" s="299"/>
      <c r="H49" s="299"/>
      <c r="I49" s="299"/>
      <c r="J49" s="299"/>
      <c r="K49" s="299"/>
      <c r="L49" s="299"/>
      <c r="M49" s="299"/>
      <c r="N49" s="299"/>
      <c r="O49" s="297"/>
    </row>
    <row r="50" spans="1:15" ht="19.95" customHeight="1">
      <c r="A50" s="299"/>
      <c r="B50" s="299"/>
      <c r="C50" s="299"/>
      <c r="D50" s="299"/>
      <c r="E50" s="299"/>
      <c r="F50" s="299"/>
      <c r="G50" s="299"/>
      <c r="H50" s="299"/>
      <c r="I50" s="299"/>
      <c r="J50" s="299"/>
      <c r="K50" s="299"/>
      <c r="L50" s="299"/>
      <c r="M50" s="299"/>
      <c r="N50" s="299"/>
      <c r="O50" s="297"/>
    </row>
    <row r="51" spans="1:15" ht="19.95" customHeight="1">
      <c r="A51" s="299"/>
      <c r="B51" s="299"/>
      <c r="C51" s="299"/>
      <c r="D51" s="299"/>
      <c r="E51" s="299"/>
      <c r="F51" s="299"/>
      <c r="G51" s="299"/>
      <c r="H51" s="299"/>
      <c r="I51" s="299"/>
      <c r="J51" s="299"/>
      <c r="K51" s="299"/>
      <c r="L51" s="299"/>
      <c r="M51" s="299"/>
      <c r="N51" s="299"/>
      <c r="O51" s="297"/>
    </row>
    <row r="52" spans="1:15" ht="19.95" customHeight="1">
      <c r="A52" s="299"/>
      <c r="B52" s="299"/>
      <c r="C52" s="299"/>
      <c r="D52" s="299"/>
      <c r="E52" s="299"/>
      <c r="F52" s="299"/>
      <c r="G52" s="299"/>
      <c r="H52" s="299"/>
      <c r="I52" s="299"/>
      <c r="J52" s="299"/>
      <c r="K52" s="299"/>
      <c r="L52" s="299"/>
      <c r="M52" s="299"/>
      <c r="N52" s="299"/>
      <c r="O52" s="297"/>
    </row>
    <row r="53" spans="1:15" ht="19.95" customHeight="1">
      <c r="A53" s="299"/>
      <c r="B53" s="299"/>
      <c r="C53" s="299"/>
      <c r="D53" s="299"/>
      <c r="E53" s="299"/>
      <c r="F53" s="299"/>
      <c r="G53" s="299"/>
      <c r="H53" s="299"/>
      <c r="I53" s="299"/>
      <c r="J53" s="299"/>
      <c r="K53" s="299"/>
      <c r="L53" s="299"/>
      <c r="M53" s="299"/>
      <c r="N53" s="299"/>
      <c r="O53" s="297"/>
    </row>
    <row r="54" spans="1:15" ht="19.95" customHeight="1">
      <c r="A54" s="299"/>
      <c r="B54" s="299"/>
      <c r="C54" s="299"/>
      <c r="D54" s="299"/>
      <c r="E54" s="299"/>
      <c r="F54" s="299"/>
      <c r="G54" s="299"/>
      <c r="H54" s="299"/>
      <c r="I54" s="299"/>
      <c r="J54" s="299"/>
      <c r="K54" s="299"/>
      <c r="L54" s="299"/>
      <c r="M54" s="299"/>
      <c r="N54" s="299"/>
      <c r="O54" s="297"/>
    </row>
    <row r="55" spans="1:15" ht="19.95" customHeight="1">
      <c r="A55" s="299"/>
      <c r="B55" s="299"/>
      <c r="C55" s="299"/>
      <c r="D55" s="299"/>
      <c r="E55" s="299"/>
      <c r="F55" s="299"/>
      <c r="G55" s="299"/>
      <c r="H55" s="299"/>
      <c r="I55" s="299"/>
      <c r="J55" s="299"/>
      <c r="K55" s="299"/>
      <c r="L55" s="299"/>
      <c r="M55" s="299"/>
      <c r="N55" s="299"/>
      <c r="O55" s="297"/>
    </row>
    <row r="56" spans="1:15" ht="19.95" customHeight="1">
      <c r="A56" s="299"/>
      <c r="B56" s="299"/>
      <c r="C56" s="299"/>
      <c r="D56" s="299"/>
      <c r="E56" s="299"/>
      <c r="F56" s="299"/>
      <c r="G56" s="299"/>
      <c r="H56" s="299"/>
      <c r="I56" s="299"/>
      <c r="J56" s="299"/>
      <c r="K56" s="299"/>
      <c r="L56" s="299"/>
      <c r="M56" s="299"/>
      <c r="N56" s="299"/>
      <c r="O56" s="297"/>
    </row>
    <row r="57" spans="1:15" ht="19.95" customHeight="1">
      <c r="A57" s="299"/>
      <c r="B57" s="299"/>
      <c r="C57" s="299"/>
      <c r="D57" s="299"/>
      <c r="E57" s="299"/>
      <c r="F57" s="299"/>
      <c r="G57" s="299"/>
      <c r="H57" s="299"/>
      <c r="I57" s="299"/>
      <c r="J57" s="299"/>
      <c r="K57" s="299"/>
      <c r="L57" s="299"/>
      <c r="M57" s="299"/>
      <c r="N57" s="299"/>
      <c r="O57" s="297"/>
    </row>
    <row r="58" spans="1:15" ht="19.95" customHeight="1">
      <c r="A58" s="299"/>
      <c r="B58" s="299"/>
      <c r="C58" s="299"/>
      <c r="D58" s="299"/>
      <c r="E58" s="299"/>
      <c r="F58" s="299"/>
      <c r="G58" s="299"/>
      <c r="H58" s="299"/>
      <c r="I58" s="299"/>
      <c r="J58" s="299"/>
      <c r="K58" s="299"/>
      <c r="L58" s="299"/>
      <c r="M58" s="299"/>
      <c r="N58" s="299"/>
      <c r="O58" s="297"/>
    </row>
    <row r="59" spans="1:15" ht="19.95" customHeight="1">
      <c r="A59" s="299"/>
      <c r="B59" s="299"/>
      <c r="C59" s="299"/>
      <c r="D59" s="299"/>
      <c r="E59" s="299"/>
      <c r="F59" s="299"/>
      <c r="G59" s="299"/>
      <c r="H59" s="299"/>
      <c r="I59" s="299"/>
      <c r="J59" s="299"/>
      <c r="K59" s="299"/>
      <c r="L59" s="299"/>
      <c r="M59" s="299"/>
      <c r="N59" s="299"/>
      <c r="O59" s="297"/>
    </row>
    <row r="60" spans="1:15" ht="19.95" customHeight="1">
      <c r="A60" s="299"/>
      <c r="B60" s="299"/>
      <c r="C60" s="299"/>
      <c r="D60" s="299"/>
      <c r="E60" s="299"/>
      <c r="F60" s="299"/>
      <c r="G60" s="299"/>
      <c r="H60" s="299"/>
      <c r="I60" s="299"/>
      <c r="J60" s="299"/>
      <c r="K60" s="299"/>
      <c r="L60" s="299"/>
      <c r="M60" s="299"/>
      <c r="N60" s="299"/>
      <c r="O60" s="297"/>
    </row>
    <row r="61" spans="1:15" ht="19.95" customHeight="1">
      <c r="A61" s="299"/>
      <c r="B61" s="299"/>
      <c r="C61" s="299"/>
      <c r="D61" s="299"/>
      <c r="E61" s="299"/>
      <c r="F61" s="299"/>
      <c r="G61" s="299"/>
      <c r="H61" s="299"/>
      <c r="I61" s="299"/>
      <c r="J61" s="299"/>
      <c r="K61" s="299"/>
      <c r="L61" s="299"/>
      <c r="M61" s="299"/>
      <c r="N61" s="299"/>
      <c r="O61" s="297"/>
    </row>
    <row r="62" spans="1:15" ht="19.95" customHeight="1">
      <c r="A62" s="299"/>
      <c r="B62" s="299"/>
      <c r="C62" s="299"/>
      <c r="D62" s="299"/>
      <c r="E62" s="299"/>
      <c r="F62" s="299"/>
      <c r="G62" s="299"/>
      <c r="H62" s="299"/>
      <c r="I62" s="299"/>
      <c r="J62" s="299"/>
      <c r="K62" s="299"/>
      <c r="L62" s="299"/>
      <c r="M62" s="299"/>
      <c r="N62" s="299"/>
      <c r="O62" s="297"/>
    </row>
    <row r="63" spans="1:15" ht="19.95" customHeight="1">
      <c r="A63" s="299"/>
      <c r="B63" s="299"/>
      <c r="C63" s="299"/>
      <c r="D63" s="299"/>
      <c r="E63" s="299"/>
      <c r="F63" s="299"/>
      <c r="G63" s="299"/>
      <c r="H63" s="299"/>
      <c r="I63" s="299"/>
      <c r="J63" s="299"/>
      <c r="K63" s="299"/>
      <c r="L63" s="299"/>
      <c r="M63" s="299"/>
      <c r="N63" s="299"/>
      <c r="O63" s="297"/>
    </row>
    <row r="64" spans="1:15" ht="19.95" customHeight="1">
      <c r="A64" s="299"/>
      <c r="B64" s="299"/>
      <c r="C64" s="299"/>
      <c r="D64" s="299"/>
      <c r="E64" s="299"/>
      <c r="F64" s="299"/>
      <c r="G64" s="299"/>
      <c r="H64" s="299"/>
      <c r="I64" s="299"/>
      <c r="J64" s="299"/>
      <c r="K64" s="299"/>
      <c r="L64" s="299"/>
      <c r="M64" s="299"/>
      <c r="N64" s="299"/>
      <c r="O64" s="297"/>
    </row>
    <row r="65" spans="1:15" ht="19.95" customHeight="1">
      <c r="A65" s="299"/>
      <c r="B65" s="299"/>
      <c r="C65" s="299"/>
      <c r="D65" s="299"/>
      <c r="E65" s="299"/>
      <c r="F65" s="299"/>
      <c r="G65" s="299"/>
      <c r="H65" s="299"/>
      <c r="I65" s="299"/>
      <c r="J65" s="299"/>
      <c r="K65" s="299"/>
      <c r="L65" s="299"/>
      <c r="M65" s="299"/>
      <c r="N65" s="299"/>
      <c r="O65" s="297"/>
    </row>
    <row r="66" spans="1:15" ht="19.95" customHeight="1">
      <c r="A66" s="299"/>
      <c r="B66" s="299"/>
      <c r="C66" s="299"/>
      <c r="D66" s="299"/>
      <c r="E66" s="299"/>
      <c r="F66" s="299"/>
      <c r="G66" s="299"/>
      <c r="H66" s="299"/>
      <c r="I66" s="299"/>
      <c r="J66" s="299"/>
      <c r="K66" s="299"/>
      <c r="L66" s="299"/>
      <c r="M66" s="299"/>
      <c r="N66" s="299"/>
      <c r="O66" s="297"/>
    </row>
    <row r="67" spans="1:15" ht="19.95" customHeight="1">
      <c r="A67" s="299"/>
      <c r="B67" s="299"/>
      <c r="C67" s="299"/>
      <c r="D67" s="299"/>
      <c r="E67" s="299"/>
      <c r="F67" s="299"/>
      <c r="G67" s="299"/>
      <c r="H67" s="299"/>
      <c r="I67" s="299"/>
      <c r="J67" s="299"/>
      <c r="K67" s="299"/>
      <c r="L67" s="299"/>
      <c r="M67" s="299"/>
      <c r="N67" s="299"/>
      <c r="O67" s="297"/>
    </row>
    <row r="68" spans="1:15" ht="19.95" customHeight="1">
      <c r="A68" s="299"/>
      <c r="B68" s="299"/>
      <c r="C68" s="299"/>
      <c r="D68" s="299"/>
      <c r="E68" s="299"/>
      <c r="F68" s="299"/>
      <c r="G68" s="299"/>
      <c r="H68" s="299"/>
      <c r="I68" s="299"/>
      <c r="J68" s="299"/>
      <c r="K68" s="299"/>
      <c r="L68" s="299"/>
      <c r="M68" s="299"/>
      <c r="N68" s="299"/>
      <c r="O68" s="297"/>
    </row>
    <row r="69" spans="1:15" ht="19.95" customHeight="1">
      <c r="A69" s="299"/>
      <c r="B69" s="299"/>
      <c r="C69" s="299"/>
      <c r="D69" s="299"/>
      <c r="E69" s="299"/>
      <c r="F69" s="299"/>
      <c r="G69" s="299"/>
      <c r="H69" s="299"/>
      <c r="I69" s="299"/>
      <c r="J69" s="299"/>
      <c r="K69" s="299"/>
      <c r="L69" s="299"/>
      <c r="M69" s="299"/>
      <c r="N69" s="299"/>
      <c r="O69" s="297"/>
    </row>
    <row r="70" spans="1:15" ht="19.95" customHeight="1">
      <c r="A70" s="299"/>
      <c r="B70" s="299"/>
      <c r="C70" s="299"/>
      <c r="D70" s="299"/>
      <c r="E70" s="299"/>
      <c r="F70" s="299"/>
      <c r="G70" s="299"/>
      <c r="H70" s="299"/>
      <c r="I70" s="299"/>
      <c r="J70" s="299"/>
      <c r="K70" s="299"/>
      <c r="L70" s="299"/>
      <c r="M70" s="299"/>
      <c r="N70" s="299"/>
      <c r="O70" s="297"/>
    </row>
    <row r="71" spans="1:15" ht="19.95" customHeight="1">
      <c r="A71" s="299"/>
      <c r="B71" s="299"/>
      <c r="C71" s="299"/>
      <c r="D71" s="299"/>
      <c r="E71" s="299"/>
      <c r="F71" s="299"/>
      <c r="G71" s="299"/>
      <c r="H71" s="299"/>
      <c r="I71" s="299"/>
      <c r="J71" s="299"/>
      <c r="K71" s="299"/>
      <c r="L71" s="299"/>
      <c r="M71" s="299"/>
      <c r="N71" s="299"/>
      <c r="O71" s="297"/>
    </row>
    <row r="72" spans="1:15" ht="19.95" customHeight="1">
      <c r="A72" s="299"/>
      <c r="B72" s="299"/>
      <c r="C72" s="299"/>
      <c r="D72" s="299"/>
      <c r="E72" s="299"/>
      <c r="F72" s="299"/>
      <c r="G72" s="299"/>
      <c r="H72" s="299"/>
      <c r="I72" s="299"/>
      <c r="J72" s="299"/>
      <c r="K72" s="299"/>
      <c r="L72" s="299"/>
      <c r="M72" s="299"/>
      <c r="N72" s="299"/>
      <c r="O72" s="297"/>
    </row>
    <row r="73" spans="1:15" ht="19.95" customHeight="1">
      <c r="A73" s="299"/>
      <c r="B73" s="299"/>
      <c r="C73" s="299"/>
      <c r="D73" s="299"/>
      <c r="E73" s="299"/>
      <c r="F73" s="299"/>
      <c r="G73" s="299"/>
      <c r="H73" s="299"/>
      <c r="I73" s="299"/>
      <c r="J73" s="299"/>
      <c r="K73" s="299"/>
      <c r="L73" s="299"/>
      <c r="M73" s="299"/>
      <c r="N73" s="299"/>
      <c r="O73" s="297"/>
    </row>
    <row r="74" spans="1:15" ht="19.95" customHeight="1">
      <c r="A74" s="299"/>
      <c r="B74" s="299"/>
      <c r="C74" s="299"/>
      <c r="D74" s="299"/>
      <c r="E74" s="299"/>
      <c r="F74" s="299"/>
      <c r="G74" s="299"/>
      <c r="H74" s="299"/>
      <c r="I74" s="299"/>
      <c r="J74" s="299"/>
      <c r="K74" s="299"/>
      <c r="L74" s="299"/>
      <c r="M74" s="299"/>
      <c r="N74" s="299"/>
      <c r="O74" s="297"/>
    </row>
    <row r="75" spans="1:15" ht="19.95" customHeight="1">
      <c r="A75" s="299"/>
      <c r="B75" s="299"/>
      <c r="C75" s="299"/>
      <c r="D75" s="299"/>
      <c r="E75" s="299"/>
      <c r="F75" s="299"/>
      <c r="G75" s="299"/>
      <c r="H75" s="299"/>
      <c r="I75" s="299"/>
      <c r="J75" s="299"/>
      <c r="K75" s="299"/>
      <c r="L75" s="299"/>
      <c r="M75" s="299"/>
      <c r="N75" s="299"/>
      <c r="O75" s="297"/>
    </row>
    <row r="76" spans="1:15" ht="19.95" customHeight="1">
      <c r="A76" s="299"/>
      <c r="B76" s="299"/>
      <c r="C76" s="299"/>
      <c r="D76" s="299"/>
      <c r="E76" s="299"/>
      <c r="F76" s="299"/>
      <c r="G76" s="299"/>
      <c r="H76" s="299"/>
      <c r="I76" s="299"/>
      <c r="J76" s="299"/>
      <c r="K76" s="299"/>
      <c r="L76" s="299"/>
      <c r="M76" s="299"/>
      <c r="N76" s="299"/>
      <c r="O76" s="297"/>
    </row>
    <row r="77" spans="1:15" ht="19.95" customHeight="1">
      <c r="A77" s="299"/>
      <c r="B77" s="299"/>
      <c r="C77" s="299"/>
      <c r="D77" s="299"/>
      <c r="E77" s="299"/>
      <c r="F77" s="299"/>
      <c r="G77" s="299"/>
      <c r="H77" s="299"/>
      <c r="I77" s="299"/>
      <c r="J77" s="299"/>
      <c r="K77" s="299"/>
      <c r="L77" s="299"/>
      <c r="M77" s="299"/>
      <c r="N77" s="299"/>
      <c r="O77" s="297"/>
    </row>
    <row r="78" spans="1:15" ht="19.95" customHeight="1">
      <c r="A78" s="299"/>
      <c r="B78" s="299"/>
      <c r="C78" s="299"/>
      <c r="D78" s="299"/>
      <c r="E78" s="299"/>
      <c r="F78" s="299"/>
      <c r="G78" s="299"/>
      <c r="H78" s="299"/>
      <c r="I78" s="299"/>
      <c r="J78" s="299"/>
      <c r="K78" s="299"/>
      <c r="L78" s="299"/>
      <c r="M78" s="299"/>
      <c r="N78" s="299"/>
      <c r="O78" s="297"/>
    </row>
    <row r="79" spans="1:15" ht="19.95" customHeight="1">
      <c r="A79" s="299"/>
      <c r="B79" s="299"/>
      <c r="C79" s="299"/>
      <c r="D79" s="299"/>
      <c r="E79" s="299"/>
      <c r="F79" s="299"/>
      <c r="G79" s="299"/>
      <c r="H79" s="299"/>
      <c r="I79" s="299"/>
      <c r="J79" s="299"/>
      <c r="K79" s="299"/>
      <c r="L79" s="299"/>
      <c r="M79" s="299"/>
      <c r="N79" s="299"/>
      <c r="O79" s="297"/>
    </row>
    <row r="80" spans="1:15" ht="19.95" customHeight="1">
      <c r="A80" s="299"/>
      <c r="B80" s="299"/>
      <c r="C80" s="299"/>
      <c r="D80" s="299"/>
      <c r="E80" s="299"/>
      <c r="F80" s="299"/>
      <c r="G80" s="299"/>
      <c r="H80" s="299"/>
      <c r="I80" s="299"/>
      <c r="J80" s="299"/>
      <c r="K80" s="299"/>
      <c r="L80" s="299"/>
      <c r="M80" s="299"/>
      <c r="N80" s="299"/>
      <c r="O80" s="297"/>
    </row>
    <row r="81" spans="1:15" ht="19.95" customHeight="1">
      <c r="A81" s="299"/>
      <c r="B81" s="299"/>
      <c r="C81" s="299"/>
      <c r="D81" s="299"/>
      <c r="E81" s="299"/>
      <c r="F81" s="299"/>
      <c r="G81" s="299"/>
      <c r="H81" s="299"/>
      <c r="I81" s="299"/>
      <c r="J81" s="299"/>
      <c r="K81" s="299"/>
      <c r="L81" s="299"/>
      <c r="M81" s="299"/>
      <c r="N81" s="299"/>
      <c r="O81" s="297"/>
    </row>
    <row r="82" spans="1:15" ht="19.95" customHeight="1">
      <c r="A82" s="299"/>
      <c r="B82" s="299"/>
      <c r="C82" s="299"/>
      <c r="D82" s="299"/>
      <c r="E82" s="299"/>
      <c r="F82" s="299"/>
      <c r="G82" s="299"/>
      <c r="H82" s="299"/>
      <c r="I82" s="299"/>
      <c r="J82" s="299"/>
      <c r="K82" s="299"/>
      <c r="L82" s="299"/>
      <c r="M82" s="299"/>
      <c r="N82" s="299"/>
      <c r="O82" s="297"/>
    </row>
    <row r="83" spans="1:15" ht="19.95" customHeight="1">
      <c r="A83" s="299"/>
      <c r="B83" s="299"/>
      <c r="C83" s="299"/>
      <c r="D83" s="299"/>
      <c r="E83" s="299"/>
      <c r="F83" s="299"/>
      <c r="G83" s="299"/>
      <c r="H83" s="299"/>
      <c r="I83" s="299"/>
      <c r="J83" s="299"/>
      <c r="K83" s="299"/>
      <c r="L83" s="299"/>
      <c r="M83" s="299"/>
      <c r="N83" s="299"/>
      <c r="O83" s="297"/>
    </row>
    <row r="84" spans="1:15" ht="19.95" customHeight="1">
      <c r="A84" s="299"/>
      <c r="B84" s="299"/>
      <c r="C84" s="299"/>
      <c r="D84" s="299"/>
      <c r="E84" s="299"/>
      <c r="F84" s="299"/>
      <c r="G84" s="299"/>
      <c r="H84" s="299"/>
      <c r="I84" s="299"/>
      <c r="J84" s="299"/>
      <c r="K84" s="299"/>
      <c r="L84" s="299"/>
      <c r="M84" s="299"/>
      <c r="N84" s="299"/>
      <c r="O84" s="297"/>
    </row>
    <row r="85" spans="1:15" ht="19.95" customHeight="1">
      <c r="A85" s="299"/>
      <c r="B85" s="299"/>
      <c r="C85" s="299"/>
      <c r="D85" s="299"/>
      <c r="E85" s="299"/>
      <c r="F85" s="299"/>
      <c r="G85" s="299"/>
      <c r="H85" s="299"/>
      <c r="I85" s="299"/>
      <c r="J85" s="299"/>
      <c r="K85" s="299"/>
      <c r="L85" s="299"/>
      <c r="M85" s="299"/>
      <c r="N85" s="299"/>
      <c r="O85" s="297"/>
    </row>
    <row r="86" spans="1:15" ht="19.95" customHeight="1">
      <c r="A86" s="299"/>
      <c r="B86" s="299"/>
      <c r="C86" s="299"/>
      <c r="D86" s="299"/>
      <c r="E86" s="299"/>
      <c r="F86" s="299"/>
      <c r="G86" s="299"/>
      <c r="H86" s="299"/>
      <c r="I86" s="299"/>
      <c r="J86" s="299"/>
      <c r="K86" s="299"/>
      <c r="L86" s="299"/>
      <c r="M86" s="299"/>
      <c r="N86" s="299"/>
      <c r="O86" s="297"/>
    </row>
    <row r="87" spans="1:15" ht="19.95" customHeight="1">
      <c r="A87" s="299"/>
      <c r="B87" s="299"/>
      <c r="C87" s="299"/>
      <c r="D87" s="299"/>
      <c r="E87" s="299"/>
      <c r="F87" s="299"/>
      <c r="G87" s="299"/>
      <c r="H87" s="299"/>
      <c r="I87" s="299"/>
      <c r="J87" s="299"/>
      <c r="K87" s="299"/>
      <c r="L87" s="299"/>
      <c r="M87" s="299"/>
      <c r="N87" s="299"/>
      <c r="O87" s="297"/>
    </row>
    <row r="88" spans="1:15" ht="19.95" customHeight="1">
      <c r="A88" s="299"/>
      <c r="B88" s="299"/>
      <c r="C88" s="299"/>
      <c r="D88" s="299"/>
      <c r="E88" s="299"/>
      <c r="F88" s="299"/>
      <c r="G88" s="299"/>
      <c r="H88" s="299"/>
      <c r="I88" s="299"/>
      <c r="J88" s="299"/>
      <c r="K88" s="299"/>
      <c r="L88" s="299"/>
      <c r="M88" s="299"/>
      <c r="N88" s="299"/>
      <c r="O88" s="297"/>
    </row>
    <row r="89" spans="1:15" ht="19.95" customHeight="1">
      <c r="A89" s="299"/>
      <c r="B89" s="299"/>
      <c r="C89" s="299"/>
      <c r="D89" s="299"/>
      <c r="E89" s="299"/>
      <c r="F89" s="299"/>
      <c r="G89" s="299"/>
      <c r="H89" s="299"/>
      <c r="I89" s="299"/>
      <c r="J89" s="299"/>
      <c r="K89" s="299"/>
      <c r="L89" s="299"/>
      <c r="M89" s="299"/>
      <c r="N89" s="299"/>
      <c r="O89" s="297"/>
    </row>
    <row r="90" spans="1:15" ht="19.95" customHeight="1">
      <c r="A90" s="299"/>
      <c r="B90" s="299"/>
      <c r="C90" s="299"/>
      <c r="D90" s="299"/>
      <c r="E90" s="299"/>
      <c r="F90" s="299"/>
      <c r="G90" s="299"/>
      <c r="H90" s="299"/>
      <c r="I90" s="299"/>
      <c r="J90" s="299"/>
      <c r="K90" s="299"/>
      <c r="L90" s="299"/>
      <c r="M90" s="299"/>
      <c r="N90" s="299"/>
      <c r="O90" s="297"/>
    </row>
    <row r="91" spans="1:15" ht="19.95" customHeight="1">
      <c r="A91" s="299"/>
      <c r="B91" s="299"/>
      <c r="C91" s="299"/>
      <c r="D91" s="299"/>
      <c r="E91" s="299"/>
      <c r="F91" s="299"/>
      <c r="G91" s="299"/>
      <c r="H91" s="299"/>
      <c r="I91" s="299"/>
      <c r="J91" s="299"/>
      <c r="K91" s="299"/>
      <c r="L91" s="299"/>
      <c r="M91" s="299"/>
      <c r="N91" s="299"/>
      <c r="O91" s="297"/>
    </row>
    <row r="92" spans="1:15" ht="19.95" customHeight="1">
      <c r="A92" s="299"/>
      <c r="B92" s="299"/>
      <c r="C92" s="299"/>
      <c r="D92" s="299"/>
      <c r="E92" s="299"/>
      <c r="F92" s="299"/>
      <c r="G92" s="299"/>
      <c r="H92" s="299"/>
      <c r="I92" s="299"/>
      <c r="J92" s="299"/>
      <c r="K92" s="299"/>
      <c r="L92" s="299"/>
      <c r="M92" s="299"/>
      <c r="N92" s="299"/>
      <c r="O92" s="297"/>
    </row>
    <row r="93" spans="1:15" ht="19.95" customHeight="1">
      <c r="A93" s="299"/>
      <c r="B93" s="299"/>
      <c r="C93" s="299"/>
      <c r="D93" s="299"/>
      <c r="E93" s="299"/>
      <c r="F93" s="299"/>
      <c r="G93" s="299"/>
      <c r="H93" s="299"/>
      <c r="I93" s="299"/>
      <c r="J93" s="299"/>
      <c r="K93" s="299"/>
      <c r="L93" s="299"/>
      <c r="M93" s="299"/>
      <c r="N93" s="299"/>
      <c r="O93" s="297"/>
    </row>
    <row r="94" spans="1:15" ht="19.95" customHeight="1">
      <c r="A94" s="299"/>
      <c r="B94" s="299"/>
      <c r="C94" s="299"/>
      <c r="D94" s="299"/>
      <c r="E94" s="299"/>
      <c r="F94" s="299"/>
      <c r="G94" s="299"/>
      <c r="H94" s="299"/>
      <c r="I94" s="299"/>
      <c r="J94" s="299"/>
      <c r="K94" s="299"/>
      <c r="L94" s="299"/>
      <c r="M94" s="299"/>
      <c r="N94" s="299"/>
      <c r="O94" s="297"/>
    </row>
    <row r="95" spans="1:15" ht="19.95" customHeight="1">
      <c r="A95" s="299"/>
      <c r="B95" s="299"/>
      <c r="C95" s="299"/>
      <c r="D95" s="299"/>
      <c r="E95" s="299"/>
      <c r="F95" s="299"/>
      <c r="G95" s="299"/>
      <c r="H95" s="299"/>
      <c r="I95" s="299"/>
      <c r="J95" s="299"/>
      <c r="K95" s="299"/>
      <c r="L95" s="299"/>
      <c r="M95" s="299"/>
      <c r="N95" s="299"/>
      <c r="O95" s="297"/>
    </row>
    <row r="96" spans="1:15" ht="19.95" customHeight="1">
      <c r="A96" s="299"/>
      <c r="B96" s="299"/>
      <c r="C96" s="299"/>
      <c r="D96" s="299"/>
      <c r="E96" s="299"/>
      <c r="F96" s="299"/>
      <c r="G96" s="299"/>
      <c r="H96" s="299"/>
      <c r="I96" s="299"/>
      <c r="J96" s="299"/>
      <c r="K96" s="299"/>
      <c r="L96" s="299"/>
      <c r="M96" s="299"/>
      <c r="N96" s="299"/>
      <c r="O96" s="297"/>
    </row>
    <row r="97" spans="1:15" ht="19.95" customHeight="1">
      <c r="A97" s="299"/>
      <c r="B97" s="299"/>
      <c r="C97" s="299"/>
      <c r="D97" s="299"/>
      <c r="E97" s="299"/>
      <c r="F97" s="299"/>
      <c r="G97" s="299"/>
      <c r="H97" s="299"/>
      <c r="I97" s="299"/>
      <c r="J97" s="299"/>
      <c r="K97" s="299"/>
      <c r="L97" s="299"/>
      <c r="M97" s="299"/>
      <c r="N97" s="299"/>
      <c r="O97" s="297"/>
    </row>
    <row r="98" spans="1:15" ht="19.95" customHeight="1">
      <c r="A98" s="299"/>
      <c r="B98" s="299"/>
      <c r="C98" s="299"/>
      <c r="D98" s="299"/>
      <c r="E98" s="299"/>
      <c r="F98" s="299"/>
      <c r="G98" s="299"/>
      <c r="H98" s="299"/>
      <c r="I98" s="299"/>
      <c r="J98" s="299"/>
      <c r="K98" s="299"/>
      <c r="L98" s="299"/>
      <c r="M98" s="299"/>
      <c r="N98" s="299"/>
      <c r="O98" s="297"/>
    </row>
    <row r="99" spans="1:15" ht="19.95" customHeight="1">
      <c r="A99" s="299"/>
      <c r="B99" s="299"/>
      <c r="C99" s="299"/>
      <c r="D99" s="299"/>
      <c r="E99" s="299"/>
      <c r="F99" s="299"/>
      <c r="G99" s="299"/>
      <c r="H99" s="299"/>
      <c r="I99" s="299"/>
      <c r="J99" s="299"/>
      <c r="K99" s="299"/>
      <c r="L99" s="299"/>
      <c r="M99" s="299"/>
      <c r="N99" s="299"/>
      <c r="O99" s="297"/>
    </row>
  </sheetData>
  <mergeCells count="3">
    <mergeCell ref="A1:O1"/>
    <mergeCell ref="A2:O2"/>
    <mergeCell ref="A20:D20"/>
  </mergeCells>
  <phoneticPr fontId="11" type="noConversion"/>
  <hyperlinks>
    <hyperlink ref="O3" location="底稿目录!A1" display="H8A"/>
  </hyperlinks>
  <printOptions horizontalCentered="1"/>
  <pageMargins left="0.70866141732283472" right="0.70866141732283472" top="0.74803149606299213" bottom="0.74803149606299213" header="0.31496062992125984" footer="0.31496062992125984"/>
  <pageSetup paperSize="9" scale="77" orientation="landscape" blackAndWhite="1"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底稿目录!$A$9:$A$14</xm:f>
          </x14:formula1>
          <xm:sqref>B10:B19</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5"/>
  <sheetViews>
    <sheetView view="pageBreakPreview" zoomScaleNormal="100" zoomScaleSheetLayoutView="100" workbookViewId="0">
      <selection activeCell="O3" sqref="O3"/>
    </sheetView>
  </sheetViews>
  <sheetFormatPr defaultRowHeight="19.95" customHeight="1"/>
  <cols>
    <col min="1" max="1" width="18" style="2" customWidth="1"/>
    <col min="2" max="2" width="11.796875" style="2" customWidth="1"/>
    <col min="3" max="4" width="8.796875" style="2"/>
    <col min="5" max="5" width="13.8984375" style="2" customWidth="1"/>
    <col min="6" max="6" width="13.5" style="2" customWidth="1"/>
    <col min="7" max="8" width="14.796875" style="2" customWidth="1"/>
    <col min="9" max="9" width="9" style="2" customWidth="1"/>
    <col min="10" max="10" width="16.19921875" style="2" customWidth="1"/>
    <col min="11" max="11" width="12.09765625" style="2" customWidth="1"/>
    <col min="12" max="12" width="8.796875" style="2"/>
    <col min="13" max="13" width="9.69921875" style="2" customWidth="1"/>
    <col min="14" max="16384" width="8.796875" style="2"/>
  </cols>
  <sheetData>
    <row r="1" spans="1:15" s="10" customFormat="1" ht="19.95" customHeight="1">
      <c r="A1" s="759" t="s">
        <v>941</v>
      </c>
      <c r="B1" s="759"/>
      <c r="C1" s="759"/>
      <c r="D1" s="759"/>
      <c r="E1" s="759"/>
      <c r="F1" s="759"/>
      <c r="G1" s="759"/>
      <c r="H1" s="759"/>
      <c r="I1" s="759"/>
      <c r="J1" s="759"/>
      <c r="K1" s="759"/>
      <c r="L1" s="759"/>
      <c r="M1" s="759"/>
      <c r="N1" s="759"/>
      <c r="O1" s="759"/>
    </row>
    <row r="2" spans="1:15" s="324" customFormat="1" ht="19.95" customHeight="1">
      <c r="A2" s="747" t="s">
        <v>728</v>
      </c>
      <c r="B2" s="747"/>
      <c r="C2" s="747"/>
      <c r="D2" s="747"/>
      <c r="E2" s="747"/>
      <c r="F2" s="747"/>
      <c r="G2" s="747"/>
      <c r="H2" s="747"/>
      <c r="I2" s="747"/>
      <c r="J2" s="747"/>
      <c r="K2" s="747"/>
      <c r="L2" s="747"/>
      <c r="M2" s="747"/>
      <c r="N2" s="747"/>
      <c r="O2" s="747"/>
    </row>
    <row r="3" spans="1:15" ht="19.95" customHeight="1">
      <c r="A3" s="172" t="str">
        <f>底稿目录!A2</f>
        <v>被审计单位：</v>
      </c>
      <c r="B3" s="172"/>
      <c r="C3" s="172"/>
      <c r="D3" s="172"/>
      <c r="E3" s="173"/>
      <c r="F3" s="172" t="str">
        <f>底稿目录!A4</f>
        <v>编制人：</v>
      </c>
      <c r="G3" s="172"/>
      <c r="I3" s="172"/>
      <c r="J3" s="172" t="str">
        <f>底稿目录!A6</f>
        <v>编制日期：</v>
      </c>
      <c r="L3" s="172"/>
      <c r="M3" s="172"/>
      <c r="N3" s="357" t="s">
        <v>733</v>
      </c>
      <c r="O3" s="210" t="s">
        <v>92</v>
      </c>
    </row>
    <row r="4" spans="1:15" ht="19.95" customHeight="1">
      <c r="A4" s="172" t="str">
        <f>底稿目录!A3</f>
        <v>截止日：202X年12月31日</v>
      </c>
      <c r="B4" s="172"/>
      <c r="C4" s="172"/>
      <c r="D4" s="172"/>
      <c r="E4" s="173"/>
      <c r="F4" s="172" t="str">
        <f>底稿目录!A5</f>
        <v>复核人：</v>
      </c>
      <c r="G4" s="172"/>
      <c r="I4" s="172"/>
      <c r="J4" s="172" t="str">
        <f>底稿目录!A7</f>
        <v>复核日期：</v>
      </c>
      <c r="L4" s="172"/>
      <c r="M4" s="172"/>
      <c r="N4" s="357" t="s">
        <v>734</v>
      </c>
      <c r="O4" s="218"/>
    </row>
    <row r="5" spans="1:15" ht="19.95" customHeight="1">
      <c r="A5" s="174" t="s">
        <v>693</v>
      </c>
      <c r="B5" s="174"/>
      <c r="C5" s="174"/>
      <c r="D5" s="177"/>
      <c r="E5" s="177"/>
      <c r="F5" s="177"/>
      <c r="G5" s="177"/>
      <c r="H5" s="177"/>
      <c r="I5" s="177"/>
      <c r="J5" s="177"/>
      <c r="K5" s="177"/>
      <c r="L5" s="177"/>
      <c r="M5" s="178"/>
      <c r="N5" s="178"/>
      <c r="O5" s="178"/>
    </row>
    <row r="6" spans="1:15" s="501" customFormat="1" ht="36" customHeight="1">
      <c r="A6" s="748" t="s">
        <v>736</v>
      </c>
      <c r="B6" s="748"/>
      <c r="C6" s="748"/>
      <c r="D6" s="748"/>
      <c r="E6" s="748"/>
      <c r="F6" s="748"/>
      <c r="G6" s="748"/>
      <c r="H6" s="748"/>
      <c r="I6" s="748"/>
      <c r="J6" s="748"/>
      <c r="K6" s="748"/>
      <c r="L6" s="748"/>
      <c r="M6" s="748"/>
      <c r="N6" s="748"/>
      <c r="O6" s="748"/>
    </row>
    <row r="7" spans="1:15" s="501" customFormat="1" ht="34.200000000000003" customHeight="1">
      <c r="A7" s="749" t="s">
        <v>737</v>
      </c>
      <c r="B7" s="749"/>
      <c r="C7" s="749"/>
      <c r="D7" s="749"/>
      <c r="E7" s="749"/>
      <c r="F7" s="749"/>
      <c r="G7" s="749"/>
      <c r="H7" s="749"/>
      <c r="I7" s="749"/>
      <c r="J7" s="749"/>
      <c r="K7" s="749"/>
      <c r="L7" s="749"/>
      <c r="M7" s="749"/>
      <c r="N7" s="749"/>
      <c r="O7" s="749"/>
    </row>
    <row r="8" spans="1:15" ht="19.95" customHeight="1">
      <c r="A8" s="174" t="s">
        <v>694</v>
      </c>
      <c r="B8" s="178"/>
      <c r="C8" s="178"/>
      <c r="D8" s="175"/>
      <c r="E8" s="177"/>
      <c r="F8" s="177"/>
      <c r="G8" s="177"/>
      <c r="H8" s="177"/>
      <c r="I8" s="177"/>
      <c r="J8" s="177"/>
      <c r="K8" s="177"/>
      <c r="L8" s="177"/>
      <c r="M8" s="178"/>
      <c r="N8" s="178"/>
      <c r="O8" s="178"/>
    </row>
    <row r="9" spans="1:15" ht="19.95" customHeight="1">
      <c r="A9" s="174" t="s">
        <v>730</v>
      </c>
      <c r="B9" s="178"/>
      <c r="C9" s="178"/>
      <c r="D9" s="175"/>
      <c r="E9" s="177"/>
      <c r="F9" s="177"/>
      <c r="G9" s="177"/>
      <c r="H9" s="177"/>
      <c r="I9" s="177"/>
      <c r="J9" s="177"/>
      <c r="K9" s="177"/>
      <c r="L9" s="177"/>
      <c r="M9" s="178"/>
      <c r="N9" s="178"/>
      <c r="O9" s="178"/>
    </row>
    <row r="10" spans="1:15" ht="32.4" customHeight="1">
      <c r="A10" s="179" t="s">
        <v>695</v>
      </c>
      <c r="B10" s="179" t="s">
        <v>696</v>
      </c>
      <c r="C10" s="198" t="s">
        <v>697</v>
      </c>
      <c r="D10" s="198" t="s">
        <v>52</v>
      </c>
      <c r="E10" s="198" t="s">
        <v>698</v>
      </c>
      <c r="F10" s="198" t="s">
        <v>699</v>
      </c>
      <c r="G10" s="198" t="s">
        <v>689</v>
      </c>
      <c r="H10" s="198" t="s">
        <v>700</v>
      </c>
      <c r="I10" s="198" t="s">
        <v>701</v>
      </c>
      <c r="J10" s="198" t="s">
        <v>690</v>
      </c>
      <c r="K10" s="198" t="s">
        <v>702</v>
      </c>
      <c r="L10" s="198" t="s">
        <v>680</v>
      </c>
      <c r="M10" s="180" t="s">
        <v>703</v>
      </c>
      <c r="N10" s="180" t="s">
        <v>53</v>
      </c>
      <c r="O10" s="180" t="s">
        <v>681</v>
      </c>
    </row>
    <row r="11" spans="1:15" ht="19.95" customHeight="1">
      <c r="A11" s="181"/>
      <c r="B11" s="542"/>
      <c r="C11" s="8"/>
      <c r="D11" s="8"/>
      <c r="E11" s="76"/>
      <c r="F11" s="305"/>
      <c r="G11" s="305"/>
      <c r="H11" s="305"/>
      <c r="I11" s="432"/>
      <c r="J11" s="305"/>
      <c r="K11" s="305"/>
      <c r="L11" s="8"/>
      <c r="M11" s="32"/>
      <c r="N11" s="8"/>
      <c r="O11" s="71"/>
    </row>
    <row r="12" spans="1:15" ht="19.95" customHeight="1">
      <c r="A12" s="181"/>
      <c r="B12" s="542"/>
      <c r="C12" s="8"/>
      <c r="D12" s="8"/>
      <c r="E12" s="76"/>
      <c r="F12" s="305"/>
      <c r="G12" s="305"/>
      <c r="H12" s="305"/>
      <c r="I12" s="432"/>
      <c r="J12" s="305"/>
      <c r="K12" s="305"/>
      <c r="L12" s="8"/>
      <c r="M12" s="32"/>
      <c r="N12" s="8"/>
      <c r="O12" s="71"/>
    </row>
    <row r="13" spans="1:15" ht="19.95" customHeight="1">
      <c r="A13" s="181"/>
      <c r="B13" s="542"/>
      <c r="C13" s="8"/>
      <c r="D13" s="8"/>
      <c r="E13" s="76"/>
      <c r="F13" s="305"/>
      <c r="G13" s="305"/>
      <c r="H13" s="305"/>
      <c r="I13" s="432"/>
      <c r="J13" s="305"/>
      <c r="K13" s="305"/>
      <c r="L13" s="8"/>
      <c r="M13" s="32"/>
      <c r="N13" s="8"/>
      <c r="O13" s="71"/>
    </row>
    <row r="14" spans="1:15" ht="19.95" customHeight="1">
      <c r="A14" s="181"/>
      <c r="B14" s="542"/>
      <c r="C14" s="8"/>
      <c r="D14" s="8"/>
      <c r="E14" s="76"/>
      <c r="F14" s="305"/>
      <c r="G14" s="305"/>
      <c r="H14" s="305"/>
      <c r="I14" s="432"/>
      <c r="J14" s="305"/>
      <c r="K14" s="305"/>
      <c r="L14" s="8"/>
      <c r="M14" s="32"/>
      <c r="N14" s="8"/>
      <c r="O14" s="71"/>
    </row>
    <row r="15" spans="1:15" ht="19.95" customHeight="1">
      <c r="A15" s="181"/>
      <c r="B15" s="542"/>
      <c r="C15" s="8"/>
      <c r="D15" s="8"/>
      <c r="E15" s="76"/>
      <c r="F15" s="305"/>
      <c r="G15" s="305"/>
      <c r="H15" s="305"/>
      <c r="I15" s="432"/>
      <c r="J15" s="305"/>
      <c r="K15" s="305"/>
      <c r="L15" s="8"/>
      <c r="M15" s="32"/>
      <c r="N15" s="8"/>
      <c r="O15" s="71"/>
    </row>
    <row r="16" spans="1:15" ht="19.95" customHeight="1">
      <c r="A16" s="181"/>
      <c r="B16" s="542"/>
      <c r="C16" s="8"/>
      <c r="D16" s="8"/>
      <c r="E16" s="76"/>
      <c r="F16" s="305"/>
      <c r="G16" s="305"/>
      <c r="H16" s="305"/>
      <c r="I16" s="432"/>
      <c r="J16" s="305"/>
      <c r="K16" s="305"/>
      <c r="L16" s="8"/>
      <c r="M16" s="32"/>
      <c r="N16" s="8"/>
      <c r="O16" s="71"/>
    </row>
    <row r="18" spans="1:12" ht="19.95" customHeight="1">
      <c r="A18" s="271" t="s">
        <v>729</v>
      </c>
    </row>
    <row r="19" spans="1:12" ht="24">
      <c r="A19" s="304" t="s">
        <v>682</v>
      </c>
      <c r="B19" s="198" t="s">
        <v>691</v>
      </c>
      <c r="C19" s="198" t="s">
        <v>51</v>
      </c>
      <c r="D19" s="198" t="s">
        <v>52</v>
      </c>
      <c r="E19" s="198" t="s">
        <v>54</v>
      </c>
      <c r="F19" s="198" t="s">
        <v>683</v>
      </c>
      <c r="G19" s="198" t="s">
        <v>684</v>
      </c>
      <c r="H19" s="198" t="s">
        <v>704</v>
      </c>
      <c r="I19" s="198" t="s">
        <v>680</v>
      </c>
      <c r="J19" s="180" t="s">
        <v>703</v>
      </c>
      <c r="K19" s="180" t="s">
        <v>53</v>
      </c>
      <c r="L19" s="180" t="s">
        <v>57</v>
      </c>
    </row>
    <row r="20" spans="1:12" ht="19.95" customHeight="1">
      <c r="A20" s="181"/>
      <c r="B20" s="542"/>
      <c r="C20" s="8"/>
      <c r="D20" s="8"/>
      <c r="E20" s="76"/>
      <c r="F20" s="305"/>
      <c r="G20" s="305"/>
      <c r="H20" s="305"/>
      <c r="I20" s="8"/>
      <c r="J20" s="32"/>
      <c r="K20" s="8"/>
      <c r="L20" s="71"/>
    </row>
    <row r="21" spans="1:12" ht="19.95" customHeight="1">
      <c r="A21" s="181"/>
      <c r="B21" s="542"/>
      <c r="C21" s="8"/>
      <c r="D21" s="8"/>
      <c r="E21" s="76"/>
      <c r="F21" s="305"/>
      <c r="G21" s="305"/>
      <c r="H21" s="305"/>
      <c r="I21" s="8"/>
      <c r="J21" s="32"/>
      <c r="K21" s="8"/>
      <c r="L21" s="71"/>
    </row>
    <row r="22" spans="1:12" ht="19.95" customHeight="1">
      <c r="A22" s="181"/>
      <c r="B22" s="542"/>
      <c r="C22" s="8"/>
      <c r="D22" s="8"/>
      <c r="E22" s="76"/>
      <c r="F22" s="305"/>
      <c r="G22" s="305"/>
      <c r="H22" s="305"/>
      <c r="I22" s="8"/>
      <c r="J22" s="32"/>
      <c r="K22" s="8"/>
      <c r="L22" s="71"/>
    </row>
    <row r="23" spans="1:12" ht="19.95" customHeight="1">
      <c r="A23" s="181"/>
      <c r="B23" s="542"/>
      <c r="C23" s="8"/>
      <c r="D23" s="8"/>
      <c r="E23" s="76"/>
      <c r="F23" s="305"/>
      <c r="G23" s="305"/>
      <c r="H23" s="305"/>
      <c r="I23" s="8"/>
      <c r="J23" s="32"/>
      <c r="K23" s="8"/>
      <c r="L23" s="71"/>
    </row>
    <row r="24" spans="1:12" ht="19.95" customHeight="1">
      <c r="A24" s="181"/>
      <c r="B24" s="542"/>
      <c r="C24" s="8"/>
      <c r="D24" s="8"/>
      <c r="E24" s="76"/>
      <c r="F24" s="305"/>
      <c r="G24" s="305"/>
      <c r="H24" s="305"/>
      <c r="I24" s="8"/>
      <c r="J24" s="32"/>
      <c r="K24" s="8"/>
      <c r="L24" s="71"/>
    </row>
    <row r="25" spans="1:12" ht="19.95" customHeight="1">
      <c r="A25" s="181"/>
      <c r="B25" s="542"/>
      <c r="C25" s="8"/>
      <c r="D25" s="8"/>
      <c r="E25" s="76"/>
      <c r="F25" s="305"/>
      <c r="G25" s="305"/>
      <c r="H25" s="305"/>
      <c r="I25" s="8"/>
      <c r="J25" s="32"/>
      <c r="K25" s="8"/>
      <c r="L25" s="71"/>
    </row>
    <row r="26" spans="1:12" ht="19.95" customHeight="1">
      <c r="A26" s="181"/>
      <c r="B26" s="542"/>
      <c r="C26" s="8"/>
      <c r="D26" s="8"/>
      <c r="E26" s="76"/>
      <c r="F26" s="305"/>
      <c r="G26" s="305"/>
      <c r="H26" s="305"/>
      <c r="I26" s="8"/>
      <c r="J26" s="32"/>
      <c r="K26" s="8"/>
      <c r="L26" s="71"/>
    </row>
    <row r="27" spans="1:12" ht="19.95" customHeight="1">
      <c r="A27" s="174" t="s">
        <v>424</v>
      </c>
    </row>
    <row r="30" spans="1:12" ht="19.95" customHeight="1">
      <c r="A30" s="174" t="s">
        <v>425</v>
      </c>
    </row>
    <row r="35" spans="1:1" ht="19.95" customHeight="1">
      <c r="A35" s="354" t="s">
        <v>685</v>
      </c>
    </row>
    <row r="36" spans="1:1" ht="19.95" customHeight="1">
      <c r="A36" s="354" t="s">
        <v>686</v>
      </c>
    </row>
    <row r="37" spans="1:1" ht="19.95" customHeight="1">
      <c r="A37" s="182" t="s">
        <v>687</v>
      </c>
    </row>
    <row r="38" spans="1:1" ht="19.95" customHeight="1">
      <c r="A38" s="182" t="s">
        <v>50</v>
      </c>
    </row>
    <row r="39" spans="1:1" ht="19.95" customHeight="1">
      <c r="A39" s="182" t="s">
        <v>55</v>
      </c>
    </row>
    <row r="40" spans="1:1" ht="19.95" customHeight="1">
      <c r="A40" s="182" t="s">
        <v>692</v>
      </c>
    </row>
    <row r="41" spans="1:1" ht="19.95" customHeight="1">
      <c r="A41" s="182" t="s">
        <v>56</v>
      </c>
    </row>
    <row r="42" spans="1:1" ht="19.95" customHeight="1">
      <c r="A42" s="182" t="s">
        <v>58</v>
      </c>
    </row>
    <row r="43" spans="1:1" ht="19.95" customHeight="1">
      <c r="A43" s="182" t="s">
        <v>705</v>
      </c>
    </row>
    <row r="44" spans="1:1" ht="19.95" customHeight="1">
      <c r="A44" s="182" t="s">
        <v>688</v>
      </c>
    </row>
    <row r="45" spans="1:1" ht="19.95" customHeight="1">
      <c r="A45" s="13"/>
    </row>
  </sheetData>
  <mergeCells count="4">
    <mergeCell ref="A1:O1"/>
    <mergeCell ref="A2:O2"/>
    <mergeCell ref="A6:O6"/>
    <mergeCell ref="A7:O7"/>
  </mergeCells>
  <phoneticPr fontId="11" type="noConversion"/>
  <dataValidations count="1">
    <dataValidation type="list" allowBlank="1" showInputMessage="1" showErrorMessage="1" sqref="B11:B16 B20:B26">
      <formula1>$A$37:$A$44</formula1>
    </dataValidation>
  </dataValidations>
  <hyperlinks>
    <hyperlink ref="O3" location="底稿目录!A1" display="H8A"/>
  </hyperlinks>
  <printOptions horizontalCentered="1"/>
  <pageMargins left="0.70866141732283472" right="0.70866141732283472" top="0.74803149606299213" bottom="0.74803149606299213" header="0.31496062992125984" footer="0.31496062992125984"/>
  <pageSetup paperSize="9" scale="69" orientation="landscape"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20</vt:i4>
      </vt:variant>
      <vt:variant>
        <vt:lpstr>命名范围</vt:lpstr>
      </vt:variant>
      <vt:variant>
        <vt:i4>23</vt:i4>
      </vt:variant>
    </vt:vector>
  </HeadingPairs>
  <TitlesOfParts>
    <vt:vector size="43" baseType="lpstr">
      <vt:lpstr>底稿目录</vt:lpstr>
      <vt:lpstr>使用权资产实质性程序表H8A</vt:lpstr>
      <vt:lpstr>审定表H8-1</vt:lpstr>
      <vt:lpstr>附注披露信息（上市公司）</vt:lpstr>
      <vt:lpstr>附注披露信息（国企）</vt:lpstr>
      <vt:lpstr>明细表H8-2</vt:lpstr>
      <vt:lpstr>调整分录汇总H8-3</vt:lpstr>
      <vt:lpstr>租赁的识别H8-4</vt:lpstr>
      <vt:lpstr>租赁期的确定H8-5</vt:lpstr>
      <vt:lpstr>使用权资产 租赁负责初始及后续计量（按年）H8-6</vt:lpstr>
      <vt:lpstr>使用权资产 租赁负责初始及后续计量（按月）H8-6</vt:lpstr>
      <vt:lpstr>租赁变更H8-7</vt:lpstr>
      <vt:lpstr>折旧测算表（不含减值）H8-8</vt:lpstr>
      <vt:lpstr>折旧测算表（含减值）H8-8</vt:lpstr>
      <vt:lpstr>折旧分配分析表H8-9</vt:lpstr>
      <vt:lpstr>减值测算表H8-10</vt:lpstr>
      <vt:lpstr>可收回金额测试表H8-11</vt:lpstr>
      <vt:lpstr>减少检查表H8-12</vt:lpstr>
      <vt:lpstr>简化处理的租赁检查表H8-13</vt:lpstr>
      <vt:lpstr>关联交易检查表H8-14</vt:lpstr>
      <vt:lpstr>'调整分录汇总H8-3'!Print_Area</vt:lpstr>
      <vt:lpstr>'附注披露信息（国企）'!Print_Area</vt:lpstr>
      <vt:lpstr>'附注披露信息（上市公司）'!Print_Area</vt:lpstr>
      <vt:lpstr>'关联交易检查表H8-14'!Print_Area</vt:lpstr>
      <vt:lpstr>'减少检查表H8-12'!Print_Area</vt:lpstr>
      <vt:lpstr>'减值测算表H8-10'!Print_Area</vt:lpstr>
      <vt:lpstr>'简化处理的租赁检查表H8-13'!Print_Area</vt:lpstr>
      <vt:lpstr>'可收回金额测试表H8-11'!Print_Area</vt:lpstr>
      <vt:lpstr>'明细表H8-2'!Print_Area</vt:lpstr>
      <vt:lpstr>'审定表H8-1'!Print_Area</vt:lpstr>
      <vt:lpstr>'使用权资产 租赁负责初始及后续计量（按年）H8-6'!Print_Area</vt:lpstr>
      <vt:lpstr>'使用权资产 租赁负责初始及后续计量（按月）H8-6'!Print_Area</vt:lpstr>
      <vt:lpstr>使用权资产实质性程序表H8A!Print_Area</vt:lpstr>
      <vt:lpstr>'折旧测算表（不含减值）H8-8'!Print_Area</vt:lpstr>
      <vt:lpstr>'折旧测算表（含减值）H8-8'!Print_Area</vt:lpstr>
      <vt:lpstr>'折旧分配分析表H8-9'!Print_Area</vt:lpstr>
      <vt:lpstr>'租赁变更H8-7'!Print_Area</vt:lpstr>
      <vt:lpstr>'租赁的识别H8-4'!Print_Area</vt:lpstr>
      <vt:lpstr>'租赁期的确定H8-5'!Print_Area</vt:lpstr>
      <vt:lpstr>'明细表H8-2'!Print_Titles</vt:lpstr>
      <vt:lpstr>'使用权资产 租赁负责初始及后续计量（按月）H8-6'!Print_Titles</vt:lpstr>
      <vt:lpstr>使用权资产实质性程序表H8A!Print_Titles</vt:lpstr>
      <vt:lpstr>'折旧测算表（不含减值）H8-8'!Print_Titles</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Birdie Bai 白璐</dc:creator>
  <cp:lastModifiedBy>何先琴</cp:lastModifiedBy>
  <cp:lastPrinted>2025-10-21T05:48:16Z</cp:lastPrinted>
  <dcterms:created xsi:type="dcterms:W3CDTF">2013-12-07T08:37:47Z</dcterms:created>
  <dcterms:modified xsi:type="dcterms:W3CDTF">2025-11-05T06:33:14Z</dcterms:modified>
</cp:coreProperties>
</file>