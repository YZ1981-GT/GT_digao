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H 固定资产循环\"/>
    </mc:Choice>
  </mc:AlternateContent>
  <bookViews>
    <workbookView xWindow="-120" yWindow="-120" windowWidth="20736" windowHeight="11160" tabRatio="859"/>
  </bookViews>
  <sheets>
    <sheet name="底稿目录" sheetId="16" r:id="rId1"/>
    <sheet name="在建工程实质性程序表H2A" sheetId="24" r:id="rId2"/>
    <sheet name="审定表H2-1" sheetId="1" r:id="rId3"/>
    <sheet name="附注披露信息（上市公司）" sheetId="2" r:id="rId4"/>
    <sheet name="附注披露信息（国有企业）" sheetId="3" r:id="rId5"/>
    <sheet name="明细表H2-2" sheetId="4" r:id="rId6"/>
    <sheet name="调整分录汇总H2-3" sheetId="22" r:id="rId7"/>
    <sheet name="分析表H2-4" sheetId="6" r:id="rId8"/>
    <sheet name="转固时点检查表H2-5" sheetId="23" r:id="rId9"/>
    <sheet name="在建工程审核记录H2-6" sheetId="18" r:id="rId10"/>
    <sheet name="工程造价比较表H2-7" sheetId="10" r:id="rId11"/>
    <sheet name="增加检查表H2-8" sheetId="7" r:id="rId12"/>
    <sheet name="减少检查表H2-9" sheetId="11" r:id="rId13"/>
    <sheet name="利息资本化测算表（无专门借款）H2-10" sheetId="8" r:id="rId14"/>
    <sheet name="利息资本化测算表（有专门借款）H2-11" sheetId="9" r:id="rId15"/>
    <sheet name="监盘计划H2-12" sheetId="19" r:id="rId16"/>
    <sheet name="盘点检查表H2-13" sheetId="15" r:id="rId17"/>
    <sheet name="监盘小结H2-14" sheetId="20" r:id="rId18"/>
    <sheet name="减值测算表H2-15" sheetId="12" r:id="rId19"/>
    <sheet name="可收回金额测试表H2-16" sheetId="13" r:id="rId20"/>
    <sheet name="关联交易检查表H2-17" sheetId="25" r:id="rId21"/>
  </sheets>
  <definedNames>
    <definedName name="_xlnm._FilterDatabase" localSheetId="1" hidden="1">在建工程实质性程序表H2A!$A$16:$L$34</definedName>
    <definedName name="_xlnm.Print_Area" localSheetId="6">'调整分录汇总H2-3'!$A$1:$J$23</definedName>
    <definedName name="_xlnm.Print_Area" localSheetId="7">'分析表H2-4'!$A$1:$F$20</definedName>
    <definedName name="_xlnm.Print_Area" localSheetId="4">'附注披露信息（国有企业）'!$A$1:$M$49</definedName>
    <definedName name="_xlnm.Print_Area" localSheetId="3">'附注披露信息（上市公司）'!$A$1:$I$57</definedName>
    <definedName name="_xlnm.Print_Area" localSheetId="10">'工程造价比较表H2-7'!$A$1:$M$17</definedName>
    <definedName name="_xlnm.Print_Area" localSheetId="20">'关联交易检查表H2-17'!$A$1:$N$33</definedName>
    <definedName name="_xlnm.Print_Area" localSheetId="15">'监盘计划H2-12'!$A$1:$I$55</definedName>
    <definedName name="_xlnm.Print_Area" localSheetId="17">'监盘小结H2-14'!$A$1:$I$60</definedName>
    <definedName name="_xlnm.Print_Area" localSheetId="12">'减少检查表H2-9'!$A$1:$R$33</definedName>
    <definedName name="_xlnm.Print_Area" localSheetId="18">'减值测算表H2-15'!$A$1:$L$23</definedName>
    <definedName name="_xlnm.Print_Area" localSheetId="19">'可收回金额测试表H2-16'!$A$1:$O$31</definedName>
    <definedName name="_xlnm.Print_Area" localSheetId="13">'利息资本化测算表（无专门借款）H2-10'!$A$1:$L$61</definedName>
    <definedName name="_xlnm.Print_Area" localSheetId="14">'利息资本化测算表（有专门借款）H2-11'!$A$1:$M$29</definedName>
    <definedName name="_xlnm.Print_Area" localSheetId="5">'明细表H2-2'!$A$1:$AX$27</definedName>
    <definedName name="_xlnm.Print_Area" localSheetId="16">'盘点检查表H2-13'!$A$1:$O$28</definedName>
    <definedName name="_xlnm.Print_Area" localSheetId="2">'审定表H2-1'!$A$1:$K$53</definedName>
    <definedName name="_xlnm.Print_Area" localSheetId="9">'在建工程审核记录H2-6'!$A$1:$K$41</definedName>
    <definedName name="_xlnm.Print_Area" localSheetId="1">在建工程实质性程序表H2A!$A$1:$I$34</definedName>
    <definedName name="_xlnm.Print_Area" localSheetId="11">'增加检查表H2-8'!$A$1:$W$39</definedName>
    <definedName name="_xlnm.Print_Area" localSheetId="8">'转固时点检查表H2-5'!$A$1:$N$29</definedName>
    <definedName name="_xlnm.Print_Titles" localSheetId="5">'明细表H2-2'!$A:$H</definedName>
    <definedName name="_xlnm.Print_Titles" localSheetId="1">在建工程实质性程序表H2A!$15:$16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0" i="7" l="1"/>
  <c r="K30" i="7"/>
  <c r="L8" i="10" l="1"/>
  <c r="E15" i="6"/>
  <c r="I43" i="19" l="1"/>
  <c r="H43" i="19"/>
  <c r="G43" i="19"/>
  <c r="F43" i="19"/>
  <c r="E43" i="19"/>
  <c r="C43" i="19"/>
  <c r="B43" i="19"/>
  <c r="D40" i="19"/>
  <c r="D43" i="19" s="1"/>
  <c r="K4" i="4" l="1"/>
  <c r="K3" i="4"/>
  <c r="E4" i="4"/>
  <c r="E3" i="4"/>
  <c r="A4" i="4"/>
  <c r="A3" i="4"/>
  <c r="E14" i="6" l="1"/>
  <c r="J15" i="15" l="1"/>
  <c r="I15" i="15"/>
  <c r="H15" i="15"/>
  <c r="H16" i="15"/>
  <c r="I16" i="15"/>
  <c r="J16" i="15"/>
  <c r="H17" i="15"/>
  <c r="I17" i="15"/>
  <c r="J17" i="15"/>
  <c r="H18" i="15"/>
  <c r="I18" i="15"/>
  <c r="J18" i="15"/>
  <c r="H19" i="15"/>
  <c r="I19" i="15"/>
  <c r="J19" i="15"/>
  <c r="H20" i="15"/>
  <c r="I20" i="15"/>
  <c r="J20" i="15"/>
  <c r="D23" i="16" l="1"/>
  <c r="D7" i="16"/>
  <c r="D8" i="16" s="1"/>
  <c r="D9" i="16" s="1"/>
  <c r="D10" i="16" s="1"/>
  <c r="D11" i="16" s="1"/>
  <c r="D12" i="16" s="1"/>
  <c r="D13" i="16" s="1"/>
  <c r="D14" i="16" s="1"/>
  <c r="D15" i="16" s="1"/>
  <c r="D16" i="16" s="1"/>
  <c r="D17" i="16" s="1"/>
  <c r="D18" i="16" s="1"/>
  <c r="D19" i="16" s="1"/>
  <c r="D20" i="16" s="1"/>
  <c r="D21" i="16" s="1"/>
  <c r="D22" i="16" s="1"/>
  <c r="D6" i="16"/>
  <c r="G10" i="12" l="1"/>
  <c r="H10" i="12" s="1"/>
  <c r="J10" i="12" s="1"/>
  <c r="I23" i="13" l="1"/>
  <c r="J23" i="13" s="1"/>
  <c r="H4" i="25" l="1"/>
  <c r="H3" i="25"/>
  <c r="F4" i="25"/>
  <c r="F3" i="25"/>
  <c r="A4" i="25"/>
  <c r="A3" i="25"/>
  <c r="E21" i="15" l="1"/>
  <c r="F21" i="15"/>
  <c r="G21" i="15"/>
  <c r="H21" i="15"/>
  <c r="I21" i="15"/>
  <c r="J21" i="15"/>
  <c r="D21" i="15"/>
  <c r="F9" i="1" l="1"/>
  <c r="F10" i="1"/>
  <c r="F11" i="1"/>
  <c r="F12" i="1"/>
  <c r="F13" i="1"/>
  <c r="F14" i="1"/>
  <c r="F15" i="1"/>
  <c r="F8" i="1"/>
  <c r="F4" i="24" l="1"/>
  <c r="C4" i="24"/>
  <c r="A4" i="24"/>
  <c r="F3" i="24"/>
  <c r="C3" i="24"/>
  <c r="A3" i="24"/>
  <c r="K4" i="23" l="1"/>
  <c r="H4" i="23"/>
  <c r="A4" i="23"/>
  <c r="K3" i="23"/>
  <c r="H3" i="23"/>
  <c r="A3" i="23"/>
  <c r="AA13" i="4" l="1"/>
  <c r="AF14" i="4" l="1"/>
  <c r="AF15" i="4"/>
  <c r="AF16" i="4"/>
  <c r="AF17" i="4"/>
  <c r="AF18" i="4"/>
  <c r="AF19" i="4"/>
  <c r="AF20" i="4"/>
  <c r="AF13" i="4"/>
  <c r="AE14" i="4"/>
  <c r="AE15" i="4"/>
  <c r="AE16" i="4"/>
  <c r="AE17" i="4"/>
  <c r="AE18" i="4"/>
  <c r="AE19" i="4"/>
  <c r="AE20" i="4"/>
  <c r="AE13" i="4"/>
  <c r="AD13" i="4"/>
  <c r="AC14" i="4"/>
  <c r="AC15" i="4"/>
  <c r="AC16" i="4"/>
  <c r="AC17" i="4"/>
  <c r="AC18" i="4"/>
  <c r="AC19" i="4"/>
  <c r="AC20" i="4"/>
  <c r="AC13" i="4"/>
  <c r="AA14" i="4"/>
  <c r="AA15" i="4"/>
  <c r="AH15" i="4" s="1"/>
  <c r="AA16" i="4"/>
  <c r="AA17" i="4"/>
  <c r="AA18" i="4"/>
  <c r="AA19" i="4"/>
  <c r="AA20" i="4"/>
  <c r="Z14" i="4"/>
  <c r="Z15" i="4"/>
  <c r="Z16" i="4"/>
  <c r="Z17" i="4"/>
  <c r="Z18" i="4"/>
  <c r="Z19" i="4"/>
  <c r="Z20" i="4"/>
  <c r="Z13" i="4"/>
  <c r="AH20" i="4" l="1"/>
  <c r="AH17" i="4"/>
  <c r="AH14" i="4"/>
  <c r="AE21" i="4"/>
  <c r="AF21" i="4"/>
  <c r="AH19" i="4"/>
  <c r="AH16" i="4"/>
  <c r="AH13" i="4"/>
  <c r="D13" i="4" s="1"/>
  <c r="AH18" i="4"/>
  <c r="O21" i="4"/>
  <c r="N21" i="4"/>
  <c r="M21" i="4"/>
  <c r="L21" i="4"/>
  <c r="K21" i="4"/>
  <c r="J21" i="4"/>
  <c r="Y21" i="4"/>
  <c r="X21" i="4"/>
  <c r="W21" i="4"/>
  <c r="V21" i="4"/>
  <c r="U21" i="4"/>
  <c r="T21" i="4"/>
  <c r="S21" i="4"/>
  <c r="R14" i="4"/>
  <c r="R15" i="4"/>
  <c r="R16" i="4"/>
  <c r="R17" i="4"/>
  <c r="R18" i="4"/>
  <c r="R19" i="4"/>
  <c r="R20" i="4"/>
  <c r="R13" i="4"/>
  <c r="Q14" i="4"/>
  <c r="E9" i="1" s="1"/>
  <c r="Q15" i="4"/>
  <c r="E10" i="1" s="1"/>
  <c r="Q16" i="4"/>
  <c r="E11" i="1" s="1"/>
  <c r="Q17" i="4"/>
  <c r="E12" i="1" s="1"/>
  <c r="Q18" i="4"/>
  <c r="E13" i="1" s="1"/>
  <c r="Q19" i="4"/>
  <c r="E14" i="1" s="1"/>
  <c r="Q20" i="4"/>
  <c r="E15" i="1" s="1"/>
  <c r="Q13" i="4"/>
  <c r="E8" i="1" s="1"/>
  <c r="G8" i="1" s="1"/>
  <c r="AC21" i="4" l="1"/>
  <c r="Q21" i="4"/>
  <c r="R21" i="4"/>
  <c r="AA21" i="4"/>
  <c r="M10" i="13"/>
  <c r="N10" i="13" s="1"/>
  <c r="B13" i="13"/>
  <c r="D19" i="12"/>
  <c r="E13" i="19"/>
  <c r="G24" i="9"/>
  <c r="B23" i="9"/>
  <c r="B25" i="9" s="1"/>
  <c r="G10" i="9"/>
  <c r="K10" i="9" s="1"/>
  <c r="L10" i="9" s="1"/>
  <c r="G54" i="8"/>
  <c r="B53" i="8"/>
  <c r="B55" i="8" s="1"/>
  <c r="G40" i="8"/>
  <c r="J40" i="8" s="1"/>
  <c r="G34" i="8"/>
  <c r="B34" i="8"/>
  <c r="B16" i="8"/>
  <c r="G15" i="8"/>
  <c r="G14" i="8"/>
  <c r="G13" i="8"/>
  <c r="G12" i="8"/>
  <c r="G11" i="8"/>
  <c r="G10" i="8"/>
  <c r="I10" i="8" s="1"/>
  <c r="E24" i="11"/>
  <c r="H30" i="7"/>
  <c r="E9" i="6"/>
  <c r="AH21" i="4" l="1"/>
  <c r="G4" i="22"/>
  <c r="G3" i="22"/>
  <c r="D4" i="22"/>
  <c r="D3" i="22"/>
  <c r="A4" i="22"/>
  <c r="A3" i="22"/>
  <c r="AT13" i="4"/>
  <c r="AR13" i="4"/>
  <c r="AQ13" i="4"/>
  <c r="AP13" i="4"/>
  <c r="AU13" i="4" s="1"/>
  <c r="AL13" i="4"/>
  <c r="AV13" i="4" s="1"/>
  <c r="AB13" i="4"/>
  <c r="AG13" i="4" s="1"/>
  <c r="AS13" i="4" l="1"/>
  <c r="H4" i="1"/>
  <c r="D4" i="1"/>
  <c r="F4" i="2"/>
  <c r="C4" i="2"/>
  <c r="H4" i="3"/>
  <c r="E4" i="3"/>
  <c r="AQ4" i="4"/>
  <c r="AQ3" i="4"/>
  <c r="AM4" i="4"/>
  <c r="AM3" i="4"/>
  <c r="AI4" i="4"/>
  <c r="AI3" i="4"/>
  <c r="AD4" i="4"/>
  <c r="Y4" i="4"/>
  <c r="H4" i="18"/>
  <c r="D4" i="18"/>
  <c r="D4" i="6"/>
  <c r="C4" i="6"/>
  <c r="I4" i="10"/>
  <c r="D4" i="10"/>
  <c r="H4" i="7"/>
  <c r="D4" i="7"/>
  <c r="H4" i="11"/>
  <c r="E4" i="11"/>
  <c r="H4" i="8"/>
  <c r="D4" i="8"/>
  <c r="I4" i="9"/>
  <c r="F4" i="9"/>
  <c r="F4" i="19"/>
  <c r="D4" i="19"/>
  <c r="K4" i="15"/>
  <c r="F4" i="15"/>
  <c r="F4" i="20"/>
  <c r="D4" i="20"/>
  <c r="G4" i="12"/>
  <c r="D4" i="12"/>
  <c r="D4" i="13"/>
  <c r="J4" i="13"/>
  <c r="AW13" i="4" l="1"/>
  <c r="A4" i="3"/>
  <c r="H3" i="3"/>
  <c r="E3" i="3"/>
  <c r="A3" i="3"/>
  <c r="A4" i="2"/>
  <c r="F3" i="2"/>
  <c r="C3" i="2"/>
  <c r="A3" i="2"/>
  <c r="A8" i="1" l="1"/>
  <c r="AP14" i="4" l="1"/>
  <c r="AQ14" i="4"/>
  <c r="AR14" i="4"/>
  <c r="AP15" i="4"/>
  <c r="AQ15" i="4"/>
  <c r="AR15" i="4"/>
  <c r="AP16" i="4"/>
  <c r="AQ16" i="4"/>
  <c r="AR16" i="4"/>
  <c r="AP17" i="4"/>
  <c r="AQ17" i="4"/>
  <c r="AR17" i="4"/>
  <c r="AP18" i="4"/>
  <c r="AQ18" i="4"/>
  <c r="AR18" i="4"/>
  <c r="AP19" i="4"/>
  <c r="AQ19" i="4"/>
  <c r="AR19" i="4"/>
  <c r="AP20" i="4"/>
  <c r="AQ20" i="4"/>
  <c r="AR20" i="4"/>
  <c r="AB14" i="4"/>
  <c r="AD14" i="4"/>
  <c r="AB15" i="4"/>
  <c r="AD15" i="4"/>
  <c r="AB16" i="4"/>
  <c r="AD16" i="4"/>
  <c r="AB17" i="4"/>
  <c r="AD17" i="4"/>
  <c r="AB18" i="4"/>
  <c r="AD18" i="4"/>
  <c r="AB19" i="4"/>
  <c r="AD19" i="4"/>
  <c r="AB20" i="4"/>
  <c r="AD20" i="4"/>
  <c r="AD21" i="4" l="1"/>
  <c r="AG15" i="4"/>
  <c r="AG19" i="4"/>
  <c r="AG18" i="4"/>
  <c r="AG17" i="4"/>
  <c r="AG14" i="4"/>
  <c r="AG16" i="4"/>
  <c r="AG20" i="4"/>
  <c r="L9" i="10" l="1"/>
  <c r="L10" i="10"/>
  <c r="L11" i="10"/>
  <c r="E9" i="10"/>
  <c r="E10" i="10"/>
  <c r="E11" i="10"/>
  <c r="E8" i="10"/>
  <c r="F3" i="20" l="1"/>
  <c r="D3" i="20"/>
  <c r="A4" i="20"/>
  <c r="A3" i="20"/>
  <c r="F3" i="19"/>
  <c r="D3" i="19"/>
  <c r="A4" i="19"/>
  <c r="A3" i="19"/>
  <c r="I23" i="9" l="1"/>
  <c r="J23" i="9"/>
  <c r="H3" i="18" l="1"/>
  <c r="D3" i="18"/>
  <c r="A4" i="18"/>
  <c r="A3" i="18"/>
  <c r="AD3" i="4"/>
  <c r="H16" i="8" l="1"/>
  <c r="E12" i="6"/>
  <c r="E13" i="6"/>
  <c r="F24" i="11"/>
  <c r="G24" i="11"/>
  <c r="H24" i="11"/>
  <c r="E14" i="19"/>
  <c r="E15" i="19"/>
  <c r="G18" i="13" l="1"/>
  <c r="L13" i="13"/>
  <c r="K13" i="13"/>
  <c r="J13" i="13"/>
  <c r="I13" i="13"/>
  <c r="H13" i="13"/>
  <c r="F13" i="13"/>
  <c r="D13" i="13"/>
  <c r="M12" i="13"/>
  <c r="N12" i="13" s="1"/>
  <c r="M11" i="13"/>
  <c r="N11" i="13" s="1"/>
  <c r="I19" i="12"/>
  <c r="F19" i="12"/>
  <c r="E19" i="12"/>
  <c r="G18" i="12"/>
  <c r="H18" i="12" s="1"/>
  <c r="J18" i="12" s="1"/>
  <c r="G17" i="12"/>
  <c r="H17" i="12" s="1"/>
  <c r="J17" i="12" s="1"/>
  <c r="G16" i="12"/>
  <c r="H16" i="12" s="1"/>
  <c r="J16" i="12" s="1"/>
  <c r="G15" i="12"/>
  <c r="H15" i="12" s="1"/>
  <c r="J15" i="12" s="1"/>
  <c r="G14" i="12"/>
  <c r="H14" i="12" s="1"/>
  <c r="J14" i="12" s="1"/>
  <c r="G13" i="12"/>
  <c r="H13" i="12" s="1"/>
  <c r="J13" i="12" s="1"/>
  <c r="G12" i="12"/>
  <c r="H12" i="12" s="1"/>
  <c r="J12" i="12" s="1"/>
  <c r="G11" i="12"/>
  <c r="G19" i="12" l="1"/>
  <c r="K23" i="13"/>
  <c r="M13" i="13"/>
  <c r="N13" i="13"/>
  <c r="H11" i="12"/>
  <c r="J11" i="12" s="1"/>
  <c r="B19" i="13" l="1"/>
  <c r="G19" i="13"/>
  <c r="G20" i="13" s="1"/>
  <c r="F19" i="13"/>
  <c r="F20" i="13" s="1"/>
  <c r="E19" i="13"/>
  <c r="E20" i="13" s="1"/>
  <c r="D19" i="13"/>
  <c r="D20" i="13" s="1"/>
  <c r="C19" i="13"/>
  <c r="C20" i="13" s="1"/>
  <c r="J19" i="12"/>
  <c r="H19" i="12"/>
  <c r="B20" i="13" l="1"/>
  <c r="F19" i="1"/>
  <c r="F20" i="1"/>
  <c r="F21" i="1"/>
  <c r="F22" i="1"/>
  <c r="F23" i="1"/>
  <c r="F24" i="1"/>
  <c r="F25" i="1"/>
  <c r="F18" i="1"/>
  <c r="C19" i="1"/>
  <c r="C20" i="1"/>
  <c r="C21" i="1"/>
  <c r="C22" i="1"/>
  <c r="C23" i="1"/>
  <c r="C24" i="1"/>
  <c r="C25" i="1"/>
  <c r="C18" i="1"/>
  <c r="B19" i="1"/>
  <c r="D19" i="1" s="1"/>
  <c r="B20" i="1"/>
  <c r="D20" i="1" s="1"/>
  <c r="B21" i="1"/>
  <c r="D21" i="1" s="1"/>
  <c r="B22" i="1"/>
  <c r="D22" i="1" s="1"/>
  <c r="B23" i="1"/>
  <c r="D23" i="1" s="1"/>
  <c r="B24" i="1"/>
  <c r="D24" i="1" s="1"/>
  <c r="B25" i="1"/>
  <c r="B18" i="1"/>
  <c r="C9" i="1"/>
  <c r="C10" i="1"/>
  <c r="C11" i="1"/>
  <c r="C12" i="1"/>
  <c r="C32" i="1" s="1"/>
  <c r="C13" i="1"/>
  <c r="C14" i="1"/>
  <c r="C15" i="1"/>
  <c r="C8" i="1"/>
  <c r="B9" i="1"/>
  <c r="D9" i="1" s="1"/>
  <c r="B10" i="1"/>
  <c r="D10" i="1" s="1"/>
  <c r="B11" i="1"/>
  <c r="D11" i="1" s="1"/>
  <c r="B12" i="1"/>
  <c r="D12" i="1" s="1"/>
  <c r="B13" i="1"/>
  <c r="B14" i="1"/>
  <c r="B15" i="1"/>
  <c r="D15" i="1" s="1"/>
  <c r="B8" i="1"/>
  <c r="A26" i="1"/>
  <c r="A9" i="1"/>
  <c r="A19" i="1" s="1"/>
  <c r="A29" i="1" s="1"/>
  <c r="A10" i="1"/>
  <c r="A20" i="1" s="1"/>
  <c r="A30" i="1" s="1"/>
  <c r="A11" i="1"/>
  <c r="A21" i="1" s="1"/>
  <c r="A31" i="1" s="1"/>
  <c r="A12" i="1"/>
  <c r="A22" i="1" s="1"/>
  <c r="A32" i="1" s="1"/>
  <c r="A13" i="1"/>
  <c r="A23" i="1" s="1"/>
  <c r="A33" i="1" s="1"/>
  <c r="A14" i="1"/>
  <c r="A24" i="1" s="1"/>
  <c r="A34" i="1" s="1"/>
  <c r="A15" i="1"/>
  <c r="A25" i="1" s="1"/>
  <c r="A35" i="1" s="1"/>
  <c r="A18" i="1"/>
  <c r="A28" i="1" s="1"/>
  <c r="AL14" i="4"/>
  <c r="E19" i="1" s="1"/>
  <c r="AL15" i="4"/>
  <c r="E20" i="1" s="1"/>
  <c r="AL16" i="4"/>
  <c r="E21" i="1" s="1"/>
  <c r="AL17" i="4"/>
  <c r="E22" i="1" s="1"/>
  <c r="AL18" i="4"/>
  <c r="E23" i="1" s="1"/>
  <c r="AL19" i="4"/>
  <c r="E24" i="1" s="1"/>
  <c r="AL20" i="4"/>
  <c r="E25" i="1" s="1"/>
  <c r="E18" i="1"/>
  <c r="AT14" i="4"/>
  <c r="AT15" i="4"/>
  <c r="AT16" i="4"/>
  <c r="AT17" i="4"/>
  <c r="AT18" i="4"/>
  <c r="AT19" i="4"/>
  <c r="AT20" i="4"/>
  <c r="AI21" i="4"/>
  <c r="AJ21" i="4"/>
  <c r="AK21" i="4"/>
  <c r="AM21" i="4"/>
  <c r="AN21" i="4"/>
  <c r="AO21" i="4"/>
  <c r="P21" i="4"/>
  <c r="N20" i="13" l="1"/>
  <c r="N23" i="13" s="1"/>
  <c r="B26" i="13" s="1"/>
  <c r="E26" i="1"/>
  <c r="G18" i="1"/>
  <c r="B28" i="1"/>
  <c r="H8" i="1"/>
  <c r="I8" i="1" s="1"/>
  <c r="D8" i="1"/>
  <c r="C16" i="1"/>
  <c r="D18" i="1"/>
  <c r="B26" i="1"/>
  <c r="C26" i="1"/>
  <c r="F26" i="1"/>
  <c r="D13" i="1"/>
  <c r="G22" i="1"/>
  <c r="G9" i="1"/>
  <c r="G21" i="1"/>
  <c r="D25" i="1"/>
  <c r="G23" i="1"/>
  <c r="G13" i="1"/>
  <c r="G25" i="1"/>
  <c r="G19" i="1"/>
  <c r="G24" i="1"/>
  <c r="D14" i="1"/>
  <c r="G20" i="1"/>
  <c r="AV17" i="4"/>
  <c r="AS20" i="4"/>
  <c r="AS19" i="4"/>
  <c r="AS18" i="4"/>
  <c r="AS14" i="4"/>
  <c r="AS16" i="4"/>
  <c r="AS15" i="4"/>
  <c r="AS17" i="4"/>
  <c r="AV20" i="4"/>
  <c r="AV14" i="4"/>
  <c r="AV16" i="4"/>
  <c r="AV19" i="4"/>
  <c r="AV15" i="4"/>
  <c r="G12" i="1"/>
  <c r="AV18" i="4"/>
  <c r="F32" i="1"/>
  <c r="AU18" i="4"/>
  <c r="AU14" i="4"/>
  <c r="AL21" i="4"/>
  <c r="AU17" i="4"/>
  <c r="G15" i="1"/>
  <c r="G11" i="1"/>
  <c r="AU20" i="4"/>
  <c r="AU16" i="4"/>
  <c r="G14" i="1"/>
  <c r="G10" i="1"/>
  <c r="AT21" i="4"/>
  <c r="AU19" i="4"/>
  <c r="AU15" i="4"/>
  <c r="B34" i="1"/>
  <c r="B30" i="1"/>
  <c r="C28" i="1"/>
  <c r="F33" i="1"/>
  <c r="C35" i="1"/>
  <c r="C31" i="1"/>
  <c r="C29" i="1"/>
  <c r="B33" i="1"/>
  <c r="B29" i="1"/>
  <c r="F28" i="1"/>
  <c r="H18" i="1"/>
  <c r="I18" i="1" s="1"/>
  <c r="F35" i="1"/>
  <c r="F31" i="1"/>
  <c r="C33" i="1"/>
  <c r="H23" i="1"/>
  <c r="I23" i="1" s="1"/>
  <c r="H24" i="1"/>
  <c r="I24" i="1" s="1"/>
  <c r="H22" i="1"/>
  <c r="I22" i="1" s="1"/>
  <c r="H21" i="1"/>
  <c r="I21" i="1" s="1"/>
  <c r="B32" i="1"/>
  <c r="B16" i="1"/>
  <c r="C34" i="1"/>
  <c r="C30" i="1"/>
  <c r="H25" i="1"/>
  <c r="I25" i="1" s="1"/>
  <c r="B35" i="1"/>
  <c r="B31" i="1"/>
  <c r="F34" i="1"/>
  <c r="F30" i="1"/>
  <c r="H20" i="1"/>
  <c r="I20" i="1" s="1"/>
  <c r="E33" i="1"/>
  <c r="E29" i="1"/>
  <c r="F29" i="1"/>
  <c r="H19" i="1"/>
  <c r="I19" i="1" s="1"/>
  <c r="AR21" i="4"/>
  <c r="AQ21" i="4"/>
  <c r="AP21" i="4"/>
  <c r="Z21" i="4"/>
  <c r="AB21" i="4"/>
  <c r="H31" i="7" s="1"/>
  <c r="H32" i="7" s="1"/>
  <c r="E25" i="11"/>
  <c r="E26" i="11" s="1"/>
  <c r="G25" i="11"/>
  <c r="G26" i="11" s="1"/>
  <c r="D26" i="1" l="1"/>
  <c r="C36" i="1"/>
  <c r="F36" i="1"/>
  <c r="J8" i="1"/>
  <c r="K8" i="1" s="1"/>
  <c r="D28" i="1"/>
  <c r="B36" i="1"/>
  <c r="G26" i="1"/>
  <c r="AG21" i="4"/>
  <c r="D14" i="4"/>
  <c r="D18" i="4"/>
  <c r="D15" i="4"/>
  <c r="D19" i="4"/>
  <c r="D16" i="4"/>
  <c r="D20" i="4"/>
  <c r="AW17" i="4"/>
  <c r="AS21" i="4"/>
  <c r="D29" i="1"/>
  <c r="D17" i="4"/>
  <c r="AV21" i="4"/>
  <c r="D32" i="1"/>
  <c r="AU21" i="4"/>
  <c r="G28" i="1"/>
  <c r="G34" i="1"/>
  <c r="G32" i="1"/>
  <c r="G30" i="1"/>
  <c r="J22" i="1"/>
  <c r="K22" i="1" s="1"/>
  <c r="J18" i="1"/>
  <c r="K18" i="1" s="1"/>
  <c r="E32" i="1"/>
  <c r="H32" i="1" s="1"/>
  <c r="I32" i="1" s="1"/>
  <c r="E28" i="1"/>
  <c r="J20" i="1"/>
  <c r="K20" i="1" s="1"/>
  <c r="E30" i="1"/>
  <c r="H30" i="1" s="1"/>
  <c r="I30" i="1" s="1"/>
  <c r="E35" i="1"/>
  <c r="H35" i="1" s="1"/>
  <c r="I35" i="1" s="1"/>
  <c r="D31" i="1"/>
  <c r="H26" i="1"/>
  <c r="I26" i="1" s="1"/>
  <c r="D35" i="1"/>
  <c r="AW14" i="4"/>
  <c r="AW18" i="4"/>
  <c r="AW15" i="4"/>
  <c r="AW16" i="4"/>
  <c r="E34" i="1"/>
  <c r="H34" i="1" s="1"/>
  <c r="I34" i="1" s="1"/>
  <c r="AW19" i="4"/>
  <c r="AW20" i="4"/>
  <c r="E31" i="1"/>
  <c r="H31" i="1" s="1"/>
  <c r="I31" i="1" s="1"/>
  <c r="H33" i="1"/>
  <c r="I33" i="1" s="1"/>
  <c r="J21" i="1"/>
  <c r="K21" i="1" s="1"/>
  <c r="J25" i="1"/>
  <c r="K25" i="1" s="1"/>
  <c r="D30" i="1"/>
  <c r="J19" i="1"/>
  <c r="K19" i="1" s="1"/>
  <c r="J24" i="1"/>
  <c r="K24" i="1" s="1"/>
  <c r="D33" i="1"/>
  <c r="G35" i="1"/>
  <c r="H29" i="1"/>
  <c r="I29" i="1" s="1"/>
  <c r="G33" i="1"/>
  <c r="J23" i="1"/>
  <c r="K23" i="1" s="1"/>
  <c r="G29" i="1"/>
  <c r="D34" i="1"/>
  <c r="G31" i="1"/>
  <c r="H12" i="1"/>
  <c r="I12" i="1" s="1"/>
  <c r="J12" i="1"/>
  <c r="K12" i="1" s="1"/>
  <c r="H13" i="1"/>
  <c r="I13" i="1" s="1"/>
  <c r="J13" i="1"/>
  <c r="K13" i="1" s="1"/>
  <c r="H14" i="1"/>
  <c r="I14" i="1" s="1"/>
  <c r="J14" i="1"/>
  <c r="K14" i="1" s="1"/>
  <c r="H15" i="1"/>
  <c r="I15" i="1" s="1"/>
  <c r="J15" i="1"/>
  <c r="K15" i="1" s="1"/>
  <c r="D16" i="1"/>
  <c r="E16" i="1"/>
  <c r="F16" i="1"/>
  <c r="G16" i="1"/>
  <c r="J10" i="1"/>
  <c r="K10" i="1" s="1"/>
  <c r="G36" i="1" l="1"/>
  <c r="H28" i="1"/>
  <c r="I28" i="1" s="1"/>
  <c r="E36" i="1"/>
  <c r="H36" i="1" s="1"/>
  <c r="I36" i="1" s="1"/>
  <c r="D36" i="1"/>
  <c r="J32" i="1"/>
  <c r="K32" i="1" s="1"/>
  <c r="J29" i="1"/>
  <c r="K29" i="1" s="1"/>
  <c r="J31" i="1"/>
  <c r="K31" i="1" s="1"/>
  <c r="J30" i="1"/>
  <c r="K30" i="1" s="1"/>
  <c r="J28" i="1"/>
  <c r="K28" i="1" s="1"/>
  <c r="J35" i="1"/>
  <c r="K35" i="1" s="1"/>
  <c r="J33" i="1"/>
  <c r="K33" i="1" s="1"/>
  <c r="J26" i="1"/>
  <c r="K26" i="1" s="1"/>
  <c r="J34" i="1"/>
  <c r="K34" i="1" s="1"/>
  <c r="J11" i="1"/>
  <c r="K11" i="1" s="1"/>
  <c r="H10" i="1"/>
  <c r="I10" i="1" s="1"/>
  <c r="H11" i="1"/>
  <c r="I11" i="1" s="1"/>
  <c r="H16" i="1"/>
  <c r="I16" i="1" s="1"/>
  <c r="J9" i="1"/>
  <c r="K9" i="1" s="1"/>
  <c r="J16" i="1"/>
  <c r="K16" i="1" s="1"/>
  <c r="H9" i="1"/>
  <c r="I9" i="1" s="1"/>
  <c r="I11" i="8"/>
  <c r="I12" i="8"/>
  <c r="I13" i="8"/>
  <c r="I14" i="8"/>
  <c r="I15" i="8"/>
  <c r="F16" i="8"/>
  <c r="E16" i="8"/>
  <c r="C46" i="1" l="1"/>
  <c r="C48" i="1" s="1"/>
  <c r="C50" i="1" s="1"/>
  <c r="J36" i="1"/>
  <c r="K36" i="1" s="1"/>
  <c r="B46" i="1"/>
  <c r="B48" i="1" s="1"/>
  <c r="B50" i="1" s="1"/>
  <c r="G16" i="8"/>
  <c r="A4" i="15" l="1"/>
  <c r="K3" i="15"/>
  <c r="F3" i="15"/>
  <c r="A3" i="15"/>
  <c r="A4" i="13"/>
  <c r="J3" i="13"/>
  <c r="D3" i="13"/>
  <c r="A3" i="13"/>
  <c r="A4" i="12"/>
  <c r="G3" i="12"/>
  <c r="D3" i="12"/>
  <c r="A3" i="12"/>
  <c r="A4" i="11"/>
  <c r="H3" i="11"/>
  <c r="E3" i="11"/>
  <c r="A3" i="11"/>
  <c r="A4" i="10"/>
  <c r="I3" i="10"/>
  <c r="D3" i="10"/>
  <c r="A3" i="10"/>
  <c r="A4" i="9"/>
  <c r="I3" i="9"/>
  <c r="F3" i="9"/>
  <c r="A3" i="9"/>
  <c r="A4" i="8"/>
  <c r="H3" i="8"/>
  <c r="D3" i="8"/>
  <c r="A3" i="8"/>
  <c r="A4" i="7"/>
  <c r="H3" i="7"/>
  <c r="D3" i="7"/>
  <c r="A3" i="7"/>
  <c r="A4" i="6"/>
  <c r="D3" i="6"/>
  <c r="C3" i="6"/>
  <c r="A3" i="6"/>
  <c r="S4" i="4"/>
  <c r="Y3" i="4"/>
  <c r="S3" i="4"/>
  <c r="H3" i="1"/>
  <c r="D3" i="1"/>
  <c r="A4" i="1"/>
  <c r="A3" i="1"/>
  <c r="H23" i="9" l="1"/>
  <c r="F23" i="9"/>
  <c r="F25" i="9" s="1"/>
  <c r="E23" i="9"/>
  <c r="E25" i="9" s="1"/>
  <c r="D23" i="9"/>
  <c r="D25" i="9" s="1"/>
  <c r="C23" i="9"/>
  <c r="C25" i="9" s="1"/>
  <c r="G22" i="9"/>
  <c r="G21" i="9"/>
  <c r="G20" i="9"/>
  <c r="G19" i="9"/>
  <c r="G18" i="9"/>
  <c r="G17" i="9"/>
  <c r="G16" i="9"/>
  <c r="G15" i="9"/>
  <c r="G14" i="9"/>
  <c r="G13" i="9"/>
  <c r="G12" i="9"/>
  <c r="G11" i="9"/>
  <c r="I53" i="8"/>
  <c r="H53" i="8"/>
  <c r="F53" i="8"/>
  <c r="F55" i="8" s="1"/>
  <c r="E53" i="8"/>
  <c r="E55" i="8" s="1"/>
  <c r="D53" i="8"/>
  <c r="D55" i="8" s="1"/>
  <c r="C53" i="8"/>
  <c r="C55" i="8" s="1"/>
  <c r="G52" i="8"/>
  <c r="G51" i="8"/>
  <c r="G50" i="8"/>
  <c r="G49" i="8"/>
  <c r="G48" i="8"/>
  <c r="G47" i="8"/>
  <c r="G46" i="8"/>
  <c r="G45" i="8"/>
  <c r="G44" i="8"/>
  <c r="G43" i="8"/>
  <c r="G42" i="8"/>
  <c r="G41" i="8"/>
  <c r="J41" i="8" s="1"/>
  <c r="K11" i="9" l="1"/>
  <c r="G23" i="9"/>
  <c r="G25" i="9" s="1"/>
  <c r="G53" i="8"/>
  <c r="G55" i="8" s="1"/>
  <c r="K40" i="8"/>
  <c r="K54" i="8"/>
  <c r="L11" i="9" l="1"/>
  <c r="K12" i="9"/>
  <c r="K13" i="9" s="1"/>
  <c r="K41" i="8"/>
  <c r="J42" i="8"/>
  <c r="L12" i="9" l="1"/>
  <c r="K14" i="9"/>
  <c r="L13" i="9"/>
  <c r="J43" i="8"/>
  <c r="K42" i="8"/>
  <c r="K15" i="9" l="1"/>
  <c r="L14" i="9"/>
  <c r="J44" i="8"/>
  <c r="K43" i="8"/>
  <c r="K16" i="9" l="1"/>
  <c r="L15" i="9"/>
  <c r="K44" i="8"/>
  <c r="J45" i="8"/>
  <c r="K45" i="8" s="1"/>
  <c r="L16" i="9" l="1"/>
  <c r="K17" i="9"/>
  <c r="J46" i="8"/>
  <c r="L17" i="9" l="1"/>
  <c r="K18" i="9"/>
  <c r="J47" i="8"/>
  <c r="K46" i="8"/>
  <c r="K19" i="9" l="1"/>
  <c r="L18" i="9"/>
  <c r="J48" i="8"/>
  <c r="K47" i="8"/>
  <c r="L19" i="9" l="1"/>
  <c r="K20" i="9"/>
  <c r="K48" i="8"/>
  <c r="J49" i="8"/>
  <c r="L20" i="9" l="1"/>
  <c r="K21" i="9"/>
  <c r="K49" i="8"/>
  <c r="J50" i="8"/>
  <c r="L21" i="9" l="1"/>
  <c r="K22" i="9"/>
  <c r="K23" i="9" s="1"/>
  <c r="J51" i="8"/>
  <c r="K50" i="8"/>
  <c r="L22" i="9" l="1"/>
  <c r="L23" i="9" s="1"/>
  <c r="L25" i="9" s="1"/>
  <c r="J52" i="8"/>
  <c r="K51" i="8"/>
  <c r="M25" i="9" l="1"/>
  <c r="K52" i="8"/>
  <c r="K53" i="8" s="1"/>
  <c r="K55" i="8" s="1"/>
  <c r="L55" i="8" s="1"/>
  <c r="J53" i="8"/>
  <c r="E11" i="6" l="1"/>
  <c r="E10" i="6"/>
  <c r="AW21" i="4" l="1"/>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何先琴</author>
  </authors>
  <commentList>
    <comment ref="B14" authorId="0" shapeId="0">
      <text>
        <r>
          <rPr>
            <b/>
            <sz val="9"/>
            <color indexed="81"/>
            <rFont val="宋体"/>
            <family val="3"/>
            <charset val="134"/>
          </rPr>
          <t>专业技术部:</t>
        </r>
        <r>
          <rPr>
            <sz val="9"/>
            <color indexed="81"/>
            <rFont val="宋体"/>
            <family val="3"/>
            <charset val="134"/>
          </rPr>
          <t xml:space="preserve">
可按产品生产线、设备等维度分析，如果同类产品产能利用率低却增加在建工程投入则不合理，考虑是否存在虚增在建工程、第三方配合舞弊等</t>
        </r>
      </text>
    </comment>
  </commentList>
</comments>
</file>

<file path=xl/sharedStrings.xml><?xml version="1.0" encoding="utf-8"?>
<sst xmlns="http://schemas.openxmlformats.org/spreadsheetml/2006/main" count="1391" uniqueCount="1044">
  <si>
    <t>致同会计师事务所</t>
  </si>
  <si>
    <t>附注披露信息（上市公司）</t>
    <phoneticPr fontId="10" type="noConversion"/>
  </si>
  <si>
    <t>附注披露信息（国有企业）</t>
    <phoneticPr fontId="10" type="noConversion"/>
  </si>
  <si>
    <t>工程项目名称</t>
  </si>
  <si>
    <t>资金来源</t>
  </si>
  <si>
    <t>减值准备</t>
  </si>
  <si>
    <t>SP</t>
    <phoneticPr fontId="14" type="noConversion"/>
  </si>
  <si>
    <t>……</t>
  </si>
  <si>
    <t>账面余额</t>
  </si>
  <si>
    <t>账面净值</t>
  </si>
  <si>
    <t>工程名称</t>
  </si>
  <si>
    <t>本期增加</t>
  </si>
  <si>
    <t>转入固定资产</t>
  </si>
  <si>
    <t>其他减少</t>
  </si>
  <si>
    <t>其中：本期利息资本化金额</t>
  </si>
  <si>
    <t>预算数</t>
  </si>
  <si>
    <t>工程进度</t>
  </si>
  <si>
    <t>（注：工程进度不一定是投入进度）</t>
  </si>
  <si>
    <t>（资金来源应区分募股资金、金融机构贷款和自筹、其他来源等）</t>
  </si>
  <si>
    <t>本期计提金额</t>
  </si>
  <si>
    <t>计提原因</t>
  </si>
  <si>
    <t>项目名称</t>
  </si>
  <si>
    <t>2</t>
    <phoneticPr fontId="10" type="noConversion"/>
  </si>
  <si>
    <r>
      <rPr>
        <b/>
        <sz val="10"/>
        <color indexed="8"/>
        <rFont val="宋体"/>
        <family val="3"/>
        <charset val="134"/>
      </rPr>
      <t>项目</t>
    </r>
  </si>
  <si>
    <r>
      <rPr>
        <b/>
        <sz val="10"/>
        <rFont val="宋体"/>
        <family val="3"/>
        <charset val="134"/>
      </rPr>
      <t>税后折税前调整说明</t>
    </r>
    <phoneticPr fontId="10" type="noConversion"/>
  </si>
  <si>
    <r>
      <rPr>
        <b/>
        <sz val="10"/>
        <rFont val="宋体"/>
        <family val="3"/>
        <charset val="134"/>
      </rPr>
      <t>可收回金额</t>
    </r>
    <phoneticPr fontId="10" type="noConversion"/>
  </si>
  <si>
    <r>
      <rPr>
        <b/>
        <sz val="10"/>
        <rFont val="宋体"/>
        <family val="3"/>
        <charset val="134"/>
      </rPr>
      <t>税率调整</t>
    </r>
    <phoneticPr fontId="10" type="noConversion"/>
  </si>
  <si>
    <t>6</t>
  </si>
  <si>
    <t xml:space="preserve"> </t>
  </si>
  <si>
    <t xml:space="preserve">                                                                            </t>
  </si>
  <si>
    <r>
      <rPr>
        <b/>
        <sz val="10"/>
        <rFont val="宋体"/>
        <family val="3"/>
        <charset val="134"/>
      </rPr>
      <t>序号</t>
    </r>
    <phoneticPr fontId="10" type="noConversion"/>
  </si>
  <si>
    <t>1</t>
    <phoneticPr fontId="10" type="noConversion"/>
  </si>
  <si>
    <t>4</t>
  </si>
  <si>
    <t>5</t>
  </si>
  <si>
    <t>7</t>
  </si>
  <si>
    <t xml:space="preserve">  …</t>
    <phoneticPr fontId="10" type="noConversion"/>
  </si>
  <si>
    <t>…</t>
    <phoneticPr fontId="10" type="noConversion"/>
  </si>
  <si>
    <r>
      <rPr>
        <sz val="10"/>
        <color rgb="FF0070C0"/>
        <rFont val="宋体"/>
        <family val="3"/>
        <charset val="134"/>
      </rPr>
      <t>半拉子工程或已安装的机器设备长期不用等异常情况。）</t>
    </r>
  </si>
  <si>
    <r>
      <rPr>
        <sz val="10"/>
        <color rgb="FF0070C0"/>
        <rFont val="宋体"/>
        <family val="3"/>
        <charset val="134"/>
      </rPr>
      <t>并提请客户作必要披露。）</t>
    </r>
  </si>
  <si>
    <r>
      <rPr>
        <sz val="10"/>
        <color rgb="FF0070C0"/>
        <rFont val="宋体"/>
        <family val="3"/>
        <charset val="134"/>
      </rPr>
      <t>是否存在已抵押、担保的情况，如有应作出记录，并提请客户作必要披露）</t>
    </r>
  </si>
  <si>
    <r>
      <rPr>
        <b/>
        <sz val="10"/>
        <rFont val="宋体"/>
        <family val="3"/>
        <charset val="134"/>
      </rPr>
      <t>项目</t>
    </r>
  </si>
  <si>
    <r>
      <t>B</t>
    </r>
    <r>
      <rPr>
        <sz val="10"/>
        <color indexed="12"/>
        <rFont val="宋体"/>
        <family val="3"/>
        <charset val="134"/>
      </rPr>
      <t>、按照实际占用资金的项目分摊利息费用：项目开工日期至竣工日期（建筑工程竣工验收备案表）发生的利息费用净额应资本化计入开发成本；</t>
    </r>
  </si>
  <si>
    <r>
      <t>C</t>
    </r>
    <r>
      <rPr>
        <sz val="10"/>
        <color indexed="12"/>
        <rFont val="宋体"/>
        <family val="3"/>
        <charset val="134"/>
      </rPr>
      <t>、利息资本化进行测算</t>
    </r>
  </si>
  <si>
    <r>
      <rPr>
        <sz val="10"/>
        <color indexed="12"/>
        <rFont val="宋体"/>
        <family val="3"/>
        <charset val="134"/>
      </rPr>
      <t>所占用一般借款的资本化率＝所占用一般借款加权平均利率＝所占用一般借款当期实际发生的利息之和</t>
    </r>
    <r>
      <rPr>
        <sz val="10"/>
        <color indexed="12"/>
        <rFont val="Arial Narrow"/>
        <family val="2"/>
      </rPr>
      <t>÷</t>
    </r>
    <r>
      <rPr>
        <sz val="10"/>
        <color indexed="12"/>
        <rFont val="宋体"/>
        <family val="3"/>
        <charset val="134"/>
      </rPr>
      <t>所占用一般借款本金加权平均数。</t>
    </r>
  </si>
  <si>
    <r>
      <rPr>
        <sz val="10"/>
        <color indexed="12"/>
        <rFont val="宋体"/>
        <family val="3"/>
        <charset val="134"/>
      </rPr>
      <t>所占用一般借款本金加权平均数＝</t>
    </r>
    <r>
      <rPr>
        <sz val="10"/>
        <color indexed="12"/>
        <rFont val="Arial Narrow"/>
        <family val="2"/>
      </rPr>
      <t>Σ</t>
    </r>
    <r>
      <rPr>
        <sz val="10"/>
        <color indexed="12"/>
        <rFont val="宋体"/>
        <family val="3"/>
        <charset val="134"/>
      </rPr>
      <t>（所占用每笔一般借款本金</t>
    </r>
    <r>
      <rPr>
        <sz val="10"/>
        <color indexed="12"/>
        <rFont val="Arial Narrow"/>
        <family val="2"/>
      </rPr>
      <t>×</t>
    </r>
    <r>
      <rPr>
        <sz val="10"/>
        <color indexed="12"/>
        <rFont val="宋体"/>
        <family val="3"/>
        <charset val="134"/>
      </rPr>
      <t>每笔一般借款在当期所占用的天数</t>
    </r>
    <r>
      <rPr>
        <sz val="10"/>
        <color indexed="12"/>
        <rFont val="Arial Narrow"/>
        <family val="2"/>
      </rPr>
      <t>/</t>
    </r>
    <r>
      <rPr>
        <sz val="10"/>
        <color indexed="12"/>
        <rFont val="宋体"/>
        <family val="3"/>
        <charset val="134"/>
      </rPr>
      <t>当期天数）。</t>
    </r>
  </si>
  <si>
    <t>①在建工程明细</t>
    <phoneticPr fontId="10" type="noConversion"/>
  </si>
  <si>
    <t>②重要在建工程项目变动情况</t>
    <phoneticPr fontId="10" type="noConversion"/>
  </si>
  <si>
    <r>
      <rPr>
        <b/>
        <sz val="10"/>
        <rFont val="宋体"/>
        <family val="3"/>
        <charset val="134"/>
      </rPr>
      <t>财务报表的认定　</t>
    </r>
  </si>
  <si>
    <r>
      <rPr>
        <sz val="10"/>
        <rFont val="宋体"/>
        <family val="3"/>
        <charset val="134"/>
      </rPr>
      <t>存在</t>
    </r>
    <phoneticPr fontId="10" type="noConversion"/>
  </si>
  <si>
    <r>
      <rPr>
        <sz val="10"/>
        <rFont val="宋体"/>
        <family val="3"/>
        <charset val="134"/>
      </rPr>
      <t>√</t>
    </r>
    <phoneticPr fontId="10" type="noConversion"/>
  </si>
  <si>
    <r>
      <rPr>
        <sz val="10"/>
        <rFont val="宋体"/>
        <family val="3"/>
        <charset val="134"/>
      </rPr>
      <t>备选</t>
    </r>
    <phoneticPr fontId="10" type="noConversion"/>
  </si>
  <si>
    <r>
      <rPr>
        <b/>
        <sz val="10"/>
        <rFont val="宋体"/>
        <family val="3"/>
        <charset val="134"/>
      </rPr>
      <t>①</t>
    </r>
    <phoneticPr fontId="10" type="noConversion"/>
  </si>
  <si>
    <r>
      <rPr>
        <b/>
        <sz val="10"/>
        <rFont val="宋体"/>
        <family val="3"/>
        <charset val="134"/>
      </rPr>
      <t>②</t>
    </r>
    <phoneticPr fontId="10" type="noConversion"/>
  </si>
  <si>
    <t>……</t>
    <phoneticPr fontId="10" type="noConversion"/>
  </si>
  <si>
    <t>账面价值</t>
  </si>
  <si>
    <t>（1）在建工程</t>
    <phoneticPr fontId="10" type="noConversion"/>
  </si>
  <si>
    <r>
      <t>项</t>
    </r>
    <r>
      <rPr>
        <b/>
        <sz val="10.5"/>
        <rFont val="Arial Narrow"/>
        <family val="2"/>
      </rPr>
      <t xml:space="preserve">  </t>
    </r>
    <r>
      <rPr>
        <b/>
        <sz val="10.5"/>
        <rFont val="仿宋_GB2312"/>
        <family val="3"/>
        <charset val="134"/>
      </rPr>
      <t>目</t>
    </r>
  </si>
  <si>
    <t>期末余额</t>
  </si>
  <si>
    <t>上年年末余额</t>
  </si>
  <si>
    <t>专用材料</t>
  </si>
  <si>
    <t>专用设备</t>
  </si>
  <si>
    <t>工器具</t>
  </si>
  <si>
    <t>工程物资减值准备</t>
  </si>
  <si>
    <r>
      <t>合</t>
    </r>
    <r>
      <rPr>
        <b/>
        <sz val="10.5"/>
        <rFont val="Arial Narrow"/>
        <family val="2"/>
      </rPr>
      <t xml:space="preserve">  </t>
    </r>
    <r>
      <rPr>
        <b/>
        <sz val="10.5"/>
        <rFont val="仿宋_GB2312"/>
        <family val="3"/>
        <charset val="134"/>
      </rPr>
      <t>计</t>
    </r>
  </si>
  <si>
    <t>H2A</t>
  </si>
  <si>
    <t>H2-1</t>
  </si>
  <si>
    <t>H2-3</t>
  </si>
  <si>
    <t>H2-4</t>
  </si>
  <si>
    <t>H2-5</t>
  </si>
  <si>
    <t>H2-6</t>
  </si>
  <si>
    <t>H2-8</t>
  </si>
  <si>
    <t>H2-7</t>
  </si>
  <si>
    <t>在建工程</t>
  </si>
  <si>
    <t>工程物资</t>
  </si>
  <si>
    <t>X.XX</t>
  </si>
  <si>
    <r>
      <t>项</t>
    </r>
    <r>
      <rPr>
        <b/>
        <sz val="10.5"/>
        <color rgb="FF000000"/>
        <rFont val="Arial Narrow"/>
        <family val="2"/>
      </rPr>
      <t xml:space="preserve">  </t>
    </r>
    <r>
      <rPr>
        <b/>
        <sz val="10.5"/>
        <color rgb="FF000000"/>
        <rFont val="仿宋_GB2312"/>
        <family val="3"/>
        <charset val="134"/>
      </rPr>
      <t>目</t>
    </r>
  </si>
  <si>
    <r>
      <t>合</t>
    </r>
    <r>
      <rPr>
        <b/>
        <sz val="10.5"/>
        <color rgb="FF000000"/>
        <rFont val="Arial Narrow"/>
        <family val="2"/>
      </rPr>
      <t xml:space="preserve">  </t>
    </r>
    <r>
      <rPr>
        <b/>
        <sz val="10.5"/>
        <color rgb="FF000000"/>
        <rFont val="仿宋_GB2312"/>
        <family val="3"/>
        <charset val="134"/>
      </rPr>
      <t>计</t>
    </r>
  </si>
  <si>
    <t>期初余额</t>
  </si>
  <si>
    <t>利息资</t>
  </si>
  <si>
    <t>本化累</t>
  </si>
  <si>
    <t>计金额</t>
  </si>
  <si>
    <t>本期利</t>
  </si>
  <si>
    <t>息资本</t>
  </si>
  <si>
    <r>
      <t>化率</t>
    </r>
    <r>
      <rPr>
        <b/>
        <sz val="9"/>
        <rFont val="Arial Narrow"/>
        <family val="2"/>
      </rPr>
      <t>%</t>
    </r>
  </si>
  <si>
    <t>A</t>
  </si>
  <si>
    <t>B</t>
  </si>
  <si>
    <t>C</t>
  </si>
  <si>
    <t>D</t>
  </si>
  <si>
    <t>E=A+B-C-D</t>
  </si>
  <si>
    <r>
      <t>合</t>
    </r>
    <r>
      <rPr>
        <b/>
        <sz val="9"/>
        <rFont val="Arial Narrow"/>
        <family val="2"/>
      </rPr>
      <t xml:space="preserve">  </t>
    </r>
    <r>
      <rPr>
        <b/>
        <sz val="9"/>
        <rFont val="仿宋_GB2312"/>
        <family val="3"/>
        <charset val="134"/>
      </rPr>
      <t>计</t>
    </r>
  </si>
  <si>
    <t>--</t>
  </si>
  <si>
    <t>重要在建工程项目变动情况（续）：</t>
  </si>
  <si>
    <r>
      <t>工程累计投入占预算比例</t>
    </r>
    <r>
      <rPr>
        <b/>
        <sz val="10.5"/>
        <rFont val="Arial Narrow"/>
        <family val="2"/>
      </rPr>
      <t>%</t>
    </r>
  </si>
  <si>
    <t>在建工程项目变动情况</t>
  </si>
  <si>
    <t>③在建工程减值准备情况</t>
    <phoneticPr fontId="10" type="noConversion"/>
  </si>
  <si>
    <t>本期计提</t>
  </si>
  <si>
    <t>本期减少</t>
  </si>
  <si>
    <r>
      <t>【长期资产本期进行减值测试的，应披露可收回金额的具体确定方法。可收回金额按公允价值减去处置费用后的净额确定的，应披露公允价值和处置费用的确定方式、关键参数及其确定依据。可收回金额按预计未来现金流量的现值确定的，应披露预测期的年限、预测期及稳定期的关键参数及其确定依据。前述信息与以前年度减值测试采用的信息或外部信息明显不一致的，或公司以前年度减值测试采用信息与当年实际情况明显不一致的，应披露差异原因。（</t>
    </r>
    <r>
      <rPr>
        <sz val="12"/>
        <color rgb="FF0000FF"/>
        <rFont val="Arial Narrow"/>
        <family val="2"/>
      </rPr>
      <t>15</t>
    </r>
    <r>
      <rPr>
        <sz val="12"/>
        <color rgb="FF0000FF"/>
        <rFont val="仿宋_GB2312"/>
        <family val="3"/>
        <charset val="134"/>
      </rPr>
      <t>号文第十九条（十九）</t>
    </r>
  </si>
  <si>
    <r>
      <t>注意：</t>
    </r>
    <r>
      <rPr>
        <sz val="12"/>
        <color rgb="FF0000FF"/>
        <rFont val="Arial Narrow"/>
        <family val="2"/>
      </rPr>
      <t>1</t>
    </r>
    <r>
      <rPr>
        <sz val="12"/>
        <color rgb="FF0000FF"/>
        <rFont val="仿宋_GB2312"/>
        <family val="3"/>
        <charset val="134"/>
      </rPr>
      <t>、本年执行减值测试的，即使未计提减值，也要参照上述要求披露。</t>
    </r>
    <r>
      <rPr>
        <sz val="12"/>
        <color rgb="FF0000FF"/>
        <rFont val="Arial Narrow"/>
        <family val="2"/>
      </rPr>
      <t>2</t>
    </r>
    <r>
      <rPr>
        <sz val="12"/>
        <color rgb="FF0000FF"/>
        <rFont val="仿宋_GB2312"/>
        <family val="3"/>
        <charset val="134"/>
      </rPr>
      <t>、估计可收回金额时通常不应使用重置成本法。】</t>
    </r>
  </si>
  <si>
    <r>
      <rPr>
        <sz val="12"/>
        <rFont val="宋体"/>
        <family val="3"/>
        <charset val="134"/>
      </rPr>
      <t>（</t>
    </r>
    <r>
      <rPr>
        <sz val="12"/>
        <rFont val="Arial Narrow"/>
        <family val="2"/>
      </rPr>
      <t>2</t>
    </r>
    <r>
      <rPr>
        <sz val="12"/>
        <rFont val="宋体"/>
        <family val="3"/>
        <charset val="134"/>
      </rPr>
      <t>）</t>
    </r>
    <r>
      <rPr>
        <sz val="12"/>
        <rFont val="仿宋_GB2312"/>
        <family val="3"/>
        <charset val="134"/>
      </rPr>
      <t>工程物资</t>
    </r>
    <phoneticPr fontId="10" type="noConversion"/>
  </si>
  <si>
    <t>(XX.XX)</t>
  </si>
  <si>
    <r>
      <t>（</t>
    </r>
    <r>
      <rPr>
        <sz val="12"/>
        <rFont val="Arial Narrow"/>
        <family val="2"/>
      </rPr>
      <t>1</t>
    </r>
    <r>
      <rPr>
        <sz val="12"/>
        <rFont val="仿宋_GB2312"/>
        <family val="3"/>
        <charset val="134"/>
      </rPr>
      <t>）在建工程情况</t>
    </r>
  </si>
  <si>
    <r>
      <t>（</t>
    </r>
    <r>
      <rPr>
        <sz val="12"/>
        <rFont val="Arial Narrow"/>
        <family val="2"/>
      </rPr>
      <t>2</t>
    </r>
    <r>
      <rPr>
        <sz val="12"/>
        <rFont val="仿宋_GB2312"/>
        <family val="3"/>
        <charset val="134"/>
      </rPr>
      <t>）重要在建工程项目本期变动情况</t>
    </r>
  </si>
  <si>
    <t>本期</t>
  </si>
  <si>
    <t>增加</t>
  </si>
  <si>
    <t>本期转入固</t>
  </si>
  <si>
    <t>定资产金额</t>
  </si>
  <si>
    <t>本期其他</t>
  </si>
  <si>
    <t>减少金额</t>
  </si>
  <si>
    <t>期末</t>
  </si>
  <si>
    <t>余额</t>
  </si>
  <si>
    <t>工程累计投入占</t>
  </si>
  <si>
    <r>
      <t>预算比例</t>
    </r>
    <r>
      <rPr>
        <b/>
        <sz val="9"/>
        <rFont val="Arial Narrow"/>
        <family val="2"/>
      </rPr>
      <t>(%)</t>
    </r>
  </si>
  <si>
    <t>工程</t>
  </si>
  <si>
    <t>进度</t>
  </si>
  <si>
    <t>利息资本化</t>
  </si>
  <si>
    <t>累计金额</t>
  </si>
  <si>
    <t>其中：本期利息</t>
  </si>
  <si>
    <t>资本化金额</t>
  </si>
  <si>
    <t>本期利息</t>
  </si>
  <si>
    <r>
      <t>资本化率</t>
    </r>
    <r>
      <rPr>
        <b/>
        <sz val="9"/>
        <rFont val="Arial Narrow"/>
        <family val="2"/>
      </rPr>
      <t>(%)</t>
    </r>
  </si>
  <si>
    <t>资金</t>
  </si>
  <si>
    <t>来源</t>
  </si>
  <si>
    <t>…….</t>
  </si>
  <si>
    <r>
      <t>合</t>
    </r>
    <r>
      <rPr>
        <b/>
        <sz val="10.5"/>
        <rFont val="Arial Narrow"/>
        <family val="2"/>
      </rPr>
      <t xml:space="preserve">  </t>
    </r>
    <r>
      <rPr>
        <b/>
        <sz val="10.5"/>
        <rFont val="仿宋_GB2312"/>
        <family val="3"/>
        <charset val="134"/>
      </rPr>
      <t>计</t>
    </r>
    <r>
      <rPr>
        <b/>
        <sz val="10.5"/>
        <rFont val="Arial Narrow"/>
        <family val="2"/>
      </rPr>
      <t xml:space="preserve"> </t>
    </r>
  </si>
  <si>
    <t>——</t>
  </si>
  <si>
    <r>
      <t>（</t>
    </r>
    <r>
      <rPr>
        <sz val="12"/>
        <rFont val="Arial Narrow"/>
        <family val="2"/>
      </rPr>
      <t>3</t>
    </r>
    <r>
      <rPr>
        <sz val="12"/>
        <rFont val="仿宋_GB2312"/>
        <family val="3"/>
        <charset val="134"/>
      </rPr>
      <t>）本期计提在建工程减值准备情况</t>
    </r>
  </si>
  <si>
    <t>23、在建工程</t>
    <phoneticPr fontId="10" type="noConversion"/>
  </si>
  <si>
    <t>23、在建工程</t>
    <phoneticPr fontId="10" type="noConversion"/>
  </si>
  <si>
    <t>……</t>
    <phoneticPr fontId="10" type="noConversion"/>
  </si>
  <si>
    <r>
      <t>1.</t>
    </r>
    <r>
      <rPr>
        <sz val="10"/>
        <rFont val="宋体"/>
        <family val="3"/>
        <charset val="134"/>
      </rPr>
      <t>资产负债表中记录的在建工程是存在的，且已记录于恰当的账户；</t>
    </r>
    <r>
      <rPr>
        <sz val="10"/>
        <rFont val="Arial Narrow"/>
        <family val="2"/>
      </rPr>
      <t>2.</t>
    </r>
    <r>
      <rPr>
        <sz val="10"/>
        <rFont val="宋体"/>
        <family val="3"/>
        <charset val="134"/>
      </rPr>
      <t>所有应记录的在建工程均已记录，所有应当包括在财务报表中的相关披露均已包括；</t>
    </r>
  </si>
  <si>
    <r>
      <rPr>
        <b/>
        <sz val="10"/>
        <color indexed="8"/>
        <rFont val="宋体"/>
        <family val="3"/>
        <charset val="134"/>
      </rPr>
      <t>一、审计目标</t>
    </r>
    <r>
      <rPr>
        <b/>
        <sz val="10"/>
        <color indexed="8"/>
        <rFont val="Arial Narrow"/>
        <family val="2"/>
      </rPr>
      <t>:</t>
    </r>
    <phoneticPr fontId="14" type="noConversion"/>
  </si>
  <si>
    <t>H2-1</t>
    <phoneticPr fontId="5" type="noConversion"/>
  </si>
  <si>
    <t>H2-2</t>
    <phoneticPr fontId="5" type="noConversion"/>
  </si>
  <si>
    <t>H2-3</t>
    <phoneticPr fontId="5" type="noConversion"/>
  </si>
  <si>
    <t>H2-4</t>
    <phoneticPr fontId="5" type="noConversion"/>
  </si>
  <si>
    <t>H2-5</t>
    <phoneticPr fontId="5" type="noConversion"/>
  </si>
  <si>
    <t>H2-6</t>
    <phoneticPr fontId="5" type="noConversion"/>
  </si>
  <si>
    <t>H2-7</t>
    <phoneticPr fontId="5" type="noConversion"/>
  </si>
  <si>
    <t>H2-8</t>
    <phoneticPr fontId="5" type="noConversion"/>
  </si>
  <si>
    <t>H2-9</t>
    <phoneticPr fontId="5" type="noConversion"/>
  </si>
  <si>
    <t>H2-10</t>
    <phoneticPr fontId="5" type="noConversion"/>
  </si>
  <si>
    <t>H2-11</t>
    <phoneticPr fontId="5" type="noConversion"/>
  </si>
  <si>
    <t>H2-12</t>
    <phoneticPr fontId="5" type="noConversion"/>
  </si>
  <si>
    <t>H2-13</t>
    <phoneticPr fontId="5" type="noConversion"/>
  </si>
  <si>
    <t>H2-14</t>
    <phoneticPr fontId="5" type="noConversion"/>
  </si>
  <si>
    <t>H2-15</t>
    <phoneticPr fontId="5" type="noConversion"/>
  </si>
  <si>
    <t>H2-16</t>
    <phoneticPr fontId="5" type="noConversion"/>
  </si>
  <si>
    <t>H2-17</t>
    <phoneticPr fontId="5" type="noConversion"/>
  </si>
  <si>
    <t>H2-4</t>
    <phoneticPr fontId="10" type="noConversion"/>
  </si>
  <si>
    <t>H2-5</t>
    <phoneticPr fontId="10" type="noConversion"/>
  </si>
  <si>
    <t>H2-9</t>
    <phoneticPr fontId="10" type="noConversion"/>
  </si>
  <si>
    <t>H2-17</t>
    <phoneticPr fontId="10" type="noConversion"/>
  </si>
  <si>
    <t>H2A</t>
    <phoneticPr fontId="5" type="noConversion"/>
  </si>
  <si>
    <r>
      <t xml:space="preserve">A. </t>
    </r>
    <r>
      <rPr>
        <sz val="10"/>
        <rFont val="宋体"/>
        <family val="3"/>
        <charset val="134"/>
      </rPr>
      <t>资产负债表中记录的在建工程是存在的，且已记录于恰当的账户</t>
    </r>
    <phoneticPr fontId="10" type="noConversion"/>
  </si>
  <si>
    <r>
      <t xml:space="preserve">E. </t>
    </r>
    <r>
      <rPr>
        <sz val="10"/>
        <rFont val="宋体"/>
        <family val="3"/>
        <charset val="134"/>
      </rPr>
      <t>在建工程已被恰当地汇总或分解且表述清楚，相关披露在按照企业会计准则的编制基础下是相关的、可理解的</t>
    </r>
    <phoneticPr fontId="10" type="noConversion"/>
  </si>
  <si>
    <r>
      <rPr>
        <sz val="10"/>
        <rFont val="宋体"/>
        <family val="3"/>
        <charset val="134"/>
      </rPr>
      <t>列报</t>
    </r>
    <phoneticPr fontId="10" type="noConversion"/>
  </si>
  <si>
    <r>
      <rPr>
        <sz val="10"/>
        <rFont val="宋体"/>
        <family val="3"/>
        <charset val="134"/>
      </rPr>
      <t>常规★</t>
    </r>
  </si>
  <si>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</si>
  <si>
    <r>
      <rPr>
        <sz val="10"/>
        <rFont val="宋体"/>
        <family val="3"/>
        <charset val="134"/>
      </rPr>
      <t>√</t>
    </r>
    <phoneticPr fontId="10" type="noConversion"/>
  </si>
  <si>
    <r>
      <rPr>
        <sz val="10"/>
        <rFont val="宋体"/>
        <family val="3"/>
        <charset val="134"/>
      </rPr>
      <t>关注会计政策、会计估计合理性、一贯性，关注其是否利用会计政策和会计估计及其变更操纵利润。</t>
    </r>
  </si>
  <si>
    <r>
      <rPr>
        <sz val="10"/>
        <rFont val="宋体"/>
        <family val="3"/>
        <charset val="134"/>
      </rPr>
      <t>√</t>
    </r>
    <phoneticPr fontId="10" type="noConversion"/>
  </si>
  <si>
    <r>
      <rPr>
        <sz val="10"/>
        <rFont val="宋体"/>
        <family val="3"/>
        <charset val="134"/>
      </rPr>
      <t>将本期在建工程相关数据与可比上期数据进行比较，包括在建工程占资产总额比例、在建工程余额、在建工程减值准备占在建工程原值比例、实际支出与预算的差异、利息资本化率，以识别需要执行额外程序的领域。</t>
    </r>
    <phoneticPr fontId="10" type="noConversion"/>
  </si>
  <si>
    <r>
      <rPr>
        <sz val="10"/>
        <rFont val="宋体"/>
        <family val="3"/>
        <charset val="134"/>
      </rPr>
      <t>√</t>
    </r>
    <phoneticPr fontId="10" type="noConversion"/>
  </si>
  <si>
    <r>
      <rPr>
        <sz val="10"/>
        <rFont val="宋体"/>
        <family val="3"/>
        <charset val="134"/>
      </rPr>
      <t>备选</t>
    </r>
    <phoneticPr fontId="10" type="noConversion"/>
  </si>
  <si>
    <r>
      <rPr>
        <sz val="10"/>
        <rFont val="宋体"/>
        <family val="3"/>
        <charset val="134"/>
      </rPr>
      <t>备选</t>
    </r>
    <phoneticPr fontId="10" type="noConversion"/>
  </si>
  <si>
    <r>
      <rPr>
        <b/>
        <sz val="10"/>
        <rFont val="宋体"/>
        <family val="3"/>
        <charset val="134"/>
      </rPr>
      <t>√</t>
    </r>
    <phoneticPr fontId="10" type="noConversion"/>
  </si>
  <si>
    <r>
      <rPr>
        <b/>
        <sz val="10"/>
        <rFont val="宋体"/>
        <family val="3"/>
        <charset val="134"/>
      </rPr>
      <t>序号</t>
    </r>
    <phoneticPr fontId="10" type="noConversion"/>
  </si>
  <si>
    <r>
      <rPr>
        <sz val="10"/>
        <color theme="1"/>
        <rFont val="宋体"/>
        <family val="3"/>
        <charset val="134"/>
      </rPr>
      <t>√</t>
    </r>
    <phoneticPr fontId="10" type="noConversion"/>
  </si>
  <si>
    <r>
      <rPr>
        <b/>
        <sz val="10"/>
        <color theme="1"/>
        <rFont val="宋体"/>
        <family val="3"/>
        <charset val="134"/>
      </rPr>
      <t>√</t>
    </r>
    <phoneticPr fontId="10" type="noConversion"/>
  </si>
  <si>
    <r>
      <rPr>
        <sz val="10"/>
        <rFont val="宋体"/>
        <family val="3"/>
        <charset val="134"/>
      </rPr>
      <t>检查关联交易情况，检查关联交易的真实性、合理性及合规性；检查关联交易会计处理是否正确，考虑是否存在未识别的关联方，检查关联交易和余额披露是否正确。如果识别出关联交易存在重大错报风险，需执行相关审计程序。</t>
    </r>
    <phoneticPr fontId="10" type="noConversion"/>
  </si>
  <si>
    <r>
      <t>A 1-1/</t>
    </r>
    <r>
      <rPr>
        <sz val="10"/>
        <color rgb="FFFF0000"/>
        <rFont val="Arial Narrow"/>
        <family val="2"/>
      </rPr>
      <t>A1-15 /A1-16</t>
    </r>
    <phoneticPr fontId="10" type="noConversion"/>
  </si>
  <si>
    <r>
      <rPr>
        <b/>
        <sz val="10"/>
        <rFont val="宋体"/>
        <family val="3"/>
        <charset val="134"/>
      </rPr>
      <t>一、本账户涉及的科目</t>
    </r>
    <phoneticPr fontId="10" type="noConversion"/>
  </si>
  <si>
    <r>
      <rPr>
        <sz val="10"/>
        <rFont val="宋体"/>
        <family val="3"/>
        <charset val="134"/>
      </rPr>
      <t>在建工程、减值准备</t>
    </r>
    <phoneticPr fontId="5" type="noConversion"/>
  </si>
  <si>
    <r>
      <t xml:space="preserve">B. </t>
    </r>
    <r>
      <rPr>
        <sz val="10"/>
        <rFont val="宋体"/>
        <family val="3"/>
        <charset val="134"/>
      </rPr>
      <t>所有应记录的在建工程均已记录，所有应当包括在财务报表中的相关披露均已包括</t>
    </r>
    <phoneticPr fontId="10" type="noConversion"/>
  </si>
  <si>
    <r>
      <t xml:space="preserve">C. </t>
    </r>
    <r>
      <rPr>
        <sz val="10"/>
        <rFont val="宋体"/>
        <family val="3"/>
        <charset val="134"/>
      </rPr>
      <t>记录的在建工程由被审计单位拥有或控制；</t>
    </r>
    <phoneticPr fontId="10" type="noConversion"/>
  </si>
  <si>
    <r>
      <t xml:space="preserve">D. </t>
    </r>
    <r>
      <rPr>
        <sz val="10"/>
        <rFont val="宋体"/>
        <family val="3"/>
        <charset val="134"/>
      </rPr>
      <t>在建工程以恰当的金额包括在财务报表中，与之相关的计价或分摊调整已恰当记录，相关披露已得到恰当计量和描述</t>
    </r>
    <r>
      <rPr>
        <sz val="10"/>
        <rFont val="Arial Narrow"/>
        <family val="2"/>
      </rPr>
      <t xml:space="preserve"> </t>
    </r>
    <phoneticPr fontId="10" type="noConversion"/>
  </si>
  <si>
    <r>
      <rPr>
        <sz val="10"/>
        <rFont val="宋体"/>
        <family val="3"/>
        <charset val="134"/>
      </rPr>
      <t>准确性、计价和分摊</t>
    </r>
    <phoneticPr fontId="10" type="noConversion"/>
  </si>
  <si>
    <r>
      <rPr>
        <sz val="10"/>
        <color theme="1"/>
        <rFont val="宋体"/>
        <family val="3"/>
        <charset val="134"/>
      </rPr>
      <t>√</t>
    </r>
    <phoneticPr fontId="10"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</si>
  <si>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5" type="noConversion"/>
  </si>
  <si>
    <r>
      <rPr>
        <sz val="10"/>
        <rFont val="宋体"/>
        <family val="3"/>
        <charset val="134"/>
      </rPr>
      <t>检查其他方式的资产增减或减少：
（</t>
    </r>
    <r>
      <rPr>
        <sz val="10"/>
        <rFont val="Arial Narrow"/>
        <family val="2"/>
      </rPr>
      <t>1</t>
    </r>
    <r>
      <rPr>
        <sz val="10"/>
        <rFont val="宋体"/>
        <family val="3"/>
        <charset val="134"/>
      </rPr>
      <t>）对于非货币性资产交换、债务重组、企业合并、投资者投入等交易方式取得或减少的有关长期资产，检查相关合同</t>
    </r>
    <r>
      <rPr>
        <sz val="10"/>
        <rFont val="Arial Narrow"/>
        <family val="2"/>
      </rPr>
      <t>/</t>
    </r>
    <r>
      <rPr>
        <sz val="10"/>
        <rFont val="宋体"/>
        <family val="3"/>
        <charset val="134"/>
      </rPr>
      <t>协议，关注计价是否正确、移交手续是否办理以及会计处理是否正确。
（</t>
    </r>
    <r>
      <rPr>
        <sz val="10"/>
        <rFont val="Arial Narrow"/>
        <family val="2"/>
      </rPr>
      <t>2</t>
    </r>
    <r>
      <rPr>
        <sz val="10"/>
        <rFont val="宋体"/>
        <family val="3"/>
        <charset val="134"/>
      </rPr>
      <t>）对于因清产核资、资产评估调增或调减有关长期资产价值的，检查有关清产核资报告、资产评估报告、国有资产管理等部门的确认文件、验资报告等，检查会计处理是否正确。</t>
    </r>
    <phoneticPr fontId="10" type="noConversion"/>
  </si>
  <si>
    <r>
      <rPr>
        <b/>
        <sz val="10"/>
        <rFont val="宋体"/>
        <family val="3"/>
        <charset val="134"/>
      </rPr>
      <t>期初数</t>
    </r>
    <phoneticPr fontId="10" type="noConversion"/>
  </si>
  <si>
    <r>
      <rPr>
        <b/>
        <sz val="10"/>
        <rFont val="宋体"/>
        <family val="3"/>
        <charset val="134"/>
      </rPr>
      <t>期末数</t>
    </r>
    <phoneticPr fontId="10" type="noConversion"/>
  </si>
  <si>
    <r>
      <rPr>
        <b/>
        <sz val="10"/>
        <color indexed="8"/>
        <rFont val="宋体"/>
        <family val="3"/>
        <charset val="134"/>
      </rPr>
      <t>本期未审数与上期
未审数的比较</t>
    </r>
    <phoneticPr fontId="10" type="noConversion"/>
  </si>
  <si>
    <r>
      <rPr>
        <b/>
        <sz val="10"/>
        <color indexed="8"/>
        <rFont val="宋体"/>
        <family val="3"/>
        <charset val="134"/>
      </rPr>
      <t>本期审定数与上期
审定数的比较</t>
    </r>
    <phoneticPr fontId="10" type="noConversion"/>
  </si>
  <si>
    <r>
      <rPr>
        <b/>
        <sz val="10"/>
        <rFont val="宋体"/>
        <family val="3"/>
        <charset val="134"/>
      </rPr>
      <t>未审数</t>
    </r>
    <phoneticPr fontId="10" type="noConversion"/>
  </si>
  <si>
    <r>
      <rPr>
        <b/>
        <sz val="10"/>
        <rFont val="宋体"/>
        <family val="3"/>
        <charset val="134"/>
      </rPr>
      <t>账项调整</t>
    </r>
    <phoneticPr fontId="10" type="noConversion"/>
  </si>
  <si>
    <r>
      <rPr>
        <b/>
        <sz val="10"/>
        <rFont val="宋体"/>
        <family val="3"/>
        <charset val="134"/>
      </rPr>
      <t>审定数</t>
    </r>
    <phoneticPr fontId="10" type="noConversion"/>
  </si>
  <si>
    <r>
      <rPr>
        <b/>
        <sz val="10"/>
        <rFont val="宋体"/>
        <family val="3"/>
        <charset val="134"/>
      </rPr>
      <t>账项调整</t>
    </r>
    <phoneticPr fontId="10" type="noConversion"/>
  </si>
  <si>
    <r>
      <rPr>
        <b/>
        <sz val="10"/>
        <rFont val="宋体"/>
        <family val="3"/>
        <charset val="134"/>
      </rPr>
      <t>变动额</t>
    </r>
  </si>
  <si>
    <r>
      <rPr>
        <b/>
        <sz val="10"/>
        <rFont val="宋体"/>
        <family val="3"/>
        <charset val="134"/>
      </rPr>
      <t>变动率</t>
    </r>
    <phoneticPr fontId="10" type="noConversion"/>
  </si>
  <si>
    <r>
      <rPr>
        <b/>
        <sz val="10"/>
        <rFont val="宋体"/>
        <family val="3"/>
        <charset val="134"/>
      </rPr>
      <t>变动额</t>
    </r>
    <phoneticPr fontId="10" type="noConversion"/>
  </si>
  <si>
    <r>
      <rPr>
        <b/>
        <sz val="10"/>
        <color indexed="8"/>
        <rFont val="宋体"/>
        <family val="3"/>
        <charset val="134"/>
      </rPr>
      <t>变动率</t>
    </r>
    <phoneticPr fontId="10" type="noConversion"/>
  </si>
  <si>
    <r>
      <rPr>
        <b/>
        <sz val="10"/>
        <color indexed="8"/>
        <rFont val="宋体"/>
        <family val="3"/>
        <charset val="134"/>
      </rPr>
      <t>一、在建工程原值</t>
    </r>
    <phoneticPr fontId="10" type="noConversion"/>
  </si>
  <si>
    <r>
      <rPr>
        <b/>
        <sz val="10"/>
        <color indexed="8"/>
        <rFont val="宋体"/>
        <family val="3"/>
        <charset val="134"/>
      </rPr>
      <t>二、减值准备</t>
    </r>
    <phoneticPr fontId="10" type="noConversion"/>
  </si>
  <si>
    <r>
      <rPr>
        <b/>
        <sz val="10"/>
        <color indexed="8"/>
        <rFont val="宋体"/>
        <family val="3"/>
        <charset val="134"/>
      </rPr>
      <t>三、净值</t>
    </r>
    <phoneticPr fontId="10" type="noConversion"/>
  </si>
  <si>
    <r>
      <t>1</t>
    </r>
    <r>
      <rPr>
        <b/>
        <sz val="10"/>
        <rFont val="宋体"/>
        <family val="3"/>
        <charset val="134"/>
      </rPr>
      <t>、审计说明：</t>
    </r>
    <phoneticPr fontId="10" type="noConversion"/>
  </si>
  <si>
    <r>
      <rPr>
        <sz val="10"/>
        <rFont val="宋体"/>
        <family val="3"/>
        <charset val="134"/>
      </rPr>
      <t>（</t>
    </r>
    <r>
      <rPr>
        <sz val="10"/>
        <rFont val="Arial Narrow"/>
        <family val="2"/>
      </rPr>
      <t>1</t>
    </r>
    <r>
      <rPr>
        <sz val="10"/>
        <rFont val="宋体"/>
        <family val="3"/>
        <charset val="134"/>
      </rPr>
      <t>）在建工程期末净值较期初净值增加（负数为减少）：</t>
    </r>
    <phoneticPr fontId="10"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</si>
  <si>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0" type="noConversion"/>
  </si>
  <si>
    <r>
      <rPr>
        <sz val="10"/>
        <rFont val="宋体"/>
        <family val="3"/>
        <charset val="134"/>
      </rPr>
      <t>（</t>
    </r>
    <r>
      <rPr>
        <sz val="10"/>
        <rFont val="Arial Narrow"/>
        <family val="2"/>
      </rPr>
      <t>2</t>
    </r>
    <r>
      <rPr>
        <sz val="10"/>
        <rFont val="宋体"/>
        <family val="3"/>
        <charset val="134"/>
      </rPr>
      <t>）本期转入固定资产：</t>
    </r>
    <phoneticPr fontId="10" type="noConversion"/>
  </si>
  <si>
    <r>
      <rPr>
        <sz val="10"/>
        <rFont val="宋体"/>
        <family val="3"/>
        <charset val="134"/>
      </rPr>
      <t>（</t>
    </r>
    <r>
      <rPr>
        <sz val="10"/>
        <rFont val="Arial Narrow"/>
        <family val="2"/>
      </rPr>
      <t>3</t>
    </r>
    <r>
      <rPr>
        <sz val="10"/>
        <rFont val="宋体"/>
        <family val="3"/>
        <charset val="134"/>
      </rPr>
      <t>）与试算平衡表核对</t>
    </r>
    <phoneticPr fontId="10" type="noConversion"/>
  </si>
  <si>
    <r>
      <rPr>
        <sz val="10"/>
        <rFont val="宋体"/>
        <family val="3"/>
        <charset val="134"/>
      </rPr>
      <t>期末数</t>
    </r>
    <phoneticPr fontId="14" type="noConversion"/>
  </si>
  <si>
    <r>
      <rPr>
        <sz val="10"/>
        <rFont val="宋体"/>
        <family val="3"/>
        <charset val="134"/>
      </rPr>
      <t>期初数</t>
    </r>
    <phoneticPr fontId="14" type="noConversion"/>
  </si>
  <si>
    <r>
      <rPr>
        <sz val="10"/>
        <rFont val="宋体"/>
        <family val="3"/>
        <charset val="134"/>
      </rPr>
      <t>在建工程审定数</t>
    </r>
    <phoneticPr fontId="14" type="noConversion"/>
  </si>
  <si>
    <r>
      <rPr>
        <sz val="10"/>
        <rFont val="宋体"/>
        <family val="3"/>
        <charset val="134"/>
      </rPr>
      <t>工程物资审定数</t>
    </r>
    <phoneticPr fontId="14" type="noConversion"/>
  </si>
  <si>
    <r>
      <rPr>
        <sz val="10"/>
        <rFont val="宋体"/>
        <family val="3"/>
        <charset val="134"/>
      </rPr>
      <t>在建工程与工程物资合计数</t>
    </r>
    <phoneticPr fontId="14" type="noConversion"/>
  </si>
  <si>
    <r>
      <rPr>
        <sz val="10"/>
        <rFont val="宋体"/>
        <family val="3"/>
        <charset val="134"/>
      </rPr>
      <t>试算平衡表数</t>
    </r>
    <phoneticPr fontId="14" type="noConversion"/>
  </si>
  <si>
    <r>
      <rPr>
        <sz val="10"/>
        <rFont val="宋体"/>
        <family val="3"/>
        <charset val="134"/>
      </rPr>
      <t>差异</t>
    </r>
    <phoneticPr fontId="14" type="noConversion"/>
  </si>
  <si>
    <r>
      <t>2</t>
    </r>
    <r>
      <rPr>
        <b/>
        <sz val="10"/>
        <rFont val="宋体"/>
        <family val="3"/>
        <charset val="134"/>
      </rPr>
      <t>、审计结论：</t>
    </r>
    <phoneticPr fontId="10" type="noConversion"/>
  </si>
  <si>
    <r>
      <t>1</t>
    </r>
    <r>
      <rPr>
        <sz val="10"/>
        <color indexed="12"/>
        <rFont val="宋体"/>
        <family val="3"/>
        <charset val="134"/>
      </rPr>
      <t>、企业应列示重要的在建工程名称、预算数、期初余额、本期增加额、本期转入固定资产额、其他减少额、</t>
    </r>
    <phoneticPr fontId="10" type="noConversion"/>
  </si>
  <si>
    <r>
      <rPr>
        <sz val="10"/>
        <color indexed="12"/>
        <rFont val="宋体"/>
        <family val="3"/>
        <charset val="134"/>
      </rPr>
      <t>期末余额、资金来源、工程投入占预算的比例。分项列示在建工程期初余额、本期增加额、本期转入固定资产、</t>
    </r>
    <phoneticPr fontId="10" type="noConversion"/>
  </si>
  <si>
    <r>
      <rPr>
        <sz val="10"/>
        <color indexed="12"/>
        <rFont val="宋体"/>
        <family val="3"/>
        <charset val="134"/>
      </rPr>
      <t>其他减少额、期末余额中所包含的借款费用资本化金额。用于确定借款费用资本化金额的资本化率应单独披露。</t>
    </r>
    <phoneticPr fontId="10" type="noConversion"/>
  </si>
  <si>
    <r>
      <rPr>
        <sz val="10"/>
        <color indexed="12"/>
        <rFont val="宋体"/>
        <family val="3"/>
        <charset val="134"/>
      </rPr>
      <t>披露主要工程项目的资金来源。分项列示计提在建工程减值准备的金额及计提的原因。</t>
    </r>
    <phoneticPr fontId="10" type="noConversion"/>
  </si>
  <si>
    <r>
      <rPr>
        <sz val="10"/>
        <color indexed="12"/>
        <rFont val="宋体"/>
        <family val="3"/>
        <charset val="134"/>
      </rPr>
      <t>资金来源应区分募股资金、金融机构贷款和其他来源等。</t>
    </r>
    <phoneticPr fontId="10" type="noConversion"/>
  </si>
  <si>
    <r>
      <rPr>
        <sz val="10"/>
        <color indexed="12"/>
        <rFont val="宋体"/>
        <family val="3"/>
        <charset val="134"/>
      </rPr>
      <t>用于确定借款费用资本化金额的资本化率应单独披露。</t>
    </r>
    <phoneticPr fontId="10" type="noConversion"/>
  </si>
  <si>
    <r>
      <t>2</t>
    </r>
    <r>
      <rPr>
        <sz val="10"/>
        <color indexed="12"/>
        <rFont val="宋体"/>
        <family val="3"/>
        <charset val="134"/>
      </rPr>
      <t>、如适用，根据</t>
    </r>
    <r>
      <rPr>
        <sz val="10"/>
        <color indexed="12"/>
        <rFont val="Arial Narrow"/>
        <family val="2"/>
      </rPr>
      <t>1131</t>
    </r>
    <r>
      <rPr>
        <sz val="10"/>
        <color indexed="12"/>
        <rFont val="宋体"/>
        <family val="3"/>
        <charset val="134"/>
      </rPr>
      <t>号等审计准则和指南的要求编制，说明涉及事项内容、应对措施、审计结论或解决方法，</t>
    </r>
    <phoneticPr fontId="10" type="noConversion"/>
  </si>
  <si>
    <r>
      <rPr>
        <sz val="10"/>
        <color indexed="12"/>
        <rFont val="宋体"/>
        <family val="3"/>
        <charset val="134"/>
      </rPr>
      <t>以及可能对审计报告的影响。</t>
    </r>
    <phoneticPr fontId="10" type="noConversion"/>
  </si>
  <si>
    <r>
      <t>A</t>
    </r>
    <r>
      <rPr>
        <sz val="10"/>
        <color indexed="12"/>
        <rFont val="宋体"/>
        <family val="3"/>
        <charset val="134"/>
      </rPr>
      <t>、风险评估结果和内控了解、测试情况（不适用则说明：不存在重大错报风险。</t>
    </r>
    <r>
      <rPr>
        <sz val="10"/>
        <color indexed="12"/>
        <rFont val="Arial Narrow"/>
        <family val="2"/>
      </rPr>
      <t>)</t>
    </r>
    <phoneticPr fontId="10" type="noConversion"/>
  </si>
  <si>
    <r>
      <t>(</t>
    </r>
    <r>
      <rPr>
        <sz val="10"/>
        <color indexed="12"/>
        <rFont val="宋体"/>
        <family val="3"/>
        <charset val="134"/>
      </rPr>
      <t>识别和实际评估的重大错报风险、尤其识特别风险，以及对内控了解和控制测试情况〔采用综合方案时〕）；</t>
    </r>
    <phoneticPr fontId="10" type="noConversion"/>
  </si>
  <si>
    <r>
      <rPr>
        <sz val="10"/>
        <color indexed="12"/>
        <rFont val="宋体"/>
        <family val="3"/>
        <charset val="134"/>
      </rPr>
      <t>提示：</t>
    </r>
    <r>
      <rPr>
        <sz val="10"/>
        <color indexed="12"/>
        <rFont val="Arial Narrow"/>
        <family val="2"/>
      </rPr>
      <t>a</t>
    </r>
    <r>
      <rPr>
        <sz val="10"/>
        <color indexed="12"/>
        <rFont val="宋体"/>
        <family val="3"/>
        <charset val="134"/>
      </rPr>
      <t>、收入科目应当假定存在舞弊的特别风险，如不存在，应说明理由；</t>
    </r>
    <phoneticPr fontId="10" type="noConversion"/>
  </si>
  <si>
    <r>
      <t>b</t>
    </r>
    <r>
      <rPr>
        <sz val="10"/>
        <color indexed="12"/>
        <rFont val="宋体"/>
        <family val="3"/>
        <charset val="134"/>
      </rPr>
      <t>、涉及特别风险时，应当重点说明有关事项、应当措施、结果〔可索引有关底稿〕。</t>
    </r>
  </si>
  <si>
    <r>
      <rPr>
        <b/>
        <sz val="10"/>
        <color indexed="12"/>
        <rFont val="宋体"/>
        <family val="3"/>
        <charset val="134"/>
      </rPr>
      <t>特别风险涉及的事项包括但不限于：</t>
    </r>
    <r>
      <rPr>
        <sz val="10"/>
        <color indexed="12"/>
        <rFont val="Arial Narrow"/>
        <family val="2"/>
      </rPr>
      <t/>
    </r>
    <phoneticPr fontId="10" type="noConversion"/>
  </si>
  <si>
    <r>
      <rPr>
        <sz val="10"/>
        <color indexed="12"/>
        <rFont val="宋体"/>
        <family val="3"/>
        <charset val="134"/>
      </rPr>
      <t>（</t>
    </r>
    <r>
      <rPr>
        <sz val="10"/>
        <color indexed="12"/>
        <rFont val="Arial Narrow"/>
        <family val="2"/>
      </rPr>
      <t>1</t>
    </r>
    <r>
      <rPr>
        <sz val="10"/>
        <color indexed="12"/>
        <rFont val="宋体"/>
        <family val="3"/>
        <charset val="134"/>
      </rPr>
      <t>）舞弊风险（如</t>
    </r>
    <r>
      <rPr>
        <sz val="10"/>
        <color indexed="12"/>
        <rFont val="Arial Narrow"/>
        <family val="2"/>
      </rPr>
      <t>1141</t>
    </r>
    <r>
      <rPr>
        <sz val="10"/>
        <color indexed="12"/>
        <rFont val="宋体"/>
        <family val="3"/>
        <charset val="134"/>
      </rPr>
      <t>准则的示例）；（</t>
    </r>
    <r>
      <rPr>
        <sz val="10"/>
        <color indexed="12"/>
        <rFont val="Arial Narrow"/>
        <family val="2"/>
      </rPr>
      <t>2</t>
    </r>
    <r>
      <rPr>
        <sz val="10"/>
        <color indexed="12"/>
        <rFont val="宋体"/>
        <family val="3"/>
        <charset val="134"/>
      </rPr>
      <t>）重大非常规交易（如企业购并、债务重组、非货币性资产交换、</t>
    </r>
    <phoneticPr fontId="10" type="noConversion"/>
  </si>
  <si>
    <r>
      <rPr>
        <sz val="10"/>
        <color indexed="12"/>
        <rFont val="宋体"/>
        <family val="3"/>
        <charset val="134"/>
      </rPr>
      <t>重大或有事项、持续经营、违反法律法规等）；</t>
    </r>
    <r>
      <rPr>
        <sz val="10"/>
        <color indexed="12"/>
        <rFont val="Arial Narrow"/>
        <family val="2"/>
      </rPr>
      <t>(3)</t>
    </r>
    <r>
      <rPr>
        <sz val="10"/>
        <color indexed="12"/>
        <rFont val="宋体"/>
        <family val="3"/>
        <charset val="134"/>
      </rPr>
      <t>重大关联交易；</t>
    </r>
    <r>
      <rPr>
        <sz val="10"/>
        <color indexed="12"/>
        <rFont val="Arial Narrow"/>
        <family val="2"/>
      </rPr>
      <t>(4)</t>
    </r>
    <r>
      <rPr>
        <sz val="10"/>
        <color indexed="12"/>
        <rFont val="宋体"/>
        <family val="3"/>
        <charset val="134"/>
      </rPr>
      <t>重大判断事项（如重大会计估计、</t>
    </r>
  </si>
  <si>
    <r>
      <rPr>
        <sz val="10"/>
        <color indexed="12"/>
        <rFont val="宋体"/>
        <family val="3"/>
        <charset val="134"/>
      </rPr>
      <t>会计政策及其变更）；</t>
    </r>
    <r>
      <rPr>
        <sz val="10"/>
        <color indexed="12"/>
        <rFont val="Arial Narrow"/>
        <family val="2"/>
      </rPr>
      <t>(5)</t>
    </r>
    <r>
      <rPr>
        <sz val="10"/>
        <color indexed="12"/>
        <rFont val="宋体"/>
        <family val="3"/>
        <charset val="134"/>
      </rPr>
      <t>重大复杂交易；</t>
    </r>
    <r>
      <rPr>
        <sz val="10"/>
        <color indexed="12"/>
        <rFont val="Arial Narrow"/>
        <family val="2"/>
      </rPr>
      <t>(6)</t>
    </r>
    <r>
      <rPr>
        <sz val="10"/>
        <color indexed="12"/>
        <rFont val="宋体"/>
        <family val="3"/>
        <charset val="134"/>
      </rPr>
      <t>仅通过实质性程序无法应对的重大错报风险（如日常交易采用</t>
    </r>
  </si>
  <si>
    <r>
      <rPr>
        <sz val="10"/>
        <color indexed="12"/>
        <rFont val="宋体"/>
        <family val="3"/>
        <charset val="134"/>
      </rPr>
      <t>高度自动化处理）等等。</t>
    </r>
    <phoneticPr fontId="10" type="noConversion"/>
  </si>
  <si>
    <r>
      <t>B</t>
    </r>
    <r>
      <rPr>
        <sz val="10"/>
        <color indexed="12"/>
        <rFont val="宋体"/>
        <family val="3"/>
        <charset val="134"/>
      </rPr>
      <t>、发现的重大不符事项（如适用）</t>
    </r>
    <phoneticPr fontId="10" type="noConversion"/>
  </si>
  <si>
    <r>
      <rPr>
        <sz val="10"/>
        <color indexed="12"/>
        <rFont val="宋体"/>
        <family val="3"/>
        <charset val="134"/>
      </rPr>
      <t>按调整事项，逐笔概述调整原因及对本科目的调整金额，并说明相关底稿的索引号。</t>
    </r>
    <phoneticPr fontId="10" type="noConversion"/>
  </si>
  <si>
    <r>
      <rPr>
        <sz val="10"/>
        <color indexed="12"/>
        <rFont val="宋体"/>
        <family val="3"/>
        <charset val="134"/>
      </rPr>
      <t>〔即具体事项内容和调整分录，见经索引的本科目或相关科目的检查表或测算表〕</t>
    </r>
    <phoneticPr fontId="10" type="noConversion"/>
  </si>
  <si>
    <r>
      <t>3</t>
    </r>
    <r>
      <rPr>
        <sz val="10"/>
        <color indexed="12"/>
        <rFont val="宋体"/>
        <family val="3"/>
        <charset val="134"/>
      </rPr>
      <t>、说明基于获取的审计证据，在有关认定方面，是否发现重大错报或存在重大异常。</t>
    </r>
    <phoneticPr fontId="10" type="noConversion"/>
  </si>
  <si>
    <r>
      <rPr>
        <b/>
        <sz val="10"/>
        <color indexed="12"/>
        <rFont val="宋体"/>
        <family val="3"/>
        <charset val="134"/>
      </rPr>
      <t>参考结论：</t>
    </r>
    <phoneticPr fontId="10" type="noConversion"/>
  </si>
  <si>
    <r>
      <t>A</t>
    </r>
    <r>
      <rPr>
        <sz val="10"/>
        <color indexed="12"/>
        <rFont val="宋体"/>
        <family val="3"/>
        <charset val="134"/>
      </rPr>
      <t>、</t>
    </r>
  </si>
  <si>
    <r>
      <rPr>
        <sz val="10"/>
        <color indexed="12"/>
        <rFont val="宋体"/>
        <family val="3"/>
        <charset val="134"/>
      </rPr>
      <t>未见异常，可以确认。</t>
    </r>
    <phoneticPr fontId="10" type="noConversion"/>
  </si>
  <si>
    <r>
      <t>B</t>
    </r>
    <r>
      <rPr>
        <sz val="10"/>
        <color indexed="12"/>
        <rFont val="宋体"/>
        <family val="3"/>
        <charset val="134"/>
      </rPr>
      <t>、</t>
    </r>
  </si>
  <si>
    <r>
      <rPr>
        <sz val="10"/>
        <color indexed="12"/>
        <rFont val="宋体"/>
        <family val="3"/>
        <charset val="134"/>
      </rPr>
      <t>经审计调整后可确认。</t>
    </r>
    <phoneticPr fontId="10" type="noConversion"/>
  </si>
  <si>
    <r>
      <t>C</t>
    </r>
    <r>
      <rPr>
        <sz val="10"/>
        <color indexed="12"/>
        <rFont val="宋体"/>
        <family val="3"/>
        <charset val="134"/>
      </rPr>
      <t>、</t>
    </r>
  </si>
  <si>
    <r>
      <rPr>
        <sz val="10"/>
        <color indexed="12"/>
        <rFont val="宋体"/>
        <family val="3"/>
        <charset val="134"/>
      </rPr>
      <t>由于存在上述重大未调整事项（或审计范围受到限制无法获取充分、适当证据），不可确认。</t>
    </r>
    <phoneticPr fontId="10" type="noConversion"/>
  </si>
  <si>
    <r>
      <t>4</t>
    </r>
    <r>
      <rPr>
        <sz val="10"/>
        <rFont val="宋体"/>
        <family val="3"/>
        <charset val="134"/>
      </rPr>
      <t>、注释：</t>
    </r>
    <r>
      <rPr>
        <sz val="10"/>
        <rFont val="Arial Narrow"/>
        <family val="2"/>
      </rPr>
      <t>BOT</t>
    </r>
    <r>
      <rPr>
        <sz val="10"/>
        <rFont val="宋体"/>
        <family val="3"/>
        <charset val="134"/>
      </rPr>
      <t>建造合同业务，应按照财政部企业会计准则解释第</t>
    </r>
    <r>
      <rPr>
        <sz val="10"/>
        <rFont val="Arial Narrow"/>
        <family val="2"/>
      </rPr>
      <t>2</t>
    </r>
    <r>
      <rPr>
        <sz val="10"/>
        <rFont val="宋体"/>
        <family val="3"/>
        <charset val="134"/>
      </rPr>
      <t>号的要求，根据不同情况确认为无形资产或长期应收款等项目。</t>
    </r>
    <phoneticPr fontId="10" type="noConversion"/>
  </si>
  <si>
    <r>
      <rPr>
        <b/>
        <sz val="10"/>
        <rFont val="宋体"/>
        <family val="3"/>
        <charset val="134"/>
      </rPr>
      <t>二、审计过程：</t>
    </r>
    <phoneticPr fontId="10" type="noConversion"/>
  </si>
  <si>
    <r>
      <rPr>
        <b/>
        <sz val="10"/>
        <rFont val="宋体"/>
        <family val="3"/>
        <charset val="134"/>
      </rPr>
      <t>预算金额</t>
    </r>
    <phoneticPr fontId="10" type="noConversion"/>
  </si>
  <si>
    <r>
      <rPr>
        <b/>
        <sz val="10"/>
        <rFont val="宋体"/>
        <family val="3"/>
        <charset val="134"/>
      </rPr>
      <t>资金来源</t>
    </r>
  </si>
  <si>
    <r>
      <rPr>
        <b/>
        <sz val="10"/>
        <rFont val="宋体"/>
        <family val="3"/>
        <charset val="134"/>
      </rPr>
      <t>工程累计投入占预算比例</t>
    </r>
    <r>
      <rPr>
        <b/>
        <sz val="10"/>
        <rFont val="Arial Narrow"/>
        <family val="2"/>
      </rPr>
      <t>%</t>
    </r>
    <phoneticPr fontId="10" type="noConversion"/>
  </si>
  <si>
    <r>
      <rPr>
        <b/>
        <sz val="10"/>
        <rFont val="宋体"/>
        <family val="3"/>
        <charset val="134"/>
      </rPr>
      <t>预计完工时间</t>
    </r>
    <phoneticPr fontId="10" type="noConversion"/>
  </si>
  <si>
    <r>
      <rPr>
        <b/>
        <sz val="10"/>
        <rFont val="宋体"/>
        <family val="3"/>
        <charset val="134"/>
      </rPr>
      <t>工程进度</t>
    </r>
    <phoneticPr fontId="10" type="noConversion"/>
  </si>
  <si>
    <r>
      <rPr>
        <b/>
        <sz val="10"/>
        <rFont val="宋体"/>
        <family val="3"/>
        <charset val="134"/>
      </rPr>
      <t>完工日期</t>
    </r>
  </si>
  <si>
    <r>
      <rPr>
        <b/>
        <sz val="10"/>
        <rFont val="宋体"/>
        <family val="3"/>
        <charset val="134"/>
      </rPr>
      <t>批准文号</t>
    </r>
  </si>
  <si>
    <r>
      <rPr>
        <b/>
        <sz val="10"/>
        <rFont val="宋体"/>
        <family val="3"/>
        <charset val="134"/>
      </rPr>
      <t>利息资本化率</t>
    </r>
    <phoneticPr fontId="10" type="noConversion"/>
  </si>
  <si>
    <r>
      <rPr>
        <b/>
        <sz val="10"/>
        <rFont val="宋体"/>
        <family val="3"/>
        <charset val="134"/>
      </rPr>
      <t>原值</t>
    </r>
    <phoneticPr fontId="10" type="noConversion"/>
  </si>
  <si>
    <r>
      <rPr>
        <b/>
        <sz val="10"/>
        <rFont val="宋体"/>
        <family val="3"/>
        <charset val="134"/>
      </rPr>
      <t>减值准备</t>
    </r>
    <phoneticPr fontId="10" type="noConversion"/>
  </si>
  <si>
    <r>
      <rPr>
        <b/>
        <sz val="10"/>
        <color indexed="8"/>
        <rFont val="宋体"/>
        <family val="3"/>
        <charset val="134"/>
      </rPr>
      <t>期初净值</t>
    </r>
    <phoneticPr fontId="83" type="noConversion"/>
  </si>
  <si>
    <r>
      <rPr>
        <b/>
        <sz val="10"/>
        <color indexed="8"/>
        <rFont val="宋体"/>
        <family val="3"/>
        <charset val="134"/>
      </rPr>
      <t>期末净值</t>
    </r>
    <phoneticPr fontId="83" type="noConversion"/>
  </si>
  <si>
    <r>
      <rPr>
        <b/>
        <sz val="10"/>
        <rFont val="宋体"/>
        <family val="3"/>
        <charset val="134"/>
      </rPr>
      <t>是否抵押</t>
    </r>
    <phoneticPr fontId="10" type="noConversion"/>
  </si>
  <si>
    <r>
      <rPr>
        <b/>
        <sz val="10"/>
        <rFont val="宋体"/>
        <family val="3"/>
        <charset val="134"/>
      </rPr>
      <t>未审数</t>
    </r>
    <phoneticPr fontId="10" type="noConversion"/>
  </si>
  <si>
    <r>
      <rPr>
        <b/>
        <sz val="10"/>
        <rFont val="宋体"/>
        <family val="3"/>
        <charset val="134"/>
      </rPr>
      <t>期初调整</t>
    </r>
    <phoneticPr fontId="10" type="noConversion"/>
  </si>
  <si>
    <r>
      <rPr>
        <b/>
        <sz val="10"/>
        <rFont val="宋体"/>
        <family val="3"/>
        <charset val="134"/>
      </rPr>
      <t>账项调整</t>
    </r>
    <phoneticPr fontId="10" type="noConversion"/>
  </si>
  <si>
    <r>
      <rPr>
        <b/>
        <sz val="10"/>
        <rFont val="宋体"/>
        <family val="3"/>
        <charset val="134"/>
      </rPr>
      <t>审定数</t>
    </r>
    <phoneticPr fontId="10" type="noConversion"/>
  </si>
  <si>
    <r>
      <rPr>
        <b/>
        <sz val="10"/>
        <rFont val="宋体"/>
        <family val="3"/>
        <charset val="134"/>
      </rPr>
      <t>本期增加</t>
    </r>
    <phoneticPr fontId="10" type="noConversion"/>
  </si>
  <si>
    <r>
      <rPr>
        <b/>
        <sz val="10"/>
        <rFont val="宋体"/>
        <family val="3"/>
        <charset val="134"/>
      </rPr>
      <t>本期减少</t>
    </r>
    <phoneticPr fontId="10" type="noConversion"/>
  </si>
  <si>
    <r>
      <rPr>
        <b/>
        <sz val="10"/>
        <color indexed="8"/>
        <rFont val="宋体"/>
        <family val="3"/>
        <charset val="134"/>
      </rPr>
      <t>未审净值</t>
    </r>
    <phoneticPr fontId="83" type="noConversion"/>
  </si>
  <si>
    <r>
      <rPr>
        <b/>
        <sz val="10"/>
        <color indexed="8"/>
        <rFont val="宋体"/>
        <family val="3"/>
        <charset val="134"/>
      </rPr>
      <t>审定净值</t>
    </r>
    <phoneticPr fontId="83" type="noConversion"/>
  </si>
  <si>
    <r>
      <rPr>
        <b/>
        <sz val="10"/>
        <rFont val="宋体"/>
        <family val="3"/>
        <charset val="134"/>
      </rPr>
      <t>余额</t>
    </r>
    <phoneticPr fontId="10" type="noConversion"/>
  </si>
  <si>
    <r>
      <rPr>
        <b/>
        <sz val="10"/>
        <rFont val="宋体"/>
        <family val="3"/>
        <charset val="134"/>
      </rPr>
      <t>其中：累计资本化金额</t>
    </r>
    <phoneticPr fontId="10" type="noConversion"/>
  </si>
  <si>
    <r>
      <rPr>
        <b/>
        <sz val="10"/>
        <rFont val="宋体"/>
        <family val="3"/>
        <charset val="134"/>
      </rPr>
      <t>增加</t>
    </r>
    <phoneticPr fontId="10" type="noConversion"/>
  </si>
  <si>
    <r>
      <rPr>
        <b/>
        <sz val="10"/>
        <rFont val="宋体"/>
        <family val="3"/>
        <charset val="134"/>
      </rPr>
      <t>其中：本期利息资本化金额</t>
    </r>
    <phoneticPr fontId="10" type="noConversion"/>
  </si>
  <si>
    <r>
      <rPr>
        <b/>
        <sz val="10"/>
        <rFont val="宋体"/>
        <family val="3"/>
        <charset val="134"/>
      </rPr>
      <t>本期转入固定资产</t>
    </r>
    <phoneticPr fontId="10" type="noConversion"/>
  </si>
  <si>
    <r>
      <rPr>
        <b/>
        <sz val="10"/>
        <rFont val="宋体"/>
        <family val="3"/>
        <charset val="134"/>
      </rPr>
      <t>其他减少</t>
    </r>
    <phoneticPr fontId="10" type="noConversion"/>
  </si>
  <si>
    <r>
      <rPr>
        <b/>
        <sz val="10"/>
        <rFont val="宋体"/>
        <family val="3"/>
        <charset val="134"/>
      </rPr>
      <t>其中：利息资本化金额减少金额</t>
    </r>
    <phoneticPr fontId="10" type="noConversion"/>
  </si>
  <si>
    <r>
      <rPr>
        <b/>
        <sz val="10"/>
        <rFont val="宋体"/>
        <family val="3"/>
        <charset val="134"/>
      </rPr>
      <t>合计</t>
    </r>
  </si>
  <si>
    <r>
      <rPr>
        <b/>
        <sz val="10"/>
        <rFont val="宋体"/>
        <family val="3"/>
        <charset val="134"/>
      </rPr>
      <t>三、审计说明：</t>
    </r>
    <phoneticPr fontId="10" type="noConversion"/>
  </si>
  <si>
    <r>
      <rPr>
        <b/>
        <sz val="10"/>
        <rFont val="宋体"/>
        <family val="3"/>
        <charset val="134"/>
      </rPr>
      <t>四、审计结论：</t>
    </r>
    <phoneticPr fontId="10" type="noConversion"/>
  </si>
  <si>
    <r>
      <rPr>
        <b/>
        <sz val="10"/>
        <rFont val="宋体"/>
        <family val="3"/>
        <charset val="134"/>
      </rPr>
      <t>借方调整金额</t>
    </r>
    <phoneticPr fontId="10" type="noConversion"/>
  </si>
  <si>
    <r>
      <rPr>
        <b/>
        <sz val="10"/>
        <rFont val="宋体"/>
        <family val="3"/>
        <charset val="134"/>
      </rPr>
      <t>科目名称</t>
    </r>
    <phoneticPr fontId="10" type="noConversion"/>
  </si>
  <si>
    <r>
      <rPr>
        <b/>
        <sz val="10"/>
        <rFont val="宋体"/>
        <family val="3"/>
        <charset val="134"/>
      </rPr>
      <t>附注项目</t>
    </r>
    <phoneticPr fontId="10" type="noConversion"/>
  </si>
  <si>
    <r>
      <rPr>
        <b/>
        <sz val="10"/>
        <rFont val="宋体"/>
        <family val="3"/>
        <charset val="134"/>
      </rPr>
      <t>索引</t>
    </r>
    <phoneticPr fontId="10" type="noConversion"/>
  </si>
  <si>
    <r>
      <rPr>
        <b/>
        <sz val="10"/>
        <color indexed="8"/>
        <rFont val="宋体"/>
        <family val="3"/>
        <charset val="134"/>
      </rPr>
      <t>调整事项说明</t>
    </r>
    <phoneticPr fontId="10" type="noConversion"/>
  </si>
  <si>
    <r>
      <rPr>
        <b/>
        <sz val="10"/>
        <color indexed="8"/>
        <rFont val="宋体"/>
        <family val="3"/>
        <charset val="134"/>
      </rPr>
      <t>类别（报表调整</t>
    </r>
    <r>
      <rPr>
        <b/>
        <sz val="10"/>
        <color indexed="8"/>
        <rFont val="Arial Narrow"/>
        <family val="2"/>
      </rPr>
      <t>/</t>
    </r>
    <r>
      <rPr>
        <b/>
        <sz val="10"/>
        <color indexed="8"/>
        <rFont val="宋体"/>
        <family val="3"/>
        <charset val="134"/>
      </rPr>
      <t>账项调整</t>
    </r>
    <r>
      <rPr>
        <b/>
        <sz val="10"/>
        <color indexed="8"/>
        <rFont val="Arial Narrow"/>
        <family val="2"/>
      </rPr>
      <t>/</t>
    </r>
    <r>
      <rPr>
        <b/>
        <sz val="10"/>
        <color indexed="8"/>
        <rFont val="宋体"/>
        <family val="3"/>
        <charset val="134"/>
      </rPr>
      <t>其他）</t>
    </r>
    <phoneticPr fontId="10" type="noConversion"/>
  </si>
  <si>
    <r>
      <rPr>
        <b/>
        <sz val="10"/>
        <color indexed="8"/>
        <rFont val="宋体"/>
        <family val="3"/>
        <charset val="134"/>
      </rPr>
      <t>报表项目</t>
    </r>
    <phoneticPr fontId="10" type="noConversion"/>
  </si>
  <si>
    <r>
      <rPr>
        <b/>
        <sz val="10"/>
        <rFont val="宋体"/>
        <family val="3"/>
        <charset val="134"/>
      </rPr>
      <t>贷方调整金额</t>
    </r>
    <phoneticPr fontId="10" type="noConversion"/>
  </si>
  <si>
    <r>
      <rPr>
        <b/>
        <sz val="10"/>
        <rFont val="宋体"/>
        <family val="3"/>
        <charset val="134"/>
      </rPr>
      <t>备注</t>
    </r>
    <phoneticPr fontId="10" type="noConversion"/>
  </si>
  <si>
    <r>
      <rPr>
        <sz val="10"/>
        <rFont val="宋体"/>
        <family val="3"/>
        <charset val="134"/>
      </rPr>
      <t>实际支出与预算的差异</t>
    </r>
    <phoneticPr fontId="10" type="noConversion"/>
  </si>
  <si>
    <r>
      <rPr>
        <b/>
        <sz val="10"/>
        <color indexed="8"/>
        <rFont val="宋体"/>
        <family val="3"/>
        <charset val="134"/>
      </rPr>
      <t>二、审计过程：</t>
    </r>
    <phoneticPr fontId="14" type="noConversion"/>
  </si>
  <si>
    <r>
      <rPr>
        <b/>
        <sz val="10"/>
        <rFont val="宋体"/>
        <family val="3"/>
        <charset val="134"/>
      </rPr>
      <t>三、审计说明：</t>
    </r>
    <phoneticPr fontId="10" type="noConversion"/>
  </si>
  <si>
    <r>
      <rPr>
        <sz val="10"/>
        <rFont val="宋体"/>
        <family val="3"/>
        <charset val="134"/>
      </rPr>
      <t>在建工程期末余额</t>
    </r>
    <phoneticPr fontId="10" type="noConversion"/>
  </si>
  <si>
    <r>
      <rPr>
        <b/>
        <sz val="10"/>
        <color indexed="8"/>
        <rFont val="宋体"/>
        <family val="3"/>
        <charset val="134"/>
      </rPr>
      <t>二、审计过程：</t>
    </r>
    <phoneticPr fontId="14" type="noConversion"/>
  </si>
  <si>
    <r>
      <rPr>
        <b/>
        <sz val="10"/>
        <rFont val="宋体"/>
        <family val="3"/>
        <charset val="134"/>
      </rPr>
      <t>序号</t>
    </r>
    <phoneticPr fontId="10" type="noConversion"/>
  </si>
  <si>
    <r>
      <t>2024</t>
    </r>
    <r>
      <rPr>
        <b/>
        <sz val="10"/>
        <rFont val="宋体"/>
        <family val="3"/>
        <charset val="134"/>
      </rPr>
      <t>年</t>
    </r>
    <phoneticPr fontId="10" type="noConversion"/>
  </si>
  <si>
    <r>
      <rPr>
        <b/>
        <sz val="10"/>
        <rFont val="宋体"/>
        <family val="3"/>
        <charset val="134"/>
      </rPr>
      <t>四、审计结论：</t>
    </r>
    <phoneticPr fontId="10" type="noConversion"/>
  </si>
  <si>
    <r>
      <rPr>
        <sz val="10"/>
        <rFont val="宋体"/>
        <family val="3"/>
        <charset val="134"/>
      </rPr>
      <t>在建工程减值准备</t>
    </r>
    <r>
      <rPr>
        <sz val="10"/>
        <rFont val="Arial Narrow"/>
        <family val="2"/>
      </rPr>
      <t>÷</t>
    </r>
    <r>
      <rPr>
        <sz val="10"/>
        <rFont val="宋体"/>
        <family val="3"/>
        <charset val="134"/>
      </rPr>
      <t>在建工程原值</t>
    </r>
    <phoneticPr fontId="10" type="noConversion"/>
  </si>
  <si>
    <r>
      <rPr>
        <b/>
        <sz val="10"/>
        <rFont val="宋体"/>
        <family val="3"/>
        <charset val="134"/>
      </rPr>
      <t>一、审计目标：</t>
    </r>
    <r>
      <rPr>
        <sz val="10"/>
        <rFont val="Arial Narrow"/>
        <family val="2"/>
      </rPr>
      <t/>
    </r>
    <phoneticPr fontId="10" type="noConversion"/>
  </si>
  <si>
    <r>
      <t>2025</t>
    </r>
    <r>
      <rPr>
        <b/>
        <sz val="10"/>
        <rFont val="宋体"/>
        <family val="3"/>
        <charset val="134"/>
      </rPr>
      <t>年</t>
    </r>
    <phoneticPr fontId="10" type="noConversion"/>
  </si>
  <si>
    <r>
      <rPr>
        <b/>
        <sz val="10"/>
        <rFont val="宋体"/>
        <family val="3"/>
        <charset val="134"/>
      </rPr>
      <t>变动</t>
    </r>
    <phoneticPr fontId="10" type="noConversion"/>
  </si>
  <si>
    <r>
      <rPr>
        <b/>
        <sz val="10"/>
        <rFont val="宋体"/>
        <family val="3"/>
        <charset val="134"/>
      </rPr>
      <t>变动原因及合理性解释</t>
    </r>
    <phoneticPr fontId="10" type="noConversion"/>
  </si>
  <si>
    <r>
      <rPr>
        <sz val="10"/>
        <rFont val="宋体"/>
        <family val="3"/>
        <charset val="134"/>
      </rPr>
      <t>在建工程</t>
    </r>
    <r>
      <rPr>
        <sz val="10"/>
        <rFont val="Arial Narrow"/>
        <family val="2"/>
      </rPr>
      <t>÷</t>
    </r>
    <r>
      <rPr>
        <sz val="10"/>
        <rFont val="宋体"/>
        <family val="3"/>
        <charset val="134"/>
      </rPr>
      <t>资产总额</t>
    </r>
    <phoneticPr fontId="10" type="noConversion"/>
  </si>
  <si>
    <r>
      <rPr>
        <sz val="10"/>
        <rFont val="宋体"/>
        <family val="3"/>
        <charset val="134"/>
      </rPr>
      <t>利息资本化率</t>
    </r>
    <phoneticPr fontId="10" type="noConversion"/>
  </si>
  <si>
    <r>
      <rPr>
        <b/>
        <sz val="10"/>
        <rFont val="宋体"/>
        <family val="3"/>
        <charset val="134"/>
      </rPr>
      <t>转固时点</t>
    </r>
    <phoneticPr fontId="10" type="noConversion"/>
  </si>
  <si>
    <r>
      <rPr>
        <b/>
        <sz val="10"/>
        <rFont val="宋体"/>
        <family val="3"/>
        <charset val="134"/>
      </rPr>
      <t>二、审计过程</t>
    </r>
    <phoneticPr fontId="10" type="noConversion"/>
  </si>
  <si>
    <r>
      <t>1.</t>
    </r>
    <r>
      <rPr>
        <sz val="10"/>
        <rFont val="宋体"/>
        <family val="3"/>
        <charset val="134"/>
      </rPr>
      <t>期末重要在建工程完工及转固情况检查</t>
    </r>
    <phoneticPr fontId="10" type="noConversion"/>
  </si>
  <si>
    <r>
      <rPr>
        <b/>
        <sz val="10"/>
        <rFont val="宋体"/>
        <family val="3"/>
        <charset val="134"/>
      </rPr>
      <t>工程项目名称</t>
    </r>
    <r>
      <rPr>
        <b/>
        <sz val="10"/>
        <rFont val="Arial Narrow"/>
        <family val="2"/>
      </rPr>
      <t>/</t>
    </r>
    <r>
      <rPr>
        <b/>
        <sz val="10"/>
        <rFont val="宋体"/>
        <family val="3"/>
        <charset val="134"/>
      </rPr>
      <t>设备</t>
    </r>
    <phoneticPr fontId="10" type="noConversion"/>
  </si>
  <si>
    <r>
      <rPr>
        <b/>
        <sz val="10"/>
        <rFont val="宋体"/>
        <family val="3"/>
        <charset val="134"/>
      </rPr>
      <t>在建工程期末余额</t>
    </r>
    <phoneticPr fontId="10" type="noConversion"/>
  </si>
  <si>
    <r>
      <rPr>
        <b/>
        <sz val="10"/>
        <rFont val="宋体"/>
        <family val="3"/>
        <charset val="134"/>
      </rPr>
      <t>工程累计投入占预算比例</t>
    </r>
    <r>
      <rPr>
        <b/>
        <sz val="10"/>
        <rFont val="Arial Narrow"/>
        <family val="2"/>
      </rPr>
      <t>%</t>
    </r>
    <phoneticPr fontId="10" type="noConversion"/>
  </si>
  <si>
    <r>
      <rPr>
        <b/>
        <sz val="10"/>
        <rFont val="宋体"/>
        <family val="3"/>
        <charset val="134"/>
      </rPr>
      <t>计划完工</t>
    </r>
    <r>
      <rPr>
        <b/>
        <sz val="10"/>
        <rFont val="Arial Narrow"/>
        <family val="2"/>
      </rPr>
      <t>/</t>
    </r>
    <r>
      <rPr>
        <b/>
        <sz val="10"/>
        <rFont val="宋体"/>
        <family val="3"/>
        <charset val="134"/>
      </rPr>
      <t>转固时间</t>
    </r>
    <phoneticPr fontId="10" type="noConversion"/>
  </si>
  <si>
    <r>
      <rPr>
        <b/>
        <sz val="10"/>
        <rFont val="宋体"/>
        <family val="3"/>
        <charset val="134"/>
      </rPr>
      <t>工程进度</t>
    </r>
    <phoneticPr fontId="10" type="noConversion"/>
  </si>
  <si>
    <r>
      <rPr>
        <b/>
        <sz val="10"/>
        <rFont val="宋体"/>
        <family val="3"/>
        <charset val="134"/>
      </rPr>
      <t>开工</t>
    </r>
    <r>
      <rPr>
        <b/>
        <sz val="10"/>
        <rFont val="Arial Narrow"/>
        <family val="2"/>
      </rPr>
      <t>/</t>
    </r>
    <r>
      <rPr>
        <b/>
        <sz val="10"/>
        <rFont val="宋体"/>
        <family val="3"/>
        <charset val="134"/>
      </rPr>
      <t>到货时间</t>
    </r>
    <phoneticPr fontId="10" type="noConversion"/>
  </si>
  <si>
    <r>
      <rPr>
        <b/>
        <sz val="10"/>
        <rFont val="宋体"/>
        <family val="3"/>
        <charset val="134"/>
      </rPr>
      <t>达到预定可使用状态的评价标准</t>
    </r>
    <phoneticPr fontId="10" type="noConversion"/>
  </si>
  <si>
    <r>
      <rPr>
        <b/>
        <sz val="10"/>
        <rFont val="宋体"/>
        <family val="3"/>
        <charset val="134"/>
      </rPr>
      <t>工程</t>
    </r>
    <r>
      <rPr>
        <b/>
        <sz val="10"/>
        <rFont val="Arial Narrow"/>
        <family val="2"/>
      </rPr>
      <t>/</t>
    </r>
    <r>
      <rPr>
        <b/>
        <sz val="10"/>
        <rFont val="宋体"/>
        <family val="3"/>
        <charset val="134"/>
      </rPr>
      <t>设备是否达到预定可使用状态或在用</t>
    </r>
    <phoneticPr fontId="10" type="noConversion"/>
  </si>
  <si>
    <r>
      <rPr>
        <b/>
        <sz val="10"/>
        <rFont val="宋体"/>
        <family val="3"/>
        <charset val="134"/>
      </rPr>
      <t>未转固原因</t>
    </r>
    <phoneticPr fontId="10" type="noConversion"/>
  </si>
  <si>
    <r>
      <rPr>
        <b/>
        <sz val="10"/>
        <rFont val="宋体"/>
        <family val="3"/>
        <charset val="134"/>
      </rPr>
      <t>是否存在异常</t>
    </r>
    <phoneticPr fontId="10" type="noConversion"/>
  </si>
  <si>
    <r>
      <rPr>
        <b/>
        <sz val="10"/>
        <rFont val="宋体"/>
        <family val="3"/>
        <charset val="134"/>
      </rPr>
      <t>期后转固情况</t>
    </r>
    <phoneticPr fontId="10" type="noConversion"/>
  </si>
  <si>
    <r>
      <rPr>
        <b/>
        <sz val="10"/>
        <rFont val="宋体"/>
        <family val="3"/>
        <charset val="134"/>
      </rPr>
      <t>原值</t>
    </r>
    <phoneticPr fontId="10" type="noConversion"/>
  </si>
  <si>
    <r>
      <rPr>
        <b/>
        <sz val="10"/>
        <rFont val="宋体"/>
        <family val="3"/>
        <charset val="134"/>
      </rPr>
      <t>其中：累计利息资本化金额</t>
    </r>
    <phoneticPr fontId="10" type="noConversion"/>
  </si>
  <si>
    <r>
      <rPr>
        <b/>
        <sz val="10"/>
        <rFont val="宋体"/>
        <family val="3"/>
        <charset val="134"/>
      </rPr>
      <t>减值准备</t>
    </r>
    <phoneticPr fontId="10" type="noConversion"/>
  </si>
  <si>
    <r>
      <rPr>
        <b/>
        <sz val="10"/>
        <rFont val="宋体"/>
        <family val="3"/>
        <charset val="134"/>
      </rPr>
      <t>净值</t>
    </r>
    <phoneticPr fontId="10" type="noConversion"/>
  </si>
  <si>
    <r>
      <t>2.</t>
    </r>
    <r>
      <rPr>
        <sz val="10"/>
        <rFont val="宋体"/>
        <family val="3"/>
        <charset val="134"/>
      </rPr>
      <t>本期重要已转固的在建工程转固时点检查</t>
    </r>
    <phoneticPr fontId="10" type="noConversion"/>
  </si>
  <si>
    <r>
      <rPr>
        <b/>
        <sz val="10"/>
        <rFont val="宋体"/>
        <family val="3"/>
        <charset val="134"/>
      </rPr>
      <t>工程项目名称</t>
    </r>
    <r>
      <rPr>
        <b/>
        <sz val="10"/>
        <rFont val="Arial Narrow"/>
        <family val="2"/>
      </rPr>
      <t>/</t>
    </r>
    <r>
      <rPr>
        <b/>
        <sz val="10"/>
        <rFont val="宋体"/>
        <family val="3"/>
        <charset val="134"/>
      </rPr>
      <t>设备</t>
    </r>
    <phoneticPr fontId="10" type="noConversion"/>
  </si>
  <si>
    <r>
      <rPr>
        <b/>
        <sz val="10"/>
        <rFont val="宋体"/>
        <family val="3"/>
        <charset val="134"/>
      </rPr>
      <t>固定资产期末余额</t>
    </r>
    <phoneticPr fontId="10" type="noConversion"/>
  </si>
  <si>
    <r>
      <rPr>
        <b/>
        <sz val="10"/>
        <rFont val="宋体"/>
        <family val="3"/>
        <charset val="134"/>
      </rPr>
      <t>竣工验收（决算）信息</t>
    </r>
    <phoneticPr fontId="10" type="noConversion"/>
  </si>
  <si>
    <r>
      <rPr>
        <b/>
        <sz val="10"/>
        <rFont val="宋体"/>
        <family val="3"/>
        <charset val="134"/>
      </rPr>
      <t>试生产日期</t>
    </r>
    <phoneticPr fontId="10" type="noConversion"/>
  </si>
  <si>
    <r>
      <rPr>
        <b/>
        <sz val="10"/>
        <rFont val="宋体"/>
        <family val="3"/>
        <charset val="134"/>
      </rPr>
      <t>正式投产日期</t>
    </r>
    <phoneticPr fontId="10" type="noConversion"/>
  </si>
  <si>
    <r>
      <rPr>
        <b/>
        <sz val="10"/>
        <rFont val="宋体"/>
        <family val="3"/>
        <charset val="134"/>
      </rPr>
      <t>原值</t>
    </r>
    <phoneticPr fontId="10" type="noConversion"/>
  </si>
  <si>
    <r>
      <rPr>
        <b/>
        <sz val="10"/>
        <rFont val="宋体"/>
        <family val="3"/>
        <charset val="134"/>
      </rPr>
      <t>累计折旧</t>
    </r>
    <phoneticPr fontId="10" type="noConversion"/>
  </si>
  <si>
    <r>
      <rPr>
        <b/>
        <sz val="10"/>
        <rFont val="宋体"/>
        <family val="3"/>
        <charset val="134"/>
      </rPr>
      <t>竣工</t>
    </r>
    <r>
      <rPr>
        <b/>
        <sz val="10"/>
        <rFont val="Arial Narrow"/>
        <family val="2"/>
      </rPr>
      <t>/</t>
    </r>
    <r>
      <rPr>
        <b/>
        <sz val="10"/>
        <rFont val="宋体"/>
        <family val="3"/>
        <charset val="134"/>
      </rPr>
      <t>验收日期</t>
    </r>
    <phoneticPr fontId="10" type="noConversion"/>
  </si>
  <si>
    <r>
      <rPr>
        <b/>
        <sz val="10"/>
        <rFont val="宋体"/>
        <family val="3"/>
        <charset val="134"/>
      </rPr>
      <t>决算金额</t>
    </r>
    <phoneticPr fontId="10" type="noConversion"/>
  </si>
  <si>
    <r>
      <rPr>
        <b/>
        <sz val="10"/>
        <rFont val="宋体"/>
        <family val="3"/>
        <charset val="134"/>
      </rPr>
      <t>年份</t>
    </r>
    <phoneticPr fontId="10" type="noConversion"/>
  </si>
  <si>
    <r>
      <rPr>
        <sz val="10"/>
        <color rgb="FF0070C0"/>
        <rFont val="宋体"/>
        <family val="3"/>
        <charset val="134"/>
      </rPr>
      <t>（提示：结合实地观察，对照在建工程明细表，检查有无已达到预计可使用状态但尚未办理竣工决算手续仍列于</t>
    </r>
    <phoneticPr fontId="10" type="noConversion"/>
  </si>
  <si>
    <r>
      <rPr>
        <sz val="10"/>
        <color rgb="FF0070C0"/>
        <rFont val="宋体"/>
        <family val="3"/>
        <charset val="134"/>
      </rPr>
      <t>在建工程，如有，应作审计调整，并根据实际开始使用时间，相应计提累计折旧。观察时需注意有无长期停工的</t>
    </r>
    <phoneticPr fontId="10" type="noConversion"/>
  </si>
  <si>
    <r>
      <t>2</t>
    </r>
    <r>
      <rPr>
        <b/>
        <sz val="10"/>
        <rFont val="宋体"/>
        <family val="3"/>
        <charset val="134"/>
      </rPr>
      <t>、资料及合同核对情况描述：</t>
    </r>
    <phoneticPr fontId="10" type="noConversion"/>
  </si>
  <si>
    <r>
      <t>7</t>
    </r>
    <r>
      <rPr>
        <b/>
        <sz val="10"/>
        <rFont val="宋体"/>
        <family val="3"/>
        <charset val="134"/>
      </rPr>
      <t>、有无关联方交易：</t>
    </r>
    <phoneticPr fontId="10" type="noConversion"/>
  </si>
  <si>
    <r>
      <rPr>
        <sz val="10"/>
        <color rgb="FF0070C0"/>
        <rFont val="宋体"/>
        <family val="3"/>
        <charset val="134"/>
      </rPr>
      <t>（提示：通过对在建工程增加、减少的查证，确定是否存在与关联方之间工程代开发、工程代管理、工程</t>
    </r>
    <phoneticPr fontId="10" type="noConversion"/>
  </si>
  <si>
    <r>
      <t>1</t>
    </r>
    <r>
      <rPr>
        <b/>
        <sz val="10"/>
        <rFont val="宋体"/>
        <family val="3"/>
        <charset val="134"/>
      </rPr>
      <t>、项目综合描述：</t>
    </r>
    <phoneticPr fontId="10" type="noConversion"/>
  </si>
  <si>
    <r>
      <rPr>
        <b/>
        <sz val="10"/>
        <rFont val="宋体"/>
        <family val="3"/>
        <charset val="134"/>
      </rPr>
      <t>期初数</t>
    </r>
    <phoneticPr fontId="10" type="noConversion"/>
  </si>
  <si>
    <r>
      <t>A</t>
    </r>
    <r>
      <rPr>
        <sz val="10"/>
        <rFont val="宋体"/>
        <family val="3"/>
        <charset val="134"/>
      </rPr>
      <t>、详见资料核对表，索引（</t>
    </r>
    <r>
      <rPr>
        <sz val="10"/>
        <rFont val="Arial Narrow"/>
        <family val="2"/>
      </rPr>
      <t xml:space="preserve">             </t>
    </r>
    <r>
      <rPr>
        <sz val="10"/>
        <rFont val="宋体"/>
        <family val="3"/>
        <charset val="134"/>
      </rPr>
      <t>）</t>
    </r>
    <phoneticPr fontId="10" type="noConversion"/>
  </si>
  <si>
    <r>
      <t>B</t>
    </r>
    <r>
      <rPr>
        <sz val="10"/>
        <rFont val="宋体"/>
        <family val="3"/>
        <charset val="134"/>
      </rPr>
      <t>、详见合同核对表，索引（</t>
    </r>
    <r>
      <rPr>
        <sz val="10"/>
        <rFont val="Arial Narrow"/>
        <family val="2"/>
      </rPr>
      <t xml:space="preserve">             </t>
    </r>
    <r>
      <rPr>
        <sz val="10"/>
        <rFont val="宋体"/>
        <family val="3"/>
        <charset val="134"/>
      </rPr>
      <t>）</t>
    </r>
    <phoneticPr fontId="10" type="noConversion"/>
  </si>
  <si>
    <r>
      <t>3</t>
    </r>
    <r>
      <rPr>
        <b/>
        <sz val="10"/>
        <rFont val="宋体"/>
        <family val="3"/>
        <charset val="134"/>
      </rPr>
      <t>、历年发生额情况描述：</t>
    </r>
    <phoneticPr fontId="10" type="noConversion"/>
  </si>
  <si>
    <r>
      <rPr>
        <b/>
        <sz val="10"/>
        <rFont val="宋体"/>
        <family val="3"/>
        <charset val="134"/>
      </rPr>
      <t>本期借方</t>
    </r>
    <phoneticPr fontId="10" type="noConversion"/>
  </si>
  <si>
    <r>
      <rPr>
        <b/>
        <sz val="10"/>
        <rFont val="宋体"/>
        <family val="3"/>
        <charset val="134"/>
      </rPr>
      <t>本期贷方</t>
    </r>
    <phoneticPr fontId="10" type="noConversion"/>
  </si>
  <si>
    <r>
      <rPr>
        <sz val="10"/>
        <rFont val="宋体"/>
        <family val="3"/>
        <charset val="134"/>
      </rPr>
      <t>开工年份</t>
    </r>
    <r>
      <rPr>
        <sz val="10"/>
        <rFont val="Arial Narrow"/>
        <family val="2"/>
      </rPr>
      <t xml:space="preserve">      </t>
    </r>
    <r>
      <rPr>
        <sz val="10"/>
        <rFont val="宋体"/>
        <family val="3"/>
        <charset val="134"/>
      </rPr>
      <t>年</t>
    </r>
    <phoneticPr fontId="10" type="noConversion"/>
  </si>
  <si>
    <r>
      <rPr>
        <sz val="10"/>
        <rFont val="宋体"/>
        <family val="3"/>
        <charset val="134"/>
      </rPr>
      <t>本年</t>
    </r>
    <phoneticPr fontId="10" type="noConversion"/>
  </si>
  <si>
    <r>
      <rPr>
        <sz val="10"/>
        <rFont val="宋体"/>
        <family val="3"/>
        <charset val="134"/>
      </rPr>
      <t>合计</t>
    </r>
    <phoneticPr fontId="10" type="noConversion"/>
  </si>
  <si>
    <r>
      <t>5</t>
    </r>
    <r>
      <rPr>
        <b/>
        <sz val="10"/>
        <rFont val="宋体"/>
        <family val="3"/>
        <charset val="134"/>
      </rPr>
      <t>、本期发生额查验：详见索引（</t>
    </r>
    <r>
      <rPr>
        <b/>
        <sz val="10"/>
        <rFont val="Arial Narrow"/>
        <family val="2"/>
      </rPr>
      <t xml:space="preserve">                  </t>
    </r>
    <r>
      <rPr>
        <b/>
        <sz val="10"/>
        <rFont val="宋体"/>
        <family val="3"/>
        <charset val="134"/>
      </rPr>
      <t>）</t>
    </r>
    <phoneticPr fontId="10" type="noConversion"/>
  </si>
  <si>
    <r>
      <t>6</t>
    </r>
    <r>
      <rPr>
        <b/>
        <sz val="10"/>
        <rFont val="宋体"/>
        <family val="3"/>
        <charset val="134"/>
      </rPr>
      <t>、利息资本化审核：详见利息资本化复核底稿，索引（</t>
    </r>
    <r>
      <rPr>
        <b/>
        <sz val="10"/>
        <rFont val="Arial Narrow"/>
        <family val="2"/>
      </rPr>
      <t xml:space="preserve">             </t>
    </r>
    <r>
      <rPr>
        <b/>
        <sz val="10"/>
        <rFont val="宋体"/>
        <family val="3"/>
        <charset val="134"/>
      </rPr>
      <t>）</t>
    </r>
    <phoneticPr fontId="10" type="noConversion"/>
  </si>
  <si>
    <r>
      <t>7</t>
    </r>
    <r>
      <rPr>
        <b/>
        <sz val="10"/>
        <rFont val="宋体"/>
        <family val="3"/>
        <charset val="134"/>
      </rPr>
      <t>、状态查验：</t>
    </r>
    <phoneticPr fontId="10" type="noConversion"/>
  </si>
  <si>
    <r>
      <rPr>
        <sz val="10"/>
        <rFont val="宋体"/>
        <family val="3"/>
        <charset val="134"/>
      </rPr>
      <t>（</t>
    </r>
    <r>
      <rPr>
        <sz val="10"/>
        <rFont val="Arial Narrow"/>
        <family val="2"/>
      </rPr>
      <t>1</t>
    </r>
    <r>
      <rPr>
        <sz val="10"/>
        <rFont val="宋体"/>
        <family val="3"/>
        <charset val="134"/>
      </rPr>
      <t>）是否存在，有无实施现场察看，</t>
    </r>
    <phoneticPr fontId="10" type="noConversion"/>
  </si>
  <si>
    <r>
      <rPr>
        <sz val="10"/>
        <rFont val="宋体"/>
        <family val="3"/>
        <charset val="134"/>
      </rPr>
      <t>（</t>
    </r>
    <r>
      <rPr>
        <sz val="10"/>
        <rFont val="Arial Narrow"/>
        <family val="2"/>
      </rPr>
      <t>2</t>
    </r>
    <r>
      <rPr>
        <sz val="10"/>
        <rFont val="宋体"/>
        <family val="3"/>
        <charset val="134"/>
      </rPr>
      <t>）目前状况描述（包括完工进度、是否达到预计可使用状态、是否暂停）</t>
    </r>
    <phoneticPr fontId="10" type="noConversion"/>
  </si>
  <si>
    <r>
      <t>6</t>
    </r>
    <r>
      <rPr>
        <b/>
        <sz val="10"/>
        <rFont val="宋体"/>
        <family val="3"/>
        <charset val="134"/>
      </rPr>
      <t>、是否长期挂账：</t>
    </r>
    <phoneticPr fontId="10" type="noConversion"/>
  </si>
  <si>
    <r>
      <rPr>
        <sz val="10"/>
        <color rgb="FF0070C0"/>
        <rFont val="宋体"/>
        <family val="3"/>
        <charset val="134"/>
      </rPr>
      <t>重点关注一年未变动的在建工程</t>
    </r>
    <phoneticPr fontId="10" type="noConversion"/>
  </si>
  <si>
    <r>
      <rPr>
        <sz val="10"/>
        <color rgb="FF0070C0"/>
        <rFont val="宋体"/>
        <family val="3"/>
        <charset val="134"/>
      </rPr>
      <t>承包等行为，如有，检查是否经适当授权，价格是否公允，向开发商、管理单位、承包商发函询证，形成查验记录，</t>
    </r>
    <phoneticPr fontId="10" type="noConversion"/>
  </si>
  <si>
    <r>
      <t>8</t>
    </r>
    <r>
      <rPr>
        <b/>
        <sz val="10"/>
        <rFont val="宋体"/>
        <family val="3"/>
        <charset val="134"/>
      </rPr>
      <t>、是否受限：</t>
    </r>
    <phoneticPr fontId="10" type="noConversion"/>
  </si>
  <si>
    <r>
      <rPr>
        <sz val="10"/>
        <color rgb="FF0070C0"/>
        <rFont val="宋体"/>
        <family val="3"/>
        <charset val="134"/>
      </rPr>
      <t>（提示：可查询贷款卡信息，结合对工程项目建设资金来源如银行长期借款、发行债券等的检查，了解在建工程</t>
    </r>
    <phoneticPr fontId="10" type="noConversion"/>
  </si>
  <si>
    <r>
      <t>9</t>
    </r>
    <r>
      <rPr>
        <b/>
        <sz val="10"/>
        <rFont val="宋体"/>
        <family val="3"/>
        <charset val="134"/>
      </rPr>
      <t>、是否存在减值：详见索引（</t>
    </r>
    <r>
      <rPr>
        <b/>
        <sz val="10"/>
        <rFont val="Arial Narrow"/>
        <family val="2"/>
      </rPr>
      <t xml:space="preserve">                  </t>
    </r>
    <r>
      <rPr>
        <b/>
        <sz val="10"/>
        <rFont val="宋体"/>
        <family val="3"/>
        <charset val="134"/>
      </rPr>
      <t>）</t>
    </r>
    <phoneticPr fontId="10" type="noConversion"/>
  </si>
  <si>
    <r>
      <rPr>
        <sz val="10"/>
        <color rgb="FFFF0000"/>
        <rFont val="宋体"/>
        <family val="3"/>
        <charset val="134"/>
      </rPr>
      <t>工程</t>
    </r>
    <r>
      <rPr>
        <b/>
        <sz val="10"/>
        <color rgb="FFFF0000"/>
        <rFont val="Arial Narrow"/>
        <family val="2"/>
      </rPr>
      <t>A</t>
    </r>
  </si>
  <si>
    <r>
      <rPr>
        <sz val="10"/>
        <color rgb="FFFF0000"/>
        <rFont val="宋体"/>
        <family val="3"/>
        <charset val="134"/>
      </rPr>
      <t>工程</t>
    </r>
    <r>
      <rPr>
        <b/>
        <sz val="10"/>
        <color rgb="FFFF0000"/>
        <rFont val="Arial Narrow"/>
        <family val="2"/>
      </rPr>
      <t>B</t>
    </r>
  </si>
  <si>
    <r>
      <rPr>
        <sz val="10"/>
        <color rgb="FFFF0000"/>
        <rFont val="宋体"/>
        <family val="3"/>
        <charset val="134"/>
      </rPr>
      <t>工程</t>
    </r>
    <r>
      <rPr>
        <b/>
        <sz val="10"/>
        <color rgb="FFFF0000"/>
        <rFont val="Arial Narrow"/>
        <family val="2"/>
      </rPr>
      <t>C</t>
    </r>
  </si>
  <si>
    <r>
      <rPr>
        <b/>
        <sz val="10"/>
        <color indexed="8"/>
        <rFont val="宋体"/>
        <family val="3"/>
        <charset val="134"/>
      </rPr>
      <t>一、审计目标：</t>
    </r>
    <r>
      <rPr>
        <sz val="10"/>
        <color indexed="8"/>
        <rFont val="Arial Narrow"/>
        <family val="2"/>
      </rPr>
      <t>1.</t>
    </r>
    <r>
      <rPr>
        <sz val="10"/>
        <color indexed="8"/>
        <rFont val="宋体"/>
        <family val="3"/>
        <charset val="134"/>
      </rPr>
      <t>资产负债表中记录的在建工程是存在的，且已记录于恰当的账户；</t>
    </r>
    <phoneticPr fontId="14" type="noConversion"/>
  </si>
  <si>
    <r>
      <rPr>
        <b/>
        <sz val="10"/>
        <rFont val="宋体"/>
        <family val="3"/>
        <charset val="134"/>
      </rPr>
      <t>四、审计结论：</t>
    </r>
    <phoneticPr fontId="10" type="noConversion"/>
  </si>
  <si>
    <r>
      <t>1.</t>
    </r>
    <r>
      <rPr>
        <sz val="10"/>
        <color rgb="FF0000FF"/>
        <rFont val="宋体"/>
        <family val="3"/>
        <charset val="134"/>
      </rPr>
      <t>通过募投项目可行性研究报告、工程预算文件等，获取工程项目总造价及建筑面积等信息；计算单方造价，并与可比价比较；</t>
    </r>
    <phoneticPr fontId="10" type="noConversion"/>
  </si>
  <si>
    <r>
      <t>2.</t>
    </r>
    <r>
      <rPr>
        <sz val="10"/>
        <color rgb="FF0000FF"/>
        <rFont val="宋体"/>
        <family val="3"/>
        <charset val="134"/>
      </rPr>
      <t>对比当期在建工程投入的现金支出与现金流量表中</t>
    </r>
    <r>
      <rPr>
        <sz val="10"/>
        <color rgb="FF0000FF"/>
        <rFont val="Arial Narrow"/>
        <family val="2"/>
      </rPr>
      <t>“</t>
    </r>
    <r>
      <rPr>
        <sz val="10"/>
        <color rgb="FF0000FF"/>
        <rFont val="宋体"/>
        <family val="3"/>
        <charset val="134"/>
      </rPr>
      <t>购置固定资产、无形资产和其他长期资产支付的现金</t>
    </r>
    <r>
      <rPr>
        <sz val="10"/>
        <color rgb="FF0000FF"/>
        <rFont val="Arial Narrow"/>
        <family val="2"/>
      </rPr>
      <t xml:space="preserve"> ”</t>
    </r>
    <r>
      <rPr>
        <sz val="10"/>
        <color rgb="FF0000FF"/>
        <rFont val="宋体"/>
        <family val="3"/>
        <charset val="134"/>
      </rPr>
      <t>项目金额是否存在重大差异；</t>
    </r>
    <phoneticPr fontId="83" type="noConversion"/>
  </si>
  <si>
    <r>
      <t>3.</t>
    </r>
    <r>
      <rPr>
        <sz val="10"/>
        <color rgb="FF0000FF"/>
        <rFont val="宋体"/>
        <family val="3"/>
        <charset val="134"/>
      </rPr>
      <t>如存在重大的非预期差异，与适当客户人员讨论；</t>
    </r>
    <phoneticPr fontId="83" type="noConversion"/>
  </si>
  <si>
    <r>
      <t>4.</t>
    </r>
    <r>
      <rPr>
        <sz val="10"/>
        <color rgb="FF0000FF"/>
        <rFont val="宋体"/>
        <family val="3"/>
        <charset val="134"/>
      </rPr>
      <t>确定执行上述程序的结果是否表明需要补充必要的审计程序，如果是，执行适当的应对程序。</t>
    </r>
    <phoneticPr fontId="83" type="noConversion"/>
  </si>
  <si>
    <r>
      <rPr>
        <b/>
        <sz val="10"/>
        <rFont val="宋体"/>
        <family val="3"/>
        <charset val="134"/>
      </rPr>
      <t>一、审计目标：</t>
    </r>
    <r>
      <rPr>
        <sz val="10"/>
        <rFont val="Arial Narrow"/>
        <family val="2"/>
      </rPr>
      <t>1.</t>
    </r>
    <r>
      <rPr>
        <sz val="10"/>
        <rFont val="宋体"/>
        <family val="3"/>
        <charset val="134"/>
      </rPr>
      <t>资产负债表中记录的在建工程是存在的，且已记录于恰当的账户；</t>
    </r>
    <r>
      <rPr>
        <sz val="10"/>
        <rFont val="Arial Narrow"/>
        <family val="2"/>
      </rPr>
      <t>2.</t>
    </r>
    <r>
      <rPr>
        <sz val="10"/>
        <rFont val="宋体"/>
        <family val="3"/>
        <charset val="134"/>
      </rPr>
      <t>所有应记录的在建工程均已记录，所有应当包括在财务报表中的相关披露均已包括；</t>
    </r>
    <r>
      <rPr>
        <sz val="10"/>
        <rFont val="Arial Narrow"/>
        <family val="2"/>
      </rPr>
      <t>3.</t>
    </r>
    <r>
      <rPr>
        <sz val="10"/>
        <rFont val="宋体"/>
        <family val="3"/>
        <charset val="134"/>
      </rPr>
      <t>记录的在建工程由被审计单位拥有或控制；</t>
    </r>
    <r>
      <rPr>
        <sz val="10"/>
        <rFont val="Arial Narrow"/>
        <family val="2"/>
      </rPr>
      <t>4.</t>
    </r>
    <r>
      <rPr>
        <sz val="10"/>
        <rFont val="宋体"/>
        <family val="3"/>
        <charset val="134"/>
      </rPr>
      <t>在建工程以恰当的金额包括在财务报表中，与之相关的计价或分摊调整已恰当记录，相关披露已得到恰当计量和描述。</t>
    </r>
    <phoneticPr fontId="76" type="noConversion"/>
  </si>
  <si>
    <r>
      <rPr>
        <b/>
        <sz val="10"/>
        <rFont val="宋体"/>
        <family val="3"/>
        <charset val="134"/>
      </rPr>
      <t>二、样本选取标准与规模：</t>
    </r>
    <phoneticPr fontId="76" type="noConversion"/>
  </si>
  <si>
    <r>
      <rPr>
        <sz val="10"/>
        <rFont val="宋体"/>
        <family val="3"/>
        <charset val="134"/>
      </rPr>
      <t>测试总体：</t>
    </r>
    <phoneticPr fontId="10" type="noConversion"/>
  </si>
  <si>
    <r>
      <rPr>
        <sz val="10"/>
        <rFont val="宋体"/>
        <family val="3"/>
        <charset val="134"/>
      </rPr>
      <t>特定样本：</t>
    </r>
    <phoneticPr fontId="10"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</si>
  <si>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0" type="noConversion"/>
  </si>
  <si>
    <r>
      <rPr>
        <sz val="10"/>
        <rFont val="宋体"/>
        <family val="3"/>
        <charset val="134"/>
      </rPr>
      <t>抽样总体：</t>
    </r>
    <phoneticPr fontId="10"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</si>
  <si>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0" type="noConversion"/>
  </si>
  <si>
    <r>
      <rPr>
        <sz val="10"/>
        <rFont val="宋体"/>
        <family val="3"/>
        <charset val="134"/>
      </rPr>
      <t>确定的抽样样本量：</t>
    </r>
    <phoneticPr fontId="10"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</si>
  <si>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0"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</si>
  <si>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0" type="noConversion"/>
  </si>
  <si>
    <r>
      <rPr>
        <sz val="10"/>
        <rFont val="宋体"/>
        <family val="3"/>
        <charset val="134"/>
      </rPr>
      <t>抽样方法：</t>
    </r>
    <phoneticPr fontId="10" type="noConversion"/>
  </si>
  <si>
    <r>
      <rPr>
        <sz val="10"/>
        <rFont val="宋体"/>
        <family val="3"/>
        <charset val="134"/>
      </rPr>
      <t>抽样过程：</t>
    </r>
    <phoneticPr fontId="10"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</si>
  <si>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0" type="noConversion"/>
  </si>
  <si>
    <r>
      <rPr>
        <b/>
        <sz val="10"/>
        <rFont val="宋体"/>
        <family val="3"/>
        <charset val="134"/>
      </rPr>
      <t>三、测试：</t>
    </r>
    <phoneticPr fontId="76" type="noConversion"/>
  </si>
  <si>
    <r>
      <rPr>
        <b/>
        <sz val="10"/>
        <rFont val="宋体"/>
        <family val="3"/>
        <charset val="134"/>
      </rPr>
      <t>索引号</t>
    </r>
    <phoneticPr fontId="10" type="noConversion"/>
  </si>
  <si>
    <r>
      <rPr>
        <b/>
        <sz val="10"/>
        <rFont val="宋体"/>
        <family val="3"/>
        <charset val="134"/>
      </rPr>
      <t>合计</t>
    </r>
    <phoneticPr fontId="10" type="noConversion"/>
  </si>
  <si>
    <r>
      <rPr>
        <b/>
        <sz val="10"/>
        <rFont val="宋体"/>
        <family val="3"/>
        <charset val="134"/>
      </rPr>
      <t>本期增加在建工程合计</t>
    </r>
    <phoneticPr fontId="10" type="noConversion"/>
  </si>
  <si>
    <r>
      <rPr>
        <b/>
        <sz val="10"/>
        <rFont val="宋体"/>
        <family val="3"/>
        <charset val="134"/>
      </rPr>
      <t>四、审计说明：</t>
    </r>
    <phoneticPr fontId="76" type="noConversion"/>
  </si>
  <si>
    <r>
      <rPr>
        <b/>
        <sz val="10"/>
        <rFont val="宋体"/>
        <family val="3"/>
        <charset val="134"/>
      </rPr>
      <t>五、审计结论：</t>
    </r>
    <phoneticPr fontId="10" type="noConversion"/>
  </si>
  <si>
    <r>
      <t>1.</t>
    </r>
    <r>
      <rPr>
        <sz val="10"/>
        <color indexed="12"/>
        <rFont val="宋体"/>
        <family val="3"/>
        <charset val="134"/>
      </rPr>
      <t>本表用于汇总本年度增加在建工程的测试情况。</t>
    </r>
    <phoneticPr fontId="10" type="noConversion"/>
  </si>
  <si>
    <r>
      <t>2.</t>
    </r>
    <r>
      <rPr>
        <sz val="10"/>
        <color indexed="12"/>
        <rFont val="宋体"/>
        <family val="3"/>
        <charset val="134"/>
      </rPr>
      <t>取得有关工程项目的立项批文、预算总额及建设批准文件，施工承包合同、现场监理施工进度报告等业务资料；</t>
    </r>
    <phoneticPr fontId="10" type="noConversion"/>
  </si>
  <si>
    <r>
      <t>3.</t>
    </r>
    <r>
      <rPr>
        <sz val="10"/>
        <color indexed="12"/>
        <rFont val="宋体"/>
        <family val="3"/>
        <charset val="134"/>
      </rPr>
      <t>抽查工程款是否按照合同、协议、工程进度或监理进度报告分期支付，其付款授权批准手续是否齐备，会计处理是否正确；</t>
    </r>
    <phoneticPr fontId="10" type="noConversion"/>
  </si>
  <si>
    <r>
      <t>4.</t>
    </r>
    <r>
      <rPr>
        <sz val="10"/>
        <color indexed="12"/>
        <rFont val="宋体"/>
        <family val="3"/>
        <charset val="134"/>
      </rPr>
      <t>抽查工程物资的领用是否有审批手续，会计处理是否正确；</t>
    </r>
    <phoneticPr fontId="10" type="noConversion"/>
  </si>
  <si>
    <r>
      <t>5.</t>
    </r>
    <r>
      <rPr>
        <sz val="10"/>
        <color indexed="12"/>
        <rFont val="宋体"/>
        <family val="3"/>
        <charset val="134"/>
      </rPr>
      <t>自行开发建造厂房等建筑物，相关的土地使用权与建筑物应分别进行处理，土地使用权应单独作为无形资产核算。</t>
    </r>
    <phoneticPr fontId="10" type="noConversion"/>
  </si>
  <si>
    <r>
      <t>6.</t>
    </r>
    <r>
      <rPr>
        <sz val="10"/>
        <color indexed="12"/>
        <rFont val="宋体"/>
        <family val="3"/>
        <charset val="134"/>
      </rPr>
      <t>关注要点</t>
    </r>
    <phoneticPr fontId="10" type="noConversion"/>
  </si>
  <si>
    <r>
      <rPr>
        <sz val="10"/>
        <color indexed="12"/>
        <rFont val="宋体"/>
        <family val="3"/>
        <charset val="134"/>
      </rPr>
      <t>（</t>
    </r>
    <r>
      <rPr>
        <sz val="10"/>
        <color indexed="12"/>
        <rFont val="Arial Narrow"/>
        <family val="2"/>
      </rPr>
      <t>1</t>
    </r>
    <r>
      <rPr>
        <sz val="10"/>
        <color indexed="12"/>
        <rFont val="宋体"/>
        <family val="3"/>
        <charset val="134"/>
      </rPr>
      <t>）考虑工程款的支付是否按照合同</t>
    </r>
    <r>
      <rPr>
        <sz val="10"/>
        <color indexed="12"/>
        <rFont val="Arial Narrow"/>
        <family val="2"/>
      </rPr>
      <t>/</t>
    </r>
    <r>
      <rPr>
        <sz val="10"/>
        <color indexed="12"/>
        <rFont val="宋体"/>
        <family val="3"/>
        <charset val="134"/>
      </rPr>
      <t>协议、工程进度或监理进度报告分期支付，授权批准手续是否齐备，会计处理是否正确。</t>
    </r>
    <phoneticPr fontId="10" type="noConversion"/>
  </si>
  <si>
    <r>
      <rPr>
        <sz val="10"/>
        <color indexed="12"/>
        <rFont val="宋体"/>
        <family val="3"/>
        <charset val="134"/>
      </rPr>
      <t>（</t>
    </r>
    <r>
      <rPr>
        <sz val="10"/>
        <color rgb="FF0000FF"/>
        <rFont val="Arial Narrow"/>
        <family val="2"/>
      </rPr>
      <t>2</t>
    </r>
    <r>
      <rPr>
        <sz val="10"/>
        <color rgb="FF0000FF"/>
        <rFont val="宋体"/>
        <family val="3"/>
        <charset val="134"/>
      </rPr>
      <t>）抽查工程物资的领用是否有审批手续，会计处理是否正确。</t>
    </r>
    <phoneticPr fontId="10" type="noConversion"/>
  </si>
  <si>
    <r>
      <rPr>
        <sz val="10"/>
        <color indexed="12"/>
        <rFont val="宋体"/>
        <family val="3"/>
        <charset val="134"/>
      </rPr>
      <t>（</t>
    </r>
    <r>
      <rPr>
        <sz val="10"/>
        <color rgb="FF0000FF"/>
        <rFont val="Arial Narrow"/>
        <family val="2"/>
      </rPr>
      <t>3</t>
    </r>
    <r>
      <rPr>
        <sz val="10"/>
        <color rgb="FF0000FF"/>
        <rFont val="宋体"/>
        <family val="3"/>
        <charset val="134"/>
      </rPr>
      <t>）结合长短期借款等科目审计，判断是否满足借款费用资本化条件，资本化计算方法、期间、金额、会计处理是否正确；</t>
    </r>
    <phoneticPr fontId="10" type="noConversion"/>
  </si>
  <si>
    <r>
      <rPr>
        <sz val="10"/>
        <color indexed="12"/>
        <rFont val="宋体"/>
        <family val="3"/>
        <charset val="134"/>
      </rPr>
      <t>（</t>
    </r>
    <r>
      <rPr>
        <sz val="10"/>
        <color rgb="FF0000FF"/>
        <rFont val="Arial Narrow"/>
        <family val="2"/>
      </rPr>
      <t>4</t>
    </r>
    <r>
      <rPr>
        <sz val="10"/>
        <color rgb="FF0000FF"/>
        <rFont val="宋体"/>
        <family val="3"/>
        <charset val="134"/>
      </rPr>
      <t>）结合管理费用等科目的审计，判断工程管理费资本化金额、会计处理是否合理正确；</t>
    </r>
    <phoneticPr fontId="10" type="noConversion"/>
  </si>
  <si>
    <r>
      <rPr>
        <sz val="10"/>
        <color indexed="12"/>
        <rFont val="宋体"/>
        <family val="3"/>
        <charset val="134"/>
      </rPr>
      <t>（</t>
    </r>
    <r>
      <rPr>
        <sz val="10"/>
        <color rgb="FF0000FF"/>
        <rFont val="Arial Narrow"/>
        <family val="2"/>
      </rPr>
      <t>5</t>
    </r>
    <r>
      <rPr>
        <sz val="10"/>
        <color rgb="FF0000FF"/>
        <rFont val="宋体"/>
        <family val="3"/>
        <charset val="134"/>
      </rPr>
      <t>）对于自行开发建造厂房等建筑物，考虑相关的土地使用权与建筑物是否分别进行处理，土地使用权是否单独作为无形资产核算。</t>
    </r>
    <phoneticPr fontId="10" type="noConversion"/>
  </si>
  <si>
    <r>
      <rPr>
        <sz val="10"/>
        <color indexed="12"/>
        <rFont val="宋体"/>
        <family val="3"/>
        <charset val="134"/>
      </rPr>
      <t>（</t>
    </r>
    <r>
      <rPr>
        <sz val="10"/>
        <color rgb="FF0000FF"/>
        <rFont val="Arial Narrow"/>
        <family val="2"/>
      </rPr>
      <t>6</t>
    </r>
    <r>
      <rPr>
        <sz val="10"/>
        <color rgb="FF0000FF"/>
        <rFont val="宋体"/>
        <family val="3"/>
        <charset val="134"/>
      </rPr>
      <t>）对于被审计单位发包的在建工程，考虑是否按合理估计的发包工程进度和合同规定结算的进度款增加在建工程，或在将设备交付建造承包商建造安装时增加在建工程。</t>
    </r>
    <phoneticPr fontId="10" type="noConversion"/>
  </si>
  <si>
    <r>
      <rPr>
        <sz val="10"/>
        <color indexed="12"/>
        <rFont val="宋体"/>
        <family val="3"/>
        <charset val="134"/>
      </rPr>
      <t>（</t>
    </r>
    <r>
      <rPr>
        <sz val="10"/>
        <color rgb="FF0000FF"/>
        <rFont val="Arial Narrow"/>
        <family val="2"/>
      </rPr>
      <t>7</t>
    </r>
    <r>
      <rPr>
        <sz val="10"/>
        <color rgb="FF0000FF"/>
        <rFont val="宋体"/>
        <family val="3"/>
        <charset val="134"/>
      </rPr>
      <t>）对于建设期间发生的工程物资盘亏、报废及毁损净损失，或盘盈的工程物资或处置净收益做处理是否正确；</t>
    </r>
    <phoneticPr fontId="10" type="noConversion"/>
  </si>
  <si>
    <r>
      <rPr>
        <sz val="10"/>
        <color indexed="12"/>
        <rFont val="宋体"/>
        <family val="3"/>
        <charset val="134"/>
      </rPr>
      <t>（</t>
    </r>
    <r>
      <rPr>
        <sz val="10"/>
        <color rgb="FF0000FF"/>
        <rFont val="Arial Narrow"/>
        <family val="2"/>
      </rPr>
      <t>8</t>
    </r>
    <r>
      <rPr>
        <sz val="10"/>
        <color rgb="FF0000FF"/>
        <rFont val="宋体"/>
        <family val="3"/>
        <charset val="134"/>
      </rPr>
      <t>）对于工程待摊支出（包括管理费、征地费、可行性研究费、临时设施费、公证费、监理费及应负担的税费等），考虑是否按照合理的方法计算和分配待摊支出，在建工程达到预定可使用状态时，是否相应增加完工的在建工程成本；对比当期新增成本中付现部分与计入现金流量表</t>
    </r>
    <r>
      <rPr>
        <sz val="10"/>
        <color rgb="FF0000FF"/>
        <rFont val="Arial Narrow"/>
        <family val="2"/>
      </rPr>
      <t>“</t>
    </r>
    <r>
      <rPr>
        <sz val="10"/>
        <color rgb="FF0000FF"/>
        <rFont val="宋体"/>
        <family val="3"/>
        <charset val="134"/>
      </rPr>
      <t>购置固定资产、无形资产和其他长期资产支付的现金</t>
    </r>
    <r>
      <rPr>
        <sz val="10"/>
        <color rgb="FF0000FF"/>
        <rFont val="Arial Narrow"/>
        <family val="2"/>
      </rPr>
      <t xml:space="preserve"> ”</t>
    </r>
    <r>
      <rPr>
        <sz val="10"/>
        <color rgb="FF0000FF"/>
        <rFont val="宋体"/>
        <family val="3"/>
        <charset val="134"/>
      </rPr>
      <t>项目金额是否存在重大差异。</t>
    </r>
    <phoneticPr fontId="10" type="noConversion"/>
  </si>
  <si>
    <r>
      <rPr>
        <b/>
        <sz val="10"/>
        <rFont val="宋体"/>
        <family val="3"/>
        <charset val="134"/>
      </rPr>
      <t>一、审计目标：</t>
    </r>
    <r>
      <rPr>
        <sz val="10"/>
        <rFont val="Arial Narrow"/>
        <family val="2"/>
      </rPr>
      <t>1.</t>
    </r>
    <r>
      <rPr>
        <sz val="10"/>
        <rFont val="宋体"/>
        <family val="3"/>
        <charset val="134"/>
      </rPr>
      <t>资产负债表中记录的在建工程是存在的，且已记录于恰当的账户；</t>
    </r>
    <r>
      <rPr>
        <sz val="10"/>
        <rFont val="Arial Narrow"/>
        <family val="2"/>
      </rPr>
      <t>2.</t>
    </r>
    <r>
      <rPr>
        <sz val="10"/>
        <rFont val="宋体"/>
        <family val="3"/>
        <charset val="134"/>
      </rPr>
      <t>所有应记录的在建工程均已记录，所有应当包括在财务报表中的相关披露均已包括；</t>
    </r>
    <r>
      <rPr>
        <sz val="10"/>
        <rFont val="Arial Narrow"/>
        <family val="2"/>
      </rPr>
      <t>3.</t>
    </r>
    <r>
      <rPr>
        <sz val="10"/>
        <rFont val="宋体"/>
        <family val="3"/>
        <charset val="134"/>
      </rPr>
      <t>在建工程以恰当的金额包括在财务报表中，与之相关的计价或分摊调整已恰当记录，相关披露已得到恰当计量和描述</t>
    </r>
    <r>
      <rPr>
        <sz val="10"/>
        <rFont val="Arial Narrow"/>
        <family val="2"/>
      </rPr>
      <t xml:space="preserve"> </t>
    </r>
    <phoneticPr fontId="76" type="noConversion"/>
  </si>
  <si>
    <r>
      <rPr>
        <b/>
        <sz val="10"/>
        <rFont val="宋体"/>
        <family val="3"/>
        <charset val="134"/>
      </rPr>
      <t>二、样本选取标准与规模：</t>
    </r>
    <phoneticPr fontId="76" type="noConversion"/>
  </si>
  <si>
    <r>
      <rPr>
        <sz val="10"/>
        <rFont val="宋体"/>
        <family val="3"/>
        <charset val="134"/>
      </rPr>
      <t>特定样本：</t>
    </r>
    <phoneticPr fontId="10"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</si>
  <si>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0" type="noConversion"/>
  </si>
  <si>
    <r>
      <rPr>
        <sz val="10"/>
        <rFont val="宋体"/>
        <family val="3"/>
        <charset val="134"/>
      </rPr>
      <t>抽样总体：</t>
    </r>
    <phoneticPr fontId="10"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</si>
  <si>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0" type="noConversion"/>
  </si>
  <si>
    <r>
      <rPr>
        <sz val="10"/>
        <rFont val="宋体"/>
        <family val="3"/>
        <charset val="134"/>
      </rPr>
      <t>确定的抽样样本量：</t>
    </r>
    <phoneticPr fontId="10"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</si>
  <si>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0"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</si>
  <si>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0" type="noConversion"/>
  </si>
  <si>
    <r>
      <rPr>
        <sz val="10"/>
        <rFont val="宋体"/>
        <family val="3"/>
        <charset val="134"/>
      </rPr>
      <t>抽样方法：</t>
    </r>
    <phoneticPr fontId="10" type="noConversion"/>
  </si>
  <si>
    <r>
      <rPr>
        <b/>
        <sz val="10"/>
        <rFont val="宋体"/>
        <family val="3"/>
        <charset val="134"/>
      </rPr>
      <t>工程项目名称</t>
    </r>
    <phoneticPr fontId="10" type="noConversion"/>
  </si>
  <si>
    <r>
      <rPr>
        <b/>
        <sz val="10"/>
        <rFont val="宋体"/>
        <family val="3"/>
        <charset val="134"/>
      </rPr>
      <t>金额</t>
    </r>
  </si>
  <si>
    <r>
      <t>1</t>
    </r>
    <r>
      <rPr>
        <sz val="10"/>
        <color indexed="12"/>
        <rFont val="宋体"/>
        <family val="3"/>
        <charset val="134"/>
      </rPr>
      <t>、本表用于汇总本年度减少在建工程的测试情况。</t>
    </r>
    <phoneticPr fontId="10" type="noConversion"/>
  </si>
  <si>
    <r>
      <t>2</t>
    </r>
    <r>
      <rPr>
        <sz val="10"/>
        <color indexed="12"/>
        <rFont val="宋体"/>
        <family val="3"/>
        <charset val="134"/>
      </rPr>
      <t>、检查已完工程项目的竣工决算报告、验收交接单等相关凭证以及其他转出数的原始凭证，检查会计处理是否正确；</t>
    </r>
    <phoneticPr fontId="10" type="noConversion"/>
  </si>
  <si>
    <r>
      <t>3</t>
    </r>
    <r>
      <rPr>
        <sz val="10"/>
        <color indexed="12"/>
        <rFont val="宋体"/>
        <family val="3"/>
        <charset val="134"/>
      </rPr>
      <t>、对已达到预定可使用状态但尚未办理竣工决算的在建工程，检查其是否按照估计价值转出有关固定资产成本</t>
    </r>
    <r>
      <rPr>
        <sz val="10"/>
        <color indexed="12"/>
        <rFont val="Arial Narrow"/>
        <family val="2"/>
      </rPr>
      <t>,</t>
    </r>
    <r>
      <rPr>
        <sz val="10"/>
        <color indexed="12"/>
        <rFont val="宋体"/>
        <family val="3"/>
        <charset val="134"/>
      </rPr>
      <t>并计提折旧；</t>
    </r>
    <phoneticPr fontId="10" type="noConversion"/>
  </si>
  <si>
    <r>
      <rPr>
        <sz val="10"/>
        <color indexed="12"/>
        <rFont val="宋体"/>
        <family val="3"/>
        <charset val="134"/>
      </rPr>
      <t>待办理竣工决算后，是否再按实际成本调整原来的暂估价值，但不需调整原已计提的折旧额。</t>
    </r>
    <phoneticPr fontId="10" type="noConversion"/>
  </si>
  <si>
    <r>
      <t>4</t>
    </r>
    <r>
      <rPr>
        <sz val="10"/>
        <color indexed="12"/>
        <rFont val="宋体"/>
        <family val="3"/>
        <charset val="134"/>
      </rPr>
      <t>、关注是否存在将已经达到预定可使用状态的固定资产挂列在建工程，少计折旧的情况。</t>
    </r>
    <phoneticPr fontId="10" type="noConversion"/>
  </si>
  <si>
    <r>
      <t>5</t>
    </r>
    <r>
      <rPr>
        <sz val="10"/>
        <color indexed="12"/>
        <rFont val="宋体"/>
        <family val="3"/>
        <charset val="134"/>
      </rPr>
      <t>、概述：（</t>
    </r>
    <r>
      <rPr>
        <sz val="10"/>
        <color indexed="12"/>
        <rFont val="Arial Narrow"/>
        <family val="2"/>
      </rPr>
      <t>1</t>
    </r>
    <r>
      <rPr>
        <sz val="10"/>
        <color indexed="12"/>
        <rFont val="宋体"/>
        <family val="3"/>
        <charset val="134"/>
      </rPr>
      <t>）程序的测试情况、结果；</t>
    </r>
    <phoneticPr fontId="10" type="noConversion"/>
  </si>
  <si>
    <r>
      <rPr>
        <sz val="10"/>
        <color indexed="12"/>
        <rFont val="宋体"/>
        <family val="3"/>
        <charset val="134"/>
      </rPr>
      <t>（</t>
    </r>
    <r>
      <rPr>
        <sz val="10"/>
        <color indexed="12"/>
        <rFont val="Arial Narrow"/>
        <family val="2"/>
      </rPr>
      <t>2</t>
    </r>
    <r>
      <rPr>
        <sz val="10"/>
        <color indexed="12"/>
        <rFont val="宋体"/>
        <family val="3"/>
        <charset val="134"/>
      </rPr>
      <t>）拟调整事项及其调整分录、未调整事项及其影响，审计范围受到限制情况及其影响。</t>
    </r>
  </si>
  <si>
    <r>
      <rPr>
        <b/>
        <sz val="10"/>
        <color indexed="8"/>
        <rFont val="宋体"/>
        <family val="3"/>
        <charset val="134"/>
      </rPr>
      <t>一、审计目标：</t>
    </r>
    <r>
      <rPr>
        <sz val="10"/>
        <color indexed="8"/>
        <rFont val="宋体"/>
        <family val="3"/>
        <charset val="134"/>
      </rPr>
      <t>在建工程以恰当的金额包括在财务报表中，与之相关的计价或分摊调整已恰当记录，相关披露已得到恰当计量和描述。</t>
    </r>
    <phoneticPr fontId="14" type="noConversion"/>
  </si>
  <si>
    <r>
      <t xml:space="preserve"> </t>
    </r>
    <r>
      <rPr>
        <b/>
        <sz val="10"/>
        <rFont val="宋体"/>
        <family val="3"/>
        <charset val="134"/>
      </rPr>
      <t>计算一般借款资本化加权平均年利率：</t>
    </r>
    <phoneticPr fontId="10" type="noConversion"/>
  </si>
  <si>
    <r>
      <rPr>
        <b/>
        <sz val="10"/>
        <rFont val="宋体"/>
        <family val="3"/>
        <charset val="134"/>
      </rPr>
      <t>一般借款本金</t>
    </r>
    <phoneticPr fontId="10" type="noConversion"/>
  </si>
  <si>
    <r>
      <rPr>
        <b/>
        <sz val="10"/>
        <rFont val="宋体"/>
        <family val="3"/>
        <charset val="134"/>
      </rPr>
      <t>本期开始计息日</t>
    </r>
    <phoneticPr fontId="10" type="noConversion"/>
  </si>
  <si>
    <r>
      <rPr>
        <b/>
        <sz val="10"/>
        <rFont val="宋体"/>
        <family val="3"/>
        <charset val="134"/>
      </rPr>
      <t>本期结束计息日</t>
    </r>
    <phoneticPr fontId="10" type="noConversion"/>
  </si>
  <si>
    <r>
      <rPr>
        <b/>
        <sz val="10"/>
        <rFont val="宋体"/>
        <family val="3"/>
        <charset val="134"/>
      </rPr>
      <t>本期计息天数</t>
    </r>
    <phoneticPr fontId="10" type="noConversion"/>
  </si>
  <si>
    <r>
      <rPr>
        <b/>
        <sz val="10"/>
        <rFont val="宋体"/>
        <family val="3"/>
        <charset val="134"/>
      </rPr>
      <t>当期天数</t>
    </r>
    <phoneticPr fontId="10" type="noConversion"/>
  </si>
  <si>
    <r>
      <rPr>
        <b/>
        <sz val="10"/>
        <rFont val="宋体"/>
        <family val="3"/>
        <charset val="134"/>
      </rPr>
      <t>一般借款本金加权平均数</t>
    </r>
    <phoneticPr fontId="10" type="noConversion"/>
  </si>
  <si>
    <r>
      <rPr>
        <b/>
        <sz val="10"/>
        <rFont val="宋体"/>
        <family val="3"/>
        <charset val="134"/>
      </rPr>
      <t>一般借款当期实际发生的利息费用</t>
    </r>
    <phoneticPr fontId="10" type="noConversion"/>
  </si>
  <si>
    <r>
      <rPr>
        <b/>
        <sz val="10"/>
        <rFont val="宋体"/>
        <family val="3"/>
        <charset val="134"/>
      </rPr>
      <t>一般借款的资本化率＝一般借款加权平均利率</t>
    </r>
    <r>
      <rPr>
        <b/>
        <sz val="10"/>
        <rFont val="Arial Narrow"/>
        <family val="2"/>
      </rPr>
      <t>(</t>
    </r>
    <r>
      <rPr>
        <b/>
        <sz val="10"/>
        <rFont val="宋体"/>
        <family val="3"/>
        <charset val="134"/>
      </rPr>
      <t>年利率</t>
    </r>
    <r>
      <rPr>
        <b/>
        <sz val="10"/>
        <rFont val="Arial Narrow"/>
        <family val="2"/>
      </rPr>
      <t>)</t>
    </r>
    <phoneticPr fontId="10" type="noConversion"/>
  </si>
  <si>
    <r>
      <rPr>
        <b/>
        <sz val="10"/>
        <rFont val="宋体"/>
        <family val="3"/>
        <charset val="134"/>
      </rPr>
      <t>③</t>
    </r>
    <phoneticPr fontId="10" type="noConversion"/>
  </si>
  <si>
    <r>
      <rPr>
        <b/>
        <sz val="10"/>
        <rFont val="宋体"/>
        <family val="3"/>
        <charset val="134"/>
      </rPr>
      <t>④＝①</t>
    </r>
    <r>
      <rPr>
        <b/>
        <sz val="10"/>
        <rFont val="Arial Narrow"/>
        <family val="2"/>
      </rPr>
      <t>×</t>
    </r>
    <r>
      <rPr>
        <b/>
        <sz val="10"/>
        <rFont val="宋体"/>
        <family val="3"/>
        <charset val="134"/>
      </rPr>
      <t>②</t>
    </r>
    <r>
      <rPr>
        <b/>
        <sz val="10"/>
        <rFont val="Arial Narrow"/>
        <family val="2"/>
      </rPr>
      <t>÷</t>
    </r>
    <r>
      <rPr>
        <b/>
        <sz val="10"/>
        <rFont val="宋体"/>
        <family val="3"/>
        <charset val="134"/>
      </rPr>
      <t>③</t>
    </r>
    <phoneticPr fontId="10" type="noConversion"/>
  </si>
  <si>
    <r>
      <rPr>
        <b/>
        <sz val="10"/>
        <rFont val="宋体"/>
        <family val="3"/>
        <charset val="134"/>
      </rPr>
      <t>⑤</t>
    </r>
    <phoneticPr fontId="10" type="noConversion"/>
  </si>
  <si>
    <r>
      <rPr>
        <b/>
        <sz val="10"/>
        <rFont val="宋体"/>
        <family val="3"/>
        <charset val="134"/>
      </rPr>
      <t>⑥</t>
    </r>
    <r>
      <rPr>
        <b/>
        <sz val="10"/>
        <rFont val="Arial Narrow"/>
        <family val="2"/>
      </rPr>
      <t>=</t>
    </r>
    <r>
      <rPr>
        <b/>
        <sz val="10"/>
        <rFont val="宋体"/>
        <family val="3"/>
        <charset val="134"/>
      </rPr>
      <t>⑤</t>
    </r>
    <r>
      <rPr>
        <b/>
        <sz val="10"/>
        <rFont val="Arial Narrow"/>
        <family val="2"/>
      </rPr>
      <t>÷</t>
    </r>
    <r>
      <rPr>
        <b/>
        <sz val="10"/>
        <rFont val="宋体"/>
        <family val="3"/>
        <charset val="134"/>
      </rPr>
      <t>④</t>
    </r>
    <phoneticPr fontId="10" type="noConversion"/>
  </si>
  <si>
    <r>
      <rPr>
        <sz val="10"/>
        <color indexed="12"/>
        <rFont val="宋体"/>
        <family val="3"/>
        <charset val="134"/>
      </rPr>
      <t>注：此表是计算企业全部一般借款的资本化率，如果一般借款是在本期发生增加和减少，需按当期使用天数占当期全部天数的比例作为权数将借款本金换算成一般借款年平均数。</t>
    </r>
    <phoneticPr fontId="10" type="noConversion"/>
  </si>
  <si>
    <r>
      <rPr>
        <sz val="10"/>
        <color indexed="12"/>
        <rFont val="宋体"/>
        <family val="3"/>
        <charset val="134"/>
      </rPr>
      <t>如果一般借款在本期没有变化，则一般借款本金加权平均数等于一般借款本金。如果一般借款利率均一致</t>
    </r>
    <r>
      <rPr>
        <sz val="10"/>
        <color indexed="12"/>
        <rFont val="Arial Narrow"/>
        <family val="2"/>
      </rPr>
      <t>,</t>
    </r>
    <r>
      <rPr>
        <sz val="10"/>
        <color indexed="12"/>
        <rFont val="宋体"/>
        <family val="3"/>
        <charset val="134"/>
      </rPr>
      <t>此利率即平均利率</t>
    </r>
    <r>
      <rPr>
        <sz val="10"/>
        <color indexed="12"/>
        <rFont val="Arial Narrow"/>
        <family val="2"/>
      </rPr>
      <t>.</t>
    </r>
    <phoneticPr fontId="10" type="noConversion"/>
  </si>
  <si>
    <r>
      <t>3</t>
    </r>
    <r>
      <rPr>
        <b/>
        <sz val="10"/>
        <rFont val="宋体"/>
        <family val="3"/>
        <charset val="134"/>
      </rPr>
      <t>、一般借款资本化加权平均月利率计算：</t>
    </r>
    <phoneticPr fontId="10" type="noConversion"/>
  </si>
  <si>
    <r>
      <rPr>
        <b/>
        <sz val="10"/>
        <rFont val="宋体"/>
        <family val="3"/>
        <charset val="134"/>
      </rPr>
      <t>本月一般借款本金增加额①</t>
    </r>
    <phoneticPr fontId="10" type="noConversion"/>
  </si>
  <si>
    <r>
      <rPr>
        <b/>
        <sz val="10"/>
        <rFont val="宋体"/>
        <family val="3"/>
        <charset val="134"/>
      </rPr>
      <t>一般借款本金累计余额②</t>
    </r>
    <r>
      <rPr>
        <b/>
        <sz val="10"/>
        <rFont val="Arial Narrow"/>
        <family val="2"/>
      </rPr>
      <t>=</t>
    </r>
    <r>
      <rPr>
        <b/>
        <sz val="10"/>
        <rFont val="宋体"/>
        <family val="3"/>
        <charset val="134"/>
      </rPr>
      <t>①</t>
    </r>
    <r>
      <rPr>
        <b/>
        <sz val="10"/>
        <rFont val="Arial Narrow"/>
        <family val="2"/>
      </rPr>
      <t>+</t>
    </r>
    <r>
      <rPr>
        <b/>
        <sz val="10"/>
        <rFont val="宋体"/>
        <family val="3"/>
        <charset val="134"/>
      </rPr>
      <t>期初本金累计余额</t>
    </r>
    <phoneticPr fontId="10" type="noConversion"/>
  </si>
  <si>
    <r>
      <rPr>
        <b/>
        <sz val="10"/>
        <rFont val="宋体"/>
        <family val="3"/>
        <charset val="134"/>
      </rPr>
      <t>一般借款在当月所使用的天数③</t>
    </r>
    <phoneticPr fontId="10" type="noConversion"/>
  </si>
  <si>
    <r>
      <rPr>
        <b/>
        <sz val="10"/>
        <rFont val="宋体"/>
        <family val="3"/>
        <charset val="134"/>
      </rPr>
      <t>当月天数④</t>
    </r>
    <phoneticPr fontId="10" type="noConversion"/>
  </si>
  <si>
    <r>
      <rPr>
        <b/>
        <sz val="10"/>
        <rFont val="宋体"/>
        <family val="3"/>
        <charset val="134"/>
      </rPr>
      <t>一般借款本金加权平均余额⑤</t>
    </r>
    <r>
      <rPr>
        <b/>
        <sz val="10"/>
        <rFont val="Arial Narrow"/>
        <family val="2"/>
      </rPr>
      <t>=</t>
    </r>
    <r>
      <rPr>
        <b/>
        <sz val="10"/>
        <rFont val="宋体"/>
        <family val="3"/>
        <charset val="134"/>
      </rPr>
      <t>本期初本金累计余额</t>
    </r>
    <r>
      <rPr>
        <b/>
        <sz val="10"/>
        <rFont val="Arial Narrow"/>
        <family val="2"/>
      </rPr>
      <t>+</t>
    </r>
    <r>
      <rPr>
        <b/>
        <sz val="10"/>
        <rFont val="宋体"/>
        <family val="3"/>
        <charset val="134"/>
      </rPr>
      <t>①</t>
    </r>
    <r>
      <rPr>
        <b/>
        <sz val="10"/>
        <rFont val="Arial Narrow"/>
        <family val="2"/>
      </rPr>
      <t>×</t>
    </r>
    <r>
      <rPr>
        <b/>
        <sz val="10"/>
        <rFont val="宋体"/>
        <family val="3"/>
        <charset val="134"/>
      </rPr>
      <t>③</t>
    </r>
    <r>
      <rPr>
        <b/>
        <sz val="10"/>
        <rFont val="Arial Narrow"/>
        <family val="2"/>
      </rPr>
      <t>÷</t>
    </r>
    <r>
      <rPr>
        <b/>
        <sz val="10"/>
        <rFont val="宋体"/>
        <family val="3"/>
        <charset val="134"/>
      </rPr>
      <t>④</t>
    </r>
    <phoneticPr fontId="10" type="noConversion"/>
  </si>
  <si>
    <r>
      <rPr>
        <b/>
        <sz val="10"/>
        <rFont val="宋体"/>
        <family val="3"/>
        <charset val="134"/>
      </rPr>
      <t>一般借款当月实际发生的利息费用</t>
    </r>
    <r>
      <rPr>
        <b/>
        <sz val="10"/>
        <color indexed="8"/>
        <rFont val="宋体"/>
        <family val="3"/>
        <charset val="134"/>
      </rPr>
      <t>⑥</t>
    </r>
    <phoneticPr fontId="10" type="noConversion"/>
  </si>
  <si>
    <r>
      <rPr>
        <b/>
        <sz val="10"/>
        <rFont val="宋体"/>
        <family val="3"/>
        <charset val="134"/>
      </rPr>
      <t>一般借款的资本化率＝一般借款加权平均利率</t>
    </r>
    <r>
      <rPr>
        <b/>
        <sz val="10"/>
        <rFont val="Arial Narrow"/>
        <family val="2"/>
      </rPr>
      <t>(</t>
    </r>
    <r>
      <rPr>
        <b/>
        <sz val="10"/>
        <rFont val="宋体"/>
        <family val="3"/>
        <charset val="134"/>
      </rPr>
      <t>月利率</t>
    </r>
    <r>
      <rPr>
        <b/>
        <sz val="10"/>
        <rFont val="Arial Narrow"/>
        <family val="2"/>
      </rPr>
      <t>)</t>
    </r>
    <r>
      <rPr>
        <b/>
        <sz val="10"/>
        <rFont val="宋体"/>
        <family val="3"/>
        <charset val="134"/>
      </rPr>
      <t>⑦</t>
    </r>
    <r>
      <rPr>
        <b/>
        <sz val="10"/>
        <rFont val="Arial Narrow"/>
        <family val="2"/>
      </rPr>
      <t>=</t>
    </r>
    <r>
      <rPr>
        <b/>
        <sz val="10"/>
        <rFont val="宋体"/>
        <family val="3"/>
        <charset val="134"/>
      </rPr>
      <t>⑥</t>
    </r>
    <r>
      <rPr>
        <b/>
        <sz val="10"/>
        <rFont val="Arial Narrow"/>
        <family val="2"/>
      </rPr>
      <t>÷</t>
    </r>
    <r>
      <rPr>
        <b/>
        <sz val="10"/>
        <rFont val="宋体"/>
        <family val="3"/>
        <charset val="134"/>
      </rPr>
      <t>⑤</t>
    </r>
    <phoneticPr fontId="10" type="noConversion"/>
  </si>
  <si>
    <r>
      <rPr>
        <sz val="10"/>
        <rFont val="宋体"/>
        <family val="3"/>
        <charset val="134"/>
      </rPr>
      <t>期初</t>
    </r>
    <phoneticPr fontId="10" type="noConversion"/>
  </si>
  <si>
    <r>
      <rPr>
        <sz val="10"/>
        <color rgb="FF0000FF"/>
        <rFont val="宋体"/>
        <family val="3"/>
        <charset val="134"/>
      </rPr>
      <t>注：此表是计算企业全部一般借款的月资本化率，如果一般借款是在本月发生增加和减少，需按当月使用天数占当月全部天数的比例作为权数将借款本金换算成一般借款月平均数。</t>
    </r>
    <phoneticPr fontId="10" type="noConversion"/>
  </si>
  <si>
    <r>
      <rPr>
        <sz val="10"/>
        <color rgb="FF0000FF"/>
        <rFont val="宋体"/>
        <family val="3"/>
        <charset val="134"/>
      </rPr>
      <t>一般借款当期实际发生的利息费用可直接从公司账上取数</t>
    </r>
    <phoneticPr fontId="10" type="noConversion"/>
  </si>
  <si>
    <r>
      <t xml:space="preserve"> </t>
    </r>
    <r>
      <rPr>
        <b/>
        <sz val="10"/>
        <rFont val="宋体"/>
        <family val="3"/>
        <charset val="134"/>
      </rPr>
      <t>测算一般借款利息资本化金额</t>
    </r>
    <phoneticPr fontId="10" type="noConversion"/>
  </si>
  <si>
    <r>
      <rPr>
        <sz val="10"/>
        <rFont val="宋体"/>
        <family val="3"/>
        <charset val="134"/>
      </rPr>
      <t>资本化率（月）：</t>
    </r>
    <phoneticPr fontId="14" type="noConversion"/>
  </si>
  <si>
    <r>
      <t xml:space="preserve">           </t>
    </r>
    <r>
      <rPr>
        <b/>
        <sz val="10"/>
        <rFont val="宋体"/>
        <family val="3"/>
        <charset val="134"/>
      </rPr>
      <t>项目
月份</t>
    </r>
    <phoneticPr fontId="10" type="noConversion"/>
  </si>
  <si>
    <r>
      <rPr>
        <b/>
        <sz val="10"/>
        <rFont val="宋体"/>
        <family val="3"/>
        <charset val="134"/>
      </rPr>
      <t>前期开发</t>
    </r>
    <phoneticPr fontId="14" type="noConversion"/>
  </si>
  <si>
    <r>
      <rPr>
        <b/>
        <sz val="10"/>
        <rFont val="宋体"/>
        <family val="3"/>
        <charset val="134"/>
      </rPr>
      <t>工程费用</t>
    </r>
    <phoneticPr fontId="14" type="noConversion"/>
  </si>
  <si>
    <r>
      <rPr>
        <b/>
        <sz val="10"/>
        <rFont val="宋体"/>
        <family val="3"/>
        <charset val="134"/>
      </rPr>
      <t>借款费用</t>
    </r>
  </si>
  <si>
    <r>
      <rPr>
        <b/>
        <sz val="10"/>
        <rFont val="宋体"/>
        <family val="3"/>
        <charset val="134"/>
      </rPr>
      <t>建安工程</t>
    </r>
    <phoneticPr fontId="14" type="noConversion"/>
  </si>
  <si>
    <r>
      <rPr>
        <b/>
        <sz val="10"/>
        <rFont val="宋体"/>
        <family val="3"/>
        <charset val="134"/>
      </rPr>
      <t>土地</t>
    </r>
    <phoneticPr fontId="14" type="noConversion"/>
  </si>
  <si>
    <r>
      <rPr>
        <b/>
        <sz val="10"/>
        <rFont val="宋体"/>
        <family val="3"/>
        <charset val="134"/>
      </rPr>
      <t>工程支出合计</t>
    </r>
    <phoneticPr fontId="14" type="noConversion"/>
  </si>
  <si>
    <r>
      <rPr>
        <b/>
        <sz val="10"/>
        <rFont val="宋体"/>
        <family val="3"/>
        <charset val="134"/>
      </rPr>
      <t>本年减少</t>
    </r>
    <phoneticPr fontId="14" type="noConversion"/>
  </si>
  <si>
    <r>
      <rPr>
        <b/>
        <sz val="10"/>
        <rFont val="宋体"/>
        <family val="3"/>
        <charset val="134"/>
      </rPr>
      <t>预付工程款</t>
    </r>
    <phoneticPr fontId="14" type="noConversion"/>
  </si>
  <si>
    <r>
      <rPr>
        <b/>
        <sz val="10"/>
        <rFont val="宋体"/>
        <family val="3"/>
        <charset val="134"/>
      </rPr>
      <t>加权平均支出</t>
    </r>
    <phoneticPr fontId="14" type="noConversion"/>
  </si>
  <si>
    <r>
      <rPr>
        <b/>
        <sz val="10"/>
        <rFont val="宋体"/>
        <family val="3"/>
        <charset val="134"/>
      </rPr>
      <t>资本化金额</t>
    </r>
    <phoneticPr fontId="14" type="noConversion"/>
  </si>
  <si>
    <r>
      <rPr>
        <b/>
        <sz val="10"/>
        <rFont val="宋体"/>
        <family val="3"/>
        <charset val="134"/>
      </rPr>
      <t>备注</t>
    </r>
    <phoneticPr fontId="14" type="noConversion"/>
  </si>
  <si>
    <r>
      <rPr>
        <sz val="10"/>
        <rFont val="宋体"/>
        <family val="3"/>
        <charset val="134"/>
      </rPr>
      <t>①</t>
    </r>
    <phoneticPr fontId="14" type="noConversion"/>
  </si>
  <si>
    <r>
      <rPr>
        <sz val="10"/>
        <rFont val="宋体"/>
        <family val="3"/>
        <charset val="134"/>
      </rPr>
      <t>②</t>
    </r>
    <phoneticPr fontId="14" type="noConversion"/>
  </si>
  <si>
    <r>
      <rPr>
        <sz val="10"/>
        <rFont val="宋体"/>
        <family val="3"/>
        <charset val="134"/>
      </rPr>
      <t>③</t>
    </r>
    <phoneticPr fontId="14" type="noConversion"/>
  </si>
  <si>
    <r>
      <rPr>
        <sz val="10"/>
        <rFont val="宋体"/>
        <family val="3"/>
        <charset val="134"/>
      </rPr>
      <t>④</t>
    </r>
    <phoneticPr fontId="14" type="noConversion"/>
  </si>
  <si>
    <r>
      <rPr>
        <sz val="10"/>
        <rFont val="宋体"/>
        <family val="3"/>
        <charset val="134"/>
      </rPr>
      <t>⑤</t>
    </r>
    <phoneticPr fontId="14" type="noConversion"/>
  </si>
  <si>
    <r>
      <rPr>
        <sz val="10"/>
        <rFont val="宋体"/>
        <family val="3"/>
        <charset val="134"/>
      </rPr>
      <t>⑥＝①</t>
    </r>
    <r>
      <rPr>
        <sz val="10"/>
        <rFont val="Arial Narrow"/>
        <family val="2"/>
      </rPr>
      <t>+</t>
    </r>
    <r>
      <rPr>
        <sz val="10"/>
        <rFont val="宋体"/>
        <family val="3"/>
        <charset val="134"/>
      </rPr>
      <t>②</t>
    </r>
    <r>
      <rPr>
        <sz val="10"/>
        <rFont val="Arial Narrow"/>
        <family val="2"/>
      </rPr>
      <t>+…+</t>
    </r>
    <r>
      <rPr>
        <sz val="10"/>
        <rFont val="宋体"/>
        <family val="3"/>
        <charset val="134"/>
      </rPr>
      <t>⑤</t>
    </r>
    <phoneticPr fontId="14" type="noConversion"/>
  </si>
  <si>
    <r>
      <rPr>
        <sz val="10"/>
        <rFont val="宋体"/>
        <family val="3"/>
        <charset val="134"/>
      </rPr>
      <t>⑦</t>
    </r>
    <phoneticPr fontId="14" type="noConversion"/>
  </si>
  <si>
    <r>
      <rPr>
        <sz val="10"/>
        <rFont val="宋体"/>
        <family val="3"/>
        <charset val="134"/>
      </rPr>
      <t>⑧</t>
    </r>
    <phoneticPr fontId="14" type="noConversion"/>
  </si>
  <si>
    <r>
      <rPr>
        <sz val="10"/>
        <rFont val="宋体"/>
        <family val="3"/>
        <charset val="134"/>
      </rPr>
      <t>⑨＝</t>
    </r>
    <r>
      <rPr>
        <sz val="10"/>
        <rFont val="Arial Narrow"/>
        <family val="2"/>
      </rPr>
      <t>T-1</t>
    </r>
    <r>
      <rPr>
        <sz val="10"/>
        <rFont val="宋体"/>
        <family val="3"/>
        <charset val="134"/>
      </rPr>
      <t>⑨</t>
    </r>
    <r>
      <rPr>
        <sz val="10"/>
        <rFont val="Arial Narrow"/>
        <family val="2"/>
      </rPr>
      <t>+</t>
    </r>
    <r>
      <rPr>
        <sz val="10"/>
        <rFont val="宋体"/>
        <family val="3"/>
        <charset val="134"/>
      </rPr>
      <t>（⑥</t>
    </r>
    <r>
      <rPr>
        <sz val="10"/>
        <rFont val="Arial Narrow"/>
        <family val="2"/>
      </rPr>
      <t>-</t>
    </r>
    <r>
      <rPr>
        <sz val="10"/>
        <rFont val="宋体"/>
        <family val="3"/>
        <charset val="134"/>
      </rPr>
      <t>③</t>
    </r>
    <r>
      <rPr>
        <sz val="10"/>
        <rFont val="Arial Narrow"/>
        <family val="2"/>
      </rPr>
      <t>-</t>
    </r>
    <r>
      <rPr>
        <sz val="10"/>
        <rFont val="宋体"/>
        <family val="3"/>
        <charset val="134"/>
      </rPr>
      <t>⑦</t>
    </r>
    <r>
      <rPr>
        <sz val="10"/>
        <rFont val="Arial Narrow"/>
        <family val="2"/>
      </rPr>
      <t>+</t>
    </r>
    <r>
      <rPr>
        <sz val="10"/>
        <rFont val="宋体"/>
        <family val="3"/>
        <charset val="134"/>
      </rPr>
      <t>⑧）</t>
    </r>
    <r>
      <rPr>
        <sz val="10"/>
        <rFont val="Arial Narrow"/>
        <family val="2"/>
      </rPr>
      <t>/2</t>
    </r>
    <phoneticPr fontId="14" type="noConversion"/>
  </si>
  <si>
    <r>
      <rPr>
        <sz val="10"/>
        <rFont val="宋体"/>
        <family val="3"/>
        <charset val="134"/>
      </rPr>
      <t>⑩</t>
    </r>
    <r>
      <rPr>
        <sz val="10"/>
        <rFont val="Arial Narrow"/>
        <family val="2"/>
      </rPr>
      <t>=</t>
    </r>
    <r>
      <rPr>
        <sz val="10"/>
        <rFont val="宋体"/>
        <family val="3"/>
        <charset val="134"/>
      </rPr>
      <t>⑨</t>
    </r>
    <r>
      <rPr>
        <sz val="10"/>
        <rFont val="Arial Narrow"/>
        <family val="2"/>
      </rPr>
      <t>*</t>
    </r>
    <r>
      <rPr>
        <sz val="10"/>
        <rFont val="宋体"/>
        <family val="3"/>
        <charset val="134"/>
      </rPr>
      <t>资本化率（月）</t>
    </r>
    <phoneticPr fontId="14" type="noConversion"/>
  </si>
  <si>
    <r>
      <rPr>
        <b/>
        <sz val="10"/>
        <rFont val="宋体"/>
        <family val="3"/>
        <charset val="134"/>
      </rPr>
      <t>年初余额</t>
    </r>
    <phoneticPr fontId="14" type="noConversion"/>
  </si>
  <si>
    <r>
      <t>1</t>
    </r>
    <r>
      <rPr>
        <sz val="10"/>
        <rFont val="宋体"/>
        <family val="3"/>
        <charset val="134"/>
      </rPr>
      <t>月</t>
    </r>
    <phoneticPr fontId="14" type="noConversion"/>
  </si>
  <si>
    <r>
      <t>2</t>
    </r>
    <r>
      <rPr>
        <sz val="10"/>
        <rFont val="宋体"/>
        <family val="3"/>
        <charset val="134"/>
      </rPr>
      <t>月</t>
    </r>
    <phoneticPr fontId="14" type="noConversion"/>
  </si>
  <si>
    <r>
      <t>3</t>
    </r>
    <r>
      <rPr>
        <sz val="10"/>
        <rFont val="宋体"/>
        <family val="3"/>
        <charset val="134"/>
      </rPr>
      <t>月</t>
    </r>
  </si>
  <si>
    <r>
      <t>4</t>
    </r>
    <r>
      <rPr>
        <sz val="10"/>
        <rFont val="宋体"/>
        <family val="3"/>
        <charset val="134"/>
      </rPr>
      <t>月</t>
    </r>
  </si>
  <si>
    <r>
      <t>5</t>
    </r>
    <r>
      <rPr>
        <sz val="10"/>
        <rFont val="宋体"/>
        <family val="3"/>
        <charset val="134"/>
      </rPr>
      <t>月</t>
    </r>
  </si>
  <si>
    <r>
      <t>6</t>
    </r>
    <r>
      <rPr>
        <sz val="10"/>
        <rFont val="宋体"/>
        <family val="3"/>
        <charset val="134"/>
      </rPr>
      <t>月</t>
    </r>
  </si>
  <si>
    <r>
      <t>7</t>
    </r>
    <r>
      <rPr>
        <sz val="10"/>
        <rFont val="宋体"/>
        <family val="3"/>
        <charset val="134"/>
      </rPr>
      <t>月</t>
    </r>
  </si>
  <si>
    <r>
      <t>8</t>
    </r>
    <r>
      <rPr>
        <sz val="10"/>
        <rFont val="宋体"/>
        <family val="3"/>
        <charset val="134"/>
      </rPr>
      <t>月</t>
    </r>
  </si>
  <si>
    <r>
      <t>9</t>
    </r>
    <r>
      <rPr>
        <sz val="10"/>
        <rFont val="宋体"/>
        <family val="3"/>
        <charset val="134"/>
      </rPr>
      <t>月</t>
    </r>
  </si>
  <si>
    <r>
      <t>10</t>
    </r>
    <r>
      <rPr>
        <sz val="10"/>
        <rFont val="宋体"/>
        <family val="3"/>
        <charset val="134"/>
      </rPr>
      <t>月</t>
    </r>
  </si>
  <si>
    <r>
      <t>11</t>
    </r>
    <r>
      <rPr>
        <sz val="10"/>
        <rFont val="宋体"/>
        <family val="3"/>
        <charset val="134"/>
      </rPr>
      <t>月</t>
    </r>
  </si>
  <si>
    <r>
      <t>12</t>
    </r>
    <r>
      <rPr>
        <sz val="10"/>
        <rFont val="宋体"/>
        <family val="3"/>
        <charset val="134"/>
      </rPr>
      <t>月</t>
    </r>
  </si>
  <si>
    <r>
      <rPr>
        <sz val="10"/>
        <rFont val="宋体"/>
        <family val="3"/>
        <charset val="134"/>
      </rPr>
      <t>本年转固</t>
    </r>
    <phoneticPr fontId="14" type="noConversion"/>
  </si>
  <si>
    <r>
      <rPr>
        <sz val="10"/>
        <rFont val="宋体"/>
        <family val="3"/>
        <charset val="134"/>
      </rPr>
      <t>实际资本化的利息</t>
    </r>
    <phoneticPr fontId="14" type="noConversion"/>
  </si>
  <si>
    <r>
      <rPr>
        <b/>
        <sz val="10"/>
        <rFont val="宋体"/>
        <family val="3"/>
        <charset val="134"/>
      </rPr>
      <t>测算说明：</t>
    </r>
    <phoneticPr fontId="14" type="noConversion"/>
  </si>
  <si>
    <r>
      <rPr>
        <b/>
        <sz val="10"/>
        <rFont val="宋体"/>
        <family val="3"/>
        <charset val="134"/>
      </rPr>
      <t>测算结论：</t>
    </r>
    <phoneticPr fontId="14" type="noConversion"/>
  </si>
  <si>
    <r>
      <rPr>
        <sz val="10"/>
        <rFont val="宋体"/>
        <family val="3"/>
        <charset val="134"/>
      </rPr>
      <t>根据工程支出及预付工程款余额，计算每月加权平均支出数，</t>
    </r>
    <phoneticPr fontId="14" type="noConversion"/>
  </si>
  <si>
    <r>
      <rPr>
        <sz val="10"/>
        <rFont val="宋体"/>
        <family val="3"/>
        <charset val="134"/>
      </rPr>
      <t>审计调整：冲回多记入在建工程的资本化利息</t>
    </r>
    <phoneticPr fontId="14" type="noConversion"/>
  </si>
  <si>
    <r>
      <rPr>
        <sz val="10"/>
        <rFont val="宋体"/>
        <family val="3"/>
        <charset val="134"/>
      </rPr>
      <t>再用每月加权平均支出累计余额乘月利率测算每月应资本化的利息。</t>
    </r>
    <phoneticPr fontId="14" type="noConversion"/>
  </si>
  <si>
    <r>
      <t>Dr.</t>
    </r>
    <r>
      <rPr>
        <sz val="10"/>
        <rFont val="宋体"/>
        <family val="3"/>
        <charset val="134"/>
      </rPr>
      <t>财务费用－利息支出</t>
    </r>
    <phoneticPr fontId="14" type="noConversion"/>
  </si>
  <si>
    <r>
      <t>Cr.</t>
    </r>
    <r>
      <rPr>
        <sz val="10"/>
        <rFont val="宋体"/>
        <family val="3"/>
        <charset val="134"/>
      </rPr>
      <t>在建工程－期间费用－贷款利息</t>
    </r>
    <phoneticPr fontId="14" type="noConversion"/>
  </si>
  <si>
    <r>
      <t>1</t>
    </r>
    <r>
      <rPr>
        <sz val="10"/>
        <color indexed="12"/>
        <rFont val="宋体"/>
        <family val="3"/>
        <charset val="134"/>
      </rPr>
      <t>、关注：</t>
    </r>
    <phoneticPr fontId="14" type="noConversion"/>
  </si>
  <si>
    <r>
      <rPr>
        <sz val="10"/>
        <color indexed="12"/>
        <rFont val="宋体"/>
        <family val="3"/>
        <charset val="134"/>
      </rPr>
      <t>（</t>
    </r>
    <r>
      <rPr>
        <sz val="10"/>
        <color indexed="12"/>
        <rFont val="Arial Narrow"/>
        <family val="2"/>
      </rPr>
      <t>1</t>
    </r>
    <r>
      <rPr>
        <sz val="10"/>
        <color indexed="12"/>
        <rFont val="宋体"/>
        <family val="3"/>
        <charset val="134"/>
      </rPr>
      <t>）利息资本化的开始和停止时间是否正确；</t>
    </r>
    <phoneticPr fontId="14" type="noConversion"/>
  </si>
  <si>
    <r>
      <rPr>
        <sz val="10"/>
        <color indexed="12"/>
        <rFont val="宋体"/>
        <family val="3"/>
        <charset val="134"/>
      </rPr>
      <t>（</t>
    </r>
    <r>
      <rPr>
        <sz val="10"/>
        <color indexed="12"/>
        <rFont val="Arial Narrow"/>
        <family val="2"/>
      </rPr>
      <t>2</t>
    </r>
    <r>
      <rPr>
        <sz val="10"/>
        <color indexed="12"/>
        <rFont val="宋体"/>
        <family val="3"/>
        <charset val="134"/>
      </rPr>
      <t>）利息资本化率是否正确；</t>
    </r>
    <phoneticPr fontId="14" type="noConversion"/>
  </si>
  <si>
    <r>
      <rPr>
        <sz val="10"/>
        <color indexed="12"/>
        <rFont val="宋体"/>
        <family val="3"/>
        <charset val="134"/>
      </rPr>
      <t>（</t>
    </r>
    <r>
      <rPr>
        <sz val="10"/>
        <color indexed="12"/>
        <rFont val="Arial Narrow"/>
        <family val="2"/>
      </rPr>
      <t>3</t>
    </r>
    <r>
      <rPr>
        <sz val="10"/>
        <color indexed="12"/>
        <rFont val="宋体"/>
        <family val="3"/>
        <charset val="134"/>
      </rPr>
      <t>）相关会计处理是否正确。</t>
    </r>
    <phoneticPr fontId="14" type="noConversion"/>
  </si>
  <si>
    <r>
      <t>2</t>
    </r>
    <r>
      <rPr>
        <b/>
        <sz val="10"/>
        <color indexed="12"/>
        <rFont val="宋体"/>
        <family val="3"/>
        <charset val="134"/>
      </rPr>
      <t>、借款费用资本化</t>
    </r>
    <phoneticPr fontId="14" type="noConversion"/>
  </si>
  <si>
    <r>
      <t>A</t>
    </r>
    <r>
      <rPr>
        <sz val="10"/>
        <color indexed="12"/>
        <rFont val="宋体"/>
        <family val="3"/>
        <charset val="134"/>
      </rPr>
      <t>、取得借款合同，分别专门借款、一般借款（专门借款应当有明确的专门用途，即为购建或者生产某项符合资本化条件的资产而专门借入的款项，通常应有标明专门用途</t>
    </r>
    <phoneticPr fontId="14" type="noConversion"/>
  </si>
  <si>
    <r>
      <rPr>
        <sz val="10"/>
        <color indexed="12"/>
        <rFont val="宋体"/>
        <family val="3"/>
        <charset val="134"/>
      </rPr>
      <t>的借款合同；一般借款是指除专门借款以外的其他借款）；</t>
    </r>
    <phoneticPr fontId="14" type="noConversion"/>
  </si>
  <si>
    <r>
      <rPr>
        <sz val="10"/>
        <color indexed="12"/>
        <rFont val="宋体"/>
        <family val="3"/>
        <charset val="134"/>
      </rPr>
      <t>专门借款：应当以专门借款当期实际发生的利息费用，减去将尚未动用的借款资金存入银行取得的利息收入或者进行暂时性投资取得的投资收益后的金额，确定为专门借款</t>
    </r>
    <phoneticPr fontId="14" type="noConversion"/>
  </si>
  <si>
    <r>
      <rPr>
        <sz val="10"/>
        <color indexed="12"/>
        <rFont val="宋体"/>
        <family val="3"/>
        <charset val="134"/>
      </rPr>
      <t>利息费用的资本化金额，并应当在资本化期间内，将其计入符合资本化条件的资产成本。</t>
    </r>
    <phoneticPr fontId="14" type="noConversion"/>
  </si>
  <si>
    <r>
      <rPr>
        <sz val="10"/>
        <color indexed="12"/>
        <rFont val="宋体"/>
        <family val="3"/>
        <charset val="134"/>
      </rPr>
      <t>一般借款：利息费用资本化金额＝累计资产支出超过专门借款部分的资产支出加权平均数</t>
    </r>
    <r>
      <rPr>
        <sz val="10"/>
        <color indexed="12"/>
        <rFont val="Arial Narrow"/>
        <family val="2"/>
      </rPr>
      <t>×</t>
    </r>
    <r>
      <rPr>
        <sz val="10"/>
        <color indexed="12"/>
        <rFont val="宋体"/>
        <family val="3"/>
        <charset val="134"/>
      </rPr>
      <t>所占用一般借款的资本化率。</t>
    </r>
    <phoneticPr fontId="14" type="noConversion"/>
  </si>
  <si>
    <r>
      <rPr>
        <b/>
        <sz val="10"/>
        <color indexed="12"/>
        <rFont val="宋体"/>
        <family val="3"/>
        <charset val="134"/>
      </rPr>
      <t>加权平均支出应包括工程支出（前期开发费、工程费用、建安工程</t>
    </r>
    <r>
      <rPr>
        <b/>
        <sz val="10"/>
        <color indexed="12"/>
        <rFont val="Arial Narrow"/>
        <family val="2"/>
      </rPr>
      <t>etc</t>
    </r>
    <r>
      <rPr>
        <b/>
        <sz val="10"/>
        <color indexed="12"/>
        <rFont val="宋体"/>
        <family val="3"/>
        <charset val="134"/>
      </rPr>
      <t>）及预付工程款。</t>
    </r>
    <phoneticPr fontId="14" type="noConversion"/>
  </si>
  <si>
    <r>
      <rPr>
        <sz val="10"/>
        <rFont val="宋体"/>
        <family val="3"/>
        <charset val="134"/>
      </rPr>
      <t>⑨＝</t>
    </r>
    <r>
      <rPr>
        <sz val="10"/>
        <rFont val="Arial Narrow"/>
        <family val="2"/>
      </rPr>
      <t>T-1</t>
    </r>
    <r>
      <rPr>
        <sz val="10"/>
        <rFont val="宋体"/>
        <family val="3"/>
        <charset val="134"/>
      </rPr>
      <t>⑨</t>
    </r>
    <r>
      <rPr>
        <sz val="10"/>
        <rFont val="Arial Narrow"/>
        <family val="2"/>
      </rPr>
      <t>+</t>
    </r>
    <r>
      <rPr>
        <sz val="10"/>
        <rFont val="宋体"/>
        <family val="3"/>
        <charset val="134"/>
      </rPr>
      <t>（⑥</t>
    </r>
    <r>
      <rPr>
        <sz val="10"/>
        <rFont val="Arial Narrow"/>
        <family val="2"/>
      </rPr>
      <t>-</t>
    </r>
    <r>
      <rPr>
        <sz val="10"/>
        <rFont val="宋体"/>
        <family val="3"/>
        <charset val="134"/>
      </rPr>
      <t>③</t>
    </r>
    <r>
      <rPr>
        <sz val="10"/>
        <rFont val="Arial Narrow"/>
        <family val="2"/>
      </rPr>
      <t>-</t>
    </r>
    <r>
      <rPr>
        <sz val="10"/>
        <rFont val="宋体"/>
        <family val="3"/>
        <charset val="134"/>
      </rPr>
      <t>⑦</t>
    </r>
    <r>
      <rPr>
        <sz val="10"/>
        <rFont val="Arial Narrow"/>
        <family val="2"/>
      </rPr>
      <t>+</t>
    </r>
    <r>
      <rPr>
        <sz val="10"/>
        <rFont val="宋体"/>
        <family val="3"/>
        <charset val="134"/>
      </rPr>
      <t>⑧</t>
    </r>
    <r>
      <rPr>
        <sz val="10"/>
        <rFont val="Arial Narrow"/>
        <family val="2"/>
      </rPr>
      <t>-SP</t>
    </r>
    <r>
      <rPr>
        <sz val="10"/>
        <rFont val="宋体"/>
        <family val="3"/>
        <charset val="134"/>
      </rPr>
      <t>）</t>
    </r>
    <r>
      <rPr>
        <sz val="10"/>
        <rFont val="Arial Narrow"/>
        <family val="2"/>
      </rPr>
      <t>/2</t>
    </r>
    <phoneticPr fontId="14" type="noConversion"/>
  </si>
  <si>
    <r>
      <rPr>
        <sz val="10"/>
        <rFont val="宋体"/>
        <family val="3"/>
        <charset val="134"/>
      </rPr>
      <t>计算每月加权平均支出数，</t>
    </r>
    <phoneticPr fontId="14" type="noConversion"/>
  </si>
  <si>
    <r>
      <rPr>
        <sz val="10"/>
        <color indexed="12"/>
        <rFont val="宋体"/>
        <family val="3"/>
        <charset val="134"/>
      </rPr>
      <t>一般借款：利息费用资本化金额＝累计资产支出</t>
    </r>
    <r>
      <rPr>
        <sz val="10"/>
        <color indexed="10"/>
        <rFont val="宋体"/>
        <family val="3"/>
        <charset val="134"/>
      </rPr>
      <t>超过专门借款部分的资产支出</t>
    </r>
    <r>
      <rPr>
        <sz val="10"/>
        <color indexed="12"/>
        <rFont val="宋体"/>
        <family val="3"/>
        <charset val="134"/>
      </rPr>
      <t>加权平均数</t>
    </r>
    <r>
      <rPr>
        <sz val="10"/>
        <color indexed="12"/>
        <rFont val="Arial Narrow"/>
        <family val="2"/>
      </rPr>
      <t>×</t>
    </r>
    <r>
      <rPr>
        <sz val="10"/>
        <color indexed="12"/>
        <rFont val="宋体"/>
        <family val="3"/>
        <charset val="134"/>
      </rPr>
      <t>所占用一般借款的资本化率。</t>
    </r>
    <phoneticPr fontId="14" type="noConversion"/>
  </si>
  <si>
    <r>
      <t xml:space="preserve">            </t>
    </r>
    <r>
      <rPr>
        <b/>
        <sz val="10"/>
        <rFont val="宋体"/>
        <family val="3"/>
        <charset val="134"/>
      </rPr>
      <t>项目
月份</t>
    </r>
    <phoneticPr fontId="10" type="noConversion"/>
  </si>
  <si>
    <r>
      <rPr>
        <b/>
        <sz val="10"/>
        <rFont val="宋体"/>
        <family val="3"/>
        <charset val="134"/>
      </rPr>
      <t>工程支出合计</t>
    </r>
    <phoneticPr fontId="14" type="noConversion"/>
  </si>
  <si>
    <r>
      <rPr>
        <b/>
        <sz val="10"/>
        <rFont val="宋体"/>
        <family val="3"/>
        <charset val="134"/>
      </rPr>
      <t>专门借款</t>
    </r>
    <phoneticPr fontId="14" type="noConversion"/>
  </si>
  <si>
    <r>
      <rPr>
        <b/>
        <sz val="10"/>
        <rFont val="宋体"/>
        <family val="3"/>
        <charset val="134"/>
      </rPr>
      <t>资本化金额</t>
    </r>
    <phoneticPr fontId="14" type="noConversion"/>
  </si>
  <si>
    <r>
      <rPr>
        <sz val="10"/>
        <rFont val="宋体"/>
        <family val="3"/>
        <charset val="134"/>
      </rPr>
      <t>专门借款利息净额</t>
    </r>
    <phoneticPr fontId="14" type="noConversion"/>
  </si>
  <si>
    <r>
      <rPr>
        <sz val="10"/>
        <rFont val="宋体"/>
        <family val="3"/>
        <charset val="134"/>
      </rPr>
      <t>根据工程支出及预付工程款余额，扣除</t>
    </r>
    <r>
      <rPr>
        <sz val="10"/>
        <color indexed="10"/>
        <rFont val="宋体"/>
        <family val="3"/>
        <charset val="134"/>
      </rPr>
      <t>专门借款未使用的部分</t>
    </r>
    <r>
      <rPr>
        <sz val="10"/>
        <rFont val="宋体"/>
        <family val="3"/>
        <charset val="134"/>
      </rPr>
      <t>，</t>
    </r>
    <phoneticPr fontId="14" type="noConversion"/>
  </si>
  <si>
    <r>
      <t>A</t>
    </r>
    <r>
      <rPr>
        <sz val="10"/>
        <color indexed="12"/>
        <rFont val="宋体"/>
        <family val="3"/>
        <charset val="134"/>
      </rPr>
      <t>、取得借款合同，分别专门借款、一般借款（专门借款应当有明确的专门用途，即为购建或者生产某项符合资本化条件的资产而专门借入的款项，通常应有标明专门用途</t>
    </r>
    <phoneticPr fontId="14" type="noConversion"/>
  </si>
  <si>
    <r>
      <rPr>
        <sz val="10"/>
        <color indexed="10"/>
        <rFont val="宋体"/>
        <family val="3"/>
        <charset val="134"/>
      </rPr>
      <t>专门借款：应当以专门借款当期实际发生的利息费用，减去将尚未动用的借款资金存入银行取得的利息收入或者进行暂时性投资取得的投资收益后的金额，确定为专门借款</t>
    </r>
    <phoneticPr fontId="14" type="noConversion"/>
  </si>
  <si>
    <r>
      <rPr>
        <sz val="10"/>
        <color indexed="10"/>
        <rFont val="宋体"/>
        <family val="3"/>
        <charset val="134"/>
      </rPr>
      <t>利息费用的资本化金额，并应当在资本化期间内，将其计入符合资本化条件的资产成本。</t>
    </r>
    <phoneticPr fontId="14" type="noConversion"/>
  </si>
  <si>
    <r>
      <rPr>
        <b/>
        <sz val="10"/>
        <rFont val="宋体"/>
        <family val="3"/>
        <charset val="134"/>
      </rPr>
      <t>被审计单位名称：</t>
    </r>
    <r>
      <rPr>
        <b/>
        <u/>
        <sz val="10"/>
        <rFont val="Arial Narrow"/>
        <family val="2"/>
      </rPr>
      <t xml:space="preserve">                         </t>
    </r>
    <r>
      <rPr>
        <b/>
        <sz val="10"/>
        <rFont val="Arial Narrow"/>
        <family val="2"/>
      </rPr>
      <t xml:space="preserve">   </t>
    </r>
    <phoneticPr fontId="10" type="noConversion"/>
  </si>
  <si>
    <r>
      <rPr>
        <b/>
        <sz val="10"/>
        <rFont val="宋体"/>
        <family val="3"/>
        <charset val="134"/>
      </rPr>
      <t>审计目标：</t>
    </r>
    <r>
      <rPr>
        <b/>
        <sz val="10"/>
        <rFont val="Arial Narrow"/>
        <family val="2"/>
      </rPr>
      <t xml:space="preserve">                       </t>
    </r>
    <phoneticPr fontId="10" type="noConversion"/>
  </si>
  <si>
    <r>
      <rPr>
        <b/>
        <sz val="10"/>
        <rFont val="宋体"/>
        <family val="3"/>
        <charset val="134"/>
      </rPr>
      <t>一、确定的在建工程存在性认定可能存在重大错报的风险程度：</t>
    </r>
  </si>
  <si>
    <r>
      <rPr>
        <b/>
        <sz val="10"/>
        <rFont val="宋体"/>
        <family val="3"/>
        <charset val="134"/>
      </rPr>
      <t>二、了解被审计单位在建工程期末状况与管理规定：</t>
    </r>
  </si>
  <si>
    <r>
      <rPr>
        <b/>
        <sz val="10"/>
        <rFont val="宋体"/>
        <family val="3"/>
        <charset val="134"/>
      </rPr>
      <t>（一）在建工程的期末状况：</t>
    </r>
  </si>
  <si>
    <r>
      <t xml:space="preserve">  1</t>
    </r>
    <r>
      <rPr>
        <sz val="10"/>
        <rFont val="宋体"/>
        <family val="3"/>
        <charset val="134"/>
      </rPr>
      <t>．期末余额：</t>
    </r>
    <r>
      <rPr>
        <u/>
        <sz val="10"/>
        <rFont val="Arial Narrow"/>
        <family val="2"/>
      </rPr>
      <t xml:space="preserve">                 </t>
    </r>
    <r>
      <rPr>
        <sz val="10"/>
        <rFont val="Arial Narrow"/>
        <family val="2"/>
      </rPr>
      <t xml:space="preserve"> </t>
    </r>
    <phoneticPr fontId="10" type="noConversion"/>
  </si>
  <si>
    <r>
      <t xml:space="preserve">  2</t>
    </r>
    <r>
      <rPr>
        <sz val="10"/>
        <rFont val="宋体"/>
        <family val="3"/>
        <charset val="134"/>
      </rPr>
      <t>．主要工程项目情况：</t>
    </r>
    <phoneticPr fontId="10" type="noConversion"/>
  </si>
  <si>
    <r>
      <rPr>
        <b/>
        <sz val="10"/>
        <rFont val="宋体"/>
        <family val="3"/>
        <charset val="134"/>
      </rPr>
      <t>工程项目</t>
    </r>
    <phoneticPr fontId="10" type="noConversion"/>
  </si>
  <si>
    <r>
      <rPr>
        <b/>
        <sz val="10"/>
        <rFont val="宋体"/>
        <family val="3"/>
        <charset val="134"/>
      </rPr>
      <t>原值</t>
    </r>
    <phoneticPr fontId="10" type="noConversion"/>
  </si>
  <si>
    <r>
      <rPr>
        <sz val="10"/>
        <rFont val="宋体"/>
        <family val="3"/>
        <charset val="134"/>
      </rPr>
      <t>减值准备</t>
    </r>
    <phoneticPr fontId="10" type="noConversion"/>
  </si>
  <si>
    <r>
      <rPr>
        <b/>
        <sz val="10"/>
        <rFont val="宋体"/>
        <family val="3"/>
        <charset val="134"/>
      </rPr>
      <t>账面净值</t>
    </r>
  </si>
  <si>
    <r>
      <rPr>
        <b/>
        <sz val="10"/>
        <rFont val="宋体"/>
        <family val="3"/>
        <charset val="134"/>
      </rPr>
      <t>所处地点</t>
    </r>
    <phoneticPr fontId="10" type="noConversion"/>
  </si>
  <si>
    <r>
      <rPr>
        <b/>
        <sz val="10"/>
        <rFont val="宋体"/>
        <family val="3"/>
        <charset val="134"/>
      </rPr>
      <t>说明</t>
    </r>
    <phoneticPr fontId="10" type="noConversion"/>
  </si>
  <si>
    <r>
      <rPr>
        <b/>
        <sz val="10"/>
        <rFont val="宋体"/>
        <family val="3"/>
        <charset val="134"/>
      </rPr>
      <t>（二）企业定期盘点内部控制制度与执行情况：</t>
    </r>
  </si>
  <si>
    <r>
      <t>1</t>
    </r>
    <r>
      <rPr>
        <sz val="10"/>
        <rFont val="宋体"/>
        <family val="3"/>
        <charset val="134"/>
      </rPr>
      <t>．制度名称：</t>
    </r>
    <r>
      <rPr>
        <b/>
        <sz val="10"/>
        <color indexed="12"/>
        <rFont val="宋体"/>
        <family val="3"/>
        <charset val="134"/>
      </rPr>
      <t>（提示：按企业内部控制制度名称填写</t>
    </r>
    <r>
      <rPr>
        <b/>
        <sz val="10"/>
        <rFont val="宋体"/>
        <family val="3"/>
        <charset val="134"/>
      </rPr>
      <t>）</t>
    </r>
    <r>
      <rPr>
        <b/>
        <sz val="10"/>
        <rFont val="Arial Narrow"/>
        <family val="2"/>
      </rPr>
      <t xml:space="preserve">   </t>
    </r>
    <r>
      <rPr>
        <sz val="10"/>
        <rFont val="宋体"/>
        <family val="3"/>
        <charset val="134"/>
      </rPr>
      <t>索引号：（</t>
    </r>
    <r>
      <rPr>
        <sz val="10"/>
        <rFont val="Arial Narrow"/>
        <family val="2"/>
      </rPr>
      <t xml:space="preserve">                </t>
    </r>
    <r>
      <rPr>
        <sz val="10"/>
        <rFont val="宋体"/>
        <family val="3"/>
        <charset val="134"/>
      </rPr>
      <t>）</t>
    </r>
    <phoneticPr fontId="10" type="noConversion"/>
  </si>
  <si>
    <r>
      <rPr>
        <sz val="10"/>
        <rFont val="宋体"/>
        <family val="3"/>
        <charset val="134"/>
      </rPr>
      <t>（</t>
    </r>
    <r>
      <rPr>
        <sz val="10"/>
        <rFont val="Arial Narrow"/>
        <family val="2"/>
      </rPr>
      <t>1</t>
    </r>
    <r>
      <rPr>
        <sz val="10"/>
        <rFont val="宋体"/>
        <family val="3"/>
        <charset val="134"/>
      </rPr>
      <t>）规定盘点的时间与次数：</t>
    </r>
    <r>
      <rPr>
        <u/>
        <sz val="10"/>
        <rFont val="Arial Narrow"/>
        <family val="2"/>
      </rPr>
      <t xml:space="preserve">                                   </t>
    </r>
    <phoneticPr fontId="10" type="noConversion"/>
  </si>
  <si>
    <r>
      <rPr>
        <sz val="10"/>
        <rFont val="宋体"/>
        <family val="3"/>
        <charset val="134"/>
      </rPr>
      <t>（</t>
    </r>
    <r>
      <rPr>
        <sz val="10"/>
        <rFont val="Arial Narrow"/>
        <family val="2"/>
      </rPr>
      <t>2</t>
    </r>
    <r>
      <rPr>
        <sz val="10"/>
        <rFont val="宋体"/>
        <family val="3"/>
        <charset val="134"/>
      </rPr>
      <t>）负责盘点的部门：</t>
    </r>
    <r>
      <rPr>
        <u/>
        <sz val="10"/>
        <rFont val="Arial Narrow"/>
        <family val="2"/>
      </rPr>
      <t xml:space="preserve">                 </t>
    </r>
    <r>
      <rPr>
        <sz val="10"/>
        <rFont val="Arial Narrow"/>
        <family val="2"/>
      </rPr>
      <t xml:space="preserve"> </t>
    </r>
    <phoneticPr fontId="10" type="noConversion"/>
  </si>
  <si>
    <r>
      <rPr>
        <sz val="10"/>
        <rFont val="宋体"/>
        <family val="3"/>
        <charset val="134"/>
      </rPr>
      <t>负责人：</t>
    </r>
    <r>
      <rPr>
        <sz val="10"/>
        <rFont val="Arial Narrow"/>
        <family val="2"/>
      </rPr>
      <t xml:space="preserve">               </t>
    </r>
  </si>
  <si>
    <r>
      <rPr>
        <sz val="10"/>
        <color indexed="12"/>
        <rFont val="宋体"/>
        <family val="3"/>
        <charset val="134"/>
      </rPr>
      <t>（提示：如制度规定与实际执行不一致的，应按制度规定与实际负责的部门分别填写）</t>
    </r>
    <phoneticPr fontId="10" type="noConversion"/>
  </si>
  <si>
    <r>
      <t>2</t>
    </r>
    <r>
      <rPr>
        <sz val="10"/>
        <rFont val="宋体"/>
        <family val="3"/>
        <charset val="134"/>
      </rPr>
      <t>．企业实际盘点情况：</t>
    </r>
  </si>
  <si>
    <r>
      <rPr>
        <sz val="10"/>
        <rFont val="宋体"/>
        <family val="3"/>
        <charset val="134"/>
      </rPr>
      <t>（</t>
    </r>
    <r>
      <rPr>
        <sz val="10"/>
        <rFont val="Arial Narrow"/>
        <family val="2"/>
      </rPr>
      <t>1</t>
    </r>
    <r>
      <rPr>
        <sz val="10"/>
        <rFont val="宋体"/>
        <family val="3"/>
        <charset val="134"/>
      </rPr>
      <t>）盘点计划安排：</t>
    </r>
    <r>
      <rPr>
        <u/>
        <sz val="10"/>
        <rFont val="Arial Narrow"/>
        <family val="2"/>
      </rPr>
      <t xml:space="preserve">                                                      </t>
    </r>
  </si>
  <si>
    <r>
      <rPr>
        <sz val="10"/>
        <rFont val="宋体"/>
        <family val="3"/>
        <charset val="134"/>
      </rPr>
      <t>（</t>
    </r>
    <r>
      <rPr>
        <sz val="10"/>
        <rFont val="Arial Narrow"/>
        <family val="2"/>
      </rPr>
      <t>2</t>
    </r>
    <r>
      <rPr>
        <sz val="10"/>
        <rFont val="宋体"/>
        <family val="3"/>
        <charset val="134"/>
      </rPr>
      <t>）盘点会议情况：</t>
    </r>
    <r>
      <rPr>
        <u/>
        <sz val="10"/>
        <rFont val="Arial Narrow"/>
        <family val="2"/>
      </rPr>
      <t xml:space="preserve">                                                      </t>
    </r>
  </si>
  <si>
    <r>
      <rPr>
        <sz val="10"/>
        <rFont val="宋体"/>
        <family val="3"/>
        <charset val="134"/>
      </rPr>
      <t>（</t>
    </r>
    <r>
      <rPr>
        <sz val="10"/>
        <rFont val="Arial Narrow"/>
        <family val="2"/>
      </rPr>
      <t>3</t>
    </r>
    <r>
      <rPr>
        <sz val="10"/>
        <rFont val="宋体"/>
        <family val="3"/>
        <charset val="134"/>
      </rPr>
      <t>）预计安排的盘点人员数量：</t>
    </r>
    <r>
      <rPr>
        <u/>
        <sz val="10"/>
        <rFont val="Arial Narrow"/>
        <family val="2"/>
      </rPr>
      <t xml:space="preserve">                      </t>
    </r>
    <r>
      <rPr>
        <sz val="10"/>
        <rFont val="Arial Narrow"/>
        <family val="2"/>
      </rPr>
      <t xml:space="preserve">   </t>
    </r>
    <phoneticPr fontId="10" type="noConversion"/>
  </si>
  <si>
    <r>
      <rPr>
        <sz val="10"/>
        <rFont val="宋体"/>
        <family val="3"/>
        <charset val="134"/>
      </rPr>
      <t>（</t>
    </r>
    <r>
      <rPr>
        <sz val="10"/>
        <rFont val="Arial Narrow"/>
        <family val="2"/>
      </rPr>
      <t>4</t>
    </r>
    <r>
      <rPr>
        <sz val="10"/>
        <rFont val="宋体"/>
        <family val="3"/>
        <charset val="134"/>
      </rPr>
      <t>）对企业盘点计划的评价：</t>
    </r>
  </si>
  <si>
    <r>
      <rPr>
        <b/>
        <sz val="10"/>
        <rFont val="宋体"/>
        <family val="3"/>
        <charset val="134"/>
      </rPr>
      <t>（三）查阅以前年度工作底稿记录：</t>
    </r>
  </si>
  <si>
    <r>
      <t xml:space="preserve"> 1</t>
    </r>
    <r>
      <rPr>
        <sz val="10"/>
        <rFont val="宋体"/>
        <family val="3"/>
        <charset val="134"/>
      </rPr>
      <t>．上一年度监盘时间：</t>
    </r>
    <r>
      <rPr>
        <u/>
        <sz val="10"/>
        <rFont val="Arial Narrow"/>
        <family val="2"/>
      </rPr>
      <t xml:space="preserve">                  </t>
    </r>
    <r>
      <rPr>
        <sz val="10"/>
        <rFont val="Arial Narrow"/>
        <family val="2"/>
      </rPr>
      <t xml:space="preserve"> </t>
    </r>
    <phoneticPr fontId="10" type="noConversion"/>
  </si>
  <si>
    <r>
      <rPr>
        <sz val="10"/>
        <rFont val="宋体"/>
        <family val="3"/>
        <charset val="134"/>
      </rPr>
      <t>实施监盘的人员：</t>
    </r>
    <r>
      <rPr>
        <sz val="10"/>
        <rFont val="Arial Narrow"/>
        <family val="2"/>
      </rPr>
      <t xml:space="preserve">                </t>
    </r>
  </si>
  <si>
    <r>
      <t xml:space="preserve"> 2</t>
    </r>
    <r>
      <rPr>
        <sz val="10"/>
        <rFont val="宋体"/>
        <family val="3"/>
        <charset val="134"/>
      </rPr>
      <t>．抽盘的在建工程范围：</t>
    </r>
    <r>
      <rPr>
        <sz val="10"/>
        <rFont val="Arial Narrow"/>
        <family val="2"/>
      </rPr>
      <t xml:space="preserve">                                  </t>
    </r>
  </si>
  <si>
    <r>
      <rPr>
        <sz val="10"/>
        <rFont val="宋体"/>
        <family val="3"/>
        <charset val="134"/>
      </rPr>
      <t>抽盘比例：</t>
    </r>
    <r>
      <rPr>
        <sz val="10"/>
        <rFont val="Arial Narrow"/>
        <family val="2"/>
      </rPr>
      <t xml:space="preserve">         </t>
    </r>
  </si>
  <si>
    <r>
      <t xml:space="preserve"> 3</t>
    </r>
    <r>
      <rPr>
        <sz val="10"/>
        <rFont val="宋体"/>
        <family val="3"/>
        <charset val="134"/>
      </rPr>
      <t>．实施监盘中发现的问题与存在的不足：</t>
    </r>
    <r>
      <rPr>
        <u/>
        <sz val="10"/>
        <rFont val="Arial Narrow"/>
        <family val="2"/>
      </rPr>
      <t xml:space="preserve">                                   </t>
    </r>
  </si>
  <si>
    <r>
      <rPr>
        <sz val="10"/>
        <color indexed="12"/>
        <rFont val="宋体"/>
        <family val="3"/>
        <charset val="134"/>
      </rPr>
      <t>（提示：上年度如是本所实施监盘的，应当查阅上一年度工作底稿；如不是本所实施审计的，应当在与前任会计师实施沟通程序中安排本项沟通内容。）</t>
    </r>
    <phoneticPr fontId="10" type="noConversion"/>
  </si>
  <si>
    <r>
      <rPr>
        <b/>
        <sz val="10"/>
        <rFont val="宋体"/>
        <family val="3"/>
        <charset val="134"/>
      </rPr>
      <t>三、评估审计人员的专业胜任能力：</t>
    </r>
    <phoneticPr fontId="10" type="noConversion"/>
  </si>
  <si>
    <r>
      <rPr>
        <sz val="10"/>
        <color indexed="12"/>
        <rFont val="宋体"/>
        <family val="3"/>
        <charset val="134"/>
      </rPr>
      <t>提示：针对特殊类型的存货，应当评估审计人员是否具备专业胜任能力</t>
    </r>
    <phoneticPr fontId="10" type="noConversion"/>
  </si>
  <si>
    <r>
      <rPr>
        <b/>
        <sz val="10"/>
        <rFont val="宋体"/>
        <family val="3"/>
        <charset val="134"/>
      </rPr>
      <t>四、盘点计划安排：</t>
    </r>
    <phoneticPr fontId="10" type="noConversion"/>
  </si>
  <si>
    <r>
      <rPr>
        <sz val="10"/>
        <rFont val="宋体"/>
        <family val="3"/>
        <charset val="134"/>
      </rPr>
      <t>（一）预计监盘时间：</t>
    </r>
    <r>
      <rPr>
        <u/>
        <sz val="10"/>
        <rFont val="Arial Narrow"/>
        <family val="2"/>
      </rPr>
      <t xml:space="preserve">                    </t>
    </r>
  </si>
  <si>
    <r>
      <rPr>
        <sz val="10"/>
        <rFont val="宋体"/>
        <family val="3"/>
        <charset val="134"/>
      </rPr>
      <t>（二）预计安排监盘人员数量：</t>
    </r>
    <r>
      <rPr>
        <u/>
        <sz val="10"/>
        <rFont val="Arial Narrow"/>
        <family val="2"/>
      </rPr>
      <t xml:space="preserve">              </t>
    </r>
    <r>
      <rPr>
        <sz val="10"/>
        <rFont val="Arial Narrow"/>
        <family val="2"/>
      </rPr>
      <t xml:space="preserve">    </t>
    </r>
    <phoneticPr fontId="10" type="noConversion"/>
  </si>
  <si>
    <r>
      <rPr>
        <sz val="10"/>
        <rFont val="宋体"/>
        <family val="3"/>
        <charset val="134"/>
      </rPr>
      <t>监盘程序负责人：</t>
    </r>
    <r>
      <rPr>
        <sz val="10"/>
        <rFont val="Arial Narrow"/>
        <family val="2"/>
      </rPr>
      <t xml:space="preserve">          </t>
    </r>
  </si>
  <si>
    <r>
      <rPr>
        <sz val="10"/>
        <rFont val="宋体"/>
        <family val="3"/>
        <charset val="134"/>
      </rPr>
      <t>（三）预计监盘的在建工程范围：</t>
    </r>
  </si>
  <si>
    <r>
      <t xml:space="preserve">  1</t>
    </r>
    <r>
      <rPr>
        <sz val="10"/>
        <rFont val="宋体"/>
        <family val="3"/>
        <charset val="134"/>
      </rPr>
      <t>．类别范围：</t>
    </r>
    <r>
      <rPr>
        <u/>
        <sz val="10"/>
        <rFont val="Arial Narrow"/>
        <family val="2"/>
      </rPr>
      <t xml:space="preserve">                                                           </t>
    </r>
  </si>
  <si>
    <r>
      <t xml:space="preserve">  2</t>
    </r>
    <r>
      <rPr>
        <sz val="10"/>
        <rFont val="宋体"/>
        <family val="3"/>
        <charset val="134"/>
      </rPr>
      <t>．地点范围：</t>
    </r>
    <r>
      <rPr>
        <u/>
        <sz val="10"/>
        <rFont val="Arial Narrow"/>
        <family val="2"/>
      </rPr>
      <t xml:space="preserve">                                                           </t>
    </r>
  </si>
  <si>
    <r>
      <rPr>
        <sz val="10"/>
        <rFont val="宋体"/>
        <family val="3"/>
        <charset val="134"/>
      </rPr>
      <t>（四）拟实施的盘点方法：</t>
    </r>
  </si>
  <si>
    <r>
      <rPr>
        <sz val="10"/>
        <rFont val="宋体"/>
        <family val="3"/>
        <charset val="134"/>
      </rPr>
      <t>（五）就监盘计划与管理层沟通事项</t>
    </r>
  </si>
  <si>
    <r>
      <t xml:space="preserve">  1</t>
    </r>
    <r>
      <rPr>
        <sz val="10"/>
        <rFont val="宋体"/>
        <family val="3"/>
        <charset val="134"/>
      </rPr>
      <t>．时间：</t>
    </r>
    <r>
      <rPr>
        <u/>
        <sz val="10"/>
        <rFont val="Arial Narrow"/>
        <family val="2"/>
      </rPr>
      <t xml:space="preserve">                 </t>
    </r>
    <r>
      <rPr>
        <sz val="10"/>
        <rFont val="Arial Narrow"/>
        <family val="2"/>
      </rPr>
      <t xml:space="preserve">       </t>
    </r>
    <phoneticPr fontId="10" type="noConversion"/>
  </si>
  <si>
    <r>
      <t xml:space="preserve"> 2.</t>
    </r>
    <r>
      <rPr>
        <sz val="10"/>
        <rFont val="宋体"/>
        <family val="3"/>
        <charset val="134"/>
      </rPr>
      <t>管理层人员：</t>
    </r>
    <r>
      <rPr>
        <sz val="10"/>
        <rFont val="Arial Narrow"/>
        <family val="2"/>
      </rPr>
      <t xml:space="preserve">                       </t>
    </r>
    <phoneticPr fontId="10" type="noConversion"/>
  </si>
  <si>
    <r>
      <t xml:space="preserve">  3</t>
    </r>
    <r>
      <rPr>
        <sz val="10"/>
        <rFont val="宋体"/>
        <family val="3"/>
        <charset val="134"/>
      </rPr>
      <t>．审计小组参与人员：</t>
    </r>
    <r>
      <rPr>
        <u/>
        <sz val="10"/>
        <rFont val="Arial Narrow"/>
        <family val="2"/>
      </rPr>
      <t xml:space="preserve">                                                   </t>
    </r>
  </si>
  <si>
    <r>
      <rPr>
        <sz val="10"/>
        <rFont val="宋体"/>
        <family val="3"/>
        <charset val="134"/>
      </rPr>
      <t>（六）针对被审计单位具体情况，需要向管理层提出的监盘的特殊要求：</t>
    </r>
  </si>
  <si>
    <r>
      <rPr>
        <sz val="10"/>
        <rFont val="宋体"/>
        <family val="3"/>
        <charset val="134"/>
      </rPr>
      <t>（七）预计监盘中抽取样本的方法与数量</t>
    </r>
  </si>
  <si>
    <r>
      <t xml:space="preserve">  1</t>
    </r>
    <r>
      <rPr>
        <sz val="10"/>
        <rFont val="宋体"/>
        <family val="3"/>
        <charset val="134"/>
      </rPr>
      <t>．从会计明细账簿中选取样本的方法：</t>
    </r>
    <r>
      <rPr>
        <u/>
        <sz val="10"/>
        <rFont val="Arial Narrow"/>
        <family val="2"/>
      </rPr>
      <t xml:space="preserve">          </t>
    </r>
    <r>
      <rPr>
        <sz val="10.5"/>
        <rFont val="仿宋_GB2312"/>
        <family val="3"/>
        <charset val="134"/>
      </rPr>
      <t/>
    </r>
    <phoneticPr fontId="10" type="noConversion"/>
  </si>
  <si>
    <r>
      <rPr>
        <sz val="10"/>
        <rFont val="宋体"/>
        <family val="3"/>
        <charset val="134"/>
      </rPr>
      <t>预计选取数量：</t>
    </r>
    <r>
      <rPr>
        <sz val="10"/>
        <rFont val="Arial Narrow"/>
        <family val="2"/>
      </rPr>
      <t xml:space="preserve">            </t>
    </r>
  </si>
  <si>
    <r>
      <t xml:space="preserve">  2</t>
    </r>
    <r>
      <rPr>
        <sz val="10"/>
        <rFont val="宋体"/>
        <family val="3"/>
        <charset val="134"/>
      </rPr>
      <t>．从实际在建工程中选取样本的方法：</t>
    </r>
    <r>
      <rPr>
        <sz val="10"/>
        <rFont val="Arial Narrow"/>
        <family val="2"/>
      </rPr>
      <t xml:space="preserve">          </t>
    </r>
  </si>
  <si>
    <r>
      <rPr>
        <sz val="10"/>
        <rFont val="宋体"/>
        <family val="3"/>
        <charset val="134"/>
      </rPr>
      <t>（八）实际监盘时点至资产负债表日的推算方法：</t>
    </r>
  </si>
  <si>
    <r>
      <t xml:space="preserve">  1</t>
    </r>
    <r>
      <rPr>
        <sz val="10"/>
        <rFont val="宋体"/>
        <family val="3"/>
        <charset val="134"/>
      </rPr>
      <t>．推断方法说明：</t>
    </r>
    <r>
      <rPr>
        <sz val="10"/>
        <rFont val="Arial Narrow"/>
        <family val="2"/>
      </rPr>
      <t xml:space="preserve">                                                      </t>
    </r>
  </si>
  <si>
    <r>
      <t xml:space="preserve">  2</t>
    </r>
    <r>
      <rPr>
        <sz val="10"/>
        <rFont val="宋体"/>
        <family val="3"/>
        <charset val="134"/>
      </rPr>
      <t>．预计拟要求的盘点复盘比例：</t>
    </r>
    <r>
      <rPr>
        <sz val="10"/>
        <rFont val="Arial Narrow"/>
        <family val="2"/>
      </rPr>
      <t xml:space="preserve">               </t>
    </r>
  </si>
  <si>
    <r>
      <rPr>
        <b/>
        <sz val="10"/>
        <rFont val="宋体"/>
        <family val="3"/>
        <charset val="134"/>
      </rPr>
      <t>盘点前财务账面记录</t>
    </r>
  </si>
  <si>
    <r>
      <rPr>
        <b/>
        <sz val="10"/>
        <rFont val="宋体"/>
        <family val="3"/>
        <charset val="134"/>
      </rPr>
      <t>数量</t>
    </r>
  </si>
  <si>
    <r>
      <t>2</t>
    </r>
    <r>
      <rPr>
        <sz val="10"/>
        <color indexed="12"/>
        <rFont val="宋体"/>
        <family val="3"/>
        <charset val="134"/>
      </rPr>
      <t>、财务账面记录与资产管理管理部门账面记录应一致，若存在差异应调整一致。</t>
    </r>
    <phoneticPr fontId="10" type="noConversion"/>
  </si>
  <si>
    <r>
      <rPr>
        <b/>
        <sz val="10"/>
        <rFont val="宋体"/>
        <family val="3"/>
        <charset val="134"/>
      </rPr>
      <t>资产编号</t>
    </r>
    <phoneticPr fontId="10" type="noConversion"/>
  </si>
  <si>
    <r>
      <rPr>
        <b/>
        <sz val="10"/>
        <rFont val="宋体"/>
        <family val="3"/>
        <charset val="134"/>
      </rPr>
      <t>企业盘点与账面差异</t>
    </r>
    <phoneticPr fontId="10" type="noConversion"/>
  </si>
  <si>
    <r>
      <t>3</t>
    </r>
    <r>
      <rPr>
        <sz val="10"/>
        <color indexed="12"/>
        <rFont val="宋体"/>
        <family val="3"/>
        <charset val="134"/>
      </rPr>
      <t>、财务账面记录与实际盘点记录的差异构成盘盈</t>
    </r>
    <r>
      <rPr>
        <sz val="10"/>
        <color indexed="12"/>
        <rFont val="Arial Narrow"/>
        <family val="2"/>
      </rPr>
      <t>/</t>
    </r>
    <r>
      <rPr>
        <sz val="10"/>
        <color indexed="12"/>
        <rFont val="宋体"/>
        <family val="3"/>
        <charset val="134"/>
      </rPr>
      <t>盘亏，应根据具体原因分析处理。应说明企业的处理结果。</t>
    </r>
  </si>
  <si>
    <r>
      <rPr>
        <b/>
        <sz val="10"/>
        <rFont val="宋体"/>
        <family val="3"/>
        <charset val="134"/>
      </rPr>
      <t>一、审计目标：</t>
    </r>
    <phoneticPr fontId="76" type="noConversion"/>
  </si>
  <si>
    <r>
      <t>1.</t>
    </r>
    <r>
      <rPr>
        <sz val="10"/>
        <rFont val="宋体"/>
        <family val="3"/>
        <charset val="134"/>
      </rPr>
      <t>资产负债表中记录的在建工程是存在的，且已记录于恰当的账户；</t>
    </r>
    <r>
      <rPr>
        <sz val="10"/>
        <rFont val="Arial Narrow"/>
        <family val="2"/>
      </rPr>
      <t>2.</t>
    </r>
    <r>
      <rPr>
        <sz val="10"/>
        <rFont val="宋体"/>
        <family val="3"/>
        <charset val="134"/>
      </rPr>
      <t>在建工程以恰当的金额包括在财务报表中，与之相关的计价或分摊调整已恰当记录，相关披露已得到恰当计量和描述</t>
    </r>
    <r>
      <rPr>
        <sz val="10"/>
        <rFont val="Arial Narrow"/>
        <family val="2"/>
      </rPr>
      <t xml:space="preserve"> </t>
    </r>
    <r>
      <rPr>
        <sz val="10"/>
        <rFont val="宋体"/>
        <family val="3"/>
        <charset val="134"/>
      </rPr>
      <t>。</t>
    </r>
    <phoneticPr fontId="10" type="noConversion"/>
  </si>
  <si>
    <r>
      <rPr>
        <sz val="10"/>
        <rFont val="宋体"/>
        <family val="3"/>
        <charset val="134"/>
      </rPr>
      <t>特定样本：</t>
    </r>
    <phoneticPr fontId="10"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</si>
  <si>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0" type="noConversion"/>
  </si>
  <si>
    <r>
      <rPr>
        <sz val="10"/>
        <rFont val="宋体"/>
        <family val="3"/>
        <charset val="134"/>
      </rPr>
      <t>确定的抽样样本量：</t>
    </r>
    <phoneticPr fontId="10"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</si>
  <si>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0"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</si>
  <si>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0" type="noConversion"/>
  </si>
  <si>
    <r>
      <rPr>
        <sz val="10"/>
        <rFont val="宋体"/>
        <family val="3"/>
        <charset val="134"/>
      </rPr>
      <t>抽样过程：</t>
    </r>
    <phoneticPr fontId="10" type="noConversion"/>
  </si>
  <si>
    <r>
      <rPr>
        <b/>
        <sz val="10"/>
        <rFont val="宋体"/>
        <family val="3"/>
        <charset val="134"/>
      </rPr>
      <t>三、审计过程：</t>
    </r>
    <phoneticPr fontId="76" type="noConversion"/>
  </si>
  <si>
    <r>
      <rPr>
        <b/>
        <sz val="10"/>
        <rFont val="宋体"/>
        <family val="3"/>
        <charset val="134"/>
      </rPr>
      <t>在建工程名称</t>
    </r>
    <phoneticPr fontId="10" type="noConversion"/>
  </si>
  <si>
    <r>
      <rPr>
        <b/>
        <sz val="10"/>
        <rFont val="宋体"/>
        <family val="3"/>
        <charset val="134"/>
      </rPr>
      <t>单价</t>
    </r>
    <phoneticPr fontId="10" type="noConversion"/>
  </si>
  <si>
    <r>
      <rPr>
        <b/>
        <sz val="10"/>
        <rFont val="宋体"/>
        <family val="3"/>
        <charset val="134"/>
      </rPr>
      <t>企业盘点记录数量</t>
    </r>
    <phoneticPr fontId="10" type="noConversion"/>
  </si>
  <si>
    <r>
      <rPr>
        <b/>
        <sz val="10"/>
        <rFont val="宋体"/>
        <family val="3"/>
        <charset val="134"/>
      </rPr>
      <t>抽盘数量</t>
    </r>
    <phoneticPr fontId="10" type="noConversion"/>
  </si>
  <si>
    <r>
      <rPr>
        <b/>
        <sz val="10"/>
        <rFont val="宋体"/>
        <family val="3"/>
        <charset val="134"/>
      </rPr>
      <t>抽盘与账面差异（</t>
    </r>
    <r>
      <rPr>
        <b/>
        <sz val="10"/>
        <rFont val="Arial Narrow"/>
        <family val="2"/>
      </rPr>
      <t>+</t>
    </r>
    <r>
      <rPr>
        <b/>
        <sz val="10"/>
        <rFont val="宋体"/>
        <family val="3"/>
        <charset val="134"/>
      </rPr>
      <t>盈</t>
    </r>
    <r>
      <rPr>
        <b/>
        <sz val="10"/>
        <rFont val="Arial Narrow"/>
        <family val="2"/>
      </rPr>
      <t>-</t>
    </r>
    <r>
      <rPr>
        <b/>
        <sz val="10"/>
        <rFont val="宋体"/>
        <family val="3"/>
        <charset val="134"/>
      </rPr>
      <t>亏）</t>
    </r>
    <phoneticPr fontId="10" type="noConversion"/>
  </si>
  <si>
    <r>
      <rPr>
        <b/>
        <sz val="10"/>
        <rFont val="宋体"/>
        <family val="3"/>
        <charset val="134"/>
      </rPr>
      <t>抽盘与企业盘点差异</t>
    </r>
    <phoneticPr fontId="10" type="noConversion"/>
  </si>
  <si>
    <r>
      <rPr>
        <b/>
        <sz val="10"/>
        <rFont val="宋体"/>
        <family val="3"/>
        <charset val="134"/>
      </rPr>
      <t>备注</t>
    </r>
    <phoneticPr fontId="10" type="noConversion"/>
  </si>
  <si>
    <r>
      <rPr>
        <b/>
        <sz val="10"/>
        <rFont val="宋体"/>
        <family val="3"/>
        <charset val="134"/>
      </rPr>
      <t>期末在建工程原值合计：</t>
    </r>
    <phoneticPr fontId="10" type="noConversion"/>
  </si>
  <si>
    <r>
      <rPr>
        <b/>
        <sz val="10"/>
        <rFont val="宋体"/>
        <family val="3"/>
        <charset val="134"/>
      </rPr>
      <t>备注</t>
    </r>
    <phoneticPr fontId="10" type="noConversion"/>
  </si>
  <si>
    <r>
      <rPr>
        <b/>
        <sz val="10"/>
        <rFont val="宋体"/>
        <family val="3"/>
        <charset val="134"/>
      </rPr>
      <t>四、盘点情况说明：</t>
    </r>
    <phoneticPr fontId="10" type="noConversion"/>
  </si>
  <si>
    <r>
      <t>1</t>
    </r>
    <r>
      <rPr>
        <sz val="10"/>
        <color indexed="12"/>
        <rFont val="宋体"/>
        <family val="3"/>
        <charset val="134"/>
      </rPr>
      <t>、本表可作为在建工程盘点汇总表或盘点明细表或固定资产抽盘表。</t>
    </r>
    <phoneticPr fontId="10" type="noConversion"/>
  </si>
  <si>
    <r>
      <t>4</t>
    </r>
    <r>
      <rPr>
        <sz val="10"/>
        <color indexed="12"/>
        <rFont val="宋体"/>
        <family val="3"/>
        <charset val="134"/>
      </rPr>
      <t>、盘点时，应关注易移动的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及可能发生减值的</t>
    </r>
    <r>
      <rPr>
        <sz val="10"/>
        <color indexed="12"/>
        <rFont val="Arial Narrow"/>
        <family val="2"/>
      </rPr>
      <t>“</t>
    </r>
    <r>
      <rPr>
        <sz val="10"/>
        <color indexed="12"/>
        <rFont val="宋体"/>
        <family val="3"/>
        <charset val="134"/>
      </rPr>
      <t>存量资产</t>
    </r>
    <r>
      <rPr>
        <sz val="10"/>
        <color indexed="12"/>
        <rFont val="Arial Narrow"/>
        <family val="2"/>
      </rPr>
      <t>”</t>
    </r>
    <r>
      <rPr>
        <sz val="10"/>
        <color indexed="12"/>
        <rFont val="宋体"/>
        <family val="3"/>
        <charset val="134"/>
      </rPr>
      <t>；</t>
    </r>
    <phoneticPr fontId="10" type="noConversion"/>
  </si>
  <si>
    <r>
      <t>5</t>
    </r>
    <r>
      <rPr>
        <sz val="10"/>
        <color indexed="12"/>
        <rFont val="宋体"/>
        <family val="3"/>
        <charset val="134"/>
      </rPr>
      <t>、盘点时应关注资产的品质状况（影响减值准备的计提）。</t>
    </r>
    <phoneticPr fontId="10" type="noConversion"/>
  </si>
  <si>
    <r>
      <rPr>
        <b/>
        <sz val="10"/>
        <rFont val="宋体"/>
        <family val="3"/>
        <charset val="134"/>
      </rPr>
      <t>一、资产负债表日：</t>
    </r>
    <r>
      <rPr>
        <b/>
        <u/>
        <sz val="10"/>
        <rFont val="Arial Narrow"/>
        <family val="2"/>
      </rPr>
      <t xml:space="preserve">                            </t>
    </r>
  </si>
  <si>
    <r>
      <rPr>
        <b/>
        <sz val="10"/>
        <rFont val="宋体"/>
        <family val="3"/>
        <charset val="134"/>
      </rPr>
      <t>二、实际现场察看前的检查程序：</t>
    </r>
  </si>
  <si>
    <r>
      <t>1</t>
    </r>
    <r>
      <rPr>
        <sz val="10"/>
        <rFont val="宋体"/>
        <family val="3"/>
        <charset val="134"/>
      </rPr>
      <t>．工程管理部门</t>
    </r>
    <r>
      <rPr>
        <sz val="10"/>
        <rFont val="Arial Narrow"/>
        <family val="2"/>
      </rPr>
      <t xml:space="preserve">:                            </t>
    </r>
    <r>
      <rPr>
        <sz val="10"/>
        <rFont val="宋体"/>
        <family val="3"/>
        <charset val="134"/>
      </rPr>
      <t>管理人员：</t>
    </r>
    <r>
      <rPr>
        <u/>
        <sz val="10"/>
        <rFont val="Arial Narrow"/>
        <family val="2"/>
      </rPr>
      <t xml:space="preserve">                             </t>
    </r>
    <phoneticPr fontId="10" type="noConversion"/>
  </si>
  <si>
    <r>
      <t>2</t>
    </r>
    <r>
      <rPr>
        <sz val="10"/>
        <rFont val="宋体"/>
        <family val="3"/>
        <charset val="134"/>
      </rPr>
      <t>、在建工程管理制度设计是否合理</t>
    </r>
    <r>
      <rPr>
        <sz val="10"/>
        <rFont val="Arial Narrow"/>
        <family val="2"/>
      </rPr>
      <t xml:space="preserve">:             </t>
    </r>
    <r>
      <rPr>
        <sz val="10"/>
        <rFont val="宋体"/>
        <family val="3"/>
        <charset val="134"/>
      </rPr>
      <t>是否有效执行：</t>
    </r>
    <r>
      <rPr>
        <sz val="10"/>
        <rFont val="Arial Narrow"/>
        <family val="2"/>
      </rPr>
      <t xml:space="preserve">           </t>
    </r>
    <r>
      <rPr>
        <sz val="10"/>
        <rFont val="宋体"/>
        <family val="3"/>
        <charset val="134"/>
      </rPr>
      <t>索引：</t>
    </r>
    <r>
      <rPr>
        <u/>
        <sz val="10"/>
        <rFont val="Arial Narrow"/>
        <family val="2"/>
      </rPr>
      <t xml:space="preserve">            </t>
    </r>
    <phoneticPr fontId="10" type="noConversion"/>
  </si>
  <si>
    <r>
      <rPr>
        <b/>
        <sz val="10"/>
        <rFont val="宋体"/>
        <family val="3"/>
        <charset val="134"/>
      </rPr>
      <t>三、参与察看人员及察看时间：</t>
    </r>
  </si>
  <si>
    <r>
      <t>1</t>
    </r>
    <r>
      <rPr>
        <sz val="10"/>
        <rFont val="宋体"/>
        <family val="3"/>
        <charset val="134"/>
      </rPr>
      <t>．</t>
    </r>
    <r>
      <rPr>
        <sz val="10"/>
        <rFont val="Arial Narrow"/>
        <family val="2"/>
      </rPr>
      <t xml:space="preserve"> </t>
    </r>
    <r>
      <rPr>
        <sz val="10"/>
        <rFont val="宋体"/>
        <family val="3"/>
        <charset val="134"/>
      </rPr>
      <t>被审计单位的人员：</t>
    </r>
    <phoneticPr fontId="10" type="noConversion"/>
  </si>
  <si>
    <r>
      <rPr>
        <b/>
        <sz val="10"/>
        <rFont val="宋体"/>
        <family val="3"/>
        <charset val="134"/>
      </rPr>
      <t>盘点人员所属部门</t>
    </r>
    <phoneticPr fontId="10" type="noConversion"/>
  </si>
  <si>
    <r>
      <rPr>
        <b/>
        <sz val="10"/>
        <rFont val="宋体"/>
        <family val="3"/>
        <charset val="134"/>
      </rPr>
      <t>人员数量</t>
    </r>
    <phoneticPr fontId="10" type="noConversion"/>
  </si>
  <si>
    <r>
      <rPr>
        <b/>
        <sz val="10"/>
        <rFont val="宋体"/>
        <family val="3"/>
        <charset val="134"/>
      </rPr>
      <t>人员名称</t>
    </r>
    <phoneticPr fontId="10" type="noConversion"/>
  </si>
  <si>
    <r>
      <rPr>
        <b/>
        <sz val="10"/>
        <rFont val="宋体"/>
        <family val="3"/>
        <charset val="134"/>
      </rPr>
      <t>所负责的部分</t>
    </r>
    <phoneticPr fontId="10" type="noConversion"/>
  </si>
  <si>
    <r>
      <t>2</t>
    </r>
    <r>
      <rPr>
        <sz val="10"/>
        <rFont val="宋体"/>
        <family val="3"/>
        <charset val="134"/>
      </rPr>
      <t>．</t>
    </r>
    <r>
      <rPr>
        <sz val="10"/>
        <rFont val="Arial Narrow"/>
        <family val="2"/>
      </rPr>
      <t xml:space="preserve"> </t>
    </r>
    <r>
      <rPr>
        <sz val="10"/>
        <rFont val="宋体"/>
        <family val="3"/>
        <charset val="134"/>
      </rPr>
      <t>审计人员：</t>
    </r>
    <r>
      <rPr>
        <u/>
        <sz val="10"/>
        <rFont val="Arial Narrow"/>
        <family val="2"/>
      </rPr>
      <t xml:space="preserve">                                                           </t>
    </r>
    <phoneticPr fontId="10" type="noConversion"/>
  </si>
  <si>
    <r>
      <rPr>
        <b/>
        <sz val="10"/>
        <rFont val="宋体"/>
        <family val="3"/>
        <charset val="134"/>
      </rPr>
      <t>人员名称</t>
    </r>
    <phoneticPr fontId="10" type="noConversion"/>
  </si>
  <si>
    <r>
      <rPr>
        <b/>
        <sz val="10"/>
        <rFont val="宋体"/>
        <family val="3"/>
        <charset val="134"/>
      </rPr>
      <t>负责的部分</t>
    </r>
    <phoneticPr fontId="10" type="noConversion"/>
  </si>
  <si>
    <r>
      <t xml:space="preserve">3 . </t>
    </r>
    <r>
      <rPr>
        <sz val="10"/>
        <rFont val="宋体"/>
        <family val="3"/>
        <charset val="134"/>
      </rPr>
      <t>实际现场察看日：</t>
    </r>
    <phoneticPr fontId="10" type="noConversion"/>
  </si>
  <si>
    <r>
      <rPr>
        <sz val="10"/>
        <rFont val="宋体"/>
        <family val="3"/>
        <charset val="134"/>
      </rPr>
      <t>开始时间：</t>
    </r>
  </si>
  <si>
    <r>
      <rPr>
        <sz val="10"/>
        <rFont val="宋体"/>
        <family val="3"/>
        <charset val="134"/>
      </rPr>
      <t>结束时间：</t>
    </r>
  </si>
  <si>
    <r>
      <rPr>
        <b/>
        <sz val="10"/>
        <rFont val="宋体"/>
        <family val="3"/>
        <charset val="134"/>
      </rPr>
      <t>四、实际现场察看情况说明</t>
    </r>
  </si>
  <si>
    <r>
      <rPr>
        <sz val="10"/>
        <rFont val="宋体"/>
        <family val="3"/>
        <charset val="134"/>
      </rPr>
      <t>（一）逐个工程项目形象进度等情况描述：</t>
    </r>
  </si>
  <si>
    <r>
      <rPr>
        <b/>
        <sz val="10"/>
        <rFont val="宋体"/>
        <family val="3"/>
        <charset val="134"/>
      </rPr>
      <t>序号</t>
    </r>
    <phoneticPr fontId="10" type="noConversion"/>
  </si>
  <si>
    <r>
      <rPr>
        <b/>
        <sz val="10"/>
        <rFont val="宋体"/>
        <family val="3"/>
        <charset val="134"/>
      </rPr>
      <t>在建工程名称</t>
    </r>
  </si>
  <si>
    <r>
      <rPr>
        <b/>
        <sz val="10"/>
        <rFont val="宋体"/>
        <family val="3"/>
        <charset val="134"/>
      </rPr>
      <t>工程简图索引号</t>
    </r>
    <r>
      <rPr>
        <b/>
        <sz val="10"/>
        <rFont val="Arial Narrow"/>
        <family val="2"/>
      </rPr>
      <t xml:space="preserve">  </t>
    </r>
    <phoneticPr fontId="10" type="noConversion"/>
  </si>
  <si>
    <r>
      <rPr>
        <b/>
        <sz val="10"/>
        <rFont val="宋体"/>
        <family val="3"/>
        <charset val="134"/>
      </rPr>
      <t>　工程地点</t>
    </r>
  </si>
  <si>
    <r>
      <rPr>
        <b/>
        <sz val="10"/>
        <rFont val="宋体"/>
        <family val="3"/>
        <charset val="134"/>
      </rPr>
      <t>　工程项目形象进度等情况描述</t>
    </r>
  </si>
  <si>
    <r>
      <rPr>
        <b/>
        <sz val="10"/>
        <rFont val="宋体"/>
        <family val="3"/>
        <charset val="134"/>
      </rPr>
      <t>　现场照片索引号</t>
    </r>
  </si>
  <si>
    <r>
      <rPr>
        <sz val="10"/>
        <color rgb="FFFF0000"/>
        <rFont val="宋体"/>
        <family val="3"/>
        <charset val="134"/>
      </rPr>
      <t>　项目</t>
    </r>
    <r>
      <rPr>
        <sz val="10"/>
        <color rgb="FFFF0000"/>
        <rFont val="Arial Narrow"/>
        <family val="2"/>
      </rPr>
      <t>1-xx</t>
    </r>
  </si>
  <si>
    <r>
      <rPr>
        <sz val="10"/>
        <color rgb="FFFF0000"/>
        <rFont val="宋体"/>
        <family val="3"/>
        <charset val="134"/>
      </rPr>
      <t>　项目</t>
    </r>
    <r>
      <rPr>
        <sz val="10"/>
        <color rgb="FFFF0000"/>
        <rFont val="Arial Narrow"/>
        <family val="2"/>
      </rPr>
      <t>2-xx</t>
    </r>
  </si>
  <si>
    <r>
      <rPr>
        <sz val="10"/>
        <rFont val="宋体"/>
        <family val="3"/>
        <charset val="134"/>
      </rPr>
      <t>（二）察看总体情况描述</t>
    </r>
    <r>
      <rPr>
        <sz val="10"/>
        <rFont val="Arial Narrow"/>
        <family val="2"/>
      </rPr>
      <t>:</t>
    </r>
  </si>
  <si>
    <r>
      <t>1</t>
    </r>
    <r>
      <rPr>
        <sz val="10"/>
        <rFont val="宋体"/>
        <family val="3"/>
        <charset val="134"/>
      </rPr>
      <t>、实际观察到的在建工程是否与会计账簿记载数量一致：</t>
    </r>
    <phoneticPr fontId="10" type="noConversion"/>
  </si>
  <si>
    <r>
      <rPr>
        <sz val="10"/>
        <rFont val="宋体"/>
        <family val="3"/>
        <charset val="134"/>
      </rPr>
      <t>检查记录索引：</t>
    </r>
    <phoneticPr fontId="10" type="noConversion"/>
  </si>
  <si>
    <r>
      <t>2</t>
    </r>
    <r>
      <rPr>
        <sz val="10"/>
        <rFont val="宋体"/>
        <family val="3"/>
        <charset val="134"/>
      </rPr>
      <t>、是否存在会计账簿未记载的工程：</t>
    </r>
    <r>
      <rPr>
        <u/>
        <sz val="10"/>
        <rFont val="Arial Narrow"/>
        <family val="2"/>
      </rPr>
      <t xml:space="preserve">                                           </t>
    </r>
  </si>
  <si>
    <r>
      <t>3</t>
    </r>
    <r>
      <rPr>
        <sz val="10"/>
        <rFont val="宋体"/>
        <family val="3"/>
        <charset val="134"/>
      </rPr>
      <t>、获取的工程简图与现场是否一致：</t>
    </r>
    <r>
      <rPr>
        <u/>
        <sz val="10"/>
        <rFont val="Arial Narrow"/>
        <family val="2"/>
      </rPr>
      <t xml:space="preserve">                                          </t>
    </r>
  </si>
  <si>
    <r>
      <t>4</t>
    </r>
    <r>
      <rPr>
        <sz val="10"/>
        <rFont val="宋体"/>
        <family val="3"/>
        <charset val="134"/>
      </rPr>
      <t>、现场察看的工程完工进度是否与账面记载一致，并与监理报告核对一致：</t>
    </r>
    <r>
      <rPr>
        <u/>
        <sz val="10"/>
        <rFont val="Arial Narrow"/>
        <family val="2"/>
      </rPr>
      <t xml:space="preserve">         </t>
    </r>
  </si>
  <si>
    <r>
      <t>5</t>
    </r>
    <r>
      <rPr>
        <sz val="10"/>
        <rFont val="宋体"/>
        <family val="3"/>
        <charset val="134"/>
      </rPr>
      <t>、有无已达到预计可使用状态但尚未办理竣工决算手续仍列于在建工程的情况：</t>
    </r>
    <r>
      <rPr>
        <sz val="10"/>
        <rFont val="Arial Narrow"/>
        <family val="2"/>
      </rPr>
      <t xml:space="preserve"> </t>
    </r>
    <r>
      <rPr>
        <u/>
        <sz val="10"/>
        <rFont val="Arial Narrow"/>
        <family val="2"/>
      </rPr>
      <t xml:space="preserve">    </t>
    </r>
  </si>
  <si>
    <r>
      <t>6</t>
    </r>
    <r>
      <rPr>
        <sz val="10"/>
        <rFont val="宋体"/>
        <family val="3"/>
        <charset val="134"/>
      </rPr>
      <t>、有无长期停工的工程：</t>
    </r>
    <r>
      <rPr>
        <u/>
        <sz val="10"/>
        <rFont val="Arial Narrow"/>
        <family val="2"/>
      </rPr>
      <t xml:space="preserve">                                                     </t>
    </r>
  </si>
  <si>
    <r>
      <rPr>
        <b/>
        <sz val="10"/>
        <rFont val="宋体"/>
        <family val="3"/>
        <charset val="134"/>
      </rPr>
      <t>五、现场察看中发现的异常情况说明：</t>
    </r>
  </si>
  <si>
    <r>
      <t xml:space="preserve">      </t>
    </r>
    <r>
      <rPr>
        <u/>
        <sz val="10"/>
        <rFont val="Arial Narrow"/>
        <family val="2"/>
      </rPr>
      <t xml:space="preserve">                                                                     </t>
    </r>
  </si>
  <si>
    <r>
      <rPr>
        <b/>
        <sz val="10"/>
        <rFont val="宋体"/>
        <family val="3"/>
        <charset val="134"/>
      </rPr>
      <t>六、工程现场察看结束工作说明：</t>
    </r>
  </si>
  <si>
    <r>
      <t>1</t>
    </r>
    <r>
      <rPr>
        <sz val="10"/>
        <rFont val="宋体"/>
        <family val="3"/>
        <charset val="134"/>
      </rPr>
      <t>、工程现场察看结束后的工作记录：</t>
    </r>
    <r>
      <rPr>
        <u/>
        <sz val="10"/>
        <rFont val="Arial Narrow"/>
        <family val="2"/>
      </rPr>
      <t xml:space="preserve">                                        </t>
    </r>
  </si>
  <si>
    <r>
      <t xml:space="preserve"> 2</t>
    </r>
    <r>
      <rPr>
        <sz val="10"/>
        <rFont val="宋体"/>
        <family val="3"/>
        <charset val="134"/>
      </rPr>
      <t>、对工程现场察看工作的评价：</t>
    </r>
  </si>
  <si>
    <r>
      <t xml:space="preserve">    </t>
    </r>
    <r>
      <rPr>
        <sz val="10"/>
        <rFont val="宋体"/>
        <family val="3"/>
        <charset val="134"/>
      </rPr>
      <t>工程管理人员对工程情况的熟悉程度：</t>
    </r>
    <r>
      <rPr>
        <u/>
        <sz val="10"/>
        <rFont val="Arial Narrow"/>
        <family val="2"/>
      </rPr>
      <t xml:space="preserve">                                   </t>
    </r>
  </si>
  <si>
    <r>
      <t xml:space="preserve">    </t>
    </r>
    <r>
      <rPr>
        <sz val="10"/>
        <rFont val="宋体"/>
        <family val="3"/>
        <charset val="134"/>
      </rPr>
      <t>工程管理人员对现场察看工作的负责态度：</t>
    </r>
    <r>
      <rPr>
        <u/>
        <sz val="10"/>
        <rFont val="Arial Narrow"/>
        <family val="2"/>
      </rPr>
      <t xml:space="preserve">                               </t>
    </r>
  </si>
  <si>
    <r>
      <t xml:space="preserve">    </t>
    </r>
    <r>
      <rPr>
        <sz val="10"/>
        <rFont val="宋体"/>
        <family val="3"/>
        <charset val="134"/>
      </rPr>
      <t>对审计人员索取的资料配合程度：</t>
    </r>
    <r>
      <rPr>
        <u/>
        <sz val="10"/>
        <rFont val="Arial Narrow"/>
        <family val="2"/>
      </rPr>
      <t xml:space="preserve">                                       </t>
    </r>
  </si>
  <si>
    <r>
      <t>3</t>
    </r>
    <r>
      <rPr>
        <sz val="10"/>
        <rFont val="宋体"/>
        <family val="3"/>
        <charset val="134"/>
      </rPr>
      <t>、索取由在建工程管理人员编制的〈工程现场察看差异说明〉，并请其加盖公章：</t>
    </r>
    <r>
      <rPr>
        <sz val="10"/>
        <rFont val="Arial Narrow"/>
        <family val="2"/>
      </rPr>
      <t xml:space="preserve"> </t>
    </r>
  </si>
  <si>
    <r>
      <rPr>
        <sz val="10"/>
        <rFont val="宋体"/>
        <family val="3"/>
        <charset val="134"/>
      </rPr>
      <t>索引：</t>
    </r>
    <phoneticPr fontId="10" type="noConversion"/>
  </si>
  <si>
    <r>
      <t>4</t>
    </r>
    <r>
      <rPr>
        <sz val="10"/>
        <rFont val="宋体"/>
        <family val="3"/>
        <charset val="134"/>
      </rPr>
      <t>、请被审计单位的人员在在建工程实地察看记录上签字：</t>
    </r>
    <r>
      <rPr>
        <u/>
        <sz val="10"/>
        <rFont val="Arial Narrow"/>
        <family val="2"/>
      </rPr>
      <t xml:space="preserve">                      </t>
    </r>
  </si>
  <si>
    <r>
      <rPr>
        <sz val="10"/>
        <rFont val="宋体"/>
        <family val="3"/>
        <charset val="134"/>
      </rPr>
      <t>实地察看人员签字：</t>
    </r>
    <r>
      <rPr>
        <sz val="10"/>
        <rFont val="Arial Narrow"/>
        <family val="2"/>
      </rPr>
      <t xml:space="preserve"> </t>
    </r>
    <r>
      <rPr>
        <u/>
        <sz val="10"/>
        <rFont val="Arial Narrow"/>
        <family val="2"/>
      </rPr>
      <t xml:space="preserve">                       </t>
    </r>
    <phoneticPr fontId="10" type="noConversion"/>
  </si>
  <si>
    <r>
      <t xml:space="preserve">                                                </t>
    </r>
    <r>
      <rPr>
        <u/>
        <sz val="10"/>
        <rFont val="Arial Narrow"/>
        <family val="2"/>
      </rPr>
      <t xml:space="preserve">                           </t>
    </r>
  </si>
  <si>
    <r>
      <rPr>
        <sz val="10"/>
        <rFont val="宋体"/>
        <family val="3"/>
        <charset val="134"/>
      </rPr>
      <t>复核人员签字：</t>
    </r>
    <r>
      <rPr>
        <sz val="10"/>
        <rFont val="Arial Narrow"/>
        <family val="2"/>
      </rPr>
      <t xml:space="preserve"> </t>
    </r>
    <r>
      <rPr>
        <u/>
        <sz val="10"/>
        <rFont val="Arial Narrow"/>
        <family val="2"/>
      </rPr>
      <t xml:space="preserve">                           </t>
    </r>
    <phoneticPr fontId="10" type="noConversion"/>
  </si>
  <si>
    <r>
      <rPr>
        <sz val="10"/>
        <color indexed="8"/>
        <rFont val="宋体"/>
        <family val="3"/>
        <charset val="134"/>
      </rPr>
      <t>在建工程以恰当的金额包括在财务报表中，与之相关的计价或分摊调整已恰当记录，相关披露已得到恰当计量和描述</t>
    </r>
    <r>
      <rPr>
        <sz val="10"/>
        <color indexed="8"/>
        <rFont val="Arial Narrow"/>
        <family val="2"/>
      </rPr>
      <t xml:space="preserve"> </t>
    </r>
    <phoneticPr fontId="14" type="noConversion"/>
  </si>
  <si>
    <r>
      <rPr>
        <b/>
        <sz val="10"/>
        <rFont val="宋体"/>
        <family val="3"/>
        <charset val="134"/>
      </rPr>
      <t>是否存在减值迹象</t>
    </r>
    <phoneticPr fontId="10" type="noConversion"/>
  </si>
  <si>
    <r>
      <rPr>
        <b/>
        <sz val="10"/>
        <rFont val="宋体"/>
        <family val="3"/>
        <charset val="134"/>
      </rPr>
      <t>减值迹象描述</t>
    </r>
    <phoneticPr fontId="10" type="noConversion"/>
  </si>
  <si>
    <r>
      <rPr>
        <b/>
        <sz val="10"/>
        <rFont val="宋体"/>
        <family val="3"/>
        <charset val="134"/>
      </rPr>
      <t>账面价值</t>
    </r>
    <phoneticPr fontId="10" type="noConversion"/>
  </si>
  <si>
    <r>
      <rPr>
        <b/>
        <sz val="10"/>
        <rFont val="宋体"/>
        <family val="3"/>
        <charset val="134"/>
      </rPr>
      <t>期末应计提的减值金额（当⑤＜②）</t>
    </r>
    <phoneticPr fontId="10" type="noConversion"/>
  </si>
  <si>
    <r>
      <rPr>
        <b/>
        <sz val="10"/>
        <rFont val="宋体"/>
        <family val="3"/>
        <charset val="134"/>
      </rPr>
      <t>期末账面已计提的减值准备</t>
    </r>
    <phoneticPr fontId="10" type="noConversion"/>
  </si>
  <si>
    <r>
      <rPr>
        <b/>
        <sz val="10"/>
        <rFont val="宋体"/>
        <family val="3"/>
        <charset val="134"/>
      </rPr>
      <t>本期应补提
或冲回的减值准备</t>
    </r>
    <phoneticPr fontId="10" type="noConversion"/>
  </si>
  <si>
    <r>
      <rPr>
        <b/>
        <sz val="10"/>
        <rFont val="宋体"/>
        <family val="3"/>
        <charset val="134"/>
      </rPr>
      <t>工作底稿索引号</t>
    </r>
    <phoneticPr fontId="10" type="noConversion"/>
  </si>
  <si>
    <r>
      <rPr>
        <b/>
        <sz val="10"/>
        <rFont val="宋体"/>
        <family val="3"/>
        <charset val="134"/>
      </rPr>
      <t>备注</t>
    </r>
  </si>
  <si>
    <r>
      <rPr>
        <b/>
        <sz val="10"/>
        <rFont val="宋体"/>
        <family val="3"/>
        <charset val="134"/>
      </rPr>
      <t>公允价值减处置费用的净额</t>
    </r>
    <phoneticPr fontId="10" type="noConversion"/>
  </si>
  <si>
    <r>
      <rPr>
        <b/>
        <sz val="10"/>
        <rFont val="宋体"/>
        <family val="3"/>
        <charset val="134"/>
      </rPr>
      <t>预计未来现金流量现值</t>
    </r>
    <phoneticPr fontId="10" type="noConversion"/>
  </si>
  <si>
    <r>
      <rPr>
        <b/>
        <sz val="10"/>
        <rFont val="宋体"/>
        <family val="3"/>
        <charset val="134"/>
      </rPr>
      <t>可收回金额（③、④较高者）</t>
    </r>
    <phoneticPr fontId="10" type="noConversion"/>
  </si>
  <si>
    <r>
      <rPr>
        <b/>
        <sz val="10"/>
        <rFont val="宋体"/>
        <family val="3"/>
        <charset val="134"/>
      </rPr>
      <t>期末已计提
减值准备</t>
    </r>
    <phoneticPr fontId="10" type="noConversion"/>
  </si>
  <si>
    <r>
      <rPr>
        <b/>
        <sz val="10"/>
        <rFont val="宋体"/>
        <family val="3"/>
        <charset val="134"/>
      </rPr>
      <t>④</t>
    </r>
    <phoneticPr fontId="10" type="noConversion"/>
  </si>
  <si>
    <r>
      <rPr>
        <b/>
        <sz val="10"/>
        <rFont val="宋体"/>
        <family val="3"/>
        <charset val="134"/>
      </rPr>
      <t>⑥＝⑤－②</t>
    </r>
    <phoneticPr fontId="10" type="noConversion"/>
  </si>
  <si>
    <r>
      <rPr>
        <b/>
        <sz val="10"/>
        <rFont val="宋体"/>
        <family val="3"/>
        <charset val="134"/>
      </rPr>
      <t>⑦</t>
    </r>
    <phoneticPr fontId="10" type="noConversion"/>
  </si>
  <si>
    <r>
      <rPr>
        <b/>
        <sz val="10"/>
        <rFont val="宋体"/>
        <family val="3"/>
        <charset val="134"/>
      </rPr>
      <t>⑧</t>
    </r>
    <r>
      <rPr>
        <b/>
        <sz val="10"/>
        <rFont val="Arial Narrow"/>
        <family val="2"/>
      </rPr>
      <t>=</t>
    </r>
    <r>
      <rPr>
        <b/>
        <sz val="10"/>
        <rFont val="宋体"/>
        <family val="3"/>
        <charset val="134"/>
      </rPr>
      <t>⑥</t>
    </r>
    <r>
      <rPr>
        <b/>
        <sz val="10"/>
        <rFont val="Arial Narrow"/>
        <family val="2"/>
      </rPr>
      <t>-</t>
    </r>
    <r>
      <rPr>
        <b/>
        <sz val="10"/>
        <rFont val="宋体"/>
        <family val="3"/>
        <charset val="134"/>
      </rPr>
      <t>⑦</t>
    </r>
    <phoneticPr fontId="10" type="noConversion"/>
  </si>
  <si>
    <r>
      <rPr>
        <b/>
        <sz val="10"/>
        <color rgb="FF0000FF"/>
        <rFont val="宋体"/>
        <family val="3"/>
        <charset val="134"/>
      </rPr>
      <t>审计过程提示：</t>
    </r>
    <phoneticPr fontId="10" type="noConversion"/>
  </si>
  <si>
    <r>
      <t>1.</t>
    </r>
    <r>
      <rPr>
        <sz val="10"/>
        <color rgb="FF0000FF"/>
        <rFont val="宋体"/>
        <family val="3"/>
        <charset val="134"/>
      </rPr>
      <t>获取或编制在建工程减值准备明细表，复核加计正确，并与总账数和明细账合计数核对相符；</t>
    </r>
    <phoneticPr fontId="14" type="noConversion"/>
  </si>
  <si>
    <r>
      <t>2.</t>
    </r>
    <r>
      <rPr>
        <sz val="10"/>
        <color rgb="FF0000FF"/>
        <rFont val="宋体"/>
        <family val="3"/>
        <charset val="134"/>
      </rPr>
      <t>检查在建工程减值准备计提和转销的批准程序，取得书面报告等证明文件；检查被审计单位计提在建工程减值准备的依据是否充分，会计处理是否正确；</t>
    </r>
    <phoneticPr fontId="14" type="noConversion"/>
  </si>
  <si>
    <r>
      <t>3.</t>
    </r>
    <r>
      <rPr>
        <sz val="10"/>
        <color rgb="FF0000FF"/>
        <rFont val="宋体"/>
        <family val="3"/>
        <charset val="134"/>
      </rPr>
      <t>检查在建工程转让时，相应的减值准备是否一并结转，会计处理是否正确；</t>
    </r>
    <phoneticPr fontId="14" type="noConversion"/>
  </si>
  <si>
    <r>
      <t>4.</t>
    </r>
    <r>
      <rPr>
        <sz val="10"/>
        <color rgb="FF0000FF"/>
        <rFont val="宋体"/>
        <family val="3"/>
        <charset val="134"/>
      </rPr>
      <t>重新测试被审计单位计提的减值准备是否合理；比较我们预期所估计减值准备和已记录的金额，调查所有重大差异。</t>
    </r>
    <phoneticPr fontId="14" type="noConversion"/>
  </si>
  <si>
    <r>
      <t>5.</t>
    </r>
    <r>
      <rPr>
        <sz val="10"/>
        <color rgb="FF0000FF"/>
        <rFont val="宋体"/>
        <family val="3"/>
        <charset val="134"/>
      </rPr>
      <t>上期确认的在建工程减值准备在本期的变动是否适当。</t>
    </r>
    <phoneticPr fontId="14" type="noConversion"/>
  </si>
  <si>
    <r>
      <t>6.</t>
    </r>
    <r>
      <rPr>
        <sz val="10"/>
        <color rgb="FF0000FF"/>
        <rFont val="宋体"/>
        <family val="3"/>
        <charset val="134"/>
      </rPr>
      <t>关注管理层对减值迹象的识别是否充分，建设项目是否存在无法如期完工投产的风险。（例如受政策、经济及技术等原因的影响。）</t>
    </r>
    <phoneticPr fontId="14" type="noConversion"/>
  </si>
  <si>
    <r>
      <rPr>
        <sz val="10"/>
        <color indexed="8"/>
        <rFont val="宋体"/>
        <family val="3"/>
        <charset val="134"/>
      </rPr>
      <t>在建工程以恰当的金额包括在财务报表中，与之相关的计价或分摊调整已恰当记录，相关披露已得到恰当计量和描述</t>
    </r>
    <r>
      <rPr>
        <sz val="10"/>
        <color indexed="8"/>
        <rFont val="Arial Narrow"/>
        <family val="2"/>
      </rPr>
      <t xml:space="preserve"> </t>
    </r>
    <phoneticPr fontId="14" type="noConversion"/>
  </si>
  <si>
    <r>
      <rPr>
        <b/>
        <sz val="10"/>
        <rFont val="宋体"/>
        <family val="3"/>
        <charset val="134"/>
      </rPr>
      <t>二、审计过程：</t>
    </r>
    <phoneticPr fontId="10" type="noConversion"/>
  </si>
  <si>
    <r>
      <rPr>
        <b/>
        <sz val="10"/>
        <rFont val="宋体"/>
        <family val="3"/>
        <charset val="134"/>
      </rPr>
      <t>（一）资产的公允价值减去处置费用后的净额</t>
    </r>
    <phoneticPr fontId="10" type="noConversion"/>
  </si>
  <si>
    <r>
      <rPr>
        <b/>
        <sz val="10"/>
        <rFont val="宋体"/>
        <family val="3"/>
        <charset val="134"/>
      </rPr>
      <t>公允价值</t>
    </r>
    <phoneticPr fontId="10" type="noConversion"/>
  </si>
  <si>
    <r>
      <rPr>
        <b/>
        <sz val="10"/>
        <rFont val="宋体"/>
        <family val="3"/>
        <charset val="134"/>
      </rPr>
      <t>处置费用（资产处置的直接归属费用）</t>
    </r>
    <phoneticPr fontId="10" type="noConversion"/>
  </si>
  <si>
    <r>
      <rPr>
        <b/>
        <sz val="10"/>
        <rFont val="宋体"/>
        <family val="3"/>
        <charset val="134"/>
      </rPr>
      <t>公允价值</t>
    </r>
    <r>
      <rPr>
        <b/>
        <sz val="10"/>
        <rFont val="Arial Narrow"/>
        <family val="2"/>
      </rPr>
      <t>-</t>
    </r>
    <r>
      <rPr>
        <b/>
        <sz val="10"/>
        <rFont val="宋体"/>
        <family val="3"/>
        <charset val="134"/>
      </rPr>
      <t>处置费用</t>
    </r>
    <phoneticPr fontId="10" type="noConversion"/>
  </si>
  <si>
    <r>
      <rPr>
        <b/>
        <sz val="10"/>
        <rFont val="宋体"/>
        <family val="3"/>
        <charset val="134"/>
      </rPr>
      <t>备注</t>
    </r>
    <phoneticPr fontId="10" type="noConversion"/>
  </si>
  <si>
    <r>
      <rPr>
        <b/>
        <sz val="10"/>
        <rFont val="宋体"/>
        <family val="3"/>
        <charset val="134"/>
      </rPr>
      <t>销售协议价格</t>
    </r>
    <phoneticPr fontId="10" type="noConversion"/>
  </si>
  <si>
    <r>
      <rPr>
        <b/>
        <sz val="10"/>
        <rFont val="宋体"/>
        <family val="3"/>
        <charset val="134"/>
      </rPr>
      <t>说明</t>
    </r>
    <phoneticPr fontId="10" type="noConversion"/>
  </si>
  <si>
    <r>
      <rPr>
        <b/>
        <sz val="10"/>
        <rFont val="宋体"/>
        <family val="3"/>
        <charset val="134"/>
      </rPr>
      <t>资产活跃市场价格</t>
    </r>
    <phoneticPr fontId="10" type="noConversion"/>
  </si>
  <si>
    <r>
      <rPr>
        <b/>
        <sz val="10"/>
        <rFont val="宋体"/>
        <family val="3"/>
        <charset val="134"/>
      </rPr>
      <t>说明</t>
    </r>
    <phoneticPr fontId="10" type="noConversion"/>
  </si>
  <si>
    <r>
      <rPr>
        <b/>
        <sz val="10"/>
        <rFont val="宋体"/>
        <family val="3"/>
        <charset val="134"/>
      </rPr>
      <t>估计价格</t>
    </r>
    <phoneticPr fontId="10" type="noConversion"/>
  </si>
  <si>
    <r>
      <rPr>
        <b/>
        <sz val="10"/>
        <rFont val="宋体"/>
        <family val="3"/>
        <charset val="134"/>
      </rPr>
      <t>说明</t>
    </r>
    <phoneticPr fontId="10" type="noConversion"/>
  </si>
  <si>
    <r>
      <rPr>
        <b/>
        <sz val="10"/>
        <rFont val="宋体"/>
        <family val="3"/>
        <charset val="134"/>
      </rPr>
      <t>法律费用</t>
    </r>
    <phoneticPr fontId="10" type="noConversion"/>
  </si>
  <si>
    <r>
      <rPr>
        <b/>
        <sz val="10"/>
        <rFont val="宋体"/>
        <family val="3"/>
        <charset val="134"/>
      </rPr>
      <t>相关税费</t>
    </r>
    <phoneticPr fontId="10" type="noConversion"/>
  </si>
  <si>
    <r>
      <rPr>
        <b/>
        <sz val="10"/>
        <rFont val="宋体"/>
        <family val="3"/>
        <charset val="134"/>
      </rPr>
      <t>搬运费</t>
    </r>
    <phoneticPr fontId="10" type="noConversion"/>
  </si>
  <si>
    <r>
      <rPr>
        <b/>
        <sz val="10"/>
        <rFont val="宋体"/>
        <family val="3"/>
        <charset val="134"/>
      </rPr>
      <t>直接费用</t>
    </r>
    <phoneticPr fontId="10" type="noConversion"/>
  </si>
  <si>
    <r>
      <rPr>
        <b/>
        <sz val="10"/>
        <rFont val="宋体"/>
        <family val="3"/>
        <charset val="134"/>
      </rPr>
      <t>其他费用</t>
    </r>
    <phoneticPr fontId="10" type="noConversion"/>
  </si>
  <si>
    <r>
      <rPr>
        <b/>
        <sz val="10"/>
        <rFont val="宋体"/>
        <family val="3"/>
        <charset val="134"/>
      </rPr>
      <t>处置费用合计</t>
    </r>
    <phoneticPr fontId="10" type="noConversion"/>
  </si>
  <si>
    <r>
      <rPr>
        <b/>
        <sz val="10"/>
        <rFont val="宋体"/>
        <family val="3"/>
        <charset val="134"/>
      </rPr>
      <t>审计说明：</t>
    </r>
    <phoneticPr fontId="10" type="noConversion"/>
  </si>
  <si>
    <r>
      <rPr>
        <b/>
        <sz val="10"/>
        <rFont val="宋体"/>
        <family val="3"/>
        <charset val="134"/>
      </rPr>
      <t>（二）资产预计未来现金流量的现值</t>
    </r>
    <phoneticPr fontId="10" type="noConversion"/>
  </si>
  <si>
    <r>
      <rPr>
        <b/>
        <sz val="10"/>
        <rFont val="宋体"/>
        <family val="3"/>
        <charset val="134"/>
      </rPr>
      <t>预计未来现金流量</t>
    </r>
    <phoneticPr fontId="10" type="noConversion"/>
  </si>
  <si>
    <r>
      <rPr>
        <b/>
        <sz val="10"/>
        <rFont val="宋体"/>
        <family val="3"/>
        <charset val="134"/>
      </rPr>
      <t>预算或者预测期</t>
    </r>
    <phoneticPr fontId="10" type="noConversion"/>
  </si>
  <si>
    <r>
      <rPr>
        <b/>
        <sz val="10"/>
        <rFont val="宋体"/>
        <family val="3"/>
        <charset val="134"/>
      </rPr>
      <t>以后年度</t>
    </r>
    <phoneticPr fontId="10" type="noConversion"/>
  </si>
  <si>
    <r>
      <rPr>
        <b/>
        <sz val="10"/>
        <rFont val="宋体"/>
        <family val="3"/>
        <charset val="134"/>
      </rPr>
      <t>行业的长期平均增长率</t>
    </r>
    <phoneticPr fontId="10" type="noConversion"/>
  </si>
  <si>
    <r>
      <rPr>
        <b/>
        <sz val="10"/>
        <rFont val="宋体"/>
        <family val="3"/>
        <charset val="134"/>
      </rPr>
      <t>市场长期平均增长率</t>
    </r>
    <phoneticPr fontId="10" type="noConversion"/>
  </si>
  <si>
    <r>
      <rPr>
        <b/>
        <sz val="10"/>
        <rFont val="宋体"/>
        <family val="3"/>
        <charset val="134"/>
      </rPr>
      <t>所在国家或地区的长期平均增长率</t>
    </r>
    <phoneticPr fontId="10" type="noConversion"/>
  </si>
  <si>
    <r>
      <rPr>
        <b/>
        <sz val="10"/>
        <rFont val="宋体"/>
        <family val="3"/>
        <charset val="134"/>
      </rPr>
      <t>增长率确定依据</t>
    </r>
    <phoneticPr fontId="10" type="noConversion"/>
  </si>
  <si>
    <r>
      <rPr>
        <b/>
        <sz val="10"/>
        <rFont val="宋体"/>
        <family val="3"/>
        <charset val="134"/>
      </rPr>
      <t>预计未来现金流量的现值</t>
    </r>
    <phoneticPr fontId="10" type="noConversion"/>
  </si>
  <si>
    <r>
      <rPr>
        <b/>
        <sz val="10"/>
        <rFont val="宋体"/>
        <family val="3"/>
        <charset val="134"/>
      </rPr>
      <t>第一年</t>
    </r>
    <phoneticPr fontId="10" type="noConversion"/>
  </si>
  <si>
    <r>
      <rPr>
        <b/>
        <sz val="10"/>
        <rFont val="宋体"/>
        <family val="3"/>
        <charset val="134"/>
      </rPr>
      <t>第二年</t>
    </r>
    <phoneticPr fontId="10" type="noConversion"/>
  </si>
  <si>
    <r>
      <rPr>
        <b/>
        <sz val="10"/>
        <rFont val="宋体"/>
        <family val="3"/>
        <charset val="134"/>
      </rPr>
      <t>第三年</t>
    </r>
    <phoneticPr fontId="10" type="noConversion"/>
  </si>
  <si>
    <r>
      <rPr>
        <b/>
        <sz val="10"/>
        <rFont val="宋体"/>
        <family val="3"/>
        <charset val="134"/>
      </rPr>
      <t>第四年</t>
    </r>
    <phoneticPr fontId="10" type="noConversion"/>
  </si>
  <si>
    <r>
      <rPr>
        <b/>
        <sz val="10"/>
        <rFont val="宋体"/>
        <family val="3"/>
        <charset val="134"/>
      </rPr>
      <t>第五年</t>
    </r>
    <phoneticPr fontId="10" type="noConversion"/>
  </si>
  <si>
    <r>
      <rPr>
        <b/>
        <sz val="10"/>
        <rFont val="宋体"/>
        <family val="3"/>
        <charset val="134"/>
      </rPr>
      <t>基数</t>
    </r>
    <phoneticPr fontId="10" type="noConversion"/>
  </si>
  <si>
    <r>
      <rPr>
        <b/>
        <sz val="10"/>
        <rFont val="宋体"/>
        <family val="3"/>
        <charset val="134"/>
      </rPr>
      <t>增长率</t>
    </r>
    <phoneticPr fontId="10" type="noConversion"/>
  </si>
  <si>
    <r>
      <rPr>
        <sz val="10"/>
        <rFont val="宋体"/>
        <family val="3"/>
        <charset val="134"/>
      </rPr>
      <t>预计未来现金净流量</t>
    </r>
    <phoneticPr fontId="10" type="noConversion"/>
  </si>
  <si>
    <r>
      <rPr>
        <sz val="10"/>
        <rFont val="宋体"/>
        <family val="3"/>
        <charset val="134"/>
      </rPr>
      <t>折现系数</t>
    </r>
    <phoneticPr fontId="10" type="noConversion"/>
  </si>
  <si>
    <r>
      <rPr>
        <sz val="10"/>
        <color indexed="12"/>
        <rFont val="宋体"/>
        <family val="3"/>
        <charset val="134"/>
      </rPr>
      <t>（企业管理层如能证明递增的增长率是合理的，可以以递增的增长率为基础。）</t>
    </r>
    <phoneticPr fontId="10" type="noConversion"/>
  </si>
  <si>
    <r>
      <rPr>
        <sz val="10"/>
        <rFont val="宋体"/>
        <family val="3"/>
        <charset val="134"/>
      </rPr>
      <t>现值</t>
    </r>
    <phoneticPr fontId="10" type="noConversion"/>
  </si>
  <si>
    <r>
      <rPr>
        <sz val="10"/>
        <color indexed="12"/>
        <rFont val="宋体"/>
        <family val="3"/>
        <charset val="134"/>
      </rPr>
      <t>（建立在预算或者预测基础上的预计现金流量最多涵盖</t>
    </r>
    <r>
      <rPr>
        <sz val="10"/>
        <color indexed="12"/>
        <rFont val="Arial Narrow"/>
        <family val="2"/>
      </rPr>
      <t>5</t>
    </r>
    <r>
      <rPr>
        <sz val="10"/>
        <color indexed="12"/>
        <rFont val="宋体"/>
        <family val="3"/>
        <charset val="134"/>
      </rPr>
      <t>年，更长期间需证明合理性。）</t>
    </r>
    <phoneticPr fontId="10" type="noConversion"/>
  </si>
  <si>
    <r>
      <rPr>
        <b/>
        <sz val="10"/>
        <rFont val="宋体"/>
        <family val="3"/>
        <charset val="134"/>
      </rPr>
      <t>折现率</t>
    </r>
    <phoneticPr fontId="10" type="noConversion"/>
  </si>
  <si>
    <r>
      <rPr>
        <b/>
        <sz val="10"/>
        <rFont val="宋体"/>
        <family val="3"/>
        <charset val="134"/>
      </rPr>
      <t>所得税率</t>
    </r>
    <phoneticPr fontId="10" type="noConversion"/>
  </si>
  <si>
    <r>
      <rPr>
        <b/>
        <sz val="10"/>
        <rFont val="宋体"/>
        <family val="3"/>
        <charset val="134"/>
      </rPr>
      <t xml:space="preserve">债务总额
</t>
    </r>
    <r>
      <rPr>
        <b/>
        <sz val="10"/>
        <rFont val="Arial Narrow"/>
        <family val="2"/>
      </rPr>
      <t>D</t>
    </r>
    <phoneticPr fontId="10" type="noConversion"/>
  </si>
  <si>
    <r>
      <rPr>
        <b/>
        <sz val="10"/>
        <rFont val="宋体"/>
        <family val="3"/>
        <charset val="134"/>
      </rPr>
      <t xml:space="preserve">资本总额
</t>
    </r>
    <r>
      <rPr>
        <b/>
        <sz val="10"/>
        <rFont val="Arial Narrow"/>
        <family val="2"/>
      </rPr>
      <t>E</t>
    </r>
    <phoneticPr fontId="10" type="noConversion"/>
  </si>
  <si>
    <r>
      <rPr>
        <b/>
        <sz val="10"/>
        <rFont val="宋体"/>
        <family val="3"/>
        <charset val="134"/>
      </rPr>
      <t>债务成本</t>
    </r>
    <r>
      <rPr>
        <b/>
        <sz val="10"/>
        <rFont val="Arial Narrow"/>
        <family val="2"/>
      </rPr>
      <t>Kd</t>
    </r>
    <phoneticPr fontId="10" type="noConversion"/>
  </si>
  <si>
    <r>
      <rPr>
        <b/>
        <sz val="10"/>
        <rFont val="宋体"/>
        <family val="3"/>
        <charset val="134"/>
      </rPr>
      <t>无风险报酬率</t>
    </r>
    <r>
      <rPr>
        <b/>
        <sz val="10"/>
        <rFont val="Arial Narrow"/>
        <family val="2"/>
      </rPr>
      <t>Rf</t>
    </r>
    <phoneticPr fontId="10" type="noConversion"/>
  </si>
  <si>
    <r>
      <t>β</t>
    </r>
    <r>
      <rPr>
        <b/>
        <sz val="10"/>
        <rFont val="宋体"/>
        <family val="3"/>
        <charset val="134"/>
      </rPr>
      <t>系数</t>
    </r>
    <phoneticPr fontId="10" type="noConversion"/>
  </si>
  <si>
    <r>
      <rPr>
        <b/>
        <sz val="10"/>
        <rFont val="宋体"/>
        <family val="3"/>
        <charset val="134"/>
      </rPr>
      <t>市场平均收益率</t>
    </r>
    <r>
      <rPr>
        <b/>
        <sz val="10"/>
        <rFont val="Arial Narrow"/>
        <family val="2"/>
      </rPr>
      <t>Rm</t>
    </r>
    <phoneticPr fontId="10" type="noConversion"/>
  </si>
  <si>
    <r>
      <rPr>
        <b/>
        <sz val="10"/>
        <rFont val="宋体"/>
        <family val="3"/>
        <charset val="134"/>
      </rPr>
      <t>资本成本</t>
    </r>
    <r>
      <rPr>
        <b/>
        <sz val="10"/>
        <rFont val="Arial Narrow"/>
        <family val="2"/>
      </rPr>
      <t>Ke</t>
    </r>
    <phoneticPr fontId="10" type="noConversion"/>
  </si>
  <si>
    <r>
      <t>WACC
(</t>
    </r>
    <r>
      <rPr>
        <b/>
        <sz val="10"/>
        <rFont val="宋体"/>
        <family val="3"/>
        <charset val="134"/>
      </rPr>
      <t>税后</t>
    </r>
    <r>
      <rPr>
        <b/>
        <sz val="10"/>
        <rFont val="Arial Narrow"/>
        <family val="2"/>
      </rPr>
      <t>)</t>
    </r>
    <phoneticPr fontId="10" type="noConversion"/>
  </si>
  <si>
    <r>
      <rPr>
        <b/>
        <sz val="10"/>
        <rFont val="宋体"/>
        <family val="3"/>
        <charset val="134"/>
      </rPr>
      <t xml:space="preserve">折现率
</t>
    </r>
    <r>
      <rPr>
        <b/>
        <sz val="10"/>
        <rFont val="Arial Narrow"/>
        <family val="2"/>
      </rPr>
      <t>(</t>
    </r>
    <r>
      <rPr>
        <b/>
        <sz val="10"/>
        <rFont val="宋体"/>
        <family val="3"/>
        <charset val="134"/>
      </rPr>
      <t>税前</t>
    </r>
    <r>
      <rPr>
        <b/>
        <sz val="10"/>
        <rFont val="Arial Narrow"/>
        <family val="2"/>
      </rPr>
      <t>)</t>
    </r>
    <phoneticPr fontId="10" type="noConversion"/>
  </si>
  <si>
    <r>
      <rPr>
        <b/>
        <sz val="10"/>
        <rFont val="宋体"/>
        <family val="3"/>
        <charset val="134"/>
      </rPr>
      <t>适用税率</t>
    </r>
    <phoneticPr fontId="10" type="noConversion"/>
  </si>
  <si>
    <r>
      <rPr>
        <b/>
        <sz val="10"/>
        <rFont val="宋体"/>
        <family val="3"/>
        <charset val="134"/>
      </rPr>
      <t>调整说明</t>
    </r>
    <phoneticPr fontId="10" type="noConversion"/>
  </si>
  <si>
    <r>
      <rPr>
        <sz val="10"/>
        <rFont val="宋体"/>
        <family val="3"/>
        <charset val="134"/>
      </rPr>
      <t>加权平均资金成本</t>
    </r>
    <phoneticPr fontId="10" type="noConversion"/>
  </si>
  <si>
    <r>
      <rPr>
        <b/>
        <sz val="10"/>
        <rFont val="宋体"/>
        <family val="3"/>
        <charset val="134"/>
      </rPr>
      <t>（三）可收回金额</t>
    </r>
    <phoneticPr fontId="10" type="noConversion"/>
  </si>
  <si>
    <r>
      <rPr>
        <sz val="10"/>
        <rFont val="宋体"/>
        <family val="3"/>
        <charset val="134"/>
      </rPr>
      <t>资产的公允价值减去处置费用后的净额与资产预计未来现金流量的现值两者之间较高者</t>
    </r>
    <phoneticPr fontId="10" type="noConversion"/>
  </si>
  <si>
    <r>
      <rPr>
        <b/>
        <sz val="10"/>
        <rFont val="宋体"/>
        <family val="3"/>
        <charset val="134"/>
      </rPr>
      <t>四、审计结论</t>
    </r>
    <phoneticPr fontId="10" type="noConversion"/>
  </si>
  <si>
    <r>
      <t>1</t>
    </r>
    <r>
      <rPr>
        <sz val="10"/>
        <color indexed="12"/>
        <rFont val="宋体"/>
        <family val="3"/>
        <charset val="134"/>
      </rPr>
      <t>、可收回金额应当根据资产的公允价值减去处置费用后的净额与资产预计未来现金流量的现值两者之间较高者确定。</t>
    </r>
    <phoneticPr fontId="10" type="noConversion"/>
  </si>
  <si>
    <r>
      <t>2</t>
    </r>
    <r>
      <rPr>
        <sz val="10"/>
        <color indexed="12"/>
        <rFont val="宋体"/>
        <family val="3"/>
        <charset val="134"/>
      </rPr>
      <t>、资产的公允价值减去处置费用后的净额，应当根据公平交易中销售协议价格减去可直接归属于该资产处置费用的金额确定。不存在销售协议但存在资产活跃市场的，</t>
    </r>
    <phoneticPr fontId="10" type="noConversion"/>
  </si>
  <si>
    <r>
      <rPr>
        <sz val="10"/>
        <color indexed="12"/>
        <rFont val="宋体"/>
        <family val="3"/>
        <charset val="134"/>
      </rPr>
      <t>应当按照该资产的市场价格减去处置费用后的金额确定。资产的市场价格通常应当根据资产的买方出价确定。在不存在销售协议和资产活跃市场的情况下，应当</t>
    </r>
    <phoneticPr fontId="10" type="noConversion"/>
  </si>
  <si>
    <r>
      <rPr>
        <sz val="10"/>
        <color indexed="12"/>
        <rFont val="宋体"/>
        <family val="3"/>
        <charset val="134"/>
      </rPr>
      <t>以可获取的最佳信息为基础，估计资产的公允价值减去处置费用后的净额，该净额可以参考同行业类似资产的最近交易价格或者结果进行估计。企业按照上述规定</t>
    </r>
    <phoneticPr fontId="10" type="noConversion"/>
  </si>
  <si>
    <r>
      <rPr>
        <sz val="10"/>
        <color indexed="12"/>
        <rFont val="宋体"/>
        <family val="3"/>
        <charset val="134"/>
      </rPr>
      <t>仍然无法可靠估计资产的公允价值减去处置费用后的净额的，应当以该资产预计未来现金流量的现值作为其可收回金额。</t>
    </r>
    <phoneticPr fontId="10" type="noConversion"/>
  </si>
  <si>
    <r>
      <t>3</t>
    </r>
    <r>
      <rPr>
        <sz val="10"/>
        <color indexed="12"/>
        <rFont val="宋体"/>
        <family val="3"/>
        <charset val="134"/>
      </rPr>
      <t>、处置费用包括与资产处置有关的法律费用、相关税费、搬运费以及为使资产达到可销售状态所发生的直接费用等。</t>
    </r>
    <phoneticPr fontId="10" type="noConversion"/>
  </si>
  <si>
    <r>
      <t>4</t>
    </r>
    <r>
      <rPr>
        <sz val="10"/>
        <color indexed="12"/>
        <rFont val="宋体"/>
        <family val="3"/>
        <charset val="134"/>
      </rPr>
      <t>、资产预计未来现金流量的现值，应当按照资产在持续使用过程中和最终处置时所产生的预计未来现金流量，选择恰当的折现率对其进行折现后的金额加以确定。</t>
    </r>
    <phoneticPr fontId="10" type="noConversion"/>
  </si>
  <si>
    <r>
      <t>5</t>
    </r>
    <r>
      <rPr>
        <sz val="10"/>
        <color indexed="12"/>
        <rFont val="宋体"/>
        <family val="3"/>
        <charset val="134"/>
      </rPr>
      <t>、预计资产的未来现金流量，应当以经企业管理层批准的最近财务预算或者预测数据，以及该预算或者预测期之后年份稳定的或者递减的增长率为基础。</t>
    </r>
    <phoneticPr fontId="10" type="noConversion"/>
  </si>
  <si>
    <r>
      <rPr>
        <sz val="10"/>
        <color indexed="12"/>
        <rFont val="宋体"/>
        <family val="3"/>
        <charset val="134"/>
      </rPr>
      <t>预计的资产未来现金流量应当包括下列各项：</t>
    </r>
    <phoneticPr fontId="10" type="noConversion"/>
  </si>
  <si>
    <r>
      <rPr>
        <sz val="10"/>
        <color indexed="12"/>
        <rFont val="宋体"/>
        <family val="3"/>
        <charset val="134"/>
      </rPr>
      <t>　　（一）资产持续使用过程中预计产生的现金流入。</t>
    </r>
    <phoneticPr fontId="10" type="noConversion"/>
  </si>
  <si>
    <r>
      <rPr>
        <sz val="10"/>
        <color indexed="12"/>
        <rFont val="宋体"/>
        <family val="3"/>
        <charset val="134"/>
      </rPr>
      <t>　　（二）为实现资产持续使用过程中产生的现金流入所必需的预计现金流出（包括为使资产达到预定可使用状态所发生的现金流出）。该现金流出应当是可直接归属</t>
    </r>
    <phoneticPr fontId="10" type="noConversion"/>
  </si>
  <si>
    <r>
      <rPr>
        <sz val="10"/>
        <color indexed="12"/>
        <rFont val="宋体"/>
        <family val="3"/>
        <charset val="134"/>
      </rPr>
      <t>于或者可通过合理和一致的基础分配到资产中的现金流出。</t>
    </r>
    <phoneticPr fontId="10" type="noConversion"/>
  </si>
  <si>
    <r>
      <rPr>
        <sz val="10"/>
        <color indexed="12"/>
        <rFont val="宋体"/>
        <family val="3"/>
        <charset val="134"/>
      </rPr>
      <t>　　（三）资产使用寿命结束时，处置资产所收到或者支付的净现金流量。该现金流量应当是在公平交易中，熟悉情况的交易双方自愿进行交易时，企业预期可从资产的</t>
    </r>
    <phoneticPr fontId="10" type="noConversion"/>
  </si>
  <si>
    <r>
      <rPr>
        <sz val="10"/>
        <color indexed="12"/>
        <rFont val="宋体"/>
        <family val="3"/>
        <charset val="134"/>
      </rPr>
      <t>处置中获取或者支付的、减去预计处置费用后的金额。</t>
    </r>
    <phoneticPr fontId="10" type="noConversion"/>
  </si>
  <si>
    <r>
      <t>6</t>
    </r>
    <r>
      <rPr>
        <sz val="10"/>
        <color indexed="12"/>
        <rFont val="宋体"/>
        <family val="3"/>
        <charset val="134"/>
      </rPr>
      <t>、折现率是反映当前市场货币时间价值和资产特定风险的税前利率。该折现率是企业在购置或者投资资产时所要求的必要报酬率。</t>
    </r>
    <phoneticPr fontId="10" type="noConversion"/>
  </si>
  <si>
    <r>
      <rPr>
        <sz val="10"/>
        <color indexed="12"/>
        <rFont val="宋体"/>
        <family val="3"/>
        <charset val="134"/>
      </rPr>
      <t>折现率的确定通常应当以该资产的市场利率为依据。无法从市场获得的，可以使用替代利率估计折现率。</t>
    </r>
    <phoneticPr fontId="10" type="noConversion"/>
  </si>
  <si>
    <r>
      <rPr>
        <sz val="10"/>
        <color indexed="12"/>
        <rFont val="宋体"/>
        <family val="3"/>
        <charset val="134"/>
      </rPr>
      <t>加权平均资金成本（税后）</t>
    </r>
    <r>
      <rPr>
        <sz val="10"/>
        <color indexed="12"/>
        <rFont val="Arial Narrow"/>
        <family val="2"/>
      </rPr>
      <t>:</t>
    </r>
    <phoneticPr fontId="10" type="noConversion"/>
  </si>
  <si>
    <r>
      <t>1.</t>
    </r>
    <r>
      <rPr>
        <sz val="10"/>
        <color rgb="FF0000FF"/>
        <rFont val="宋体"/>
        <family val="3"/>
        <charset val="134"/>
      </rPr>
      <t>获取或编制在建工程减值准备明细表，复核加计正确，并与总账数和明细账合计数核对相符；</t>
    </r>
    <phoneticPr fontId="14" type="noConversion"/>
  </si>
  <si>
    <r>
      <t>3.</t>
    </r>
    <r>
      <rPr>
        <sz val="10"/>
        <color rgb="FF0000FF"/>
        <rFont val="宋体"/>
        <family val="3"/>
        <charset val="134"/>
      </rPr>
      <t>检查在建工程转让时，相应的减值准备是否一并结转，会计处理是否正确；</t>
    </r>
    <phoneticPr fontId="14" type="noConversion"/>
  </si>
  <si>
    <r>
      <t>4.</t>
    </r>
    <r>
      <rPr>
        <sz val="10"/>
        <color rgb="FF0000FF"/>
        <rFont val="宋体"/>
        <family val="3"/>
        <charset val="134"/>
      </rPr>
      <t>重新测试被审计单位计提的减值准备是否合理；比较我们预期所估计减值准备和已记录的金额，调查所有重大差异。</t>
    </r>
    <phoneticPr fontId="14" type="noConversion"/>
  </si>
  <si>
    <r>
      <t>1.</t>
    </r>
    <r>
      <rPr>
        <sz val="10"/>
        <rFont val="宋体"/>
        <family val="3"/>
        <charset val="134"/>
      </rPr>
      <t>资产负债表中记录的在建工程是存在的，且已记录于恰当的账户；</t>
    </r>
    <r>
      <rPr>
        <sz val="10"/>
        <rFont val="Arial Narrow"/>
        <family val="2"/>
      </rPr>
      <t>2.</t>
    </r>
    <r>
      <rPr>
        <sz val="10"/>
        <rFont val="宋体"/>
        <family val="3"/>
        <charset val="134"/>
      </rPr>
      <t>所有应记录的在建工程均已记录，所有应当包括在财务报表中的相关披露均已包括；</t>
    </r>
    <r>
      <rPr>
        <sz val="10"/>
        <rFont val="Arial Narrow"/>
        <family val="2"/>
      </rPr>
      <t>3.</t>
    </r>
    <r>
      <rPr>
        <sz val="10"/>
        <rFont val="宋体"/>
        <family val="3"/>
        <charset val="134"/>
      </rPr>
      <t>记录的在建工程由被审计单位拥有或控制。</t>
    </r>
    <phoneticPr fontId="10" type="noConversion"/>
  </si>
  <si>
    <r>
      <t>4.</t>
    </r>
    <r>
      <rPr>
        <sz val="10"/>
        <rFont val="宋体"/>
        <family val="3"/>
        <charset val="134"/>
      </rPr>
      <t>在建工程以恰当的金额包括在财务报表中，与之相关的计价或分摊调整已恰当记录，相关披露已得到恰当计量和描述；</t>
    </r>
    <r>
      <rPr>
        <sz val="10"/>
        <rFont val="Arial Narrow"/>
        <family val="2"/>
      </rPr>
      <t>5.</t>
    </r>
    <r>
      <rPr>
        <sz val="10"/>
        <rFont val="宋体"/>
        <family val="3"/>
        <charset val="134"/>
      </rPr>
      <t>在建工程已被恰当地汇总或分解且表述清楚，相关披露在按照企业会计准则的编制基础下是相关的、可理解的。</t>
    </r>
    <phoneticPr fontId="10" type="noConversion"/>
  </si>
  <si>
    <r>
      <rPr>
        <b/>
        <sz val="10"/>
        <color indexed="8"/>
        <rFont val="宋体"/>
        <family val="3"/>
        <charset val="134"/>
      </rPr>
      <t>二、审计过程：</t>
    </r>
    <phoneticPr fontId="14" type="noConversion"/>
  </si>
  <si>
    <r>
      <rPr>
        <b/>
        <sz val="10"/>
        <rFont val="宋体"/>
        <family val="3"/>
        <charset val="134"/>
      </rPr>
      <t>关联单位名称</t>
    </r>
    <phoneticPr fontId="10" type="noConversion"/>
  </si>
  <si>
    <r>
      <rPr>
        <b/>
        <sz val="10"/>
        <rFont val="宋体"/>
        <family val="3"/>
        <charset val="134"/>
      </rPr>
      <t>关联方关系</t>
    </r>
    <phoneticPr fontId="10" type="noConversion"/>
  </si>
  <si>
    <r>
      <rPr>
        <b/>
        <sz val="10"/>
        <rFont val="宋体"/>
        <family val="3"/>
        <charset val="134"/>
      </rPr>
      <t>资产类别</t>
    </r>
    <phoneticPr fontId="10" type="noConversion"/>
  </si>
  <si>
    <r>
      <rPr>
        <b/>
        <sz val="10"/>
        <rFont val="宋体"/>
        <family val="3"/>
        <charset val="134"/>
      </rPr>
      <t>购买在建工程名称</t>
    </r>
    <phoneticPr fontId="10" type="noConversion"/>
  </si>
  <si>
    <r>
      <rPr>
        <b/>
        <sz val="10"/>
        <rFont val="宋体"/>
        <family val="3"/>
        <charset val="134"/>
      </rPr>
      <t>购买价款</t>
    </r>
    <phoneticPr fontId="10" type="noConversion"/>
  </si>
  <si>
    <r>
      <rPr>
        <b/>
        <sz val="10"/>
        <rFont val="宋体"/>
        <family val="3"/>
        <charset val="134"/>
      </rPr>
      <t>在建工程入账价值</t>
    </r>
    <phoneticPr fontId="10" type="noConversion"/>
  </si>
  <si>
    <r>
      <rPr>
        <b/>
        <sz val="10"/>
        <rFont val="宋体"/>
        <family val="3"/>
        <charset val="134"/>
      </rPr>
      <t>占同类交易金额的比例％</t>
    </r>
    <phoneticPr fontId="10" type="noConversion"/>
  </si>
  <si>
    <r>
      <rPr>
        <b/>
        <sz val="10"/>
        <rFont val="宋体"/>
        <family val="3"/>
        <charset val="134"/>
      </rPr>
      <t>购入时间</t>
    </r>
    <phoneticPr fontId="10" type="noConversion"/>
  </si>
  <si>
    <r>
      <rPr>
        <b/>
        <sz val="10"/>
        <rFont val="宋体"/>
        <family val="3"/>
        <charset val="134"/>
      </rPr>
      <t>定价政策</t>
    </r>
    <phoneticPr fontId="10" type="noConversion"/>
  </si>
  <si>
    <r>
      <rPr>
        <b/>
        <sz val="10"/>
        <rFont val="宋体"/>
        <family val="3"/>
        <charset val="134"/>
      </rPr>
      <t>关联交易是否存在异常</t>
    </r>
    <phoneticPr fontId="10" type="noConversion"/>
  </si>
  <si>
    <r>
      <rPr>
        <b/>
        <sz val="10"/>
        <rFont val="宋体"/>
        <family val="3"/>
        <charset val="134"/>
      </rPr>
      <t>出售在建工程名称</t>
    </r>
    <phoneticPr fontId="10" type="noConversion"/>
  </si>
  <si>
    <r>
      <rPr>
        <b/>
        <sz val="10"/>
        <rFont val="宋体"/>
        <family val="3"/>
        <charset val="134"/>
      </rPr>
      <t>出售时在建工程原值</t>
    </r>
    <phoneticPr fontId="10" type="noConversion"/>
  </si>
  <si>
    <r>
      <rPr>
        <b/>
        <sz val="10"/>
        <rFont val="宋体"/>
        <family val="3"/>
        <charset val="134"/>
      </rPr>
      <t>出售时减值准备</t>
    </r>
    <phoneticPr fontId="10" type="noConversion"/>
  </si>
  <si>
    <r>
      <rPr>
        <b/>
        <sz val="10"/>
        <rFont val="宋体"/>
        <family val="3"/>
        <charset val="134"/>
      </rPr>
      <t>出售时净值</t>
    </r>
    <phoneticPr fontId="10" type="noConversion"/>
  </si>
  <si>
    <r>
      <rPr>
        <b/>
        <sz val="10"/>
        <rFont val="宋体"/>
        <family val="3"/>
        <charset val="134"/>
      </rPr>
      <t>销售价格
（不含税）</t>
    </r>
    <phoneticPr fontId="10" type="noConversion"/>
  </si>
  <si>
    <r>
      <rPr>
        <b/>
        <sz val="10"/>
        <rFont val="宋体"/>
        <family val="3"/>
        <charset val="134"/>
      </rPr>
      <t>出售时间</t>
    </r>
    <phoneticPr fontId="10" type="noConversion"/>
  </si>
  <si>
    <r>
      <rPr>
        <b/>
        <sz val="10"/>
        <color indexed="8"/>
        <rFont val="宋体"/>
        <family val="3"/>
        <charset val="134"/>
      </rPr>
      <t>三、审计说明：</t>
    </r>
    <phoneticPr fontId="14" type="noConversion"/>
  </si>
  <si>
    <r>
      <rPr>
        <b/>
        <sz val="10"/>
        <color indexed="8"/>
        <rFont val="宋体"/>
        <family val="3"/>
        <charset val="134"/>
      </rPr>
      <t>四、审计结论：</t>
    </r>
    <phoneticPr fontId="14" type="noConversion"/>
  </si>
  <si>
    <r>
      <rPr>
        <sz val="10"/>
        <color rgb="FF0000FF"/>
        <rFont val="宋体"/>
        <family val="3"/>
        <charset val="134"/>
      </rPr>
      <t>关联关系</t>
    </r>
    <phoneticPr fontId="10" type="noConversion"/>
  </si>
  <si>
    <r>
      <rPr>
        <b/>
        <sz val="10"/>
        <rFont val="宋体"/>
        <family val="3"/>
        <charset val="134"/>
      </rPr>
      <t>内容</t>
    </r>
  </si>
  <si>
    <r>
      <rPr>
        <sz val="10"/>
        <rFont val="宋体"/>
        <family val="3"/>
        <charset val="134"/>
      </rPr>
      <t>复核人：</t>
    </r>
    <phoneticPr fontId="10" type="noConversion"/>
  </si>
  <si>
    <r>
      <rPr>
        <sz val="10"/>
        <rFont val="宋体"/>
        <family val="3"/>
        <charset val="134"/>
      </rPr>
      <t>编制日期：</t>
    </r>
    <phoneticPr fontId="10" type="noConversion"/>
  </si>
  <si>
    <r>
      <rPr>
        <b/>
        <sz val="10"/>
        <rFont val="宋体"/>
        <family val="3"/>
        <charset val="134"/>
      </rPr>
      <t>底稿开列时，可先在以下单元格填写有关内容，以便其他底稿引用有关数据：</t>
    </r>
    <phoneticPr fontId="10" type="noConversion"/>
  </si>
  <si>
    <r>
      <rPr>
        <sz val="10"/>
        <rFont val="宋体"/>
        <family val="3"/>
        <charset val="134"/>
      </rPr>
      <t>被审计单位：</t>
    </r>
    <phoneticPr fontId="10" type="noConversion"/>
  </si>
  <si>
    <r>
      <rPr>
        <sz val="10"/>
        <rFont val="宋体"/>
        <family val="3"/>
        <charset val="134"/>
      </rPr>
      <t>编制人：</t>
    </r>
    <phoneticPr fontId="10" type="noConversion"/>
  </si>
  <si>
    <r>
      <rPr>
        <sz val="10"/>
        <rFont val="宋体"/>
        <family val="3"/>
        <charset val="134"/>
      </rPr>
      <t>复核日期：</t>
    </r>
    <phoneticPr fontId="10" type="noConversion"/>
  </si>
  <si>
    <t>无需打印</t>
    <phoneticPr fontId="10" type="noConversion"/>
  </si>
  <si>
    <t>审定表</t>
    <phoneticPr fontId="10" type="noConversion"/>
  </si>
  <si>
    <t>明细表</t>
    <phoneticPr fontId="10" type="noConversion"/>
  </si>
  <si>
    <t>H2-2</t>
    <phoneticPr fontId="10" type="noConversion"/>
  </si>
  <si>
    <t>H2-9</t>
  </si>
  <si>
    <t>H2-10</t>
  </si>
  <si>
    <t>H2-11</t>
  </si>
  <si>
    <t>H2-12</t>
  </si>
  <si>
    <t>H2-13</t>
  </si>
  <si>
    <t>H2-14</t>
  </si>
  <si>
    <t>H2-15</t>
  </si>
  <si>
    <t>H2-16</t>
  </si>
  <si>
    <t>H2-17</t>
  </si>
  <si>
    <r>
      <rPr>
        <sz val="10"/>
        <color theme="10"/>
        <rFont val="宋体"/>
        <family val="3"/>
        <charset val="134"/>
      </rPr>
      <t>附注披露信息（上市公司）</t>
    </r>
  </si>
  <si>
    <r>
      <rPr>
        <sz val="10"/>
        <color theme="10"/>
        <rFont val="宋体"/>
        <family val="3"/>
        <charset val="134"/>
      </rPr>
      <t>附注披露信息（国有企业）</t>
    </r>
  </si>
  <si>
    <t>调整分录汇总</t>
    <phoneticPr fontId="10" type="noConversion"/>
  </si>
  <si>
    <t>分析表</t>
    <phoneticPr fontId="10" type="noConversion"/>
  </si>
  <si>
    <t>转固时点检查表</t>
    <phoneticPr fontId="10" type="noConversion"/>
  </si>
  <si>
    <t>在建工程审核记录</t>
    <phoneticPr fontId="10" type="noConversion"/>
  </si>
  <si>
    <t>工程造价比较表</t>
    <phoneticPr fontId="10" type="noConversion"/>
  </si>
  <si>
    <t>增加检查表</t>
    <phoneticPr fontId="10" type="noConversion"/>
  </si>
  <si>
    <t>减少检查表</t>
    <phoneticPr fontId="10" type="noConversion"/>
  </si>
  <si>
    <t>利息资本化测算表（无专门借款）</t>
    <phoneticPr fontId="10" type="noConversion"/>
  </si>
  <si>
    <t>利息资本化测算表（有专门借款）</t>
    <phoneticPr fontId="10" type="noConversion"/>
  </si>
  <si>
    <t>监盘计划</t>
    <phoneticPr fontId="10" type="noConversion"/>
  </si>
  <si>
    <t>盘点检查表</t>
    <phoneticPr fontId="10" type="noConversion"/>
  </si>
  <si>
    <t>监盘小结</t>
    <phoneticPr fontId="10" type="noConversion"/>
  </si>
  <si>
    <t>减值测算表</t>
    <phoneticPr fontId="10" type="noConversion"/>
  </si>
  <si>
    <t>可收回金额测试表</t>
    <phoneticPr fontId="10" type="noConversion"/>
  </si>
  <si>
    <t>关联交易检查表</t>
    <phoneticPr fontId="10" type="noConversion"/>
  </si>
  <si>
    <t>返回目录</t>
    <phoneticPr fontId="10" type="noConversion"/>
  </si>
  <si>
    <r>
      <rPr>
        <b/>
        <sz val="10"/>
        <rFont val="宋体"/>
        <family val="3"/>
        <charset val="134"/>
      </rPr>
      <t>合计</t>
    </r>
    <phoneticPr fontId="10" type="noConversion"/>
  </si>
  <si>
    <r>
      <rPr>
        <b/>
        <sz val="10"/>
        <rFont val="宋体"/>
        <family val="3"/>
        <charset val="134"/>
      </rPr>
      <t>本期减少在建工程合计</t>
    </r>
    <phoneticPr fontId="10" type="noConversion"/>
  </si>
  <si>
    <r>
      <rPr>
        <b/>
        <sz val="10"/>
        <rFont val="宋体"/>
        <family val="3"/>
        <charset val="134"/>
      </rPr>
      <t>合计</t>
    </r>
    <phoneticPr fontId="10" type="noConversion"/>
  </si>
  <si>
    <r>
      <rPr>
        <b/>
        <sz val="10"/>
        <rFont val="宋体"/>
        <family val="3"/>
        <charset val="134"/>
      </rPr>
      <t>本年合计</t>
    </r>
    <phoneticPr fontId="14" type="noConversion"/>
  </si>
  <si>
    <r>
      <rPr>
        <b/>
        <sz val="10"/>
        <rFont val="宋体"/>
        <family val="3"/>
        <charset val="134"/>
      </rPr>
      <t>年末余额</t>
    </r>
    <phoneticPr fontId="14" type="noConversion"/>
  </si>
  <si>
    <r>
      <rPr>
        <b/>
        <sz val="10"/>
        <color indexed="10"/>
        <rFont val="宋体"/>
        <family val="3"/>
        <charset val="134"/>
      </rPr>
      <t>差异</t>
    </r>
    <phoneticPr fontId="14" type="noConversion"/>
  </si>
  <si>
    <r>
      <rPr>
        <b/>
        <sz val="10"/>
        <rFont val="宋体"/>
        <family val="3"/>
        <charset val="134"/>
      </rPr>
      <t>年末余额</t>
    </r>
    <phoneticPr fontId="14" type="noConversion"/>
  </si>
  <si>
    <r>
      <rPr>
        <b/>
        <sz val="10"/>
        <color indexed="10"/>
        <rFont val="宋体"/>
        <family val="3"/>
        <charset val="134"/>
      </rPr>
      <t>差异</t>
    </r>
    <phoneticPr fontId="14" type="noConversion"/>
  </si>
  <si>
    <r>
      <rPr>
        <b/>
        <sz val="10"/>
        <rFont val="宋体"/>
        <family val="3"/>
        <charset val="134"/>
      </rPr>
      <t>抽取样本占期末原值合计的比例：（</t>
    </r>
    <r>
      <rPr>
        <b/>
        <sz val="10"/>
        <rFont val="Arial Narrow"/>
        <family val="2"/>
      </rPr>
      <t>%</t>
    </r>
    <r>
      <rPr>
        <b/>
        <sz val="10"/>
        <rFont val="宋体"/>
        <family val="3"/>
        <charset val="134"/>
      </rPr>
      <t>）</t>
    </r>
    <phoneticPr fontId="10" type="noConversion"/>
  </si>
  <si>
    <r>
      <rPr>
        <b/>
        <sz val="10"/>
        <color indexed="8"/>
        <rFont val="宋体"/>
        <family val="3"/>
        <charset val="134"/>
      </rPr>
      <t>合计</t>
    </r>
    <phoneticPr fontId="10" type="noConversion"/>
  </si>
  <si>
    <r>
      <rPr>
        <b/>
        <sz val="10"/>
        <color indexed="8"/>
        <rFont val="宋体"/>
        <family val="3"/>
        <charset val="134"/>
      </rPr>
      <t>合计</t>
    </r>
    <phoneticPr fontId="10" type="noConversion"/>
  </si>
  <si>
    <r>
      <rPr>
        <b/>
        <sz val="12"/>
        <rFont val="宋体"/>
        <family val="3"/>
        <charset val="134"/>
      </rPr>
      <t>致同会计师事务所</t>
    </r>
    <phoneticPr fontId="5" type="noConversion"/>
  </si>
  <si>
    <r>
      <rPr>
        <b/>
        <sz val="14"/>
        <rFont val="宋体"/>
        <family val="3"/>
        <charset val="134"/>
      </rPr>
      <t>在建工程及减值准备实质性程序表</t>
    </r>
    <phoneticPr fontId="5" type="noConversion"/>
  </si>
  <si>
    <r>
      <rPr>
        <b/>
        <sz val="12"/>
        <rFont val="宋体"/>
        <family val="3"/>
        <charset val="134"/>
      </rPr>
      <t>致同会计师事务所</t>
    </r>
  </si>
  <si>
    <r>
      <rPr>
        <b/>
        <sz val="14"/>
        <rFont val="宋体"/>
        <family val="3"/>
        <charset val="134"/>
      </rPr>
      <t>在建工程及减值准备审定表</t>
    </r>
    <phoneticPr fontId="10" type="noConversion"/>
  </si>
  <si>
    <r>
      <rPr>
        <b/>
        <sz val="14"/>
        <rFont val="宋体"/>
        <family val="3"/>
        <charset val="134"/>
      </rPr>
      <t>在建工程明细表</t>
    </r>
    <phoneticPr fontId="10" type="noConversion"/>
  </si>
  <si>
    <r>
      <rPr>
        <b/>
        <sz val="14"/>
        <rFont val="宋体"/>
        <family val="3"/>
        <charset val="134"/>
      </rPr>
      <t>在建工程调整分录汇总表</t>
    </r>
    <phoneticPr fontId="10" type="noConversion"/>
  </si>
  <si>
    <r>
      <rPr>
        <b/>
        <sz val="14"/>
        <rFont val="宋体"/>
        <family val="3"/>
        <charset val="134"/>
      </rPr>
      <t>在建工程分析表</t>
    </r>
    <phoneticPr fontId="10" type="noConversion"/>
  </si>
  <si>
    <r>
      <rPr>
        <b/>
        <sz val="14"/>
        <rFont val="宋体"/>
        <family val="3"/>
        <charset val="134"/>
      </rPr>
      <t>转固时点检查表</t>
    </r>
    <phoneticPr fontId="10" type="noConversion"/>
  </si>
  <si>
    <r>
      <rPr>
        <b/>
        <sz val="12"/>
        <rFont val="宋体"/>
        <family val="3"/>
        <charset val="134"/>
      </rPr>
      <t>致同会计师事务所</t>
    </r>
    <phoneticPr fontId="10" type="noConversion"/>
  </si>
  <si>
    <r>
      <rPr>
        <b/>
        <sz val="14"/>
        <rFont val="宋体"/>
        <family val="3"/>
        <charset val="134"/>
      </rPr>
      <t>在建工程－</t>
    </r>
    <r>
      <rPr>
        <b/>
        <sz val="14"/>
        <rFont val="Arial Narrow"/>
        <family val="2"/>
      </rPr>
      <t>XX</t>
    </r>
    <r>
      <rPr>
        <b/>
        <sz val="14"/>
        <rFont val="宋体"/>
        <family val="3"/>
        <charset val="134"/>
      </rPr>
      <t>项目</t>
    </r>
    <r>
      <rPr>
        <b/>
        <sz val="14"/>
        <rFont val="Arial Narrow"/>
        <family val="2"/>
      </rPr>
      <t>-XX</t>
    </r>
    <r>
      <rPr>
        <b/>
        <sz val="14"/>
        <rFont val="宋体"/>
        <family val="3"/>
        <charset val="134"/>
      </rPr>
      <t>子项目审核记录</t>
    </r>
    <phoneticPr fontId="10" type="noConversion"/>
  </si>
  <si>
    <r>
      <rPr>
        <b/>
        <sz val="14"/>
        <rFont val="宋体"/>
        <family val="3"/>
        <charset val="134"/>
      </rPr>
      <t>工程造价比较分析表</t>
    </r>
    <phoneticPr fontId="76" type="noConversion"/>
  </si>
  <si>
    <r>
      <rPr>
        <b/>
        <sz val="14"/>
        <rFont val="宋体"/>
        <family val="3"/>
        <charset val="134"/>
      </rPr>
      <t>在建工程增加检查表</t>
    </r>
    <phoneticPr fontId="10" type="noConversion"/>
  </si>
  <si>
    <r>
      <rPr>
        <b/>
        <sz val="14"/>
        <rFont val="宋体"/>
        <family val="3"/>
        <charset val="134"/>
      </rPr>
      <t>在建工程减少检查表</t>
    </r>
    <phoneticPr fontId="10" type="noConversion"/>
  </si>
  <si>
    <r>
      <rPr>
        <b/>
        <sz val="14"/>
        <rFont val="宋体"/>
        <family val="3"/>
        <charset val="134"/>
      </rPr>
      <t>在建工程利息资本化测算表（无专门借款）</t>
    </r>
    <phoneticPr fontId="10" type="noConversion"/>
  </si>
  <si>
    <r>
      <rPr>
        <b/>
        <sz val="14"/>
        <rFont val="宋体"/>
        <family val="3"/>
        <charset val="134"/>
      </rPr>
      <t>在建工程利息资本化测算表（存在专门借款）</t>
    </r>
    <phoneticPr fontId="10" type="noConversion"/>
  </si>
  <si>
    <r>
      <rPr>
        <b/>
        <sz val="14"/>
        <rFont val="宋体"/>
        <family val="3"/>
        <charset val="134"/>
      </rPr>
      <t>在建工程监盘计划</t>
    </r>
    <phoneticPr fontId="10" type="noConversion"/>
  </si>
  <si>
    <r>
      <rPr>
        <b/>
        <sz val="14"/>
        <rFont val="宋体"/>
        <family val="3"/>
        <charset val="134"/>
      </rPr>
      <t>在建工程盘点检查表</t>
    </r>
    <phoneticPr fontId="10" type="noConversion"/>
  </si>
  <si>
    <r>
      <rPr>
        <b/>
        <sz val="14"/>
        <rFont val="宋体"/>
        <family val="3"/>
        <charset val="134"/>
      </rPr>
      <t>在建工程监盘小结</t>
    </r>
    <phoneticPr fontId="10" type="noConversion"/>
  </si>
  <si>
    <r>
      <rPr>
        <b/>
        <sz val="14"/>
        <rFont val="宋体"/>
        <family val="3"/>
        <charset val="134"/>
      </rPr>
      <t>在建工程减值测算表</t>
    </r>
    <phoneticPr fontId="10" type="noConversion"/>
  </si>
  <si>
    <r>
      <rPr>
        <b/>
        <sz val="14"/>
        <rFont val="宋体"/>
        <family val="3"/>
        <charset val="134"/>
      </rPr>
      <t>关联交易检查表</t>
    </r>
    <phoneticPr fontId="10" type="noConversion"/>
  </si>
  <si>
    <r>
      <rPr>
        <b/>
        <sz val="14"/>
        <rFont val="宋体"/>
        <family val="3"/>
        <charset val="134"/>
      </rPr>
      <t>在建工程减值准备测试表</t>
    </r>
    <r>
      <rPr>
        <b/>
        <sz val="14"/>
        <rFont val="Arial Narrow"/>
        <family val="2"/>
      </rPr>
      <t>-</t>
    </r>
    <r>
      <rPr>
        <b/>
        <sz val="14"/>
        <rFont val="宋体"/>
        <family val="3"/>
        <charset val="134"/>
      </rPr>
      <t>可收回金额</t>
    </r>
    <phoneticPr fontId="10" type="noConversion"/>
  </si>
  <si>
    <r>
      <rPr>
        <b/>
        <sz val="10"/>
        <rFont val="宋体"/>
        <family val="3"/>
        <charset val="134"/>
      </rPr>
      <t>索引号</t>
    </r>
    <phoneticPr fontId="10" type="noConversion"/>
  </si>
  <si>
    <r>
      <rPr>
        <b/>
        <sz val="10"/>
        <rFont val="宋体"/>
        <family val="3"/>
        <charset val="134"/>
      </rPr>
      <t>备注</t>
    </r>
    <phoneticPr fontId="10" type="noConversion"/>
  </si>
  <si>
    <t>在建工程实质性程序表</t>
    <phoneticPr fontId="10" type="noConversion"/>
  </si>
  <si>
    <t>索引号：</t>
    <phoneticPr fontId="10" type="noConversion"/>
  </si>
  <si>
    <t>页  次：</t>
    <phoneticPr fontId="10" type="noConversion"/>
  </si>
  <si>
    <t>H0</t>
    <phoneticPr fontId="10" type="noConversion"/>
  </si>
  <si>
    <t>致同会计师事务所</t>
    <phoneticPr fontId="10" type="noConversion"/>
  </si>
  <si>
    <t>致同会计师事务所</t>
    <phoneticPr fontId="10" type="noConversion"/>
  </si>
  <si>
    <t>在建工程明细表</t>
    <phoneticPr fontId="10" type="noConversion"/>
  </si>
  <si>
    <t>在建工程明细表</t>
    <phoneticPr fontId="10"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</si>
  <si>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数量、金额</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&lt;XX&gt;</t>
    </r>
    <r>
      <rPr>
        <sz val="10"/>
        <color rgb="FF0000FF"/>
        <rFont val="宋体"/>
        <family val="3"/>
        <charset val="134"/>
      </rPr>
      <t>底稿</t>
    </r>
    <phoneticPr fontId="10" type="noConversion"/>
  </si>
  <si>
    <r>
      <t>1.</t>
    </r>
    <r>
      <rPr>
        <sz val="10"/>
        <color indexed="12"/>
        <rFont val="宋体"/>
        <family val="3"/>
        <charset val="134"/>
      </rPr>
      <t>资金来源应区分募股资金、金融机构贷款和其他来源等。</t>
    </r>
    <phoneticPr fontId="10" type="noConversion"/>
  </si>
  <si>
    <r>
      <t>2.</t>
    </r>
    <r>
      <rPr>
        <sz val="10"/>
        <color indexed="12"/>
        <rFont val="宋体"/>
        <family val="3"/>
        <charset val="134"/>
      </rPr>
      <t>用于确定借款费用资本化金额的资本化率应单独披露。</t>
    </r>
    <phoneticPr fontId="10" type="noConversion"/>
  </si>
  <si>
    <r>
      <rPr>
        <b/>
        <sz val="10"/>
        <rFont val="宋体"/>
        <family val="3"/>
        <charset val="134"/>
      </rPr>
      <t>类别</t>
    </r>
    <phoneticPr fontId="10" type="noConversion"/>
  </si>
  <si>
    <r>
      <rPr>
        <b/>
        <sz val="10"/>
        <rFont val="宋体"/>
        <family val="3"/>
        <charset val="134"/>
      </rPr>
      <t>期末余额</t>
    </r>
  </si>
  <si>
    <r>
      <rPr>
        <b/>
        <sz val="10"/>
        <rFont val="宋体"/>
        <family val="3"/>
        <charset val="134"/>
      </rPr>
      <t>减值准备</t>
    </r>
    <phoneticPr fontId="10" type="noConversion"/>
  </si>
  <si>
    <r>
      <rPr>
        <b/>
        <sz val="10"/>
        <rFont val="宋体"/>
        <family val="3"/>
        <charset val="134"/>
      </rPr>
      <t>计量单位</t>
    </r>
  </si>
  <si>
    <r>
      <rPr>
        <b/>
        <sz val="10"/>
        <rFont val="宋体"/>
        <family val="3"/>
        <charset val="134"/>
      </rPr>
      <t>数量</t>
    </r>
    <phoneticPr fontId="10" type="noConversion"/>
  </si>
  <si>
    <r>
      <rPr>
        <b/>
        <sz val="10"/>
        <rFont val="宋体"/>
        <family val="3"/>
        <charset val="134"/>
      </rPr>
      <t>计划监盘数量</t>
    </r>
    <phoneticPr fontId="10" type="noConversion"/>
  </si>
  <si>
    <r>
      <rPr>
        <b/>
        <sz val="10"/>
        <rFont val="宋体"/>
        <family val="3"/>
        <charset val="134"/>
      </rPr>
      <t>计划监盘金额</t>
    </r>
    <phoneticPr fontId="10" type="noConversion"/>
  </si>
  <si>
    <r>
      <rPr>
        <b/>
        <sz val="10"/>
        <rFont val="宋体"/>
        <family val="3"/>
        <charset val="134"/>
      </rPr>
      <t>监盘比例</t>
    </r>
    <phoneticPr fontId="10" type="noConversion"/>
  </si>
  <si>
    <t>啊啊</t>
    <phoneticPr fontId="10" type="noConversion"/>
  </si>
  <si>
    <t>啊</t>
    <phoneticPr fontId="10" type="noConversion"/>
  </si>
  <si>
    <r>
      <rPr>
        <b/>
        <sz val="10"/>
        <rFont val="宋体"/>
        <family val="3"/>
        <charset val="134"/>
      </rPr>
      <t>合计：</t>
    </r>
    <phoneticPr fontId="10" type="noConversion"/>
  </si>
  <si>
    <t>三、审计说明</t>
    <phoneticPr fontId="10" type="noConversion"/>
  </si>
  <si>
    <t>四、审计结论</t>
    <phoneticPr fontId="10" type="noConversion"/>
  </si>
  <si>
    <t>监理报告</t>
    <phoneticPr fontId="10" type="noConversion"/>
  </si>
  <si>
    <t>完工情况</t>
    <phoneticPr fontId="10" type="noConversion"/>
  </si>
  <si>
    <t>2</t>
    <phoneticPr fontId="10" type="noConversion"/>
  </si>
  <si>
    <t>3</t>
    <phoneticPr fontId="10" type="noConversion"/>
  </si>
  <si>
    <t>8</t>
  </si>
  <si>
    <t>9</t>
  </si>
  <si>
    <t>10</t>
  </si>
  <si>
    <t>11</t>
  </si>
  <si>
    <t>12</t>
  </si>
  <si>
    <t>13</t>
  </si>
  <si>
    <t>14</t>
  </si>
  <si>
    <t>15</t>
  </si>
  <si>
    <t>16</t>
  </si>
  <si>
    <t>17</t>
  </si>
  <si>
    <t>18</t>
  </si>
  <si>
    <r>
      <rPr>
        <b/>
        <sz val="10"/>
        <rFont val="宋体"/>
        <family val="3"/>
        <charset val="134"/>
      </rPr>
      <t>（</t>
    </r>
    <r>
      <rPr>
        <b/>
        <sz val="10"/>
        <rFont val="Arial Narrow"/>
        <family val="2"/>
      </rPr>
      <t>1</t>
    </r>
    <r>
      <rPr>
        <b/>
        <sz val="10"/>
        <rFont val="宋体"/>
        <family val="3"/>
        <charset val="134"/>
      </rPr>
      <t>）向合并范围外关联方采购在建工程</t>
    </r>
    <phoneticPr fontId="10" type="noConversion"/>
  </si>
  <si>
    <r>
      <rPr>
        <b/>
        <sz val="10"/>
        <rFont val="宋体"/>
        <family val="3"/>
        <charset val="134"/>
      </rPr>
      <t>（</t>
    </r>
    <r>
      <rPr>
        <b/>
        <sz val="10"/>
        <rFont val="Arial Narrow"/>
        <family val="2"/>
      </rPr>
      <t>2</t>
    </r>
    <r>
      <rPr>
        <b/>
        <sz val="10"/>
        <rFont val="宋体"/>
        <family val="3"/>
        <charset val="134"/>
      </rPr>
      <t>）向合并范围外关联方出售在建工程</t>
    </r>
    <phoneticPr fontId="10"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</si>
  <si>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0" type="noConversion"/>
  </si>
  <si>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phoneticPr fontId="10" type="noConversion"/>
  </si>
  <si>
    <t>提示：本底稿适用于调整分录较多、较复杂的项目，且仅列示与本报表项目相关的审计调整。项目组可根据项目实际情况选择是否使用该底稿。</t>
  </si>
  <si>
    <t>根据评估的舞弊风险等因素增加的审计程序。</t>
    <phoneticPr fontId="10" type="noConversion"/>
  </si>
  <si>
    <t>结合在建工程清单和盘点程序，了解在建工程的状态。针对存在减值迹象的在建工程，考虑执行下列程序：
获取被审计单位在资产负债表日就在建工程是否可能发生减值迹象的判断的说明，判断其合理性。对于已计提减值准备的在建工程，检查减值测试相关参数是否合理，减值准备计提是否正确。对于管理层聘请评估专家出具的评估报告，复核评估报告。</t>
    <phoneticPr fontId="10" type="noConversion"/>
  </si>
  <si>
    <t>提示：</t>
  </si>
  <si>
    <t>提示：</t>
    <phoneticPr fontId="10" type="noConversion"/>
  </si>
  <si>
    <t>提示</t>
    <phoneticPr fontId="10" type="noConversion"/>
  </si>
  <si>
    <t>提示：</t>
    <phoneticPr fontId="10" type="noConversion"/>
  </si>
  <si>
    <t>提示</t>
    <phoneticPr fontId="10" type="noConversion"/>
  </si>
  <si>
    <t>提示：</t>
    <phoneticPr fontId="10" type="noConversion"/>
  </si>
  <si>
    <t>完整性</t>
    <phoneticPr fontId="10" type="noConversion"/>
  </si>
  <si>
    <t>序号</t>
    <phoneticPr fontId="10" type="noConversion"/>
  </si>
  <si>
    <t>存在</t>
    <phoneticPr fontId="10" type="noConversion"/>
  </si>
  <si>
    <t>程序分类</t>
    <phoneticPr fontId="10" type="noConversion"/>
  </si>
  <si>
    <t>底稿索引号</t>
    <phoneticPr fontId="10" type="noConversion"/>
  </si>
  <si>
    <t>序号</t>
    <phoneticPr fontId="10" type="noConversion"/>
  </si>
  <si>
    <t>财务报表的认定</t>
    <phoneticPr fontId="10" type="noConversion"/>
  </si>
  <si>
    <t>权利和
义务</t>
    <phoneticPr fontId="10" type="noConversion"/>
  </si>
  <si>
    <t>准确性、计价和分摊</t>
    <phoneticPr fontId="10" type="noConversion"/>
  </si>
  <si>
    <t>列报</t>
    <phoneticPr fontId="10" type="noConversion"/>
  </si>
  <si>
    <r>
      <t>对期初余额，取得上期在建工程明细表复核加计是否正确，与总账、明细账合计数是否相符；对单项金额重大资产，进行实地查看资产或检查支持性文件；检查期初在建工程在本期增减变动情况，其他必要追加的审计程序。</t>
    </r>
    <r>
      <rPr>
        <sz val="10"/>
        <color rgb="FFFF0000"/>
        <rFont val="宋体"/>
        <family val="3"/>
        <charset val="134"/>
      </rPr>
      <t>（适用于首次承接）</t>
    </r>
    <phoneticPr fontId="10" type="noConversion"/>
  </si>
  <si>
    <r>
      <rPr>
        <b/>
        <sz val="10"/>
        <rFont val="宋体"/>
        <family val="3"/>
        <charset val="134"/>
      </rPr>
      <t>√</t>
    </r>
    <phoneticPr fontId="10" type="noConversion"/>
  </si>
  <si>
    <r>
      <rPr>
        <sz val="10"/>
        <rFont val="宋体"/>
        <family val="3"/>
        <charset val="134"/>
      </rPr>
      <t>√</t>
    </r>
    <phoneticPr fontId="10" type="noConversion"/>
  </si>
  <si>
    <t>了解在建工程转固定资产、生产性生物资产、油气资产等政策，分析转固政策是否符合会计准则及相关规定，分析转固政策是否合理。检查是否存在推迟在建工程转固时间或外购固定资产达到预定使用状态时间等延迟固定资产开始计提折旧时间的情况，</t>
    <phoneticPr fontId="10" type="noConversion"/>
  </si>
  <si>
    <r>
      <rPr>
        <sz val="10"/>
        <rFont val="宋体"/>
        <family val="3"/>
        <charset val="134"/>
      </rPr>
      <t>检查在建工程本期增加：
（</t>
    </r>
    <r>
      <rPr>
        <sz val="10"/>
        <rFont val="Arial Narrow"/>
        <family val="2"/>
      </rPr>
      <t>1</t>
    </r>
    <r>
      <rPr>
        <sz val="10"/>
        <rFont val="宋体"/>
        <family val="3"/>
        <charset val="134"/>
      </rPr>
      <t>）询问管理层当年在建工程的增加情况，并与获取或编制的在建工程明细表进行核对。
（</t>
    </r>
    <r>
      <rPr>
        <sz val="10"/>
        <rFont val="Arial Narrow"/>
        <family val="2"/>
      </rPr>
      <t>2</t>
    </r>
    <r>
      <rPr>
        <sz val="10"/>
        <rFont val="宋体"/>
        <family val="3"/>
        <charset val="134"/>
      </rPr>
      <t>）查阅公司资本支出预算、公司相关会议决议等，检查本年度增加的在建工程是否全部得到记录。
（</t>
    </r>
    <r>
      <rPr>
        <sz val="10"/>
        <rFont val="Arial Narrow"/>
        <family val="2"/>
      </rPr>
      <t>3</t>
    </r>
    <r>
      <rPr>
        <sz val="10"/>
        <rFont val="宋体"/>
        <family val="3"/>
        <charset val="134"/>
      </rPr>
      <t>）检查本年度增加的在建工程的原始凭证是否完整，如立项申请、工程借款合同、施工合同、发票、工程物资请购申请、付款单据、建设合同、运单、验收报告等是否完整，计价是否正确。
（</t>
    </r>
    <r>
      <rPr>
        <sz val="10"/>
        <rFont val="Arial Narrow"/>
        <family val="2"/>
      </rPr>
      <t>4</t>
    </r>
    <r>
      <rPr>
        <sz val="10"/>
        <rFont val="宋体"/>
        <family val="3"/>
        <charset val="134"/>
      </rPr>
      <t>）检查借款费用资本化的计算是否正确，包括用于计算确定借款费用资本化金额的资本化率、实际支出数以及资本化的开始和停止时间等。</t>
    </r>
    <phoneticPr fontId="5" type="noConversion"/>
  </si>
  <si>
    <r>
      <rPr>
        <sz val="10"/>
        <rFont val="宋体"/>
        <family val="3"/>
        <charset val="134"/>
      </rPr>
      <t>检查在建工程本期减少：
（</t>
    </r>
    <r>
      <rPr>
        <sz val="10"/>
        <rFont val="Arial Narrow"/>
        <family val="2"/>
      </rPr>
      <t>1</t>
    </r>
    <r>
      <rPr>
        <sz val="10"/>
        <rFont val="宋体"/>
        <family val="3"/>
        <charset val="134"/>
      </rPr>
      <t>）检查已完工工程项目的竣工决算报告、验收交接单等相关凭证以及其他转出数的原始凭证，检查会计处理是否正确。
（</t>
    </r>
    <r>
      <rPr>
        <sz val="10"/>
        <rFont val="Arial Narrow"/>
        <family val="2"/>
      </rPr>
      <t>2</t>
    </r>
    <r>
      <rPr>
        <sz val="10"/>
        <rFont val="宋体"/>
        <family val="3"/>
        <charset val="134"/>
      </rPr>
      <t>）对于已达到预定可使用状态但尚未办理竣工决算的在建工程，考虑是否按照估计价值转出有关固定资产成本，并计提折旧</t>
    </r>
    <r>
      <rPr>
        <sz val="10"/>
        <rFont val="Arial Narrow"/>
        <family val="2"/>
      </rPr>
      <t>/</t>
    </r>
    <r>
      <rPr>
        <sz val="10"/>
        <rFont val="宋体"/>
        <family val="3"/>
        <charset val="134"/>
      </rPr>
      <t>折耗；待办理竣工决算后，是否再按实际成本调整原来的暂估价值，但不需调整原已计提的折旧</t>
    </r>
    <r>
      <rPr>
        <sz val="10"/>
        <rFont val="Arial Narrow"/>
        <family val="2"/>
      </rPr>
      <t>/</t>
    </r>
    <r>
      <rPr>
        <sz val="10"/>
        <rFont val="宋体"/>
        <family val="3"/>
        <charset val="134"/>
      </rPr>
      <t>折耗。
（</t>
    </r>
    <r>
      <rPr>
        <sz val="10"/>
        <rFont val="Arial Narrow"/>
        <family val="2"/>
      </rPr>
      <t>3</t>
    </r>
    <r>
      <rPr>
        <sz val="10"/>
        <rFont val="宋体"/>
        <family val="3"/>
        <charset val="134"/>
      </rPr>
      <t>）结合固定资产审计，考虑在建工程转销额是否正确，是否存在将已经达到预定可使用状态的固定资产挂列在建工程，少计折旧</t>
    </r>
    <r>
      <rPr>
        <sz val="10"/>
        <rFont val="Arial Narrow"/>
        <family val="2"/>
      </rPr>
      <t>/</t>
    </r>
    <r>
      <rPr>
        <sz val="10"/>
        <rFont val="宋体"/>
        <family val="3"/>
        <charset val="134"/>
      </rPr>
      <t>折耗。</t>
    </r>
    <phoneticPr fontId="10" type="noConversion"/>
  </si>
  <si>
    <t xml:space="preserve">存放其他地方的资产（如有），考虑实地观察或函证由其他人保管或保管在盘点地之外的资产。 </t>
    <phoneticPr fontId="10" type="noConversion"/>
  </si>
  <si>
    <r>
      <rPr>
        <sz val="10"/>
        <rFont val="宋体"/>
        <family val="3"/>
        <charset val="134"/>
      </rPr>
      <t>识别当期新增的单项重要资产，考虑执行下列程序：
（</t>
    </r>
    <r>
      <rPr>
        <sz val="10"/>
        <rFont val="Arial Narrow"/>
        <family val="2"/>
      </rPr>
      <t>1</t>
    </r>
    <r>
      <rPr>
        <sz val="10"/>
        <rFont val="宋体"/>
        <family val="3"/>
        <charset val="134"/>
      </rPr>
      <t>）分析单位工程造价，关注其是否合理、是否与同业公司存在重大差异并调查原因，必要时，利用专家的工作。
（</t>
    </r>
    <r>
      <rPr>
        <sz val="10"/>
        <rFont val="Arial Narrow"/>
        <family val="2"/>
      </rPr>
      <t>2</t>
    </r>
    <r>
      <rPr>
        <sz val="10"/>
        <rFont val="宋体"/>
        <family val="3"/>
        <charset val="134"/>
      </rPr>
      <t>）重大或异常工程项目，应对其施工方或设备供应商实施实地走访程序（具体程序请参考存货循环供应商走访程序）。</t>
    </r>
    <phoneticPr fontId="10" type="noConversion"/>
  </si>
  <si>
    <r>
      <rPr>
        <sz val="10"/>
        <rFont val="宋体"/>
        <family val="3"/>
        <charset val="134"/>
      </rPr>
      <t>获取或编制在建工程的明细表，完成以下工作，并编制审定表：
（</t>
    </r>
    <r>
      <rPr>
        <sz val="10"/>
        <rFont val="Arial Narrow"/>
        <family val="2"/>
      </rPr>
      <t>1</t>
    </r>
    <r>
      <rPr>
        <sz val="10"/>
        <rFont val="宋体"/>
        <family val="3"/>
        <charset val="134"/>
      </rPr>
      <t>）复核加计是否正确，并与总账数和明细账合计数核对是否相符，期初余额与上期审定期末余额是否相符；
（</t>
    </r>
    <r>
      <rPr>
        <sz val="10"/>
        <rFont val="Arial Narrow"/>
        <family val="2"/>
      </rPr>
      <t>2</t>
    </r>
    <r>
      <rPr>
        <sz val="10"/>
        <rFont val="宋体"/>
        <family val="3"/>
        <charset val="134"/>
      </rPr>
      <t>）结合银行借款等项目的检查，了解在建工程是否存在抵押、担保情况；
（</t>
    </r>
    <r>
      <rPr>
        <sz val="10"/>
        <rFont val="Arial Narrow"/>
        <family val="2"/>
      </rPr>
      <t>3</t>
    </r>
    <r>
      <rPr>
        <sz val="10"/>
        <rFont val="宋体"/>
        <family val="3"/>
        <charset val="134"/>
      </rPr>
      <t>）根据工程结算单，核对各项目施工进度尾款与工程明细、复核工程奖励款是否与合同一致。（如有）
（</t>
    </r>
    <r>
      <rPr>
        <sz val="10"/>
        <rFont val="Arial Narrow"/>
        <family val="2"/>
      </rPr>
      <t>4</t>
    </r>
    <r>
      <rPr>
        <sz val="10"/>
        <rFont val="宋体"/>
        <family val="3"/>
        <charset val="134"/>
      </rPr>
      <t>）询问闲置资产或未入账资产处置情况（如有）。</t>
    </r>
    <r>
      <rPr>
        <sz val="10"/>
        <rFont val="Arial Narrow"/>
        <family val="2"/>
      </rPr>
      <t xml:space="preserve"> </t>
    </r>
    <phoneticPr fontId="10" type="noConversion"/>
  </si>
  <si>
    <t>检查在建工程、抵押和担保情况、资本性支出承诺等是否已按企业会计准则或其他适用的规定在财务报表中做出恰当列报和披露</t>
    <phoneticPr fontId="5" type="noConversion"/>
  </si>
  <si>
    <t>如被审计单位是上市公司，将在建工程增减数与募集资金使用情况的披露进行核对。</t>
    <phoneticPr fontId="5" type="noConversion"/>
  </si>
  <si>
    <t>IPO/上市公司</t>
    <phoneticPr fontId="10" type="noConversion"/>
  </si>
  <si>
    <r>
      <rPr>
        <sz val="10"/>
        <rFont val="宋体"/>
        <family val="3"/>
        <charset val="134"/>
      </rPr>
      <t>√</t>
    </r>
    <phoneticPr fontId="10" type="noConversion"/>
  </si>
  <si>
    <t>IPO/上市/新三板/重组/舞弊应对</t>
    <phoneticPr fontId="5" type="noConversion"/>
  </si>
  <si>
    <r>
      <rPr>
        <b/>
        <sz val="10"/>
        <rFont val="宋体"/>
        <family val="3"/>
        <charset val="134"/>
      </rPr>
      <t>√</t>
    </r>
    <phoneticPr fontId="10" type="noConversion"/>
  </si>
  <si>
    <r>
      <rPr>
        <sz val="10"/>
        <rFont val="宋体"/>
        <family val="3"/>
        <charset val="134"/>
      </rPr>
      <t>√</t>
    </r>
    <phoneticPr fontId="10" type="noConversion"/>
  </si>
  <si>
    <r>
      <rPr>
        <sz val="10"/>
        <rFont val="宋体"/>
        <family val="3"/>
        <charset val="134"/>
      </rPr>
      <t>√</t>
    </r>
    <phoneticPr fontId="10" type="noConversion"/>
  </si>
  <si>
    <r>
      <rPr>
        <sz val="10"/>
        <rFont val="宋体"/>
        <family val="3"/>
        <charset val="134"/>
      </rPr>
      <t>√</t>
    </r>
    <phoneticPr fontId="10" type="noConversion"/>
  </si>
  <si>
    <r>
      <rPr>
        <b/>
        <sz val="10"/>
        <rFont val="宋体"/>
        <family val="3"/>
        <charset val="134"/>
      </rPr>
      <t>√</t>
    </r>
    <phoneticPr fontId="10" type="noConversion"/>
  </si>
  <si>
    <t>H2-1
/H2-2</t>
    <phoneticPr fontId="10" type="noConversion"/>
  </si>
  <si>
    <t>T1
/</t>
    <phoneticPr fontId="10" type="noConversion"/>
  </si>
  <si>
    <r>
      <t>1.</t>
    </r>
    <r>
      <rPr>
        <sz val="10"/>
        <color indexed="8"/>
        <rFont val="宋体"/>
        <family val="3"/>
        <charset val="134"/>
      </rPr>
      <t>资产负债表中记录的在建工程是存在的，且已记录于恰当的账户；</t>
    </r>
    <r>
      <rPr>
        <sz val="10"/>
        <color indexed="8"/>
        <rFont val="Arial Narrow"/>
        <family val="2"/>
      </rPr>
      <t>2.</t>
    </r>
    <r>
      <rPr>
        <sz val="10"/>
        <color indexed="8"/>
        <rFont val="宋体"/>
        <family val="3"/>
        <charset val="134"/>
      </rPr>
      <t>所有应记录的在建工程均已记录，所有应当包括在财务报表中的相关披露均已包括；</t>
    </r>
    <r>
      <rPr>
        <sz val="10"/>
        <color indexed="8"/>
        <rFont val="Arial Narrow"/>
        <family val="2"/>
      </rPr>
      <t/>
    </r>
    <phoneticPr fontId="14" type="noConversion"/>
  </si>
  <si>
    <r>
      <t>3.</t>
    </r>
    <r>
      <rPr>
        <sz val="10"/>
        <color indexed="8"/>
        <rFont val="宋体"/>
        <family val="3"/>
        <charset val="134"/>
      </rPr>
      <t>在建工程以恰当的金额包括在财务报表中，与之相关的计价或分摊调整已恰当记录，相关披露已得到恰当计量和描述；</t>
    </r>
    <phoneticPr fontId="10" type="noConversion"/>
  </si>
  <si>
    <t>……</t>
    <phoneticPr fontId="10" type="noConversion"/>
  </si>
  <si>
    <r>
      <rPr>
        <b/>
        <sz val="10"/>
        <rFont val="宋体"/>
        <family val="3"/>
        <charset val="134"/>
      </rPr>
      <t>一、审计目标：</t>
    </r>
    <r>
      <rPr>
        <sz val="10"/>
        <rFont val="Arial Narrow"/>
        <family val="2"/>
      </rPr>
      <t/>
    </r>
    <phoneticPr fontId="10" type="noConversion"/>
  </si>
  <si>
    <r>
      <t>3.</t>
    </r>
    <r>
      <rPr>
        <sz val="10"/>
        <rFont val="宋体"/>
        <family val="3"/>
        <charset val="134"/>
      </rPr>
      <t>在建工程以恰当的金额包括在财务报表中，与之相关的计价或分摊调整已恰当记录，相关披露已得到恰当计量和描述；</t>
    </r>
  </si>
  <si>
    <t>序号</t>
    <phoneticPr fontId="10" type="noConversion"/>
  </si>
  <si>
    <t>项目</t>
  </si>
  <si>
    <t>工程项目总造价</t>
    <phoneticPr fontId="10" type="noConversion"/>
  </si>
  <si>
    <t>建筑面积</t>
    <phoneticPr fontId="10" type="noConversion"/>
  </si>
  <si>
    <t>单方造价</t>
    <phoneticPr fontId="10" type="noConversion"/>
  </si>
  <si>
    <r>
      <t>可比价</t>
    </r>
    <r>
      <rPr>
        <b/>
        <sz val="10"/>
        <color rgb="FF000000"/>
        <rFont val="宋体"/>
        <family val="3"/>
        <charset val="134"/>
      </rPr>
      <t>1</t>
    </r>
  </si>
  <si>
    <r>
      <t>可比价</t>
    </r>
    <r>
      <rPr>
        <b/>
        <sz val="10"/>
        <color rgb="FF000000"/>
        <rFont val="宋体"/>
        <family val="3"/>
        <charset val="134"/>
      </rPr>
      <t>2</t>
    </r>
    <phoneticPr fontId="10" type="noConversion"/>
  </si>
  <si>
    <r>
      <t>可比价</t>
    </r>
    <r>
      <rPr>
        <b/>
        <sz val="10"/>
        <color rgb="FF000000"/>
        <rFont val="宋体"/>
        <family val="3"/>
        <charset val="134"/>
      </rPr>
      <t>3</t>
    </r>
    <phoneticPr fontId="10" type="noConversion"/>
  </si>
  <si>
    <t>可比价来源索引</t>
    <phoneticPr fontId="10" type="noConversion"/>
  </si>
  <si>
    <t>本期增加额</t>
    <phoneticPr fontId="10" type="noConversion"/>
  </si>
  <si>
    <t>本期计入现金流量金额</t>
    <phoneticPr fontId="10" type="noConversion"/>
  </si>
  <si>
    <t>差异</t>
    <phoneticPr fontId="10" type="noConversion"/>
  </si>
  <si>
    <t>差异原因</t>
    <phoneticPr fontId="10" type="noConversion"/>
  </si>
  <si>
    <t>增加方式</t>
    <phoneticPr fontId="10" type="noConversion"/>
  </si>
  <si>
    <t>增加日期</t>
    <phoneticPr fontId="10" type="noConversion"/>
  </si>
  <si>
    <t>凭证编号</t>
  </si>
  <si>
    <t>日期/编号</t>
    <phoneticPr fontId="10" type="noConversion"/>
  </si>
  <si>
    <t>单位</t>
    <phoneticPr fontId="10" type="noConversion"/>
  </si>
  <si>
    <t>日期/编号</t>
    <phoneticPr fontId="10" type="noConversion"/>
  </si>
  <si>
    <t>序号</t>
    <phoneticPr fontId="10" type="noConversion"/>
  </si>
  <si>
    <t>工程项目名称</t>
    <phoneticPr fontId="10" type="noConversion"/>
  </si>
  <si>
    <t>对方科目</t>
    <phoneticPr fontId="10" type="noConversion"/>
  </si>
  <si>
    <t>增加情况</t>
    <phoneticPr fontId="10" type="noConversion"/>
  </si>
  <si>
    <t>合同/协议/订单</t>
    <phoneticPr fontId="10" type="noConversion"/>
  </si>
  <si>
    <t>领料单</t>
    <phoneticPr fontId="10" type="noConversion"/>
  </si>
  <si>
    <t>采购发票</t>
    <phoneticPr fontId="10" type="noConversion"/>
  </si>
  <si>
    <t>索引号</t>
    <phoneticPr fontId="10" type="noConversion"/>
  </si>
  <si>
    <t>是否异常</t>
    <phoneticPr fontId="10" type="noConversion"/>
  </si>
  <si>
    <t>明细</t>
    <phoneticPr fontId="10" type="noConversion"/>
  </si>
  <si>
    <t>金额</t>
    <phoneticPr fontId="10" type="noConversion"/>
  </si>
  <si>
    <t>日期/编号</t>
    <phoneticPr fontId="10" type="noConversion"/>
  </si>
  <si>
    <t>对手方名称</t>
    <phoneticPr fontId="10" type="noConversion"/>
  </si>
  <si>
    <t>品名</t>
    <phoneticPr fontId="10" type="noConversion"/>
  </si>
  <si>
    <t>数量</t>
    <phoneticPr fontId="10" type="noConversion"/>
  </si>
  <si>
    <t>检查的关键证据和要素根据被审计单位具体情况修改</t>
    <phoneticPr fontId="10" type="noConversion"/>
  </si>
  <si>
    <t>是否经过恰当审批</t>
    <phoneticPr fontId="10" type="noConversion"/>
  </si>
  <si>
    <t>工程项目名称</t>
    <phoneticPr fontId="10" type="noConversion"/>
  </si>
  <si>
    <t>减少日期</t>
    <phoneticPr fontId="10" type="noConversion"/>
  </si>
  <si>
    <t>其他减少</t>
    <phoneticPr fontId="10" type="noConversion"/>
  </si>
  <si>
    <t>审批单</t>
    <phoneticPr fontId="10" type="noConversion"/>
  </si>
  <si>
    <t>验收单</t>
    <phoneticPr fontId="10" type="noConversion"/>
  </si>
  <si>
    <t>金额</t>
  </si>
  <si>
    <t>其中：利息资本化金额</t>
  </si>
  <si>
    <t>验收日期</t>
    <phoneticPr fontId="10" type="noConversion"/>
  </si>
  <si>
    <t>检查的关键证据和要素根据被审计单位具体情况修改</t>
    <phoneticPr fontId="10" type="noConversion"/>
  </si>
  <si>
    <t>转入固定资产</t>
    <phoneticPr fontId="10" type="noConversion"/>
  </si>
  <si>
    <t>索引号</t>
    <phoneticPr fontId="10" type="noConversion"/>
  </si>
  <si>
    <t>是否异常</t>
    <phoneticPr fontId="10" type="noConversion"/>
  </si>
  <si>
    <t>工程部盖章</t>
    <phoneticPr fontId="10" type="noConversion"/>
  </si>
  <si>
    <t>施工方盖章</t>
    <phoneticPr fontId="10" type="noConversion"/>
  </si>
  <si>
    <t>监理方盖章</t>
    <phoneticPr fontId="10" type="noConversion"/>
  </si>
  <si>
    <t>金额</t>
    <phoneticPr fontId="10" type="noConversion"/>
  </si>
  <si>
    <r>
      <rPr>
        <sz val="10"/>
        <rFont val="宋体"/>
        <family val="3"/>
        <charset val="134"/>
      </rPr>
      <t>抽盘地点：</t>
    </r>
    <r>
      <rPr>
        <sz val="10"/>
        <rFont val="Arial Narrow"/>
        <family val="2"/>
      </rPr>
      <t>______________</t>
    </r>
    <phoneticPr fontId="10" type="noConversion"/>
  </si>
  <si>
    <t>盘点人员：</t>
    <phoneticPr fontId="10" type="noConversion"/>
  </si>
  <si>
    <t>被审计单位仓库盘点人和财务监盘人签字</t>
    <phoneticPr fontId="10" type="noConversion"/>
  </si>
  <si>
    <t>监盘人员：</t>
    <phoneticPr fontId="10" type="noConversion"/>
  </si>
  <si>
    <t>（审计人员签字）</t>
    <phoneticPr fontId="10" type="noConversion"/>
  </si>
  <si>
    <r>
      <rPr>
        <sz val="10"/>
        <rFont val="宋体"/>
        <family val="3"/>
        <charset val="134"/>
      </rPr>
      <t>盘点时间：</t>
    </r>
    <r>
      <rPr>
        <sz val="10"/>
        <rFont val="Arial Narrow"/>
        <family val="2"/>
      </rPr>
      <t>__________________</t>
    </r>
    <phoneticPr fontId="10" type="noConversion"/>
  </si>
  <si>
    <t>如期末在建工程项目数量XX、金额XX</t>
    <phoneticPr fontId="10" type="noConversion"/>
  </si>
  <si>
    <r>
      <rPr>
        <sz val="10"/>
        <color rgb="FF0000FF"/>
        <rFont val="宋体"/>
        <family val="3"/>
        <charset val="134"/>
      </rPr>
      <t>测试总体扣除特定样本以外的样本，数量</t>
    </r>
    <r>
      <rPr>
        <sz val="10"/>
        <color rgb="FF0000FF"/>
        <rFont val="Arial Narrow"/>
        <family val="2"/>
      </rPr>
      <t>XX</t>
    </r>
    <r>
      <rPr>
        <sz val="10"/>
        <color rgb="FF0000FF"/>
        <rFont val="宋体"/>
        <family val="3"/>
        <charset val="134"/>
      </rPr>
      <t>、金额</t>
    </r>
    <r>
      <rPr>
        <sz val="10"/>
        <color rgb="FF0000FF"/>
        <rFont val="Arial Narrow"/>
        <family val="2"/>
      </rPr>
      <t>XX</t>
    </r>
    <phoneticPr fontId="10" type="noConversion"/>
  </si>
  <si>
    <r>
      <t>7.</t>
    </r>
    <r>
      <rPr>
        <sz val="10"/>
        <color rgb="FF0000FF"/>
        <rFont val="宋体"/>
        <family val="3"/>
        <charset val="134"/>
      </rPr>
      <t>重点关注被审计单位是否建立、健全资产减值准备计提和各项损失核销的内部控制制度，对资产减值损失做出适当估计，并根据会计准则及相关规定合理计提减值准备。</t>
    </r>
    <phoneticPr fontId="10" type="noConversion"/>
  </si>
  <si>
    <r>
      <t>9.</t>
    </r>
    <r>
      <rPr>
        <sz val="10"/>
        <color rgb="FF0000FF"/>
        <rFont val="宋体"/>
        <family val="3"/>
        <charset val="134"/>
      </rPr>
      <t>结合在建工程项目的审计，检查相关会计资料，重点关注被审计单位是否存在以下情形：利用计提资产</t>
    </r>
    <r>
      <rPr>
        <sz val="10"/>
        <color rgb="FF0000FF"/>
        <rFont val="Arial Narrow"/>
        <family val="2"/>
      </rPr>
      <t>j</t>
    </r>
    <r>
      <rPr>
        <sz val="10"/>
        <color rgb="FF0000FF"/>
        <rFont val="宋体"/>
        <family val="3"/>
        <charset val="134"/>
      </rPr>
      <t>减值准备人为调节各期利润，随意变更计提方法和计提比例，利用计提资产减值准备的机会</t>
    </r>
    <r>
      <rPr>
        <sz val="10"/>
        <color rgb="FF0000FF"/>
        <rFont val="Arial Narrow"/>
        <family val="2"/>
      </rPr>
      <t>“</t>
    </r>
    <r>
      <rPr>
        <sz val="10"/>
        <color rgb="FF0000FF"/>
        <rFont val="宋体"/>
        <family val="3"/>
        <charset val="134"/>
      </rPr>
      <t>一次亏足</t>
    </r>
    <r>
      <rPr>
        <sz val="10"/>
        <color rgb="FF0000FF"/>
        <rFont val="Arial Narrow"/>
        <family val="2"/>
      </rPr>
      <t>”</t>
    </r>
    <r>
      <rPr>
        <sz val="10"/>
        <color rgb="FF0000FF"/>
        <rFont val="宋体"/>
        <family val="3"/>
        <charset val="134"/>
      </rPr>
      <t>或随意调节利润的情形。</t>
    </r>
    <phoneticPr fontId="10" type="noConversion"/>
  </si>
  <si>
    <r>
      <t>8.</t>
    </r>
    <r>
      <rPr>
        <sz val="10"/>
        <color rgb="FF0000FF"/>
        <rFont val="宋体"/>
        <family val="3"/>
        <charset val="134"/>
      </rPr>
      <t>重点关注被审计单位是否定期检查在建工程是否出现减值迹象，如出现减值迹象，是否根据实际情况对在建工程进行减值测试；重点分析被审计单位按照会计准则及相关规定，对其存在的不良资产充分计提资产减值准备。</t>
    </r>
    <phoneticPr fontId="10" type="noConversion"/>
  </si>
  <si>
    <t>H2-6
/H2-8
/H2-10
/H2-11</t>
    <phoneticPr fontId="10" type="noConversion"/>
  </si>
  <si>
    <t>H2-8
/H2-9</t>
    <phoneticPr fontId="10" type="noConversion"/>
  </si>
  <si>
    <t>H2-12
/H2-13
/H2-14</t>
    <phoneticPr fontId="10" type="noConversion"/>
  </si>
  <si>
    <t>H2-15
/H2-16</t>
    <phoneticPr fontId="10" type="noConversion"/>
  </si>
  <si>
    <r>
      <t xml:space="preserve">H2-7
</t>
    </r>
    <r>
      <rPr>
        <sz val="10"/>
        <color rgb="FFFF0000"/>
        <rFont val="Arial Narrow"/>
        <family val="2"/>
      </rPr>
      <t>/H2-</t>
    </r>
    <phoneticPr fontId="10" type="noConversion"/>
  </si>
  <si>
    <r>
      <t>A 1-1/</t>
    </r>
    <r>
      <rPr>
        <sz val="10"/>
        <color rgb="FFFF0000"/>
        <rFont val="Arial Narrow"/>
        <family val="2"/>
      </rPr>
      <t>A1-15 /A1-16</t>
    </r>
    <phoneticPr fontId="10" type="noConversion"/>
  </si>
  <si>
    <r>
      <rPr>
        <sz val="10"/>
        <rFont val="宋体"/>
        <family val="3"/>
        <charset val="134"/>
      </rPr>
      <t>在建工程实地检查（盘点）程序：
（</t>
    </r>
    <r>
      <rPr>
        <sz val="10"/>
        <rFont val="Arial Narrow"/>
        <family val="2"/>
      </rPr>
      <t>1</t>
    </r>
    <r>
      <rPr>
        <sz val="10"/>
        <rFont val="宋体"/>
        <family val="3"/>
        <charset val="134"/>
      </rPr>
      <t>）取得公司在建工程清单，选择本期新增、长期停滞、容易侵占、重要、数量巨大、已损坏项目、存放在第三方及其他异常等在建工程项目进行实地检查；
（</t>
    </r>
    <r>
      <rPr>
        <sz val="10"/>
        <rFont val="Arial Narrow"/>
        <family val="2"/>
      </rPr>
      <t>2</t>
    </r>
    <r>
      <rPr>
        <sz val="10"/>
        <rFont val="宋体"/>
        <family val="3"/>
        <charset val="134"/>
      </rPr>
      <t>）获取被审计单位对于在建工程的盘点计划，制定和实施监盘计划（如有）；
（</t>
    </r>
    <r>
      <rPr>
        <sz val="10"/>
        <rFont val="Arial Narrow"/>
        <family val="2"/>
      </rPr>
      <t>3</t>
    </r>
    <r>
      <rPr>
        <sz val="10"/>
        <rFont val="宋体"/>
        <family val="3"/>
        <charset val="134"/>
      </rPr>
      <t>）取得在建工程存放</t>
    </r>
    <r>
      <rPr>
        <sz val="10"/>
        <rFont val="Arial Narrow"/>
        <family val="2"/>
      </rPr>
      <t>/</t>
    </r>
    <r>
      <rPr>
        <sz val="10"/>
        <rFont val="宋体"/>
        <family val="3"/>
        <charset val="134"/>
      </rPr>
      <t>施工地点清单，初步确定监盘方式、时间、监盘计划；
（</t>
    </r>
    <r>
      <rPr>
        <sz val="10"/>
        <rFont val="Arial Narrow"/>
        <family val="2"/>
      </rPr>
      <t>4</t>
    </r>
    <r>
      <rPr>
        <sz val="10"/>
        <rFont val="宋体"/>
        <family val="3"/>
        <charset val="134"/>
      </rPr>
      <t>）观察被审计单位制定的盘点程序的执行情况
（</t>
    </r>
    <r>
      <rPr>
        <sz val="10"/>
        <rFont val="Arial Narrow"/>
        <family val="2"/>
      </rPr>
      <t>5</t>
    </r>
    <r>
      <rPr>
        <sz val="10"/>
        <rFont val="宋体"/>
        <family val="3"/>
        <charset val="134"/>
      </rPr>
      <t>）抽取项目实地检查在建工程的施工状态及形象进度（在建、停滞、闲置、毁损）；
（</t>
    </r>
    <r>
      <rPr>
        <sz val="10"/>
        <rFont val="Arial Narrow"/>
        <family val="2"/>
      </rPr>
      <t>6</t>
    </r>
    <r>
      <rPr>
        <sz val="10"/>
        <rFont val="宋体"/>
        <family val="3"/>
        <charset val="134"/>
      </rPr>
      <t>）评价在建工程盘点结果，完成监盘小结。</t>
    </r>
    <phoneticPr fontId="10" type="noConversion"/>
  </si>
  <si>
    <t>二、审计目标与认定的对应关系</t>
    <phoneticPr fontId="10" type="noConversion"/>
  </si>
  <si>
    <t>三、计划实施的实质性程序</t>
    <phoneticPr fontId="10" type="noConversion"/>
  </si>
  <si>
    <r>
      <rPr>
        <sz val="10"/>
        <color rgb="FF0000FF"/>
        <rFont val="宋体"/>
        <family val="3"/>
        <charset val="134"/>
      </rPr>
      <t>如在建工程借方发生额所有凭证共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
    </r>
    <phoneticPr fontId="10" type="noConversion"/>
  </si>
  <si>
    <r>
      <rPr>
        <sz val="10"/>
        <color rgb="FF0000FF"/>
        <rFont val="宋体"/>
        <family val="3"/>
        <charset val="134"/>
      </rPr>
      <t>如在建工程</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0" type="noConversion"/>
  </si>
  <si>
    <t>勿改、勿删</t>
    <phoneticPr fontId="10" type="noConversion"/>
  </si>
  <si>
    <r>
      <rPr>
        <b/>
        <sz val="10"/>
        <rFont val="宋体"/>
        <family val="3"/>
        <charset val="134"/>
      </rPr>
      <t>（正常</t>
    </r>
    <phoneticPr fontId="10" type="noConversion"/>
  </si>
  <si>
    <r>
      <rPr>
        <b/>
        <sz val="10"/>
        <rFont val="宋体"/>
        <family val="3"/>
        <charset val="134"/>
      </rPr>
      <t>进度状况描述</t>
    </r>
    <phoneticPr fontId="10" type="noConversion"/>
  </si>
  <si>
    <r>
      <rPr>
        <b/>
        <sz val="10"/>
        <rFont val="宋体"/>
        <family val="3"/>
        <charset val="134"/>
      </rPr>
      <t>是否达到可使用状态</t>
    </r>
    <phoneticPr fontId="10" type="noConversion"/>
  </si>
  <si>
    <r>
      <rPr>
        <b/>
        <sz val="10"/>
        <rFont val="宋体"/>
        <family val="3"/>
        <charset val="134"/>
      </rPr>
      <t>已停工时间</t>
    </r>
    <phoneticPr fontId="10" type="noConversion"/>
  </si>
  <si>
    <r>
      <rPr>
        <b/>
        <sz val="10"/>
        <rFont val="宋体"/>
        <family val="3"/>
        <charset val="134"/>
      </rPr>
      <t>停工原因</t>
    </r>
    <phoneticPr fontId="10" type="noConversion"/>
  </si>
  <si>
    <r>
      <rPr>
        <b/>
        <sz val="10"/>
        <rFont val="宋体"/>
        <family val="3"/>
        <charset val="134"/>
      </rPr>
      <t>（正常</t>
    </r>
    <phoneticPr fontId="10" type="noConversion"/>
  </si>
  <si>
    <r>
      <rPr>
        <sz val="10"/>
        <rFont val="宋体"/>
        <family val="3"/>
        <charset val="134"/>
      </rPr>
      <t>完整性</t>
    </r>
    <phoneticPr fontId="10" type="noConversion"/>
  </si>
  <si>
    <r>
      <rPr>
        <sz val="10"/>
        <rFont val="宋体"/>
        <family val="3"/>
        <charset val="134"/>
      </rPr>
      <t>权利和义务</t>
    </r>
    <phoneticPr fontId="10" type="noConversion"/>
  </si>
  <si>
    <t>审计目标</t>
    <phoneticPr fontId="10" type="noConversion"/>
  </si>
  <si>
    <t>截止日：202X年12月31日</t>
    <phoneticPr fontId="10" type="noConversion"/>
  </si>
  <si>
    <t>关于工作底稿与审计程序索引号对应的说明</t>
    <phoneticPr fontId="10"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</si>
  <si>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0"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</si>
  <si>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0"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</si>
  <si>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0"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</si>
  <si>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5" type="noConversion"/>
  </si>
  <si>
    <t>根据被审计单位实际情况和风险评估情况裁剪、修改或增加审计程序</t>
    <phoneticPr fontId="10" type="noConversion"/>
  </si>
  <si>
    <t>审计程序</t>
    <phoneticPr fontId="5" type="noConversion"/>
  </si>
  <si>
    <t>随机选样/系统选样/货币单元抽样/随意选样（非统计抽样适用）</t>
    <phoneticPr fontId="10" type="noConversion"/>
  </si>
  <si>
    <t>……</t>
    <phoneticPr fontId="10" type="noConversion"/>
  </si>
  <si>
    <t>2.……</t>
    <phoneticPr fontId="10" type="noConversion"/>
  </si>
  <si>
    <r>
      <rPr>
        <sz val="10"/>
        <color rgb="FFFF0000"/>
        <rFont val="宋体"/>
        <family val="3"/>
        <charset val="134"/>
      </rPr>
      <t>审计调整：冲回多记入在建工程的资本化利息</t>
    </r>
    <phoneticPr fontId="14" type="noConversion"/>
  </si>
  <si>
    <r>
      <t>Dr.</t>
    </r>
    <r>
      <rPr>
        <sz val="10"/>
        <color rgb="FFFF0000"/>
        <rFont val="宋体"/>
        <family val="3"/>
        <charset val="134"/>
      </rPr>
      <t>财务费用－利息支出</t>
    </r>
    <phoneticPr fontId="14" type="noConversion"/>
  </si>
  <si>
    <r>
      <t>Cr.</t>
    </r>
    <r>
      <rPr>
        <sz val="10"/>
        <color rgb="FFFF0000"/>
        <rFont val="宋体"/>
        <family val="3"/>
        <charset val="134"/>
      </rPr>
      <t>在建工程－期间费用－贷款利息</t>
    </r>
    <phoneticPr fontId="14" type="noConversion"/>
  </si>
  <si>
    <r>
      <rPr>
        <sz val="10"/>
        <rFont val="宋体"/>
        <family val="3"/>
        <charset val="134"/>
      </rPr>
      <t>控股股东、实际控制人的附属企业</t>
    </r>
    <phoneticPr fontId="10" type="noConversion"/>
  </si>
  <si>
    <r>
      <rPr>
        <sz val="10"/>
        <rFont val="宋体"/>
        <family val="3"/>
        <charset val="134"/>
      </rPr>
      <t>合营企业</t>
    </r>
    <phoneticPr fontId="10" type="noConversion"/>
  </si>
  <si>
    <r>
      <rPr>
        <sz val="10"/>
        <rFont val="宋体"/>
        <family val="3"/>
        <charset val="134"/>
      </rPr>
      <t>控股股东</t>
    </r>
    <phoneticPr fontId="10" type="noConversion"/>
  </si>
  <si>
    <r>
      <rPr>
        <sz val="10"/>
        <rFont val="宋体"/>
        <family val="3"/>
        <charset val="134"/>
      </rPr>
      <t>持有</t>
    </r>
    <r>
      <rPr>
        <sz val="10"/>
        <rFont val="Arial Narrow"/>
        <family val="2"/>
      </rPr>
      <t>5%</t>
    </r>
    <r>
      <rPr>
        <sz val="10"/>
        <rFont val="宋体"/>
        <family val="3"/>
        <charset val="134"/>
      </rPr>
      <t>以上股份的法人或其他组织</t>
    </r>
    <phoneticPr fontId="10" type="noConversion"/>
  </si>
  <si>
    <r>
      <rPr>
        <sz val="10"/>
        <rFont val="宋体"/>
        <family val="3"/>
        <charset val="134"/>
      </rPr>
      <t>联营企业</t>
    </r>
    <phoneticPr fontId="10" type="noConversion"/>
  </si>
  <si>
    <r>
      <rPr>
        <sz val="10"/>
        <rFont val="宋体"/>
        <family val="3"/>
        <charset val="134"/>
      </rPr>
      <t>董高监等关键管理人员</t>
    </r>
    <phoneticPr fontId="10" type="noConversion"/>
  </si>
  <si>
    <r>
      <rPr>
        <sz val="10"/>
        <rFont val="宋体"/>
        <family val="3"/>
        <charset val="134"/>
      </rPr>
      <t>其他关联方</t>
    </r>
    <phoneticPr fontId="10" type="noConversion"/>
  </si>
  <si>
    <r>
      <rPr>
        <sz val="10"/>
        <rFont val="宋体"/>
        <family val="3"/>
        <charset val="134"/>
      </rPr>
      <t>实际控制人</t>
    </r>
    <phoneticPr fontId="10" type="noConversion"/>
  </si>
  <si>
    <t>检查比例</t>
    <phoneticPr fontId="10" type="noConversion"/>
  </si>
  <si>
    <t>减少比例</t>
    <phoneticPr fontId="10" type="noConversion"/>
  </si>
  <si>
    <r>
      <t>1.</t>
    </r>
    <r>
      <rPr>
        <sz val="10"/>
        <color rgb="FFFF0000"/>
        <rFont val="宋体"/>
        <family val="3"/>
        <charset val="134"/>
      </rPr>
      <t>如果检查比例较低应扩大检查样本量或说明原因</t>
    </r>
    <phoneticPr fontId="10" type="noConversion"/>
  </si>
  <si>
    <r>
      <t>1.</t>
    </r>
    <r>
      <rPr>
        <sz val="10"/>
        <color rgb="FFFF0000"/>
        <rFont val="宋体"/>
        <family val="3"/>
        <charset val="134"/>
      </rPr>
      <t>如果检查比例较低应扩大检查样本量或说明原因</t>
    </r>
    <phoneticPr fontId="10" type="noConversion"/>
  </si>
  <si>
    <t>（包括土地使用权在房屋建造期间计入在建工程的摊销金额）为基础，而不是以土地使用权支出为基础，确定应予资本化的借款费用金额。</t>
    <phoneticPr fontId="10" type="noConversion"/>
  </si>
  <si>
    <r>
      <t>3.</t>
    </r>
    <r>
      <rPr>
        <sz val="10"/>
        <color indexed="12"/>
        <rFont val="宋体"/>
        <family val="3"/>
        <charset val="134"/>
      </rPr>
      <t>为购建或生产满足资本化条件的资产发生的应予资本化的借款费用，在</t>
    </r>
    <r>
      <rPr>
        <sz val="10"/>
        <color indexed="12"/>
        <rFont val="Arial Narrow"/>
        <family val="2"/>
      </rPr>
      <t>“</t>
    </r>
    <r>
      <rPr>
        <sz val="10"/>
        <color indexed="12"/>
        <rFont val="宋体"/>
        <family val="3"/>
        <charset val="134"/>
      </rPr>
      <t>在建工程</t>
    </r>
    <r>
      <rPr>
        <sz val="10"/>
        <color indexed="12"/>
        <rFont val="Arial Narrow"/>
        <family val="2"/>
      </rPr>
      <t>”</t>
    </r>
    <r>
      <rPr>
        <sz val="10"/>
        <color indexed="12"/>
        <rFont val="宋体"/>
        <family val="3"/>
        <charset val="134"/>
      </rPr>
      <t>、</t>
    </r>
    <r>
      <rPr>
        <sz val="10"/>
        <color indexed="12"/>
        <rFont val="Arial Narrow"/>
        <family val="2"/>
      </rPr>
      <t>“</t>
    </r>
    <r>
      <rPr>
        <sz val="10"/>
        <color indexed="12"/>
        <rFont val="宋体"/>
        <family val="3"/>
        <charset val="134"/>
      </rPr>
      <t>制造费用</t>
    </r>
    <r>
      <rPr>
        <sz val="10"/>
        <color indexed="12"/>
        <rFont val="Arial Narrow"/>
        <family val="2"/>
      </rPr>
      <t>”</t>
    </r>
    <r>
      <rPr>
        <sz val="10"/>
        <color indexed="12"/>
        <rFont val="宋体"/>
        <family val="3"/>
        <charset val="134"/>
      </rPr>
      <t>等科目核算。</t>
    </r>
    <phoneticPr fontId="10" type="noConversion"/>
  </si>
  <si>
    <r>
      <t>4.</t>
    </r>
    <r>
      <rPr>
        <sz val="10"/>
        <color indexed="12"/>
        <rFont val="宋体"/>
        <family val="3"/>
        <charset val="134"/>
      </rPr>
      <t>符合资本化条件的资产，是指需要经过相当长时间的购建或者生产活动才能达到预定可使用或者可销售状态的固定资产、投资性房地产和存货等资产。</t>
    </r>
    <phoneticPr fontId="10" type="noConversion"/>
  </si>
  <si>
    <t>购入即可使用的资产，或者购入后需要安装但所需安装时间较短的资产，或者需要建造或生产但建造或生产时间较短的资产，均不属于符合资本化条件的资产，例如企业取得的采矿权等。</t>
    <phoneticPr fontId="10" type="noConversion"/>
  </si>
  <si>
    <r>
      <t>5.</t>
    </r>
    <r>
      <rPr>
        <sz val="10"/>
        <color indexed="12"/>
        <rFont val="宋体"/>
        <family val="3"/>
        <charset val="134"/>
      </rPr>
      <t>非房地产开发企业自行开发建造厂房等建筑物，土地使用权与建筑物应当分别进行会计处理，土地使用权的账面价值不与地上建筑物合并计算其成本，而仍作为无形资产进行会计处理。</t>
    </r>
    <phoneticPr fontId="10" type="noConversion"/>
  </si>
  <si>
    <r>
      <rPr>
        <sz val="10"/>
        <color indexed="12"/>
        <rFont val="宋体"/>
        <family val="3"/>
        <charset val="134"/>
      </rPr>
      <t>在该情形下，土地使用权在取得时通常已达到预定使用状态，土地使用权不满足借款费用准则规定的</t>
    </r>
    <r>
      <rPr>
        <sz val="10"/>
        <color indexed="12"/>
        <rFont val="Arial Narrow"/>
        <family val="2"/>
      </rPr>
      <t>“</t>
    </r>
    <r>
      <rPr>
        <sz val="10"/>
        <color indexed="12"/>
        <rFont val="宋体"/>
        <family val="3"/>
        <charset val="134"/>
      </rPr>
      <t>符合资本化条件的资产</t>
    </r>
    <r>
      <rPr>
        <sz val="10"/>
        <color indexed="12"/>
        <rFont val="Arial Narrow"/>
        <family val="2"/>
      </rPr>
      <t>”</t>
    </r>
    <r>
      <rPr>
        <sz val="10"/>
        <color indexed="12"/>
        <rFont val="宋体"/>
        <family val="3"/>
        <charset val="134"/>
      </rPr>
      <t>定义。因此，根据借款费用准则，企业应当以建造支出</t>
    </r>
    <phoneticPr fontId="10" type="noConversion"/>
  </si>
  <si>
    <r>
      <t>6.</t>
    </r>
    <r>
      <rPr>
        <sz val="10"/>
        <color indexed="12"/>
        <rFont val="宋体"/>
        <family val="3"/>
        <charset val="134"/>
      </rPr>
      <t>企业应当将租赁负债视同为获取使用权资产而发生的专门借款。使用权资产作为一项权利资产，租赁期开始日即可供承租人使用，因而无论租赁资产本身是否达到企业计划用途，</t>
    </r>
    <phoneticPr fontId="10" type="noConversion"/>
  </si>
  <si>
    <t>使用权资产于租赁期开始日便达到预定可使用状态，租赁负债相关利息费用不应资本化计入使用权资产。租赁期开始日后，租赁负债可视同企业的一般借款。</t>
    <phoneticPr fontId="10" type="noConversion"/>
  </si>
  <si>
    <r>
      <t>7.</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0" type="noConversion"/>
  </si>
  <si>
    <r>
      <t>8.</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phoneticPr fontId="10" type="noConversion"/>
  </si>
  <si>
    <t>提示：</t>
    <phoneticPr fontId="10" type="noConversion"/>
  </si>
  <si>
    <r>
      <rPr>
        <sz val="10"/>
        <color rgb="FF0000FF"/>
        <rFont val="宋体"/>
        <family val="3"/>
        <charset val="134"/>
      </rPr>
      <t>（</t>
    </r>
    <r>
      <rPr>
        <sz val="10"/>
        <color rgb="FF0000FF"/>
        <rFont val="Arial Narrow"/>
        <family val="2"/>
      </rPr>
      <t>9</t>
    </r>
    <r>
      <rPr>
        <sz val="10"/>
        <color rgb="FF0000FF"/>
        <rFont val="宋体"/>
        <family val="3"/>
        <charset val="134"/>
      </rPr>
      <t>）根据《中国注册会计师审计准则问题解答第</t>
    </r>
    <r>
      <rPr>
        <sz val="10"/>
        <color rgb="FF0000FF"/>
        <rFont val="Arial Narrow"/>
        <family val="2"/>
      </rPr>
      <t>18</t>
    </r>
    <r>
      <rPr>
        <sz val="10"/>
        <color rgb="FF0000FF"/>
        <rFont val="宋体"/>
        <family val="3"/>
        <charset val="134"/>
      </rPr>
      <t>号——识别和应对第三方配合实施财务舞弊》：当期存在大额长期资产采购或对外投资时，需考虑是否存在通过虚增在建工程、固定资产、无形资产等长期资产采购价格套取资金，</t>
    </r>
    <phoneticPr fontId="10" type="noConversion"/>
  </si>
  <si>
    <t>如果还识别出被审计单位存在可能导致关联方资金占用以及其他套取资金行为的舞弊风险因素，则很可能表面存在第三方配合舞弊，应采取恰当的措施应对。</t>
    <phoneticPr fontId="10" type="noConversion"/>
  </si>
  <si>
    <t>实际产出÷生产能力（产能利用率）</t>
    <phoneticPr fontId="10" type="noConversion"/>
  </si>
  <si>
    <r>
      <rPr>
        <sz val="10"/>
        <rFont val="宋体"/>
        <family val="3"/>
        <charset val="134"/>
      </rPr>
      <t>执行分析性程序，以识别需要执行额外程序的领域：
（</t>
    </r>
    <r>
      <rPr>
        <sz val="10"/>
        <rFont val="Arial Narrow"/>
        <family val="2"/>
      </rPr>
      <t>1</t>
    </r>
    <r>
      <rPr>
        <sz val="10"/>
        <rFont val="宋体"/>
        <family val="3"/>
        <charset val="134"/>
      </rPr>
      <t>）关注固定资产、在建工程的规模及其变化是否与产能匹配，并与以前年度对比分析，是否存在同类产品产能利用率较低却增加在建工程投入；
（</t>
    </r>
    <r>
      <rPr>
        <sz val="10"/>
        <rFont val="Arial Narrow"/>
        <family val="2"/>
      </rPr>
      <t>2</t>
    </r>
    <r>
      <rPr>
        <sz val="10"/>
        <rFont val="宋体"/>
        <family val="3"/>
        <charset val="134"/>
      </rPr>
      <t>）分析在建工程转固前后时点产品产能、产量变动，关注是否存在前期产品产能、产量与后期无差异、或差异很小的情形，并关注此情形是否表明公司人为推迟转固时间。</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</si>
</sst>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7">
    <numFmt numFmtId="8" formatCode="&quot;¥&quot;#,##0.00;[Red]&quot;¥&quot;\-#,##0.00"/>
    <numFmt numFmtId="41" formatCode="_ * #,##0_ ;_ * \-#,##0_ ;_ * &quot;-&quot;_ ;_ @_ "/>
    <numFmt numFmtId="43" formatCode="_ * #,##0.00_ ;_ * \-#,##0.00_ ;_ * &quot;-&quot;??_ ;_ @_ "/>
    <numFmt numFmtId="176" formatCode="0.0000%"/>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quot; F&quot;_);\(#,##0&quot; F&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_([$€-2]* #,##0.00_);_([$€-2]* \(#,##0.00\);_([$€-2]* &quot;-&quot;??_)"/>
    <numFmt numFmtId="196" formatCode="&quot;\&quot;#,##0;[Red]&quot;\&quot;&quot;\&quot;\-#,##0"/>
    <numFmt numFmtId="197" formatCode="&quot;\&quot;#,##0.00;[Red]&quot;\&quot;&quot;\&quot;\-#,##0.00"/>
    <numFmt numFmtId="198" formatCode="_(&quot;$&quot;* #,##0_);_(&quot;$&quot;* \(#,##0\);_(&quot;$&quot;* &quot;-&quot;_);_(@_)"/>
    <numFmt numFmtId="199" formatCode="_(&quot;$&quot;* #,##0.00_);_(&quot;$&quot;* \(#,##0.00\);_(&quot;$&quot;* &quot;-&quot;??_);_(@_)"/>
    <numFmt numFmtId="200" formatCode="_-* #,##0_-;\-* #,##0_-;_-* &quot;-&quot;??_-;_-@_-"/>
    <numFmt numFmtId="201" formatCode="0.00000000000_);[Red]\(0.00000000000\)"/>
    <numFmt numFmtId="202" formatCode="&quot;\&quot;#,##0;&quot;\&quot;&quot;\&quot;\-#,##0"/>
    <numFmt numFmtId="203" formatCode="0%_);\(0%\)"/>
    <numFmt numFmtId="204" formatCode="0.0000000"/>
    <numFmt numFmtId="205" formatCode="0.000000"/>
    <numFmt numFmtId="206" formatCode="0.00000000"/>
    <numFmt numFmtId="207" formatCode="_ * #,##0_)\ _F_ ;_ * \(#,##0\)\ _F_ ;_ * &quot;-&quot;_)\ _F_ ;_ @_ "/>
    <numFmt numFmtId="208" formatCode="#,##0.00_ "/>
    <numFmt numFmtId="209" formatCode="_ * #,##0_ ;_ * \-#,##0_ ;_ * &quot;-&quot;??_ ;_ @_ "/>
  </numFmts>
  <fonts count="132">
    <font>
      <sz val="12"/>
      <name val="宋体"/>
      <family val="3"/>
      <charset val="134"/>
    </font>
    <font>
      <sz val="11"/>
      <color theme="1"/>
      <name val="宋体"/>
      <family val="2"/>
      <charset val="134"/>
      <scheme val="minor"/>
    </font>
    <font>
      <sz val="11"/>
      <color theme="1"/>
      <name val="宋体"/>
      <family val="2"/>
      <charset val="134"/>
      <scheme val="minor"/>
    </font>
    <font>
      <sz val="12"/>
      <name val="Times New Roman"/>
      <family val="1"/>
    </font>
    <font>
      <b/>
      <sz val="10"/>
      <name val="宋体"/>
      <family val="3"/>
      <charset val="134"/>
    </font>
    <font>
      <sz val="9"/>
      <name val="宋体"/>
      <family val="2"/>
      <charset val="134"/>
      <scheme val="minor"/>
    </font>
    <font>
      <b/>
      <sz val="10"/>
      <name val="Arial Narrow"/>
      <family val="2"/>
    </font>
    <font>
      <sz val="12"/>
      <name val="宋体"/>
      <family val="3"/>
      <charset val="134"/>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0"/>
      <name val="Times New Roman"/>
      <family val="1"/>
    </font>
    <font>
      <u/>
      <sz val="10"/>
      <name val="Arial Narrow"/>
      <family val="2"/>
    </font>
    <font>
      <sz val="10"/>
      <color indexed="10"/>
      <name val="宋体"/>
      <family val="3"/>
      <charset val="134"/>
    </font>
    <font>
      <i/>
      <sz val="10"/>
      <color indexed="12"/>
      <name val="宋体"/>
      <family val="3"/>
      <charset val="134"/>
    </font>
    <font>
      <sz val="10"/>
      <color indexed="12"/>
      <name val="Arial Narrow"/>
      <family val="2"/>
    </font>
    <font>
      <sz val="10"/>
      <color indexed="12"/>
      <name val="宋体"/>
      <family val="3"/>
      <charset val="134"/>
    </font>
    <font>
      <b/>
      <sz val="10"/>
      <color indexed="12"/>
      <name val="宋体"/>
      <family val="3"/>
      <charset val="134"/>
    </font>
    <font>
      <sz val="11"/>
      <color indexed="9"/>
      <name val="宋体"/>
      <family val="3"/>
      <charset val="134"/>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3"/>
      <charset val="134"/>
    </font>
    <font>
      <sz val="8"/>
      <name val="Century Schoolbook"/>
      <family val="1"/>
    </font>
    <font>
      <u/>
      <sz val="10"/>
      <color indexed="12"/>
      <name val="宋体"/>
      <family val="3"/>
      <charset val="134"/>
    </font>
    <font>
      <u/>
      <sz val="12"/>
      <color indexed="12"/>
      <name val="宋体"/>
      <family val="3"/>
      <charset val="134"/>
    </font>
    <font>
      <sz val="10"/>
      <color indexed="8"/>
      <name val="宋体"/>
      <family val="3"/>
      <charset val="134"/>
    </font>
    <font>
      <sz val="11"/>
      <name val="蹈框"/>
      <charset val="134"/>
    </font>
    <font>
      <sz val="11"/>
      <name val="ＭＳ Ｐゴシック"/>
      <family val="2"/>
      <charset val="134"/>
    </font>
    <font>
      <sz val="12"/>
      <name val="바탕체"/>
      <family val="3"/>
    </font>
    <font>
      <b/>
      <sz val="10"/>
      <color indexed="8"/>
      <name val="Arial Narrow"/>
      <family val="2"/>
    </font>
    <font>
      <sz val="10"/>
      <color indexed="8"/>
      <name val="Arial Narrow"/>
      <family val="2"/>
    </font>
    <font>
      <b/>
      <sz val="10"/>
      <color indexed="8"/>
      <name val="宋体"/>
      <family val="3"/>
      <charset val="134"/>
    </font>
    <font>
      <sz val="18"/>
      <color indexed="48"/>
      <name val="魏碑"/>
      <family val="3"/>
      <charset val="134"/>
    </font>
    <font>
      <b/>
      <sz val="10"/>
      <color indexed="12"/>
      <name val="Arial Narrow"/>
      <family val="2"/>
    </font>
    <font>
      <sz val="10"/>
      <color indexed="48"/>
      <name val="Arial Narrow"/>
      <family val="2"/>
    </font>
    <font>
      <u/>
      <sz val="12"/>
      <color theme="10"/>
      <name val="宋体"/>
      <family val="3"/>
      <charset val="134"/>
    </font>
    <font>
      <b/>
      <sz val="10"/>
      <color rgb="FFFF0000"/>
      <name val="宋体"/>
      <family val="3"/>
      <charset val="134"/>
    </font>
    <font>
      <b/>
      <u/>
      <sz val="10"/>
      <color indexed="10"/>
      <name val="Arial Narrow"/>
      <family val="2"/>
    </font>
    <font>
      <sz val="9"/>
      <name val="Arial Narrow"/>
      <family val="2"/>
    </font>
    <font>
      <sz val="9"/>
      <name val="宋体"/>
      <family val="3"/>
      <charset val="134"/>
      <scheme val="minor"/>
    </font>
    <font>
      <sz val="10"/>
      <color rgb="FFFF0000"/>
      <name val="宋体"/>
      <family val="3"/>
      <charset val="134"/>
    </font>
    <font>
      <sz val="10"/>
      <name val="宋体"/>
      <family val="3"/>
      <charset val="134"/>
      <scheme val="minor"/>
    </font>
    <font>
      <b/>
      <sz val="10"/>
      <name val="宋体"/>
      <family val="3"/>
      <charset val="134"/>
      <scheme val="minor"/>
    </font>
    <font>
      <sz val="10.5"/>
      <name val="仿宋_GB2312"/>
      <family val="3"/>
      <charset val="134"/>
    </font>
    <font>
      <sz val="10"/>
      <color rgb="FFFF0000"/>
      <name val="Arial Narrow"/>
      <family val="2"/>
    </font>
    <font>
      <b/>
      <sz val="12"/>
      <name val="仿宋_GB2312"/>
      <family val="3"/>
      <charset val="134"/>
    </font>
    <font>
      <sz val="10"/>
      <color rgb="FF0070C0"/>
      <name val="Arial Narrow"/>
      <family val="2"/>
    </font>
    <font>
      <sz val="10"/>
      <color rgb="FF0070C0"/>
      <name val="宋体"/>
      <family val="3"/>
      <charset val="134"/>
    </font>
    <font>
      <b/>
      <sz val="9"/>
      <name val="Arial Narrow"/>
      <family val="2"/>
    </font>
    <font>
      <sz val="10"/>
      <color indexed="10"/>
      <name val="Arial Narrow"/>
      <family val="2"/>
    </font>
    <font>
      <sz val="10"/>
      <color theme="1"/>
      <name val="宋体"/>
      <family val="3"/>
      <charset val="134"/>
    </font>
    <font>
      <b/>
      <sz val="10"/>
      <color theme="1"/>
      <name val="宋体"/>
      <family val="3"/>
      <charset val="134"/>
    </font>
    <font>
      <b/>
      <sz val="10"/>
      <color rgb="FFE92841"/>
      <name val="Arial Narrow"/>
      <family val="2"/>
    </font>
    <font>
      <sz val="10"/>
      <color theme="1"/>
      <name val="宋体"/>
      <family val="3"/>
      <charset val="134"/>
      <scheme val="minor"/>
    </font>
    <font>
      <sz val="10"/>
      <color rgb="FF000000"/>
      <name val="宋体"/>
      <family val="3"/>
      <charset val="134"/>
      <scheme val="minor"/>
    </font>
    <font>
      <b/>
      <sz val="10.5"/>
      <name val="仿宋_GB2312"/>
      <family val="3"/>
      <charset val="134"/>
    </font>
    <font>
      <b/>
      <sz val="10.5"/>
      <name val="Arial Narrow"/>
      <family val="2"/>
    </font>
    <font>
      <sz val="10.5"/>
      <name val="Arial Narrow"/>
      <family val="2"/>
    </font>
    <font>
      <b/>
      <sz val="10.5"/>
      <color rgb="FF000000"/>
      <name val="仿宋_GB2312"/>
      <family val="3"/>
      <charset val="134"/>
    </font>
    <font>
      <b/>
      <sz val="10.5"/>
      <color rgb="FF000000"/>
      <name val="Arial Narrow"/>
      <family val="2"/>
    </font>
    <font>
      <sz val="10.5"/>
      <color rgb="FF000000"/>
      <name val="Arial Narrow"/>
      <family val="2"/>
    </font>
    <font>
      <b/>
      <sz val="9"/>
      <name val="仿宋_GB2312"/>
      <family val="3"/>
      <charset val="134"/>
    </font>
    <font>
      <b/>
      <sz val="9"/>
      <color rgb="FF000000"/>
      <name val="仿宋_GB2312"/>
      <family val="3"/>
      <charset val="134"/>
    </font>
    <font>
      <sz val="9"/>
      <color rgb="FF0000FF"/>
      <name val="Arial Narrow"/>
      <family val="2"/>
    </font>
    <font>
      <sz val="12"/>
      <name val="仿宋_GB2312"/>
      <family val="3"/>
      <charset val="134"/>
    </font>
    <font>
      <sz val="12"/>
      <color rgb="FF0000FF"/>
      <name val="仿宋_GB2312"/>
      <family val="3"/>
      <charset val="134"/>
    </font>
    <font>
      <sz val="12"/>
      <color rgb="FF0000FF"/>
      <name val="Arial Narrow"/>
      <family val="2"/>
    </font>
    <font>
      <sz val="10.5"/>
      <color rgb="FF000000"/>
      <name val="仿宋_GB2312"/>
      <family val="3"/>
      <charset val="134"/>
    </font>
    <font>
      <b/>
      <sz val="10"/>
      <color rgb="FF000000"/>
      <name val="宋体"/>
      <family val="3"/>
      <charset val="134"/>
    </font>
    <font>
      <sz val="10"/>
      <color rgb="FF0000FF"/>
      <name val="宋体"/>
      <family val="3"/>
      <charset val="134"/>
    </font>
    <font>
      <sz val="10"/>
      <color theme="1"/>
      <name val="Arial Narrow"/>
      <family val="2"/>
    </font>
    <font>
      <sz val="10"/>
      <color rgb="FF0000FF"/>
      <name val="Arial Narrow"/>
      <family val="2"/>
    </font>
    <font>
      <b/>
      <sz val="10"/>
      <color rgb="FF0000FF"/>
      <name val="宋体"/>
      <family val="3"/>
      <charset val="134"/>
    </font>
    <font>
      <b/>
      <sz val="10"/>
      <color rgb="FF0000FF"/>
      <name val="Arial Narrow"/>
      <family val="2"/>
    </font>
    <font>
      <sz val="10"/>
      <color theme="10"/>
      <name val="Arial Narrow"/>
      <family val="2"/>
    </font>
    <font>
      <b/>
      <sz val="10"/>
      <color theme="1"/>
      <name val="Arial Narrow"/>
      <family val="2"/>
    </font>
    <font>
      <b/>
      <sz val="10"/>
      <color rgb="FFFF0000"/>
      <name val="Arial Narrow"/>
      <family val="2"/>
    </font>
    <font>
      <b/>
      <sz val="10"/>
      <color indexed="10"/>
      <name val="Arial Narrow"/>
      <family val="2"/>
    </font>
    <font>
      <b/>
      <u/>
      <sz val="10"/>
      <name val="Arial Narrow"/>
      <family val="2"/>
    </font>
    <font>
      <sz val="10"/>
      <color theme="10"/>
      <name val="宋体"/>
      <family val="3"/>
      <charset val="134"/>
    </font>
    <font>
      <b/>
      <sz val="10"/>
      <color indexed="10"/>
      <name val="宋体"/>
      <family val="3"/>
      <charset val="134"/>
    </font>
    <font>
      <b/>
      <sz val="14"/>
      <name val="Arial Narrow"/>
      <family val="2"/>
    </font>
    <font>
      <b/>
      <sz val="14"/>
      <name val="宋体"/>
      <family val="3"/>
      <charset val="134"/>
    </font>
    <font>
      <sz val="14"/>
      <name val="Arial Narrow"/>
      <family val="2"/>
    </font>
    <font>
      <u val="singleAccounting"/>
      <sz val="10"/>
      <color rgb="FF0000FF"/>
      <name val="宋体"/>
      <family val="3"/>
      <charset val="134"/>
    </font>
    <font>
      <u val="singleAccounting"/>
      <sz val="10"/>
      <name val="Arial Narrow"/>
      <family val="2"/>
    </font>
    <font>
      <b/>
      <sz val="9"/>
      <color indexed="81"/>
      <name val="宋体"/>
      <family val="3"/>
      <charset val="134"/>
    </font>
    <font>
      <sz val="9"/>
      <color indexed="81"/>
      <name val="宋体"/>
      <family val="3"/>
      <charset val="134"/>
    </font>
  </fonts>
  <fills count="37">
    <fill>
      <patternFill patternType="none"/>
    </fill>
    <fill>
      <patternFill patternType="gray125"/>
    </fill>
    <fill>
      <patternFill patternType="solid">
        <fgColor indexed="30"/>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14"/>
        <bgColor indexed="64"/>
      </patternFill>
    </fill>
    <fill>
      <patternFill patternType="solid">
        <fgColor theme="7" tint="0.79998168889431442"/>
        <bgColor indexed="64"/>
      </patternFill>
    </fill>
    <fill>
      <patternFill patternType="solid">
        <fgColor theme="0"/>
        <bgColor indexed="64"/>
      </patternFill>
    </fill>
    <fill>
      <patternFill patternType="solid">
        <fgColor rgb="FFE4DFEC"/>
        <bgColor indexed="64"/>
      </patternFill>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E4DFEC"/>
        <bgColor rgb="FFB7DEE8"/>
      </patternFill>
    </fill>
  </fills>
  <borders count="33">
    <border>
      <left/>
      <right/>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diagonal/>
    </border>
    <border>
      <left style="hair">
        <color indexed="64"/>
      </left>
      <right style="hair">
        <color indexed="64"/>
      </right>
      <top style="hair">
        <color indexed="64"/>
      </top>
      <bottom style="hair">
        <color indexed="64"/>
      </bottom>
      <diagonal/>
    </border>
    <border>
      <left/>
      <right/>
      <top style="hair">
        <color indexed="64"/>
      </top>
      <bottom/>
      <diagonal/>
    </border>
    <border>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diagonalDown="1">
      <left style="hair">
        <color indexed="64"/>
      </left>
      <right style="hair">
        <color indexed="64"/>
      </right>
      <top style="hair">
        <color indexed="64"/>
      </top>
      <bottom style="hair">
        <color indexed="64"/>
      </bottom>
      <diagonal style="thin">
        <color indexed="64"/>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s>
  <cellStyleXfs count="207">
    <xf numFmtId="0" fontId="0" fillId="0" borderId="0">
      <protection locked="0"/>
    </xf>
    <xf numFmtId="43" fontId="7" fillId="0" borderId="0" applyFont="0" applyFill="0" applyBorder="0" applyAlignment="0" applyProtection="0"/>
    <xf numFmtId="9" fontId="7" fillId="0" borderId="0" applyFont="0" applyFill="0" applyBorder="0" applyAlignment="0" applyProtection="0"/>
    <xf numFmtId="0" fontId="3" fillId="0" borderId="0"/>
    <xf numFmtId="0" fontId="7" fillId="0" borderId="0" applyFill="0" applyBorder="0"/>
    <xf numFmtId="0" fontId="21" fillId="2" borderId="0" applyNumberFormat="0" applyBorder="0" applyAlignment="0" applyProtection="0">
      <alignment vertical="center"/>
    </xf>
    <xf numFmtId="0" fontId="22" fillId="0" borderId="0"/>
    <xf numFmtId="0" fontId="22" fillId="0" borderId="0"/>
    <xf numFmtId="0" fontId="22" fillId="0" borderId="0"/>
    <xf numFmtId="49" fontId="14" fillId="0" borderId="0" applyProtection="0">
      <alignment horizontal="left"/>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protection locked="0"/>
    </xf>
    <xf numFmtId="0" fontId="23" fillId="0" borderId="0">
      <alignment vertical="top"/>
      <protection locked="0"/>
    </xf>
    <xf numFmtId="0" fontId="23" fillId="0" borderId="0">
      <alignment vertical="top"/>
    </xf>
    <xf numFmtId="0" fontId="23" fillId="0" borderId="0">
      <alignment vertical="top"/>
      <protection locked="0"/>
    </xf>
    <xf numFmtId="177" fontId="14" fillId="0" borderId="0" applyFill="0" applyBorder="0" applyProtection="0">
      <alignment horizontal="right"/>
    </xf>
    <xf numFmtId="178" fontId="14" fillId="0" borderId="0" applyFill="0" applyBorder="0" applyProtection="0">
      <alignment horizontal="right"/>
    </xf>
    <xf numFmtId="179" fontId="24" fillId="0" borderId="0" applyFill="0" applyBorder="0" applyProtection="0">
      <alignment horizontal="center"/>
    </xf>
    <xf numFmtId="180" fontId="24" fillId="0" borderId="0" applyFill="0" applyBorder="0" applyProtection="0">
      <alignment horizontal="center"/>
    </xf>
    <xf numFmtId="181" fontId="25" fillId="0" borderId="0" applyFill="0" applyBorder="0" applyProtection="0">
      <alignment horizontal="right"/>
    </xf>
    <xf numFmtId="182" fontId="14" fillId="0" borderId="0" applyFill="0" applyBorder="0" applyProtection="0">
      <alignment horizontal="right"/>
    </xf>
    <xf numFmtId="183" fontId="14" fillId="0" borderId="0" applyFill="0" applyBorder="0" applyProtection="0">
      <alignment horizontal="right"/>
    </xf>
    <xf numFmtId="184" fontId="14" fillId="0" borderId="0" applyFill="0" applyBorder="0" applyProtection="0">
      <alignment horizontal="right"/>
    </xf>
    <xf numFmtId="185" fontId="14" fillId="0" borderId="0" applyFill="0" applyBorder="0" applyProtection="0">
      <alignment horizontal="right"/>
    </xf>
    <xf numFmtId="186" fontId="26" fillId="0" borderId="0" applyFont="0" applyFill="0" applyBorder="0" applyAlignment="0" applyProtection="0"/>
    <xf numFmtId="0" fontId="7" fillId="0" borderId="0"/>
    <xf numFmtId="187" fontId="26" fillId="0" borderId="0" applyFont="0" applyFill="0" applyBorder="0" applyAlignment="0" applyProtection="0"/>
    <xf numFmtId="10" fontId="26" fillId="0" borderId="0" applyFont="0" applyFill="0" applyBorder="0" applyAlignment="0" applyProtection="0"/>
    <xf numFmtId="0" fontId="27" fillId="3" borderId="0" applyNumberFormat="0" applyBorder="0" applyAlignment="0" applyProtection="0"/>
    <xf numFmtId="0" fontId="27" fillId="4" borderId="0" applyNumberFormat="0" applyBorder="0" applyAlignment="0" applyProtection="0"/>
    <xf numFmtId="0" fontId="27" fillId="5" borderId="0" applyNumberFormat="0" applyBorder="0" applyAlignment="0" applyProtection="0"/>
    <xf numFmtId="0" fontId="27" fillId="6" borderId="0" applyNumberFormat="0" applyBorder="0" applyAlignment="0" applyProtection="0"/>
    <xf numFmtId="0" fontId="27" fillId="7" borderId="0" applyNumberFormat="0" applyBorder="0" applyAlignment="0" applyProtection="0"/>
    <xf numFmtId="0" fontId="27" fillId="8" borderId="0" applyNumberFormat="0" applyBorder="0" applyAlignment="0" applyProtection="0"/>
    <xf numFmtId="0" fontId="27" fillId="9"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6" borderId="0" applyNumberFormat="0" applyBorder="0" applyAlignment="0" applyProtection="0"/>
    <xf numFmtId="0" fontId="27" fillId="9" borderId="0" applyNumberFormat="0" applyBorder="0" applyAlignment="0" applyProtection="0"/>
    <xf numFmtId="0" fontId="27" fillId="12" borderId="0" applyNumberFormat="0" applyBorder="0" applyAlignment="0" applyProtection="0"/>
    <xf numFmtId="0" fontId="28" fillId="2" borderId="0" applyNumberFormat="0" applyBorder="0" applyAlignment="0" applyProtection="0"/>
    <xf numFmtId="0" fontId="28" fillId="10" borderId="0" applyNumberFormat="0" applyBorder="0" applyAlignment="0" applyProtection="0"/>
    <xf numFmtId="0" fontId="28" fillId="11"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5" borderId="0" applyNumberFormat="0" applyBorder="0" applyAlignment="0" applyProtection="0"/>
    <xf numFmtId="0" fontId="28" fillId="16" borderId="0" applyNumberFormat="0" applyBorder="0" applyAlignment="0" applyProtection="0"/>
    <xf numFmtId="0" fontId="28" fillId="17" borderId="0" applyNumberFormat="0" applyBorder="0" applyAlignment="0" applyProtection="0"/>
    <xf numFmtId="0" fontId="28" fillId="18" borderId="0" applyNumberFormat="0" applyBorder="0" applyAlignment="0" applyProtection="0"/>
    <xf numFmtId="0" fontId="28" fillId="13" borderId="0" applyNumberFormat="0" applyBorder="0" applyAlignment="0" applyProtection="0"/>
    <xf numFmtId="0" fontId="28" fillId="14" borderId="0" applyNumberFormat="0" applyBorder="0" applyAlignment="0" applyProtection="0"/>
    <xf numFmtId="0" fontId="28" fillId="19" borderId="0" applyNumberFormat="0" applyBorder="0" applyAlignment="0" applyProtection="0"/>
    <xf numFmtId="0" fontId="29" fillId="4" borderId="0" applyNumberFormat="0" applyBorder="0" applyAlignment="0" applyProtection="0"/>
    <xf numFmtId="3" fontId="30" fillId="0" borderId="0"/>
    <xf numFmtId="188" fontId="31" fillId="0" borderId="5" applyAlignment="0" applyProtection="0"/>
    <xf numFmtId="189" fontId="7" fillId="0" borderId="0" applyFill="0" applyBorder="0" applyAlignment="0"/>
    <xf numFmtId="0" fontId="32" fillId="20" borderId="6" applyNumberFormat="0" applyAlignment="0" applyProtection="0"/>
    <xf numFmtId="0" fontId="33" fillId="21" borderId="7" applyNumberFormat="0" applyAlignment="0" applyProtection="0"/>
    <xf numFmtId="0" fontId="34" fillId="0" borderId="8" applyNumberFormat="0" applyFill="0" applyProtection="0">
      <alignment horizontal="center"/>
    </xf>
    <xf numFmtId="0" fontId="35" fillId="0" borderId="9">
      <alignment horizontal="center"/>
    </xf>
    <xf numFmtId="190" fontId="22" fillId="0" borderId="0"/>
    <xf numFmtId="190" fontId="22" fillId="0" borderId="0"/>
    <xf numFmtId="190" fontId="22" fillId="0" borderId="0"/>
    <xf numFmtId="190" fontId="22" fillId="0" borderId="0"/>
    <xf numFmtId="190" fontId="22" fillId="0" borderId="0"/>
    <xf numFmtId="190" fontId="22" fillId="0" borderId="0"/>
    <xf numFmtId="190" fontId="22" fillId="0" borderId="0"/>
    <xf numFmtId="190" fontId="22" fillId="0" borderId="0"/>
    <xf numFmtId="38" fontId="36" fillId="0" borderId="0" applyFont="0" applyFill="0" applyBorder="0" applyAlignment="0" applyProtection="0"/>
    <xf numFmtId="37" fontId="26" fillId="0" borderId="0" applyFont="0" applyFill="0" applyBorder="0" applyAlignment="0" applyProtection="0"/>
    <xf numFmtId="191" fontId="26" fillId="0" borderId="0" applyFont="0" applyFill="0" applyBorder="0" applyAlignment="0" applyProtection="0"/>
    <xf numFmtId="39" fontId="26" fillId="0" borderId="0" applyFont="0" applyFill="0" applyBorder="0" applyAlignment="0" applyProtection="0"/>
    <xf numFmtId="40" fontId="36" fillId="0" borderId="0" applyFont="0" applyFill="0" applyBorder="0" applyAlignment="0" applyProtection="0"/>
    <xf numFmtId="192" fontId="7" fillId="0" borderId="0" applyFont="0" applyFill="0" applyBorder="0" applyAlignment="0" applyProtection="0"/>
    <xf numFmtId="188" fontId="26" fillId="0" borderId="0" applyFont="0" applyFill="0" applyBorder="0" applyAlignment="0" applyProtection="0"/>
    <xf numFmtId="193" fontId="26" fillId="0" borderId="0" applyFont="0" applyFill="0" applyBorder="0" applyAlignment="0" applyProtection="0"/>
    <xf numFmtId="194" fontId="7" fillId="0" borderId="0" applyFont="0" applyFill="0" applyBorder="0" applyAlignment="0" applyProtection="0"/>
    <xf numFmtId="41" fontId="22" fillId="0" borderId="0" applyFont="0" applyFill="0" applyBorder="0" applyAlignment="0" applyProtection="0"/>
    <xf numFmtId="43" fontId="22" fillId="0" borderId="0" applyFont="0" applyFill="0" applyBorder="0" applyAlignment="0" applyProtection="0"/>
    <xf numFmtId="0" fontId="37" fillId="0" borderId="0">
      <alignment horizontal="left"/>
    </xf>
    <xf numFmtId="0" fontId="38" fillId="22" borderId="10"/>
    <xf numFmtId="195" fontId="14" fillId="0" borderId="0" applyFont="0" applyFill="0" applyBorder="0" applyAlignment="0" applyProtection="0"/>
    <xf numFmtId="0" fontId="39" fillId="0" borderId="0" applyNumberFormat="0" applyFill="0" applyBorder="0" applyAlignment="0" applyProtection="0"/>
    <xf numFmtId="0" fontId="40" fillId="0" borderId="0" applyNumberFormat="0" applyFill="0" applyBorder="0" applyAlignment="0" applyProtection="0">
      <alignment vertical="top"/>
      <protection locked="0"/>
    </xf>
    <xf numFmtId="0" fontId="41" fillId="5" borderId="0" applyNumberFormat="0" applyBorder="0" applyAlignment="0" applyProtection="0"/>
    <xf numFmtId="38" fontId="38" fillId="23" borderId="0" applyNumberFormat="0" applyBorder="0" applyAlignment="0" applyProtection="0"/>
    <xf numFmtId="0" fontId="42" fillId="0" borderId="11" applyNumberFormat="0" applyAlignment="0" applyProtection="0">
      <alignment horizontal="left" vertical="center"/>
    </xf>
    <xf numFmtId="0" fontId="42" fillId="0" borderId="12">
      <alignment horizontal="left" vertical="center"/>
    </xf>
    <xf numFmtId="14" fontId="43" fillId="24" borderId="13">
      <alignment horizontal="center" vertical="center" wrapText="1"/>
    </xf>
    <xf numFmtId="0" fontId="44" fillId="0" borderId="14" applyNumberFormat="0" applyFill="0" applyAlignment="0" applyProtection="0"/>
    <xf numFmtId="0" fontId="45" fillId="0" borderId="15" applyNumberFormat="0" applyFill="0" applyAlignment="0" applyProtection="0"/>
    <xf numFmtId="0" fontId="46" fillId="0" borderId="16" applyNumberFormat="0" applyFill="0" applyAlignment="0" applyProtection="0"/>
    <xf numFmtId="0" fontId="46" fillId="0" borderId="0" applyNumberFormat="0" applyFill="0" applyBorder="0" applyAlignment="0" applyProtection="0"/>
    <xf numFmtId="0" fontId="47" fillId="0" borderId="0" applyNumberFormat="0" applyFill="0" applyBorder="0" applyAlignment="0" applyProtection="0">
      <alignment vertical="top"/>
      <protection locked="0"/>
    </xf>
    <xf numFmtId="0" fontId="48" fillId="8" borderId="6" applyNumberFormat="0" applyAlignment="0" applyProtection="0"/>
    <xf numFmtId="10" fontId="38" fillId="25" borderId="10" applyNumberFormat="0" applyBorder="0" applyAlignment="0" applyProtection="0"/>
    <xf numFmtId="0" fontId="14" fillId="0" borderId="0" applyNumberFormat="0" applyFont="0" applyFill="0" applyBorder="0" applyProtection="0">
      <alignment horizontal="left" vertical="center"/>
    </xf>
    <xf numFmtId="0" fontId="49" fillId="0" borderId="17" applyNumberFormat="0" applyFill="0" applyAlignment="0" applyProtection="0"/>
    <xf numFmtId="41" fontId="22" fillId="0" borderId="0" applyFont="0" applyFill="0" applyBorder="0" applyAlignment="0" applyProtection="0"/>
    <xf numFmtId="43" fontId="22" fillId="0" borderId="0" applyFont="0" applyFill="0" applyBorder="0" applyAlignment="0" applyProtection="0"/>
    <xf numFmtId="196" fontId="7" fillId="0" borderId="0" applyFont="0" applyFill="0" applyBorder="0" applyAlignment="0" applyProtection="0"/>
    <xf numFmtId="197" fontId="7" fillId="0" borderId="0" applyFont="0" applyFill="0" applyBorder="0" applyAlignment="0" applyProtection="0"/>
    <xf numFmtId="198" fontId="22" fillId="0" borderId="0" applyFont="0" applyFill="0" applyBorder="0" applyAlignment="0" applyProtection="0"/>
    <xf numFmtId="199" fontId="22" fillId="0" borderId="0" applyFont="0" applyFill="0" applyBorder="0" applyAlignment="0" applyProtection="0"/>
    <xf numFmtId="200" fontId="22" fillId="0" borderId="0" applyFont="0" applyFill="0" applyBorder="0" applyAlignment="0" applyProtection="0"/>
    <xf numFmtId="201" fontId="7" fillId="0" borderId="0" applyFont="0" applyFill="0" applyBorder="0" applyAlignment="0" applyProtection="0"/>
    <xf numFmtId="0" fontId="50" fillId="26" borderId="0" applyNumberFormat="0" applyBorder="0" applyAlignment="0" applyProtection="0"/>
    <xf numFmtId="37" fontId="51" fillId="0" borderId="0"/>
    <xf numFmtId="0" fontId="52" fillId="0" borderId="0"/>
    <xf numFmtId="202" fontId="7" fillId="0" borderId="0"/>
    <xf numFmtId="0" fontId="7" fillId="0" borderId="0">
      <alignment vertical="center"/>
    </xf>
    <xf numFmtId="0" fontId="36" fillId="0" borderId="0"/>
    <xf numFmtId="0" fontId="53" fillId="0" borderId="0"/>
    <xf numFmtId="0" fontId="22" fillId="27" borderId="18" applyNumberFormat="0" applyFont="0" applyAlignment="0" applyProtection="0"/>
    <xf numFmtId="0" fontId="54" fillId="20" borderId="19" applyNumberFormat="0" applyAlignment="0" applyProtection="0"/>
    <xf numFmtId="203" fontId="22" fillId="0" borderId="0" applyFont="0" applyFill="0" applyBorder="0" applyAlignment="0" applyProtection="0"/>
    <xf numFmtId="10" fontId="22" fillId="0" borderId="0" applyFont="0" applyFill="0" applyBorder="0" applyAlignment="0" applyProtection="0"/>
    <xf numFmtId="0" fontId="38" fillId="23" borderId="10"/>
    <xf numFmtId="4" fontId="37" fillId="0" borderId="0">
      <alignment horizontal="right"/>
    </xf>
    <xf numFmtId="3" fontId="55" fillId="0" borderId="0"/>
    <xf numFmtId="4" fontId="56" fillId="0" borderId="0">
      <alignment horizontal="right"/>
    </xf>
    <xf numFmtId="0" fontId="57" fillId="0" borderId="0">
      <alignment horizontal="left"/>
    </xf>
    <xf numFmtId="0" fontId="58" fillId="0" borderId="10">
      <alignment horizontal="center"/>
    </xf>
    <xf numFmtId="0" fontId="58" fillId="0" borderId="0">
      <alignment horizontal="center" vertical="center"/>
    </xf>
    <xf numFmtId="0" fontId="59" fillId="28" borderId="0" applyNumberFormat="0" applyFill="0">
      <alignment horizontal="left" vertical="center"/>
    </xf>
    <xf numFmtId="0" fontId="60" fillId="0" borderId="0" applyFill="0" applyBorder="0" applyProtection="0">
      <alignment horizontal="left" vertical="top"/>
    </xf>
    <xf numFmtId="0" fontId="61" fillId="0" borderId="0">
      <alignment horizontal="center"/>
    </xf>
    <xf numFmtId="0" fontId="62" fillId="0" borderId="20" applyNumberFormat="0" applyFill="0" applyAlignment="0" applyProtection="0"/>
    <xf numFmtId="0" fontId="63" fillId="0" borderId="0" applyNumberFormat="0" applyFill="0" applyBorder="0" applyAlignment="0" applyProtection="0"/>
    <xf numFmtId="0" fontId="64" fillId="0" borderId="0" applyNumberFormat="0" applyFont="0" applyFill="0" applyBorder="0" applyProtection="0">
      <alignment horizontal="center" vertical="center" wrapText="1"/>
    </xf>
    <xf numFmtId="9" fontId="65" fillId="0" borderId="0" applyFont="0" applyFill="0" applyBorder="0" applyAlignment="0" applyProtection="0"/>
    <xf numFmtId="4" fontId="66" fillId="0" borderId="0">
      <alignment horizontal="right"/>
    </xf>
    <xf numFmtId="0" fontId="7" fillId="0" borderId="0">
      <protection locked="0"/>
    </xf>
    <xf numFmtId="0" fontId="7" fillId="0" borderId="0">
      <protection locked="0"/>
    </xf>
    <xf numFmtId="0" fontId="7" fillId="0" borderId="0">
      <protection locked="0"/>
    </xf>
    <xf numFmtId="0" fontId="67" fillId="0" borderId="0" applyNumberFormat="0" applyFill="0" applyBorder="0" applyAlignment="0" applyProtection="0">
      <alignment vertical="top"/>
      <protection locked="0"/>
    </xf>
    <xf numFmtId="195" fontId="68"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0" fontId="31" fillId="0" borderId="0" applyNumberFormat="0" applyFill="0" applyBorder="0" applyAlignment="0" applyProtection="0"/>
    <xf numFmtId="4" fontId="64" fillId="0" borderId="0" applyFont="0" applyFill="0" applyBorder="0" applyAlignment="0" applyProtection="0"/>
    <xf numFmtId="41" fontId="22" fillId="0" borderId="0" applyFont="0" applyFill="0" applyBorder="0" applyAlignment="0" applyProtection="0"/>
    <xf numFmtId="204" fontId="3" fillId="0" borderId="0" applyFont="0" applyFill="0" applyBorder="0" applyAlignment="0" applyProtection="0"/>
    <xf numFmtId="8" fontId="7" fillId="0" borderId="0" applyFont="0" applyFill="0" applyBorder="0" applyAlignment="0" applyProtection="0"/>
    <xf numFmtId="205" fontId="3" fillId="0" borderId="0" applyFont="0" applyFill="0" applyBorder="0" applyAlignment="0" applyProtection="0"/>
    <xf numFmtId="206" fontId="3" fillId="0" borderId="0" applyFont="0" applyFill="0" applyBorder="0" applyAlignment="0" applyProtection="0"/>
    <xf numFmtId="0" fontId="14" fillId="0" borderId="0"/>
    <xf numFmtId="0" fontId="14" fillId="0" borderId="0" applyFont="0" applyFill="0" applyBorder="0" applyAlignment="0" applyProtection="0"/>
    <xf numFmtId="0" fontId="14"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43" fontId="69" fillId="0" borderId="0" applyFont="0" applyFill="0" applyBorder="0" applyAlignment="0" applyProtection="0">
      <alignment vertical="center"/>
    </xf>
    <xf numFmtId="0" fontId="70" fillId="0" borderId="0"/>
    <xf numFmtId="199" fontId="22" fillId="0" borderId="0" applyFont="0" applyFill="0" applyBorder="0" applyAlignment="0" applyProtection="0"/>
    <xf numFmtId="207" fontId="7" fillId="0" borderId="0" applyFont="0" applyFill="0" applyBorder="0" applyAlignment="0" applyProtection="0"/>
    <xf numFmtId="0" fontId="23" fillId="0" borderId="0">
      <alignment vertical="top"/>
      <protection locked="0"/>
    </xf>
    <xf numFmtId="38" fontId="71" fillId="0" borderId="0" applyFont="0" applyFill="0" applyBorder="0" applyAlignment="0" applyProtection="0"/>
    <xf numFmtId="40" fontId="71"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0" fontId="72" fillId="0" borderId="0"/>
    <xf numFmtId="0" fontId="7" fillId="0" borderId="0">
      <alignment vertical="center"/>
    </xf>
    <xf numFmtId="0" fontId="7" fillId="0" borderId="0"/>
    <xf numFmtId="0" fontId="14" fillId="0" borderId="0">
      <protection locked="0"/>
    </xf>
    <xf numFmtId="0" fontId="23" fillId="0" borderId="0">
      <alignment vertical="top"/>
      <protection locked="0"/>
    </xf>
    <xf numFmtId="0" fontId="7" fillId="0" borderId="0">
      <alignment vertical="center"/>
    </xf>
    <xf numFmtId="0" fontId="79" fillId="0" borderId="0" applyNumberFormat="0" applyFill="0" applyBorder="0" applyAlignment="0" applyProtection="0">
      <alignment vertical="top"/>
      <protection locked="0"/>
    </xf>
    <xf numFmtId="0" fontId="7" fillId="0" borderId="0"/>
    <xf numFmtId="195" fontId="7" fillId="0" borderId="0"/>
    <xf numFmtId="0" fontId="7" fillId="0" borderId="0">
      <alignment vertical="center"/>
    </xf>
    <xf numFmtId="0" fontId="7" fillId="0" borderId="0"/>
    <xf numFmtId="195" fontId="7" fillId="0" borderId="0">
      <alignment vertical="center"/>
    </xf>
    <xf numFmtId="195" fontId="7" fillId="0" borderId="0">
      <alignment vertical="center"/>
      <protection locked="0"/>
    </xf>
    <xf numFmtId="195" fontId="7" fillId="0" borderId="0">
      <alignment vertical="center"/>
    </xf>
    <xf numFmtId="0" fontId="7" fillId="0" borderId="0" applyFill="0" applyBorder="0"/>
    <xf numFmtId="0" fontId="7" fillId="0" borderId="0">
      <protection locked="0"/>
    </xf>
    <xf numFmtId="0" fontId="3" fillId="0" borderId="0"/>
    <xf numFmtId="195" fontId="2" fillId="0" borderId="0">
      <alignment vertical="center"/>
    </xf>
    <xf numFmtId="0" fontId="13" fillId="0" borderId="0"/>
    <xf numFmtId="195" fontId="7" fillId="0" borderId="0">
      <protection locked="0"/>
    </xf>
    <xf numFmtId="195" fontId="7" fillId="0" borderId="0"/>
    <xf numFmtId="0" fontId="7" fillId="0" borderId="0">
      <protection locked="0"/>
    </xf>
    <xf numFmtId="195" fontId="1" fillId="0" borderId="0">
      <alignment vertical="center"/>
    </xf>
  </cellStyleXfs>
  <cellXfs count="727">
    <xf numFmtId="0" fontId="0" fillId="0" borderId="0" xfId="0">
      <protection locked="0"/>
    </xf>
    <xf numFmtId="43" fontId="8" fillId="0" borderId="0" xfId="4" applyNumberFormat="1" applyFont="1" applyBorder="1" applyAlignment="1">
      <alignment vertical="center"/>
    </xf>
    <xf numFmtId="0" fontId="8" fillId="0" borderId="0" xfId="0" applyFont="1" applyAlignment="1">
      <alignment vertical="center"/>
      <protection locked="0"/>
    </xf>
    <xf numFmtId="0" fontId="13" fillId="0" borderId="0" xfId="0" applyFont="1" applyAlignment="1">
      <alignment vertical="center"/>
      <protection locked="0"/>
    </xf>
    <xf numFmtId="43" fontId="6" fillId="0" borderId="0" xfId="4" applyNumberFormat="1" applyFont="1" applyBorder="1" applyAlignment="1">
      <alignment vertical="center"/>
    </xf>
    <xf numFmtId="43" fontId="18" fillId="0" borderId="0" xfId="4" applyNumberFormat="1" applyFont="1" applyBorder="1" applyAlignment="1">
      <alignment vertical="center"/>
    </xf>
    <xf numFmtId="0" fontId="13" fillId="0" borderId="0" xfId="157" applyFont="1">
      <protection locked="0"/>
    </xf>
    <xf numFmtId="0" fontId="13" fillId="0" borderId="0" xfId="159" applyFont="1" applyAlignment="1">
      <alignment horizontal="left" vertical="center"/>
      <protection locked="0"/>
    </xf>
    <xf numFmtId="0" fontId="8" fillId="0" borderId="0" xfId="157" applyFont="1" applyAlignment="1">
      <alignment vertical="center"/>
      <protection locked="0"/>
    </xf>
    <xf numFmtId="0" fontId="13" fillId="0" borderId="0" xfId="157" applyFont="1" applyAlignment="1">
      <alignment vertical="center"/>
      <protection locked="0"/>
    </xf>
    <xf numFmtId="0" fontId="8" fillId="0" borderId="0" xfId="157" applyFont="1" applyAlignment="1">
      <alignment horizontal="left" vertical="center"/>
      <protection locked="0"/>
    </xf>
    <xf numFmtId="0" fontId="12" fillId="0" borderId="0" xfId="185" applyFont="1">
      <alignment vertical="center"/>
    </xf>
    <xf numFmtId="0" fontId="8" fillId="0" borderId="22" xfId="0" applyFont="1" applyBorder="1" applyAlignment="1">
      <alignment horizontal="center" vertical="center" wrapText="1"/>
      <protection locked="0"/>
    </xf>
    <xf numFmtId="43" fontId="8" fillId="0" borderId="22" xfId="0" applyNumberFormat="1" applyFont="1" applyBorder="1" applyAlignment="1">
      <alignment horizontal="center" vertical="center" wrapText="1"/>
      <protection locked="0"/>
    </xf>
    <xf numFmtId="0" fontId="8" fillId="0" borderId="22" xfId="0" applyFont="1" applyBorder="1" applyAlignment="1">
      <alignment horizontal="justify" vertical="center" wrapText="1"/>
      <protection locked="0"/>
    </xf>
    <xf numFmtId="43" fontId="8" fillId="0" borderId="22" xfId="0" applyNumberFormat="1" applyFont="1" applyBorder="1" applyAlignment="1">
      <alignment horizontal="justify" vertical="center" wrapText="1"/>
      <protection locked="0"/>
    </xf>
    <xf numFmtId="0" fontId="6" fillId="0" borderId="22" xfId="0" applyFont="1" applyBorder="1" applyAlignment="1">
      <alignment horizontal="justify" vertical="center" wrapText="1"/>
      <protection locked="0"/>
    </xf>
    <xf numFmtId="0" fontId="6" fillId="0" borderId="0" xfId="0" applyFont="1" applyAlignment="1">
      <alignment vertical="center"/>
      <protection locked="0"/>
    </xf>
    <xf numFmtId="0" fontId="8" fillId="0" borderId="23" xfId="0" applyFont="1" applyBorder="1" applyAlignment="1">
      <alignment vertical="center"/>
      <protection locked="0"/>
    </xf>
    <xf numFmtId="0" fontId="8" fillId="0" borderId="0" xfId="0" applyFont="1" applyAlignment="1">
      <alignment horizontal="left" vertical="center"/>
      <protection locked="0"/>
    </xf>
    <xf numFmtId="0" fontId="6" fillId="0" borderId="0" xfId="0" applyFont="1" applyAlignment="1">
      <alignment horizontal="left" vertical="center"/>
      <protection locked="0"/>
    </xf>
    <xf numFmtId="0" fontId="17" fillId="0" borderId="0" xfId="0" applyFont="1" applyAlignment="1">
      <alignment vertical="center"/>
      <protection locked="0"/>
    </xf>
    <xf numFmtId="0" fontId="18" fillId="0" borderId="0" xfId="0" applyFont="1" applyAlignment="1">
      <alignment vertical="center"/>
      <protection locked="0"/>
    </xf>
    <xf numFmtId="0" fontId="18" fillId="0" borderId="0" xfId="0" applyFont="1">
      <protection locked="0"/>
    </xf>
    <xf numFmtId="0" fontId="8" fillId="0" borderId="0" xfId="0" applyFont="1" applyAlignment="1">
      <alignment horizontal="center" vertical="center"/>
      <protection locked="0"/>
    </xf>
    <xf numFmtId="10" fontId="8" fillId="0" borderId="22" xfId="2" applyNumberFormat="1" applyFont="1" applyBorder="1" applyAlignment="1" applyProtection="1">
      <alignment horizontal="center" vertical="center" wrapText="1"/>
      <protection locked="0"/>
    </xf>
    <xf numFmtId="0" fontId="8" fillId="0" borderId="22" xfId="0" applyFont="1" applyBorder="1" applyAlignment="1">
      <alignment horizontal="left" vertical="center"/>
      <protection locked="0"/>
    </xf>
    <xf numFmtId="0" fontId="8" fillId="0" borderId="23" xfId="0" applyFont="1" applyBorder="1" applyAlignment="1">
      <alignment horizontal="left" vertical="center"/>
      <protection locked="0"/>
    </xf>
    <xf numFmtId="0" fontId="8" fillId="0" borderId="2" xfId="0" applyFont="1" applyBorder="1" applyAlignment="1">
      <alignment horizontal="left" vertical="center"/>
      <protection locked="0"/>
    </xf>
    <xf numFmtId="0" fontId="8" fillId="0" borderId="0" xfId="186" applyFont="1" applyAlignment="1" applyProtection="1">
      <alignment vertical="center"/>
      <protection locked="0"/>
    </xf>
    <xf numFmtId="0" fontId="18" fillId="0" borderId="0" xfId="186" applyFont="1" applyAlignment="1" applyProtection="1">
      <alignment horizontal="center" vertical="center"/>
      <protection hidden="1"/>
    </xf>
    <xf numFmtId="0" fontId="8" fillId="0" borderId="0" xfId="186" applyFont="1" applyAlignment="1" applyProtection="1">
      <alignment horizontal="left" vertical="center"/>
      <protection hidden="1"/>
    </xf>
    <xf numFmtId="0" fontId="18" fillId="0" borderId="0" xfId="186" applyFont="1" applyAlignment="1" applyProtection="1">
      <alignment horizontal="left" vertical="center"/>
      <protection locked="0"/>
    </xf>
    <xf numFmtId="0" fontId="8" fillId="0" borderId="22" xfId="0" applyFont="1" applyBorder="1" applyAlignment="1">
      <alignment vertical="center" wrapText="1"/>
      <protection locked="0"/>
    </xf>
    <xf numFmtId="0" fontId="8" fillId="0" borderId="22" xfId="0" applyFont="1" applyBorder="1" applyAlignment="1">
      <alignment horizontal="center" vertical="center"/>
      <protection locked="0"/>
    </xf>
    <xf numFmtId="43" fontId="8" fillId="0" borderId="22" xfId="158" applyNumberFormat="1" applyFont="1" applyBorder="1" applyAlignment="1">
      <alignment horizontal="justify" vertical="center" wrapText="1"/>
      <protection locked="0"/>
    </xf>
    <xf numFmtId="0" fontId="78" fillId="0" borderId="0" xfId="157" applyFont="1" applyAlignment="1">
      <alignment vertical="center"/>
      <protection locked="0"/>
    </xf>
    <xf numFmtId="0" fontId="8" fillId="0" borderId="22" xfId="157" applyFont="1" applyBorder="1" applyAlignment="1">
      <alignment horizontal="center" vertical="center" wrapText="1"/>
      <protection locked="0"/>
    </xf>
    <xf numFmtId="0" fontId="8" fillId="0" borderId="0" xfId="189" applyFont="1">
      <alignment vertical="center"/>
    </xf>
    <xf numFmtId="9" fontId="8" fillId="0" borderId="22" xfId="2" applyFont="1" applyBorder="1" applyAlignment="1" applyProtection="1">
      <alignment horizontal="center" vertical="center" wrapText="1"/>
      <protection locked="0"/>
    </xf>
    <xf numFmtId="10" fontId="8" fillId="0" borderId="28" xfId="2" applyNumberFormat="1" applyFont="1" applyBorder="1" applyAlignment="1" applyProtection="1">
      <alignment vertical="center"/>
      <protection locked="0"/>
    </xf>
    <xf numFmtId="9" fontId="8" fillId="0" borderId="22" xfId="157" applyNumberFormat="1" applyFont="1" applyBorder="1" applyAlignment="1">
      <alignment horizontal="center" vertical="center" wrapText="1"/>
      <protection locked="0"/>
    </xf>
    <xf numFmtId="0" fontId="8" fillId="0" borderId="0" xfId="185" applyFont="1" applyAlignment="1">
      <alignment vertical="center" wrapText="1"/>
    </xf>
    <xf numFmtId="0" fontId="8" fillId="0" borderId="0" xfId="0" applyFont="1" applyAlignment="1">
      <alignment vertical="center" wrapText="1"/>
      <protection locked="0"/>
    </xf>
    <xf numFmtId="0" fontId="6" fillId="0" borderId="0" xfId="186" applyFont="1" applyAlignment="1">
      <alignment vertical="center"/>
    </xf>
    <xf numFmtId="0" fontId="8" fillId="0" borderId="0" xfId="186" applyFont="1" applyAlignment="1" applyProtection="1">
      <alignment vertical="center" wrapText="1"/>
      <protection locked="0"/>
    </xf>
    <xf numFmtId="0" fontId="8" fillId="0" borderId="22" xfId="0" applyFont="1" applyBorder="1" applyAlignment="1">
      <alignment vertical="center" shrinkToFit="1"/>
      <protection locked="0"/>
    </xf>
    <xf numFmtId="208" fontId="8" fillId="0" borderId="22" xfId="0" applyNumberFormat="1" applyFont="1" applyBorder="1" applyAlignment="1">
      <alignment vertical="center"/>
      <protection locked="0"/>
    </xf>
    <xf numFmtId="0" fontId="18" fillId="0" borderId="0" xfId="0" applyFont="1" applyAlignment="1">
      <alignment vertical="center" wrapText="1"/>
      <protection locked="0"/>
    </xf>
    <xf numFmtId="0" fontId="73" fillId="0" borderId="0" xfId="157" applyFont="1" applyAlignment="1" applyProtection="1">
      <alignment vertical="center"/>
    </xf>
    <xf numFmtId="49" fontId="6" fillId="0" borderId="0" xfId="1" applyNumberFormat="1" applyFont="1" applyFill="1" applyAlignment="1" applyProtection="1">
      <alignment horizontal="right" vertical="center" shrinkToFit="1"/>
    </xf>
    <xf numFmtId="0" fontId="6" fillId="0" borderId="0" xfId="157" applyFont="1" applyAlignment="1" applyProtection="1">
      <alignment horizontal="left" vertical="center"/>
    </xf>
    <xf numFmtId="0" fontId="6" fillId="0" borderId="1" xfId="0" applyFont="1" applyBorder="1" applyAlignment="1">
      <alignment horizontal="left" vertical="center"/>
      <protection locked="0"/>
    </xf>
    <xf numFmtId="43" fontId="6" fillId="0" borderId="0" xfId="0" applyNumberFormat="1" applyFont="1" applyAlignment="1">
      <alignment horizontal="left" vertical="center"/>
      <protection locked="0"/>
    </xf>
    <xf numFmtId="43" fontId="8" fillId="0" borderId="23" xfId="4" applyNumberFormat="1" applyFont="1" applyBorder="1" applyAlignment="1">
      <alignment vertical="center"/>
    </xf>
    <xf numFmtId="176" fontId="15" fillId="0" borderId="0" xfId="2" applyNumberFormat="1" applyFont="1" applyBorder="1" applyAlignment="1">
      <alignment horizontal="left" vertical="center"/>
    </xf>
    <xf numFmtId="43" fontId="8" fillId="0" borderId="22" xfId="1" applyFont="1" applyFill="1" applyBorder="1" applyAlignment="1">
      <alignment horizontal="right" vertical="center" wrapText="1"/>
    </xf>
    <xf numFmtId="0" fontId="6" fillId="30" borderId="22" xfId="157" applyFont="1" applyFill="1" applyBorder="1" applyAlignment="1">
      <alignment horizontal="centerContinuous" vertical="center" wrapText="1"/>
      <protection locked="0"/>
    </xf>
    <xf numFmtId="0" fontId="8" fillId="30" borderId="22" xfId="157" applyFont="1" applyFill="1" applyBorder="1" applyAlignment="1">
      <alignment horizontal="centerContinuous" vertical="center"/>
      <protection locked="0"/>
    </xf>
    <xf numFmtId="195" fontId="8" fillId="0" borderId="26" xfId="0" applyNumberFormat="1" applyFont="1" applyBorder="1" applyAlignment="1">
      <alignment vertical="center"/>
      <protection locked="0"/>
    </xf>
    <xf numFmtId="0" fontId="6" fillId="30" borderId="25" xfId="0" applyFont="1" applyFill="1" applyBorder="1" applyAlignment="1">
      <alignment horizontal="centerContinuous" vertical="center"/>
      <protection locked="0"/>
    </xf>
    <xf numFmtId="9" fontId="8" fillId="0" borderId="30" xfId="0" applyNumberFormat="1" applyFont="1" applyBorder="1" applyAlignment="1">
      <alignment horizontal="center" vertical="center" wrapText="1"/>
      <protection locked="0"/>
    </xf>
    <xf numFmtId="0" fontId="8" fillId="0" borderId="28" xfId="0" applyFont="1" applyBorder="1" applyAlignment="1">
      <alignment horizontal="center" vertical="center"/>
      <protection locked="0"/>
    </xf>
    <xf numFmtId="0" fontId="6" fillId="0" borderId="0" xfId="185" applyFont="1" applyAlignment="1">
      <alignment vertical="center" wrapText="1"/>
    </xf>
    <xf numFmtId="0" fontId="8" fillId="0" borderId="0" xfId="0" applyFont="1" applyAlignment="1">
      <alignment horizontal="right" vertical="center"/>
      <protection locked="0"/>
    </xf>
    <xf numFmtId="0" fontId="8" fillId="0" borderId="0" xfId="0" applyFont="1" applyAlignment="1" applyProtection="1">
      <alignment vertical="center"/>
    </xf>
    <xf numFmtId="0" fontId="8" fillId="0" borderId="0" xfId="0" applyFont="1" applyAlignment="1" applyProtection="1">
      <alignment horizontal="center" vertical="center"/>
    </xf>
    <xf numFmtId="0" fontId="8" fillId="0" borderId="22" xfId="0" applyFont="1" applyBorder="1" applyAlignment="1" applyProtection="1">
      <alignment horizontal="center" vertical="center"/>
    </xf>
    <xf numFmtId="0" fontId="8" fillId="0" borderId="0" xfId="0" applyFont="1">
      <protection locked="0"/>
    </xf>
    <xf numFmtId="0" fontId="4" fillId="0" borderId="0" xfId="0" applyFont="1" applyAlignment="1">
      <alignment vertical="center"/>
      <protection locked="0"/>
    </xf>
    <xf numFmtId="49" fontId="8" fillId="0" borderId="0" xfId="0" applyNumberFormat="1" applyFont="1" applyAlignment="1">
      <alignment vertical="center"/>
      <protection locked="0"/>
    </xf>
    <xf numFmtId="0" fontId="6" fillId="0" borderId="23" xfId="0" applyFont="1" applyBorder="1" applyAlignment="1">
      <alignment vertical="center"/>
      <protection locked="0"/>
    </xf>
    <xf numFmtId="0" fontId="6" fillId="0" borderId="0" xfId="0" applyFont="1" applyAlignment="1">
      <alignment horizontal="right" vertical="center"/>
      <protection locked="0"/>
    </xf>
    <xf numFmtId="43" fontId="74" fillId="0" borderId="22" xfId="1" applyFont="1" applyFill="1" applyBorder="1" applyAlignment="1">
      <alignment horizontal="right" vertical="center"/>
    </xf>
    <xf numFmtId="10" fontId="8" fillId="0" borderId="22" xfId="2" applyNumberFormat="1" applyFont="1" applyFill="1" applyBorder="1" applyAlignment="1">
      <alignment horizontal="right" vertical="center" wrapText="1"/>
    </xf>
    <xf numFmtId="14" fontId="8" fillId="0" borderId="0" xfId="0" applyNumberFormat="1" applyFont="1" applyAlignment="1">
      <alignment vertical="center"/>
      <protection locked="0"/>
    </xf>
    <xf numFmtId="0" fontId="8" fillId="0" borderId="22" xfId="1" applyNumberFormat="1" applyFont="1" applyFill="1" applyBorder="1" applyAlignment="1">
      <alignment horizontal="right" vertical="center" wrapText="1"/>
    </xf>
    <xf numFmtId="0" fontId="8" fillId="0" borderId="22" xfId="2" applyNumberFormat="1" applyFont="1" applyFill="1" applyBorder="1" applyAlignment="1">
      <alignment horizontal="right" vertical="center" wrapText="1"/>
    </xf>
    <xf numFmtId="0" fontId="74" fillId="0" borderId="22" xfId="1" applyNumberFormat="1" applyFont="1" applyFill="1" applyBorder="1" applyAlignment="1">
      <alignment horizontal="right" vertical="center"/>
    </xf>
    <xf numFmtId="14" fontId="13" fillId="0" borderId="0" xfId="159" applyNumberFormat="1" applyFont="1" applyAlignment="1">
      <alignment horizontal="left" vertical="center"/>
      <protection locked="0"/>
    </xf>
    <xf numFmtId="0" fontId="8" fillId="0" borderId="22" xfId="157" applyFont="1" applyBorder="1" applyAlignment="1">
      <alignment horizontal="justify" vertical="center" wrapText="1"/>
      <protection locked="0"/>
    </xf>
    <xf numFmtId="43" fontId="88" fillId="0" borderId="22" xfId="158" applyNumberFormat="1" applyFont="1" applyBorder="1" applyAlignment="1">
      <alignment horizontal="justify" vertical="center" wrapText="1"/>
      <protection locked="0"/>
    </xf>
    <xf numFmtId="14" fontId="8" fillId="0" borderId="0" xfId="0" applyNumberFormat="1" applyFont="1" applyAlignment="1">
      <alignment horizontal="left" vertical="center"/>
      <protection locked="0"/>
    </xf>
    <xf numFmtId="0" fontId="8" fillId="0" borderId="22" xfId="187" applyFont="1" applyBorder="1" applyAlignment="1">
      <alignment horizontal="center" vertical="center"/>
      <protection locked="0"/>
    </xf>
    <xf numFmtId="14" fontId="8" fillId="0" borderId="0" xfId="0" applyNumberFormat="1" applyFont="1" applyAlignment="1">
      <alignment vertical="center" wrapText="1"/>
      <protection locked="0"/>
    </xf>
    <xf numFmtId="49" fontId="6" fillId="0" borderId="22" xfId="0" applyNumberFormat="1" applyFont="1" applyBorder="1" applyAlignment="1" applyProtection="1">
      <alignment horizontal="center" vertical="center"/>
    </xf>
    <xf numFmtId="0" fontId="6" fillId="0" borderId="22" xfId="0" applyFont="1" applyBorder="1" applyAlignment="1" applyProtection="1">
      <alignment vertical="center"/>
    </xf>
    <xf numFmtId="49" fontId="6" fillId="30" borderId="22" xfId="0" applyNumberFormat="1" applyFont="1" applyFill="1" applyBorder="1" applyAlignment="1" applyProtection="1">
      <alignment horizontal="center" vertical="center"/>
    </xf>
    <xf numFmtId="0" fontId="6" fillId="30" borderId="22" xfId="0" applyFont="1" applyFill="1" applyBorder="1" applyAlignment="1" applyProtection="1">
      <alignment vertical="center"/>
    </xf>
    <xf numFmtId="0" fontId="6" fillId="30" borderId="22" xfId="0" applyFont="1" applyFill="1" applyBorder="1" applyAlignment="1" applyProtection="1">
      <alignment horizontal="center" vertical="center"/>
    </xf>
    <xf numFmtId="14" fontId="8" fillId="0" borderId="0" xfId="157" applyNumberFormat="1" applyFont="1" applyAlignment="1">
      <alignment vertical="center"/>
      <protection locked="0"/>
    </xf>
    <xf numFmtId="14" fontId="8" fillId="0" borderId="0" xfId="157" applyNumberFormat="1" applyFont="1">
      <protection locked="0"/>
    </xf>
    <xf numFmtId="0" fontId="8" fillId="0" borderId="0" xfId="157" applyFont="1">
      <protection locked="0"/>
    </xf>
    <xf numFmtId="0" fontId="8" fillId="0" borderId="0" xfId="191" applyFont="1" applyAlignment="1">
      <alignment horizontal="left" vertical="center"/>
    </xf>
    <xf numFmtId="0" fontId="6" fillId="0" borderId="0" xfId="191" applyFont="1" applyAlignment="1">
      <alignment horizontal="left" vertical="center"/>
    </xf>
    <xf numFmtId="0" fontId="8" fillId="0" borderId="0" xfId="191" applyFont="1" applyAlignment="1">
      <alignment horizontal="center" vertical="center"/>
    </xf>
    <xf numFmtId="9" fontId="8" fillId="0" borderId="0" xfId="2" applyFont="1" applyFill="1" applyBorder="1" applyAlignment="1">
      <alignment horizontal="center" vertical="center"/>
    </xf>
    <xf numFmtId="10" fontId="8" fillId="0" borderId="0" xfId="2" applyNumberFormat="1" applyFont="1" applyFill="1" applyBorder="1" applyAlignment="1">
      <alignment horizontal="center" vertical="center"/>
    </xf>
    <xf numFmtId="9" fontId="6" fillId="0" borderId="0" xfId="2" applyFont="1" applyFill="1" applyBorder="1" applyAlignment="1">
      <alignment horizontal="center" vertical="center"/>
    </xf>
    <xf numFmtId="10" fontId="6" fillId="0" borderId="0" xfId="2" applyNumberFormat="1" applyFont="1" applyFill="1" applyBorder="1" applyAlignment="1">
      <alignment horizontal="center" vertical="center"/>
    </xf>
    <xf numFmtId="0" fontId="6" fillId="0" borderId="0" xfId="191" applyFont="1" applyAlignment="1">
      <alignment vertical="center"/>
    </xf>
    <xf numFmtId="0" fontId="6" fillId="0" borderId="22" xfId="191" applyFont="1" applyBorder="1" applyAlignment="1">
      <alignment horizontal="center" vertical="center"/>
    </xf>
    <xf numFmtId="0" fontId="8" fillId="0" borderId="22" xfId="191" applyFont="1" applyBorder="1" applyAlignment="1">
      <alignment horizontal="center" vertical="center"/>
    </xf>
    <xf numFmtId="0" fontId="8" fillId="0" borderId="22" xfId="191" applyFont="1" applyBorder="1" applyAlignment="1">
      <alignment horizontal="left" vertical="center"/>
    </xf>
    <xf numFmtId="0" fontId="90" fillId="0" borderId="0" xfId="191" applyFont="1" applyAlignment="1">
      <alignment horizontal="left" vertical="center"/>
    </xf>
    <xf numFmtId="0" fontId="8" fillId="0" borderId="0" xfId="191" applyFont="1" applyAlignment="1">
      <alignment vertical="center"/>
    </xf>
    <xf numFmtId="0" fontId="8" fillId="0" borderId="0" xfId="188" applyFont="1">
      <alignment vertical="top"/>
      <protection locked="0"/>
    </xf>
    <xf numFmtId="0" fontId="8" fillId="0" borderId="0" xfId="188" applyFont="1" applyAlignment="1">
      <alignment vertical="center"/>
      <protection locked="0"/>
    </xf>
    <xf numFmtId="0" fontId="8" fillId="0" borderId="0" xfId="158" applyFont="1">
      <protection locked="0"/>
    </xf>
    <xf numFmtId="0" fontId="6" fillId="0" borderId="0" xfId="157" applyFont="1" applyAlignment="1" applyProtection="1">
      <alignment vertical="center"/>
    </xf>
    <xf numFmtId="0" fontId="18" fillId="0" borderId="0" xfId="0" applyFont="1" applyAlignment="1">
      <alignment horizontal="left" vertical="center"/>
      <protection locked="0"/>
    </xf>
    <xf numFmtId="0" fontId="8" fillId="0" borderId="0" xfId="194" applyFont="1" applyAlignment="1">
      <alignment horizontal="center" vertical="center"/>
    </xf>
    <xf numFmtId="0" fontId="6" fillId="30" borderId="22" xfId="187" applyFont="1" applyFill="1" applyBorder="1" applyAlignment="1">
      <alignment horizontal="center" vertical="center" wrapText="1"/>
      <protection locked="0"/>
    </xf>
    <xf numFmtId="0" fontId="8" fillId="30" borderId="22" xfId="187" applyFont="1" applyFill="1" applyBorder="1" applyAlignment="1">
      <alignment horizontal="center" vertical="center" wrapText="1"/>
      <protection locked="0"/>
    </xf>
    <xf numFmtId="209" fontId="8" fillId="0" borderId="22" xfId="1" applyNumberFormat="1" applyFont="1" applyFill="1" applyBorder="1" applyAlignment="1">
      <alignment vertical="center"/>
    </xf>
    <xf numFmtId="10" fontId="8" fillId="0" borderId="22" xfId="2" applyNumberFormat="1" applyFont="1" applyFill="1" applyBorder="1" applyAlignment="1" applyProtection="1">
      <alignment horizontal="center" vertical="center" wrapText="1"/>
      <protection locked="0"/>
    </xf>
    <xf numFmtId="10" fontId="8" fillId="0" borderId="26" xfId="2" applyNumberFormat="1" applyFont="1" applyFill="1" applyBorder="1" applyAlignment="1" applyProtection="1">
      <alignment vertical="center"/>
      <protection locked="0"/>
    </xf>
    <xf numFmtId="43" fontId="8" fillId="0" borderId="27" xfId="0" applyNumberFormat="1" applyFont="1" applyBorder="1" applyAlignment="1">
      <alignment vertical="center"/>
      <protection locked="0"/>
    </xf>
    <xf numFmtId="10" fontId="8" fillId="0" borderId="28" xfId="2" applyNumberFormat="1" applyFont="1" applyFill="1" applyBorder="1" applyAlignment="1" applyProtection="1">
      <alignment vertical="center"/>
      <protection locked="0"/>
    </xf>
    <xf numFmtId="0" fontId="8" fillId="0" borderId="0" xfId="3" applyFont="1" applyAlignment="1">
      <alignment vertical="center"/>
    </xf>
    <xf numFmtId="0" fontId="8" fillId="0" borderId="10" xfId="3" applyFont="1" applyBorder="1" applyAlignment="1">
      <alignment vertical="center"/>
    </xf>
    <xf numFmtId="0" fontId="8" fillId="0" borderId="10" xfId="3" applyFont="1" applyBorder="1" applyAlignment="1">
      <alignment horizontal="center" vertical="center"/>
    </xf>
    <xf numFmtId="43" fontId="8" fillId="0" borderId="10" xfId="3" applyNumberFormat="1" applyFont="1" applyBorder="1" applyAlignment="1">
      <alignment vertical="center"/>
    </xf>
    <xf numFmtId="43" fontId="8" fillId="0" borderId="0" xfId="3" applyNumberFormat="1" applyFont="1" applyAlignment="1">
      <alignment vertical="center"/>
    </xf>
    <xf numFmtId="0" fontId="89" fillId="0" borderId="0" xfId="0" applyFont="1" applyAlignment="1">
      <alignment vertical="center"/>
      <protection locked="0"/>
    </xf>
    <xf numFmtId="0" fontId="8" fillId="0" borderId="22" xfId="158" applyFont="1" applyBorder="1" applyAlignment="1">
      <alignment horizontal="justify" vertical="center" wrapText="1"/>
      <protection locked="0"/>
    </xf>
    <xf numFmtId="43" fontId="8" fillId="0" borderId="22" xfId="158" applyNumberFormat="1" applyFont="1" applyBorder="1" applyAlignment="1">
      <alignment horizontal="justify" vertical="center"/>
      <protection locked="0"/>
    </xf>
    <xf numFmtId="0" fontId="8" fillId="0" borderId="22" xfId="158" applyFont="1" applyBorder="1" applyAlignment="1">
      <alignment horizontal="justify" vertical="center"/>
      <protection locked="0"/>
    </xf>
    <xf numFmtId="0" fontId="6" fillId="32" borderId="22" xfId="0" applyFont="1" applyFill="1" applyBorder="1" applyAlignment="1">
      <alignment horizontal="justify" vertical="center" wrapText="1"/>
      <protection locked="0"/>
    </xf>
    <xf numFmtId="43" fontId="8" fillId="0" borderId="0" xfId="198" applyNumberFormat="1" applyFont="1" applyBorder="1" applyAlignment="1">
      <alignment vertical="center"/>
    </xf>
    <xf numFmtId="43" fontId="8" fillId="0" borderId="0" xfId="198" applyNumberFormat="1" applyFont="1" applyBorder="1" applyAlignment="1">
      <alignment horizontal="left" vertical="center"/>
    </xf>
    <xf numFmtId="195" fontId="96" fillId="30" borderId="22" xfId="192" applyFont="1" applyFill="1" applyBorder="1" applyAlignment="1" applyProtection="1">
      <alignment horizontal="center" vertical="center" wrapText="1"/>
      <protection locked="0"/>
    </xf>
    <xf numFmtId="0" fontId="6" fillId="0" borderId="0" xfId="200" applyFont="1" applyAlignment="1">
      <alignment vertical="center"/>
    </xf>
    <xf numFmtId="0" fontId="8" fillId="0" borderId="0" xfId="200" applyFont="1" applyAlignment="1">
      <alignment vertical="center"/>
    </xf>
    <xf numFmtId="0" fontId="8" fillId="0" borderId="0" xfId="200" applyFont="1" applyAlignment="1">
      <alignment horizontal="left" vertical="center"/>
    </xf>
    <xf numFmtId="0" fontId="85" fillId="0" borderId="0" xfId="0" applyFont="1" applyAlignment="1">
      <alignment vertical="center"/>
      <protection locked="0"/>
    </xf>
    <xf numFmtId="0" fontId="85" fillId="0" borderId="0" xfId="157" applyFont="1" applyAlignment="1">
      <alignment vertical="center"/>
      <protection locked="0"/>
    </xf>
    <xf numFmtId="14" fontId="85" fillId="0" borderId="0" xfId="159" applyNumberFormat="1" applyFont="1" applyAlignment="1">
      <alignment horizontal="left" vertical="center"/>
      <protection locked="0"/>
    </xf>
    <xf numFmtId="0" fontId="85" fillId="0" borderId="0" xfId="159" applyFont="1" applyAlignment="1">
      <alignment horizontal="left" vertical="center"/>
      <protection locked="0"/>
    </xf>
    <xf numFmtId="0" fontId="85" fillId="0" borderId="0" xfId="157" applyFont="1">
      <protection locked="0"/>
    </xf>
    <xf numFmtId="14" fontId="85" fillId="0" borderId="0" xfId="157" applyNumberFormat="1" applyFont="1">
      <protection locked="0"/>
    </xf>
    <xf numFmtId="0" fontId="86" fillId="0" borderId="0" xfId="0" applyFont="1" applyAlignment="1">
      <alignment vertical="center"/>
      <protection locked="0"/>
    </xf>
    <xf numFmtId="0" fontId="97" fillId="0" borderId="0" xfId="0" applyFont="1" applyAlignment="1" applyProtection="1">
      <alignment horizontal="justify" vertical="center"/>
    </xf>
    <xf numFmtId="0" fontId="97" fillId="0" borderId="0" xfId="0" applyFont="1" applyAlignment="1" applyProtection="1">
      <alignment vertical="center"/>
    </xf>
    <xf numFmtId="0" fontId="99" fillId="0" borderId="11" xfId="0" applyFont="1" applyBorder="1" applyAlignment="1">
      <alignment horizontal="justify" vertical="center" wrapText="1"/>
      <protection locked="0"/>
    </xf>
    <xf numFmtId="0" fontId="99" fillId="0" borderId="11" xfId="0" applyFont="1" applyBorder="1" applyAlignment="1">
      <alignment horizontal="right" vertical="center" wrapText="1"/>
      <protection locked="0"/>
    </xf>
    <xf numFmtId="0" fontId="87" fillId="0" borderId="0" xfId="0" applyFont="1" applyAlignment="1">
      <alignment horizontal="justify" vertical="center" wrapText="1"/>
      <protection locked="0"/>
    </xf>
    <xf numFmtId="0" fontId="101" fillId="0" borderId="0" xfId="0" applyFont="1" applyAlignment="1">
      <alignment horizontal="right" vertical="center" wrapText="1"/>
      <protection locked="0"/>
    </xf>
    <xf numFmtId="0" fontId="101" fillId="0" borderId="0" xfId="0" applyFont="1" applyAlignment="1">
      <alignment horizontal="justify" vertical="center" wrapText="1"/>
      <protection locked="0"/>
    </xf>
    <xf numFmtId="0" fontId="87" fillId="0" borderId="13" xfId="0" applyFont="1" applyBorder="1" applyAlignment="1">
      <alignment horizontal="justify" vertical="center" wrapText="1"/>
      <protection locked="0"/>
    </xf>
    <xf numFmtId="0" fontId="101" fillId="0" borderId="13" xfId="0" applyFont="1" applyBorder="1" applyAlignment="1">
      <alignment horizontal="right" vertical="center" wrapText="1"/>
      <protection locked="0"/>
    </xf>
    <xf numFmtId="0" fontId="99" fillId="0" borderId="13" xfId="0" applyFont="1" applyBorder="1" applyAlignment="1">
      <alignment horizontal="justify" vertical="center" wrapText="1"/>
      <protection locked="0"/>
    </xf>
    <xf numFmtId="0" fontId="100" fillId="0" borderId="13" xfId="0" applyFont="1" applyBorder="1" applyAlignment="1">
      <alignment horizontal="right" vertical="center" wrapText="1"/>
      <protection locked="0"/>
    </xf>
    <xf numFmtId="0" fontId="98" fillId="0" borderId="0" xfId="0" applyFont="1" applyBorder="1" applyAlignment="1" applyProtection="1">
      <alignment horizontal="left" vertical="center"/>
    </xf>
    <xf numFmtId="43" fontId="98" fillId="0" borderId="0" xfId="1" applyFont="1" applyFill="1" applyBorder="1" applyAlignment="1" applyProtection="1">
      <alignment vertical="center" shrinkToFit="1"/>
    </xf>
    <xf numFmtId="0" fontId="102" fillId="0" borderId="13" xfId="0" applyFont="1" applyBorder="1" applyAlignment="1">
      <alignment horizontal="right" vertical="center" wrapText="1"/>
      <protection locked="0"/>
    </xf>
    <xf numFmtId="0" fontId="104" fillId="0" borderId="11" xfId="0" applyFont="1" applyBorder="1" applyAlignment="1">
      <alignment horizontal="justify" vertical="center" wrapText="1"/>
      <protection locked="0"/>
    </xf>
    <xf numFmtId="0" fontId="104" fillId="0" borderId="13" xfId="0" applyFont="1" applyBorder="1" applyAlignment="1">
      <alignment horizontal="right" vertical="center" wrapText="1"/>
      <protection locked="0"/>
    </xf>
    <xf numFmtId="0" fontId="103" fillId="0" borderId="13" xfId="0" applyFont="1" applyBorder="1" applyAlignment="1">
      <alignment horizontal="right" vertical="center" wrapText="1"/>
      <protection locked="0"/>
    </xf>
    <xf numFmtId="0" fontId="104" fillId="0" borderId="0" xfId="0" applyFont="1" applyAlignment="1">
      <alignment horizontal="justify" vertical="center" wrapText="1"/>
      <protection locked="0"/>
    </xf>
    <xf numFmtId="0" fontId="104" fillId="0" borderId="0" xfId="0" applyFont="1" applyAlignment="1">
      <alignment horizontal="right" vertical="center" wrapText="1"/>
      <protection locked="0"/>
    </xf>
    <xf numFmtId="0" fontId="103" fillId="0" borderId="0" xfId="0" applyFont="1" applyAlignment="1">
      <alignment horizontal="right" vertical="center" wrapText="1"/>
      <protection locked="0"/>
    </xf>
    <xf numFmtId="0" fontId="104" fillId="0" borderId="13" xfId="0" applyFont="1" applyBorder="1" applyAlignment="1">
      <alignment horizontal="justify" vertical="center" wrapText="1"/>
      <protection locked="0"/>
    </xf>
    <xf numFmtId="0" fontId="102" fillId="0" borderId="13" xfId="0" applyFont="1" applyBorder="1" applyAlignment="1">
      <alignment horizontal="justify" vertical="center" wrapText="1"/>
      <protection locked="0"/>
    </xf>
    <xf numFmtId="0" fontId="105" fillId="0" borderId="0" xfId="0" applyFont="1" applyAlignment="1">
      <alignment horizontal="right" vertical="center" wrapText="1"/>
      <protection locked="0"/>
    </xf>
    <xf numFmtId="0" fontId="105" fillId="0" borderId="21" xfId="0" applyFont="1" applyBorder="1" applyAlignment="1">
      <alignment horizontal="right" vertical="center" wrapText="1"/>
      <protection locked="0"/>
    </xf>
    <xf numFmtId="0" fontId="105" fillId="0" borderId="13" xfId="0" applyFont="1" applyBorder="1" applyAlignment="1">
      <alignment horizontal="right" vertical="center" wrapText="1"/>
      <protection locked="0"/>
    </xf>
    <xf numFmtId="0" fontId="82" fillId="0" borderId="0" xfId="0" applyFont="1" applyAlignment="1">
      <alignment horizontal="justify" vertical="center" wrapText="1"/>
      <protection locked="0"/>
    </xf>
    <xf numFmtId="0" fontId="107" fillId="0" borderId="0" xfId="0" applyFont="1" applyAlignment="1">
      <alignment horizontal="right" vertical="center" wrapText="1"/>
      <protection locked="0"/>
    </xf>
    <xf numFmtId="0" fontId="82" fillId="0" borderId="0" xfId="0" applyFont="1" applyAlignment="1">
      <alignment horizontal="right" vertical="center" wrapText="1"/>
      <protection locked="0"/>
    </xf>
    <xf numFmtId="0" fontId="82" fillId="0" borderId="13" xfId="0" applyFont="1" applyBorder="1" applyAlignment="1">
      <alignment horizontal="justify" vertical="center" wrapText="1"/>
      <protection locked="0"/>
    </xf>
    <xf numFmtId="0" fontId="82" fillId="0" borderId="13" xfId="0" applyFont="1" applyBorder="1" applyAlignment="1">
      <alignment horizontal="right" vertical="center" wrapText="1"/>
      <protection locked="0"/>
    </xf>
    <xf numFmtId="0" fontId="105" fillId="0" borderId="13" xfId="0" applyFont="1" applyBorder="1" applyAlignment="1">
      <alignment horizontal="justify" vertical="center" wrapText="1"/>
      <protection locked="0"/>
    </xf>
    <xf numFmtId="0" fontId="92" fillId="0" borderId="13" xfId="0" applyFont="1" applyBorder="1" applyAlignment="1">
      <alignment horizontal="right" vertical="center" wrapText="1"/>
      <protection locked="0"/>
    </xf>
    <xf numFmtId="0" fontId="108" fillId="0" borderId="0" xfId="0" applyFont="1" applyAlignment="1">
      <alignment horizontal="justify" vertical="center"/>
      <protection locked="0"/>
    </xf>
    <xf numFmtId="0" fontId="101" fillId="0" borderId="13" xfId="0" applyFont="1" applyBorder="1" applyAlignment="1">
      <alignment horizontal="justify" vertical="center" wrapText="1"/>
      <protection locked="0"/>
    </xf>
    <xf numFmtId="0" fontId="108" fillId="0" borderId="0" xfId="0" applyFont="1" applyAlignment="1">
      <alignment horizontal="left" vertical="center"/>
      <protection locked="0"/>
    </xf>
    <xf numFmtId="0" fontId="109" fillId="0" borderId="0" xfId="0" applyFont="1" applyAlignment="1">
      <alignment horizontal="left" vertical="center"/>
      <protection locked="0"/>
    </xf>
    <xf numFmtId="0" fontId="12" fillId="0" borderId="0" xfId="0" applyFont="1" applyAlignment="1">
      <alignment horizontal="justify" vertical="center"/>
      <protection locked="0"/>
    </xf>
    <xf numFmtId="0" fontId="111" fillId="0" borderId="0" xfId="0" applyFont="1" applyAlignment="1">
      <alignment horizontal="justify" vertical="center" wrapText="1"/>
      <protection locked="0"/>
    </xf>
    <xf numFmtId="0" fontId="111" fillId="0" borderId="13" xfId="0" applyFont="1" applyBorder="1" applyAlignment="1">
      <alignment horizontal="justify" vertical="center" wrapText="1"/>
      <protection locked="0"/>
    </xf>
    <xf numFmtId="0" fontId="102" fillId="0" borderId="11" xfId="0" applyFont="1" applyBorder="1" applyAlignment="1">
      <alignment horizontal="justify" vertical="center" wrapText="1"/>
      <protection locked="0"/>
    </xf>
    <xf numFmtId="0" fontId="102" fillId="0" borderId="11" xfId="0" applyFont="1" applyBorder="1" applyAlignment="1">
      <alignment horizontal="right" vertical="center" wrapText="1"/>
      <protection locked="0"/>
    </xf>
    <xf numFmtId="10" fontId="8" fillId="30" borderId="22" xfId="2" applyNumberFormat="1" applyFont="1" applyFill="1" applyBorder="1" applyAlignment="1" applyProtection="1">
      <alignment horizontal="right" vertical="center" wrapText="1" shrinkToFit="1"/>
      <protection locked="0"/>
    </xf>
    <xf numFmtId="43" fontId="8" fillId="30" borderId="22" xfId="1" applyFont="1" applyFill="1" applyBorder="1" applyAlignment="1">
      <alignment horizontal="right" vertical="center" wrapText="1"/>
    </xf>
    <xf numFmtId="43" fontId="8" fillId="30" borderId="22" xfId="0" applyNumberFormat="1" applyFont="1" applyFill="1" applyBorder="1" applyAlignment="1">
      <alignment horizontal="center" vertical="center" wrapText="1"/>
      <protection locked="0"/>
    </xf>
    <xf numFmtId="10" fontId="8" fillId="30" borderId="22" xfId="2" applyNumberFormat="1" applyFont="1" applyFill="1" applyBorder="1" applyAlignment="1">
      <alignment horizontal="right" vertical="center" wrapText="1"/>
    </xf>
    <xf numFmtId="43" fontId="8" fillId="30" borderId="22" xfId="158" applyNumberFormat="1" applyFont="1" applyFill="1" applyBorder="1" applyAlignment="1">
      <alignment horizontal="justify" vertical="center" wrapText="1"/>
      <protection locked="0"/>
    </xf>
    <xf numFmtId="43" fontId="8" fillId="30" borderId="22" xfId="158" applyNumberFormat="1" applyFont="1" applyFill="1" applyBorder="1" applyAlignment="1">
      <alignment horizontal="justify" vertical="center"/>
      <protection locked="0"/>
    </xf>
    <xf numFmtId="0" fontId="8" fillId="0" borderId="0" xfId="189" applyFont="1" applyAlignment="1">
      <alignment vertical="center"/>
    </xf>
    <xf numFmtId="0" fontId="8" fillId="0" borderId="0" xfId="194" applyFont="1" applyAlignment="1">
      <alignment vertical="center"/>
    </xf>
    <xf numFmtId="0" fontId="8" fillId="30" borderId="0" xfId="187" applyFont="1" applyFill="1" applyAlignment="1">
      <alignment horizontal="right" vertical="center" shrinkToFit="1"/>
      <protection locked="0"/>
    </xf>
    <xf numFmtId="10" fontId="15" fillId="30" borderId="0" xfId="2" applyNumberFormat="1" applyFont="1" applyFill="1" applyAlignment="1" applyProtection="1">
      <alignment horizontal="center" vertical="center"/>
      <protection locked="0"/>
    </xf>
    <xf numFmtId="0" fontId="6" fillId="0" borderId="0" xfId="187" applyFont="1" applyAlignment="1">
      <alignment horizontal="center" vertical="center" wrapText="1"/>
      <protection locked="0"/>
    </xf>
    <xf numFmtId="0" fontId="8" fillId="0" borderId="0" xfId="187" applyFont="1" applyAlignment="1">
      <alignment horizontal="center" vertical="center" wrapText="1"/>
      <protection locked="0"/>
    </xf>
    <xf numFmtId="0" fontId="6" fillId="30" borderId="22" xfId="187" applyFont="1" applyFill="1" applyBorder="1" applyAlignment="1">
      <alignment horizontal="center" vertical="center"/>
      <protection locked="0"/>
    </xf>
    <xf numFmtId="43" fontId="8" fillId="0" borderId="22" xfId="1" applyFont="1" applyBorder="1" applyAlignment="1" applyProtection="1">
      <alignment horizontal="center" vertical="center"/>
      <protection locked="0"/>
    </xf>
    <xf numFmtId="0" fontId="6" fillId="0" borderId="22" xfId="187" applyFont="1" applyBorder="1" applyAlignment="1">
      <alignment horizontal="center" vertical="center"/>
      <protection locked="0"/>
    </xf>
    <xf numFmtId="0" fontId="6" fillId="0" borderId="0" xfId="187" applyFont="1" applyAlignment="1">
      <alignment horizontal="center" vertical="center"/>
      <protection locked="0"/>
    </xf>
    <xf numFmtId="0" fontId="8" fillId="30" borderId="22" xfId="187" applyFont="1" applyFill="1" applyBorder="1" applyAlignment="1">
      <alignment horizontal="center" vertical="center"/>
      <protection locked="0"/>
    </xf>
    <xf numFmtId="43" fontId="8" fillId="0" borderId="22" xfId="1" applyFont="1" applyBorder="1" applyAlignment="1" applyProtection="1">
      <alignment vertical="center"/>
      <protection locked="0"/>
    </xf>
    <xf numFmtId="0" fontId="8" fillId="0" borderId="22" xfId="187" applyFont="1" applyBorder="1" applyAlignment="1">
      <alignment vertical="center"/>
      <protection locked="0"/>
    </xf>
    <xf numFmtId="0" fontId="8" fillId="0" borderId="0" xfId="187" applyFont="1" applyAlignment="1">
      <alignment vertical="center"/>
      <protection locked="0"/>
    </xf>
    <xf numFmtId="0" fontId="6" fillId="30" borderId="22" xfId="187" applyFont="1" applyFill="1" applyBorder="1" applyAlignment="1">
      <alignment vertical="center"/>
      <protection locked="0"/>
    </xf>
    <xf numFmtId="0" fontId="6" fillId="0" borderId="22" xfId="187" applyFont="1" applyBorder="1" applyAlignment="1">
      <alignment vertical="center"/>
      <protection locked="0"/>
    </xf>
    <xf numFmtId="0" fontId="6" fillId="0" borderId="0" xfId="187" applyFont="1" applyAlignment="1">
      <alignment vertical="center"/>
      <protection locked="0"/>
    </xf>
    <xf numFmtId="0" fontId="8" fillId="30" borderId="22" xfId="187" applyFont="1" applyFill="1" applyBorder="1" applyAlignment="1">
      <alignment vertical="center"/>
      <protection locked="0"/>
    </xf>
    <xf numFmtId="43" fontId="8" fillId="0" borderId="22" xfId="187" applyNumberFormat="1" applyFont="1" applyBorder="1" applyAlignment="1">
      <alignment vertical="center"/>
      <protection locked="0"/>
    </xf>
    <xf numFmtId="43" fontId="6" fillId="0" borderId="22" xfId="187" applyNumberFormat="1" applyFont="1" applyBorder="1" applyAlignment="1">
      <alignment vertical="center"/>
      <protection locked="0"/>
    </xf>
    <xf numFmtId="0" fontId="8" fillId="0" borderId="0" xfId="187" applyFont="1" applyAlignment="1">
      <alignment horizontal="left" vertical="center"/>
      <protection locked="0"/>
    </xf>
    <xf numFmtId="43" fontId="8" fillId="0" borderId="0" xfId="187" applyNumberFormat="1" applyFont="1" applyAlignment="1">
      <alignment vertical="center"/>
      <protection locked="0"/>
    </xf>
    <xf numFmtId="0" fontId="18" fillId="0" borderId="0" xfId="187" applyFont="1" applyAlignment="1">
      <alignment vertical="center"/>
      <protection locked="0"/>
    </xf>
    <xf numFmtId="0" fontId="77" fillId="0" borderId="0" xfId="187" applyFont="1" applyAlignment="1">
      <alignment vertical="center"/>
      <protection locked="0"/>
    </xf>
    <xf numFmtId="0" fontId="8" fillId="30" borderId="22" xfId="187" applyFont="1" applyFill="1" applyBorder="1" applyAlignment="1">
      <alignment vertical="center" shrinkToFit="1"/>
      <protection locked="0"/>
    </xf>
    <xf numFmtId="43" fontId="8" fillId="30" borderId="22" xfId="187" applyNumberFormat="1" applyFont="1" applyFill="1" applyBorder="1" applyAlignment="1">
      <alignment vertical="center"/>
      <protection locked="0"/>
    </xf>
    <xf numFmtId="10" fontId="15" fillId="32" borderId="0" xfId="2" applyNumberFormat="1" applyFont="1" applyFill="1" applyAlignment="1" applyProtection="1">
      <alignment horizontal="center" vertical="center"/>
      <protection locked="0"/>
    </xf>
    <xf numFmtId="209" fontId="8" fillId="32" borderId="22" xfId="1" applyNumberFormat="1" applyFont="1" applyFill="1" applyBorder="1" applyAlignment="1">
      <alignment vertical="center"/>
    </xf>
    <xf numFmtId="209" fontId="8" fillId="30" borderId="22" xfId="1" applyNumberFormat="1" applyFont="1" applyFill="1" applyBorder="1" applyAlignment="1">
      <alignment vertical="center"/>
    </xf>
    <xf numFmtId="43" fontId="6" fillId="30" borderId="0" xfId="0" applyNumberFormat="1" applyFont="1" applyFill="1" applyAlignment="1">
      <alignment horizontal="left" vertical="center"/>
      <protection locked="0"/>
    </xf>
    <xf numFmtId="43" fontId="8" fillId="0" borderId="26" xfId="0" applyNumberFormat="1" applyFont="1" applyBorder="1" applyAlignment="1">
      <alignment horizontal="center" vertical="center" wrapText="1"/>
      <protection locked="0"/>
    </xf>
    <xf numFmtId="43" fontId="8" fillId="30" borderId="28" xfId="1" applyFont="1" applyFill="1" applyBorder="1" applyAlignment="1">
      <alignment horizontal="right" vertical="center" wrapText="1"/>
    </xf>
    <xf numFmtId="43" fontId="8" fillId="30" borderId="30" xfId="1" applyFont="1" applyFill="1" applyBorder="1" applyAlignment="1">
      <alignment horizontal="right" vertical="center" wrapText="1"/>
    </xf>
    <xf numFmtId="49" fontId="8" fillId="0" borderId="0" xfId="1" applyNumberFormat="1" applyFont="1" applyAlignment="1" applyProtection="1">
      <alignment vertical="center"/>
      <protection locked="0"/>
    </xf>
    <xf numFmtId="49" fontId="8" fillId="0" borderId="22" xfId="1" applyNumberFormat="1" applyFont="1" applyBorder="1" applyAlignment="1" applyProtection="1">
      <alignment vertical="center"/>
      <protection locked="0"/>
    </xf>
    <xf numFmtId="49" fontId="6" fillId="0" borderId="0" xfId="1" applyNumberFormat="1" applyFont="1" applyAlignment="1" applyProtection="1">
      <alignment vertical="center"/>
      <protection locked="0"/>
    </xf>
    <xf numFmtId="49" fontId="8" fillId="0" borderId="0" xfId="1" applyNumberFormat="1" applyFont="1" applyAlignment="1" applyProtection="1">
      <alignment vertical="center" wrapText="1"/>
      <protection locked="0"/>
    </xf>
    <xf numFmtId="43" fontId="8" fillId="0" borderId="26" xfId="0" applyNumberFormat="1" applyFont="1" applyBorder="1" applyAlignment="1">
      <alignment horizontal="left" vertical="center"/>
      <protection locked="0"/>
    </xf>
    <xf numFmtId="43" fontId="8" fillId="30" borderId="26" xfId="1" applyFont="1" applyFill="1" applyBorder="1" applyAlignment="1">
      <alignment horizontal="right" vertical="center" wrapText="1"/>
    </xf>
    <xf numFmtId="0" fontId="8" fillId="0" borderId="0" xfId="0" applyFont="1" applyBorder="1" applyAlignment="1">
      <alignment horizontal="center" vertical="center"/>
      <protection locked="0"/>
    </xf>
    <xf numFmtId="0" fontId="8" fillId="0" borderId="0" xfId="0" applyFont="1" applyBorder="1" applyAlignment="1">
      <alignment horizontal="left" vertical="center"/>
      <protection locked="0"/>
    </xf>
    <xf numFmtId="0" fontId="115" fillId="0" borderId="0" xfId="157" applyFont="1" applyAlignment="1" applyProtection="1">
      <alignment vertical="center"/>
    </xf>
    <xf numFmtId="0" fontId="115" fillId="0" borderId="0" xfId="0" applyFont="1" applyAlignment="1">
      <alignment vertical="center"/>
      <protection locked="0"/>
    </xf>
    <xf numFmtId="0" fontId="115" fillId="0" borderId="0" xfId="193" applyFont="1">
      <alignment vertical="center"/>
    </xf>
    <xf numFmtId="43" fontId="74" fillId="30" borderId="22" xfId="1" applyFont="1" applyFill="1" applyBorder="1" applyAlignment="1">
      <alignment horizontal="right" vertical="center"/>
    </xf>
    <xf numFmtId="43" fontId="8" fillId="30" borderId="10" xfId="3" applyNumberFormat="1" applyFont="1" applyFill="1" applyBorder="1" applyAlignment="1">
      <alignment vertical="center"/>
    </xf>
    <xf numFmtId="0" fontId="8" fillId="0" borderId="0" xfId="0" applyNumberFormat="1" applyFont="1" applyAlignment="1">
      <alignment vertical="center"/>
      <protection locked="0"/>
    </xf>
    <xf numFmtId="0" fontId="8" fillId="0" borderId="0" xfId="0" applyNumberFormat="1" applyFont="1" applyAlignment="1">
      <alignment vertical="center" wrapText="1"/>
      <protection locked="0"/>
    </xf>
    <xf numFmtId="0" fontId="73" fillId="0" borderId="0" xfId="157" applyNumberFormat="1" applyFont="1" applyAlignment="1" applyProtection="1">
      <alignment vertical="center"/>
    </xf>
    <xf numFmtId="0" fontId="8" fillId="0" borderId="0" xfId="186" applyNumberFormat="1" applyFont="1" applyAlignment="1" applyProtection="1">
      <alignment vertical="center"/>
      <protection locked="0"/>
    </xf>
    <xf numFmtId="0" fontId="8" fillId="0" borderId="0" xfId="186" applyNumberFormat="1" applyFont="1" applyAlignment="1" applyProtection="1">
      <alignment vertical="center" wrapText="1"/>
      <protection locked="0"/>
    </xf>
    <xf numFmtId="0" fontId="6" fillId="0" borderId="0" xfId="1" applyNumberFormat="1" applyFont="1" applyFill="1" applyAlignment="1" applyProtection="1">
      <alignment horizontal="right" vertical="center" shrinkToFit="1"/>
    </xf>
    <xf numFmtId="0" fontId="8" fillId="30" borderId="22" xfId="1" applyNumberFormat="1" applyFont="1" applyFill="1" applyBorder="1" applyAlignment="1">
      <alignment vertical="center"/>
    </xf>
    <xf numFmtId="195" fontId="117" fillId="0" borderId="0" xfId="203" applyFont="1" applyFill="1" applyAlignment="1" applyProtection="1">
      <alignment horizontal="left" vertical="center"/>
      <protection locked="0"/>
    </xf>
    <xf numFmtId="0" fontId="8" fillId="0" borderId="0" xfId="0" applyFont="1" applyBorder="1" applyAlignment="1">
      <alignment vertical="center"/>
      <protection locked="0"/>
    </xf>
    <xf numFmtId="0" fontId="6" fillId="30" borderId="22" xfId="0" applyFont="1" applyFill="1" applyBorder="1" applyAlignment="1">
      <alignment horizontal="center" vertical="center" wrapText="1"/>
      <protection locked="0"/>
    </xf>
    <xf numFmtId="49" fontId="6" fillId="30" borderId="22" xfId="1" applyNumberFormat="1" applyFont="1" applyFill="1" applyBorder="1" applyAlignment="1" applyProtection="1">
      <alignment horizontal="center" vertical="center" wrapText="1"/>
      <protection locked="0"/>
    </xf>
    <xf numFmtId="49" fontId="6" fillId="30" borderId="22" xfId="1" applyNumberFormat="1" applyFont="1" applyFill="1" applyBorder="1" applyAlignment="1" applyProtection="1">
      <alignment horizontal="center" vertical="center"/>
      <protection locked="0"/>
    </xf>
    <xf numFmtId="0" fontId="6" fillId="0" borderId="0" xfId="191" applyFont="1" applyAlignment="1">
      <alignment horizontal="center" vertical="center"/>
    </xf>
    <xf numFmtId="0" fontId="6" fillId="0" borderId="0" xfId="0" applyFont="1" applyAlignment="1">
      <alignment horizontal="center" vertical="center"/>
      <protection locked="0"/>
    </xf>
    <xf numFmtId="0" fontId="6" fillId="30" borderId="3" xfId="0" applyFont="1" applyFill="1" applyBorder="1" applyAlignment="1">
      <alignment horizontal="center" vertical="center" wrapText="1"/>
      <protection locked="0"/>
    </xf>
    <xf numFmtId="0" fontId="6" fillId="30" borderId="22" xfId="157" applyFont="1" applyFill="1" applyBorder="1" applyAlignment="1">
      <alignment horizontal="center" vertical="center" wrapText="1"/>
      <protection locked="0"/>
    </xf>
    <xf numFmtId="43" fontId="6" fillId="30" borderId="22" xfId="1" applyFont="1" applyFill="1" applyBorder="1" applyAlignment="1" applyProtection="1">
      <alignment horizontal="center" vertical="center" wrapText="1"/>
      <protection locked="0"/>
    </xf>
    <xf numFmtId="0" fontId="6" fillId="30" borderId="22" xfId="0" applyFont="1" applyFill="1" applyBorder="1" applyAlignment="1">
      <alignment horizontal="center" vertical="center" wrapText="1"/>
      <protection locked="0"/>
    </xf>
    <xf numFmtId="195" fontId="8" fillId="0" borderId="0" xfId="195" applyFont="1">
      <alignment vertical="center"/>
    </xf>
    <xf numFmtId="195" fontId="8" fillId="0" borderId="0" xfId="196" applyFont="1" applyAlignment="1">
      <alignment vertical="center"/>
      <protection locked="0"/>
    </xf>
    <xf numFmtId="195" fontId="8" fillId="0" borderId="0" xfId="196" applyFont="1">
      <alignment vertical="center"/>
      <protection locked="0"/>
    </xf>
    <xf numFmtId="0" fontId="118" fillId="0" borderId="0" xfId="190" applyFont="1" applyAlignment="1">
      <alignment vertical="center"/>
      <protection locked="0"/>
    </xf>
    <xf numFmtId="195" fontId="8" fillId="0" borderId="0" xfId="197" applyFont="1">
      <alignment vertical="center"/>
    </xf>
    <xf numFmtId="195" fontId="8" fillId="0" borderId="0" xfId="196" applyFont="1" applyBorder="1" applyAlignment="1">
      <alignment vertical="center" wrapText="1"/>
      <protection locked="0"/>
    </xf>
    <xf numFmtId="195" fontId="6" fillId="0" borderId="0" xfId="196" applyFont="1" applyAlignment="1">
      <alignment horizontal="left" vertical="center"/>
      <protection locked="0"/>
    </xf>
    <xf numFmtId="49" fontId="8" fillId="0" borderId="0" xfId="197" applyNumberFormat="1" applyFont="1" applyAlignment="1">
      <alignment horizontal="left" vertical="center"/>
    </xf>
    <xf numFmtId="195" fontId="6" fillId="30" borderId="22" xfId="192" applyFont="1" applyFill="1" applyBorder="1" applyAlignment="1" applyProtection="1">
      <alignment horizontal="center" vertical="center" wrapText="1"/>
      <protection locked="0"/>
    </xf>
    <xf numFmtId="195" fontId="6" fillId="30" borderId="22" xfId="159" applyNumberFormat="1" applyFont="1" applyFill="1" applyBorder="1" applyAlignment="1">
      <alignment horizontal="center" vertical="center"/>
      <protection locked="0"/>
    </xf>
    <xf numFmtId="0" fontId="6" fillId="30" borderId="22" xfId="159" applyFont="1" applyFill="1" applyBorder="1" applyAlignment="1">
      <alignment horizontal="center" vertical="center"/>
      <protection locked="0"/>
    </xf>
    <xf numFmtId="195" fontId="73" fillId="30" borderId="22" xfId="159" applyNumberFormat="1" applyFont="1" applyFill="1" applyBorder="1" applyAlignment="1">
      <alignment horizontal="center" vertical="center" wrapText="1"/>
      <protection locked="0"/>
    </xf>
    <xf numFmtId="0" fontId="73" fillId="0" borderId="22" xfId="0" applyFont="1" applyBorder="1" applyAlignment="1" applyProtection="1">
      <alignment vertical="center"/>
    </xf>
    <xf numFmtId="49" fontId="8" fillId="30" borderId="22" xfId="0" applyNumberFormat="1" applyFont="1" applyFill="1" applyBorder="1" applyAlignment="1">
      <alignment horizontal="left" vertical="center" wrapText="1"/>
      <protection locked="0"/>
    </xf>
    <xf numFmtId="49" fontId="74" fillId="30" borderId="22" xfId="0" applyNumberFormat="1" applyFont="1" applyFill="1" applyBorder="1" applyAlignment="1" applyProtection="1">
      <alignment horizontal="left" vertical="center"/>
    </xf>
    <xf numFmtId="0" fontId="74" fillId="30" borderId="22" xfId="0" applyFont="1" applyFill="1" applyBorder="1" applyAlignment="1" applyProtection="1">
      <alignment horizontal="left" vertical="center"/>
    </xf>
    <xf numFmtId="43" fontId="6" fillId="0" borderId="23" xfId="4" applyNumberFormat="1" applyFont="1" applyBorder="1" applyAlignment="1">
      <alignment vertical="center"/>
    </xf>
    <xf numFmtId="43" fontId="77" fillId="0" borderId="0" xfId="4" applyNumberFormat="1" applyFont="1" applyBorder="1" applyAlignment="1">
      <alignment vertical="center"/>
    </xf>
    <xf numFmtId="43" fontId="18" fillId="0" borderId="0" xfId="4" applyNumberFormat="1" applyFont="1" applyBorder="1" applyAlignment="1">
      <alignment horizontal="right" vertical="center"/>
    </xf>
    <xf numFmtId="0" fontId="8" fillId="0" borderId="0" xfId="159" applyFont="1">
      <protection locked="0"/>
    </xf>
    <xf numFmtId="0" fontId="6" fillId="30" borderId="25" xfId="0" applyFont="1" applyFill="1" applyBorder="1" applyAlignment="1">
      <alignment vertical="center"/>
      <protection locked="0"/>
    </xf>
    <xf numFmtId="0" fontId="116" fillId="0" borderId="0" xfId="157" applyFont="1" applyAlignment="1" applyProtection="1">
      <alignment horizontal="left" vertical="center"/>
    </xf>
    <xf numFmtId="0" fontId="115" fillId="34" borderId="0" xfId="157" applyFont="1" applyFill="1" applyAlignment="1" applyProtection="1">
      <alignment vertical="center"/>
    </xf>
    <xf numFmtId="0" fontId="8" fillId="0" borderId="0" xfId="199" applyFont="1">
      <protection locked="0"/>
    </xf>
    <xf numFmtId="0" fontId="73" fillId="30" borderId="22" xfId="199" applyFont="1" applyFill="1" applyBorder="1" applyAlignment="1" applyProtection="1">
      <alignment horizontal="center" vertical="center" wrapText="1"/>
    </xf>
    <xf numFmtId="0" fontId="8" fillId="0" borderId="0" xfId="199" applyFont="1" applyAlignment="1">
      <alignment horizontal="center" wrapText="1"/>
      <protection locked="0"/>
    </xf>
    <xf numFmtId="0" fontId="74" fillId="0" borderId="22" xfId="199" applyFont="1" applyBorder="1" applyAlignment="1" applyProtection="1">
      <alignment vertical="center"/>
    </xf>
    <xf numFmtId="0" fontId="88" fillId="0" borderId="22" xfId="199" applyFont="1" applyBorder="1" applyAlignment="1" applyProtection="1">
      <alignment horizontal="left" vertical="center" indent="1"/>
    </xf>
    <xf numFmtId="195" fontId="8" fillId="0" borderId="0" xfId="192" applyFont="1" applyAlignment="1">
      <alignment horizontal="left" vertical="center" wrapText="1"/>
    </xf>
    <xf numFmtId="195" fontId="8" fillId="0" borderId="0" xfId="192" applyFont="1" applyAlignment="1">
      <alignment horizontal="left" vertical="center"/>
    </xf>
    <xf numFmtId="0" fontId="8" fillId="0" borderId="0" xfId="191" applyFont="1"/>
    <xf numFmtId="0" fontId="8" fillId="0" borderId="23" xfId="158" applyFont="1" applyBorder="1">
      <protection locked="0"/>
    </xf>
    <xf numFmtId="0" fontId="115" fillId="0" borderId="0" xfId="158" applyFont="1">
      <protection locked="0"/>
    </xf>
    <xf numFmtId="0" fontId="115" fillId="34" borderId="0" xfId="188" applyFont="1" applyFill="1" applyAlignment="1">
      <alignment horizontal="left" vertical="center"/>
      <protection locked="0"/>
    </xf>
    <xf numFmtId="0" fontId="115" fillId="34" borderId="0" xfId="193" applyFont="1" applyFill="1">
      <alignment vertical="center"/>
    </xf>
    <xf numFmtId="0" fontId="6" fillId="0" borderId="23" xfId="186" applyFont="1" applyBorder="1" applyAlignment="1">
      <alignment vertical="center"/>
    </xf>
    <xf numFmtId="0" fontId="6" fillId="0" borderId="0" xfId="0" applyFont="1" applyBorder="1" applyAlignment="1">
      <alignment vertical="center"/>
      <protection locked="0"/>
    </xf>
    <xf numFmtId="0" fontId="121" fillId="0" borderId="0" xfId="0" applyFont="1" applyAlignment="1">
      <alignment vertical="center"/>
      <protection locked="0"/>
    </xf>
    <xf numFmtId="0" fontId="8" fillId="0" borderId="0" xfId="159" applyFont="1" applyAlignment="1">
      <alignment vertical="center"/>
      <protection locked="0"/>
    </xf>
    <xf numFmtId="0" fontId="6" fillId="30" borderId="22" xfId="191" applyFont="1" applyFill="1" applyBorder="1" applyAlignment="1">
      <alignment horizontal="center" vertical="center" wrapText="1"/>
    </xf>
    <xf numFmtId="0" fontId="6" fillId="30" borderId="22" xfId="191" applyFont="1" applyFill="1" applyBorder="1" applyAlignment="1" applyProtection="1">
      <alignment horizontal="center" vertical="center" wrapText="1"/>
      <protection locked="0"/>
    </xf>
    <xf numFmtId="0" fontId="8" fillId="30" borderId="22" xfId="191" applyFont="1" applyFill="1" applyBorder="1" applyAlignment="1">
      <alignment horizontal="center" vertical="center"/>
    </xf>
    <xf numFmtId="43" fontId="8" fillId="0" borderId="22" xfId="191" applyNumberFormat="1" applyFont="1" applyBorder="1" applyAlignment="1">
      <alignment horizontal="right" vertical="center" shrinkToFit="1"/>
    </xf>
    <xf numFmtId="10" fontId="8" fillId="30" borderId="22" xfId="2" applyNumberFormat="1" applyFont="1" applyFill="1" applyBorder="1" applyAlignment="1">
      <alignment horizontal="right" vertical="center" shrinkToFit="1"/>
    </xf>
    <xf numFmtId="0" fontId="6" fillId="30" borderId="22" xfId="191" applyFont="1" applyFill="1" applyBorder="1" applyAlignment="1">
      <alignment horizontal="center" vertical="center"/>
    </xf>
    <xf numFmtId="43" fontId="8" fillId="0" borderId="0" xfId="191" applyNumberFormat="1" applyFont="1" applyAlignment="1">
      <alignment horizontal="right" vertical="center" shrinkToFit="1"/>
    </xf>
    <xf numFmtId="176" fontId="8" fillId="0" borderId="0" xfId="2" applyNumberFormat="1" applyFont="1" applyFill="1" applyBorder="1" applyAlignment="1">
      <alignment horizontal="center" vertical="center" shrinkToFit="1"/>
    </xf>
    <xf numFmtId="0" fontId="6" fillId="0" borderId="0" xfId="194" applyFont="1" applyAlignment="1">
      <alignment vertical="center"/>
    </xf>
    <xf numFmtId="0" fontId="8" fillId="30" borderId="22" xfId="191" applyFont="1" applyFill="1" applyBorder="1" applyAlignment="1">
      <alignment horizontal="center" vertical="center" wrapText="1"/>
    </xf>
    <xf numFmtId="43" fontId="8" fillId="30" borderId="22" xfId="191" applyNumberFormat="1" applyFont="1" applyFill="1" applyBorder="1" applyAlignment="1">
      <alignment horizontal="right" vertical="center" shrinkToFit="1"/>
    </xf>
    <xf numFmtId="43" fontId="8" fillId="30" borderId="22" xfId="191" applyNumberFormat="1" applyFont="1" applyFill="1" applyBorder="1" applyAlignment="1">
      <alignment horizontal="center" vertical="center" shrinkToFit="1"/>
    </xf>
    <xf numFmtId="0" fontId="115" fillId="0" borderId="0" xfId="191" applyFont="1" applyAlignment="1">
      <alignment horizontal="left" vertical="center"/>
    </xf>
    <xf numFmtId="43" fontId="115" fillId="0" borderId="0" xfId="191" applyNumberFormat="1" applyFont="1" applyAlignment="1">
      <alignment horizontal="right" vertical="center" shrinkToFit="1"/>
    </xf>
    <xf numFmtId="176" fontId="115" fillId="0" borderId="0" xfId="2" applyNumberFormat="1" applyFont="1" applyFill="1" applyBorder="1" applyAlignment="1">
      <alignment horizontal="center" vertical="center" shrinkToFit="1"/>
    </xf>
    <xf numFmtId="0" fontId="115" fillId="0" borderId="0" xfId="191" applyFont="1" applyAlignment="1">
      <alignment horizontal="center" vertical="center"/>
    </xf>
    <xf numFmtId="0" fontId="8" fillId="0" borderId="0" xfId="191" applyFont="1" applyAlignment="1">
      <alignment horizontal="center" vertical="center" wrapText="1"/>
    </xf>
    <xf numFmtId="0" fontId="8" fillId="32" borderId="0" xfId="187" applyFont="1" applyFill="1" applyAlignment="1">
      <alignment horizontal="right" vertical="center" shrinkToFit="1"/>
      <protection locked="0"/>
    </xf>
    <xf numFmtId="0" fontId="6" fillId="30" borderId="22" xfId="187" applyFont="1" applyFill="1" applyBorder="1" applyAlignment="1">
      <alignment horizontal="center" vertical="center" shrinkToFit="1"/>
      <protection locked="0"/>
    </xf>
    <xf numFmtId="0" fontId="8" fillId="0" borderId="22" xfId="187" applyFont="1" applyBorder="1" applyAlignment="1">
      <alignment vertical="center" shrinkToFit="1"/>
      <protection locked="0"/>
    </xf>
    <xf numFmtId="0" fontId="93" fillId="0" borderId="0" xfId="187" applyFont="1" applyAlignment="1">
      <alignment vertical="center"/>
      <protection locked="0"/>
    </xf>
    <xf numFmtId="0" fontId="6" fillId="0" borderId="0" xfId="0" applyFont="1" applyAlignment="1" applyProtection="1">
      <alignment vertical="center"/>
    </xf>
    <xf numFmtId="0" fontId="8" fillId="30" borderId="22" xfId="0" applyFont="1" applyFill="1" applyBorder="1" applyAlignment="1" applyProtection="1">
      <alignment horizontal="center" vertical="center"/>
    </xf>
    <xf numFmtId="0" fontId="8" fillId="0" borderId="22" xfId="0" applyFont="1" applyBorder="1" applyAlignment="1" applyProtection="1">
      <alignment vertical="center"/>
    </xf>
    <xf numFmtId="0" fontId="8" fillId="0" borderId="0" xfId="0" applyFont="1" applyAlignment="1" applyProtection="1">
      <alignment horizontal="left" vertical="center"/>
    </xf>
    <xf numFmtId="208" fontId="6" fillId="30" borderId="22" xfId="0" applyNumberFormat="1" applyFont="1" applyFill="1" applyBorder="1" applyAlignment="1">
      <alignment vertical="center" shrinkToFit="1"/>
      <protection locked="0"/>
    </xf>
    <xf numFmtId="0" fontId="6" fillId="30" borderId="22" xfId="0" applyFont="1" applyFill="1" applyBorder="1" applyAlignment="1">
      <alignment vertical="center" shrinkToFit="1"/>
      <protection locked="0"/>
    </xf>
    <xf numFmtId="0" fontId="8" fillId="31" borderId="0" xfId="0" applyFont="1" applyFill="1" applyAlignment="1" applyProtection="1">
      <alignment vertical="center"/>
    </xf>
    <xf numFmtId="0" fontId="6" fillId="30" borderId="22" xfId="0" applyFont="1" applyFill="1" applyBorder="1" applyAlignment="1" applyProtection="1">
      <alignment horizontal="center" vertical="center" wrapText="1"/>
    </xf>
    <xf numFmtId="0" fontId="6" fillId="30" borderId="22" xfId="0" applyFont="1" applyFill="1" applyBorder="1" applyAlignment="1" applyProtection="1">
      <alignment horizontal="left" vertical="center" wrapText="1"/>
    </xf>
    <xf numFmtId="0" fontId="6" fillId="0" borderId="0" xfId="0" applyFont="1" applyAlignment="1" applyProtection="1">
      <alignment vertical="center" wrapText="1"/>
    </xf>
    <xf numFmtId="0" fontId="88" fillId="0" borderId="22" xfId="0" applyFont="1" applyBorder="1" applyAlignment="1" applyProtection="1">
      <alignment horizontal="left" vertical="center"/>
    </xf>
    <xf numFmtId="0" fontId="8" fillId="0" borderId="22" xfId="0" applyFont="1" applyBorder="1" applyAlignment="1" applyProtection="1">
      <alignment vertical="center" wrapText="1"/>
    </xf>
    <xf numFmtId="0" fontId="8" fillId="0" borderId="0" xfId="0" applyFont="1" applyAlignment="1" applyProtection="1">
      <alignment horizontal="justify" vertical="center"/>
    </xf>
    <xf numFmtId="0" fontId="15" fillId="0" borderId="0" xfId="0" applyFont="1" applyAlignment="1" applyProtection="1">
      <alignment horizontal="justify" vertical="center"/>
    </xf>
    <xf numFmtId="0" fontId="8" fillId="0" borderId="0" xfId="0" applyFont="1" applyAlignment="1" applyProtection="1">
      <alignment horizontal="right" vertical="center"/>
    </xf>
    <xf numFmtId="0" fontId="6" fillId="0" borderId="0" xfId="157" applyFont="1" applyAlignment="1">
      <alignment vertical="center"/>
      <protection locked="0"/>
    </xf>
    <xf numFmtId="0" fontId="117" fillId="0" borderId="0" xfId="157" applyFont="1" applyAlignment="1" applyProtection="1">
      <alignment horizontal="left" vertical="center"/>
    </xf>
    <xf numFmtId="195" fontId="18" fillId="0" borderId="22" xfId="157" applyNumberFormat="1" applyFont="1" applyBorder="1" applyAlignment="1">
      <alignment vertical="center"/>
      <protection locked="0"/>
    </xf>
    <xf numFmtId="0" fontId="18" fillId="0" borderId="0" xfId="157" applyFont="1" applyAlignment="1">
      <alignment horizontal="left" vertical="center"/>
      <protection locked="0"/>
    </xf>
    <xf numFmtId="0" fontId="8" fillId="0" borderId="0" xfId="192" applyNumberFormat="1" applyFont="1" applyAlignment="1">
      <alignment horizontal="left" vertical="center" wrapText="1"/>
    </xf>
    <xf numFmtId="0" fontId="8" fillId="0" borderId="0" xfId="192" applyNumberFormat="1" applyFont="1" applyAlignment="1">
      <alignment horizontal="left" vertical="center"/>
    </xf>
    <xf numFmtId="0" fontId="8" fillId="0" borderId="0" xfId="192" applyNumberFormat="1" applyFont="1" applyAlignment="1" applyProtection="1">
      <alignment vertical="center"/>
      <protection locked="0"/>
    </xf>
    <xf numFmtId="0" fontId="6" fillId="0" borderId="0" xfId="192" applyNumberFormat="1" applyFont="1" applyAlignment="1">
      <alignment horizontal="left" vertical="center"/>
    </xf>
    <xf numFmtId="0" fontId="6" fillId="30" borderId="22" xfId="0" applyNumberFormat="1" applyFont="1" applyFill="1" applyBorder="1" applyAlignment="1" applyProtection="1">
      <alignment horizontal="center" vertical="center" wrapText="1"/>
    </xf>
    <xf numFmtId="0" fontId="6" fillId="30" borderId="22" xfId="202" applyNumberFormat="1" applyFont="1" applyFill="1" applyBorder="1" applyAlignment="1">
      <alignment horizontal="center" vertical="center" wrapText="1"/>
    </xf>
    <xf numFmtId="0" fontId="8" fillId="0" borderId="22" xfId="192" applyNumberFormat="1" applyFont="1" applyBorder="1" applyAlignment="1" applyProtection="1">
      <alignment vertical="center"/>
      <protection locked="0"/>
    </xf>
    <xf numFmtId="0" fontId="115" fillId="0" borderId="0" xfId="192" applyNumberFormat="1" applyFont="1" applyAlignment="1">
      <alignment horizontal="left" vertical="center"/>
    </xf>
    <xf numFmtId="0" fontId="8" fillId="0" borderId="0" xfId="192" applyNumberFormat="1" applyFont="1" applyAlignment="1" applyProtection="1">
      <alignment vertical="center" wrapText="1"/>
      <protection locked="0"/>
    </xf>
    <xf numFmtId="0" fontId="8" fillId="0" borderId="0" xfId="192" applyNumberFormat="1" applyFont="1" applyAlignment="1" applyProtection="1">
      <alignment horizontal="left" vertical="center"/>
      <protection locked="0"/>
    </xf>
    <xf numFmtId="0" fontId="8" fillId="0" borderId="0" xfId="192" applyNumberFormat="1" applyFont="1" applyAlignment="1" applyProtection="1">
      <alignment horizontal="centerContinuous" vertical="center" wrapText="1"/>
      <protection locked="0"/>
    </xf>
    <xf numFmtId="0" fontId="8" fillId="0" borderId="0" xfId="192" applyNumberFormat="1" applyFont="1" applyAlignment="1" applyProtection="1">
      <alignment horizontal="centerContinuous" vertical="center"/>
      <protection locked="0"/>
    </xf>
    <xf numFmtId="0" fontId="6" fillId="0" borderId="0" xfId="192" applyNumberFormat="1" applyFont="1" applyAlignment="1" applyProtection="1">
      <alignment horizontal="left" vertical="center" wrapText="1"/>
      <protection locked="0"/>
    </xf>
    <xf numFmtId="0" fontId="8" fillId="0" borderId="0" xfId="192" applyNumberFormat="1" applyFont="1" applyAlignment="1" applyProtection="1">
      <alignment wrapText="1"/>
      <protection locked="0"/>
    </xf>
    <xf numFmtId="0" fontId="8" fillId="0" borderId="0" xfId="192" applyNumberFormat="1" applyFont="1" applyProtection="1">
      <protection locked="0"/>
    </xf>
    <xf numFmtId="0" fontId="115" fillId="0" borderId="0" xfId="192" applyNumberFormat="1" applyFont="1" applyProtection="1">
      <protection locked="0"/>
    </xf>
    <xf numFmtId="49" fontId="88" fillId="0" borderId="0" xfId="1" applyNumberFormat="1" applyFont="1" applyAlignment="1" applyProtection="1">
      <alignment vertical="center" wrapText="1"/>
      <protection locked="0"/>
    </xf>
    <xf numFmtId="0" fontId="8" fillId="29" borderId="0" xfId="0" applyFont="1" applyFill="1" applyAlignment="1">
      <alignment horizontal="justify" vertical="center" wrapText="1"/>
      <protection locked="0"/>
    </xf>
    <xf numFmtId="0" fontId="8" fillId="0" borderId="0" xfId="0" applyFont="1" applyAlignment="1">
      <alignment horizontal="justify" wrapText="1"/>
      <protection locked="0"/>
    </xf>
    <xf numFmtId="0" fontId="6" fillId="0" borderId="10" xfId="0" applyFont="1" applyBorder="1" applyAlignment="1">
      <alignment horizontal="center" vertical="center"/>
      <protection locked="0"/>
    </xf>
    <xf numFmtId="0" fontId="6" fillId="0" borderId="10" xfId="0" applyFont="1" applyBorder="1" applyAlignment="1">
      <alignment horizontal="center" vertical="center" wrapText="1"/>
      <protection locked="0"/>
    </xf>
    <xf numFmtId="0" fontId="8" fillId="0" borderId="0" xfId="0" applyFont="1" applyAlignment="1">
      <alignment horizontal="justify" vertical="top" wrapText="1"/>
      <protection locked="0"/>
    </xf>
    <xf numFmtId="0" fontId="8" fillId="0" borderId="10" xfId="0" applyFont="1" applyBorder="1" applyAlignment="1">
      <alignment vertical="center"/>
      <protection locked="0"/>
    </xf>
    <xf numFmtId="0" fontId="8" fillId="0" borderId="10" xfId="0" applyFont="1" applyBorder="1" applyAlignment="1">
      <alignment horizontal="center" vertical="center" wrapText="1"/>
      <protection locked="0"/>
    </xf>
    <xf numFmtId="0" fontId="8" fillId="0" borderId="10" xfId="0" applyFont="1" applyBorder="1" applyAlignment="1">
      <alignment horizontal="center" vertical="center"/>
      <protection locked="0"/>
    </xf>
    <xf numFmtId="0" fontId="8" fillId="0" borderId="10" xfId="0" applyFont="1" applyBorder="1">
      <protection locked="0"/>
    </xf>
    <xf numFmtId="0" fontId="118" fillId="0" borderId="10" xfId="190" applyFont="1" applyBorder="1" applyAlignment="1">
      <alignment vertical="center"/>
      <protection locked="0"/>
    </xf>
    <xf numFmtId="0" fontId="123" fillId="0" borderId="10" xfId="190" applyFont="1" applyBorder="1" applyAlignment="1">
      <alignment vertical="center"/>
      <protection locked="0"/>
    </xf>
    <xf numFmtId="0" fontId="79" fillId="0" borderId="0" xfId="190" applyAlignment="1">
      <alignment vertical="center"/>
      <protection locked="0"/>
    </xf>
    <xf numFmtId="0" fontId="8" fillId="0" borderId="22" xfId="0" applyFont="1" applyBorder="1" applyAlignment="1">
      <alignment horizontal="left" vertical="center" wrapText="1"/>
      <protection locked="0"/>
    </xf>
    <xf numFmtId="43" fontId="8" fillId="0" borderId="22" xfId="1" applyFont="1" applyBorder="1" applyAlignment="1" applyProtection="1">
      <alignment horizontal="center" vertical="center" wrapText="1"/>
      <protection locked="0"/>
    </xf>
    <xf numFmtId="14" fontId="8" fillId="0" borderId="22" xfId="0" applyNumberFormat="1" applyFont="1" applyBorder="1" applyAlignment="1">
      <alignment horizontal="center" vertical="center" wrapText="1"/>
      <protection locked="0"/>
    </xf>
    <xf numFmtId="9" fontId="8" fillId="0" borderId="22" xfId="0" applyNumberFormat="1" applyFont="1" applyBorder="1" applyAlignment="1">
      <alignment horizontal="center" vertical="center" wrapText="1"/>
      <protection locked="0"/>
    </xf>
    <xf numFmtId="49" fontId="8" fillId="0" borderId="22" xfId="0" applyNumberFormat="1" applyFont="1" applyBorder="1" applyAlignment="1">
      <alignment horizontal="center" vertical="center" wrapText="1"/>
      <protection locked="0"/>
    </xf>
    <xf numFmtId="43" fontId="6" fillId="30" borderId="22" xfId="1" applyFont="1" applyFill="1" applyBorder="1" applyAlignment="1">
      <alignment horizontal="right" vertical="center" wrapText="1"/>
    </xf>
    <xf numFmtId="43" fontId="6" fillId="30" borderId="28" xfId="1" applyFont="1" applyFill="1" applyBorder="1" applyAlignment="1">
      <alignment horizontal="right" vertical="center" wrapText="1"/>
    </xf>
    <xf numFmtId="43" fontId="74" fillId="0" borderId="22" xfId="1" applyFont="1" applyBorder="1" applyAlignment="1" applyProtection="1">
      <alignment vertical="center"/>
    </xf>
    <xf numFmtId="49" fontId="74" fillId="0" borderId="22" xfId="199" applyNumberFormat="1" applyFont="1" applyBorder="1" applyAlignment="1" applyProtection="1">
      <alignment horizontal="center" vertical="center"/>
    </xf>
    <xf numFmtId="0" fontId="8" fillId="0" borderId="22" xfId="157" applyFont="1" applyBorder="1" applyAlignment="1">
      <alignment horizontal="left" vertical="center" wrapText="1"/>
      <protection locked="0"/>
    </xf>
    <xf numFmtId="9" fontId="8" fillId="0" borderId="22" xfId="1" applyNumberFormat="1" applyFont="1" applyBorder="1" applyAlignment="1" applyProtection="1">
      <alignment vertical="center"/>
      <protection locked="0"/>
    </xf>
    <xf numFmtId="14" fontId="8" fillId="0" borderId="22" xfId="1" applyNumberFormat="1" applyFont="1" applyBorder="1" applyAlignment="1" applyProtection="1">
      <alignment horizontal="center" vertical="center"/>
      <protection locked="0"/>
    </xf>
    <xf numFmtId="49" fontId="8" fillId="0" borderId="22" xfId="1" applyNumberFormat="1" applyFont="1" applyBorder="1" applyAlignment="1" applyProtection="1">
      <alignment horizontal="center" vertical="center"/>
      <protection locked="0"/>
    </xf>
    <xf numFmtId="0" fontId="8" fillId="0" borderId="22" xfId="158" applyNumberFormat="1" applyFont="1" applyBorder="1" applyAlignment="1">
      <alignment horizontal="center" vertical="center" wrapText="1"/>
      <protection locked="0"/>
    </xf>
    <xf numFmtId="43" fontId="8" fillId="0" borderId="22" xfId="1" applyFont="1" applyBorder="1" applyAlignment="1" applyProtection="1">
      <alignment horizontal="right" vertical="center"/>
      <protection locked="0"/>
    </xf>
    <xf numFmtId="14" fontId="8" fillId="0" borderId="22" xfId="0" applyNumberFormat="1" applyFont="1" applyBorder="1" applyAlignment="1">
      <alignment vertical="center" wrapText="1"/>
      <protection locked="0"/>
    </xf>
    <xf numFmtId="49" fontId="8" fillId="0" borderId="22" xfId="0" applyNumberFormat="1" applyFont="1" applyBorder="1" applyAlignment="1">
      <alignment vertical="center" wrapText="1"/>
      <protection locked="0"/>
    </xf>
    <xf numFmtId="43" fontId="88" fillId="30" borderId="22" xfId="1" applyFont="1" applyFill="1" applyBorder="1" applyAlignment="1">
      <alignment horizontal="right" vertical="center" wrapText="1"/>
    </xf>
    <xf numFmtId="14" fontId="8" fillId="30" borderId="22" xfId="0" applyNumberFormat="1" applyFont="1" applyFill="1" applyBorder="1" applyAlignment="1">
      <alignment vertical="center" wrapText="1"/>
      <protection locked="0"/>
    </xf>
    <xf numFmtId="0" fontId="8" fillId="30" borderId="22" xfId="0" applyFont="1" applyFill="1" applyBorder="1" applyAlignment="1">
      <alignment vertical="center" wrapText="1"/>
      <protection locked="0"/>
    </xf>
    <xf numFmtId="43" fontId="8" fillId="30" borderId="26" xfId="0" applyNumberFormat="1" applyFont="1" applyFill="1" applyBorder="1" applyAlignment="1">
      <alignment horizontal="left" vertical="center"/>
      <protection locked="0"/>
    </xf>
    <xf numFmtId="0" fontId="8" fillId="30" borderId="22" xfId="0" applyFont="1" applyFill="1" applyBorder="1" applyAlignment="1">
      <alignment horizontal="center" vertical="center"/>
      <protection locked="0"/>
    </xf>
    <xf numFmtId="49" fontId="8" fillId="30" borderId="22" xfId="0" applyNumberFormat="1" applyFont="1" applyFill="1" applyBorder="1" applyAlignment="1">
      <alignment horizontal="center" vertical="center" wrapText="1"/>
      <protection locked="0"/>
    </xf>
    <xf numFmtId="49" fontId="8" fillId="0" borderId="22" xfId="0" applyNumberFormat="1" applyFont="1" applyBorder="1" applyAlignment="1">
      <alignment horizontal="center" vertical="center"/>
      <protection locked="0"/>
    </xf>
    <xf numFmtId="43" fontId="8" fillId="0" borderId="22" xfId="1" applyFont="1" applyBorder="1" applyAlignment="1" applyProtection="1">
      <alignment horizontal="left" vertical="center"/>
      <protection locked="0"/>
    </xf>
    <xf numFmtId="43" fontId="6" fillId="30" borderId="26" xfId="1" applyFont="1" applyFill="1" applyBorder="1" applyAlignment="1">
      <alignment horizontal="right" vertical="center" wrapText="1"/>
    </xf>
    <xf numFmtId="43" fontId="120" fillId="30" borderId="26" xfId="1" applyFont="1" applyFill="1" applyBorder="1" applyAlignment="1">
      <alignment horizontal="right" vertical="center" wrapText="1"/>
    </xf>
    <xf numFmtId="43" fontId="120" fillId="30" borderId="22" xfId="1" applyFont="1" applyFill="1" applyBorder="1" applyAlignment="1">
      <alignment horizontal="right" vertical="center" wrapText="1"/>
    </xf>
    <xf numFmtId="14" fontId="8" fillId="0" borderId="22" xfId="191" applyNumberFormat="1" applyFont="1" applyBorder="1" applyAlignment="1">
      <alignment horizontal="right" vertical="center" shrinkToFit="1"/>
    </xf>
    <xf numFmtId="176" fontId="6" fillId="0" borderId="22" xfId="2" applyNumberFormat="1" applyFont="1" applyFill="1" applyBorder="1" applyAlignment="1">
      <alignment horizontal="center" vertical="center" shrinkToFit="1"/>
    </xf>
    <xf numFmtId="49" fontId="6" fillId="0" borderId="0" xfId="0" applyNumberFormat="1" applyFont="1" applyAlignment="1">
      <alignment vertical="center"/>
      <protection locked="0"/>
    </xf>
    <xf numFmtId="0" fontId="6" fillId="0" borderId="0" xfId="159" applyFont="1" applyAlignment="1">
      <alignment vertical="center"/>
      <protection locked="0"/>
    </xf>
    <xf numFmtId="43" fontId="8" fillId="0" borderId="22" xfId="1" applyFont="1" applyBorder="1" applyAlignment="1">
      <alignment horizontal="right" vertical="center" wrapText="1"/>
    </xf>
    <xf numFmtId="43" fontId="8" fillId="0" borderId="22" xfId="1" applyFont="1" applyBorder="1" applyAlignment="1">
      <alignment vertical="center"/>
    </xf>
    <xf numFmtId="10" fontId="8" fillId="0" borderId="22" xfId="1" applyNumberFormat="1" applyFont="1" applyBorder="1" applyAlignment="1">
      <alignment vertical="center"/>
    </xf>
    <xf numFmtId="0" fontId="121" fillId="30" borderId="22" xfId="187" applyFont="1" applyFill="1" applyBorder="1" applyAlignment="1">
      <alignment vertical="center"/>
      <protection locked="0"/>
    </xf>
    <xf numFmtId="43" fontId="6" fillId="30" borderId="22" xfId="187" applyNumberFormat="1" applyFont="1" applyFill="1" applyBorder="1" applyAlignment="1">
      <alignment vertical="center"/>
      <protection locked="0"/>
    </xf>
    <xf numFmtId="10" fontId="6" fillId="30" borderId="22" xfId="2" applyNumberFormat="1" applyFont="1" applyFill="1" applyBorder="1" applyAlignment="1" applyProtection="1">
      <alignment horizontal="center" vertical="center"/>
      <protection locked="0"/>
    </xf>
    <xf numFmtId="0" fontId="121" fillId="0" borderId="22" xfId="187" applyFont="1" applyBorder="1" applyAlignment="1">
      <alignment vertical="center"/>
      <protection locked="0"/>
    </xf>
    <xf numFmtId="43" fontId="6" fillId="32" borderId="22" xfId="1" applyFont="1" applyFill="1" applyBorder="1" applyAlignment="1">
      <alignment horizontal="right" vertical="center" wrapText="1"/>
    </xf>
    <xf numFmtId="10" fontId="6" fillId="32" borderId="22" xfId="2" applyNumberFormat="1" applyFont="1" applyFill="1" applyBorder="1" applyAlignment="1" applyProtection="1">
      <alignment vertical="center"/>
      <protection locked="0"/>
    </xf>
    <xf numFmtId="49" fontId="8" fillId="0" borderId="22" xfId="0" applyNumberFormat="1" applyFont="1" applyBorder="1" applyAlignment="1">
      <alignment horizontal="center" vertical="center" shrinkToFit="1"/>
      <protection locked="0"/>
    </xf>
    <xf numFmtId="208" fontId="8" fillId="0" borderId="22" xfId="0" applyNumberFormat="1" applyFont="1" applyBorder="1" applyAlignment="1">
      <alignment horizontal="center" vertical="center"/>
      <protection locked="0"/>
    </xf>
    <xf numFmtId="14" fontId="8" fillId="0" borderId="22" xfId="0" applyNumberFormat="1" applyFont="1" applyBorder="1" applyAlignment="1">
      <alignment vertical="center"/>
      <protection locked="0"/>
    </xf>
    <xf numFmtId="208" fontId="6" fillId="30" borderId="3" xfId="0" applyNumberFormat="1" applyFont="1" applyFill="1" applyBorder="1" applyAlignment="1">
      <alignment vertical="center" shrinkToFit="1"/>
      <protection locked="0"/>
    </xf>
    <xf numFmtId="0" fontId="6" fillId="30" borderId="3" xfId="0" applyFont="1" applyFill="1" applyBorder="1" applyAlignment="1">
      <alignment vertical="center" shrinkToFit="1"/>
      <protection locked="0"/>
    </xf>
    <xf numFmtId="43" fontId="74" fillId="0" borderId="22" xfId="1" applyFont="1" applyFill="1" applyBorder="1" applyAlignment="1">
      <alignment horizontal="center" vertical="center"/>
    </xf>
    <xf numFmtId="49" fontId="8" fillId="0" borderId="22" xfId="0" applyNumberFormat="1" applyFont="1" applyBorder="1" applyAlignment="1">
      <alignment horizontal="justify" vertical="center" wrapText="1"/>
      <protection locked="0"/>
    </xf>
    <xf numFmtId="209" fontId="6" fillId="30" borderId="22" xfId="1" applyNumberFormat="1" applyFont="1" applyFill="1" applyBorder="1" applyAlignment="1">
      <alignment vertical="center"/>
    </xf>
    <xf numFmtId="43" fontId="6" fillId="30" borderId="22" xfId="1" applyFont="1" applyFill="1" applyBorder="1" applyAlignment="1">
      <alignment vertical="center"/>
    </xf>
    <xf numFmtId="43" fontId="6" fillId="0" borderId="0" xfId="1" applyFont="1" applyAlignment="1" applyProtection="1">
      <alignment vertical="center"/>
      <protection locked="0"/>
    </xf>
    <xf numFmtId="0" fontId="8" fillId="0" borderId="22" xfId="192" applyNumberFormat="1" applyFont="1" applyBorder="1" applyAlignment="1" applyProtection="1">
      <alignment horizontal="left" vertical="center" shrinkToFit="1"/>
      <protection locked="0"/>
    </xf>
    <xf numFmtId="10" fontId="8" fillId="0" borderId="22" xfId="2" applyNumberFormat="1" applyFont="1" applyBorder="1" applyAlignment="1">
      <alignment horizontal="right" vertical="center" wrapText="1"/>
    </xf>
    <xf numFmtId="14" fontId="8" fillId="0" borderId="22" xfId="192" applyNumberFormat="1" applyFont="1" applyBorder="1" applyAlignment="1">
      <alignment horizontal="center" vertical="center" wrapText="1"/>
    </xf>
    <xf numFmtId="0" fontId="8" fillId="0" borderId="22" xfId="192" applyNumberFormat="1" applyFont="1" applyBorder="1" applyAlignment="1">
      <alignment horizontal="center" vertical="center" wrapText="1"/>
    </xf>
    <xf numFmtId="49" fontId="8" fillId="0" borderId="22" xfId="192" applyNumberFormat="1" applyFont="1" applyBorder="1" applyAlignment="1">
      <alignment horizontal="center" vertical="center" wrapText="1"/>
    </xf>
    <xf numFmtId="0" fontId="11" fillId="0" borderId="0" xfId="186" applyFont="1" applyAlignment="1">
      <alignment horizontal="center" vertical="center"/>
    </xf>
    <xf numFmtId="0" fontId="11" fillId="0" borderId="0" xfId="0" applyFont="1" applyAlignment="1">
      <alignment horizontal="center" vertical="center"/>
      <protection locked="0"/>
    </xf>
    <xf numFmtId="43" fontId="73" fillId="30" borderId="22" xfId="1" applyFont="1" applyFill="1" applyBorder="1" applyAlignment="1">
      <alignment horizontal="right" vertical="center"/>
    </xf>
    <xf numFmtId="10" fontId="6" fillId="30" borderId="22" xfId="2" applyNumberFormat="1" applyFont="1" applyFill="1" applyBorder="1" applyAlignment="1">
      <alignment horizontal="right" vertical="center" wrapText="1"/>
    </xf>
    <xf numFmtId="195" fontId="12" fillId="0" borderId="0" xfId="195" applyFont="1">
      <alignment vertical="center"/>
    </xf>
    <xf numFmtId="0" fontId="12" fillId="0" borderId="0" xfId="157" applyFont="1" applyAlignment="1">
      <alignment vertical="center"/>
      <protection locked="0"/>
    </xf>
    <xf numFmtId="0" fontId="7" fillId="0" borderId="0" xfId="157" applyFont="1" applyAlignment="1">
      <alignment vertical="center"/>
      <protection locked="0"/>
    </xf>
    <xf numFmtId="0" fontId="127" fillId="0" borderId="0" xfId="185" applyFont="1">
      <alignment vertical="center"/>
    </xf>
    <xf numFmtId="0" fontId="127" fillId="0" borderId="0" xfId="199" applyFont="1">
      <protection locked="0"/>
    </xf>
    <xf numFmtId="49" fontId="12" fillId="0" borderId="0" xfId="1" applyNumberFormat="1" applyFont="1" applyAlignment="1" applyProtection="1">
      <alignment vertical="center"/>
      <protection locked="0"/>
    </xf>
    <xf numFmtId="49" fontId="127" fillId="0" borderId="0" xfId="1" applyNumberFormat="1" applyFont="1" applyAlignment="1" applyProtection="1">
      <alignment vertical="center"/>
      <protection locked="0"/>
    </xf>
    <xf numFmtId="0" fontId="12" fillId="0" borderId="0" xfId="188" applyFont="1">
      <alignment vertical="top"/>
      <protection locked="0"/>
    </xf>
    <xf numFmtId="0" fontId="125" fillId="0" borderId="0" xfId="186" applyFont="1" applyAlignment="1">
      <alignment horizontal="center" vertical="center"/>
    </xf>
    <xf numFmtId="0" fontId="127" fillId="0" borderId="0" xfId="188" applyFont="1">
      <alignment vertical="top"/>
      <protection locked="0"/>
    </xf>
    <xf numFmtId="0" fontId="11" fillId="0" borderId="0" xfId="0" applyFont="1" applyAlignment="1">
      <alignment vertical="center"/>
      <protection locked="0"/>
    </xf>
    <xf numFmtId="0" fontId="125" fillId="0" borderId="0" xfId="0" applyFont="1" applyAlignment="1">
      <alignment vertical="center"/>
      <protection locked="0"/>
    </xf>
    <xf numFmtId="0" fontId="125" fillId="0" borderId="0" xfId="0" applyFont="1" applyAlignment="1">
      <alignment horizontal="center" vertical="center"/>
      <protection locked="0"/>
    </xf>
    <xf numFmtId="0" fontId="12" fillId="0" borderId="0" xfId="185" applyFont="1" applyAlignment="1">
      <alignment vertical="center" wrapText="1"/>
    </xf>
    <xf numFmtId="0" fontId="11" fillId="0" borderId="0" xfId="0" applyNumberFormat="1" applyFont="1" applyAlignment="1">
      <alignment vertical="center"/>
      <protection locked="0"/>
    </xf>
    <xf numFmtId="0" fontId="125" fillId="0" borderId="0" xfId="0" applyNumberFormat="1" applyFont="1" applyAlignment="1">
      <alignment vertical="center"/>
      <protection locked="0"/>
    </xf>
    <xf numFmtId="208" fontId="8" fillId="30" borderId="22" xfId="0" applyNumberFormat="1" applyFont="1" applyFill="1" applyBorder="1" applyAlignment="1">
      <alignment vertical="center"/>
      <protection locked="0"/>
    </xf>
    <xf numFmtId="0" fontId="6" fillId="31" borderId="10" xfId="205" applyFont="1" applyFill="1" applyBorder="1" applyAlignment="1">
      <alignment horizontal="center" vertical="center"/>
      <protection locked="0"/>
    </xf>
    <xf numFmtId="0" fontId="116" fillId="0" borderId="0" xfId="157" applyNumberFormat="1" applyFont="1" applyAlignment="1" applyProtection="1">
      <alignment vertical="center"/>
    </xf>
    <xf numFmtId="0" fontId="85" fillId="0" borderId="0" xfId="0" applyNumberFormat="1" applyFont="1" applyAlignment="1">
      <alignment horizontal="right" vertical="center"/>
      <protection locked="0"/>
    </xf>
    <xf numFmtId="0" fontId="85" fillId="0" borderId="0" xfId="0" applyNumberFormat="1" applyFont="1" applyAlignment="1">
      <alignment horizontal="left" vertical="center"/>
      <protection locked="0"/>
    </xf>
    <xf numFmtId="43" fontId="8" fillId="0" borderId="22" xfId="1" applyFont="1" applyBorder="1" applyAlignment="1" applyProtection="1">
      <alignment horizontal="justify" vertical="center" wrapText="1"/>
      <protection locked="0"/>
    </xf>
    <xf numFmtId="43" fontId="8" fillId="30" borderId="22" xfId="1" applyFont="1" applyFill="1" applyBorder="1" applyAlignment="1">
      <alignment vertical="center"/>
    </xf>
    <xf numFmtId="43" fontId="8" fillId="0" borderId="22" xfId="1" applyFont="1" applyFill="1" applyBorder="1" applyAlignment="1">
      <alignment vertical="center"/>
    </xf>
    <xf numFmtId="0" fontId="6" fillId="30" borderId="22" xfId="0" applyFont="1" applyFill="1" applyBorder="1" applyAlignment="1" applyProtection="1">
      <alignment horizontal="center" vertical="center"/>
    </xf>
    <xf numFmtId="0" fontId="115" fillId="0" borderId="0" xfId="0" applyFont="1" applyAlignment="1">
      <alignment horizontal="left" vertical="center"/>
      <protection locked="0"/>
    </xf>
    <xf numFmtId="43" fontId="8" fillId="0" borderId="22" xfId="1" applyFont="1" applyBorder="1" applyAlignment="1" applyProtection="1">
      <alignment vertical="center"/>
    </xf>
    <xf numFmtId="10" fontId="8" fillId="0" borderId="22" xfId="2" applyNumberFormat="1" applyFont="1" applyBorder="1" applyAlignment="1" applyProtection="1">
      <alignment vertical="center"/>
    </xf>
    <xf numFmtId="0" fontId="8" fillId="0" borderId="0" xfId="1" applyNumberFormat="1" applyFont="1" applyAlignment="1" applyProtection="1">
      <alignment vertical="center"/>
      <protection locked="0"/>
    </xf>
    <xf numFmtId="0" fontId="88" fillId="0" borderId="0" xfId="0" applyFont="1" applyFill="1" applyBorder="1" applyAlignment="1">
      <alignment horizontal="left" vertical="center"/>
      <protection locked="0"/>
    </xf>
    <xf numFmtId="43" fontId="17" fillId="0" borderId="0" xfId="4" applyNumberFormat="1" applyFont="1" applyBorder="1" applyAlignment="1">
      <alignment vertical="center"/>
    </xf>
    <xf numFmtId="0" fontId="17" fillId="0" borderId="0" xfId="0" applyFont="1" applyAlignment="1">
      <alignment vertical="center" wrapText="1"/>
      <protection locked="0"/>
    </xf>
    <xf numFmtId="0" fontId="17" fillId="0" borderId="0" xfId="157" applyFont="1" applyAlignment="1">
      <alignment horizontal="left" vertical="center"/>
      <protection locked="0"/>
    </xf>
    <xf numFmtId="43" fontId="4" fillId="30" borderId="22" xfId="1" applyFont="1" applyFill="1" applyBorder="1" applyAlignment="1" applyProtection="1">
      <alignment horizontal="center" vertical="center"/>
      <protection locked="0"/>
    </xf>
    <xf numFmtId="43" fontId="4" fillId="30" borderId="22" xfId="1" applyFont="1" applyFill="1" applyBorder="1" applyAlignment="1" applyProtection="1">
      <alignment horizontal="center" vertical="center" wrapText="1"/>
      <protection locked="0"/>
    </xf>
    <xf numFmtId="0" fontId="6" fillId="0" borderId="22" xfId="193" applyFont="1" applyFill="1" applyBorder="1" applyAlignment="1" applyProtection="1">
      <alignment horizontal="center" vertical="center" wrapText="1"/>
      <protection locked="0"/>
    </xf>
    <xf numFmtId="0" fontId="8" fillId="0" borderId="22" xfId="193" applyFont="1" applyFill="1" applyBorder="1" applyAlignment="1" applyProtection="1">
      <alignment horizontal="center" vertical="center" wrapText="1"/>
      <protection locked="0"/>
    </xf>
    <xf numFmtId="49" fontId="8" fillId="0" borderId="22" xfId="196" applyNumberFormat="1" applyFont="1" applyFill="1" applyBorder="1" applyAlignment="1">
      <alignment horizontal="center" vertical="center"/>
      <protection locked="0"/>
    </xf>
    <xf numFmtId="195" fontId="8" fillId="0" borderId="22" xfId="196" applyFont="1" applyFill="1" applyBorder="1" applyAlignment="1">
      <alignment horizontal="left" vertical="center" wrapText="1"/>
      <protection locked="0"/>
    </xf>
    <xf numFmtId="195" fontId="8" fillId="0" borderId="22" xfId="196" applyFont="1" applyFill="1" applyBorder="1" applyAlignment="1">
      <alignment horizontal="center" vertical="center" wrapText="1"/>
      <protection locked="0"/>
    </xf>
    <xf numFmtId="0" fontId="114" fillId="0" borderId="22" xfId="199" applyFont="1" applyFill="1" applyBorder="1" applyAlignment="1" applyProtection="1">
      <alignment horizontal="center" vertical="center" wrapText="1"/>
    </xf>
    <xf numFmtId="0" fontId="119" fillId="0" borderId="22" xfId="199" applyFont="1" applyFill="1" applyBorder="1" applyAlignment="1" applyProtection="1">
      <alignment horizontal="center" vertical="center" wrapText="1"/>
    </xf>
    <xf numFmtId="0" fontId="8" fillId="0" borderId="22" xfId="199" applyFont="1" applyFill="1" applyBorder="1" applyAlignment="1" applyProtection="1">
      <alignment horizontal="center" vertical="center" wrapText="1"/>
      <protection locked="0"/>
    </xf>
    <xf numFmtId="49" fontId="8" fillId="0" borderId="22" xfId="196" applyNumberFormat="1" applyFont="1" applyFill="1" applyBorder="1" applyAlignment="1" applyProtection="1">
      <alignment horizontal="left" vertical="center" wrapText="1"/>
      <protection locked="0"/>
    </xf>
    <xf numFmtId="0" fontId="8" fillId="0" borderId="22" xfId="199" applyFont="1" applyFill="1" applyBorder="1" applyAlignment="1" applyProtection="1">
      <alignment horizontal="center" vertical="center"/>
      <protection locked="0"/>
    </xf>
    <xf numFmtId="195" fontId="13" fillId="0" borderId="22" xfId="196" applyFont="1" applyFill="1" applyBorder="1" applyAlignment="1">
      <alignment horizontal="left" vertical="center" wrapText="1"/>
      <protection locked="0"/>
    </xf>
    <xf numFmtId="195" fontId="13" fillId="0" borderId="22" xfId="196" applyFont="1" applyFill="1" applyBorder="1" applyAlignment="1">
      <alignment horizontal="center" vertical="center" wrapText="1"/>
      <protection locked="0"/>
    </xf>
    <xf numFmtId="0" fontId="8" fillId="0" borderId="22" xfId="193" applyFont="1" applyFill="1" applyBorder="1" applyAlignment="1" applyProtection="1">
      <alignment horizontal="left" vertical="center" wrapText="1"/>
      <protection locked="0"/>
    </xf>
    <xf numFmtId="195" fontId="13" fillId="0" borderId="22" xfId="196" applyFont="1" applyFill="1" applyBorder="1" applyAlignment="1" applyProtection="1">
      <alignment horizontal="left" vertical="center" wrapText="1"/>
      <protection locked="0"/>
    </xf>
    <xf numFmtId="195" fontId="8" fillId="0" borderId="22" xfId="196" applyFont="1" applyFill="1" applyBorder="1" applyAlignment="1" applyProtection="1">
      <alignment horizontal="left" vertical="center" wrapText="1"/>
      <protection locked="0"/>
    </xf>
    <xf numFmtId="195" fontId="6" fillId="0" borderId="22" xfId="201" applyFont="1" applyFill="1" applyBorder="1" applyAlignment="1" applyProtection="1">
      <alignment horizontal="center" vertical="center"/>
      <protection locked="0"/>
    </xf>
    <xf numFmtId="195" fontId="8" fillId="0" borderId="22" xfId="201" applyFont="1" applyFill="1" applyBorder="1" applyAlignment="1" applyProtection="1">
      <alignment horizontal="center" vertical="center"/>
      <protection locked="0"/>
    </xf>
    <xf numFmtId="49" fontId="8" fillId="0" borderId="22" xfId="1" applyNumberFormat="1" applyFont="1" applyFill="1" applyBorder="1" applyAlignment="1" applyProtection="1">
      <alignment horizontal="center" vertical="center" wrapText="1"/>
      <protection locked="0"/>
    </xf>
    <xf numFmtId="43" fontId="13" fillId="0" borderId="22" xfId="1" applyFont="1" applyFill="1" applyBorder="1" applyAlignment="1" applyProtection="1">
      <alignment horizontal="left" vertical="center" wrapText="1"/>
      <protection locked="0"/>
    </xf>
    <xf numFmtId="195" fontId="13" fillId="0" borderId="0" xfId="197" applyFont="1">
      <alignment vertical="center"/>
    </xf>
    <xf numFmtId="195" fontId="94" fillId="0" borderId="22" xfId="203" applyFont="1" applyFill="1" applyBorder="1" applyAlignment="1" applyProtection="1">
      <alignment horizontal="center" vertical="center" wrapText="1"/>
    </xf>
    <xf numFmtId="0" fontId="6" fillId="0" borderId="22" xfId="199" applyFont="1" applyFill="1" applyBorder="1" applyAlignment="1" applyProtection="1">
      <alignment horizontal="center" vertical="center"/>
      <protection locked="0"/>
    </xf>
    <xf numFmtId="0" fontId="8" fillId="0" borderId="27" xfId="193" applyFont="1" applyFill="1" applyBorder="1" applyAlignment="1" applyProtection="1">
      <alignment horizontal="center" vertical="center" wrapText="1"/>
      <protection locked="0"/>
    </xf>
    <xf numFmtId="0" fontId="8" fillId="0" borderId="0" xfId="0" applyFont="1" applyAlignment="1">
      <alignment horizontal="center"/>
      <protection locked="0"/>
    </xf>
    <xf numFmtId="0" fontId="4" fillId="0" borderId="0" xfId="1" applyNumberFormat="1" applyFont="1" applyAlignment="1" applyProtection="1">
      <alignment vertical="center"/>
      <protection locked="0"/>
    </xf>
    <xf numFmtId="43" fontId="13" fillId="0" borderId="0" xfId="1" applyFont="1" applyProtection="1">
      <protection locked="0"/>
    </xf>
    <xf numFmtId="0" fontId="116" fillId="0" borderId="0" xfId="0" applyFont="1" applyAlignment="1">
      <alignment horizontal="left" vertical="center"/>
      <protection locked="0"/>
    </xf>
    <xf numFmtId="0" fontId="115" fillId="0" borderId="0" xfId="157" applyFont="1" applyAlignment="1">
      <alignment vertical="center"/>
      <protection locked="0"/>
    </xf>
    <xf numFmtId="49" fontId="4" fillId="0" borderId="0" xfId="203" applyNumberFormat="1" applyFont="1" applyFill="1" applyAlignment="1" applyProtection="1">
      <alignment horizontal="left" vertical="center"/>
      <protection locked="0"/>
    </xf>
    <xf numFmtId="0" fontId="73" fillId="30" borderId="22" xfId="0" applyFont="1" applyFill="1" applyBorder="1" applyAlignment="1" applyProtection="1">
      <alignment horizontal="center" vertical="center"/>
    </xf>
    <xf numFmtId="0" fontId="6" fillId="30" borderId="26" xfId="0" applyFont="1" applyFill="1" applyBorder="1" applyAlignment="1">
      <alignment horizontal="center" vertical="center" wrapText="1"/>
      <protection locked="0"/>
    </xf>
    <xf numFmtId="0" fontId="6" fillId="30" borderId="30" xfId="0" applyFont="1" applyFill="1" applyBorder="1" applyAlignment="1">
      <alignment horizontal="center" vertical="center" wrapText="1"/>
      <protection locked="0"/>
    </xf>
    <xf numFmtId="0" fontId="6" fillId="30" borderId="22" xfId="0" applyFont="1" applyFill="1" applyBorder="1" applyAlignment="1">
      <alignment horizontal="center" vertical="center" wrapText="1"/>
      <protection locked="0"/>
    </xf>
    <xf numFmtId="0" fontId="6" fillId="30" borderId="22" xfId="0" applyFont="1" applyFill="1" applyBorder="1" applyAlignment="1" applyProtection="1">
      <alignment horizontal="center" vertical="center"/>
    </xf>
    <xf numFmtId="0" fontId="6" fillId="30" borderId="22" xfId="157" applyFont="1" applyFill="1" applyBorder="1" applyAlignment="1">
      <alignment horizontal="center" vertical="center" wrapText="1"/>
      <protection locked="0"/>
    </xf>
    <xf numFmtId="0" fontId="8" fillId="0" borderId="22" xfId="192" applyNumberFormat="1" applyFont="1" applyFill="1" applyBorder="1" applyAlignment="1" applyProtection="1">
      <alignment vertical="center"/>
      <protection locked="0"/>
    </xf>
    <xf numFmtId="0" fontId="113" fillId="0" borderId="0" xfId="192" applyNumberFormat="1" applyFont="1" applyProtection="1">
      <protection locked="0"/>
    </xf>
    <xf numFmtId="43" fontId="8" fillId="0" borderId="22" xfId="1" applyFont="1" applyFill="1" applyBorder="1" applyAlignment="1">
      <alignment horizontal="left" vertical="center" wrapText="1"/>
    </xf>
    <xf numFmtId="43" fontId="8" fillId="30" borderId="22" xfId="1" applyFont="1" applyFill="1" applyBorder="1" applyAlignment="1">
      <alignment horizontal="right" vertical="center"/>
    </xf>
    <xf numFmtId="43" fontId="6" fillId="30" borderId="22" xfId="1" applyFont="1" applyFill="1" applyBorder="1" applyAlignment="1">
      <alignment horizontal="right" vertical="center"/>
    </xf>
    <xf numFmtId="0" fontId="73" fillId="0" borderId="0" xfId="157" applyFont="1" applyFill="1" applyAlignment="1" applyProtection="1">
      <alignment vertical="center"/>
    </xf>
    <xf numFmtId="0" fontId="74" fillId="0" borderId="0" xfId="157" applyNumberFormat="1" applyFont="1" applyFill="1" applyAlignment="1" applyProtection="1">
      <alignment vertical="center"/>
    </xf>
    <xf numFmtId="0" fontId="8" fillId="0" borderId="0" xfId="0" applyFont="1" applyFill="1" applyAlignment="1">
      <alignment vertical="center"/>
      <protection locked="0"/>
    </xf>
    <xf numFmtId="0" fontId="8" fillId="0" borderId="0" xfId="189" applyFont="1" applyFill="1">
      <alignment vertical="center"/>
    </xf>
    <xf numFmtId="0" fontId="8" fillId="0" borderId="0" xfId="159" applyFont="1" applyFill="1">
      <protection locked="0"/>
    </xf>
    <xf numFmtId="0" fontId="8" fillId="0" borderId="0" xfId="0" applyFont="1" applyFill="1" applyAlignment="1">
      <alignment horizontal="right" vertical="center"/>
      <protection locked="0"/>
    </xf>
    <xf numFmtId="0" fontId="8" fillId="30" borderId="0" xfId="0" applyFont="1" applyFill="1" applyAlignment="1">
      <alignment vertical="center"/>
      <protection locked="0"/>
    </xf>
    <xf numFmtId="49" fontId="8" fillId="0" borderId="0" xfId="1" applyNumberFormat="1" applyFont="1" applyFill="1" applyAlignment="1" applyProtection="1">
      <alignment vertical="center"/>
      <protection locked="0"/>
    </xf>
    <xf numFmtId="195" fontId="8" fillId="0" borderId="0" xfId="192" applyFont="1" applyFill="1" applyAlignment="1">
      <alignment horizontal="left" vertical="center" wrapText="1"/>
    </xf>
    <xf numFmtId="0" fontId="8" fillId="0" borderId="0" xfId="186" applyFont="1" applyFill="1" applyAlignment="1" applyProtection="1">
      <alignment vertical="center"/>
      <protection locked="0"/>
    </xf>
    <xf numFmtId="0" fontId="6" fillId="32" borderId="22" xfId="0" applyFont="1" applyFill="1" applyBorder="1" applyAlignment="1">
      <alignment horizontal="center" vertical="center" wrapText="1"/>
      <protection locked="0"/>
    </xf>
    <xf numFmtId="0" fontId="6" fillId="32" borderId="22" xfId="157" applyFont="1" applyFill="1" applyBorder="1" applyAlignment="1">
      <alignment horizontal="center" vertical="center" wrapText="1"/>
      <protection locked="0"/>
    </xf>
    <xf numFmtId="10" fontId="8" fillId="32" borderId="22" xfId="2" applyNumberFormat="1" applyFont="1" applyFill="1" applyBorder="1" applyAlignment="1">
      <alignment horizontal="right" vertical="center" wrapText="1"/>
    </xf>
    <xf numFmtId="0" fontId="8" fillId="0" borderId="22" xfId="157" applyFont="1" applyFill="1" applyBorder="1" applyAlignment="1">
      <alignment horizontal="center" vertical="center" wrapText="1"/>
      <protection locked="0"/>
    </xf>
    <xf numFmtId="0" fontId="8" fillId="0" borderId="22" xfId="0" applyFont="1" applyFill="1" applyBorder="1" applyAlignment="1">
      <alignment horizontal="justify" vertical="center" wrapText="1"/>
      <protection locked="0"/>
    </xf>
    <xf numFmtId="0" fontId="8" fillId="0" borderId="22" xfId="157" applyFont="1" applyFill="1" applyBorder="1" applyAlignment="1">
      <alignment horizontal="left" vertical="center" wrapText="1"/>
      <protection locked="0"/>
    </xf>
    <xf numFmtId="0" fontId="13" fillId="0" borderId="22" xfId="0" applyFont="1" applyFill="1" applyBorder="1" applyAlignment="1">
      <alignment horizontal="justify" vertical="center" wrapText="1"/>
      <protection locked="0"/>
    </xf>
    <xf numFmtId="0" fontId="8" fillId="0" borderId="0" xfId="188" applyFont="1" applyFill="1" applyAlignment="1">
      <alignment horizontal="center" vertical="center"/>
      <protection locked="0"/>
    </xf>
    <xf numFmtId="0" fontId="8" fillId="0" borderId="0" xfId="188" applyFont="1" applyFill="1" applyAlignment="1">
      <alignment horizontal="center" vertical="center" wrapText="1"/>
      <protection locked="0"/>
    </xf>
    <xf numFmtId="0" fontId="8" fillId="0" borderId="0" xfId="188" applyFont="1" applyFill="1" applyAlignment="1">
      <alignment horizontal="left" vertical="center"/>
      <protection locked="0"/>
    </xf>
    <xf numFmtId="0" fontId="8" fillId="0" borderId="0" xfId="188" applyFont="1" applyFill="1" applyAlignment="1">
      <alignment vertical="center"/>
      <protection locked="0"/>
    </xf>
    <xf numFmtId="195" fontId="6" fillId="0" borderId="0" xfId="204" applyFont="1" applyFill="1" applyAlignment="1">
      <alignment horizontal="left" vertical="center"/>
    </xf>
    <xf numFmtId="195" fontId="8" fillId="0" borderId="0" xfId="203" applyFont="1" applyFill="1">
      <protection locked="0"/>
    </xf>
    <xf numFmtId="0" fontId="6" fillId="0" borderId="0" xfId="186" applyFont="1" applyFill="1" applyAlignment="1">
      <alignment horizontal="left" vertical="center"/>
    </xf>
    <xf numFmtId="195" fontId="8" fillId="0" borderId="0" xfId="204" applyFont="1" applyFill="1" applyAlignment="1">
      <alignment horizontal="left" vertical="center"/>
    </xf>
    <xf numFmtId="195" fontId="115" fillId="0" borderId="0" xfId="204" applyFont="1" applyFill="1" applyAlignment="1">
      <alignment horizontal="left" vertical="center"/>
    </xf>
    <xf numFmtId="0" fontId="4" fillId="32" borderId="22" xfId="0" applyFont="1" applyFill="1" applyBorder="1" applyAlignment="1">
      <alignment horizontal="centerContinuous" vertical="center" wrapText="1"/>
      <protection locked="0"/>
    </xf>
    <xf numFmtId="0" fontId="4" fillId="32" borderId="26" xfId="0" applyFont="1" applyFill="1" applyBorder="1" applyAlignment="1">
      <alignment horizontal="centerContinuous" vertical="center" wrapText="1"/>
      <protection locked="0"/>
    </xf>
    <xf numFmtId="0" fontId="4" fillId="32" borderId="0" xfId="0" applyFont="1" applyFill="1" applyAlignment="1">
      <alignment vertical="center" wrapText="1"/>
      <protection locked="0"/>
    </xf>
    <xf numFmtId="0" fontId="4" fillId="32" borderId="22" xfId="0" applyFont="1" applyFill="1" applyBorder="1" applyAlignment="1">
      <alignment horizontal="center" vertical="center" wrapText="1"/>
      <protection locked="0"/>
    </xf>
    <xf numFmtId="0" fontId="4" fillId="32" borderId="26" xfId="0" applyFont="1" applyFill="1" applyBorder="1" applyAlignment="1">
      <alignment horizontal="center" vertical="center" wrapText="1"/>
      <protection locked="0"/>
    </xf>
    <xf numFmtId="0" fontId="4" fillId="36" borderId="22" xfId="157" applyNumberFormat="1" applyFont="1" applyFill="1" applyBorder="1" applyAlignment="1" applyProtection="1">
      <alignment horizontal="center" vertical="center" wrapText="1"/>
    </xf>
    <xf numFmtId="0" fontId="116" fillId="32" borderId="0" xfId="0" applyFont="1" applyFill="1" applyAlignment="1">
      <alignment horizontal="left" vertical="center"/>
      <protection locked="0"/>
    </xf>
    <xf numFmtId="0" fontId="80" fillId="36" borderId="22" xfId="157" applyNumberFormat="1" applyFont="1" applyFill="1" applyBorder="1" applyAlignment="1" applyProtection="1">
      <alignment horizontal="center" vertical="center" wrapText="1"/>
    </xf>
    <xf numFmtId="0" fontId="80" fillId="32" borderId="22" xfId="0" applyFont="1" applyFill="1" applyBorder="1" applyAlignment="1">
      <alignment horizontal="center" vertical="center" wrapText="1"/>
      <protection locked="0"/>
    </xf>
    <xf numFmtId="10" fontId="8" fillId="32" borderId="26" xfId="2" applyNumberFormat="1" applyFont="1" applyFill="1" applyBorder="1" applyAlignment="1">
      <alignment horizontal="right" vertical="center" wrapText="1"/>
    </xf>
    <xf numFmtId="0" fontId="6" fillId="0" borderId="0" xfId="186" applyFont="1" applyFill="1" applyAlignment="1">
      <alignment vertical="center" wrapText="1"/>
    </xf>
    <xf numFmtId="49" fontId="6" fillId="0" borderId="0" xfId="186" applyNumberFormat="1" applyFont="1" applyFill="1" applyAlignment="1">
      <alignment horizontal="left" vertical="center"/>
    </xf>
    <xf numFmtId="49" fontId="8" fillId="0" borderId="0" xfId="186" applyNumberFormat="1" applyFont="1" applyFill="1" applyAlignment="1" applyProtection="1">
      <alignment vertical="center"/>
      <protection locked="0"/>
    </xf>
    <xf numFmtId="0" fontId="8" fillId="0" borderId="0" xfId="0" applyFont="1" applyFill="1">
      <protection locked="0"/>
    </xf>
    <xf numFmtId="0" fontId="8" fillId="0" borderId="0" xfId="186" applyFont="1" applyFill="1" applyAlignment="1">
      <alignment horizontal="left" vertical="center"/>
    </xf>
    <xf numFmtId="0" fontId="115" fillId="0" borderId="0" xfId="186" applyFont="1" applyFill="1" applyAlignment="1">
      <alignment horizontal="left" vertical="center"/>
    </xf>
    <xf numFmtId="0" fontId="4" fillId="32" borderId="22" xfId="0" applyFont="1" applyFill="1" applyBorder="1" applyAlignment="1">
      <alignment horizontal="centerContinuous" vertical="center"/>
      <protection locked="0"/>
    </xf>
    <xf numFmtId="0" fontId="81" fillId="0" borderId="0" xfId="157" applyFont="1" applyFill="1" applyAlignment="1" applyProtection="1">
      <alignment horizontal="center" vertical="center"/>
    </xf>
    <xf numFmtId="0" fontId="8" fillId="0" borderId="0" xfId="189" applyFont="1" applyFill="1" applyAlignment="1">
      <alignment vertical="center"/>
    </xf>
    <xf numFmtId="49" fontId="8" fillId="0" borderId="0" xfId="0" applyNumberFormat="1" applyFont="1" applyFill="1" applyAlignment="1">
      <alignment vertical="center"/>
      <protection locked="0"/>
    </xf>
    <xf numFmtId="0" fontId="8" fillId="0" borderId="0" xfId="159" applyFont="1" applyFill="1" applyAlignment="1">
      <alignment vertical="center"/>
      <protection locked="0"/>
    </xf>
    <xf numFmtId="0" fontId="8" fillId="32" borderId="22" xfId="1" applyNumberFormat="1" applyFont="1" applyFill="1" applyBorder="1" applyAlignment="1">
      <alignment horizontal="right" vertical="center" wrapText="1"/>
    </xf>
    <xf numFmtId="43" fontId="8" fillId="32" borderId="22" xfId="1" applyFont="1" applyFill="1" applyBorder="1" applyAlignment="1">
      <alignment horizontal="right" vertical="center" wrapText="1"/>
    </xf>
    <xf numFmtId="0" fontId="8" fillId="0" borderId="0" xfId="187" applyFont="1" applyFill="1" applyAlignment="1">
      <alignment vertical="center"/>
      <protection locked="0"/>
    </xf>
    <xf numFmtId="43" fontId="8" fillId="0" borderId="0" xfId="187" applyNumberFormat="1" applyFont="1" applyFill="1" applyAlignment="1">
      <alignment vertical="center"/>
      <protection locked="0"/>
    </xf>
    <xf numFmtId="43" fontId="6" fillId="30" borderId="22" xfId="1" applyFont="1" applyFill="1" applyBorder="1" applyAlignment="1" applyProtection="1">
      <alignment vertical="center"/>
    </xf>
    <xf numFmtId="10" fontId="6" fillId="30" borderId="22" xfId="2" applyNumberFormat="1" applyFont="1" applyFill="1" applyBorder="1" applyAlignment="1" applyProtection="1">
      <alignment vertical="center"/>
    </xf>
    <xf numFmtId="0" fontId="8" fillId="0" borderId="0" xfId="186" applyFont="1" applyFill="1" applyAlignment="1">
      <alignment vertical="center"/>
    </xf>
    <xf numFmtId="0" fontId="6" fillId="0" borderId="0" xfId="186" applyFont="1" applyFill="1" applyAlignment="1">
      <alignment horizontal="left" vertical="center" wrapText="1"/>
    </xf>
    <xf numFmtId="0" fontId="8" fillId="0" borderId="0" xfId="186" applyFont="1" applyFill="1" applyAlignment="1" applyProtection="1">
      <alignment vertical="center" wrapText="1"/>
      <protection locked="0"/>
    </xf>
    <xf numFmtId="0" fontId="6" fillId="0" borderId="0" xfId="186" applyFont="1" applyFill="1" applyAlignment="1">
      <alignment vertical="center"/>
    </xf>
    <xf numFmtId="195" fontId="113" fillId="0" borderId="0" xfId="204" applyFont="1" applyFill="1" applyAlignment="1">
      <alignment horizontal="left" vertical="center"/>
    </xf>
    <xf numFmtId="0" fontId="18" fillId="0" borderId="0" xfId="186" applyFont="1" applyFill="1" applyAlignment="1" applyProtection="1">
      <alignment vertical="center"/>
      <protection hidden="1"/>
    </xf>
    <xf numFmtId="0" fontId="8" fillId="0" borderId="0" xfId="186" applyFont="1" applyFill="1" applyAlignment="1" applyProtection="1">
      <alignment vertical="center"/>
      <protection hidden="1"/>
    </xf>
    <xf numFmtId="0" fontId="18" fillId="0" borderId="0" xfId="186" applyFont="1" applyFill="1" applyAlignment="1" applyProtection="1">
      <alignment vertical="center"/>
      <protection locked="0"/>
    </xf>
    <xf numFmtId="0" fontId="15" fillId="0" borderId="0" xfId="0" applyFont="1" applyFill="1" applyAlignment="1">
      <alignment vertical="center"/>
      <protection locked="0"/>
    </xf>
    <xf numFmtId="0" fontId="13" fillId="0" borderId="0" xfId="0" applyFont="1" applyFill="1" applyAlignment="1">
      <alignment vertical="center"/>
      <protection locked="0"/>
    </xf>
    <xf numFmtId="0" fontId="128" fillId="0" borderId="0" xfId="0" applyFont="1" applyFill="1" applyAlignment="1">
      <alignment vertical="center"/>
      <protection locked="0"/>
    </xf>
    <xf numFmtId="0" fontId="129" fillId="0" borderId="0" xfId="0" applyFont="1" applyFill="1" applyAlignment="1">
      <alignment vertical="center" wrapText="1"/>
      <protection locked="0"/>
    </xf>
    <xf numFmtId="0" fontId="129" fillId="0" borderId="0" xfId="0" applyFont="1" applyFill="1" applyAlignment="1">
      <alignment vertical="center"/>
      <protection locked="0"/>
    </xf>
    <xf numFmtId="0" fontId="8" fillId="0" borderId="0" xfId="0" applyFont="1" applyFill="1" applyAlignment="1">
      <alignment vertical="center" wrapText="1"/>
      <protection locked="0"/>
    </xf>
    <xf numFmtId="0" fontId="8" fillId="0" borderId="0" xfId="157" applyFont="1" applyFill="1" applyAlignment="1">
      <alignment vertical="center"/>
      <protection locked="0"/>
    </xf>
    <xf numFmtId="0" fontId="74" fillId="0" borderId="0" xfId="157" applyFont="1" applyFill="1" applyAlignment="1" applyProtection="1">
      <alignment vertical="center"/>
    </xf>
    <xf numFmtId="195" fontId="8" fillId="0" borderId="0" xfId="197" applyFont="1" applyFill="1">
      <alignment vertical="center"/>
    </xf>
    <xf numFmtId="0" fontId="8" fillId="0" borderId="0" xfId="192" applyNumberFormat="1" applyFont="1" applyFill="1" applyAlignment="1">
      <alignment horizontal="left" vertical="center"/>
    </xf>
    <xf numFmtId="0" fontId="8" fillId="0" borderId="0" xfId="186" applyNumberFormat="1" applyFont="1" applyFill="1" applyAlignment="1" applyProtection="1">
      <alignment vertical="center" wrapText="1"/>
      <protection locked="0"/>
    </xf>
    <xf numFmtId="0" fontId="8" fillId="0" borderId="0" xfId="192" applyNumberFormat="1" applyFont="1" applyFill="1" applyAlignment="1">
      <alignment horizontal="left" vertical="center" wrapText="1"/>
    </xf>
    <xf numFmtId="49" fontId="88" fillId="0" borderId="0" xfId="1" applyNumberFormat="1" applyFont="1" applyFill="1" applyAlignment="1" applyProtection="1">
      <alignment vertical="center" wrapText="1"/>
      <protection locked="0"/>
    </xf>
    <xf numFmtId="0" fontId="8" fillId="0" borderId="0" xfId="186" applyNumberFormat="1" applyFont="1" applyFill="1" applyAlignment="1" applyProtection="1">
      <alignment vertical="center"/>
      <protection locked="0"/>
    </xf>
    <xf numFmtId="0" fontId="115" fillId="35" borderId="0" xfId="199" applyFont="1" applyFill="1" applyAlignment="1" applyProtection="1">
      <alignment horizontal="left" vertical="center" wrapText="1"/>
      <protection locked="0"/>
    </xf>
    <xf numFmtId="195" fontId="8" fillId="0" borderId="0" xfId="196" applyFont="1" applyBorder="1" applyAlignment="1">
      <alignment vertical="center"/>
      <protection locked="0"/>
    </xf>
    <xf numFmtId="0" fontId="13" fillId="29" borderId="0" xfId="0" applyFont="1" applyFill="1" applyAlignment="1">
      <alignment horizontal="justify" vertical="center" wrapText="1"/>
      <protection locked="0"/>
    </xf>
    <xf numFmtId="0" fontId="126" fillId="0" borderId="0" xfId="0" applyFont="1" applyAlignment="1">
      <alignment horizontal="center" vertical="center"/>
      <protection locked="0"/>
    </xf>
    <xf numFmtId="0" fontId="88" fillId="0" borderId="22" xfId="199" applyFont="1" applyFill="1" applyBorder="1" applyAlignment="1" applyProtection="1">
      <alignment horizontal="center" vertical="center" wrapText="1"/>
      <protection locked="0"/>
    </xf>
    <xf numFmtId="195" fontId="113" fillId="0" borderId="0" xfId="206" applyFont="1" applyFill="1" applyAlignment="1">
      <alignment horizontal="left" vertical="center"/>
    </xf>
    <xf numFmtId="0" fontId="113" fillId="0" borderId="0" xfId="186" applyFont="1" applyAlignment="1">
      <alignment horizontal="left" vertical="center"/>
    </xf>
    <xf numFmtId="0" fontId="88" fillId="0" borderId="0" xfId="157" applyFont="1" applyBorder="1" applyAlignment="1">
      <alignment vertical="center"/>
      <protection locked="0"/>
    </xf>
    <xf numFmtId="0" fontId="88" fillId="0" borderId="0" xfId="187" applyFont="1" applyAlignment="1">
      <alignment horizontal="left" vertical="center"/>
      <protection locked="0"/>
    </xf>
    <xf numFmtId="0" fontId="88" fillId="0" borderId="0" xfId="187" applyFont="1" applyAlignment="1">
      <alignment vertical="center"/>
      <protection locked="0"/>
    </xf>
    <xf numFmtId="0" fontId="8" fillId="0" borderId="0" xfId="0" applyFont="1" applyBorder="1" applyAlignment="1">
      <alignment vertical="center" wrapText="1"/>
      <protection locked="0"/>
    </xf>
    <xf numFmtId="0" fontId="8" fillId="30" borderId="22" xfId="194" applyFont="1" applyFill="1" applyBorder="1" applyAlignment="1">
      <alignment vertical="center"/>
    </xf>
    <xf numFmtId="176" fontId="8" fillId="30" borderId="22" xfId="191" applyNumberFormat="1" applyFont="1" applyFill="1" applyBorder="1" applyAlignment="1">
      <alignment horizontal="center" vertical="center" shrinkToFit="1"/>
    </xf>
    <xf numFmtId="0" fontId="19" fillId="0" borderId="0" xfId="0" applyFont="1" applyAlignment="1">
      <alignment vertical="center"/>
      <protection locked="0"/>
    </xf>
    <xf numFmtId="0" fontId="20" fillId="0" borderId="0" xfId="0" applyFont="1" applyAlignment="1">
      <alignment vertical="center"/>
      <protection locked="0"/>
    </xf>
    <xf numFmtId="49" fontId="115" fillId="0" borderId="0" xfId="204" applyNumberFormat="1" applyFont="1" applyAlignment="1">
      <alignment horizontal="left" vertical="center"/>
    </xf>
    <xf numFmtId="49" fontId="113" fillId="0" borderId="0" xfId="204" applyNumberFormat="1" applyFont="1" applyAlignment="1">
      <alignment horizontal="left" vertical="center"/>
    </xf>
    <xf numFmtId="0" fontId="11" fillId="0" borderId="0" xfId="0" applyFont="1" applyAlignment="1">
      <alignment horizontal="left" vertical="center" wrapText="1"/>
      <protection locked="0"/>
    </xf>
    <xf numFmtId="0" fontId="12" fillId="0" borderId="0" xfId="0" applyFont="1" applyAlignment="1">
      <alignment horizontal="left" vertical="center" wrapText="1"/>
      <protection locked="0"/>
    </xf>
    <xf numFmtId="0" fontId="115" fillId="35" borderId="0" xfId="199" applyFont="1" applyFill="1" applyBorder="1" applyAlignment="1" applyProtection="1">
      <alignment horizontal="left" vertical="center" wrapText="1"/>
      <protection locked="0"/>
    </xf>
    <xf numFmtId="0" fontId="115" fillId="35" borderId="0" xfId="199" applyFont="1" applyFill="1" applyAlignment="1" applyProtection="1">
      <alignment horizontal="left" vertical="center" wrapText="1"/>
      <protection locked="0"/>
    </xf>
    <xf numFmtId="195" fontId="11" fillId="0" borderId="0" xfId="195" applyFont="1" applyAlignment="1">
      <alignment horizontal="center" vertical="center"/>
    </xf>
    <xf numFmtId="195" fontId="125" fillId="0" borderId="0" xfId="195" applyFont="1" applyAlignment="1">
      <alignment horizontal="center" vertical="center"/>
    </xf>
    <xf numFmtId="195" fontId="6" fillId="0" borderId="0" xfId="196" applyFont="1" applyAlignment="1">
      <alignment horizontal="left" vertical="center"/>
      <protection locked="0"/>
    </xf>
    <xf numFmtId="0" fontId="4" fillId="0" borderId="24" xfId="199" applyFont="1" applyFill="1" applyBorder="1" applyAlignment="1" applyProtection="1">
      <alignment horizontal="left" vertical="center" wrapText="1"/>
      <protection locked="0"/>
    </xf>
    <xf numFmtId="43" fontId="4" fillId="30" borderId="22" xfId="1" applyFont="1" applyFill="1" applyBorder="1" applyAlignment="1" applyProtection="1">
      <alignment horizontal="center" vertical="center"/>
      <protection locked="0"/>
    </xf>
    <xf numFmtId="0" fontId="4" fillId="30" borderId="22" xfId="199" applyFont="1" applyFill="1" applyBorder="1" applyAlignment="1" applyProtection="1">
      <alignment horizontal="center" vertical="center" wrapText="1"/>
      <protection locked="0"/>
    </xf>
    <xf numFmtId="43" fontId="4" fillId="30" borderId="22" xfId="1" applyFont="1" applyFill="1" applyBorder="1" applyAlignment="1" applyProtection="1">
      <alignment horizontal="center" vertical="center" wrapText="1"/>
      <protection locked="0"/>
    </xf>
    <xf numFmtId="195" fontId="8" fillId="0" borderId="22" xfId="196" applyFont="1" applyBorder="1" applyAlignment="1">
      <alignment horizontal="center" vertical="center" wrapText="1"/>
      <protection locked="0"/>
    </xf>
    <xf numFmtId="195" fontId="4" fillId="30" borderId="22" xfId="196" applyFont="1" applyFill="1" applyBorder="1" applyAlignment="1">
      <alignment horizontal="center" vertical="center" wrapText="1"/>
      <protection locked="0"/>
    </xf>
    <xf numFmtId="195" fontId="6" fillId="30" borderId="22" xfId="196" applyFont="1" applyFill="1" applyBorder="1" applyAlignment="1">
      <alignment horizontal="center" vertical="center" wrapText="1"/>
      <protection locked="0"/>
    </xf>
    <xf numFmtId="195" fontId="8" fillId="0" borderId="22" xfId="196" applyFont="1" applyBorder="1" applyAlignment="1">
      <alignment horizontal="left" vertical="center" wrapText="1"/>
      <protection locked="0"/>
    </xf>
    <xf numFmtId="195" fontId="73" fillId="30" borderId="26" xfId="159" applyNumberFormat="1" applyFont="1" applyFill="1" applyBorder="1" applyAlignment="1">
      <alignment horizontal="center" vertical="center" wrapText="1"/>
      <protection locked="0"/>
    </xf>
    <xf numFmtId="195" fontId="73" fillId="30" borderId="28" xfId="159" applyNumberFormat="1" applyFont="1" applyFill="1" applyBorder="1" applyAlignment="1">
      <alignment horizontal="center" vertical="center" wrapText="1"/>
      <protection locked="0"/>
    </xf>
    <xf numFmtId="195" fontId="73" fillId="30" borderId="22" xfId="159" applyNumberFormat="1" applyFont="1" applyFill="1" applyBorder="1" applyAlignment="1">
      <alignment horizontal="center" vertical="center" wrapText="1"/>
      <protection locked="0"/>
    </xf>
    <xf numFmtId="0" fontId="6" fillId="30" borderId="22" xfId="159" applyFont="1" applyFill="1" applyBorder="1" applyAlignment="1">
      <alignment horizontal="center" vertical="center" wrapText="1"/>
      <protection locked="0"/>
    </xf>
    <xf numFmtId="0" fontId="11" fillId="0" borderId="0" xfId="3" applyFont="1" applyAlignment="1">
      <alignment horizontal="center" vertical="center"/>
    </xf>
    <xf numFmtId="0" fontId="125" fillId="0" borderId="0" xfId="4" applyNumberFormat="1" applyFont="1" applyBorder="1" applyAlignment="1">
      <alignment horizontal="center" vertical="center"/>
    </xf>
    <xf numFmtId="0" fontId="73" fillId="30" borderId="22" xfId="0" applyFont="1" applyFill="1" applyBorder="1" applyAlignment="1" applyProtection="1">
      <alignment horizontal="center" vertical="center"/>
    </xf>
    <xf numFmtId="0" fontId="73" fillId="30" borderId="22" xfId="0" applyFont="1" applyFill="1" applyBorder="1" applyAlignment="1" applyProtection="1">
      <alignment vertical="center"/>
    </xf>
    <xf numFmtId="195" fontId="6" fillId="30" borderId="26" xfId="192" applyFont="1" applyFill="1" applyBorder="1" applyAlignment="1" applyProtection="1">
      <alignment horizontal="center" vertical="center" wrapText="1"/>
      <protection locked="0"/>
    </xf>
    <xf numFmtId="195" fontId="6" fillId="30" borderId="27" xfId="192" applyFont="1" applyFill="1" applyBorder="1" applyAlignment="1" applyProtection="1">
      <alignment horizontal="center" vertical="center" wrapText="1"/>
      <protection locked="0"/>
    </xf>
    <xf numFmtId="195" fontId="6" fillId="30" borderId="28" xfId="192" applyFont="1" applyFill="1" applyBorder="1" applyAlignment="1" applyProtection="1">
      <alignment horizontal="center" vertical="center" wrapText="1"/>
      <protection locked="0"/>
    </xf>
    <xf numFmtId="0" fontId="105" fillId="0" borderId="21" xfId="0" applyFont="1" applyBorder="1" applyAlignment="1">
      <alignment horizontal="right" vertical="center" wrapText="1"/>
      <protection locked="0"/>
    </xf>
    <xf numFmtId="0" fontId="105" fillId="0" borderId="0" xfId="0" applyFont="1" applyBorder="1" applyAlignment="1">
      <alignment horizontal="right" vertical="center" wrapText="1"/>
      <protection locked="0"/>
    </xf>
    <xf numFmtId="0" fontId="105" fillId="0" borderId="13" xfId="0" applyFont="1" applyBorder="1" applyAlignment="1">
      <alignment horizontal="right" vertical="center" wrapText="1"/>
      <protection locked="0"/>
    </xf>
    <xf numFmtId="0" fontId="109" fillId="0" borderId="0" xfId="0" applyFont="1" applyAlignment="1">
      <alignment horizontal="left" vertical="center" wrapText="1"/>
      <protection locked="0"/>
    </xf>
    <xf numFmtId="0" fontId="109" fillId="33" borderId="0" xfId="0" applyFont="1" applyFill="1" applyAlignment="1">
      <alignment horizontal="left" vertical="center" wrapText="1"/>
      <protection locked="0"/>
    </xf>
    <xf numFmtId="0" fontId="106" fillId="0" borderId="21" xfId="0" applyFont="1" applyBorder="1" applyAlignment="1">
      <alignment horizontal="right" vertical="center" wrapText="1"/>
      <protection locked="0"/>
    </xf>
    <xf numFmtId="0" fontId="106" fillId="0" borderId="0" xfId="0" applyFont="1" applyBorder="1" applyAlignment="1">
      <alignment horizontal="right" vertical="center" wrapText="1"/>
      <protection locked="0"/>
    </xf>
    <xf numFmtId="0" fontId="106" fillId="0" borderId="13" xfId="0" applyFont="1" applyBorder="1" applyAlignment="1">
      <alignment horizontal="right" vertical="center" wrapText="1"/>
      <protection locked="0"/>
    </xf>
    <xf numFmtId="0" fontId="105" fillId="0" borderId="21" xfId="0" applyFont="1" applyBorder="1" applyAlignment="1">
      <alignment horizontal="justify" vertical="center" wrapText="1"/>
      <protection locked="0"/>
    </xf>
    <xf numFmtId="0" fontId="105" fillId="0" borderId="0" xfId="0" applyFont="1" applyBorder="1" applyAlignment="1">
      <alignment horizontal="justify" vertical="center" wrapText="1"/>
      <protection locked="0"/>
    </xf>
    <xf numFmtId="0" fontId="105" fillId="0" borderId="13" xfId="0" applyFont="1" applyBorder="1" applyAlignment="1">
      <alignment horizontal="justify" vertical="center" wrapText="1"/>
      <protection locked="0"/>
    </xf>
    <xf numFmtId="0" fontId="102" fillId="0" borderId="21" xfId="0" applyFont="1" applyBorder="1" applyAlignment="1">
      <alignment horizontal="justify" vertical="center" wrapText="1"/>
      <protection locked="0"/>
    </xf>
    <xf numFmtId="0" fontId="102" fillId="0" borderId="13" xfId="0" applyFont="1" applyBorder="1" applyAlignment="1">
      <alignment horizontal="justify" vertical="center" wrapText="1"/>
      <protection locked="0"/>
    </xf>
    <xf numFmtId="0" fontId="99" fillId="0" borderId="21" xfId="0" applyFont="1" applyBorder="1" applyAlignment="1">
      <alignment horizontal="center" vertical="center" wrapText="1"/>
      <protection locked="0"/>
    </xf>
    <xf numFmtId="49" fontId="9" fillId="0" borderId="0" xfId="159" applyNumberFormat="1" applyFont="1" applyAlignment="1">
      <alignment horizontal="center" vertical="center"/>
      <protection locked="0"/>
    </xf>
    <xf numFmtId="0" fontId="126" fillId="0" borderId="0" xfId="159" applyFont="1" applyAlignment="1">
      <alignment horizontal="center" vertical="center"/>
      <protection locked="0"/>
    </xf>
    <xf numFmtId="0" fontId="102" fillId="0" borderId="21" xfId="0" applyFont="1" applyBorder="1" applyAlignment="1">
      <alignment horizontal="center" vertical="center" wrapText="1"/>
      <protection locked="0"/>
    </xf>
    <xf numFmtId="0" fontId="99" fillId="0" borderId="21" xfId="0" applyFont="1" applyBorder="1" applyAlignment="1">
      <alignment horizontal="justify" vertical="center" wrapText="1"/>
      <protection locked="0"/>
    </xf>
    <xf numFmtId="0" fontId="99" fillId="0" borderId="13" xfId="0" applyFont="1" applyBorder="1" applyAlignment="1">
      <alignment horizontal="justify" vertical="center" wrapText="1"/>
      <protection locked="0"/>
    </xf>
    <xf numFmtId="49" fontId="4" fillId="0" borderId="0" xfId="159" applyNumberFormat="1" applyFont="1" applyAlignment="1">
      <alignment horizontal="center" vertical="center"/>
      <protection locked="0"/>
    </xf>
    <xf numFmtId="0" fontId="9" fillId="0" borderId="0" xfId="185" applyFont="1" applyAlignment="1">
      <alignment horizontal="center" vertical="center"/>
    </xf>
    <xf numFmtId="0" fontId="11" fillId="0" borderId="0" xfId="185" applyFont="1" applyAlignment="1">
      <alignment horizontal="center" vertical="center"/>
    </xf>
    <xf numFmtId="0" fontId="126" fillId="0" borderId="0" xfId="185" applyFont="1" applyAlignment="1">
      <alignment horizontal="center" vertical="center"/>
    </xf>
    <xf numFmtId="0" fontId="125" fillId="0" borderId="0" xfId="185" applyFont="1" applyAlignment="1">
      <alignment horizontal="center" vertical="center"/>
    </xf>
    <xf numFmtId="0" fontId="6" fillId="30" borderId="26" xfId="0" applyFont="1" applyFill="1" applyBorder="1" applyAlignment="1">
      <alignment horizontal="center" vertical="center" wrapText="1"/>
      <protection locked="0"/>
    </xf>
    <xf numFmtId="0" fontId="6" fillId="30" borderId="27" xfId="0" applyFont="1" applyFill="1" applyBorder="1" applyAlignment="1">
      <alignment horizontal="center" vertical="center" wrapText="1"/>
      <protection locked="0"/>
    </xf>
    <xf numFmtId="0" fontId="6" fillId="30" borderId="28" xfId="0" applyFont="1" applyFill="1" applyBorder="1" applyAlignment="1">
      <alignment horizontal="center" vertical="center" wrapText="1"/>
      <protection locked="0"/>
    </xf>
    <xf numFmtId="0" fontId="6" fillId="30" borderId="3" xfId="0" applyFont="1" applyFill="1" applyBorder="1" applyAlignment="1">
      <alignment horizontal="center" vertical="center" wrapText="1"/>
      <protection locked="0"/>
    </xf>
    <xf numFmtId="0" fontId="6" fillId="30" borderId="30" xfId="0" applyFont="1" applyFill="1" applyBorder="1" applyAlignment="1">
      <alignment horizontal="center" vertical="center" wrapText="1"/>
      <protection locked="0"/>
    </xf>
    <xf numFmtId="0" fontId="6" fillId="30" borderId="26" xfId="0" applyFont="1" applyFill="1" applyBorder="1" applyAlignment="1">
      <alignment horizontal="center" vertical="center"/>
      <protection locked="0"/>
    </xf>
    <xf numFmtId="0" fontId="6" fillId="30" borderId="27" xfId="0" applyFont="1" applyFill="1" applyBorder="1" applyAlignment="1">
      <alignment horizontal="center" vertical="center"/>
      <protection locked="0"/>
    </xf>
    <xf numFmtId="0" fontId="6" fillId="30" borderId="1" xfId="0" applyFont="1" applyFill="1" applyBorder="1" applyAlignment="1">
      <alignment horizontal="center" vertical="center" wrapText="1"/>
      <protection locked="0"/>
    </xf>
    <xf numFmtId="0" fontId="6" fillId="30" borderId="2" xfId="0" applyFont="1" applyFill="1" applyBorder="1" applyAlignment="1">
      <alignment horizontal="center" vertical="center" wrapText="1"/>
      <protection locked="0"/>
    </xf>
    <xf numFmtId="0" fontId="6" fillId="30" borderId="1" xfId="0" applyFont="1" applyFill="1" applyBorder="1" applyAlignment="1">
      <alignment horizontal="center" vertical="center"/>
      <protection locked="0"/>
    </xf>
    <xf numFmtId="0" fontId="6" fillId="30" borderId="2" xfId="0" applyFont="1" applyFill="1" applyBorder="1" applyAlignment="1">
      <alignment horizontal="center" vertical="center"/>
      <protection locked="0"/>
    </xf>
    <xf numFmtId="0" fontId="6" fillId="30" borderId="22" xfId="0" applyFont="1" applyFill="1" applyBorder="1" applyAlignment="1">
      <alignment horizontal="center" vertical="center" wrapText="1"/>
      <protection locked="0"/>
    </xf>
    <xf numFmtId="0" fontId="6" fillId="30" borderId="4" xfId="0" applyFont="1" applyFill="1" applyBorder="1" applyAlignment="1">
      <alignment horizontal="center" vertical="center" wrapText="1"/>
      <protection locked="0"/>
    </xf>
    <xf numFmtId="0" fontId="6" fillId="30" borderId="31" xfId="0" applyFont="1" applyFill="1" applyBorder="1" applyAlignment="1">
      <alignment horizontal="center" vertical="center"/>
      <protection locked="0"/>
    </xf>
    <xf numFmtId="0" fontId="6" fillId="30" borderId="32" xfId="0" applyFont="1" applyFill="1" applyBorder="1" applyAlignment="1">
      <alignment horizontal="center" vertical="center"/>
      <protection locked="0"/>
    </xf>
    <xf numFmtId="0" fontId="6" fillId="30" borderId="28" xfId="0" applyFont="1" applyFill="1" applyBorder="1" applyAlignment="1">
      <alignment horizontal="center" vertical="center"/>
      <protection locked="0"/>
    </xf>
    <xf numFmtId="0" fontId="6" fillId="30" borderId="22" xfId="0" applyFont="1" applyFill="1" applyBorder="1" applyAlignment="1">
      <alignment horizontal="center" vertical="center"/>
      <protection locked="0"/>
    </xf>
    <xf numFmtId="0" fontId="6" fillId="30" borderId="3" xfId="0" applyFont="1" applyFill="1" applyBorder="1" applyAlignment="1">
      <alignment horizontal="center" vertical="center"/>
      <protection locked="0"/>
    </xf>
    <xf numFmtId="0" fontId="73" fillId="30" borderId="22" xfId="0" applyFont="1" applyFill="1" applyBorder="1" applyAlignment="1" applyProtection="1">
      <alignment horizontal="center" vertical="center" wrapText="1"/>
    </xf>
    <xf numFmtId="0" fontId="6" fillId="30" borderId="4" xfId="0" applyFont="1" applyFill="1" applyBorder="1" applyAlignment="1">
      <alignment horizontal="center" vertical="center"/>
      <protection locked="0"/>
    </xf>
    <xf numFmtId="0" fontId="6" fillId="30" borderId="30" xfId="0" applyFont="1" applyFill="1" applyBorder="1" applyAlignment="1">
      <alignment horizontal="center" vertical="center"/>
      <protection locked="0"/>
    </xf>
    <xf numFmtId="0" fontId="11" fillId="0" borderId="0" xfId="198" applyNumberFormat="1" applyFont="1" applyBorder="1" applyAlignment="1">
      <alignment horizontal="center" vertical="center"/>
    </xf>
    <xf numFmtId="0" fontId="125" fillId="0" borderId="0" xfId="198" applyNumberFormat="1" applyFont="1" applyBorder="1" applyAlignment="1">
      <alignment horizontal="center" vertical="center"/>
    </xf>
    <xf numFmtId="0" fontId="18" fillId="0" borderId="0" xfId="199" applyFont="1" applyAlignment="1">
      <alignment horizontal="left" vertical="center" wrapText="1"/>
      <protection locked="0"/>
    </xf>
    <xf numFmtId="0" fontId="8" fillId="0" borderId="0" xfId="199" applyFont="1" applyAlignment="1">
      <alignment horizontal="left" vertical="center" wrapText="1"/>
      <protection locked="0"/>
    </xf>
    <xf numFmtId="49" fontId="6" fillId="30" borderId="22" xfId="1" applyNumberFormat="1" applyFont="1" applyFill="1" applyBorder="1" applyAlignment="1" applyProtection="1">
      <alignment horizontal="center" vertical="center" wrapText="1"/>
      <protection locked="0"/>
    </xf>
    <xf numFmtId="49" fontId="11" fillId="0" borderId="0" xfId="1" applyNumberFormat="1" applyFont="1" applyAlignment="1" applyProtection="1">
      <alignment horizontal="center" vertical="center"/>
      <protection locked="0"/>
    </xf>
    <xf numFmtId="49" fontId="125" fillId="0" borderId="0" xfId="1" applyNumberFormat="1" applyFont="1" applyAlignment="1" applyProtection="1">
      <alignment horizontal="center" vertical="center"/>
      <protection locked="0"/>
    </xf>
    <xf numFmtId="49" fontId="6" fillId="30" borderId="3" xfId="1" applyNumberFormat="1" applyFont="1" applyFill="1" applyBorder="1" applyAlignment="1" applyProtection="1">
      <alignment horizontal="center" vertical="center" wrapText="1"/>
      <protection locked="0"/>
    </xf>
    <xf numFmtId="49" fontId="6" fillId="30" borderId="30" xfId="1" applyNumberFormat="1" applyFont="1" applyFill="1" applyBorder="1" applyAlignment="1" applyProtection="1">
      <alignment horizontal="center" vertical="center" wrapText="1"/>
      <protection locked="0"/>
    </xf>
    <xf numFmtId="49" fontId="6" fillId="30" borderId="22" xfId="1" applyNumberFormat="1" applyFont="1" applyFill="1" applyBorder="1" applyAlignment="1" applyProtection="1">
      <alignment horizontal="center" vertical="center"/>
      <protection locked="0"/>
    </xf>
    <xf numFmtId="0" fontId="11" fillId="0" borderId="0" xfId="191" applyFont="1" applyAlignment="1">
      <alignment horizontal="center" vertical="center"/>
    </xf>
    <xf numFmtId="0" fontId="125" fillId="0" borderId="0" xfId="191" applyFont="1" applyAlignment="1">
      <alignment horizontal="center" vertical="center"/>
    </xf>
    <xf numFmtId="0" fontId="11" fillId="0" borderId="0" xfId="186" applyFont="1" applyAlignment="1">
      <alignment horizontal="center" vertical="center"/>
    </xf>
    <xf numFmtId="0" fontId="125" fillId="0" borderId="0" xfId="186" applyFont="1" applyAlignment="1">
      <alignment horizontal="center" vertical="center"/>
    </xf>
    <xf numFmtId="49" fontId="6" fillId="30" borderId="26" xfId="0" applyNumberFormat="1" applyFont="1" applyFill="1" applyBorder="1" applyAlignment="1">
      <alignment horizontal="center" vertical="center"/>
      <protection locked="0"/>
    </xf>
    <xf numFmtId="49" fontId="6" fillId="30" borderId="27" xfId="0" applyNumberFormat="1" applyFont="1" applyFill="1" applyBorder="1" applyAlignment="1">
      <alignment horizontal="center" vertical="center"/>
      <protection locked="0"/>
    </xf>
    <xf numFmtId="49" fontId="6" fillId="30" borderId="28" xfId="0" applyNumberFormat="1" applyFont="1" applyFill="1" applyBorder="1" applyAlignment="1">
      <alignment horizontal="center" vertical="center"/>
      <protection locked="0"/>
    </xf>
    <xf numFmtId="49" fontId="4" fillId="30" borderId="26" xfId="0" applyNumberFormat="1" applyFont="1" applyFill="1" applyBorder="1" applyAlignment="1">
      <alignment horizontal="center" vertical="center"/>
      <protection locked="0"/>
    </xf>
    <xf numFmtId="0" fontId="4" fillId="32" borderId="3" xfId="0" applyFont="1" applyFill="1" applyBorder="1" applyAlignment="1">
      <alignment horizontal="center" vertical="center" wrapText="1"/>
      <protection locked="0"/>
    </xf>
    <xf numFmtId="0" fontId="4" fillId="32" borderId="30" xfId="0" applyFont="1" applyFill="1" applyBorder="1" applyAlignment="1">
      <alignment horizontal="center" vertical="center" wrapText="1"/>
      <protection locked="0"/>
    </xf>
    <xf numFmtId="0" fontId="4" fillId="32" borderId="22" xfId="0" applyFont="1" applyFill="1" applyBorder="1" applyAlignment="1">
      <alignment horizontal="center" vertical="center" wrapText="1"/>
      <protection locked="0"/>
    </xf>
    <xf numFmtId="0" fontId="6" fillId="0" borderId="0" xfId="186" applyFont="1" applyFill="1" applyAlignment="1">
      <alignment horizontal="left" vertical="center" wrapText="1"/>
    </xf>
    <xf numFmtId="0" fontId="4" fillId="36" borderId="22" xfId="157" applyNumberFormat="1" applyFont="1" applyFill="1" applyBorder="1" applyAlignment="1" applyProtection="1">
      <alignment horizontal="center" vertical="center" wrapText="1"/>
    </xf>
    <xf numFmtId="0" fontId="11" fillId="0" borderId="0" xfId="0" applyFont="1" applyAlignment="1">
      <alignment horizontal="center" vertical="center"/>
      <protection locked="0"/>
    </xf>
    <xf numFmtId="0" fontId="125" fillId="0" borderId="0" xfId="0" applyFont="1" applyAlignment="1">
      <alignment horizontal="center" vertical="center"/>
      <protection locked="0"/>
    </xf>
    <xf numFmtId="0" fontId="80" fillId="36" borderId="26" xfId="157" applyNumberFormat="1" applyFont="1" applyFill="1" applyBorder="1" applyAlignment="1" applyProtection="1">
      <alignment horizontal="center" vertical="center" wrapText="1"/>
    </xf>
    <xf numFmtId="0" fontId="80" fillId="36" borderId="27" xfId="157" applyNumberFormat="1" applyFont="1" applyFill="1" applyBorder="1" applyAlignment="1" applyProtection="1">
      <alignment horizontal="center" vertical="center" wrapText="1"/>
    </xf>
    <xf numFmtId="0" fontId="80" fillId="36" borderId="22" xfId="157" applyNumberFormat="1" applyFont="1" applyFill="1" applyBorder="1" applyAlignment="1" applyProtection="1">
      <alignment horizontal="center" vertical="center" wrapText="1"/>
    </xf>
    <xf numFmtId="0" fontId="80" fillId="32" borderId="22" xfId="0" applyFont="1" applyFill="1" applyBorder="1" applyAlignment="1">
      <alignment horizontal="center" vertical="center" wrapText="1"/>
      <protection locked="0"/>
    </xf>
    <xf numFmtId="0" fontId="4" fillId="32" borderId="22" xfId="0" applyFont="1" applyFill="1" applyBorder="1" applyAlignment="1">
      <alignment horizontal="center" vertical="center"/>
      <protection locked="0"/>
    </xf>
    <xf numFmtId="0" fontId="80" fillId="32" borderId="22" xfId="0" applyFont="1" applyFill="1" applyBorder="1" applyAlignment="1">
      <alignment horizontal="center" vertical="center"/>
      <protection locked="0"/>
    </xf>
    <xf numFmtId="0" fontId="6" fillId="30" borderId="29" xfId="187" applyFont="1" applyFill="1" applyBorder="1" applyAlignment="1">
      <alignment vertical="center" wrapText="1"/>
      <protection locked="0"/>
    </xf>
    <xf numFmtId="0" fontId="6" fillId="30" borderId="3" xfId="187" applyFont="1" applyFill="1" applyBorder="1" applyAlignment="1">
      <alignment horizontal="center" vertical="center" wrapText="1"/>
      <protection locked="0"/>
    </xf>
    <xf numFmtId="0" fontId="6" fillId="30" borderId="30" xfId="187" applyFont="1" applyFill="1" applyBorder="1" applyAlignment="1">
      <alignment horizontal="center" vertical="center" wrapText="1"/>
      <protection locked="0"/>
    </xf>
    <xf numFmtId="0" fontId="6" fillId="30" borderId="3" xfId="191" applyFont="1" applyFill="1" applyBorder="1" applyAlignment="1">
      <alignment horizontal="center" vertical="center" wrapText="1"/>
    </xf>
    <xf numFmtId="0" fontId="6" fillId="30" borderId="30" xfId="191" applyFont="1" applyFill="1" applyBorder="1" applyAlignment="1">
      <alignment horizontal="center" vertical="center" wrapText="1"/>
    </xf>
    <xf numFmtId="49" fontId="11" fillId="0" borderId="0" xfId="185" applyNumberFormat="1" applyFont="1" applyAlignment="1">
      <alignment horizontal="center" vertical="center" wrapText="1"/>
    </xf>
    <xf numFmtId="0" fontId="125" fillId="0" borderId="0" xfId="185" applyFont="1" applyAlignment="1">
      <alignment horizontal="center" vertical="center" wrapText="1"/>
    </xf>
    <xf numFmtId="0" fontId="11" fillId="0" borderId="0" xfId="185" applyFont="1" applyAlignment="1">
      <alignment horizontal="center" vertical="center" wrapText="1"/>
    </xf>
    <xf numFmtId="0" fontId="125" fillId="0" borderId="0" xfId="185" applyFont="1" applyFill="1" applyAlignment="1">
      <alignment horizontal="center" vertical="center" wrapText="1"/>
    </xf>
    <xf numFmtId="0" fontId="6" fillId="30" borderId="26" xfId="157" applyFont="1" applyFill="1" applyBorder="1" applyAlignment="1">
      <alignment horizontal="center" vertical="center" wrapText="1"/>
      <protection locked="0"/>
    </xf>
    <xf numFmtId="0" fontId="6" fillId="30" borderId="28" xfId="157" applyFont="1" applyFill="1" applyBorder="1" applyAlignment="1">
      <alignment horizontal="center" vertical="center" wrapText="1"/>
      <protection locked="0"/>
    </xf>
    <xf numFmtId="0" fontId="6" fillId="30" borderId="3" xfId="157" applyFont="1" applyFill="1" applyBorder="1" applyAlignment="1">
      <alignment horizontal="center" vertical="center" wrapText="1"/>
      <protection locked="0"/>
    </xf>
    <xf numFmtId="0" fontId="6" fillId="30" borderId="30" xfId="157" applyFont="1" applyFill="1" applyBorder="1" applyAlignment="1">
      <alignment horizontal="center" vertical="center" wrapText="1"/>
      <protection locked="0"/>
    </xf>
    <xf numFmtId="0" fontId="6" fillId="30" borderId="22" xfId="0" applyFont="1" applyFill="1" applyBorder="1" applyAlignment="1">
      <alignment horizontal="center" vertical="center" shrinkToFit="1"/>
      <protection locked="0"/>
    </xf>
    <xf numFmtId="0" fontId="6" fillId="30" borderId="3" xfId="0" applyFont="1" applyFill="1" applyBorder="1" applyAlignment="1">
      <alignment horizontal="center" vertical="center" shrinkToFit="1"/>
      <protection locked="0"/>
    </xf>
    <xf numFmtId="0" fontId="6" fillId="0" borderId="0" xfId="0" applyFont="1" applyAlignment="1" applyProtection="1">
      <alignment horizontal="left" vertical="center"/>
    </xf>
    <xf numFmtId="0" fontId="8" fillId="0" borderId="0" xfId="0" applyFont="1" applyAlignment="1" applyProtection="1">
      <alignment horizontal="justify" vertical="center" wrapText="1"/>
    </xf>
    <xf numFmtId="0" fontId="8" fillId="0" borderId="0" xfId="0" applyFont="1" applyAlignment="1" applyProtection="1">
      <alignment horizontal="right" vertical="center"/>
    </xf>
    <xf numFmtId="0" fontId="15" fillId="0" borderId="0" xfId="0" applyFont="1" applyAlignment="1" applyProtection="1">
      <alignment horizontal="justify" vertical="center" wrapText="1"/>
    </xf>
    <xf numFmtId="0" fontId="8" fillId="0" borderId="22" xfId="0" applyFont="1" applyBorder="1" applyAlignment="1" applyProtection="1">
      <alignment horizontal="center" vertical="center"/>
    </xf>
    <xf numFmtId="0" fontId="8" fillId="0" borderId="0" xfId="0" applyFont="1" applyAlignment="1" applyProtection="1">
      <alignment horizontal="left" vertical="center"/>
    </xf>
    <xf numFmtId="0" fontId="6" fillId="30" borderId="22" xfId="0" applyFont="1" applyFill="1" applyBorder="1" applyAlignment="1" applyProtection="1">
      <alignment horizontal="center" vertical="center" wrapText="1"/>
    </xf>
    <xf numFmtId="0" fontId="6" fillId="30" borderId="22" xfId="0" applyFont="1" applyFill="1" applyBorder="1" applyAlignment="1" applyProtection="1">
      <alignment horizontal="center" vertical="center"/>
    </xf>
    <xf numFmtId="0" fontId="6" fillId="30" borderId="22" xfId="157" applyFont="1" applyFill="1" applyBorder="1" applyAlignment="1">
      <alignment horizontal="center" vertical="center" wrapText="1"/>
      <protection locked="0"/>
    </xf>
    <xf numFmtId="0" fontId="6" fillId="30" borderId="23" xfId="157" applyFont="1" applyFill="1" applyBorder="1" applyAlignment="1">
      <alignment horizontal="center" vertical="center" wrapText="1"/>
      <protection locked="0"/>
    </xf>
    <xf numFmtId="0" fontId="6" fillId="30" borderId="2" xfId="157" applyFont="1" applyFill="1" applyBorder="1" applyAlignment="1">
      <alignment horizontal="center" vertical="center" wrapText="1"/>
      <protection locked="0"/>
    </xf>
    <xf numFmtId="0" fontId="6" fillId="30" borderId="24" xfId="157" applyFont="1" applyFill="1" applyBorder="1" applyAlignment="1">
      <alignment horizontal="center" vertical="center" wrapText="1"/>
      <protection locked="0"/>
    </xf>
    <xf numFmtId="0" fontId="6" fillId="30" borderId="25" xfId="157" applyFont="1" applyFill="1" applyBorder="1" applyAlignment="1">
      <alignment horizontal="center" vertical="center" wrapText="1"/>
      <protection locked="0"/>
    </xf>
    <xf numFmtId="0" fontId="6" fillId="30" borderId="4" xfId="157" applyFont="1" applyFill="1" applyBorder="1" applyAlignment="1">
      <alignment horizontal="center" vertical="center" wrapText="1"/>
      <protection locked="0"/>
    </xf>
    <xf numFmtId="0" fontId="6" fillId="0" borderId="26" xfId="157" applyFont="1" applyBorder="1" applyAlignment="1">
      <alignment horizontal="left" vertical="center"/>
      <protection locked="0"/>
    </xf>
    <xf numFmtId="0" fontId="6" fillId="0" borderId="27" xfId="157" applyFont="1" applyBorder="1" applyAlignment="1">
      <alignment horizontal="left" vertical="center"/>
      <protection locked="0"/>
    </xf>
    <xf numFmtId="0" fontId="6" fillId="0" borderId="28" xfId="157" applyFont="1" applyBorder="1" applyAlignment="1">
      <alignment horizontal="left" vertical="center"/>
      <protection locked="0"/>
    </xf>
    <xf numFmtId="43" fontId="6" fillId="0" borderId="3" xfId="157" applyNumberFormat="1" applyFont="1" applyBorder="1" applyAlignment="1">
      <alignment horizontal="center" vertical="center" wrapText="1"/>
      <protection locked="0"/>
    </xf>
    <xf numFmtId="43" fontId="6" fillId="0" borderId="4" xfId="157" applyNumberFormat="1" applyFont="1" applyBorder="1" applyAlignment="1">
      <alignment horizontal="center" vertical="center" wrapText="1"/>
      <protection locked="0"/>
    </xf>
    <xf numFmtId="43" fontId="6" fillId="0" borderId="30" xfId="157" applyNumberFormat="1" applyFont="1" applyBorder="1" applyAlignment="1">
      <alignment horizontal="center" vertical="center" wrapText="1"/>
      <protection locked="0"/>
    </xf>
    <xf numFmtId="0" fontId="11" fillId="0" borderId="0" xfId="0" applyNumberFormat="1" applyFont="1" applyAlignment="1">
      <alignment horizontal="center" vertical="center"/>
      <protection locked="0"/>
    </xf>
    <xf numFmtId="0" fontId="125" fillId="0" borderId="0" xfId="0" applyNumberFormat="1" applyFont="1" applyAlignment="1">
      <alignment horizontal="center" vertical="center"/>
      <protection locked="0"/>
    </xf>
  </cellXfs>
  <cellStyles count="207">
    <cellStyle name="?" xfId="5"/>
    <cellStyle name="?餡_x000c_k" xfId="6"/>
    <cellStyle name="?餡_x000c_k?_x000d_^" xfId="7"/>
    <cellStyle name="?餡_x000c_k?_x000d_^黇_x0001_??_x0007__x0001__x0001_" xfId="8"/>
    <cellStyle name="@_text" xfId="9"/>
    <cellStyle name="_2005审计报表及附注-中国建材股份模板（房屋）" xfId="10"/>
    <cellStyle name="_2006年年报审计PBC表-XXX" xfId="11"/>
    <cellStyle name="_2006年年报审计填报资料" xfId="12"/>
    <cellStyle name="_Book1" xfId="13"/>
    <cellStyle name="_PBC审核提示" xfId="14"/>
    <cellStyle name="_宝丽华房地产20051231" xfId="15"/>
    <cellStyle name="_保证金-企业填写部分" xfId="16"/>
    <cellStyle name="_北新房屋2004年审-刘" xfId="17"/>
    <cellStyle name="_北新股份2005年审工作底稿" xfId="18"/>
    <cellStyle name="_北新建材关连交易基础表051230（10－12月版）更新稿" xfId="19"/>
    <cellStyle name="_北新建材-会计报表附注模版" xfId="20"/>
    <cellStyle name="_北新龙之星2004年审工作底稿" xfId="21"/>
    <cellStyle name="_北新物流2005底稿-刘" xfId="22"/>
    <cellStyle name="_北新置换memo" xfId="23"/>
    <cellStyle name="_存货结转测试" xfId="24"/>
    <cellStyle name="_存货数量与明细05.12" xfId="25"/>
    <cellStyle name="_动力厂2004年审工作底稿-刘" xfId="26"/>
    <cellStyle name="_分工" xfId="27"/>
    <cellStyle name="_工程施工项目现场审计提示" xfId="28"/>
    <cellStyle name="_关联交易" xfId="29"/>
    <cellStyle name="_关联交易、往来统计表" xfId="30"/>
    <cellStyle name="_建造合同-宜万指（正式版）" xfId="31"/>
    <cellStyle name="_科目核对表" xfId="32"/>
    <cellStyle name="_母PL" xfId="33"/>
    <cellStyle name="_人员分工备忘录" xfId="34"/>
    <cellStyle name="_审计所需资料清单－子公司" xfId="35"/>
    <cellStyle name="_一公司建造合同前5名" xfId="36"/>
    <cellStyle name="_一公司－刘丰收" xfId="37"/>
    <cellStyle name="_长期借款－江阴" xfId="38"/>
    <cellStyle name="_子公司审计提示模版-Liufs" xfId="39"/>
    <cellStyle name="{Comma [0]}" xfId="40"/>
    <cellStyle name="{Comma}" xfId="41"/>
    <cellStyle name="{Date}" xfId="42"/>
    <cellStyle name="{Month}" xfId="43"/>
    <cellStyle name="{Percent}" xfId="44"/>
    <cellStyle name="{Thousand [0]}" xfId="45"/>
    <cellStyle name="{Thousand}" xfId="46"/>
    <cellStyle name="{Z'0000(1 dec)}" xfId="47"/>
    <cellStyle name="{Z'0000(4 dec)}" xfId="48"/>
    <cellStyle name="0%" xfId="49"/>
    <cellStyle name="0,0_x000d__x000a_NA_x000d__x000a_" xfId="50"/>
    <cellStyle name="0.0%" xfId="51"/>
    <cellStyle name="0.00%" xfId="52"/>
    <cellStyle name="20% - Accent1" xfId="53"/>
    <cellStyle name="20% - Accent2" xfId="54"/>
    <cellStyle name="20% - Accent3" xfId="55"/>
    <cellStyle name="20% - Accent4" xfId="56"/>
    <cellStyle name="20% - Accent5" xfId="57"/>
    <cellStyle name="20% - Accent6" xfId="58"/>
    <cellStyle name="40% - Accent1" xfId="59"/>
    <cellStyle name="40% - Accent2" xfId="60"/>
    <cellStyle name="40% - Accent3" xfId="61"/>
    <cellStyle name="40% - Accent4" xfId="62"/>
    <cellStyle name="40% - Accent5" xfId="63"/>
    <cellStyle name="40% - Accent6" xfId="64"/>
    <cellStyle name="60% - Accent1" xfId="65"/>
    <cellStyle name="60% - Accent2" xfId="66"/>
    <cellStyle name="60% - Accent3" xfId="67"/>
    <cellStyle name="60% - Accent4" xfId="68"/>
    <cellStyle name="60% - Accent5" xfId="69"/>
    <cellStyle name="60% - Accent6" xfId="70"/>
    <cellStyle name="Accent1" xfId="71"/>
    <cellStyle name="Accent2" xfId="72"/>
    <cellStyle name="Accent3" xfId="73"/>
    <cellStyle name="Accent4" xfId="74"/>
    <cellStyle name="Accent5" xfId="75"/>
    <cellStyle name="Accent6" xfId="76"/>
    <cellStyle name="Bad" xfId="77"/>
    <cellStyle name="Black" xfId="78"/>
    <cellStyle name="Border" xfId="79"/>
    <cellStyle name="Calc Currency (0)" xfId="80"/>
    <cellStyle name="Calculation" xfId="81"/>
    <cellStyle name="Check Cell" xfId="82"/>
    <cellStyle name="Col Heads" xfId="83"/>
    <cellStyle name="Column_Title" xfId="84"/>
    <cellStyle name="Comma  - Style1" xfId="85"/>
    <cellStyle name="Comma  - Style2" xfId="86"/>
    <cellStyle name="Comma  - Style3" xfId="87"/>
    <cellStyle name="Comma  - Style4" xfId="88"/>
    <cellStyle name="Comma  - Style5" xfId="89"/>
    <cellStyle name="Comma  - Style6" xfId="90"/>
    <cellStyle name="Comma  - Style7" xfId="91"/>
    <cellStyle name="Comma  - Style8" xfId="92"/>
    <cellStyle name="Comma [0]_ rislugp" xfId="93"/>
    <cellStyle name="Comma,0" xfId="94"/>
    <cellStyle name="Comma,1" xfId="95"/>
    <cellStyle name="Comma,2" xfId="96"/>
    <cellStyle name="Comma_ rislugp" xfId="97"/>
    <cellStyle name="Currency [0]_ rislugp" xfId="98"/>
    <cellStyle name="Currency,0" xfId="99"/>
    <cellStyle name="Currency,2" xfId="100"/>
    <cellStyle name="Currency_ rislugp" xfId="101"/>
    <cellStyle name="Dezimal [0]_laroux" xfId="102"/>
    <cellStyle name="Dezimal_laroux" xfId="103"/>
    <cellStyle name="entry" xfId="104"/>
    <cellStyle name="entry box" xfId="105"/>
    <cellStyle name="Euro" xfId="106"/>
    <cellStyle name="Explanatory Text" xfId="107"/>
    <cellStyle name="Followed Hyperlink_AheadBehind.xls Chart 23" xfId="108"/>
    <cellStyle name="Good" xfId="109"/>
    <cellStyle name="Grey" xfId="110"/>
    <cellStyle name="Header1" xfId="111"/>
    <cellStyle name="Header2" xfId="112"/>
    <cellStyle name="Heading" xfId="113"/>
    <cellStyle name="Heading 1" xfId="114"/>
    <cellStyle name="Heading 2" xfId="115"/>
    <cellStyle name="Heading 3" xfId="116"/>
    <cellStyle name="Heading 4" xfId="117"/>
    <cellStyle name="Hyperlink_AheadBehind.xls Chart 23" xfId="118"/>
    <cellStyle name="Input" xfId="119"/>
    <cellStyle name="Input [yellow]" xfId="120"/>
    <cellStyle name="left" xfId="121"/>
    <cellStyle name="Linked Cell" xfId="122"/>
    <cellStyle name="Millares [0]_laroux" xfId="123"/>
    <cellStyle name="Millares_laroux" xfId="124"/>
    <cellStyle name="Milliers [0]_laroux" xfId="125"/>
    <cellStyle name="Milliers_laroux" xfId="126"/>
    <cellStyle name="Moneda [0]_laroux" xfId="127"/>
    <cellStyle name="Moneda_laroux" xfId="128"/>
    <cellStyle name="Mon閠aire [0]_laroux" xfId="129"/>
    <cellStyle name="Mon閠aire_laroux" xfId="130"/>
    <cellStyle name="Neutral" xfId="131"/>
    <cellStyle name="no dec" xfId="132"/>
    <cellStyle name="Non défini" xfId="133"/>
    <cellStyle name="Normal - Style1" xfId="134"/>
    <cellStyle name="Normal 3 2" xfId="135"/>
    <cellStyle name="Normal_ rislugp" xfId="136"/>
    <cellStyle name="Normalny_Arkusz1" xfId="137"/>
    <cellStyle name="Note" xfId="138"/>
    <cellStyle name="Output" xfId="139"/>
    <cellStyle name="Percent (0)" xfId="140"/>
    <cellStyle name="Percent [2]" xfId="141"/>
    <cellStyle name="Prefilled" xfId="142"/>
    <cellStyle name="price" xfId="143"/>
    <cellStyle name="Red" xfId="144"/>
    <cellStyle name="revised" xfId="145"/>
    <cellStyle name="section" xfId="146"/>
    <cellStyle name="style" xfId="147"/>
    <cellStyle name="style1" xfId="148"/>
    <cellStyle name="style2" xfId="149"/>
    <cellStyle name="Tickmark" xfId="150"/>
    <cellStyle name="title" xfId="151"/>
    <cellStyle name="Total" xfId="152"/>
    <cellStyle name="Warning Text" xfId="153"/>
    <cellStyle name="wrap" xfId="154"/>
    <cellStyle name="パーセント_laroux" xfId="155"/>
    <cellStyle name="百分比" xfId="2" builtinId="5"/>
    <cellStyle name="標準_１１月価格表" xfId="156"/>
    <cellStyle name="常规" xfId="0" builtinId="0"/>
    <cellStyle name="常规 11 5" xfId="206"/>
    <cellStyle name="常规 2" xfId="157"/>
    <cellStyle name="常规 2 2" xfId="158"/>
    <cellStyle name="常规 3" xfId="159"/>
    <cellStyle name="常规 4" xfId="192"/>
    <cellStyle name="常规 5" xfId="193"/>
    <cellStyle name="常规 6" xfId="196"/>
    <cellStyle name="常规 7" xfId="199"/>
    <cellStyle name="常规 7 2" xfId="201"/>
    <cellStyle name="常规 7 3" xfId="203"/>
    <cellStyle name="常规_Book1" xfId="185"/>
    <cellStyle name="常规_Book1 2" xfId="195"/>
    <cellStyle name="常规_c-资产类" xfId="3"/>
    <cellStyle name="常规_c-资产类 2" xfId="200"/>
    <cellStyle name="常规_L1固定资产" xfId="194"/>
    <cellStyle name="常规_SA 营业收入" xfId="202"/>
    <cellStyle name="常规_sheet" xfId="187"/>
    <cellStyle name="常规_进一步审计程序--销售与收款循环" xfId="186"/>
    <cellStyle name="常规_进一步审计程序--销售与收款循环 2" xfId="204"/>
    <cellStyle name="常规_立信2007年10月版(资产类)-－丁文娟" xfId="191"/>
    <cellStyle name="常规_审计提示－沟通记录模板（适用内外各主体、各阶段的沟通及会议）" xfId="188"/>
    <cellStyle name="常规_通用表" xfId="205"/>
    <cellStyle name="常规_新审定表" xfId="4"/>
    <cellStyle name="常规_新审定表 2" xfId="198"/>
    <cellStyle name="常规_制造费用" xfId="189"/>
    <cellStyle name="常规_制造费用 2" xfId="197"/>
    <cellStyle name="超级链接_B4-1审计项目工时预算与控制表(集团)" xfId="160"/>
    <cellStyle name="超链接" xfId="190" builtinId="8"/>
    <cellStyle name="超链接 2" xfId="161"/>
    <cellStyle name="超链接 2 2" xfId="162"/>
    <cellStyle name="分级显示行_1_4附件二凯旋评估表" xfId="163"/>
    <cellStyle name="桁区切り [0.00]_１１月価格表" xfId="164"/>
    <cellStyle name="桁区切り_１１月価格表" xfId="165"/>
    <cellStyle name="霓付 [0]_97MBO" xfId="166"/>
    <cellStyle name="霓付_97MBO" xfId="167"/>
    <cellStyle name="烹拳 [0]_97MBO" xfId="168"/>
    <cellStyle name="烹拳_97MBO" xfId="169"/>
    <cellStyle name="普通_ 白土" xfId="170"/>
    <cellStyle name="千分位[0]_ 白土" xfId="171"/>
    <cellStyle name="千分位_ 白土" xfId="172"/>
    <cellStyle name="千位[0]_97汇总" xfId="173"/>
    <cellStyle name="千位_97汇总" xfId="174"/>
    <cellStyle name="千位分隔" xfId="1" builtinId="3"/>
    <cellStyle name="千位分隔 2" xfId="175"/>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2" defaultPivotStyle="PivotStyleLight16"/>
  <colors>
    <mruColors>
      <color rgb="FFE4DFEC"/>
      <color rgb="FF0000FF"/>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vmlDrawing3.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99060</xdr:colOff>
          <xdr:row>51</xdr:row>
          <xdr:rowOff>45720</xdr:rowOff>
        </xdr:from>
        <xdr:to>
          <xdr:col>3</xdr:col>
          <xdr:colOff>0</xdr:colOff>
          <xdr:row>53</xdr:row>
          <xdr:rowOff>137160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1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655320</xdr:colOff>
          <xdr:row>51</xdr:row>
          <xdr:rowOff>144780</xdr:rowOff>
        </xdr:from>
        <xdr:to>
          <xdr:col>7</xdr:col>
          <xdr:colOff>198120</xdr:colOff>
          <xdr:row>53</xdr:row>
          <xdr:rowOff>76200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1300-000002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9.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24"/>
  <sheetViews>
    <sheetView tabSelected="1" workbookViewId="0"/>
  </sheetViews>
  <sheetFormatPr defaultRowHeight="19.95" customHeight="1"/>
  <cols>
    <col min="1" max="1" width="77.59765625" style="68" customWidth="1"/>
    <col min="2" max="2" width="2" style="68" customWidth="1"/>
    <col min="3" max="3" width="2.09765625" style="68" customWidth="1"/>
    <col min="4" max="4" width="6.09765625" style="68" customWidth="1"/>
    <col min="5" max="5" width="33.3984375" style="68" customWidth="1"/>
    <col min="6" max="6" width="8" style="479" customWidth="1"/>
    <col min="7" max="16384" width="8.796875" style="68"/>
  </cols>
  <sheetData>
    <row r="1" spans="1:8" s="2" customFormat="1" ht="19.95" customHeight="1">
      <c r="A1" s="17" t="s">
        <v>762</v>
      </c>
      <c r="F1" s="24"/>
    </row>
    <row r="2" spans="1:8" ht="19.95" customHeight="1">
      <c r="A2" s="349" t="s">
        <v>763</v>
      </c>
      <c r="B2" s="350"/>
      <c r="C2" s="350"/>
      <c r="G2" s="350"/>
      <c r="H2" s="350"/>
    </row>
    <row r="3" spans="1:8" ht="19.95" customHeight="1">
      <c r="A3" s="573" t="s">
        <v>1003</v>
      </c>
      <c r="B3" s="350"/>
      <c r="C3" s="350"/>
      <c r="D3" s="438" t="s">
        <v>30</v>
      </c>
      <c r="E3" s="438" t="s">
        <v>759</v>
      </c>
      <c r="F3" s="438" t="s">
        <v>829</v>
      </c>
      <c r="G3" s="438" t="s">
        <v>830</v>
      </c>
      <c r="H3" s="353"/>
    </row>
    <row r="4" spans="1:8" ht="19.95" customHeight="1">
      <c r="A4" s="349" t="s">
        <v>764</v>
      </c>
      <c r="D4" s="351"/>
      <c r="E4" s="359" t="s">
        <v>831</v>
      </c>
      <c r="F4" s="356" t="s">
        <v>64</v>
      </c>
      <c r="G4" s="352"/>
      <c r="H4" s="350"/>
    </row>
    <row r="5" spans="1:8" ht="19.95" customHeight="1">
      <c r="A5" s="349" t="s">
        <v>760</v>
      </c>
      <c r="D5" s="355">
        <v>1</v>
      </c>
      <c r="E5" s="359" t="s">
        <v>767</v>
      </c>
      <c r="F5" s="356" t="s">
        <v>65</v>
      </c>
      <c r="G5" s="357"/>
    </row>
    <row r="6" spans="1:8" ht="19.95" customHeight="1">
      <c r="A6" s="349" t="s">
        <v>761</v>
      </c>
      <c r="D6" s="356">
        <f>D5+1</f>
        <v>2</v>
      </c>
      <c r="E6" s="358" t="s">
        <v>779</v>
      </c>
      <c r="F6" s="356"/>
      <c r="G6" s="354" t="s">
        <v>766</v>
      </c>
    </row>
    <row r="7" spans="1:8" ht="19.95" customHeight="1">
      <c r="A7" s="349" t="s">
        <v>765</v>
      </c>
      <c r="D7" s="356">
        <f t="shared" ref="D7:D23" si="0">D6+1</f>
        <v>3</v>
      </c>
      <c r="E7" s="358" t="s">
        <v>780</v>
      </c>
      <c r="F7" s="356"/>
      <c r="G7" s="354" t="s">
        <v>766</v>
      </c>
    </row>
    <row r="8" spans="1:8" ht="19.95" customHeight="1">
      <c r="D8" s="356">
        <f t="shared" si="0"/>
        <v>4</v>
      </c>
      <c r="E8" s="359" t="s">
        <v>768</v>
      </c>
      <c r="F8" s="356" t="s">
        <v>769</v>
      </c>
      <c r="G8" s="357"/>
    </row>
    <row r="9" spans="1:8" ht="19.95" customHeight="1">
      <c r="A9" s="574" t="s">
        <v>1004</v>
      </c>
      <c r="D9" s="356">
        <f t="shared" si="0"/>
        <v>5</v>
      </c>
      <c r="E9" s="359" t="s">
        <v>781</v>
      </c>
      <c r="F9" s="356" t="s">
        <v>66</v>
      </c>
      <c r="G9" s="357"/>
    </row>
    <row r="10" spans="1:8" ht="19.95" customHeight="1">
      <c r="A10" s="588" t="s">
        <v>1005</v>
      </c>
      <c r="D10" s="356">
        <f t="shared" si="0"/>
        <v>6</v>
      </c>
      <c r="E10" s="359" t="s">
        <v>782</v>
      </c>
      <c r="F10" s="356" t="s">
        <v>67</v>
      </c>
      <c r="G10" s="357"/>
    </row>
    <row r="11" spans="1:8" ht="19.95" customHeight="1">
      <c r="A11" s="588"/>
      <c r="D11" s="356">
        <f t="shared" si="0"/>
        <v>7</v>
      </c>
      <c r="E11" s="359" t="s">
        <v>783</v>
      </c>
      <c r="F11" s="356" t="s">
        <v>68</v>
      </c>
      <c r="G11" s="357"/>
    </row>
    <row r="12" spans="1:8" ht="19.95" customHeight="1">
      <c r="A12" s="588"/>
      <c r="D12" s="356">
        <f t="shared" si="0"/>
        <v>8</v>
      </c>
      <c r="E12" s="359" t="s">
        <v>784</v>
      </c>
      <c r="F12" s="356" t="s">
        <v>69</v>
      </c>
      <c r="G12" s="357"/>
    </row>
    <row r="13" spans="1:8" ht="19.95" customHeight="1">
      <c r="A13" s="588"/>
      <c r="D13" s="356">
        <f t="shared" si="0"/>
        <v>9</v>
      </c>
      <c r="E13" s="359" t="s">
        <v>785</v>
      </c>
      <c r="F13" s="356" t="s">
        <v>71</v>
      </c>
      <c r="G13" s="357"/>
    </row>
    <row r="14" spans="1:8" ht="19.95" customHeight="1">
      <c r="A14" s="588" t="s">
        <v>1006</v>
      </c>
      <c r="D14" s="356">
        <f t="shared" si="0"/>
        <v>10</v>
      </c>
      <c r="E14" s="359" t="s">
        <v>786</v>
      </c>
      <c r="F14" s="356" t="s">
        <v>70</v>
      </c>
      <c r="G14" s="357"/>
    </row>
    <row r="15" spans="1:8" ht="19.95" customHeight="1">
      <c r="A15" s="588"/>
      <c r="D15" s="356">
        <f t="shared" si="0"/>
        <v>11</v>
      </c>
      <c r="E15" s="359" t="s">
        <v>787</v>
      </c>
      <c r="F15" s="356" t="s">
        <v>770</v>
      </c>
      <c r="G15" s="357"/>
    </row>
    <row r="16" spans="1:8" ht="19.95" customHeight="1">
      <c r="A16" s="588"/>
      <c r="D16" s="356">
        <f t="shared" si="0"/>
        <v>12</v>
      </c>
      <c r="E16" s="359" t="s">
        <v>788</v>
      </c>
      <c r="F16" s="356" t="s">
        <v>771</v>
      </c>
      <c r="G16" s="357"/>
    </row>
    <row r="17" spans="1:7" ht="19.95" customHeight="1">
      <c r="A17" s="589" t="s">
        <v>1007</v>
      </c>
      <c r="D17" s="356">
        <f t="shared" si="0"/>
        <v>13</v>
      </c>
      <c r="E17" s="359" t="s">
        <v>789</v>
      </c>
      <c r="F17" s="356" t="s">
        <v>772</v>
      </c>
      <c r="G17" s="357"/>
    </row>
    <row r="18" spans="1:7" ht="19.95" customHeight="1">
      <c r="A18" s="589"/>
      <c r="D18" s="356">
        <f t="shared" si="0"/>
        <v>14</v>
      </c>
      <c r="E18" s="359" t="s">
        <v>790</v>
      </c>
      <c r="F18" s="356" t="s">
        <v>773</v>
      </c>
      <c r="G18" s="357"/>
    </row>
    <row r="19" spans="1:7" ht="19.95" customHeight="1">
      <c r="A19" s="589"/>
      <c r="D19" s="356">
        <f t="shared" si="0"/>
        <v>15</v>
      </c>
      <c r="E19" s="359" t="s">
        <v>791</v>
      </c>
      <c r="F19" s="356" t="s">
        <v>774</v>
      </c>
      <c r="G19" s="357"/>
    </row>
    <row r="20" spans="1:7" ht="19.95" customHeight="1">
      <c r="D20" s="356">
        <f t="shared" si="0"/>
        <v>16</v>
      </c>
      <c r="E20" s="359" t="s">
        <v>792</v>
      </c>
      <c r="F20" s="356" t="s">
        <v>775</v>
      </c>
      <c r="G20" s="357"/>
    </row>
    <row r="21" spans="1:7" ht="19.95" customHeight="1">
      <c r="D21" s="356">
        <f t="shared" si="0"/>
        <v>17</v>
      </c>
      <c r="E21" s="359" t="s">
        <v>793</v>
      </c>
      <c r="F21" s="356" t="s">
        <v>776</v>
      </c>
      <c r="G21" s="357"/>
    </row>
    <row r="22" spans="1:7" ht="19.95" customHeight="1">
      <c r="D22" s="356">
        <f t="shared" si="0"/>
        <v>18</v>
      </c>
      <c r="E22" s="359" t="s">
        <v>794</v>
      </c>
      <c r="F22" s="356" t="s">
        <v>777</v>
      </c>
      <c r="G22" s="357"/>
    </row>
    <row r="23" spans="1:7" ht="19.95" customHeight="1">
      <c r="D23" s="356">
        <f t="shared" si="0"/>
        <v>19</v>
      </c>
      <c r="E23" s="359" t="s">
        <v>795</v>
      </c>
      <c r="F23" s="356" t="s">
        <v>778</v>
      </c>
      <c r="G23" s="357"/>
    </row>
    <row r="24" spans="1:7" ht="19.95" customHeight="1">
      <c r="E24" s="2"/>
    </row>
  </sheetData>
  <mergeCells count="3">
    <mergeCell ref="A10:A13"/>
    <mergeCell ref="A14:A16"/>
    <mergeCell ref="A17:A19"/>
  </mergeCells>
  <phoneticPr fontId="10" type="noConversion"/>
  <hyperlinks>
    <hyperlink ref="E4" location="在建工程实质性程序表H2A!A1" display="在建工程实质性程序表"/>
    <hyperlink ref="E5" location="'审定表H2-1'!A1" display="审定表H2-1"/>
    <hyperlink ref="E6" location="'附注披露信息（上市公司）'!A1" display="附注披露信息（上市公司）"/>
    <hyperlink ref="E7" location="'附注披露信息（国有企业）'!A1" display="附注披露信息（国有企业）"/>
    <hyperlink ref="E8" location="'明细表H2-2'!A1" display="明细表H2-2"/>
    <hyperlink ref="E9" location="'调整分录汇总H2-3'!A1" display="调整分录汇总H2-3"/>
    <hyperlink ref="E10" location="'分析表H2-4'!A1" display="分析表H2-4"/>
    <hyperlink ref="E11" location="'转固时点检查表H2-5'!A1" display="转固时点检查表H2-5"/>
    <hyperlink ref="E12" location="'在建工程审核记录H2-6'!A1" display="在建工程审核记录H2-6"/>
    <hyperlink ref="E13" location="'工程造价比较表H2-7'!A1" display="工程造价比较表H2-7"/>
    <hyperlink ref="E14" location="'增加检查表H2-8'!A1" display="增加检查表H2-8"/>
    <hyperlink ref="E15" location="'减少检查表H2-9'!A1" display="减少检查表H2-9"/>
    <hyperlink ref="E16" location="'利息资本化测算表（无专门借款）H2-10'!A1" display="利息资本化测算表（无专门借款）H2-10"/>
    <hyperlink ref="E17" location="'利息资本化测算表（有专门借款）H2-11'!A1" display="利息资本化测算表（有专门借款）H2-11"/>
    <hyperlink ref="E18" location="'监盘计划H2-12'!A1" display="监盘计划H2-12"/>
    <hyperlink ref="E19" location="'盘点检查表H2-13'!A1" display="盘点检查表H2-13"/>
    <hyperlink ref="E20" location="'监盘小结H2-14'!A1" display="监盘小结H2-14"/>
    <hyperlink ref="E21" location="'减值测算表H2-15'!A1" display="减值测算表H2-15"/>
    <hyperlink ref="E22" location="'可收回金额测试表H2-16'!A1" display="可收回金额测试表H2-16"/>
    <hyperlink ref="E23" location="'关联交易检查表H2-17'!A1" display="关联交易检查表H2-1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1">
    <pageSetUpPr fitToPage="1"/>
  </sheetPr>
  <dimension ref="A1:L36"/>
  <sheetViews>
    <sheetView view="pageBreakPreview" zoomScaleNormal="100" zoomScaleSheetLayoutView="100" workbookViewId="0">
      <selection sqref="A1:I1"/>
    </sheetView>
  </sheetViews>
  <sheetFormatPr defaultColWidth="9" defaultRowHeight="19.95" customHeight="1"/>
  <cols>
    <col min="1" max="1" width="5.09765625" style="260" customWidth="1"/>
    <col min="2" max="2" width="67.296875" style="257" customWidth="1"/>
    <col min="3" max="3" width="10.3984375" style="257" customWidth="1"/>
    <col min="4" max="4" width="5.59765625" style="257" customWidth="1"/>
    <col min="5" max="5" width="7.09765625" style="257" customWidth="1"/>
    <col min="6" max="6" width="8.09765625" style="257" customWidth="1"/>
    <col min="7" max="7" width="7.5" style="257" customWidth="1"/>
    <col min="8" max="8" width="5.296875" style="257" customWidth="1"/>
    <col min="9" max="9" width="8.296875" style="257" customWidth="1"/>
    <col min="10" max="10" width="60.8984375" style="257" customWidth="1"/>
    <col min="11" max="16384" width="9" style="257"/>
  </cols>
  <sheetData>
    <row r="1" spans="1:10" s="421" customFormat="1" ht="19.95" customHeight="1">
      <c r="A1" s="592" t="s">
        <v>808</v>
      </c>
      <c r="B1" s="592"/>
      <c r="C1" s="592"/>
      <c r="D1" s="592"/>
      <c r="E1" s="592"/>
      <c r="F1" s="592"/>
      <c r="G1" s="592"/>
      <c r="H1" s="592"/>
      <c r="I1" s="592"/>
    </row>
    <row r="2" spans="1:10" s="253" customFormat="1" ht="19.95" customHeight="1">
      <c r="A2" s="593" t="s">
        <v>809</v>
      </c>
      <c r="B2" s="593"/>
      <c r="C2" s="593"/>
      <c r="D2" s="593"/>
      <c r="E2" s="593"/>
      <c r="F2" s="593"/>
      <c r="G2" s="593"/>
      <c r="H2" s="593"/>
      <c r="I2" s="593"/>
    </row>
    <row r="3" spans="1:10" s="255" customFormat="1" ht="19.95" customHeight="1">
      <c r="A3" s="254" t="str">
        <f>底稿目录!A2</f>
        <v>被审计单位：</v>
      </c>
      <c r="B3" s="254"/>
      <c r="C3" s="255" t="str">
        <f>底稿目录!A4</f>
        <v>编制人：</v>
      </c>
      <c r="F3" s="255" t="str">
        <f>底稿目录!A6</f>
        <v>编制日期：</v>
      </c>
      <c r="H3" s="440" t="s">
        <v>832</v>
      </c>
      <c r="I3" s="256" t="s">
        <v>153</v>
      </c>
    </row>
    <row r="4" spans="1:10" s="255" customFormat="1" ht="19.95" customHeight="1">
      <c r="A4" s="254" t="str">
        <f>底稿目录!A3</f>
        <v>截止日：202X年12月31日</v>
      </c>
      <c r="B4" s="254"/>
      <c r="C4" s="255" t="str">
        <f>底稿目录!A5</f>
        <v>复核人：</v>
      </c>
      <c r="F4" s="255" t="str">
        <f>底稿目录!A7</f>
        <v>复核日期：</v>
      </c>
      <c r="H4" s="440" t="s">
        <v>833</v>
      </c>
      <c r="I4" s="2"/>
    </row>
    <row r="5" spans="1:10" ht="19.95" customHeight="1">
      <c r="A5" s="594" t="s">
        <v>172</v>
      </c>
      <c r="B5" s="594"/>
    </row>
    <row r="6" spans="1:10" ht="19.95" customHeight="1">
      <c r="A6" s="572" t="s">
        <v>173</v>
      </c>
      <c r="B6" s="258"/>
    </row>
    <row r="7" spans="1:10" s="255" customFormat="1" ht="19.95" customHeight="1">
      <c r="A7" s="484" t="s">
        <v>989</v>
      </c>
      <c r="B7" s="259"/>
      <c r="C7" s="257"/>
      <c r="D7" s="257"/>
      <c r="E7" s="257"/>
      <c r="F7" s="257"/>
      <c r="G7" s="257"/>
      <c r="H7" s="257"/>
      <c r="I7" s="257"/>
    </row>
    <row r="8" spans="1:10" s="255" customFormat="1" ht="19.95" customHeight="1">
      <c r="A8" s="600" t="s">
        <v>1002</v>
      </c>
      <c r="B8" s="601"/>
      <c r="C8" s="601"/>
      <c r="D8" s="601"/>
      <c r="E8" s="601"/>
      <c r="F8" s="601"/>
      <c r="G8" s="601" t="s">
        <v>47</v>
      </c>
      <c r="H8" s="601"/>
      <c r="I8" s="601"/>
    </row>
    <row r="9" spans="1:10" s="255" customFormat="1" ht="19.95" customHeight="1">
      <c r="A9" s="602" t="s">
        <v>154</v>
      </c>
      <c r="B9" s="602"/>
      <c r="C9" s="602"/>
      <c r="D9" s="602"/>
      <c r="E9" s="602"/>
      <c r="F9" s="602"/>
      <c r="G9" s="599" t="s">
        <v>48</v>
      </c>
      <c r="H9" s="599"/>
      <c r="I9" s="599"/>
    </row>
    <row r="10" spans="1:10" s="255" customFormat="1" ht="19.95" customHeight="1">
      <c r="A10" s="602" t="s">
        <v>174</v>
      </c>
      <c r="B10" s="602"/>
      <c r="C10" s="602"/>
      <c r="D10" s="602"/>
      <c r="E10" s="602"/>
      <c r="F10" s="602"/>
      <c r="G10" s="599" t="s">
        <v>1000</v>
      </c>
      <c r="H10" s="599"/>
      <c r="I10" s="599"/>
    </row>
    <row r="11" spans="1:10" s="255" customFormat="1" ht="19.95" customHeight="1">
      <c r="A11" s="602" t="s">
        <v>175</v>
      </c>
      <c r="B11" s="602"/>
      <c r="C11" s="602"/>
      <c r="D11" s="602"/>
      <c r="E11" s="602"/>
      <c r="F11" s="602"/>
      <c r="G11" s="599" t="s">
        <v>1001</v>
      </c>
      <c r="H11" s="599"/>
      <c r="I11" s="599"/>
    </row>
    <row r="12" spans="1:10" s="255" customFormat="1" ht="19.95" customHeight="1">
      <c r="A12" s="602" t="s">
        <v>176</v>
      </c>
      <c r="B12" s="602"/>
      <c r="C12" s="602"/>
      <c r="D12" s="602"/>
      <c r="E12" s="602"/>
      <c r="F12" s="602"/>
      <c r="G12" s="599" t="s">
        <v>177</v>
      </c>
      <c r="H12" s="599"/>
      <c r="I12" s="599"/>
    </row>
    <row r="13" spans="1:10" s="255" customFormat="1" ht="19.95" customHeight="1">
      <c r="A13" s="602" t="s">
        <v>155</v>
      </c>
      <c r="B13" s="602"/>
      <c r="C13" s="602"/>
      <c r="D13" s="602"/>
      <c r="E13" s="602"/>
      <c r="F13" s="602"/>
      <c r="G13" s="599" t="s">
        <v>156</v>
      </c>
      <c r="H13" s="599"/>
      <c r="I13" s="599"/>
    </row>
    <row r="14" spans="1:10" s="255" customFormat="1" ht="19.95" customHeight="1">
      <c r="A14" s="595" t="s">
        <v>990</v>
      </c>
      <c r="B14" s="595"/>
    </row>
    <row r="15" spans="1:10" s="255" customFormat="1" ht="19.95" customHeight="1">
      <c r="A15" s="596" t="s">
        <v>888</v>
      </c>
      <c r="B15" s="597" t="s">
        <v>1010</v>
      </c>
      <c r="C15" s="598" t="s">
        <v>886</v>
      </c>
      <c r="D15" s="596" t="s">
        <v>889</v>
      </c>
      <c r="E15" s="596"/>
      <c r="F15" s="596"/>
      <c r="G15" s="596"/>
      <c r="H15" s="596"/>
      <c r="I15" s="598" t="s">
        <v>887</v>
      </c>
    </row>
    <row r="16" spans="1:10" s="255" customFormat="1" ht="34.799999999999997" customHeight="1">
      <c r="A16" s="596"/>
      <c r="B16" s="597"/>
      <c r="C16" s="598"/>
      <c r="D16" s="454" t="s">
        <v>885</v>
      </c>
      <c r="E16" s="454" t="s">
        <v>883</v>
      </c>
      <c r="F16" s="455" t="s">
        <v>890</v>
      </c>
      <c r="G16" s="455" t="s">
        <v>891</v>
      </c>
      <c r="H16" s="455" t="s">
        <v>892</v>
      </c>
      <c r="I16" s="598"/>
      <c r="J16" s="576" t="s">
        <v>1009</v>
      </c>
    </row>
    <row r="17" spans="1:12" s="255" customFormat="1" ht="89.4" customHeight="1">
      <c r="A17" s="458" t="s">
        <v>31</v>
      </c>
      <c r="B17" s="459" t="s">
        <v>901</v>
      </c>
      <c r="C17" s="460" t="s">
        <v>157</v>
      </c>
      <c r="D17" s="461" t="s">
        <v>168</v>
      </c>
      <c r="E17" s="461" t="s">
        <v>178</v>
      </c>
      <c r="F17" s="461"/>
      <c r="G17" s="462" t="s">
        <v>169</v>
      </c>
      <c r="H17" s="463"/>
      <c r="I17" s="463" t="s">
        <v>912</v>
      </c>
    </row>
    <row r="18" spans="1:12" s="255" customFormat="1" ht="42.6" customHeight="1">
      <c r="A18" s="458" t="s">
        <v>857</v>
      </c>
      <c r="B18" s="464" t="s">
        <v>158</v>
      </c>
      <c r="C18" s="460" t="s">
        <v>157</v>
      </c>
      <c r="D18" s="465"/>
      <c r="E18" s="465" t="s">
        <v>161</v>
      </c>
      <c r="F18" s="465"/>
      <c r="G18" s="465" t="s">
        <v>159</v>
      </c>
      <c r="H18" s="463"/>
      <c r="I18" s="575" t="s">
        <v>913</v>
      </c>
      <c r="J18" s="590" t="s">
        <v>179</v>
      </c>
      <c r="K18" s="591"/>
      <c r="L18" s="591"/>
    </row>
    <row r="19" spans="1:12" s="255" customFormat="1" ht="54.6" customHeight="1">
      <c r="A19" s="458" t="s">
        <v>858</v>
      </c>
      <c r="B19" s="466" t="s">
        <v>893</v>
      </c>
      <c r="C19" s="460" t="s">
        <v>50</v>
      </c>
      <c r="D19" s="456" t="s">
        <v>894</v>
      </c>
      <c r="E19" s="457" t="s">
        <v>895</v>
      </c>
      <c r="F19" s="457" t="s">
        <v>895</v>
      </c>
      <c r="G19" s="457" t="s">
        <v>895</v>
      </c>
      <c r="H19" s="463"/>
      <c r="I19" s="463"/>
      <c r="J19" s="571" t="s">
        <v>1008</v>
      </c>
    </row>
    <row r="20" spans="1:12" s="255" customFormat="1" ht="33" customHeight="1">
      <c r="A20" s="458" t="s">
        <v>32</v>
      </c>
      <c r="B20" s="459" t="s">
        <v>160</v>
      </c>
      <c r="C20" s="460" t="s">
        <v>157</v>
      </c>
      <c r="D20" s="465"/>
      <c r="E20" s="465" t="s">
        <v>161</v>
      </c>
      <c r="F20" s="465"/>
      <c r="G20" s="465" t="s">
        <v>161</v>
      </c>
      <c r="H20" s="463"/>
      <c r="I20" s="463"/>
    </row>
    <row r="21" spans="1:12" s="255" customFormat="1" ht="42.6" customHeight="1">
      <c r="A21" s="458" t="s">
        <v>33</v>
      </c>
      <c r="B21" s="459" t="s">
        <v>162</v>
      </c>
      <c r="C21" s="460" t="s">
        <v>157</v>
      </c>
      <c r="D21" s="457" t="s">
        <v>49</v>
      </c>
      <c r="E21" s="457" t="s">
        <v>905</v>
      </c>
      <c r="F21" s="457"/>
      <c r="G21" s="456" t="s">
        <v>166</v>
      </c>
      <c r="H21" s="463"/>
      <c r="I21" s="463" t="s">
        <v>149</v>
      </c>
    </row>
    <row r="22" spans="1:12" s="255" customFormat="1" ht="71.400000000000006" customHeight="1">
      <c r="A22" s="458" t="s">
        <v>27</v>
      </c>
      <c r="B22" s="459" t="s">
        <v>1043</v>
      </c>
      <c r="C22" s="476" t="s">
        <v>906</v>
      </c>
      <c r="D22" s="456" t="s">
        <v>907</v>
      </c>
      <c r="E22" s="457" t="s">
        <v>49</v>
      </c>
      <c r="F22" s="457"/>
      <c r="G22" s="457" t="s">
        <v>908</v>
      </c>
      <c r="H22" s="463"/>
      <c r="I22" s="463"/>
      <c r="J22" s="242"/>
    </row>
    <row r="23" spans="1:12" s="255" customFormat="1" ht="48" customHeight="1">
      <c r="A23" s="458" t="s">
        <v>34</v>
      </c>
      <c r="B23" s="466" t="s">
        <v>896</v>
      </c>
      <c r="C23" s="460" t="s">
        <v>157</v>
      </c>
      <c r="D23" s="477" t="s">
        <v>166</v>
      </c>
      <c r="E23" s="465" t="s">
        <v>161</v>
      </c>
      <c r="F23" s="465"/>
      <c r="G23" s="465" t="s">
        <v>49</v>
      </c>
      <c r="H23" s="463"/>
      <c r="I23" s="463" t="s">
        <v>150</v>
      </c>
    </row>
    <row r="24" spans="1:12" s="255" customFormat="1" ht="131.4" customHeight="1">
      <c r="A24" s="458" t="s">
        <v>860</v>
      </c>
      <c r="B24" s="459" t="s">
        <v>897</v>
      </c>
      <c r="C24" s="460" t="s">
        <v>157</v>
      </c>
      <c r="D24" s="456" t="s">
        <v>894</v>
      </c>
      <c r="E24" s="457" t="s">
        <v>49</v>
      </c>
      <c r="F24" s="457" t="s">
        <v>909</v>
      </c>
      <c r="G24" s="457" t="s">
        <v>895</v>
      </c>
      <c r="H24" s="463"/>
      <c r="I24" s="463" t="s">
        <v>982</v>
      </c>
    </row>
    <row r="25" spans="1:12" s="255" customFormat="1" ht="118.2" customHeight="1">
      <c r="A25" s="458" t="s">
        <v>861</v>
      </c>
      <c r="B25" s="459" t="s">
        <v>898</v>
      </c>
      <c r="C25" s="460" t="s">
        <v>157</v>
      </c>
      <c r="D25" s="457" t="s">
        <v>49</v>
      </c>
      <c r="E25" s="457" t="s">
        <v>895</v>
      </c>
      <c r="F25" s="457"/>
      <c r="G25" s="456" t="s">
        <v>894</v>
      </c>
      <c r="H25" s="463"/>
      <c r="I25" s="463" t="s">
        <v>151</v>
      </c>
    </row>
    <row r="26" spans="1:12" s="255" customFormat="1" ht="93.6" customHeight="1">
      <c r="A26" s="458" t="s">
        <v>862</v>
      </c>
      <c r="B26" s="459" t="s">
        <v>180</v>
      </c>
      <c r="C26" s="460" t="s">
        <v>165</v>
      </c>
      <c r="D26" s="456" t="s">
        <v>166</v>
      </c>
      <c r="E26" s="457" t="s">
        <v>910</v>
      </c>
      <c r="F26" s="457" t="s">
        <v>49</v>
      </c>
      <c r="G26" s="456" t="s">
        <v>911</v>
      </c>
      <c r="H26" s="463"/>
      <c r="I26" s="463" t="s">
        <v>983</v>
      </c>
    </row>
    <row r="27" spans="1:12" s="255" customFormat="1" ht="114.6" customHeight="1">
      <c r="A27" s="458" t="s">
        <v>863</v>
      </c>
      <c r="B27" s="468" t="s">
        <v>988</v>
      </c>
      <c r="C27" s="460" t="s">
        <v>157</v>
      </c>
      <c r="D27" s="456" t="s">
        <v>166</v>
      </c>
      <c r="E27" s="478"/>
      <c r="F27" s="457" t="s">
        <v>910</v>
      </c>
      <c r="G27" s="457" t="s">
        <v>910</v>
      </c>
      <c r="H27" s="463"/>
      <c r="I27" s="463" t="s">
        <v>984</v>
      </c>
    </row>
    <row r="28" spans="1:12" s="255" customFormat="1" ht="33" customHeight="1">
      <c r="A28" s="458" t="s">
        <v>864</v>
      </c>
      <c r="B28" s="474" t="s">
        <v>899</v>
      </c>
      <c r="C28" s="460" t="s">
        <v>164</v>
      </c>
      <c r="D28" s="456" t="s">
        <v>166</v>
      </c>
      <c r="E28" s="478"/>
      <c r="F28" s="457" t="s">
        <v>910</v>
      </c>
      <c r="G28" s="457" t="s">
        <v>910</v>
      </c>
      <c r="H28" s="463"/>
      <c r="I28" s="463" t="s">
        <v>834</v>
      </c>
    </row>
    <row r="29" spans="1:12" s="255" customFormat="1" ht="73.8" customHeight="1">
      <c r="A29" s="458" t="s">
        <v>865</v>
      </c>
      <c r="B29" s="469" t="s">
        <v>876</v>
      </c>
      <c r="C29" s="460" t="s">
        <v>157</v>
      </c>
      <c r="D29" s="465"/>
      <c r="E29" s="465"/>
      <c r="F29" s="465"/>
      <c r="G29" s="477" t="s">
        <v>894</v>
      </c>
      <c r="H29" s="463"/>
      <c r="I29" s="463" t="s">
        <v>985</v>
      </c>
    </row>
    <row r="30" spans="1:12" s="255" customFormat="1" ht="42" customHeight="1">
      <c r="A30" s="458" t="s">
        <v>866</v>
      </c>
      <c r="B30" s="470" t="s">
        <v>170</v>
      </c>
      <c r="C30" s="460" t="s">
        <v>157</v>
      </c>
      <c r="D30" s="471" t="s">
        <v>894</v>
      </c>
      <c r="E30" s="472" t="s">
        <v>895</v>
      </c>
      <c r="F30" s="472" t="s">
        <v>895</v>
      </c>
      <c r="G30" s="471" t="s">
        <v>894</v>
      </c>
      <c r="H30" s="472" t="s">
        <v>895</v>
      </c>
      <c r="I30" s="463" t="s">
        <v>152</v>
      </c>
    </row>
    <row r="31" spans="1:12" s="255" customFormat="1" ht="75" customHeight="1">
      <c r="A31" s="458" t="s">
        <v>859</v>
      </c>
      <c r="B31" s="459" t="s">
        <v>900</v>
      </c>
      <c r="C31" s="476" t="s">
        <v>906</v>
      </c>
      <c r="D31" s="456" t="s">
        <v>894</v>
      </c>
      <c r="E31" s="457" t="s">
        <v>49</v>
      </c>
      <c r="F31" s="457" t="s">
        <v>909</v>
      </c>
      <c r="G31" s="457" t="s">
        <v>895</v>
      </c>
      <c r="H31" s="463"/>
      <c r="I31" s="463" t="s">
        <v>986</v>
      </c>
      <c r="J31" s="242"/>
    </row>
    <row r="32" spans="1:12" s="255" customFormat="1" ht="40.799999999999997" customHeight="1">
      <c r="A32" s="458" t="s">
        <v>867</v>
      </c>
      <c r="B32" s="466" t="s">
        <v>875</v>
      </c>
      <c r="C32" s="476" t="s">
        <v>906</v>
      </c>
      <c r="D32" s="465"/>
      <c r="E32" s="465"/>
      <c r="F32" s="465"/>
      <c r="G32" s="465"/>
      <c r="H32" s="463"/>
      <c r="I32" s="463"/>
    </row>
    <row r="33" spans="1:10" s="255" customFormat="1" ht="33.6" customHeight="1">
      <c r="A33" s="458" t="s">
        <v>868</v>
      </c>
      <c r="B33" s="466" t="s">
        <v>902</v>
      </c>
      <c r="C33" s="460" t="s">
        <v>157</v>
      </c>
      <c r="D33" s="465"/>
      <c r="E33" s="465"/>
      <c r="F33" s="465"/>
      <c r="G33" s="465"/>
      <c r="H33" s="465" t="s">
        <v>161</v>
      </c>
      <c r="I33" s="473" t="s">
        <v>987</v>
      </c>
    </row>
    <row r="34" spans="1:10" s="255" customFormat="1" ht="29.4" customHeight="1">
      <c r="A34" s="458" t="s">
        <v>869</v>
      </c>
      <c r="B34" s="466" t="s">
        <v>903</v>
      </c>
      <c r="C34" s="467" t="s">
        <v>904</v>
      </c>
      <c r="D34" s="465"/>
      <c r="E34" s="465"/>
      <c r="F34" s="465"/>
      <c r="G34" s="465"/>
      <c r="H34" s="465" t="s">
        <v>163</v>
      </c>
      <c r="I34" s="473" t="s">
        <v>171</v>
      </c>
      <c r="J34" s="242"/>
    </row>
    <row r="36" spans="1:10" ht="19.95" customHeight="1">
      <c r="B36" s="475"/>
    </row>
  </sheetData>
  <mergeCells count="22">
    <mergeCell ref="A13:F13"/>
    <mergeCell ref="G8:I8"/>
    <mergeCell ref="G9:I9"/>
    <mergeCell ref="G10:I10"/>
    <mergeCell ref="G11:I11"/>
    <mergeCell ref="G12:I12"/>
    <mergeCell ref="J18:L18"/>
    <mergeCell ref="A1:I1"/>
    <mergeCell ref="A2:I2"/>
    <mergeCell ref="A5:B5"/>
    <mergeCell ref="A14:B14"/>
    <mergeCell ref="A15:A16"/>
    <mergeCell ref="B15:B16"/>
    <mergeCell ref="I15:I16"/>
    <mergeCell ref="D15:H15"/>
    <mergeCell ref="C15:C16"/>
    <mergeCell ref="G13:I13"/>
    <mergeCell ref="A8:F8"/>
    <mergeCell ref="A9:F9"/>
    <mergeCell ref="A10:F10"/>
    <mergeCell ref="A11:F11"/>
    <mergeCell ref="A12:F12"/>
  </mergeCells>
  <phoneticPr fontId="10" type="noConversion"/>
  <hyperlinks>
    <hyperlink ref="I3" location="底稿目录!A1" display="H2-1"/>
  </hyperlinks>
  <printOptions horizontalCentered="1"/>
  <pageMargins left="0.43307086614173229" right="0.39370078740157483" top="0.39370078740157483" bottom="0.39370078740157483" header="0.31496062992125984" footer="0.31496062992125984"/>
  <pageSetup paperSize="9" scale="71" fitToHeight="50" orientation="portrait" blackAndWhite="1" r:id="rId1"/>
  <headerFooter alignWithMargins="0">
    <oddFooter>&amp;C&amp;P/&amp;N</oddFooter>
  </headerFooter>
  <rowBreaks count="1" manualBreakCount="1">
    <brk id="29"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L84"/>
  <sheetViews>
    <sheetView view="pageBreakPreview" zoomScaleNormal="130" zoomScaleSheetLayoutView="100" workbookViewId="0">
      <selection sqref="A1:K1"/>
    </sheetView>
  </sheetViews>
  <sheetFormatPr defaultColWidth="9" defaultRowHeight="19.95" customHeight="1"/>
  <cols>
    <col min="1" max="1" width="21.3984375" style="1" customWidth="1"/>
    <col min="2" max="7" width="9.5" style="1" customWidth="1"/>
    <col min="8" max="16384" width="9" style="1"/>
  </cols>
  <sheetData>
    <row r="1" spans="1:12" ht="19.95" customHeight="1">
      <c r="A1" s="607" t="s">
        <v>810</v>
      </c>
      <c r="B1" s="607"/>
      <c r="C1" s="607"/>
      <c r="D1" s="607"/>
      <c r="E1" s="607"/>
      <c r="F1" s="607"/>
      <c r="G1" s="607"/>
      <c r="H1" s="607"/>
      <c r="I1" s="607"/>
      <c r="J1" s="607"/>
      <c r="K1" s="607"/>
    </row>
    <row r="2" spans="1:12" ht="19.95" customHeight="1">
      <c r="A2" s="608" t="s">
        <v>811</v>
      </c>
      <c r="B2" s="608"/>
      <c r="C2" s="608"/>
      <c r="D2" s="608"/>
      <c r="E2" s="608"/>
      <c r="F2" s="608"/>
      <c r="G2" s="608"/>
      <c r="H2" s="608"/>
      <c r="I2" s="608"/>
      <c r="J2" s="608"/>
      <c r="K2" s="608"/>
    </row>
    <row r="3" spans="1:12" ht="19.95" customHeight="1">
      <c r="A3" s="2" t="str">
        <f>底稿目录!A2</f>
        <v>被审计单位：</v>
      </c>
      <c r="B3" s="2"/>
      <c r="C3" s="2"/>
      <c r="D3" s="2" t="str">
        <f>底稿目录!A4</f>
        <v>编制人：</v>
      </c>
      <c r="G3" s="2"/>
      <c r="H3" s="2" t="str">
        <f>底稿目录!A6</f>
        <v>编制日期：</v>
      </c>
      <c r="I3" s="75"/>
      <c r="J3" s="440" t="s">
        <v>832</v>
      </c>
      <c r="K3" s="256" t="s">
        <v>132</v>
      </c>
      <c r="L3" s="2"/>
    </row>
    <row r="4" spans="1:12" ht="19.95" customHeight="1">
      <c r="A4" s="2" t="str">
        <f>底稿目录!A3</f>
        <v>截止日：202X年12月31日</v>
      </c>
      <c r="B4" s="2"/>
      <c r="C4" s="2"/>
      <c r="D4" s="2" t="str">
        <f>底稿目录!A5</f>
        <v>复核人：</v>
      </c>
      <c r="G4" s="2"/>
      <c r="H4" s="2" t="str">
        <f>底稿目录!A7</f>
        <v>复核日期：</v>
      </c>
      <c r="I4" s="75"/>
      <c r="J4" s="440" t="s">
        <v>833</v>
      </c>
      <c r="K4" s="2"/>
      <c r="L4" s="2"/>
    </row>
    <row r="5" spans="1:12" ht="26.4" customHeight="1">
      <c r="A5" s="609" t="s">
        <v>23</v>
      </c>
      <c r="B5" s="611" t="s">
        <v>181</v>
      </c>
      <c r="C5" s="612"/>
      <c r="D5" s="613"/>
      <c r="E5" s="611" t="s">
        <v>182</v>
      </c>
      <c r="F5" s="612"/>
      <c r="G5" s="613"/>
      <c r="H5" s="603" t="s">
        <v>183</v>
      </c>
      <c r="I5" s="604"/>
      <c r="J5" s="605" t="s">
        <v>184</v>
      </c>
      <c r="K5" s="606"/>
    </row>
    <row r="6" spans="1:12" ht="19.95" customHeight="1">
      <c r="A6" s="610"/>
      <c r="B6" s="261" t="s">
        <v>185</v>
      </c>
      <c r="C6" s="261" t="s">
        <v>186</v>
      </c>
      <c r="D6" s="261" t="s">
        <v>187</v>
      </c>
      <c r="E6" s="261" t="s">
        <v>185</v>
      </c>
      <c r="F6" s="261" t="s">
        <v>188</v>
      </c>
      <c r="G6" s="261" t="s">
        <v>187</v>
      </c>
      <c r="H6" s="262" t="s">
        <v>189</v>
      </c>
      <c r="I6" s="263" t="s">
        <v>190</v>
      </c>
      <c r="J6" s="262" t="s">
        <v>191</v>
      </c>
      <c r="K6" s="264" t="s">
        <v>192</v>
      </c>
    </row>
    <row r="7" spans="1:12" ht="19.95" customHeight="1">
      <c r="A7" s="265" t="s">
        <v>193</v>
      </c>
      <c r="B7" s="73"/>
      <c r="C7" s="73"/>
      <c r="D7" s="73"/>
      <c r="E7" s="73"/>
      <c r="F7" s="73"/>
      <c r="G7" s="73"/>
      <c r="H7" s="56"/>
      <c r="I7" s="74"/>
      <c r="J7" s="56"/>
      <c r="K7" s="74"/>
    </row>
    <row r="8" spans="1:12" ht="19.95" customHeight="1">
      <c r="A8" s="266">
        <f>'明细表H2-2'!A13</f>
        <v>0</v>
      </c>
      <c r="B8" s="494">
        <f>'明细表H2-2'!J13</f>
        <v>0</v>
      </c>
      <c r="C8" s="494">
        <f>'明细表H2-2'!S13</f>
        <v>0</v>
      </c>
      <c r="D8" s="494">
        <f>B8+C8</f>
        <v>0</v>
      </c>
      <c r="E8" s="494">
        <f>'明细表H2-2'!Q13</f>
        <v>0</v>
      </c>
      <c r="F8" s="494">
        <f>'明细表H2-2'!S13+'明细表H2-2'!U13-'明细表H2-2'!W13-'明细表H2-2'!X13</f>
        <v>0</v>
      </c>
      <c r="G8" s="494">
        <f>E8+F8</f>
        <v>0</v>
      </c>
      <c r="H8" s="184">
        <f>E8-B8</f>
        <v>0</v>
      </c>
      <c r="I8" s="186">
        <f>IF(AND(B8=0,H8=0),0,IF(AND(B8=0,H8&gt;0),1,H8/B8))</f>
        <v>0</v>
      </c>
      <c r="J8" s="184">
        <f>G8-D8</f>
        <v>0</v>
      </c>
      <c r="K8" s="186">
        <f>IF(AND(D8=0,J8=0),0,IF(AND(D8=0,J8&gt;0),1,J8/D8))</f>
        <v>0</v>
      </c>
    </row>
    <row r="9" spans="1:12" ht="19.95" customHeight="1">
      <c r="A9" s="267">
        <f>'明细表H2-2'!A14</f>
        <v>0</v>
      </c>
      <c r="B9" s="494">
        <f>'明细表H2-2'!J14</f>
        <v>0</v>
      </c>
      <c r="C9" s="494">
        <f>'明细表H2-2'!S14</f>
        <v>0</v>
      </c>
      <c r="D9" s="494">
        <f t="shared" ref="D9:D15" si="0">B9+C9</f>
        <v>0</v>
      </c>
      <c r="E9" s="494">
        <f>'明细表H2-2'!Q14</f>
        <v>0</v>
      </c>
      <c r="F9" s="494">
        <f>'明细表H2-2'!S14+'明细表H2-2'!U14-'明细表H2-2'!W14-'明细表H2-2'!X14</f>
        <v>0</v>
      </c>
      <c r="G9" s="494">
        <f t="shared" ref="G9:G15" si="1">E9+F9</f>
        <v>0</v>
      </c>
      <c r="H9" s="184">
        <f t="shared" ref="H9:H16" si="2">E9-B9</f>
        <v>0</v>
      </c>
      <c r="I9" s="186">
        <f t="shared" ref="I9:I16" si="3">IF(AND(B9=0,H9=0),0,IF(AND(B9=0,H9&gt;0),1,H9/B9))</f>
        <v>0</v>
      </c>
      <c r="J9" s="184">
        <f t="shared" ref="J9:J16" si="4">G9-D9</f>
        <v>0</v>
      </c>
      <c r="K9" s="186">
        <f t="shared" ref="K9:K16" si="5">IF(AND(D9=0,J9=0),0,IF(AND(D9=0,J9&gt;0),1,J9/D9))</f>
        <v>0</v>
      </c>
    </row>
    <row r="10" spans="1:12" ht="19.95" customHeight="1">
      <c r="A10" s="267">
        <f>'明细表H2-2'!A15</f>
        <v>0</v>
      </c>
      <c r="B10" s="494">
        <f>'明细表H2-2'!J15</f>
        <v>0</v>
      </c>
      <c r="C10" s="494">
        <f>'明细表H2-2'!S15</f>
        <v>0</v>
      </c>
      <c r="D10" s="494">
        <f t="shared" si="0"/>
        <v>0</v>
      </c>
      <c r="E10" s="494">
        <f>'明细表H2-2'!Q15</f>
        <v>0</v>
      </c>
      <c r="F10" s="494">
        <f>'明细表H2-2'!S15+'明细表H2-2'!U15-'明细表H2-2'!W15-'明细表H2-2'!X15</f>
        <v>0</v>
      </c>
      <c r="G10" s="494">
        <f t="shared" si="1"/>
        <v>0</v>
      </c>
      <c r="H10" s="184">
        <f t="shared" si="2"/>
        <v>0</v>
      </c>
      <c r="I10" s="186">
        <f t="shared" si="3"/>
        <v>0</v>
      </c>
      <c r="J10" s="184">
        <f t="shared" si="4"/>
        <v>0</v>
      </c>
      <c r="K10" s="186">
        <f t="shared" si="5"/>
        <v>0</v>
      </c>
    </row>
    <row r="11" spans="1:12" ht="19.95" customHeight="1">
      <c r="A11" s="267">
        <f>'明细表H2-2'!A16</f>
        <v>0</v>
      </c>
      <c r="B11" s="494">
        <f>'明细表H2-2'!J16</f>
        <v>0</v>
      </c>
      <c r="C11" s="494">
        <f>'明细表H2-2'!S16</f>
        <v>0</v>
      </c>
      <c r="D11" s="494">
        <f t="shared" si="0"/>
        <v>0</v>
      </c>
      <c r="E11" s="494">
        <f>'明细表H2-2'!Q16</f>
        <v>0</v>
      </c>
      <c r="F11" s="494">
        <f>'明细表H2-2'!S16+'明细表H2-2'!U16-'明细表H2-2'!W16-'明细表H2-2'!X16</f>
        <v>0</v>
      </c>
      <c r="G11" s="494">
        <f t="shared" si="1"/>
        <v>0</v>
      </c>
      <c r="H11" s="184">
        <f t="shared" si="2"/>
        <v>0</v>
      </c>
      <c r="I11" s="186">
        <f t="shared" si="3"/>
        <v>0</v>
      </c>
      <c r="J11" s="184">
        <f t="shared" si="4"/>
        <v>0</v>
      </c>
      <c r="K11" s="186">
        <f t="shared" si="5"/>
        <v>0</v>
      </c>
    </row>
    <row r="12" spans="1:12" ht="19.95" customHeight="1">
      <c r="A12" s="267">
        <f>'明细表H2-2'!A17</f>
        <v>0</v>
      </c>
      <c r="B12" s="494">
        <f>'明细表H2-2'!J17</f>
        <v>0</v>
      </c>
      <c r="C12" s="494">
        <f>'明细表H2-2'!S17</f>
        <v>0</v>
      </c>
      <c r="D12" s="494">
        <f t="shared" si="0"/>
        <v>0</v>
      </c>
      <c r="E12" s="494">
        <f>'明细表H2-2'!Q17</f>
        <v>0</v>
      </c>
      <c r="F12" s="494">
        <f>'明细表H2-2'!S17+'明细表H2-2'!U17-'明细表H2-2'!W17-'明细表H2-2'!X17</f>
        <v>0</v>
      </c>
      <c r="G12" s="494">
        <f t="shared" si="1"/>
        <v>0</v>
      </c>
      <c r="H12" s="184">
        <f t="shared" si="2"/>
        <v>0</v>
      </c>
      <c r="I12" s="186">
        <f t="shared" si="3"/>
        <v>0</v>
      </c>
      <c r="J12" s="184">
        <f t="shared" si="4"/>
        <v>0</v>
      </c>
      <c r="K12" s="186">
        <f t="shared" si="5"/>
        <v>0</v>
      </c>
    </row>
    <row r="13" spans="1:12" ht="19.95" customHeight="1">
      <c r="A13" s="267">
        <f>'明细表H2-2'!A18</f>
        <v>0</v>
      </c>
      <c r="B13" s="494">
        <f>'明细表H2-2'!J18</f>
        <v>0</v>
      </c>
      <c r="C13" s="494">
        <f>'明细表H2-2'!S18</f>
        <v>0</v>
      </c>
      <c r="D13" s="494">
        <f t="shared" si="0"/>
        <v>0</v>
      </c>
      <c r="E13" s="494">
        <f>'明细表H2-2'!Q18</f>
        <v>0</v>
      </c>
      <c r="F13" s="494">
        <f>'明细表H2-2'!S18+'明细表H2-2'!U18-'明细表H2-2'!W18-'明细表H2-2'!X18</f>
        <v>0</v>
      </c>
      <c r="G13" s="494">
        <f t="shared" si="1"/>
        <v>0</v>
      </c>
      <c r="H13" s="184">
        <f t="shared" si="2"/>
        <v>0</v>
      </c>
      <c r="I13" s="186">
        <f t="shared" si="3"/>
        <v>0</v>
      </c>
      <c r="J13" s="184">
        <f t="shared" si="4"/>
        <v>0</v>
      </c>
      <c r="K13" s="186">
        <f t="shared" si="5"/>
        <v>0</v>
      </c>
    </row>
    <row r="14" spans="1:12" ht="19.95" customHeight="1">
      <c r="A14" s="267">
        <f>'明细表H2-2'!A19</f>
        <v>0</v>
      </c>
      <c r="B14" s="494">
        <f>'明细表H2-2'!J19</f>
        <v>0</v>
      </c>
      <c r="C14" s="494">
        <f>'明细表H2-2'!S19</f>
        <v>0</v>
      </c>
      <c r="D14" s="494">
        <f t="shared" si="0"/>
        <v>0</v>
      </c>
      <c r="E14" s="494">
        <f>'明细表H2-2'!Q19</f>
        <v>0</v>
      </c>
      <c r="F14" s="494">
        <f>'明细表H2-2'!S19+'明细表H2-2'!U19-'明细表H2-2'!W19-'明细表H2-2'!X19</f>
        <v>0</v>
      </c>
      <c r="G14" s="494">
        <f t="shared" si="1"/>
        <v>0</v>
      </c>
      <c r="H14" s="184">
        <f t="shared" si="2"/>
        <v>0</v>
      </c>
      <c r="I14" s="186">
        <f t="shared" si="3"/>
        <v>0</v>
      </c>
      <c r="J14" s="184">
        <f t="shared" si="4"/>
        <v>0</v>
      </c>
      <c r="K14" s="186">
        <f t="shared" si="5"/>
        <v>0</v>
      </c>
    </row>
    <row r="15" spans="1:12" ht="19.95" customHeight="1">
      <c r="A15" s="267">
        <f>'明细表H2-2'!A20</f>
        <v>0</v>
      </c>
      <c r="B15" s="494">
        <f>'明细表H2-2'!J20</f>
        <v>0</v>
      </c>
      <c r="C15" s="494">
        <f>'明细表H2-2'!S20</f>
        <v>0</v>
      </c>
      <c r="D15" s="494">
        <f t="shared" si="0"/>
        <v>0</v>
      </c>
      <c r="E15" s="494">
        <f>'明细表H2-2'!Q20</f>
        <v>0</v>
      </c>
      <c r="F15" s="494">
        <f>'明细表H2-2'!S20+'明细表H2-2'!U20-'明细表H2-2'!W20-'明细表H2-2'!X20</f>
        <v>0</v>
      </c>
      <c r="G15" s="494">
        <f t="shared" si="1"/>
        <v>0</v>
      </c>
      <c r="H15" s="184">
        <f t="shared" si="2"/>
        <v>0</v>
      </c>
      <c r="I15" s="186">
        <f t="shared" si="3"/>
        <v>0</v>
      </c>
      <c r="J15" s="184">
        <f t="shared" si="4"/>
        <v>0</v>
      </c>
      <c r="K15" s="186">
        <f t="shared" si="5"/>
        <v>0</v>
      </c>
    </row>
    <row r="16" spans="1:12" s="4" customFormat="1" ht="19.95" customHeight="1">
      <c r="A16" s="485" t="s">
        <v>806</v>
      </c>
      <c r="B16" s="495">
        <f>SUM(B8:B15)</f>
        <v>0</v>
      </c>
      <c r="C16" s="495">
        <f>SUM(C8:C15)</f>
        <v>0</v>
      </c>
      <c r="D16" s="495">
        <f t="shared" ref="D16:G16" si="6">SUM(D8:D15)</f>
        <v>0</v>
      </c>
      <c r="E16" s="495">
        <f t="shared" si="6"/>
        <v>0</v>
      </c>
      <c r="F16" s="495">
        <f t="shared" si="6"/>
        <v>0</v>
      </c>
      <c r="G16" s="495">
        <f t="shared" si="6"/>
        <v>0</v>
      </c>
      <c r="H16" s="366">
        <f t="shared" si="2"/>
        <v>0</v>
      </c>
      <c r="I16" s="420">
        <f t="shared" si="3"/>
        <v>0</v>
      </c>
      <c r="J16" s="366">
        <f t="shared" si="4"/>
        <v>0</v>
      </c>
      <c r="K16" s="420">
        <f t="shared" si="5"/>
        <v>0</v>
      </c>
    </row>
    <row r="17" spans="1:11" ht="19.95" customHeight="1">
      <c r="A17" s="265" t="s">
        <v>194</v>
      </c>
      <c r="B17" s="73"/>
      <c r="C17" s="73"/>
      <c r="D17" s="73"/>
      <c r="E17" s="73"/>
      <c r="F17" s="73"/>
      <c r="G17" s="78"/>
      <c r="H17" s="76"/>
      <c r="I17" s="77"/>
      <c r="J17" s="76"/>
      <c r="K17" s="77"/>
    </row>
    <row r="18" spans="1:11" ht="19.95" customHeight="1">
      <c r="A18" s="268">
        <f>A8</f>
        <v>0</v>
      </c>
      <c r="B18" s="233">
        <f>'明细表H2-2'!AI13</f>
        <v>0</v>
      </c>
      <c r="C18" s="233">
        <f>'明细表H2-2'!AM13</f>
        <v>0</v>
      </c>
      <c r="D18" s="233">
        <f>B18+C18</f>
        <v>0</v>
      </c>
      <c r="E18" s="233">
        <f>'明细表H2-2'!AL13</f>
        <v>0</v>
      </c>
      <c r="F18" s="233">
        <f>'明细表H2-2'!AM13+'明细表H2-2'!AN13-'明细表H2-2'!AO13</f>
        <v>0</v>
      </c>
      <c r="G18" s="233">
        <f>E18+F18</f>
        <v>0</v>
      </c>
      <c r="H18" s="184">
        <f t="shared" ref="H18:H26" si="7">E18-B18</f>
        <v>0</v>
      </c>
      <c r="I18" s="186">
        <f t="shared" ref="I18:I26" si="8">IF(AND(B18=0,H18=0),0,IF(AND(B18=0,H18&gt;0),1,H18/B18))</f>
        <v>0</v>
      </c>
      <c r="J18" s="184">
        <f t="shared" ref="J18:J26" si="9">G18-D18</f>
        <v>0</v>
      </c>
      <c r="K18" s="186">
        <f t="shared" ref="K18:K26" si="10">IF(AND(D18=0,J18=0),0,IF(AND(D18=0,J18&gt;0),1,J18/D18))</f>
        <v>0</v>
      </c>
    </row>
    <row r="19" spans="1:11" ht="19.95" customHeight="1">
      <c r="A19" s="268">
        <f t="shared" ref="A19:A26" si="11">A9</f>
        <v>0</v>
      </c>
      <c r="B19" s="233">
        <f>'明细表H2-2'!AI14</f>
        <v>0</v>
      </c>
      <c r="C19" s="233">
        <f>'明细表H2-2'!AM14</f>
        <v>0</v>
      </c>
      <c r="D19" s="233">
        <f t="shared" ref="D19:D25" si="12">B19+C19</f>
        <v>0</v>
      </c>
      <c r="E19" s="233">
        <f>'明细表H2-2'!AL14</f>
        <v>0</v>
      </c>
      <c r="F19" s="233">
        <f>'明细表H2-2'!AM14+'明细表H2-2'!AN14-'明细表H2-2'!AO14</f>
        <v>0</v>
      </c>
      <c r="G19" s="233">
        <f t="shared" ref="G19:G25" si="13">E19+F19</f>
        <v>0</v>
      </c>
      <c r="H19" s="184">
        <f t="shared" si="7"/>
        <v>0</v>
      </c>
      <c r="I19" s="186">
        <f t="shared" si="8"/>
        <v>0</v>
      </c>
      <c r="J19" s="184">
        <f t="shared" si="9"/>
        <v>0</v>
      </c>
      <c r="K19" s="186">
        <f t="shared" si="10"/>
        <v>0</v>
      </c>
    </row>
    <row r="20" spans="1:11" ht="19.95" customHeight="1">
      <c r="A20" s="268">
        <f t="shared" si="11"/>
        <v>0</v>
      </c>
      <c r="B20" s="233">
        <f>'明细表H2-2'!AI15</f>
        <v>0</v>
      </c>
      <c r="C20" s="233">
        <f>'明细表H2-2'!AM15</f>
        <v>0</v>
      </c>
      <c r="D20" s="233">
        <f t="shared" si="12"/>
        <v>0</v>
      </c>
      <c r="E20" s="233">
        <f>'明细表H2-2'!AL15</f>
        <v>0</v>
      </c>
      <c r="F20" s="233">
        <f>'明细表H2-2'!AM15+'明细表H2-2'!AN15-'明细表H2-2'!AO15</f>
        <v>0</v>
      </c>
      <c r="G20" s="233">
        <f t="shared" si="13"/>
        <v>0</v>
      </c>
      <c r="H20" s="184">
        <f t="shared" si="7"/>
        <v>0</v>
      </c>
      <c r="I20" s="186">
        <f t="shared" si="8"/>
        <v>0</v>
      </c>
      <c r="J20" s="184">
        <f t="shared" si="9"/>
        <v>0</v>
      </c>
      <c r="K20" s="186">
        <f t="shared" si="10"/>
        <v>0</v>
      </c>
    </row>
    <row r="21" spans="1:11" ht="19.95" customHeight="1">
      <c r="A21" s="268">
        <f t="shared" si="11"/>
        <v>0</v>
      </c>
      <c r="B21" s="233">
        <f>'明细表H2-2'!AI16</f>
        <v>0</v>
      </c>
      <c r="C21" s="233">
        <f>'明细表H2-2'!AM16</f>
        <v>0</v>
      </c>
      <c r="D21" s="233">
        <f t="shared" si="12"/>
        <v>0</v>
      </c>
      <c r="E21" s="233">
        <f>'明细表H2-2'!AL16</f>
        <v>0</v>
      </c>
      <c r="F21" s="233">
        <f>'明细表H2-2'!AM16+'明细表H2-2'!AN16-'明细表H2-2'!AO16</f>
        <v>0</v>
      </c>
      <c r="G21" s="233">
        <f t="shared" si="13"/>
        <v>0</v>
      </c>
      <c r="H21" s="184">
        <f t="shared" si="7"/>
        <v>0</v>
      </c>
      <c r="I21" s="186">
        <f t="shared" si="8"/>
        <v>0</v>
      </c>
      <c r="J21" s="184">
        <f t="shared" si="9"/>
        <v>0</v>
      </c>
      <c r="K21" s="186">
        <f t="shared" si="10"/>
        <v>0</v>
      </c>
    </row>
    <row r="22" spans="1:11" ht="19.95" customHeight="1">
      <c r="A22" s="268">
        <f t="shared" si="11"/>
        <v>0</v>
      </c>
      <c r="B22" s="233">
        <f>'明细表H2-2'!AI17</f>
        <v>0</v>
      </c>
      <c r="C22" s="233">
        <f>'明细表H2-2'!AM17</f>
        <v>0</v>
      </c>
      <c r="D22" s="233">
        <f t="shared" si="12"/>
        <v>0</v>
      </c>
      <c r="E22" s="233">
        <f>'明细表H2-2'!AL17</f>
        <v>0</v>
      </c>
      <c r="F22" s="233">
        <f>'明细表H2-2'!AM17+'明细表H2-2'!AN17-'明细表H2-2'!AO17</f>
        <v>0</v>
      </c>
      <c r="G22" s="233">
        <f t="shared" si="13"/>
        <v>0</v>
      </c>
      <c r="H22" s="184">
        <f t="shared" si="7"/>
        <v>0</v>
      </c>
      <c r="I22" s="186">
        <f t="shared" si="8"/>
        <v>0</v>
      </c>
      <c r="J22" s="184">
        <f t="shared" si="9"/>
        <v>0</v>
      </c>
      <c r="K22" s="186">
        <f t="shared" si="10"/>
        <v>0</v>
      </c>
    </row>
    <row r="23" spans="1:11" ht="19.95" customHeight="1">
      <c r="A23" s="268">
        <f t="shared" si="11"/>
        <v>0</v>
      </c>
      <c r="B23" s="233">
        <f>'明细表H2-2'!AI18</f>
        <v>0</v>
      </c>
      <c r="C23" s="233">
        <f>'明细表H2-2'!AM18</f>
        <v>0</v>
      </c>
      <c r="D23" s="233">
        <f t="shared" si="12"/>
        <v>0</v>
      </c>
      <c r="E23" s="233">
        <f>'明细表H2-2'!AL18</f>
        <v>0</v>
      </c>
      <c r="F23" s="233">
        <f>'明细表H2-2'!AM18+'明细表H2-2'!AN18-'明细表H2-2'!AO18</f>
        <v>0</v>
      </c>
      <c r="G23" s="233">
        <f t="shared" si="13"/>
        <v>0</v>
      </c>
      <c r="H23" s="184">
        <f t="shared" si="7"/>
        <v>0</v>
      </c>
      <c r="I23" s="186">
        <f t="shared" si="8"/>
        <v>0</v>
      </c>
      <c r="J23" s="184">
        <f t="shared" si="9"/>
        <v>0</v>
      </c>
      <c r="K23" s="186">
        <f t="shared" si="10"/>
        <v>0</v>
      </c>
    </row>
    <row r="24" spans="1:11" ht="19.95" customHeight="1">
      <c r="A24" s="268">
        <f t="shared" si="11"/>
        <v>0</v>
      </c>
      <c r="B24" s="233">
        <f>'明细表H2-2'!AI19</f>
        <v>0</v>
      </c>
      <c r="C24" s="233">
        <f>'明细表H2-2'!AM19</f>
        <v>0</v>
      </c>
      <c r="D24" s="233">
        <f t="shared" si="12"/>
        <v>0</v>
      </c>
      <c r="E24" s="233">
        <f>'明细表H2-2'!AL19</f>
        <v>0</v>
      </c>
      <c r="F24" s="233">
        <f>'明细表H2-2'!AM19+'明细表H2-2'!AN19-'明细表H2-2'!AO19</f>
        <v>0</v>
      </c>
      <c r="G24" s="233">
        <f t="shared" si="13"/>
        <v>0</v>
      </c>
      <c r="H24" s="184">
        <f t="shared" si="7"/>
        <v>0</v>
      </c>
      <c r="I24" s="186">
        <f t="shared" si="8"/>
        <v>0</v>
      </c>
      <c r="J24" s="184">
        <f t="shared" si="9"/>
        <v>0</v>
      </c>
      <c r="K24" s="186">
        <f t="shared" si="10"/>
        <v>0</v>
      </c>
    </row>
    <row r="25" spans="1:11" ht="19.95" customHeight="1">
      <c r="A25" s="268">
        <f t="shared" si="11"/>
        <v>0</v>
      </c>
      <c r="B25" s="233">
        <f>'明细表H2-2'!AI20</f>
        <v>0</v>
      </c>
      <c r="C25" s="233">
        <f>'明细表H2-2'!AM20</f>
        <v>0</v>
      </c>
      <c r="D25" s="233">
        <f t="shared" si="12"/>
        <v>0</v>
      </c>
      <c r="E25" s="233">
        <f>'明细表H2-2'!AL20</f>
        <v>0</v>
      </c>
      <c r="F25" s="233">
        <f>'明细表H2-2'!AM20+'明细表H2-2'!AN20-'明细表H2-2'!AO20</f>
        <v>0</v>
      </c>
      <c r="G25" s="233">
        <f t="shared" si="13"/>
        <v>0</v>
      </c>
      <c r="H25" s="184">
        <f t="shared" si="7"/>
        <v>0</v>
      </c>
      <c r="I25" s="186">
        <f t="shared" si="8"/>
        <v>0</v>
      </c>
      <c r="J25" s="184">
        <f t="shared" si="9"/>
        <v>0</v>
      </c>
      <c r="K25" s="186">
        <f t="shared" si="10"/>
        <v>0</v>
      </c>
    </row>
    <row r="26" spans="1:11" s="4" customFormat="1" ht="19.95" customHeight="1">
      <c r="A26" s="485" t="str">
        <f t="shared" si="11"/>
        <v>合计</v>
      </c>
      <c r="B26" s="419">
        <f>SUM(B18:B25)</f>
        <v>0</v>
      </c>
      <c r="C26" s="419">
        <f t="shared" ref="C26:G26" si="14">SUM(C18:C25)</f>
        <v>0</v>
      </c>
      <c r="D26" s="419">
        <f t="shared" si="14"/>
        <v>0</v>
      </c>
      <c r="E26" s="419">
        <f t="shared" si="14"/>
        <v>0</v>
      </c>
      <c r="F26" s="419">
        <f t="shared" si="14"/>
        <v>0</v>
      </c>
      <c r="G26" s="419">
        <f t="shared" si="14"/>
        <v>0</v>
      </c>
      <c r="H26" s="366">
        <f t="shared" si="7"/>
        <v>0</v>
      </c>
      <c r="I26" s="420">
        <f t="shared" si="8"/>
        <v>0</v>
      </c>
      <c r="J26" s="366">
        <f t="shared" si="9"/>
        <v>0</v>
      </c>
      <c r="K26" s="420">
        <f t="shared" si="10"/>
        <v>0</v>
      </c>
    </row>
    <row r="27" spans="1:11" ht="19.95" customHeight="1">
      <c r="A27" s="265" t="s">
        <v>195</v>
      </c>
      <c r="B27" s="73"/>
      <c r="C27" s="73"/>
      <c r="D27" s="73"/>
      <c r="E27" s="73"/>
      <c r="F27" s="73"/>
      <c r="G27" s="73"/>
      <c r="H27" s="76"/>
      <c r="I27" s="77"/>
      <c r="J27" s="76"/>
      <c r="K27" s="77"/>
    </row>
    <row r="28" spans="1:11" ht="19.95" customHeight="1">
      <c r="A28" s="268">
        <f>A18</f>
        <v>0</v>
      </c>
      <c r="B28" s="233">
        <f>B8-B18</f>
        <v>0</v>
      </c>
      <c r="C28" s="233">
        <f t="shared" ref="C28" si="15">C8-C18</f>
        <v>0</v>
      </c>
      <c r="D28" s="233">
        <f>D8-D18</f>
        <v>0</v>
      </c>
      <c r="E28" s="233">
        <f>E8-E18</f>
        <v>0</v>
      </c>
      <c r="F28" s="233">
        <f t="shared" ref="F28:G28" si="16">F8-F18</f>
        <v>0</v>
      </c>
      <c r="G28" s="233">
        <f t="shared" si="16"/>
        <v>0</v>
      </c>
      <c r="H28" s="184">
        <f t="shared" ref="H28:H36" si="17">E28-B28</f>
        <v>0</v>
      </c>
      <c r="I28" s="186">
        <f t="shared" ref="I28:I36" si="18">IF(AND(B28=0,H28=0),0,IF(AND(B28=0,H28&gt;0),1,H28/B28))</f>
        <v>0</v>
      </c>
      <c r="J28" s="184">
        <f t="shared" ref="J28:J36" si="19">G28-D28</f>
        <v>0</v>
      </c>
      <c r="K28" s="186">
        <f t="shared" ref="K28:K36" si="20">IF(AND(D28=0,J28=0),0,IF(AND(D28=0,J28&gt;0),1,J28/D28))</f>
        <v>0</v>
      </c>
    </row>
    <row r="29" spans="1:11" ht="19.95" customHeight="1">
      <c r="A29" s="268">
        <f t="shared" ref="A29:A35" si="21">A19</f>
        <v>0</v>
      </c>
      <c r="B29" s="233">
        <f t="shared" ref="B29:D29" si="22">B9-B19</f>
        <v>0</v>
      </c>
      <c r="C29" s="233">
        <f t="shared" si="22"/>
        <v>0</v>
      </c>
      <c r="D29" s="233">
        <f t="shared" si="22"/>
        <v>0</v>
      </c>
      <c r="E29" s="233">
        <f t="shared" ref="E29:G29" si="23">E9-E19</f>
        <v>0</v>
      </c>
      <c r="F29" s="233">
        <f t="shared" si="23"/>
        <v>0</v>
      </c>
      <c r="G29" s="233">
        <f t="shared" si="23"/>
        <v>0</v>
      </c>
      <c r="H29" s="184">
        <f t="shared" si="17"/>
        <v>0</v>
      </c>
      <c r="I29" s="186">
        <f t="shared" si="18"/>
        <v>0</v>
      </c>
      <c r="J29" s="184">
        <f t="shared" si="19"/>
        <v>0</v>
      </c>
      <c r="K29" s="186">
        <f t="shared" si="20"/>
        <v>0</v>
      </c>
    </row>
    <row r="30" spans="1:11" ht="19.95" customHeight="1">
      <c r="A30" s="268">
        <f t="shared" si="21"/>
        <v>0</v>
      </c>
      <c r="B30" s="233">
        <f t="shared" ref="B30:D30" si="24">B10-B20</f>
        <v>0</v>
      </c>
      <c r="C30" s="233">
        <f t="shared" si="24"/>
        <v>0</v>
      </c>
      <c r="D30" s="233">
        <f t="shared" si="24"/>
        <v>0</v>
      </c>
      <c r="E30" s="233">
        <f t="shared" ref="E30:G30" si="25">E10-E20</f>
        <v>0</v>
      </c>
      <c r="F30" s="233">
        <f t="shared" si="25"/>
        <v>0</v>
      </c>
      <c r="G30" s="233">
        <f t="shared" si="25"/>
        <v>0</v>
      </c>
      <c r="H30" s="184">
        <f t="shared" si="17"/>
        <v>0</v>
      </c>
      <c r="I30" s="186">
        <f t="shared" si="18"/>
        <v>0</v>
      </c>
      <c r="J30" s="184">
        <f t="shared" si="19"/>
        <v>0</v>
      </c>
      <c r="K30" s="186">
        <f t="shared" si="20"/>
        <v>0</v>
      </c>
    </row>
    <row r="31" spans="1:11" ht="19.95" customHeight="1">
      <c r="A31" s="268">
        <f t="shared" si="21"/>
        <v>0</v>
      </c>
      <c r="B31" s="233">
        <f t="shared" ref="B31:D31" si="26">B11-B21</f>
        <v>0</v>
      </c>
      <c r="C31" s="233">
        <f t="shared" si="26"/>
        <v>0</v>
      </c>
      <c r="D31" s="233">
        <f t="shared" si="26"/>
        <v>0</v>
      </c>
      <c r="E31" s="233">
        <f t="shared" ref="E31:G31" si="27">E11-E21</f>
        <v>0</v>
      </c>
      <c r="F31" s="233">
        <f t="shared" si="27"/>
        <v>0</v>
      </c>
      <c r="G31" s="233">
        <f t="shared" si="27"/>
        <v>0</v>
      </c>
      <c r="H31" s="184">
        <f t="shared" si="17"/>
        <v>0</v>
      </c>
      <c r="I31" s="186">
        <f t="shared" si="18"/>
        <v>0</v>
      </c>
      <c r="J31" s="184">
        <f t="shared" si="19"/>
        <v>0</v>
      </c>
      <c r="K31" s="186">
        <f t="shared" si="20"/>
        <v>0</v>
      </c>
    </row>
    <row r="32" spans="1:11" ht="19.95" customHeight="1">
      <c r="A32" s="268">
        <f t="shared" si="21"/>
        <v>0</v>
      </c>
      <c r="B32" s="233">
        <f t="shared" ref="B32:D32" si="28">B12-B22</f>
        <v>0</v>
      </c>
      <c r="C32" s="233">
        <f t="shared" si="28"/>
        <v>0</v>
      </c>
      <c r="D32" s="233">
        <f t="shared" si="28"/>
        <v>0</v>
      </c>
      <c r="E32" s="233">
        <f t="shared" ref="E32:G32" si="29">E12-E22</f>
        <v>0</v>
      </c>
      <c r="F32" s="233">
        <f t="shared" si="29"/>
        <v>0</v>
      </c>
      <c r="G32" s="233">
        <f t="shared" si="29"/>
        <v>0</v>
      </c>
      <c r="H32" s="184">
        <f t="shared" si="17"/>
        <v>0</v>
      </c>
      <c r="I32" s="186">
        <f t="shared" si="18"/>
        <v>0</v>
      </c>
      <c r="J32" s="184">
        <f t="shared" si="19"/>
        <v>0</v>
      </c>
      <c r="K32" s="186">
        <f t="shared" si="20"/>
        <v>0</v>
      </c>
    </row>
    <row r="33" spans="1:11" ht="19.95" customHeight="1">
      <c r="A33" s="268">
        <f t="shared" si="21"/>
        <v>0</v>
      </c>
      <c r="B33" s="233">
        <f t="shared" ref="B33:D33" si="30">B13-B23</f>
        <v>0</v>
      </c>
      <c r="C33" s="233">
        <f t="shared" si="30"/>
        <v>0</v>
      </c>
      <c r="D33" s="233">
        <f t="shared" si="30"/>
        <v>0</v>
      </c>
      <c r="E33" s="233">
        <f t="shared" ref="E33:G33" si="31">E13-E23</f>
        <v>0</v>
      </c>
      <c r="F33" s="233">
        <f t="shared" si="31"/>
        <v>0</v>
      </c>
      <c r="G33" s="233">
        <f t="shared" si="31"/>
        <v>0</v>
      </c>
      <c r="H33" s="184">
        <f t="shared" si="17"/>
        <v>0</v>
      </c>
      <c r="I33" s="186">
        <f t="shared" si="18"/>
        <v>0</v>
      </c>
      <c r="J33" s="184">
        <f t="shared" si="19"/>
        <v>0</v>
      </c>
      <c r="K33" s="186">
        <f t="shared" si="20"/>
        <v>0</v>
      </c>
    </row>
    <row r="34" spans="1:11" ht="19.95" customHeight="1">
      <c r="A34" s="268">
        <f t="shared" si="21"/>
        <v>0</v>
      </c>
      <c r="B34" s="233">
        <f t="shared" ref="B34:D34" si="32">B14-B24</f>
        <v>0</v>
      </c>
      <c r="C34" s="233">
        <f t="shared" si="32"/>
        <v>0</v>
      </c>
      <c r="D34" s="233">
        <f t="shared" si="32"/>
        <v>0</v>
      </c>
      <c r="E34" s="233">
        <f t="shared" ref="E34:G34" si="33">E14-E24</f>
        <v>0</v>
      </c>
      <c r="F34" s="233">
        <f t="shared" si="33"/>
        <v>0</v>
      </c>
      <c r="G34" s="233">
        <f t="shared" si="33"/>
        <v>0</v>
      </c>
      <c r="H34" s="184">
        <f t="shared" si="17"/>
        <v>0</v>
      </c>
      <c r="I34" s="186">
        <f t="shared" si="18"/>
        <v>0</v>
      </c>
      <c r="J34" s="184">
        <f t="shared" si="19"/>
        <v>0</v>
      </c>
      <c r="K34" s="186">
        <f t="shared" si="20"/>
        <v>0</v>
      </c>
    </row>
    <row r="35" spans="1:11" ht="19.2" customHeight="1">
      <c r="A35" s="268">
        <f t="shared" si="21"/>
        <v>0</v>
      </c>
      <c r="B35" s="233">
        <f t="shared" ref="B35:D35" si="34">B15-B25</f>
        <v>0</v>
      </c>
      <c r="C35" s="233">
        <f t="shared" si="34"/>
        <v>0</v>
      </c>
      <c r="D35" s="233">
        <f t="shared" si="34"/>
        <v>0</v>
      </c>
      <c r="E35" s="233">
        <f t="shared" ref="E35:G35" si="35">E15-E25</f>
        <v>0</v>
      </c>
      <c r="F35" s="233">
        <f t="shared" si="35"/>
        <v>0</v>
      </c>
      <c r="G35" s="233">
        <f t="shared" si="35"/>
        <v>0</v>
      </c>
      <c r="H35" s="184">
        <f t="shared" si="17"/>
        <v>0</v>
      </c>
      <c r="I35" s="186">
        <f t="shared" si="18"/>
        <v>0</v>
      </c>
      <c r="J35" s="184">
        <f t="shared" si="19"/>
        <v>0</v>
      </c>
      <c r="K35" s="186">
        <f t="shared" si="20"/>
        <v>0</v>
      </c>
    </row>
    <row r="36" spans="1:11" s="4" customFormat="1" ht="19.95" customHeight="1">
      <c r="A36" s="485" t="s">
        <v>807</v>
      </c>
      <c r="B36" s="419">
        <f>SUM(B28:B35)</f>
        <v>0</v>
      </c>
      <c r="C36" s="419">
        <f t="shared" ref="C36:G36" si="36">SUM(C28:C35)</f>
        <v>0</v>
      </c>
      <c r="D36" s="419">
        <f t="shared" si="36"/>
        <v>0</v>
      </c>
      <c r="E36" s="419">
        <f t="shared" si="36"/>
        <v>0</v>
      </c>
      <c r="F36" s="419">
        <f t="shared" si="36"/>
        <v>0</v>
      </c>
      <c r="G36" s="419">
        <f t="shared" si="36"/>
        <v>0</v>
      </c>
      <c r="H36" s="366">
        <f t="shared" si="17"/>
        <v>0</v>
      </c>
      <c r="I36" s="420">
        <f t="shared" si="18"/>
        <v>0</v>
      </c>
      <c r="J36" s="366">
        <f t="shared" si="19"/>
        <v>0</v>
      </c>
      <c r="K36" s="420">
        <f t="shared" si="20"/>
        <v>0</v>
      </c>
    </row>
    <row r="37" spans="1:11" ht="19.95" customHeight="1">
      <c r="A37" s="269" t="s">
        <v>196</v>
      </c>
      <c r="B37" s="54"/>
      <c r="C37" s="54"/>
      <c r="D37" s="54"/>
      <c r="E37" s="54"/>
      <c r="F37" s="54"/>
      <c r="G37" s="54"/>
      <c r="H37" s="54"/>
      <c r="I37" s="54"/>
      <c r="J37" s="54"/>
      <c r="K37" s="54"/>
    </row>
    <row r="38" spans="1:11" ht="19.95" customHeight="1">
      <c r="A38" s="119" t="s">
        <v>197</v>
      </c>
      <c r="D38" s="55"/>
    </row>
    <row r="39" spans="1:11" ht="19.95" customHeight="1">
      <c r="A39" s="119" t="s">
        <v>198</v>
      </c>
    </row>
    <row r="42" spans="1:11" ht="19.95" customHeight="1">
      <c r="A42" s="1" t="s">
        <v>199</v>
      </c>
    </row>
    <row r="44" spans="1:11" ht="19.95" customHeight="1">
      <c r="A44" s="1" t="s">
        <v>200</v>
      </c>
      <c r="B44" s="119"/>
      <c r="C44" s="119"/>
    </row>
    <row r="45" spans="1:11" ht="19.95" customHeight="1">
      <c r="A45" s="120"/>
      <c r="B45" s="121" t="s">
        <v>201</v>
      </c>
      <c r="C45" s="121" t="s">
        <v>202</v>
      </c>
    </row>
    <row r="46" spans="1:11" ht="19.95" customHeight="1">
      <c r="A46" s="120" t="s">
        <v>203</v>
      </c>
      <c r="B46" s="234">
        <f>G36</f>
        <v>0</v>
      </c>
      <c r="C46" s="234">
        <f>D36</f>
        <v>0</v>
      </c>
    </row>
    <row r="47" spans="1:11" ht="19.95" customHeight="1">
      <c r="A47" s="120" t="s">
        <v>204</v>
      </c>
      <c r="B47" s="122"/>
      <c r="C47" s="122"/>
    </row>
    <row r="48" spans="1:11" ht="19.95" customHeight="1">
      <c r="A48" s="120" t="s">
        <v>205</v>
      </c>
      <c r="B48" s="234">
        <f>B46+B47</f>
        <v>0</v>
      </c>
      <c r="C48" s="234">
        <f>C46+C47</f>
        <v>0</v>
      </c>
    </row>
    <row r="49" spans="1:3" ht="19.95" customHeight="1">
      <c r="A49" s="120" t="s">
        <v>206</v>
      </c>
      <c r="B49" s="122"/>
      <c r="C49" s="122"/>
    </row>
    <row r="50" spans="1:3" ht="19.95" customHeight="1">
      <c r="A50" s="120" t="s">
        <v>207</v>
      </c>
      <c r="B50" s="234">
        <f>B48-B49</f>
        <v>0</v>
      </c>
      <c r="C50" s="234">
        <f>C48-C49</f>
        <v>0</v>
      </c>
    </row>
    <row r="51" spans="1:3" ht="19.95" customHeight="1">
      <c r="A51" s="119"/>
      <c r="B51" s="123"/>
      <c r="C51" s="123"/>
    </row>
    <row r="52" spans="1:3" ht="19.95" customHeight="1">
      <c r="A52" s="4" t="s">
        <v>208</v>
      </c>
    </row>
    <row r="55" spans="1:3" s="5" customFormat="1" ht="19.95" customHeight="1">
      <c r="A55" s="451" t="s">
        <v>878</v>
      </c>
    </row>
    <row r="56" spans="1:3" s="5" customFormat="1" ht="19.95" customHeight="1">
      <c r="A56" s="5" t="s">
        <v>209</v>
      </c>
    </row>
    <row r="57" spans="1:3" s="5" customFormat="1" ht="19.95" customHeight="1">
      <c r="A57" s="5" t="s">
        <v>210</v>
      </c>
    </row>
    <row r="58" spans="1:3" s="5" customFormat="1" ht="19.95" customHeight="1">
      <c r="A58" s="5" t="s">
        <v>211</v>
      </c>
    </row>
    <row r="59" spans="1:3" s="5" customFormat="1" ht="19.95" customHeight="1">
      <c r="A59" s="5" t="s">
        <v>212</v>
      </c>
    </row>
    <row r="60" spans="1:3" s="5" customFormat="1" ht="19.95" customHeight="1">
      <c r="A60" s="5" t="s">
        <v>213</v>
      </c>
    </row>
    <row r="61" spans="1:3" s="5" customFormat="1" ht="19.95" customHeight="1">
      <c r="A61" s="5" t="s">
        <v>214</v>
      </c>
    </row>
    <row r="62" spans="1:3" s="5" customFormat="1" ht="19.95" customHeight="1"/>
    <row r="63" spans="1:3" s="5" customFormat="1" ht="19.95" customHeight="1">
      <c r="A63" s="5" t="s">
        <v>215</v>
      </c>
    </row>
    <row r="64" spans="1:3" s="5" customFormat="1" ht="19.95" customHeight="1">
      <c r="A64" s="5" t="s">
        <v>216</v>
      </c>
    </row>
    <row r="65" spans="1:2" s="5" customFormat="1" ht="19.95" customHeight="1">
      <c r="A65" s="5" t="s">
        <v>217</v>
      </c>
    </row>
    <row r="66" spans="1:2" s="5" customFormat="1" ht="19.95" customHeight="1">
      <c r="A66" s="5" t="s">
        <v>218</v>
      </c>
    </row>
    <row r="67" spans="1:2" s="5" customFormat="1" ht="19.95" customHeight="1">
      <c r="A67" s="5" t="s">
        <v>219</v>
      </c>
    </row>
    <row r="68" spans="1:2" s="5" customFormat="1" ht="19.95" customHeight="1">
      <c r="A68" s="5" t="s">
        <v>220</v>
      </c>
    </row>
    <row r="69" spans="1:2" s="5" customFormat="1" ht="19.95" customHeight="1">
      <c r="A69" s="270" t="s">
        <v>221</v>
      </c>
    </row>
    <row r="70" spans="1:2" s="5" customFormat="1" ht="19.95" customHeight="1">
      <c r="A70" s="5" t="s">
        <v>222</v>
      </c>
    </row>
    <row r="71" spans="1:2" s="5" customFormat="1" ht="19.95" customHeight="1">
      <c r="A71" s="5" t="s">
        <v>223</v>
      </c>
    </row>
    <row r="72" spans="1:2" ht="19.95" customHeight="1">
      <c r="A72" s="5" t="s">
        <v>224</v>
      </c>
    </row>
    <row r="73" spans="1:2" ht="19.95" customHeight="1">
      <c r="A73" s="5" t="s">
        <v>225</v>
      </c>
    </row>
    <row r="74" spans="1:2" ht="19.95" customHeight="1">
      <c r="A74" s="5" t="s">
        <v>226</v>
      </c>
    </row>
    <row r="75" spans="1:2" ht="19.95" customHeight="1">
      <c r="A75" s="5" t="s">
        <v>227</v>
      </c>
    </row>
    <row r="76" spans="1:2" ht="19.95" customHeight="1">
      <c r="A76" s="5" t="s">
        <v>228</v>
      </c>
    </row>
    <row r="78" spans="1:2" ht="19.95" customHeight="1">
      <c r="A78" s="5" t="s">
        <v>229</v>
      </c>
    </row>
    <row r="79" spans="1:2" ht="19.95" customHeight="1">
      <c r="A79" s="270" t="s">
        <v>230</v>
      </c>
    </row>
    <row r="80" spans="1:2" ht="19.95" customHeight="1">
      <c r="A80" s="271" t="s">
        <v>231</v>
      </c>
      <c r="B80" s="5" t="s">
        <v>232</v>
      </c>
    </row>
    <row r="81" spans="1:2" ht="19.95" customHeight="1">
      <c r="A81" s="271" t="s">
        <v>233</v>
      </c>
      <c r="B81" s="5" t="s">
        <v>234</v>
      </c>
    </row>
    <row r="82" spans="1:2" ht="19.95" customHeight="1">
      <c r="A82" s="271" t="s">
        <v>235</v>
      </c>
      <c r="B82" s="5" t="s">
        <v>236</v>
      </c>
    </row>
    <row r="84" spans="1:2" ht="19.95" customHeight="1">
      <c r="A84" s="5" t="s">
        <v>237</v>
      </c>
    </row>
  </sheetData>
  <mergeCells count="7">
    <mergeCell ref="H5:I5"/>
    <mergeCell ref="J5:K5"/>
    <mergeCell ref="A1:K1"/>
    <mergeCell ref="A2:K2"/>
    <mergeCell ref="A5:A6"/>
    <mergeCell ref="B5:D5"/>
    <mergeCell ref="E5:G5"/>
  </mergeCells>
  <phoneticPr fontId="5" type="noConversion"/>
  <hyperlinks>
    <hyperlink ref="K3" location="底稿目录!A1" display="H2-1"/>
  </hyperlinks>
  <printOptions horizontalCentered="1"/>
  <pageMargins left="0.43307086614173229" right="0.39370078740157483" top="0.39370078740157483" bottom="0.39370078740157483" header="0.31496062992125984" footer="0.31496062992125984"/>
  <pageSetup paperSize="9" scale="77" fitToHeight="4" orientation="portrait"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V57"/>
  <sheetViews>
    <sheetView view="pageBreakPreview" zoomScaleSheetLayoutView="100" workbookViewId="0">
      <selection activeCell="K15" sqref="K15"/>
    </sheetView>
  </sheetViews>
  <sheetFormatPr defaultColWidth="9" defaultRowHeight="19.95" customHeight="1"/>
  <cols>
    <col min="1" max="1" width="29.69921875" style="9" customWidth="1"/>
    <col min="2" max="7" width="13.3984375" style="9" customWidth="1"/>
    <col min="8" max="8" width="7.69921875" style="9" customWidth="1"/>
    <col min="9" max="9" width="10.19921875" style="9" customWidth="1"/>
    <col min="10" max="16384" width="9" style="9"/>
  </cols>
  <sheetData>
    <row r="1" spans="1:256" s="423" customFormat="1" ht="19.95" customHeight="1">
      <c r="A1" s="628" t="s">
        <v>0</v>
      </c>
      <c r="B1" s="628"/>
      <c r="C1" s="628"/>
      <c r="D1" s="628"/>
      <c r="E1" s="628"/>
      <c r="F1" s="628"/>
      <c r="G1" s="628"/>
      <c r="H1" s="628"/>
      <c r="I1" s="628"/>
      <c r="J1" s="422"/>
      <c r="K1" s="422"/>
      <c r="L1" s="422"/>
      <c r="M1" s="422"/>
      <c r="N1" s="422"/>
      <c r="O1" s="422"/>
      <c r="P1" s="422"/>
      <c r="Q1" s="422"/>
      <c r="R1" s="422"/>
      <c r="S1" s="422"/>
      <c r="T1" s="422"/>
      <c r="U1" s="422"/>
      <c r="V1" s="422"/>
      <c r="W1" s="422"/>
      <c r="X1" s="422"/>
      <c r="Y1" s="422"/>
      <c r="Z1" s="422"/>
      <c r="AA1" s="422"/>
      <c r="AB1" s="422"/>
      <c r="AC1" s="422"/>
      <c r="AD1" s="422"/>
      <c r="AE1" s="422"/>
      <c r="AF1" s="422"/>
      <c r="AG1" s="422"/>
      <c r="AH1" s="422"/>
      <c r="AI1" s="422"/>
      <c r="AJ1" s="422"/>
      <c r="AK1" s="422"/>
      <c r="AL1" s="422"/>
      <c r="AM1" s="422"/>
      <c r="AN1" s="422"/>
      <c r="AO1" s="422"/>
      <c r="AP1" s="422"/>
      <c r="AQ1" s="422"/>
      <c r="AR1" s="422"/>
      <c r="AS1" s="422"/>
      <c r="AT1" s="422"/>
      <c r="AU1" s="422"/>
      <c r="AV1" s="422"/>
      <c r="AW1" s="422"/>
      <c r="AX1" s="422"/>
      <c r="AY1" s="422"/>
      <c r="AZ1" s="422"/>
      <c r="BA1" s="422"/>
      <c r="BB1" s="422"/>
      <c r="BC1" s="422"/>
      <c r="BD1" s="422"/>
      <c r="BE1" s="422"/>
      <c r="BF1" s="422"/>
      <c r="BG1" s="422"/>
      <c r="BH1" s="422"/>
      <c r="BI1" s="422"/>
      <c r="BJ1" s="422"/>
      <c r="BK1" s="422"/>
      <c r="BL1" s="422"/>
      <c r="BM1" s="422"/>
      <c r="BN1" s="422"/>
      <c r="BO1" s="422"/>
      <c r="BP1" s="422"/>
      <c r="BQ1" s="422"/>
      <c r="BR1" s="422"/>
      <c r="BS1" s="422"/>
      <c r="BT1" s="422"/>
      <c r="BU1" s="422"/>
      <c r="BV1" s="422"/>
      <c r="BW1" s="422"/>
      <c r="BX1" s="422"/>
      <c r="BY1" s="422"/>
      <c r="BZ1" s="422"/>
      <c r="CA1" s="422"/>
      <c r="CB1" s="422"/>
      <c r="CC1" s="422"/>
      <c r="CD1" s="422"/>
      <c r="CE1" s="422"/>
      <c r="CF1" s="422"/>
      <c r="CG1" s="422"/>
      <c r="CH1" s="422"/>
      <c r="CI1" s="422"/>
      <c r="CJ1" s="422"/>
      <c r="CK1" s="422"/>
      <c r="CL1" s="422"/>
      <c r="CM1" s="422"/>
      <c r="CN1" s="422"/>
      <c r="CO1" s="422"/>
      <c r="CP1" s="422"/>
      <c r="CQ1" s="422"/>
      <c r="CR1" s="422"/>
      <c r="CS1" s="422"/>
      <c r="CT1" s="422"/>
      <c r="CU1" s="422"/>
      <c r="CV1" s="422"/>
      <c r="CW1" s="422"/>
      <c r="CX1" s="422"/>
      <c r="CY1" s="422"/>
      <c r="CZ1" s="422"/>
      <c r="DA1" s="422"/>
      <c r="DB1" s="422"/>
      <c r="DC1" s="422"/>
      <c r="DD1" s="422"/>
      <c r="DE1" s="422"/>
      <c r="DF1" s="422"/>
      <c r="DG1" s="422"/>
      <c r="DH1" s="422"/>
      <c r="DI1" s="422"/>
      <c r="DJ1" s="422"/>
      <c r="DK1" s="422"/>
      <c r="DL1" s="422"/>
      <c r="DM1" s="422"/>
      <c r="DN1" s="422"/>
      <c r="DO1" s="422"/>
      <c r="DP1" s="422"/>
      <c r="DQ1" s="422"/>
      <c r="DR1" s="422"/>
      <c r="DS1" s="422"/>
      <c r="DT1" s="422"/>
      <c r="DU1" s="422"/>
      <c r="DV1" s="422"/>
      <c r="DW1" s="422"/>
      <c r="DX1" s="422"/>
      <c r="DY1" s="422"/>
      <c r="DZ1" s="422"/>
      <c r="EA1" s="422"/>
      <c r="EB1" s="422"/>
      <c r="EC1" s="422"/>
      <c r="ED1" s="422"/>
      <c r="EE1" s="422"/>
      <c r="EF1" s="422"/>
      <c r="EG1" s="422"/>
      <c r="EH1" s="422"/>
      <c r="EI1" s="422"/>
      <c r="EJ1" s="422"/>
      <c r="EK1" s="422"/>
      <c r="EL1" s="422"/>
      <c r="EM1" s="422"/>
      <c r="EN1" s="422"/>
      <c r="EO1" s="422"/>
      <c r="EP1" s="422"/>
      <c r="EQ1" s="422"/>
      <c r="ER1" s="422"/>
      <c r="ES1" s="422"/>
      <c r="ET1" s="422"/>
      <c r="EU1" s="422"/>
      <c r="EV1" s="422"/>
      <c r="EW1" s="422"/>
      <c r="EX1" s="422"/>
      <c r="EY1" s="422"/>
      <c r="EZ1" s="422"/>
      <c r="FA1" s="422"/>
      <c r="FB1" s="422"/>
      <c r="FC1" s="422"/>
      <c r="FD1" s="422"/>
      <c r="FE1" s="422"/>
      <c r="FF1" s="422"/>
      <c r="FG1" s="422"/>
      <c r="FH1" s="422"/>
      <c r="FI1" s="422"/>
      <c r="FJ1" s="422"/>
      <c r="FK1" s="422"/>
      <c r="FL1" s="422"/>
      <c r="FM1" s="422"/>
      <c r="FN1" s="422"/>
      <c r="FO1" s="422"/>
      <c r="FP1" s="422"/>
      <c r="FQ1" s="422"/>
      <c r="FR1" s="422"/>
      <c r="FS1" s="422"/>
      <c r="FT1" s="422"/>
      <c r="FU1" s="422"/>
      <c r="FV1" s="422"/>
      <c r="FW1" s="422"/>
      <c r="FX1" s="422"/>
      <c r="FY1" s="422"/>
      <c r="FZ1" s="422"/>
      <c r="GA1" s="422"/>
      <c r="GB1" s="422"/>
      <c r="GC1" s="422"/>
      <c r="GD1" s="422"/>
      <c r="GE1" s="422"/>
      <c r="GF1" s="422"/>
      <c r="GG1" s="422"/>
      <c r="GH1" s="422"/>
      <c r="GI1" s="422"/>
      <c r="GJ1" s="422"/>
      <c r="GK1" s="422"/>
      <c r="GL1" s="422"/>
      <c r="GM1" s="422"/>
      <c r="GN1" s="422"/>
      <c r="GO1" s="422"/>
      <c r="GP1" s="422"/>
      <c r="GQ1" s="422"/>
      <c r="GR1" s="422"/>
      <c r="GS1" s="422"/>
      <c r="GT1" s="422"/>
      <c r="GU1" s="422"/>
      <c r="GV1" s="422"/>
      <c r="GW1" s="422"/>
      <c r="GX1" s="422"/>
      <c r="GY1" s="422"/>
      <c r="GZ1" s="422"/>
      <c r="HA1" s="422"/>
      <c r="HB1" s="422"/>
      <c r="HC1" s="422"/>
      <c r="HD1" s="422"/>
      <c r="HE1" s="422"/>
      <c r="HF1" s="422"/>
      <c r="HG1" s="422"/>
      <c r="HH1" s="422"/>
      <c r="HI1" s="422"/>
      <c r="HJ1" s="422"/>
      <c r="HK1" s="422"/>
      <c r="HL1" s="422"/>
      <c r="HM1" s="422"/>
      <c r="HN1" s="422"/>
      <c r="HO1" s="422"/>
      <c r="HP1" s="422"/>
      <c r="HQ1" s="422"/>
      <c r="HR1" s="422"/>
      <c r="HS1" s="422"/>
      <c r="HT1" s="422"/>
      <c r="HU1" s="422"/>
      <c r="HV1" s="422"/>
      <c r="HW1" s="422"/>
      <c r="HX1" s="422"/>
      <c r="HY1" s="422"/>
      <c r="HZ1" s="422"/>
      <c r="IA1" s="422"/>
      <c r="IB1" s="422"/>
      <c r="IC1" s="422"/>
      <c r="ID1" s="422"/>
      <c r="IE1" s="422"/>
      <c r="IF1" s="422"/>
      <c r="IG1" s="422"/>
      <c r="IH1" s="422"/>
      <c r="II1" s="422"/>
      <c r="IJ1" s="422"/>
      <c r="IK1" s="422"/>
      <c r="IL1" s="422"/>
      <c r="IM1" s="422"/>
      <c r="IN1" s="422"/>
      <c r="IO1" s="422"/>
      <c r="IP1" s="422"/>
      <c r="IQ1" s="422"/>
      <c r="IR1" s="422"/>
      <c r="IS1" s="422"/>
      <c r="IT1" s="422"/>
      <c r="IU1" s="422"/>
      <c r="IV1" s="422"/>
    </row>
    <row r="2" spans="1:256" ht="19.95" customHeight="1">
      <c r="A2" s="629" t="s">
        <v>1</v>
      </c>
      <c r="B2" s="629"/>
      <c r="C2" s="629"/>
      <c r="D2" s="629"/>
      <c r="E2" s="629"/>
      <c r="F2" s="629"/>
      <c r="G2" s="629"/>
      <c r="H2" s="629"/>
      <c r="I2" s="629"/>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row>
    <row r="3" spans="1:256" ht="19.95" customHeight="1">
      <c r="A3" s="2" t="str">
        <f>底稿目录!A2</f>
        <v>被审计单位：</v>
      </c>
      <c r="B3" s="2"/>
      <c r="C3" s="2" t="str">
        <f>底稿目录!A4</f>
        <v>编制人：</v>
      </c>
      <c r="F3" s="2" t="str">
        <f>底稿目录!A6</f>
        <v>编制日期：</v>
      </c>
      <c r="H3" s="440" t="s">
        <v>832</v>
      </c>
      <c r="J3" s="360" t="s">
        <v>796</v>
      </c>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row>
    <row r="4" spans="1:256" ht="19.95" customHeight="1">
      <c r="A4" s="2" t="str">
        <f>底稿目录!A3</f>
        <v>截止日：202X年12月31日</v>
      </c>
      <c r="B4" s="2"/>
      <c r="C4" s="2" t="str">
        <f>底稿目录!A5</f>
        <v>复核人：</v>
      </c>
      <c r="F4" s="2" t="str">
        <f>底稿目录!A7</f>
        <v>复核日期：</v>
      </c>
      <c r="H4" s="440" t="s">
        <v>833</v>
      </c>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row>
    <row r="5" spans="1:256" ht="19.95" customHeight="1">
      <c r="A5" s="124"/>
      <c r="B5" s="2"/>
      <c r="C5" s="3"/>
      <c r="E5" s="3"/>
      <c r="F5" s="79"/>
      <c r="H5" s="7"/>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row>
    <row r="6" spans="1:256" ht="19.95" customHeight="1" thickBot="1">
      <c r="A6" s="141" t="s">
        <v>128</v>
      </c>
      <c r="B6" s="135"/>
      <c r="C6" s="135"/>
      <c r="D6" s="136"/>
      <c r="E6" s="135"/>
      <c r="F6" s="137"/>
      <c r="G6" s="136"/>
      <c r="H6" s="138"/>
      <c r="I6" s="136"/>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row>
    <row r="7" spans="1:256" ht="19.95" customHeight="1" thickBot="1">
      <c r="A7" s="144" t="s">
        <v>56</v>
      </c>
      <c r="B7" s="145" t="s">
        <v>57</v>
      </c>
      <c r="C7" s="145" t="s">
        <v>58</v>
      </c>
      <c r="D7" s="136"/>
      <c r="E7" s="135"/>
      <c r="F7" s="137"/>
      <c r="G7" s="136"/>
      <c r="H7" s="138"/>
      <c r="I7" s="136"/>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row>
    <row r="8" spans="1:256" ht="19.95" customHeight="1">
      <c r="A8" s="146" t="s">
        <v>72</v>
      </c>
      <c r="B8" s="147"/>
      <c r="C8" s="147"/>
      <c r="D8" s="136"/>
      <c r="E8" s="135"/>
      <c r="F8" s="137"/>
      <c r="G8" s="136"/>
      <c r="H8" s="138"/>
      <c r="I8" s="136"/>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row>
    <row r="9" spans="1:256" ht="19.95" customHeight="1" thickBot="1">
      <c r="A9" s="149" t="s">
        <v>73</v>
      </c>
      <c r="B9" s="150"/>
      <c r="C9" s="150"/>
      <c r="D9" s="136"/>
      <c r="E9" s="135"/>
      <c r="F9" s="137"/>
      <c r="G9" s="136"/>
      <c r="H9" s="138"/>
      <c r="I9" s="136"/>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row>
    <row r="10" spans="1:256" ht="19.95" customHeight="1" thickBot="1">
      <c r="A10" s="151" t="s">
        <v>63</v>
      </c>
      <c r="B10" s="152" t="s">
        <v>74</v>
      </c>
      <c r="C10" s="152" t="s">
        <v>74</v>
      </c>
      <c r="D10" s="136"/>
      <c r="E10" s="135"/>
      <c r="F10" s="137"/>
      <c r="G10" s="136"/>
      <c r="H10" s="138"/>
      <c r="I10" s="136"/>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row>
    <row r="11" spans="1:256" ht="19.95" customHeight="1">
      <c r="A11" s="142" t="s">
        <v>55</v>
      </c>
      <c r="B11" s="135"/>
      <c r="C11" s="135"/>
      <c r="D11" s="136"/>
      <c r="E11" s="135"/>
      <c r="F11" s="137"/>
      <c r="G11" s="136"/>
      <c r="H11" s="138"/>
      <c r="I11" s="136"/>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row>
    <row r="12" spans="1:256" ht="19.95" customHeight="1" thickBot="1">
      <c r="A12" s="142" t="s">
        <v>45</v>
      </c>
      <c r="B12" s="143"/>
      <c r="C12" s="143"/>
      <c r="D12" s="143"/>
      <c r="E12" s="143"/>
      <c r="F12" s="143"/>
      <c r="G12" s="143"/>
      <c r="H12" s="143"/>
      <c r="I12" s="143"/>
    </row>
    <row r="13" spans="1:256" ht="19.95" customHeight="1">
      <c r="A13" s="625" t="s">
        <v>75</v>
      </c>
      <c r="B13" s="627" t="s">
        <v>57</v>
      </c>
      <c r="C13" s="627"/>
      <c r="D13" s="627"/>
      <c r="E13" s="627" t="s">
        <v>58</v>
      </c>
      <c r="F13" s="627"/>
      <c r="G13" s="627"/>
      <c r="H13" s="143"/>
      <c r="I13" s="143"/>
    </row>
    <row r="14" spans="1:256" ht="19.95" customHeight="1" thickBot="1">
      <c r="A14" s="626"/>
      <c r="B14" s="155" t="s">
        <v>8</v>
      </c>
      <c r="C14" s="155" t="s">
        <v>5</v>
      </c>
      <c r="D14" s="155" t="s">
        <v>9</v>
      </c>
      <c r="E14" s="155" t="s">
        <v>8</v>
      </c>
      <c r="F14" s="155" t="s">
        <v>5</v>
      </c>
      <c r="G14" s="155" t="s">
        <v>9</v>
      </c>
      <c r="H14" s="143"/>
      <c r="I14" s="143"/>
    </row>
    <row r="15" spans="1:256" ht="19.95" customHeight="1" thickBot="1">
      <c r="A15" s="156"/>
      <c r="B15" s="157"/>
      <c r="C15" s="157"/>
      <c r="D15" s="157"/>
      <c r="E15" s="157"/>
      <c r="F15" s="158"/>
      <c r="G15" s="158"/>
      <c r="H15" s="143"/>
      <c r="I15" s="143"/>
    </row>
    <row r="16" spans="1:256" ht="19.95" customHeight="1">
      <c r="A16" s="159"/>
      <c r="B16" s="160"/>
      <c r="C16" s="160"/>
      <c r="D16" s="160"/>
      <c r="E16" s="160"/>
      <c r="F16" s="161"/>
      <c r="G16" s="161"/>
      <c r="H16" s="143"/>
      <c r="I16" s="143"/>
    </row>
    <row r="17" spans="1:9" ht="19.95" customHeight="1">
      <c r="A17" s="159"/>
      <c r="B17" s="160"/>
      <c r="C17" s="160"/>
      <c r="D17" s="160"/>
      <c r="E17" s="160"/>
      <c r="F17" s="161"/>
      <c r="G17" s="161"/>
      <c r="H17" s="143"/>
      <c r="I17" s="143"/>
    </row>
    <row r="18" spans="1:9" ht="19.95" customHeight="1" thickBot="1">
      <c r="A18" s="162"/>
      <c r="B18" s="157"/>
      <c r="C18" s="157"/>
      <c r="D18" s="157"/>
      <c r="E18" s="157"/>
      <c r="F18" s="158"/>
      <c r="G18" s="158"/>
      <c r="H18" s="143"/>
      <c r="I18" s="143"/>
    </row>
    <row r="19" spans="1:9" ht="19.95" customHeight="1" thickBot="1">
      <c r="A19" s="163" t="s">
        <v>76</v>
      </c>
      <c r="B19" s="152" t="s">
        <v>74</v>
      </c>
      <c r="C19" s="152" t="s">
        <v>74</v>
      </c>
      <c r="D19" s="152" t="s">
        <v>74</v>
      </c>
      <c r="E19" s="152" t="s">
        <v>74</v>
      </c>
      <c r="F19" s="152" t="s">
        <v>74</v>
      </c>
      <c r="G19" s="152" t="s">
        <v>74</v>
      </c>
      <c r="H19" s="143"/>
      <c r="I19" s="143"/>
    </row>
    <row r="20" spans="1:9" ht="19.95" customHeight="1">
      <c r="A20" s="153"/>
      <c r="B20" s="154"/>
      <c r="C20" s="154"/>
      <c r="D20" s="154"/>
      <c r="E20" s="154"/>
      <c r="F20" s="154"/>
      <c r="G20" s="154"/>
      <c r="H20" s="143"/>
      <c r="I20" s="143"/>
    </row>
    <row r="21" spans="1:9" ht="19.95" customHeight="1" thickBot="1">
      <c r="A21" s="142" t="s">
        <v>46</v>
      </c>
      <c r="B21" s="143"/>
      <c r="C21" s="143"/>
      <c r="D21" s="143"/>
      <c r="E21" s="143"/>
      <c r="F21" s="143"/>
      <c r="G21" s="143"/>
      <c r="H21" s="143"/>
      <c r="I21" s="143"/>
    </row>
    <row r="22" spans="1:9" ht="19.95" customHeight="1">
      <c r="A22" s="622" t="s">
        <v>10</v>
      </c>
      <c r="B22" s="614" t="s">
        <v>77</v>
      </c>
      <c r="C22" s="619" t="s">
        <v>11</v>
      </c>
      <c r="D22" s="614" t="s">
        <v>12</v>
      </c>
      <c r="E22" s="614" t="s">
        <v>13</v>
      </c>
      <c r="F22" s="165" t="s">
        <v>78</v>
      </c>
      <c r="G22" s="614" t="s">
        <v>14</v>
      </c>
      <c r="H22" s="165" t="s">
        <v>81</v>
      </c>
      <c r="I22" s="614" t="s">
        <v>57</v>
      </c>
    </row>
    <row r="23" spans="1:9" ht="19.95" customHeight="1">
      <c r="A23" s="623"/>
      <c r="B23" s="615"/>
      <c r="C23" s="620"/>
      <c r="D23" s="615"/>
      <c r="E23" s="615"/>
      <c r="F23" s="164" t="s">
        <v>79</v>
      </c>
      <c r="G23" s="615"/>
      <c r="H23" s="164" t="s">
        <v>82</v>
      </c>
      <c r="I23" s="615"/>
    </row>
    <row r="24" spans="1:9" ht="19.95" customHeight="1" thickBot="1">
      <c r="A24" s="624"/>
      <c r="B24" s="616"/>
      <c r="C24" s="621"/>
      <c r="D24" s="616"/>
      <c r="E24" s="616"/>
      <c r="F24" s="166" t="s">
        <v>80</v>
      </c>
      <c r="G24" s="616"/>
      <c r="H24" s="166" t="s">
        <v>83</v>
      </c>
      <c r="I24" s="616"/>
    </row>
    <row r="25" spans="1:9" ht="19.95" customHeight="1">
      <c r="A25" s="167"/>
      <c r="B25" s="168" t="s">
        <v>84</v>
      </c>
      <c r="C25" s="168" t="s">
        <v>85</v>
      </c>
      <c r="D25" s="168" t="s">
        <v>86</v>
      </c>
      <c r="E25" s="168" t="s">
        <v>87</v>
      </c>
      <c r="F25" s="168"/>
      <c r="G25" s="168"/>
      <c r="H25" s="168"/>
      <c r="I25" s="168" t="s">
        <v>88</v>
      </c>
    </row>
    <row r="26" spans="1:9" ht="19.95" customHeight="1">
      <c r="A26" s="167"/>
      <c r="B26" s="169"/>
      <c r="C26" s="169"/>
      <c r="D26" s="169"/>
      <c r="E26" s="169"/>
      <c r="F26" s="169"/>
      <c r="G26" s="169"/>
      <c r="H26" s="169"/>
      <c r="I26" s="169"/>
    </row>
    <row r="27" spans="1:9" ht="19.95" customHeight="1" thickBot="1">
      <c r="A27" s="170"/>
      <c r="B27" s="171"/>
      <c r="C27" s="171"/>
      <c r="D27" s="171"/>
      <c r="E27" s="171"/>
      <c r="F27" s="171"/>
      <c r="G27" s="171"/>
      <c r="H27" s="171"/>
      <c r="I27" s="171"/>
    </row>
    <row r="28" spans="1:9" ht="19.95" customHeight="1" thickBot="1">
      <c r="A28" s="172" t="s">
        <v>89</v>
      </c>
      <c r="B28" s="173" t="s">
        <v>74</v>
      </c>
      <c r="C28" s="173" t="s">
        <v>74</v>
      </c>
      <c r="D28" s="173" t="s">
        <v>74</v>
      </c>
      <c r="E28" s="173" t="s">
        <v>74</v>
      </c>
      <c r="F28" s="173" t="s">
        <v>74</v>
      </c>
      <c r="G28" s="173" t="s">
        <v>74</v>
      </c>
      <c r="H28" s="173" t="s">
        <v>90</v>
      </c>
      <c r="I28" s="173" t="s">
        <v>74</v>
      </c>
    </row>
    <row r="29" spans="1:9" ht="19.95" customHeight="1">
      <c r="A29" s="142"/>
      <c r="B29" s="143"/>
      <c r="C29" s="143"/>
      <c r="D29" s="143"/>
      <c r="E29" s="143"/>
      <c r="F29" s="143"/>
      <c r="G29" s="143"/>
      <c r="H29" s="143"/>
      <c r="I29" s="143"/>
    </row>
    <row r="30" spans="1:9" ht="19.95" customHeight="1" thickBot="1">
      <c r="A30" s="176" t="s">
        <v>91</v>
      </c>
      <c r="B30"/>
      <c r="C30"/>
      <c r="D30"/>
      <c r="E30"/>
      <c r="F30" s="143"/>
      <c r="G30" s="143"/>
      <c r="H30" s="143"/>
      <c r="I30" s="143"/>
    </row>
    <row r="31" spans="1:9" ht="19.95" customHeight="1" thickBot="1">
      <c r="A31" s="144" t="s">
        <v>10</v>
      </c>
      <c r="B31" s="145" t="s">
        <v>15</v>
      </c>
      <c r="C31" s="145" t="s">
        <v>92</v>
      </c>
      <c r="D31" s="145" t="s">
        <v>16</v>
      </c>
      <c r="E31" s="145" t="s">
        <v>4</v>
      </c>
      <c r="F31" s="143"/>
      <c r="G31" s="143"/>
      <c r="H31" s="143"/>
      <c r="I31" s="143"/>
    </row>
    <row r="32" spans="1:9" ht="19.95" customHeight="1">
      <c r="A32" s="148"/>
      <c r="B32" s="147"/>
      <c r="C32" s="147"/>
      <c r="D32" s="147"/>
      <c r="E32" s="147"/>
      <c r="F32" s="143"/>
      <c r="G32" s="143"/>
      <c r="H32" s="143"/>
      <c r="I32" s="143"/>
    </row>
    <row r="33" spans="1:9" ht="19.95" customHeight="1">
      <c r="A33" s="148"/>
      <c r="B33" s="147"/>
      <c r="C33" s="147"/>
      <c r="D33" s="147"/>
      <c r="E33" s="147"/>
      <c r="F33" s="143"/>
      <c r="G33" s="143"/>
      <c r="H33" s="143"/>
      <c r="I33" s="143"/>
    </row>
    <row r="34" spans="1:9" ht="19.95" customHeight="1" thickBot="1">
      <c r="A34" s="175"/>
      <c r="B34" s="150"/>
      <c r="C34" s="150"/>
      <c r="D34" s="150"/>
      <c r="E34" s="150"/>
      <c r="F34" s="143"/>
      <c r="G34" s="143"/>
      <c r="H34" s="143"/>
      <c r="I34" s="143"/>
    </row>
    <row r="35" spans="1:9" ht="19.95" customHeight="1" thickBot="1">
      <c r="A35" s="151" t="s">
        <v>63</v>
      </c>
      <c r="B35" s="152" t="s">
        <v>74</v>
      </c>
      <c r="C35" s="152" t="s">
        <v>90</v>
      </c>
      <c r="D35" s="152" t="s">
        <v>90</v>
      </c>
      <c r="E35" s="152" t="s">
        <v>90</v>
      </c>
      <c r="F35" s="143"/>
      <c r="G35" s="143"/>
      <c r="H35" s="143"/>
      <c r="I35" s="143"/>
    </row>
    <row r="36" spans="1:9" ht="19.95" customHeight="1">
      <c r="A36" s="177" t="s">
        <v>17</v>
      </c>
      <c r="B36" s="143"/>
      <c r="C36" s="143"/>
      <c r="D36" s="143"/>
      <c r="E36" s="143"/>
      <c r="F36" s="143"/>
      <c r="G36" s="143"/>
      <c r="H36" s="143"/>
      <c r="I36" s="143"/>
    </row>
    <row r="37" spans="1:9" ht="19.95" customHeight="1">
      <c r="A37" s="174" t="s">
        <v>93</v>
      </c>
      <c r="B37" s="143"/>
      <c r="C37" s="143"/>
      <c r="D37" s="143"/>
      <c r="E37" s="143"/>
      <c r="F37" s="143"/>
      <c r="G37" s="143"/>
      <c r="H37" s="143"/>
      <c r="I37" s="143"/>
    </row>
    <row r="38" spans="1:9" ht="19.95" customHeight="1">
      <c r="A38" s="177" t="s">
        <v>18</v>
      </c>
      <c r="B38" s="143"/>
      <c r="C38" s="143"/>
      <c r="D38" s="143"/>
      <c r="E38" s="143"/>
      <c r="F38" s="143"/>
      <c r="G38" s="143"/>
      <c r="H38" s="143"/>
      <c r="I38" s="143"/>
    </row>
    <row r="39" spans="1:9" ht="19.95" customHeight="1" thickBot="1">
      <c r="A39" s="174" t="s">
        <v>94</v>
      </c>
      <c r="B39" s="143"/>
      <c r="C39" s="143"/>
      <c r="D39" s="143"/>
      <c r="E39" s="143"/>
      <c r="F39" s="143"/>
      <c r="G39" s="143"/>
      <c r="H39" s="143"/>
      <c r="I39" s="143"/>
    </row>
    <row r="40" spans="1:9" ht="19.95" customHeight="1" thickBot="1">
      <c r="A40" s="144" t="s">
        <v>56</v>
      </c>
      <c r="B40" s="145" t="s">
        <v>77</v>
      </c>
      <c r="C40" s="145" t="s">
        <v>95</v>
      </c>
      <c r="D40" s="145" t="s">
        <v>96</v>
      </c>
      <c r="E40" s="145" t="s">
        <v>57</v>
      </c>
      <c r="F40" s="143"/>
      <c r="G40" s="143"/>
      <c r="H40" s="143"/>
      <c r="I40" s="143"/>
    </row>
    <row r="41" spans="1:9" ht="19.95" customHeight="1">
      <c r="A41" s="148"/>
      <c r="B41" s="147"/>
      <c r="C41" s="147"/>
      <c r="D41" s="147"/>
      <c r="E41" s="147"/>
      <c r="F41" s="143"/>
      <c r="G41" s="143"/>
      <c r="H41" s="143"/>
      <c r="I41" s="143"/>
    </row>
    <row r="42" spans="1:9" ht="19.95" customHeight="1">
      <c r="A42" s="148"/>
      <c r="B42" s="147"/>
      <c r="C42" s="147"/>
      <c r="D42" s="147"/>
      <c r="E42" s="147"/>
      <c r="F42" s="143"/>
      <c r="G42" s="143"/>
      <c r="H42" s="143"/>
      <c r="I42" s="143"/>
    </row>
    <row r="43" spans="1:9" ht="19.95" customHeight="1" thickBot="1">
      <c r="A43" s="175"/>
      <c r="B43" s="150"/>
      <c r="C43" s="150"/>
      <c r="D43" s="150"/>
      <c r="E43" s="150"/>
      <c r="F43" s="143"/>
      <c r="G43" s="143"/>
      <c r="H43" s="143"/>
      <c r="I43" s="143"/>
    </row>
    <row r="44" spans="1:9" ht="19.95" customHeight="1" thickBot="1">
      <c r="A44" s="151" t="s">
        <v>63</v>
      </c>
      <c r="B44" s="152"/>
      <c r="C44" s="152"/>
      <c r="D44" s="152"/>
      <c r="E44" s="152"/>
      <c r="F44" s="143"/>
      <c r="G44" s="143"/>
      <c r="H44" s="143"/>
      <c r="I44" s="143"/>
    </row>
    <row r="45" spans="1:9" ht="19.95" customHeight="1">
      <c r="A45" s="142"/>
      <c r="B45" s="143"/>
      <c r="C45" s="143"/>
      <c r="D45" s="143"/>
      <c r="E45" s="143"/>
      <c r="F45" s="143"/>
      <c r="G45" s="143"/>
      <c r="H45" s="143"/>
      <c r="I45" s="143"/>
    </row>
    <row r="46" spans="1:9" ht="19.95" customHeight="1">
      <c r="A46" s="617" t="s">
        <v>97</v>
      </c>
      <c r="B46" s="617"/>
      <c r="C46" s="617"/>
      <c r="D46" s="617"/>
      <c r="E46" s="617"/>
      <c r="F46" s="617"/>
      <c r="G46" s="617"/>
      <c r="H46" s="617"/>
      <c r="I46" s="617"/>
    </row>
    <row r="47" spans="1:9" ht="19.95" customHeight="1">
      <c r="A47" s="618" t="s">
        <v>98</v>
      </c>
      <c r="B47" s="618"/>
      <c r="C47" s="618"/>
      <c r="D47" s="618"/>
      <c r="E47" s="618"/>
      <c r="F47" s="618"/>
      <c r="G47" s="618"/>
      <c r="H47" s="618"/>
      <c r="I47" s="618"/>
    </row>
    <row r="48" spans="1:9" ht="19.95" customHeight="1">
      <c r="A48" s="142"/>
      <c r="B48" s="143"/>
      <c r="C48" s="143"/>
      <c r="D48" s="143"/>
      <c r="E48" s="143"/>
      <c r="F48" s="143"/>
      <c r="G48" s="143"/>
      <c r="H48" s="143"/>
      <c r="I48" s="143"/>
    </row>
    <row r="49" spans="1:9" ht="19.95" customHeight="1" thickBot="1">
      <c r="A49" s="178" t="s">
        <v>99</v>
      </c>
      <c r="B49" s="143"/>
      <c r="C49" s="143"/>
      <c r="D49" s="143"/>
      <c r="E49" s="143"/>
      <c r="F49" s="143"/>
      <c r="G49" s="143"/>
      <c r="H49" s="143"/>
      <c r="I49" s="143"/>
    </row>
    <row r="50" spans="1:9" ht="19.95" customHeight="1" thickBot="1">
      <c r="A50" s="144" t="s">
        <v>56</v>
      </c>
      <c r="B50" s="145" t="s">
        <v>57</v>
      </c>
      <c r="C50" s="145" t="s">
        <v>58</v>
      </c>
      <c r="D50" s="143"/>
      <c r="E50" s="143"/>
      <c r="F50" s="143"/>
      <c r="G50" s="143"/>
      <c r="H50" s="143"/>
      <c r="I50" s="143"/>
    </row>
    <row r="51" spans="1:9" ht="19.95" customHeight="1">
      <c r="A51" s="146" t="s">
        <v>59</v>
      </c>
      <c r="B51" s="147"/>
      <c r="C51" s="147"/>
      <c r="D51" s="143"/>
      <c r="E51" s="143"/>
      <c r="F51" s="143"/>
      <c r="G51" s="143"/>
      <c r="H51" s="143"/>
      <c r="I51" s="143"/>
    </row>
    <row r="52" spans="1:9" ht="19.95" customHeight="1">
      <c r="A52" s="146" t="s">
        <v>60</v>
      </c>
      <c r="B52" s="147"/>
      <c r="C52" s="147"/>
      <c r="D52" s="143"/>
      <c r="E52" s="143"/>
      <c r="F52" s="143"/>
      <c r="G52" s="143"/>
      <c r="H52" s="143"/>
      <c r="I52" s="143"/>
    </row>
    <row r="53" spans="1:9" ht="19.95" customHeight="1">
      <c r="A53" s="146" t="s">
        <v>61</v>
      </c>
      <c r="B53" s="147"/>
      <c r="C53" s="147"/>
      <c r="D53" s="143"/>
      <c r="E53" s="143"/>
      <c r="F53" s="143"/>
      <c r="G53" s="143"/>
      <c r="H53" s="143"/>
      <c r="I53" s="143"/>
    </row>
    <row r="54" spans="1:9" ht="19.95" customHeight="1">
      <c r="A54" s="148"/>
      <c r="B54" s="147" t="s">
        <v>74</v>
      </c>
      <c r="C54" s="147" t="s">
        <v>74</v>
      </c>
      <c r="D54" s="143"/>
      <c r="E54" s="143"/>
      <c r="F54" s="143"/>
      <c r="G54" s="143"/>
      <c r="H54" s="143"/>
      <c r="I54" s="143"/>
    </row>
    <row r="55" spans="1:9" ht="19.95" customHeight="1" thickBot="1">
      <c r="A55" s="149" t="s">
        <v>62</v>
      </c>
      <c r="B55" s="150" t="s">
        <v>100</v>
      </c>
      <c r="C55" s="150" t="s">
        <v>100</v>
      </c>
      <c r="D55" s="143"/>
      <c r="E55" s="143"/>
      <c r="F55" s="143"/>
      <c r="G55" s="143"/>
      <c r="H55" s="143"/>
      <c r="I55" s="143"/>
    </row>
    <row r="56" spans="1:9" ht="19.95" customHeight="1" thickBot="1">
      <c r="A56" s="151" t="s">
        <v>63</v>
      </c>
      <c r="B56" s="152" t="s">
        <v>74</v>
      </c>
      <c r="C56" s="152" t="s">
        <v>74</v>
      </c>
      <c r="D56" s="143"/>
      <c r="E56" s="143"/>
      <c r="F56" s="143"/>
      <c r="G56" s="143"/>
      <c r="H56" s="143"/>
      <c r="I56" s="143"/>
    </row>
    <row r="57" spans="1:9" ht="19.95" customHeight="1">
      <c r="A57" s="142"/>
      <c r="B57" s="143"/>
      <c r="C57" s="143"/>
      <c r="D57" s="143"/>
      <c r="E57" s="143"/>
      <c r="F57" s="143"/>
      <c r="G57" s="143"/>
      <c r="H57" s="143"/>
      <c r="I57" s="143"/>
    </row>
  </sheetData>
  <mergeCells count="14">
    <mergeCell ref="A13:A14"/>
    <mergeCell ref="B13:D13"/>
    <mergeCell ref="E13:G13"/>
    <mergeCell ref="A1:I1"/>
    <mergeCell ref="A2:I2"/>
    <mergeCell ref="I22:I24"/>
    <mergeCell ref="A46:I46"/>
    <mergeCell ref="A47:I47"/>
    <mergeCell ref="B22:B24"/>
    <mergeCell ref="C22:C24"/>
    <mergeCell ref="D22:D24"/>
    <mergeCell ref="E22:E24"/>
    <mergeCell ref="G22:G24"/>
    <mergeCell ref="A22:A24"/>
  </mergeCells>
  <phoneticPr fontId="10" type="noConversion"/>
  <hyperlinks>
    <hyperlink ref="J3" location="底稿目录!A1" display="返回目录"/>
  </hyperlinks>
  <printOptions horizontalCentered="1"/>
  <pageMargins left="0.43307086614173229" right="0.39370078740157483" top="0.39370078740157483" bottom="0.39370078740157483" header="0.31496062992125984" footer="0.31496062992125984"/>
  <pageSetup paperSize="9" scale="94" fitToHeight="100" orientation="landscape" blackAndWhite="1"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U47"/>
  <sheetViews>
    <sheetView view="pageBreakPreview" zoomScaleNormal="100" zoomScaleSheetLayoutView="100" workbookViewId="0">
      <selection sqref="A1:M1"/>
    </sheetView>
  </sheetViews>
  <sheetFormatPr defaultColWidth="9" defaultRowHeight="19.95" customHeight="1"/>
  <cols>
    <col min="1" max="1" width="22" style="6" customWidth="1"/>
    <col min="2" max="2" width="14.3984375" style="6" customWidth="1"/>
    <col min="3" max="5" width="12.59765625" style="6" customWidth="1"/>
    <col min="6" max="8" width="9.8984375" style="6" customWidth="1"/>
    <col min="9" max="9" width="11" style="6" bestFit="1" customWidth="1"/>
    <col min="10" max="10" width="13" style="6" bestFit="1" customWidth="1"/>
    <col min="11" max="11" width="11" style="6" bestFit="1" customWidth="1"/>
    <col min="12" max="13" width="9.8984375" style="6" customWidth="1"/>
    <col min="14" max="16384" width="9" style="6"/>
  </cols>
  <sheetData>
    <row r="1" spans="1:255" ht="19.95" customHeight="1">
      <c r="A1" s="628" t="s">
        <v>0</v>
      </c>
      <c r="B1" s="628"/>
      <c r="C1" s="628"/>
      <c r="D1" s="628"/>
      <c r="E1" s="628"/>
      <c r="F1" s="628"/>
      <c r="G1" s="628"/>
      <c r="H1" s="628"/>
      <c r="I1" s="628"/>
      <c r="J1" s="633"/>
      <c r="K1" s="633"/>
      <c r="L1" s="633"/>
      <c r="M1" s="633"/>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92"/>
      <c r="BC1" s="92"/>
      <c r="BD1" s="92"/>
      <c r="BE1" s="92"/>
      <c r="BF1" s="92"/>
      <c r="BG1" s="92"/>
      <c r="BH1" s="92"/>
      <c r="BI1" s="92"/>
      <c r="BJ1" s="92"/>
      <c r="BK1" s="92"/>
      <c r="BL1" s="92"/>
      <c r="BM1" s="92"/>
      <c r="BN1" s="92"/>
      <c r="BO1" s="92"/>
      <c r="BP1" s="92"/>
      <c r="BQ1" s="92"/>
      <c r="BR1" s="92"/>
      <c r="BS1" s="92"/>
      <c r="BT1" s="92"/>
      <c r="BU1" s="92"/>
      <c r="BV1" s="92"/>
      <c r="BW1" s="92"/>
      <c r="BX1" s="92"/>
      <c r="BY1" s="92"/>
      <c r="BZ1" s="92"/>
      <c r="CA1" s="92"/>
      <c r="CB1" s="92"/>
      <c r="CC1" s="92"/>
      <c r="CD1" s="92"/>
      <c r="CE1" s="92"/>
      <c r="CF1" s="92"/>
      <c r="CG1" s="92"/>
      <c r="CH1" s="92"/>
      <c r="CI1" s="92"/>
      <c r="CJ1" s="92"/>
      <c r="CK1" s="92"/>
      <c r="CL1" s="92"/>
      <c r="CM1" s="92"/>
      <c r="CN1" s="92"/>
      <c r="CO1" s="92"/>
      <c r="CP1" s="92"/>
      <c r="CQ1" s="92"/>
      <c r="CR1" s="92"/>
      <c r="CS1" s="92"/>
      <c r="CT1" s="92"/>
      <c r="CU1" s="92"/>
      <c r="CV1" s="92"/>
      <c r="CW1" s="92"/>
      <c r="CX1" s="92"/>
      <c r="CY1" s="92"/>
      <c r="CZ1" s="92"/>
      <c r="DA1" s="92"/>
      <c r="DB1" s="92"/>
      <c r="DC1" s="92"/>
      <c r="DD1" s="92"/>
      <c r="DE1" s="92"/>
      <c r="DF1" s="92"/>
      <c r="DG1" s="92"/>
      <c r="DH1" s="92"/>
      <c r="DI1" s="92"/>
      <c r="DJ1" s="92"/>
      <c r="DK1" s="92"/>
      <c r="DL1" s="92"/>
      <c r="DM1" s="92"/>
      <c r="DN1" s="92"/>
      <c r="DO1" s="92"/>
      <c r="DP1" s="92"/>
      <c r="DQ1" s="92"/>
      <c r="DR1" s="92"/>
      <c r="DS1" s="92"/>
      <c r="DT1" s="92"/>
      <c r="DU1" s="92"/>
      <c r="DV1" s="92"/>
      <c r="DW1" s="92"/>
      <c r="DX1" s="92"/>
      <c r="DY1" s="92"/>
      <c r="DZ1" s="92"/>
      <c r="EA1" s="92"/>
      <c r="EB1" s="92"/>
      <c r="EC1" s="92"/>
      <c r="ED1" s="92"/>
      <c r="EE1" s="92"/>
      <c r="EF1" s="92"/>
      <c r="EG1" s="92"/>
      <c r="EH1" s="92"/>
      <c r="EI1" s="92"/>
      <c r="EJ1" s="92"/>
      <c r="EK1" s="92"/>
      <c r="EL1" s="92"/>
      <c r="EM1" s="92"/>
      <c r="EN1" s="92"/>
      <c r="EO1" s="92"/>
      <c r="EP1" s="92"/>
      <c r="EQ1" s="92"/>
      <c r="ER1" s="92"/>
      <c r="ES1" s="92"/>
      <c r="ET1" s="92"/>
      <c r="EU1" s="92"/>
      <c r="EV1" s="92"/>
      <c r="EW1" s="92"/>
      <c r="EX1" s="92"/>
      <c r="EY1" s="92"/>
      <c r="EZ1" s="92"/>
      <c r="FA1" s="92"/>
      <c r="FB1" s="92"/>
      <c r="FC1" s="92"/>
      <c r="FD1" s="92"/>
      <c r="FE1" s="92"/>
      <c r="FF1" s="92"/>
      <c r="FG1" s="92"/>
      <c r="FH1" s="92"/>
      <c r="FI1" s="92"/>
      <c r="FJ1" s="92"/>
      <c r="FK1" s="92"/>
      <c r="FL1" s="92"/>
      <c r="FM1" s="92"/>
      <c r="FN1" s="92"/>
      <c r="FO1" s="92"/>
      <c r="FP1" s="92"/>
      <c r="FQ1" s="92"/>
      <c r="FR1" s="92"/>
      <c r="FS1" s="92"/>
      <c r="FT1" s="92"/>
      <c r="FU1" s="92"/>
      <c r="FV1" s="92"/>
      <c r="FW1" s="92"/>
      <c r="FX1" s="92"/>
      <c r="FY1" s="92"/>
      <c r="FZ1" s="92"/>
      <c r="GA1" s="92"/>
      <c r="GB1" s="92"/>
      <c r="GC1" s="92"/>
      <c r="GD1" s="92"/>
      <c r="GE1" s="92"/>
      <c r="GF1" s="92"/>
      <c r="GG1" s="92"/>
      <c r="GH1" s="92"/>
      <c r="GI1" s="92"/>
      <c r="GJ1" s="92"/>
      <c r="GK1" s="92"/>
      <c r="GL1" s="92"/>
      <c r="GM1" s="92"/>
      <c r="GN1" s="92"/>
      <c r="GO1" s="92"/>
      <c r="GP1" s="92"/>
      <c r="GQ1" s="92"/>
      <c r="GR1" s="92"/>
      <c r="GS1" s="92"/>
      <c r="GT1" s="92"/>
      <c r="GU1" s="92"/>
      <c r="GV1" s="92"/>
      <c r="GW1" s="92"/>
      <c r="GX1" s="92"/>
      <c r="GY1" s="92"/>
      <c r="GZ1" s="92"/>
      <c r="HA1" s="92"/>
      <c r="HB1" s="92"/>
      <c r="HC1" s="92"/>
      <c r="HD1" s="92"/>
      <c r="HE1" s="92"/>
      <c r="HF1" s="92"/>
      <c r="HG1" s="92"/>
      <c r="HH1" s="92"/>
      <c r="HI1" s="92"/>
      <c r="HJ1" s="92"/>
      <c r="HK1" s="92"/>
      <c r="HL1" s="92"/>
      <c r="HM1" s="92"/>
      <c r="HN1" s="92"/>
      <c r="HO1" s="92"/>
      <c r="HP1" s="92"/>
      <c r="HQ1" s="92"/>
      <c r="HR1" s="92"/>
      <c r="HS1" s="92"/>
      <c r="HT1" s="92"/>
      <c r="HU1" s="92"/>
      <c r="HV1" s="92"/>
      <c r="HW1" s="92"/>
      <c r="HX1" s="92"/>
      <c r="HY1" s="92"/>
      <c r="HZ1" s="92"/>
      <c r="IA1" s="92"/>
      <c r="IB1" s="92"/>
      <c r="IC1" s="92"/>
      <c r="ID1" s="92"/>
      <c r="IE1" s="92"/>
      <c r="IF1" s="92"/>
      <c r="IG1" s="92"/>
      <c r="IH1" s="92"/>
      <c r="II1" s="92"/>
      <c r="IJ1" s="92"/>
      <c r="IK1" s="92"/>
      <c r="IL1" s="92"/>
      <c r="IM1" s="92"/>
      <c r="IN1" s="92"/>
      <c r="IO1" s="92"/>
      <c r="IP1" s="92"/>
      <c r="IQ1" s="92"/>
      <c r="IR1" s="92"/>
      <c r="IS1" s="92"/>
      <c r="IT1" s="92"/>
      <c r="IU1" s="92"/>
    </row>
    <row r="2" spans="1:255" ht="19.95" customHeight="1">
      <c r="A2" s="629" t="s">
        <v>2</v>
      </c>
      <c r="B2" s="629"/>
      <c r="C2" s="629"/>
      <c r="D2" s="629"/>
      <c r="E2" s="629"/>
      <c r="F2" s="629"/>
      <c r="G2" s="629"/>
      <c r="H2" s="629"/>
      <c r="I2" s="629"/>
      <c r="J2" s="629"/>
      <c r="K2" s="629"/>
      <c r="L2" s="629"/>
      <c r="M2" s="629"/>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c r="CM2" s="92"/>
      <c r="CN2" s="92"/>
      <c r="CO2" s="92"/>
      <c r="CP2" s="92"/>
      <c r="CQ2" s="92"/>
      <c r="CR2" s="92"/>
      <c r="CS2" s="92"/>
      <c r="CT2" s="92"/>
      <c r="CU2" s="92"/>
      <c r="CV2" s="92"/>
      <c r="CW2" s="92"/>
      <c r="CX2" s="92"/>
      <c r="CY2" s="92"/>
      <c r="CZ2" s="92"/>
      <c r="DA2" s="92"/>
      <c r="DB2" s="92"/>
      <c r="DC2" s="92"/>
      <c r="DD2" s="92"/>
      <c r="DE2" s="92"/>
      <c r="DF2" s="92"/>
      <c r="DG2" s="92"/>
      <c r="DH2" s="92"/>
      <c r="DI2" s="92"/>
      <c r="DJ2" s="92"/>
      <c r="DK2" s="92"/>
      <c r="DL2" s="92"/>
      <c r="DM2" s="92"/>
      <c r="DN2" s="92"/>
      <c r="DO2" s="92"/>
      <c r="DP2" s="92"/>
      <c r="DQ2" s="92"/>
      <c r="DR2" s="92"/>
      <c r="DS2" s="92"/>
      <c r="DT2" s="92"/>
      <c r="DU2" s="92"/>
      <c r="DV2" s="92"/>
      <c r="DW2" s="92"/>
      <c r="DX2" s="92"/>
      <c r="DY2" s="92"/>
      <c r="DZ2" s="92"/>
      <c r="EA2" s="92"/>
      <c r="EB2" s="92"/>
      <c r="EC2" s="92"/>
      <c r="ED2" s="92"/>
      <c r="EE2" s="92"/>
      <c r="EF2" s="92"/>
      <c r="EG2" s="92"/>
      <c r="EH2" s="92"/>
      <c r="EI2" s="92"/>
      <c r="EJ2" s="92"/>
      <c r="EK2" s="92"/>
      <c r="EL2" s="92"/>
      <c r="EM2" s="92"/>
      <c r="EN2" s="92"/>
      <c r="EO2" s="92"/>
      <c r="EP2" s="92"/>
      <c r="EQ2" s="92"/>
      <c r="ER2" s="92"/>
      <c r="ES2" s="92"/>
      <c r="ET2" s="92"/>
      <c r="EU2" s="92"/>
      <c r="EV2" s="92"/>
      <c r="EW2" s="92"/>
      <c r="EX2" s="92"/>
      <c r="EY2" s="92"/>
      <c r="EZ2" s="92"/>
      <c r="FA2" s="92"/>
      <c r="FB2" s="92"/>
      <c r="FC2" s="92"/>
      <c r="FD2" s="92"/>
      <c r="FE2" s="92"/>
      <c r="FF2" s="92"/>
      <c r="FG2" s="92"/>
      <c r="FH2" s="92"/>
      <c r="FI2" s="92"/>
      <c r="FJ2" s="92"/>
      <c r="FK2" s="92"/>
      <c r="FL2" s="92"/>
      <c r="FM2" s="92"/>
      <c r="FN2" s="92"/>
      <c r="FO2" s="92"/>
      <c r="FP2" s="92"/>
      <c r="FQ2" s="92"/>
      <c r="FR2" s="92"/>
      <c r="FS2" s="92"/>
      <c r="FT2" s="92"/>
      <c r="FU2" s="92"/>
      <c r="FV2" s="92"/>
      <c r="FW2" s="92"/>
      <c r="FX2" s="92"/>
      <c r="FY2" s="92"/>
      <c r="FZ2" s="92"/>
      <c r="GA2" s="92"/>
      <c r="GB2" s="92"/>
      <c r="GC2" s="92"/>
      <c r="GD2" s="92"/>
      <c r="GE2" s="92"/>
      <c r="GF2" s="92"/>
      <c r="GG2" s="92"/>
      <c r="GH2" s="92"/>
      <c r="GI2" s="92"/>
      <c r="GJ2" s="92"/>
      <c r="GK2" s="92"/>
      <c r="GL2" s="92"/>
      <c r="GM2" s="92"/>
      <c r="GN2" s="92"/>
      <c r="GO2" s="92"/>
      <c r="GP2" s="92"/>
      <c r="GQ2" s="92"/>
      <c r="GR2" s="92"/>
      <c r="GS2" s="92"/>
      <c r="GT2" s="92"/>
      <c r="GU2" s="92"/>
      <c r="GV2" s="92"/>
      <c r="GW2" s="92"/>
      <c r="GX2" s="92"/>
      <c r="GY2" s="92"/>
      <c r="GZ2" s="92"/>
      <c r="HA2" s="92"/>
      <c r="HB2" s="92"/>
      <c r="HC2" s="92"/>
      <c r="HD2" s="92"/>
      <c r="HE2" s="92"/>
      <c r="HF2" s="92"/>
      <c r="HG2" s="92"/>
      <c r="HH2" s="92"/>
      <c r="HI2" s="92"/>
      <c r="HJ2" s="92"/>
      <c r="HK2" s="92"/>
      <c r="HL2" s="92"/>
      <c r="HM2" s="92"/>
      <c r="HN2" s="92"/>
      <c r="HO2" s="92"/>
      <c r="HP2" s="92"/>
      <c r="HQ2" s="92"/>
      <c r="HR2" s="92"/>
      <c r="HS2" s="92"/>
      <c r="HT2" s="92"/>
      <c r="HU2" s="92"/>
      <c r="HV2" s="92"/>
      <c r="HW2" s="92"/>
      <c r="HX2" s="92"/>
      <c r="HY2" s="92"/>
      <c r="HZ2" s="92"/>
      <c r="IA2" s="92"/>
      <c r="IB2" s="92"/>
      <c r="IC2" s="92"/>
      <c r="ID2" s="92"/>
      <c r="IE2" s="92"/>
      <c r="IF2" s="92"/>
      <c r="IG2" s="92"/>
      <c r="IH2" s="92"/>
      <c r="II2" s="92"/>
      <c r="IJ2" s="92"/>
      <c r="IK2" s="92"/>
      <c r="IL2" s="92"/>
      <c r="IM2" s="92"/>
      <c r="IN2" s="92"/>
      <c r="IO2" s="92"/>
      <c r="IP2" s="92"/>
      <c r="IQ2" s="92"/>
      <c r="IR2" s="92"/>
      <c r="IS2" s="92"/>
      <c r="IT2" s="92"/>
      <c r="IU2" s="92"/>
    </row>
    <row r="3" spans="1:255" ht="19.95" customHeight="1">
      <c r="A3" s="2" t="str">
        <f>底稿目录!A2</f>
        <v>被审计单位：</v>
      </c>
      <c r="B3" s="2"/>
      <c r="E3" s="2" t="str">
        <f>底稿目录!A4</f>
        <v>编制人：</v>
      </c>
      <c r="F3" s="9"/>
      <c r="G3" s="9"/>
      <c r="H3" s="2" t="str">
        <f>底稿目录!A6</f>
        <v>编制日期：</v>
      </c>
      <c r="I3" s="9"/>
      <c r="J3" s="91"/>
      <c r="K3" s="92"/>
      <c r="L3" s="441" t="s">
        <v>832</v>
      </c>
      <c r="N3" s="360" t="s">
        <v>796</v>
      </c>
      <c r="O3" s="9"/>
      <c r="P3" s="8"/>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c r="BC3" s="92"/>
      <c r="BD3" s="92"/>
      <c r="BE3" s="92"/>
      <c r="BF3" s="92"/>
      <c r="BG3" s="92"/>
      <c r="BH3" s="92"/>
      <c r="BI3" s="92"/>
      <c r="BJ3" s="92"/>
      <c r="BK3" s="92"/>
      <c r="BL3" s="92"/>
      <c r="BM3" s="92"/>
      <c r="BN3" s="92"/>
      <c r="BO3" s="92"/>
      <c r="BP3" s="92"/>
      <c r="BQ3" s="92"/>
      <c r="BR3" s="92"/>
      <c r="BS3" s="92"/>
      <c r="BT3" s="92"/>
      <c r="BU3" s="92"/>
      <c r="BV3" s="92"/>
      <c r="BW3" s="92"/>
      <c r="BX3" s="92"/>
      <c r="BY3" s="92"/>
      <c r="BZ3" s="92"/>
      <c r="CA3" s="92"/>
      <c r="CB3" s="92"/>
      <c r="CC3" s="92"/>
      <c r="CD3" s="92"/>
      <c r="CE3" s="92"/>
      <c r="CF3" s="92"/>
      <c r="CG3" s="92"/>
      <c r="CH3" s="92"/>
      <c r="CI3" s="92"/>
      <c r="CJ3" s="92"/>
      <c r="CK3" s="92"/>
      <c r="CL3" s="92"/>
      <c r="CM3" s="92"/>
      <c r="CN3" s="92"/>
      <c r="CO3" s="92"/>
      <c r="CP3" s="92"/>
      <c r="CQ3" s="92"/>
      <c r="CR3" s="92"/>
      <c r="CS3" s="92"/>
      <c r="CT3" s="92"/>
      <c r="CU3" s="92"/>
      <c r="CV3" s="92"/>
      <c r="CW3" s="92"/>
      <c r="CX3" s="92"/>
      <c r="CY3" s="92"/>
      <c r="CZ3" s="92"/>
      <c r="DA3" s="92"/>
      <c r="DB3" s="92"/>
      <c r="DC3" s="92"/>
      <c r="DD3" s="92"/>
      <c r="DE3" s="92"/>
      <c r="DF3" s="92"/>
      <c r="DG3" s="92"/>
      <c r="DH3" s="92"/>
      <c r="DI3" s="92"/>
      <c r="DJ3" s="92"/>
      <c r="DK3" s="92"/>
      <c r="DL3" s="92"/>
      <c r="DM3" s="92"/>
      <c r="DN3" s="92"/>
      <c r="DO3" s="92"/>
      <c r="DP3" s="92"/>
      <c r="DQ3" s="92"/>
      <c r="DR3" s="92"/>
      <c r="DS3" s="92"/>
      <c r="DT3" s="92"/>
      <c r="DU3" s="92"/>
      <c r="DV3" s="92"/>
      <c r="DW3" s="92"/>
      <c r="DX3" s="92"/>
      <c r="DY3" s="92"/>
      <c r="DZ3" s="92"/>
      <c r="EA3" s="92"/>
      <c r="EB3" s="92"/>
      <c r="EC3" s="92"/>
      <c r="ED3" s="92"/>
      <c r="EE3" s="92"/>
      <c r="EF3" s="92"/>
      <c r="EG3" s="92"/>
      <c r="EH3" s="92"/>
      <c r="EI3" s="92"/>
      <c r="EJ3" s="92"/>
      <c r="EK3" s="92"/>
      <c r="EL3" s="92"/>
      <c r="EM3" s="92"/>
      <c r="EN3" s="92"/>
      <c r="EO3" s="92"/>
      <c r="EP3" s="92"/>
      <c r="EQ3" s="92"/>
      <c r="ER3" s="92"/>
      <c r="ES3" s="92"/>
      <c r="ET3" s="92"/>
      <c r="EU3" s="92"/>
      <c r="EV3" s="92"/>
      <c r="EW3" s="92"/>
      <c r="EX3" s="92"/>
      <c r="EY3" s="92"/>
      <c r="EZ3" s="92"/>
      <c r="FA3" s="92"/>
      <c r="FB3" s="92"/>
      <c r="FC3" s="92"/>
      <c r="FD3" s="92"/>
      <c r="FE3" s="92"/>
      <c r="FF3" s="92"/>
      <c r="FG3" s="92"/>
      <c r="FH3" s="92"/>
      <c r="FI3" s="92"/>
      <c r="FJ3" s="92"/>
      <c r="FK3" s="92"/>
      <c r="FL3" s="92"/>
      <c r="FM3" s="92"/>
      <c r="FN3" s="92"/>
      <c r="FO3" s="92"/>
      <c r="FP3" s="92"/>
      <c r="FQ3" s="92"/>
      <c r="FR3" s="92"/>
      <c r="FS3" s="92"/>
      <c r="FT3" s="92"/>
      <c r="FU3" s="92"/>
      <c r="FV3" s="92"/>
      <c r="FW3" s="92"/>
      <c r="FX3" s="92"/>
      <c r="FY3" s="92"/>
      <c r="FZ3" s="92"/>
      <c r="GA3" s="92"/>
      <c r="GB3" s="92"/>
      <c r="GC3" s="92"/>
      <c r="GD3" s="92"/>
      <c r="GE3" s="92"/>
      <c r="GF3" s="92"/>
      <c r="GG3" s="92"/>
      <c r="GH3" s="92"/>
      <c r="GI3" s="92"/>
      <c r="GJ3" s="92"/>
      <c r="GK3" s="92"/>
      <c r="GL3" s="92"/>
      <c r="GM3" s="92"/>
      <c r="GN3" s="92"/>
      <c r="GO3" s="92"/>
      <c r="GP3" s="92"/>
      <c r="GQ3" s="92"/>
      <c r="GR3" s="92"/>
      <c r="GS3" s="92"/>
      <c r="GT3" s="92"/>
      <c r="GU3" s="92"/>
      <c r="GV3" s="92"/>
      <c r="GW3" s="92"/>
      <c r="GX3" s="92"/>
      <c r="GY3" s="92"/>
      <c r="GZ3" s="92"/>
      <c r="HA3" s="92"/>
      <c r="HB3" s="92"/>
      <c r="HC3" s="92"/>
      <c r="HD3" s="92"/>
      <c r="HE3" s="92"/>
      <c r="HF3" s="92"/>
      <c r="HG3" s="92"/>
      <c r="HH3" s="92"/>
      <c r="HI3" s="92"/>
      <c r="HJ3" s="92"/>
      <c r="HK3" s="92"/>
      <c r="HL3" s="92"/>
      <c r="HM3" s="92"/>
      <c r="HN3" s="92"/>
      <c r="HO3" s="92"/>
      <c r="HP3" s="92"/>
      <c r="HQ3" s="92"/>
      <c r="HR3" s="92"/>
      <c r="HS3" s="92"/>
      <c r="HT3" s="92"/>
      <c r="HU3" s="92"/>
      <c r="HV3" s="92"/>
      <c r="HW3" s="92"/>
      <c r="HX3" s="92"/>
      <c r="HY3" s="92"/>
      <c r="HZ3" s="92"/>
      <c r="IA3" s="92"/>
      <c r="IB3" s="92"/>
      <c r="IC3" s="92"/>
      <c r="ID3" s="92"/>
      <c r="IE3" s="92"/>
      <c r="IF3" s="92"/>
      <c r="IG3" s="92"/>
      <c r="IH3" s="92"/>
      <c r="II3" s="92"/>
      <c r="IJ3" s="92"/>
      <c r="IK3" s="92"/>
      <c r="IL3" s="92"/>
      <c r="IM3" s="92"/>
      <c r="IN3" s="92"/>
      <c r="IO3" s="92"/>
      <c r="IP3" s="92"/>
      <c r="IQ3" s="92"/>
      <c r="IR3" s="92"/>
      <c r="IS3" s="92"/>
      <c r="IT3" s="92"/>
      <c r="IU3" s="92"/>
    </row>
    <row r="4" spans="1:255" ht="19.95" customHeight="1">
      <c r="A4" s="2" t="str">
        <f>底稿目录!A3</f>
        <v>截止日：202X年12月31日</v>
      </c>
      <c r="B4" s="2"/>
      <c r="E4" s="2" t="str">
        <f>底稿目录!A5</f>
        <v>复核人：</v>
      </c>
      <c r="F4" s="9"/>
      <c r="G4" s="9"/>
      <c r="H4" s="2" t="str">
        <f>底稿目录!A7</f>
        <v>复核日期：</v>
      </c>
      <c r="I4" s="9"/>
      <c r="J4" s="91"/>
      <c r="K4" s="92"/>
      <c r="L4" s="441" t="s">
        <v>833</v>
      </c>
      <c r="N4" s="9"/>
      <c r="O4" s="9"/>
      <c r="P4" s="8"/>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row>
    <row r="5" spans="1:255" ht="19.95" customHeight="1">
      <c r="A5" s="124"/>
      <c r="B5" s="2"/>
      <c r="E5" s="3"/>
      <c r="F5" s="7"/>
      <c r="I5" s="3"/>
      <c r="J5" s="91"/>
      <c r="K5" s="92"/>
      <c r="L5" s="3"/>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2"/>
      <c r="BM5" s="92"/>
      <c r="BN5" s="92"/>
      <c r="BO5" s="92"/>
      <c r="BP5" s="92"/>
      <c r="BQ5" s="92"/>
      <c r="BR5" s="92"/>
      <c r="BS5" s="92"/>
      <c r="BT5" s="92"/>
      <c r="BU5" s="92"/>
      <c r="BV5" s="92"/>
      <c r="BW5" s="92"/>
      <c r="BX5" s="92"/>
      <c r="BY5" s="92"/>
      <c r="BZ5" s="92"/>
      <c r="CA5" s="92"/>
      <c r="CB5" s="92"/>
      <c r="CC5" s="92"/>
      <c r="CD5" s="92"/>
      <c r="CE5" s="92"/>
      <c r="CF5" s="92"/>
      <c r="CG5" s="92"/>
      <c r="CH5" s="92"/>
      <c r="CI5" s="92"/>
      <c r="CJ5" s="92"/>
      <c r="CK5" s="92"/>
      <c r="CL5" s="92"/>
      <c r="CM5" s="92"/>
      <c r="CN5" s="92"/>
      <c r="CO5" s="92"/>
      <c r="CP5" s="92"/>
      <c r="CQ5" s="92"/>
      <c r="CR5" s="92"/>
      <c r="CS5" s="92"/>
      <c r="CT5" s="92"/>
      <c r="CU5" s="92"/>
      <c r="CV5" s="92"/>
      <c r="CW5" s="92"/>
      <c r="CX5" s="92"/>
      <c r="CY5" s="92"/>
      <c r="CZ5" s="92"/>
      <c r="DA5" s="92"/>
      <c r="DB5" s="92"/>
      <c r="DC5" s="92"/>
      <c r="DD5" s="92"/>
      <c r="DE5" s="92"/>
      <c r="DF5" s="92"/>
      <c r="DG5" s="92"/>
      <c r="DH5" s="92"/>
      <c r="DI5" s="92"/>
      <c r="DJ5" s="92"/>
      <c r="DK5" s="92"/>
      <c r="DL5" s="92"/>
      <c r="DM5" s="92"/>
      <c r="DN5" s="92"/>
      <c r="DO5" s="92"/>
      <c r="DP5" s="92"/>
      <c r="DQ5" s="92"/>
      <c r="DR5" s="92"/>
      <c r="DS5" s="92"/>
      <c r="DT5" s="92"/>
      <c r="DU5" s="92"/>
      <c r="DV5" s="92"/>
      <c r="DW5" s="92"/>
      <c r="DX5" s="92"/>
      <c r="DY5" s="92"/>
      <c r="DZ5" s="92"/>
      <c r="EA5" s="92"/>
      <c r="EB5" s="92"/>
      <c r="EC5" s="92"/>
      <c r="ED5" s="92"/>
      <c r="EE5" s="92"/>
      <c r="EF5" s="92"/>
      <c r="EG5" s="92"/>
      <c r="EH5" s="92"/>
      <c r="EI5" s="92"/>
      <c r="EJ5" s="92"/>
      <c r="EK5" s="92"/>
      <c r="EL5" s="92"/>
      <c r="EM5" s="92"/>
      <c r="EN5" s="92"/>
      <c r="EO5" s="92"/>
      <c r="EP5" s="92"/>
      <c r="EQ5" s="92"/>
      <c r="ER5" s="92"/>
      <c r="ES5" s="92"/>
      <c r="ET5" s="92"/>
      <c r="EU5" s="92"/>
      <c r="EV5" s="92"/>
      <c r="EW5" s="92"/>
      <c r="EX5" s="92"/>
      <c r="EY5" s="92"/>
      <c r="EZ5" s="92"/>
      <c r="FA5" s="92"/>
      <c r="FB5" s="92"/>
      <c r="FC5" s="92"/>
      <c r="FD5" s="92"/>
      <c r="FE5" s="92"/>
      <c r="FF5" s="92"/>
      <c r="FG5" s="92"/>
      <c r="FH5" s="92"/>
      <c r="FI5" s="92"/>
      <c r="FJ5" s="92"/>
      <c r="FK5" s="92"/>
      <c r="FL5" s="92"/>
      <c r="FM5" s="92"/>
      <c r="FN5" s="92"/>
      <c r="FO5" s="92"/>
      <c r="FP5" s="92"/>
      <c r="FQ5" s="92"/>
      <c r="FR5" s="92"/>
      <c r="FS5" s="92"/>
      <c r="FT5" s="92"/>
      <c r="FU5" s="92"/>
      <c r="FV5" s="92"/>
      <c r="FW5" s="92"/>
      <c r="FX5" s="92"/>
      <c r="FY5" s="92"/>
      <c r="FZ5" s="92"/>
      <c r="GA5" s="92"/>
      <c r="GB5" s="92"/>
      <c r="GC5" s="92"/>
      <c r="GD5" s="92"/>
      <c r="GE5" s="92"/>
      <c r="GF5" s="92"/>
      <c r="GG5" s="92"/>
      <c r="GH5" s="92"/>
      <c r="GI5" s="92"/>
      <c r="GJ5" s="92"/>
      <c r="GK5" s="92"/>
      <c r="GL5" s="92"/>
      <c r="GM5" s="92"/>
      <c r="GN5" s="92"/>
      <c r="GO5" s="92"/>
      <c r="GP5" s="92"/>
      <c r="GQ5" s="92"/>
      <c r="GR5" s="92"/>
      <c r="GS5" s="92"/>
      <c r="GT5" s="92"/>
      <c r="GU5" s="92"/>
      <c r="GV5" s="92"/>
      <c r="GW5" s="92"/>
      <c r="GX5" s="92"/>
      <c r="GY5" s="92"/>
      <c r="GZ5" s="92"/>
      <c r="HA5" s="92"/>
      <c r="HB5" s="92"/>
      <c r="HC5" s="92"/>
      <c r="HD5" s="92"/>
      <c r="HE5" s="92"/>
      <c r="HF5" s="92"/>
      <c r="HG5" s="92"/>
      <c r="HH5" s="92"/>
      <c r="HI5" s="92"/>
      <c r="HJ5" s="92"/>
      <c r="HK5" s="92"/>
      <c r="HL5" s="92"/>
      <c r="HM5" s="92"/>
      <c r="HN5" s="92"/>
      <c r="HO5" s="92"/>
      <c r="HP5" s="92"/>
      <c r="HQ5" s="92"/>
      <c r="HR5" s="92"/>
      <c r="HS5" s="92"/>
      <c r="HT5" s="92"/>
      <c r="HU5" s="92"/>
      <c r="HV5" s="92"/>
      <c r="HW5" s="92"/>
      <c r="HX5" s="92"/>
      <c r="HY5" s="92"/>
      <c r="HZ5" s="92"/>
      <c r="IA5" s="92"/>
      <c r="IB5" s="92"/>
      <c r="IC5" s="92"/>
      <c r="ID5" s="92"/>
      <c r="IE5" s="92"/>
      <c r="IF5" s="92"/>
      <c r="IG5" s="92"/>
      <c r="IH5" s="92"/>
      <c r="II5" s="92"/>
      <c r="IJ5" s="92"/>
      <c r="IK5" s="92"/>
      <c r="IL5" s="92"/>
      <c r="IM5" s="92"/>
      <c r="IN5" s="92"/>
      <c r="IO5" s="92"/>
      <c r="IP5" s="92"/>
      <c r="IQ5" s="92"/>
      <c r="IR5" s="92"/>
      <c r="IS5" s="92"/>
      <c r="IT5" s="92"/>
      <c r="IU5" s="92"/>
    </row>
    <row r="6" spans="1:255" ht="19.95" customHeight="1" thickBot="1">
      <c r="A6" s="141" t="s">
        <v>127</v>
      </c>
      <c r="B6" s="135"/>
      <c r="C6" s="135"/>
      <c r="D6" s="139"/>
      <c r="E6" s="135"/>
      <c r="F6" s="138"/>
      <c r="G6" s="139"/>
      <c r="H6" s="139"/>
      <c r="I6" s="135"/>
      <c r="J6" s="140"/>
      <c r="K6" s="139"/>
      <c r="L6" s="135"/>
      <c r="M6" s="139"/>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c r="BP6" s="92"/>
      <c r="BQ6" s="92"/>
      <c r="BR6" s="92"/>
      <c r="BS6" s="92"/>
      <c r="BT6" s="92"/>
      <c r="BU6" s="92"/>
      <c r="BV6" s="92"/>
      <c r="BW6" s="92"/>
      <c r="BX6" s="92"/>
      <c r="BY6" s="92"/>
      <c r="BZ6" s="92"/>
      <c r="CA6" s="92"/>
      <c r="CB6" s="92"/>
      <c r="CC6" s="92"/>
      <c r="CD6" s="92"/>
      <c r="CE6" s="92"/>
      <c r="CF6" s="92"/>
      <c r="CG6" s="92"/>
      <c r="CH6" s="92"/>
      <c r="CI6" s="92"/>
      <c r="CJ6" s="92"/>
      <c r="CK6" s="92"/>
      <c r="CL6" s="92"/>
      <c r="CM6" s="92"/>
      <c r="CN6" s="92"/>
      <c r="CO6" s="92"/>
      <c r="CP6" s="92"/>
      <c r="CQ6" s="92"/>
      <c r="CR6" s="92"/>
      <c r="CS6" s="92"/>
      <c r="CT6" s="92"/>
      <c r="CU6" s="92"/>
      <c r="CV6" s="92"/>
      <c r="CW6" s="92"/>
      <c r="CX6" s="92"/>
      <c r="CY6" s="92"/>
      <c r="CZ6" s="92"/>
      <c r="DA6" s="92"/>
      <c r="DB6" s="92"/>
      <c r="DC6" s="92"/>
      <c r="DD6" s="92"/>
      <c r="DE6" s="92"/>
      <c r="DF6" s="92"/>
      <c r="DG6" s="92"/>
      <c r="DH6" s="92"/>
      <c r="DI6" s="92"/>
      <c r="DJ6" s="92"/>
      <c r="DK6" s="92"/>
      <c r="DL6" s="92"/>
      <c r="DM6" s="92"/>
      <c r="DN6" s="92"/>
      <c r="DO6" s="92"/>
      <c r="DP6" s="92"/>
      <c r="DQ6" s="92"/>
      <c r="DR6" s="92"/>
      <c r="DS6" s="92"/>
      <c r="DT6" s="92"/>
      <c r="DU6" s="92"/>
      <c r="DV6" s="92"/>
      <c r="DW6" s="92"/>
      <c r="DX6" s="92"/>
      <c r="DY6" s="92"/>
      <c r="DZ6" s="92"/>
      <c r="EA6" s="92"/>
      <c r="EB6" s="92"/>
      <c r="EC6" s="92"/>
      <c r="ED6" s="92"/>
      <c r="EE6" s="92"/>
      <c r="EF6" s="92"/>
      <c r="EG6" s="92"/>
      <c r="EH6" s="92"/>
      <c r="EI6" s="92"/>
      <c r="EJ6" s="92"/>
      <c r="EK6" s="92"/>
      <c r="EL6" s="92"/>
      <c r="EM6" s="92"/>
      <c r="EN6" s="92"/>
      <c r="EO6" s="92"/>
      <c r="EP6" s="92"/>
      <c r="EQ6" s="92"/>
      <c r="ER6" s="92"/>
      <c r="ES6" s="92"/>
      <c r="ET6" s="92"/>
      <c r="EU6" s="92"/>
      <c r="EV6" s="92"/>
      <c r="EW6" s="92"/>
      <c r="EX6" s="92"/>
      <c r="EY6" s="92"/>
      <c r="EZ6" s="92"/>
      <c r="FA6" s="92"/>
      <c r="FB6" s="92"/>
      <c r="FC6" s="92"/>
      <c r="FD6" s="92"/>
      <c r="FE6" s="92"/>
      <c r="FF6" s="92"/>
      <c r="FG6" s="92"/>
      <c r="FH6" s="92"/>
      <c r="FI6" s="92"/>
      <c r="FJ6" s="92"/>
      <c r="FK6" s="92"/>
      <c r="FL6" s="92"/>
      <c r="FM6" s="92"/>
      <c r="FN6" s="92"/>
      <c r="FO6" s="92"/>
      <c r="FP6" s="92"/>
      <c r="FQ6" s="92"/>
      <c r="FR6" s="92"/>
      <c r="FS6" s="92"/>
      <c r="FT6" s="92"/>
      <c r="FU6" s="92"/>
      <c r="FV6" s="92"/>
      <c r="FW6" s="92"/>
      <c r="FX6" s="92"/>
      <c r="FY6" s="92"/>
      <c r="FZ6" s="92"/>
      <c r="GA6" s="92"/>
      <c r="GB6" s="92"/>
      <c r="GC6" s="92"/>
      <c r="GD6" s="92"/>
      <c r="GE6" s="92"/>
      <c r="GF6" s="92"/>
      <c r="GG6" s="92"/>
      <c r="GH6" s="92"/>
      <c r="GI6" s="92"/>
      <c r="GJ6" s="92"/>
      <c r="GK6" s="92"/>
      <c r="GL6" s="92"/>
      <c r="GM6" s="92"/>
      <c r="GN6" s="92"/>
      <c r="GO6" s="92"/>
      <c r="GP6" s="92"/>
      <c r="GQ6" s="92"/>
      <c r="GR6" s="92"/>
      <c r="GS6" s="92"/>
      <c r="GT6" s="92"/>
      <c r="GU6" s="92"/>
      <c r="GV6" s="92"/>
      <c r="GW6" s="92"/>
      <c r="GX6" s="92"/>
      <c r="GY6" s="92"/>
      <c r="GZ6" s="92"/>
      <c r="HA6" s="92"/>
      <c r="HB6" s="92"/>
      <c r="HC6" s="92"/>
      <c r="HD6" s="92"/>
      <c r="HE6" s="92"/>
      <c r="HF6" s="92"/>
      <c r="HG6" s="92"/>
      <c r="HH6" s="92"/>
      <c r="HI6" s="92"/>
      <c r="HJ6" s="92"/>
      <c r="HK6" s="92"/>
      <c r="HL6" s="92"/>
      <c r="HM6" s="92"/>
      <c r="HN6" s="92"/>
      <c r="HO6" s="92"/>
      <c r="HP6" s="92"/>
      <c r="HQ6" s="92"/>
      <c r="HR6" s="92"/>
      <c r="HS6" s="92"/>
      <c r="HT6" s="92"/>
      <c r="HU6" s="92"/>
      <c r="HV6" s="92"/>
      <c r="HW6" s="92"/>
      <c r="HX6" s="92"/>
      <c r="HY6" s="92"/>
      <c r="HZ6" s="92"/>
      <c r="IA6" s="92"/>
      <c r="IB6" s="92"/>
      <c r="IC6" s="92"/>
      <c r="ID6" s="92"/>
      <c r="IE6" s="92"/>
      <c r="IF6" s="92"/>
      <c r="IG6" s="92"/>
      <c r="IH6" s="92"/>
      <c r="II6" s="92"/>
      <c r="IJ6" s="92"/>
      <c r="IK6" s="92"/>
      <c r="IL6" s="92"/>
      <c r="IM6" s="92"/>
      <c r="IN6" s="92"/>
      <c r="IO6" s="92"/>
      <c r="IP6" s="92"/>
      <c r="IQ6" s="92"/>
      <c r="IR6" s="92"/>
      <c r="IS6" s="92"/>
      <c r="IT6" s="92"/>
      <c r="IU6" s="92"/>
    </row>
    <row r="7" spans="1:255" ht="19.95" customHeight="1">
      <c r="A7" s="625" t="s">
        <v>75</v>
      </c>
      <c r="B7" s="630" t="s">
        <v>57</v>
      </c>
      <c r="C7" s="630"/>
      <c r="D7" s="630"/>
      <c r="E7" s="630" t="s">
        <v>77</v>
      </c>
      <c r="F7" s="630"/>
      <c r="G7" s="630"/>
    </row>
    <row r="8" spans="1:255" ht="19.95" customHeight="1" thickBot="1">
      <c r="A8" s="626"/>
      <c r="B8" s="155" t="s">
        <v>8</v>
      </c>
      <c r="C8" s="155" t="s">
        <v>5</v>
      </c>
      <c r="D8" s="155" t="s">
        <v>54</v>
      </c>
      <c r="E8" s="155" t="s">
        <v>8</v>
      </c>
      <c r="F8" s="155" t="s">
        <v>5</v>
      </c>
      <c r="G8" s="155" t="s">
        <v>54</v>
      </c>
    </row>
    <row r="9" spans="1:255" ht="19.95" customHeight="1">
      <c r="A9" s="179" t="s">
        <v>72</v>
      </c>
      <c r="B9" s="147"/>
      <c r="C9" s="147"/>
      <c r="D9" s="147"/>
      <c r="E9" s="147"/>
      <c r="F9" s="147"/>
      <c r="G9" s="147"/>
    </row>
    <row r="10" spans="1:255" ht="19.95" customHeight="1" thickBot="1">
      <c r="A10" s="180" t="s">
        <v>73</v>
      </c>
      <c r="B10" s="150"/>
      <c r="C10" s="150"/>
      <c r="D10" s="150"/>
      <c r="E10" s="150"/>
      <c r="F10" s="150"/>
      <c r="G10" s="150"/>
    </row>
    <row r="11" spans="1:255" ht="19.95" customHeight="1" thickBot="1">
      <c r="A11" s="163" t="s">
        <v>76</v>
      </c>
      <c r="B11" s="152"/>
      <c r="C11" s="152"/>
      <c r="D11" s="152"/>
      <c r="E11" s="152"/>
      <c r="F11" s="152"/>
      <c r="G11" s="152"/>
    </row>
    <row r="13" spans="1:255" ht="19.95" customHeight="1" thickBot="1">
      <c r="A13" s="174" t="s">
        <v>101</v>
      </c>
      <c r="B13"/>
      <c r="C13"/>
      <c r="D13"/>
      <c r="E13"/>
      <c r="F13"/>
      <c r="G13"/>
    </row>
    <row r="14" spans="1:255" ht="19.95" customHeight="1">
      <c r="A14" s="631" t="s">
        <v>56</v>
      </c>
      <c r="B14" s="630" t="s">
        <v>57</v>
      </c>
      <c r="C14" s="630"/>
      <c r="D14" s="630"/>
      <c r="E14" s="630" t="s">
        <v>77</v>
      </c>
      <c r="F14" s="630"/>
      <c r="G14" s="630"/>
    </row>
    <row r="15" spans="1:255" ht="19.95" customHeight="1" thickBot="1">
      <c r="A15" s="632"/>
      <c r="B15" s="155" t="s">
        <v>8</v>
      </c>
      <c r="C15" s="155" t="s">
        <v>5</v>
      </c>
      <c r="D15" s="155" t="s">
        <v>54</v>
      </c>
      <c r="E15" s="155" t="s">
        <v>8</v>
      </c>
      <c r="F15" s="155" t="s">
        <v>5</v>
      </c>
      <c r="G15" s="155" t="s">
        <v>54</v>
      </c>
    </row>
    <row r="16" spans="1:255" ht="19.95" customHeight="1">
      <c r="A16" s="148"/>
      <c r="B16" s="147"/>
      <c r="C16" s="147"/>
      <c r="D16" s="147"/>
      <c r="E16" s="147"/>
      <c r="F16" s="147"/>
      <c r="G16" s="147"/>
    </row>
    <row r="17" spans="1:13" ht="19.95" customHeight="1">
      <c r="A17" s="148"/>
      <c r="B17" s="147"/>
      <c r="C17" s="147"/>
      <c r="D17" s="147"/>
      <c r="E17" s="147"/>
      <c r="F17" s="147"/>
      <c r="G17" s="147"/>
    </row>
    <row r="18" spans="1:13" ht="19.95" customHeight="1">
      <c r="A18" s="148"/>
      <c r="B18" s="147"/>
      <c r="C18" s="147"/>
      <c r="D18" s="147"/>
      <c r="E18" s="147"/>
      <c r="F18" s="147"/>
      <c r="G18" s="147"/>
    </row>
    <row r="19" spans="1:13" ht="19.95" customHeight="1">
      <c r="A19" s="148"/>
      <c r="B19" s="147"/>
      <c r="C19" s="147"/>
      <c r="D19" s="147"/>
      <c r="E19" s="147"/>
      <c r="F19" s="147"/>
      <c r="G19" s="147"/>
    </row>
    <row r="20" spans="1:13" ht="19.95" customHeight="1" thickBot="1">
      <c r="A20" s="175"/>
      <c r="B20" s="150"/>
      <c r="C20" s="150"/>
      <c r="D20" s="150" t="s">
        <v>90</v>
      </c>
      <c r="E20" s="150"/>
      <c r="F20" s="150"/>
      <c r="G20" s="150" t="s">
        <v>90</v>
      </c>
    </row>
    <row r="21" spans="1:13" ht="19.95" customHeight="1" thickBot="1">
      <c r="A21" s="151" t="s">
        <v>63</v>
      </c>
      <c r="B21" s="152"/>
      <c r="C21" s="152"/>
      <c r="D21" s="152" t="s">
        <v>74</v>
      </c>
      <c r="E21" s="152"/>
      <c r="F21" s="152"/>
      <c r="G21" s="152" t="s">
        <v>74</v>
      </c>
    </row>
    <row r="23" spans="1:13" ht="19.95" customHeight="1">
      <c r="A23" s="176" t="s">
        <v>102</v>
      </c>
    </row>
    <row r="24" spans="1:13" ht="19.95" customHeight="1" thickBot="1"/>
    <row r="25" spans="1:13" ht="19.95" customHeight="1">
      <c r="A25" s="622" t="s">
        <v>21</v>
      </c>
      <c r="B25" s="614" t="s">
        <v>15</v>
      </c>
      <c r="C25" s="614" t="s">
        <v>77</v>
      </c>
      <c r="D25" s="165" t="s">
        <v>103</v>
      </c>
      <c r="E25" s="165" t="s">
        <v>105</v>
      </c>
      <c r="F25" s="165" t="s">
        <v>107</v>
      </c>
      <c r="G25" s="165" t="s">
        <v>109</v>
      </c>
      <c r="H25" s="165" t="s">
        <v>111</v>
      </c>
      <c r="I25" s="165" t="s">
        <v>113</v>
      </c>
      <c r="J25" s="165" t="s">
        <v>115</v>
      </c>
      <c r="K25" s="165" t="s">
        <v>117</v>
      </c>
      <c r="L25" s="165" t="s">
        <v>119</v>
      </c>
      <c r="M25" s="165" t="s">
        <v>121</v>
      </c>
    </row>
    <row r="26" spans="1:13" ht="19.95" customHeight="1" thickBot="1">
      <c r="A26" s="624"/>
      <c r="B26" s="616"/>
      <c r="C26" s="616"/>
      <c r="D26" s="166" t="s">
        <v>104</v>
      </c>
      <c r="E26" s="166" t="s">
        <v>106</v>
      </c>
      <c r="F26" s="166" t="s">
        <v>108</v>
      </c>
      <c r="G26" s="166" t="s">
        <v>110</v>
      </c>
      <c r="H26" s="166" t="s">
        <v>112</v>
      </c>
      <c r="I26" s="166" t="s">
        <v>114</v>
      </c>
      <c r="J26" s="166" t="s">
        <v>116</v>
      </c>
      <c r="K26" s="166" t="s">
        <v>118</v>
      </c>
      <c r="L26" s="166" t="s">
        <v>120</v>
      </c>
      <c r="M26" s="166" t="s">
        <v>122</v>
      </c>
    </row>
    <row r="27" spans="1:13" ht="19.95" customHeight="1">
      <c r="A27" s="148">
        <v>1</v>
      </c>
      <c r="B27" s="147"/>
      <c r="C27" s="147"/>
      <c r="D27" s="147"/>
      <c r="E27" s="147"/>
      <c r="F27" s="147"/>
      <c r="G27" s="147"/>
      <c r="H27" s="147"/>
      <c r="I27" s="147"/>
      <c r="J27" s="147"/>
      <c r="K27" s="147"/>
      <c r="L27" s="147"/>
      <c r="M27" s="147"/>
    </row>
    <row r="28" spans="1:13" ht="19.95" customHeight="1">
      <c r="A28" s="148">
        <v>2</v>
      </c>
      <c r="B28" s="147"/>
      <c r="C28" s="147"/>
      <c r="D28" s="147"/>
      <c r="E28" s="147"/>
      <c r="F28" s="147"/>
      <c r="G28" s="147"/>
      <c r="H28" s="147"/>
      <c r="I28" s="147"/>
      <c r="J28" s="147"/>
      <c r="K28" s="147"/>
      <c r="L28" s="147"/>
      <c r="M28" s="147"/>
    </row>
    <row r="29" spans="1:13" ht="19.95" customHeight="1">
      <c r="A29" s="148">
        <v>3</v>
      </c>
      <c r="B29" s="147"/>
      <c r="C29" s="147"/>
      <c r="D29" s="147"/>
      <c r="E29" s="147"/>
      <c r="F29" s="147"/>
      <c r="G29" s="147"/>
      <c r="H29" s="147"/>
      <c r="I29" s="147"/>
      <c r="J29" s="147"/>
      <c r="K29" s="147"/>
      <c r="L29" s="147"/>
      <c r="M29" s="147"/>
    </row>
    <row r="30" spans="1:13" ht="19.95" customHeight="1">
      <c r="A30" s="148">
        <v>4</v>
      </c>
      <c r="B30" s="147"/>
      <c r="C30" s="147"/>
      <c r="D30" s="147"/>
      <c r="E30" s="147"/>
      <c r="F30" s="147"/>
      <c r="G30" s="147"/>
      <c r="H30" s="147"/>
      <c r="I30" s="147"/>
      <c r="J30" s="147"/>
      <c r="K30" s="147"/>
      <c r="L30" s="147"/>
      <c r="M30" s="147"/>
    </row>
    <row r="31" spans="1:13" ht="19.95" customHeight="1">
      <c r="A31" s="148">
        <v>5</v>
      </c>
      <c r="B31" s="147"/>
      <c r="C31" s="147"/>
      <c r="D31" s="147"/>
      <c r="E31" s="147"/>
      <c r="F31" s="147"/>
      <c r="G31" s="147"/>
      <c r="H31" s="147"/>
      <c r="I31" s="147"/>
      <c r="J31" s="147"/>
      <c r="K31" s="147"/>
      <c r="L31" s="147"/>
      <c r="M31" s="147"/>
    </row>
    <row r="32" spans="1:13" ht="19.95" customHeight="1">
      <c r="A32" s="148" t="s">
        <v>123</v>
      </c>
      <c r="B32" s="147"/>
      <c r="C32" s="147"/>
      <c r="D32" s="147"/>
      <c r="E32" s="147"/>
      <c r="F32" s="147"/>
      <c r="G32" s="147"/>
      <c r="H32" s="147"/>
      <c r="I32" s="147"/>
      <c r="J32" s="147"/>
      <c r="K32" s="147"/>
      <c r="L32" s="147"/>
      <c r="M32" s="147"/>
    </row>
    <row r="33" spans="1:13" ht="19.95" customHeight="1">
      <c r="A33" s="148"/>
      <c r="B33" s="147"/>
      <c r="C33" s="147"/>
      <c r="D33" s="147"/>
      <c r="E33" s="147"/>
      <c r="F33" s="147"/>
      <c r="G33" s="147"/>
      <c r="H33" s="147"/>
      <c r="I33" s="147"/>
      <c r="J33" s="147"/>
      <c r="K33" s="147"/>
      <c r="L33" s="147"/>
      <c r="M33" s="147"/>
    </row>
    <row r="34" spans="1:13" ht="19.95" customHeight="1">
      <c r="A34" s="148"/>
      <c r="B34" s="147"/>
      <c r="C34" s="147"/>
      <c r="D34" s="147"/>
      <c r="E34" s="147"/>
      <c r="F34" s="147"/>
      <c r="G34" s="147"/>
      <c r="H34" s="147"/>
      <c r="I34" s="147"/>
      <c r="J34" s="147"/>
      <c r="K34" s="147"/>
      <c r="L34" s="147"/>
      <c r="M34" s="147"/>
    </row>
    <row r="35" spans="1:13" ht="19.95" customHeight="1">
      <c r="A35" s="148"/>
      <c r="B35" s="147"/>
      <c r="C35" s="147"/>
      <c r="D35" s="147"/>
      <c r="E35" s="147"/>
      <c r="F35" s="147"/>
      <c r="G35" s="147"/>
      <c r="H35" s="147"/>
      <c r="I35" s="147"/>
      <c r="J35" s="147"/>
      <c r="K35" s="147"/>
      <c r="L35" s="147"/>
      <c r="M35" s="147"/>
    </row>
    <row r="36" spans="1:13" ht="19.95" customHeight="1">
      <c r="A36" s="148"/>
      <c r="B36" s="147"/>
      <c r="C36" s="147"/>
      <c r="D36" s="147"/>
      <c r="E36" s="147"/>
      <c r="F36" s="147"/>
      <c r="G36" s="147"/>
      <c r="H36" s="147"/>
      <c r="I36" s="147"/>
      <c r="J36" s="147"/>
      <c r="K36" s="147"/>
      <c r="L36" s="147"/>
      <c r="M36" s="147"/>
    </row>
    <row r="37" spans="1:13" ht="19.95" customHeight="1" thickBot="1">
      <c r="A37" s="175"/>
      <c r="B37" s="150"/>
      <c r="C37" s="150"/>
      <c r="D37" s="150"/>
      <c r="E37" s="150"/>
      <c r="F37" s="150"/>
      <c r="G37" s="150"/>
      <c r="H37" s="150"/>
      <c r="I37" s="150"/>
      <c r="J37" s="150"/>
      <c r="K37" s="150"/>
      <c r="L37" s="150"/>
      <c r="M37" s="150"/>
    </row>
    <row r="38" spans="1:13" ht="19.95" customHeight="1" thickBot="1">
      <c r="A38" s="151" t="s">
        <v>124</v>
      </c>
      <c r="B38" s="152"/>
      <c r="C38" s="152"/>
      <c r="D38" s="152"/>
      <c r="E38" s="152"/>
      <c r="F38" s="152"/>
      <c r="G38" s="152"/>
      <c r="H38" s="152" t="s">
        <v>125</v>
      </c>
      <c r="I38" s="152" t="s">
        <v>90</v>
      </c>
      <c r="J38" s="152"/>
      <c r="K38" s="152"/>
      <c r="L38" s="152" t="s">
        <v>125</v>
      </c>
      <c r="M38" s="152" t="s">
        <v>90</v>
      </c>
    </row>
    <row r="40" spans="1:13" ht="19.95" customHeight="1" thickBot="1">
      <c r="A40" s="176" t="s">
        <v>126</v>
      </c>
    </row>
    <row r="41" spans="1:13" ht="19.95" customHeight="1" thickBot="1">
      <c r="A41" s="181" t="s">
        <v>75</v>
      </c>
      <c r="B41" s="182" t="s">
        <v>19</v>
      </c>
      <c r="C41" s="182" t="s">
        <v>20</v>
      </c>
    </row>
    <row r="42" spans="1:13" ht="19.95" customHeight="1">
      <c r="A42" s="148"/>
      <c r="B42" s="147"/>
      <c r="C42" s="147"/>
    </row>
    <row r="43" spans="1:13" ht="19.95" customHeight="1">
      <c r="A43" s="148"/>
      <c r="B43" s="147"/>
      <c r="C43" s="147"/>
    </row>
    <row r="44" spans="1:13" ht="19.95" customHeight="1">
      <c r="A44" s="148"/>
      <c r="B44" s="147"/>
      <c r="C44" s="147"/>
    </row>
    <row r="45" spans="1:13" ht="19.95" customHeight="1">
      <c r="A45" s="148"/>
      <c r="B45" s="147"/>
      <c r="C45" s="147"/>
    </row>
    <row r="46" spans="1:13" ht="19.95" customHeight="1" thickBot="1">
      <c r="A46" s="175"/>
      <c r="B46" s="150"/>
      <c r="C46" s="150"/>
    </row>
    <row r="47" spans="1:13" ht="19.95" customHeight="1" thickBot="1">
      <c r="A47" s="151" t="s">
        <v>63</v>
      </c>
      <c r="B47" s="152"/>
      <c r="C47" s="152" t="s">
        <v>90</v>
      </c>
    </row>
  </sheetData>
  <mergeCells count="11">
    <mergeCell ref="E7:G7"/>
    <mergeCell ref="A14:A15"/>
    <mergeCell ref="B14:D14"/>
    <mergeCell ref="E14:G14"/>
    <mergeCell ref="A1:M1"/>
    <mergeCell ref="A2:M2"/>
    <mergeCell ref="A25:A26"/>
    <mergeCell ref="B25:B26"/>
    <mergeCell ref="C25:C26"/>
    <mergeCell ref="A7:A8"/>
    <mergeCell ref="B7:D7"/>
  </mergeCells>
  <phoneticPr fontId="10" type="noConversion"/>
  <hyperlinks>
    <hyperlink ref="N3" location="底稿目录!A1" display="返回目录"/>
  </hyperlinks>
  <printOptions horizontalCentered="1"/>
  <pageMargins left="0.43307086614173229" right="0.39370078740157483" top="0.39370078740157483" bottom="0.39370078740157483" header="0.31496062992125984" footer="0.31496062992125984"/>
  <pageSetup paperSize="9" scale="77" fitToHeight="100" orientation="landscape" blackAndWhite="1"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AX48"/>
  <sheetViews>
    <sheetView view="pageBreakPreview" zoomScaleSheetLayoutView="100" workbookViewId="0">
      <selection sqref="A1:R1"/>
    </sheetView>
  </sheetViews>
  <sheetFormatPr defaultColWidth="9" defaultRowHeight="13.8"/>
  <cols>
    <col min="1" max="1" width="12.796875" style="2" customWidth="1"/>
    <col min="2" max="2" width="9.3984375" style="2" customWidth="1"/>
    <col min="3" max="4" width="9.5" style="2" customWidth="1"/>
    <col min="5" max="5" width="7.3984375" style="2" customWidth="1"/>
    <col min="6" max="6" width="4.69921875" style="2" customWidth="1"/>
    <col min="7" max="7" width="6.69921875" style="2" customWidth="1"/>
    <col min="8" max="9" width="6.5" style="2" customWidth="1"/>
    <col min="10" max="10" width="8.19921875" style="2" customWidth="1"/>
    <col min="11" max="11" width="9.69921875" style="2" customWidth="1"/>
    <col min="12" max="12" width="9.59765625" style="2" customWidth="1"/>
    <col min="13" max="13" width="11.59765625" style="2" customWidth="1"/>
    <col min="14" max="15" width="11.69921875" style="2" customWidth="1"/>
    <col min="16" max="16" width="11.796875" style="2" customWidth="1"/>
    <col min="17" max="17" width="10.19921875" style="2" customWidth="1"/>
    <col min="18" max="18" width="9.796875" style="2" customWidth="1"/>
    <col min="19" max="19" width="9.09765625" style="2" customWidth="1"/>
    <col min="20" max="20" width="12.09765625" style="2" customWidth="1"/>
    <col min="21" max="21" width="8.09765625" style="2" customWidth="1"/>
    <col min="22" max="22" width="10.69921875" style="2" customWidth="1"/>
    <col min="23" max="24" width="12.59765625" style="2" customWidth="1"/>
    <col min="25" max="25" width="11.3984375" style="2" customWidth="1"/>
    <col min="26" max="26" width="8.19921875" style="2" customWidth="1"/>
    <col min="27" max="27" width="10.59765625" style="2" customWidth="1"/>
    <col min="28" max="28" width="9.59765625" style="2" customWidth="1"/>
    <col min="29" max="29" width="12" style="2" customWidth="1"/>
    <col min="30" max="31" width="11.19921875" style="2" customWidth="1"/>
    <col min="32" max="34" width="10.8984375" style="2" customWidth="1"/>
    <col min="35" max="47" width="8.5" style="2" customWidth="1"/>
    <col min="48" max="48" width="8" style="2" customWidth="1"/>
    <col min="49" max="49" width="9" style="2" customWidth="1"/>
    <col min="50" max="50" width="5.8984375" style="2" customWidth="1"/>
    <col min="51" max="16384" width="9" style="2"/>
  </cols>
  <sheetData>
    <row r="1" spans="1:50" s="11" customFormat="1" ht="20.100000000000001" customHeight="1">
      <c r="A1" s="634" t="s">
        <v>835</v>
      </c>
      <c r="B1" s="635"/>
      <c r="C1" s="635"/>
      <c r="D1" s="635"/>
      <c r="E1" s="635"/>
      <c r="F1" s="635"/>
      <c r="G1" s="635"/>
      <c r="H1" s="635"/>
      <c r="I1" s="635"/>
      <c r="J1" s="635"/>
      <c r="K1" s="635"/>
      <c r="L1" s="635"/>
      <c r="M1" s="635"/>
      <c r="N1" s="635"/>
      <c r="O1" s="635"/>
      <c r="P1" s="635"/>
      <c r="Q1" s="635"/>
      <c r="R1" s="635"/>
      <c r="S1" s="635" t="s">
        <v>836</v>
      </c>
      <c r="T1" s="635"/>
      <c r="U1" s="635"/>
      <c r="V1" s="635"/>
      <c r="W1" s="635"/>
      <c r="X1" s="635"/>
      <c r="Y1" s="635"/>
      <c r="Z1" s="635"/>
      <c r="AA1" s="635"/>
      <c r="AB1" s="635"/>
      <c r="AC1" s="635"/>
      <c r="AD1" s="635"/>
      <c r="AE1" s="635"/>
      <c r="AF1" s="635"/>
      <c r="AG1" s="635"/>
      <c r="AH1" s="635"/>
      <c r="AI1" s="635" t="s">
        <v>810</v>
      </c>
      <c r="AJ1" s="635"/>
      <c r="AK1" s="635"/>
      <c r="AL1" s="635"/>
      <c r="AM1" s="635"/>
      <c r="AN1" s="635"/>
      <c r="AO1" s="635"/>
      <c r="AP1" s="635"/>
      <c r="AQ1" s="635"/>
      <c r="AR1" s="635"/>
      <c r="AS1" s="635"/>
      <c r="AT1" s="635"/>
      <c r="AU1" s="635"/>
      <c r="AV1" s="635"/>
      <c r="AW1" s="635"/>
      <c r="AX1" s="635"/>
    </row>
    <row r="2" spans="1:50" s="424" customFormat="1" ht="24.9" customHeight="1">
      <c r="A2" s="636" t="s">
        <v>837</v>
      </c>
      <c r="B2" s="637"/>
      <c r="C2" s="637"/>
      <c r="D2" s="637"/>
      <c r="E2" s="637"/>
      <c r="F2" s="637"/>
      <c r="G2" s="637"/>
      <c r="H2" s="637"/>
      <c r="I2" s="637"/>
      <c r="J2" s="637"/>
      <c r="K2" s="637"/>
      <c r="L2" s="637"/>
      <c r="M2" s="637"/>
      <c r="N2" s="637"/>
      <c r="O2" s="637"/>
      <c r="P2" s="637"/>
      <c r="Q2" s="637"/>
      <c r="R2" s="637"/>
      <c r="S2" s="637" t="s">
        <v>838</v>
      </c>
      <c r="T2" s="637"/>
      <c r="U2" s="637"/>
      <c r="V2" s="637"/>
      <c r="W2" s="637"/>
      <c r="X2" s="637"/>
      <c r="Y2" s="637"/>
      <c r="Z2" s="637"/>
      <c r="AA2" s="637"/>
      <c r="AB2" s="637"/>
      <c r="AC2" s="637"/>
      <c r="AD2" s="637"/>
      <c r="AE2" s="637"/>
      <c r="AF2" s="637"/>
      <c r="AG2" s="637"/>
      <c r="AH2" s="637"/>
      <c r="AI2" s="637" t="s">
        <v>812</v>
      </c>
      <c r="AJ2" s="637"/>
      <c r="AK2" s="637"/>
      <c r="AL2" s="637"/>
      <c r="AM2" s="637"/>
      <c r="AN2" s="637"/>
      <c r="AO2" s="637"/>
      <c r="AP2" s="637"/>
      <c r="AQ2" s="637"/>
      <c r="AR2" s="637"/>
      <c r="AS2" s="637"/>
      <c r="AT2" s="637"/>
      <c r="AU2" s="637"/>
      <c r="AV2" s="637"/>
      <c r="AW2" s="637"/>
      <c r="AX2" s="637"/>
    </row>
    <row r="3" spans="1:50" ht="20.100000000000001" customHeight="1">
      <c r="A3" s="2" t="str">
        <f>底稿目录!A2</f>
        <v>被审计单位：</v>
      </c>
      <c r="E3" s="2" t="str">
        <f>底稿目录!A4</f>
        <v>编制人：</v>
      </c>
      <c r="K3" s="2" t="str">
        <f>底稿目录!A6</f>
        <v>编制日期：</v>
      </c>
      <c r="P3" s="92"/>
      <c r="Q3" s="440" t="s">
        <v>832</v>
      </c>
      <c r="R3" s="256" t="s">
        <v>133</v>
      </c>
      <c r="S3" s="2" t="str">
        <f>底稿目录!A2</f>
        <v>被审计单位：</v>
      </c>
      <c r="Y3" s="2" t="str">
        <f>底稿目录!A4</f>
        <v>编制人：</v>
      </c>
      <c r="AD3" s="2" t="str">
        <f>底稿目录!A6</f>
        <v>编制日期：</v>
      </c>
      <c r="AG3" s="440" t="s">
        <v>832</v>
      </c>
      <c r="AH3" s="256" t="s">
        <v>133</v>
      </c>
      <c r="AI3" s="2" t="str">
        <f>底稿目录!A2</f>
        <v>被审计单位：</v>
      </c>
      <c r="AM3" s="2" t="str">
        <f>底稿目录!A4</f>
        <v>编制人：</v>
      </c>
      <c r="AQ3" s="2" t="str">
        <f>底稿目录!A6</f>
        <v>编制日期：</v>
      </c>
      <c r="AW3" s="440" t="s">
        <v>832</v>
      </c>
      <c r="AX3" s="256" t="s">
        <v>133</v>
      </c>
    </row>
    <row r="4" spans="1:50" ht="20.100000000000001" customHeight="1">
      <c r="A4" s="2" t="str">
        <f>底稿目录!A3</f>
        <v>截止日：202X年12月31日</v>
      </c>
      <c r="E4" s="2" t="str">
        <f>底稿目录!A5</f>
        <v>复核人：</v>
      </c>
      <c r="K4" s="2" t="str">
        <f>底稿目录!A7</f>
        <v>复核日期：</v>
      </c>
      <c r="P4" s="92"/>
      <c r="Q4" s="440" t="s">
        <v>833</v>
      </c>
      <c r="S4" s="2" t="str">
        <f>底稿目录!A3</f>
        <v>截止日：202X年12月31日</v>
      </c>
      <c r="Y4" s="2" t="str">
        <f>底稿目录!A5</f>
        <v>复核人：</v>
      </c>
      <c r="AD4" s="2" t="str">
        <f>底稿目录!A7</f>
        <v>复核日期：</v>
      </c>
      <c r="AG4" s="440" t="s">
        <v>833</v>
      </c>
      <c r="AI4" s="2" t="str">
        <f>底稿目录!A3</f>
        <v>截止日：202X年12月31日</v>
      </c>
      <c r="AM4" s="2" t="str">
        <f>底稿目录!A5</f>
        <v>复核人：</v>
      </c>
      <c r="AQ4" s="2" t="str">
        <f>底稿目录!A7</f>
        <v>复核日期：</v>
      </c>
      <c r="AW4" s="440" t="s">
        <v>833</v>
      </c>
    </row>
    <row r="5" spans="1:50" s="498" customFormat="1" ht="20.100000000000001" customHeight="1">
      <c r="A5" s="496" t="s">
        <v>131</v>
      </c>
      <c r="B5" s="497"/>
      <c r="E5" s="499"/>
      <c r="L5" s="500"/>
      <c r="M5" s="500"/>
      <c r="Z5" s="501"/>
      <c r="AA5" s="501"/>
      <c r="AB5" s="501"/>
      <c r="AC5" s="501"/>
      <c r="AD5" s="501"/>
      <c r="AE5" s="501"/>
      <c r="AF5" s="501"/>
      <c r="AG5" s="501"/>
      <c r="AH5" s="501"/>
      <c r="AI5" s="501"/>
      <c r="AJ5" s="501"/>
      <c r="AK5" s="501"/>
      <c r="AL5" s="501"/>
      <c r="AM5" s="501"/>
      <c r="AN5" s="501"/>
      <c r="AO5" s="501"/>
      <c r="AP5" s="501"/>
      <c r="AQ5" s="501"/>
      <c r="AR5" s="501"/>
      <c r="AS5" s="501"/>
      <c r="AT5" s="501"/>
      <c r="AU5" s="501"/>
    </row>
    <row r="6" spans="1:50" s="498" customFormat="1" ht="20.100000000000001" customHeight="1">
      <c r="A6" s="497" t="s">
        <v>914</v>
      </c>
      <c r="B6" s="497"/>
      <c r="E6" s="499"/>
      <c r="L6" s="500"/>
      <c r="M6" s="500"/>
      <c r="Z6" s="501"/>
      <c r="AA6" s="501"/>
      <c r="AB6" s="501"/>
      <c r="AC6" s="501"/>
      <c r="AD6" s="501"/>
      <c r="AE6" s="501"/>
      <c r="AF6" s="501"/>
      <c r="AG6" s="501"/>
      <c r="AH6" s="501"/>
      <c r="AI6" s="501"/>
      <c r="AJ6" s="501"/>
      <c r="AK6" s="501"/>
      <c r="AL6" s="501"/>
      <c r="AM6" s="501"/>
      <c r="AN6" s="501"/>
      <c r="AO6" s="501"/>
      <c r="AP6" s="501"/>
      <c r="AQ6" s="501"/>
      <c r="AR6" s="501"/>
      <c r="AS6" s="501"/>
      <c r="AT6" s="501"/>
      <c r="AU6" s="501"/>
    </row>
    <row r="7" spans="1:50" s="498" customFormat="1" ht="20.100000000000001" customHeight="1">
      <c r="A7" s="497" t="s">
        <v>915</v>
      </c>
      <c r="B7" s="497"/>
      <c r="E7" s="499"/>
      <c r="L7" s="500"/>
      <c r="M7" s="500"/>
      <c r="Z7" s="501"/>
      <c r="AA7" s="501"/>
      <c r="AB7" s="501"/>
      <c r="AC7" s="501"/>
      <c r="AD7" s="501"/>
      <c r="AE7" s="501"/>
      <c r="AF7" s="501"/>
      <c r="AG7" s="501"/>
      <c r="AH7" s="501"/>
      <c r="AI7" s="501"/>
      <c r="AJ7" s="501"/>
      <c r="AK7" s="501"/>
      <c r="AL7" s="501"/>
      <c r="AM7" s="501"/>
      <c r="AN7" s="501"/>
      <c r="AO7" s="501"/>
      <c r="AP7" s="501"/>
      <c r="AQ7" s="501"/>
      <c r="AR7" s="501"/>
      <c r="AS7" s="501"/>
      <c r="AT7" s="501"/>
      <c r="AU7" s="501"/>
    </row>
    <row r="8" spans="1:50" ht="20.100000000000001" customHeight="1">
      <c r="A8" s="51" t="s">
        <v>238</v>
      </c>
      <c r="B8" s="8"/>
      <c r="E8" s="38"/>
      <c r="L8" s="272"/>
      <c r="M8" s="272"/>
      <c r="Z8" s="64"/>
      <c r="AA8" s="64"/>
      <c r="AB8" s="64"/>
      <c r="AC8" s="64"/>
      <c r="AD8" s="64"/>
      <c r="AE8" s="64"/>
      <c r="AF8" s="64"/>
      <c r="AG8" s="64"/>
      <c r="AH8" s="64"/>
      <c r="AI8" s="64"/>
      <c r="AJ8" s="64"/>
      <c r="AK8" s="64"/>
      <c r="AL8" s="64"/>
      <c r="AM8" s="64"/>
      <c r="AN8" s="64"/>
      <c r="AO8" s="64"/>
      <c r="AP8" s="64"/>
      <c r="AQ8" s="64"/>
      <c r="AR8" s="64"/>
      <c r="AS8" s="64"/>
      <c r="AT8" s="64"/>
      <c r="AU8" s="64"/>
    </row>
    <row r="9" spans="1:50" s="502" customFormat="1" ht="20.100000000000001" customHeight="1">
      <c r="A9" s="649" t="s">
        <v>3</v>
      </c>
      <c r="B9" s="649" t="s">
        <v>239</v>
      </c>
      <c r="C9" s="649" t="s">
        <v>240</v>
      </c>
      <c r="D9" s="649" t="s">
        <v>241</v>
      </c>
      <c r="E9" s="649" t="s">
        <v>242</v>
      </c>
      <c r="F9" s="649" t="s">
        <v>243</v>
      </c>
      <c r="G9" s="649" t="s">
        <v>244</v>
      </c>
      <c r="H9" s="649" t="s">
        <v>245</v>
      </c>
      <c r="I9" s="641" t="s">
        <v>246</v>
      </c>
      <c r="J9" s="643" t="s">
        <v>247</v>
      </c>
      <c r="K9" s="644"/>
      <c r="L9" s="644"/>
      <c r="M9" s="644"/>
      <c r="N9" s="644"/>
      <c r="O9" s="644"/>
      <c r="P9" s="644"/>
      <c r="Q9" s="644"/>
      <c r="R9" s="644"/>
      <c r="S9" s="644"/>
      <c r="T9" s="644"/>
      <c r="U9" s="644"/>
      <c r="V9" s="644"/>
      <c r="W9" s="644"/>
      <c r="X9" s="644"/>
      <c r="Y9" s="644"/>
      <c r="Z9" s="644"/>
      <c r="AA9" s="644"/>
      <c r="AB9" s="644"/>
      <c r="AC9" s="644"/>
      <c r="AD9" s="644"/>
      <c r="AE9" s="644"/>
      <c r="AF9" s="644"/>
      <c r="AG9" s="644"/>
      <c r="AH9" s="644"/>
      <c r="AI9" s="644" t="s">
        <v>248</v>
      </c>
      <c r="AJ9" s="644"/>
      <c r="AK9" s="644"/>
      <c r="AL9" s="644"/>
      <c r="AM9" s="644"/>
      <c r="AN9" s="644"/>
      <c r="AO9" s="644"/>
      <c r="AP9" s="644"/>
      <c r="AQ9" s="644"/>
      <c r="AR9" s="644"/>
      <c r="AS9" s="644"/>
      <c r="AT9" s="609" t="s">
        <v>249</v>
      </c>
      <c r="AU9" s="609"/>
      <c r="AV9" s="609" t="s">
        <v>250</v>
      </c>
      <c r="AW9" s="609"/>
      <c r="AX9" s="649" t="s">
        <v>251</v>
      </c>
    </row>
    <row r="10" spans="1:50" s="502" customFormat="1" ht="20.100000000000001" customHeight="1">
      <c r="A10" s="649"/>
      <c r="B10" s="649"/>
      <c r="C10" s="649"/>
      <c r="D10" s="649"/>
      <c r="E10" s="649"/>
      <c r="F10" s="649"/>
      <c r="G10" s="649"/>
      <c r="H10" s="649"/>
      <c r="I10" s="650"/>
      <c r="J10" s="654" t="s">
        <v>252</v>
      </c>
      <c r="K10" s="654"/>
      <c r="L10" s="654"/>
      <c r="M10" s="654"/>
      <c r="N10" s="654"/>
      <c r="O10" s="654"/>
      <c r="P10" s="654"/>
      <c r="Q10" s="654"/>
      <c r="R10" s="654"/>
      <c r="S10" s="647" t="s">
        <v>253</v>
      </c>
      <c r="T10" s="648"/>
      <c r="U10" s="638" t="s">
        <v>254</v>
      </c>
      <c r="V10" s="639"/>
      <c r="W10" s="639"/>
      <c r="X10" s="639"/>
      <c r="Y10" s="639"/>
      <c r="Z10" s="655" t="s">
        <v>255</v>
      </c>
      <c r="AA10" s="655"/>
      <c r="AB10" s="655"/>
      <c r="AC10" s="655"/>
      <c r="AD10" s="655"/>
      <c r="AE10" s="655"/>
      <c r="AF10" s="655"/>
      <c r="AG10" s="655"/>
      <c r="AH10" s="654"/>
      <c r="AI10" s="643" t="s">
        <v>252</v>
      </c>
      <c r="AJ10" s="644"/>
      <c r="AK10" s="644"/>
      <c r="AL10" s="653"/>
      <c r="AM10" s="655" t="s">
        <v>253</v>
      </c>
      <c r="AN10" s="643" t="s">
        <v>254</v>
      </c>
      <c r="AO10" s="644"/>
      <c r="AP10" s="643" t="s">
        <v>255</v>
      </c>
      <c r="AQ10" s="644"/>
      <c r="AR10" s="644"/>
      <c r="AS10" s="653"/>
      <c r="AT10" s="609"/>
      <c r="AU10" s="609"/>
      <c r="AV10" s="609"/>
      <c r="AW10" s="609"/>
      <c r="AX10" s="649"/>
    </row>
    <row r="11" spans="1:50" s="502" customFormat="1" ht="20.100000000000001" customHeight="1">
      <c r="A11" s="649"/>
      <c r="B11" s="649"/>
      <c r="C11" s="649"/>
      <c r="D11" s="649"/>
      <c r="E11" s="649"/>
      <c r="F11" s="649"/>
      <c r="G11" s="649"/>
      <c r="H11" s="649"/>
      <c r="I11" s="650"/>
      <c r="J11" s="645" t="s">
        <v>181</v>
      </c>
      <c r="K11" s="646"/>
      <c r="L11" s="645" t="s">
        <v>256</v>
      </c>
      <c r="M11" s="646"/>
      <c r="N11" s="643" t="s">
        <v>257</v>
      </c>
      <c r="O11" s="644"/>
      <c r="P11" s="653"/>
      <c r="Q11" s="645" t="s">
        <v>182</v>
      </c>
      <c r="R11" s="646"/>
      <c r="S11" s="651"/>
      <c r="T11" s="652"/>
      <c r="U11" s="645" t="s">
        <v>256</v>
      </c>
      <c r="V11" s="646"/>
      <c r="W11" s="643" t="s">
        <v>257</v>
      </c>
      <c r="X11" s="644"/>
      <c r="Y11" s="644"/>
      <c r="Z11" s="649" t="s">
        <v>181</v>
      </c>
      <c r="AA11" s="649"/>
      <c r="AB11" s="649" t="s">
        <v>256</v>
      </c>
      <c r="AC11" s="649"/>
      <c r="AD11" s="654" t="s">
        <v>257</v>
      </c>
      <c r="AE11" s="654"/>
      <c r="AF11" s="654"/>
      <c r="AG11" s="647" t="s">
        <v>182</v>
      </c>
      <c r="AH11" s="648"/>
      <c r="AI11" s="641" t="s">
        <v>181</v>
      </c>
      <c r="AJ11" s="641" t="s">
        <v>256</v>
      </c>
      <c r="AK11" s="641" t="s">
        <v>257</v>
      </c>
      <c r="AL11" s="641" t="s">
        <v>182</v>
      </c>
      <c r="AM11" s="657"/>
      <c r="AN11" s="641" t="s">
        <v>256</v>
      </c>
      <c r="AO11" s="641" t="s">
        <v>257</v>
      </c>
      <c r="AP11" s="641" t="s">
        <v>181</v>
      </c>
      <c r="AQ11" s="641" t="s">
        <v>256</v>
      </c>
      <c r="AR11" s="641" t="s">
        <v>257</v>
      </c>
      <c r="AS11" s="641" t="s">
        <v>182</v>
      </c>
      <c r="AT11" s="656" t="s">
        <v>258</v>
      </c>
      <c r="AU11" s="656" t="s">
        <v>259</v>
      </c>
      <c r="AV11" s="656" t="s">
        <v>258</v>
      </c>
      <c r="AW11" s="656" t="s">
        <v>259</v>
      </c>
      <c r="AX11" s="649"/>
    </row>
    <row r="12" spans="1:50" s="502" customFormat="1" ht="36">
      <c r="A12" s="649"/>
      <c r="B12" s="649"/>
      <c r="C12" s="649"/>
      <c r="D12" s="649"/>
      <c r="E12" s="649"/>
      <c r="F12" s="649"/>
      <c r="G12" s="649"/>
      <c r="H12" s="649"/>
      <c r="I12" s="642"/>
      <c r="J12" s="487" t="s">
        <v>260</v>
      </c>
      <c r="K12" s="487" t="s">
        <v>261</v>
      </c>
      <c r="L12" s="487" t="s">
        <v>262</v>
      </c>
      <c r="M12" s="487" t="s">
        <v>263</v>
      </c>
      <c r="N12" s="488" t="s">
        <v>264</v>
      </c>
      <c r="O12" s="488" t="s">
        <v>265</v>
      </c>
      <c r="P12" s="488" t="s">
        <v>266</v>
      </c>
      <c r="Q12" s="487" t="s">
        <v>260</v>
      </c>
      <c r="R12" s="487" t="s">
        <v>261</v>
      </c>
      <c r="S12" s="487" t="s">
        <v>260</v>
      </c>
      <c r="T12" s="487" t="s">
        <v>261</v>
      </c>
      <c r="U12" s="487" t="s">
        <v>262</v>
      </c>
      <c r="V12" s="487" t="s">
        <v>263</v>
      </c>
      <c r="W12" s="488" t="s">
        <v>264</v>
      </c>
      <c r="X12" s="488" t="s">
        <v>265</v>
      </c>
      <c r="Y12" s="486" t="s">
        <v>266</v>
      </c>
      <c r="Z12" s="488" t="s">
        <v>260</v>
      </c>
      <c r="AA12" s="488" t="s">
        <v>261</v>
      </c>
      <c r="AB12" s="488" t="s">
        <v>262</v>
      </c>
      <c r="AC12" s="488" t="s">
        <v>263</v>
      </c>
      <c r="AD12" s="488" t="s">
        <v>264</v>
      </c>
      <c r="AE12" s="488" t="s">
        <v>265</v>
      </c>
      <c r="AF12" s="486" t="s">
        <v>266</v>
      </c>
      <c r="AG12" s="273" t="s">
        <v>260</v>
      </c>
      <c r="AH12" s="488" t="s">
        <v>261</v>
      </c>
      <c r="AI12" s="642"/>
      <c r="AJ12" s="642"/>
      <c r="AK12" s="642"/>
      <c r="AL12" s="642"/>
      <c r="AM12" s="658"/>
      <c r="AN12" s="642"/>
      <c r="AO12" s="642"/>
      <c r="AP12" s="642"/>
      <c r="AQ12" s="642"/>
      <c r="AR12" s="642"/>
      <c r="AS12" s="642"/>
      <c r="AT12" s="656"/>
      <c r="AU12" s="656"/>
      <c r="AV12" s="656"/>
      <c r="AW12" s="656"/>
      <c r="AX12" s="649"/>
    </row>
    <row r="13" spans="1:50" ht="20.100000000000001" customHeight="1">
      <c r="A13" s="361"/>
      <c r="B13" s="362"/>
      <c r="C13" s="12"/>
      <c r="D13" s="183">
        <f>IF(AH13=0,0,AH13/B13)</f>
        <v>0</v>
      </c>
      <c r="E13" s="363"/>
      <c r="F13" s="364"/>
      <c r="G13" s="363"/>
      <c r="H13" s="365"/>
      <c r="I13" s="364"/>
      <c r="J13" s="13"/>
      <c r="K13" s="13"/>
      <c r="L13" s="13"/>
      <c r="M13" s="13"/>
      <c r="N13" s="13"/>
      <c r="O13" s="13"/>
      <c r="P13" s="13"/>
      <c r="Q13" s="185">
        <f>J13+L13-N13-O13</f>
        <v>0</v>
      </c>
      <c r="R13" s="184">
        <f>K13+M13-P13</f>
        <v>0</v>
      </c>
      <c r="S13" s="13"/>
      <c r="T13" s="13"/>
      <c r="U13" s="13"/>
      <c r="V13" s="13"/>
      <c r="W13" s="13"/>
      <c r="X13" s="13"/>
      <c r="Y13" s="219"/>
      <c r="Z13" s="184">
        <f>J13+S13</f>
        <v>0</v>
      </c>
      <c r="AA13" s="184">
        <f>K13+T13</f>
        <v>0</v>
      </c>
      <c r="AB13" s="184">
        <f t="shared" ref="AB13:AB20" si="0">L13+U13</f>
        <v>0</v>
      </c>
      <c r="AC13" s="184">
        <f>M13+V13</f>
        <v>0</v>
      </c>
      <c r="AD13" s="184">
        <f>N13+W13</f>
        <v>0</v>
      </c>
      <c r="AE13" s="184">
        <f>O13+X13</f>
        <v>0</v>
      </c>
      <c r="AF13" s="184">
        <f>P13+Y13</f>
        <v>0</v>
      </c>
      <c r="AG13" s="220">
        <f>Z13+AB13-AD13-AE13</f>
        <v>0</v>
      </c>
      <c r="AH13" s="220">
        <f>AA13+AC13-AF13</f>
        <v>0</v>
      </c>
      <c r="AI13" s="56"/>
      <c r="AJ13" s="56"/>
      <c r="AK13" s="56"/>
      <c r="AL13" s="184">
        <f>AI13+AJ13-AK13</f>
        <v>0</v>
      </c>
      <c r="AM13" s="56"/>
      <c r="AN13" s="56"/>
      <c r="AO13" s="56"/>
      <c r="AP13" s="184">
        <f>AI13+AM13</f>
        <v>0</v>
      </c>
      <c r="AQ13" s="184">
        <f>AJ13+AN13</f>
        <v>0</v>
      </c>
      <c r="AR13" s="184">
        <f>AK13+AO13</f>
        <v>0</v>
      </c>
      <c r="AS13" s="184">
        <f>AP13+AQ13-AR13</f>
        <v>0</v>
      </c>
      <c r="AT13" s="184">
        <f>J13-AI13</f>
        <v>0</v>
      </c>
      <c r="AU13" s="184">
        <f>Z13-AP13</f>
        <v>0</v>
      </c>
      <c r="AV13" s="184">
        <f>R13-AL13</f>
        <v>0</v>
      </c>
      <c r="AW13" s="184">
        <f>AH13-AS13</f>
        <v>0</v>
      </c>
      <c r="AX13" s="12"/>
    </row>
    <row r="14" spans="1:50" ht="20.100000000000001" customHeight="1">
      <c r="A14" s="361"/>
      <c r="B14" s="362"/>
      <c r="C14" s="12"/>
      <c r="D14" s="183">
        <f t="shared" ref="D14:D20" si="1">IF(AH14=0,0,AH14/B14)</f>
        <v>0</v>
      </c>
      <c r="E14" s="363"/>
      <c r="F14" s="364"/>
      <c r="G14" s="363"/>
      <c r="H14" s="365"/>
      <c r="I14" s="364"/>
      <c r="J14" s="13"/>
      <c r="K14" s="13"/>
      <c r="L14" s="13"/>
      <c r="M14" s="13"/>
      <c r="N14" s="13"/>
      <c r="O14" s="13"/>
      <c r="P14" s="13"/>
      <c r="Q14" s="185">
        <f t="shared" ref="Q14:Q20" si="2">J14+L14-N14-O14</f>
        <v>0</v>
      </c>
      <c r="R14" s="184">
        <f t="shared" ref="R14:R20" si="3">K14+M14-P14</f>
        <v>0</v>
      </c>
      <c r="S14" s="13"/>
      <c r="T14" s="13"/>
      <c r="U14" s="13"/>
      <c r="V14" s="13"/>
      <c r="W14" s="13"/>
      <c r="X14" s="13"/>
      <c r="Y14" s="219"/>
      <c r="Z14" s="184">
        <f t="shared" ref="Z14:Z20" si="4">J14+S14</f>
        <v>0</v>
      </c>
      <c r="AA14" s="184">
        <f t="shared" ref="AA14:AA21" si="5">K14+T14</f>
        <v>0</v>
      </c>
      <c r="AB14" s="184">
        <f t="shared" si="0"/>
        <v>0</v>
      </c>
      <c r="AC14" s="184">
        <f t="shared" ref="AC14:AC21" si="6">M14+V14</f>
        <v>0</v>
      </c>
      <c r="AD14" s="184">
        <f t="shared" ref="AD14:AD20" si="7">N14+W14</f>
        <v>0</v>
      </c>
      <c r="AE14" s="184">
        <f t="shared" ref="AE14:AE20" si="8">O14+X14</f>
        <v>0</v>
      </c>
      <c r="AF14" s="184">
        <f t="shared" ref="AF14:AF20" si="9">P14+Y14</f>
        <v>0</v>
      </c>
      <c r="AG14" s="220">
        <f t="shared" ref="AG14:AG21" si="10">Z14+AB14-AD14-AE14</f>
        <v>0</v>
      </c>
      <c r="AH14" s="220">
        <f t="shared" ref="AH14:AH21" si="11">AA14+AC14-AF14</f>
        <v>0</v>
      </c>
      <c r="AI14" s="56"/>
      <c r="AJ14" s="56"/>
      <c r="AK14" s="56"/>
      <c r="AL14" s="184">
        <f t="shared" ref="AL14:AL20" si="12">AI14+AJ14-AK14</f>
        <v>0</v>
      </c>
      <c r="AM14" s="56"/>
      <c r="AN14" s="56"/>
      <c r="AO14" s="56"/>
      <c r="AP14" s="184">
        <f t="shared" ref="AP14:AR20" si="13">AI14+AM14</f>
        <v>0</v>
      </c>
      <c r="AQ14" s="184">
        <f t="shared" si="13"/>
        <v>0</v>
      </c>
      <c r="AR14" s="184">
        <f t="shared" si="13"/>
        <v>0</v>
      </c>
      <c r="AS14" s="184">
        <f t="shared" ref="AS14:AS20" si="14">AP14+AQ14-AR14</f>
        <v>0</v>
      </c>
      <c r="AT14" s="184">
        <f t="shared" ref="AT14:AT20" si="15">J14-AI14</f>
        <v>0</v>
      </c>
      <c r="AU14" s="184">
        <f t="shared" ref="AU14:AU20" si="16">Z14-AP14</f>
        <v>0</v>
      </c>
      <c r="AV14" s="184">
        <f t="shared" ref="AV14:AV20" si="17">R14-AL14</f>
        <v>0</v>
      </c>
      <c r="AW14" s="184">
        <f t="shared" ref="AW14:AW20" si="18">AH14-AS14</f>
        <v>0</v>
      </c>
      <c r="AX14" s="12"/>
    </row>
    <row r="15" spans="1:50" ht="20.100000000000001" customHeight="1">
      <c r="A15" s="361"/>
      <c r="B15" s="362"/>
      <c r="C15" s="12"/>
      <c r="D15" s="183">
        <f t="shared" si="1"/>
        <v>0</v>
      </c>
      <c r="E15" s="363"/>
      <c r="F15" s="364"/>
      <c r="G15" s="363"/>
      <c r="H15" s="365"/>
      <c r="I15" s="364"/>
      <c r="J15" s="13"/>
      <c r="K15" s="13"/>
      <c r="L15" s="13"/>
      <c r="M15" s="13"/>
      <c r="N15" s="13"/>
      <c r="O15" s="13"/>
      <c r="P15" s="13"/>
      <c r="Q15" s="185">
        <f t="shared" si="2"/>
        <v>0</v>
      </c>
      <c r="R15" s="184">
        <f t="shared" si="3"/>
        <v>0</v>
      </c>
      <c r="S15" s="13"/>
      <c r="T15" s="13"/>
      <c r="U15" s="13"/>
      <c r="V15" s="13"/>
      <c r="W15" s="13"/>
      <c r="X15" s="13"/>
      <c r="Y15" s="219"/>
      <c r="Z15" s="184">
        <f t="shared" si="4"/>
        <v>0</v>
      </c>
      <c r="AA15" s="184">
        <f t="shared" si="5"/>
        <v>0</v>
      </c>
      <c r="AB15" s="184">
        <f t="shared" si="0"/>
        <v>0</v>
      </c>
      <c r="AC15" s="184">
        <f t="shared" si="6"/>
        <v>0</v>
      </c>
      <c r="AD15" s="184">
        <f t="shared" si="7"/>
        <v>0</v>
      </c>
      <c r="AE15" s="184">
        <f t="shared" si="8"/>
        <v>0</v>
      </c>
      <c r="AF15" s="184">
        <f t="shared" si="9"/>
        <v>0</v>
      </c>
      <c r="AG15" s="220">
        <f t="shared" si="10"/>
        <v>0</v>
      </c>
      <c r="AH15" s="220">
        <f t="shared" si="11"/>
        <v>0</v>
      </c>
      <c r="AI15" s="56"/>
      <c r="AJ15" s="56"/>
      <c r="AK15" s="56"/>
      <c r="AL15" s="184">
        <f t="shared" si="12"/>
        <v>0</v>
      </c>
      <c r="AM15" s="56"/>
      <c r="AN15" s="56"/>
      <c r="AO15" s="56"/>
      <c r="AP15" s="184">
        <f t="shared" si="13"/>
        <v>0</v>
      </c>
      <c r="AQ15" s="184">
        <f t="shared" si="13"/>
        <v>0</v>
      </c>
      <c r="AR15" s="184">
        <f t="shared" si="13"/>
        <v>0</v>
      </c>
      <c r="AS15" s="184">
        <f t="shared" si="14"/>
        <v>0</v>
      </c>
      <c r="AT15" s="184">
        <f t="shared" si="15"/>
        <v>0</v>
      </c>
      <c r="AU15" s="184">
        <f t="shared" si="16"/>
        <v>0</v>
      </c>
      <c r="AV15" s="184">
        <f t="shared" si="17"/>
        <v>0</v>
      </c>
      <c r="AW15" s="184">
        <f t="shared" si="18"/>
        <v>0</v>
      </c>
      <c r="AX15" s="12"/>
    </row>
    <row r="16" spans="1:50" ht="20.100000000000001" customHeight="1">
      <c r="A16" s="361"/>
      <c r="B16" s="362"/>
      <c r="C16" s="12"/>
      <c r="D16" s="183">
        <f t="shared" si="1"/>
        <v>0</v>
      </c>
      <c r="E16" s="363"/>
      <c r="F16" s="364"/>
      <c r="G16" s="363"/>
      <c r="H16" s="365"/>
      <c r="I16" s="364"/>
      <c r="J16" s="13"/>
      <c r="K16" s="13"/>
      <c r="L16" s="13"/>
      <c r="M16" s="13"/>
      <c r="N16" s="13"/>
      <c r="O16" s="13"/>
      <c r="P16" s="13"/>
      <c r="Q16" s="185">
        <f t="shared" si="2"/>
        <v>0</v>
      </c>
      <c r="R16" s="184">
        <f t="shared" si="3"/>
        <v>0</v>
      </c>
      <c r="S16" s="13"/>
      <c r="T16" s="13"/>
      <c r="U16" s="13"/>
      <c r="V16" s="13"/>
      <c r="W16" s="13"/>
      <c r="X16" s="13"/>
      <c r="Y16" s="219"/>
      <c r="Z16" s="184">
        <f t="shared" si="4"/>
        <v>0</v>
      </c>
      <c r="AA16" s="184">
        <f t="shared" si="5"/>
        <v>0</v>
      </c>
      <c r="AB16" s="184">
        <f t="shared" si="0"/>
        <v>0</v>
      </c>
      <c r="AC16" s="184">
        <f t="shared" si="6"/>
        <v>0</v>
      </c>
      <c r="AD16" s="184">
        <f t="shared" si="7"/>
        <v>0</v>
      </c>
      <c r="AE16" s="184">
        <f t="shared" si="8"/>
        <v>0</v>
      </c>
      <c r="AF16" s="184">
        <f t="shared" si="9"/>
        <v>0</v>
      </c>
      <c r="AG16" s="220">
        <f t="shared" si="10"/>
        <v>0</v>
      </c>
      <c r="AH16" s="220">
        <f t="shared" si="11"/>
        <v>0</v>
      </c>
      <c r="AI16" s="56"/>
      <c r="AJ16" s="56"/>
      <c r="AK16" s="56"/>
      <c r="AL16" s="184">
        <f t="shared" si="12"/>
        <v>0</v>
      </c>
      <c r="AM16" s="56"/>
      <c r="AN16" s="56"/>
      <c r="AO16" s="56"/>
      <c r="AP16" s="184">
        <f t="shared" si="13"/>
        <v>0</v>
      </c>
      <c r="AQ16" s="184">
        <f t="shared" si="13"/>
        <v>0</v>
      </c>
      <c r="AR16" s="184">
        <f t="shared" si="13"/>
        <v>0</v>
      </c>
      <c r="AS16" s="184">
        <f t="shared" si="14"/>
        <v>0</v>
      </c>
      <c r="AT16" s="184">
        <f t="shared" si="15"/>
        <v>0</v>
      </c>
      <c r="AU16" s="184">
        <f t="shared" si="16"/>
        <v>0</v>
      </c>
      <c r="AV16" s="184">
        <f t="shared" si="17"/>
        <v>0</v>
      </c>
      <c r="AW16" s="184">
        <f t="shared" si="18"/>
        <v>0</v>
      </c>
      <c r="AX16" s="12"/>
    </row>
    <row r="17" spans="1:50" ht="20.100000000000001" customHeight="1">
      <c r="A17" s="361"/>
      <c r="B17" s="362"/>
      <c r="C17" s="12"/>
      <c r="D17" s="183">
        <f t="shared" si="1"/>
        <v>0</v>
      </c>
      <c r="E17" s="363"/>
      <c r="F17" s="364"/>
      <c r="G17" s="363"/>
      <c r="H17" s="365"/>
      <c r="I17" s="364"/>
      <c r="J17" s="13"/>
      <c r="K17" s="13"/>
      <c r="L17" s="13"/>
      <c r="M17" s="13"/>
      <c r="N17" s="13"/>
      <c r="O17" s="13"/>
      <c r="P17" s="13"/>
      <c r="Q17" s="185">
        <f t="shared" si="2"/>
        <v>0</v>
      </c>
      <c r="R17" s="184">
        <f t="shared" si="3"/>
        <v>0</v>
      </c>
      <c r="S17" s="13"/>
      <c r="T17" s="13"/>
      <c r="U17" s="13"/>
      <c r="V17" s="13"/>
      <c r="W17" s="13"/>
      <c r="X17" s="13"/>
      <c r="Y17" s="219"/>
      <c r="Z17" s="184">
        <f t="shared" si="4"/>
        <v>0</v>
      </c>
      <c r="AA17" s="184">
        <f t="shared" si="5"/>
        <v>0</v>
      </c>
      <c r="AB17" s="184">
        <f t="shared" si="0"/>
        <v>0</v>
      </c>
      <c r="AC17" s="184">
        <f t="shared" si="6"/>
        <v>0</v>
      </c>
      <c r="AD17" s="184">
        <f t="shared" si="7"/>
        <v>0</v>
      </c>
      <c r="AE17" s="184">
        <f t="shared" si="8"/>
        <v>0</v>
      </c>
      <c r="AF17" s="184">
        <f t="shared" si="9"/>
        <v>0</v>
      </c>
      <c r="AG17" s="220">
        <f t="shared" si="10"/>
        <v>0</v>
      </c>
      <c r="AH17" s="220">
        <f t="shared" si="11"/>
        <v>0</v>
      </c>
      <c r="AI17" s="56"/>
      <c r="AJ17" s="56"/>
      <c r="AK17" s="56"/>
      <c r="AL17" s="184">
        <f t="shared" si="12"/>
        <v>0</v>
      </c>
      <c r="AM17" s="56"/>
      <c r="AN17" s="56"/>
      <c r="AO17" s="56"/>
      <c r="AP17" s="184">
        <f t="shared" si="13"/>
        <v>0</v>
      </c>
      <c r="AQ17" s="184">
        <f t="shared" si="13"/>
        <v>0</v>
      </c>
      <c r="AR17" s="184">
        <f t="shared" si="13"/>
        <v>0</v>
      </c>
      <c r="AS17" s="184">
        <f t="shared" si="14"/>
        <v>0</v>
      </c>
      <c r="AT17" s="184">
        <f t="shared" si="15"/>
        <v>0</v>
      </c>
      <c r="AU17" s="184">
        <f t="shared" si="16"/>
        <v>0</v>
      </c>
      <c r="AV17" s="184">
        <f t="shared" si="17"/>
        <v>0</v>
      </c>
      <c r="AW17" s="184">
        <f t="shared" si="18"/>
        <v>0</v>
      </c>
      <c r="AX17" s="12"/>
    </row>
    <row r="18" spans="1:50" ht="20.100000000000001" customHeight="1">
      <c r="A18" s="361"/>
      <c r="B18" s="362"/>
      <c r="C18" s="12"/>
      <c r="D18" s="183">
        <f t="shared" si="1"/>
        <v>0</v>
      </c>
      <c r="E18" s="363"/>
      <c r="F18" s="364"/>
      <c r="G18" s="363"/>
      <c r="H18" s="365"/>
      <c r="I18" s="364"/>
      <c r="J18" s="13"/>
      <c r="K18" s="13"/>
      <c r="L18" s="13"/>
      <c r="M18" s="13"/>
      <c r="N18" s="13"/>
      <c r="O18" s="13"/>
      <c r="P18" s="13"/>
      <c r="Q18" s="185">
        <f t="shared" si="2"/>
        <v>0</v>
      </c>
      <c r="R18" s="184">
        <f t="shared" si="3"/>
        <v>0</v>
      </c>
      <c r="S18" s="13"/>
      <c r="T18" s="13"/>
      <c r="U18" s="13"/>
      <c r="V18" s="13"/>
      <c r="W18" s="13"/>
      <c r="X18" s="13"/>
      <c r="Y18" s="219"/>
      <c r="Z18" s="184">
        <f t="shared" si="4"/>
        <v>0</v>
      </c>
      <c r="AA18" s="184">
        <f t="shared" si="5"/>
        <v>0</v>
      </c>
      <c r="AB18" s="221">
        <f t="shared" si="0"/>
        <v>0</v>
      </c>
      <c r="AC18" s="184">
        <f t="shared" si="6"/>
        <v>0</v>
      </c>
      <c r="AD18" s="221">
        <f t="shared" si="7"/>
        <v>0</v>
      </c>
      <c r="AE18" s="184">
        <f t="shared" si="8"/>
        <v>0</v>
      </c>
      <c r="AF18" s="184">
        <f t="shared" si="9"/>
        <v>0</v>
      </c>
      <c r="AG18" s="220">
        <f t="shared" si="10"/>
        <v>0</v>
      </c>
      <c r="AH18" s="220">
        <f t="shared" si="11"/>
        <v>0</v>
      </c>
      <c r="AI18" s="56"/>
      <c r="AJ18" s="56"/>
      <c r="AK18" s="56"/>
      <c r="AL18" s="184">
        <f t="shared" si="12"/>
        <v>0</v>
      </c>
      <c r="AM18" s="56"/>
      <c r="AN18" s="56"/>
      <c r="AO18" s="56"/>
      <c r="AP18" s="184">
        <f t="shared" si="13"/>
        <v>0</v>
      </c>
      <c r="AQ18" s="184">
        <f t="shared" si="13"/>
        <v>0</v>
      </c>
      <c r="AR18" s="184">
        <f t="shared" si="13"/>
        <v>0</v>
      </c>
      <c r="AS18" s="184">
        <f t="shared" si="14"/>
        <v>0</v>
      </c>
      <c r="AT18" s="184">
        <f t="shared" si="15"/>
        <v>0</v>
      </c>
      <c r="AU18" s="184">
        <f t="shared" si="16"/>
        <v>0</v>
      </c>
      <c r="AV18" s="184">
        <f t="shared" si="17"/>
        <v>0</v>
      </c>
      <c r="AW18" s="184">
        <f t="shared" si="18"/>
        <v>0</v>
      </c>
      <c r="AX18" s="12"/>
    </row>
    <row r="19" spans="1:50" ht="20.100000000000001" customHeight="1">
      <c r="A19" s="361"/>
      <c r="B19" s="362"/>
      <c r="C19" s="12"/>
      <c r="D19" s="183">
        <f t="shared" si="1"/>
        <v>0</v>
      </c>
      <c r="E19" s="363"/>
      <c r="F19" s="364"/>
      <c r="G19" s="363"/>
      <c r="H19" s="365"/>
      <c r="I19" s="364"/>
      <c r="J19" s="13"/>
      <c r="K19" s="13"/>
      <c r="L19" s="13"/>
      <c r="M19" s="13"/>
      <c r="N19" s="13"/>
      <c r="O19" s="13"/>
      <c r="P19" s="13"/>
      <c r="Q19" s="185">
        <f t="shared" si="2"/>
        <v>0</v>
      </c>
      <c r="R19" s="184">
        <f t="shared" si="3"/>
        <v>0</v>
      </c>
      <c r="S19" s="13"/>
      <c r="T19" s="13"/>
      <c r="U19" s="13"/>
      <c r="V19" s="13"/>
      <c r="W19" s="13"/>
      <c r="X19" s="13"/>
      <c r="Y19" s="219"/>
      <c r="Z19" s="184">
        <f t="shared" si="4"/>
        <v>0</v>
      </c>
      <c r="AA19" s="184">
        <f t="shared" si="5"/>
        <v>0</v>
      </c>
      <c r="AB19" s="184">
        <f t="shared" si="0"/>
        <v>0</v>
      </c>
      <c r="AC19" s="184">
        <f t="shared" si="6"/>
        <v>0</v>
      </c>
      <c r="AD19" s="184">
        <f t="shared" si="7"/>
        <v>0</v>
      </c>
      <c r="AE19" s="184">
        <f t="shared" si="8"/>
        <v>0</v>
      </c>
      <c r="AF19" s="184">
        <f t="shared" si="9"/>
        <v>0</v>
      </c>
      <c r="AG19" s="220">
        <f t="shared" si="10"/>
        <v>0</v>
      </c>
      <c r="AH19" s="220">
        <f t="shared" si="11"/>
        <v>0</v>
      </c>
      <c r="AI19" s="56"/>
      <c r="AJ19" s="56"/>
      <c r="AK19" s="56"/>
      <c r="AL19" s="184">
        <f t="shared" si="12"/>
        <v>0</v>
      </c>
      <c r="AM19" s="56"/>
      <c r="AN19" s="56"/>
      <c r="AO19" s="56"/>
      <c r="AP19" s="184">
        <f t="shared" si="13"/>
        <v>0</v>
      </c>
      <c r="AQ19" s="184">
        <f t="shared" si="13"/>
        <v>0</v>
      </c>
      <c r="AR19" s="184">
        <f t="shared" si="13"/>
        <v>0</v>
      </c>
      <c r="AS19" s="184">
        <f t="shared" si="14"/>
        <v>0</v>
      </c>
      <c r="AT19" s="184">
        <f t="shared" si="15"/>
        <v>0</v>
      </c>
      <c r="AU19" s="184">
        <f t="shared" si="16"/>
        <v>0</v>
      </c>
      <c r="AV19" s="184">
        <f t="shared" si="17"/>
        <v>0</v>
      </c>
      <c r="AW19" s="184">
        <f t="shared" si="18"/>
        <v>0</v>
      </c>
      <c r="AX19" s="12"/>
    </row>
    <row r="20" spans="1:50" ht="20.100000000000001" customHeight="1">
      <c r="A20" s="361"/>
      <c r="B20" s="362"/>
      <c r="C20" s="12"/>
      <c r="D20" s="183">
        <f t="shared" si="1"/>
        <v>0</v>
      </c>
      <c r="E20" s="363"/>
      <c r="F20" s="364"/>
      <c r="G20" s="363"/>
      <c r="H20" s="365"/>
      <c r="I20" s="364"/>
      <c r="J20" s="13"/>
      <c r="K20" s="13"/>
      <c r="L20" s="13"/>
      <c r="M20" s="13"/>
      <c r="N20" s="13"/>
      <c r="O20" s="13"/>
      <c r="P20" s="13"/>
      <c r="Q20" s="185">
        <f t="shared" si="2"/>
        <v>0</v>
      </c>
      <c r="R20" s="184">
        <f t="shared" si="3"/>
        <v>0</v>
      </c>
      <c r="S20" s="13"/>
      <c r="T20" s="13"/>
      <c r="U20" s="13"/>
      <c r="V20" s="13"/>
      <c r="W20" s="13"/>
      <c r="X20" s="13"/>
      <c r="Y20" s="219"/>
      <c r="Z20" s="184">
        <f t="shared" si="4"/>
        <v>0</v>
      </c>
      <c r="AA20" s="184">
        <f t="shared" si="5"/>
        <v>0</v>
      </c>
      <c r="AB20" s="184">
        <f t="shared" si="0"/>
        <v>0</v>
      </c>
      <c r="AC20" s="184">
        <f t="shared" si="6"/>
        <v>0</v>
      </c>
      <c r="AD20" s="184">
        <f t="shared" si="7"/>
        <v>0</v>
      </c>
      <c r="AE20" s="184">
        <f t="shared" si="8"/>
        <v>0</v>
      </c>
      <c r="AF20" s="184">
        <f t="shared" si="9"/>
        <v>0</v>
      </c>
      <c r="AG20" s="220">
        <f t="shared" si="10"/>
        <v>0</v>
      </c>
      <c r="AH20" s="220">
        <f t="shared" si="11"/>
        <v>0</v>
      </c>
      <c r="AI20" s="56"/>
      <c r="AJ20" s="56"/>
      <c r="AK20" s="56"/>
      <c r="AL20" s="184">
        <f t="shared" si="12"/>
        <v>0</v>
      </c>
      <c r="AM20" s="56"/>
      <c r="AN20" s="56"/>
      <c r="AO20" s="56"/>
      <c r="AP20" s="184">
        <f t="shared" si="13"/>
        <v>0</v>
      </c>
      <c r="AQ20" s="184">
        <f t="shared" si="13"/>
        <v>0</v>
      </c>
      <c r="AR20" s="184">
        <f t="shared" si="13"/>
        <v>0</v>
      </c>
      <c r="AS20" s="184">
        <f t="shared" si="14"/>
        <v>0</v>
      </c>
      <c r="AT20" s="184">
        <f t="shared" si="15"/>
        <v>0</v>
      </c>
      <c r="AU20" s="184">
        <f t="shared" si="16"/>
        <v>0</v>
      </c>
      <c r="AV20" s="184">
        <f t="shared" si="17"/>
        <v>0</v>
      </c>
      <c r="AW20" s="184">
        <f t="shared" si="18"/>
        <v>0</v>
      </c>
      <c r="AX20" s="12"/>
    </row>
    <row r="21" spans="1:50" s="17" customFormat="1" ht="20.100000000000001" customHeight="1">
      <c r="A21" s="638" t="s">
        <v>267</v>
      </c>
      <c r="B21" s="639"/>
      <c r="C21" s="639"/>
      <c r="D21" s="640"/>
      <c r="E21" s="128"/>
      <c r="F21" s="128"/>
      <c r="G21" s="128"/>
      <c r="H21" s="128"/>
      <c r="I21" s="128"/>
      <c r="J21" s="366">
        <f t="shared" ref="J21:AB21" si="19">SUM(J13:J20)</f>
        <v>0</v>
      </c>
      <c r="K21" s="366">
        <f t="shared" si="19"/>
        <v>0</v>
      </c>
      <c r="L21" s="366">
        <f t="shared" si="19"/>
        <v>0</v>
      </c>
      <c r="M21" s="366">
        <f t="shared" si="19"/>
        <v>0</v>
      </c>
      <c r="N21" s="366">
        <f t="shared" si="19"/>
        <v>0</v>
      </c>
      <c r="O21" s="366">
        <f t="shared" si="19"/>
        <v>0</v>
      </c>
      <c r="P21" s="366">
        <f t="shared" si="19"/>
        <v>0</v>
      </c>
      <c r="Q21" s="366">
        <f t="shared" si="19"/>
        <v>0</v>
      </c>
      <c r="R21" s="366">
        <f t="shared" si="19"/>
        <v>0</v>
      </c>
      <c r="S21" s="366">
        <f t="shared" si="19"/>
        <v>0</v>
      </c>
      <c r="T21" s="366">
        <f t="shared" si="19"/>
        <v>0</v>
      </c>
      <c r="U21" s="366">
        <f t="shared" si="19"/>
        <v>0</v>
      </c>
      <c r="V21" s="366">
        <f t="shared" si="19"/>
        <v>0</v>
      </c>
      <c r="W21" s="366">
        <f t="shared" si="19"/>
        <v>0</v>
      </c>
      <c r="X21" s="366">
        <f t="shared" si="19"/>
        <v>0</v>
      </c>
      <c r="Y21" s="366">
        <f t="shared" si="19"/>
        <v>0</v>
      </c>
      <c r="Z21" s="366">
        <f t="shared" si="19"/>
        <v>0</v>
      </c>
      <c r="AA21" s="366">
        <f t="shared" si="5"/>
        <v>0</v>
      </c>
      <c r="AB21" s="366">
        <f t="shared" si="19"/>
        <v>0</v>
      </c>
      <c r="AC21" s="366">
        <f t="shared" si="6"/>
        <v>0</v>
      </c>
      <c r="AD21" s="366">
        <f>SUM(AD13:AD20)</f>
        <v>0</v>
      </c>
      <c r="AE21" s="366">
        <f t="shared" ref="AE21:AF21" si="20">SUM(AE13:AE20)</f>
        <v>0</v>
      </c>
      <c r="AF21" s="366">
        <f t="shared" si="20"/>
        <v>0</v>
      </c>
      <c r="AG21" s="367">
        <f t="shared" si="10"/>
        <v>0</v>
      </c>
      <c r="AH21" s="367">
        <f t="shared" si="11"/>
        <v>0</v>
      </c>
      <c r="AI21" s="366">
        <f t="shared" ref="AI21" si="21">SUM(AI13:AI20)</f>
        <v>0</v>
      </c>
      <c r="AJ21" s="366">
        <f t="shared" ref="AJ21" si="22">SUM(AJ13:AJ20)</f>
        <v>0</v>
      </c>
      <c r="AK21" s="366">
        <f t="shared" ref="AK21" si="23">SUM(AK13:AK20)</f>
        <v>0</v>
      </c>
      <c r="AL21" s="366">
        <f t="shared" ref="AL21" si="24">SUM(AL13:AL20)</f>
        <v>0</v>
      </c>
      <c r="AM21" s="366">
        <f t="shared" ref="AM21" si="25">SUM(AM13:AM20)</f>
        <v>0</v>
      </c>
      <c r="AN21" s="366">
        <f t="shared" ref="AN21" si="26">SUM(AN13:AN20)</f>
        <v>0</v>
      </c>
      <c r="AO21" s="366">
        <f t="shared" ref="AO21" si="27">SUM(AO13:AO20)</f>
        <v>0</v>
      </c>
      <c r="AP21" s="366">
        <f t="shared" ref="AP21" si="28">SUM(AP13:AP20)</f>
        <v>0</v>
      </c>
      <c r="AQ21" s="366">
        <f t="shared" ref="AQ21" si="29">SUM(AQ13:AQ20)</f>
        <v>0</v>
      </c>
      <c r="AR21" s="366">
        <f t="shared" ref="AR21" si="30">SUM(AR13:AR20)</f>
        <v>0</v>
      </c>
      <c r="AS21" s="366">
        <f t="shared" ref="AS21" si="31">SUM(AS13:AS20)</f>
        <v>0</v>
      </c>
      <c r="AT21" s="366">
        <f t="shared" ref="AT21" si="32">SUM(AT13:AT20)</f>
        <v>0</v>
      </c>
      <c r="AU21" s="366">
        <f t="shared" ref="AU21" si="33">SUM(AU13:AU20)</f>
        <v>0</v>
      </c>
      <c r="AV21" s="366">
        <f t="shared" ref="AV21" si="34">SUM(AV13:AV20)</f>
        <v>0</v>
      </c>
      <c r="AW21" s="366">
        <f t="shared" ref="AW21" si="35">SUM(AW13:AW20)</f>
        <v>0</v>
      </c>
      <c r="AX21" s="16"/>
    </row>
    <row r="22" spans="1:50" ht="20.100000000000001" customHeight="1">
      <c r="A22" s="71" t="s">
        <v>268</v>
      </c>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row>
    <row r="23" spans="1:50" s="19" customFormat="1" ht="20.100000000000001" customHeight="1">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row>
    <row r="24" spans="1:50" s="19" customFormat="1" ht="20.100000000000001" customHeight="1">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row>
    <row r="25" spans="1:50" s="20" customFormat="1" ht="20.100000000000001" customHeight="1">
      <c r="A25" s="17" t="s">
        <v>269</v>
      </c>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row>
    <row r="26" spans="1:50" ht="20.100000000000001" customHeight="1"/>
    <row r="27" spans="1:50" ht="20.100000000000001" customHeight="1"/>
    <row r="28" spans="1:50" ht="15.75" customHeight="1"/>
    <row r="29" spans="1:50" ht="17.399999999999999" customHeight="1">
      <c r="A29" s="585" t="s">
        <v>1039</v>
      </c>
    </row>
    <row r="30" spans="1:50" ht="17.399999999999999" customHeight="1">
      <c r="A30" s="22" t="s">
        <v>840</v>
      </c>
    </row>
    <row r="31" spans="1:50" ht="17.399999999999999" customHeight="1">
      <c r="A31" s="22" t="s">
        <v>841</v>
      </c>
    </row>
    <row r="32" spans="1:50" ht="17.399999999999999" customHeight="1">
      <c r="A32" s="22" t="s">
        <v>1030</v>
      </c>
    </row>
    <row r="33" spans="1:1" ht="17.399999999999999" customHeight="1">
      <c r="A33" s="22" t="s">
        <v>1031</v>
      </c>
    </row>
    <row r="34" spans="1:1" ht="17.399999999999999" customHeight="1">
      <c r="A34" s="584" t="s">
        <v>1032</v>
      </c>
    </row>
    <row r="35" spans="1:1" ht="17.399999999999999" customHeight="1">
      <c r="A35" s="22" t="s">
        <v>1033</v>
      </c>
    </row>
    <row r="36" spans="1:1" ht="17.399999999999999" customHeight="1">
      <c r="A36" s="22" t="s">
        <v>1034</v>
      </c>
    </row>
    <row r="37" spans="1:1" ht="17.399999999999999" customHeight="1">
      <c r="A37" s="584" t="s">
        <v>1029</v>
      </c>
    </row>
    <row r="38" spans="1:1" ht="17.399999999999999" customHeight="1">
      <c r="A38" s="22" t="s">
        <v>1035</v>
      </c>
    </row>
    <row r="39" spans="1:1" ht="17.399999999999999" customHeight="1">
      <c r="A39" s="584" t="s">
        <v>1036</v>
      </c>
    </row>
    <row r="40" spans="1:1">
      <c r="A40" s="22" t="s">
        <v>1037</v>
      </c>
    </row>
    <row r="41" spans="1:1">
      <c r="A41" s="22" t="s">
        <v>1038</v>
      </c>
    </row>
    <row r="44" spans="1:1">
      <c r="A44" s="274"/>
    </row>
    <row r="45" spans="1:1">
      <c r="A45" s="275"/>
    </row>
    <row r="46" spans="1:1">
      <c r="A46" s="275"/>
    </row>
    <row r="47" spans="1:1">
      <c r="A47" s="275"/>
    </row>
    <row r="48" spans="1:1">
      <c r="A48" s="275"/>
    </row>
  </sheetData>
  <mergeCells count="53">
    <mergeCell ref="AX9:AX12"/>
    <mergeCell ref="AV11:AV12"/>
    <mergeCell ref="AW11:AW12"/>
    <mergeCell ref="AL11:AL12"/>
    <mergeCell ref="AK11:AK12"/>
    <mergeCell ref="AT11:AT12"/>
    <mergeCell ref="AU11:AU12"/>
    <mergeCell ref="AN11:AN12"/>
    <mergeCell ref="AM10:AM12"/>
    <mergeCell ref="AI9:AS9"/>
    <mergeCell ref="AV9:AW10"/>
    <mergeCell ref="AN10:AO10"/>
    <mergeCell ref="AT9:AU10"/>
    <mergeCell ref="AP10:AS10"/>
    <mergeCell ref="AI10:AL10"/>
    <mergeCell ref="AI11:AI12"/>
    <mergeCell ref="S10:T11"/>
    <mergeCell ref="N11:P11"/>
    <mergeCell ref="J10:R10"/>
    <mergeCell ref="Z10:AH10"/>
    <mergeCell ref="J9:AH9"/>
    <mergeCell ref="AD11:AF11"/>
    <mergeCell ref="U10:Y10"/>
    <mergeCell ref="Z11:AA11"/>
    <mergeCell ref="AB11:AC11"/>
    <mergeCell ref="L11:M11"/>
    <mergeCell ref="H9:H12"/>
    <mergeCell ref="D9:D12"/>
    <mergeCell ref="I9:I12"/>
    <mergeCell ref="J11:K11"/>
    <mergeCell ref="Q11:R11"/>
    <mergeCell ref="A21:D21"/>
    <mergeCell ref="AR11:AR12"/>
    <mergeCell ref="AS11:AS12"/>
    <mergeCell ref="AO11:AO12"/>
    <mergeCell ref="AP11:AP12"/>
    <mergeCell ref="AQ11:AQ12"/>
    <mergeCell ref="W11:Y11"/>
    <mergeCell ref="U11:V11"/>
    <mergeCell ref="AJ11:AJ12"/>
    <mergeCell ref="AG11:AH11"/>
    <mergeCell ref="A9:A12"/>
    <mergeCell ref="B9:B12"/>
    <mergeCell ref="C9:C12"/>
    <mergeCell ref="E9:E12"/>
    <mergeCell ref="F9:F12"/>
    <mergeCell ref="G9:G12"/>
    <mergeCell ref="A1:R1"/>
    <mergeCell ref="A2:R2"/>
    <mergeCell ref="S1:AH1"/>
    <mergeCell ref="S2:AH2"/>
    <mergeCell ref="AI1:AX1"/>
    <mergeCell ref="AI2:AX2"/>
  </mergeCells>
  <phoneticPr fontId="10" type="noConversion"/>
  <hyperlinks>
    <hyperlink ref="AX3" location="底稿目录!A1" display="H2-1"/>
    <hyperlink ref="AH3" location="底稿目录!A1" display="H2-1"/>
    <hyperlink ref="R3" location="底稿目录!A1" display="H2-1"/>
  </hyperlinks>
  <printOptions horizontalCentered="1"/>
  <pageMargins left="0.43307086614173229" right="0.39370078740157483" top="0.39370078740157483" bottom="0.39370078740157483" header="0.31496062992125984" footer="0.31496062992125984"/>
  <pageSetup paperSize="9" scale="54" fitToWidth="3" fitToHeight="50" orientation="landscape" blackAndWhite="1" r:id="rId1"/>
  <headerFooter alignWithMargins="0">
    <oddFooter>&amp;C&amp;P/&amp;N</oddFooter>
  </headerFooter>
  <colBreaks count="2" manualBreakCount="2">
    <brk id="18" max="24" man="1"/>
    <brk id="34" max="2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24"/>
  <sheetViews>
    <sheetView view="pageBreakPreview" zoomScaleNormal="100" zoomScaleSheetLayoutView="100" workbookViewId="0">
      <selection sqref="A1:J1"/>
    </sheetView>
  </sheetViews>
  <sheetFormatPr defaultColWidth="9" defaultRowHeight="19.95" customHeight="1"/>
  <cols>
    <col min="1" max="1" width="20.69921875" style="276" customWidth="1"/>
    <col min="2" max="2" width="15.796875" style="276" customWidth="1"/>
    <col min="3" max="3" width="8.59765625" style="276" bestFit="1" customWidth="1"/>
    <col min="4" max="4" width="11.3984375" style="276" customWidth="1"/>
    <col min="5" max="5" width="14.296875" style="276" customWidth="1"/>
    <col min="6" max="9" width="9" style="276"/>
    <col min="10" max="10" width="14" style="276" customWidth="1"/>
    <col min="11" max="16384" width="9" style="276"/>
  </cols>
  <sheetData>
    <row r="1" spans="1:10" ht="19.95" customHeight="1">
      <c r="A1" s="659" t="s">
        <v>810</v>
      </c>
      <c r="B1" s="659"/>
      <c r="C1" s="659"/>
      <c r="D1" s="659"/>
      <c r="E1" s="659"/>
      <c r="F1" s="659"/>
      <c r="G1" s="659"/>
      <c r="H1" s="659"/>
      <c r="I1" s="659"/>
      <c r="J1" s="659"/>
    </row>
    <row r="2" spans="1:10" s="425" customFormat="1" ht="19.95" customHeight="1">
      <c r="A2" s="660" t="s">
        <v>813</v>
      </c>
      <c r="B2" s="660"/>
      <c r="C2" s="660"/>
      <c r="D2" s="660"/>
      <c r="E2" s="660"/>
      <c r="F2" s="660"/>
      <c r="G2" s="660"/>
      <c r="H2" s="660"/>
      <c r="I2" s="660"/>
      <c r="J2" s="660"/>
    </row>
    <row r="3" spans="1:10" ht="19.95" customHeight="1">
      <c r="A3" s="129" t="str">
        <f>底稿目录!A2</f>
        <v>被审计单位：</v>
      </c>
      <c r="B3" s="129"/>
      <c r="C3" s="129"/>
      <c r="D3" s="129" t="str">
        <f>底稿目录!A4</f>
        <v>编制人：</v>
      </c>
      <c r="E3" s="129"/>
      <c r="F3" s="130"/>
      <c r="G3" s="129" t="str">
        <f>底稿目录!A6</f>
        <v>编制日期：</v>
      </c>
      <c r="H3" s="129"/>
      <c r="I3" s="440" t="s">
        <v>832</v>
      </c>
      <c r="J3" s="256" t="s">
        <v>134</v>
      </c>
    </row>
    <row r="4" spans="1:10" ht="19.95" customHeight="1">
      <c r="A4" s="129" t="str">
        <f>底稿目录!A3</f>
        <v>截止日：202X年12月31日</v>
      </c>
      <c r="B4" s="129"/>
      <c r="C4" s="129"/>
      <c r="D4" s="129" t="str">
        <f>底稿目录!A5</f>
        <v>复核人：</v>
      </c>
      <c r="E4" s="129"/>
      <c r="F4" s="130"/>
      <c r="G4" s="129" t="str">
        <f>底稿目录!A7</f>
        <v>复核日期：</v>
      </c>
      <c r="H4" s="129"/>
      <c r="I4" s="440" t="s">
        <v>833</v>
      </c>
      <c r="J4" s="2"/>
    </row>
    <row r="5" spans="1:10" s="278" customFormat="1" ht="27.6">
      <c r="A5" s="277" t="s">
        <v>274</v>
      </c>
      <c r="B5" s="277" t="s">
        <v>275</v>
      </c>
      <c r="C5" s="277" t="s">
        <v>276</v>
      </c>
      <c r="D5" s="261" t="s">
        <v>271</v>
      </c>
      <c r="E5" s="261" t="s">
        <v>272</v>
      </c>
      <c r="F5" s="131" t="s">
        <v>53</v>
      </c>
      <c r="G5" s="261" t="s">
        <v>270</v>
      </c>
      <c r="H5" s="261" t="s">
        <v>277</v>
      </c>
      <c r="I5" s="261" t="s">
        <v>273</v>
      </c>
      <c r="J5" s="261" t="s">
        <v>278</v>
      </c>
    </row>
    <row r="6" spans="1:10" ht="19.95" customHeight="1">
      <c r="A6" s="279"/>
      <c r="B6" s="279"/>
      <c r="C6" s="279"/>
      <c r="D6" s="279"/>
      <c r="E6" s="279"/>
      <c r="F6" s="279"/>
      <c r="G6" s="368"/>
      <c r="H6" s="368"/>
      <c r="I6" s="369"/>
      <c r="J6" s="279"/>
    </row>
    <row r="7" spans="1:10" ht="19.95" customHeight="1">
      <c r="A7" s="279"/>
      <c r="B7" s="279"/>
      <c r="C7" s="279"/>
      <c r="D7" s="279"/>
      <c r="E7" s="279"/>
      <c r="F7" s="279"/>
      <c r="G7" s="368"/>
      <c r="H7" s="368"/>
      <c r="I7" s="369"/>
      <c r="J7" s="279"/>
    </row>
    <row r="8" spans="1:10" ht="19.95" customHeight="1">
      <c r="A8" s="279"/>
      <c r="B8" s="279"/>
      <c r="C8" s="279"/>
      <c r="D8" s="279"/>
      <c r="E8" s="279"/>
      <c r="F8" s="279"/>
      <c r="G8" s="368"/>
      <c r="H8" s="368"/>
      <c r="I8" s="369"/>
      <c r="J8" s="279"/>
    </row>
    <row r="9" spans="1:10" ht="19.95" customHeight="1">
      <c r="A9" s="279"/>
      <c r="B9" s="279"/>
      <c r="C9" s="279"/>
      <c r="D9" s="279"/>
      <c r="E9" s="279"/>
      <c r="F9" s="279"/>
      <c r="G9" s="368"/>
      <c r="H9" s="368"/>
      <c r="I9" s="369"/>
      <c r="J9" s="279"/>
    </row>
    <row r="10" spans="1:10" ht="19.95" customHeight="1">
      <c r="A10" s="279"/>
      <c r="B10" s="279"/>
      <c r="C10" s="279"/>
      <c r="D10" s="279"/>
      <c r="E10" s="279"/>
      <c r="F10" s="279"/>
      <c r="G10" s="368"/>
      <c r="H10" s="368"/>
      <c r="I10" s="369"/>
      <c r="J10" s="279"/>
    </row>
    <row r="11" spans="1:10" ht="19.95" customHeight="1">
      <c r="A11" s="279"/>
      <c r="B11" s="279"/>
      <c r="C11" s="279"/>
      <c r="D11" s="279"/>
      <c r="E11" s="279"/>
      <c r="F11" s="279"/>
      <c r="G11" s="368"/>
      <c r="H11" s="368"/>
      <c r="I11" s="369"/>
      <c r="J11" s="279"/>
    </row>
    <row r="12" spans="1:10" ht="19.95" customHeight="1">
      <c r="A12" s="279"/>
      <c r="B12" s="279"/>
      <c r="C12" s="279"/>
      <c r="D12" s="279"/>
      <c r="E12" s="279"/>
      <c r="F12" s="279"/>
      <c r="G12" s="368"/>
      <c r="H12" s="368"/>
      <c r="I12" s="369"/>
      <c r="J12" s="279"/>
    </row>
    <row r="13" spans="1:10" ht="19.95" customHeight="1">
      <c r="A13" s="279"/>
      <c r="B13" s="279"/>
      <c r="C13" s="279"/>
      <c r="D13" s="279"/>
      <c r="E13" s="279"/>
      <c r="F13" s="279"/>
      <c r="G13" s="368"/>
      <c r="H13" s="368"/>
      <c r="I13" s="369"/>
      <c r="J13" s="279"/>
    </row>
    <row r="14" spans="1:10" ht="19.95" customHeight="1">
      <c r="A14" s="279"/>
      <c r="B14" s="279"/>
      <c r="C14" s="279"/>
      <c r="D14" s="279"/>
      <c r="E14" s="279"/>
      <c r="F14" s="279"/>
      <c r="G14" s="368"/>
      <c r="H14" s="368"/>
      <c r="I14" s="369"/>
      <c r="J14" s="279"/>
    </row>
    <row r="15" spans="1:10" ht="19.95" customHeight="1">
      <c r="A15" s="279"/>
      <c r="B15" s="279"/>
      <c r="C15" s="279"/>
      <c r="D15" s="279"/>
      <c r="E15" s="279"/>
      <c r="F15" s="279"/>
      <c r="G15" s="368"/>
      <c r="H15" s="368"/>
      <c r="I15" s="369"/>
      <c r="J15" s="279"/>
    </row>
    <row r="16" spans="1:10" ht="19.95" customHeight="1">
      <c r="A16" s="279"/>
      <c r="B16" s="279"/>
      <c r="C16" s="279"/>
      <c r="D16" s="279"/>
      <c r="E16" s="279"/>
      <c r="F16" s="279"/>
      <c r="G16" s="368"/>
      <c r="H16" s="368"/>
      <c r="I16" s="369"/>
      <c r="J16" s="279"/>
    </row>
    <row r="17" spans="1:10" ht="19.95" customHeight="1">
      <c r="A17" s="279"/>
      <c r="B17" s="279"/>
      <c r="C17" s="279"/>
      <c r="D17" s="279"/>
      <c r="E17" s="279"/>
      <c r="F17" s="279"/>
      <c r="G17" s="368"/>
      <c r="H17" s="368"/>
      <c r="I17" s="369"/>
      <c r="J17" s="279"/>
    </row>
    <row r="18" spans="1:10" ht="19.95" customHeight="1">
      <c r="A18" s="279"/>
      <c r="B18" s="279"/>
      <c r="C18" s="279"/>
      <c r="D18" s="279"/>
      <c r="E18" s="279"/>
      <c r="F18" s="279"/>
      <c r="G18" s="368"/>
      <c r="H18" s="368"/>
      <c r="I18" s="369"/>
      <c r="J18" s="279"/>
    </row>
    <row r="19" spans="1:10" ht="19.95" customHeight="1">
      <c r="A19" s="279"/>
      <c r="B19" s="279"/>
      <c r="C19" s="279"/>
      <c r="D19" s="279"/>
      <c r="E19" s="279"/>
      <c r="F19" s="279"/>
      <c r="G19" s="368"/>
      <c r="H19" s="368"/>
      <c r="I19" s="369"/>
      <c r="J19" s="279"/>
    </row>
    <row r="20" spans="1:10" ht="19.95" customHeight="1">
      <c r="A20" s="280"/>
      <c r="B20" s="279"/>
      <c r="C20" s="279"/>
      <c r="D20" s="279"/>
      <c r="E20" s="279"/>
      <c r="F20" s="279"/>
      <c r="G20" s="279"/>
      <c r="H20" s="279"/>
      <c r="I20" s="279"/>
      <c r="J20" s="279"/>
    </row>
    <row r="21" spans="1:10" ht="19.95" customHeight="1">
      <c r="A21" s="132"/>
      <c r="B21" s="132"/>
      <c r="C21" s="132"/>
      <c r="D21" s="134"/>
      <c r="E21" s="134"/>
      <c r="F21" s="134"/>
      <c r="G21" s="134"/>
      <c r="H21" s="134"/>
      <c r="I21" s="134"/>
      <c r="J21" s="134"/>
    </row>
    <row r="22" spans="1:10" ht="19.95" customHeight="1">
      <c r="A22" s="132"/>
      <c r="B22" s="132"/>
      <c r="C22" s="132"/>
      <c r="D22" s="133"/>
      <c r="E22" s="133"/>
      <c r="F22" s="133"/>
      <c r="G22" s="133"/>
      <c r="H22" s="133"/>
      <c r="I22" s="133"/>
      <c r="J22" s="133"/>
    </row>
    <row r="24" spans="1:10" ht="19.95" customHeight="1">
      <c r="A24" s="661" t="s">
        <v>874</v>
      </c>
      <c r="B24" s="662"/>
      <c r="C24" s="662"/>
      <c r="D24" s="662"/>
      <c r="E24" s="662"/>
      <c r="F24" s="662"/>
      <c r="G24" s="662"/>
      <c r="H24" s="662"/>
      <c r="I24" s="662"/>
      <c r="J24" s="662"/>
    </row>
  </sheetData>
  <mergeCells count="3">
    <mergeCell ref="A1:J1"/>
    <mergeCell ref="A2:J2"/>
    <mergeCell ref="A24:J24"/>
  </mergeCells>
  <phoneticPr fontId="10" type="noConversion"/>
  <dataValidations count="1">
    <dataValidation type="list" allowBlank="1" showInputMessage="1" showErrorMessage="1" sqref="B6:B20">
      <formula1>"账项调整,报表调整,其他"</formula1>
    </dataValidation>
  </dataValidations>
  <hyperlinks>
    <hyperlink ref="J3" location="底稿目录!A1" display="H2-1"/>
  </hyperlinks>
  <printOptions horizontalCentered="1"/>
  <pageMargins left="0.43307086614173229" right="0.39370078740157483" top="0.39370078740157483" bottom="0.39370078740157483" header="0.31496062992125984" footer="0.31496062992125984"/>
  <pageSetup paperSize="9" scale="95" orientation="landscape" blackAndWhite="1" r:id="rId1"/>
  <headerFooter alignWithMargins="0">
    <oddFooter>&amp;C&amp;P/&amp;N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pageSetUpPr fitToPage="1"/>
  </sheetPr>
  <dimension ref="A1:X25"/>
  <sheetViews>
    <sheetView view="pageBreakPreview" zoomScaleNormal="115" zoomScaleSheetLayoutView="100" workbookViewId="0">
      <selection sqref="A1:F1"/>
    </sheetView>
  </sheetViews>
  <sheetFormatPr defaultColWidth="9" defaultRowHeight="19.95" customHeight="1"/>
  <cols>
    <col min="1" max="1" width="6.69921875" style="2" customWidth="1"/>
    <col min="2" max="2" width="33.3984375" style="2" customWidth="1"/>
    <col min="3" max="4" width="15.09765625" style="2" customWidth="1"/>
    <col min="5" max="5" width="11.19921875" style="2" customWidth="1"/>
    <col min="6" max="6" width="34.296875" style="2" customWidth="1"/>
    <col min="7" max="16384" width="9" style="2"/>
  </cols>
  <sheetData>
    <row r="1" spans="1:24" s="11" customFormat="1" ht="19.95" customHeight="1">
      <c r="A1" s="635" t="s">
        <v>810</v>
      </c>
      <c r="B1" s="635"/>
      <c r="C1" s="635"/>
      <c r="D1" s="635"/>
      <c r="E1" s="635"/>
      <c r="F1" s="635"/>
    </row>
    <row r="2" spans="1:24" s="424" customFormat="1" ht="19.95" customHeight="1">
      <c r="A2" s="637" t="s">
        <v>814</v>
      </c>
      <c r="B2" s="637"/>
      <c r="C2" s="637"/>
      <c r="D2" s="637"/>
      <c r="E2" s="637"/>
      <c r="F2" s="637"/>
    </row>
    <row r="3" spans="1:24" ht="19.95" customHeight="1">
      <c r="A3" s="2" t="str">
        <f>底稿目录!A2</f>
        <v>被审计单位：</v>
      </c>
      <c r="C3" s="2" t="str">
        <f>底稿目录!A4</f>
        <v>编制人：</v>
      </c>
      <c r="D3" s="2" t="str">
        <f>底稿目录!A6</f>
        <v>编制日期：</v>
      </c>
      <c r="E3" s="440" t="s">
        <v>832</v>
      </c>
      <c r="F3" s="256" t="s">
        <v>135</v>
      </c>
    </row>
    <row r="4" spans="1:24" ht="19.95" customHeight="1">
      <c r="A4" s="2" t="str">
        <f>底稿目录!A3</f>
        <v>截止日：202X年12月31日</v>
      </c>
      <c r="C4" s="2" t="str">
        <f>底稿目录!A5</f>
        <v>复核人：</v>
      </c>
      <c r="D4" s="2" t="str">
        <f>底稿目录!A7</f>
        <v>复核日期：</v>
      </c>
      <c r="E4" s="440" t="s">
        <v>833</v>
      </c>
    </row>
    <row r="5" spans="1:24" s="29" customFormat="1" ht="19.95" customHeight="1">
      <c r="A5" s="224" t="s">
        <v>288</v>
      </c>
      <c r="B5" s="49"/>
      <c r="C5" s="49"/>
      <c r="D5" s="49"/>
      <c r="E5" s="49"/>
      <c r="F5" s="49"/>
      <c r="G5" s="281"/>
      <c r="H5" s="49"/>
      <c r="I5" s="49"/>
      <c r="J5" s="49"/>
      <c r="K5" s="49"/>
      <c r="L5" s="49"/>
      <c r="M5" s="49"/>
      <c r="N5" s="49"/>
      <c r="O5" s="49"/>
      <c r="P5" s="49"/>
      <c r="Q5" s="49"/>
      <c r="R5" s="49"/>
      <c r="S5" s="49"/>
      <c r="T5" s="49"/>
      <c r="U5" s="49"/>
      <c r="V5" s="49"/>
      <c r="W5" s="49"/>
      <c r="X5" s="281"/>
    </row>
    <row r="6" spans="1:24" s="505" customFormat="1" ht="19.95" customHeight="1">
      <c r="A6" s="503" t="s">
        <v>130</v>
      </c>
      <c r="B6" s="496"/>
      <c r="C6" s="496"/>
      <c r="D6" s="496"/>
      <c r="E6" s="496"/>
      <c r="F6" s="496"/>
      <c r="G6" s="504"/>
      <c r="H6" s="496"/>
      <c r="I6" s="496"/>
      <c r="J6" s="496"/>
      <c r="K6" s="496"/>
      <c r="L6" s="496"/>
      <c r="M6" s="496"/>
      <c r="N6" s="496"/>
      <c r="O6" s="496"/>
      <c r="P6" s="496"/>
      <c r="Q6" s="496"/>
      <c r="R6" s="496"/>
      <c r="S6" s="496"/>
      <c r="T6" s="496"/>
      <c r="U6" s="496"/>
      <c r="V6" s="496"/>
      <c r="W6" s="496"/>
      <c r="X6" s="504"/>
    </row>
    <row r="7" spans="1:24" s="29" customFormat="1" ht="19.95" customHeight="1">
      <c r="A7" s="49" t="s">
        <v>280</v>
      </c>
      <c r="B7" s="49"/>
      <c r="C7" s="282"/>
      <c r="F7" s="282"/>
      <c r="G7" s="45"/>
      <c r="H7" s="282"/>
      <c r="I7" s="282"/>
      <c r="J7" s="282"/>
      <c r="K7" s="282"/>
      <c r="L7" s="282"/>
      <c r="M7" s="282"/>
      <c r="N7" s="282"/>
      <c r="O7" s="282"/>
      <c r="P7" s="282"/>
      <c r="Q7" s="282"/>
      <c r="R7" s="282"/>
      <c r="S7" s="282"/>
      <c r="T7" s="282"/>
      <c r="U7" s="282"/>
      <c r="V7" s="282"/>
      <c r="W7" s="282"/>
      <c r="X7" s="281"/>
    </row>
    <row r="8" spans="1:24" ht="19.95" customHeight="1">
      <c r="A8" s="506" t="s">
        <v>284</v>
      </c>
      <c r="B8" s="506" t="s">
        <v>40</v>
      </c>
      <c r="C8" s="507" t="s">
        <v>289</v>
      </c>
      <c r="D8" s="507" t="s">
        <v>285</v>
      </c>
      <c r="E8" s="507" t="s">
        <v>290</v>
      </c>
      <c r="F8" s="507" t="s">
        <v>291</v>
      </c>
    </row>
    <row r="9" spans="1:24" ht="19.95" customHeight="1">
      <c r="A9" s="37">
        <v>1</v>
      </c>
      <c r="B9" s="80" t="s">
        <v>292</v>
      </c>
      <c r="C9" s="25"/>
      <c r="D9" s="25"/>
      <c r="E9" s="186">
        <f>C9-D9</f>
        <v>0</v>
      </c>
      <c r="F9" s="370"/>
      <c r="G9" s="230"/>
    </row>
    <row r="10" spans="1:24" ht="19.95" customHeight="1">
      <c r="A10" s="12">
        <v>2</v>
      </c>
      <c r="B10" s="14" t="s">
        <v>282</v>
      </c>
      <c r="C10" s="25"/>
      <c r="D10" s="25"/>
      <c r="E10" s="186">
        <f>C10-D10</f>
        <v>0</v>
      </c>
      <c r="F10" s="370"/>
      <c r="G10" s="230"/>
    </row>
    <row r="11" spans="1:24" ht="19.95" customHeight="1">
      <c r="A11" s="37">
        <v>3</v>
      </c>
      <c r="B11" s="14" t="s">
        <v>287</v>
      </c>
      <c r="C11" s="25"/>
      <c r="D11" s="25"/>
      <c r="E11" s="186">
        <f>C11-D11</f>
        <v>0</v>
      </c>
      <c r="F11" s="370"/>
      <c r="G11" s="230"/>
    </row>
    <row r="12" spans="1:24" ht="19.95" customHeight="1">
      <c r="A12" s="12">
        <v>4</v>
      </c>
      <c r="B12" s="14" t="s">
        <v>279</v>
      </c>
      <c r="C12" s="25"/>
      <c r="D12" s="25"/>
      <c r="E12" s="186">
        <f t="shared" ref="E12:E13" si="0">C12-D12</f>
        <v>0</v>
      </c>
      <c r="F12" s="370"/>
      <c r="G12" s="230"/>
    </row>
    <row r="13" spans="1:24" s="19" customFormat="1" ht="19.95" customHeight="1">
      <c r="A13" s="37">
        <v>5</v>
      </c>
      <c r="B13" s="14" t="s">
        <v>293</v>
      </c>
      <c r="C13" s="25"/>
      <c r="D13" s="25"/>
      <c r="E13" s="186">
        <f t="shared" si="0"/>
        <v>0</v>
      </c>
      <c r="F13" s="370"/>
      <c r="G13" s="230"/>
    </row>
    <row r="14" spans="1:24" s="19" customFormat="1" ht="19.95" customHeight="1">
      <c r="A14" s="509">
        <v>6</v>
      </c>
      <c r="B14" s="512" t="s">
        <v>1042</v>
      </c>
      <c r="C14" s="115"/>
      <c r="D14" s="115"/>
      <c r="E14" s="508">
        <f>C14-D14</f>
        <v>0</v>
      </c>
      <c r="F14" s="511"/>
      <c r="G14" s="230"/>
    </row>
    <row r="15" spans="1:24" s="19" customFormat="1" ht="19.95" customHeight="1">
      <c r="A15" s="509">
        <v>7</v>
      </c>
      <c r="B15" s="510" t="s">
        <v>916</v>
      </c>
      <c r="C15" s="115"/>
      <c r="D15" s="115"/>
      <c r="E15" s="508">
        <f>C15-D15</f>
        <v>0</v>
      </c>
      <c r="F15" s="370"/>
      <c r="G15" s="230"/>
    </row>
    <row r="16" spans="1:24" s="19" customFormat="1" ht="19.95" customHeight="1">
      <c r="A16" s="71" t="s">
        <v>281</v>
      </c>
      <c r="B16" s="71"/>
      <c r="C16" s="27"/>
      <c r="D16" s="27"/>
      <c r="E16" s="27"/>
      <c r="F16" s="27"/>
    </row>
    <row r="17" spans="1:2" s="19" customFormat="1" ht="19.95" customHeight="1">
      <c r="A17" s="2"/>
      <c r="B17" s="2"/>
    </row>
    <row r="18" spans="1:2" s="19" customFormat="1" ht="19.95" customHeight="1">
      <c r="A18" s="2"/>
    </row>
    <row r="19" spans="1:2" ht="19.95" customHeight="1">
      <c r="A19" s="17" t="s">
        <v>286</v>
      </c>
    </row>
    <row r="22" spans="1:2" ht="19.95" customHeight="1">
      <c r="B22" s="231"/>
    </row>
    <row r="23" spans="1:2" ht="19.95" customHeight="1">
      <c r="B23" s="232"/>
    </row>
    <row r="24" spans="1:2" ht="19.95" customHeight="1">
      <c r="B24" s="232"/>
    </row>
    <row r="25" spans="1:2" ht="19.95" customHeight="1">
      <c r="B25" s="232"/>
    </row>
  </sheetData>
  <mergeCells count="2">
    <mergeCell ref="A1:F1"/>
    <mergeCell ref="A2:F2"/>
  </mergeCells>
  <phoneticPr fontId="10" type="noConversion"/>
  <hyperlinks>
    <hyperlink ref="F3" location="底稿目录!A1" display="H2-1"/>
  </hyperlinks>
  <printOptions horizontalCentered="1"/>
  <pageMargins left="0.43307086614173229" right="0.39370078740157483" top="0.39370078740157483" bottom="0.39370078740157483" header="0.31496062992125984" footer="0.31496062992125984"/>
  <pageSetup paperSize="9" orientation="landscape" blackAndWhite="1" r:id="rId1"/>
  <headerFooter alignWithMargins="0">
    <oddFooter>&amp;C&amp;P/&amp;N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O28"/>
  <sheetViews>
    <sheetView view="pageBreakPreview" zoomScaleNormal="100" zoomScaleSheetLayoutView="100" workbookViewId="0">
      <selection sqref="A1:N1"/>
    </sheetView>
  </sheetViews>
  <sheetFormatPr defaultRowHeight="19.95" customHeight="1"/>
  <cols>
    <col min="1" max="1" width="16.5" style="222" customWidth="1"/>
    <col min="2" max="2" width="8.69921875" style="222" customWidth="1"/>
    <col min="3" max="4" width="13.59765625" style="222" customWidth="1"/>
    <col min="5" max="5" width="6.5" style="222" customWidth="1"/>
    <col min="6" max="6" width="9.796875" style="222" customWidth="1"/>
    <col min="7" max="7" width="13.09765625" style="222" customWidth="1"/>
    <col min="8" max="8" width="11.59765625" style="222" customWidth="1"/>
    <col min="9" max="9" width="12.59765625" style="222" customWidth="1"/>
    <col min="10" max="10" width="10.796875" style="222" customWidth="1"/>
    <col min="11" max="11" width="13.3984375" style="222" customWidth="1"/>
    <col min="12" max="16384" width="8.796875" style="222"/>
  </cols>
  <sheetData>
    <row r="1" spans="1:15" s="426" customFormat="1" ht="19.95" customHeight="1">
      <c r="A1" s="664" t="s">
        <v>810</v>
      </c>
      <c r="B1" s="664"/>
      <c r="C1" s="664"/>
      <c r="D1" s="664"/>
      <c r="E1" s="664"/>
      <c r="F1" s="664"/>
      <c r="G1" s="664"/>
      <c r="H1" s="664"/>
      <c r="I1" s="664"/>
      <c r="J1" s="664"/>
      <c r="K1" s="664"/>
      <c r="L1" s="664"/>
      <c r="M1" s="664"/>
      <c r="N1" s="664"/>
    </row>
    <row r="2" spans="1:15" s="427" customFormat="1" ht="19.95" customHeight="1">
      <c r="A2" s="665" t="s">
        <v>815</v>
      </c>
      <c r="B2" s="665"/>
      <c r="C2" s="665"/>
      <c r="D2" s="665"/>
      <c r="E2" s="665"/>
      <c r="F2" s="665"/>
      <c r="G2" s="665"/>
      <c r="H2" s="665"/>
      <c r="I2" s="665"/>
      <c r="J2" s="665"/>
      <c r="K2" s="665"/>
      <c r="L2" s="665"/>
      <c r="M2" s="665"/>
      <c r="N2" s="665"/>
    </row>
    <row r="3" spans="1:15" ht="19.95" customHeight="1">
      <c r="A3" s="222" t="str">
        <f>底稿目录!A2</f>
        <v>被审计单位：</v>
      </c>
      <c r="H3" s="222" t="str">
        <f>底稿目录!A4</f>
        <v>编制人：</v>
      </c>
      <c r="K3" s="222" t="str">
        <f>底稿目录!A6</f>
        <v>编制日期：</v>
      </c>
      <c r="M3" s="440" t="s">
        <v>832</v>
      </c>
      <c r="N3" s="256" t="s">
        <v>136</v>
      </c>
    </row>
    <row r="4" spans="1:15" ht="19.95" customHeight="1">
      <c r="A4" s="222" t="str">
        <f>底稿目录!A3</f>
        <v>截止日：202X年12月31日</v>
      </c>
      <c r="H4" s="222" t="str">
        <f>底稿目录!A5</f>
        <v>复核人：</v>
      </c>
      <c r="K4" s="222" t="str">
        <f>底稿目录!A7</f>
        <v>复核日期：</v>
      </c>
      <c r="M4" s="440" t="s">
        <v>833</v>
      </c>
      <c r="N4" s="2"/>
    </row>
    <row r="5" spans="1:15" ht="19.95" customHeight="1">
      <c r="A5" s="224" t="s">
        <v>917</v>
      </c>
    </row>
    <row r="6" spans="1:15" ht="19.95" customHeight="1">
      <c r="A6" s="222" t="s">
        <v>130</v>
      </c>
    </row>
    <row r="7" spans="1:15" ht="19.95" customHeight="1">
      <c r="A7" s="222" t="s">
        <v>918</v>
      </c>
    </row>
    <row r="8" spans="1:15" ht="19.95" customHeight="1">
      <c r="A8" s="224" t="s">
        <v>295</v>
      </c>
    </row>
    <row r="9" spans="1:15" ht="19.95" customHeight="1">
      <c r="A9" s="222" t="s">
        <v>296</v>
      </c>
    </row>
    <row r="10" spans="1:15" s="225" customFormat="1" ht="19.95" customHeight="1">
      <c r="A10" s="663" t="s">
        <v>297</v>
      </c>
      <c r="B10" s="663" t="s">
        <v>298</v>
      </c>
      <c r="C10" s="663"/>
      <c r="D10" s="663"/>
      <c r="E10" s="663"/>
      <c r="F10" s="663" t="s">
        <v>299</v>
      </c>
      <c r="G10" s="663" t="s">
        <v>300</v>
      </c>
      <c r="H10" s="663" t="s">
        <v>301</v>
      </c>
      <c r="I10" s="663" t="s">
        <v>302</v>
      </c>
      <c r="J10" s="666" t="s">
        <v>303</v>
      </c>
      <c r="K10" s="663" t="s">
        <v>304</v>
      </c>
      <c r="L10" s="663" t="s">
        <v>305</v>
      </c>
      <c r="M10" s="663" t="s">
        <v>306</v>
      </c>
      <c r="N10" s="663" t="s">
        <v>307</v>
      </c>
    </row>
    <row r="11" spans="1:15" s="225" customFormat="1" ht="24">
      <c r="A11" s="663"/>
      <c r="B11" s="245" t="s">
        <v>308</v>
      </c>
      <c r="C11" s="245" t="s">
        <v>309</v>
      </c>
      <c r="D11" s="245" t="s">
        <v>310</v>
      </c>
      <c r="E11" s="245" t="s">
        <v>311</v>
      </c>
      <c r="F11" s="663"/>
      <c r="G11" s="663"/>
      <c r="H11" s="663"/>
      <c r="I11" s="663"/>
      <c r="J11" s="667"/>
      <c r="K11" s="663"/>
      <c r="L11" s="663"/>
      <c r="M11" s="663"/>
      <c r="N11" s="663"/>
      <c r="O11" s="348"/>
    </row>
    <row r="12" spans="1:15" ht="19.95" customHeight="1">
      <c r="A12" s="223"/>
      <c r="B12" s="200"/>
      <c r="C12" s="200"/>
      <c r="D12" s="200"/>
      <c r="E12" s="200"/>
      <c r="F12" s="371"/>
      <c r="G12" s="372"/>
      <c r="H12" s="371"/>
      <c r="I12" s="372"/>
      <c r="J12" s="223"/>
      <c r="K12" s="373"/>
      <c r="L12" s="223"/>
      <c r="M12" s="373"/>
      <c r="N12" s="223"/>
    </row>
    <row r="13" spans="1:15" ht="19.95" customHeight="1">
      <c r="A13" s="223"/>
      <c r="B13" s="200"/>
      <c r="C13" s="200"/>
      <c r="D13" s="200"/>
      <c r="E13" s="200"/>
      <c r="F13" s="371"/>
      <c r="G13" s="372"/>
      <c r="H13" s="371"/>
      <c r="I13" s="372"/>
      <c r="J13" s="223"/>
      <c r="K13" s="373"/>
      <c r="L13" s="223"/>
      <c r="M13" s="373"/>
      <c r="N13" s="223"/>
    </row>
    <row r="14" spans="1:15" ht="19.95" customHeight="1">
      <c r="A14" s="223"/>
      <c r="B14" s="200"/>
      <c r="C14" s="200"/>
      <c r="D14" s="200"/>
      <c r="E14" s="200"/>
      <c r="F14" s="371"/>
      <c r="G14" s="372"/>
      <c r="H14" s="371"/>
      <c r="I14" s="372"/>
      <c r="J14" s="223"/>
      <c r="K14" s="373"/>
      <c r="L14" s="223"/>
      <c r="M14" s="373"/>
      <c r="N14" s="223"/>
    </row>
    <row r="16" spans="1:15" ht="19.95" customHeight="1">
      <c r="A16" s="222" t="s">
        <v>312</v>
      </c>
    </row>
    <row r="17" spans="1:12" ht="19.95" customHeight="1">
      <c r="A17" s="663" t="s">
        <v>313</v>
      </c>
      <c r="B17" s="663" t="s">
        <v>314</v>
      </c>
      <c r="C17" s="663"/>
      <c r="D17" s="663"/>
      <c r="E17" s="663"/>
      <c r="F17" s="668" t="s">
        <v>294</v>
      </c>
      <c r="G17" s="668" t="s">
        <v>315</v>
      </c>
      <c r="H17" s="668"/>
      <c r="I17" s="666" t="s">
        <v>303</v>
      </c>
      <c r="J17" s="663" t="s">
        <v>316</v>
      </c>
      <c r="K17" s="663" t="s">
        <v>317</v>
      </c>
      <c r="L17" s="663" t="s">
        <v>306</v>
      </c>
    </row>
    <row r="18" spans="1:12" ht="19.95" customHeight="1">
      <c r="A18" s="663"/>
      <c r="B18" s="245" t="s">
        <v>318</v>
      </c>
      <c r="C18" s="245" t="s">
        <v>319</v>
      </c>
      <c r="D18" s="245" t="s">
        <v>310</v>
      </c>
      <c r="E18" s="245" t="s">
        <v>311</v>
      </c>
      <c r="F18" s="668"/>
      <c r="G18" s="245" t="s">
        <v>320</v>
      </c>
      <c r="H18" s="246" t="s">
        <v>321</v>
      </c>
      <c r="I18" s="667"/>
      <c r="J18" s="663"/>
      <c r="K18" s="663"/>
      <c r="L18" s="663"/>
    </row>
    <row r="19" spans="1:12" ht="19.95" customHeight="1">
      <c r="A19" s="223"/>
      <c r="B19" s="200"/>
      <c r="C19" s="200"/>
      <c r="D19" s="200"/>
      <c r="E19" s="200"/>
      <c r="F19" s="372"/>
      <c r="G19" s="372"/>
      <c r="H19" s="200"/>
      <c r="I19" s="223"/>
      <c r="J19" s="372"/>
      <c r="K19" s="372"/>
      <c r="L19" s="373"/>
    </row>
    <row r="20" spans="1:12" ht="19.95" customHeight="1">
      <c r="A20" s="223"/>
      <c r="B20" s="200"/>
      <c r="C20" s="200"/>
      <c r="D20" s="200"/>
      <c r="E20" s="200"/>
      <c r="F20" s="372"/>
      <c r="G20" s="372"/>
      <c r="H20" s="200"/>
      <c r="I20" s="223"/>
      <c r="J20" s="372"/>
      <c r="K20" s="372"/>
      <c r="L20" s="373"/>
    </row>
    <row r="21" spans="1:12" ht="19.95" customHeight="1">
      <c r="A21" s="223"/>
      <c r="B21" s="200"/>
      <c r="C21" s="200"/>
      <c r="D21" s="200"/>
      <c r="E21" s="200"/>
      <c r="F21" s="372"/>
      <c r="G21" s="372"/>
      <c r="H21" s="200"/>
      <c r="I21" s="223"/>
      <c r="J21" s="372"/>
      <c r="K21" s="372"/>
      <c r="L21" s="373"/>
    </row>
    <row r="22" spans="1:12" ht="19.95" customHeight="1">
      <c r="A22" s="223"/>
      <c r="B22" s="223"/>
      <c r="C22" s="223"/>
      <c r="D22" s="223"/>
      <c r="E22" s="223"/>
      <c r="F22" s="223"/>
      <c r="G22" s="223"/>
      <c r="H22" s="223"/>
      <c r="I22" s="223"/>
      <c r="J22" s="223"/>
      <c r="K22" s="223"/>
      <c r="L22" s="223"/>
    </row>
    <row r="25" spans="1:12" ht="19.95" customHeight="1">
      <c r="A25" s="480" t="s">
        <v>853</v>
      </c>
    </row>
    <row r="26" spans="1:12" ht="19.95" customHeight="1">
      <c r="A26" s="449"/>
    </row>
    <row r="27" spans="1:12" ht="19.95" customHeight="1">
      <c r="A27" s="449"/>
    </row>
    <row r="28" spans="1:12" ht="19.95" customHeight="1">
      <c r="A28" s="480" t="s">
        <v>854</v>
      </c>
    </row>
  </sheetData>
  <mergeCells count="21">
    <mergeCell ref="L17:L18"/>
    <mergeCell ref="A17:A18"/>
    <mergeCell ref="B17:E17"/>
    <mergeCell ref="F17:F18"/>
    <mergeCell ref="G17:H17"/>
    <mergeCell ref="J17:J18"/>
    <mergeCell ref="K17:K18"/>
    <mergeCell ref="I17:I18"/>
    <mergeCell ref="N10:N11"/>
    <mergeCell ref="I10:I11"/>
    <mergeCell ref="M10:M11"/>
    <mergeCell ref="H10:H11"/>
    <mergeCell ref="A1:N1"/>
    <mergeCell ref="A2:N2"/>
    <mergeCell ref="B10:E10"/>
    <mergeCell ref="A10:A11"/>
    <mergeCell ref="K10:K11"/>
    <mergeCell ref="G10:G11"/>
    <mergeCell ref="F10:F11"/>
    <mergeCell ref="L10:L11"/>
    <mergeCell ref="J10:J11"/>
  </mergeCells>
  <phoneticPr fontId="10" type="noConversion"/>
  <hyperlinks>
    <hyperlink ref="N3" location="底稿目录!A1" display="H2-1"/>
  </hyperlinks>
  <printOptions horizontalCentered="1"/>
  <pageMargins left="0.70866141732283472" right="0.70866141732283472" top="0.74803149606299213" bottom="0.74803149606299213" header="0.31496062992125984" footer="0.31496062992125984"/>
  <pageSetup paperSize="9" scale="78" orientation="landscape" blackAndWhite="1" r:id="rId1"/>
  <headerFooter>
    <oddFooter>&amp;C&amp;P/&amp;N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L39"/>
  <sheetViews>
    <sheetView view="pageBreakPreview" zoomScaleNormal="100" zoomScaleSheetLayoutView="100" workbookViewId="0">
      <selection sqref="A1:K1"/>
    </sheetView>
  </sheetViews>
  <sheetFormatPr defaultRowHeight="19.95" customHeight="1"/>
  <cols>
    <col min="1" max="1" width="9" style="283"/>
    <col min="2" max="2" width="14" style="283" customWidth="1"/>
    <col min="3" max="10" width="9" style="283"/>
    <col min="11" max="11" width="6.5" style="283" customWidth="1"/>
    <col min="12" max="257" width="9" style="283"/>
    <col min="258" max="258" width="14" style="283" customWidth="1"/>
    <col min="259" max="513" width="9" style="283"/>
    <col min="514" max="514" width="14" style="283" customWidth="1"/>
    <col min="515" max="769" width="9" style="283"/>
    <col min="770" max="770" width="14" style="283" customWidth="1"/>
    <col min="771" max="1025" width="9" style="283"/>
    <col min="1026" max="1026" width="14" style="283" customWidth="1"/>
    <col min="1027" max="1281" width="9" style="283"/>
    <col min="1282" max="1282" width="14" style="283" customWidth="1"/>
    <col min="1283" max="1537" width="9" style="283"/>
    <col min="1538" max="1538" width="14" style="283" customWidth="1"/>
    <col min="1539" max="1793" width="9" style="283"/>
    <col min="1794" max="1794" width="14" style="283" customWidth="1"/>
    <col min="1795" max="2049" width="9" style="283"/>
    <col min="2050" max="2050" width="14" style="283" customWidth="1"/>
    <col min="2051" max="2305" width="9" style="283"/>
    <col min="2306" max="2306" width="14" style="283" customWidth="1"/>
    <col min="2307" max="2561" width="9" style="283"/>
    <col min="2562" max="2562" width="14" style="283" customWidth="1"/>
    <col min="2563" max="2817" width="9" style="283"/>
    <col min="2818" max="2818" width="14" style="283" customWidth="1"/>
    <col min="2819" max="3073" width="9" style="283"/>
    <col min="3074" max="3074" width="14" style="283" customWidth="1"/>
    <col min="3075" max="3329" width="9" style="283"/>
    <col min="3330" max="3330" width="14" style="283" customWidth="1"/>
    <col min="3331" max="3585" width="9" style="283"/>
    <col min="3586" max="3586" width="14" style="283" customWidth="1"/>
    <col min="3587" max="3841" width="9" style="283"/>
    <col min="3842" max="3842" width="14" style="283" customWidth="1"/>
    <col min="3843" max="4097" width="9" style="283"/>
    <col min="4098" max="4098" width="14" style="283" customWidth="1"/>
    <col min="4099" max="4353" width="9" style="283"/>
    <col min="4354" max="4354" width="14" style="283" customWidth="1"/>
    <col min="4355" max="4609" width="9" style="283"/>
    <col min="4610" max="4610" width="14" style="283" customWidth="1"/>
    <col min="4611" max="4865" width="9" style="283"/>
    <col min="4866" max="4866" width="14" style="283" customWidth="1"/>
    <col min="4867" max="5121" width="9" style="283"/>
    <col min="5122" max="5122" width="14" style="283" customWidth="1"/>
    <col min="5123" max="5377" width="9" style="283"/>
    <col min="5378" max="5378" width="14" style="283" customWidth="1"/>
    <col min="5379" max="5633" width="9" style="283"/>
    <col min="5634" max="5634" width="14" style="283" customWidth="1"/>
    <col min="5635" max="5889" width="9" style="283"/>
    <col min="5890" max="5890" width="14" style="283" customWidth="1"/>
    <col min="5891" max="6145" width="9" style="283"/>
    <col min="6146" max="6146" width="14" style="283" customWidth="1"/>
    <col min="6147" max="6401" width="9" style="283"/>
    <col min="6402" max="6402" width="14" style="283" customWidth="1"/>
    <col min="6403" max="6657" width="9" style="283"/>
    <col min="6658" max="6658" width="14" style="283" customWidth="1"/>
    <col min="6659" max="6913" width="9" style="283"/>
    <col min="6914" max="6914" width="14" style="283" customWidth="1"/>
    <col min="6915" max="7169" width="9" style="283"/>
    <col min="7170" max="7170" width="14" style="283" customWidth="1"/>
    <col min="7171" max="7425" width="9" style="283"/>
    <col min="7426" max="7426" width="14" style="283" customWidth="1"/>
    <col min="7427" max="7681" width="9" style="283"/>
    <col min="7682" max="7682" width="14" style="283" customWidth="1"/>
    <col min="7683" max="7937" width="9" style="283"/>
    <col min="7938" max="7938" width="14" style="283" customWidth="1"/>
    <col min="7939" max="8193" width="9" style="283"/>
    <col min="8194" max="8194" width="14" style="283" customWidth="1"/>
    <col min="8195" max="8449" width="9" style="283"/>
    <col min="8450" max="8450" width="14" style="283" customWidth="1"/>
    <col min="8451" max="8705" width="9" style="283"/>
    <col min="8706" max="8706" width="14" style="283" customWidth="1"/>
    <col min="8707" max="8961" width="9" style="283"/>
    <col min="8962" max="8962" width="14" style="283" customWidth="1"/>
    <col min="8963" max="9217" width="9" style="283"/>
    <col min="9218" max="9218" width="14" style="283" customWidth="1"/>
    <col min="9219" max="9473" width="9" style="283"/>
    <col min="9474" max="9474" width="14" style="283" customWidth="1"/>
    <col min="9475" max="9729" width="9" style="283"/>
    <col min="9730" max="9730" width="14" style="283" customWidth="1"/>
    <col min="9731" max="9985" width="9" style="283"/>
    <col min="9986" max="9986" width="14" style="283" customWidth="1"/>
    <col min="9987" max="10241" width="9" style="283"/>
    <col min="10242" max="10242" width="14" style="283" customWidth="1"/>
    <col min="10243" max="10497" width="9" style="283"/>
    <col min="10498" max="10498" width="14" style="283" customWidth="1"/>
    <col min="10499" max="10753" width="9" style="283"/>
    <col min="10754" max="10754" width="14" style="283" customWidth="1"/>
    <col min="10755" max="11009" width="9" style="283"/>
    <col min="11010" max="11010" width="14" style="283" customWidth="1"/>
    <col min="11011" max="11265" width="9" style="283"/>
    <col min="11266" max="11266" width="14" style="283" customWidth="1"/>
    <col min="11267" max="11521" width="9" style="283"/>
    <col min="11522" max="11522" width="14" style="283" customWidth="1"/>
    <col min="11523" max="11777" width="9" style="283"/>
    <col min="11778" max="11778" width="14" style="283" customWidth="1"/>
    <col min="11779" max="12033" width="9" style="283"/>
    <col min="12034" max="12034" width="14" style="283" customWidth="1"/>
    <col min="12035" max="12289" width="9" style="283"/>
    <col min="12290" max="12290" width="14" style="283" customWidth="1"/>
    <col min="12291" max="12545" width="9" style="283"/>
    <col min="12546" max="12546" width="14" style="283" customWidth="1"/>
    <col min="12547" max="12801" width="9" style="283"/>
    <col min="12802" max="12802" width="14" style="283" customWidth="1"/>
    <col min="12803" max="13057" width="9" style="283"/>
    <col min="13058" max="13058" width="14" style="283" customWidth="1"/>
    <col min="13059" max="13313" width="9" style="283"/>
    <col min="13314" max="13314" width="14" style="283" customWidth="1"/>
    <col min="13315" max="13569" width="9" style="283"/>
    <col min="13570" max="13570" width="14" style="283" customWidth="1"/>
    <col min="13571" max="13825" width="9" style="283"/>
    <col min="13826" max="13826" width="14" style="283" customWidth="1"/>
    <col min="13827" max="14081" width="9" style="283"/>
    <col min="14082" max="14082" width="14" style="283" customWidth="1"/>
    <col min="14083" max="14337" width="9" style="283"/>
    <col min="14338" max="14338" width="14" style="283" customWidth="1"/>
    <col min="14339" max="14593" width="9" style="283"/>
    <col min="14594" max="14594" width="14" style="283" customWidth="1"/>
    <col min="14595" max="14849" width="9" style="283"/>
    <col min="14850" max="14850" width="14" style="283" customWidth="1"/>
    <col min="14851" max="15105" width="9" style="283"/>
    <col min="15106" max="15106" width="14" style="283" customWidth="1"/>
    <col min="15107" max="15361" width="9" style="283"/>
    <col min="15362" max="15362" width="14" style="283" customWidth="1"/>
    <col min="15363" max="15617" width="9" style="283"/>
    <col min="15618" max="15618" width="14" style="283" customWidth="1"/>
    <col min="15619" max="15873" width="9" style="283"/>
    <col min="15874" max="15874" width="14" style="283" customWidth="1"/>
    <col min="15875" max="16129" width="9" style="283"/>
    <col min="16130" max="16130" width="14" style="283" customWidth="1"/>
    <col min="16131" max="16384" width="9" style="283"/>
  </cols>
  <sheetData>
    <row r="1" spans="1:12" ht="19.95" customHeight="1">
      <c r="A1" s="669" t="s">
        <v>816</v>
      </c>
      <c r="B1" s="669"/>
      <c r="C1" s="669"/>
      <c r="D1" s="669"/>
      <c r="E1" s="669"/>
      <c r="F1" s="669"/>
      <c r="G1" s="669"/>
      <c r="H1" s="669"/>
      <c r="I1" s="669"/>
      <c r="J1" s="669"/>
      <c r="K1" s="669"/>
    </row>
    <row r="2" spans="1:12" ht="19.95" customHeight="1">
      <c r="A2" s="670" t="s">
        <v>817</v>
      </c>
      <c r="B2" s="670"/>
      <c r="C2" s="670"/>
      <c r="D2" s="670"/>
      <c r="E2" s="670"/>
      <c r="F2" s="670"/>
      <c r="G2" s="670"/>
      <c r="H2" s="670"/>
      <c r="I2" s="670"/>
      <c r="J2" s="670"/>
      <c r="K2" s="670"/>
    </row>
    <row r="3" spans="1:12" ht="19.95" customHeight="1">
      <c r="A3" s="93" t="str">
        <f>底稿目录!A2</f>
        <v>被审计单位：</v>
      </c>
      <c r="B3" s="93"/>
      <c r="D3" s="93" t="str">
        <f>底稿目录!A4</f>
        <v>编制人：</v>
      </c>
      <c r="F3" s="93"/>
      <c r="H3" s="93" t="str">
        <f>底稿目录!A6</f>
        <v>编制日期：</v>
      </c>
      <c r="I3" s="93"/>
      <c r="J3" s="440" t="s">
        <v>832</v>
      </c>
      <c r="K3" s="256" t="s">
        <v>137</v>
      </c>
      <c r="L3" s="93"/>
    </row>
    <row r="4" spans="1:12" ht="19.95" customHeight="1">
      <c r="A4" s="93" t="str">
        <f>底稿目录!A3</f>
        <v>截止日：202X年12月31日</v>
      </c>
      <c r="B4" s="93"/>
      <c r="D4" s="93" t="str">
        <f>底稿目录!A5</f>
        <v>复核人：</v>
      </c>
      <c r="F4" s="93"/>
      <c r="H4" s="93" t="str">
        <f>底稿目录!A7</f>
        <v>复核日期：</v>
      </c>
      <c r="I4" s="93"/>
      <c r="J4" s="440" t="s">
        <v>833</v>
      </c>
      <c r="K4" s="2"/>
      <c r="L4" s="93"/>
    </row>
    <row r="5" spans="1:12" ht="19.95" customHeight="1">
      <c r="A5" s="94" t="s">
        <v>328</v>
      </c>
      <c r="B5" s="94"/>
      <c r="C5" s="247"/>
      <c r="D5" s="247"/>
      <c r="E5" s="247"/>
      <c r="F5" s="247"/>
      <c r="G5" s="247"/>
      <c r="H5" s="247"/>
      <c r="I5" s="247"/>
      <c r="J5" s="247"/>
      <c r="K5" s="247"/>
    </row>
    <row r="6" spans="1:12" ht="19.95" customHeight="1">
      <c r="A6" s="94"/>
      <c r="B6" s="247"/>
      <c r="C6" s="247"/>
      <c r="D6" s="247"/>
      <c r="E6" s="247"/>
      <c r="F6" s="247"/>
      <c r="G6" s="247"/>
      <c r="H6" s="247"/>
      <c r="I6" s="247"/>
      <c r="J6" s="247"/>
      <c r="K6" s="93"/>
    </row>
    <row r="7" spans="1:12" ht="19.95" customHeight="1">
      <c r="A7" s="94" t="s">
        <v>325</v>
      </c>
      <c r="B7" s="95"/>
      <c r="C7" s="95"/>
      <c r="D7" s="95"/>
      <c r="E7" s="95"/>
      <c r="F7" s="95"/>
      <c r="G7" s="95"/>
      <c r="H7" s="96"/>
      <c r="I7" s="95"/>
      <c r="J7" s="97"/>
      <c r="K7" s="95"/>
    </row>
    <row r="8" spans="1:12" ht="19.95" customHeight="1">
      <c r="A8" s="94"/>
      <c r="B8" s="93" t="s">
        <v>330</v>
      </c>
      <c r="C8" s="247"/>
      <c r="D8" s="247"/>
      <c r="E8" s="247"/>
      <c r="F8" s="247"/>
      <c r="G8" s="247"/>
      <c r="H8" s="98"/>
      <c r="I8" s="247"/>
      <c r="J8" s="99"/>
      <c r="K8" s="247"/>
    </row>
    <row r="9" spans="1:12" ht="19.95" customHeight="1">
      <c r="A9" s="93"/>
      <c r="B9" s="93" t="s">
        <v>331</v>
      </c>
      <c r="C9" s="247"/>
      <c r="D9" s="247"/>
      <c r="E9" s="247"/>
      <c r="F9" s="247"/>
      <c r="G9" s="247"/>
      <c r="H9" s="98"/>
      <c r="I9" s="247"/>
      <c r="J9" s="99"/>
      <c r="K9" s="247"/>
    </row>
    <row r="10" spans="1:12" s="105" customFormat="1" ht="19.95" customHeight="1">
      <c r="A10" s="100" t="s">
        <v>332</v>
      </c>
    </row>
    <row r="11" spans="1:12" ht="19.95" customHeight="1">
      <c r="A11" s="94"/>
      <c r="B11" s="101" t="s">
        <v>322</v>
      </c>
      <c r="C11" s="101" t="s">
        <v>329</v>
      </c>
      <c r="D11" s="101" t="s">
        <v>333</v>
      </c>
      <c r="E11" s="101" t="s">
        <v>334</v>
      </c>
      <c r="F11" s="101" t="s">
        <v>182</v>
      </c>
      <c r="G11" s="95"/>
      <c r="H11" s="96"/>
      <c r="I11" s="95"/>
      <c r="J11" s="97"/>
      <c r="K11" s="95"/>
    </row>
    <row r="12" spans="1:12" ht="19.95" customHeight="1">
      <c r="A12" s="94"/>
      <c r="B12" s="102" t="s">
        <v>335</v>
      </c>
      <c r="C12" s="102"/>
      <c r="D12" s="102"/>
      <c r="E12" s="102"/>
      <c r="F12" s="102"/>
      <c r="G12" s="95"/>
      <c r="H12" s="96"/>
      <c r="I12" s="95"/>
      <c r="J12" s="97"/>
      <c r="K12" s="95"/>
    </row>
    <row r="13" spans="1:12" ht="19.95" customHeight="1">
      <c r="A13" s="94"/>
      <c r="B13" s="103" t="s">
        <v>36</v>
      </c>
      <c r="C13" s="102"/>
      <c r="D13" s="102"/>
      <c r="E13" s="102"/>
      <c r="F13" s="102"/>
      <c r="G13" s="95"/>
      <c r="H13" s="96"/>
      <c r="I13" s="95"/>
      <c r="J13" s="97"/>
      <c r="K13" s="95"/>
    </row>
    <row r="14" spans="1:12" ht="19.95" customHeight="1">
      <c r="A14" s="94"/>
      <c r="B14" s="102" t="s">
        <v>336</v>
      </c>
      <c r="C14" s="102"/>
      <c r="D14" s="102"/>
      <c r="E14" s="102"/>
      <c r="F14" s="102"/>
      <c r="G14" s="95"/>
      <c r="H14" s="96"/>
      <c r="I14" s="95"/>
      <c r="J14" s="97"/>
      <c r="K14" s="95"/>
    </row>
    <row r="15" spans="1:12" ht="19.95" customHeight="1">
      <c r="A15" s="94"/>
      <c r="B15" s="102" t="s">
        <v>337</v>
      </c>
      <c r="C15" s="102"/>
      <c r="D15" s="102"/>
      <c r="E15" s="102"/>
      <c r="F15" s="102"/>
      <c r="G15" s="95"/>
      <c r="H15" s="96"/>
      <c r="I15" s="95"/>
      <c r="J15" s="97"/>
      <c r="K15" s="95"/>
    </row>
    <row r="16" spans="1:12" ht="19.95" customHeight="1">
      <c r="A16" s="94" t="s">
        <v>338</v>
      </c>
      <c r="B16" s="95"/>
      <c r="C16" s="95"/>
      <c r="D16" s="95"/>
      <c r="E16" s="95"/>
      <c r="F16" s="95"/>
      <c r="G16" s="95"/>
      <c r="H16" s="96"/>
      <c r="I16" s="95"/>
      <c r="J16" s="97"/>
      <c r="K16" s="95"/>
    </row>
    <row r="17" spans="1:11" ht="19.95" customHeight="1">
      <c r="A17" s="94" t="s">
        <v>339</v>
      </c>
      <c r="B17" s="247"/>
      <c r="C17" s="247"/>
      <c r="D17" s="247"/>
      <c r="E17" s="247"/>
      <c r="F17" s="247"/>
      <c r="G17" s="247"/>
      <c r="H17" s="98"/>
      <c r="I17" s="247"/>
      <c r="J17" s="99"/>
      <c r="K17" s="247"/>
    </row>
    <row r="18" spans="1:11" ht="19.95" customHeight="1">
      <c r="A18" s="94" t="s">
        <v>340</v>
      </c>
      <c r="B18" s="247"/>
      <c r="C18" s="247"/>
      <c r="D18" s="247"/>
      <c r="E18" s="247"/>
      <c r="F18" s="247"/>
      <c r="G18" s="247"/>
      <c r="H18" s="98"/>
      <c r="I18" s="247"/>
      <c r="J18" s="99"/>
      <c r="K18" s="247"/>
    </row>
    <row r="19" spans="1:11" ht="19.95" customHeight="1">
      <c r="A19" s="94"/>
      <c r="B19" s="104" t="s">
        <v>323</v>
      </c>
      <c r="C19" s="247"/>
      <c r="D19" s="247"/>
      <c r="E19" s="247"/>
      <c r="F19" s="247"/>
      <c r="G19" s="247"/>
      <c r="H19" s="98"/>
      <c r="I19" s="247"/>
      <c r="J19" s="99"/>
      <c r="K19" s="247"/>
    </row>
    <row r="20" spans="1:11" ht="19.95" customHeight="1">
      <c r="A20" s="94"/>
      <c r="B20" s="104" t="s">
        <v>324</v>
      </c>
      <c r="C20" s="247"/>
      <c r="D20" s="247"/>
      <c r="E20" s="247"/>
      <c r="F20" s="247"/>
      <c r="G20" s="247"/>
      <c r="H20" s="98"/>
      <c r="I20" s="247"/>
      <c r="J20" s="99"/>
      <c r="K20" s="247"/>
    </row>
    <row r="21" spans="1:11" ht="19.95" customHeight="1">
      <c r="A21" s="94"/>
      <c r="B21" s="104" t="s">
        <v>37</v>
      </c>
      <c r="C21" s="247"/>
      <c r="D21" s="247"/>
      <c r="E21" s="247"/>
      <c r="F21" s="247"/>
      <c r="G21" s="247"/>
      <c r="H21" s="98"/>
      <c r="I21" s="247"/>
      <c r="J21" s="99"/>
      <c r="K21" s="247"/>
    </row>
    <row r="22" spans="1:11" ht="19.95" customHeight="1">
      <c r="A22" s="105"/>
      <c r="B22" s="93" t="s">
        <v>341</v>
      </c>
      <c r="C22" s="93"/>
      <c r="D22" s="93"/>
      <c r="E22" s="93"/>
      <c r="F22" s="93"/>
      <c r="G22" s="93"/>
      <c r="H22" s="93"/>
      <c r="I22" s="93"/>
      <c r="J22" s="93"/>
      <c r="K22" s="93"/>
    </row>
    <row r="23" spans="1:11" ht="19.95" customHeight="1">
      <c r="A23" s="105"/>
      <c r="B23" s="93"/>
      <c r="C23" s="95"/>
      <c r="D23" s="95"/>
      <c r="E23" s="95"/>
      <c r="F23" s="95"/>
      <c r="G23" s="95"/>
      <c r="H23" s="96"/>
      <c r="I23" s="95"/>
      <c r="J23" s="97"/>
      <c r="K23" s="95"/>
    </row>
    <row r="24" spans="1:11" ht="19.95" customHeight="1">
      <c r="A24" s="105"/>
      <c r="B24" s="93" t="s">
        <v>342</v>
      </c>
      <c r="C24" s="93"/>
      <c r="D24" s="93"/>
      <c r="E24" s="93"/>
      <c r="F24" s="93"/>
      <c r="G24" s="93"/>
      <c r="H24" s="93"/>
      <c r="I24" s="93"/>
      <c r="J24" s="93"/>
      <c r="K24" s="93"/>
    </row>
    <row r="25" spans="1:11" ht="19.95" customHeight="1">
      <c r="A25" s="93"/>
      <c r="B25" s="105"/>
      <c r="C25" s="105"/>
      <c r="D25" s="105"/>
      <c r="E25" s="105"/>
      <c r="F25" s="105"/>
      <c r="G25" s="105"/>
      <c r="H25" s="105"/>
      <c r="I25" s="105"/>
      <c r="J25" s="105"/>
      <c r="K25" s="105"/>
    </row>
    <row r="26" spans="1:11" ht="19.95" customHeight="1">
      <c r="A26" s="94" t="s">
        <v>343</v>
      </c>
      <c r="B26" s="247"/>
      <c r="C26" s="247"/>
      <c r="D26" s="247"/>
      <c r="E26" s="247"/>
      <c r="F26" s="247"/>
      <c r="G26" s="247"/>
      <c r="H26" s="98"/>
      <c r="I26" s="247"/>
      <c r="J26" s="99"/>
      <c r="K26" s="247"/>
    </row>
    <row r="27" spans="1:11" ht="19.95" customHeight="1">
      <c r="A27" s="93"/>
      <c r="B27" s="104" t="s">
        <v>344</v>
      </c>
      <c r="C27" s="93"/>
      <c r="D27" s="93"/>
      <c r="E27" s="93"/>
      <c r="F27" s="93"/>
      <c r="G27" s="93"/>
      <c r="H27" s="93"/>
      <c r="I27" s="93"/>
      <c r="J27" s="93"/>
      <c r="K27" s="93"/>
    </row>
    <row r="28" spans="1:11" ht="19.95" customHeight="1">
      <c r="A28" s="93"/>
      <c r="B28" s="105"/>
      <c r="C28" s="105"/>
      <c r="D28" s="105"/>
      <c r="E28" s="105"/>
      <c r="F28" s="105"/>
      <c r="G28" s="105"/>
      <c r="H28" s="105"/>
      <c r="I28" s="105"/>
      <c r="J28" s="105"/>
      <c r="K28" s="105"/>
    </row>
    <row r="29" spans="1:11" ht="19.95" customHeight="1">
      <c r="A29" s="94" t="s">
        <v>326</v>
      </c>
      <c r="B29" s="247"/>
      <c r="C29" s="247"/>
      <c r="D29" s="247"/>
      <c r="E29" s="247"/>
      <c r="F29" s="247"/>
      <c r="G29" s="247"/>
      <c r="H29" s="98"/>
      <c r="I29" s="247"/>
      <c r="J29" s="99"/>
      <c r="K29" s="247"/>
    </row>
    <row r="30" spans="1:11" ht="19.95" customHeight="1">
      <c r="A30" s="94"/>
      <c r="B30" s="104" t="s">
        <v>327</v>
      </c>
      <c r="C30" s="247"/>
      <c r="D30" s="247"/>
      <c r="E30" s="247"/>
      <c r="F30" s="247"/>
      <c r="G30" s="247"/>
      <c r="H30" s="98"/>
      <c r="I30" s="247"/>
      <c r="J30" s="99"/>
      <c r="K30" s="247"/>
    </row>
    <row r="31" spans="1:11" ht="19.95" customHeight="1">
      <c r="A31" s="94"/>
      <c r="B31" s="104" t="s">
        <v>345</v>
      </c>
      <c r="C31" s="247"/>
      <c r="D31" s="247"/>
      <c r="E31" s="247"/>
      <c r="F31" s="247"/>
      <c r="G31" s="247"/>
      <c r="H31" s="98"/>
      <c r="I31" s="247"/>
      <c r="J31" s="99"/>
      <c r="K31" s="247"/>
    </row>
    <row r="32" spans="1:11" ht="19.95" customHeight="1">
      <c r="A32" s="93"/>
      <c r="B32" s="104" t="s">
        <v>38</v>
      </c>
      <c r="C32" s="93"/>
      <c r="D32" s="93"/>
      <c r="E32" s="93"/>
      <c r="F32" s="93"/>
      <c r="G32" s="93"/>
      <c r="H32" s="93"/>
      <c r="I32" s="93"/>
      <c r="J32" s="93"/>
      <c r="K32" s="93"/>
    </row>
    <row r="33" spans="1:11" ht="19.95" customHeight="1">
      <c r="A33" s="93"/>
      <c r="B33" s="105"/>
      <c r="C33" s="105"/>
      <c r="D33" s="105"/>
      <c r="E33" s="105"/>
      <c r="F33" s="105"/>
      <c r="G33" s="105"/>
      <c r="H33" s="105"/>
      <c r="I33" s="105"/>
      <c r="J33" s="105"/>
      <c r="K33" s="105"/>
    </row>
    <row r="34" spans="1:11" ht="19.95" customHeight="1">
      <c r="A34" s="94" t="s">
        <v>346</v>
      </c>
      <c r="B34" s="247"/>
      <c r="C34" s="247"/>
      <c r="D34" s="247"/>
      <c r="E34" s="247"/>
      <c r="F34" s="247"/>
      <c r="G34" s="247"/>
      <c r="H34" s="98"/>
      <c r="I34" s="247"/>
      <c r="J34" s="99"/>
      <c r="K34" s="247"/>
    </row>
    <row r="35" spans="1:11" ht="19.95" customHeight="1">
      <c r="A35" s="94"/>
      <c r="B35" s="104" t="s">
        <v>347</v>
      </c>
      <c r="C35" s="247"/>
      <c r="D35" s="247"/>
      <c r="E35" s="247"/>
      <c r="F35" s="247"/>
      <c r="G35" s="247"/>
      <c r="H35" s="98"/>
      <c r="I35" s="247"/>
      <c r="J35" s="99"/>
      <c r="K35" s="247"/>
    </row>
    <row r="36" spans="1:11" ht="19.95" customHeight="1">
      <c r="A36" s="94"/>
      <c r="B36" s="104" t="s">
        <v>39</v>
      </c>
      <c r="C36" s="247"/>
      <c r="D36" s="247"/>
      <c r="E36" s="247"/>
      <c r="F36" s="247"/>
      <c r="G36" s="247"/>
      <c r="H36" s="98"/>
      <c r="I36" s="247"/>
      <c r="J36" s="99"/>
      <c r="K36" s="247"/>
    </row>
    <row r="37" spans="1:11" ht="19.95" customHeight="1">
      <c r="A37" s="93"/>
      <c r="B37" s="93"/>
      <c r="C37" s="93"/>
      <c r="D37" s="93"/>
      <c r="E37" s="93"/>
      <c r="F37" s="93"/>
      <c r="G37" s="93"/>
      <c r="H37" s="93"/>
      <c r="I37" s="93"/>
      <c r="J37" s="93"/>
      <c r="K37" s="93"/>
    </row>
    <row r="38" spans="1:11" ht="19.95" customHeight="1">
      <c r="A38" s="94" t="s">
        <v>348</v>
      </c>
      <c r="B38" s="100"/>
      <c r="C38" s="100"/>
      <c r="D38" s="100"/>
      <c r="E38" s="100"/>
      <c r="F38" s="100"/>
      <c r="G38" s="100"/>
      <c r="H38" s="100"/>
      <c r="I38" s="100"/>
      <c r="J38" s="100"/>
      <c r="K38" s="100"/>
    </row>
    <row r="39" spans="1:11" ht="19.95" customHeight="1">
      <c r="A39" s="93"/>
      <c r="B39" s="93"/>
      <c r="C39" s="93"/>
      <c r="D39" s="93"/>
      <c r="E39" s="93"/>
      <c r="F39" s="93"/>
      <c r="G39" s="93"/>
      <c r="H39" s="93"/>
      <c r="I39" s="93"/>
      <c r="J39" s="93"/>
      <c r="K39" s="93"/>
    </row>
  </sheetData>
  <mergeCells count="2">
    <mergeCell ref="A1:K1"/>
    <mergeCell ref="A2:K2"/>
  </mergeCells>
  <phoneticPr fontId="10" type="noConversion"/>
  <hyperlinks>
    <hyperlink ref="K3" location="底稿目录!A1" display="H2-1"/>
  </hyperlinks>
  <printOptions horizontalCentered="1"/>
  <pageMargins left="0.43307086614173229" right="0.39370078740157483" top="0.39370078740157483" bottom="0.39370078740157483" header="0.31496062992125984" footer="0.31496062992125984"/>
  <pageSetup paperSize="9" scale="87" orientation="portrait"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P23"/>
  <sheetViews>
    <sheetView view="pageBreakPreview" zoomScaleNormal="120" zoomScaleSheetLayoutView="100" workbookViewId="0">
      <selection sqref="A1:M1"/>
    </sheetView>
  </sheetViews>
  <sheetFormatPr defaultRowHeight="19.95" customHeight="1"/>
  <cols>
    <col min="1" max="1" width="6.09765625" style="108" customWidth="1"/>
    <col min="2" max="2" width="16.5" style="108" customWidth="1"/>
    <col min="3" max="3" width="11.296875" style="108" customWidth="1"/>
    <col min="4" max="4" width="12.5" style="108" customWidth="1"/>
    <col min="5" max="5" width="11.19921875" style="108" customWidth="1"/>
    <col min="6" max="6" width="13.69921875" style="108" customWidth="1"/>
    <col min="7" max="8" width="13" style="108" customWidth="1"/>
    <col min="9" max="9" width="15" style="108" customWidth="1"/>
    <col min="10" max="10" width="11.69921875" style="108" customWidth="1"/>
    <col min="11" max="11" width="13.796875" style="108" customWidth="1"/>
    <col min="12" max="12" width="11" style="108" customWidth="1"/>
    <col min="13" max="13" width="12.19921875" style="108" customWidth="1"/>
    <col min="14" max="258" width="9" style="108"/>
    <col min="259" max="259" width="4.69921875" style="108" customWidth="1"/>
    <col min="260" max="261" width="9" style="108"/>
    <col min="262" max="262" width="11.09765625" style="108" customWidth="1"/>
    <col min="263" max="263" width="9" style="108"/>
    <col min="264" max="264" width="11.5" style="108" customWidth="1"/>
    <col min="265" max="265" width="9" style="108"/>
    <col min="266" max="266" width="11.3984375" style="108" customWidth="1"/>
    <col min="267" max="267" width="9" style="108"/>
    <col min="268" max="268" width="11.59765625" style="108" customWidth="1"/>
    <col min="269" max="514" width="9" style="108"/>
    <col min="515" max="515" width="4.69921875" style="108" customWidth="1"/>
    <col min="516" max="517" width="9" style="108"/>
    <col min="518" max="518" width="11.09765625" style="108" customWidth="1"/>
    <col min="519" max="519" width="9" style="108"/>
    <col min="520" max="520" width="11.5" style="108" customWidth="1"/>
    <col min="521" max="521" width="9" style="108"/>
    <col min="522" max="522" width="11.3984375" style="108" customWidth="1"/>
    <col min="523" max="523" width="9" style="108"/>
    <col min="524" max="524" width="11.59765625" style="108" customWidth="1"/>
    <col min="525" max="770" width="9" style="108"/>
    <col min="771" max="771" width="4.69921875" style="108" customWidth="1"/>
    <col min="772" max="773" width="9" style="108"/>
    <col min="774" max="774" width="11.09765625" style="108" customWidth="1"/>
    <col min="775" max="775" width="9" style="108"/>
    <col min="776" max="776" width="11.5" style="108" customWidth="1"/>
    <col min="777" max="777" width="9" style="108"/>
    <col min="778" max="778" width="11.3984375" style="108" customWidth="1"/>
    <col min="779" max="779" width="9" style="108"/>
    <col min="780" max="780" width="11.59765625" style="108" customWidth="1"/>
    <col min="781" max="1026" width="9" style="108"/>
    <col min="1027" max="1027" width="4.69921875" style="108" customWidth="1"/>
    <col min="1028" max="1029" width="9" style="108"/>
    <col min="1030" max="1030" width="11.09765625" style="108" customWidth="1"/>
    <col min="1031" max="1031" width="9" style="108"/>
    <col min="1032" max="1032" width="11.5" style="108" customWidth="1"/>
    <col min="1033" max="1033" width="9" style="108"/>
    <col min="1034" max="1034" width="11.3984375" style="108" customWidth="1"/>
    <col min="1035" max="1035" width="9" style="108"/>
    <col min="1036" max="1036" width="11.59765625" style="108" customWidth="1"/>
    <col min="1037" max="1282" width="9" style="108"/>
    <col min="1283" max="1283" width="4.69921875" style="108" customWidth="1"/>
    <col min="1284" max="1285" width="9" style="108"/>
    <col min="1286" max="1286" width="11.09765625" style="108" customWidth="1"/>
    <col min="1287" max="1287" width="9" style="108"/>
    <col min="1288" max="1288" width="11.5" style="108" customWidth="1"/>
    <col min="1289" max="1289" width="9" style="108"/>
    <col min="1290" max="1290" width="11.3984375" style="108" customWidth="1"/>
    <col min="1291" max="1291" width="9" style="108"/>
    <col min="1292" max="1292" width="11.59765625" style="108" customWidth="1"/>
    <col min="1293" max="1538" width="9" style="108"/>
    <col min="1539" max="1539" width="4.69921875" style="108" customWidth="1"/>
    <col min="1540" max="1541" width="9" style="108"/>
    <col min="1542" max="1542" width="11.09765625" style="108" customWidth="1"/>
    <col min="1543" max="1543" width="9" style="108"/>
    <col min="1544" max="1544" width="11.5" style="108" customWidth="1"/>
    <col min="1545" max="1545" width="9" style="108"/>
    <col min="1546" max="1546" width="11.3984375" style="108" customWidth="1"/>
    <col min="1547" max="1547" width="9" style="108"/>
    <col min="1548" max="1548" width="11.59765625" style="108" customWidth="1"/>
    <col min="1549" max="1794" width="9" style="108"/>
    <col min="1795" max="1795" width="4.69921875" style="108" customWidth="1"/>
    <col min="1796" max="1797" width="9" style="108"/>
    <col min="1798" max="1798" width="11.09765625" style="108" customWidth="1"/>
    <col min="1799" max="1799" width="9" style="108"/>
    <col min="1800" max="1800" width="11.5" style="108" customWidth="1"/>
    <col min="1801" max="1801" width="9" style="108"/>
    <col min="1802" max="1802" width="11.3984375" style="108" customWidth="1"/>
    <col min="1803" max="1803" width="9" style="108"/>
    <col min="1804" max="1804" width="11.59765625" style="108" customWidth="1"/>
    <col min="1805" max="2050" width="9" style="108"/>
    <col min="2051" max="2051" width="4.69921875" style="108" customWidth="1"/>
    <col min="2052" max="2053" width="9" style="108"/>
    <col min="2054" max="2054" width="11.09765625" style="108" customWidth="1"/>
    <col min="2055" max="2055" width="9" style="108"/>
    <col min="2056" max="2056" width="11.5" style="108" customWidth="1"/>
    <col min="2057" max="2057" width="9" style="108"/>
    <col min="2058" max="2058" width="11.3984375" style="108" customWidth="1"/>
    <col min="2059" max="2059" width="9" style="108"/>
    <col min="2060" max="2060" width="11.59765625" style="108" customWidth="1"/>
    <col min="2061" max="2306" width="9" style="108"/>
    <col min="2307" max="2307" width="4.69921875" style="108" customWidth="1"/>
    <col min="2308" max="2309" width="9" style="108"/>
    <col min="2310" max="2310" width="11.09765625" style="108" customWidth="1"/>
    <col min="2311" max="2311" width="9" style="108"/>
    <col min="2312" max="2312" width="11.5" style="108" customWidth="1"/>
    <col min="2313" max="2313" width="9" style="108"/>
    <col min="2314" max="2314" width="11.3984375" style="108" customWidth="1"/>
    <col min="2315" max="2315" width="9" style="108"/>
    <col min="2316" max="2316" width="11.59765625" style="108" customWidth="1"/>
    <col min="2317" max="2562" width="9" style="108"/>
    <col min="2563" max="2563" width="4.69921875" style="108" customWidth="1"/>
    <col min="2564" max="2565" width="9" style="108"/>
    <col min="2566" max="2566" width="11.09765625" style="108" customWidth="1"/>
    <col min="2567" max="2567" width="9" style="108"/>
    <col min="2568" max="2568" width="11.5" style="108" customWidth="1"/>
    <col min="2569" max="2569" width="9" style="108"/>
    <col min="2570" max="2570" width="11.3984375" style="108" customWidth="1"/>
    <col min="2571" max="2571" width="9" style="108"/>
    <col min="2572" max="2572" width="11.59765625" style="108" customWidth="1"/>
    <col min="2573" max="2818" width="9" style="108"/>
    <col min="2819" max="2819" width="4.69921875" style="108" customWidth="1"/>
    <col min="2820" max="2821" width="9" style="108"/>
    <col min="2822" max="2822" width="11.09765625" style="108" customWidth="1"/>
    <col min="2823" max="2823" width="9" style="108"/>
    <col min="2824" max="2824" width="11.5" style="108" customWidth="1"/>
    <col min="2825" max="2825" width="9" style="108"/>
    <col min="2826" max="2826" width="11.3984375" style="108" customWidth="1"/>
    <col min="2827" max="2827" width="9" style="108"/>
    <col min="2828" max="2828" width="11.59765625" style="108" customWidth="1"/>
    <col min="2829" max="3074" width="9" style="108"/>
    <col min="3075" max="3075" width="4.69921875" style="108" customWidth="1"/>
    <col min="3076" max="3077" width="9" style="108"/>
    <col min="3078" max="3078" width="11.09765625" style="108" customWidth="1"/>
    <col min="3079" max="3079" width="9" style="108"/>
    <col min="3080" max="3080" width="11.5" style="108" customWidth="1"/>
    <col min="3081" max="3081" width="9" style="108"/>
    <col min="3082" max="3082" width="11.3984375" style="108" customWidth="1"/>
    <col min="3083" max="3083" width="9" style="108"/>
    <col min="3084" max="3084" width="11.59765625" style="108" customWidth="1"/>
    <col min="3085" max="3330" width="9" style="108"/>
    <col min="3331" max="3331" width="4.69921875" style="108" customWidth="1"/>
    <col min="3332" max="3333" width="9" style="108"/>
    <col min="3334" max="3334" width="11.09765625" style="108" customWidth="1"/>
    <col min="3335" max="3335" width="9" style="108"/>
    <col min="3336" max="3336" width="11.5" style="108" customWidth="1"/>
    <col min="3337" max="3337" width="9" style="108"/>
    <col min="3338" max="3338" width="11.3984375" style="108" customWidth="1"/>
    <col min="3339" max="3339" width="9" style="108"/>
    <col min="3340" max="3340" width="11.59765625" style="108" customWidth="1"/>
    <col min="3341" max="3586" width="9" style="108"/>
    <col min="3587" max="3587" width="4.69921875" style="108" customWidth="1"/>
    <col min="3588" max="3589" width="9" style="108"/>
    <col min="3590" max="3590" width="11.09765625" style="108" customWidth="1"/>
    <col min="3591" max="3591" width="9" style="108"/>
    <col min="3592" max="3592" width="11.5" style="108" customWidth="1"/>
    <col min="3593" max="3593" width="9" style="108"/>
    <col min="3594" max="3594" width="11.3984375" style="108" customWidth="1"/>
    <col min="3595" max="3595" width="9" style="108"/>
    <col min="3596" max="3596" width="11.59765625" style="108" customWidth="1"/>
    <col min="3597" max="3842" width="9" style="108"/>
    <col min="3843" max="3843" width="4.69921875" style="108" customWidth="1"/>
    <col min="3844" max="3845" width="9" style="108"/>
    <col min="3846" max="3846" width="11.09765625" style="108" customWidth="1"/>
    <col min="3847" max="3847" width="9" style="108"/>
    <col min="3848" max="3848" width="11.5" style="108" customWidth="1"/>
    <col min="3849" max="3849" width="9" style="108"/>
    <col min="3850" max="3850" width="11.3984375" style="108" customWidth="1"/>
    <col min="3851" max="3851" width="9" style="108"/>
    <col min="3852" max="3852" width="11.59765625" style="108" customWidth="1"/>
    <col min="3853" max="4098" width="9" style="108"/>
    <col min="4099" max="4099" width="4.69921875" style="108" customWidth="1"/>
    <col min="4100" max="4101" width="9" style="108"/>
    <col min="4102" max="4102" width="11.09765625" style="108" customWidth="1"/>
    <col min="4103" max="4103" width="9" style="108"/>
    <col min="4104" max="4104" width="11.5" style="108" customWidth="1"/>
    <col min="4105" max="4105" width="9" style="108"/>
    <col min="4106" max="4106" width="11.3984375" style="108" customWidth="1"/>
    <col min="4107" max="4107" width="9" style="108"/>
    <col min="4108" max="4108" width="11.59765625" style="108" customWidth="1"/>
    <col min="4109" max="4354" width="9" style="108"/>
    <col min="4355" max="4355" width="4.69921875" style="108" customWidth="1"/>
    <col min="4356" max="4357" width="9" style="108"/>
    <col min="4358" max="4358" width="11.09765625" style="108" customWidth="1"/>
    <col min="4359" max="4359" width="9" style="108"/>
    <col min="4360" max="4360" width="11.5" style="108" customWidth="1"/>
    <col min="4361" max="4361" width="9" style="108"/>
    <col min="4362" max="4362" width="11.3984375" style="108" customWidth="1"/>
    <col min="4363" max="4363" width="9" style="108"/>
    <col min="4364" max="4364" width="11.59765625" style="108" customWidth="1"/>
    <col min="4365" max="4610" width="9" style="108"/>
    <col min="4611" max="4611" width="4.69921875" style="108" customWidth="1"/>
    <col min="4612" max="4613" width="9" style="108"/>
    <col min="4614" max="4614" width="11.09765625" style="108" customWidth="1"/>
    <col min="4615" max="4615" width="9" style="108"/>
    <col min="4616" max="4616" width="11.5" style="108" customWidth="1"/>
    <col min="4617" max="4617" width="9" style="108"/>
    <col min="4618" max="4618" width="11.3984375" style="108" customWidth="1"/>
    <col min="4619" max="4619" width="9" style="108"/>
    <col min="4620" max="4620" width="11.59765625" style="108" customWidth="1"/>
    <col min="4621" max="4866" width="9" style="108"/>
    <col min="4867" max="4867" width="4.69921875" style="108" customWidth="1"/>
    <col min="4868" max="4869" width="9" style="108"/>
    <col min="4870" max="4870" width="11.09765625" style="108" customWidth="1"/>
    <col min="4871" max="4871" width="9" style="108"/>
    <col min="4872" max="4872" width="11.5" style="108" customWidth="1"/>
    <col min="4873" max="4873" width="9" style="108"/>
    <col min="4874" max="4874" width="11.3984375" style="108" customWidth="1"/>
    <col min="4875" max="4875" width="9" style="108"/>
    <col min="4876" max="4876" width="11.59765625" style="108" customWidth="1"/>
    <col min="4877" max="5122" width="9" style="108"/>
    <col min="5123" max="5123" width="4.69921875" style="108" customWidth="1"/>
    <col min="5124" max="5125" width="9" style="108"/>
    <col min="5126" max="5126" width="11.09765625" style="108" customWidth="1"/>
    <col min="5127" max="5127" width="9" style="108"/>
    <col min="5128" max="5128" width="11.5" style="108" customWidth="1"/>
    <col min="5129" max="5129" width="9" style="108"/>
    <col min="5130" max="5130" width="11.3984375" style="108" customWidth="1"/>
    <col min="5131" max="5131" width="9" style="108"/>
    <col min="5132" max="5132" width="11.59765625" style="108" customWidth="1"/>
    <col min="5133" max="5378" width="9" style="108"/>
    <col min="5379" max="5379" width="4.69921875" style="108" customWidth="1"/>
    <col min="5380" max="5381" width="9" style="108"/>
    <col min="5382" max="5382" width="11.09765625" style="108" customWidth="1"/>
    <col min="5383" max="5383" width="9" style="108"/>
    <col min="5384" max="5384" width="11.5" style="108" customWidth="1"/>
    <col min="5385" max="5385" width="9" style="108"/>
    <col min="5386" max="5386" width="11.3984375" style="108" customWidth="1"/>
    <col min="5387" max="5387" width="9" style="108"/>
    <col min="5388" max="5388" width="11.59765625" style="108" customWidth="1"/>
    <col min="5389" max="5634" width="9" style="108"/>
    <col min="5635" max="5635" width="4.69921875" style="108" customWidth="1"/>
    <col min="5636" max="5637" width="9" style="108"/>
    <col min="5638" max="5638" width="11.09765625" style="108" customWidth="1"/>
    <col min="5639" max="5639" width="9" style="108"/>
    <col min="5640" max="5640" width="11.5" style="108" customWidth="1"/>
    <col min="5641" max="5641" width="9" style="108"/>
    <col min="5642" max="5642" width="11.3984375" style="108" customWidth="1"/>
    <col min="5643" max="5643" width="9" style="108"/>
    <col min="5644" max="5644" width="11.59765625" style="108" customWidth="1"/>
    <col min="5645" max="5890" width="9" style="108"/>
    <col min="5891" max="5891" width="4.69921875" style="108" customWidth="1"/>
    <col min="5892" max="5893" width="9" style="108"/>
    <col min="5894" max="5894" width="11.09765625" style="108" customWidth="1"/>
    <col min="5895" max="5895" width="9" style="108"/>
    <col min="5896" max="5896" width="11.5" style="108" customWidth="1"/>
    <col min="5897" max="5897" width="9" style="108"/>
    <col min="5898" max="5898" width="11.3984375" style="108" customWidth="1"/>
    <col min="5899" max="5899" width="9" style="108"/>
    <col min="5900" max="5900" width="11.59765625" style="108" customWidth="1"/>
    <col min="5901" max="6146" width="9" style="108"/>
    <col min="6147" max="6147" width="4.69921875" style="108" customWidth="1"/>
    <col min="6148" max="6149" width="9" style="108"/>
    <col min="6150" max="6150" width="11.09765625" style="108" customWidth="1"/>
    <col min="6151" max="6151" width="9" style="108"/>
    <col min="6152" max="6152" width="11.5" style="108" customWidth="1"/>
    <col min="6153" max="6153" width="9" style="108"/>
    <col min="6154" max="6154" width="11.3984375" style="108" customWidth="1"/>
    <col min="6155" max="6155" width="9" style="108"/>
    <col min="6156" max="6156" width="11.59765625" style="108" customWidth="1"/>
    <col min="6157" max="6402" width="9" style="108"/>
    <col min="6403" max="6403" width="4.69921875" style="108" customWidth="1"/>
    <col min="6404" max="6405" width="9" style="108"/>
    <col min="6406" max="6406" width="11.09765625" style="108" customWidth="1"/>
    <col min="6407" max="6407" width="9" style="108"/>
    <col min="6408" max="6408" width="11.5" style="108" customWidth="1"/>
    <col min="6409" max="6409" width="9" style="108"/>
    <col min="6410" max="6410" width="11.3984375" style="108" customWidth="1"/>
    <col min="6411" max="6411" width="9" style="108"/>
    <col min="6412" max="6412" width="11.59765625" style="108" customWidth="1"/>
    <col min="6413" max="6658" width="9" style="108"/>
    <col min="6659" max="6659" width="4.69921875" style="108" customWidth="1"/>
    <col min="6660" max="6661" width="9" style="108"/>
    <col min="6662" max="6662" width="11.09765625" style="108" customWidth="1"/>
    <col min="6663" max="6663" width="9" style="108"/>
    <col min="6664" max="6664" width="11.5" style="108" customWidth="1"/>
    <col min="6665" max="6665" width="9" style="108"/>
    <col min="6666" max="6666" width="11.3984375" style="108" customWidth="1"/>
    <col min="6667" max="6667" width="9" style="108"/>
    <col min="6668" max="6668" width="11.59765625" style="108" customWidth="1"/>
    <col min="6669" max="6914" width="9" style="108"/>
    <col min="6915" max="6915" width="4.69921875" style="108" customWidth="1"/>
    <col min="6916" max="6917" width="9" style="108"/>
    <col min="6918" max="6918" width="11.09765625" style="108" customWidth="1"/>
    <col min="6919" max="6919" width="9" style="108"/>
    <col min="6920" max="6920" width="11.5" style="108" customWidth="1"/>
    <col min="6921" max="6921" width="9" style="108"/>
    <col min="6922" max="6922" width="11.3984375" style="108" customWidth="1"/>
    <col min="6923" max="6923" width="9" style="108"/>
    <col min="6924" max="6924" width="11.59765625" style="108" customWidth="1"/>
    <col min="6925" max="7170" width="9" style="108"/>
    <col min="7171" max="7171" width="4.69921875" style="108" customWidth="1"/>
    <col min="7172" max="7173" width="9" style="108"/>
    <col min="7174" max="7174" width="11.09765625" style="108" customWidth="1"/>
    <col min="7175" max="7175" width="9" style="108"/>
    <col min="7176" max="7176" width="11.5" style="108" customWidth="1"/>
    <col min="7177" max="7177" width="9" style="108"/>
    <col min="7178" max="7178" width="11.3984375" style="108" customWidth="1"/>
    <col min="7179" max="7179" width="9" style="108"/>
    <col min="7180" max="7180" width="11.59765625" style="108" customWidth="1"/>
    <col min="7181" max="7426" width="9" style="108"/>
    <col min="7427" max="7427" width="4.69921875" style="108" customWidth="1"/>
    <col min="7428" max="7429" width="9" style="108"/>
    <col min="7430" max="7430" width="11.09765625" style="108" customWidth="1"/>
    <col min="7431" max="7431" width="9" style="108"/>
    <col min="7432" max="7432" width="11.5" style="108" customWidth="1"/>
    <col min="7433" max="7433" width="9" style="108"/>
    <col min="7434" max="7434" width="11.3984375" style="108" customWidth="1"/>
    <col min="7435" max="7435" width="9" style="108"/>
    <col min="7436" max="7436" width="11.59765625" style="108" customWidth="1"/>
    <col min="7437" max="7682" width="9" style="108"/>
    <col min="7683" max="7683" width="4.69921875" style="108" customWidth="1"/>
    <col min="7684" max="7685" width="9" style="108"/>
    <col min="7686" max="7686" width="11.09765625" style="108" customWidth="1"/>
    <col min="7687" max="7687" width="9" style="108"/>
    <col min="7688" max="7688" width="11.5" style="108" customWidth="1"/>
    <col min="7689" max="7689" width="9" style="108"/>
    <col min="7690" max="7690" width="11.3984375" style="108" customWidth="1"/>
    <col min="7691" max="7691" width="9" style="108"/>
    <col min="7692" max="7692" width="11.59765625" style="108" customWidth="1"/>
    <col min="7693" max="7938" width="9" style="108"/>
    <col min="7939" max="7939" width="4.69921875" style="108" customWidth="1"/>
    <col min="7940" max="7941" width="9" style="108"/>
    <col min="7942" max="7942" width="11.09765625" style="108" customWidth="1"/>
    <col min="7943" max="7943" width="9" style="108"/>
    <col min="7944" max="7944" width="11.5" style="108" customWidth="1"/>
    <col min="7945" max="7945" width="9" style="108"/>
    <col min="7946" max="7946" width="11.3984375" style="108" customWidth="1"/>
    <col min="7947" max="7947" width="9" style="108"/>
    <col min="7948" max="7948" width="11.59765625" style="108" customWidth="1"/>
    <col min="7949" max="8194" width="9" style="108"/>
    <col min="8195" max="8195" width="4.69921875" style="108" customWidth="1"/>
    <col min="8196" max="8197" width="9" style="108"/>
    <col min="8198" max="8198" width="11.09765625" style="108" customWidth="1"/>
    <col min="8199" max="8199" width="9" style="108"/>
    <col min="8200" max="8200" width="11.5" style="108" customWidth="1"/>
    <col min="8201" max="8201" width="9" style="108"/>
    <col min="8202" max="8202" width="11.3984375" style="108" customWidth="1"/>
    <col min="8203" max="8203" width="9" style="108"/>
    <col min="8204" max="8204" width="11.59765625" style="108" customWidth="1"/>
    <col min="8205" max="8450" width="9" style="108"/>
    <col min="8451" max="8451" width="4.69921875" style="108" customWidth="1"/>
    <col min="8452" max="8453" width="9" style="108"/>
    <col min="8454" max="8454" width="11.09765625" style="108" customWidth="1"/>
    <col min="8455" max="8455" width="9" style="108"/>
    <col min="8456" max="8456" width="11.5" style="108" customWidth="1"/>
    <col min="8457" max="8457" width="9" style="108"/>
    <col min="8458" max="8458" width="11.3984375" style="108" customWidth="1"/>
    <col min="8459" max="8459" width="9" style="108"/>
    <col min="8460" max="8460" width="11.59765625" style="108" customWidth="1"/>
    <col min="8461" max="8706" width="9" style="108"/>
    <col min="8707" max="8707" width="4.69921875" style="108" customWidth="1"/>
    <col min="8708" max="8709" width="9" style="108"/>
    <col min="8710" max="8710" width="11.09765625" style="108" customWidth="1"/>
    <col min="8711" max="8711" width="9" style="108"/>
    <col min="8712" max="8712" width="11.5" style="108" customWidth="1"/>
    <col min="8713" max="8713" width="9" style="108"/>
    <col min="8714" max="8714" width="11.3984375" style="108" customWidth="1"/>
    <col min="8715" max="8715" width="9" style="108"/>
    <col min="8716" max="8716" width="11.59765625" style="108" customWidth="1"/>
    <col min="8717" max="8962" width="9" style="108"/>
    <col min="8963" max="8963" width="4.69921875" style="108" customWidth="1"/>
    <col min="8964" max="8965" width="9" style="108"/>
    <col min="8966" max="8966" width="11.09765625" style="108" customWidth="1"/>
    <col min="8967" max="8967" width="9" style="108"/>
    <col min="8968" max="8968" width="11.5" style="108" customWidth="1"/>
    <col min="8969" max="8969" width="9" style="108"/>
    <col min="8970" max="8970" width="11.3984375" style="108" customWidth="1"/>
    <col min="8971" max="8971" width="9" style="108"/>
    <col min="8972" max="8972" width="11.59765625" style="108" customWidth="1"/>
    <col min="8973" max="9218" width="9" style="108"/>
    <col min="9219" max="9219" width="4.69921875" style="108" customWidth="1"/>
    <col min="9220" max="9221" width="9" style="108"/>
    <col min="9222" max="9222" width="11.09765625" style="108" customWidth="1"/>
    <col min="9223" max="9223" width="9" style="108"/>
    <col min="9224" max="9224" width="11.5" style="108" customWidth="1"/>
    <col min="9225" max="9225" width="9" style="108"/>
    <col min="9226" max="9226" width="11.3984375" style="108" customWidth="1"/>
    <col min="9227" max="9227" width="9" style="108"/>
    <col min="9228" max="9228" width="11.59765625" style="108" customWidth="1"/>
    <col min="9229" max="9474" width="9" style="108"/>
    <col min="9475" max="9475" width="4.69921875" style="108" customWidth="1"/>
    <col min="9476" max="9477" width="9" style="108"/>
    <col min="9478" max="9478" width="11.09765625" style="108" customWidth="1"/>
    <col min="9479" max="9479" width="9" style="108"/>
    <col min="9480" max="9480" width="11.5" style="108" customWidth="1"/>
    <col min="9481" max="9481" width="9" style="108"/>
    <col min="9482" max="9482" width="11.3984375" style="108" customWidth="1"/>
    <col min="9483" max="9483" width="9" style="108"/>
    <col min="9484" max="9484" width="11.59765625" style="108" customWidth="1"/>
    <col min="9485" max="9730" width="9" style="108"/>
    <col min="9731" max="9731" width="4.69921875" style="108" customWidth="1"/>
    <col min="9732" max="9733" width="9" style="108"/>
    <col min="9734" max="9734" width="11.09765625" style="108" customWidth="1"/>
    <col min="9735" max="9735" width="9" style="108"/>
    <col min="9736" max="9736" width="11.5" style="108" customWidth="1"/>
    <col min="9737" max="9737" width="9" style="108"/>
    <col min="9738" max="9738" width="11.3984375" style="108" customWidth="1"/>
    <col min="9739" max="9739" width="9" style="108"/>
    <col min="9740" max="9740" width="11.59765625" style="108" customWidth="1"/>
    <col min="9741" max="9986" width="9" style="108"/>
    <col min="9987" max="9987" width="4.69921875" style="108" customWidth="1"/>
    <col min="9988" max="9989" width="9" style="108"/>
    <col min="9990" max="9990" width="11.09765625" style="108" customWidth="1"/>
    <col min="9991" max="9991" width="9" style="108"/>
    <col min="9992" max="9992" width="11.5" style="108" customWidth="1"/>
    <col min="9993" max="9993" width="9" style="108"/>
    <col min="9994" max="9994" width="11.3984375" style="108" customWidth="1"/>
    <col min="9995" max="9995" width="9" style="108"/>
    <col min="9996" max="9996" width="11.59765625" style="108" customWidth="1"/>
    <col min="9997" max="10242" width="9" style="108"/>
    <col min="10243" max="10243" width="4.69921875" style="108" customWidth="1"/>
    <col min="10244" max="10245" width="9" style="108"/>
    <col min="10246" max="10246" width="11.09765625" style="108" customWidth="1"/>
    <col min="10247" max="10247" width="9" style="108"/>
    <col min="10248" max="10248" width="11.5" style="108" customWidth="1"/>
    <col min="10249" max="10249" width="9" style="108"/>
    <col min="10250" max="10250" width="11.3984375" style="108" customWidth="1"/>
    <col min="10251" max="10251" width="9" style="108"/>
    <col min="10252" max="10252" width="11.59765625" style="108" customWidth="1"/>
    <col min="10253" max="10498" width="9" style="108"/>
    <col min="10499" max="10499" width="4.69921875" style="108" customWidth="1"/>
    <col min="10500" max="10501" width="9" style="108"/>
    <col min="10502" max="10502" width="11.09765625" style="108" customWidth="1"/>
    <col min="10503" max="10503" width="9" style="108"/>
    <col min="10504" max="10504" width="11.5" style="108" customWidth="1"/>
    <col min="10505" max="10505" width="9" style="108"/>
    <col min="10506" max="10506" width="11.3984375" style="108" customWidth="1"/>
    <col min="10507" max="10507" width="9" style="108"/>
    <col min="10508" max="10508" width="11.59765625" style="108" customWidth="1"/>
    <col min="10509" max="10754" width="9" style="108"/>
    <col min="10755" max="10755" width="4.69921875" style="108" customWidth="1"/>
    <col min="10756" max="10757" width="9" style="108"/>
    <col min="10758" max="10758" width="11.09765625" style="108" customWidth="1"/>
    <col min="10759" max="10759" width="9" style="108"/>
    <col min="10760" max="10760" width="11.5" style="108" customWidth="1"/>
    <col min="10761" max="10761" width="9" style="108"/>
    <col min="10762" max="10762" width="11.3984375" style="108" customWidth="1"/>
    <col min="10763" max="10763" width="9" style="108"/>
    <col min="10764" max="10764" width="11.59765625" style="108" customWidth="1"/>
    <col min="10765" max="11010" width="9" style="108"/>
    <col min="11011" max="11011" width="4.69921875" style="108" customWidth="1"/>
    <col min="11012" max="11013" width="9" style="108"/>
    <col min="11014" max="11014" width="11.09765625" style="108" customWidth="1"/>
    <col min="11015" max="11015" width="9" style="108"/>
    <col min="11016" max="11016" width="11.5" style="108" customWidth="1"/>
    <col min="11017" max="11017" width="9" style="108"/>
    <col min="11018" max="11018" width="11.3984375" style="108" customWidth="1"/>
    <col min="11019" max="11019" width="9" style="108"/>
    <col min="11020" max="11020" width="11.59765625" style="108" customWidth="1"/>
    <col min="11021" max="11266" width="9" style="108"/>
    <col min="11267" max="11267" width="4.69921875" style="108" customWidth="1"/>
    <col min="11268" max="11269" width="9" style="108"/>
    <col min="11270" max="11270" width="11.09765625" style="108" customWidth="1"/>
    <col min="11271" max="11271" width="9" style="108"/>
    <col min="11272" max="11272" width="11.5" style="108" customWidth="1"/>
    <col min="11273" max="11273" width="9" style="108"/>
    <col min="11274" max="11274" width="11.3984375" style="108" customWidth="1"/>
    <col min="11275" max="11275" width="9" style="108"/>
    <col min="11276" max="11276" width="11.59765625" style="108" customWidth="1"/>
    <col min="11277" max="11522" width="9" style="108"/>
    <col min="11523" max="11523" width="4.69921875" style="108" customWidth="1"/>
    <col min="11524" max="11525" width="9" style="108"/>
    <col min="11526" max="11526" width="11.09765625" style="108" customWidth="1"/>
    <col min="11527" max="11527" width="9" style="108"/>
    <col min="11528" max="11528" width="11.5" style="108" customWidth="1"/>
    <col min="11529" max="11529" width="9" style="108"/>
    <col min="11530" max="11530" width="11.3984375" style="108" customWidth="1"/>
    <col min="11531" max="11531" width="9" style="108"/>
    <col min="11532" max="11532" width="11.59765625" style="108" customWidth="1"/>
    <col min="11533" max="11778" width="9" style="108"/>
    <col min="11779" max="11779" width="4.69921875" style="108" customWidth="1"/>
    <col min="11780" max="11781" width="9" style="108"/>
    <col min="11782" max="11782" width="11.09765625" style="108" customWidth="1"/>
    <col min="11783" max="11783" width="9" style="108"/>
    <col min="11784" max="11784" width="11.5" style="108" customWidth="1"/>
    <col min="11785" max="11785" width="9" style="108"/>
    <col min="11786" max="11786" width="11.3984375" style="108" customWidth="1"/>
    <col min="11787" max="11787" width="9" style="108"/>
    <col min="11788" max="11788" width="11.59765625" style="108" customWidth="1"/>
    <col min="11789" max="12034" width="9" style="108"/>
    <col min="12035" max="12035" width="4.69921875" style="108" customWidth="1"/>
    <col min="12036" max="12037" width="9" style="108"/>
    <col min="12038" max="12038" width="11.09765625" style="108" customWidth="1"/>
    <col min="12039" max="12039" width="9" style="108"/>
    <col min="12040" max="12040" width="11.5" style="108" customWidth="1"/>
    <col min="12041" max="12041" width="9" style="108"/>
    <col min="12042" max="12042" width="11.3984375" style="108" customWidth="1"/>
    <col min="12043" max="12043" width="9" style="108"/>
    <col min="12044" max="12044" width="11.59765625" style="108" customWidth="1"/>
    <col min="12045" max="12290" width="9" style="108"/>
    <col min="12291" max="12291" width="4.69921875" style="108" customWidth="1"/>
    <col min="12292" max="12293" width="9" style="108"/>
    <col min="12294" max="12294" width="11.09765625" style="108" customWidth="1"/>
    <col min="12295" max="12295" width="9" style="108"/>
    <col min="12296" max="12296" width="11.5" style="108" customWidth="1"/>
    <col min="12297" max="12297" width="9" style="108"/>
    <col min="12298" max="12298" width="11.3984375" style="108" customWidth="1"/>
    <col min="12299" max="12299" width="9" style="108"/>
    <col min="12300" max="12300" width="11.59765625" style="108" customWidth="1"/>
    <col min="12301" max="12546" width="9" style="108"/>
    <col min="12547" max="12547" width="4.69921875" style="108" customWidth="1"/>
    <col min="12548" max="12549" width="9" style="108"/>
    <col min="12550" max="12550" width="11.09765625" style="108" customWidth="1"/>
    <col min="12551" max="12551" width="9" style="108"/>
    <col min="12552" max="12552" width="11.5" style="108" customWidth="1"/>
    <col min="12553" max="12553" width="9" style="108"/>
    <col min="12554" max="12554" width="11.3984375" style="108" customWidth="1"/>
    <col min="12555" max="12555" width="9" style="108"/>
    <col min="12556" max="12556" width="11.59765625" style="108" customWidth="1"/>
    <col min="12557" max="12802" width="9" style="108"/>
    <col min="12803" max="12803" width="4.69921875" style="108" customWidth="1"/>
    <col min="12804" max="12805" width="9" style="108"/>
    <col min="12806" max="12806" width="11.09765625" style="108" customWidth="1"/>
    <col min="12807" max="12807" width="9" style="108"/>
    <col min="12808" max="12808" width="11.5" style="108" customWidth="1"/>
    <col min="12809" max="12809" width="9" style="108"/>
    <col min="12810" max="12810" width="11.3984375" style="108" customWidth="1"/>
    <col min="12811" max="12811" width="9" style="108"/>
    <col min="12812" max="12812" width="11.59765625" style="108" customWidth="1"/>
    <col min="12813" max="13058" width="9" style="108"/>
    <col min="13059" max="13059" width="4.69921875" style="108" customWidth="1"/>
    <col min="13060" max="13061" width="9" style="108"/>
    <col min="13062" max="13062" width="11.09765625" style="108" customWidth="1"/>
    <col min="13063" max="13063" width="9" style="108"/>
    <col min="13064" max="13064" width="11.5" style="108" customWidth="1"/>
    <col min="13065" max="13065" width="9" style="108"/>
    <col min="13066" max="13066" width="11.3984375" style="108" customWidth="1"/>
    <col min="13067" max="13067" width="9" style="108"/>
    <col min="13068" max="13068" width="11.59765625" style="108" customWidth="1"/>
    <col min="13069" max="13314" width="9" style="108"/>
    <col min="13315" max="13315" width="4.69921875" style="108" customWidth="1"/>
    <col min="13316" max="13317" width="9" style="108"/>
    <col min="13318" max="13318" width="11.09765625" style="108" customWidth="1"/>
    <col min="13319" max="13319" width="9" style="108"/>
    <col min="13320" max="13320" width="11.5" style="108" customWidth="1"/>
    <col min="13321" max="13321" width="9" style="108"/>
    <col min="13322" max="13322" width="11.3984375" style="108" customWidth="1"/>
    <col min="13323" max="13323" width="9" style="108"/>
    <col min="13324" max="13324" width="11.59765625" style="108" customWidth="1"/>
    <col min="13325" max="13570" width="9" style="108"/>
    <col min="13571" max="13571" width="4.69921875" style="108" customWidth="1"/>
    <col min="13572" max="13573" width="9" style="108"/>
    <col min="13574" max="13574" width="11.09765625" style="108" customWidth="1"/>
    <col min="13575" max="13575" width="9" style="108"/>
    <col min="13576" max="13576" width="11.5" style="108" customWidth="1"/>
    <col min="13577" max="13577" width="9" style="108"/>
    <col min="13578" max="13578" width="11.3984375" style="108" customWidth="1"/>
    <col min="13579" max="13579" width="9" style="108"/>
    <col min="13580" max="13580" width="11.59765625" style="108" customWidth="1"/>
    <col min="13581" max="13826" width="9" style="108"/>
    <col min="13827" max="13827" width="4.69921875" style="108" customWidth="1"/>
    <col min="13828" max="13829" width="9" style="108"/>
    <col min="13830" max="13830" width="11.09765625" style="108" customWidth="1"/>
    <col min="13831" max="13831" width="9" style="108"/>
    <col min="13832" max="13832" width="11.5" style="108" customWidth="1"/>
    <col min="13833" max="13833" width="9" style="108"/>
    <col min="13834" max="13834" width="11.3984375" style="108" customWidth="1"/>
    <col min="13835" max="13835" width="9" style="108"/>
    <col min="13836" max="13836" width="11.59765625" style="108" customWidth="1"/>
    <col min="13837" max="14082" width="9" style="108"/>
    <col min="14083" max="14083" width="4.69921875" style="108" customWidth="1"/>
    <col min="14084" max="14085" width="9" style="108"/>
    <col min="14086" max="14086" width="11.09765625" style="108" customWidth="1"/>
    <col min="14087" max="14087" width="9" style="108"/>
    <col min="14088" max="14088" width="11.5" style="108" customWidth="1"/>
    <col min="14089" max="14089" width="9" style="108"/>
    <col min="14090" max="14090" width="11.3984375" style="108" customWidth="1"/>
    <col min="14091" max="14091" width="9" style="108"/>
    <col min="14092" max="14092" width="11.59765625" style="108" customWidth="1"/>
    <col min="14093" max="14338" width="9" style="108"/>
    <col min="14339" max="14339" width="4.69921875" style="108" customWidth="1"/>
    <col min="14340" max="14341" width="9" style="108"/>
    <col min="14342" max="14342" width="11.09765625" style="108" customWidth="1"/>
    <col min="14343" max="14343" width="9" style="108"/>
    <col min="14344" max="14344" width="11.5" style="108" customWidth="1"/>
    <col min="14345" max="14345" width="9" style="108"/>
    <col min="14346" max="14346" width="11.3984375" style="108" customWidth="1"/>
    <col min="14347" max="14347" width="9" style="108"/>
    <col min="14348" max="14348" width="11.59765625" style="108" customWidth="1"/>
    <col min="14349" max="14594" width="9" style="108"/>
    <col min="14595" max="14595" width="4.69921875" style="108" customWidth="1"/>
    <col min="14596" max="14597" width="9" style="108"/>
    <col min="14598" max="14598" width="11.09765625" style="108" customWidth="1"/>
    <col min="14599" max="14599" width="9" style="108"/>
    <col min="14600" max="14600" width="11.5" style="108" customWidth="1"/>
    <col min="14601" max="14601" width="9" style="108"/>
    <col min="14602" max="14602" width="11.3984375" style="108" customWidth="1"/>
    <col min="14603" max="14603" width="9" style="108"/>
    <col min="14604" max="14604" width="11.59765625" style="108" customWidth="1"/>
    <col min="14605" max="14850" width="9" style="108"/>
    <col min="14851" max="14851" width="4.69921875" style="108" customWidth="1"/>
    <col min="14852" max="14853" width="9" style="108"/>
    <col min="14854" max="14854" width="11.09765625" style="108" customWidth="1"/>
    <col min="14855" max="14855" width="9" style="108"/>
    <col min="14856" max="14856" width="11.5" style="108" customWidth="1"/>
    <col min="14857" max="14857" width="9" style="108"/>
    <col min="14858" max="14858" width="11.3984375" style="108" customWidth="1"/>
    <col min="14859" max="14859" width="9" style="108"/>
    <col min="14860" max="14860" width="11.59765625" style="108" customWidth="1"/>
    <col min="14861" max="15106" width="9" style="108"/>
    <col min="15107" max="15107" width="4.69921875" style="108" customWidth="1"/>
    <col min="15108" max="15109" width="9" style="108"/>
    <col min="15110" max="15110" width="11.09765625" style="108" customWidth="1"/>
    <col min="15111" max="15111" width="9" style="108"/>
    <col min="15112" max="15112" width="11.5" style="108" customWidth="1"/>
    <col min="15113" max="15113" width="9" style="108"/>
    <col min="15114" max="15114" width="11.3984375" style="108" customWidth="1"/>
    <col min="15115" max="15115" width="9" style="108"/>
    <col min="15116" max="15116" width="11.59765625" style="108" customWidth="1"/>
    <col min="15117" max="15362" width="9" style="108"/>
    <col min="15363" max="15363" width="4.69921875" style="108" customWidth="1"/>
    <col min="15364" max="15365" width="9" style="108"/>
    <col min="15366" max="15366" width="11.09765625" style="108" customWidth="1"/>
    <col min="15367" max="15367" width="9" style="108"/>
    <col min="15368" max="15368" width="11.5" style="108" customWidth="1"/>
    <col min="15369" max="15369" width="9" style="108"/>
    <col min="15370" max="15370" width="11.3984375" style="108" customWidth="1"/>
    <col min="15371" max="15371" width="9" style="108"/>
    <col min="15372" max="15372" width="11.59765625" style="108" customWidth="1"/>
    <col min="15373" max="15618" width="9" style="108"/>
    <col min="15619" max="15619" width="4.69921875" style="108" customWidth="1"/>
    <col min="15620" max="15621" width="9" style="108"/>
    <col min="15622" max="15622" width="11.09765625" style="108" customWidth="1"/>
    <col min="15623" max="15623" width="9" style="108"/>
    <col min="15624" max="15624" width="11.5" style="108" customWidth="1"/>
    <col min="15625" max="15625" width="9" style="108"/>
    <col min="15626" max="15626" width="11.3984375" style="108" customWidth="1"/>
    <col min="15627" max="15627" width="9" style="108"/>
    <col min="15628" max="15628" width="11.59765625" style="108" customWidth="1"/>
    <col min="15629" max="15874" width="9" style="108"/>
    <col min="15875" max="15875" width="4.69921875" style="108" customWidth="1"/>
    <col min="15876" max="15877" width="9" style="108"/>
    <col min="15878" max="15878" width="11.09765625" style="108" customWidth="1"/>
    <col min="15879" max="15879" width="9" style="108"/>
    <col min="15880" max="15880" width="11.5" style="108" customWidth="1"/>
    <col min="15881" max="15881" width="9" style="108"/>
    <col min="15882" max="15882" width="11.3984375" style="108" customWidth="1"/>
    <col min="15883" max="15883" width="9" style="108"/>
    <col min="15884" max="15884" width="11.59765625" style="108" customWidth="1"/>
    <col min="15885" max="16130" width="9" style="108"/>
    <col min="16131" max="16131" width="4.69921875" style="108" customWidth="1"/>
    <col min="16132" max="16133" width="9" style="108"/>
    <col min="16134" max="16134" width="11.09765625" style="108" customWidth="1"/>
    <col min="16135" max="16135" width="9" style="108"/>
    <col min="16136" max="16136" width="11.5" style="108" customWidth="1"/>
    <col min="16137" max="16137" width="9" style="108"/>
    <col min="16138" max="16138" width="11.3984375" style="108" customWidth="1"/>
    <col min="16139" max="16139" width="9" style="108"/>
    <col min="16140" max="16140" width="11.59765625" style="108" customWidth="1"/>
    <col min="16141" max="16384" width="9" style="108"/>
  </cols>
  <sheetData>
    <row r="1" spans="1:16" s="428" customFormat="1" ht="19.95" customHeight="1">
      <c r="A1" s="671" t="s">
        <v>810</v>
      </c>
      <c r="B1" s="671"/>
      <c r="C1" s="671"/>
      <c r="D1" s="671"/>
      <c r="E1" s="671"/>
      <c r="F1" s="671"/>
      <c r="G1" s="671"/>
      <c r="H1" s="671"/>
      <c r="I1" s="671"/>
      <c r="J1" s="671"/>
      <c r="K1" s="671"/>
      <c r="L1" s="671"/>
      <c r="M1" s="671"/>
      <c r="N1" s="417"/>
      <c r="O1" s="417"/>
      <c r="P1" s="417"/>
    </row>
    <row r="2" spans="1:16" s="430" customFormat="1" ht="19.95" customHeight="1">
      <c r="A2" s="672" t="s">
        <v>818</v>
      </c>
      <c r="B2" s="672"/>
      <c r="C2" s="672"/>
      <c r="D2" s="672"/>
      <c r="E2" s="672"/>
      <c r="F2" s="672"/>
      <c r="G2" s="672"/>
      <c r="H2" s="672"/>
      <c r="I2" s="672"/>
      <c r="J2" s="672"/>
      <c r="K2" s="672"/>
      <c r="L2" s="672"/>
      <c r="M2" s="672"/>
      <c r="N2" s="429"/>
      <c r="O2" s="429"/>
      <c r="P2" s="429"/>
    </row>
    <row r="3" spans="1:16" s="106" customFormat="1" ht="19.95" customHeight="1">
      <c r="A3" s="2" t="str">
        <f>底稿目录!A2</f>
        <v>被审计单位：</v>
      </c>
      <c r="B3" s="2"/>
      <c r="C3" s="2"/>
      <c r="D3" s="2" t="str">
        <f>底稿目录!A4</f>
        <v>编制人：</v>
      </c>
      <c r="G3" s="75"/>
      <c r="H3" s="75"/>
      <c r="I3" s="2" t="str">
        <f>底稿目录!A6</f>
        <v>编制日期：</v>
      </c>
      <c r="J3" s="75"/>
      <c r="K3" s="75"/>
      <c r="L3" s="440" t="s">
        <v>832</v>
      </c>
      <c r="M3" s="256" t="s">
        <v>138</v>
      </c>
      <c r="N3" s="2"/>
      <c r="P3" s="2"/>
    </row>
    <row r="4" spans="1:16" s="107" customFormat="1" ht="19.95" customHeight="1">
      <c r="A4" s="2" t="str">
        <f>底稿目录!A3</f>
        <v>截止日：202X年12月31日</v>
      </c>
      <c r="B4" s="2"/>
      <c r="C4" s="2"/>
      <c r="D4" s="2" t="str">
        <f>底稿目录!A5</f>
        <v>复核人：</v>
      </c>
      <c r="G4" s="75"/>
      <c r="H4" s="75"/>
      <c r="I4" s="2" t="str">
        <f>底稿目录!A7</f>
        <v>复核日期：</v>
      </c>
      <c r="J4" s="75"/>
      <c r="K4" s="75"/>
      <c r="L4" s="440" t="s">
        <v>833</v>
      </c>
      <c r="M4" s="2"/>
      <c r="N4" s="2"/>
      <c r="P4" s="2"/>
    </row>
    <row r="5" spans="1:16" s="516" customFormat="1" ht="19.95" customHeight="1">
      <c r="A5" s="496" t="s">
        <v>352</v>
      </c>
      <c r="B5" s="496"/>
      <c r="C5" s="513"/>
      <c r="D5" s="513"/>
      <c r="E5" s="514"/>
      <c r="F5" s="513"/>
      <c r="G5" s="513"/>
      <c r="H5" s="513"/>
      <c r="I5" s="513"/>
      <c r="J5" s="513"/>
      <c r="K5" s="513"/>
      <c r="L5" s="513"/>
      <c r="M5" s="515"/>
    </row>
    <row r="6" spans="1:16" ht="19.95" customHeight="1">
      <c r="A6" s="49" t="s">
        <v>283</v>
      </c>
    </row>
    <row r="7" spans="1:16" s="481" customFormat="1" ht="29.4" customHeight="1">
      <c r="A7" s="455" t="s">
        <v>919</v>
      </c>
      <c r="B7" s="455" t="s">
        <v>920</v>
      </c>
      <c r="C7" s="455" t="s">
        <v>921</v>
      </c>
      <c r="D7" s="455" t="s">
        <v>922</v>
      </c>
      <c r="E7" s="455" t="s">
        <v>923</v>
      </c>
      <c r="F7" s="455" t="s">
        <v>924</v>
      </c>
      <c r="G7" s="455" t="s">
        <v>925</v>
      </c>
      <c r="H7" s="455" t="s">
        <v>926</v>
      </c>
      <c r="I7" s="455" t="s">
        <v>927</v>
      </c>
      <c r="J7" s="455" t="s">
        <v>928</v>
      </c>
      <c r="K7" s="455" t="s">
        <v>929</v>
      </c>
      <c r="L7" s="455" t="s">
        <v>930</v>
      </c>
      <c r="M7" s="455" t="s">
        <v>931</v>
      </c>
    </row>
    <row r="8" spans="1:16" ht="19.95" customHeight="1">
      <c r="A8" s="374">
        <v>1</v>
      </c>
      <c r="B8" s="81" t="s">
        <v>349</v>
      </c>
      <c r="C8" s="35"/>
      <c r="D8" s="375"/>
      <c r="E8" s="187" t="e">
        <f>C8/D8</f>
        <v>#DIV/0!</v>
      </c>
      <c r="F8" s="35"/>
      <c r="G8" s="35"/>
      <c r="H8" s="35"/>
      <c r="I8" s="125"/>
      <c r="J8" s="126"/>
      <c r="K8" s="126"/>
      <c r="L8" s="188">
        <f>J8-K8</f>
        <v>0</v>
      </c>
      <c r="M8" s="127"/>
    </row>
    <row r="9" spans="1:16" ht="19.95" customHeight="1">
      <c r="A9" s="374">
        <v>2</v>
      </c>
      <c r="B9" s="81" t="s">
        <v>350</v>
      </c>
      <c r="C9" s="35"/>
      <c r="D9" s="375"/>
      <c r="E9" s="187" t="e">
        <f t="shared" ref="E9:E11" si="0">C9/D9</f>
        <v>#DIV/0!</v>
      </c>
      <c r="F9" s="35"/>
      <c r="G9" s="35"/>
      <c r="H9" s="35"/>
      <c r="I9" s="125"/>
      <c r="J9" s="126"/>
      <c r="K9" s="126"/>
      <c r="L9" s="188">
        <f t="shared" ref="L9:L11" si="1">J9-K9</f>
        <v>0</v>
      </c>
      <c r="M9" s="127"/>
    </row>
    <row r="10" spans="1:16" ht="19.95" customHeight="1">
      <c r="A10" s="374">
        <v>3</v>
      </c>
      <c r="B10" s="81" t="s">
        <v>351</v>
      </c>
      <c r="C10" s="35"/>
      <c r="D10" s="375"/>
      <c r="E10" s="187" t="e">
        <f t="shared" si="0"/>
        <v>#DIV/0!</v>
      </c>
      <c r="F10" s="35"/>
      <c r="G10" s="35"/>
      <c r="H10" s="35"/>
      <c r="I10" s="125"/>
      <c r="J10" s="126"/>
      <c r="K10" s="126"/>
      <c r="L10" s="188">
        <f t="shared" si="1"/>
        <v>0</v>
      </c>
      <c r="M10" s="127"/>
    </row>
    <row r="11" spans="1:16" ht="19.95" customHeight="1">
      <c r="A11" s="374">
        <v>4</v>
      </c>
      <c r="B11" s="81" t="s">
        <v>7</v>
      </c>
      <c r="C11" s="35"/>
      <c r="D11" s="375"/>
      <c r="E11" s="187" t="e">
        <f t="shared" si="0"/>
        <v>#DIV/0!</v>
      </c>
      <c r="F11" s="35"/>
      <c r="G11" s="35"/>
      <c r="H11" s="35"/>
      <c r="I11" s="125"/>
      <c r="J11" s="126"/>
      <c r="K11" s="126"/>
      <c r="L11" s="188">
        <f t="shared" si="1"/>
        <v>0</v>
      </c>
      <c r="M11" s="127"/>
    </row>
    <row r="12" spans="1:16" ht="19.95" customHeight="1">
      <c r="A12" s="71" t="s">
        <v>281</v>
      </c>
      <c r="B12" s="71"/>
      <c r="C12" s="284"/>
      <c r="D12" s="284"/>
      <c r="E12" s="284"/>
      <c r="F12" s="284"/>
      <c r="G12" s="284"/>
      <c r="H12" s="284"/>
      <c r="I12" s="284"/>
      <c r="J12" s="284"/>
      <c r="K12" s="284"/>
      <c r="L12" s="284"/>
      <c r="M12" s="284"/>
    </row>
    <row r="13" spans="1:16" ht="19.95" customHeight="1">
      <c r="A13" s="2"/>
      <c r="B13" s="2"/>
    </row>
    <row r="14" spans="1:16" ht="19.95" customHeight="1">
      <c r="A14" s="2"/>
      <c r="B14" s="2"/>
    </row>
    <row r="15" spans="1:16" ht="19.95" customHeight="1">
      <c r="A15" s="2"/>
      <c r="B15" s="2"/>
    </row>
    <row r="16" spans="1:16" ht="19.95" customHeight="1">
      <c r="A16" s="17" t="s">
        <v>353</v>
      </c>
      <c r="B16" s="17"/>
    </row>
    <row r="19" spans="1:1" ht="19.95" customHeight="1">
      <c r="A19" s="285" t="s">
        <v>880</v>
      </c>
    </row>
    <row r="20" spans="1:1" ht="19.95" customHeight="1">
      <c r="A20" s="286" t="s">
        <v>354</v>
      </c>
    </row>
    <row r="21" spans="1:1" ht="19.95" customHeight="1">
      <c r="A21" s="287" t="s">
        <v>355</v>
      </c>
    </row>
    <row r="22" spans="1:1" ht="19.95" customHeight="1">
      <c r="A22" s="287" t="s">
        <v>356</v>
      </c>
    </row>
    <row r="23" spans="1:1" ht="19.95" customHeight="1">
      <c r="A23" s="287" t="s">
        <v>357</v>
      </c>
    </row>
  </sheetData>
  <mergeCells count="2">
    <mergeCell ref="A1:M1"/>
    <mergeCell ref="A2:M2"/>
  </mergeCells>
  <phoneticPr fontId="10" type="noConversion"/>
  <hyperlinks>
    <hyperlink ref="M3" location="底稿目录!A1" display="H2-1"/>
  </hyperlinks>
  <printOptions horizontalCentered="1"/>
  <pageMargins left="0.43307086614173229" right="0.39370078740157483" top="0.39370078740157483" bottom="0.39370078740157483" header="0.31496062992125984" footer="0.31496062992125984"/>
  <pageSetup paperSize="9" scale="80" orientation="landscape" blackAndWhite="1"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X57"/>
  <sheetViews>
    <sheetView view="pageBreakPreview" zoomScaleNormal="115" zoomScaleSheetLayoutView="100" workbookViewId="0">
      <selection sqref="A1:W1"/>
    </sheetView>
  </sheetViews>
  <sheetFormatPr defaultColWidth="9" defaultRowHeight="19.95" customHeight="1"/>
  <cols>
    <col min="1" max="1" width="7.8984375" style="2" customWidth="1"/>
    <col min="2" max="2" width="16.8984375" style="2" customWidth="1"/>
    <col min="3" max="3" width="9.09765625" style="2" customWidth="1"/>
    <col min="4" max="4" width="10.5" style="2" customWidth="1"/>
    <col min="5" max="5" width="11" style="2" customWidth="1"/>
    <col min="6" max="6" width="12.5" style="2" customWidth="1"/>
    <col min="7" max="7" width="12.8984375" style="2" customWidth="1"/>
    <col min="8" max="8" width="11.3984375" style="2" customWidth="1"/>
    <col min="9" max="9" width="7.796875" style="2" customWidth="1"/>
    <col min="10" max="10" width="11.8984375" style="2" customWidth="1"/>
    <col min="11" max="11" width="8.19921875" style="2" customWidth="1"/>
    <col min="12" max="12" width="9.3984375" style="2" customWidth="1"/>
    <col min="13" max="13" width="9.5" style="2" customWidth="1"/>
    <col min="14" max="14" width="9.3984375" style="2" customWidth="1"/>
    <col min="15" max="17" width="5.796875" style="2" customWidth="1"/>
    <col min="18" max="19" width="6.296875" style="2" customWidth="1"/>
    <col min="20" max="20" width="6.19921875" style="2" customWidth="1"/>
    <col min="21" max="21" width="6.296875" style="2" customWidth="1"/>
    <col min="22" max="22" width="8.5" style="2" customWidth="1"/>
    <col min="23" max="16384" width="9" style="2"/>
  </cols>
  <sheetData>
    <row r="1" spans="1:24" s="431" customFormat="1" ht="19.95" customHeight="1">
      <c r="A1" s="682" t="s">
        <v>810</v>
      </c>
      <c r="B1" s="682"/>
      <c r="C1" s="682"/>
      <c r="D1" s="682"/>
      <c r="E1" s="682"/>
      <c r="F1" s="682"/>
      <c r="G1" s="682"/>
      <c r="H1" s="682"/>
      <c r="I1" s="682"/>
      <c r="J1" s="682"/>
      <c r="K1" s="682"/>
      <c r="L1" s="682"/>
      <c r="M1" s="682"/>
      <c r="N1" s="682"/>
      <c r="O1" s="682"/>
      <c r="P1" s="682"/>
      <c r="Q1" s="682"/>
      <c r="R1" s="682"/>
      <c r="S1" s="682"/>
      <c r="T1" s="682"/>
      <c r="U1" s="682"/>
      <c r="V1" s="682"/>
      <c r="W1" s="682"/>
    </row>
    <row r="2" spans="1:24" s="432" customFormat="1" ht="19.95" customHeight="1">
      <c r="A2" s="683" t="s">
        <v>819</v>
      </c>
      <c r="B2" s="683"/>
      <c r="C2" s="683"/>
      <c r="D2" s="683"/>
      <c r="E2" s="683"/>
      <c r="F2" s="683"/>
      <c r="G2" s="683"/>
      <c r="H2" s="683"/>
      <c r="I2" s="683"/>
      <c r="J2" s="683"/>
      <c r="K2" s="683"/>
      <c r="L2" s="683"/>
      <c r="M2" s="683"/>
      <c r="N2" s="683"/>
      <c r="O2" s="683"/>
      <c r="P2" s="683"/>
      <c r="Q2" s="683"/>
      <c r="R2" s="683"/>
      <c r="S2" s="683"/>
      <c r="T2" s="683"/>
      <c r="U2" s="683"/>
      <c r="V2" s="683"/>
      <c r="W2" s="683"/>
    </row>
    <row r="3" spans="1:24" ht="19.95" customHeight="1">
      <c r="A3" s="2" t="str">
        <f>底稿目录!A2</f>
        <v>被审计单位：</v>
      </c>
      <c r="D3" s="2" t="str">
        <f>底稿目录!A4</f>
        <v>编制人：</v>
      </c>
      <c r="H3" s="2" t="str">
        <f>底稿目录!A6</f>
        <v>编制日期：</v>
      </c>
      <c r="V3" s="440" t="s">
        <v>832</v>
      </c>
      <c r="W3" s="256" t="s">
        <v>139</v>
      </c>
    </row>
    <row r="4" spans="1:24" ht="19.8" customHeight="1">
      <c r="A4" s="2" t="str">
        <f>底稿目录!A3</f>
        <v>截止日：202X年12月31日</v>
      </c>
      <c r="D4" s="2" t="str">
        <f>底稿目录!A5</f>
        <v>复核人：</v>
      </c>
      <c r="H4" s="2" t="str">
        <f>底稿目录!A7</f>
        <v>复核日期：</v>
      </c>
      <c r="V4" s="440" t="s">
        <v>833</v>
      </c>
    </row>
    <row r="5" spans="1:24" s="505" customFormat="1" ht="31.2" customHeight="1">
      <c r="A5" s="680" t="s">
        <v>358</v>
      </c>
      <c r="B5" s="680"/>
      <c r="C5" s="680"/>
      <c r="D5" s="680"/>
      <c r="E5" s="680"/>
      <c r="F5" s="680"/>
      <c r="G5" s="680"/>
      <c r="H5" s="680"/>
      <c r="I5" s="680"/>
      <c r="J5" s="680"/>
      <c r="K5" s="680"/>
      <c r="L5" s="680"/>
      <c r="M5" s="680"/>
      <c r="N5" s="680"/>
      <c r="O5" s="680"/>
      <c r="P5" s="680"/>
      <c r="Q5" s="680"/>
      <c r="R5" s="680"/>
      <c r="S5" s="680"/>
      <c r="T5" s="680"/>
      <c r="U5" s="680"/>
      <c r="V5" s="680"/>
      <c r="W5" s="680"/>
    </row>
    <row r="6" spans="1:24" s="505" customFormat="1" ht="19.95" customHeight="1">
      <c r="A6" s="517" t="s">
        <v>359</v>
      </c>
      <c r="B6" s="517"/>
      <c r="C6" s="518"/>
      <c r="D6" s="518"/>
      <c r="E6" s="518"/>
      <c r="F6" s="518"/>
      <c r="G6" s="518"/>
      <c r="H6" s="518"/>
      <c r="I6" s="518"/>
      <c r="J6" s="518"/>
      <c r="K6" s="518"/>
      <c r="L6" s="518"/>
      <c r="M6" s="518"/>
      <c r="N6" s="518"/>
      <c r="O6" s="518"/>
      <c r="P6" s="518"/>
      <c r="Q6" s="518"/>
      <c r="R6" s="519"/>
    </row>
    <row r="7" spans="1:24" s="498" customFormat="1" ht="19.95" customHeight="1">
      <c r="A7" s="520" t="s">
        <v>360</v>
      </c>
      <c r="B7" s="521" t="s">
        <v>991</v>
      </c>
      <c r="C7" s="518"/>
      <c r="D7" s="518"/>
      <c r="E7" s="518"/>
      <c r="F7" s="520" t="s">
        <v>361</v>
      </c>
      <c r="G7" s="521" t="s">
        <v>362</v>
      </c>
      <c r="H7" s="518"/>
      <c r="K7" s="518"/>
      <c r="L7" s="518"/>
      <c r="M7" s="518"/>
      <c r="N7" s="518"/>
      <c r="O7" s="518"/>
      <c r="P7" s="518"/>
      <c r="Q7" s="518"/>
    </row>
    <row r="8" spans="1:24" s="498" customFormat="1" ht="19.95" customHeight="1">
      <c r="A8" s="520" t="s">
        <v>363</v>
      </c>
      <c r="B8" s="521" t="s">
        <v>364</v>
      </c>
      <c r="C8" s="518"/>
      <c r="D8" s="518"/>
      <c r="E8" s="518"/>
      <c r="F8" s="520" t="s">
        <v>365</v>
      </c>
      <c r="G8" s="521" t="s">
        <v>366</v>
      </c>
      <c r="H8" s="521" t="s">
        <v>367</v>
      </c>
      <c r="O8" s="518"/>
      <c r="P8" s="521"/>
      <c r="Q8" s="521"/>
    </row>
    <row r="9" spans="1:24" s="498" customFormat="1" ht="19.95" customHeight="1">
      <c r="A9" s="520" t="s">
        <v>368</v>
      </c>
      <c r="B9" s="577" t="s">
        <v>1011</v>
      </c>
      <c r="C9" s="518"/>
      <c r="D9" s="518"/>
      <c r="E9" s="518"/>
      <c r="F9" s="520" t="s">
        <v>369</v>
      </c>
      <c r="G9" s="521" t="s">
        <v>370</v>
      </c>
      <c r="H9" s="518"/>
      <c r="K9" s="518"/>
      <c r="L9" s="518"/>
      <c r="M9" s="518"/>
      <c r="N9" s="518"/>
      <c r="O9" s="518"/>
      <c r="P9" s="520"/>
      <c r="Q9" s="521"/>
    </row>
    <row r="10" spans="1:24" s="29" customFormat="1" ht="19.95" customHeight="1">
      <c r="A10" s="44" t="s">
        <v>371</v>
      </c>
      <c r="B10" s="30"/>
      <c r="C10" s="30"/>
      <c r="D10" s="30"/>
      <c r="E10" s="30"/>
      <c r="F10" s="31"/>
      <c r="G10" s="32"/>
    </row>
    <row r="11" spans="1:24" s="29" customFormat="1" ht="19.95" customHeight="1">
      <c r="A11" s="450" t="s">
        <v>873</v>
      </c>
      <c r="B11" s="30"/>
      <c r="C11" s="30"/>
      <c r="D11" s="30"/>
      <c r="E11" s="30"/>
      <c r="F11" s="31"/>
      <c r="G11" s="32"/>
    </row>
    <row r="12" spans="1:24" s="524" customFormat="1" ht="19.95" customHeight="1">
      <c r="A12" s="677" t="s">
        <v>938</v>
      </c>
      <c r="B12" s="679" t="s">
        <v>939</v>
      </c>
      <c r="C12" s="677" t="s">
        <v>933</v>
      </c>
      <c r="D12" s="677" t="s">
        <v>934</v>
      </c>
      <c r="E12" s="677" t="s">
        <v>932</v>
      </c>
      <c r="F12" s="679" t="s">
        <v>940</v>
      </c>
      <c r="G12" s="522" t="s">
        <v>941</v>
      </c>
      <c r="H12" s="523"/>
      <c r="I12" s="681" t="s">
        <v>942</v>
      </c>
      <c r="J12" s="681"/>
      <c r="K12" s="681"/>
      <c r="L12" s="684" t="s">
        <v>855</v>
      </c>
      <c r="M12" s="685"/>
      <c r="N12" s="687" t="s">
        <v>943</v>
      </c>
      <c r="O12" s="687"/>
      <c r="P12" s="687"/>
      <c r="Q12" s="687"/>
      <c r="R12" s="686" t="s">
        <v>944</v>
      </c>
      <c r="S12" s="686"/>
      <c r="T12" s="686"/>
      <c r="U12" s="681" t="s">
        <v>129</v>
      </c>
      <c r="V12" s="681" t="s">
        <v>945</v>
      </c>
      <c r="W12" s="681" t="s">
        <v>946</v>
      </c>
    </row>
    <row r="13" spans="1:24" s="524" customFormat="1" ht="24">
      <c r="A13" s="678"/>
      <c r="B13" s="679"/>
      <c r="C13" s="678"/>
      <c r="D13" s="678"/>
      <c r="E13" s="678"/>
      <c r="F13" s="679"/>
      <c r="G13" s="525" t="s">
        <v>947</v>
      </c>
      <c r="H13" s="526" t="s">
        <v>948</v>
      </c>
      <c r="I13" s="527" t="s">
        <v>949</v>
      </c>
      <c r="J13" s="527" t="s">
        <v>950</v>
      </c>
      <c r="K13" s="527" t="s">
        <v>948</v>
      </c>
      <c r="L13" s="529" t="s">
        <v>949</v>
      </c>
      <c r="M13" s="529" t="s">
        <v>856</v>
      </c>
      <c r="N13" s="529" t="s">
        <v>949</v>
      </c>
      <c r="O13" s="530" t="s">
        <v>951</v>
      </c>
      <c r="P13" s="530" t="s">
        <v>936</v>
      </c>
      <c r="Q13" s="530" t="s">
        <v>952</v>
      </c>
      <c r="R13" s="529" t="s">
        <v>937</v>
      </c>
      <c r="S13" s="529" t="s">
        <v>950</v>
      </c>
      <c r="T13" s="529" t="s">
        <v>948</v>
      </c>
      <c r="U13" s="681"/>
      <c r="V13" s="681"/>
      <c r="W13" s="681"/>
      <c r="X13" s="528" t="s">
        <v>953</v>
      </c>
    </row>
    <row r="14" spans="1:24" ht="19.95" customHeight="1">
      <c r="A14" s="34">
        <v>1</v>
      </c>
      <c r="B14" s="33"/>
      <c r="C14" s="363"/>
      <c r="D14" s="377"/>
      <c r="E14" s="33"/>
      <c r="F14" s="33"/>
      <c r="G14" s="33"/>
      <c r="H14" s="226"/>
      <c r="I14" s="376"/>
      <c r="J14" s="33"/>
      <c r="K14" s="226"/>
      <c r="L14" s="376"/>
      <c r="M14" s="226"/>
      <c r="N14" s="376"/>
      <c r="O14" s="33"/>
      <c r="P14" s="33"/>
      <c r="Q14" s="226"/>
      <c r="R14" s="376"/>
      <c r="S14" s="33"/>
      <c r="T14" s="226"/>
      <c r="U14" s="34"/>
      <c r="V14" s="365"/>
      <c r="W14" s="34"/>
    </row>
    <row r="15" spans="1:24" ht="19.95" customHeight="1">
      <c r="A15" s="34">
        <v>2</v>
      </c>
      <c r="B15" s="33"/>
      <c r="C15" s="363"/>
      <c r="D15" s="377"/>
      <c r="E15" s="33"/>
      <c r="F15" s="33"/>
      <c r="G15" s="33"/>
      <c r="H15" s="226"/>
      <c r="I15" s="376"/>
      <c r="J15" s="33"/>
      <c r="K15" s="226"/>
      <c r="L15" s="376"/>
      <c r="M15" s="226"/>
      <c r="N15" s="376"/>
      <c r="O15" s="33"/>
      <c r="P15" s="33"/>
      <c r="Q15" s="226"/>
      <c r="R15" s="376"/>
      <c r="S15" s="33"/>
      <c r="T15" s="226"/>
      <c r="U15" s="34"/>
      <c r="V15" s="365"/>
      <c r="W15" s="34"/>
    </row>
    <row r="16" spans="1:24" ht="19.95" customHeight="1">
      <c r="A16" s="34">
        <v>3</v>
      </c>
      <c r="B16" s="33"/>
      <c r="C16" s="363"/>
      <c r="D16" s="377"/>
      <c r="E16" s="33"/>
      <c r="F16" s="33"/>
      <c r="G16" s="33"/>
      <c r="H16" s="226"/>
      <c r="I16" s="376"/>
      <c r="J16" s="33"/>
      <c r="K16" s="226"/>
      <c r="L16" s="376"/>
      <c r="M16" s="226"/>
      <c r="N16" s="376"/>
      <c r="O16" s="33"/>
      <c r="P16" s="33"/>
      <c r="Q16" s="226"/>
      <c r="R16" s="376"/>
      <c r="S16" s="33"/>
      <c r="T16" s="226"/>
      <c r="U16" s="34"/>
      <c r="V16" s="365"/>
      <c r="W16" s="34"/>
    </row>
    <row r="17" spans="1:23" ht="19.95" customHeight="1">
      <c r="A17" s="34">
        <v>4</v>
      </c>
      <c r="B17" s="33"/>
      <c r="C17" s="363"/>
      <c r="D17" s="377"/>
      <c r="E17" s="33"/>
      <c r="F17" s="33"/>
      <c r="G17" s="33"/>
      <c r="H17" s="226"/>
      <c r="I17" s="376"/>
      <c r="J17" s="33"/>
      <c r="K17" s="226"/>
      <c r="L17" s="376"/>
      <c r="M17" s="226"/>
      <c r="N17" s="376"/>
      <c r="O17" s="33"/>
      <c r="P17" s="33"/>
      <c r="Q17" s="226"/>
      <c r="R17" s="376"/>
      <c r="S17" s="33"/>
      <c r="T17" s="226"/>
      <c r="U17" s="34"/>
      <c r="V17" s="365"/>
      <c r="W17" s="34"/>
    </row>
    <row r="18" spans="1:23" ht="19.95" customHeight="1">
      <c r="A18" s="34">
        <v>5</v>
      </c>
      <c r="B18" s="33"/>
      <c r="C18" s="363"/>
      <c r="D18" s="377"/>
      <c r="E18" s="33"/>
      <c r="F18" s="33"/>
      <c r="G18" s="33"/>
      <c r="H18" s="226"/>
      <c r="I18" s="376"/>
      <c r="J18" s="33"/>
      <c r="K18" s="226"/>
      <c r="L18" s="376"/>
      <c r="M18" s="226"/>
      <c r="N18" s="376"/>
      <c r="O18" s="33"/>
      <c r="P18" s="33"/>
      <c r="Q18" s="226"/>
      <c r="R18" s="376"/>
      <c r="S18" s="33"/>
      <c r="T18" s="226"/>
      <c r="U18" s="34"/>
      <c r="V18" s="365"/>
      <c r="W18" s="34"/>
    </row>
    <row r="19" spans="1:23" ht="19.95" customHeight="1">
      <c r="A19" s="34">
        <v>6</v>
      </c>
      <c r="B19" s="33"/>
      <c r="C19" s="363"/>
      <c r="D19" s="377"/>
      <c r="E19" s="33"/>
      <c r="F19" s="33"/>
      <c r="G19" s="33"/>
      <c r="H19" s="226"/>
      <c r="I19" s="376"/>
      <c r="J19" s="33"/>
      <c r="K19" s="226"/>
      <c r="L19" s="376"/>
      <c r="M19" s="226"/>
      <c r="N19" s="376"/>
      <c r="O19" s="33"/>
      <c r="P19" s="33"/>
      <c r="Q19" s="226"/>
      <c r="R19" s="376"/>
      <c r="S19" s="33"/>
      <c r="T19" s="226"/>
      <c r="U19" s="34"/>
      <c r="V19" s="365"/>
      <c r="W19" s="34"/>
    </row>
    <row r="20" spans="1:23" ht="19.95" customHeight="1">
      <c r="A20" s="34">
        <v>7</v>
      </c>
      <c r="B20" s="33"/>
      <c r="C20" s="363"/>
      <c r="D20" s="377"/>
      <c r="E20" s="33"/>
      <c r="F20" s="33"/>
      <c r="G20" s="33"/>
      <c r="H20" s="226"/>
      <c r="I20" s="376"/>
      <c r="J20" s="33"/>
      <c r="K20" s="226"/>
      <c r="L20" s="376"/>
      <c r="M20" s="226"/>
      <c r="N20" s="376"/>
      <c r="O20" s="33"/>
      <c r="P20" s="33"/>
      <c r="Q20" s="226"/>
      <c r="R20" s="376"/>
      <c r="S20" s="33"/>
      <c r="T20" s="226"/>
      <c r="U20" s="34"/>
      <c r="V20" s="365"/>
      <c r="W20" s="34"/>
    </row>
    <row r="21" spans="1:23" ht="19.95" customHeight="1">
      <c r="A21" s="34">
        <v>8</v>
      </c>
      <c r="B21" s="33"/>
      <c r="C21" s="363"/>
      <c r="D21" s="377"/>
      <c r="E21" s="33"/>
      <c r="F21" s="33"/>
      <c r="G21" s="33"/>
      <c r="H21" s="226"/>
      <c r="I21" s="376"/>
      <c r="J21" s="33"/>
      <c r="K21" s="226"/>
      <c r="L21" s="376"/>
      <c r="M21" s="226"/>
      <c r="N21" s="376"/>
      <c r="O21" s="33"/>
      <c r="P21" s="33"/>
      <c r="Q21" s="226"/>
      <c r="R21" s="376"/>
      <c r="S21" s="33"/>
      <c r="T21" s="226"/>
      <c r="U21" s="34"/>
      <c r="V21" s="365"/>
      <c r="W21" s="34"/>
    </row>
    <row r="22" spans="1:23" ht="19.95" customHeight="1">
      <c r="A22" s="34">
        <v>9</v>
      </c>
      <c r="B22" s="33"/>
      <c r="C22" s="363"/>
      <c r="D22" s="377"/>
      <c r="E22" s="33"/>
      <c r="F22" s="33"/>
      <c r="G22" s="33"/>
      <c r="H22" s="226"/>
      <c r="I22" s="376"/>
      <c r="J22" s="33"/>
      <c r="K22" s="226"/>
      <c r="L22" s="376"/>
      <c r="M22" s="226"/>
      <c r="N22" s="376"/>
      <c r="O22" s="33"/>
      <c r="P22" s="33"/>
      <c r="Q22" s="226"/>
      <c r="R22" s="376"/>
      <c r="S22" s="33"/>
      <c r="T22" s="226"/>
      <c r="U22" s="34"/>
      <c r="V22" s="365"/>
      <c r="W22" s="34"/>
    </row>
    <row r="23" spans="1:23" ht="19.95" customHeight="1">
      <c r="A23" s="34">
        <v>10</v>
      </c>
      <c r="B23" s="33"/>
      <c r="C23" s="363"/>
      <c r="D23" s="377"/>
      <c r="E23" s="33"/>
      <c r="F23" s="33"/>
      <c r="G23" s="33"/>
      <c r="H23" s="226"/>
      <c r="I23" s="376"/>
      <c r="J23" s="33"/>
      <c r="K23" s="226"/>
      <c r="L23" s="376"/>
      <c r="M23" s="226"/>
      <c r="N23" s="376"/>
      <c r="O23" s="33"/>
      <c r="P23" s="33"/>
      <c r="Q23" s="226"/>
      <c r="R23" s="376"/>
      <c r="S23" s="33"/>
      <c r="T23" s="226"/>
      <c r="U23" s="34"/>
      <c r="V23" s="365"/>
      <c r="W23" s="34"/>
    </row>
    <row r="24" spans="1:23" ht="19.95" customHeight="1">
      <c r="A24" s="34">
        <v>11</v>
      </c>
      <c r="B24" s="33"/>
      <c r="C24" s="363"/>
      <c r="D24" s="377"/>
      <c r="E24" s="33"/>
      <c r="F24" s="33"/>
      <c r="G24" s="33"/>
      <c r="H24" s="226"/>
      <c r="I24" s="376"/>
      <c r="J24" s="33"/>
      <c r="K24" s="226"/>
      <c r="L24" s="376"/>
      <c r="M24" s="226"/>
      <c r="N24" s="376"/>
      <c r="O24" s="33"/>
      <c r="P24" s="33"/>
      <c r="Q24" s="226"/>
      <c r="R24" s="376"/>
      <c r="S24" s="33"/>
      <c r="T24" s="226"/>
      <c r="U24" s="34"/>
      <c r="V24" s="365"/>
      <c r="W24" s="34"/>
    </row>
    <row r="25" spans="1:23" ht="19.95" customHeight="1">
      <c r="A25" s="34">
        <v>12</v>
      </c>
      <c r="B25" s="33"/>
      <c r="C25" s="363"/>
      <c r="D25" s="377"/>
      <c r="E25" s="33"/>
      <c r="F25" s="33"/>
      <c r="G25" s="33"/>
      <c r="H25" s="226"/>
      <c r="I25" s="376"/>
      <c r="J25" s="33"/>
      <c r="K25" s="226"/>
      <c r="L25" s="376"/>
      <c r="M25" s="226"/>
      <c r="N25" s="376"/>
      <c r="O25" s="33"/>
      <c r="P25" s="33"/>
      <c r="Q25" s="226"/>
      <c r="R25" s="376"/>
      <c r="S25" s="33"/>
      <c r="T25" s="226"/>
      <c r="U25" s="34"/>
      <c r="V25" s="365"/>
      <c r="W25" s="34"/>
    </row>
    <row r="26" spans="1:23" ht="19.95" customHeight="1">
      <c r="A26" s="34">
        <v>13</v>
      </c>
      <c r="B26" s="33"/>
      <c r="C26" s="363"/>
      <c r="D26" s="377"/>
      <c r="E26" s="33"/>
      <c r="F26" s="33"/>
      <c r="G26" s="33"/>
      <c r="H26" s="226"/>
      <c r="I26" s="376"/>
      <c r="J26" s="33"/>
      <c r="K26" s="226"/>
      <c r="L26" s="376"/>
      <c r="M26" s="226"/>
      <c r="N26" s="376"/>
      <c r="O26" s="33"/>
      <c r="P26" s="33"/>
      <c r="Q26" s="226"/>
      <c r="R26" s="376"/>
      <c r="S26" s="33"/>
      <c r="T26" s="226"/>
      <c r="U26" s="34"/>
      <c r="V26" s="365"/>
      <c r="W26" s="34"/>
    </row>
    <row r="27" spans="1:23" ht="19.95" customHeight="1">
      <c r="A27" s="34">
        <v>14</v>
      </c>
      <c r="B27" s="33"/>
      <c r="C27" s="363"/>
      <c r="D27" s="377"/>
      <c r="E27" s="33"/>
      <c r="F27" s="33"/>
      <c r="G27" s="33"/>
      <c r="H27" s="226"/>
      <c r="I27" s="376"/>
      <c r="J27" s="33"/>
      <c r="K27" s="226"/>
      <c r="L27" s="376"/>
      <c r="M27" s="226"/>
      <c r="N27" s="376"/>
      <c r="O27" s="33"/>
      <c r="P27" s="33"/>
      <c r="Q27" s="226"/>
      <c r="R27" s="376"/>
      <c r="S27" s="33"/>
      <c r="T27" s="226"/>
      <c r="U27" s="34"/>
      <c r="V27" s="365"/>
      <c r="W27" s="34"/>
    </row>
    <row r="28" spans="1:23" ht="19.95" customHeight="1">
      <c r="A28" s="34">
        <v>15</v>
      </c>
      <c r="B28" s="33"/>
      <c r="C28" s="363"/>
      <c r="D28" s="377"/>
      <c r="E28" s="33"/>
      <c r="F28" s="33"/>
      <c r="G28" s="33"/>
      <c r="H28" s="226"/>
      <c r="I28" s="376"/>
      <c r="J28" s="33"/>
      <c r="K28" s="226"/>
      <c r="L28" s="376"/>
      <c r="M28" s="226"/>
      <c r="N28" s="376"/>
      <c r="O28" s="33"/>
      <c r="P28" s="33"/>
      <c r="Q28" s="226"/>
      <c r="R28" s="376"/>
      <c r="S28" s="33"/>
      <c r="T28" s="226"/>
      <c r="U28" s="34"/>
      <c r="V28" s="365"/>
      <c r="W28" s="34"/>
    </row>
    <row r="29" spans="1:23" ht="19.95" customHeight="1">
      <c r="A29" s="34" t="s">
        <v>1012</v>
      </c>
      <c r="B29" s="33"/>
      <c r="C29" s="363"/>
      <c r="D29" s="377"/>
      <c r="E29" s="33"/>
      <c r="F29" s="33"/>
      <c r="G29" s="33"/>
      <c r="H29" s="226"/>
      <c r="I29" s="376"/>
      <c r="J29" s="33"/>
      <c r="K29" s="226"/>
      <c r="L29" s="376"/>
      <c r="M29" s="226"/>
      <c r="N29" s="376"/>
      <c r="O29" s="33"/>
      <c r="P29" s="33"/>
      <c r="Q29" s="226"/>
      <c r="R29" s="376"/>
      <c r="S29" s="33"/>
      <c r="T29" s="226"/>
      <c r="U29" s="34"/>
      <c r="V29" s="365"/>
      <c r="W29" s="34"/>
    </row>
    <row r="30" spans="1:23" ht="19.95" customHeight="1">
      <c r="A30" s="673" t="s">
        <v>373</v>
      </c>
      <c r="B30" s="674"/>
      <c r="C30" s="674"/>
      <c r="D30" s="674"/>
      <c r="E30" s="674"/>
      <c r="F30" s="675"/>
      <c r="G30" s="184"/>
      <c r="H30" s="227">
        <f>SUM(H14:H29)</f>
        <v>0</v>
      </c>
      <c r="I30" s="379"/>
      <c r="J30" s="380"/>
      <c r="K30" s="227">
        <f>SUM(K14:K29)</f>
        <v>0</v>
      </c>
      <c r="L30" s="381"/>
      <c r="M30" s="381"/>
      <c r="N30" s="379"/>
      <c r="O30" s="380"/>
      <c r="P30" s="380"/>
      <c r="Q30" s="381"/>
      <c r="R30" s="379"/>
      <c r="S30" s="380"/>
      <c r="T30" s="227">
        <f>SUM(T14:T29)</f>
        <v>0</v>
      </c>
      <c r="U30" s="382"/>
      <c r="V30" s="383"/>
      <c r="W30" s="382"/>
    </row>
    <row r="31" spans="1:23" ht="19.95" customHeight="1">
      <c r="A31" s="673" t="s">
        <v>374</v>
      </c>
      <c r="B31" s="674"/>
      <c r="C31" s="674"/>
      <c r="D31" s="674"/>
      <c r="E31" s="674"/>
      <c r="F31" s="675"/>
      <c r="G31" s="184"/>
      <c r="H31" s="227">
        <f>'明细表H2-2'!AB21</f>
        <v>0</v>
      </c>
      <c r="I31" s="379"/>
      <c r="J31" s="380"/>
      <c r="K31" s="381"/>
      <c r="L31" s="381"/>
      <c r="M31" s="381"/>
      <c r="N31" s="379"/>
      <c r="O31" s="380"/>
      <c r="P31" s="380"/>
      <c r="Q31" s="381"/>
      <c r="R31" s="379"/>
      <c r="S31" s="380"/>
      <c r="T31" s="381"/>
      <c r="U31" s="382"/>
      <c r="V31" s="383"/>
      <c r="W31" s="382"/>
    </row>
    <row r="32" spans="1:23" ht="19.95" customHeight="1">
      <c r="A32" s="676" t="s">
        <v>1025</v>
      </c>
      <c r="B32" s="674"/>
      <c r="C32" s="674"/>
      <c r="D32" s="674"/>
      <c r="E32" s="674"/>
      <c r="F32" s="675"/>
      <c r="G32" s="378"/>
      <c r="H32" s="531" t="e">
        <f>H30/H31</f>
        <v>#DIV/0!</v>
      </c>
      <c r="I32" s="379"/>
      <c r="J32" s="380"/>
      <c r="K32" s="381"/>
      <c r="L32" s="381"/>
      <c r="M32" s="381"/>
      <c r="N32" s="379"/>
      <c r="O32" s="380"/>
      <c r="P32" s="380"/>
      <c r="Q32" s="381"/>
      <c r="R32" s="379"/>
      <c r="S32" s="380"/>
      <c r="T32" s="381"/>
      <c r="U32" s="382"/>
      <c r="V32" s="383"/>
      <c r="W32" s="382"/>
    </row>
    <row r="33" spans="1:22" ht="19.95" customHeight="1">
      <c r="A33" s="288" t="s">
        <v>375</v>
      </c>
      <c r="B33" s="18"/>
      <c r="C33" s="18"/>
      <c r="D33" s="18"/>
      <c r="E33" s="18"/>
      <c r="F33" s="18"/>
      <c r="G33" s="18"/>
      <c r="H33" s="18"/>
      <c r="I33" s="289"/>
      <c r="J33" s="289"/>
      <c r="K33" s="289"/>
      <c r="L33" s="289"/>
      <c r="M33" s="289"/>
      <c r="N33" s="289"/>
      <c r="O33" s="228"/>
      <c r="P33" s="228"/>
      <c r="Q33" s="228"/>
      <c r="R33" s="228"/>
      <c r="S33" s="228"/>
      <c r="T33" s="228"/>
      <c r="U33" s="228"/>
      <c r="V33" s="229"/>
    </row>
    <row r="34" spans="1:22" ht="19.95" customHeight="1">
      <c r="A34" s="578" t="s">
        <v>1028</v>
      </c>
      <c r="I34" s="446"/>
      <c r="J34" s="19"/>
      <c r="K34" s="19"/>
      <c r="L34" s="19"/>
      <c r="M34" s="19"/>
      <c r="N34" s="19"/>
      <c r="O34" s="24"/>
      <c r="P34" s="24"/>
      <c r="Q34" s="24"/>
      <c r="R34" s="24"/>
      <c r="S34" s="24"/>
      <c r="T34" s="24"/>
      <c r="U34" s="24"/>
      <c r="V34" s="19"/>
    </row>
    <row r="35" spans="1:22" s="17" customFormat="1" ht="19.95" customHeight="1">
      <c r="A35" s="578" t="s">
        <v>1013</v>
      </c>
      <c r="I35" s="446"/>
      <c r="J35" s="19"/>
      <c r="K35" s="19"/>
      <c r="L35" s="19"/>
      <c r="M35" s="19"/>
      <c r="N35" s="19"/>
      <c r="Q35" s="20"/>
      <c r="R35" s="20"/>
      <c r="S35" s="20"/>
      <c r="T35" s="20"/>
      <c r="U35" s="20"/>
      <c r="V35" s="20"/>
    </row>
    <row r="36" spans="1:22" ht="19.95" customHeight="1">
      <c r="I36" s="446"/>
      <c r="J36" s="19"/>
      <c r="K36" s="19"/>
      <c r="L36" s="19"/>
      <c r="M36" s="19"/>
      <c r="N36" s="19"/>
      <c r="O36" s="19"/>
      <c r="P36" s="19"/>
      <c r="Q36" s="19"/>
      <c r="R36" s="19"/>
      <c r="S36" s="19"/>
      <c r="T36" s="19"/>
      <c r="U36" s="19"/>
      <c r="V36" s="19"/>
    </row>
    <row r="37" spans="1:22" ht="19.95" customHeight="1">
      <c r="I37" s="446"/>
      <c r="J37" s="19"/>
      <c r="K37" s="19"/>
      <c r="L37" s="19"/>
      <c r="M37" s="19"/>
      <c r="N37" s="19"/>
      <c r="O37" s="19"/>
      <c r="P37" s="19"/>
      <c r="Q37" s="19"/>
      <c r="R37" s="19"/>
      <c r="S37" s="19"/>
      <c r="T37" s="19"/>
      <c r="U37" s="19"/>
      <c r="V37" s="19"/>
    </row>
    <row r="38" spans="1:22" ht="19.95" customHeight="1">
      <c r="A38" s="17" t="s">
        <v>376</v>
      </c>
      <c r="I38" s="446"/>
      <c r="J38" s="19"/>
      <c r="K38" s="19"/>
      <c r="L38" s="19"/>
      <c r="M38" s="19"/>
      <c r="N38" s="19"/>
      <c r="O38" s="19"/>
      <c r="P38" s="19"/>
      <c r="Q38" s="19"/>
      <c r="R38" s="19"/>
      <c r="S38" s="19"/>
      <c r="T38" s="19"/>
      <c r="U38" s="19"/>
      <c r="V38" s="19"/>
    </row>
    <row r="39" spans="1:22" ht="19.95" customHeight="1">
      <c r="I39" s="446"/>
      <c r="J39" s="19"/>
      <c r="K39" s="19"/>
      <c r="L39" s="19"/>
      <c r="M39" s="19"/>
      <c r="N39" s="19"/>
      <c r="O39" s="19"/>
      <c r="P39" s="19"/>
      <c r="Q39" s="19"/>
      <c r="R39" s="19"/>
      <c r="S39" s="19"/>
      <c r="T39" s="19"/>
      <c r="U39" s="19"/>
      <c r="V39" s="19"/>
    </row>
    <row r="40" spans="1:22" ht="19.95" customHeight="1">
      <c r="A40" s="21" t="s">
        <v>881</v>
      </c>
    </row>
    <row r="41" spans="1:22" ht="19.95" customHeight="1">
      <c r="A41" s="22" t="s">
        <v>377</v>
      </c>
    </row>
    <row r="42" spans="1:22" ht="19.95" customHeight="1">
      <c r="A42" s="22" t="s">
        <v>378</v>
      </c>
    </row>
    <row r="43" spans="1:22" ht="19.95" customHeight="1">
      <c r="A43" s="22" t="s">
        <v>379</v>
      </c>
    </row>
    <row r="44" spans="1:22" ht="19.95" customHeight="1">
      <c r="A44" s="22" t="s">
        <v>380</v>
      </c>
    </row>
    <row r="45" spans="1:22" ht="19.95" customHeight="1">
      <c r="A45" s="22" t="s">
        <v>381</v>
      </c>
    </row>
    <row r="46" spans="1:22" ht="19.95" customHeight="1">
      <c r="A46" s="22" t="s">
        <v>382</v>
      </c>
    </row>
    <row r="47" spans="1:22" ht="19.95" customHeight="1">
      <c r="A47" s="22" t="s">
        <v>383</v>
      </c>
    </row>
    <row r="48" spans="1:22" ht="19.95" customHeight="1">
      <c r="A48" s="22" t="s">
        <v>384</v>
      </c>
    </row>
    <row r="49" spans="1:1" ht="19.95" customHeight="1">
      <c r="A49" s="22" t="s">
        <v>385</v>
      </c>
    </row>
    <row r="50" spans="1:1" ht="19.95" customHeight="1">
      <c r="A50" s="22" t="s">
        <v>386</v>
      </c>
    </row>
    <row r="51" spans="1:1" ht="19.95" customHeight="1">
      <c r="A51" s="22" t="s">
        <v>387</v>
      </c>
    </row>
    <row r="52" spans="1:1" ht="19.95" customHeight="1">
      <c r="A52" s="22" t="s">
        <v>388</v>
      </c>
    </row>
    <row r="53" spans="1:1" ht="19.95" customHeight="1">
      <c r="A53" s="22" t="s">
        <v>389</v>
      </c>
    </row>
    <row r="54" spans="1:1" ht="19.95" customHeight="1">
      <c r="A54" s="22" t="s">
        <v>390</v>
      </c>
    </row>
    <row r="55" spans="1:1" ht="19.95" customHeight="1">
      <c r="A55" s="586" t="s">
        <v>1040</v>
      </c>
    </row>
    <row r="56" spans="1:1" ht="19.95" customHeight="1">
      <c r="A56" s="587" t="s">
        <v>1041</v>
      </c>
    </row>
    <row r="57" spans="1:1" ht="19.95" customHeight="1">
      <c r="A57" s="587"/>
    </row>
  </sheetData>
  <mergeCells count="19">
    <mergeCell ref="A5:W5"/>
    <mergeCell ref="W12:W13"/>
    <mergeCell ref="U12:U13"/>
    <mergeCell ref="A1:W1"/>
    <mergeCell ref="A2:W2"/>
    <mergeCell ref="L12:M12"/>
    <mergeCell ref="V12:V13"/>
    <mergeCell ref="I12:K12"/>
    <mergeCell ref="R12:T12"/>
    <mergeCell ref="N12:Q12"/>
    <mergeCell ref="A30:F30"/>
    <mergeCell ref="A31:F31"/>
    <mergeCell ref="A32:F32"/>
    <mergeCell ref="A12:A13"/>
    <mergeCell ref="E12:E13"/>
    <mergeCell ref="F12:F13"/>
    <mergeCell ref="B12:B13"/>
    <mergeCell ref="D12:D13"/>
    <mergeCell ref="C12:C13"/>
  </mergeCells>
  <phoneticPr fontId="10" type="noConversion"/>
  <hyperlinks>
    <hyperlink ref="W3" location="底稿目录!A1" display="H2-1"/>
  </hyperlinks>
  <printOptions horizontalCentered="1"/>
  <pageMargins left="0.43307086614173229" right="0.39370078740157483" top="0.39370078740157483" bottom="0.39370078740157483" header="0.31496062992125984" footer="0.31496062992125984"/>
  <pageSetup paperSize="9" scale="60" orientation="landscape" blackAndWhite="1"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A44"/>
  <sheetViews>
    <sheetView view="pageBreakPreview" zoomScaleNormal="115" zoomScaleSheetLayoutView="100" workbookViewId="0">
      <selection sqref="A1:R1"/>
    </sheetView>
  </sheetViews>
  <sheetFormatPr defaultColWidth="9" defaultRowHeight="19.95" customHeight="1"/>
  <cols>
    <col min="1" max="1" width="8.3984375" style="2" customWidth="1"/>
    <col min="2" max="2" width="13.69921875" style="2" customWidth="1"/>
    <col min="3" max="4" width="13.19921875" style="2" customWidth="1"/>
    <col min="5" max="5" width="9.59765625" style="2" customWidth="1"/>
    <col min="6" max="6" width="15.296875" style="2" customWidth="1"/>
    <col min="7" max="8" width="9.59765625" style="2" customWidth="1"/>
    <col min="9" max="15" width="8.59765625" style="2" customWidth="1"/>
    <col min="16" max="16" width="6.8984375" style="2" customWidth="1"/>
    <col min="17" max="17" width="8.3984375" style="2" customWidth="1"/>
    <col min="18" max="18" width="6.8984375" style="2" customWidth="1"/>
    <col min="19" max="16384" width="9" style="2"/>
  </cols>
  <sheetData>
    <row r="1" spans="1:27" s="431" customFormat="1" ht="19.95" customHeight="1">
      <c r="A1" s="682" t="s">
        <v>810</v>
      </c>
      <c r="B1" s="682"/>
      <c r="C1" s="682"/>
      <c r="D1" s="682"/>
      <c r="E1" s="682"/>
      <c r="F1" s="682"/>
      <c r="G1" s="682"/>
      <c r="H1" s="682"/>
      <c r="I1" s="682"/>
      <c r="J1" s="682"/>
      <c r="K1" s="682"/>
      <c r="L1" s="682"/>
      <c r="M1" s="682"/>
      <c r="N1" s="682"/>
      <c r="O1" s="682"/>
      <c r="P1" s="682"/>
      <c r="Q1" s="682"/>
      <c r="R1" s="682"/>
    </row>
    <row r="2" spans="1:27" s="432" customFormat="1" ht="19.95" customHeight="1">
      <c r="A2" s="683" t="s">
        <v>820</v>
      </c>
      <c r="B2" s="683"/>
      <c r="C2" s="683"/>
      <c r="D2" s="683"/>
      <c r="E2" s="683"/>
      <c r="F2" s="683"/>
      <c r="G2" s="683"/>
      <c r="H2" s="683"/>
      <c r="I2" s="683"/>
      <c r="J2" s="683"/>
      <c r="K2" s="683"/>
      <c r="L2" s="683"/>
      <c r="M2" s="683"/>
      <c r="N2" s="683"/>
      <c r="O2" s="683"/>
      <c r="P2" s="683"/>
      <c r="Q2" s="683"/>
      <c r="R2" s="683"/>
    </row>
    <row r="3" spans="1:27" ht="19.95" customHeight="1">
      <c r="A3" s="2" t="str">
        <f>底稿目录!A2</f>
        <v>被审计单位：</v>
      </c>
      <c r="E3" s="2" t="str">
        <f>底稿目录!A4</f>
        <v>编制人：</v>
      </c>
      <c r="H3" s="2" t="str">
        <f>底稿目录!A6</f>
        <v>编制日期：</v>
      </c>
      <c r="I3" s="82"/>
      <c r="Q3" s="440" t="s">
        <v>832</v>
      </c>
      <c r="R3" s="256" t="s">
        <v>140</v>
      </c>
    </row>
    <row r="4" spans="1:27" ht="19.95" customHeight="1">
      <c r="A4" s="2" t="str">
        <f>底稿目录!A3</f>
        <v>截止日：202X年12月31日</v>
      </c>
      <c r="E4" s="2" t="str">
        <f>底稿目录!A5</f>
        <v>复核人：</v>
      </c>
      <c r="H4" s="2" t="str">
        <f>底稿目录!A7</f>
        <v>复核日期：</v>
      </c>
      <c r="I4" s="82"/>
      <c r="Q4" s="440" t="s">
        <v>833</v>
      </c>
    </row>
    <row r="5" spans="1:27" s="505" customFormat="1" ht="33.6" customHeight="1">
      <c r="A5" s="680" t="s">
        <v>391</v>
      </c>
      <c r="B5" s="680"/>
      <c r="C5" s="680"/>
      <c r="D5" s="680"/>
      <c r="E5" s="680"/>
      <c r="F5" s="680"/>
      <c r="G5" s="680"/>
      <c r="H5" s="680"/>
      <c r="I5" s="680"/>
      <c r="J5" s="680"/>
      <c r="K5" s="680"/>
      <c r="L5" s="680"/>
      <c r="M5" s="680"/>
      <c r="N5" s="680"/>
      <c r="O5" s="680"/>
      <c r="P5" s="680"/>
      <c r="Q5" s="680"/>
      <c r="R5" s="680"/>
      <c r="S5" s="532"/>
      <c r="T5" s="532"/>
      <c r="U5" s="532"/>
      <c r="V5" s="532"/>
      <c r="W5" s="532"/>
      <c r="X5" s="532"/>
      <c r="Y5" s="532"/>
      <c r="Z5" s="532"/>
      <c r="AA5" s="532"/>
    </row>
    <row r="6" spans="1:27" s="505" customFormat="1" ht="19.95" customHeight="1">
      <c r="A6" s="519" t="s">
        <v>392</v>
      </c>
      <c r="B6" s="519"/>
      <c r="C6" s="519"/>
      <c r="D6" s="519"/>
      <c r="E6" s="519"/>
      <c r="F6" s="519"/>
      <c r="G6" s="519"/>
      <c r="H6" s="519"/>
      <c r="I6" s="519"/>
      <c r="J6" s="519"/>
      <c r="K6" s="519"/>
      <c r="L6" s="519"/>
      <c r="M6" s="519"/>
      <c r="N6" s="519"/>
      <c r="O6" s="519"/>
      <c r="P6" s="519"/>
      <c r="Q6" s="519"/>
      <c r="R6" s="519"/>
      <c r="S6" s="533"/>
      <c r="T6" s="533"/>
      <c r="U6" s="533"/>
      <c r="V6" s="533"/>
      <c r="W6" s="534"/>
      <c r="X6" s="534"/>
    </row>
    <row r="7" spans="1:27" s="535" customFormat="1" ht="19.95" customHeight="1">
      <c r="A7" s="520" t="s">
        <v>360</v>
      </c>
      <c r="B7" s="521" t="s">
        <v>992</v>
      </c>
      <c r="C7" s="518"/>
      <c r="D7" s="518"/>
      <c r="E7" s="518"/>
      <c r="F7" s="520" t="s">
        <v>393</v>
      </c>
      <c r="G7" s="521" t="s">
        <v>394</v>
      </c>
      <c r="H7" s="521" t="s">
        <v>394</v>
      </c>
      <c r="I7" s="518"/>
    </row>
    <row r="8" spans="1:27" s="535" customFormat="1" ht="19.95" customHeight="1">
      <c r="A8" s="520" t="s">
        <v>395</v>
      </c>
      <c r="B8" s="521" t="s">
        <v>396</v>
      </c>
      <c r="C8" s="518"/>
      <c r="D8" s="518"/>
      <c r="E8" s="518"/>
      <c r="F8" s="520" t="s">
        <v>397</v>
      </c>
      <c r="G8" s="521" t="s">
        <v>398</v>
      </c>
      <c r="H8" s="521"/>
      <c r="I8" s="521" t="s">
        <v>399</v>
      </c>
      <c r="P8" s="536"/>
      <c r="Q8" s="537"/>
    </row>
    <row r="9" spans="1:27" s="535" customFormat="1" ht="19.8" customHeight="1">
      <c r="A9" s="520" t="s">
        <v>400</v>
      </c>
      <c r="B9" s="577" t="s">
        <v>1011</v>
      </c>
      <c r="C9" s="518"/>
      <c r="D9" s="518"/>
      <c r="E9" s="518"/>
      <c r="F9" s="520" t="s">
        <v>369</v>
      </c>
      <c r="G9" s="521" t="s">
        <v>839</v>
      </c>
      <c r="H9" s="521"/>
      <c r="I9" s="521"/>
      <c r="J9" s="521"/>
      <c r="K9" s="521"/>
      <c r="L9" s="521"/>
      <c r="M9" s="521"/>
      <c r="N9" s="521"/>
      <c r="O9" s="521"/>
      <c r="P9" s="521"/>
      <c r="Q9" s="521"/>
      <c r="R9" s="521"/>
    </row>
    <row r="10" spans="1:27" s="29" customFormat="1" ht="19.95" customHeight="1">
      <c r="A10" s="44" t="s">
        <v>371</v>
      </c>
      <c r="B10" s="30"/>
      <c r="C10" s="30"/>
      <c r="D10" s="30"/>
      <c r="E10" s="31"/>
      <c r="F10" s="31"/>
      <c r="G10" s="32"/>
    </row>
    <row r="11" spans="1:27" s="29" customFormat="1" ht="19.95" customHeight="1">
      <c r="A11" s="450" t="s">
        <v>872</v>
      </c>
      <c r="B11" s="30"/>
      <c r="C11" s="30"/>
      <c r="D11" s="30"/>
      <c r="E11" s="31"/>
      <c r="F11" s="31"/>
      <c r="G11" s="32"/>
    </row>
    <row r="12" spans="1:27" s="69" customFormat="1" ht="19.95" customHeight="1">
      <c r="A12" s="688" t="s">
        <v>884</v>
      </c>
      <c r="B12" s="679" t="s">
        <v>955</v>
      </c>
      <c r="C12" s="679" t="s">
        <v>956</v>
      </c>
      <c r="D12" s="688" t="s">
        <v>934</v>
      </c>
      <c r="E12" s="538" t="s">
        <v>964</v>
      </c>
      <c r="F12" s="538"/>
      <c r="G12" s="538" t="s">
        <v>957</v>
      </c>
      <c r="H12" s="523"/>
      <c r="I12" s="686" t="s">
        <v>958</v>
      </c>
      <c r="J12" s="686"/>
      <c r="K12" s="689" t="s">
        <v>959</v>
      </c>
      <c r="L12" s="689"/>
      <c r="M12" s="689"/>
      <c r="N12" s="689"/>
      <c r="O12" s="689"/>
      <c r="P12" s="681" t="s">
        <v>129</v>
      </c>
      <c r="Q12" s="681" t="s">
        <v>965</v>
      </c>
      <c r="R12" s="681" t="s">
        <v>966</v>
      </c>
    </row>
    <row r="13" spans="1:27" s="69" customFormat="1" ht="30.6" customHeight="1">
      <c r="A13" s="688"/>
      <c r="B13" s="679"/>
      <c r="C13" s="679"/>
      <c r="D13" s="688"/>
      <c r="E13" s="525" t="s">
        <v>960</v>
      </c>
      <c r="F13" s="525" t="s">
        <v>961</v>
      </c>
      <c r="G13" s="525" t="s">
        <v>960</v>
      </c>
      <c r="H13" s="526" t="s">
        <v>961</v>
      </c>
      <c r="I13" s="529" t="s">
        <v>935</v>
      </c>
      <c r="J13" s="529" t="s">
        <v>954</v>
      </c>
      <c r="K13" s="530" t="s">
        <v>962</v>
      </c>
      <c r="L13" s="530" t="s">
        <v>970</v>
      </c>
      <c r="M13" s="530" t="s">
        <v>967</v>
      </c>
      <c r="N13" s="530" t="s">
        <v>968</v>
      </c>
      <c r="O13" s="530" t="s">
        <v>969</v>
      </c>
      <c r="P13" s="681"/>
      <c r="Q13" s="681"/>
      <c r="R13" s="681"/>
      <c r="S13" s="482" t="s">
        <v>963</v>
      </c>
    </row>
    <row r="14" spans="1:27" ht="19.95" customHeight="1">
      <c r="A14" s="384">
        <v>1</v>
      </c>
      <c r="B14" s="26"/>
      <c r="C14" s="376"/>
      <c r="D14" s="365"/>
      <c r="E14" s="385"/>
      <c r="F14" s="385"/>
      <c r="G14" s="385"/>
      <c r="H14" s="385"/>
      <c r="I14" s="376"/>
      <c r="J14" s="365"/>
      <c r="K14" s="365"/>
      <c r="L14" s="385"/>
      <c r="M14" s="365"/>
      <c r="N14" s="365"/>
      <c r="O14" s="376"/>
      <c r="P14" s="365"/>
      <c r="Q14" s="365"/>
      <c r="R14" s="34"/>
    </row>
    <row r="15" spans="1:27" ht="19.95" customHeight="1">
      <c r="A15" s="384">
        <v>2</v>
      </c>
      <c r="B15" s="26"/>
      <c r="C15" s="376"/>
      <c r="D15" s="365"/>
      <c r="E15" s="385"/>
      <c r="F15" s="385"/>
      <c r="G15" s="385"/>
      <c r="H15" s="385"/>
      <c r="I15" s="376"/>
      <c r="J15" s="365"/>
      <c r="K15" s="365"/>
      <c r="L15" s="385"/>
      <c r="M15" s="365"/>
      <c r="N15" s="365"/>
      <c r="O15" s="376"/>
      <c r="P15" s="365"/>
      <c r="Q15" s="365"/>
      <c r="R15" s="34"/>
    </row>
    <row r="16" spans="1:27" ht="19.95" customHeight="1">
      <c r="A16" s="384">
        <v>3</v>
      </c>
      <c r="B16" s="26"/>
      <c r="C16" s="376"/>
      <c r="D16" s="365"/>
      <c r="E16" s="385"/>
      <c r="F16" s="385"/>
      <c r="G16" s="385"/>
      <c r="H16" s="385"/>
      <c r="I16" s="376"/>
      <c r="J16" s="365"/>
      <c r="K16" s="365"/>
      <c r="L16" s="385"/>
      <c r="M16" s="365"/>
      <c r="N16" s="365"/>
      <c r="O16" s="376"/>
      <c r="P16" s="365"/>
      <c r="Q16" s="365"/>
      <c r="R16" s="34"/>
    </row>
    <row r="17" spans="1:18" ht="19.95" customHeight="1">
      <c r="A17" s="384">
        <v>4</v>
      </c>
      <c r="B17" s="26"/>
      <c r="C17" s="376"/>
      <c r="D17" s="365"/>
      <c r="E17" s="385"/>
      <c r="F17" s="385"/>
      <c r="G17" s="385"/>
      <c r="H17" s="385"/>
      <c r="I17" s="376"/>
      <c r="J17" s="365"/>
      <c r="K17" s="365"/>
      <c r="L17" s="385"/>
      <c r="M17" s="365"/>
      <c r="N17" s="365"/>
      <c r="O17" s="376"/>
      <c r="P17" s="365"/>
      <c r="Q17" s="365"/>
      <c r="R17" s="34"/>
    </row>
    <row r="18" spans="1:18" ht="19.95" customHeight="1">
      <c r="A18" s="384">
        <v>5</v>
      </c>
      <c r="B18" s="26"/>
      <c r="C18" s="376"/>
      <c r="D18" s="365"/>
      <c r="E18" s="385"/>
      <c r="F18" s="385"/>
      <c r="G18" s="385"/>
      <c r="H18" s="385"/>
      <c r="I18" s="376"/>
      <c r="J18" s="365"/>
      <c r="K18" s="365"/>
      <c r="L18" s="385"/>
      <c r="M18" s="365"/>
      <c r="N18" s="365"/>
      <c r="O18" s="376"/>
      <c r="P18" s="365"/>
      <c r="Q18" s="365"/>
      <c r="R18" s="34"/>
    </row>
    <row r="19" spans="1:18" ht="19.95" customHeight="1">
      <c r="A19" s="384">
        <v>6</v>
      </c>
      <c r="B19" s="26"/>
      <c r="C19" s="376"/>
      <c r="D19" s="365"/>
      <c r="E19" s="385"/>
      <c r="F19" s="385"/>
      <c r="G19" s="385"/>
      <c r="H19" s="385"/>
      <c r="I19" s="376"/>
      <c r="J19" s="365"/>
      <c r="K19" s="365"/>
      <c r="L19" s="385"/>
      <c r="M19" s="365"/>
      <c r="N19" s="365"/>
      <c r="O19" s="376"/>
      <c r="P19" s="365"/>
      <c r="Q19" s="365"/>
      <c r="R19" s="34"/>
    </row>
    <row r="20" spans="1:18" ht="19.95" customHeight="1">
      <c r="A20" s="384">
        <v>7</v>
      </c>
      <c r="B20" s="26"/>
      <c r="C20" s="376"/>
      <c r="D20" s="365"/>
      <c r="E20" s="385"/>
      <c r="F20" s="385"/>
      <c r="G20" s="385"/>
      <c r="H20" s="385"/>
      <c r="I20" s="376"/>
      <c r="J20" s="365"/>
      <c r="K20" s="365"/>
      <c r="L20" s="385"/>
      <c r="M20" s="365"/>
      <c r="N20" s="365"/>
      <c r="O20" s="376"/>
      <c r="P20" s="365"/>
      <c r="Q20" s="365"/>
      <c r="R20" s="34"/>
    </row>
    <row r="21" spans="1:18" ht="19.95" customHeight="1">
      <c r="A21" s="384">
        <v>8</v>
      </c>
      <c r="B21" s="26"/>
      <c r="C21" s="376"/>
      <c r="D21" s="365"/>
      <c r="E21" s="385"/>
      <c r="F21" s="385"/>
      <c r="G21" s="385"/>
      <c r="H21" s="385"/>
      <c r="I21" s="376"/>
      <c r="J21" s="365"/>
      <c r="K21" s="365"/>
      <c r="L21" s="385"/>
      <c r="M21" s="365"/>
      <c r="N21" s="365"/>
      <c r="O21" s="376"/>
      <c r="P21" s="365"/>
      <c r="Q21" s="365"/>
      <c r="R21" s="34"/>
    </row>
    <row r="22" spans="1:18" ht="19.95" customHeight="1">
      <c r="A22" s="384">
        <v>9</v>
      </c>
      <c r="B22" s="26"/>
      <c r="C22" s="376"/>
      <c r="D22" s="365"/>
      <c r="E22" s="385"/>
      <c r="F22" s="385"/>
      <c r="G22" s="385"/>
      <c r="H22" s="385"/>
      <c r="I22" s="376"/>
      <c r="J22" s="365"/>
      <c r="K22" s="365"/>
      <c r="L22" s="385"/>
      <c r="M22" s="365"/>
      <c r="N22" s="365"/>
      <c r="O22" s="376"/>
      <c r="P22" s="365"/>
      <c r="Q22" s="365"/>
      <c r="R22" s="34"/>
    </row>
    <row r="23" spans="1:18" ht="19.95" customHeight="1">
      <c r="A23" s="384">
        <v>10</v>
      </c>
      <c r="B23" s="26"/>
      <c r="C23" s="376"/>
      <c r="D23" s="365"/>
      <c r="E23" s="385"/>
      <c r="F23" s="385"/>
      <c r="G23" s="385"/>
      <c r="H23" s="385"/>
      <c r="I23" s="376"/>
      <c r="J23" s="365"/>
      <c r="K23" s="365"/>
      <c r="L23" s="385"/>
      <c r="M23" s="365"/>
      <c r="N23" s="365"/>
      <c r="O23" s="376"/>
      <c r="P23" s="365"/>
      <c r="Q23" s="365"/>
      <c r="R23" s="34"/>
    </row>
    <row r="24" spans="1:18" s="17" customFormat="1" ht="19.95" customHeight="1">
      <c r="A24" s="673" t="s">
        <v>797</v>
      </c>
      <c r="B24" s="674"/>
      <c r="C24" s="674"/>
      <c r="D24" s="675"/>
      <c r="E24" s="366">
        <f>SUM(E14:E23)</f>
        <v>0</v>
      </c>
      <c r="F24" s="366">
        <f t="shared" ref="F24:H24" si="0">SUM(F14:F23)</f>
        <v>0</v>
      </c>
      <c r="G24" s="366">
        <f t="shared" si="0"/>
        <v>0</v>
      </c>
      <c r="H24" s="386">
        <f t="shared" si="0"/>
        <v>0</v>
      </c>
      <c r="I24" s="387"/>
      <c r="J24" s="387"/>
      <c r="K24" s="387"/>
      <c r="L24" s="387"/>
      <c r="M24" s="387"/>
      <c r="N24" s="387"/>
      <c r="O24" s="387"/>
      <c r="P24" s="387"/>
      <c r="Q24" s="387"/>
      <c r="R24" s="388"/>
    </row>
    <row r="25" spans="1:18" s="17" customFormat="1" ht="19.95" customHeight="1">
      <c r="A25" s="673" t="s">
        <v>798</v>
      </c>
      <c r="B25" s="674"/>
      <c r="C25" s="674"/>
      <c r="D25" s="675"/>
      <c r="E25" s="366">
        <f>'明细表H2-2'!AD21</f>
        <v>0</v>
      </c>
      <c r="F25" s="388"/>
      <c r="G25" s="366">
        <f>'明细表H2-2'!AF21</f>
        <v>0</v>
      </c>
      <c r="H25" s="386"/>
      <c r="I25" s="387"/>
      <c r="J25" s="387"/>
      <c r="K25" s="387"/>
      <c r="L25" s="387"/>
      <c r="M25" s="387"/>
      <c r="N25" s="387"/>
      <c r="O25" s="387"/>
      <c r="P25" s="387"/>
      <c r="Q25" s="387"/>
      <c r="R25" s="388"/>
    </row>
    <row r="26" spans="1:18" s="17" customFormat="1" ht="19.95" customHeight="1">
      <c r="A26" s="676" t="s">
        <v>1026</v>
      </c>
      <c r="B26" s="674"/>
      <c r="C26" s="674"/>
      <c r="D26" s="675"/>
      <c r="E26" s="366" t="e">
        <f>E24/E25</f>
        <v>#DIV/0!</v>
      </c>
      <c r="F26" s="388"/>
      <c r="G26" s="366" t="e">
        <f>G24/G25</f>
        <v>#DIV/0!</v>
      </c>
      <c r="H26" s="387"/>
      <c r="I26" s="387"/>
      <c r="J26" s="387"/>
      <c r="K26" s="387"/>
      <c r="L26" s="387"/>
      <c r="M26" s="387"/>
      <c r="N26" s="387"/>
      <c r="O26" s="387"/>
      <c r="P26" s="387"/>
      <c r="Q26" s="387"/>
      <c r="R26" s="388"/>
    </row>
    <row r="27" spans="1:18" ht="19.95" customHeight="1">
      <c r="A27" s="288" t="s">
        <v>375</v>
      </c>
      <c r="B27" s="18"/>
      <c r="C27" s="18"/>
      <c r="D27" s="18"/>
      <c r="E27" s="18"/>
      <c r="F27" s="18"/>
      <c r="G27" s="18"/>
      <c r="H27" s="18"/>
      <c r="I27" s="289"/>
      <c r="J27" s="228"/>
      <c r="K27" s="228"/>
      <c r="L27" s="228"/>
      <c r="M27" s="228"/>
      <c r="N27" s="228"/>
      <c r="O27" s="228"/>
      <c r="P27" s="228"/>
      <c r="Q27" s="229"/>
    </row>
    <row r="28" spans="1:18" ht="19.95" customHeight="1">
      <c r="A28" s="578" t="s">
        <v>1027</v>
      </c>
      <c r="I28" s="446"/>
      <c r="J28" s="24"/>
      <c r="K28" s="24"/>
      <c r="L28" s="24"/>
      <c r="M28" s="24"/>
      <c r="N28" s="24"/>
      <c r="O28" s="24"/>
      <c r="P28" s="24"/>
      <c r="Q28" s="19"/>
    </row>
    <row r="29" spans="1:18" s="17" customFormat="1" ht="19.95" customHeight="1">
      <c r="A29" s="578" t="s">
        <v>1013</v>
      </c>
      <c r="I29" s="446"/>
      <c r="K29" s="20"/>
      <c r="L29" s="20"/>
      <c r="M29" s="20"/>
      <c r="N29" s="20"/>
      <c r="O29" s="20"/>
      <c r="P29" s="20"/>
      <c r="Q29" s="20"/>
    </row>
    <row r="30" spans="1:18" ht="19.95" customHeight="1">
      <c r="I30" s="446"/>
      <c r="J30" s="19"/>
      <c r="K30" s="19"/>
      <c r="L30" s="19"/>
      <c r="M30" s="19"/>
      <c r="N30" s="19"/>
      <c r="O30" s="19"/>
      <c r="P30" s="19"/>
      <c r="Q30" s="19"/>
    </row>
    <row r="31" spans="1:18" ht="19.95" customHeight="1">
      <c r="I31" s="446"/>
      <c r="J31" s="19"/>
      <c r="K31" s="19"/>
      <c r="L31" s="19"/>
      <c r="M31" s="19"/>
      <c r="N31" s="19"/>
      <c r="O31" s="19"/>
      <c r="P31" s="19"/>
      <c r="Q31" s="19"/>
    </row>
    <row r="32" spans="1:18" ht="19.95" customHeight="1">
      <c r="A32" s="17" t="s">
        <v>376</v>
      </c>
      <c r="I32" s="19"/>
      <c r="J32" s="19"/>
      <c r="K32" s="19"/>
      <c r="L32" s="19"/>
      <c r="M32" s="19"/>
      <c r="N32" s="19"/>
      <c r="O32" s="19"/>
      <c r="P32" s="19"/>
      <c r="Q32" s="19"/>
    </row>
    <row r="33" spans="1:17" ht="19.95" customHeight="1">
      <c r="I33" s="19"/>
      <c r="J33" s="19"/>
      <c r="K33" s="19"/>
      <c r="L33" s="19"/>
      <c r="M33" s="19"/>
      <c r="N33" s="19"/>
      <c r="O33" s="19"/>
      <c r="P33" s="19"/>
      <c r="Q33" s="19"/>
    </row>
    <row r="34" spans="1:17" ht="19.95" customHeight="1">
      <c r="A34" s="24"/>
      <c r="C34" s="19"/>
      <c r="D34" s="19"/>
      <c r="E34" s="19"/>
      <c r="F34" s="19"/>
      <c r="G34" s="19"/>
      <c r="H34" s="19"/>
      <c r="I34" s="19"/>
      <c r="J34" s="19"/>
      <c r="K34" s="19"/>
      <c r="L34" s="19"/>
      <c r="M34" s="19"/>
      <c r="N34" s="19"/>
      <c r="O34" s="19"/>
      <c r="P34" s="19"/>
      <c r="Q34" s="19"/>
    </row>
    <row r="35" spans="1:17" ht="19.95" customHeight="1">
      <c r="A35" s="21" t="s">
        <v>879</v>
      </c>
    </row>
    <row r="36" spans="1:17" ht="19.95" customHeight="1">
      <c r="A36" s="22" t="s">
        <v>403</v>
      </c>
    </row>
    <row r="37" spans="1:17" ht="19.95" customHeight="1">
      <c r="A37" s="22" t="s">
        <v>404</v>
      </c>
    </row>
    <row r="38" spans="1:17" ht="19.95" customHeight="1">
      <c r="A38" s="22" t="s">
        <v>405</v>
      </c>
    </row>
    <row r="39" spans="1:17" ht="19.95" customHeight="1">
      <c r="A39" s="22" t="s">
        <v>406</v>
      </c>
    </row>
    <row r="40" spans="1:17" ht="19.95" customHeight="1">
      <c r="A40" s="22" t="s">
        <v>407</v>
      </c>
    </row>
    <row r="41" spans="1:17" ht="19.95" customHeight="1">
      <c r="A41" s="22" t="s">
        <v>408</v>
      </c>
      <c r="B41" s="22"/>
    </row>
    <row r="42" spans="1:17" ht="19.95" customHeight="1">
      <c r="A42" s="23" t="s">
        <v>409</v>
      </c>
      <c r="B42" s="23"/>
    </row>
    <row r="44" spans="1:17" ht="19.95" customHeight="1">
      <c r="A44" s="290"/>
    </row>
  </sheetData>
  <mergeCells count="15">
    <mergeCell ref="A26:D26"/>
    <mergeCell ref="A12:A13"/>
    <mergeCell ref="D12:D13"/>
    <mergeCell ref="C12:C13"/>
    <mergeCell ref="Q12:Q13"/>
    <mergeCell ref="B12:B13"/>
    <mergeCell ref="I12:J12"/>
    <mergeCell ref="K12:O12"/>
    <mergeCell ref="P12:P13"/>
    <mergeCell ref="R12:R13"/>
    <mergeCell ref="A1:R1"/>
    <mergeCell ref="A2:R2"/>
    <mergeCell ref="A24:D24"/>
    <mergeCell ref="A25:D25"/>
    <mergeCell ref="A5:R5"/>
  </mergeCells>
  <phoneticPr fontId="10" type="noConversion"/>
  <hyperlinks>
    <hyperlink ref="R3" location="底稿目录!A1" display="H2-1"/>
  </hyperlinks>
  <printOptions horizontalCentered="1"/>
  <pageMargins left="0.43307086614173229" right="0.39370078740157483" top="0.39370078740157483" bottom="0.39370078740157483" header="0.31496062992125984" footer="0.31496062992125984"/>
  <pageSetup paperSize="9" scale="70" orientation="landscape" blackAndWhite="1"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AB78"/>
  <sheetViews>
    <sheetView view="pageBreakPreview" zoomScaleNormal="115" zoomScaleSheetLayoutView="100" workbookViewId="0">
      <selection sqref="A1:L1"/>
    </sheetView>
  </sheetViews>
  <sheetFormatPr defaultColWidth="7" defaultRowHeight="13.8"/>
  <cols>
    <col min="1" max="1" width="8.8984375" style="202" customWidth="1"/>
    <col min="2" max="2" width="15.3984375" style="202" customWidth="1"/>
    <col min="3" max="5" width="13.19921875" style="202" bestFit="1" customWidth="1"/>
    <col min="6" max="6" width="12.69921875" style="202" customWidth="1"/>
    <col min="7" max="7" width="20.19921875" style="202" customWidth="1"/>
    <col min="8" max="8" width="18.8984375" style="202" customWidth="1"/>
    <col min="9" max="9" width="20.5" style="202" customWidth="1"/>
    <col min="10" max="10" width="13.19921875" style="202" customWidth="1"/>
    <col min="11" max="11" width="11" style="202" customWidth="1"/>
    <col min="12" max="12" width="7.69921875" style="202" bestFit="1" customWidth="1"/>
    <col min="13" max="16384" width="7" style="202"/>
  </cols>
  <sheetData>
    <row r="1" spans="1:28" s="431" customFormat="1" ht="20.100000000000001" customHeight="1">
      <c r="A1" s="682" t="s">
        <v>810</v>
      </c>
      <c r="B1" s="682"/>
      <c r="C1" s="682"/>
      <c r="D1" s="682"/>
      <c r="E1" s="682"/>
      <c r="F1" s="682"/>
      <c r="G1" s="682"/>
      <c r="H1" s="682"/>
      <c r="I1" s="682"/>
      <c r="J1" s="682"/>
      <c r="K1" s="682"/>
      <c r="L1" s="682"/>
      <c r="M1" s="418"/>
      <c r="N1" s="418"/>
      <c r="O1" s="418"/>
    </row>
    <row r="2" spans="1:28" s="17" customFormat="1" ht="24.9" customHeight="1">
      <c r="A2" s="683" t="s">
        <v>821</v>
      </c>
      <c r="B2" s="683"/>
      <c r="C2" s="683"/>
      <c r="D2" s="683"/>
      <c r="E2" s="683"/>
      <c r="F2" s="683"/>
      <c r="G2" s="683"/>
      <c r="H2" s="683"/>
      <c r="I2" s="683"/>
      <c r="J2" s="683"/>
      <c r="K2" s="683"/>
      <c r="L2" s="683"/>
      <c r="M2" s="248"/>
      <c r="N2" s="248"/>
      <c r="O2" s="248"/>
    </row>
    <row r="3" spans="1:28" s="2" customFormat="1" ht="20.100000000000001" customHeight="1">
      <c r="A3" s="2" t="str">
        <f>底稿目录!A2</f>
        <v>被审计单位：</v>
      </c>
      <c r="D3" s="2" t="str">
        <f>底稿目录!A4</f>
        <v>编制人：</v>
      </c>
      <c r="H3" s="2" t="str">
        <f>底稿目录!A6</f>
        <v>编制日期：</v>
      </c>
      <c r="K3" s="440" t="s">
        <v>832</v>
      </c>
      <c r="L3" s="256" t="s">
        <v>141</v>
      </c>
    </row>
    <row r="4" spans="1:28" s="2" customFormat="1" ht="20.100000000000001" customHeight="1">
      <c r="A4" s="2" t="str">
        <f>底稿目录!A3</f>
        <v>截止日：202X年12月31日</v>
      </c>
      <c r="D4" s="2" t="str">
        <f>底稿目录!A5</f>
        <v>复核人：</v>
      </c>
      <c r="H4" s="2" t="str">
        <f>底稿目录!A7</f>
        <v>复核日期：</v>
      </c>
      <c r="K4" s="440" t="s">
        <v>833</v>
      </c>
    </row>
    <row r="5" spans="1:28" s="498" customFormat="1" ht="20.100000000000001" customHeight="1">
      <c r="A5" s="496" t="s">
        <v>410</v>
      </c>
      <c r="B5" s="539"/>
      <c r="G5" s="540"/>
      <c r="K5" s="541"/>
      <c r="L5" s="542"/>
      <c r="V5" s="501"/>
      <c r="W5" s="501"/>
      <c r="X5" s="501"/>
      <c r="Y5" s="501"/>
      <c r="Z5" s="501"/>
      <c r="AA5" s="501"/>
      <c r="AB5" s="501"/>
    </row>
    <row r="6" spans="1:28" s="2" customFormat="1" ht="20.100000000000001" customHeight="1">
      <c r="A6" s="49" t="s">
        <v>283</v>
      </c>
      <c r="B6" s="8"/>
      <c r="G6" s="189"/>
      <c r="K6" s="70"/>
      <c r="L6" s="291"/>
      <c r="V6" s="64"/>
      <c r="W6" s="64"/>
      <c r="X6" s="64"/>
      <c r="Y6" s="64"/>
      <c r="Z6" s="64"/>
      <c r="AA6" s="64"/>
      <c r="AB6" s="64"/>
    </row>
    <row r="7" spans="1:28" s="2" customFormat="1" ht="20.100000000000001" customHeight="1">
      <c r="A7" s="50">
        <v>1</v>
      </c>
      <c r="B7" s="109" t="s">
        <v>411</v>
      </c>
      <c r="G7" s="189"/>
      <c r="K7" s="70"/>
      <c r="L7" s="291"/>
      <c r="V7" s="64"/>
      <c r="W7" s="64"/>
      <c r="X7" s="64"/>
      <c r="Y7" s="64"/>
      <c r="Z7" s="64"/>
      <c r="AA7" s="64"/>
      <c r="AB7" s="64"/>
    </row>
    <row r="8" spans="1:28" s="2" customFormat="1" ht="39.6">
      <c r="A8" s="693" t="s">
        <v>30</v>
      </c>
      <c r="B8" s="292" t="s">
        <v>412</v>
      </c>
      <c r="C8" s="292" t="s">
        <v>413</v>
      </c>
      <c r="D8" s="292" t="s">
        <v>414</v>
      </c>
      <c r="E8" s="292" t="s">
        <v>415</v>
      </c>
      <c r="F8" s="292" t="s">
        <v>416</v>
      </c>
      <c r="G8" s="292" t="s">
        <v>417</v>
      </c>
      <c r="H8" s="293" t="s">
        <v>418</v>
      </c>
      <c r="I8" s="293" t="s">
        <v>419</v>
      </c>
      <c r="K8" s="70"/>
      <c r="L8" s="291"/>
      <c r="V8" s="64"/>
      <c r="W8" s="64"/>
      <c r="X8" s="64"/>
      <c r="Y8" s="64"/>
      <c r="Z8" s="64"/>
      <c r="AA8" s="64"/>
      <c r="AB8" s="64"/>
    </row>
    <row r="9" spans="1:28" s="2" customFormat="1" ht="20.100000000000001" customHeight="1">
      <c r="A9" s="694"/>
      <c r="B9" s="292" t="s">
        <v>51</v>
      </c>
      <c r="C9" s="292"/>
      <c r="D9" s="292"/>
      <c r="E9" s="292" t="s">
        <v>52</v>
      </c>
      <c r="F9" s="292" t="s">
        <v>420</v>
      </c>
      <c r="G9" s="292" t="s">
        <v>421</v>
      </c>
      <c r="H9" s="293" t="s">
        <v>422</v>
      </c>
      <c r="I9" s="293" t="s">
        <v>423</v>
      </c>
      <c r="K9" s="70"/>
      <c r="L9" s="291"/>
      <c r="V9" s="64"/>
      <c r="W9" s="64"/>
      <c r="X9" s="64"/>
      <c r="Y9" s="64"/>
      <c r="Z9" s="64"/>
      <c r="AA9" s="64"/>
      <c r="AB9" s="64"/>
    </row>
    <row r="10" spans="1:28" s="2" customFormat="1" ht="20.100000000000001" customHeight="1">
      <c r="A10" s="294">
        <v>1</v>
      </c>
      <c r="B10" s="295"/>
      <c r="C10" s="389"/>
      <c r="D10" s="389"/>
      <c r="E10" s="295"/>
      <c r="F10" s="295"/>
      <c r="G10" s="543" t="e">
        <f t="shared" ref="G10:G15" si="0">B10*E10/F10</f>
        <v>#DIV/0!</v>
      </c>
      <c r="H10" s="295"/>
      <c r="I10" s="296" t="e">
        <f>IF(G10=0,0,H10/G10)</f>
        <v>#DIV/0!</v>
      </c>
      <c r="K10" s="70"/>
      <c r="L10" s="291"/>
      <c r="V10" s="64"/>
      <c r="W10" s="64"/>
      <c r="X10" s="64"/>
      <c r="Y10" s="64"/>
      <c r="Z10" s="64"/>
      <c r="AA10" s="64"/>
      <c r="AB10" s="64"/>
    </row>
    <row r="11" spans="1:28" s="2" customFormat="1" ht="20.100000000000001" customHeight="1">
      <c r="A11" s="294">
        <v>2</v>
      </c>
      <c r="B11" s="295"/>
      <c r="C11" s="389"/>
      <c r="D11" s="389"/>
      <c r="E11" s="295"/>
      <c r="F11" s="295"/>
      <c r="G11" s="543" t="e">
        <f t="shared" si="0"/>
        <v>#DIV/0!</v>
      </c>
      <c r="H11" s="295"/>
      <c r="I11" s="296" t="e">
        <f t="shared" ref="I11:I15" si="1">IF(G11=0,0,H11/G11)</f>
        <v>#DIV/0!</v>
      </c>
      <c r="K11" s="70"/>
      <c r="L11" s="291"/>
      <c r="V11" s="64"/>
      <c r="W11" s="64"/>
      <c r="X11" s="64"/>
      <c r="Y11" s="64"/>
      <c r="Z11" s="64"/>
      <c r="AA11" s="64"/>
      <c r="AB11" s="64"/>
    </row>
    <row r="12" spans="1:28" s="2" customFormat="1" ht="20.100000000000001" customHeight="1">
      <c r="A12" s="294">
        <v>3</v>
      </c>
      <c r="B12" s="295"/>
      <c r="C12" s="389"/>
      <c r="D12" s="389"/>
      <c r="E12" s="295"/>
      <c r="F12" s="295"/>
      <c r="G12" s="543" t="e">
        <f t="shared" si="0"/>
        <v>#DIV/0!</v>
      </c>
      <c r="H12" s="295"/>
      <c r="I12" s="296" t="e">
        <f t="shared" si="1"/>
        <v>#DIV/0!</v>
      </c>
      <c r="K12" s="70"/>
      <c r="L12" s="291"/>
      <c r="V12" s="64"/>
      <c r="W12" s="64"/>
      <c r="X12" s="64"/>
      <c r="Y12" s="64"/>
      <c r="Z12" s="64"/>
      <c r="AA12" s="64"/>
      <c r="AB12" s="64"/>
    </row>
    <row r="13" spans="1:28" s="2" customFormat="1" ht="20.100000000000001" customHeight="1">
      <c r="A13" s="294">
        <v>4</v>
      </c>
      <c r="B13" s="295"/>
      <c r="C13" s="389"/>
      <c r="D13" s="389"/>
      <c r="E13" s="295"/>
      <c r="F13" s="295"/>
      <c r="G13" s="543" t="e">
        <f t="shared" si="0"/>
        <v>#DIV/0!</v>
      </c>
      <c r="H13" s="295"/>
      <c r="I13" s="296" t="e">
        <f t="shared" si="1"/>
        <v>#DIV/0!</v>
      </c>
      <c r="K13" s="70"/>
      <c r="L13" s="291"/>
      <c r="V13" s="64"/>
      <c r="W13" s="64"/>
      <c r="X13" s="64"/>
      <c r="Y13" s="64"/>
      <c r="Z13" s="64"/>
      <c r="AA13" s="64"/>
      <c r="AB13" s="64"/>
    </row>
    <row r="14" spans="1:28" s="2" customFormat="1" ht="20.100000000000001" customHeight="1">
      <c r="A14" s="294">
        <v>5</v>
      </c>
      <c r="B14" s="295"/>
      <c r="C14" s="389"/>
      <c r="D14" s="389"/>
      <c r="E14" s="295"/>
      <c r="F14" s="295"/>
      <c r="G14" s="543" t="e">
        <f t="shared" si="0"/>
        <v>#DIV/0!</v>
      </c>
      <c r="H14" s="295"/>
      <c r="I14" s="296" t="e">
        <f t="shared" si="1"/>
        <v>#DIV/0!</v>
      </c>
      <c r="K14" s="70"/>
      <c r="L14" s="291"/>
      <c r="V14" s="64"/>
      <c r="W14" s="64"/>
      <c r="X14" s="64"/>
      <c r="Y14" s="64"/>
      <c r="Z14" s="64"/>
      <c r="AA14" s="64"/>
      <c r="AB14" s="64"/>
    </row>
    <row r="15" spans="1:28" s="2" customFormat="1" ht="20.100000000000001" customHeight="1">
      <c r="A15" s="294">
        <v>6</v>
      </c>
      <c r="B15" s="295"/>
      <c r="C15" s="389"/>
      <c r="D15" s="389"/>
      <c r="E15" s="295"/>
      <c r="F15" s="295"/>
      <c r="G15" s="543" t="e">
        <f t="shared" si="0"/>
        <v>#DIV/0!</v>
      </c>
      <c r="H15" s="295"/>
      <c r="I15" s="296" t="e">
        <f t="shared" si="1"/>
        <v>#DIV/0!</v>
      </c>
      <c r="K15" s="70"/>
      <c r="L15" s="291"/>
      <c r="V15" s="64"/>
      <c r="W15" s="64"/>
      <c r="X15" s="64"/>
      <c r="Y15" s="64"/>
      <c r="Z15" s="64"/>
      <c r="AA15" s="64"/>
      <c r="AB15" s="64"/>
    </row>
    <row r="16" spans="1:28" s="17" customFormat="1" ht="20.100000000000001" customHeight="1">
      <c r="A16" s="297" t="s">
        <v>799</v>
      </c>
      <c r="B16" s="366">
        <f>SUM(B10:B15)</f>
        <v>0</v>
      </c>
      <c r="C16" s="366"/>
      <c r="D16" s="366"/>
      <c r="E16" s="366">
        <f t="shared" ref="E16:G16" si="2">SUM(E10:E15)</f>
        <v>0</v>
      </c>
      <c r="F16" s="366">
        <f t="shared" si="2"/>
        <v>0</v>
      </c>
      <c r="G16" s="400" t="e">
        <f t="shared" si="2"/>
        <v>#DIV/0!</v>
      </c>
      <c r="H16" s="366">
        <f>SUM(H10:H15)</f>
        <v>0</v>
      </c>
      <c r="I16" s="390"/>
      <c r="K16" s="391"/>
      <c r="L16" s="392"/>
      <c r="V16" s="72"/>
      <c r="W16" s="72"/>
      <c r="X16" s="72"/>
      <c r="Y16" s="72"/>
      <c r="Z16" s="72"/>
      <c r="AA16" s="72"/>
      <c r="AB16" s="72"/>
    </row>
    <row r="17" spans="1:28" s="2" customFormat="1" ht="20.100000000000001" customHeight="1">
      <c r="A17" s="110" t="s">
        <v>424</v>
      </c>
      <c r="B17" s="298"/>
      <c r="C17" s="298"/>
      <c r="D17" s="298"/>
      <c r="E17" s="298"/>
      <c r="F17" s="298"/>
      <c r="G17" s="298"/>
      <c r="H17" s="298"/>
      <c r="I17" s="299"/>
      <c r="K17" s="70"/>
      <c r="L17" s="291"/>
      <c r="V17" s="64"/>
      <c r="W17" s="64"/>
      <c r="X17" s="64"/>
      <c r="Y17" s="64"/>
      <c r="Z17" s="64"/>
      <c r="AA17" s="64"/>
      <c r="AB17" s="64"/>
    </row>
    <row r="18" spans="1:28" s="2" customFormat="1" ht="20.100000000000001" customHeight="1">
      <c r="A18" s="110" t="s">
        <v>425</v>
      </c>
      <c r="B18" s="8"/>
      <c r="G18" s="189"/>
      <c r="K18" s="70"/>
      <c r="L18" s="291"/>
      <c r="V18" s="64"/>
      <c r="W18" s="64"/>
      <c r="X18" s="64"/>
      <c r="Y18" s="64"/>
      <c r="Z18" s="64"/>
      <c r="AA18" s="64"/>
      <c r="AB18" s="64"/>
    </row>
    <row r="19" spans="1:28" s="2" customFormat="1" ht="20.100000000000001" customHeight="1">
      <c r="B19" s="100" t="s">
        <v>426</v>
      </c>
      <c r="C19" s="300"/>
      <c r="D19" s="111"/>
      <c r="E19" s="111"/>
      <c r="F19" s="111"/>
      <c r="G19" s="190"/>
      <c r="H19" s="190"/>
      <c r="I19" s="190"/>
      <c r="J19" s="190"/>
      <c r="K19" s="190"/>
      <c r="L19" s="190"/>
    </row>
    <row r="20" spans="1:28" s="17" customFormat="1" ht="75.75" customHeight="1">
      <c r="A20" s="292" t="s">
        <v>30</v>
      </c>
      <c r="B20" s="292" t="s">
        <v>427</v>
      </c>
      <c r="C20" s="292" t="s">
        <v>428</v>
      </c>
      <c r="D20" s="292" t="s">
        <v>429</v>
      </c>
      <c r="E20" s="292" t="s">
        <v>430</v>
      </c>
      <c r="F20" s="292" t="s">
        <v>431</v>
      </c>
      <c r="G20" s="293" t="s">
        <v>432</v>
      </c>
      <c r="H20" s="293" t="s">
        <v>433</v>
      </c>
      <c r="J20" s="300"/>
      <c r="K20" s="300"/>
      <c r="L20" s="300"/>
    </row>
    <row r="21" spans="1:28" s="2" customFormat="1" ht="20.100000000000001" customHeight="1">
      <c r="A21" s="301" t="s">
        <v>434</v>
      </c>
      <c r="B21" s="393">
        <v>111</v>
      </c>
      <c r="C21" s="393">
        <v>111</v>
      </c>
      <c r="D21" s="394">
        <v>2</v>
      </c>
      <c r="E21" s="394">
        <v>2</v>
      </c>
      <c r="F21" s="394">
        <v>2</v>
      </c>
      <c r="G21" s="394">
        <v>2</v>
      </c>
      <c r="H21" s="395">
        <v>0.02</v>
      </c>
      <c r="J21" s="190"/>
      <c r="K21" s="190"/>
      <c r="L21" s="190"/>
    </row>
    <row r="22" spans="1:28" s="2" customFormat="1" ht="20.100000000000001" customHeight="1">
      <c r="A22" s="294">
        <v>1</v>
      </c>
      <c r="B22" s="393"/>
      <c r="C22" s="393"/>
      <c r="D22" s="394"/>
      <c r="E22" s="394"/>
      <c r="F22" s="394"/>
      <c r="G22" s="394"/>
      <c r="H22" s="395"/>
      <c r="J22" s="111"/>
      <c r="K22" s="111"/>
      <c r="L22" s="111"/>
    </row>
    <row r="23" spans="1:28" s="2" customFormat="1" ht="20.100000000000001" customHeight="1">
      <c r="A23" s="294">
        <v>2</v>
      </c>
      <c r="B23" s="393"/>
      <c r="C23" s="393"/>
      <c r="D23" s="394"/>
      <c r="E23" s="394"/>
      <c r="F23" s="394"/>
      <c r="G23" s="394"/>
      <c r="H23" s="395"/>
      <c r="J23" s="111"/>
      <c r="K23" s="111"/>
      <c r="L23" s="111"/>
    </row>
    <row r="24" spans="1:28" s="2" customFormat="1" ht="20.100000000000001" customHeight="1">
      <c r="A24" s="294">
        <v>3</v>
      </c>
      <c r="B24" s="393"/>
      <c r="C24" s="393"/>
      <c r="D24" s="394"/>
      <c r="E24" s="394"/>
      <c r="F24" s="394"/>
      <c r="G24" s="394"/>
      <c r="H24" s="395"/>
      <c r="J24" s="190"/>
      <c r="K24" s="190"/>
      <c r="L24" s="190"/>
    </row>
    <row r="25" spans="1:28" s="2" customFormat="1" ht="20.100000000000001" customHeight="1">
      <c r="A25" s="294">
        <v>4</v>
      </c>
      <c r="B25" s="393"/>
      <c r="C25" s="393"/>
      <c r="D25" s="394"/>
      <c r="E25" s="394"/>
      <c r="F25" s="394"/>
      <c r="G25" s="394"/>
      <c r="H25" s="395"/>
      <c r="J25" s="190"/>
      <c r="K25" s="190"/>
      <c r="L25" s="190"/>
    </row>
    <row r="26" spans="1:28" s="2" customFormat="1" ht="20.100000000000001" customHeight="1">
      <c r="A26" s="294">
        <v>5</v>
      </c>
      <c r="B26" s="393"/>
      <c r="C26" s="393"/>
      <c r="D26" s="394"/>
      <c r="E26" s="394"/>
      <c r="F26" s="394"/>
      <c r="G26" s="394"/>
      <c r="H26" s="395"/>
      <c r="J26" s="190"/>
      <c r="K26" s="190"/>
      <c r="L26" s="190"/>
    </row>
    <row r="27" spans="1:28" s="2" customFormat="1" ht="20.100000000000001" customHeight="1">
      <c r="A27" s="294">
        <v>6</v>
      </c>
      <c r="B27" s="393"/>
      <c r="C27" s="393"/>
      <c r="D27" s="394"/>
      <c r="E27" s="394"/>
      <c r="F27" s="394"/>
      <c r="G27" s="394"/>
      <c r="H27" s="395"/>
      <c r="J27" s="190"/>
      <c r="K27" s="190"/>
      <c r="L27" s="190"/>
    </row>
    <row r="28" spans="1:28" s="2" customFormat="1" ht="20.100000000000001" customHeight="1">
      <c r="A28" s="294">
        <v>7</v>
      </c>
      <c r="B28" s="393"/>
      <c r="C28" s="393"/>
      <c r="D28" s="394"/>
      <c r="E28" s="394"/>
      <c r="F28" s="394"/>
      <c r="G28" s="394"/>
      <c r="H28" s="395"/>
      <c r="J28" s="190"/>
      <c r="K28" s="190"/>
      <c r="L28" s="190"/>
    </row>
    <row r="29" spans="1:28" s="2" customFormat="1" ht="20.100000000000001" customHeight="1">
      <c r="A29" s="294">
        <v>8</v>
      </c>
      <c r="B29" s="393"/>
      <c r="C29" s="393"/>
      <c r="D29" s="394"/>
      <c r="E29" s="394"/>
      <c r="F29" s="394"/>
      <c r="G29" s="394"/>
      <c r="H29" s="395"/>
      <c r="J29" s="190"/>
      <c r="K29" s="190"/>
      <c r="L29" s="190"/>
    </row>
    <row r="30" spans="1:28" s="2" customFormat="1" ht="20.100000000000001" customHeight="1">
      <c r="A30" s="294">
        <v>9</v>
      </c>
      <c r="B30" s="393"/>
      <c r="C30" s="393"/>
      <c r="D30" s="394"/>
      <c r="E30" s="394"/>
      <c r="F30" s="394"/>
      <c r="G30" s="394"/>
      <c r="H30" s="395"/>
      <c r="J30" s="190"/>
      <c r="K30" s="190"/>
      <c r="L30" s="190"/>
    </row>
    <row r="31" spans="1:28" s="2" customFormat="1" ht="20.100000000000001" customHeight="1">
      <c r="A31" s="294">
        <v>10</v>
      </c>
      <c r="B31" s="393"/>
      <c r="C31" s="393"/>
      <c r="D31" s="394"/>
      <c r="E31" s="394"/>
      <c r="F31" s="394"/>
      <c r="G31" s="394"/>
      <c r="H31" s="395"/>
      <c r="J31" s="190"/>
      <c r="K31" s="190"/>
      <c r="L31" s="190"/>
    </row>
    <row r="32" spans="1:28" s="2" customFormat="1" ht="20.100000000000001" customHeight="1">
      <c r="A32" s="294">
        <v>11</v>
      </c>
      <c r="B32" s="393"/>
      <c r="C32" s="393"/>
      <c r="D32" s="394"/>
      <c r="E32" s="394"/>
      <c r="F32" s="394"/>
      <c r="G32" s="394"/>
      <c r="H32" s="395"/>
      <c r="J32" s="190"/>
      <c r="K32" s="190"/>
      <c r="L32" s="190"/>
    </row>
    <row r="33" spans="1:12" s="2" customFormat="1" ht="20.100000000000001" customHeight="1">
      <c r="A33" s="294">
        <v>12</v>
      </c>
      <c r="B33" s="393"/>
      <c r="C33" s="393"/>
      <c r="D33" s="394"/>
      <c r="E33" s="394"/>
      <c r="F33" s="394"/>
      <c r="G33" s="394"/>
      <c r="H33" s="395"/>
      <c r="J33" s="190"/>
      <c r="K33" s="190"/>
      <c r="L33" s="190"/>
    </row>
    <row r="34" spans="1:12" s="2" customFormat="1" ht="20.100000000000001" customHeight="1">
      <c r="A34" s="297" t="s">
        <v>373</v>
      </c>
      <c r="B34" s="302">
        <f>SUM(B22:B33)</f>
        <v>0</v>
      </c>
      <c r="C34" s="302"/>
      <c r="D34" s="582"/>
      <c r="E34" s="582"/>
      <c r="F34" s="302"/>
      <c r="G34" s="303">
        <f>SUM(G22:G33)</f>
        <v>0</v>
      </c>
      <c r="H34" s="583"/>
      <c r="J34" s="190"/>
      <c r="K34" s="190"/>
      <c r="L34" s="190"/>
    </row>
    <row r="35" spans="1:12" s="2" customFormat="1" ht="20.100000000000001" customHeight="1">
      <c r="A35" s="304" t="s">
        <v>435</v>
      </c>
      <c r="B35" s="231"/>
      <c r="C35" s="305"/>
      <c r="D35" s="305"/>
      <c r="E35" s="305"/>
      <c r="F35" s="305"/>
      <c r="G35" s="305"/>
      <c r="H35" s="306"/>
      <c r="I35" s="307"/>
      <c r="J35" s="308"/>
      <c r="K35" s="190"/>
      <c r="L35" s="190"/>
    </row>
    <row r="36" spans="1:12" s="2" customFormat="1" ht="20.100000000000001" customHeight="1">
      <c r="A36" s="304" t="s">
        <v>436</v>
      </c>
      <c r="B36" s="231"/>
      <c r="C36" s="305"/>
      <c r="D36" s="305"/>
      <c r="E36" s="305"/>
      <c r="F36" s="305"/>
      <c r="G36" s="305"/>
      <c r="H36" s="306"/>
      <c r="I36" s="307"/>
      <c r="J36" s="308"/>
      <c r="K36" s="190"/>
      <c r="L36" s="190"/>
    </row>
    <row r="37" spans="1:12" s="2" customFormat="1" ht="20.100000000000001" customHeight="1">
      <c r="A37" s="50" t="s">
        <v>22</v>
      </c>
      <c r="B37" s="109" t="s">
        <v>437</v>
      </c>
      <c r="C37" s="19"/>
      <c r="E37" s="19"/>
      <c r="H37" s="19"/>
      <c r="J37" s="191" t="s">
        <v>438</v>
      </c>
      <c r="K37" s="192"/>
      <c r="L37" s="19"/>
    </row>
    <row r="38" spans="1:12" s="193" customFormat="1" ht="20.100000000000001" customHeight="1">
      <c r="A38" s="690" t="s">
        <v>439</v>
      </c>
      <c r="B38" s="112" t="s">
        <v>440</v>
      </c>
      <c r="C38" s="112" t="s">
        <v>441</v>
      </c>
      <c r="D38" s="112" t="s">
        <v>442</v>
      </c>
      <c r="E38" s="112" t="s">
        <v>443</v>
      </c>
      <c r="F38" s="112" t="s">
        <v>444</v>
      </c>
      <c r="G38" s="112" t="s">
        <v>445</v>
      </c>
      <c r="H38" s="112" t="s">
        <v>446</v>
      </c>
      <c r="I38" s="112" t="s">
        <v>447</v>
      </c>
      <c r="J38" s="112" t="s">
        <v>448</v>
      </c>
      <c r="K38" s="112" t="s">
        <v>449</v>
      </c>
      <c r="L38" s="691" t="s">
        <v>450</v>
      </c>
    </row>
    <row r="39" spans="1:12" s="194" customFormat="1" ht="31.65" customHeight="1">
      <c r="A39" s="690"/>
      <c r="B39" s="113" t="s">
        <v>451</v>
      </c>
      <c r="C39" s="113" t="s">
        <v>452</v>
      </c>
      <c r="D39" s="113" t="s">
        <v>453</v>
      </c>
      <c r="E39" s="113" t="s">
        <v>454</v>
      </c>
      <c r="F39" s="113" t="s">
        <v>455</v>
      </c>
      <c r="G39" s="113" t="s">
        <v>456</v>
      </c>
      <c r="H39" s="113" t="s">
        <v>457</v>
      </c>
      <c r="I39" s="113" t="s">
        <v>458</v>
      </c>
      <c r="J39" s="113" t="s">
        <v>459</v>
      </c>
      <c r="K39" s="113" t="s">
        <v>460</v>
      </c>
      <c r="L39" s="692"/>
    </row>
    <row r="40" spans="1:12" s="198" customFormat="1" ht="20.100000000000001" customHeight="1">
      <c r="A40" s="195" t="s">
        <v>461</v>
      </c>
      <c r="B40" s="196"/>
      <c r="C40" s="196"/>
      <c r="D40" s="196"/>
      <c r="E40" s="196"/>
      <c r="F40" s="196"/>
      <c r="G40" s="184">
        <f>SUM(B40:F40)</f>
        <v>0</v>
      </c>
      <c r="H40" s="196"/>
      <c r="I40" s="196"/>
      <c r="J40" s="544">
        <f>G40+I40-D40</f>
        <v>0</v>
      </c>
      <c r="K40" s="184">
        <f t="shared" ref="K40:K52" si="3">J40*$K$37</f>
        <v>0</v>
      </c>
      <c r="L40" s="197"/>
    </row>
    <row r="41" spans="1:12" ht="20.100000000000001" customHeight="1">
      <c r="A41" s="199" t="s">
        <v>462</v>
      </c>
      <c r="B41" s="196"/>
      <c r="C41" s="196"/>
      <c r="D41" s="196"/>
      <c r="E41" s="196"/>
      <c r="F41" s="196"/>
      <c r="G41" s="184">
        <f t="shared" ref="G41:G52" si="4">SUM(B41:F41)</f>
        <v>0</v>
      </c>
      <c r="H41" s="196"/>
      <c r="I41" s="196"/>
      <c r="J41" s="184">
        <f>J40+(G41-H41-D41+I41)/2</f>
        <v>0</v>
      </c>
      <c r="K41" s="184">
        <f t="shared" si="3"/>
        <v>0</v>
      </c>
      <c r="L41" s="201"/>
    </row>
    <row r="42" spans="1:12" ht="20.100000000000001" customHeight="1">
      <c r="A42" s="199" t="s">
        <v>463</v>
      </c>
      <c r="B42" s="196"/>
      <c r="C42" s="196"/>
      <c r="D42" s="196"/>
      <c r="E42" s="196"/>
      <c r="F42" s="196"/>
      <c r="G42" s="184">
        <f t="shared" si="4"/>
        <v>0</v>
      </c>
      <c r="H42" s="196"/>
      <c r="I42" s="196"/>
      <c r="J42" s="184">
        <f t="shared" ref="J42:J52" si="5">J41+(G42-H42-D42+I42)/2</f>
        <v>0</v>
      </c>
      <c r="K42" s="184">
        <f t="shared" si="3"/>
        <v>0</v>
      </c>
      <c r="L42" s="201"/>
    </row>
    <row r="43" spans="1:12" ht="20.100000000000001" customHeight="1">
      <c r="A43" s="199" t="s">
        <v>464</v>
      </c>
      <c r="B43" s="196"/>
      <c r="C43" s="196"/>
      <c r="D43" s="196"/>
      <c r="E43" s="196"/>
      <c r="F43" s="196"/>
      <c r="G43" s="184">
        <f t="shared" si="4"/>
        <v>0</v>
      </c>
      <c r="H43" s="196"/>
      <c r="I43" s="196"/>
      <c r="J43" s="184">
        <f t="shared" si="5"/>
        <v>0</v>
      </c>
      <c r="K43" s="184">
        <f t="shared" si="3"/>
        <v>0</v>
      </c>
      <c r="L43" s="201"/>
    </row>
    <row r="44" spans="1:12" ht="20.100000000000001" customHeight="1">
      <c r="A44" s="199" t="s">
        <v>465</v>
      </c>
      <c r="B44" s="196"/>
      <c r="C44" s="196"/>
      <c r="D44" s="196"/>
      <c r="E44" s="196"/>
      <c r="F44" s="196"/>
      <c r="G44" s="184">
        <f t="shared" si="4"/>
        <v>0</v>
      </c>
      <c r="H44" s="196"/>
      <c r="I44" s="196"/>
      <c r="J44" s="184">
        <f t="shared" si="5"/>
        <v>0</v>
      </c>
      <c r="K44" s="184">
        <f t="shared" si="3"/>
        <v>0</v>
      </c>
      <c r="L44" s="201"/>
    </row>
    <row r="45" spans="1:12" ht="20.100000000000001" customHeight="1">
      <c r="A45" s="199" t="s">
        <v>466</v>
      </c>
      <c r="B45" s="196"/>
      <c r="C45" s="196"/>
      <c r="D45" s="196"/>
      <c r="E45" s="196"/>
      <c r="F45" s="196"/>
      <c r="G45" s="184">
        <f t="shared" si="4"/>
        <v>0</v>
      </c>
      <c r="H45" s="196"/>
      <c r="I45" s="196"/>
      <c r="J45" s="184">
        <f t="shared" si="5"/>
        <v>0</v>
      </c>
      <c r="K45" s="184">
        <f>J45*$K$37</f>
        <v>0</v>
      </c>
      <c r="L45" s="201"/>
    </row>
    <row r="46" spans="1:12" ht="20.100000000000001" customHeight="1">
      <c r="A46" s="199" t="s">
        <v>467</v>
      </c>
      <c r="B46" s="196"/>
      <c r="C46" s="196"/>
      <c r="D46" s="196"/>
      <c r="E46" s="196"/>
      <c r="F46" s="196"/>
      <c r="G46" s="184">
        <f t="shared" si="4"/>
        <v>0</v>
      </c>
      <c r="H46" s="196"/>
      <c r="I46" s="196"/>
      <c r="J46" s="184">
        <f t="shared" si="5"/>
        <v>0</v>
      </c>
      <c r="K46" s="184">
        <f t="shared" si="3"/>
        <v>0</v>
      </c>
      <c r="L46" s="201"/>
    </row>
    <row r="47" spans="1:12" ht="20.100000000000001" customHeight="1">
      <c r="A47" s="199" t="s">
        <v>468</v>
      </c>
      <c r="B47" s="196"/>
      <c r="C47" s="196"/>
      <c r="D47" s="196"/>
      <c r="E47" s="196"/>
      <c r="F47" s="196"/>
      <c r="G47" s="184">
        <f t="shared" si="4"/>
        <v>0</v>
      </c>
      <c r="H47" s="196"/>
      <c r="I47" s="196"/>
      <c r="J47" s="184">
        <f t="shared" si="5"/>
        <v>0</v>
      </c>
      <c r="K47" s="184">
        <f t="shared" si="3"/>
        <v>0</v>
      </c>
      <c r="L47" s="201"/>
    </row>
    <row r="48" spans="1:12" ht="20.100000000000001" customHeight="1">
      <c r="A48" s="199" t="s">
        <v>469</v>
      </c>
      <c r="B48" s="196"/>
      <c r="C48" s="196"/>
      <c r="D48" s="196"/>
      <c r="E48" s="196"/>
      <c r="F48" s="196"/>
      <c r="G48" s="184">
        <f t="shared" si="4"/>
        <v>0</v>
      </c>
      <c r="H48" s="196"/>
      <c r="I48" s="196"/>
      <c r="J48" s="184">
        <f t="shared" si="5"/>
        <v>0</v>
      </c>
      <c r="K48" s="184">
        <f t="shared" si="3"/>
        <v>0</v>
      </c>
      <c r="L48" s="201"/>
    </row>
    <row r="49" spans="1:12" ht="20.100000000000001" customHeight="1">
      <c r="A49" s="199" t="s">
        <v>470</v>
      </c>
      <c r="B49" s="196"/>
      <c r="C49" s="196"/>
      <c r="D49" s="196"/>
      <c r="E49" s="196"/>
      <c r="F49" s="196"/>
      <c r="G49" s="184">
        <f t="shared" si="4"/>
        <v>0</v>
      </c>
      <c r="H49" s="196"/>
      <c r="I49" s="196"/>
      <c r="J49" s="184">
        <f t="shared" si="5"/>
        <v>0</v>
      </c>
      <c r="K49" s="184">
        <f t="shared" si="3"/>
        <v>0</v>
      </c>
      <c r="L49" s="201"/>
    </row>
    <row r="50" spans="1:12" ht="20.100000000000001" customHeight="1">
      <c r="A50" s="199" t="s">
        <v>471</v>
      </c>
      <c r="B50" s="196"/>
      <c r="C50" s="196"/>
      <c r="D50" s="196"/>
      <c r="E50" s="196"/>
      <c r="F50" s="196"/>
      <c r="G50" s="184">
        <f t="shared" si="4"/>
        <v>0</v>
      </c>
      <c r="H50" s="196"/>
      <c r="I50" s="196"/>
      <c r="J50" s="184">
        <f t="shared" si="5"/>
        <v>0</v>
      </c>
      <c r="K50" s="184">
        <f t="shared" si="3"/>
        <v>0</v>
      </c>
      <c r="L50" s="201"/>
    </row>
    <row r="51" spans="1:12" ht="20.100000000000001" customHeight="1">
      <c r="A51" s="199" t="s">
        <v>472</v>
      </c>
      <c r="B51" s="196"/>
      <c r="C51" s="196"/>
      <c r="D51" s="196"/>
      <c r="E51" s="196"/>
      <c r="F51" s="196"/>
      <c r="G51" s="184">
        <f t="shared" si="4"/>
        <v>0</v>
      </c>
      <c r="H51" s="196"/>
      <c r="I51" s="196"/>
      <c r="J51" s="184">
        <f t="shared" si="5"/>
        <v>0</v>
      </c>
      <c r="K51" s="184">
        <f t="shared" si="3"/>
        <v>0</v>
      </c>
      <c r="L51" s="201"/>
    </row>
    <row r="52" spans="1:12" ht="20.100000000000001" customHeight="1">
      <c r="A52" s="199" t="s">
        <v>473</v>
      </c>
      <c r="B52" s="196"/>
      <c r="C52" s="196"/>
      <c r="D52" s="196"/>
      <c r="E52" s="196"/>
      <c r="F52" s="196"/>
      <c r="G52" s="184">
        <f t="shared" si="4"/>
        <v>0</v>
      </c>
      <c r="H52" s="196"/>
      <c r="I52" s="196"/>
      <c r="J52" s="184">
        <f t="shared" si="5"/>
        <v>0</v>
      </c>
      <c r="K52" s="184">
        <f t="shared" si="3"/>
        <v>0</v>
      </c>
      <c r="L52" s="201"/>
    </row>
    <row r="53" spans="1:12" s="205" customFormat="1" ht="20.100000000000001" customHeight="1">
      <c r="A53" s="203" t="s">
        <v>800</v>
      </c>
      <c r="B53" s="366">
        <f>SUM(B41:B52)</f>
        <v>0</v>
      </c>
      <c r="C53" s="366">
        <f t="shared" ref="C53:K53" si="6">SUM(C41:C52)</f>
        <v>0</v>
      </c>
      <c r="D53" s="366">
        <f t="shared" si="6"/>
        <v>0</v>
      </c>
      <c r="E53" s="366">
        <f t="shared" si="6"/>
        <v>0</v>
      </c>
      <c r="F53" s="366">
        <f t="shared" si="6"/>
        <v>0</v>
      </c>
      <c r="G53" s="366">
        <f t="shared" si="6"/>
        <v>0</v>
      </c>
      <c r="H53" s="366">
        <f t="shared" si="6"/>
        <v>0</v>
      </c>
      <c r="I53" s="366">
        <f t="shared" si="6"/>
        <v>0</v>
      </c>
      <c r="J53" s="366">
        <f t="shared" si="6"/>
        <v>0</v>
      </c>
      <c r="K53" s="366">
        <f t="shared" si="6"/>
        <v>0</v>
      </c>
      <c r="L53" s="204"/>
    </row>
    <row r="54" spans="1:12" ht="20.100000000000001" customHeight="1">
      <c r="A54" s="206" t="s">
        <v>474</v>
      </c>
      <c r="B54" s="200"/>
      <c r="C54" s="201"/>
      <c r="D54" s="201"/>
      <c r="E54" s="201"/>
      <c r="F54" s="201"/>
      <c r="G54" s="184">
        <f>SUM(B54:F54)</f>
        <v>0</v>
      </c>
      <c r="H54" s="207"/>
      <c r="I54" s="207"/>
      <c r="J54" s="213" t="s">
        <v>475</v>
      </c>
      <c r="K54" s="214">
        <f>D53</f>
        <v>0</v>
      </c>
      <c r="L54" s="201"/>
    </row>
    <row r="55" spans="1:12" s="205" customFormat="1" ht="20.100000000000001" customHeight="1">
      <c r="A55" s="203" t="s">
        <v>801</v>
      </c>
      <c r="B55" s="366">
        <f>B40+B53-B54</f>
        <v>0</v>
      </c>
      <c r="C55" s="366">
        <f t="shared" ref="C55:G55" si="7">C40+C53-C54</f>
        <v>0</v>
      </c>
      <c r="D55" s="366">
        <f t="shared" si="7"/>
        <v>0</v>
      </c>
      <c r="E55" s="366">
        <f t="shared" si="7"/>
        <v>0</v>
      </c>
      <c r="F55" s="366">
        <f t="shared" si="7"/>
        <v>0</v>
      </c>
      <c r="G55" s="366">
        <f t="shared" si="7"/>
        <v>0</v>
      </c>
      <c r="H55" s="208"/>
      <c r="I55" s="208"/>
      <c r="J55" s="396" t="s">
        <v>802</v>
      </c>
      <c r="K55" s="397">
        <f>K53-K54</f>
        <v>0</v>
      </c>
      <c r="L55" s="398" t="e">
        <f>K55/K53</f>
        <v>#DIV/0!</v>
      </c>
    </row>
    <row r="56" spans="1:12" ht="20.100000000000001" customHeight="1">
      <c r="A56" s="205" t="s">
        <v>476</v>
      </c>
      <c r="G56" s="205" t="s">
        <v>477</v>
      </c>
    </row>
    <row r="57" spans="1:12" ht="20.100000000000001" customHeight="1">
      <c r="B57" s="202" t="s">
        <v>478</v>
      </c>
      <c r="G57" s="579" t="s">
        <v>1014</v>
      </c>
      <c r="H57" s="580"/>
    </row>
    <row r="58" spans="1:12" ht="20.100000000000001" customHeight="1">
      <c r="B58" s="202" t="s">
        <v>480</v>
      </c>
      <c r="G58" s="579" t="s">
        <v>1015</v>
      </c>
      <c r="H58" s="580"/>
      <c r="I58" s="545"/>
      <c r="J58" s="546"/>
    </row>
    <row r="59" spans="1:12" ht="20.100000000000001" customHeight="1">
      <c r="G59" s="580"/>
      <c r="H59" s="580" t="s">
        <v>1016</v>
      </c>
      <c r="I59" s="545"/>
      <c r="J59" s="545"/>
      <c r="K59" s="210"/>
    </row>
    <row r="62" spans="1:12" ht="15" customHeight="1">
      <c r="A62" s="21" t="s">
        <v>882</v>
      </c>
    </row>
    <row r="63" spans="1:12" ht="15" customHeight="1">
      <c r="A63" s="211" t="s">
        <v>483</v>
      </c>
    </row>
    <row r="64" spans="1:12" ht="15" customHeight="1">
      <c r="A64" s="211" t="s">
        <v>484</v>
      </c>
    </row>
    <row r="65" spans="1:4" ht="15" customHeight="1">
      <c r="A65" s="211" t="s">
        <v>485</v>
      </c>
    </row>
    <row r="66" spans="1:4" ht="15" customHeight="1">
      <c r="A66" s="211" t="s">
        <v>486</v>
      </c>
    </row>
    <row r="67" spans="1:4" ht="15" customHeight="1"/>
    <row r="68" spans="1:4" ht="15" customHeight="1">
      <c r="A68" s="212" t="s">
        <v>487</v>
      </c>
    </row>
    <row r="69" spans="1:4" ht="15" customHeight="1">
      <c r="A69" s="211" t="s">
        <v>488</v>
      </c>
    </row>
    <row r="70" spans="1:4" ht="15" customHeight="1">
      <c r="A70" s="211" t="s">
        <v>489</v>
      </c>
    </row>
    <row r="71" spans="1:4" ht="15" customHeight="1">
      <c r="A71" s="211" t="s">
        <v>41</v>
      </c>
    </row>
    <row r="72" spans="1:4" ht="15" customHeight="1">
      <c r="A72" s="211" t="s">
        <v>42</v>
      </c>
    </row>
    <row r="73" spans="1:4" ht="15" customHeight="1">
      <c r="A73" s="211" t="s">
        <v>490</v>
      </c>
      <c r="B73" s="211"/>
      <c r="C73" s="211"/>
      <c r="D73" s="211"/>
    </row>
    <row r="74" spans="1:4" ht="15" customHeight="1">
      <c r="A74" s="211" t="s">
        <v>491</v>
      </c>
      <c r="B74" s="211"/>
      <c r="C74" s="211"/>
      <c r="D74" s="211"/>
    </row>
    <row r="75" spans="1:4" ht="15" customHeight="1">
      <c r="A75" s="211" t="s">
        <v>492</v>
      </c>
      <c r="B75" s="211"/>
      <c r="C75" s="211"/>
      <c r="D75" s="211"/>
    </row>
    <row r="76" spans="1:4" ht="15" customHeight="1">
      <c r="A76" s="211" t="s">
        <v>43</v>
      </c>
    </row>
    <row r="77" spans="1:4" ht="15" customHeight="1">
      <c r="A77" s="211" t="s">
        <v>44</v>
      </c>
    </row>
    <row r="78" spans="1:4">
      <c r="A78" s="212" t="s">
        <v>493</v>
      </c>
    </row>
  </sheetData>
  <mergeCells count="5">
    <mergeCell ref="A1:L1"/>
    <mergeCell ref="A2:L2"/>
    <mergeCell ref="A38:A39"/>
    <mergeCell ref="L38:L39"/>
    <mergeCell ref="A8:A9"/>
  </mergeCells>
  <phoneticPr fontId="10" type="noConversion"/>
  <hyperlinks>
    <hyperlink ref="L3" location="底稿目录!A1" display="H2-1"/>
  </hyperlinks>
  <printOptions horizontalCentered="1"/>
  <pageMargins left="0.43307086614173229" right="0.39370078740157483" top="0.39370078740157483" bottom="0.39370078740157483" header="0.31496062992125984" footer="0.31496062992125984"/>
  <pageSetup paperSize="9" scale="77" fitToWidth="0" fitToHeight="0" orientation="landscape" blackAndWhite="1" r:id="rId1"/>
  <headerFooter alignWithMargins="0">
    <oddFooter>&amp;C&amp;P/&amp;N</oddFooter>
  </headerFooter>
  <rowBreaks count="1" manualBreakCount="1">
    <brk id="27" max="1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B48"/>
  <sheetViews>
    <sheetView view="pageBreakPreview" zoomScaleNormal="115" zoomScaleSheetLayoutView="100" workbookViewId="0">
      <selection sqref="A1:M1"/>
    </sheetView>
  </sheetViews>
  <sheetFormatPr defaultColWidth="7" defaultRowHeight="19.95" customHeight="1"/>
  <cols>
    <col min="1" max="2" width="8.8984375" style="202" customWidth="1"/>
    <col min="3" max="3" width="10" style="202" customWidth="1"/>
    <col min="4" max="4" width="9" style="202" customWidth="1"/>
    <col min="5" max="5" width="11" style="202" customWidth="1"/>
    <col min="6" max="6" width="10.8984375" style="202" customWidth="1"/>
    <col min="7" max="7" width="12.59765625" style="202" customWidth="1"/>
    <col min="8" max="8" width="9.8984375" style="202" customWidth="1"/>
    <col min="9" max="9" width="10.69921875" style="202" customWidth="1"/>
    <col min="10" max="10" width="9.69921875" style="202" customWidth="1"/>
    <col min="11" max="11" width="13.19921875" style="202" customWidth="1"/>
    <col min="12" max="12" width="11" style="202" customWidth="1"/>
    <col min="13" max="13" width="7.69921875" style="202" bestFit="1" customWidth="1"/>
    <col min="14" max="16384" width="7" style="202"/>
  </cols>
  <sheetData>
    <row r="1" spans="1:28" s="17" customFormat="1" ht="19.95" customHeight="1">
      <c r="A1" s="682" t="s">
        <v>810</v>
      </c>
      <c r="B1" s="682"/>
      <c r="C1" s="682"/>
      <c r="D1" s="682"/>
      <c r="E1" s="682"/>
      <c r="F1" s="682"/>
      <c r="G1" s="682"/>
      <c r="H1" s="682"/>
      <c r="I1" s="682"/>
      <c r="J1" s="682"/>
      <c r="K1" s="682"/>
      <c r="L1" s="682"/>
      <c r="M1" s="682"/>
      <c r="N1" s="248"/>
      <c r="O1" s="248"/>
      <c r="P1" s="248"/>
    </row>
    <row r="2" spans="1:28" s="432" customFormat="1" ht="19.95" customHeight="1">
      <c r="A2" s="683" t="s">
        <v>822</v>
      </c>
      <c r="B2" s="683"/>
      <c r="C2" s="683"/>
      <c r="D2" s="683"/>
      <c r="E2" s="683"/>
      <c r="F2" s="683"/>
      <c r="G2" s="683"/>
      <c r="H2" s="683"/>
      <c r="I2" s="683"/>
      <c r="J2" s="683"/>
      <c r="K2" s="683"/>
      <c r="L2" s="683"/>
      <c r="M2" s="683"/>
      <c r="N2" s="433"/>
      <c r="O2" s="433"/>
      <c r="P2" s="433"/>
    </row>
    <row r="3" spans="1:28" s="2" customFormat="1" ht="19.95" customHeight="1">
      <c r="A3" s="2" t="str">
        <f>底稿目录!A2</f>
        <v>被审计单位：</v>
      </c>
      <c r="F3" s="2" t="str">
        <f>底稿目录!A4</f>
        <v>编制人：</v>
      </c>
      <c r="H3" s="82"/>
      <c r="I3" s="2" t="str">
        <f>底稿目录!A6</f>
        <v>编制日期：</v>
      </c>
      <c r="L3" s="440" t="s">
        <v>832</v>
      </c>
      <c r="M3" s="256" t="s">
        <v>142</v>
      </c>
    </row>
    <row r="4" spans="1:28" s="2" customFormat="1" ht="19.95" customHeight="1">
      <c r="A4" s="2" t="str">
        <f>底稿目录!A3</f>
        <v>截止日：202X年12月31日</v>
      </c>
      <c r="F4" s="2" t="str">
        <f>底稿目录!A5</f>
        <v>复核人：</v>
      </c>
      <c r="H4" s="82"/>
      <c r="I4" s="2" t="str">
        <f>底稿目录!A7</f>
        <v>复核日期：</v>
      </c>
      <c r="L4" s="440" t="s">
        <v>833</v>
      </c>
    </row>
    <row r="5" spans="1:28" s="498" customFormat="1" ht="19.95" customHeight="1">
      <c r="A5" s="496" t="s">
        <v>410</v>
      </c>
      <c r="B5" s="539"/>
      <c r="G5" s="540"/>
      <c r="K5" s="541"/>
      <c r="L5" s="542"/>
      <c r="V5" s="501"/>
      <c r="W5" s="501"/>
      <c r="X5" s="501"/>
      <c r="Y5" s="501"/>
      <c r="Z5" s="501"/>
      <c r="AA5" s="501"/>
      <c r="AB5" s="501"/>
    </row>
    <row r="6" spans="1:28" s="2" customFormat="1" ht="19.95" customHeight="1">
      <c r="A6" s="51" t="s">
        <v>238</v>
      </c>
      <c r="B6" s="8"/>
      <c r="G6" s="189"/>
      <c r="K6" s="70"/>
      <c r="L6" s="291"/>
      <c r="V6" s="64"/>
      <c r="W6" s="64"/>
      <c r="X6" s="64"/>
      <c r="Y6" s="64"/>
      <c r="Z6" s="64"/>
      <c r="AA6" s="64"/>
      <c r="AB6" s="64"/>
    </row>
    <row r="7" spans="1:28" s="2" customFormat="1" ht="19.95" customHeight="1">
      <c r="B7" s="19"/>
      <c r="C7" s="19"/>
      <c r="E7" s="19"/>
      <c r="H7" s="19"/>
      <c r="K7" s="309" t="s">
        <v>438</v>
      </c>
      <c r="L7" s="215"/>
      <c r="M7" s="19"/>
    </row>
    <row r="8" spans="1:28" s="193" customFormat="1" ht="19.95" customHeight="1">
      <c r="A8" s="690" t="s">
        <v>497</v>
      </c>
      <c r="B8" s="112" t="s">
        <v>440</v>
      </c>
      <c r="C8" s="112" t="s">
        <v>441</v>
      </c>
      <c r="D8" s="112" t="s">
        <v>442</v>
      </c>
      <c r="E8" s="112" t="s">
        <v>443</v>
      </c>
      <c r="F8" s="112" t="s">
        <v>444</v>
      </c>
      <c r="G8" s="112" t="s">
        <v>498</v>
      </c>
      <c r="H8" s="112" t="s">
        <v>446</v>
      </c>
      <c r="I8" s="112" t="s">
        <v>447</v>
      </c>
      <c r="J8" s="310" t="s">
        <v>499</v>
      </c>
      <c r="K8" s="112" t="s">
        <v>448</v>
      </c>
      <c r="L8" s="112" t="s">
        <v>500</v>
      </c>
      <c r="M8" s="691" t="s">
        <v>450</v>
      </c>
    </row>
    <row r="9" spans="1:28" s="194" customFormat="1" ht="27.6">
      <c r="A9" s="690"/>
      <c r="B9" s="113" t="s">
        <v>451</v>
      </c>
      <c r="C9" s="113" t="s">
        <v>452</v>
      </c>
      <c r="D9" s="113" t="s">
        <v>453</v>
      </c>
      <c r="E9" s="113" t="s">
        <v>454</v>
      </c>
      <c r="F9" s="113" t="s">
        <v>455</v>
      </c>
      <c r="G9" s="113" t="s">
        <v>456</v>
      </c>
      <c r="H9" s="113" t="s">
        <v>457</v>
      </c>
      <c r="I9" s="113" t="s">
        <v>458</v>
      </c>
      <c r="J9" s="113" t="s">
        <v>6</v>
      </c>
      <c r="K9" s="113" t="s">
        <v>494</v>
      </c>
      <c r="L9" s="113" t="s">
        <v>460</v>
      </c>
      <c r="M9" s="692"/>
    </row>
    <row r="10" spans="1:28" s="198" customFormat="1" ht="19.95" customHeight="1">
      <c r="A10" s="197" t="s">
        <v>461</v>
      </c>
      <c r="B10" s="196"/>
      <c r="C10" s="196"/>
      <c r="D10" s="196"/>
      <c r="E10" s="196"/>
      <c r="F10" s="196"/>
      <c r="G10" s="184">
        <f>SUM(B10:F10)</f>
        <v>0</v>
      </c>
      <c r="H10" s="196"/>
      <c r="I10" s="196"/>
      <c r="J10" s="196"/>
      <c r="K10" s="184">
        <f>G10+I10-D10</f>
        <v>0</v>
      </c>
      <c r="L10" s="184">
        <f>K10*$L$7</f>
        <v>0</v>
      </c>
      <c r="M10" s="197"/>
    </row>
    <row r="11" spans="1:28" ht="19.95" customHeight="1">
      <c r="A11" s="83" t="s">
        <v>462</v>
      </c>
      <c r="B11" s="196"/>
      <c r="C11" s="196"/>
      <c r="D11" s="196"/>
      <c r="E11" s="196"/>
      <c r="F11" s="196"/>
      <c r="G11" s="184">
        <f t="shared" ref="G11:G22" si="0">SUM(B11:F11)</f>
        <v>0</v>
      </c>
      <c r="H11" s="196"/>
      <c r="I11" s="196"/>
      <c r="J11" s="196"/>
      <c r="K11" s="184">
        <f>K10+(G11-H11-D11+I11-J11)/2</f>
        <v>0</v>
      </c>
      <c r="L11" s="184">
        <f t="shared" ref="L11:L22" si="1">K11*$L$7</f>
        <v>0</v>
      </c>
      <c r="M11" s="201"/>
    </row>
    <row r="12" spans="1:28" ht="19.95" customHeight="1">
      <c r="A12" s="83" t="s">
        <v>463</v>
      </c>
      <c r="B12" s="196"/>
      <c r="C12" s="196"/>
      <c r="D12" s="196"/>
      <c r="E12" s="196"/>
      <c r="F12" s="196"/>
      <c r="G12" s="184">
        <f t="shared" si="0"/>
        <v>0</v>
      </c>
      <c r="H12" s="196"/>
      <c r="I12" s="196"/>
      <c r="J12" s="196"/>
      <c r="K12" s="184">
        <f t="shared" ref="K12:K22" si="2">K11+(G12-H12-D12+I12-J12)/2</f>
        <v>0</v>
      </c>
      <c r="L12" s="184">
        <f t="shared" si="1"/>
        <v>0</v>
      </c>
      <c r="M12" s="201"/>
    </row>
    <row r="13" spans="1:28" ht="19.95" customHeight="1">
      <c r="A13" s="83" t="s">
        <v>464</v>
      </c>
      <c r="B13" s="196"/>
      <c r="C13" s="196"/>
      <c r="D13" s="196"/>
      <c r="E13" s="196"/>
      <c r="F13" s="196"/>
      <c r="G13" s="184">
        <f t="shared" si="0"/>
        <v>0</v>
      </c>
      <c r="H13" s="196"/>
      <c r="I13" s="196"/>
      <c r="J13" s="196"/>
      <c r="K13" s="184">
        <f t="shared" si="2"/>
        <v>0</v>
      </c>
      <c r="L13" s="184">
        <f t="shared" si="1"/>
        <v>0</v>
      </c>
      <c r="M13" s="201"/>
    </row>
    <row r="14" spans="1:28" ht="19.95" customHeight="1">
      <c r="A14" s="83" t="s">
        <v>465</v>
      </c>
      <c r="B14" s="196"/>
      <c r="C14" s="196"/>
      <c r="D14" s="196"/>
      <c r="E14" s="196"/>
      <c r="F14" s="196"/>
      <c r="G14" s="184">
        <f t="shared" si="0"/>
        <v>0</v>
      </c>
      <c r="H14" s="196"/>
      <c r="I14" s="196"/>
      <c r="J14" s="196"/>
      <c r="K14" s="184">
        <f t="shared" si="2"/>
        <v>0</v>
      </c>
      <c r="L14" s="184">
        <f t="shared" si="1"/>
        <v>0</v>
      </c>
      <c r="M14" s="201"/>
    </row>
    <row r="15" spans="1:28" ht="19.95" customHeight="1">
      <c r="A15" s="83" t="s">
        <v>466</v>
      </c>
      <c r="B15" s="196"/>
      <c r="C15" s="196"/>
      <c r="D15" s="196"/>
      <c r="E15" s="196"/>
      <c r="F15" s="196"/>
      <c r="G15" s="184">
        <f t="shared" si="0"/>
        <v>0</v>
      </c>
      <c r="H15" s="196"/>
      <c r="I15" s="196"/>
      <c r="J15" s="196"/>
      <c r="K15" s="184">
        <f t="shared" si="2"/>
        <v>0</v>
      </c>
      <c r="L15" s="184">
        <f t="shared" si="1"/>
        <v>0</v>
      </c>
      <c r="M15" s="201"/>
    </row>
    <row r="16" spans="1:28" ht="19.95" customHeight="1">
      <c r="A16" s="83" t="s">
        <v>467</v>
      </c>
      <c r="B16" s="196"/>
      <c r="C16" s="196"/>
      <c r="D16" s="196"/>
      <c r="E16" s="196"/>
      <c r="F16" s="196"/>
      <c r="G16" s="184">
        <f t="shared" si="0"/>
        <v>0</v>
      </c>
      <c r="H16" s="196"/>
      <c r="I16" s="196"/>
      <c r="J16" s="196"/>
      <c r="K16" s="184">
        <f t="shared" si="2"/>
        <v>0</v>
      </c>
      <c r="L16" s="184">
        <f t="shared" si="1"/>
        <v>0</v>
      </c>
      <c r="M16" s="201"/>
    </row>
    <row r="17" spans="1:13" ht="19.95" customHeight="1">
      <c r="A17" s="83" t="s">
        <v>468</v>
      </c>
      <c r="B17" s="196"/>
      <c r="C17" s="196"/>
      <c r="D17" s="196"/>
      <c r="E17" s="196"/>
      <c r="F17" s="196"/>
      <c r="G17" s="184">
        <f t="shared" si="0"/>
        <v>0</v>
      </c>
      <c r="H17" s="196"/>
      <c r="I17" s="196"/>
      <c r="J17" s="196"/>
      <c r="K17" s="184">
        <f t="shared" si="2"/>
        <v>0</v>
      </c>
      <c r="L17" s="184">
        <f t="shared" si="1"/>
        <v>0</v>
      </c>
      <c r="M17" s="201"/>
    </row>
    <row r="18" spans="1:13" ht="19.95" customHeight="1">
      <c r="A18" s="83" t="s">
        <v>469</v>
      </c>
      <c r="B18" s="196"/>
      <c r="C18" s="196"/>
      <c r="D18" s="196"/>
      <c r="E18" s="196"/>
      <c r="F18" s="196"/>
      <c r="G18" s="184">
        <f t="shared" si="0"/>
        <v>0</v>
      </c>
      <c r="H18" s="196"/>
      <c r="I18" s="196"/>
      <c r="J18" s="196"/>
      <c r="K18" s="184">
        <f t="shared" si="2"/>
        <v>0</v>
      </c>
      <c r="L18" s="184">
        <f t="shared" si="1"/>
        <v>0</v>
      </c>
      <c r="M18" s="201"/>
    </row>
    <row r="19" spans="1:13" ht="19.95" customHeight="1">
      <c r="A19" s="83" t="s">
        <v>470</v>
      </c>
      <c r="B19" s="196"/>
      <c r="C19" s="196"/>
      <c r="D19" s="196"/>
      <c r="E19" s="196"/>
      <c r="F19" s="196"/>
      <c r="G19" s="184">
        <f t="shared" si="0"/>
        <v>0</v>
      </c>
      <c r="H19" s="196"/>
      <c r="I19" s="196"/>
      <c r="J19" s="196"/>
      <c r="K19" s="184">
        <f t="shared" si="2"/>
        <v>0</v>
      </c>
      <c r="L19" s="184">
        <f t="shared" si="1"/>
        <v>0</v>
      </c>
      <c r="M19" s="201"/>
    </row>
    <row r="20" spans="1:13" ht="19.95" customHeight="1">
      <c r="A20" s="83" t="s">
        <v>471</v>
      </c>
      <c r="B20" s="196"/>
      <c r="C20" s="196"/>
      <c r="D20" s="196"/>
      <c r="E20" s="196"/>
      <c r="F20" s="196"/>
      <c r="G20" s="184">
        <f t="shared" si="0"/>
        <v>0</v>
      </c>
      <c r="H20" s="196"/>
      <c r="I20" s="196"/>
      <c r="J20" s="196"/>
      <c r="K20" s="184">
        <f t="shared" si="2"/>
        <v>0</v>
      </c>
      <c r="L20" s="184">
        <f t="shared" si="1"/>
        <v>0</v>
      </c>
      <c r="M20" s="201"/>
    </row>
    <row r="21" spans="1:13" ht="19.95" customHeight="1">
      <c r="A21" s="83" t="s">
        <v>472</v>
      </c>
      <c r="B21" s="196"/>
      <c r="C21" s="196"/>
      <c r="D21" s="196"/>
      <c r="E21" s="196"/>
      <c r="F21" s="196"/>
      <c r="G21" s="184">
        <f t="shared" si="0"/>
        <v>0</v>
      </c>
      <c r="H21" s="196"/>
      <c r="I21" s="196"/>
      <c r="J21" s="196"/>
      <c r="K21" s="184">
        <f t="shared" si="2"/>
        <v>0</v>
      </c>
      <c r="L21" s="184">
        <f t="shared" si="1"/>
        <v>0</v>
      </c>
      <c r="M21" s="201"/>
    </row>
    <row r="22" spans="1:13" ht="19.95" customHeight="1">
      <c r="A22" s="83" t="s">
        <v>473</v>
      </c>
      <c r="B22" s="196"/>
      <c r="C22" s="196"/>
      <c r="D22" s="196"/>
      <c r="E22" s="196"/>
      <c r="F22" s="196"/>
      <c r="G22" s="184">
        <f t="shared" si="0"/>
        <v>0</v>
      </c>
      <c r="H22" s="196"/>
      <c r="I22" s="196"/>
      <c r="J22" s="196"/>
      <c r="K22" s="184">
        <f t="shared" si="2"/>
        <v>0</v>
      </c>
      <c r="L22" s="184">
        <f t="shared" si="1"/>
        <v>0</v>
      </c>
      <c r="M22" s="201"/>
    </row>
    <row r="23" spans="1:13" s="205" customFormat="1" ht="19.95" customHeight="1">
      <c r="A23" s="204" t="s">
        <v>800</v>
      </c>
      <c r="B23" s="366">
        <f>SUM(B11:B22)</f>
        <v>0</v>
      </c>
      <c r="C23" s="366">
        <f t="shared" ref="C23:L23" si="3">SUM(C11:C22)</f>
        <v>0</v>
      </c>
      <c r="D23" s="366">
        <f t="shared" si="3"/>
        <v>0</v>
      </c>
      <c r="E23" s="366">
        <f t="shared" si="3"/>
        <v>0</v>
      </c>
      <c r="F23" s="366">
        <f t="shared" si="3"/>
        <v>0</v>
      </c>
      <c r="G23" s="366">
        <f t="shared" si="3"/>
        <v>0</v>
      </c>
      <c r="H23" s="366">
        <f t="shared" si="3"/>
        <v>0</v>
      </c>
      <c r="I23" s="366">
        <f>SUM(I11:I22)</f>
        <v>0</v>
      </c>
      <c r="J23" s="366">
        <f t="shared" si="3"/>
        <v>0</v>
      </c>
      <c r="K23" s="366">
        <f>SUM(K11:K22)</f>
        <v>0</v>
      </c>
      <c r="L23" s="366">
        <f t="shared" si="3"/>
        <v>0</v>
      </c>
      <c r="M23" s="204"/>
    </row>
    <row r="24" spans="1:13" ht="19.95" customHeight="1">
      <c r="A24" s="201" t="s">
        <v>474</v>
      </c>
      <c r="B24" s="200"/>
      <c r="C24" s="201"/>
      <c r="D24" s="201"/>
      <c r="E24" s="201"/>
      <c r="F24" s="201"/>
      <c r="G24" s="184">
        <f>SUM(B24:F24)</f>
        <v>0</v>
      </c>
      <c r="H24" s="207"/>
      <c r="I24" s="207"/>
      <c r="J24" s="207"/>
      <c r="K24" s="311" t="s">
        <v>501</v>
      </c>
      <c r="L24" s="207"/>
      <c r="M24" s="201"/>
    </row>
    <row r="25" spans="1:13" s="205" customFormat="1" ht="19.95" customHeight="1">
      <c r="A25" s="204" t="s">
        <v>803</v>
      </c>
      <c r="B25" s="366">
        <f>B10+B23-B24</f>
        <v>0</v>
      </c>
      <c r="C25" s="366">
        <f t="shared" ref="C25:G25" si="4">C10+C23-C24</f>
        <v>0</v>
      </c>
      <c r="D25" s="366">
        <f t="shared" si="4"/>
        <v>0</v>
      </c>
      <c r="E25" s="366">
        <f t="shared" si="4"/>
        <v>0</v>
      </c>
      <c r="F25" s="366">
        <f t="shared" si="4"/>
        <v>0</v>
      </c>
      <c r="G25" s="366">
        <f t="shared" si="4"/>
        <v>0</v>
      </c>
      <c r="H25" s="208"/>
      <c r="I25" s="208"/>
      <c r="J25" s="208"/>
      <c r="K25" s="399" t="s">
        <v>804</v>
      </c>
      <c r="L25" s="400">
        <f>L23+L24-D23</f>
        <v>0</v>
      </c>
      <c r="M25" s="401" t="e">
        <f>L25/L23</f>
        <v>#DIV/0!</v>
      </c>
    </row>
    <row r="26" spans="1:13" ht="19.95" customHeight="1">
      <c r="A26" s="205" t="s">
        <v>476</v>
      </c>
      <c r="H26" s="205" t="s">
        <v>477</v>
      </c>
    </row>
    <row r="27" spans="1:13" ht="19.95" customHeight="1">
      <c r="B27" s="202" t="s">
        <v>502</v>
      </c>
      <c r="H27" s="209" t="s">
        <v>479</v>
      </c>
    </row>
    <row r="28" spans="1:13" ht="19.95" customHeight="1">
      <c r="B28" s="202" t="s">
        <v>495</v>
      </c>
      <c r="H28" s="209" t="s">
        <v>481</v>
      </c>
      <c r="K28" s="545"/>
      <c r="L28" s="545"/>
    </row>
    <row r="29" spans="1:13" ht="19.95" customHeight="1">
      <c r="B29" s="202" t="s">
        <v>480</v>
      </c>
      <c r="I29" s="202" t="s">
        <v>482</v>
      </c>
      <c r="K29" s="545"/>
      <c r="L29" s="545"/>
    </row>
    <row r="32" spans="1:13" ht="19.95" customHeight="1">
      <c r="A32" s="21" t="s">
        <v>878</v>
      </c>
    </row>
    <row r="33" spans="1:1" ht="19.95" customHeight="1">
      <c r="A33" s="211" t="s">
        <v>483</v>
      </c>
    </row>
    <row r="34" spans="1:1" ht="19.95" customHeight="1">
      <c r="A34" s="211" t="s">
        <v>484</v>
      </c>
    </row>
    <row r="35" spans="1:1" ht="19.95" customHeight="1">
      <c r="A35" s="211" t="s">
        <v>485</v>
      </c>
    </row>
    <row r="36" spans="1:1" ht="19.95" customHeight="1">
      <c r="A36" s="211" t="s">
        <v>486</v>
      </c>
    </row>
    <row r="38" spans="1:1" ht="19.95" customHeight="1">
      <c r="A38" s="212" t="s">
        <v>487</v>
      </c>
    </row>
    <row r="39" spans="1:1" ht="19.95" customHeight="1">
      <c r="A39" s="211" t="s">
        <v>503</v>
      </c>
    </row>
    <row r="40" spans="1:1" ht="19.95" customHeight="1">
      <c r="A40" s="211" t="s">
        <v>489</v>
      </c>
    </row>
    <row r="41" spans="1:1" ht="19.95" customHeight="1">
      <c r="A41" s="211" t="s">
        <v>41</v>
      </c>
    </row>
    <row r="42" spans="1:1" ht="19.95" customHeight="1">
      <c r="A42" s="211" t="s">
        <v>42</v>
      </c>
    </row>
    <row r="43" spans="1:1" ht="19.95" customHeight="1">
      <c r="A43" s="312" t="s">
        <v>504</v>
      </c>
    </row>
    <row r="44" spans="1:1" ht="19.95" customHeight="1">
      <c r="A44" s="312" t="s">
        <v>505</v>
      </c>
    </row>
    <row r="45" spans="1:1" ht="19.95" customHeight="1">
      <c r="A45" s="211" t="s">
        <v>496</v>
      </c>
    </row>
    <row r="46" spans="1:1" ht="19.95" customHeight="1">
      <c r="A46" s="211" t="s">
        <v>43</v>
      </c>
    </row>
    <row r="47" spans="1:1" ht="19.95" customHeight="1">
      <c r="A47" s="211" t="s">
        <v>44</v>
      </c>
    </row>
    <row r="48" spans="1:1" ht="19.95" customHeight="1">
      <c r="A48" s="212" t="s">
        <v>493</v>
      </c>
    </row>
  </sheetData>
  <mergeCells count="4">
    <mergeCell ref="A1:M1"/>
    <mergeCell ref="A2:M2"/>
    <mergeCell ref="A8:A9"/>
    <mergeCell ref="M8:M9"/>
  </mergeCells>
  <phoneticPr fontId="10" type="noConversion"/>
  <hyperlinks>
    <hyperlink ref="M3" location="底稿目录!A1" display="H2-1"/>
  </hyperlinks>
  <printOptions horizontalCentered="1"/>
  <pageMargins left="0.43307086614173229" right="0.39370078740157483" top="0.39370078740157483" bottom="0.39370078740157483" header="0.31496062992125984" footer="0.31496062992125984"/>
  <pageSetup paperSize="9" scale="92" orientation="landscape" blackAndWhite="1" r:id="rId1"/>
  <headerFooter alignWithMargins="0">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O58"/>
  <sheetViews>
    <sheetView view="pageBreakPreview" zoomScaleNormal="100" zoomScaleSheetLayoutView="100" workbookViewId="0">
      <selection sqref="A1:I1"/>
    </sheetView>
  </sheetViews>
  <sheetFormatPr defaultColWidth="9" defaultRowHeight="19.95" customHeight="1"/>
  <cols>
    <col min="1" max="8" width="11.8984375" style="43" customWidth="1"/>
    <col min="9" max="9" width="14" style="43" customWidth="1"/>
    <col min="10" max="10" width="6.19921875" style="43" customWidth="1"/>
    <col min="11" max="11" width="10.5" style="43" customWidth="1"/>
    <col min="12" max="12" width="9" style="43"/>
    <col min="13" max="13" width="7.09765625" style="43" customWidth="1"/>
    <col min="14" max="16384" width="9" style="43"/>
  </cols>
  <sheetData>
    <row r="1" spans="1:15" s="42" customFormat="1" ht="19.95" customHeight="1">
      <c r="A1" s="695" t="s">
        <v>810</v>
      </c>
      <c r="B1" s="695"/>
      <c r="C1" s="695"/>
      <c r="D1" s="695"/>
      <c r="E1" s="695"/>
      <c r="F1" s="695"/>
      <c r="G1" s="695"/>
      <c r="H1" s="695"/>
      <c r="I1" s="695"/>
      <c r="J1" s="63"/>
      <c r="K1" s="63"/>
      <c r="L1" s="63"/>
      <c r="M1" s="63"/>
      <c r="N1" s="63"/>
      <c r="O1" s="63"/>
    </row>
    <row r="2" spans="1:15" s="42" customFormat="1" ht="19.95" customHeight="1">
      <c r="A2" s="696" t="s">
        <v>823</v>
      </c>
      <c r="B2" s="696"/>
      <c r="C2" s="696"/>
      <c r="D2" s="696"/>
      <c r="E2" s="696"/>
      <c r="F2" s="696"/>
      <c r="G2" s="696"/>
      <c r="H2" s="696"/>
      <c r="I2" s="696"/>
      <c r="J2" s="63"/>
      <c r="K2" s="63"/>
      <c r="L2" s="63"/>
      <c r="M2" s="63"/>
      <c r="N2" s="63"/>
      <c r="O2" s="63"/>
    </row>
    <row r="3" spans="1:15" ht="19.95" customHeight="1">
      <c r="A3" s="2" t="str">
        <f>底稿目录!A2</f>
        <v>被审计单位：</v>
      </c>
      <c r="C3" s="2"/>
      <c r="D3" s="2" t="str">
        <f>底稿目录!A4</f>
        <v>编制人：</v>
      </c>
      <c r="F3" s="2" t="str">
        <f>底稿目录!A6</f>
        <v>编制日期：</v>
      </c>
      <c r="G3" s="84"/>
      <c r="H3" s="440" t="s">
        <v>832</v>
      </c>
      <c r="I3" s="256" t="s">
        <v>143</v>
      </c>
      <c r="L3" s="2"/>
      <c r="M3" s="2"/>
    </row>
    <row r="4" spans="1:15" ht="19.95" customHeight="1">
      <c r="A4" s="2" t="str">
        <f>底稿目录!A3</f>
        <v>截止日：202X年12月31日</v>
      </c>
      <c r="C4" s="2"/>
      <c r="D4" s="2" t="str">
        <f>底稿目录!A5</f>
        <v>复核人：</v>
      </c>
      <c r="F4" s="2" t="str">
        <f>底稿目录!A7</f>
        <v>复核日期：</v>
      </c>
      <c r="G4" s="84"/>
      <c r="H4" s="440" t="s">
        <v>833</v>
      </c>
      <c r="I4" s="2"/>
      <c r="L4" s="2"/>
      <c r="M4" s="2"/>
    </row>
    <row r="5" spans="1:15" s="313" customFormat="1" ht="19.95" customHeight="1">
      <c r="A5" s="313" t="s">
        <v>506</v>
      </c>
      <c r="F5" s="313" t="s">
        <v>507</v>
      </c>
    </row>
    <row r="6" spans="1:15" s="65" customFormat="1" ht="19.95" customHeight="1">
      <c r="A6" s="313" t="s">
        <v>508</v>
      </c>
    </row>
    <row r="7" spans="1:15" s="65" customFormat="1" ht="19.95" customHeight="1">
      <c r="A7" s="313"/>
    </row>
    <row r="8" spans="1:15" s="65" customFormat="1" ht="19.95" customHeight="1">
      <c r="A8" s="313" t="s">
        <v>509</v>
      </c>
    </row>
    <row r="9" spans="1:15" s="65" customFormat="1" ht="19.95" customHeight="1">
      <c r="A9" s="313" t="s">
        <v>510</v>
      </c>
    </row>
    <row r="10" spans="1:15" s="65" customFormat="1" ht="19.95" customHeight="1">
      <c r="A10" s="65" t="s">
        <v>511</v>
      </c>
    </row>
    <row r="11" spans="1:15" s="65" customFormat="1" ht="19.95" customHeight="1">
      <c r="A11" s="65" t="s">
        <v>512</v>
      </c>
    </row>
    <row r="12" spans="1:15" s="65" customFormat="1" ht="19.95" customHeight="1">
      <c r="A12" s="89" t="s">
        <v>167</v>
      </c>
      <c r="B12" s="89" t="s">
        <v>513</v>
      </c>
      <c r="C12" s="89" t="s">
        <v>514</v>
      </c>
      <c r="D12" s="314" t="s">
        <v>515</v>
      </c>
      <c r="E12" s="89" t="s">
        <v>516</v>
      </c>
      <c r="F12" s="89" t="s">
        <v>517</v>
      </c>
      <c r="G12" s="89" t="s">
        <v>518</v>
      </c>
    </row>
    <row r="13" spans="1:15" s="65" customFormat="1" ht="19.95" customHeight="1">
      <c r="A13" s="67">
        <v>1</v>
      </c>
      <c r="B13" s="315"/>
      <c r="C13" s="315"/>
      <c r="D13" s="315"/>
      <c r="E13" s="216">
        <f>C13-D13</f>
        <v>0</v>
      </c>
      <c r="F13" s="315"/>
      <c r="G13" s="315"/>
    </row>
    <row r="14" spans="1:15" s="65" customFormat="1" ht="19.95" customHeight="1">
      <c r="A14" s="67">
        <v>2</v>
      </c>
      <c r="B14" s="315"/>
      <c r="C14" s="315"/>
      <c r="D14" s="315"/>
      <c r="E14" s="216">
        <f t="shared" ref="E14:E15" si="0">C14-D14</f>
        <v>0</v>
      </c>
      <c r="F14" s="315"/>
      <c r="G14" s="315"/>
    </row>
    <row r="15" spans="1:15" s="65" customFormat="1" ht="19.95" customHeight="1">
      <c r="A15" s="67">
        <v>3</v>
      </c>
      <c r="B15" s="315"/>
      <c r="C15" s="315"/>
      <c r="D15" s="315"/>
      <c r="E15" s="216">
        <f t="shared" si="0"/>
        <v>0</v>
      </c>
      <c r="F15" s="315"/>
      <c r="G15" s="315"/>
    </row>
    <row r="16" spans="1:15" s="65" customFormat="1" ht="19.95" customHeight="1">
      <c r="A16" s="313" t="s">
        <v>519</v>
      </c>
    </row>
    <row r="17" spans="1:12" s="66" customFormat="1" ht="19.95" customHeight="1">
      <c r="A17" s="65" t="s">
        <v>520</v>
      </c>
      <c r="B17" s="65"/>
      <c r="C17" s="65"/>
      <c r="D17" s="65"/>
      <c r="E17" s="65"/>
      <c r="F17" s="65"/>
      <c r="G17" s="65"/>
      <c r="H17" s="65"/>
      <c r="I17" s="65"/>
      <c r="J17" s="65"/>
      <c r="K17" s="65"/>
      <c r="L17" s="65"/>
    </row>
    <row r="18" spans="1:12" s="66" customFormat="1" ht="19.95" customHeight="1">
      <c r="A18" s="65" t="s">
        <v>521</v>
      </c>
      <c r="B18" s="65"/>
      <c r="C18" s="65"/>
      <c r="D18" s="65"/>
      <c r="E18" s="65"/>
      <c r="F18" s="65"/>
      <c r="G18" s="65"/>
      <c r="H18" s="65"/>
      <c r="I18" s="65"/>
      <c r="J18" s="65"/>
      <c r="K18" s="65"/>
      <c r="L18" s="65"/>
    </row>
    <row r="19" spans="1:12" s="66" customFormat="1" ht="19.95" customHeight="1">
      <c r="A19" s="65" t="s">
        <v>522</v>
      </c>
      <c r="B19" s="65"/>
      <c r="C19" s="65"/>
      <c r="D19" s="65"/>
      <c r="E19" s="65"/>
      <c r="F19" s="65" t="s">
        <v>523</v>
      </c>
      <c r="G19" s="65"/>
      <c r="H19" s="65"/>
      <c r="I19" s="65"/>
      <c r="J19" s="65"/>
      <c r="K19" s="65"/>
      <c r="L19" s="65"/>
    </row>
    <row r="20" spans="1:12" s="65" customFormat="1" ht="19.95" customHeight="1">
      <c r="A20" s="110" t="s">
        <v>524</v>
      </c>
    </row>
    <row r="21" spans="1:12" s="65" customFormat="1" ht="19.95" customHeight="1">
      <c r="A21" s="65" t="s">
        <v>525</v>
      </c>
    </row>
    <row r="22" spans="1:12" s="65" customFormat="1" ht="19.95" customHeight="1">
      <c r="A22" s="65" t="s">
        <v>526</v>
      </c>
    </row>
    <row r="23" spans="1:12" s="65" customFormat="1" ht="19.95" customHeight="1">
      <c r="A23" s="65" t="s">
        <v>527</v>
      </c>
    </row>
    <row r="24" spans="1:12" s="65" customFormat="1" ht="19.95" customHeight="1">
      <c r="A24" s="65" t="s">
        <v>528</v>
      </c>
      <c r="F24" s="65" t="s">
        <v>523</v>
      </c>
    </row>
    <row r="25" spans="1:12" s="65" customFormat="1" ht="19.95" customHeight="1">
      <c r="A25" s="65" t="s">
        <v>529</v>
      </c>
    </row>
    <row r="26" spans="1:12" s="65" customFormat="1" ht="19.95" customHeight="1">
      <c r="A26" s="313" t="s">
        <v>530</v>
      </c>
    </row>
    <row r="27" spans="1:12" s="65" customFormat="1" ht="19.95" customHeight="1">
      <c r="A27" s="65" t="s">
        <v>531</v>
      </c>
      <c r="F27" s="65" t="s">
        <v>532</v>
      </c>
    </row>
    <row r="28" spans="1:12" s="65" customFormat="1" ht="19.95" customHeight="1">
      <c r="A28" s="65" t="s">
        <v>533</v>
      </c>
      <c r="F28" s="65" t="s">
        <v>534</v>
      </c>
    </row>
    <row r="29" spans="1:12" s="65" customFormat="1" ht="19.95" customHeight="1">
      <c r="A29" s="65" t="s">
        <v>535</v>
      </c>
    </row>
    <row r="30" spans="1:12" s="65" customFormat="1" ht="19.95" customHeight="1">
      <c r="A30" s="110" t="s">
        <v>536</v>
      </c>
    </row>
    <row r="31" spans="1:12" s="65" customFormat="1" ht="19.95" customHeight="1">
      <c r="A31" s="313" t="s">
        <v>537</v>
      </c>
    </row>
    <row r="32" spans="1:12" s="65" customFormat="1" ht="19.95" customHeight="1"/>
    <row r="33" spans="1:12" s="65" customFormat="1" ht="19.95" customHeight="1">
      <c r="A33" s="110" t="s">
        <v>538</v>
      </c>
    </row>
    <row r="34" spans="1:12" s="316" customFormat="1" ht="19.95" customHeight="1">
      <c r="A34" s="313" t="s">
        <v>539</v>
      </c>
      <c r="B34" s="65"/>
      <c r="C34" s="65"/>
      <c r="D34" s="65"/>
      <c r="E34" s="65"/>
      <c r="F34" s="65"/>
      <c r="G34" s="65"/>
      <c r="H34" s="65"/>
      <c r="I34" s="65"/>
      <c r="J34" s="65"/>
      <c r="K34" s="65"/>
      <c r="L34" s="65"/>
    </row>
    <row r="35" spans="1:12" s="316" customFormat="1" ht="19.95" customHeight="1">
      <c r="A35" s="65" t="s">
        <v>540</v>
      </c>
      <c r="B35" s="65"/>
      <c r="C35" s="65"/>
      <c r="D35" s="65"/>
      <c r="E35" s="65"/>
      <c r="F35" s="65"/>
      <c r="G35" s="65"/>
      <c r="H35" s="65"/>
      <c r="I35" s="65"/>
      <c r="J35" s="65"/>
      <c r="K35" s="65"/>
      <c r="L35" s="65"/>
    </row>
    <row r="36" spans="1:12" s="316" customFormat="1" ht="19.95" customHeight="1">
      <c r="A36" s="65" t="s">
        <v>541</v>
      </c>
      <c r="B36" s="65"/>
      <c r="C36" s="65"/>
      <c r="D36" s="65"/>
      <c r="E36" s="65"/>
      <c r="F36" s="65" t="s">
        <v>542</v>
      </c>
      <c r="G36" s="65"/>
      <c r="H36" s="65"/>
      <c r="I36" s="65"/>
      <c r="J36" s="65"/>
      <c r="K36" s="65"/>
      <c r="L36" s="65"/>
    </row>
    <row r="37" spans="1:12" s="316" customFormat="1" ht="19.95" customHeight="1">
      <c r="A37" s="65" t="s">
        <v>543</v>
      </c>
      <c r="B37" s="65"/>
      <c r="C37" s="65"/>
      <c r="D37" s="65"/>
      <c r="E37" s="65"/>
      <c r="F37" s="65"/>
      <c r="G37" s="65"/>
      <c r="H37" s="65"/>
      <c r="I37" s="65"/>
      <c r="J37" s="65"/>
      <c r="K37" s="65"/>
      <c r="L37" s="65"/>
    </row>
    <row r="38" spans="1:12" s="65" customFormat="1" ht="19.95" customHeight="1">
      <c r="A38" s="65" t="s">
        <v>544</v>
      </c>
    </row>
    <row r="39" spans="1:12" s="65" customFormat="1" ht="19.95" customHeight="1">
      <c r="A39" s="445" t="s">
        <v>842</v>
      </c>
      <c r="B39" s="445" t="s">
        <v>843</v>
      </c>
      <c r="C39" s="445" t="s">
        <v>844</v>
      </c>
      <c r="D39" s="489" t="s">
        <v>516</v>
      </c>
      <c r="E39" s="489" t="s">
        <v>845</v>
      </c>
      <c r="F39" s="489" t="s">
        <v>846</v>
      </c>
      <c r="G39" s="489" t="s">
        <v>847</v>
      </c>
      <c r="H39" s="489" t="s">
        <v>848</v>
      </c>
      <c r="I39" s="489" t="s">
        <v>849</v>
      </c>
    </row>
    <row r="40" spans="1:12" s="65" customFormat="1" ht="19.95" customHeight="1">
      <c r="A40" s="315" t="s">
        <v>850</v>
      </c>
      <c r="B40" s="447">
        <v>1</v>
      </c>
      <c r="C40" s="447">
        <v>1</v>
      </c>
      <c r="D40" s="447">
        <f>B40-C40</f>
        <v>0</v>
      </c>
      <c r="E40" s="315" t="s">
        <v>851</v>
      </c>
      <c r="F40" s="447">
        <v>1</v>
      </c>
      <c r="G40" s="447">
        <v>1</v>
      </c>
      <c r="H40" s="447">
        <v>1</v>
      </c>
      <c r="I40" s="448">
        <v>0.05</v>
      </c>
    </row>
    <row r="41" spans="1:12" s="65" customFormat="1" ht="19.95" customHeight="1">
      <c r="A41" s="315"/>
      <c r="B41" s="447"/>
      <c r="C41" s="447"/>
      <c r="D41" s="447"/>
      <c r="E41" s="315"/>
      <c r="F41" s="447"/>
      <c r="G41" s="447"/>
      <c r="H41" s="447"/>
      <c r="I41" s="448"/>
    </row>
    <row r="42" spans="1:12" s="65" customFormat="1" ht="19.95" customHeight="1">
      <c r="A42" s="315"/>
      <c r="B42" s="315"/>
      <c r="C42" s="315"/>
      <c r="D42" s="315"/>
      <c r="E42" s="315"/>
      <c r="F42" s="315"/>
      <c r="G42" s="315"/>
      <c r="H42" s="315"/>
      <c r="I42" s="448"/>
    </row>
    <row r="43" spans="1:12" s="65" customFormat="1" ht="19.95" customHeight="1">
      <c r="A43" s="88" t="s">
        <v>852</v>
      </c>
      <c r="B43" s="547">
        <f>SUM(B40:B42)</f>
        <v>1</v>
      </c>
      <c r="C43" s="547">
        <f t="shared" ref="C43:I43" si="1">SUM(C40:C42)</f>
        <v>1</v>
      </c>
      <c r="D43" s="547">
        <f t="shared" si="1"/>
        <v>0</v>
      </c>
      <c r="E43" s="547">
        <f t="shared" si="1"/>
        <v>0</v>
      </c>
      <c r="F43" s="547">
        <f t="shared" si="1"/>
        <v>1</v>
      </c>
      <c r="G43" s="547">
        <f t="shared" si="1"/>
        <v>1</v>
      </c>
      <c r="H43" s="547">
        <f t="shared" si="1"/>
        <v>1</v>
      </c>
      <c r="I43" s="548">
        <f t="shared" si="1"/>
        <v>0.05</v>
      </c>
    </row>
    <row r="44" spans="1:12" s="65" customFormat="1" ht="19.95" customHeight="1">
      <c r="A44" s="65" t="s">
        <v>545</v>
      </c>
    </row>
    <row r="45" spans="1:12" s="65" customFormat="1" ht="19.95" customHeight="1">
      <c r="A45" s="65" t="s">
        <v>546</v>
      </c>
    </row>
    <row r="46" spans="1:12" s="65" customFormat="1" ht="19.95" customHeight="1">
      <c r="A46" s="65" t="s">
        <v>547</v>
      </c>
    </row>
    <row r="47" spans="1:12" s="65" customFormat="1" ht="19.95" customHeight="1">
      <c r="A47" s="65" t="s">
        <v>548</v>
      </c>
      <c r="E47" s="65" t="s">
        <v>549</v>
      </c>
    </row>
    <row r="48" spans="1:12" s="65" customFormat="1" ht="19.95" customHeight="1">
      <c r="A48" s="65" t="s">
        <v>550</v>
      </c>
    </row>
    <row r="49" spans="1:12" s="65" customFormat="1" ht="19.95" customHeight="1">
      <c r="A49" s="65" t="s">
        <v>551</v>
      </c>
    </row>
    <row r="50" spans="1:12" s="65" customFormat="1" ht="19.95" customHeight="1">
      <c r="A50" s="65" t="s">
        <v>552</v>
      </c>
    </row>
    <row r="51" spans="1:12" s="65" customFormat="1" ht="19.95" customHeight="1">
      <c r="A51" s="65" t="s">
        <v>553</v>
      </c>
      <c r="G51" s="65" t="s">
        <v>554</v>
      </c>
    </row>
    <row r="52" spans="1:12" s="65" customFormat="1" ht="19.95" customHeight="1">
      <c r="A52" s="65" t="s">
        <v>555</v>
      </c>
      <c r="G52" s="65" t="s">
        <v>554</v>
      </c>
    </row>
    <row r="53" spans="1:12" s="65" customFormat="1" ht="19.95" customHeight="1">
      <c r="A53" s="65" t="s">
        <v>556</v>
      </c>
    </row>
    <row r="54" spans="1:12" s="65" customFormat="1" ht="19.95" customHeight="1">
      <c r="A54" s="65" t="s">
        <v>557</v>
      </c>
    </row>
    <row r="55" spans="1:12" s="65" customFormat="1" ht="19.95" customHeight="1">
      <c r="A55" s="65" t="s">
        <v>558</v>
      </c>
    </row>
    <row r="56" spans="1:12" s="65" customFormat="1" ht="19.95" customHeight="1"/>
    <row r="57" spans="1:12" s="65" customFormat="1" ht="19.95" customHeight="1"/>
    <row r="58" spans="1:12" ht="19.95" customHeight="1">
      <c r="A58" s="65"/>
      <c r="B58" s="65"/>
      <c r="C58" s="65"/>
      <c r="D58" s="65"/>
      <c r="E58" s="65"/>
      <c r="F58" s="65"/>
      <c r="G58" s="65"/>
      <c r="H58" s="65"/>
      <c r="I58" s="65"/>
      <c r="J58" s="65"/>
      <c r="K58" s="65"/>
      <c r="L58" s="65"/>
    </row>
  </sheetData>
  <mergeCells count="2">
    <mergeCell ref="A1:I1"/>
    <mergeCell ref="A2:I2"/>
  </mergeCells>
  <phoneticPr fontId="10" type="noConversion"/>
  <hyperlinks>
    <hyperlink ref="I3" location="底稿目录!A1" display="H2-1"/>
  </hyperlinks>
  <printOptions horizontalCentered="1"/>
  <pageMargins left="0.43307086614173229" right="0.39370078740157483" top="0.39370078740157483" bottom="0.39370078740157483" header="0.31496062992125984" footer="0.31496062992125984"/>
  <pageSetup paperSize="9" scale="75" orientation="portrait" blackAndWhite="1" r:id="rId1"/>
  <headerFooter alignWithMargins="0">
    <oddFooter>&amp;C&amp;P/&amp;N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O40"/>
  <sheetViews>
    <sheetView showZeros="0" view="pageBreakPreview" zoomScaleNormal="115" zoomScaleSheetLayoutView="100" workbookViewId="0">
      <selection sqref="A1:O1"/>
    </sheetView>
  </sheetViews>
  <sheetFormatPr defaultColWidth="9" defaultRowHeight="19.95" customHeight="1"/>
  <cols>
    <col min="1" max="1" width="16.8984375" style="43" customWidth="1"/>
    <col min="2" max="3" width="9.5" style="43" customWidth="1"/>
    <col min="4" max="4" width="8.59765625" style="43" customWidth="1"/>
    <col min="5" max="5" width="11" style="43" customWidth="1"/>
    <col min="6" max="6" width="9.69921875" style="43" customWidth="1"/>
    <col min="7" max="7" width="11.19921875" style="43" customWidth="1"/>
    <col min="8" max="8" width="13.09765625" style="43" customWidth="1"/>
    <col min="9" max="9" width="10.5" style="43" customWidth="1"/>
    <col min="10" max="10" width="11.296875" style="43" customWidth="1"/>
    <col min="11" max="11" width="7.09765625" style="43" customWidth="1"/>
    <col min="12" max="16384" width="9" style="43"/>
  </cols>
  <sheetData>
    <row r="1" spans="1:15" s="434" customFormat="1" ht="19.95" customHeight="1">
      <c r="A1" s="697" t="s">
        <v>810</v>
      </c>
      <c r="B1" s="697"/>
      <c r="C1" s="697"/>
      <c r="D1" s="697"/>
      <c r="E1" s="697"/>
      <c r="F1" s="697"/>
      <c r="G1" s="697"/>
      <c r="H1" s="697"/>
      <c r="I1" s="697"/>
      <c r="J1" s="697"/>
      <c r="K1" s="697"/>
      <c r="L1" s="697"/>
      <c r="M1" s="697"/>
      <c r="N1" s="697"/>
      <c r="O1" s="697"/>
    </row>
    <row r="2" spans="1:15" s="42" customFormat="1" ht="19.95" customHeight="1">
      <c r="A2" s="698" t="s">
        <v>824</v>
      </c>
      <c r="B2" s="698"/>
      <c r="C2" s="698"/>
      <c r="D2" s="698"/>
      <c r="E2" s="698"/>
      <c r="F2" s="698"/>
      <c r="G2" s="698"/>
      <c r="H2" s="698"/>
      <c r="I2" s="698"/>
      <c r="J2" s="698"/>
      <c r="K2" s="698"/>
      <c r="L2" s="698"/>
      <c r="M2" s="698"/>
      <c r="N2" s="698"/>
      <c r="O2" s="698"/>
    </row>
    <row r="3" spans="1:15" ht="19.95" customHeight="1">
      <c r="A3" s="2" t="str">
        <f>底稿目录!A2</f>
        <v>被审计单位：</v>
      </c>
      <c r="B3" s="2"/>
      <c r="C3" s="2"/>
      <c r="E3" s="2"/>
      <c r="F3" s="2" t="str">
        <f>底稿目录!A4</f>
        <v>编制人：</v>
      </c>
      <c r="G3" s="38"/>
      <c r="H3" s="8"/>
      <c r="I3" s="8"/>
      <c r="K3" s="2" t="str">
        <f>底稿目录!A6</f>
        <v>编制日期：</v>
      </c>
      <c r="M3" s="64"/>
      <c r="N3" s="440" t="s">
        <v>832</v>
      </c>
      <c r="O3" s="256" t="s">
        <v>144</v>
      </c>
    </row>
    <row r="4" spans="1:15" ht="19.95" customHeight="1">
      <c r="A4" s="2" t="str">
        <f>底稿目录!A3</f>
        <v>截止日：202X年12月31日</v>
      </c>
      <c r="B4" s="2"/>
      <c r="C4" s="2"/>
      <c r="E4" s="2"/>
      <c r="F4" s="2" t="str">
        <f>底稿目录!A5</f>
        <v>复核人：</v>
      </c>
      <c r="G4" s="38"/>
      <c r="H4" s="8"/>
      <c r="I4" s="8"/>
      <c r="K4" s="2" t="str">
        <f>底稿目录!A7</f>
        <v>复核日期：</v>
      </c>
      <c r="M4" s="64"/>
      <c r="N4" s="440" t="s">
        <v>833</v>
      </c>
      <c r="O4" s="2"/>
    </row>
    <row r="5" spans="1:15" s="45" customFormat="1" ht="19.95" customHeight="1">
      <c r="A5" s="44" t="s">
        <v>565</v>
      </c>
      <c r="B5" s="44"/>
      <c r="C5" s="44"/>
      <c r="D5" s="44"/>
      <c r="E5" s="44"/>
      <c r="F5" s="44"/>
      <c r="G5" s="44"/>
      <c r="H5" s="44"/>
      <c r="I5" s="44"/>
      <c r="J5" s="44"/>
      <c r="K5" s="29"/>
      <c r="L5" s="29"/>
      <c r="M5" s="29"/>
      <c r="N5" s="29"/>
      <c r="O5" s="29"/>
    </row>
    <row r="6" spans="1:15" s="551" customFormat="1" ht="19.95" customHeight="1">
      <c r="A6" s="549" t="s">
        <v>566</v>
      </c>
      <c r="B6" s="550"/>
      <c r="C6" s="550"/>
      <c r="D6" s="550"/>
      <c r="E6" s="550"/>
      <c r="F6" s="550"/>
      <c r="G6" s="550"/>
      <c r="H6" s="550"/>
      <c r="I6" s="550"/>
      <c r="J6" s="550"/>
      <c r="K6" s="550"/>
      <c r="L6" s="550"/>
      <c r="M6" s="550"/>
      <c r="N6" s="505"/>
      <c r="O6" s="505"/>
    </row>
    <row r="7" spans="1:15" s="551" customFormat="1" ht="19.95" customHeight="1">
      <c r="A7" s="552" t="s">
        <v>392</v>
      </c>
      <c r="B7" s="552"/>
      <c r="C7" s="552"/>
      <c r="D7" s="552"/>
      <c r="E7" s="552"/>
      <c r="F7" s="552"/>
      <c r="G7" s="552"/>
      <c r="H7" s="552"/>
      <c r="I7" s="552"/>
      <c r="J7" s="552"/>
      <c r="K7" s="505"/>
      <c r="L7" s="505"/>
      <c r="M7" s="505"/>
      <c r="N7" s="505"/>
      <c r="O7" s="505"/>
    </row>
    <row r="8" spans="1:15" s="551" customFormat="1" ht="19.95" customHeight="1">
      <c r="A8" s="520" t="s">
        <v>360</v>
      </c>
      <c r="B8" s="553" t="s">
        <v>977</v>
      </c>
      <c r="C8" s="518"/>
      <c r="D8" s="518"/>
      <c r="E8" s="518"/>
      <c r="F8" s="520"/>
      <c r="G8" s="520" t="s">
        <v>567</v>
      </c>
      <c r="H8" s="521" t="s">
        <v>568</v>
      </c>
      <c r="I8" s="518"/>
      <c r="J8" s="498"/>
      <c r="K8" s="535"/>
      <c r="L8" s="535"/>
      <c r="M8" s="535"/>
    </row>
    <row r="9" spans="1:15" s="551" customFormat="1" ht="19.95" customHeight="1">
      <c r="A9" s="520" t="s">
        <v>395</v>
      </c>
      <c r="B9" s="521" t="s">
        <v>978</v>
      </c>
      <c r="C9" s="518"/>
      <c r="D9" s="518"/>
      <c r="E9" s="518"/>
      <c r="F9" s="520"/>
      <c r="G9" s="520" t="s">
        <v>569</v>
      </c>
      <c r="H9" s="521" t="s">
        <v>570</v>
      </c>
      <c r="I9" s="521" t="s">
        <v>571</v>
      </c>
      <c r="J9" s="498"/>
      <c r="K9" s="535"/>
      <c r="L9" s="537"/>
      <c r="M9" s="535"/>
    </row>
    <row r="10" spans="1:15" s="551" customFormat="1" ht="19.95" customHeight="1">
      <c r="A10" s="520" t="s">
        <v>400</v>
      </c>
      <c r="B10" s="577" t="s">
        <v>1011</v>
      </c>
      <c r="C10" s="518"/>
      <c r="D10" s="518"/>
      <c r="E10" s="518"/>
      <c r="F10" s="520"/>
      <c r="G10" s="520" t="s">
        <v>572</v>
      </c>
      <c r="H10" s="521" t="s">
        <v>370</v>
      </c>
      <c r="I10" s="518"/>
      <c r="J10" s="498"/>
      <c r="K10" s="535"/>
      <c r="L10" s="537"/>
      <c r="M10" s="535"/>
    </row>
    <row r="11" spans="1:15" s="551" customFormat="1" ht="19.95" customHeight="1">
      <c r="A11" s="552" t="s">
        <v>573</v>
      </c>
      <c r="B11" s="554"/>
      <c r="C11" s="554"/>
      <c r="D11" s="554"/>
      <c r="E11" s="555"/>
      <c r="F11" s="556"/>
      <c r="G11" s="505"/>
      <c r="H11" s="505"/>
      <c r="I11" s="505"/>
      <c r="J11" s="505"/>
      <c r="K11" s="505"/>
      <c r="L11" s="505"/>
      <c r="M11" s="505"/>
      <c r="N11" s="505"/>
      <c r="O11" s="505"/>
    </row>
    <row r="12" spans="1:15" s="562" customFormat="1" ht="19.95" customHeight="1">
      <c r="A12" s="498" t="s">
        <v>971</v>
      </c>
      <c r="B12" s="557"/>
      <c r="C12" s="558" t="s">
        <v>972</v>
      </c>
      <c r="D12" s="559" t="s">
        <v>973</v>
      </c>
      <c r="E12" s="560"/>
      <c r="F12" s="560"/>
      <c r="G12" s="561"/>
      <c r="H12" s="557"/>
      <c r="I12" s="558" t="s">
        <v>974</v>
      </c>
      <c r="J12" s="559" t="s">
        <v>975</v>
      </c>
      <c r="L12" s="563" t="s">
        <v>976</v>
      </c>
      <c r="N12" s="505"/>
      <c r="O12" s="505"/>
    </row>
    <row r="13" spans="1:15" s="502" customFormat="1" ht="19.95" customHeight="1">
      <c r="A13" s="649" t="s">
        <v>574</v>
      </c>
      <c r="B13" s="649" t="s">
        <v>562</v>
      </c>
      <c r="C13" s="649" t="s">
        <v>575</v>
      </c>
      <c r="D13" s="699" t="s">
        <v>559</v>
      </c>
      <c r="E13" s="700"/>
      <c r="F13" s="701" t="s">
        <v>576</v>
      </c>
      <c r="G13" s="701" t="s">
        <v>577</v>
      </c>
      <c r="H13" s="701" t="s">
        <v>578</v>
      </c>
      <c r="I13" s="701" t="s">
        <v>579</v>
      </c>
      <c r="J13" s="701" t="s">
        <v>563</v>
      </c>
      <c r="K13" s="641" t="s">
        <v>995</v>
      </c>
      <c r="L13" s="641" t="s">
        <v>996</v>
      </c>
      <c r="M13" s="641" t="s">
        <v>997</v>
      </c>
      <c r="N13" s="641" t="s">
        <v>998</v>
      </c>
      <c r="O13" s="641" t="s">
        <v>580</v>
      </c>
    </row>
    <row r="14" spans="1:15" s="502" customFormat="1" ht="19.95" customHeight="1">
      <c r="A14" s="649"/>
      <c r="B14" s="649"/>
      <c r="C14" s="649"/>
      <c r="D14" s="490" t="s">
        <v>560</v>
      </c>
      <c r="E14" s="490" t="s">
        <v>402</v>
      </c>
      <c r="F14" s="702"/>
      <c r="G14" s="702"/>
      <c r="H14" s="702"/>
      <c r="I14" s="702"/>
      <c r="J14" s="702"/>
      <c r="K14" s="650"/>
      <c r="L14" s="650" t="s">
        <v>999</v>
      </c>
      <c r="M14" s="650" t="s">
        <v>994</v>
      </c>
      <c r="N14" s="650" t="s">
        <v>999</v>
      </c>
      <c r="O14" s="650"/>
    </row>
    <row r="15" spans="1:15" s="2" customFormat="1" ht="19.95" customHeight="1">
      <c r="A15" s="46"/>
      <c r="B15" s="402"/>
      <c r="C15" s="47"/>
      <c r="D15" s="47"/>
      <c r="E15" s="47"/>
      <c r="F15" s="47"/>
      <c r="G15" s="47"/>
      <c r="H15" s="437">
        <f>G15-D15</f>
        <v>0</v>
      </c>
      <c r="I15" s="437">
        <f>G15-F15</f>
        <v>0</v>
      </c>
      <c r="J15" s="437">
        <f>F15-D15</f>
        <v>0</v>
      </c>
      <c r="K15" s="47"/>
      <c r="L15" s="403"/>
      <c r="M15" s="404"/>
      <c r="N15" s="47"/>
      <c r="O15" s="47"/>
    </row>
    <row r="16" spans="1:15" s="2" customFormat="1" ht="19.95" customHeight="1">
      <c r="A16" s="46"/>
      <c r="B16" s="402"/>
      <c r="C16" s="47"/>
      <c r="D16" s="47"/>
      <c r="E16" s="47"/>
      <c r="F16" s="47"/>
      <c r="G16" s="47"/>
      <c r="H16" s="437">
        <f t="shared" ref="H16:H20" si="0">G16-D16</f>
        <v>0</v>
      </c>
      <c r="I16" s="437">
        <f t="shared" ref="I16:I20" si="1">G16-F16</f>
        <v>0</v>
      </c>
      <c r="J16" s="437">
        <f t="shared" ref="J16:J20" si="2">F16-D16</f>
        <v>0</v>
      </c>
      <c r="K16" s="47"/>
      <c r="L16" s="403"/>
      <c r="M16" s="404"/>
      <c r="N16" s="47"/>
      <c r="O16" s="47"/>
    </row>
    <row r="17" spans="1:15" s="2" customFormat="1" ht="19.95" customHeight="1">
      <c r="A17" s="46"/>
      <c r="B17" s="402"/>
      <c r="C17" s="47"/>
      <c r="D17" s="47"/>
      <c r="E17" s="47"/>
      <c r="F17" s="47"/>
      <c r="G17" s="47"/>
      <c r="H17" s="437">
        <f t="shared" si="0"/>
        <v>0</v>
      </c>
      <c r="I17" s="437">
        <f t="shared" si="1"/>
        <v>0</v>
      </c>
      <c r="J17" s="437">
        <f t="shared" si="2"/>
        <v>0</v>
      </c>
      <c r="K17" s="47"/>
      <c r="L17" s="403"/>
      <c r="M17" s="404"/>
      <c r="N17" s="47"/>
      <c r="O17" s="47"/>
    </row>
    <row r="18" spans="1:15" s="2" customFormat="1" ht="19.95" customHeight="1">
      <c r="A18" s="46"/>
      <c r="B18" s="402"/>
      <c r="C18" s="47"/>
      <c r="D18" s="47"/>
      <c r="E18" s="47"/>
      <c r="F18" s="47"/>
      <c r="G18" s="47"/>
      <c r="H18" s="437">
        <f t="shared" si="0"/>
        <v>0</v>
      </c>
      <c r="I18" s="437">
        <f t="shared" si="1"/>
        <v>0</v>
      </c>
      <c r="J18" s="437">
        <f t="shared" si="2"/>
        <v>0</v>
      </c>
      <c r="K18" s="47"/>
      <c r="L18" s="403"/>
      <c r="M18" s="404"/>
      <c r="N18" s="47"/>
      <c r="O18" s="47"/>
    </row>
    <row r="19" spans="1:15" s="2" customFormat="1" ht="19.95" customHeight="1">
      <c r="A19" s="46"/>
      <c r="B19" s="402"/>
      <c r="C19" s="47"/>
      <c r="D19" s="47"/>
      <c r="E19" s="47"/>
      <c r="F19" s="47"/>
      <c r="G19" s="47"/>
      <c r="H19" s="437">
        <f t="shared" si="0"/>
        <v>0</v>
      </c>
      <c r="I19" s="437">
        <f t="shared" si="1"/>
        <v>0</v>
      </c>
      <c r="J19" s="437">
        <f t="shared" si="2"/>
        <v>0</v>
      </c>
      <c r="K19" s="47"/>
      <c r="L19" s="403"/>
      <c r="M19" s="404"/>
      <c r="N19" s="47"/>
      <c r="O19" s="47"/>
    </row>
    <row r="20" spans="1:15" s="2" customFormat="1" ht="19.95" customHeight="1">
      <c r="A20" s="46"/>
      <c r="B20" s="402"/>
      <c r="C20" s="47"/>
      <c r="D20" s="47"/>
      <c r="E20" s="47"/>
      <c r="F20" s="47"/>
      <c r="G20" s="47"/>
      <c r="H20" s="437">
        <f t="shared" si="0"/>
        <v>0</v>
      </c>
      <c r="I20" s="437">
        <f t="shared" si="1"/>
        <v>0</v>
      </c>
      <c r="J20" s="437">
        <f t="shared" si="2"/>
        <v>0</v>
      </c>
      <c r="K20" s="47"/>
      <c r="L20" s="403"/>
      <c r="M20" s="404"/>
      <c r="N20" s="47"/>
      <c r="O20" s="47"/>
    </row>
    <row r="21" spans="1:15" s="2" customFormat="1" ht="19.95" customHeight="1">
      <c r="A21" s="704" t="s">
        <v>373</v>
      </c>
      <c r="B21" s="704"/>
      <c r="C21" s="704"/>
      <c r="D21" s="405">
        <f>SUM(D15:D20)</f>
        <v>0</v>
      </c>
      <c r="E21" s="405">
        <f t="shared" ref="E21:J21" si="3">SUM(E15:E20)</f>
        <v>0</v>
      </c>
      <c r="F21" s="405">
        <f t="shared" si="3"/>
        <v>0</v>
      </c>
      <c r="G21" s="405">
        <f t="shared" si="3"/>
        <v>0</v>
      </c>
      <c r="H21" s="405">
        <f t="shared" si="3"/>
        <v>0</v>
      </c>
      <c r="I21" s="405">
        <f t="shared" si="3"/>
        <v>0</v>
      </c>
      <c r="J21" s="405">
        <f t="shared" si="3"/>
        <v>0</v>
      </c>
      <c r="K21" s="406"/>
      <c r="L21" s="406"/>
      <c r="M21" s="406"/>
      <c r="N21" s="406"/>
      <c r="O21" s="406"/>
    </row>
    <row r="22" spans="1:15" s="2" customFormat="1" ht="19.95" customHeight="1">
      <c r="A22" s="703" t="s">
        <v>581</v>
      </c>
      <c r="B22" s="703"/>
      <c r="C22" s="703"/>
      <c r="D22" s="317"/>
      <c r="E22" s="317"/>
      <c r="F22" s="317"/>
      <c r="G22" s="317"/>
      <c r="H22" s="317"/>
      <c r="I22" s="317"/>
      <c r="J22" s="317"/>
      <c r="K22" s="318"/>
      <c r="L22" s="318"/>
      <c r="M22" s="318"/>
      <c r="N22" s="318"/>
      <c r="O22" s="318"/>
    </row>
    <row r="23" spans="1:15" s="2" customFormat="1" ht="19.95" customHeight="1">
      <c r="A23" s="703" t="s">
        <v>805</v>
      </c>
      <c r="B23" s="703"/>
      <c r="C23" s="703"/>
      <c r="D23" s="318"/>
      <c r="E23" s="318"/>
      <c r="F23" s="317"/>
      <c r="G23" s="317"/>
      <c r="H23" s="317"/>
      <c r="I23" s="317"/>
      <c r="J23" s="317"/>
      <c r="K23" s="318"/>
      <c r="L23" s="318"/>
      <c r="M23" s="318"/>
      <c r="N23" s="318"/>
      <c r="O23" s="318"/>
    </row>
    <row r="24" spans="1:15" ht="19.95" customHeight="1">
      <c r="A24" s="289"/>
      <c r="B24" s="243"/>
      <c r="C24" s="243"/>
      <c r="D24" s="243"/>
      <c r="E24" s="243"/>
      <c r="F24" s="243"/>
      <c r="G24" s="243"/>
      <c r="H24" s="243"/>
      <c r="I24" s="243"/>
      <c r="J24" s="243"/>
      <c r="K24" s="243"/>
      <c r="L24" s="243"/>
      <c r="M24" s="243"/>
      <c r="N24" s="243"/>
      <c r="O24" s="243"/>
    </row>
    <row r="25" spans="1:15" ht="19.95" customHeight="1">
      <c r="A25" s="289" t="s">
        <v>583</v>
      </c>
      <c r="B25" s="243"/>
      <c r="C25" s="243"/>
      <c r="D25" s="243"/>
      <c r="E25" s="243"/>
      <c r="F25" s="243"/>
      <c r="G25" s="243"/>
      <c r="H25" s="243"/>
      <c r="I25" s="243"/>
      <c r="J25" s="243"/>
      <c r="K25" s="243"/>
      <c r="L25" s="243"/>
      <c r="M25" s="243"/>
      <c r="N25" s="243"/>
      <c r="O25" s="243"/>
    </row>
    <row r="26" spans="1:15" ht="19.95" customHeight="1">
      <c r="A26" s="2"/>
      <c r="B26" s="2"/>
      <c r="C26" s="2"/>
      <c r="D26" s="2"/>
      <c r="E26" s="2"/>
      <c r="F26" s="2"/>
      <c r="G26" s="2"/>
      <c r="H26" s="2"/>
      <c r="I26" s="2"/>
      <c r="J26" s="2"/>
      <c r="K26" s="2"/>
      <c r="L26" s="2"/>
      <c r="M26" s="2"/>
      <c r="N26" s="2"/>
      <c r="O26" s="2"/>
    </row>
    <row r="27" spans="1:15" ht="19.95" customHeight="1">
      <c r="A27" s="17" t="s">
        <v>376</v>
      </c>
      <c r="B27" s="2"/>
      <c r="C27" s="2"/>
      <c r="D27" s="2"/>
      <c r="E27" s="2"/>
      <c r="F27" s="2"/>
      <c r="G27" s="2"/>
      <c r="H27" s="2"/>
      <c r="I27" s="2"/>
      <c r="J27" s="2"/>
      <c r="K27" s="2"/>
      <c r="L27" s="2"/>
      <c r="M27" s="2"/>
      <c r="N27" s="2"/>
      <c r="O27" s="2"/>
    </row>
    <row r="28" spans="1:15" ht="19.95" customHeight="1">
      <c r="A28" s="2"/>
      <c r="B28" s="2"/>
      <c r="C28" s="2"/>
      <c r="D28" s="2"/>
      <c r="E28" s="2"/>
      <c r="F28" s="2"/>
      <c r="G28" s="2"/>
      <c r="H28" s="2"/>
      <c r="I28" s="2"/>
      <c r="J28" s="2"/>
      <c r="K28" s="2"/>
      <c r="L28" s="2"/>
      <c r="M28" s="2"/>
      <c r="N28" s="2"/>
      <c r="O28" s="2"/>
    </row>
    <row r="29" spans="1:15" ht="19.95" customHeight="1">
      <c r="A29" s="2"/>
      <c r="B29" s="2"/>
      <c r="C29" s="2"/>
      <c r="D29" s="2"/>
      <c r="E29" s="2"/>
      <c r="F29" s="2"/>
      <c r="G29" s="2"/>
      <c r="H29" s="2"/>
      <c r="I29" s="2"/>
      <c r="J29" s="2"/>
      <c r="K29" s="2"/>
      <c r="L29" s="2"/>
      <c r="M29" s="2"/>
      <c r="N29" s="2"/>
      <c r="O29" s="2"/>
    </row>
    <row r="30" spans="1:15" ht="19.95" customHeight="1">
      <c r="A30" s="452" t="s">
        <v>877</v>
      </c>
      <c r="B30" s="48"/>
      <c r="C30" s="48"/>
    </row>
    <row r="31" spans="1:15" ht="19.95" customHeight="1">
      <c r="A31" s="22" t="s">
        <v>584</v>
      </c>
      <c r="B31" s="22"/>
      <c r="C31" s="22"/>
      <c r="D31" s="2"/>
      <c r="E31" s="2"/>
      <c r="F31" s="2"/>
      <c r="G31" s="2"/>
      <c r="H31" s="2"/>
      <c r="I31" s="2"/>
      <c r="J31" s="2"/>
      <c r="K31" s="2"/>
      <c r="L31" s="2"/>
      <c r="M31" s="2"/>
      <c r="N31" s="2"/>
      <c r="O31" s="2"/>
    </row>
    <row r="32" spans="1:15" ht="19.95" customHeight="1">
      <c r="A32" s="22" t="s">
        <v>561</v>
      </c>
      <c r="B32" s="22"/>
      <c r="C32" s="22"/>
      <c r="D32" s="2"/>
      <c r="E32" s="2"/>
      <c r="F32" s="2"/>
      <c r="G32" s="2"/>
      <c r="H32" s="2"/>
      <c r="I32" s="2"/>
      <c r="J32" s="2"/>
      <c r="K32" s="2"/>
      <c r="L32" s="2"/>
      <c r="M32" s="2"/>
      <c r="N32" s="2"/>
      <c r="O32" s="2"/>
    </row>
    <row r="33" spans="1:15" ht="19.95" customHeight="1">
      <c r="A33" s="22" t="s">
        <v>564</v>
      </c>
      <c r="B33" s="22"/>
      <c r="C33" s="22"/>
      <c r="D33" s="2"/>
      <c r="E33" s="2"/>
      <c r="F33" s="2"/>
      <c r="G33" s="2"/>
      <c r="H33" s="2"/>
      <c r="I33" s="2"/>
      <c r="J33" s="2"/>
      <c r="K33" s="2"/>
      <c r="L33" s="2"/>
      <c r="M33" s="2"/>
      <c r="N33" s="2"/>
      <c r="O33" s="2"/>
    </row>
    <row r="34" spans="1:15" ht="19.95" customHeight="1">
      <c r="A34" s="22" t="s">
        <v>585</v>
      </c>
      <c r="B34" s="22"/>
      <c r="C34" s="22"/>
      <c r="D34" s="2"/>
      <c r="E34" s="2"/>
      <c r="F34" s="2"/>
      <c r="G34" s="2"/>
      <c r="H34" s="2"/>
      <c r="I34" s="2"/>
      <c r="J34" s="2"/>
      <c r="K34" s="2"/>
      <c r="L34" s="2"/>
      <c r="M34" s="2"/>
      <c r="N34" s="2"/>
      <c r="O34" s="2"/>
    </row>
    <row r="35" spans="1:15" ht="19.95" customHeight="1">
      <c r="A35" s="22" t="s">
        <v>586</v>
      </c>
      <c r="B35" s="22"/>
      <c r="C35" s="22"/>
      <c r="D35" s="2"/>
      <c r="E35" s="2"/>
      <c r="F35" s="2"/>
      <c r="G35" s="2"/>
      <c r="H35" s="2"/>
      <c r="I35" s="2"/>
      <c r="J35" s="2"/>
      <c r="K35" s="2"/>
      <c r="L35" s="2"/>
      <c r="M35" s="2"/>
      <c r="N35" s="2"/>
      <c r="O35" s="2"/>
    </row>
    <row r="36" spans="1:15" ht="19.95" customHeight="1">
      <c r="A36" s="22"/>
      <c r="B36" s="22"/>
      <c r="C36" s="22"/>
      <c r="D36" s="2"/>
      <c r="E36" s="2"/>
      <c r="F36" s="2"/>
      <c r="G36" s="2"/>
      <c r="H36" s="2"/>
      <c r="I36" s="2"/>
      <c r="J36" s="2"/>
      <c r="K36" s="2"/>
      <c r="L36" s="2"/>
      <c r="M36" s="2"/>
      <c r="N36" s="2"/>
      <c r="O36" s="2"/>
    </row>
    <row r="37" spans="1:15" ht="19.95" customHeight="1">
      <c r="A37" s="22"/>
      <c r="B37" s="22"/>
      <c r="C37" s="22"/>
      <c r="D37" s="2"/>
      <c r="E37" s="2"/>
      <c r="F37" s="2"/>
      <c r="G37" s="2"/>
      <c r="H37" s="2"/>
      <c r="I37" s="2"/>
      <c r="J37" s="2"/>
      <c r="K37" s="2"/>
      <c r="L37" s="2"/>
      <c r="M37" s="2"/>
      <c r="N37" s="2"/>
      <c r="O37" s="2"/>
    </row>
    <row r="38" spans="1:15" ht="19.95" customHeight="1">
      <c r="A38" s="22"/>
      <c r="B38" s="22"/>
      <c r="C38" s="22"/>
      <c r="D38" s="2"/>
      <c r="E38" s="2"/>
      <c r="F38" s="2"/>
      <c r="G38" s="2"/>
      <c r="H38" s="2"/>
      <c r="I38" s="2"/>
      <c r="J38" s="2"/>
      <c r="K38" s="2"/>
      <c r="L38" s="2"/>
      <c r="M38" s="2"/>
      <c r="N38" s="2"/>
      <c r="O38" s="2"/>
    </row>
    <row r="39" spans="1:15" ht="19.95" customHeight="1">
      <c r="A39" s="2"/>
      <c r="B39" s="2"/>
      <c r="C39" s="2"/>
      <c r="D39" s="2"/>
      <c r="E39" s="2"/>
      <c r="F39" s="2"/>
      <c r="G39" s="2"/>
      <c r="H39" s="2"/>
      <c r="I39" s="2"/>
      <c r="J39" s="2"/>
      <c r="K39" s="2"/>
      <c r="L39" s="2"/>
      <c r="M39" s="2"/>
      <c r="N39" s="2"/>
      <c r="O39" s="2"/>
    </row>
    <row r="40" spans="1:15" ht="19.95" customHeight="1">
      <c r="A40" s="2"/>
      <c r="B40" s="2"/>
      <c r="C40" s="2"/>
      <c r="D40" s="2"/>
      <c r="E40" s="2"/>
      <c r="F40" s="2"/>
      <c r="G40" s="2"/>
      <c r="H40" s="2"/>
      <c r="I40" s="2"/>
      <c r="J40" s="2"/>
      <c r="K40" s="2"/>
      <c r="L40" s="2"/>
      <c r="M40" s="2"/>
      <c r="N40" s="2"/>
      <c r="O40" s="2"/>
    </row>
  </sheetData>
  <mergeCells count="19">
    <mergeCell ref="A23:C23"/>
    <mergeCell ref="A21:C21"/>
    <mergeCell ref="A22:C22"/>
    <mergeCell ref="K13:K14"/>
    <mergeCell ref="L13:L14"/>
    <mergeCell ref="A1:O1"/>
    <mergeCell ref="A2:O2"/>
    <mergeCell ref="A13:A14"/>
    <mergeCell ref="B13:B14"/>
    <mergeCell ref="C13:C14"/>
    <mergeCell ref="D13:E13"/>
    <mergeCell ref="F13:F14"/>
    <mergeCell ref="N13:N14"/>
    <mergeCell ref="O13:O14"/>
    <mergeCell ref="M13:M14"/>
    <mergeCell ref="G13:G14"/>
    <mergeCell ref="H13:H14"/>
    <mergeCell ref="I13:I14"/>
    <mergeCell ref="J13:J14"/>
  </mergeCells>
  <phoneticPr fontId="10" type="noConversion"/>
  <hyperlinks>
    <hyperlink ref="O3" location="底稿目录!A1" display="H2-1"/>
  </hyperlinks>
  <printOptions horizontalCentered="1"/>
  <pageMargins left="0.43307086614173229" right="0.39370078740157483" top="0.39370078740157483" bottom="0.39370078740157483" header="0.31496062992125984" footer="0.31496062992125984"/>
  <pageSetup paperSize="9" scale="84" orientation="landscape" blackAndWhite="1" r:id="rId1"/>
  <headerFooter alignWithMargins="0">
    <oddFooter>&amp;C&amp;P/&amp;N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K85"/>
  <sheetViews>
    <sheetView view="pageBreakPreview" zoomScaleSheetLayoutView="100" workbookViewId="0">
      <selection sqref="A1:I1"/>
    </sheetView>
  </sheetViews>
  <sheetFormatPr defaultRowHeight="19.95" customHeight="1"/>
  <cols>
    <col min="1" max="1" width="9" style="68"/>
    <col min="2" max="2" width="15.19921875" style="68" customWidth="1"/>
    <col min="3" max="3" width="13.3984375" style="68" customWidth="1"/>
    <col min="4" max="4" width="10" style="68" customWidth="1"/>
    <col min="5" max="5" width="12.5" style="68" customWidth="1"/>
    <col min="6" max="9" width="9" style="68"/>
    <col min="10" max="16384" width="8.796875" style="68"/>
  </cols>
  <sheetData>
    <row r="1" spans="1:11" ht="19.95" customHeight="1">
      <c r="A1" s="695" t="s">
        <v>810</v>
      </c>
      <c r="B1" s="697"/>
      <c r="C1" s="697"/>
      <c r="D1" s="697"/>
      <c r="E1" s="697"/>
      <c r="F1" s="697"/>
      <c r="G1" s="697"/>
      <c r="H1" s="697"/>
      <c r="I1" s="697"/>
    </row>
    <row r="2" spans="1:11" ht="19.95" customHeight="1">
      <c r="A2" s="696" t="s">
        <v>825</v>
      </c>
      <c r="B2" s="696"/>
      <c r="C2" s="696"/>
      <c r="D2" s="696"/>
      <c r="E2" s="696"/>
      <c r="F2" s="696"/>
      <c r="G2" s="696"/>
      <c r="H2" s="696"/>
      <c r="I2" s="696"/>
    </row>
    <row r="3" spans="1:11" ht="19.95" customHeight="1">
      <c r="A3" s="2" t="str">
        <f>底稿目录!A2</f>
        <v>被审计单位：</v>
      </c>
      <c r="B3" s="43"/>
      <c r="C3" s="2"/>
      <c r="D3" s="2" t="str">
        <f>底稿目录!A4</f>
        <v>编制人：</v>
      </c>
      <c r="F3" s="2" t="str">
        <f>底稿目录!A6</f>
        <v>编制日期：</v>
      </c>
      <c r="G3" s="2"/>
      <c r="H3" s="440" t="s">
        <v>832</v>
      </c>
      <c r="I3" s="256" t="s">
        <v>145</v>
      </c>
    </row>
    <row r="4" spans="1:11" ht="19.95" customHeight="1">
      <c r="A4" s="2" t="str">
        <f>底稿目录!A3</f>
        <v>截止日：202X年12月31日</v>
      </c>
      <c r="B4" s="43"/>
      <c r="C4" s="2"/>
      <c r="D4" s="2" t="str">
        <f>底稿目录!A5</f>
        <v>复核人：</v>
      </c>
      <c r="F4" s="2" t="str">
        <f>底稿目录!A7</f>
        <v>复核日期：</v>
      </c>
      <c r="G4" s="2"/>
      <c r="H4" s="440" t="s">
        <v>833</v>
      </c>
      <c r="I4" s="2"/>
    </row>
    <row r="5" spans="1:11" s="65" customFormat="1" ht="19.95" customHeight="1">
      <c r="A5" s="313" t="s">
        <v>587</v>
      </c>
      <c r="J5" s="68"/>
      <c r="K5" s="68"/>
    </row>
    <row r="6" spans="1:11" s="65" customFormat="1" ht="19.95" customHeight="1">
      <c r="A6" s="313"/>
      <c r="J6" s="68"/>
      <c r="K6" s="68"/>
    </row>
    <row r="7" spans="1:11" s="65" customFormat="1" ht="19.95" customHeight="1">
      <c r="A7" s="705" t="s">
        <v>588</v>
      </c>
      <c r="B7" s="705"/>
      <c r="C7" s="705"/>
      <c r="D7" s="705"/>
      <c r="J7" s="68"/>
      <c r="K7" s="68"/>
    </row>
    <row r="8" spans="1:11" s="65" customFormat="1" ht="19.95" customHeight="1">
      <c r="A8" s="65" t="s">
        <v>589</v>
      </c>
      <c r="J8" s="68"/>
      <c r="K8" s="68"/>
    </row>
    <row r="9" spans="1:11" s="65" customFormat="1" ht="19.95" customHeight="1">
      <c r="A9" s="65" t="s">
        <v>590</v>
      </c>
      <c r="J9" s="68"/>
      <c r="K9" s="68"/>
    </row>
    <row r="10" spans="1:11" s="65" customFormat="1" ht="19.95" customHeight="1">
      <c r="J10" s="68"/>
      <c r="K10" s="68"/>
    </row>
    <row r="11" spans="1:11" s="65" customFormat="1" ht="19.95" customHeight="1">
      <c r="A11" s="705" t="s">
        <v>591</v>
      </c>
      <c r="B11" s="705"/>
      <c r="C11" s="705"/>
      <c r="D11" s="705"/>
      <c r="E11" s="705"/>
      <c r="J11" s="68"/>
      <c r="K11" s="68"/>
    </row>
    <row r="12" spans="1:11" s="65" customFormat="1" ht="19.95" customHeight="1">
      <c r="A12" s="65" t="s">
        <v>592</v>
      </c>
      <c r="J12" s="68"/>
      <c r="K12" s="68"/>
    </row>
    <row r="13" spans="1:11" s="65" customFormat="1" ht="19.95" customHeight="1">
      <c r="A13" s="87" t="s">
        <v>30</v>
      </c>
      <c r="B13" s="88" t="s">
        <v>593</v>
      </c>
      <c r="C13" s="89" t="s">
        <v>594</v>
      </c>
      <c r="D13" s="88" t="s">
        <v>595</v>
      </c>
      <c r="E13" s="88" t="s">
        <v>596</v>
      </c>
      <c r="J13" s="68"/>
      <c r="K13" s="68"/>
    </row>
    <row r="14" spans="1:11" s="65" customFormat="1" ht="19.95" customHeight="1">
      <c r="A14" s="85">
        <v>1</v>
      </c>
      <c r="B14" s="315"/>
      <c r="C14" s="86"/>
      <c r="D14" s="86"/>
      <c r="E14" s="315"/>
      <c r="J14" s="68"/>
      <c r="K14" s="68"/>
    </row>
    <row r="15" spans="1:11" s="65" customFormat="1" ht="19.95" customHeight="1">
      <c r="A15" s="85">
        <v>2</v>
      </c>
      <c r="B15" s="315"/>
      <c r="C15" s="86"/>
      <c r="D15" s="86"/>
      <c r="E15" s="315"/>
      <c r="J15" s="68"/>
      <c r="K15" s="68"/>
    </row>
    <row r="16" spans="1:11" s="65" customFormat="1" ht="19.95" customHeight="1">
      <c r="A16" s="85">
        <v>3</v>
      </c>
      <c r="B16" s="315"/>
      <c r="C16" s="86"/>
      <c r="D16" s="86"/>
      <c r="E16" s="315"/>
    </row>
    <row r="17" spans="1:11" s="65" customFormat="1" ht="19.95" customHeight="1">
      <c r="A17" s="65" t="s">
        <v>597</v>
      </c>
      <c r="E17" s="66"/>
      <c r="J17" s="319"/>
    </row>
    <row r="18" spans="1:11" s="66" customFormat="1" ht="19.95" customHeight="1">
      <c r="A18" s="87" t="s">
        <v>30</v>
      </c>
      <c r="B18" s="89" t="s">
        <v>598</v>
      </c>
      <c r="C18" s="89" t="s">
        <v>599</v>
      </c>
      <c r="D18" s="65"/>
      <c r="E18" s="65"/>
    </row>
    <row r="19" spans="1:11" s="65" customFormat="1" ht="19.95" customHeight="1">
      <c r="A19" s="85">
        <v>1</v>
      </c>
      <c r="B19" s="315"/>
      <c r="C19" s="315"/>
      <c r="J19" s="66"/>
    </row>
    <row r="20" spans="1:11" s="65" customFormat="1" ht="19.95" customHeight="1">
      <c r="A20" s="85">
        <v>2</v>
      </c>
      <c r="B20" s="315"/>
      <c r="C20" s="315"/>
      <c r="J20" s="66"/>
    </row>
    <row r="21" spans="1:11" s="65" customFormat="1" ht="19.95" customHeight="1">
      <c r="A21" s="85">
        <v>3</v>
      </c>
      <c r="B21" s="315"/>
      <c r="C21" s="315"/>
    </row>
    <row r="22" spans="1:11" s="65" customFormat="1" ht="19.95" customHeight="1">
      <c r="A22" s="65" t="s">
        <v>600</v>
      </c>
      <c r="D22" s="65" t="s">
        <v>601</v>
      </c>
      <c r="G22" s="65" t="s">
        <v>602</v>
      </c>
    </row>
    <row r="23" spans="1:11" s="65" customFormat="1" ht="19.95" customHeight="1">
      <c r="A23" s="313" t="s">
        <v>603</v>
      </c>
      <c r="B23" s="313"/>
      <c r="C23" s="313"/>
      <c r="D23" s="313"/>
      <c r="E23" s="313"/>
      <c r="F23" s="313"/>
      <c r="G23" s="313"/>
      <c r="H23" s="313"/>
      <c r="I23" s="313"/>
      <c r="J23" s="313"/>
      <c r="K23" s="313"/>
    </row>
    <row r="24" spans="1:11" s="65" customFormat="1" ht="19.95" customHeight="1">
      <c r="A24" s="706" t="s">
        <v>604</v>
      </c>
      <c r="B24" s="706"/>
      <c r="C24" s="706"/>
      <c r="D24" s="706"/>
      <c r="E24" s="706"/>
      <c r="J24" s="313"/>
      <c r="K24" s="313"/>
    </row>
    <row r="25" spans="1:11" s="322" customFormat="1" ht="19.95" customHeight="1">
      <c r="A25" s="320" t="s">
        <v>605</v>
      </c>
      <c r="B25" s="320" t="s">
        <v>606</v>
      </c>
      <c r="C25" s="320" t="s">
        <v>607</v>
      </c>
      <c r="D25" s="321" t="s">
        <v>608</v>
      </c>
      <c r="E25" s="711" t="s">
        <v>609</v>
      </c>
      <c r="F25" s="711"/>
      <c r="G25" s="711"/>
      <c r="H25" s="712" t="s">
        <v>610</v>
      </c>
      <c r="I25" s="712"/>
      <c r="K25" s="313"/>
    </row>
    <row r="26" spans="1:11" s="65" customFormat="1" ht="19.95" customHeight="1">
      <c r="A26" s="85">
        <v>1</v>
      </c>
      <c r="B26" s="323" t="s">
        <v>611</v>
      </c>
      <c r="C26" s="324"/>
      <c r="D26" s="324"/>
      <c r="E26" s="709"/>
      <c r="F26" s="709"/>
      <c r="G26" s="709"/>
      <c r="H26" s="709"/>
      <c r="I26" s="709"/>
      <c r="J26" s="313"/>
      <c r="K26" s="313"/>
    </row>
    <row r="27" spans="1:11" s="65" customFormat="1" ht="19.95" customHeight="1">
      <c r="A27" s="85">
        <v>2</v>
      </c>
      <c r="B27" s="323" t="s">
        <v>612</v>
      </c>
      <c r="C27" s="324"/>
      <c r="D27" s="324"/>
      <c r="E27" s="709"/>
      <c r="F27" s="709"/>
      <c r="G27" s="709"/>
      <c r="H27" s="709"/>
      <c r="I27" s="709"/>
      <c r="J27" s="313"/>
      <c r="K27" s="313"/>
    </row>
    <row r="28" spans="1:11" s="65" customFormat="1" ht="19.95" customHeight="1">
      <c r="A28" s="85">
        <v>3</v>
      </c>
      <c r="B28" s="323" t="s">
        <v>35</v>
      </c>
      <c r="C28" s="324"/>
      <c r="D28" s="324"/>
      <c r="E28" s="709"/>
      <c r="F28" s="709"/>
      <c r="G28" s="709"/>
      <c r="H28" s="709"/>
      <c r="I28" s="709"/>
      <c r="J28" s="313"/>
      <c r="K28" s="313"/>
    </row>
    <row r="29" spans="1:11" s="65" customFormat="1" ht="19.95" customHeight="1">
      <c r="A29" s="85">
        <v>4</v>
      </c>
      <c r="B29" s="323"/>
      <c r="C29" s="324"/>
      <c r="D29" s="324"/>
      <c r="E29" s="709"/>
      <c r="F29" s="709"/>
      <c r="G29" s="709"/>
      <c r="H29" s="709"/>
      <c r="I29" s="709"/>
      <c r="J29" s="313"/>
      <c r="K29" s="313"/>
    </row>
    <row r="30" spans="1:11" s="65" customFormat="1" ht="19.95" customHeight="1">
      <c r="A30" s="85">
        <v>5</v>
      </c>
      <c r="B30" s="315"/>
      <c r="C30" s="324"/>
      <c r="D30" s="324"/>
      <c r="E30" s="709"/>
      <c r="F30" s="709"/>
      <c r="G30" s="709"/>
      <c r="H30" s="709"/>
      <c r="I30" s="709"/>
      <c r="J30" s="313"/>
      <c r="K30" s="313"/>
    </row>
    <row r="31" spans="1:11" s="65" customFormat="1" ht="19.95" customHeight="1">
      <c r="A31" s="706" t="s">
        <v>613</v>
      </c>
      <c r="B31" s="706"/>
      <c r="C31" s="706"/>
      <c r="D31" s="706"/>
      <c r="E31" s="706"/>
      <c r="J31" s="313"/>
      <c r="K31" s="313"/>
    </row>
    <row r="32" spans="1:11" s="65" customFormat="1" ht="19.95" customHeight="1">
      <c r="A32" s="65" t="s">
        <v>614</v>
      </c>
      <c r="J32" s="313"/>
      <c r="K32" s="313"/>
    </row>
    <row r="33" spans="1:11" s="65" customFormat="1" ht="19.95" customHeight="1">
      <c r="G33" s="65" t="s">
        <v>615</v>
      </c>
      <c r="J33" s="313"/>
      <c r="K33" s="313"/>
    </row>
    <row r="34" spans="1:11" s="65" customFormat="1" ht="19.95" customHeight="1">
      <c r="A34" s="65" t="s">
        <v>616</v>
      </c>
      <c r="J34" s="313"/>
      <c r="K34" s="313"/>
    </row>
    <row r="35" spans="1:11" s="65" customFormat="1" ht="19.95" customHeight="1">
      <c r="J35" s="313"/>
      <c r="K35" s="313"/>
    </row>
    <row r="36" spans="1:11" s="65" customFormat="1" ht="19.95" customHeight="1">
      <c r="A36" s="65" t="s">
        <v>617</v>
      </c>
      <c r="J36" s="313"/>
      <c r="K36" s="313"/>
    </row>
    <row r="37" spans="1:11" s="65" customFormat="1" ht="19.95" customHeight="1">
      <c r="J37" s="313"/>
      <c r="K37" s="313"/>
    </row>
    <row r="38" spans="1:11" s="65" customFormat="1" ht="19.95" customHeight="1">
      <c r="A38" s="65" t="s">
        <v>618</v>
      </c>
      <c r="J38" s="313"/>
      <c r="K38" s="313"/>
    </row>
    <row r="39" spans="1:11" s="65" customFormat="1" ht="19.95" customHeight="1">
      <c r="A39" s="65" t="s">
        <v>29</v>
      </c>
      <c r="J39" s="313"/>
      <c r="K39" s="313"/>
    </row>
    <row r="40" spans="1:11" s="65" customFormat="1" ht="19.95" customHeight="1">
      <c r="A40" s="65" t="s">
        <v>619</v>
      </c>
      <c r="J40" s="313"/>
      <c r="K40" s="313"/>
    </row>
    <row r="41" spans="1:11" s="65" customFormat="1" ht="19.95" customHeight="1">
      <c r="A41" s="708"/>
      <c r="B41" s="708"/>
      <c r="C41" s="708"/>
      <c r="D41" s="708"/>
      <c r="E41" s="708"/>
      <c r="J41" s="313"/>
      <c r="K41" s="313"/>
    </row>
    <row r="42" spans="1:11" s="65" customFormat="1" ht="19.95" customHeight="1">
      <c r="A42" s="65" t="s">
        <v>620</v>
      </c>
      <c r="J42" s="313"/>
      <c r="K42" s="313"/>
    </row>
    <row r="43" spans="1:11" s="65" customFormat="1" ht="19.95" customHeight="1">
      <c r="A43" s="706"/>
      <c r="B43" s="706"/>
      <c r="C43" s="706"/>
      <c r="D43" s="706"/>
      <c r="E43" s="706"/>
      <c r="J43" s="313"/>
      <c r="K43" s="313"/>
    </row>
    <row r="44" spans="1:11" s="65" customFormat="1" ht="19.95" customHeight="1">
      <c r="A44" s="313" t="s">
        <v>621</v>
      </c>
      <c r="J44" s="313"/>
      <c r="K44" s="313"/>
    </row>
    <row r="45" spans="1:11" s="65" customFormat="1" ht="19.95" customHeight="1">
      <c r="A45" s="325" t="s">
        <v>622</v>
      </c>
      <c r="J45" s="313"/>
      <c r="K45" s="313"/>
    </row>
    <row r="46" spans="1:11" s="65" customFormat="1" ht="19.95" customHeight="1">
      <c r="A46" s="705" t="s">
        <v>623</v>
      </c>
      <c r="B46" s="705"/>
      <c r="C46" s="705"/>
      <c r="J46" s="313"/>
      <c r="K46" s="313"/>
    </row>
    <row r="47" spans="1:11" s="65" customFormat="1" ht="19.95" customHeight="1">
      <c r="A47" s="65" t="s">
        <v>624</v>
      </c>
      <c r="J47" s="313"/>
      <c r="K47" s="313"/>
    </row>
    <row r="48" spans="1:11" s="65" customFormat="1" ht="19.95" customHeight="1">
      <c r="A48" s="326"/>
      <c r="J48" s="313"/>
      <c r="K48" s="313"/>
    </row>
    <row r="49" spans="1:11" s="65" customFormat="1" ht="19.95" customHeight="1">
      <c r="A49" s="710" t="s">
        <v>625</v>
      </c>
      <c r="B49" s="710"/>
      <c r="C49" s="710"/>
      <c r="D49" s="710"/>
      <c r="J49" s="313"/>
      <c r="K49" s="313"/>
    </row>
    <row r="50" spans="1:11" s="65" customFormat="1" ht="19.95" customHeight="1">
      <c r="A50" s="65" t="s">
        <v>626</v>
      </c>
      <c r="J50" s="313"/>
      <c r="K50" s="313"/>
    </row>
    <row r="51" spans="1:11" s="65" customFormat="1" ht="19.95" customHeight="1">
      <c r="A51" s="65" t="s">
        <v>627</v>
      </c>
      <c r="J51" s="313"/>
      <c r="K51" s="313"/>
    </row>
    <row r="52" spans="1:11" s="65" customFormat="1" ht="19.95" customHeight="1">
      <c r="A52" s="65" t="s">
        <v>628</v>
      </c>
      <c r="J52" s="313"/>
      <c r="K52" s="313"/>
    </row>
    <row r="53" spans="1:11" s="65" customFormat="1" ht="19.95" customHeight="1">
      <c r="A53" s="316" t="s">
        <v>629</v>
      </c>
      <c r="B53" s="316"/>
      <c r="C53" s="316"/>
      <c r="D53" s="316"/>
      <c r="E53" s="316"/>
      <c r="F53" s="316"/>
      <c r="J53" s="313"/>
      <c r="K53" s="313"/>
    </row>
    <row r="54" spans="1:11" s="65" customFormat="1" ht="19.95" customHeight="1">
      <c r="G54" s="66" t="s">
        <v>630</v>
      </c>
      <c r="J54" s="313"/>
      <c r="K54" s="313"/>
    </row>
    <row r="55" spans="1:11" s="65" customFormat="1" ht="19.95" customHeight="1">
      <c r="A55" s="710" t="s">
        <v>631</v>
      </c>
      <c r="B55" s="710"/>
      <c r="C55" s="710"/>
      <c r="D55" s="710"/>
      <c r="J55" s="313"/>
      <c r="K55" s="313"/>
    </row>
    <row r="56" spans="1:11" s="65" customFormat="1" ht="19.95" customHeight="1">
      <c r="A56" s="326"/>
      <c r="G56" s="66" t="s">
        <v>630</v>
      </c>
      <c r="J56" s="313"/>
      <c r="K56" s="313"/>
    </row>
    <row r="57" spans="1:11" s="65" customFormat="1" ht="19.95" customHeight="1">
      <c r="A57" s="325" t="s">
        <v>28</v>
      </c>
      <c r="E57" s="707" t="s">
        <v>632</v>
      </c>
      <c r="F57" s="707"/>
      <c r="J57" s="313"/>
      <c r="K57" s="313"/>
    </row>
    <row r="58" spans="1:11" s="65" customFormat="1" ht="19.95" customHeight="1">
      <c r="E58" s="327"/>
      <c r="F58" s="327"/>
      <c r="J58" s="313"/>
      <c r="K58" s="313"/>
    </row>
    <row r="59" spans="1:11" s="65" customFormat="1" ht="19.95" customHeight="1">
      <c r="E59" s="327" t="s">
        <v>633</v>
      </c>
      <c r="F59" s="327"/>
      <c r="J59" s="313"/>
      <c r="K59" s="313"/>
    </row>
    <row r="60" spans="1:11" s="65" customFormat="1" ht="19.95" customHeight="1">
      <c r="E60" s="707" t="s">
        <v>634</v>
      </c>
      <c r="F60" s="707"/>
      <c r="J60" s="313"/>
      <c r="K60" s="313"/>
    </row>
    <row r="61" spans="1:11" s="65" customFormat="1" ht="19.95" customHeight="1">
      <c r="A61" s="325"/>
      <c r="J61" s="313"/>
      <c r="K61" s="313"/>
    </row>
    <row r="62" spans="1:11" s="65" customFormat="1" ht="19.95" customHeight="1">
      <c r="J62" s="313"/>
      <c r="K62" s="313"/>
    </row>
    <row r="63" spans="1:11" s="65" customFormat="1" ht="19.95" customHeight="1">
      <c r="J63" s="313"/>
      <c r="K63" s="313"/>
    </row>
    <row r="64" spans="1:11" s="65" customFormat="1" ht="19.95" customHeight="1">
      <c r="J64" s="313"/>
      <c r="K64" s="313"/>
    </row>
    <row r="65" spans="10:11" s="65" customFormat="1" ht="19.95" customHeight="1">
      <c r="J65" s="313"/>
      <c r="K65" s="313"/>
    </row>
    <row r="66" spans="10:11" s="65" customFormat="1" ht="19.95" customHeight="1">
      <c r="J66" s="313"/>
      <c r="K66" s="313"/>
    </row>
    <row r="67" spans="10:11" s="65" customFormat="1" ht="19.95" customHeight="1">
      <c r="J67" s="313"/>
      <c r="K67" s="313"/>
    </row>
    <row r="68" spans="10:11" s="65" customFormat="1" ht="19.95" customHeight="1">
      <c r="J68" s="313"/>
      <c r="K68" s="313"/>
    </row>
    <row r="69" spans="10:11" s="65" customFormat="1" ht="19.95" customHeight="1">
      <c r="J69" s="313"/>
      <c r="K69" s="313"/>
    </row>
    <row r="70" spans="10:11" s="65" customFormat="1" ht="19.95" customHeight="1">
      <c r="J70" s="313"/>
      <c r="K70" s="313"/>
    </row>
    <row r="71" spans="10:11" s="65" customFormat="1" ht="19.95" customHeight="1">
      <c r="J71" s="313"/>
      <c r="K71" s="313"/>
    </row>
    <row r="72" spans="10:11" s="65" customFormat="1" ht="19.95" customHeight="1">
      <c r="J72" s="313"/>
      <c r="K72" s="313"/>
    </row>
    <row r="73" spans="10:11" s="65" customFormat="1" ht="19.95" customHeight="1">
      <c r="J73" s="313"/>
      <c r="K73" s="313"/>
    </row>
    <row r="74" spans="10:11" s="65" customFormat="1" ht="19.95" customHeight="1">
      <c r="J74" s="313"/>
      <c r="K74" s="313"/>
    </row>
    <row r="75" spans="10:11" s="65" customFormat="1" ht="19.95" customHeight="1">
      <c r="J75" s="313"/>
      <c r="K75" s="313"/>
    </row>
    <row r="76" spans="10:11" s="65" customFormat="1" ht="19.95" customHeight="1">
      <c r="J76" s="313"/>
      <c r="K76" s="313"/>
    </row>
    <row r="77" spans="10:11" s="65" customFormat="1" ht="19.95" customHeight="1">
      <c r="J77" s="313"/>
      <c r="K77" s="313"/>
    </row>
    <row r="78" spans="10:11" s="65" customFormat="1" ht="19.95" customHeight="1">
      <c r="J78" s="313"/>
      <c r="K78" s="313"/>
    </row>
    <row r="79" spans="10:11" s="65" customFormat="1" ht="19.95" customHeight="1">
      <c r="J79" s="313"/>
      <c r="K79" s="313"/>
    </row>
    <row r="80" spans="10:11" s="65" customFormat="1" ht="19.95" customHeight="1">
      <c r="J80" s="313"/>
      <c r="K80" s="313"/>
    </row>
    <row r="81" spans="10:11" s="65" customFormat="1" ht="19.95" customHeight="1">
      <c r="J81" s="313"/>
      <c r="K81" s="313"/>
    </row>
    <row r="82" spans="10:11" s="65" customFormat="1" ht="19.95" customHeight="1">
      <c r="J82" s="313"/>
      <c r="K82" s="313"/>
    </row>
    <row r="83" spans="10:11" s="65" customFormat="1" ht="19.95" customHeight="1">
      <c r="J83" s="313"/>
      <c r="K83" s="313"/>
    </row>
    <row r="84" spans="10:11" s="65" customFormat="1" ht="19.95" customHeight="1">
      <c r="J84" s="313"/>
      <c r="K84" s="313"/>
    </row>
    <row r="85" spans="10:11" ht="19.95" customHeight="1">
      <c r="J85" s="313"/>
      <c r="K85" s="313"/>
    </row>
  </sheetData>
  <mergeCells count="25">
    <mergeCell ref="H28:I28"/>
    <mergeCell ref="H29:I29"/>
    <mergeCell ref="H30:I30"/>
    <mergeCell ref="E25:G25"/>
    <mergeCell ref="E26:G26"/>
    <mergeCell ref="E27:G27"/>
    <mergeCell ref="H25:I25"/>
    <mergeCell ref="E28:G28"/>
    <mergeCell ref="E29:G29"/>
    <mergeCell ref="H26:I26"/>
    <mergeCell ref="H27:I27"/>
    <mergeCell ref="E60:F60"/>
    <mergeCell ref="A31:E31"/>
    <mergeCell ref="A41:E41"/>
    <mergeCell ref="E30:G30"/>
    <mergeCell ref="A43:E43"/>
    <mergeCell ref="A46:C46"/>
    <mergeCell ref="A49:D49"/>
    <mergeCell ref="A55:D55"/>
    <mergeCell ref="E57:F57"/>
    <mergeCell ref="A1:I1"/>
    <mergeCell ref="A2:I2"/>
    <mergeCell ref="A7:D7"/>
    <mergeCell ref="A11:E11"/>
    <mergeCell ref="A24:E24"/>
  </mergeCells>
  <phoneticPr fontId="10" type="noConversion"/>
  <hyperlinks>
    <hyperlink ref="I3" location="底稿目录!A1" display="H2-1"/>
  </hyperlinks>
  <printOptions horizontalCentered="1"/>
  <pageMargins left="0.43307086614173229" right="0.39370078740157483" top="0.39370078740157483" bottom="0.39370078740157483" header="0.31496062992125984" footer="0.31496062992125984"/>
  <pageSetup paperSize="9" scale="92" fitToHeight="0" orientation="portrait" blackAndWhite="1" r:id="rId1"/>
  <headerFooter alignWithMargins="0">
    <oddFooter>&amp;C&amp;P/&amp;N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B34"/>
  <sheetViews>
    <sheetView view="pageBreakPreview" zoomScaleNormal="115" zoomScaleSheetLayoutView="100" workbookViewId="0">
      <selection sqref="A1:L1"/>
    </sheetView>
  </sheetViews>
  <sheetFormatPr defaultColWidth="9" defaultRowHeight="13.8"/>
  <cols>
    <col min="1" max="1" width="25.8984375" style="8" customWidth="1"/>
    <col min="2" max="2" width="9" style="8"/>
    <col min="3" max="3" width="15.69921875" style="8" customWidth="1"/>
    <col min="4" max="4" width="13.69921875" style="8" customWidth="1"/>
    <col min="5" max="6" width="12.69921875" style="8" customWidth="1"/>
    <col min="7" max="7" width="14.19921875" style="8" customWidth="1"/>
    <col min="8" max="10" width="12.69921875" style="8" customWidth="1"/>
    <col min="11" max="16384" width="9" style="8"/>
  </cols>
  <sheetData>
    <row r="1" spans="1:28" s="11" customFormat="1" ht="20.100000000000001" customHeight="1">
      <c r="A1" s="635" t="s">
        <v>810</v>
      </c>
      <c r="B1" s="635"/>
      <c r="C1" s="635"/>
      <c r="D1" s="635"/>
      <c r="E1" s="635"/>
      <c r="F1" s="635"/>
      <c r="G1" s="635"/>
      <c r="H1" s="635"/>
      <c r="I1" s="635"/>
      <c r="J1" s="635"/>
      <c r="K1" s="635"/>
      <c r="L1" s="635"/>
    </row>
    <row r="2" spans="1:28" s="424" customFormat="1" ht="24.9" customHeight="1">
      <c r="A2" s="637" t="s">
        <v>826</v>
      </c>
      <c r="B2" s="637"/>
      <c r="C2" s="637"/>
      <c r="D2" s="637"/>
      <c r="E2" s="637"/>
      <c r="F2" s="637"/>
      <c r="G2" s="637"/>
      <c r="H2" s="637"/>
      <c r="I2" s="637"/>
      <c r="J2" s="637"/>
      <c r="K2" s="637"/>
      <c r="L2" s="637"/>
    </row>
    <row r="3" spans="1:28" ht="20.100000000000001" customHeight="1">
      <c r="A3" s="2" t="str">
        <f>底稿目录!A2</f>
        <v>被审计单位：</v>
      </c>
      <c r="B3" s="2"/>
      <c r="C3" s="2"/>
      <c r="D3" s="2" t="str">
        <f>底稿目录!A4</f>
        <v>编制人：</v>
      </c>
      <c r="E3" s="2"/>
      <c r="G3" s="2" t="str">
        <f>底稿目录!A6</f>
        <v>编制日期：</v>
      </c>
      <c r="H3" s="90"/>
      <c r="K3" s="440" t="s">
        <v>832</v>
      </c>
      <c r="L3" s="256" t="s">
        <v>146</v>
      </c>
    </row>
    <row r="4" spans="1:28" ht="20.100000000000001" customHeight="1">
      <c r="A4" s="2" t="str">
        <f>底稿目录!A3</f>
        <v>截止日：202X年12月31日</v>
      </c>
      <c r="B4" s="2"/>
      <c r="C4" s="2"/>
      <c r="D4" s="2" t="str">
        <f>底稿目录!A5</f>
        <v>复核人：</v>
      </c>
      <c r="E4" s="2"/>
      <c r="G4" s="2" t="str">
        <f>底稿目录!A7</f>
        <v>复核日期：</v>
      </c>
      <c r="H4" s="90"/>
      <c r="K4" s="440" t="s">
        <v>833</v>
      </c>
      <c r="L4" s="2"/>
    </row>
    <row r="5" spans="1:28" s="498" customFormat="1" ht="20.100000000000001" customHeight="1">
      <c r="A5" s="496" t="s">
        <v>131</v>
      </c>
      <c r="B5" s="564" t="s">
        <v>635</v>
      </c>
      <c r="G5" s="565"/>
      <c r="I5" s="565"/>
      <c r="K5" s="541"/>
      <c r="L5" s="500"/>
      <c r="V5" s="501"/>
      <c r="W5" s="501"/>
      <c r="X5" s="501"/>
      <c r="Y5" s="501"/>
      <c r="Z5" s="501"/>
      <c r="AA5" s="501"/>
      <c r="AB5" s="501"/>
    </row>
    <row r="6" spans="1:28" s="2" customFormat="1" ht="20.100000000000001" customHeight="1">
      <c r="A6" s="51" t="s">
        <v>238</v>
      </c>
      <c r="B6" s="8"/>
      <c r="G6" s="38"/>
      <c r="K6" s="70"/>
      <c r="L6" s="272"/>
      <c r="V6" s="64"/>
      <c r="W6" s="64"/>
      <c r="X6" s="64"/>
      <c r="Y6" s="64"/>
      <c r="Z6" s="64"/>
      <c r="AA6" s="64"/>
      <c r="AB6" s="64"/>
    </row>
    <row r="7" spans="1:28" s="36" customFormat="1" ht="20.100000000000001" customHeight="1">
      <c r="A7" s="649" t="s">
        <v>401</v>
      </c>
      <c r="B7" s="641" t="s">
        <v>636</v>
      </c>
      <c r="C7" s="641" t="s">
        <v>637</v>
      </c>
      <c r="D7" s="649" t="s">
        <v>638</v>
      </c>
      <c r="E7" s="638" t="s">
        <v>25</v>
      </c>
      <c r="F7" s="639"/>
      <c r="G7" s="640"/>
      <c r="H7" s="641" t="s">
        <v>639</v>
      </c>
      <c r="I7" s="641" t="s">
        <v>640</v>
      </c>
      <c r="J7" s="641" t="s">
        <v>641</v>
      </c>
      <c r="K7" s="649" t="s">
        <v>642</v>
      </c>
      <c r="L7" s="649" t="s">
        <v>643</v>
      </c>
    </row>
    <row r="8" spans="1:28" ht="28.2" customHeight="1">
      <c r="A8" s="649"/>
      <c r="B8" s="650"/>
      <c r="C8" s="642"/>
      <c r="D8" s="649"/>
      <c r="E8" s="244" t="s">
        <v>644</v>
      </c>
      <c r="F8" s="244" t="s">
        <v>645</v>
      </c>
      <c r="G8" s="244" t="s">
        <v>646</v>
      </c>
      <c r="H8" s="642"/>
      <c r="I8" s="642" t="s">
        <v>647</v>
      </c>
      <c r="J8" s="642"/>
      <c r="K8" s="649"/>
      <c r="L8" s="649"/>
    </row>
    <row r="9" spans="1:28" ht="20.100000000000001" customHeight="1">
      <c r="A9" s="649"/>
      <c r="B9" s="642"/>
      <c r="C9" s="244" t="s">
        <v>51</v>
      </c>
      <c r="D9" s="244" t="s">
        <v>52</v>
      </c>
      <c r="E9" s="244" t="s">
        <v>420</v>
      </c>
      <c r="F9" s="244" t="s">
        <v>648</v>
      </c>
      <c r="G9" s="244" t="s">
        <v>422</v>
      </c>
      <c r="H9" s="488" t="s">
        <v>649</v>
      </c>
      <c r="I9" s="244" t="s">
        <v>650</v>
      </c>
      <c r="J9" s="244" t="s">
        <v>651</v>
      </c>
      <c r="K9" s="649"/>
      <c r="L9" s="649"/>
    </row>
    <row r="10" spans="1:28" ht="20.100000000000001" customHeight="1">
      <c r="A10" s="14"/>
      <c r="B10" s="407"/>
      <c r="C10" s="14"/>
      <c r="D10" s="442"/>
      <c r="E10" s="442"/>
      <c r="F10" s="442"/>
      <c r="G10" s="443">
        <f>MAX(E10,F10)</f>
        <v>0</v>
      </c>
      <c r="H10" s="443">
        <f>IF(D10&gt;G10,D10-G10,0)</f>
        <v>0</v>
      </c>
      <c r="I10" s="444"/>
      <c r="J10" s="443">
        <f>H10-I10</f>
        <v>0</v>
      </c>
      <c r="K10" s="408"/>
      <c r="L10" s="14"/>
    </row>
    <row r="11" spans="1:28" ht="20.100000000000001" customHeight="1">
      <c r="A11" s="14"/>
      <c r="B11" s="407"/>
      <c r="C11" s="14"/>
      <c r="D11" s="442"/>
      <c r="E11" s="442"/>
      <c r="F11" s="442"/>
      <c r="G11" s="443">
        <f t="shared" ref="G11:G18" si="0">MAX(E11,F11)</f>
        <v>0</v>
      </c>
      <c r="H11" s="443">
        <f t="shared" ref="H11:H18" si="1">IF(D11&gt;G11,D11-G11,0)</f>
        <v>0</v>
      </c>
      <c r="I11" s="444"/>
      <c r="J11" s="443">
        <f t="shared" ref="J11:J18" si="2">H11-I11</f>
        <v>0</v>
      </c>
      <c r="K11" s="408"/>
      <c r="L11" s="14"/>
    </row>
    <row r="12" spans="1:28" ht="20.100000000000001" customHeight="1">
      <c r="A12" s="14"/>
      <c r="B12" s="407"/>
      <c r="C12" s="14"/>
      <c r="D12" s="442"/>
      <c r="E12" s="442"/>
      <c r="F12" s="442"/>
      <c r="G12" s="443">
        <f t="shared" si="0"/>
        <v>0</v>
      </c>
      <c r="H12" s="443">
        <f t="shared" si="1"/>
        <v>0</v>
      </c>
      <c r="I12" s="444"/>
      <c r="J12" s="443">
        <f t="shared" si="2"/>
        <v>0</v>
      </c>
      <c r="K12" s="408"/>
      <c r="L12" s="14"/>
    </row>
    <row r="13" spans="1:28" ht="20.100000000000001" customHeight="1">
      <c r="A13" s="14"/>
      <c r="B13" s="407"/>
      <c r="C13" s="14"/>
      <c r="D13" s="442"/>
      <c r="E13" s="442"/>
      <c r="F13" s="442"/>
      <c r="G13" s="443">
        <f t="shared" si="0"/>
        <v>0</v>
      </c>
      <c r="H13" s="443">
        <f t="shared" si="1"/>
        <v>0</v>
      </c>
      <c r="I13" s="444"/>
      <c r="J13" s="443">
        <f t="shared" si="2"/>
        <v>0</v>
      </c>
      <c r="K13" s="408"/>
      <c r="L13" s="14"/>
    </row>
    <row r="14" spans="1:28" ht="20.100000000000001" customHeight="1">
      <c r="A14" s="14"/>
      <c r="B14" s="407"/>
      <c r="C14" s="14"/>
      <c r="D14" s="442"/>
      <c r="E14" s="442"/>
      <c r="F14" s="442"/>
      <c r="G14" s="443">
        <f t="shared" si="0"/>
        <v>0</v>
      </c>
      <c r="H14" s="443">
        <f t="shared" si="1"/>
        <v>0</v>
      </c>
      <c r="I14" s="444"/>
      <c r="J14" s="443">
        <f t="shared" si="2"/>
        <v>0</v>
      </c>
      <c r="K14" s="408"/>
      <c r="L14" s="14"/>
    </row>
    <row r="15" spans="1:28" ht="20.100000000000001" customHeight="1">
      <c r="A15" s="14"/>
      <c r="B15" s="407"/>
      <c r="C15" s="14"/>
      <c r="D15" s="442"/>
      <c r="E15" s="442"/>
      <c r="F15" s="442"/>
      <c r="G15" s="443">
        <f t="shared" si="0"/>
        <v>0</v>
      </c>
      <c r="H15" s="443">
        <f t="shared" si="1"/>
        <v>0</v>
      </c>
      <c r="I15" s="444"/>
      <c r="J15" s="443">
        <f t="shared" si="2"/>
        <v>0</v>
      </c>
      <c r="K15" s="408"/>
      <c r="L15" s="14"/>
    </row>
    <row r="16" spans="1:28" ht="20.100000000000001" customHeight="1">
      <c r="A16" s="14"/>
      <c r="B16" s="407"/>
      <c r="C16" s="14"/>
      <c r="D16" s="442"/>
      <c r="E16" s="442"/>
      <c r="F16" s="442"/>
      <c r="G16" s="443">
        <f t="shared" si="0"/>
        <v>0</v>
      </c>
      <c r="H16" s="443">
        <f t="shared" si="1"/>
        <v>0</v>
      </c>
      <c r="I16" s="444"/>
      <c r="J16" s="443">
        <f t="shared" si="2"/>
        <v>0</v>
      </c>
      <c r="K16" s="408"/>
      <c r="L16" s="14"/>
    </row>
    <row r="17" spans="1:12" ht="20.100000000000001" customHeight="1">
      <c r="A17" s="14"/>
      <c r="B17" s="407"/>
      <c r="C17" s="14"/>
      <c r="D17" s="442"/>
      <c r="E17" s="442"/>
      <c r="F17" s="442"/>
      <c r="G17" s="443">
        <f t="shared" si="0"/>
        <v>0</v>
      </c>
      <c r="H17" s="443">
        <f t="shared" si="1"/>
        <v>0</v>
      </c>
      <c r="I17" s="444"/>
      <c r="J17" s="443">
        <f t="shared" si="2"/>
        <v>0</v>
      </c>
      <c r="K17" s="408"/>
      <c r="L17" s="14"/>
    </row>
    <row r="18" spans="1:12" ht="20.100000000000001" customHeight="1">
      <c r="A18" s="14"/>
      <c r="B18" s="407"/>
      <c r="C18" s="14"/>
      <c r="D18" s="442"/>
      <c r="E18" s="442"/>
      <c r="F18" s="442"/>
      <c r="G18" s="443">
        <f t="shared" si="0"/>
        <v>0</v>
      </c>
      <c r="H18" s="443">
        <f t="shared" si="1"/>
        <v>0</v>
      </c>
      <c r="I18" s="444"/>
      <c r="J18" s="443">
        <f t="shared" si="2"/>
        <v>0</v>
      </c>
      <c r="K18" s="408"/>
      <c r="L18" s="14"/>
    </row>
    <row r="19" spans="1:12" s="328" customFormat="1" ht="20.100000000000001" customHeight="1">
      <c r="A19" s="252" t="s">
        <v>267</v>
      </c>
      <c r="B19" s="409"/>
      <c r="C19" s="409"/>
      <c r="D19" s="410">
        <f>SUM(D10:D18)</f>
        <v>0</v>
      </c>
      <c r="E19" s="410">
        <f>SUM(E10:E18)</f>
        <v>0</v>
      </c>
      <c r="F19" s="410">
        <f>SUM(F10:F18)</f>
        <v>0</v>
      </c>
      <c r="G19" s="410">
        <f>SUM(G10:G18)</f>
        <v>0</v>
      </c>
      <c r="H19" s="410">
        <f>SUM(H10:H18)</f>
        <v>0</v>
      </c>
      <c r="I19" s="410">
        <f t="shared" ref="I19:J19" si="3">SUM(I10:I18)</f>
        <v>0</v>
      </c>
      <c r="J19" s="410">
        <f t="shared" si="3"/>
        <v>0</v>
      </c>
      <c r="K19" s="409"/>
      <c r="L19" s="409"/>
    </row>
    <row r="20" spans="1:12" ht="20.100000000000001" customHeight="1">
      <c r="A20" s="328" t="s">
        <v>268</v>
      </c>
    </row>
    <row r="21" spans="1:12" ht="20.100000000000001" customHeight="1"/>
    <row r="22" spans="1:12" ht="20.100000000000001" customHeight="1">
      <c r="A22" s="17" t="s">
        <v>269</v>
      </c>
    </row>
    <row r="23" spans="1:12" ht="20.100000000000001" customHeight="1"/>
    <row r="24" spans="1:12" ht="20.100000000000001" customHeight="1"/>
    <row r="25" spans="1:12">
      <c r="A25" s="274" t="s">
        <v>877</v>
      </c>
    </row>
    <row r="26" spans="1:12">
      <c r="A26" s="275" t="s">
        <v>653</v>
      </c>
    </row>
    <row r="27" spans="1:12">
      <c r="A27" s="275" t="s">
        <v>654</v>
      </c>
    </row>
    <row r="28" spans="1:12">
      <c r="A28" s="275" t="s">
        <v>655</v>
      </c>
    </row>
    <row r="29" spans="1:12">
      <c r="A29" s="275" t="s">
        <v>656</v>
      </c>
    </row>
    <row r="30" spans="1:12">
      <c r="A30" s="275" t="s">
        <v>657</v>
      </c>
    </row>
    <row r="31" spans="1:12">
      <c r="A31" s="275" t="s">
        <v>658</v>
      </c>
    </row>
    <row r="32" spans="1:12">
      <c r="A32" s="483" t="s">
        <v>979</v>
      </c>
    </row>
    <row r="33" spans="1:1">
      <c r="A33" s="483" t="s">
        <v>981</v>
      </c>
    </row>
    <row r="34" spans="1:1">
      <c r="A34" s="483" t="s">
        <v>980</v>
      </c>
    </row>
  </sheetData>
  <mergeCells count="12">
    <mergeCell ref="I7:I8"/>
    <mergeCell ref="J7:J8"/>
    <mergeCell ref="K7:K9"/>
    <mergeCell ref="L7:L9"/>
    <mergeCell ref="A1:L1"/>
    <mergeCell ref="A2:L2"/>
    <mergeCell ref="A7:A9"/>
    <mergeCell ref="C7:C8"/>
    <mergeCell ref="B7:B9"/>
    <mergeCell ref="D7:D8"/>
    <mergeCell ref="E7:G7"/>
    <mergeCell ref="H7:H8"/>
  </mergeCells>
  <phoneticPr fontId="10" type="noConversion"/>
  <dataValidations count="1">
    <dataValidation type="list" allowBlank="1" showInputMessage="1" showErrorMessage="1" sqref="B10:B18">
      <formula1>"√,×"</formula1>
    </dataValidation>
  </dataValidations>
  <hyperlinks>
    <hyperlink ref="L3" location="底稿目录!A1" display="H2-1"/>
  </hyperlinks>
  <printOptions horizontalCentered="1"/>
  <pageMargins left="0.43307086614173229" right="0.39370078740157483" top="0.39370078740157483" bottom="0.39370078740157483" header="0.31496062992125984" footer="0.31496062992125984"/>
  <pageSetup paperSize="9" scale="75" orientation="landscape" blackAndWhite="1" r:id="rId1"/>
  <headerFooter alignWithMargins="0">
    <oddFooter>&amp;C&amp;P/&amp;N</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0"/>
  <dimension ref="A1:AB63"/>
  <sheetViews>
    <sheetView view="pageBreakPreview" zoomScaleSheetLayoutView="100" workbookViewId="0">
      <selection sqref="A1:O1"/>
    </sheetView>
  </sheetViews>
  <sheetFormatPr defaultColWidth="9" defaultRowHeight="19.95" customHeight="1"/>
  <cols>
    <col min="1" max="1" width="18.69921875" style="8" customWidth="1"/>
    <col min="2" max="2" width="8.8984375" style="8" customWidth="1"/>
    <col min="3" max="3" width="8.5" style="8" customWidth="1"/>
    <col min="4" max="4" width="8.8984375" style="8" customWidth="1"/>
    <col min="5" max="5" width="8" style="8" customWidth="1"/>
    <col min="6" max="6" width="7.8984375" style="8" customWidth="1"/>
    <col min="7" max="7" width="7.3984375" style="8" customWidth="1"/>
    <col min="8" max="8" width="8.8984375" style="8" customWidth="1"/>
    <col min="9" max="9" width="9.19921875" style="8" customWidth="1"/>
    <col min="10" max="10" width="10.59765625" style="8" customWidth="1"/>
    <col min="11" max="11" width="11.3984375" style="8" customWidth="1"/>
    <col min="12" max="12" width="8.59765625" style="8" customWidth="1"/>
    <col min="13" max="13" width="11.19921875" style="8" customWidth="1"/>
    <col min="14" max="14" width="9.69921875" style="8" customWidth="1"/>
    <col min="15" max="15" width="7.5" style="8" customWidth="1"/>
    <col min="16" max="16384" width="9" style="8"/>
  </cols>
  <sheetData>
    <row r="1" spans="1:28" s="11" customFormat="1" ht="19.95" customHeight="1">
      <c r="A1" s="635" t="s">
        <v>810</v>
      </c>
      <c r="B1" s="635"/>
      <c r="C1" s="635"/>
      <c r="D1" s="635"/>
      <c r="E1" s="635"/>
      <c r="F1" s="635"/>
      <c r="G1" s="635"/>
      <c r="H1" s="635"/>
      <c r="I1" s="635"/>
      <c r="J1" s="635"/>
      <c r="K1" s="635"/>
      <c r="L1" s="635"/>
      <c r="M1" s="635"/>
      <c r="N1" s="635"/>
      <c r="O1" s="635"/>
    </row>
    <row r="2" spans="1:28" s="424" customFormat="1" ht="19.95" customHeight="1">
      <c r="A2" s="637" t="s">
        <v>828</v>
      </c>
      <c r="B2" s="637"/>
      <c r="C2" s="637"/>
      <c r="D2" s="637"/>
      <c r="E2" s="637"/>
      <c r="F2" s="637"/>
      <c r="G2" s="637"/>
      <c r="H2" s="637"/>
      <c r="I2" s="637"/>
      <c r="J2" s="637"/>
      <c r="K2" s="637"/>
      <c r="L2" s="637"/>
      <c r="M2" s="637"/>
      <c r="N2" s="637"/>
      <c r="O2" s="637"/>
    </row>
    <row r="3" spans="1:28" ht="19.95" customHeight="1">
      <c r="A3" s="2" t="str">
        <f>底稿目录!A2</f>
        <v>被审计单位：</v>
      </c>
      <c r="B3" s="2"/>
      <c r="C3" s="2"/>
      <c r="D3" s="2" t="str">
        <f>底稿目录!A4</f>
        <v>编制人：</v>
      </c>
      <c r="E3" s="2"/>
      <c r="G3" s="38"/>
      <c r="J3" s="2" t="str">
        <f>底稿目录!A6</f>
        <v>编制日期：</v>
      </c>
      <c r="K3" s="90"/>
      <c r="M3" s="440" t="s">
        <v>832</v>
      </c>
      <c r="N3" s="256" t="s">
        <v>147</v>
      </c>
    </row>
    <row r="4" spans="1:28" ht="19.95" customHeight="1">
      <c r="A4" s="2" t="str">
        <f>底稿目录!A3</f>
        <v>截止日：202X年12月31日</v>
      </c>
      <c r="B4" s="2"/>
      <c r="C4" s="2"/>
      <c r="D4" s="2" t="str">
        <f>底稿目录!A5</f>
        <v>复核人：</v>
      </c>
      <c r="E4" s="2"/>
      <c r="G4" s="38"/>
      <c r="J4" s="2" t="str">
        <f>底稿目录!A7</f>
        <v>复核日期：</v>
      </c>
      <c r="K4" s="90"/>
      <c r="M4" s="440" t="s">
        <v>833</v>
      </c>
      <c r="N4" s="2"/>
    </row>
    <row r="5" spans="1:28" s="498" customFormat="1" ht="19.95" customHeight="1">
      <c r="A5" s="496" t="s">
        <v>131</v>
      </c>
      <c r="B5" s="564" t="s">
        <v>659</v>
      </c>
      <c r="G5" s="565"/>
      <c r="I5" s="565"/>
      <c r="K5" s="541"/>
      <c r="L5" s="500"/>
      <c r="V5" s="501"/>
      <c r="W5" s="501"/>
      <c r="X5" s="501"/>
      <c r="Y5" s="501"/>
      <c r="Z5" s="501"/>
      <c r="AA5" s="501"/>
      <c r="AB5" s="501"/>
    </row>
    <row r="6" spans="1:28" s="2" customFormat="1" ht="19.95" customHeight="1">
      <c r="A6" s="51" t="s">
        <v>660</v>
      </c>
      <c r="B6" s="8"/>
      <c r="G6" s="38"/>
      <c r="K6" s="70"/>
      <c r="L6" s="272"/>
      <c r="V6" s="64"/>
      <c r="W6" s="64"/>
      <c r="X6" s="64"/>
      <c r="Y6" s="64"/>
      <c r="Z6" s="64"/>
      <c r="AA6" s="64"/>
      <c r="AB6" s="64"/>
    </row>
    <row r="7" spans="1:28" ht="19.95" customHeight="1">
      <c r="A7" s="328" t="s">
        <v>661</v>
      </c>
      <c r="G7" s="38"/>
    </row>
    <row r="8" spans="1:28" ht="19.95" customHeight="1">
      <c r="A8" s="713" t="s">
        <v>401</v>
      </c>
      <c r="B8" s="57" t="s">
        <v>662</v>
      </c>
      <c r="C8" s="57"/>
      <c r="D8" s="57"/>
      <c r="E8" s="57"/>
      <c r="F8" s="57"/>
      <c r="G8" s="58"/>
      <c r="H8" s="57" t="s">
        <v>663</v>
      </c>
      <c r="I8" s="57"/>
      <c r="J8" s="57"/>
      <c r="K8" s="57"/>
      <c r="L8" s="57"/>
      <c r="M8" s="57"/>
      <c r="N8" s="701" t="s">
        <v>664</v>
      </c>
      <c r="O8" s="701" t="s">
        <v>665</v>
      </c>
    </row>
    <row r="9" spans="1:28" ht="24">
      <c r="A9" s="713"/>
      <c r="B9" s="250" t="s">
        <v>666</v>
      </c>
      <c r="C9" s="250" t="s">
        <v>667</v>
      </c>
      <c r="D9" s="250" t="s">
        <v>668</v>
      </c>
      <c r="E9" s="250" t="s">
        <v>669</v>
      </c>
      <c r="F9" s="250" t="s">
        <v>670</v>
      </c>
      <c r="G9" s="250" t="s">
        <v>671</v>
      </c>
      <c r="H9" s="250" t="s">
        <v>672</v>
      </c>
      <c r="I9" s="250" t="s">
        <v>673</v>
      </c>
      <c r="J9" s="250" t="s">
        <v>674</v>
      </c>
      <c r="K9" s="250" t="s">
        <v>675</v>
      </c>
      <c r="L9" s="250" t="s">
        <v>676</v>
      </c>
      <c r="M9" s="250" t="s">
        <v>677</v>
      </c>
      <c r="N9" s="702"/>
      <c r="O9" s="702"/>
    </row>
    <row r="10" spans="1:28" ht="19.95" customHeight="1">
      <c r="A10" s="37"/>
      <c r="B10" s="15"/>
      <c r="C10" s="13"/>
      <c r="D10" s="15"/>
      <c r="E10" s="13"/>
      <c r="F10" s="15"/>
      <c r="G10" s="13"/>
      <c r="H10" s="15"/>
      <c r="I10" s="15"/>
      <c r="J10" s="15"/>
      <c r="K10" s="15"/>
      <c r="L10" s="15"/>
      <c r="M10" s="217">
        <f>SUM(H10:L10)</f>
        <v>0</v>
      </c>
      <c r="N10" s="217">
        <f>IF(B10&gt;0,B10,IF(D10&gt;0,D10,F10))-M10</f>
        <v>0</v>
      </c>
      <c r="O10" s="13"/>
    </row>
    <row r="11" spans="1:28" ht="19.95" customHeight="1">
      <c r="A11" s="37"/>
      <c r="B11" s="15"/>
      <c r="C11" s="13"/>
      <c r="D11" s="15"/>
      <c r="E11" s="13"/>
      <c r="F11" s="15"/>
      <c r="G11" s="13"/>
      <c r="H11" s="15"/>
      <c r="I11" s="15"/>
      <c r="J11" s="15"/>
      <c r="K11" s="15"/>
      <c r="L11" s="15"/>
      <c r="M11" s="217">
        <f>SUM(H11:L11)</f>
        <v>0</v>
      </c>
      <c r="N11" s="217">
        <f>IF(B11&gt;0,B11,IF(D11&gt;0,D11,F11))-M11</f>
        <v>0</v>
      </c>
      <c r="O11" s="13"/>
    </row>
    <row r="12" spans="1:28" ht="19.95" customHeight="1">
      <c r="A12" s="37"/>
      <c r="B12" s="15"/>
      <c r="C12" s="13"/>
      <c r="D12" s="15"/>
      <c r="E12" s="13"/>
      <c r="F12" s="15"/>
      <c r="G12" s="13"/>
      <c r="H12" s="15"/>
      <c r="I12" s="15"/>
      <c r="J12" s="15"/>
      <c r="K12" s="15"/>
      <c r="L12" s="15"/>
      <c r="M12" s="217">
        <f>SUM(H12:L12)</f>
        <v>0</v>
      </c>
      <c r="N12" s="217">
        <f>IF(B12&gt;0,B12,IF(D12&gt;0,D12,F12))-M12</f>
        <v>0</v>
      </c>
      <c r="O12" s="13"/>
    </row>
    <row r="13" spans="1:28" s="411" customFormat="1" ht="19.95" customHeight="1">
      <c r="A13" s="251" t="s">
        <v>267</v>
      </c>
      <c r="B13" s="410">
        <f>SUM(B10:B12)</f>
        <v>0</v>
      </c>
      <c r="C13" s="410"/>
      <c r="D13" s="410">
        <f>SUM(D10:D12)</f>
        <v>0</v>
      </c>
      <c r="E13" s="410"/>
      <c r="F13" s="410">
        <f>SUM(F10:F12)</f>
        <v>0</v>
      </c>
      <c r="G13" s="410"/>
      <c r="H13" s="410">
        <f t="shared" ref="H13:N13" si="0">SUM(H10:H12)</f>
        <v>0</v>
      </c>
      <c r="I13" s="410">
        <f t="shared" si="0"/>
        <v>0</v>
      </c>
      <c r="J13" s="410">
        <f t="shared" si="0"/>
        <v>0</v>
      </c>
      <c r="K13" s="410">
        <f t="shared" si="0"/>
        <v>0</v>
      </c>
      <c r="L13" s="410">
        <f t="shared" si="0"/>
        <v>0</v>
      </c>
      <c r="M13" s="410">
        <f t="shared" si="0"/>
        <v>0</v>
      </c>
      <c r="N13" s="410">
        <f t="shared" si="0"/>
        <v>0</v>
      </c>
      <c r="O13" s="410"/>
    </row>
    <row r="14" spans="1:28" s="10" customFormat="1" ht="19.95" customHeight="1">
      <c r="A14" s="719" t="s">
        <v>678</v>
      </c>
      <c r="B14" s="720"/>
      <c r="C14" s="720"/>
      <c r="D14" s="720"/>
      <c r="E14" s="720"/>
      <c r="F14" s="720"/>
      <c r="G14" s="720"/>
      <c r="H14" s="720"/>
      <c r="I14" s="720"/>
      <c r="J14" s="720"/>
      <c r="K14" s="720"/>
      <c r="L14" s="720"/>
      <c r="M14" s="720"/>
      <c r="N14" s="720"/>
      <c r="O14" s="721"/>
    </row>
    <row r="15" spans="1:28" ht="19.95" customHeight="1">
      <c r="A15" s="328" t="s">
        <v>679</v>
      </c>
      <c r="G15" s="38"/>
    </row>
    <row r="16" spans="1:28" ht="19.95" customHeight="1">
      <c r="A16" s="701" t="s">
        <v>680</v>
      </c>
      <c r="B16" s="57" t="s">
        <v>681</v>
      </c>
      <c r="C16" s="57"/>
      <c r="D16" s="57"/>
      <c r="E16" s="57"/>
      <c r="F16" s="57"/>
      <c r="G16" s="57" t="s">
        <v>682</v>
      </c>
      <c r="H16" s="57"/>
      <c r="I16" s="701" t="s">
        <v>683</v>
      </c>
      <c r="J16" s="701" t="s">
        <v>684</v>
      </c>
      <c r="K16" s="701" t="s">
        <v>685</v>
      </c>
      <c r="L16" s="714" t="s">
        <v>686</v>
      </c>
      <c r="M16" s="715"/>
      <c r="N16" s="701" t="s">
        <v>687</v>
      </c>
      <c r="O16" s="701" t="s">
        <v>582</v>
      </c>
    </row>
    <row r="17" spans="1:15" ht="19.95" customHeight="1">
      <c r="A17" s="702"/>
      <c r="B17" s="250" t="s">
        <v>688</v>
      </c>
      <c r="C17" s="250" t="s">
        <v>689</v>
      </c>
      <c r="D17" s="250" t="s">
        <v>690</v>
      </c>
      <c r="E17" s="250" t="s">
        <v>691</v>
      </c>
      <c r="F17" s="250" t="s">
        <v>692</v>
      </c>
      <c r="G17" s="250" t="s">
        <v>693</v>
      </c>
      <c r="H17" s="250" t="s">
        <v>694</v>
      </c>
      <c r="I17" s="702"/>
      <c r="J17" s="702"/>
      <c r="K17" s="702"/>
      <c r="L17" s="716"/>
      <c r="M17" s="717"/>
      <c r="N17" s="702"/>
      <c r="O17" s="702"/>
    </row>
    <row r="18" spans="1:15" ht="19.95" customHeight="1">
      <c r="A18" s="37" t="s">
        <v>695</v>
      </c>
      <c r="B18" s="15"/>
      <c r="C18" s="15"/>
      <c r="D18" s="15"/>
      <c r="E18" s="15"/>
      <c r="F18" s="15"/>
      <c r="G18" s="217">
        <f>F18</f>
        <v>0</v>
      </c>
      <c r="H18" s="39"/>
      <c r="I18" s="39"/>
      <c r="J18" s="39"/>
      <c r="K18" s="39"/>
      <c r="L18" s="59"/>
      <c r="M18" s="40"/>
      <c r="N18" s="114"/>
      <c r="O18" s="722"/>
    </row>
    <row r="19" spans="1:15" ht="19.95" customHeight="1">
      <c r="A19" s="37" t="s">
        <v>696</v>
      </c>
      <c r="B19" s="217" t="e">
        <f>1/(1+$K$23)^1</f>
        <v>#DIV/0!</v>
      </c>
      <c r="C19" s="217" t="e">
        <f>1/(1+$K$23)^2</f>
        <v>#DIV/0!</v>
      </c>
      <c r="D19" s="217" t="e">
        <f>1/(1+$K$23)^3</f>
        <v>#DIV/0!</v>
      </c>
      <c r="E19" s="217" t="e">
        <f>1/(1+$K$23)^4</f>
        <v>#DIV/0!</v>
      </c>
      <c r="F19" s="217" t="e">
        <f>1/(1+$K$23)^5</f>
        <v>#DIV/0!</v>
      </c>
      <c r="G19" s="217" t="e">
        <f>(1+H18)/((J23-H18)*(1+K23)^5)</f>
        <v>#DIV/0!</v>
      </c>
      <c r="H19" s="330" t="s">
        <v>697</v>
      </c>
      <c r="I19" s="15"/>
      <c r="J19" s="115"/>
      <c r="K19" s="116"/>
      <c r="L19" s="117"/>
      <c r="M19" s="118"/>
      <c r="N19" s="114"/>
      <c r="O19" s="723"/>
    </row>
    <row r="20" spans="1:15" ht="19.95" customHeight="1">
      <c r="A20" s="37" t="s">
        <v>698</v>
      </c>
      <c r="B20" s="217" t="e">
        <f>B18*B19</f>
        <v>#DIV/0!</v>
      </c>
      <c r="C20" s="217" t="e">
        <f t="shared" ref="C20:F20" si="1">C18*C19</f>
        <v>#DIV/0!</v>
      </c>
      <c r="D20" s="217" t="e">
        <f t="shared" si="1"/>
        <v>#DIV/0!</v>
      </c>
      <c r="E20" s="217" t="e">
        <f t="shared" si="1"/>
        <v>#DIV/0!</v>
      </c>
      <c r="F20" s="217" t="e">
        <f t="shared" si="1"/>
        <v>#DIV/0!</v>
      </c>
      <c r="G20" s="217" t="e">
        <f>G18*G19</f>
        <v>#DIV/0!</v>
      </c>
      <c r="H20" s="330" t="s">
        <v>699</v>
      </c>
      <c r="I20" s="15"/>
      <c r="J20" s="115"/>
      <c r="K20" s="116"/>
      <c r="L20" s="117"/>
      <c r="M20" s="118"/>
      <c r="N20" s="217" t="e">
        <f>SUM(B20:G20)</f>
        <v>#DIV/0!</v>
      </c>
      <c r="O20" s="724"/>
    </row>
    <row r="21" spans="1:15" ht="19.95" customHeight="1">
      <c r="A21" s="701" t="s">
        <v>700</v>
      </c>
      <c r="B21" s="249" t="s">
        <v>701</v>
      </c>
      <c r="C21" s="641" t="s">
        <v>702</v>
      </c>
      <c r="D21" s="641" t="s">
        <v>703</v>
      </c>
      <c r="E21" s="641" t="s">
        <v>704</v>
      </c>
      <c r="F21" s="641" t="s">
        <v>705</v>
      </c>
      <c r="G21" s="641" t="s">
        <v>706</v>
      </c>
      <c r="H21" s="641" t="s">
        <v>707</v>
      </c>
      <c r="I21" s="641" t="s">
        <v>708</v>
      </c>
      <c r="J21" s="641" t="s">
        <v>709</v>
      </c>
      <c r="K21" s="641" t="s">
        <v>710</v>
      </c>
      <c r="L21" s="643" t="s">
        <v>24</v>
      </c>
      <c r="M21" s="653"/>
      <c r="N21" s="650" t="s">
        <v>25</v>
      </c>
      <c r="O21" s="718" t="s">
        <v>582</v>
      </c>
    </row>
    <row r="22" spans="1:15" ht="19.95" customHeight="1">
      <c r="A22" s="718"/>
      <c r="B22" s="244" t="s">
        <v>711</v>
      </c>
      <c r="C22" s="650"/>
      <c r="D22" s="650"/>
      <c r="E22" s="650"/>
      <c r="F22" s="650"/>
      <c r="G22" s="650"/>
      <c r="H22" s="650"/>
      <c r="I22" s="650"/>
      <c r="J22" s="650"/>
      <c r="K22" s="650"/>
      <c r="L22" s="244" t="s">
        <v>26</v>
      </c>
      <c r="M22" s="60" t="s">
        <v>712</v>
      </c>
      <c r="N22" s="650"/>
      <c r="O22" s="718"/>
    </row>
    <row r="23" spans="1:15" ht="19.95" customHeight="1">
      <c r="A23" s="37" t="s">
        <v>713</v>
      </c>
      <c r="B23" s="61"/>
      <c r="C23" s="15"/>
      <c r="D23" s="15"/>
      <c r="E23" s="25"/>
      <c r="F23" s="25"/>
      <c r="G23" s="13"/>
      <c r="H23" s="25"/>
      <c r="I23" s="217">
        <f>F23+G23*(H23-F23)</f>
        <v>0</v>
      </c>
      <c r="J23" s="241" t="e">
        <f>((C23*E23*(1-B23)+D23*I23))/(C23+D23)</f>
        <v>#DIV/0!</v>
      </c>
      <c r="K23" s="217" t="e">
        <f>J23/(1-(B23+L23))</f>
        <v>#DIV/0!</v>
      </c>
      <c r="L23" s="25"/>
      <c r="M23" s="62"/>
      <c r="N23" s="217" t="e">
        <f>MAX(N13,N20)</f>
        <v>#DIV/0!</v>
      </c>
      <c r="O23" s="41"/>
    </row>
    <row r="24" spans="1:15" s="19" customFormat="1" ht="19.95" customHeight="1">
      <c r="A24" s="52" t="s">
        <v>678</v>
      </c>
      <c r="B24" s="27"/>
      <c r="C24" s="27"/>
      <c r="D24" s="27"/>
      <c r="E24" s="27"/>
      <c r="F24" s="27"/>
      <c r="G24" s="27"/>
      <c r="H24" s="27"/>
      <c r="I24" s="27"/>
      <c r="J24" s="27"/>
      <c r="K24" s="27"/>
      <c r="L24" s="27"/>
      <c r="M24" s="27"/>
      <c r="N24" s="27"/>
      <c r="O24" s="28"/>
    </row>
    <row r="25" spans="1:15" s="19" customFormat="1" ht="19.95" customHeight="1">
      <c r="A25" s="71" t="s">
        <v>714</v>
      </c>
      <c r="B25" s="27"/>
      <c r="C25" s="27"/>
      <c r="D25" s="27"/>
      <c r="E25" s="27"/>
      <c r="F25" s="27"/>
      <c r="G25" s="27"/>
      <c r="H25" s="27"/>
      <c r="I25" s="27"/>
      <c r="J25" s="27"/>
      <c r="K25" s="27"/>
      <c r="L25" s="27"/>
      <c r="M25" s="27"/>
      <c r="N25" s="27"/>
      <c r="O25" s="27"/>
    </row>
    <row r="26" spans="1:15" s="19" customFormat="1" ht="19.95" customHeight="1">
      <c r="A26" s="72"/>
      <c r="B26" s="218" t="e">
        <f>N23</f>
        <v>#DIV/0!</v>
      </c>
      <c r="C26" s="19" t="s">
        <v>715</v>
      </c>
    </row>
    <row r="27" spans="1:15" s="19" customFormat="1" ht="19.95" customHeight="1">
      <c r="A27" s="20" t="s">
        <v>268</v>
      </c>
      <c r="B27" s="53"/>
    </row>
    <row r="28" spans="1:15" s="19" customFormat="1" ht="19.95" customHeight="1">
      <c r="A28" s="72"/>
      <c r="B28" s="53"/>
    </row>
    <row r="29" spans="1:15" s="19" customFormat="1" ht="19.95" customHeight="1">
      <c r="A29" s="72"/>
      <c r="B29" s="53"/>
    </row>
    <row r="30" spans="1:15" s="19" customFormat="1" ht="19.95" customHeight="1">
      <c r="A30" s="20" t="s">
        <v>716</v>
      </c>
      <c r="B30" s="53"/>
    </row>
    <row r="31" spans="1:15" s="19" customFormat="1" ht="19.95" customHeight="1"/>
    <row r="32" spans="1:15" s="10" customFormat="1" ht="19.95" customHeight="1">
      <c r="A32" s="453" t="s">
        <v>877</v>
      </c>
    </row>
    <row r="33" spans="1:1" s="10" customFormat="1" ht="19.95" customHeight="1">
      <c r="A33" s="331" t="s">
        <v>717</v>
      </c>
    </row>
    <row r="34" spans="1:1" s="10" customFormat="1" ht="19.95" customHeight="1">
      <c r="A34" s="331"/>
    </row>
    <row r="35" spans="1:1" s="10" customFormat="1" ht="19.95" customHeight="1">
      <c r="A35" s="331" t="s">
        <v>718</v>
      </c>
    </row>
    <row r="36" spans="1:1" s="10" customFormat="1" ht="19.95" customHeight="1">
      <c r="A36" s="331" t="s">
        <v>719</v>
      </c>
    </row>
    <row r="37" spans="1:1" s="10" customFormat="1" ht="19.95" customHeight="1">
      <c r="A37" s="331" t="s">
        <v>720</v>
      </c>
    </row>
    <row r="38" spans="1:1" s="10" customFormat="1" ht="19.95" customHeight="1">
      <c r="A38" s="331" t="s">
        <v>721</v>
      </c>
    </row>
    <row r="39" spans="1:1" s="10" customFormat="1" ht="19.95" customHeight="1">
      <c r="A39" s="331" t="s">
        <v>722</v>
      </c>
    </row>
    <row r="40" spans="1:1" s="10" customFormat="1" ht="19.95" customHeight="1"/>
    <row r="41" spans="1:1" s="10" customFormat="1" ht="19.95" customHeight="1">
      <c r="A41" s="331" t="s">
        <v>723</v>
      </c>
    </row>
    <row r="42" spans="1:1" s="10" customFormat="1" ht="19.95" customHeight="1">
      <c r="A42" s="331" t="s">
        <v>724</v>
      </c>
    </row>
    <row r="43" spans="1:1" s="10" customFormat="1" ht="19.95" customHeight="1">
      <c r="A43" s="331" t="s">
        <v>725</v>
      </c>
    </row>
    <row r="44" spans="1:1" s="10" customFormat="1" ht="19.95" customHeight="1">
      <c r="A44" s="331" t="s">
        <v>726</v>
      </c>
    </row>
    <row r="45" spans="1:1" s="10" customFormat="1" ht="19.95" customHeight="1">
      <c r="A45" s="331" t="s">
        <v>727</v>
      </c>
    </row>
    <row r="46" spans="1:1" s="10" customFormat="1" ht="19.95" customHeight="1">
      <c r="A46" s="331" t="s">
        <v>728</v>
      </c>
    </row>
    <row r="47" spans="1:1" s="10" customFormat="1" ht="19.95" customHeight="1">
      <c r="A47" s="331" t="s">
        <v>729</v>
      </c>
    </row>
    <row r="48" spans="1:1" s="10" customFormat="1" ht="19.95" customHeight="1">
      <c r="A48" s="331" t="s">
        <v>730</v>
      </c>
    </row>
    <row r="49" spans="1:5" s="10" customFormat="1" ht="19.95" customHeight="1">
      <c r="A49" s="331" t="s">
        <v>731</v>
      </c>
    </row>
    <row r="50" spans="1:5" s="10" customFormat="1" ht="19.95" customHeight="1">
      <c r="A50" s="331" t="s">
        <v>732</v>
      </c>
    </row>
    <row r="51" spans="1:5" s="10" customFormat="1" ht="19.95" customHeight="1">
      <c r="A51" s="331" t="s">
        <v>733</v>
      </c>
    </row>
    <row r="52" spans="1:5" s="10" customFormat="1" ht="19.95" customHeight="1">
      <c r="E52" s="92"/>
    </row>
    <row r="53" spans="1:5" s="10" customFormat="1" ht="19.95" customHeight="1"/>
    <row r="54" spans="1:5" s="10" customFormat="1" ht="19.95" customHeight="1"/>
    <row r="55" spans="1:5" s="10" customFormat="1" ht="19.95" customHeight="1"/>
    <row r="56" spans="1:5" s="10" customFormat="1" ht="19.95" customHeight="1">
      <c r="A56" s="331"/>
    </row>
    <row r="57" spans="1:5" s="10" customFormat="1" ht="19.95" customHeight="1"/>
    <row r="58" spans="1:5" s="10" customFormat="1" ht="19.95" customHeight="1">
      <c r="A58" s="329" t="s">
        <v>652</v>
      </c>
    </row>
    <row r="59" spans="1:5" s="10" customFormat="1" ht="19.95" customHeight="1">
      <c r="A59" s="275" t="s">
        <v>734</v>
      </c>
    </row>
    <row r="60" spans="1:5" s="10" customFormat="1" ht="19.95" customHeight="1">
      <c r="A60" s="275" t="s">
        <v>654</v>
      </c>
    </row>
    <row r="61" spans="1:5" s="10" customFormat="1" ht="19.95" customHeight="1">
      <c r="A61" s="275" t="s">
        <v>735</v>
      </c>
    </row>
    <row r="62" spans="1:5" s="10" customFormat="1" ht="19.95" customHeight="1">
      <c r="A62" s="275" t="s">
        <v>736</v>
      </c>
    </row>
    <row r="63" spans="1:5" s="10" customFormat="1" ht="19.95" customHeight="1">
      <c r="A63" s="275" t="s">
        <v>657</v>
      </c>
    </row>
  </sheetData>
  <mergeCells count="27">
    <mergeCell ref="A14:O14"/>
    <mergeCell ref="H21:H22"/>
    <mergeCell ref="I21:I22"/>
    <mergeCell ref="J21:J22"/>
    <mergeCell ref="K21:K22"/>
    <mergeCell ref="L21:M21"/>
    <mergeCell ref="N16:N17"/>
    <mergeCell ref="O16:O17"/>
    <mergeCell ref="O18:O20"/>
    <mergeCell ref="A21:A22"/>
    <mergeCell ref="C21:C22"/>
    <mergeCell ref="D21:D22"/>
    <mergeCell ref="E21:E22"/>
    <mergeCell ref="F21:F22"/>
    <mergeCell ref="G21:G22"/>
    <mergeCell ref="A16:A17"/>
    <mergeCell ref="I16:I17"/>
    <mergeCell ref="J16:J17"/>
    <mergeCell ref="K16:K17"/>
    <mergeCell ref="L16:M17"/>
    <mergeCell ref="O21:O22"/>
    <mergeCell ref="N21:N22"/>
    <mergeCell ref="A1:O1"/>
    <mergeCell ref="A2:O2"/>
    <mergeCell ref="A8:A9"/>
    <mergeCell ref="N8:N9"/>
    <mergeCell ref="O8:O9"/>
  </mergeCells>
  <phoneticPr fontId="10" type="noConversion"/>
  <dataValidations count="2">
    <dataValidation allowBlank="1" showInputMessage="1" showErrorMessage="1" prompt="可使用万德（Wind）的WACC计算器取数。" sqref="H23 E23:F23"/>
    <dataValidation allowBlank="1" showInputMessage="1" showErrorMessage="1" prompt="可使用万德（Wind）的BETA计算器计算β系数。" sqref="G23"/>
  </dataValidations>
  <hyperlinks>
    <hyperlink ref="N3" location="底稿目录!A1" display="H2-1"/>
  </hyperlinks>
  <printOptions horizontalCentered="1"/>
  <pageMargins left="0.43307086614173229" right="0.39370078740157483" top="0.39370078740157483" bottom="0.39370078740157483" header="0.31496062992125984" footer="0.31496062992125984"/>
  <pageSetup paperSize="9" scale="75" fitToHeight="2" orientation="landscape" blackAndWhite="1" r:id="rId1"/>
  <headerFooter alignWithMargins="0">
    <oddFooter>&amp;C&amp;P/&amp;N</oddFooter>
  </headerFooter>
  <drawing r:id="rId2"/>
  <legacyDrawing r:id="rId3"/>
  <oleObjects>
    <mc:AlternateContent xmlns:mc="http://schemas.openxmlformats.org/markup-compatibility/2006">
      <mc:Choice Requires="x14">
        <oleObject progId="Equation.3" shapeId="3073" r:id="rId4">
          <objectPr defaultSize="0" autoPict="0" r:id="rId5">
            <anchor moveWithCells="1" sizeWithCells="1">
              <from>
                <xdr:col>0</xdr:col>
                <xdr:colOff>99060</xdr:colOff>
                <xdr:row>51</xdr:row>
                <xdr:rowOff>45720</xdr:rowOff>
              </from>
              <to>
                <xdr:col>3</xdr:col>
                <xdr:colOff>0</xdr:colOff>
                <xdr:row>53</xdr:row>
                <xdr:rowOff>137160</xdr:rowOff>
              </to>
            </anchor>
          </objectPr>
        </oleObject>
      </mc:Choice>
      <mc:Fallback>
        <oleObject progId="Equation.3" shapeId="3073" r:id="rId4"/>
      </mc:Fallback>
    </mc:AlternateContent>
    <mc:AlternateContent xmlns:mc="http://schemas.openxmlformats.org/markup-compatibility/2006">
      <mc:Choice Requires="x14">
        <oleObject progId="Equation.3" shapeId="3074" r:id="rId6">
          <objectPr defaultSize="0" autoPict="0" r:id="rId7">
            <anchor moveWithCells="1" sizeWithCells="1">
              <from>
                <xdr:col>3</xdr:col>
                <xdr:colOff>655320</xdr:colOff>
                <xdr:row>51</xdr:row>
                <xdr:rowOff>144780</xdr:rowOff>
              </from>
              <to>
                <xdr:col>7</xdr:col>
                <xdr:colOff>198120</xdr:colOff>
                <xdr:row>53</xdr:row>
                <xdr:rowOff>76200</xdr:rowOff>
              </to>
            </anchor>
          </objectPr>
        </oleObject>
      </mc:Choice>
      <mc:Fallback>
        <oleObject progId="Equation.3" shapeId="3074" r:id="rId6"/>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02"/>
  <sheetViews>
    <sheetView view="pageBreakPreview" zoomScaleNormal="100" zoomScaleSheetLayoutView="100" workbookViewId="0">
      <selection activeCell="N3" sqref="N3"/>
    </sheetView>
  </sheetViews>
  <sheetFormatPr defaultColWidth="9" defaultRowHeight="19.95" customHeight="1"/>
  <cols>
    <col min="1" max="1" width="16.8984375" style="235" customWidth="1"/>
    <col min="2" max="2" width="15.09765625" style="235" customWidth="1"/>
    <col min="3" max="3" width="9.19921875" style="235" customWidth="1"/>
    <col min="4" max="4" width="18.19921875" style="236" customWidth="1"/>
    <col min="5" max="5" width="11.796875" style="236" customWidth="1"/>
    <col min="6" max="6" width="13.69921875" style="236" customWidth="1"/>
    <col min="7" max="7" width="13" style="236" customWidth="1"/>
    <col min="8" max="8" width="12" style="236" customWidth="1"/>
    <col min="9" max="9" width="13.8984375" style="236" customWidth="1"/>
    <col min="10" max="10" width="13.09765625" style="235" customWidth="1"/>
    <col min="11" max="11" width="10" style="235" customWidth="1"/>
    <col min="12" max="12" width="10.69921875" style="235" customWidth="1"/>
    <col min="13" max="13" width="10" style="235" customWidth="1"/>
    <col min="14" max="14" width="10.3984375" style="235" customWidth="1"/>
    <col min="15" max="16384" width="9" style="235"/>
  </cols>
  <sheetData>
    <row r="1" spans="1:15" s="435" customFormat="1" ht="19.95" customHeight="1">
      <c r="A1" s="725" t="s">
        <v>810</v>
      </c>
      <c r="B1" s="725"/>
      <c r="C1" s="725"/>
      <c r="D1" s="725"/>
      <c r="E1" s="725"/>
      <c r="F1" s="725"/>
      <c r="G1" s="725"/>
      <c r="H1" s="725"/>
      <c r="I1" s="725"/>
      <c r="J1" s="725"/>
      <c r="K1" s="725"/>
      <c r="L1" s="725"/>
      <c r="M1" s="725"/>
      <c r="N1" s="725"/>
    </row>
    <row r="2" spans="1:15" s="436" customFormat="1" ht="19.95" customHeight="1">
      <c r="A2" s="726" t="s">
        <v>827</v>
      </c>
      <c r="B2" s="726"/>
      <c r="C2" s="726"/>
      <c r="D2" s="726"/>
      <c r="E2" s="726"/>
      <c r="F2" s="726"/>
      <c r="G2" s="726"/>
      <c r="H2" s="726"/>
      <c r="I2" s="726"/>
      <c r="J2" s="726"/>
      <c r="K2" s="726"/>
      <c r="L2" s="726"/>
      <c r="M2" s="726"/>
      <c r="N2" s="726"/>
    </row>
    <row r="3" spans="1:15" ht="19.95" customHeight="1">
      <c r="A3" s="235" t="str">
        <f>底稿目录!A2</f>
        <v>被审计单位：</v>
      </c>
      <c r="D3" s="235"/>
      <c r="F3" s="235" t="str">
        <f>底稿目录!A4</f>
        <v>编制人：</v>
      </c>
      <c r="G3" s="235"/>
      <c r="H3" s="235" t="str">
        <f>底稿目录!A6</f>
        <v>编制日期：</v>
      </c>
      <c r="I3" s="235"/>
      <c r="M3" s="440" t="s">
        <v>832</v>
      </c>
      <c r="N3" s="256" t="s">
        <v>148</v>
      </c>
    </row>
    <row r="4" spans="1:15" ht="19.95" customHeight="1">
      <c r="A4" s="235" t="str">
        <f>底稿目录!A3</f>
        <v>截止日：202X年12月31日</v>
      </c>
      <c r="D4" s="235"/>
      <c r="F4" s="235" t="str">
        <f>底稿目录!A5</f>
        <v>复核人：</v>
      </c>
      <c r="G4" s="235"/>
      <c r="H4" s="235" t="str">
        <f>底稿目录!A7</f>
        <v>复核日期：</v>
      </c>
      <c r="I4" s="235"/>
      <c r="M4" s="440" t="s">
        <v>833</v>
      </c>
      <c r="N4" s="2"/>
    </row>
    <row r="5" spans="1:15" s="238" customFormat="1" ht="19.95" customHeight="1">
      <c r="A5" s="237" t="s">
        <v>131</v>
      </c>
      <c r="B5" s="237"/>
      <c r="C5" s="237"/>
      <c r="D5" s="332"/>
      <c r="E5" s="332"/>
      <c r="F5" s="332"/>
      <c r="G5" s="332"/>
      <c r="H5" s="333"/>
      <c r="I5" s="332"/>
      <c r="J5" s="333"/>
      <c r="K5" s="333"/>
      <c r="L5" s="333"/>
      <c r="N5" s="333"/>
    </row>
    <row r="6" spans="1:15" s="570" customFormat="1" ht="19.95" customHeight="1">
      <c r="A6" s="566" t="s">
        <v>737</v>
      </c>
      <c r="B6" s="566"/>
      <c r="C6" s="566"/>
      <c r="D6" s="567"/>
      <c r="E6" s="568"/>
      <c r="F6" s="568"/>
      <c r="G6" s="568"/>
      <c r="H6" s="568"/>
      <c r="I6" s="568"/>
      <c r="J6" s="566"/>
      <c r="K6" s="566"/>
      <c r="L6" s="566"/>
      <c r="M6" s="566"/>
      <c r="N6" s="566"/>
      <c r="O6" s="569"/>
    </row>
    <row r="7" spans="1:15" s="570" customFormat="1" ht="19.95" customHeight="1">
      <c r="A7" s="566" t="s">
        <v>738</v>
      </c>
      <c r="B7" s="566"/>
      <c r="C7" s="566"/>
      <c r="D7" s="567"/>
      <c r="E7" s="568"/>
      <c r="F7" s="568"/>
      <c r="G7" s="568"/>
      <c r="H7" s="568"/>
      <c r="I7" s="568"/>
      <c r="J7" s="566"/>
      <c r="K7" s="566"/>
      <c r="L7" s="566"/>
      <c r="M7" s="566"/>
      <c r="N7" s="566"/>
    </row>
    <row r="8" spans="1:15" s="238" customFormat="1" ht="19.95" customHeight="1">
      <c r="A8" s="237" t="s">
        <v>739</v>
      </c>
      <c r="B8" s="333"/>
      <c r="C8" s="333"/>
      <c r="D8" s="239"/>
      <c r="E8" s="332"/>
      <c r="F8" s="332"/>
      <c r="G8" s="332"/>
      <c r="H8" s="332"/>
      <c r="I8" s="332"/>
      <c r="J8" s="333"/>
      <c r="K8" s="333"/>
      <c r="L8" s="333"/>
      <c r="M8" s="333"/>
      <c r="N8" s="333"/>
    </row>
    <row r="9" spans="1:15" s="238" customFormat="1" ht="19.95" customHeight="1">
      <c r="A9" s="335" t="s">
        <v>870</v>
      </c>
      <c r="C9" s="334"/>
      <c r="D9" s="239"/>
      <c r="F9" s="332"/>
      <c r="G9" s="332"/>
      <c r="H9" s="332"/>
      <c r="I9" s="332"/>
      <c r="J9" s="332"/>
      <c r="K9" s="333"/>
      <c r="L9" s="333"/>
      <c r="M9" s="333"/>
      <c r="N9" s="333"/>
    </row>
    <row r="10" spans="1:15" s="238" customFormat="1" ht="26.4" customHeight="1">
      <c r="A10" s="336" t="s">
        <v>740</v>
      </c>
      <c r="B10" s="336" t="s">
        <v>741</v>
      </c>
      <c r="C10" s="336" t="s">
        <v>742</v>
      </c>
      <c r="D10" s="337" t="s">
        <v>743</v>
      </c>
      <c r="E10" s="337" t="s">
        <v>744</v>
      </c>
      <c r="F10" s="337" t="s">
        <v>745</v>
      </c>
      <c r="G10" s="337" t="s">
        <v>746</v>
      </c>
      <c r="H10" s="337" t="s">
        <v>747</v>
      </c>
      <c r="I10" s="337" t="s">
        <v>748</v>
      </c>
      <c r="J10" s="337" t="s">
        <v>749</v>
      </c>
      <c r="K10" s="337" t="s">
        <v>582</v>
      </c>
      <c r="L10" s="337" t="s">
        <v>372</v>
      </c>
      <c r="N10" s="333"/>
    </row>
    <row r="11" spans="1:15" s="238" customFormat="1" ht="19.95" customHeight="1">
      <c r="A11" s="338"/>
      <c r="B11" s="491"/>
      <c r="C11" s="412"/>
      <c r="D11" s="412"/>
      <c r="E11" s="200"/>
      <c r="F11" s="200"/>
      <c r="G11" s="413"/>
      <c r="H11" s="414"/>
      <c r="I11" s="338"/>
      <c r="J11" s="415"/>
      <c r="K11" s="338"/>
      <c r="L11" s="416"/>
      <c r="N11" s="333"/>
    </row>
    <row r="12" spans="1:15" s="238" customFormat="1" ht="19.95" customHeight="1">
      <c r="A12" s="338"/>
      <c r="B12" s="491"/>
      <c r="C12" s="412"/>
      <c r="D12" s="412"/>
      <c r="E12" s="200"/>
      <c r="F12" s="200"/>
      <c r="G12" s="413"/>
      <c r="H12" s="414"/>
      <c r="I12" s="338"/>
      <c r="J12" s="415"/>
      <c r="K12" s="338"/>
      <c r="L12" s="416"/>
      <c r="N12" s="333"/>
    </row>
    <row r="13" spans="1:15" s="238" customFormat="1" ht="19.95" customHeight="1">
      <c r="A13" s="338"/>
      <c r="B13" s="491"/>
      <c r="C13" s="412"/>
      <c r="D13" s="412"/>
      <c r="E13" s="200"/>
      <c r="F13" s="200"/>
      <c r="G13" s="413"/>
      <c r="H13" s="414"/>
      <c r="I13" s="338"/>
      <c r="J13" s="415"/>
      <c r="K13" s="338"/>
      <c r="L13" s="416"/>
      <c r="N13" s="333"/>
    </row>
    <row r="14" spans="1:15" s="238" customFormat="1" ht="19.95" customHeight="1">
      <c r="A14" s="338"/>
      <c r="B14" s="491"/>
      <c r="C14" s="412"/>
      <c r="D14" s="412"/>
      <c r="E14" s="200"/>
      <c r="F14" s="200"/>
      <c r="G14" s="413"/>
      <c r="H14" s="414"/>
      <c r="I14" s="338"/>
      <c r="J14" s="415"/>
      <c r="K14" s="338"/>
      <c r="L14" s="416"/>
      <c r="N14" s="333"/>
    </row>
    <row r="15" spans="1:15" s="238" customFormat="1" ht="19.95" customHeight="1">
      <c r="A15" s="338"/>
      <c r="B15" s="491"/>
      <c r="C15" s="412"/>
      <c r="D15" s="412"/>
      <c r="E15" s="200"/>
      <c r="F15" s="200"/>
      <c r="G15" s="413"/>
      <c r="H15" s="414"/>
      <c r="I15" s="338"/>
      <c r="J15" s="415"/>
      <c r="K15" s="338"/>
      <c r="L15" s="416"/>
      <c r="N15" s="333"/>
    </row>
    <row r="16" spans="1:15" s="238" customFormat="1" ht="19.95" customHeight="1">
      <c r="A16" s="338"/>
      <c r="B16" s="491"/>
      <c r="C16" s="412"/>
      <c r="D16" s="412"/>
      <c r="E16" s="200"/>
      <c r="F16" s="200"/>
      <c r="G16" s="413"/>
      <c r="H16" s="414"/>
      <c r="I16" s="338"/>
      <c r="J16" s="415"/>
      <c r="K16" s="338"/>
      <c r="L16" s="416"/>
      <c r="N16" s="333"/>
    </row>
    <row r="17" spans="1:14" s="238" customFormat="1" ht="19.95" customHeight="1">
      <c r="A17" s="333"/>
      <c r="C17" s="334"/>
      <c r="D17" s="239"/>
      <c r="E17" s="332"/>
      <c r="F17" s="332"/>
      <c r="G17" s="332"/>
      <c r="H17" s="332"/>
      <c r="I17" s="332"/>
      <c r="J17" s="333"/>
      <c r="K17" s="333"/>
      <c r="L17" s="333"/>
      <c r="N17" s="333"/>
    </row>
    <row r="18" spans="1:14" s="238" customFormat="1" ht="19.95" customHeight="1">
      <c r="A18" s="335" t="s">
        <v>871</v>
      </c>
      <c r="C18" s="334"/>
      <c r="D18" s="239"/>
      <c r="E18" s="332"/>
      <c r="F18" s="332"/>
      <c r="G18" s="332"/>
      <c r="H18" s="332"/>
      <c r="I18" s="332"/>
      <c r="J18" s="339"/>
      <c r="K18" s="333"/>
      <c r="M18" s="333"/>
      <c r="N18" s="333"/>
    </row>
    <row r="19" spans="1:14" s="238" customFormat="1" ht="24">
      <c r="A19" s="336" t="s">
        <v>740</v>
      </c>
      <c r="B19" s="336" t="s">
        <v>741</v>
      </c>
      <c r="C19" s="336" t="s">
        <v>742</v>
      </c>
      <c r="D19" s="337" t="s">
        <v>750</v>
      </c>
      <c r="E19" s="337" t="s">
        <v>751</v>
      </c>
      <c r="F19" s="337" t="s">
        <v>752</v>
      </c>
      <c r="G19" s="337" t="s">
        <v>753</v>
      </c>
      <c r="H19" s="337" t="s">
        <v>754</v>
      </c>
      <c r="I19" s="337" t="s">
        <v>746</v>
      </c>
      <c r="J19" s="337" t="s">
        <v>755</v>
      </c>
      <c r="K19" s="337" t="s">
        <v>748</v>
      </c>
      <c r="L19" s="337" t="s">
        <v>749</v>
      </c>
      <c r="M19" s="337" t="s">
        <v>582</v>
      </c>
      <c r="N19" s="337" t="s">
        <v>372</v>
      </c>
    </row>
    <row r="20" spans="1:14" s="238" customFormat="1" ht="19.95" customHeight="1">
      <c r="A20" s="338"/>
      <c r="B20" s="491"/>
      <c r="C20" s="412"/>
      <c r="D20" s="412"/>
      <c r="E20" s="200"/>
      <c r="F20" s="200"/>
      <c r="G20" s="493"/>
      <c r="H20" s="200"/>
      <c r="I20" s="413"/>
      <c r="J20" s="414"/>
      <c r="K20" s="338"/>
      <c r="L20" s="415"/>
      <c r="M20" s="338"/>
      <c r="N20" s="416"/>
    </row>
    <row r="21" spans="1:14" s="238" customFormat="1" ht="19.95" customHeight="1">
      <c r="A21" s="338"/>
      <c r="B21" s="491"/>
      <c r="C21" s="412"/>
      <c r="D21" s="412"/>
      <c r="E21" s="200"/>
      <c r="F21" s="200"/>
      <c r="G21" s="493"/>
      <c r="H21" s="200"/>
      <c r="I21" s="413"/>
      <c r="J21" s="414"/>
      <c r="K21" s="338"/>
      <c r="L21" s="415"/>
      <c r="M21" s="338"/>
      <c r="N21" s="416"/>
    </row>
    <row r="22" spans="1:14" s="238" customFormat="1" ht="19.95" customHeight="1">
      <c r="A22" s="338"/>
      <c r="B22" s="491"/>
      <c r="C22" s="412"/>
      <c r="D22" s="412"/>
      <c r="E22" s="200"/>
      <c r="F22" s="200"/>
      <c r="G22" s="493"/>
      <c r="H22" s="200"/>
      <c r="I22" s="413"/>
      <c r="J22" s="414"/>
      <c r="K22" s="338"/>
      <c r="L22" s="415"/>
      <c r="M22" s="338"/>
      <c r="N22" s="416"/>
    </row>
    <row r="23" spans="1:14" s="238" customFormat="1" ht="19.95" customHeight="1">
      <c r="A23" s="338"/>
      <c r="B23" s="491"/>
      <c r="C23" s="412"/>
      <c r="D23" s="412"/>
      <c r="E23" s="200"/>
      <c r="F23" s="200"/>
      <c r="G23" s="493"/>
      <c r="H23" s="200"/>
      <c r="I23" s="413"/>
      <c r="J23" s="414"/>
      <c r="K23" s="338"/>
      <c r="L23" s="415"/>
      <c r="M23" s="338"/>
      <c r="N23" s="416"/>
    </row>
    <row r="24" spans="1:14" s="238" customFormat="1" ht="19.95" customHeight="1">
      <c r="A24" s="338"/>
      <c r="B24" s="491"/>
      <c r="C24" s="412"/>
      <c r="D24" s="412"/>
      <c r="E24" s="200"/>
      <c r="F24" s="200"/>
      <c r="G24" s="493"/>
      <c r="H24" s="200"/>
      <c r="I24" s="413"/>
      <c r="J24" s="414"/>
      <c r="K24" s="338"/>
      <c r="L24" s="415"/>
      <c r="M24" s="338"/>
      <c r="N24" s="416"/>
    </row>
    <row r="25" spans="1:14" s="238" customFormat="1" ht="19.95" customHeight="1">
      <c r="A25" s="338"/>
      <c r="B25" s="491"/>
      <c r="C25" s="412"/>
      <c r="D25" s="412"/>
      <c r="E25" s="200"/>
      <c r="F25" s="200"/>
      <c r="G25" s="493"/>
      <c r="H25" s="200"/>
      <c r="I25" s="413"/>
      <c r="J25" s="414"/>
      <c r="K25" s="338"/>
      <c r="L25" s="415"/>
      <c r="M25" s="338"/>
      <c r="N25" s="416"/>
    </row>
    <row r="26" spans="1:14" s="238" customFormat="1" ht="19.95" customHeight="1">
      <c r="A26" s="333"/>
      <c r="C26" s="334"/>
      <c r="D26" s="239"/>
      <c r="E26" s="332"/>
      <c r="F26" s="332"/>
      <c r="G26" s="332"/>
      <c r="H26" s="332"/>
      <c r="I26" s="332"/>
      <c r="J26" s="333"/>
      <c r="K26" s="333"/>
      <c r="L26" s="333"/>
      <c r="M26" s="333"/>
      <c r="N26" s="333"/>
    </row>
    <row r="27" spans="1:14" ht="19.95" customHeight="1">
      <c r="A27" s="237" t="s">
        <v>756</v>
      </c>
      <c r="B27" s="237"/>
      <c r="C27" s="237"/>
      <c r="D27" s="340"/>
      <c r="E27" s="340"/>
      <c r="F27" s="332"/>
      <c r="G27" s="340"/>
      <c r="H27" s="340"/>
      <c r="I27" s="340"/>
      <c r="J27" s="340"/>
      <c r="K27" s="333"/>
      <c r="L27" s="333"/>
      <c r="M27" s="333"/>
      <c r="N27" s="333"/>
    </row>
    <row r="28" spans="1:14" ht="19.95" customHeight="1">
      <c r="A28" s="240"/>
      <c r="B28" s="341"/>
      <c r="C28" s="240"/>
      <c r="D28" s="235"/>
      <c r="E28" s="340"/>
      <c r="F28" s="340"/>
      <c r="G28" s="340"/>
      <c r="H28" s="340"/>
      <c r="I28" s="340"/>
      <c r="J28" s="340"/>
      <c r="K28" s="334"/>
      <c r="L28" s="334"/>
      <c r="M28" s="334"/>
      <c r="N28" s="334"/>
    </row>
    <row r="29" spans="1:14" ht="19.95" customHeight="1">
      <c r="B29" s="342"/>
      <c r="D29" s="235"/>
      <c r="E29" s="342"/>
      <c r="F29" s="342"/>
      <c r="G29" s="342"/>
      <c r="H29" s="342"/>
      <c r="I29" s="342"/>
      <c r="J29" s="343"/>
      <c r="K29" s="343"/>
      <c r="L29" s="343"/>
      <c r="M29" s="343"/>
      <c r="N29" s="343"/>
    </row>
    <row r="30" spans="1:14" ht="19.95" customHeight="1">
      <c r="A30" s="240"/>
      <c r="B30" s="341"/>
      <c r="C30" s="240"/>
      <c r="D30" s="235"/>
      <c r="E30" s="342"/>
      <c r="F30" s="342"/>
      <c r="G30" s="342"/>
      <c r="H30" s="342"/>
      <c r="I30" s="342"/>
      <c r="J30" s="343"/>
      <c r="K30" s="343"/>
      <c r="L30" s="343"/>
      <c r="M30" s="343"/>
      <c r="N30" s="343"/>
    </row>
    <row r="31" spans="1:14" ht="19.95" customHeight="1">
      <c r="A31" s="240"/>
      <c r="B31" s="344"/>
      <c r="C31" s="240"/>
      <c r="D31" s="235"/>
      <c r="E31" s="342"/>
      <c r="F31" s="342"/>
      <c r="G31" s="342"/>
      <c r="H31" s="342"/>
      <c r="I31" s="342"/>
      <c r="J31" s="343"/>
      <c r="K31" s="343"/>
      <c r="L31" s="343"/>
      <c r="M31" s="343"/>
      <c r="N31" s="343"/>
    </row>
    <row r="32" spans="1:14" ht="19.95" customHeight="1">
      <c r="A32" s="237" t="s">
        <v>757</v>
      </c>
      <c r="B32" s="237"/>
      <c r="C32" s="237"/>
      <c r="D32" s="344"/>
      <c r="E32" s="342"/>
      <c r="F32" s="342"/>
      <c r="G32" s="342"/>
      <c r="H32" s="342"/>
      <c r="I32" s="342"/>
      <c r="J32" s="343"/>
      <c r="K32" s="343"/>
      <c r="L32" s="343"/>
      <c r="M32" s="343"/>
      <c r="N32" s="343"/>
    </row>
    <row r="33" spans="1:14" ht="19.95" customHeight="1">
      <c r="A33" s="240"/>
      <c r="B33" s="240"/>
      <c r="C33" s="240"/>
      <c r="D33" s="344"/>
      <c r="E33" s="342"/>
      <c r="F33" s="342"/>
      <c r="G33" s="342"/>
      <c r="H33" s="342"/>
      <c r="I33" s="342"/>
      <c r="J33" s="343"/>
      <c r="K33" s="343"/>
      <c r="L33" s="343"/>
      <c r="M33" s="343"/>
      <c r="N33" s="343"/>
    </row>
    <row r="34" spans="1:14" ht="19.95" customHeight="1">
      <c r="A34" s="237"/>
      <c r="B34" s="237"/>
      <c r="C34" s="237"/>
      <c r="D34" s="345"/>
      <c r="E34" s="345"/>
      <c r="F34" s="345"/>
      <c r="G34" s="345"/>
      <c r="H34" s="345"/>
      <c r="I34" s="345"/>
      <c r="J34" s="346"/>
      <c r="K34" s="346"/>
      <c r="L34" s="346"/>
      <c r="M34" s="346"/>
      <c r="N34" s="346"/>
    </row>
    <row r="35" spans="1:14" ht="19.95" customHeight="1">
      <c r="A35" s="439"/>
      <c r="B35" s="346"/>
      <c r="C35" s="346"/>
      <c r="D35" s="345"/>
      <c r="E35" s="345"/>
      <c r="F35" s="345"/>
      <c r="G35" s="345"/>
      <c r="H35" s="345"/>
      <c r="I35" s="345"/>
      <c r="J35" s="346"/>
      <c r="K35" s="346"/>
      <c r="L35" s="346"/>
      <c r="M35" s="346"/>
      <c r="N35" s="346"/>
    </row>
    <row r="36" spans="1:14" ht="19.95" customHeight="1">
      <c r="A36" s="346"/>
      <c r="B36" s="346"/>
      <c r="C36" s="346"/>
      <c r="D36" s="345"/>
      <c r="E36" s="345"/>
      <c r="F36" s="345"/>
      <c r="G36" s="345"/>
      <c r="H36" s="345"/>
      <c r="I36" s="345"/>
      <c r="J36" s="346"/>
      <c r="K36" s="346"/>
      <c r="L36" s="346"/>
      <c r="M36" s="346"/>
      <c r="N36" s="346"/>
    </row>
    <row r="37" spans="1:14" ht="19.95" customHeight="1">
      <c r="A37" s="492" t="s">
        <v>993</v>
      </c>
      <c r="B37" s="346"/>
      <c r="C37" s="346"/>
      <c r="D37" s="345"/>
      <c r="E37" s="345"/>
      <c r="F37" s="345"/>
      <c r="G37" s="345"/>
      <c r="H37" s="345"/>
      <c r="I37" s="345"/>
      <c r="J37" s="346"/>
      <c r="K37" s="346"/>
      <c r="L37" s="346"/>
      <c r="M37" s="346"/>
      <c r="N37" s="346"/>
    </row>
    <row r="38" spans="1:14" ht="19.95" customHeight="1">
      <c r="A38" s="347" t="s">
        <v>758</v>
      </c>
      <c r="B38" s="346"/>
      <c r="C38" s="346"/>
      <c r="D38" s="345"/>
      <c r="E38" s="345"/>
      <c r="F38" s="345"/>
      <c r="G38" s="345"/>
      <c r="H38" s="345"/>
      <c r="I38" s="345"/>
      <c r="J38" s="346"/>
      <c r="K38" s="346"/>
      <c r="L38" s="346"/>
      <c r="M38" s="346"/>
      <c r="N38" s="346"/>
    </row>
    <row r="39" spans="1:14" ht="19.95" customHeight="1">
      <c r="A39" s="581" t="s">
        <v>1024</v>
      </c>
      <c r="B39" s="346"/>
      <c r="C39" s="346"/>
      <c r="D39" s="345"/>
      <c r="E39" s="345"/>
      <c r="F39" s="345"/>
      <c r="G39" s="345"/>
      <c r="H39" s="345"/>
      <c r="I39" s="345"/>
      <c r="J39" s="346"/>
      <c r="K39" s="346"/>
      <c r="L39" s="346"/>
      <c r="M39" s="346"/>
      <c r="N39" s="346"/>
    </row>
    <row r="40" spans="1:14" ht="19.95" customHeight="1">
      <c r="A40" s="581" t="s">
        <v>1019</v>
      </c>
      <c r="B40" s="346"/>
      <c r="C40" s="346"/>
      <c r="D40" s="345"/>
      <c r="E40" s="345"/>
      <c r="F40" s="345"/>
      <c r="G40" s="345"/>
      <c r="H40" s="345"/>
      <c r="I40" s="345"/>
      <c r="J40" s="346"/>
      <c r="K40" s="346"/>
      <c r="L40" s="346"/>
      <c r="M40" s="346"/>
      <c r="N40" s="346"/>
    </row>
    <row r="41" spans="1:14" ht="19.95" customHeight="1">
      <c r="A41" s="581" t="s">
        <v>1017</v>
      </c>
      <c r="B41" s="346"/>
      <c r="C41" s="346"/>
      <c r="D41" s="345"/>
      <c r="E41" s="345"/>
      <c r="F41" s="345"/>
      <c r="G41" s="345"/>
      <c r="H41" s="345"/>
      <c r="I41" s="345"/>
      <c r="J41" s="346"/>
      <c r="K41" s="346"/>
      <c r="L41" s="346"/>
      <c r="M41" s="346"/>
      <c r="N41" s="346"/>
    </row>
    <row r="42" spans="1:14" ht="19.95" customHeight="1">
      <c r="A42" s="581" t="s">
        <v>1020</v>
      </c>
      <c r="B42" s="346"/>
      <c r="C42" s="346"/>
      <c r="D42" s="345"/>
      <c r="E42" s="345"/>
      <c r="F42" s="345"/>
      <c r="G42" s="345"/>
      <c r="H42" s="345"/>
      <c r="I42" s="345"/>
      <c r="J42" s="346"/>
      <c r="K42" s="346"/>
      <c r="L42" s="346"/>
      <c r="M42" s="346"/>
      <c r="N42" s="346"/>
    </row>
    <row r="43" spans="1:14" ht="19.95" customHeight="1">
      <c r="A43" s="581" t="s">
        <v>1021</v>
      </c>
      <c r="B43" s="346"/>
      <c r="C43" s="346"/>
      <c r="D43" s="345"/>
      <c r="E43" s="345"/>
      <c r="F43" s="345"/>
      <c r="G43" s="345"/>
      <c r="H43" s="345"/>
      <c r="I43" s="345"/>
      <c r="J43" s="346"/>
      <c r="K43" s="346"/>
      <c r="L43" s="346"/>
      <c r="M43" s="346"/>
      <c r="N43" s="346"/>
    </row>
    <row r="44" spans="1:14" ht="19.95" customHeight="1">
      <c r="A44" s="243" t="s">
        <v>1018</v>
      </c>
      <c r="B44" s="346"/>
      <c r="C44" s="346"/>
      <c r="D44" s="345"/>
      <c r="E44" s="345"/>
      <c r="F44" s="345"/>
      <c r="G44" s="345"/>
      <c r="H44" s="345"/>
      <c r="I44" s="345"/>
      <c r="J44" s="346"/>
      <c r="K44" s="346"/>
      <c r="L44" s="346"/>
      <c r="M44" s="346"/>
      <c r="N44" s="346"/>
    </row>
    <row r="45" spans="1:14" ht="19.95" customHeight="1">
      <c r="A45" s="581" t="s">
        <v>1022</v>
      </c>
      <c r="B45" s="346"/>
      <c r="C45" s="346"/>
      <c r="D45" s="345"/>
      <c r="E45" s="345"/>
      <c r="F45" s="345"/>
      <c r="G45" s="345"/>
      <c r="H45" s="345"/>
      <c r="I45" s="345"/>
      <c r="J45" s="346"/>
      <c r="K45" s="346"/>
      <c r="L45" s="346"/>
      <c r="M45" s="346"/>
      <c r="N45" s="346"/>
    </row>
    <row r="46" spans="1:14" ht="19.95" customHeight="1">
      <c r="A46" s="581" t="s">
        <v>1023</v>
      </c>
      <c r="B46" s="346"/>
      <c r="C46" s="346"/>
      <c r="D46" s="345"/>
      <c r="E46" s="345"/>
      <c r="F46" s="345"/>
      <c r="G46" s="345"/>
      <c r="H46" s="345"/>
      <c r="I46" s="345"/>
      <c r="J46" s="346"/>
      <c r="K46" s="346"/>
      <c r="L46" s="346"/>
      <c r="M46" s="346"/>
      <c r="N46" s="346"/>
    </row>
    <row r="47" spans="1:14" ht="19.95" customHeight="1">
      <c r="A47" s="346"/>
      <c r="B47" s="346"/>
      <c r="C47" s="346"/>
      <c r="D47" s="345"/>
      <c r="E47" s="345"/>
      <c r="F47" s="345"/>
      <c r="G47" s="345"/>
      <c r="H47" s="345"/>
      <c r="I47" s="345"/>
      <c r="J47" s="346"/>
      <c r="K47" s="346"/>
      <c r="L47" s="346"/>
      <c r="M47" s="346"/>
      <c r="N47" s="346"/>
    </row>
    <row r="48" spans="1:14" ht="19.95" customHeight="1">
      <c r="A48" s="346"/>
      <c r="B48" s="346"/>
      <c r="C48" s="346"/>
      <c r="D48" s="345"/>
      <c r="E48" s="345"/>
      <c r="F48" s="345"/>
      <c r="G48" s="345"/>
      <c r="H48" s="345"/>
      <c r="I48" s="345"/>
      <c r="J48" s="346"/>
      <c r="K48" s="346"/>
      <c r="L48" s="346"/>
      <c r="M48" s="346"/>
      <c r="N48" s="346"/>
    </row>
    <row r="49" spans="1:14" ht="19.95" customHeight="1">
      <c r="A49" s="346"/>
      <c r="B49" s="346"/>
      <c r="C49" s="346"/>
      <c r="D49" s="345"/>
      <c r="E49" s="345"/>
      <c r="F49" s="345"/>
      <c r="G49" s="345"/>
      <c r="H49" s="345"/>
      <c r="I49" s="345"/>
      <c r="J49" s="346"/>
      <c r="K49" s="346"/>
      <c r="L49" s="346"/>
      <c r="M49" s="346"/>
      <c r="N49" s="346"/>
    </row>
    <row r="50" spans="1:14" ht="19.95" customHeight="1">
      <c r="A50" s="346"/>
      <c r="B50" s="346"/>
      <c r="C50" s="346"/>
      <c r="D50" s="345"/>
      <c r="E50" s="345"/>
      <c r="F50" s="345"/>
      <c r="G50" s="345"/>
      <c r="H50" s="345"/>
      <c r="I50" s="345"/>
      <c r="J50" s="346"/>
      <c r="K50" s="346"/>
      <c r="L50" s="346"/>
      <c r="M50" s="346"/>
      <c r="N50" s="346"/>
    </row>
    <row r="51" spans="1:14" ht="19.95" customHeight="1">
      <c r="A51" s="346"/>
      <c r="B51" s="346"/>
      <c r="C51" s="346"/>
      <c r="D51" s="345"/>
      <c r="E51" s="345"/>
      <c r="F51" s="345"/>
      <c r="G51" s="345"/>
      <c r="H51" s="345"/>
      <c r="I51" s="345"/>
      <c r="J51" s="346"/>
      <c r="K51" s="346"/>
      <c r="L51" s="346"/>
      <c r="M51" s="346"/>
      <c r="N51" s="346"/>
    </row>
    <row r="52" spans="1:14" ht="19.95" customHeight="1">
      <c r="A52" s="346"/>
      <c r="B52" s="346"/>
      <c r="C52" s="346"/>
      <c r="D52" s="345"/>
      <c r="E52" s="345"/>
      <c r="F52" s="345"/>
      <c r="G52" s="345"/>
      <c r="H52" s="345"/>
      <c r="I52" s="345"/>
      <c r="J52" s="346"/>
      <c r="K52" s="346"/>
      <c r="L52" s="346"/>
      <c r="M52" s="346"/>
      <c r="N52" s="346"/>
    </row>
    <row r="53" spans="1:14" ht="19.95" customHeight="1">
      <c r="A53" s="346"/>
      <c r="B53" s="346"/>
      <c r="C53" s="346"/>
      <c r="D53" s="345"/>
      <c r="E53" s="345"/>
      <c r="F53" s="345"/>
      <c r="G53" s="345"/>
      <c r="H53" s="345"/>
      <c r="I53" s="345"/>
      <c r="J53" s="346"/>
      <c r="K53" s="346"/>
      <c r="L53" s="346"/>
      <c r="M53" s="346"/>
      <c r="N53" s="346"/>
    </row>
    <row r="54" spans="1:14" ht="19.95" customHeight="1">
      <c r="A54" s="346"/>
      <c r="B54" s="346"/>
      <c r="C54" s="346"/>
      <c r="D54" s="345"/>
      <c r="E54" s="345"/>
      <c r="F54" s="345"/>
      <c r="G54" s="345"/>
      <c r="H54" s="345"/>
      <c r="I54" s="345"/>
      <c r="J54" s="346"/>
      <c r="K54" s="346"/>
      <c r="L54" s="346"/>
      <c r="M54" s="346"/>
      <c r="N54" s="346"/>
    </row>
    <row r="55" spans="1:14" ht="19.95" customHeight="1">
      <c r="A55" s="346"/>
      <c r="B55" s="346"/>
      <c r="C55" s="346"/>
      <c r="D55" s="345"/>
      <c r="E55" s="345"/>
      <c r="F55" s="345"/>
      <c r="G55" s="345"/>
      <c r="H55" s="345"/>
      <c r="I55" s="345"/>
      <c r="J55" s="346"/>
      <c r="K55" s="346"/>
      <c r="L55" s="346"/>
      <c r="M55" s="346"/>
      <c r="N55" s="346"/>
    </row>
    <row r="56" spans="1:14" ht="19.95" customHeight="1">
      <c r="A56" s="346"/>
      <c r="B56" s="346"/>
      <c r="C56" s="346"/>
      <c r="D56" s="345"/>
      <c r="E56" s="345"/>
      <c r="F56" s="345"/>
      <c r="G56" s="345"/>
      <c r="H56" s="345"/>
      <c r="I56" s="345"/>
      <c r="J56" s="346"/>
      <c r="K56" s="346"/>
      <c r="L56" s="346"/>
      <c r="M56" s="346"/>
      <c r="N56" s="346"/>
    </row>
    <row r="57" spans="1:14" ht="19.95" customHeight="1">
      <c r="A57" s="346"/>
      <c r="B57" s="346"/>
      <c r="C57" s="346"/>
      <c r="D57" s="345"/>
      <c r="E57" s="345"/>
      <c r="F57" s="345"/>
      <c r="G57" s="345"/>
      <c r="H57" s="345"/>
      <c r="I57" s="345"/>
      <c r="J57" s="346"/>
      <c r="K57" s="346"/>
      <c r="L57" s="346"/>
      <c r="M57" s="346"/>
      <c r="N57" s="346"/>
    </row>
    <row r="58" spans="1:14" ht="19.95" customHeight="1">
      <c r="A58" s="346"/>
      <c r="B58" s="346"/>
      <c r="C58" s="346"/>
      <c r="D58" s="345"/>
      <c r="E58" s="345"/>
      <c r="F58" s="345"/>
      <c r="G58" s="345"/>
      <c r="H58" s="345"/>
      <c r="I58" s="345"/>
      <c r="J58" s="346"/>
      <c r="K58" s="346"/>
      <c r="L58" s="346"/>
      <c r="M58" s="346"/>
      <c r="N58" s="346"/>
    </row>
    <row r="59" spans="1:14" ht="19.95" customHeight="1">
      <c r="A59" s="346"/>
      <c r="B59" s="346"/>
      <c r="C59" s="346"/>
      <c r="D59" s="345"/>
      <c r="E59" s="345"/>
      <c r="F59" s="345"/>
      <c r="G59" s="345"/>
      <c r="H59" s="345"/>
      <c r="I59" s="345"/>
      <c r="J59" s="346"/>
      <c r="K59" s="346"/>
      <c r="L59" s="346"/>
      <c r="M59" s="346"/>
      <c r="N59" s="346"/>
    </row>
    <row r="60" spans="1:14" ht="19.95" customHeight="1">
      <c r="A60" s="346"/>
      <c r="B60" s="346"/>
      <c r="C60" s="346"/>
      <c r="D60" s="345"/>
      <c r="E60" s="345"/>
      <c r="F60" s="345"/>
      <c r="G60" s="345"/>
      <c r="H60" s="345"/>
      <c r="I60" s="345"/>
      <c r="J60" s="346"/>
      <c r="K60" s="346"/>
      <c r="L60" s="346"/>
      <c r="M60" s="346"/>
      <c r="N60" s="346"/>
    </row>
    <row r="61" spans="1:14" ht="19.95" customHeight="1">
      <c r="A61" s="346"/>
      <c r="B61" s="346"/>
      <c r="C61" s="346"/>
      <c r="D61" s="345"/>
      <c r="E61" s="345"/>
      <c r="F61" s="345"/>
      <c r="G61" s="345"/>
      <c r="H61" s="345"/>
      <c r="I61" s="345"/>
      <c r="J61" s="346"/>
      <c r="K61" s="346"/>
      <c r="L61" s="346"/>
      <c r="M61" s="346"/>
      <c r="N61" s="346"/>
    </row>
    <row r="62" spans="1:14" ht="19.95" customHeight="1">
      <c r="A62" s="346"/>
      <c r="B62" s="346"/>
      <c r="C62" s="346"/>
      <c r="D62" s="345"/>
      <c r="E62" s="345"/>
      <c r="F62" s="345"/>
      <c r="G62" s="345"/>
      <c r="H62" s="345"/>
      <c r="I62" s="345"/>
      <c r="J62" s="346"/>
      <c r="K62" s="346"/>
      <c r="L62" s="346"/>
      <c r="M62" s="346"/>
      <c r="N62" s="346"/>
    </row>
    <row r="63" spans="1:14" ht="19.95" customHeight="1">
      <c r="A63" s="346"/>
      <c r="B63" s="346"/>
      <c r="C63" s="346"/>
      <c r="D63" s="345"/>
      <c r="E63" s="345"/>
      <c r="F63" s="345"/>
      <c r="G63" s="345"/>
      <c r="H63" s="345"/>
      <c r="I63" s="345"/>
      <c r="J63" s="346"/>
      <c r="K63" s="346"/>
      <c r="L63" s="346"/>
      <c r="M63" s="346"/>
      <c r="N63" s="346"/>
    </row>
    <row r="64" spans="1:14" ht="19.95" customHeight="1">
      <c r="A64" s="346"/>
      <c r="B64" s="346"/>
      <c r="C64" s="346"/>
      <c r="D64" s="345"/>
      <c r="E64" s="345"/>
      <c r="F64" s="345"/>
      <c r="G64" s="345"/>
      <c r="H64" s="345"/>
      <c r="I64" s="345"/>
      <c r="J64" s="346"/>
      <c r="K64" s="346"/>
      <c r="L64" s="346"/>
      <c r="M64" s="346"/>
      <c r="N64" s="346"/>
    </row>
    <row r="65" spans="1:14" ht="19.95" customHeight="1">
      <c r="A65" s="346"/>
      <c r="B65" s="346"/>
      <c r="C65" s="346"/>
      <c r="D65" s="345"/>
      <c r="E65" s="345"/>
      <c r="F65" s="345"/>
      <c r="G65" s="345"/>
      <c r="H65" s="345"/>
      <c r="I65" s="345"/>
      <c r="J65" s="346"/>
      <c r="K65" s="346"/>
      <c r="L65" s="346"/>
      <c r="M65" s="346"/>
      <c r="N65" s="346"/>
    </row>
    <row r="66" spans="1:14" ht="19.95" customHeight="1">
      <c r="A66" s="346"/>
      <c r="B66" s="346"/>
      <c r="C66" s="346"/>
      <c r="D66" s="345"/>
      <c r="E66" s="345"/>
      <c r="F66" s="345"/>
      <c r="G66" s="345"/>
      <c r="H66" s="345"/>
      <c r="I66" s="345"/>
      <c r="J66" s="346"/>
      <c r="K66" s="346"/>
      <c r="L66" s="346"/>
      <c r="M66" s="346"/>
      <c r="N66" s="346"/>
    </row>
    <row r="67" spans="1:14" ht="19.95" customHeight="1">
      <c r="A67" s="346"/>
      <c r="B67" s="346"/>
      <c r="C67" s="346"/>
      <c r="D67" s="345"/>
      <c r="E67" s="345"/>
      <c r="F67" s="345"/>
      <c r="G67" s="345"/>
      <c r="H67" s="345"/>
      <c r="I67" s="345"/>
      <c r="J67" s="346"/>
      <c r="K67" s="346"/>
      <c r="L67" s="346"/>
      <c r="M67" s="346"/>
      <c r="N67" s="346"/>
    </row>
    <row r="68" spans="1:14" ht="19.95" customHeight="1">
      <c r="A68" s="346"/>
      <c r="B68" s="346"/>
      <c r="C68" s="346"/>
      <c r="D68" s="345"/>
      <c r="E68" s="345"/>
      <c r="F68" s="345"/>
      <c r="G68" s="345"/>
      <c r="H68" s="345"/>
      <c r="I68" s="345"/>
      <c r="J68" s="346"/>
      <c r="K68" s="346"/>
      <c r="L68" s="346"/>
      <c r="M68" s="346"/>
      <c r="N68" s="346"/>
    </row>
    <row r="69" spans="1:14" ht="19.95" customHeight="1">
      <c r="A69" s="346"/>
      <c r="B69" s="346"/>
      <c r="C69" s="346"/>
      <c r="D69" s="345"/>
      <c r="E69" s="345"/>
      <c r="F69" s="345"/>
      <c r="G69" s="345"/>
      <c r="H69" s="345"/>
      <c r="I69" s="345"/>
      <c r="J69" s="346"/>
      <c r="K69" s="346"/>
      <c r="L69" s="346"/>
      <c r="M69" s="346"/>
      <c r="N69" s="346"/>
    </row>
    <row r="70" spans="1:14" ht="19.95" customHeight="1">
      <c r="A70" s="346"/>
      <c r="B70" s="346"/>
      <c r="C70" s="346"/>
      <c r="D70" s="345"/>
      <c r="E70" s="345"/>
      <c r="F70" s="345"/>
      <c r="G70" s="345"/>
      <c r="H70" s="345"/>
      <c r="I70" s="345"/>
      <c r="J70" s="346"/>
      <c r="K70" s="346"/>
      <c r="L70" s="346"/>
      <c r="M70" s="346"/>
      <c r="N70" s="346"/>
    </row>
    <row r="71" spans="1:14" ht="19.95" customHeight="1">
      <c r="A71" s="346"/>
      <c r="B71" s="346"/>
      <c r="C71" s="346"/>
      <c r="D71" s="345"/>
      <c r="E71" s="345"/>
      <c r="F71" s="345"/>
      <c r="G71" s="345"/>
      <c r="H71" s="345"/>
      <c r="I71" s="345"/>
      <c r="J71" s="346"/>
      <c r="K71" s="346"/>
      <c r="L71" s="346"/>
      <c r="M71" s="346"/>
      <c r="N71" s="346"/>
    </row>
    <row r="72" spans="1:14" ht="19.95" customHeight="1">
      <c r="A72" s="346"/>
      <c r="B72" s="346"/>
      <c r="C72" s="346"/>
      <c r="D72" s="345"/>
      <c r="E72" s="345"/>
      <c r="F72" s="345"/>
      <c r="G72" s="345"/>
      <c r="H72" s="345"/>
      <c r="I72" s="345"/>
      <c r="J72" s="346"/>
      <c r="K72" s="346"/>
      <c r="L72" s="346"/>
      <c r="M72" s="346"/>
      <c r="N72" s="346"/>
    </row>
    <row r="73" spans="1:14" ht="19.95" customHeight="1">
      <c r="A73" s="346"/>
      <c r="B73" s="346"/>
      <c r="C73" s="346"/>
      <c r="D73" s="345"/>
      <c r="E73" s="345"/>
      <c r="F73" s="345"/>
      <c r="G73" s="345"/>
      <c r="H73" s="345"/>
      <c r="I73" s="345"/>
      <c r="J73" s="346"/>
      <c r="K73" s="346"/>
      <c r="L73" s="346"/>
      <c r="M73" s="346"/>
      <c r="N73" s="346"/>
    </row>
    <row r="74" spans="1:14" ht="19.95" customHeight="1">
      <c r="A74" s="346"/>
      <c r="B74" s="346"/>
      <c r="C74" s="346"/>
      <c r="D74" s="345"/>
      <c r="E74" s="345"/>
      <c r="F74" s="345"/>
      <c r="G74" s="345"/>
      <c r="H74" s="345"/>
      <c r="I74" s="345"/>
      <c r="J74" s="346"/>
      <c r="K74" s="346"/>
      <c r="L74" s="346"/>
      <c r="M74" s="346"/>
      <c r="N74" s="346"/>
    </row>
    <row r="75" spans="1:14" ht="19.95" customHeight="1">
      <c r="A75" s="346"/>
      <c r="B75" s="346"/>
      <c r="C75" s="346"/>
      <c r="D75" s="345"/>
      <c r="E75" s="345"/>
      <c r="F75" s="345"/>
      <c r="G75" s="345"/>
      <c r="H75" s="345"/>
      <c r="I75" s="345"/>
      <c r="J75" s="346"/>
      <c r="K75" s="346"/>
      <c r="L75" s="346"/>
      <c r="M75" s="346"/>
      <c r="N75" s="346"/>
    </row>
    <row r="76" spans="1:14" ht="19.95" customHeight="1">
      <c r="A76" s="346"/>
      <c r="B76" s="346"/>
      <c r="C76" s="346"/>
      <c r="D76" s="345"/>
      <c r="E76" s="345"/>
      <c r="F76" s="345"/>
      <c r="G76" s="345"/>
      <c r="H76" s="345"/>
      <c r="I76" s="345"/>
      <c r="J76" s="346"/>
      <c r="K76" s="346"/>
      <c r="L76" s="346"/>
      <c r="M76" s="346"/>
      <c r="N76" s="346"/>
    </row>
    <row r="77" spans="1:14" ht="19.95" customHeight="1">
      <c r="A77" s="346"/>
      <c r="B77" s="346"/>
      <c r="C77" s="346"/>
      <c r="D77" s="345"/>
      <c r="E77" s="345"/>
      <c r="F77" s="345"/>
      <c r="G77" s="345"/>
      <c r="H77" s="345"/>
      <c r="I77" s="345"/>
      <c r="J77" s="346"/>
      <c r="K77" s="346"/>
      <c r="L77" s="346"/>
      <c r="M77" s="346"/>
      <c r="N77" s="346"/>
    </row>
    <row r="78" spans="1:14" ht="19.95" customHeight="1">
      <c r="A78" s="346"/>
      <c r="B78" s="346"/>
      <c r="C78" s="346"/>
      <c r="D78" s="345"/>
      <c r="E78" s="345"/>
      <c r="F78" s="345"/>
      <c r="G78" s="345"/>
      <c r="H78" s="345"/>
      <c r="I78" s="345"/>
      <c r="J78" s="346"/>
      <c r="K78" s="346"/>
      <c r="L78" s="346"/>
      <c r="M78" s="346"/>
      <c r="N78" s="346"/>
    </row>
    <row r="79" spans="1:14" ht="19.95" customHeight="1">
      <c r="A79" s="346"/>
      <c r="B79" s="346"/>
      <c r="C79" s="346"/>
      <c r="D79" s="345"/>
      <c r="E79" s="345"/>
      <c r="F79" s="345"/>
      <c r="G79" s="345"/>
      <c r="H79" s="345"/>
      <c r="I79" s="345"/>
      <c r="J79" s="346"/>
      <c r="K79" s="346"/>
      <c r="L79" s="346"/>
      <c r="M79" s="346"/>
      <c r="N79" s="346"/>
    </row>
    <row r="80" spans="1:14" ht="19.95" customHeight="1">
      <c r="A80" s="346"/>
      <c r="B80" s="346"/>
      <c r="C80" s="346"/>
      <c r="D80" s="345"/>
      <c r="E80" s="345"/>
      <c r="F80" s="345"/>
      <c r="G80" s="345"/>
      <c r="H80" s="345"/>
      <c r="I80" s="345"/>
      <c r="J80" s="346"/>
      <c r="K80" s="346"/>
      <c r="L80" s="346"/>
      <c r="M80" s="346"/>
      <c r="N80" s="346"/>
    </row>
    <row r="81" spans="1:14" ht="19.95" customHeight="1">
      <c r="A81" s="346"/>
      <c r="B81" s="346"/>
      <c r="C81" s="346"/>
      <c r="D81" s="345"/>
      <c r="E81" s="345"/>
      <c r="F81" s="345"/>
      <c r="G81" s="345"/>
      <c r="H81" s="345"/>
      <c r="I81" s="345"/>
      <c r="J81" s="346"/>
      <c r="K81" s="346"/>
      <c r="L81" s="346"/>
      <c r="M81" s="346"/>
      <c r="N81" s="346"/>
    </row>
    <row r="82" spans="1:14" ht="19.95" customHeight="1">
      <c r="A82" s="346"/>
      <c r="B82" s="346"/>
      <c r="C82" s="346"/>
      <c r="D82" s="345"/>
      <c r="E82" s="345"/>
      <c r="F82" s="345"/>
      <c r="G82" s="345"/>
      <c r="H82" s="345"/>
      <c r="I82" s="345"/>
      <c r="J82" s="346"/>
      <c r="K82" s="346"/>
      <c r="L82" s="346"/>
      <c r="M82" s="346"/>
      <c r="N82" s="346"/>
    </row>
    <row r="83" spans="1:14" ht="19.95" customHeight="1">
      <c r="A83" s="346"/>
      <c r="B83" s="346"/>
      <c r="C83" s="346"/>
      <c r="D83" s="345"/>
      <c r="E83" s="345"/>
      <c r="F83" s="345"/>
      <c r="G83" s="345"/>
      <c r="H83" s="345"/>
      <c r="I83" s="345"/>
      <c r="J83" s="346"/>
      <c r="K83" s="346"/>
      <c r="L83" s="346"/>
      <c r="M83" s="346"/>
      <c r="N83" s="346"/>
    </row>
    <row r="84" spans="1:14" ht="19.95" customHeight="1">
      <c r="A84" s="346"/>
      <c r="B84" s="346"/>
      <c r="C84" s="346"/>
      <c r="D84" s="345"/>
      <c r="E84" s="345"/>
      <c r="F84" s="345"/>
      <c r="G84" s="345"/>
      <c r="H84" s="345"/>
      <c r="I84" s="345"/>
      <c r="J84" s="346"/>
      <c r="K84" s="346"/>
      <c r="L84" s="346"/>
      <c r="M84" s="346"/>
      <c r="N84" s="346"/>
    </row>
    <row r="85" spans="1:14" ht="19.95" customHeight="1">
      <c r="A85" s="346"/>
      <c r="B85" s="346"/>
      <c r="C85" s="346"/>
      <c r="D85" s="345"/>
      <c r="E85" s="345"/>
      <c r="F85" s="345"/>
      <c r="G85" s="345"/>
      <c r="H85" s="345"/>
      <c r="I85" s="345"/>
      <c r="J85" s="346"/>
      <c r="K85" s="346"/>
      <c r="L85" s="346"/>
      <c r="M85" s="346"/>
      <c r="N85" s="346"/>
    </row>
    <row r="86" spans="1:14" ht="19.95" customHeight="1">
      <c r="A86" s="346"/>
      <c r="B86" s="346"/>
      <c r="C86" s="346"/>
      <c r="D86" s="345"/>
      <c r="E86" s="345"/>
      <c r="F86" s="345"/>
      <c r="G86" s="345"/>
      <c r="H86" s="345"/>
      <c r="I86" s="345"/>
      <c r="J86" s="346"/>
      <c r="K86" s="346"/>
      <c r="L86" s="346"/>
      <c r="M86" s="346"/>
      <c r="N86" s="346"/>
    </row>
    <row r="87" spans="1:14" ht="19.95" customHeight="1">
      <c r="A87" s="346"/>
      <c r="B87" s="346"/>
      <c r="C87" s="346"/>
      <c r="D87" s="345"/>
      <c r="E87" s="345"/>
      <c r="F87" s="345"/>
      <c r="G87" s="345"/>
      <c r="H87" s="345"/>
      <c r="I87" s="345"/>
      <c r="J87" s="346"/>
      <c r="K87" s="346"/>
      <c r="L87" s="346"/>
      <c r="M87" s="346"/>
      <c r="N87" s="346"/>
    </row>
    <row r="88" spans="1:14" ht="19.95" customHeight="1">
      <c r="A88" s="346"/>
      <c r="B88" s="346"/>
      <c r="C88" s="346"/>
      <c r="D88" s="345"/>
      <c r="E88" s="345"/>
      <c r="F88" s="345"/>
      <c r="G88" s="345"/>
      <c r="H88" s="345"/>
      <c r="I88" s="345"/>
      <c r="J88" s="346"/>
      <c r="K88" s="346"/>
      <c r="L88" s="346"/>
      <c r="M88" s="346"/>
      <c r="N88" s="346"/>
    </row>
    <row r="89" spans="1:14" ht="19.95" customHeight="1">
      <c r="A89" s="346"/>
      <c r="B89" s="346"/>
      <c r="C89" s="346"/>
      <c r="D89" s="345"/>
      <c r="E89" s="345"/>
      <c r="F89" s="345"/>
      <c r="G89" s="345"/>
      <c r="H89" s="345"/>
      <c r="I89" s="345"/>
      <c r="J89" s="346"/>
      <c r="K89" s="346"/>
      <c r="L89" s="346"/>
      <c r="M89" s="346"/>
      <c r="N89" s="346"/>
    </row>
    <row r="90" spans="1:14" ht="19.95" customHeight="1">
      <c r="A90" s="346"/>
      <c r="B90" s="346"/>
      <c r="C90" s="346"/>
      <c r="D90" s="345"/>
      <c r="E90" s="345"/>
      <c r="F90" s="345"/>
      <c r="G90" s="345"/>
      <c r="H90" s="345"/>
      <c r="I90" s="345"/>
      <c r="J90" s="346"/>
      <c r="K90" s="346"/>
      <c r="L90" s="346"/>
      <c r="M90" s="346"/>
      <c r="N90" s="346"/>
    </row>
    <row r="91" spans="1:14" ht="19.95" customHeight="1">
      <c r="A91" s="346"/>
      <c r="B91" s="346"/>
      <c r="C91" s="346"/>
      <c r="D91" s="345"/>
      <c r="E91" s="345"/>
      <c r="F91" s="345"/>
      <c r="G91" s="345"/>
      <c r="H91" s="345"/>
      <c r="I91" s="345"/>
      <c r="J91" s="346"/>
      <c r="K91" s="346"/>
      <c r="L91" s="346"/>
      <c r="M91" s="346"/>
      <c r="N91" s="346"/>
    </row>
    <row r="92" spans="1:14" ht="19.95" customHeight="1">
      <c r="A92" s="346"/>
      <c r="B92" s="346"/>
      <c r="C92" s="346"/>
      <c r="D92" s="345"/>
      <c r="E92" s="345"/>
      <c r="F92" s="345"/>
      <c r="G92" s="345"/>
      <c r="H92" s="345"/>
      <c r="I92" s="345"/>
      <c r="J92" s="346"/>
      <c r="K92" s="346"/>
      <c r="L92" s="346"/>
      <c r="M92" s="346"/>
      <c r="N92" s="346"/>
    </row>
    <row r="93" spans="1:14" ht="19.95" customHeight="1">
      <c r="A93" s="346"/>
      <c r="B93" s="346"/>
      <c r="C93" s="346"/>
      <c r="D93" s="345"/>
      <c r="E93" s="345"/>
      <c r="F93" s="345"/>
      <c r="G93" s="345"/>
      <c r="H93" s="345"/>
      <c r="I93" s="345"/>
      <c r="J93" s="346"/>
      <c r="K93" s="346"/>
      <c r="L93" s="346"/>
      <c r="M93" s="346"/>
      <c r="N93" s="346"/>
    </row>
    <row r="94" spans="1:14" ht="19.95" customHeight="1">
      <c r="A94" s="346"/>
      <c r="B94" s="346"/>
      <c r="C94" s="346"/>
      <c r="D94" s="345"/>
      <c r="E94" s="345"/>
      <c r="F94" s="345"/>
      <c r="G94" s="345"/>
      <c r="H94" s="345"/>
      <c r="I94" s="345"/>
      <c r="J94" s="346"/>
      <c r="K94" s="346"/>
      <c r="L94" s="346"/>
      <c r="M94" s="346"/>
      <c r="N94" s="346"/>
    </row>
    <row r="95" spans="1:14" ht="19.95" customHeight="1">
      <c r="A95" s="346"/>
      <c r="B95" s="346"/>
      <c r="C95" s="346"/>
      <c r="D95" s="345"/>
      <c r="E95" s="345"/>
      <c r="F95" s="345"/>
      <c r="G95" s="345"/>
      <c r="H95" s="345"/>
      <c r="I95" s="345"/>
      <c r="J95" s="346"/>
      <c r="K95" s="346"/>
      <c r="L95" s="346"/>
      <c r="M95" s="346"/>
      <c r="N95" s="346"/>
    </row>
    <row r="96" spans="1:14" ht="19.95" customHeight="1">
      <c r="A96" s="346"/>
      <c r="B96" s="346"/>
      <c r="C96" s="346"/>
      <c r="D96" s="345"/>
      <c r="E96" s="345"/>
      <c r="F96" s="345"/>
      <c r="G96" s="345"/>
      <c r="H96" s="345"/>
      <c r="I96" s="345"/>
      <c r="J96" s="346"/>
      <c r="K96" s="346"/>
      <c r="L96" s="346"/>
      <c r="M96" s="346"/>
      <c r="N96" s="346"/>
    </row>
    <row r="97" spans="1:14" ht="19.95" customHeight="1">
      <c r="A97" s="346"/>
      <c r="B97" s="346"/>
      <c r="C97" s="346"/>
      <c r="D97" s="345"/>
      <c r="E97" s="345"/>
      <c r="F97" s="345"/>
      <c r="G97" s="345"/>
      <c r="H97" s="345"/>
      <c r="I97" s="345"/>
      <c r="J97" s="346"/>
      <c r="K97" s="346"/>
      <c r="L97" s="346"/>
      <c r="M97" s="346"/>
      <c r="N97" s="346"/>
    </row>
    <row r="98" spans="1:14" ht="19.95" customHeight="1">
      <c r="A98" s="346"/>
      <c r="B98" s="346"/>
      <c r="C98" s="346"/>
      <c r="D98" s="345"/>
      <c r="E98" s="345"/>
      <c r="F98" s="345"/>
      <c r="G98" s="345"/>
      <c r="H98" s="345"/>
      <c r="I98" s="345"/>
      <c r="J98" s="346"/>
      <c r="K98" s="346"/>
      <c r="L98" s="346"/>
      <c r="M98" s="346"/>
      <c r="N98" s="346"/>
    </row>
    <row r="99" spans="1:14" ht="19.95" customHeight="1">
      <c r="A99" s="346"/>
      <c r="B99" s="346"/>
      <c r="C99" s="346"/>
      <c r="D99" s="345"/>
      <c r="E99" s="345"/>
      <c r="F99" s="345"/>
      <c r="G99" s="345"/>
      <c r="H99" s="345"/>
      <c r="I99" s="345"/>
      <c r="J99" s="346"/>
      <c r="K99" s="346"/>
      <c r="L99" s="346"/>
      <c r="M99" s="346"/>
      <c r="N99" s="346"/>
    </row>
    <row r="100" spans="1:14" ht="19.95" customHeight="1">
      <c r="A100" s="346"/>
      <c r="B100" s="346"/>
      <c r="C100" s="346"/>
      <c r="D100" s="345"/>
      <c r="E100" s="345"/>
      <c r="F100" s="345"/>
      <c r="G100" s="345"/>
      <c r="H100" s="345"/>
      <c r="I100" s="345"/>
      <c r="J100" s="346"/>
      <c r="K100" s="346"/>
      <c r="L100" s="346"/>
      <c r="M100" s="346"/>
      <c r="N100" s="346"/>
    </row>
    <row r="101" spans="1:14" ht="19.95" customHeight="1">
      <c r="A101" s="346"/>
      <c r="B101" s="346"/>
      <c r="C101" s="346"/>
      <c r="D101" s="345"/>
      <c r="E101" s="345"/>
      <c r="F101" s="345"/>
      <c r="G101" s="345"/>
      <c r="H101" s="345"/>
      <c r="I101" s="345"/>
      <c r="J101" s="346"/>
      <c r="K101" s="346"/>
      <c r="L101" s="346"/>
      <c r="M101" s="346"/>
      <c r="N101" s="346"/>
    </row>
    <row r="102" spans="1:14" ht="19.95" customHeight="1">
      <c r="A102" s="346"/>
      <c r="B102" s="346"/>
      <c r="C102" s="346"/>
      <c r="D102" s="345"/>
      <c r="E102" s="345"/>
      <c r="F102" s="345"/>
      <c r="G102" s="345"/>
      <c r="H102" s="345"/>
      <c r="I102" s="345"/>
      <c r="J102" s="346"/>
      <c r="K102" s="346"/>
      <c r="L102" s="346"/>
      <c r="M102" s="346"/>
      <c r="N102" s="346"/>
    </row>
  </sheetData>
  <mergeCells count="2">
    <mergeCell ref="A1:N1"/>
    <mergeCell ref="A2:N2"/>
  </mergeCells>
  <phoneticPr fontId="10" type="noConversion"/>
  <dataValidations count="1">
    <dataValidation type="list" allowBlank="1" showInputMessage="1" showErrorMessage="1" sqref="B11:B16 B20:B25">
      <formula1>$A$39:$A$46</formula1>
    </dataValidation>
  </dataValidations>
  <hyperlinks>
    <hyperlink ref="N3" location="底稿目录!A1" display="H2-1"/>
  </hyperlinks>
  <printOptions horizontalCentered="1"/>
  <pageMargins left="0.70866141732283472" right="0.70866141732283472" top="0.74803149606299213" bottom="0.74803149606299213" header="0.31496062992125984" footer="0.31496062992125984"/>
  <pageSetup paperSize="9" scale="69" orientation="landscape" blackAndWhite="1"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21</vt:i4>
      </vt:variant>
      <vt:variant>
        <vt:lpstr>命名范围</vt:lpstr>
      </vt:variant>
      <vt:variant>
        <vt:i4>22</vt:i4>
      </vt:variant>
    </vt:vector>
  </HeadingPairs>
  <TitlesOfParts>
    <vt:vector size="43" baseType="lpstr">
      <vt:lpstr>底稿目录</vt:lpstr>
      <vt:lpstr>在建工程实质性程序表H2A</vt:lpstr>
      <vt:lpstr>审定表H2-1</vt:lpstr>
      <vt:lpstr>附注披露信息（上市公司）</vt:lpstr>
      <vt:lpstr>附注披露信息（国有企业）</vt:lpstr>
      <vt:lpstr>明细表H2-2</vt:lpstr>
      <vt:lpstr>调整分录汇总H2-3</vt:lpstr>
      <vt:lpstr>分析表H2-4</vt:lpstr>
      <vt:lpstr>转固时点检查表H2-5</vt:lpstr>
      <vt:lpstr>在建工程审核记录H2-6</vt:lpstr>
      <vt:lpstr>工程造价比较表H2-7</vt:lpstr>
      <vt:lpstr>增加检查表H2-8</vt:lpstr>
      <vt:lpstr>减少检查表H2-9</vt:lpstr>
      <vt:lpstr>利息资本化测算表（无专门借款）H2-10</vt:lpstr>
      <vt:lpstr>利息资本化测算表（有专门借款）H2-11</vt:lpstr>
      <vt:lpstr>监盘计划H2-12</vt:lpstr>
      <vt:lpstr>盘点检查表H2-13</vt:lpstr>
      <vt:lpstr>监盘小结H2-14</vt:lpstr>
      <vt:lpstr>减值测算表H2-15</vt:lpstr>
      <vt:lpstr>可收回金额测试表H2-16</vt:lpstr>
      <vt:lpstr>关联交易检查表H2-17</vt:lpstr>
      <vt:lpstr>'调整分录汇总H2-3'!Print_Area</vt:lpstr>
      <vt:lpstr>'分析表H2-4'!Print_Area</vt:lpstr>
      <vt:lpstr>'附注披露信息（国有企业）'!Print_Area</vt:lpstr>
      <vt:lpstr>'附注披露信息（上市公司）'!Print_Area</vt:lpstr>
      <vt:lpstr>'工程造价比较表H2-7'!Print_Area</vt:lpstr>
      <vt:lpstr>'关联交易检查表H2-17'!Print_Area</vt:lpstr>
      <vt:lpstr>'监盘计划H2-12'!Print_Area</vt:lpstr>
      <vt:lpstr>'监盘小结H2-14'!Print_Area</vt:lpstr>
      <vt:lpstr>'减少检查表H2-9'!Print_Area</vt:lpstr>
      <vt:lpstr>'减值测算表H2-15'!Print_Area</vt:lpstr>
      <vt:lpstr>'可收回金额测试表H2-16'!Print_Area</vt:lpstr>
      <vt:lpstr>'利息资本化测算表（无专门借款）H2-10'!Print_Area</vt:lpstr>
      <vt:lpstr>'利息资本化测算表（有专门借款）H2-11'!Print_Area</vt:lpstr>
      <vt:lpstr>'明细表H2-2'!Print_Area</vt:lpstr>
      <vt:lpstr>'盘点检查表H2-13'!Print_Area</vt:lpstr>
      <vt:lpstr>'审定表H2-1'!Print_Area</vt:lpstr>
      <vt:lpstr>'在建工程审核记录H2-6'!Print_Area</vt:lpstr>
      <vt:lpstr>在建工程实质性程序表H2A!Print_Area</vt:lpstr>
      <vt:lpstr>'增加检查表H2-8'!Print_Area</vt:lpstr>
      <vt:lpstr>'转固时点检查表H2-5'!Print_Area</vt:lpstr>
      <vt:lpstr>'明细表H2-2'!Print_Titles</vt:lpstr>
      <vt:lpstr>在建工程实质性程序表H2A!Print_Titles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Birdie Bai 白璐</dc:creator>
  <cp:lastModifiedBy>何先琴</cp:lastModifiedBy>
  <cp:lastPrinted>2025-10-13T08:33:59Z</cp:lastPrinted>
  <dcterms:created xsi:type="dcterms:W3CDTF">2013-12-07T09:03:13Z</dcterms:created>
  <dcterms:modified xsi:type="dcterms:W3CDTF">2025-11-04T09:17:07Z</dcterms:modified>
</cp:coreProperties>
</file>