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defaultThemeVersion="124226"/>
  <bookViews>
    <workbookView xWindow="-120" yWindow="-120" windowWidth="29040" windowHeight="15528" tabRatio="806"/>
  </bookViews>
  <sheets>
    <sheet name="底稿目录" sheetId="4" r:id="rId1"/>
    <sheet name="应付职工薪酬实质性程序表 J1A" sheetId="35" r:id="rId2"/>
    <sheet name="应付职工薪酬实质性程序表 J1A-原版" sheetId="37" state="hidden" r:id="rId3"/>
    <sheet name="应付职工薪酬实质性程序表 L1A-原" sheetId="38" state="hidden" r:id="rId4"/>
    <sheet name="审定表J1-1 " sheetId="21" r:id="rId5"/>
    <sheet name="附注披露信息（上市公司）" sheetId="13" r:id="rId6"/>
    <sheet name="附注披露信息（国有企业）" sheetId="14" r:id="rId7"/>
    <sheet name="明细表J1-2 " sheetId="22" r:id="rId8"/>
    <sheet name="调整分录汇总表J1-3" sheetId="36" r:id="rId9"/>
    <sheet name="月度分析表J1-4" sheetId="8" r:id="rId10"/>
    <sheet name="与同行业对比分析表J1-5" sheetId="23" r:id="rId11"/>
    <sheet name="计提情况检查表J1-6" sheetId="11" r:id="rId12"/>
    <sheet name="分配情况检查表J1-7" sheetId="10" r:id="rId13"/>
    <sheet name="检查表J1-8" sheetId="12" r:id="rId14"/>
    <sheet name="非货币性福利检查表J1-9" sheetId="27" r:id="rId15"/>
    <sheet name="辞退福利检查表J1-10" sheetId="17" r:id="rId16"/>
    <sheet name="股份支付检查表J1-10-删除" sheetId="26" state="hidden" r:id="rId17"/>
    <sheet name="应付职工薪酬余额及期后事项检查表J1-11-删除" sheetId="25" state="hidden" r:id="rId18"/>
    <sheet name="职工薪酬政策统计表J1-12-删除" sheetId="33" state="hidden" r:id="rId19"/>
    <sheet name="IPO企业薪酬审计提示" sheetId="31" r:id="rId20"/>
    <sheet name="IPO企业股权激励工具关注的审计重点-删除" sheetId="32" state="hidden" r:id="rId21"/>
    <sheet name="首发业务解答二-删除" sheetId="34" state="hidden" r:id="rId22"/>
    <sheet name="GT_Custom" sheetId="20" state="hidden" r:id="rId23"/>
  </sheets>
  <externalReferences>
    <externalReference r:id="rId24"/>
    <externalReference r:id="rId25"/>
  </externalReferences>
  <definedNames>
    <definedName name="_xlnm._FilterDatabase" localSheetId="1">'应付职工薪酬实质性程序表 J1A'!$A$16:$K$16</definedName>
    <definedName name="_xlnm._FilterDatabase" localSheetId="2">'应付职工薪酬实质性程序表 J1A-原版'!$A$16:$P$139</definedName>
    <definedName name="_xlnm._FilterDatabase" localSheetId="3">'应付职工薪酬实质性程序表 L1A-原'!$A$16:$O$139</definedName>
    <definedName name="_Toc12834" localSheetId="21">'首发业务解答二-删除'!$A$2</definedName>
    <definedName name="_Toc2639" localSheetId="21">'首发业务解答二-删除'!$A$3</definedName>
    <definedName name="bs" localSheetId="2">{#N/A,#N/A,FALSE,"BBPREP"}</definedName>
    <definedName name="bs_1" localSheetId="2">{#N/A,#N/A,FALSE,"BBPREP"}</definedName>
    <definedName name="L" localSheetId="2">{#N/A,#N/A,FALSE,"BBPREP"}</definedName>
    <definedName name="_xlnm.Print_Area" localSheetId="20">'IPO企业股权激励工具关注的审计重点-删除'!$A$1:$P$40</definedName>
    <definedName name="_xlnm.Print_Area" localSheetId="15">'辞退福利检查表J1-10'!$A$1:$J$40</definedName>
    <definedName name="_xlnm.Print_Area" localSheetId="8">'调整分录汇总表J1-3'!$A$1:$J$21</definedName>
    <definedName name="_xlnm.Print_Area" localSheetId="14">'非货币性福利检查表J1-9'!$A$1:$L$28</definedName>
    <definedName name="_xlnm.Print_Area" localSheetId="12">'分配情况检查表J1-7'!$A$1:$L$36</definedName>
    <definedName name="_xlnm.Print_Area" localSheetId="6">'附注披露信息（国有企业）'!$A$1:$E$44</definedName>
    <definedName name="_xlnm.Print_Area" localSheetId="16">'股份支付检查表J1-10-删除'!$A$1:$S$56</definedName>
    <definedName name="_xlnm.Print_Area" localSheetId="11">'计提情况检查表J1-6'!$A$1:$K$60</definedName>
    <definedName name="_xlnm.Print_Area" localSheetId="13">'检查表J1-8'!$A$1:$O$51</definedName>
    <definedName name="_xlnm.Print_Area" localSheetId="7">'明细表J1-2 '!$A$1:$N$58</definedName>
    <definedName name="_xlnm.Print_Area" localSheetId="4">'审定表J1-1 '!$A$1:$L$50</definedName>
    <definedName name="_xlnm.Print_Area" localSheetId="21">'首发业务解答二-删除'!$A$1:$A$14</definedName>
    <definedName name="_xlnm.Print_Area" localSheetId="1">'应付职工薪酬实质性程序表 J1A'!$A$1:$I$34</definedName>
    <definedName name="_xlnm.Print_Area" localSheetId="2">'应付职工薪酬实质性程序表 J1A-原版'!$A$1:$N$147</definedName>
    <definedName name="_xlnm.Print_Area" localSheetId="3">'应付职工薪酬实质性程序表 L1A-原'!$A$1:$L$139</definedName>
    <definedName name="_xlnm.Print_Area" localSheetId="17">'应付职工薪酬余额及期后事项检查表J1-11-删除'!$A$1:$I$38</definedName>
    <definedName name="_xlnm.Print_Area" localSheetId="10">'与同行业对比分析表J1-5'!$A$1:$L$61</definedName>
    <definedName name="_xlnm.Print_Area" localSheetId="9">'月度分析表J1-4'!$A$1:$O$56</definedName>
    <definedName name="_xlnm.Print_Area" localSheetId="18">'职工薪酬政策统计表J1-12-删除'!$A$1:$H$54</definedName>
    <definedName name="_xlnm.Print_Titles" localSheetId="1">'应付职工薪酬实质性程序表 J1A'!$15:$16</definedName>
    <definedName name="_xlnm.Print_Titles" localSheetId="2">'应付职工薪酬实质性程序表 J1A-原版'!$16:$16</definedName>
    <definedName name="_xlnm.Print_Titles" localSheetId="3">'应付职工薪酬实质性程序表 L1A-原'!$16:$16</definedName>
    <definedName name="s" localSheetId="2">{#N/A,#N/A,FALSE,"BBPREP"}</definedName>
    <definedName name="t" localSheetId="2">{#N/A,#N/A,FALSE,"BBPREP"}</definedName>
    <definedName name="XREF_COLUMN_1" localSheetId="2">#REF!</definedName>
    <definedName name="XREF_COLUMN_2" localSheetId="2">#REF!</definedName>
    <definedName name="XREF_COLUMN_3" localSheetId="2">#REF!</definedName>
    <definedName name="XREF_COLUMN_5" localSheetId="2">#REF!</definedName>
    <definedName name="XRefActiveRow" localSheetId="2">#REF!</definedName>
    <definedName name="XRefCopy1" localSheetId="2">#REF!</definedName>
    <definedName name="XRefCopy1Row" localSheetId="2">#REF!</definedName>
    <definedName name="XRefCopy2Row" localSheetId="2">#REF!</definedName>
    <definedName name="XRefPaste1" localSheetId="2">#REF!</definedName>
    <definedName name="XRefPaste1Row" localSheetId="2">#REF!</definedName>
    <definedName name="XRefPaste2" localSheetId="2">#REF!</definedName>
    <definedName name="XRefPaste2Row" localSheetId="2">#REF!</definedName>
    <definedName name="XRefPaste3" localSheetId="2">#REF!</definedName>
    <definedName name="XRefPaste3Row" localSheetId="2">#REF!</definedName>
    <definedName name="本循环科目" localSheetId="2">#REF!</definedName>
    <definedName name="本循环科目" localSheetId="3">[1]索引!$D$15:$D$76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0" l="1"/>
  <c r="G46" i="12" l="1"/>
  <c r="F47" i="12"/>
  <c r="E47" i="12"/>
  <c r="F46" i="12"/>
  <c r="E46" i="12"/>
  <c r="G43" i="12"/>
  <c r="L43" i="12"/>
  <c r="L34" i="12"/>
  <c r="G34" i="12"/>
  <c r="G23" i="12"/>
  <c r="I23" i="12"/>
  <c r="G47" i="12" l="1"/>
  <c r="G31" i="21" l="1"/>
  <c r="G26" i="21"/>
  <c r="F26" i="21"/>
  <c r="C34" i="21"/>
  <c r="C31" i="21"/>
  <c r="D34" i="21"/>
  <c r="D31" i="21"/>
  <c r="D32" i="21"/>
  <c r="D26" i="21"/>
  <c r="C26" i="21"/>
  <c r="C22" i="21"/>
  <c r="D22" i="21"/>
  <c r="G10" i="21"/>
  <c r="F10" i="21"/>
  <c r="D10" i="21"/>
  <c r="D11" i="21"/>
  <c r="C10" i="21"/>
  <c r="D8" i="21"/>
  <c r="J3" i="17" l="1"/>
  <c r="L3" i="27"/>
  <c r="O3" i="12"/>
  <c r="L3" i="10"/>
  <c r="K3" i="11"/>
  <c r="L3" i="23"/>
  <c r="O3" i="8"/>
  <c r="J3" i="36"/>
  <c r="N3" i="22"/>
  <c r="L3" i="21"/>
  <c r="I3" i="35"/>
  <c r="E3" i="12"/>
  <c r="J40" i="23"/>
  <c r="I40" i="23"/>
  <c r="H40" i="23"/>
  <c r="D3" i="21"/>
  <c r="A4" i="21"/>
  <c r="A3" i="21"/>
  <c r="E4" i="35"/>
  <c r="E3" i="35"/>
  <c r="C4" i="35"/>
  <c r="C3" i="35"/>
  <c r="A4" i="35"/>
  <c r="A3" i="35"/>
  <c r="C27" i="10" l="1"/>
  <c r="H18" i="10"/>
  <c r="E17" i="10"/>
  <c r="K29" i="22"/>
  <c r="G17" i="11"/>
  <c r="G50" i="23"/>
  <c r="D53" i="23"/>
  <c r="D51" i="23"/>
  <c r="D50" i="23"/>
  <c r="F34" i="23"/>
  <c r="C34" i="23"/>
  <c r="H15" i="23"/>
  <c r="E38" i="8"/>
  <c r="B39" i="8"/>
  <c r="C38" i="8"/>
  <c r="B38" i="8"/>
  <c r="O34" i="8"/>
  <c r="O35" i="8"/>
  <c r="O36" i="8"/>
  <c r="O30" i="8"/>
  <c r="O31" i="8"/>
  <c r="O19" i="8"/>
  <c r="O20" i="8"/>
  <c r="O21" i="8"/>
  <c r="O14" i="8"/>
  <c r="O15" i="8"/>
  <c r="O16" i="8"/>
  <c r="N48" i="8"/>
  <c r="D38" i="8"/>
  <c r="F38" i="8"/>
  <c r="G38" i="8"/>
  <c r="H38" i="8"/>
  <c r="I38" i="8"/>
  <c r="J38" i="8"/>
  <c r="K38" i="8"/>
  <c r="L38" i="8"/>
  <c r="M38" i="8"/>
  <c r="C39" i="8"/>
  <c r="D39" i="8"/>
  <c r="E39" i="8"/>
  <c r="F39" i="8"/>
  <c r="G39" i="8"/>
  <c r="H39" i="8"/>
  <c r="I39" i="8"/>
  <c r="J39" i="8"/>
  <c r="K39" i="8"/>
  <c r="L39" i="8"/>
  <c r="M39" i="8"/>
  <c r="B40" i="8"/>
  <c r="C40" i="8"/>
  <c r="D40" i="8"/>
  <c r="E40" i="8"/>
  <c r="F40" i="8"/>
  <c r="G40" i="8"/>
  <c r="H40" i="8"/>
  <c r="I40" i="8"/>
  <c r="J40" i="8"/>
  <c r="K40" i="8"/>
  <c r="L40" i="8"/>
  <c r="M40" i="8"/>
  <c r="B41" i="8"/>
  <c r="C41" i="8"/>
  <c r="D41" i="8"/>
  <c r="E41" i="8"/>
  <c r="F41" i="8"/>
  <c r="G41" i="8"/>
  <c r="H41" i="8"/>
  <c r="I41" i="8"/>
  <c r="J41" i="8"/>
  <c r="K41" i="8"/>
  <c r="L41" i="8"/>
  <c r="M41" i="8"/>
  <c r="N33" i="8"/>
  <c r="B32" i="8"/>
  <c r="N36" i="8"/>
  <c r="N35" i="8"/>
  <c r="N34" i="8"/>
  <c r="M32" i="8"/>
  <c r="L32" i="8"/>
  <c r="K32" i="8"/>
  <c r="J32" i="8"/>
  <c r="I32" i="8"/>
  <c r="H32" i="8"/>
  <c r="G32" i="8"/>
  <c r="F32" i="8"/>
  <c r="E32" i="8"/>
  <c r="D32" i="8"/>
  <c r="C32" i="8"/>
  <c r="N31" i="8"/>
  <c r="N41" i="8" s="1"/>
  <c r="N28" i="8"/>
  <c r="N29" i="8"/>
  <c r="N30" i="8"/>
  <c r="N40" i="8" s="1"/>
  <c r="C27" i="8"/>
  <c r="D27" i="8"/>
  <c r="E27" i="8"/>
  <c r="F27" i="8"/>
  <c r="G27" i="8"/>
  <c r="H27" i="8"/>
  <c r="I27" i="8"/>
  <c r="I37" i="8" s="1"/>
  <c r="J27" i="8"/>
  <c r="K27" i="8"/>
  <c r="L27" i="8"/>
  <c r="M27" i="8"/>
  <c r="B27" i="8"/>
  <c r="B37" i="8" s="1"/>
  <c r="B23" i="8"/>
  <c r="C23" i="8"/>
  <c r="C43" i="8" s="1"/>
  <c r="D23" i="8"/>
  <c r="D43" i="8" s="1"/>
  <c r="E23" i="8"/>
  <c r="E43" i="8" s="1"/>
  <c r="F23" i="8"/>
  <c r="G23" i="8"/>
  <c r="G43" i="8" s="1"/>
  <c r="H23" i="8"/>
  <c r="I23" i="8"/>
  <c r="J23" i="8"/>
  <c r="K23" i="8"/>
  <c r="L23" i="8"/>
  <c r="M23" i="8"/>
  <c r="M43" i="8" s="1"/>
  <c r="B24" i="8"/>
  <c r="B44" i="8" s="1"/>
  <c r="C24" i="8"/>
  <c r="C44" i="8" s="1"/>
  <c r="D24" i="8"/>
  <c r="D44" i="8" s="1"/>
  <c r="E24" i="8"/>
  <c r="E44" i="8" s="1"/>
  <c r="F24" i="8"/>
  <c r="F44" i="8" s="1"/>
  <c r="G24" i="8"/>
  <c r="G44" i="8" s="1"/>
  <c r="H24" i="8"/>
  <c r="H44" i="8" s="1"/>
  <c r="I24" i="8"/>
  <c r="I44" i="8" s="1"/>
  <c r="J24" i="8"/>
  <c r="J44" i="8" s="1"/>
  <c r="K24" i="8"/>
  <c r="K44" i="8" s="1"/>
  <c r="L24" i="8"/>
  <c r="L44" i="8" s="1"/>
  <c r="M24" i="8"/>
  <c r="B25" i="8"/>
  <c r="B45" i="8" s="1"/>
  <c r="C25" i="8"/>
  <c r="D25" i="8"/>
  <c r="D45" i="8" s="1"/>
  <c r="E25" i="8"/>
  <c r="E45" i="8" s="1"/>
  <c r="F25" i="8"/>
  <c r="F45" i="8" s="1"/>
  <c r="G25" i="8"/>
  <c r="H25" i="8"/>
  <c r="H45" i="8" s="1"/>
  <c r="I25" i="8"/>
  <c r="J25" i="8"/>
  <c r="J45" i="8" s="1"/>
  <c r="K25" i="8"/>
  <c r="L25" i="8"/>
  <c r="L45" i="8" s="1"/>
  <c r="M25" i="8"/>
  <c r="M45" i="8" s="1"/>
  <c r="B26" i="8"/>
  <c r="B46" i="8" s="1"/>
  <c r="C26" i="8"/>
  <c r="C46" i="8" s="1"/>
  <c r="D26" i="8"/>
  <c r="D46" i="8" s="1"/>
  <c r="E26" i="8"/>
  <c r="E46" i="8" s="1"/>
  <c r="F26" i="8"/>
  <c r="F46" i="8" s="1"/>
  <c r="G26" i="8"/>
  <c r="G46" i="8" s="1"/>
  <c r="H26" i="8"/>
  <c r="H46" i="8" s="1"/>
  <c r="I26" i="8"/>
  <c r="I46" i="8" s="1"/>
  <c r="J26" i="8"/>
  <c r="J46" i="8" s="1"/>
  <c r="K26" i="8"/>
  <c r="K46" i="8" s="1"/>
  <c r="L26" i="8"/>
  <c r="L46" i="8" s="1"/>
  <c r="M26" i="8"/>
  <c r="M46" i="8" s="1"/>
  <c r="N13" i="8"/>
  <c r="B17" i="8"/>
  <c r="B12" i="8"/>
  <c r="B43" i="8" l="1"/>
  <c r="D54" i="23"/>
  <c r="D56" i="23" s="1"/>
  <c r="D35" i="23"/>
  <c r="H37" i="8"/>
  <c r="J43" i="8"/>
  <c r="N38" i="8"/>
  <c r="M44" i="8"/>
  <c r="B22" i="8"/>
  <c r="B42" i="8" s="1"/>
  <c r="B49" i="8"/>
  <c r="H43" i="8"/>
  <c r="K37" i="8"/>
  <c r="C37" i="8"/>
  <c r="L43" i="8"/>
  <c r="G37" i="8"/>
  <c r="G45" i="8"/>
  <c r="M37" i="8"/>
  <c r="E37" i="8"/>
  <c r="F43" i="8"/>
  <c r="K43" i="8"/>
  <c r="K45" i="8"/>
  <c r="C45" i="8"/>
  <c r="I43" i="8"/>
  <c r="I45" i="8"/>
  <c r="J37" i="8"/>
  <c r="N39" i="8"/>
  <c r="F37" i="8"/>
  <c r="L37" i="8"/>
  <c r="D37" i="8"/>
  <c r="N32" i="8"/>
  <c r="O33" i="8" s="1"/>
  <c r="N27" i="8"/>
  <c r="N37" i="8" l="1"/>
  <c r="O29" i="8"/>
  <c r="O28" i="8"/>
  <c r="C53" i="22" l="1"/>
  <c r="C13" i="22"/>
  <c r="L14" i="22"/>
  <c r="K14" i="22"/>
  <c r="J14" i="22"/>
  <c r="M14" i="22" s="1"/>
  <c r="F14" i="22"/>
  <c r="N18" i="8" l="1"/>
  <c r="C17" i="8"/>
  <c r="D17" i="8"/>
  <c r="E17" i="8"/>
  <c r="F17" i="8"/>
  <c r="G17" i="8"/>
  <c r="H17" i="8"/>
  <c r="I17" i="8"/>
  <c r="J17" i="8"/>
  <c r="K17" i="8"/>
  <c r="L17" i="8"/>
  <c r="M17" i="8"/>
  <c r="C12" i="8"/>
  <c r="D12" i="8"/>
  <c r="E12" i="8"/>
  <c r="F12" i="8"/>
  <c r="G12" i="8"/>
  <c r="G49" i="8" s="1"/>
  <c r="H12" i="8"/>
  <c r="H49" i="8" s="1"/>
  <c r="I12" i="8"/>
  <c r="I49" i="8" s="1"/>
  <c r="J12" i="8"/>
  <c r="K12" i="8"/>
  <c r="L12" i="8"/>
  <c r="M12" i="8"/>
  <c r="E4" i="38"/>
  <c r="C4" i="38"/>
  <c r="A4" i="38"/>
  <c r="E3" i="38"/>
  <c r="C3" i="38"/>
  <c r="A3" i="38"/>
  <c r="F22" i="8" l="1"/>
  <c r="F42" i="8" s="1"/>
  <c r="F49" i="8"/>
  <c r="K22" i="8"/>
  <c r="K42" i="8" s="1"/>
  <c r="K49" i="8"/>
  <c r="L22" i="8"/>
  <c r="L42" i="8" s="1"/>
  <c r="L49" i="8"/>
  <c r="M22" i="8"/>
  <c r="M42" i="8" s="1"/>
  <c r="M49" i="8"/>
  <c r="J22" i="8"/>
  <c r="J42" i="8" s="1"/>
  <c r="J49" i="8"/>
  <c r="E22" i="8"/>
  <c r="E42" i="8" s="1"/>
  <c r="E49" i="8"/>
  <c r="D22" i="8"/>
  <c r="D42" i="8" s="1"/>
  <c r="D49" i="8"/>
  <c r="C22" i="8"/>
  <c r="C42" i="8" s="1"/>
  <c r="C49" i="8"/>
  <c r="I22" i="8"/>
  <c r="I42" i="8" s="1"/>
  <c r="H22" i="8"/>
  <c r="H42" i="8" s="1"/>
  <c r="G22" i="8"/>
  <c r="G42" i="8" s="1"/>
  <c r="N23" i="8"/>
  <c r="N43" i="8" s="1"/>
  <c r="F15" i="22"/>
  <c r="N139" i="37" l="1"/>
  <c r="N138" i="37"/>
  <c r="N133" i="37"/>
  <c r="J4" i="12" l="1"/>
  <c r="E4" i="12"/>
  <c r="A4" i="12"/>
  <c r="J3" i="12"/>
  <c r="A3" i="12"/>
  <c r="E4" i="33"/>
  <c r="C4" i="33"/>
  <c r="A4" i="33"/>
  <c r="E3" i="33"/>
  <c r="C3" i="33"/>
  <c r="A3" i="33"/>
  <c r="H31" i="25"/>
  <c r="F31" i="25"/>
  <c r="C31" i="25"/>
  <c r="H30" i="25"/>
  <c r="H29" i="25"/>
  <c r="H28" i="25"/>
  <c r="H27" i="25"/>
  <c r="H26" i="25"/>
  <c r="H25" i="25"/>
  <c r="H24" i="25"/>
  <c r="H23" i="25"/>
  <c r="H22" i="25"/>
  <c r="H21" i="25"/>
  <c r="H20" i="25"/>
  <c r="H19" i="25"/>
  <c r="H18" i="25"/>
  <c r="H17" i="25"/>
  <c r="H16" i="25"/>
  <c r="H15" i="25"/>
  <c r="H14" i="25"/>
  <c r="H13" i="25"/>
  <c r="F4" i="25"/>
  <c r="D4" i="25"/>
  <c r="A4" i="25"/>
  <c r="F3" i="25"/>
  <c r="D3" i="25"/>
  <c r="A3" i="25"/>
  <c r="P45" i="26"/>
  <c r="O45" i="26"/>
  <c r="N45" i="26"/>
  <c r="M45" i="26"/>
  <c r="L45" i="26"/>
  <c r="K45" i="26"/>
  <c r="J45" i="26"/>
  <c r="G45" i="26"/>
  <c r="F45" i="26"/>
  <c r="E45" i="26"/>
  <c r="P44" i="26"/>
  <c r="L44" i="26"/>
  <c r="P43" i="26"/>
  <c r="L43" i="26"/>
  <c r="P42" i="26"/>
  <c r="L42" i="26"/>
  <c r="P41" i="26"/>
  <c r="L41" i="26"/>
  <c r="P40" i="26"/>
  <c r="L40" i="26"/>
  <c r="P39" i="26"/>
  <c r="L39" i="26"/>
  <c r="P38" i="26"/>
  <c r="L38" i="26"/>
  <c r="N4" i="26"/>
  <c r="H4" i="26"/>
  <c r="A4" i="26"/>
  <c r="N3" i="26"/>
  <c r="H3" i="26"/>
  <c r="A3" i="26"/>
  <c r="F4" i="17"/>
  <c r="D4" i="17"/>
  <c r="A4" i="17"/>
  <c r="F3" i="17"/>
  <c r="D3" i="17"/>
  <c r="A3" i="17"/>
  <c r="H4" i="27"/>
  <c r="D4" i="27"/>
  <c r="A4" i="27"/>
  <c r="H3" i="27"/>
  <c r="D3" i="27"/>
  <c r="A3" i="27"/>
  <c r="H31" i="10"/>
  <c r="J31" i="10" s="1"/>
  <c r="H30" i="10"/>
  <c r="H29" i="10"/>
  <c r="H28" i="10"/>
  <c r="G27" i="10"/>
  <c r="F27" i="10"/>
  <c r="E27" i="10"/>
  <c r="D27" i="10"/>
  <c r="H26" i="10"/>
  <c r="H25" i="10"/>
  <c r="H24" i="10"/>
  <c r="H23" i="10"/>
  <c r="H22" i="10"/>
  <c r="H21" i="10"/>
  <c r="H20" i="10"/>
  <c r="H19" i="10"/>
  <c r="G17" i="10"/>
  <c r="F17" i="10"/>
  <c r="D17" i="10"/>
  <c r="G4" i="10"/>
  <c r="D4" i="10"/>
  <c r="A4" i="10"/>
  <c r="G3" i="10"/>
  <c r="D3" i="10"/>
  <c r="A3" i="10"/>
  <c r="G47" i="11"/>
  <c r="I47" i="11" s="1"/>
  <c r="G46" i="11"/>
  <c r="I46" i="11" s="1"/>
  <c r="G45" i="11"/>
  <c r="I45" i="11" s="1"/>
  <c r="G44" i="11"/>
  <c r="I44" i="11" s="1"/>
  <c r="G43" i="11"/>
  <c r="I43" i="11" s="1"/>
  <c r="G42" i="11"/>
  <c r="I42" i="11" s="1"/>
  <c r="G41" i="11"/>
  <c r="I41" i="11" s="1"/>
  <c r="G40" i="11"/>
  <c r="I40" i="11" s="1"/>
  <c r="G36" i="11"/>
  <c r="I36" i="11" s="1"/>
  <c r="G35" i="11"/>
  <c r="I35" i="11" s="1"/>
  <c r="G34" i="11"/>
  <c r="I34" i="11" s="1"/>
  <c r="G33" i="11"/>
  <c r="I33" i="11" s="1"/>
  <c r="G32" i="11"/>
  <c r="I32" i="11" s="1"/>
  <c r="G31" i="11"/>
  <c r="I31" i="11" s="1"/>
  <c r="G30" i="11"/>
  <c r="I30" i="11" s="1"/>
  <c r="G29" i="11"/>
  <c r="I29" i="11" s="1"/>
  <c r="G28" i="11"/>
  <c r="I28" i="11" s="1"/>
  <c r="G27" i="11"/>
  <c r="I27" i="11" s="1"/>
  <c r="G26" i="11"/>
  <c r="I26" i="11" s="1"/>
  <c r="G25" i="11"/>
  <c r="I25" i="11" s="1"/>
  <c r="G24" i="11"/>
  <c r="I24" i="11" s="1"/>
  <c r="G23" i="11"/>
  <c r="I23" i="11" s="1"/>
  <c r="G22" i="11"/>
  <c r="I22" i="11" s="1"/>
  <c r="G21" i="11"/>
  <c r="I21" i="11" s="1"/>
  <c r="G20" i="11"/>
  <c r="I20" i="11" s="1"/>
  <c r="G19" i="11"/>
  <c r="I19" i="11" s="1"/>
  <c r="G18" i="11"/>
  <c r="I18" i="11" s="1"/>
  <c r="I17" i="11"/>
  <c r="G4" i="11"/>
  <c r="D4" i="11"/>
  <c r="A4" i="11"/>
  <c r="G3" i="11"/>
  <c r="D3" i="11"/>
  <c r="A3" i="11"/>
  <c r="N21" i="8"/>
  <c r="N20" i="8"/>
  <c r="N19" i="8"/>
  <c r="N17" i="8" s="1"/>
  <c r="O18" i="8" s="1"/>
  <c r="N16" i="8"/>
  <c r="N26" i="8" s="1"/>
  <c r="N46" i="8" s="1"/>
  <c r="N15" i="8"/>
  <c r="N25" i="8" s="1"/>
  <c r="N45" i="8" s="1"/>
  <c r="N14" i="8"/>
  <c r="J4" i="8"/>
  <c r="F4" i="8"/>
  <c r="A4" i="8"/>
  <c r="J3" i="8"/>
  <c r="F3" i="8"/>
  <c r="A3" i="8"/>
  <c r="J53" i="23"/>
  <c r="G53" i="23"/>
  <c r="J52" i="23"/>
  <c r="G52" i="23"/>
  <c r="D52" i="23"/>
  <c r="J51" i="23"/>
  <c r="G51" i="23"/>
  <c r="G54" i="23" s="1"/>
  <c r="G56" i="23" s="1"/>
  <c r="J50" i="23"/>
  <c r="J54" i="23" s="1"/>
  <c r="J56" i="23" s="1"/>
  <c r="J43" i="23"/>
  <c r="I43" i="23"/>
  <c r="H43" i="23"/>
  <c r="J42" i="23"/>
  <c r="I42" i="23"/>
  <c r="H42" i="23"/>
  <c r="J41" i="23"/>
  <c r="J44" i="23" s="1"/>
  <c r="J46" i="23" s="1"/>
  <c r="I41" i="23"/>
  <c r="I44" i="23" s="1"/>
  <c r="I46" i="23" s="1"/>
  <c r="H41" i="23"/>
  <c r="H44" i="23" s="1"/>
  <c r="H46" i="23" s="1"/>
  <c r="F26" i="23"/>
  <c r="E26" i="23"/>
  <c r="C26" i="23"/>
  <c r="B26" i="23"/>
  <c r="H25" i="23"/>
  <c r="G25" i="23"/>
  <c r="D25" i="23"/>
  <c r="K25" i="23" s="1"/>
  <c r="H24" i="23"/>
  <c r="G24" i="23"/>
  <c r="D24" i="23"/>
  <c r="K24" i="23" s="1"/>
  <c r="H23" i="23"/>
  <c r="G23" i="23"/>
  <c r="D23" i="23"/>
  <c r="K23" i="23" s="1"/>
  <c r="H22" i="23"/>
  <c r="G22" i="23"/>
  <c r="D22" i="23"/>
  <c r="K22" i="23" s="1"/>
  <c r="H21" i="23"/>
  <c r="G21" i="23"/>
  <c r="D21" i="23"/>
  <c r="K21" i="23" s="1"/>
  <c r="H20" i="23"/>
  <c r="G20" i="23"/>
  <c r="D20" i="23"/>
  <c r="K20" i="23" s="1"/>
  <c r="H19" i="23"/>
  <c r="G19" i="23"/>
  <c r="D19" i="23"/>
  <c r="K19" i="23" s="1"/>
  <c r="H18" i="23"/>
  <c r="G18" i="23"/>
  <c r="D18" i="23"/>
  <c r="K18" i="23" s="1"/>
  <c r="H17" i="23"/>
  <c r="G17" i="23"/>
  <c r="D17" i="23"/>
  <c r="K17" i="23" s="1"/>
  <c r="H16" i="23"/>
  <c r="G16" i="23"/>
  <c r="D16" i="23"/>
  <c r="K16" i="23" s="1"/>
  <c r="G15" i="23"/>
  <c r="D15" i="23"/>
  <c r="K15" i="23" s="1"/>
  <c r="H4" i="23"/>
  <c r="D4" i="23"/>
  <c r="A4" i="23"/>
  <c r="H3" i="23"/>
  <c r="D3" i="23"/>
  <c r="A3" i="23"/>
  <c r="G4" i="36"/>
  <c r="D4" i="36"/>
  <c r="A4" i="36"/>
  <c r="G3" i="36"/>
  <c r="D3" i="36"/>
  <c r="A3" i="36"/>
  <c r="I53" i="22"/>
  <c r="H53" i="22"/>
  <c r="G53" i="22"/>
  <c r="E53" i="22"/>
  <c r="D53" i="22"/>
  <c r="L52" i="22"/>
  <c r="K52" i="22"/>
  <c r="J52" i="22"/>
  <c r="F52" i="22"/>
  <c r="L51" i="22"/>
  <c r="K51" i="22"/>
  <c r="J51" i="22"/>
  <c r="F51" i="22"/>
  <c r="L50" i="22"/>
  <c r="L53" i="22" s="1"/>
  <c r="K50" i="22"/>
  <c r="J50" i="22"/>
  <c r="F50" i="22"/>
  <c r="E38" i="21" s="1"/>
  <c r="L45" i="22"/>
  <c r="K45" i="22"/>
  <c r="J45" i="22"/>
  <c r="F45" i="22"/>
  <c r="L44" i="22"/>
  <c r="L42" i="22" s="1"/>
  <c r="K44" i="22"/>
  <c r="J44" i="22"/>
  <c r="M44" i="22" s="1"/>
  <c r="E48" i="13" s="1"/>
  <c r="F44" i="22"/>
  <c r="L43" i="22"/>
  <c r="K43" i="22"/>
  <c r="J43" i="22"/>
  <c r="M43" i="22" s="1"/>
  <c r="F43" i="22"/>
  <c r="I42" i="22"/>
  <c r="H42" i="22"/>
  <c r="G42" i="22"/>
  <c r="E42" i="22"/>
  <c r="F42" i="22" s="1"/>
  <c r="D42" i="22"/>
  <c r="C42" i="22"/>
  <c r="L41" i="22"/>
  <c r="D36" i="14" s="1"/>
  <c r="K41" i="22"/>
  <c r="J41" i="22"/>
  <c r="M41" i="22" s="1"/>
  <c r="E45" i="13" s="1"/>
  <c r="F41" i="22"/>
  <c r="L40" i="22"/>
  <c r="D44" i="13" s="1"/>
  <c r="K40" i="22"/>
  <c r="J40" i="22"/>
  <c r="F40" i="22"/>
  <c r="L39" i="22"/>
  <c r="D34" i="14" s="1"/>
  <c r="K39" i="22"/>
  <c r="J39" i="22"/>
  <c r="F39" i="22"/>
  <c r="L38" i="22"/>
  <c r="L37" i="22" s="1"/>
  <c r="K38" i="22"/>
  <c r="C42" i="13" s="1"/>
  <c r="J38" i="22"/>
  <c r="B33" i="14" s="1"/>
  <c r="F38" i="22"/>
  <c r="E27" i="21" s="1"/>
  <c r="I37" i="22"/>
  <c r="H37" i="22"/>
  <c r="G37" i="22"/>
  <c r="E37" i="22"/>
  <c r="D37" i="22"/>
  <c r="C37" i="22"/>
  <c r="L32" i="22"/>
  <c r="K32" i="22"/>
  <c r="J32" i="22"/>
  <c r="F32" i="22"/>
  <c r="L31" i="22"/>
  <c r="K31" i="22"/>
  <c r="J31" i="22"/>
  <c r="B33" i="13" s="1"/>
  <c r="F31" i="22"/>
  <c r="L30" i="22"/>
  <c r="K30" i="22"/>
  <c r="J30" i="22"/>
  <c r="F30" i="22"/>
  <c r="E20" i="21" s="1"/>
  <c r="L29" i="22"/>
  <c r="I25" i="10"/>
  <c r="J29" i="22"/>
  <c r="B31" i="13" s="1"/>
  <c r="F29" i="22"/>
  <c r="L28" i="22"/>
  <c r="D30" i="13" s="1"/>
  <c r="K28" i="22"/>
  <c r="I24" i="10" s="1"/>
  <c r="J28" i="22"/>
  <c r="B30" i="13" s="1"/>
  <c r="F28" i="22"/>
  <c r="L27" i="22"/>
  <c r="K27" i="22"/>
  <c r="I23" i="10" s="1"/>
  <c r="J27" i="22"/>
  <c r="B29" i="13" s="1"/>
  <c r="F27" i="22"/>
  <c r="L26" i="22"/>
  <c r="D29" i="13" s="1"/>
  <c r="K26" i="22"/>
  <c r="I22" i="10" s="1"/>
  <c r="J26" i="22"/>
  <c r="F26" i="22"/>
  <c r="L25" i="22"/>
  <c r="D24" i="14" s="1"/>
  <c r="K25" i="22"/>
  <c r="I21" i="10" s="1"/>
  <c r="J25" i="22"/>
  <c r="B24" i="14" s="1"/>
  <c r="F25" i="22"/>
  <c r="L24" i="22"/>
  <c r="K24" i="22"/>
  <c r="J24" i="22"/>
  <c r="M24" i="22" s="1"/>
  <c r="E23" i="13" s="1"/>
  <c r="F24" i="22"/>
  <c r="L23" i="22"/>
  <c r="D22" i="13" s="1"/>
  <c r="K23" i="22"/>
  <c r="J23" i="22"/>
  <c r="B21" i="14" s="1"/>
  <c r="F23" i="22"/>
  <c r="L22" i="22"/>
  <c r="K22" i="22"/>
  <c r="J22" i="22"/>
  <c r="M22" i="22" s="1"/>
  <c r="F22" i="22"/>
  <c r="L21" i="22"/>
  <c r="K21" i="22"/>
  <c r="C20" i="14" s="1"/>
  <c r="J21" i="22"/>
  <c r="B21" i="13" s="1"/>
  <c r="F21" i="22"/>
  <c r="I20" i="22"/>
  <c r="H20" i="22"/>
  <c r="G20" i="22"/>
  <c r="E20" i="22"/>
  <c r="D20" i="22"/>
  <c r="C20" i="22"/>
  <c r="L19" i="22"/>
  <c r="K19" i="22"/>
  <c r="I19" i="10" s="1"/>
  <c r="J19" i="22"/>
  <c r="B18" i="14" s="1"/>
  <c r="F19" i="22"/>
  <c r="E9" i="21" s="1"/>
  <c r="L18" i="22"/>
  <c r="K18" i="22"/>
  <c r="J18" i="22"/>
  <c r="F18" i="22"/>
  <c r="L17" i="22"/>
  <c r="K17" i="22"/>
  <c r="J17" i="22"/>
  <c r="F17" i="22"/>
  <c r="L16" i="22"/>
  <c r="K16" i="22"/>
  <c r="J16" i="22"/>
  <c r="F16" i="22"/>
  <c r="L15" i="22"/>
  <c r="K15" i="22"/>
  <c r="J15" i="22"/>
  <c r="I13" i="22"/>
  <c r="I33" i="22" s="1"/>
  <c r="H13" i="22"/>
  <c r="G13" i="22"/>
  <c r="G33" i="22" s="1"/>
  <c r="E13" i="22"/>
  <c r="D13" i="22"/>
  <c r="D33" i="22" s="1"/>
  <c r="C33" i="22"/>
  <c r="I4" i="22"/>
  <c r="F4" i="22"/>
  <c r="A4" i="22"/>
  <c r="I3" i="22"/>
  <c r="F3" i="22"/>
  <c r="A3" i="22"/>
  <c r="D39" i="14"/>
  <c r="C39" i="14"/>
  <c r="D38" i="14"/>
  <c r="C38" i="14"/>
  <c r="C36" i="14"/>
  <c r="C35" i="14"/>
  <c r="B35" i="14"/>
  <c r="C34" i="14"/>
  <c r="D28" i="14"/>
  <c r="D27" i="14"/>
  <c r="C27" i="14"/>
  <c r="C26" i="14"/>
  <c r="C25" i="14"/>
  <c r="E23" i="14"/>
  <c r="C22" i="14"/>
  <c r="C21" i="14"/>
  <c r="D20" i="14"/>
  <c r="E12" i="14"/>
  <c r="C4" i="14"/>
  <c r="B4" i="14"/>
  <c r="A4" i="14"/>
  <c r="C3" i="14"/>
  <c r="B3" i="14"/>
  <c r="A3" i="14"/>
  <c r="C48" i="13"/>
  <c r="D47" i="13"/>
  <c r="C47" i="13"/>
  <c r="D45" i="13"/>
  <c r="C45" i="13"/>
  <c r="C44" i="13"/>
  <c r="B44" i="13"/>
  <c r="D43" i="13"/>
  <c r="C43" i="13"/>
  <c r="B43" i="13"/>
  <c r="D33" i="13"/>
  <c r="C33" i="13"/>
  <c r="D32" i="13"/>
  <c r="B32" i="13"/>
  <c r="D31" i="13"/>
  <c r="C31" i="13"/>
  <c r="C30" i="13"/>
  <c r="C28" i="13"/>
  <c r="B28" i="13"/>
  <c r="D23" i="13"/>
  <c r="C23" i="13"/>
  <c r="C22" i="13"/>
  <c r="D21" i="13"/>
  <c r="B19" i="13"/>
  <c r="C4" i="13"/>
  <c r="B4" i="13"/>
  <c r="A4" i="13"/>
  <c r="C3" i="13"/>
  <c r="B3" i="13"/>
  <c r="A3" i="13"/>
  <c r="F40" i="21"/>
  <c r="C40" i="21"/>
  <c r="B40" i="21"/>
  <c r="D40" i="21" s="1"/>
  <c r="F39" i="21"/>
  <c r="E39" i="21"/>
  <c r="C39" i="21"/>
  <c r="B39" i="21"/>
  <c r="I39" i="21" s="1"/>
  <c r="F38" i="21"/>
  <c r="C38" i="21"/>
  <c r="B38" i="21"/>
  <c r="F33" i="21"/>
  <c r="E33" i="21"/>
  <c r="C33" i="21"/>
  <c r="B33" i="21"/>
  <c r="D33" i="21" s="1"/>
  <c r="F32" i="21"/>
  <c r="G32" i="21" s="1"/>
  <c r="E32" i="21"/>
  <c r="C32" i="21"/>
  <c r="B32" i="21"/>
  <c r="F30" i="21"/>
  <c r="E30" i="21"/>
  <c r="C30" i="21"/>
  <c r="B30" i="21"/>
  <c r="F29" i="21"/>
  <c r="E29" i="21"/>
  <c r="C29" i="21"/>
  <c r="B29" i="21"/>
  <c r="F28" i="21"/>
  <c r="E28" i="21"/>
  <c r="C28" i="21"/>
  <c r="B28" i="21"/>
  <c r="I28" i="21" s="1"/>
  <c r="F27" i="21"/>
  <c r="C27" i="21"/>
  <c r="B27" i="21"/>
  <c r="G21" i="21"/>
  <c r="F21" i="21"/>
  <c r="E21" i="21"/>
  <c r="C21" i="21"/>
  <c r="B21" i="21"/>
  <c r="F20" i="21"/>
  <c r="C20" i="21"/>
  <c r="B20" i="21"/>
  <c r="F19" i="21"/>
  <c r="G19" i="21" s="1"/>
  <c r="E19" i="21"/>
  <c r="C19" i="21"/>
  <c r="B19" i="21"/>
  <c r="F18" i="21"/>
  <c r="E18" i="21"/>
  <c r="C18" i="21"/>
  <c r="B18" i="21"/>
  <c r="F17" i="21"/>
  <c r="G17" i="21" s="1"/>
  <c r="E17" i="21"/>
  <c r="C17" i="21"/>
  <c r="B17" i="21"/>
  <c r="F16" i="21"/>
  <c r="E16" i="21"/>
  <c r="C16" i="21"/>
  <c r="B16" i="21"/>
  <c r="F15" i="21"/>
  <c r="E15" i="21"/>
  <c r="C15" i="21"/>
  <c r="B15" i="21"/>
  <c r="D15" i="21" s="1"/>
  <c r="F14" i="21"/>
  <c r="E14" i="21"/>
  <c r="H14" i="21" s="1"/>
  <c r="C14" i="21"/>
  <c r="B14" i="21"/>
  <c r="F13" i="21"/>
  <c r="E13" i="21"/>
  <c r="C13" i="21"/>
  <c r="B13" i="21"/>
  <c r="F12" i="21"/>
  <c r="E12" i="21"/>
  <c r="C12" i="21"/>
  <c r="B12" i="21"/>
  <c r="D12" i="21" s="1"/>
  <c r="F11" i="21"/>
  <c r="E11" i="21"/>
  <c r="C11" i="21"/>
  <c r="B11" i="21"/>
  <c r="F9" i="21"/>
  <c r="C9" i="21"/>
  <c r="B9" i="21"/>
  <c r="F8" i="21"/>
  <c r="G4" i="21"/>
  <c r="D4" i="21"/>
  <c r="G3" i="21"/>
  <c r="H27" i="10" l="1"/>
  <c r="J23" i="10"/>
  <c r="J21" i="10"/>
  <c r="J25" i="10"/>
  <c r="J22" i="10"/>
  <c r="H17" i="10"/>
  <c r="J24" i="10"/>
  <c r="J19" i="10"/>
  <c r="I15" i="23"/>
  <c r="G26" i="23"/>
  <c r="D26" i="23"/>
  <c r="K26" i="23" s="1"/>
  <c r="H26" i="23"/>
  <c r="I25" i="23"/>
  <c r="I17" i="23"/>
  <c r="I20" i="23"/>
  <c r="N24" i="8"/>
  <c r="N44" i="8" s="1"/>
  <c r="N12" i="8"/>
  <c r="O13" i="8" s="1"/>
  <c r="B28" i="14"/>
  <c r="B39" i="14"/>
  <c r="E39" i="14" s="1"/>
  <c r="B48" i="13"/>
  <c r="B22" i="13"/>
  <c r="B27" i="14"/>
  <c r="G33" i="21"/>
  <c r="D29" i="21"/>
  <c r="K32" i="21"/>
  <c r="E46" i="22"/>
  <c r="H46" i="22"/>
  <c r="C41" i="21"/>
  <c r="D20" i="13"/>
  <c r="G16" i="21"/>
  <c r="G20" i="21"/>
  <c r="B25" i="14"/>
  <c r="H21" i="21"/>
  <c r="I30" i="21"/>
  <c r="K53" i="22"/>
  <c r="I46" i="22"/>
  <c r="J37" i="22"/>
  <c r="C46" i="22"/>
  <c r="F37" i="22"/>
  <c r="F46" i="22" s="1"/>
  <c r="B42" i="13"/>
  <c r="F53" i="22"/>
  <c r="D19" i="21"/>
  <c r="K19" i="21" s="1"/>
  <c r="G27" i="21"/>
  <c r="F31" i="21"/>
  <c r="D28" i="13"/>
  <c r="D21" i="14"/>
  <c r="D25" i="14"/>
  <c r="D35" i="14"/>
  <c r="E33" i="22"/>
  <c r="M30" i="22"/>
  <c r="E32" i="13" s="1"/>
  <c r="M32" i="22"/>
  <c r="K37" i="22"/>
  <c r="I28" i="10" s="1"/>
  <c r="J28" i="10" s="1"/>
  <c r="M50" i="22"/>
  <c r="H13" i="21"/>
  <c r="H29" i="21"/>
  <c r="B41" i="21"/>
  <c r="L20" i="22"/>
  <c r="G13" i="21"/>
  <c r="H17" i="21"/>
  <c r="C29" i="13"/>
  <c r="C33" i="14"/>
  <c r="C32" i="14" s="1"/>
  <c r="M28" i="22"/>
  <c r="E30" i="13" s="1"/>
  <c r="M45" i="22"/>
  <c r="M52" i="22"/>
  <c r="H11" i="21"/>
  <c r="B26" i="14"/>
  <c r="J20" i="22"/>
  <c r="C28" i="14"/>
  <c r="D16" i="21"/>
  <c r="K16" i="21" s="1"/>
  <c r="D28" i="21"/>
  <c r="D30" i="21"/>
  <c r="E31" i="21"/>
  <c r="E40" i="21"/>
  <c r="B23" i="13"/>
  <c r="B20" i="13" s="1"/>
  <c r="B45" i="13"/>
  <c r="D48" i="13"/>
  <c r="D22" i="14"/>
  <c r="D19" i="14" s="1"/>
  <c r="D26" i="14"/>
  <c r="D33" i="14"/>
  <c r="D32" i="14" s="1"/>
  <c r="F20" i="22"/>
  <c r="M21" i="22"/>
  <c r="E21" i="13" s="1"/>
  <c r="M23" i="22"/>
  <c r="E22" i="13" s="1"/>
  <c r="M25" i="22"/>
  <c r="E28" i="13" s="1"/>
  <c r="M27" i="22"/>
  <c r="M40" i="22"/>
  <c r="E44" i="13" s="1"/>
  <c r="D46" i="22"/>
  <c r="H15" i="21"/>
  <c r="B22" i="14"/>
  <c r="E10" i="21"/>
  <c r="H12" i="21"/>
  <c r="I20" i="21"/>
  <c r="G28" i="21"/>
  <c r="G38" i="21"/>
  <c r="C32" i="13"/>
  <c r="D42" i="13"/>
  <c r="D41" i="13" s="1"/>
  <c r="B20" i="14"/>
  <c r="B19" i="14" s="1"/>
  <c r="B34" i="14"/>
  <c r="E34" i="14" s="1"/>
  <c r="M29" i="22"/>
  <c r="E31" i="13" s="1"/>
  <c r="M38" i="22"/>
  <c r="E42" i="13" s="1"/>
  <c r="M51" i="22"/>
  <c r="G46" i="22"/>
  <c r="G12" i="21"/>
  <c r="K12" i="21" s="1"/>
  <c r="H18" i="21"/>
  <c r="C21" i="13"/>
  <c r="C20" i="13" s="1"/>
  <c r="B47" i="13"/>
  <c r="C24" i="14"/>
  <c r="E24" i="14" s="1"/>
  <c r="M31" i="22"/>
  <c r="E33" i="13" s="1"/>
  <c r="K42" i="22"/>
  <c r="C37" i="14" s="1"/>
  <c r="J28" i="21"/>
  <c r="I12" i="21"/>
  <c r="I18" i="21"/>
  <c r="I19" i="21"/>
  <c r="D21" i="21"/>
  <c r="K21" i="21" s="1"/>
  <c r="H27" i="21"/>
  <c r="I27" i="21" s="1"/>
  <c r="D39" i="21"/>
  <c r="H39" i="21"/>
  <c r="C41" i="13"/>
  <c r="I16" i="21"/>
  <c r="I14" i="21"/>
  <c r="I15" i="21"/>
  <c r="D17" i="21"/>
  <c r="K17" i="21" s="1"/>
  <c r="D20" i="21"/>
  <c r="K20" i="21" s="1"/>
  <c r="I32" i="21"/>
  <c r="E27" i="14"/>
  <c r="C19" i="14"/>
  <c r="E26" i="21"/>
  <c r="F22" i="21"/>
  <c r="I11" i="21"/>
  <c r="D13" i="21"/>
  <c r="K13" i="21" s="1"/>
  <c r="H19" i="21"/>
  <c r="D27" i="21"/>
  <c r="H28" i="21"/>
  <c r="G29" i="21"/>
  <c r="J29" i="21" s="1"/>
  <c r="H33" i="21"/>
  <c r="E21" i="14"/>
  <c r="E35" i="14"/>
  <c r="H20" i="21"/>
  <c r="K33" i="21"/>
  <c r="H9" i="21"/>
  <c r="I9" i="21" s="1"/>
  <c r="H16" i="21"/>
  <c r="E25" i="14"/>
  <c r="I19" i="23"/>
  <c r="I21" i="23"/>
  <c r="I23" i="23"/>
  <c r="I22" i="23"/>
  <c r="I18" i="23"/>
  <c r="I16" i="23"/>
  <c r="I24" i="23"/>
  <c r="E47" i="13"/>
  <c r="M42" i="22"/>
  <c r="D9" i="13"/>
  <c r="D11" i="14"/>
  <c r="C11" i="14"/>
  <c r="C9" i="13"/>
  <c r="I30" i="10"/>
  <c r="J30" i="10" s="1"/>
  <c r="E28" i="14"/>
  <c r="C46" i="13"/>
  <c r="D37" i="14"/>
  <c r="D46" i="13"/>
  <c r="L46" i="22"/>
  <c r="J33" i="21"/>
  <c r="G39" i="21"/>
  <c r="J39" i="21" s="1"/>
  <c r="K20" i="22"/>
  <c r="I20" i="10" s="1"/>
  <c r="J20" i="10" s="1"/>
  <c r="M26" i="22"/>
  <c r="E29" i="13" s="1"/>
  <c r="D14" i="21"/>
  <c r="D18" i="21"/>
  <c r="B31" i="21"/>
  <c r="I31" i="21" s="1"/>
  <c r="H32" i="21"/>
  <c r="B36" i="14"/>
  <c r="E36" i="14" s="1"/>
  <c r="B38" i="14"/>
  <c r="E38" i="14" s="1"/>
  <c r="J53" i="22"/>
  <c r="I26" i="10"/>
  <c r="J26" i="10" s="1"/>
  <c r="J32" i="21"/>
  <c r="D38" i="21"/>
  <c r="F41" i="21"/>
  <c r="M39" i="22"/>
  <c r="E43" i="13" s="1"/>
  <c r="I13" i="21"/>
  <c r="G14" i="21"/>
  <c r="I17" i="21"/>
  <c r="G18" i="21"/>
  <c r="I21" i="21"/>
  <c r="I29" i="21"/>
  <c r="G30" i="21"/>
  <c r="J30" i="21" s="1"/>
  <c r="I33" i="21"/>
  <c r="H30" i="21"/>
  <c r="J42" i="22"/>
  <c r="G11" i="21"/>
  <c r="J11" i="21" s="1"/>
  <c r="G15" i="21"/>
  <c r="J15" i="21" s="1"/>
  <c r="B10" i="21"/>
  <c r="B26" i="21"/>
  <c r="H38" i="21"/>
  <c r="I38" i="21" s="1"/>
  <c r="H33" i="22"/>
  <c r="L13" i="22"/>
  <c r="M16" i="22"/>
  <c r="M18" i="22"/>
  <c r="C8" i="21"/>
  <c r="C18" i="14"/>
  <c r="M19" i="22"/>
  <c r="E19" i="13" s="1"/>
  <c r="K13" i="22"/>
  <c r="C19" i="13"/>
  <c r="D9" i="21"/>
  <c r="J13" i="22"/>
  <c r="B18" i="13" s="1"/>
  <c r="M17" i="22"/>
  <c r="D18" i="14"/>
  <c r="F13" i="22"/>
  <c r="D19" i="13"/>
  <c r="M15" i="22"/>
  <c r="G9" i="21"/>
  <c r="B8" i="21"/>
  <c r="I26" i="23" l="1"/>
  <c r="C18" i="13"/>
  <c r="I18" i="10"/>
  <c r="J18" i="10" s="1"/>
  <c r="N22" i="8"/>
  <c r="N42" i="8" s="1"/>
  <c r="E47" i="8"/>
  <c r="F47" i="8"/>
  <c r="M47" i="8"/>
  <c r="G47" i="8"/>
  <c r="H47" i="8"/>
  <c r="N47" i="8"/>
  <c r="J47" i="8"/>
  <c r="N49" i="8"/>
  <c r="C47" i="8"/>
  <c r="K47" i="8"/>
  <c r="D47" i="8"/>
  <c r="L47" i="8"/>
  <c r="I47" i="8"/>
  <c r="B47" i="8"/>
  <c r="L33" i="22"/>
  <c r="D7" i="13" s="1"/>
  <c r="M53" i="22"/>
  <c r="E9" i="13" s="1"/>
  <c r="E26" i="14"/>
  <c r="E41" i="13"/>
  <c r="K31" i="21"/>
  <c r="K29" i="21"/>
  <c r="J16" i="21"/>
  <c r="E20" i="13"/>
  <c r="E22" i="14"/>
  <c r="D41" i="21"/>
  <c r="D17" i="14"/>
  <c r="C40" i="14"/>
  <c r="B41" i="13"/>
  <c r="E33" i="14"/>
  <c r="D40" i="14"/>
  <c r="K46" i="22"/>
  <c r="C10" i="14" s="1"/>
  <c r="C49" i="13"/>
  <c r="E20" i="14"/>
  <c r="D49" i="13"/>
  <c r="J27" i="21"/>
  <c r="K27" i="21" s="1"/>
  <c r="H40" i="21"/>
  <c r="G40" i="21"/>
  <c r="I29" i="10"/>
  <c r="J19" i="21"/>
  <c r="J12" i="21"/>
  <c r="K18" i="21"/>
  <c r="I40" i="21"/>
  <c r="F34" i="21"/>
  <c r="J17" i="21"/>
  <c r="M20" i="22"/>
  <c r="E34" i="21"/>
  <c r="K28" i="21"/>
  <c r="B35" i="13"/>
  <c r="J38" i="21"/>
  <c r="K38" i="21" s="1"/>
  <c r="I10" i="21"/>
  <c r="E19" i="14"/>
  <c r="E41" i="21"/>
  <c r="H26" i="21"/>
  <c r="I26" i="21" s="1"/>
  <c r="K14" i="21"/>
  <c r="H31" i="21"/>
  <c r="J20" i="21"/>
  <c r="K15" i="21"/>
  <c r="J21" i="21"/>
  <c r="E18" i="14"/>
  <c r="J13" i="21"/>
  <c r="J46" i="22"/>
  <c r="B37" i="14"/>
  <c r="E37" i="14" s="1"/>
  <c r="B46" i="13"/>
  <c r="J18" i="21"/>
  <c r="K30" i="21"/>
  <c r="D18" i="13"/>
  <c r="D35" i="13" s="1"/>
  <c r="J14" i="21"/>
  <c r="D10" i="14"/>
  <c r="D8" i="13"/>
  <c r="H10" i="21"/>
  <c r="J31" i="21"/>
  <c r="E46" i="13"/>
  <c r="E49" i="13" s="1"/>
  <c r="B34" i="21"/>
  <c r="B11" i="14"/>
  <c r="E11" i="14" s="1"/>
  <c r="B9" i="13"/>
  <c r="K39" i="21"/>
  <c r="K11" i="21"/>
  <c r="M37" i="22"/>
  <c r="M46" i="22" s="1"/>
  <c r="E8" i="13" s="1"/>
  <c r="K10" i="21"/>
  <c r="B32" i="14"/>
  <c r="M13" i="22"/>
  <c r="E18" i="13" s="1"/>
  <c r="E35" i="13" s="1"/>
  <c r="C35" i="13"/>
  <c r="C17" i="14"/>
  <c r="C29" i="14" s="1"/>
  <c r="J33" i="22"/>
  <c r="B9" i="14" s="1"/>
  <c r="J9" i="21"/>
  <c r="K33" i="22"/>
  <c r="C9" i="14" s="1"/>
  <c r="B17" i="14"/>
  <c r="K9" i="21"/>
  <c r="F33" i="22"/>
  <c r="E8" i="21"/>
  <c r="D29" i="14"/>
  <c r="B22" i="21"/>
  <c r="C8" i="13" l="1"/>
  <c r="B49" i="13"/>
  <c r="I17" i="10"/>
  <c r="J17" i="10" s="1"/>
  <c r="D12" i="13"/>
  <c r="D9" i="14"/>
  <c r="I27" i="10"/>
  <c r="J27" i="10" s="1"/>
  <c r="J29" i="10"/>
  <c r="B7" i="13"/>
  <c r="J40" i="21"/>
  <c r="K40" i="21"/>
  <c r="H41" i="21"/>
  <c r="G41" i="21"/>
  <c r="K41" i="21" s="1"/>
  <c r="I41" i="21"/>
  <c r="C14" i="14"/>
  <c r="J10" i="21"/>
  <c r="E17" i="14"/>
  <c r="E29" i="14" s="1"/>
  <c r="H34" i="21"/>
  <c r="I34" i="21" s="1"/>
  <c r="J26" i="21"/>
  <c r="J34" i="21" s="1"/>
  <c r="J41" i="21" s="1"/>
  <c r="G34" i="21"/>
  <c r="E32" i="14"/>
  <c r="E40" i="14" s="1"/>
  <c r="B40" i="14"/>
  <c r="D14" i="14"/>
  <c r="M33" i="22"/>
  <c r="E7" i="13" s="1"/>
  <c r="E12" i="13" s="1"/>
  <c r="B8" i="13"/>
  <c r="B10" i="14"/>
  <c r="E10" i="14" s="1"/>
  <c r="C7" i="13"/>
  <c r="C12" i="13" s="1"/>
  <c r="B29" i="14"/>
  <c r="E9" i="14"/>
  <c r="H8" i="21"/>
  <c r="H22" i="21" s="1"/>
  <c r="G8" i="21"/>
  <c r="E22" i="21"/>
  <c r="D43" i="21" l="1"/>
  <c r="I8" i="21"/>
  <c r="I22" i="21"/>
  <c r="K26" i="21"/>
  <c r="B12" i="13"/>
  <c r="B14" i="14"/>
  <c r="E14" i="14"/>
  <c r="K34" i="21"/>
  <c r="G22" i="21"/>
  <c r="G43" i="21" s="1"/>
  <c r="J8" i="21"/>
  <c r="J22" i="21" l="1"/>
  <c r="K22" i="21" s="1"/>
  <c r="K8" i="21"/>
</calcChain>
</file>

<file path=xl/comments1.xml><?xml version="1.0" encoding="utf-8"?>
<comments xmlns="http://schemas.openxmlformats.org/spreadsheetml/2006/main">
  <authors>
    <author>作者</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作者</author>
  </authors>
  <commentList>
    <comment ref="A35" authorId="0" shapeId="0">
      <text>
        <r>
          <rPr>
            <b/>
            <sz val="9"/>
            <color indexed="81"/>
            <rFont val="宋体"/>
            <family val="3"/>
            <charset val="134"/>
          </rPr>
          <t>作者:</t>
        </r>
        <r>
          <rPr>
            <sz val="9"/>
            <color indexed="81"/>
            <rFont val="宋体"/>
            <family val="3"/>
            <charset val="134"/>
          </rPr>
          <t xml:space="preserve">
1.检查资产负债表日至财务报表批准报出日之间职工薪酬发放情况；
2.关注期后支付的职工薪酬摘要、支付依据，是否应该归属于报告期、是否已计提</t>
        </r>
      </text>
    </comment>
    <comment ref="O36" authorId="0" shapeId="0">
      <text>
        <r>
          <rPr>
            <b/>
            <sz val="9"/>
            <color indexed="81"/>
            <rFont val="宋体"/>
            <family val="3"/>
            <charset val="134"/>
          </rPr>
          <t>作者:</t>
        </r>
        <r>
          <rPr>
            <sz val="9"/>
            <color indexed="81"/>
            <rFont val="宋体"/>
            <family val="3"/>
            <charset val="134"/>
          </rPr>
          <t xml:space="preserve">
关注期后支付的职工薪酬摘要是否提及上期、支付依据、支付金额是否超过上期计提金额，是否应该归属于报告期、是否已计提</t>
        </r>
      </text>
    </comment>
  </commentList>
</comments>
</file>

<file path=xl/sharedStrings.xml><?xml version="1.0" encoding="utf-8"?>
<sst xmlns="http://schemas.openxmlformats.org/spreadsheetml/2006/main" count="2596" uniqueCount="1370">
  <si>
    <t>复核人：</t>
  </si>
  <si>
    <t>C1</t>
  </si>
  <si>
    <t>Custom 1</t>
  </si>
  <si>
    <t>C2</t>
  </si>
  <si>
    <t>Custom 2</t>
  </si>
  <si>
    <t>C3</t>
  </si>
  <si>
    <t>Custom 3</t>
  </si>
  <si>
    <t>C4</t>
  </si>
  <si>
    <t>Custom 4</t>
  </si>
  <si>
    <t>C5</t>
  </si>
  <si>
    <t>Custom 5</t>
  </si>
  <si>
    <t>C6</t>
  </si>
  <si>
    <t>Custom 6</t>
  </si>
  <si>
    <t>C7</t>
  </si>
  <si>
    <t>Custom 7</t>
  </si>
  <si>
    <t>C8</t>
  </si>
  <si>
    <t>Custom 8</t>
  </si>
  <si>
    <r>
      <rPr>
        <sz val="10"/>
        <color indexed="8"/>
        <rFont val="宋体"/>
        <family val="3"/>
        <charset val="134"/>
      </rPr>
      <t>离职后福利</t>
    </r>
    <phoneticPr fontId="44" type="noConversion"/>
  </si>
  <si>
    <r>
      <rPr>
        <sz val="10"/>
        <color indexed="8"/>
        <rFont val="宋体"/>
        <family val="3"/>
        <charset val="134"/>
      </rPr>
      <t>其他长期职工福利</t>
    </r>
    <phoneticPr fontId="44" type="noConversion"/>
  </si>
  <si>
    <r>
      <t>2</t>
    </r>
    <r>
      <rPr>
        <sz val="10"/>
        <color theme="1"/>
        <rFont val="宋体"/>
        <family val="3"/>
        <charset val="134"/>
      </rPr>
      <t>．失业保险费</t>
    </r>
    <phoneticPr fontId="44" type="noConversion"/>
  </si>
  <si>
    <r>
      <t>3</t>
    </r>
    <r>
      <rPr>
        <sz val="10"/>
        <color theme="1"/>
        <rFont val="宋体"/>
        <family val="3"/>
        <charset val="134"/>
      </rPr>
      <t>．企业年金缴费</t>
    </r>
    <phoneticPr fontId="44" type="noConversion"/>
  </si>
  <si>
    <r>
      <t>4</t>
    </r>
    <r>
      <rPr>
        <sz val="10"/>
        <color theme="1"/>
        <rFont val="宋体"/>
        <family val="3"/>
        <charset val="134"/>
      </rPr>
      <t>．其他</t>
    </r>
    <phoneticPr fontId="44" type="noConversion"/>
  </si>
  <si>
    <r>
      <t>2</t>
    </r>
    <r>
      <rPr>
        <sz val="10"/>
        <color theme="1"/>
        <rFont val="宋体"/>
        <family val="3"/>
        <charset val="134"/>
      </rPr>
      <t>．其他</t>
    </r>
    <phoneticPr fontId="44" type="noConversion"/>
  </si>
  <si>
    <t>应付职工薪酬</t>
  </si>
  <si>
    <t>……</t>
  </si>
  <si>
    <t>……</t>
    <phoneticPr fontId="6" type="noConversion"/>
  </si>
  <si>
    <t>确定会计处理是否符合企业会计准则的规定。</t>
  </si>
  <si>
    <r>
      <rPr>
        <b/>
        <sz val="10"/>
        <rFont val="宋体"/>
        <family val="3"/>
        <charset val="134"/>
      </rPr>
      <t>差异</t>
    </r>
    <phoneticPr fontId="6" type="noConversion"/>
  </si>
  <si>
    <t>对于自愿接受裁减的建议，检查按接受裁减建议的预计职工数量、辞退补偿标准（该标准确定）等计提辞退福利负债金额是否正确</t>
  </si>
  <si>
    <t>识别辞退福利中是否包含未予辞退的员工；检查其工资薪酬是否已经恰当计入相关费用。</t>
  </si>
  <si>
    <t>检查辞退福利支付凭证是否真实正确</t>
  </si>
  <si>
    <t xml:space="preserve">   </t>
    <phoneticPr fontId="6" type="noConversion"/>
  </si>
  <si>
    <t>B21</t>
    <phoneticPr fontId="6" type="noConversion"/>
  </si>
  <si>
    <t>C25</t>
    <phoneticPr fontId="6" type="noConversion"/>
  </si>
  <si>
    <t>……</t>
    <phoneticPr fontId="6" type="noConversion"/>
  </si>
  <si>
    <t>A</t>
    <phoneticPr fontId="43" type="noConversion"/>
  </si>
  <si>
    <t>B</t>
    <phoneticPr fontId="43" type="noConversion"/>
  </si>
  <si>
    <t>C</t>
    <phoneticPr fontId="43" type="noConversion"/>
  </si>
  <si>
    <t>D</t>
    <phoneticPr fontId="43" type="noConversion"/>
  </si>
  <si>
    <t>存在</t>
  </si>
  <si>
    <t>完整性</t>
  </si>
  <si>
    <t>权利和义务</t>
  </si>
  <si>
    <t>列报与披露</t>
  </si>
  <si>
    <t>审计目标</t>
    <phoneticPr fontId="6" type="noConversion"/>
  </si>
  <si>
    <t>二</t>
    <phoneticPr fontId="6" type="noConversion"/>
  </si>
  <si>
    <t>应付职工薪酬</t>
    <phoneticPr fontId="44" type="noConversion"/>
  </si>
  <si>
    <t>1</t>
    <phoneticPr fontId="44" type="noConversion"/>
  </si>
  <si>
    <t>2</t>
    <phoneticPr fontId="44" type="noConversion"/>
  </si>
  <si>
    <t>3</t>
  </si>
  <si>
    <t>4</t>
  </si>
  <si>
    <t>7</t>
  </si>
  <si>
    <t>8</t>
  </si>
  <si>
    <t>9</t>
  </si>
  <si>
    <t>10</t>
  </si>
  <si>
    <t>5</t>
  </si>
  <si>
    <t>6</t>
  </si>
  <si>
    <t>检查应付职工薪酬的期后付款情况，并关注在资产负债表日至财务报表批准报出日之间，是否有确凿证据表明需要调整资产负债表日原确认的应付职工薪酬事项；</t>
  </si>
  <si>
    <t>针对识别的其他舞弊风险等因素增加的审计程序。</t>
  </si>
  <si>
    <t>确定需在财务报表中单独披露的信息已被记录。</t>
  </si>
  <si>
    <t>编制人：</t>
  </si>
  <si>
    <t>编制日期：</t>
  </si>
  <si>
    <t>复核日期：</t>
  </si>
  <si>
    <t>J1A</t>
    <phoneticPr fontId="6" type="noConversion"/>
  </si>
  <si>
    <t>J1-1</t>
    <phoneticPr fontId="6" type="noConversion"/>
  </si>
  <si>
    <t>J1-2</t>
    <phoneticPr fontId="6" type="noConversion"/>
  </si>
  <si>
    <t>11</t>
  </si>
  <si>
    <t>13</t>
  </si>
  <si>
    <t>14</t>
  </si>
  <si>
    <t>15</t>
  </si>
  <si>
    <t>16</t>
  </si>
  <si>
    <t>17</t>
  </si>
  <si>
    <t>对于上期期末各职工薪酬账户，确定采用的会计政策和程序是适当的。
同时获得、审阅并测试：
（1）支持薪酬计提的列表。
（2）重大薪酬计提的支持性文件。
（3）发行在外的股票期权的清单。</t>
  </si>
  <si>
    <t>对应付职工薪酬执行分析程序：
（1）将本期工资费用与上期工资费用总额进行比较。
（2）结合被审计单位员工人数的变动情况对各部门各月工资费用的发生额进行比较。
（3）针对IPO企业，分析企业报告期人均工资（分部门、地区或产品线）是否与同地区同行业的水平一致。特别关注劳务派遣是否符合规定、是否滥用以规避一线工人。
（4）针对IPO企业，取得企业员工名册与报告期工资计提和发放金额，分析各部门人员构成（级别）及其变化是否合理、人数是否与企业规模一致，核对财务报表有关披露（如现金流量表披露、关键管理人员薪酬披露）的真实性与一致性。
……</t>
  </si>
  <si>
    <t>检查应付职工薪酬本期计提金额：
（1）获取工资计算表、工资标准及相关规定。
（2）对按照职工提供服务情况和工资标准计算的职工薪酬（如工资），选取样本进行重新计算。
（3）对国家规定了计提基础和计提比例的职工薪酬（如失业保险金、工伤保险金等），检查是否按照规定的计提基础和比例计提。
（4）对被审计单位按照历史经验数据和当期计划预计的职工薪酬（如职工福利费），获取管理层进行估计的资料，分析其合理性。
（5）确定上次支付日期与资产负债报表日期间的天数。	
（6）通过确定平均日工资费用并将其应用到应计提的天数，以形成应计工资费用的预期值并与已记录的金额对比。</t>
  </si>
  <si>
    <t xml:space="preserve">检查应付职工薪酬的确认，与生产成本、制造费用、在建工程等相关账项进行核对：
（1）确定会计处理是否符合企业会计准则的规定。
（2）分析计入成本、费用的工资薪金，关注构成是否异常变化、各月之间波动有无异常，如果异常降低，关注是否存在其他方（如关联方）代付工资的情况。	</t>
  </si>
  <si>
    <t>对于本期计提和支付的重大奖金、佣金、利润分享福利及其他易于导致错报的职工薪酬项目，应当：
（1）了解相关计提政策、审批流程的设计与执行有效性。
（2）获取相关项目的支持性文件。
（3）验证计提依据是否充分、合理，是否达到计提和付款条件。
（4）核对计算的准确性和完整性。
（5）对异常波动、异常支付对象等进行分析。
（6）对于尚未支付的项目，确定该项负债是否被正确计算。
（7）执行截止测试，追踪至后续付款。</t>
  </si>
  <si>
    <t>对于非货币性福利：
（1）取得非货币性福利的明细表。
（2）复核加计是否正确。
（3）与总账核对是否相符。
（4）确定该福利是否满足确认为负债的标准。
（5）确定负债的计算是否合理。</t>
  </si>
  <si>
    <t>对于辞退福利福利：
（1）取得辞退福利的明细表。
（2）复核加计是否正确。
（3）与总账核对是否相符。
（4）确定该福利是否满足确认为负债的标准。
（5）确定负债的计算是否合理。
（6）对于职工没有选择权的辞退计划，检查按辞退职工数量、辞退补偿标准计提辞退福利负债金额是否正确。
（7）对于自愿接受裁减的建议，检查按接受裁减建议的预计职工数量、辞退补偿标准（该标准确定）等计提辞退福利负债金额是否正确。	
（8）识别辞退福利中是否包含未予辞退的员工，检查其工资薪酬是否已经恰当计入相关费用。	
（9）检查辞退福利支付凭证是否真实正确。</t>
  </si>
  <si>
    <t xml:space="preserve">对于股份支付：
（1）取得股份支付的明细表。
（2）复核加计是否正确。
（3）与总账核对是否相符。
（4）确定企业是否有政策限制该股份支付薪酬奖励发行的日期。
（5）对新的或修改的股份支付进行分析：
①确定包括在分析中的所有个人都是雇员或其他提供类似服务的人员。	
②将新的股份支付薪酬奖励与董事会会议纪录或其它授权文件相比较。确定是否存在董事会会议记录或其他文件中提及的股份支付薪酬奖励尚未包含在上面的分析之内。如果是，获取该股份支付相关支持性文件，并确定该遗漏是否适当。	
③是否已适当地确认对现有的股份支付薪酬奖励的修改（如有修改）。
（6）选取样本（如需要）：
①取得合同及其他支持性文件。	
②确认主要条款及条件与股份支付薪酬工具是否一致（授予日期、期权的价格、股数、行使日期等）。	
③确定是否授权日与行权日之间存在重大时间间隔，如果有，向适当的人员询问原因。	
（7）根据该股份支付薪酬奖励的条款和条件，确定其分类（如分类为权益结算、现金结算、或者二者结合）适当，并判断所采用的会计处理是否能恰当地反映这种分类。
（8）确定是否需要聘请估值专家，以协助评价：企业的专家（无论其是第三方还是内部员工）对该工具估值的工作。完成“专家资质”和“专家工作”的审计程序，以评估估值专家（无论其是第三方还是内部员工）的资质及其工作。
	</t>
  </si>
  <si>
    <t xml:space="preserve">使用员工或工资花名册，执行下列程序：
（1）识别公司是否存在未代扣税金或养老金的员工。
（2）分析有重复地址或无地址的员工信息、社保号码、员工编号或银行账号。	
（3）审查社会保险号的有效性。	
（4）识别享有过高的工资单价、薪酬总额或加班时间过多的雇员。	
（5）识别辞退福利中是否包含未予辞退的员工。检查其工资薪酬是否已经恰当计入相关费用。	
（6）调查例外情况，并与适当的人员讨论。	</t>
  </si>
  <si>
    <t xml:space="preserve">执行下列审计程序，检查企业是否存在压低员工薪金，阶段性降低人工成本粉饰业绩的情况：	
（1）将企业在册员工名单与实际工时记录（打卡、考勤记录等）比较，核查是否存在有工时记录，但不属于在册员工，未在企业发放工资的情况。	
（2）根据企业的薪酬政策，测算每月工资总额及人均工资（分部门、地区或产品线），与企业的实际计提金额对比，分析合理性，并关注报告期是否存在降低的趋势。	
（3）访谈企业一般销售人员、研发人员、管理人员、车间人员，了解是否存在暂时压低员工薪金，期后补偿的协议或承诺。	</t>
  </si>
  <si>
    <r>
      <rPr>
        <b/>
        <sz val="10"/>
        <rFont val="宋体"/>
        <family val="3"/>
        <charset val="134"/>
      </rPr>
      <t>时间</t>
    </r>
    <phoneticPr fontId="6" type="noConversion"/>
  </si>
  <si>
    <r>
      <rPr>
        <b/>
        <sz val="10"/>
        <rFont val="宋体"/>
        <family val="3"/>
        <charset val="134"/>
      </rPr>
      <t>股份支付总人数</t>
    </r>
    <phoneticPr fontId="6" type="noConversion"/>
  </si>
  <si>
    <r>
      <rPr>
        <b/>
        <sz val="10"/>
        <rFont val="宋体"/>
        <family val="3"/>
        <charset val="134"/>
      </rPr>
      <t>离职人数</t>
    </r>
    <phoneticPr fontId="6" type="noConversion"/>
  </si>
  <si>
    <r>
      <rPr>
        <b/>
        <sz val="10"/>
        <rFont val="宋体"/>
        <family val="3"/>
        <charset val="134"/>
      </rPr>
      <t>行权人数</t>
    </r>
    <phoneticPr fontId="6" type="noConversion"/>
  </si>
  <si>
    <r>
      <rPr>
        <b/>
        <sz val="10"/>
        <rFont val="宋体"/>
        <family val="3"/>
        <charset val="134"/>
      </rPr>
      <t>每人获得的股份数量</t>
    </r>
    <phoneticPr fontId="6" type="noConversion"/>
  </si>
  <si>
    <r>
      <rPr>
        <b/>
        <sz val="10"/>
        <rFont val="宋体"/>
        <family val="3"/>
        <charset val="134"/>
      </rPr>
      <t>连续服务年限</t>
    </r>
    <phoneticPr fontId="6" type="noConversion"/>
  </si>
  <si>
    <r>
      <rPr>
        <b/>
        <sz val="10"/>
        <rFont val="宋体"/>
        <family val="3"/>
        <charset val="134"/>
      </rPr>
      <t>测算应付职工薪酬金额</t>
    </r>
    <phoneticPr fontId="6" type="noConversion"/>
  </si>
  <si>
    <r>
      <rPr>
        <b/>
        <sz val="10"/>
        <rFont val="宋体"/>
        <family val="3"/>
        <charset val="134"/>
      </rPr>
      <t>账面应付职工薪酬金额</t>
    </r>
    <phoneticPr fontId="6" type="noConversion"/>
  </si>
  <si>
    <r>
      <rPr>
        <b/>
        <sz val="10"/>
        <rFont val="宋体"/>
        <family val="3"/>
        <charset val="134"/>
      </rPr>
      <t>支付现金金额</t>
    </r>
    <phoneticPr fontId="6" type="noConversion"/>
  </si>
  <si>
    <r>
      <t xml:space="preserve">     </t>
    </r>
    <r>
      <rPr>
        <sz val="10"/>
        <color rgb="FF0000FF"/>
        <rFont val="宋体"/>
        <family val="3"/>
        <charset val="134"/>
      </rPr>
      <t>是否以可行权情况的最佳估计为基础，按照承担负债的公允价值金额，将当期取得的服务计入成本或费用。在资产负债表日，</t>
    </r>
  </si>
  <si>
    <r>
      <t xml:space="preserve">     </t>
    </r>
    <r>
      <rPr>
        <sz val="10"/>
        <color rgb="FF0000FF"/>
        <rFont val="宋体"/>
        <family val="3"/>
        <charset val="134"/>
      </rPr>
      <t>后续信息表明当期承担债务的公允价值与以前估计不同的，是否进行调整。并在可行权日，调整至实际可行权水平；</t>
    </r>
  </si>
  <si>
    <t>J1-10</t>
    <phoneticPr fontId="26" type="noConversion"/>
  </si>
  <si>
    <t>J1-11</t>
    <phoneticPr fontId="43" type="noConversion"/>
  </si>
  <si>
    <t>J1-12</t>
    <phoneticPr fontId="6" type="noConversion"/>
  </si>
  <si>
    <t>J1-3</t>
    <phoneticPr fontId="6" type="noConversion"/>
  </si>
  <si>
    <t>（2）离职后福利中设定提存计划、其他长期福利中符合设定提存条件的负债</t>
    <phoneticPr fontId="44" type="noConversion"/>
  </si>
  <si>
    <r>
      <rPr>
        <b/>
        <sz val="10"/>
        <rFont val="宋体"/>
        <family val="3"/>
        <charset val="134"/>
      </rPr>
      <t>致同会计师事务所</t>
    </r>
  </si>
  <si>
    <r>
      <rPr>
        <b/>
        <sz val="12"/>
        <rFont val="宋体"/>
        <family val="3"/>
        <charset val="134"/>
        <scheme val="minor"/>
      </rPr>
      <t>应付职工薪酬</t>
    </r>
    <r>
      <rPr>
        <b/>
        <sz val="12"/>
        <rFont val="宋体"/>
        <family val="3"/>
        <charset val="134"/>
      </rPr>
      <t>实质性程序</t>
    </r>
    <phoneticPr fontId="6" type="noConversion"/>
  </si>
  <si>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</si>
  <si>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phoneticPr fontId="44" type="noConversion"/>
  </si>
  <si>
    <r>
      <rPr>
        <b/>
        <sz val="10"/>
        <rFont val="宋体"/>
        <family val="3"/>
        <charset val="134"/>
      </rPr>
      <t>一、本循环涉及的报表账户</t>
    </r>
  </si>
  <si>
    <r>
      <rPr>
        <sz val="10"/>
        <color rgb="FF000000"/>
        <rFont val="宋体"/>
        <family val="3"/>
        <charset val="134"/>
      </rPr>
      <t>应付职工薪酬</t>
    </r>
    <phoneticPr fontId="44" type="noConversion"/>
  </si>
  <si>
    <r>
      <rPr>
        <b/>
        <sz val="10"/>
        <rFont val="宋体"/>
        <family val="3"/>
        <charset val="134"/>
      </rPr>
      <t>二、重大错报风险需从实质性程序获取的保证程度</t>
    </r>
    <phoneticPr fontId="6" type="noConversion"/>
  </si>
  <si>
    <r>
      <rPr>
        <b/>
        <sz val="10"/>
        <rFont val="宋体"/>
        <family val="3"/>
        <charset val="134"/>
      </rPr>
      <t>根据风险评估和内控测试的结果按下列顺序作出判断：</t>
    </r>
    <phoneticPr fontId="6" type="noConversion"/>
  </si>
  <si>
    <r>
      <rPr>
        <b/>
        <sz val="10"/>
        <rFont val="宋体"/>
        <family val="3"/>
        <charset val="134"/>
      </rPr>
      <t>财务报表的认定　</t>
    </r>
  </si>
  <si>
    <r>
      <rPr>
        <b/>
        <sz val="10"/>
        <rFont val="宋体"/>
        <family val="3"/>
        <charset val="134"/>
      </rPr>
      <t>说明</t>
    </r>
    <phoneticPr fontId="6" type="noConversion"/>
  </si>
  <si>
    <r>
      <rPr>
        <b/>
        <sz val="10"/>
        <rFont val="宋体"/>
        <family val="3"/>
        <charset val="134"/>
      </rPr>
      <t>索引号</t>
    </r>
    <phoneticPr fontId="6" type="noConversion"/>
  </si>
  <si>
    <t>计价和分摊</t>
    <phoneticPr fontId="43" type="noConversion"/>
  </si>
  <si>
    <r>
      <t>A</t>
    </r>
    <r>
      <rPr>
        <sz val="10"/>
        <rFont val="宋体"/>
        <family val="2"/>
        <charset val="134"/>
      </rPr>
      <t>资产负债表中记录的应付职工薪酬是存在的。</t>
    </r>
    <phoneticPr fontId="6" type="noConversion"/>
  </si>
  <si>
    <t>√</t>
  </si>
  <si>
    <r>
      <t>B</t>
    </r>
    <r>
      <rPr>
        <sz val="10"/>
        <rFont val="宋体"/>
        <family val="2"/>
        <charset val="134"/>
      </rPr>
      <t>所有应当记录的应付职工薪酬均已记录。</t>
    </r>
    <phoneticPr fontId="6" type="noConversion"/>
  </si>
  <si>
    <r>
      <t>C</t>
    </r>
    <r>
      <rPr>
        <sz val="10"/>
        <rFont val="宋体"/>
        <family val="2"/>
        <charset val="134"/>
      </rPr>
      <t>记录的应付职工薪酬是被审计单位应当履行的现时义务。</t>
    </r>
    <phoneticPr fontId="6" type="noConversion"/>
  </si>
  <si>
    <r>
      <t>D</t>
    </r>
    <r>
      <rPr>
        <sz val="10"/>
        <rFont val="宋体"/>
        <family val="2"/>
        <charset val="134"/>
      </rPr>
      <t>应付职工薪酬以恰当的金额包括在财务报表中，与之相关的计价调整已恰当记录。</t>
    </r>
    <phoneticPr fontId="87" type="noConversion"/>
  </si>
  <si>
    <r>
      <t>E</t>
    </r>
    <r>
      <rPr>
        <sz val="10"/>
        <rFont val="宋体"/>
        <family val="2"/>
        <charset val="134"/>
      </rPr>
      <t>应付职工薪酬已按照企业会计准则的规定在财务报表中作出恰当列报和披露。</t>
    </r>
    <phoneticPr fontId="87" type="noConversion"/>
  </si>
  <si>
    <r>
      <rPr>
        <b/>
        <sz val="10"/>
        <rFont val="宋体"/>
        <family val="3"/>
        <charset val="134"/>
      </rPr>
      <t>三、计划实施的实质性程序</t>
    </r>
    <phoneticPr fontId="6" type="noConversion"/>
  </si>
  <si>
    <r>
      <rPr>
        <b/>
        <sz val="10"/>
        <rFont val="宋体"/>
        <family val="3"/>
        <charset val="134"/>
      </rPr>
      <t>序号</t>
    </r>
    <phoneticPr fontId="6" type="noConversion"/>
  </si>
  <si>
    <r>
      <rPr>
        <b/>
        <sz val="10"/>
        <rFont val="宋体"/>
        <family val="3"/>
        <charset val="134"/>
      </rPr>
      <t>审计程序</t>
    </r>
  </si>
  <si>
    <r>
      <rPr>
        <b/>
        <sz val="10"/>
        <rFont val="宋体"/>
        <family val="3"/>
        <charset val="134"/>
      </rPr>
      <t>程序分类</t>
    </r>
    <phoneticPr fontId="6" type="noConversion"/>
  </si>
  <si>
    <r>
      <rPr>
        <b/>
        <sz val="10"/>
        <rFont val="宋体"/>
        <family val="3"/>
        <charset val="134"/>
      </rPr>
      <t>执行情况说明
（含底稿索引）</t>
    </r>
    <phoneticPr fontId="6" type="noConversion"/>
  </si>
  <si>
    <t>一</t>
    <phoneticPr fontId="87" type="noConversion"/>
  </si>
  <si>
    <t>编制审定表</t>
  </si>
  <si>
    <t>常规★</t>
    <phoneticPr fontId="87" type="noConversion"/>
  </si>
  <si>
    <t>B</t>
    <phoneticPr fontId="87" type="noConversion"/>
  </si>
  <si>
    <t>L1</t>
    <phoneticPr fontId="87" type="noConversion"/>
  </si>
  <si>
    <t>获取或编制应付职工薪酬明细表，复核加计是否正确，与总账、明细账合计数核对是否相符，并编制审定表。</t>
    <phoneticPr fontId="43" type="noConversion"/>
  </si>
  <si>
    <t>获取或编制应付职工薪酬明细表。</t>
    <phoneticPr fontId="43" type="noConversion"/>
  </si>
  <si>
    <t>D</t>
    <phoneticPr fontId="87" type="noConversion"/>
  </si>
  <si>
    <t>L1-2</t>
    <phoneticPr fontId="87" type="noConversion"/>
  </si>
  <si>
    <t>1</t>
    <phoneticPr fontId="87" type="noConversion"/>
  </si>
  <si>
    <t>确定计算的准确性。</t>
    <phoneticPr fontId="43" type="noConversion"/>
  </si>
  <si>
    <r>
      <rPr>
        <sz val="10"/>
        <color theme="1"/>
        <rFont val="宋体"/>
        <family val="3"/>
        <charset val="134"/>
      </rPr>
      <t>应付职工薪酬</t>
    </r>
    <phoneticPr fontId="44" type="noConversion"/>
  </si>
  <si>
    <t>2</t>
    <phoneticPr fontId="87" type="noConversion"/>
  </si>
  <si>
    <t>将总金额与总账、明细账合计数核对相符</t>
  </si>
  <si>
    <r>
      <rPr>
        <b/>
        <sz val="10"/>
        <rFont val="宋体"/>
        <family val="3"/>
        <charset val="134"/>
      </rPr>
      <t>三</t>
    </r>
    <phoneticPr fontId="6" type="noConversion"/>
  </si>
  <si>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phoneticPr fontId="44" type="noConversion"/>
  </si>
  <si>
    <t>T1</t>
    <phoneticPr fontId="87" type="noConversion"/>
  </si>
  <si>
    <r>
      <rPr>
        <sz val="10"/>
        <color theme="1"/>
        <rFont val="宋体"/>
        <family val="2"/>
        <charset val="134"/>
      </rPr>
      <t>在使用被审计单位生成的信息（</t>
    </r>
    <r>
      <rPr>
        <sz val="10"/>
        <color theme="1"/>
        <rFont val="Arial Narrow"/>
        <family val="2"/>
      </rPr>
      <t>IPE</t>
    </r>
    <r>
      <rPr>
        <sz val="10"/>
        <color theme="1"/>
        <rFont val="宋体"/>
        <family val="2"/>
        <charset val="134"/>
      </rPr>
      <t>）时，应当评价该信息对实现审计目的是否足够可靠。
根据具体情况在必要时获取有关信息准确性和完整性的审计证据、评价信息对实现审计目的是否足够准确和详细。</t>
    </r>
    <phoneticPr fontId="43" type="noConversion"/>
  </si>
  <si>
    <t>1</t>
    <phoneticPr fontId="6" type="noConversion"/>
  </si>
  <si>
    <t>获取有关信息准确性和完整性的审计证据。</t>
    <phoneticPr fontId="6" type="noConversion"/>
  </si>
  <si>
    <t>2</t>
    <phoneticPr fontId="6" type="noConversion"/>
  </si>
  <si>
    <t>评价信息对实现审计目的是否足够准确和详细。</t>
    <phoneticPr fontId="6" type="noConversion"/>
  </si>
  <si>
    <t>四</t>
    <phoneticPr fontId="87" type="noConversion"/>
  </si>
  <si>
    <r>
      <rPr>
        <b/>
        <sz val="10"/>
        <color theme="1"/>
        <rFont val="微软雅黑"/>
        <family val="2"/>
        <charset val="134"/>
      </rPr>
      <t>对于上期期末各职工薪酬账户：</t>
    </r>
    <r>
      <rPr>
        <b/>
        <sz val="10"/>
        <color theme="1"/>
        <rFont val="Arial Narrow"/>
        <family val="2"/>
      </rPr>
      <t xml:space="preserve"> </t>
    </r>
    <phoneticPr fontId="87" type="noConversion"/>
  </si>
  <si>
    <t>备选</t>
    <phoneticPr fontId="87" type="noConversion"/>
  </si>
  <si>
    <t>确定采用的会计政策和程序是适当的。</t>
    <phoneticPr fontId="43" type="noConversion"/>
  </si>
  <si>
    <r>
      <rPr>
        <sz val="10"/>
        <color theme="1"/>
        <rFont val="宋体"/>
        <family val="3"/>
        <charset val="134"/>
      </rPr>
      <t>备选</t>
    </r>
    <phoneticPr fontId="87" type="noConversion"/>
  </si>
  <si>
    <t>获得并审阅支持薪酬计提的列表。</t>
    <phoneticPr fontId="43" type="noConversion"/>
  </si>
  <si>
    <t>3</t>
    <phoneticPr fontId="87" type="noConversion"/>
  </si>
  <si>
    <t>测试重大薪酬计提的支持性文件。</t>
    <phoneticPr fontId="43" type="noConversion"/>
  </si>
  <si>
    <t>4</t>
    <phoneticPr fontId="87" type="noConversion"/>
  </si>
  <si>
    <t>获取发行在外的股票期权的清单，并测试与其支持文件跟踪核对一致。</t>
    <phoneticPr fontId="43" type="noConversion"/>
  </si>
  <si>
    <t>五</t>
    <phoneticPr fontId="87" type="noConversion"/>
  </si>
  <si>
    <t>执行分析程序，以确定可能需要执行以下额外审计程序的工资薪酬事项：</t>
    <phoneticPr fontId="43" type="noConversion"/>
  </si>
  <si>
    <t>ABD</t>
    <phoneticPr fontId="87" type="noConversion"/>
  </si>
  <si>
    <r>
      <t>L1-3-1</t>
    </r>
    <r>
      <rPr>
        <sz val="10"/>
        <color theme="1"/>
        <rFont val="宋体"/>
        <family val="3"/>
        <charset val="134"/>
      </rPr>
      <t>、</t>
    </r>
    <r>
      <rPr>
        <sz val="10"/>
        <color theme="1"/>
        <rFont val="Arial Narrow"/>
        <family val="2"/>
      </rPr>
      <t>L1-3-2</t>
    </r>
    <phoneticPr fontId="87" type="noConversion"/>
  </si>
  <si>
    <t>将本期工资费用与上期工资费用总额进行比较</t>
    <phoneticPr fontId="43" type="noConversion"/>
  </si>
  <si>
    <t>结合被审计单位员工人数的变动情况对各部门各月工资费用的发生额进行比较</t>
    <phoneticPr fontId="43" type="noConversion"/>
  </si>
  <si>
    <r>
      <rPr>
        <sz val="10"/>
        <color theme="1"/>
        <rFont val="微软雅黑"/>
        <family val="2"/>
        <charset val="134"/>
      </rPr>
      <t>针对</t>
    </r>
    <r>
      <rPr>
        <sz val="10"/>
        <color theme="1"/>
        <rFont val="Arial Narrow"/>
        <family val="2"/>
      </rPr>
      <t>IPO</t>
    </r>
    <r>
      <rPr>
        <sz val="10"/>
        <color theme="1"/>
        <rFont val="微软雅黑"/>
        <family val="2"/>
        <charset val="134"/>
      </rPr>
      <t>企业，分析企业报告期人均工资（分部门、地区或产品线）是否与同地区同行业的水平一致；特别关注劳务派遣是否符合规定、是否滥用以规避一线工人</t>
    </r>
    <phoneticPr fontId="43" type="noConversion"/>
  </si>
  <si>
    <t>IPO/上市公司</t>
    <phoneticPr fontId="87" type="noConversion"/>
  </si>
  <si>
    <r>
      <rPr>
        <sz val="10"/>
        <color theme="1"/>
        <rFont val="微软雅黑"/>
        <family val="2"/>
        <charset val="134"/>
      </rPr>
      <t>针对</t>
    </r>
    <r>
      <rPr>
        <sz val="10"/>
        <color theme="1"/>
        <rFont val="Arial Narrow"/>
        <family val="2"/>
      </rPr>
      <t>IPO</t>
    </r>
    <r>
      <rPr>
        <sz val="10"/>
        <color theme="1"/>
        <rFont val="微软雅黑"/>
        <family val="2"/>
        <charset val="134"/>
      </rPr>
      <t>企业，取得企业员工名册与报告期工资计提和发放金额，分析各部门人员构成（级别）及其变化是否合理、人数是否与企业规模一致，核对财务报表有关披露（如现金流量表披露、关键管理人员薪酬披露）的真实性与一</t>
    </r>
    <phoneticPr fontId="43" type="noConversion"/>
  </si>
  <si>
    <t>六</t>
    <phoneticPr fontId="87" type="noConversion"/>
  </si>
  <si>
    <t>用下列方式分析性复核应计工资。例如：</t>
  </si>
  <si>
    <t>常规</t>
    <phoneticPr fontId="87" type="noConversion"/>
  </si>
  <si>
    <t>ABCD</t>
    <phoneticPr fontId="87" type="noConversion"/>
  </si>
  <si>
    <t>确定上次支付日期与资产负债报表日期间的天数。</t>
    <phoneticPr fontId="43" type="noConversion"/>
  </si>
  <si>
    <t>通过确定平均日工资费用并将其应用到应计提的天数，以形成应计工资费用的预期值。</t>
  </si>
  <si>
    <t>与已记录的金额对比。</t>
  </si>
  <si>
    <t>如果有，调查未被解释的差异。</t>
  </si>
  <si>
    <t>七</t>
    <phoneticPr fontId="87" type="noConversion"/>
  </si>
  <si>
    <t>检查应付职工薪酬本期计提金额：</t>
    <phoneticPr fontId="43" type="noConversion"/>
  </si>
  <si>
    <t>L1-4-1</t>
    <phoneticPr fontId="87" type="noConversion"/>
  </si>
  <si>
    <t>对按照职工提供服务情况和工资标准计算的职工薪酬（如工资），获取工资计算表，将工资标准与有关规定进行核对，选取样本进行测试。</t>
  </si>
  <si>
    <t>对国家规定了计提基础和计提比例的职工薪酬（如失业保险金、工伤保险金等），检查是否按照规定的计提基础和比例计提。</t>
  </si>
  <si>
    <t>对被审计单位按照历史经验数据和当期计划预计的职工薪酬（如职工福利费），获取管理层进行估计的资料，分析其合理性。</t>
  </si>
  <si>
    <t>八</t>
    <phoneticPr fontId="87" type="noConversion"/>
  </si>
  <si>
    <t>检查应付职工薪酬的确认，与生产成本、制造费用、在建工程等相关账项进行核对：</t>
    <phoneticPr fontId="43" type="noConversion"/>
  </si>
  <si>
    <t>L1-4-2</t>
    <phoneticPr fontId="87" type="noConversion"/>
  </si>
  <si>
    <t>分析计入成本、费用的工资薪金，关注构成是否异常变化、各月之间波动有无异常，如果异常降低，关注是否存在其他方（如关联方）代付工资的情况；</t>
    <phoneticPr fontId="43" type="noConversion"/>
  </si>
  <si>
    <t>九</t>
    <phoneticPr fontId="87" type="noConversion"/>
  </si>
  <si>
    <t>获取本期支付的奖金和佣金或其他易于导致错报的职工薪酬项目的明细表。</t>
    <phoneticPr fontId="43" type="noConversion"/>
  </si>
  <si>
    <t>核对重大异常项目的支持性文件。</t>
    <phoneticPr fontId="43" type="noConversion"/>
  </si>
  <si>
    <t>十</t>
    <phoneticPr fontId="87" type="noConversion"/>
  </si>
  <si>
    <t>取得非货币性福利的明细表</t>
    <phoneticPr fontId="43" type="noConversion"/>
  </si>
  <si>
    <t>L1-4-3</t>
    <phoneticPr fontId="87" type="noConversion"/>
  </si>
  <si>
    <t>与总账核对一致。</t>
    <phoneticPr fontId="43" type="noConversion"/>
  </si>
  <si>
    <t>确定该福利是否满足确认为负债的标准。</t>
    <phoneticPr fontId="43" type="noConversion"/>
  </si>
  <si>
    <t>确定负债的计算是否合理。</t>
    <phoneticPr fontId="43" type="noConversion"/>
  </si>
  <si>
    <t>十一</t>
    <phoneticPr fontId="87" type="noConversion"/>
  </si>
  <si>
    <t>取得辞退福利的明细表</t>
    <phoneticPr fontId="43" type="noConversion"/>
  </si>
  <si>
    <t>L1-4-4</t>
    <phoneticPr fontId="87" type="noConversion"/>
  </si>
  <si>
    <t>确定计算的准确性。</t>
  </si>
  <si>
    <t>与总账核对一致。</t>
  </si>
  <si>
    <t>确定该福利是否满足确认为负债的标准。</t>
  </si>
  <si>
    <t>确定负债的计算是否合理。</t>
  </si>
  <si>
    <t>5</t>
    <phoneticPr fontId="87" type="noConversion"/>
  </si>
  <si>
    <t>对于职工没有选择权的辞退计划，检查按辞退职工数量、辞退补偿标准计提辞退福利负债金额是否正确</t>
    <phoneticPr fontId="43" type="noConversion"/>
  </si>
  <si>
    <t>6</t>
    <phoneticPr fontId="87" type="noConversion"/>
  </si>
  <si>
    <t>7</t>
    <phoneticPr fontId="87" type="noConversion"/>
  </si>
  <si>
    <t>8</t>
    <phoneticPr fontId="87" type="noConversion"/>
  </si>
  <si>
    <t>十二</t>
    <phoneticPr fontId="87" type="noConversion"/>
  </si>
  <si>
    <t>对于带薪休假：</t>
    <phoneticPr fontId="43" type="noConversion"/>
  </si>
  <si>
    <t>L1-5</t>
    <phoneticPr fontId="44" type="noConversion"/>
  </si>
  <si>
    <t xml:space="preserve">对于带薪休假：
（1）确定所有员工均包含在列表中。	
（2）确定企业确认带薪休假的方法是否正确。	
（3）识别总体中的关键项目。	
（4）使用样本计算器从剩余的总体中，设计样本以确定需测试项目的数量。	
（5）将小时工资费用率与相关的记录核对。
（6）选取样本进行检查，使用样本评价工具，将错报推断到总体：	
①确定样本所达到的精准程度是否能为此程序提供预期程度的保证。	
②确定是否需要追加程序，包括是否需要重新确定总体。	
③在未更正错报汇总表中记录推断的总体错报。
（7）向适当的人员报告未解决的差异。	</t>
    <phoneticPr fontId="43" type="noConversion"/>
  </si>
  <si>
    <t>确定所有员工均包含在列表中。</t>
    <phoneticPr fontId="43" type="noConversion"/>
  </si>
  <si>
    <t>确定企业确认带薪休假的方法是否正确。</t>
  </si>
  <si>
    <t>识别总体中的关键项目。</t>
  </si>
  <si>
    <t>使用样本计算器从剩余的总体中，设计样本以确定需测试项目的数量。</t>
  </si>
  <si>
    <t>采用适当选样方法选取%S的项</t>
  </si>
  <si>
    <t>将小时工资费用率与相关的记录核对。</t>
  </si>
  <si>
    <t>向适当的人员报告未解决的差异。</t>
  </si>
  <si>
    <t>使用样本评价工具，将错报推断到总体。</t>
  </si>
  <si>
    <t>（1）</t>
    <phoneticPr fontId="87" type="noConversion"/>
  </si>
  <si>
    <t>确定样本所达到的精准程度是否能为此程序提供预期程度的保证。</t>
  </si>
  <si>
    <t>（2）</t>
  </si>
  <si>
    <t>确定是否需要追加程序，包括是否需要重新确定总体。</t>
  </si>
  <si>
    <t>（3）</t>
  </si>
  <si>
    <t>在未更正错报汇总表中记录推断的总体错报。</t>
  </si>
  <si>
    <t>十三</t>
    <phoneticPr fontId="87" type="noConversion"/>
  </si>
  <si>
    <t>对于奖金或者利润分享福利：</t>
    <phoneticPr fontId="43" type="noConversion"/>
  </si>
  <si>
    <t>合并至</t>
    <phoneticPr fontId="43" type="noConversion"/>
  </si>
  <si>
    <t>确定其是否满足将其确认为负债的标准。</t>
  </si>
  <si>
    <t>如果已支付，追踪至后续付款。</t>
    <phoneticPr fontId="43" type="noConversion"/>
  </si>
  <si>
    <t>对于尚未支付的福利，确定该项负债是否被正确计算。</t>
    <phoneticPr fontId="43" type="noConversion"/>
  </si>
  <si>
    <t>十四</t>
    <phoneticPr fontId="87" type="noConversion"/>
  </si>
  <si>
    <t>获取股份支付的明细表。</t>
    <phoneticPr fontId="43" type="noConversion"/>
  </si>
  <si>
    <t>L1-4-5</t>
    <phoneticPr fontId="87" type="noConversion"/>
  </si>
  <si>
    <t>确定企业是否有政策限制该股份支付薪酬奖励发行的日期。</t>
    <phoneticPr fontId="43" type="noConversion"/>
  </si>
  <si>
    <t>判断选择_____期权，并执行</t>
  </si>
  <si>
    <t>取得合同。</t>
  </si>
  <si>
    <t>确认主要条款及条件与股份支付薪酬工具是否一致（即授予日期、期权的价格、股数、行使日期等）。</t>
  </si>
  <si>
    <t>确定是否授权日与行权日之间存在重大时间间隔，如果有，向适当的人员询问原因。</t>
  </si>
  <si>
    <t>确定包括在分析中的所有个人都是雇员或其他提供类似服务的人员。</t>
  </si>
  <si>
    <t>将新的股份支付薪酬奖励与董事会会议纪录或其它授权文件相比较。</t>
  </si>
  <si>
    <t>确定是否存在：董事会会议记录或其他文件中提及的股份支付薪酬奖励，尚未包含在上面的分析之内。</t>
  </si>
  <si>
    <t>如果是，获取该股份支付相关支持性文件，并确定该遗漏是否适当。</t>
  </si>
  <si>
    <t>是否已适当地确认对现有的股份支付薪酬奖励的修改（如有修改）。</t>
  </si>
  <si>
    <t>确定以下事项：</t>
  </si>
  <si>
    <t>根据该股份支付薪酬奖励的条款和条件，确定其分类（如分类为权益结算、现金结算、或者二者结合）适当。</t>
  </si>
  <si>
    <t>所采用的会计处理能恰当地反映这种分类。</t>
  </si>
  <si>
    <t>11</t>
    <phoneticPr fontId="87" type="noConversion"/>
  </si>
  <si>
    <t>确定我们是否应聘请一位估值专家，以协助评价：企业的专家（无论其是第三方还是内部员工）对该工具估值的工作。</t>
    <phoneticPr fontId="43" type="noConversion"/>
  </si>
  <si>
    <t>12</t>
    <phoneticPr fontId="87" type="noConversion"/>
  </si>
  <si>
    <r>
      <rPr>
        <sz val="10"/>
        <color theme="1"/>
        <rFont val="微软雅黑"/>
        <family val="2"/>
        <charset val="134"/>
      </rPr>
      <t>完成</t>
    </r>
    <r>
      <rPr>
        <sz val="10"/>
        <color theme="1"/>
        <rFont val="Arial Narrow"/>
        <family val="2"/>
      </rPr>
      <t>“</t>
    </r>
    <r>
      <rPr>
        <sz val="10"/>
        <color theme="1"/>
        <rFont val="微软雅黑"/>
        <family val="2"/>
        <charset val="134"/>
      </rPr>
      <t>专家资质</t>
    </r>
    <r>
      <rPr>
        <sz val="10"/>
        <color theme="1"/>
        <rFont val="Arial Narrow"/>
        <family val="2"/>
      </rPr>
      <t>”</t>
    </r>
    <r>
      <rPr>
        <sz val="10"/>
        <color theme="1"/>
        <rFont val="微软雅黑"/>
        <family val="2"/>
        <charset val="134"/>
      </rPr>
      <t>和</t>
    </r>
    <r>
      <rPr>
        <sz val="10"/>
        <color theme="1"/>
        <rFont val="Arial Narrow"/>
        <family val="2"/>
      </rPr>
      <t>“</t>
    </r>
    <r>
      <rPr>
        <sz val="10"/>
        <color theme="1"/>
        <rFont val="微软雅黑"/>
        <family val="2"/>
        <charset val="134"/>
      </rPr>
      <t>专家工作</t>
    </r>
    <r>
      <rPr>
        <sz val="10"/>
        <color theme="1"/>
        <rFont val="Arial Narrow"/>
        <family val="2"/>
      </rPr>
      <t>”</t>
    </r>
    <r>
      <rPr>
        <sz val="10"/>
        <color theme="1"/>
        <rFont val="微软雅黑"/>
        <family val="2"/>
        <charset val="134"/>
      </rPr>
      <t>的审计程序，以评估每位精算师（无论其是第三方还是内部员工）的资质及其工作。</t>
    </r>
    <phoneticPr fontId="43" type="noConversion"/>
  </si>
  <si>
    <t>13</t>
    <phoneticPr fontId="87" type="noConversion"/>
  </si>
  <si>
    <t>考虑下列一个或多个情况能表现为利用股票期权日期倒签等获取不正当利益的股份期权。并考虑这些情况是否会导致财务报表出现重大错报。如果是，重新考虑之前的风险评估是否恰当。</t>
  </si>
  <si>
    <t xml:space="preserve">对于利用股票期权日期倒签等获取不正当利益的股份期权：
（1）考虑下列一个或多个情况能表现为利用股票期权日期倒签等获取不正当利益的股份期权。并考虑这些情况是否会导致财务报表出现重大错报。如果是，重新考虑之前的风险评估是否恰当：	
①企业缺乏现金用于奖励员工	
②过去的股票价格波动性很大	
③期权授予与预定日期不一致，而无规则地出现在期权授予的整个时期之间	
④董事会薪酬委员会只在企业召集时才开会，并且只在企业提议的基础上才制定股份支付薪酬奖励	
⑤授权日后的协议执行良好	
（2）识别在报告期内的等待期。	
（3）是否为达到不正当目目的，授予日刻意选在一个特定的日期。	
（4）确定期权是否授予给符合条件的人。	
（5）考虑从治理层或者其相关委员会获取一份关于股份支付批准日期的书面确认函。	
（6）如有任何程序表明以利用股票期权倒签等获取不正当利益的股份期权，与项目合伙人讨论是否实施进一步的审计程序。	</t>
    <phoneticPr fontId="43" type="noConversion"/>
  </si>
  <si>
    <t>企业缺乏现金用于奖励员工</t>
  </si>
  <si>
    <t>过去的股票价格波动性很大</t>
  </si>
  <si>
    <t>期权授予与预定日期不一致，而无规则地出现在期权授予的整个时期之间</t>
  </si>
  <si>
    <t>（4）</t>
  </si>
  <si>
    <t>董事会薪酬委员会只在企业召集时才开会，并且只在企业提议的基础上才制定股份支付薪酬奖励</t>
  </si>
  <si>
    <t>（5）</t>
  </si>
  <si>
    <t>授权日后的协议执行良好</t>
  </si>
  <si>
    <t>十五</t>
    <phoneticPr fontId="87" type="noConversion"/>
  </si>
  <si>
    <t>针对利用股票期权日期倒签等获取不正当利益的股份期权，执行下列程序：</t>
    <phoneticPr fontId="43" type="noConversion"/>
  </si>
  <si>
    <t>识别在报告期内的等待期。</t>
  </si>
  <si>
    <t>在报告期内，抽取__授予的股份数量并执行以下程</t>
  </si>
  <si>
    <t>是否为达到不正当目，授予日刻意选在一个特定的日期。</t>
  </si>
  <si>
    <t>确定期权是否授予给符合条件的人。</t>
  </si>
  <si>
    <t>考虑从治理层或者其相关委员会获取一份关于股份支付批准日期的书面确认函。</t>
  </si>
  <si>
    <t>如有任何程序表明以利用股票期权倒签等获取不正当利益的股份期权，与项目合伙人讨论是否实施进一步的审计程序。</t>
  </si>
  <si>
    <t>十六</t>
    <phoneticPr fontId="87" type="noConversion"/>
  </si>
  <si>
    <t>对于设定提存计划的缴存款：</t>
    <phoneticPr fontId="43" type="noConversion"/>
  </si>
  <si>
    <t xml:space="preserve">对于设定提存计划的缴存款：
（1）分析复核雇主缴存款，如下：	
①通过复核计划的条款，形成对缴款的预期值。	
②确定可接受的范围。	
③与已记录的金额对比。	
④如果有，调查未被解释的差异。	
（2）确定代扣员工缴存款的总额。	
（3）确定缴存款是否按时缴纳。	</t>
    <phoneticPr fontId="43" type="noConversion"/>
  </si>
  <si>
    <t>分析复核雇主缴存款，如下：</t>
  </si>
  <si>
    <t>通过复核计划的条款，形成对缴款的预期值。</t>
  </si>
  <si>
    <t>确定可接受的范围。</t>
  </si>
  <si>
    <t>确定代扣员工缴存款的总额。</t>
  </si>
  <si>
    <t>确定缴存款是否按时缴纳。</t>
  </si>
  <si>
    <t>十七</t>
    <phoneticPr fontId="87" type="noConversion"/>
  </si>
  <si>
    <t>使用员工或工资花名册，执行下列程序：</t>
    <phoneticPr fontId="43" type="noConversion"/>
  </si>
  <si>
    <t>识别公司是否存在未代扣税金或养老金的员工。</t>
  </si>
  <si>
    <t>分析有重复地址或无地址的员工信息、社保号码、员工编号或银行账号。</t>
  </si>
  <si>
    <t>审查社会保险号的有效性。</t>
  </si>
  <si>
    <t>识别享有过高的工资单价、薪酬总额或加班时间过多的雇员。</t>
  </si>
  <si>
    <t>调查例外情况，并与适当的人员讨论。</t>
  </si>
  <si>
    <t>十八</t>
    <phoneticPr fontId="44" type="noConversion"/>
  </si>
  <si>
    <t>执行下列程序，确定个人所得税计提是否充分：</t>
    <phoneticPr fontId="43" type="noConversion"/>
  </si>
  <si>
    <t xml:space="preserve">对于个人所得税：
（1）取得本期与上期个人所得税缴纳单，执行分析性程序，与本期工资发放额进行比对，判断个人所得税计缴是否在合理的范围，应交个人所得税是否低估。
（2）对于股份支付、发放现金股利或自然人股东（高管）留存收益转增股本等情形，测算并确定个人所得税计提是否充分。
（3）确定个人所得税返还是否恰当记录在案，相关缴税是否及时。	
（4）编制本期个人所得税返还期与薪酬总额和相关费用支出调节表。	
（5）确定执行以上程序的结果或本期的相关活动是否意味着管理层对于以前年度的判断和使用的假设是不合理的。如果是，记录本期管理层如何作出更准确的估计。		
（6）考虑需要增加的其他程序。	</t>
    <phoneticPr fontId="43" type="noConversion"/>
  </si>
  <si>
    <t>取得本期与上期个人所得税缴纳单，执行分析性程序，与本期工资发放额进行比对，判断个人所得税计缴是否在合理的范围，应交个人所得税是否低估。</t>
    <phoneticPr fontId="43" type="noConversion"/>
  </si>
  <si>
    <t>对于股份支付、发放现金股利或自然人股东（高管）留存收益转增股本等情形，测算并确定个人所得税计提是否充分。</t>
  </si>
  <si>
    <t>考虑需要增加的其他程序。</t>
  </si>
  <si>
    <t>十九</t>
    <phoneticPr fontId="87" type="noConversion"/>
  </si>
  <si>
    <t>取得本期的工资纳税单：</t>
  </si>
  <si>
    <t>确定个人所得税返还是否恰当记录在案，相关缴税是否及时。</t>
    <phoneticPr fontId="43" type="noConversion"/>
  </si>
  <si>
    <t>编制本期个人所得税返还期与薪酬总额和相关费用支出调节表。</t>
  </si>
  <si>
    <t>确定执行以上程序的结果或本期的相关活动是否意味着管理层对于以前年度的判断和使用的假设是不合理的。如果是，记录本期管理层如何作出更准确的估计。</t>
  </si>
  <si>
    <t>二十</t>
    <phoneticPr fontId="87" type="noConversion"/>
  </si>
  <si>
    <t>ABC</t>
    <phoneticPr fontId="87" type="noConversion"/>
  </si>
  <si>
    <t>L1-4-6</t>
    <phoneticPr fontId="87" type="noConversion"/>
  </si>
  <si>
    <t>二十一</t>
    <phoneticPr fontId="87" type="noConversion"/>
  </si>
  <si>
    <t>执行下列审计程序，检查企业是否存在压低员工薪金，阶段性降低人工成本粉饰业绩的情况：</t>
  </si>
  <si>
    <t>将企业在册员工名单与实际工时记录（打卡、考勤记录等）比较，核查是否存在有工时记录，但不属于在册员工，未在企业发放工资的情况；</t>
  </si>
  <si>
    <t>根据企业的薪酬政策，测算每月工资总额及人均工资（分部门、地区或产品线），与企业的实际计提金额对比，分析合理性，并关注报告期是否存在降低的趋势；</t>
  </si>
  <si>
    <t>访谈企业一般销售人员、研发人员、管理人员、车间人员，了解是否存在暂时压低员工薪金，期后补偿的协议或承诺；</t>
  </si>
  <si>
    <t>二十二</t>
    <phoneticPr fontId="87" type="noConversion"/>
  </si>
  <si>
    <t>二十三</t>
    <phoneticPr fontId="87" type="noConversion"/>
  </si>
  <si>
    <t>E</t>
    <phoneticPr fontId="87" type="noConversion"/>
  </si>
  <si>
    <t>L1-1</t>
    <phoneticPr fontId="87" type="noConversion"/>
  </si>
  <si>
    <t>提示：</t>
    <phoneticPr fontId="6" type="noConversion"/>
  </si>
  <si>
    <t>根据具体情况，按下述5条所述流程，执行分析程序：</t>
    <phoneticPr fontId="6" type="noConversion"/>
  </si>
  <si>
    <r>
      <rPr>
        <sz val="10"/>
        <rFont val="宋体"/>
        <family val="3"/>
        <charset val="134"/>
      </rPr>
      <t>证实分析性程序中使用的基础性数据是正确的。</t>
    </r>
    <r>
      <rPr>
        <sz val="10"/>
        <rFont val="Arial Narrow"/>
        <family val="2"/>
      </rPr>
      <t xml:space="preserve"> Verify that the underlying data used in the analytics is valid.</t>
    </r>
  </si>
  <si>
    <t>与可比前期（预期）结果相比较。 Compare results to comparable prior periods (expectations).</t>
    <phoneticPr fontId="44" type="noConversion"/>
  </si>
  <si>
    <t>与适当客户人员讨论重大的非预期的差异。 Discuss significant unexpected differences with appropriate client personnel.</t>
    <phoneticPr fontId="44" type="noConversion"/>
  </si>
  <si>
    <t>考虑可信度，并在适当情况下进行证实。 Consider plausibility of responses and corroborate as appropriate.</t>
    <phoneticPr fontId="44" type="noConversion"/>
  </si>
  <si>
    <t>确定执行上述程序的结果是否表明需要补充必要的审计程序，如果是，执行适当的应对程序。 Determine whether results identify areas where additional procedures are required and if so, tailor an appropriate response.</t>
    <phoneticPr fontId="44" type="noConversion"/>
  </si>
  <si>
    <t>客户名称：</t>
  </si>
  <si>
    <t>截止日：20XX年12月31日</t>
  </si>
  <si>
    <r>
      <rPr>
        <b/>
        <sz val="10"/>
        <color indexed="8"/>
        <rFont val="宋体"/>
        <family val="3"/>
        <charset val="134"/>
      </rPr>
      <t>序号</t>
    </r>
  </si>
  <si>
    <r>
      <rPr>
        <b/>
        <sz val="10"/>
        <color indexed="8"/>
        <rFont val="宋体"/>
        <family val="3"/>
        <charset val="134"/>
      </rPr>
      <t>内容</t>
    </r>
  </si>
  <si>
    <r>
      <rPr>
        <b/>
        <sz val="10"/>
        <color indexed="8"/>
        <rFont val="宋体"/>
        <family val="3"/>
        <charset val="134"/>
      </rPr>
      <t>索引号</t>
    </r>
  </si>
  <si>
    <r>
      <rPr>
        <b/>
        <sz val="10"/>
        <color indexed="8"/>
        <rFont val="宋体"/>
        <family val="3"/>
        <charset val="134"/>
      </rPr>
      <t>备注</t>
    </r>
  </si>
  <si>
    <r>
      <rPr>
        <b/>
        <sz val="12"/>
        <color theme="1"/>
        <rFont val="宋体"/>
        <family val="3"/>
        <charset val="134"/>
      </rPr>
      <t>首发业务问答（二）</t>
    </r>
    <phoneticPr fontId="43" type="noConversion"/>
  </si>
  <si>
    <r>
      <rPr>
        <u/>
        <sz val="11"/>
        <color theme="1"/>
        <rFont val="宋体"/>
        <family val="3"/>
        <charset val="134"/>
      </rPr>
      <t>问题</t>
    </r>
    <r>
      <rPr>
        <u/>
        <sz val="11"/>
        <color theme="1"/>
        <rFont val="Arial Narrow"/>
        <family val="2"/>
      </rPr>
      <t>1</t>
    </r>
    <r>
      <rPr>
        <u/>
        <sz val="11"/>
        <color theme="1"/>
        <rFont val="宋体"/>
        <family val="3"/>
        <charset val="134"/>
      </rPr>
      <t>、股份支付</t>
    </r>
    <phoneticPr fontId="43" type="noConversion"/>
  </si>
  <si>
    <r>
      <rPr>
        <sz val="10"/>
        <color theme="1"/>
        <rFont val="宋体"/>
        <family val="3"/>
        <charset val="134"/>
      </rPr>
      <t>问题</t>
    </r>
    <r>
      <rPr>
        <sz val="10"/>
        <color theme="1"/>
        <rFont val="Arial Narrow"/>
        <family val="2"/>
      </rPr>
      <t>1</t>
    </r>
    <r>
      <rPr>
        <sz val="10"/>
        <color theme="1"/>
        <rFont val="宋体"/>
        <family val="3"/>
        <charset val="134"/>
      </rPr>
      <t>、基于企业发展考虑，部分首发企业上市前通过增资或转让股份等形式实现高管或核心技术人员、员工、主要业务伙伴持股。首发企业股份支付成因复杂，公允价值难以计量，与上市公司实施股权激励相比存在较大不同。对此，首发企业及中介机构需重点关注哪些方面？</t>
    </r>
  </si>
  <si>
    <r>
      <rPr>
        <sz val="10"/>
        <color theme="1"/>
        <rFont val="宋体"/>
        <family val="3"/>
        <charset val="134"/>
      </rPr>
      <t>答：发行人报告期内为获取职工和其他方提供服务而授予股份的交易，在编制申报会计报表时，应按照《企业会计准则第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股份支付》相关规定进行处理。</t>
    </r>
  </si>
  <si>
    <r>
      <t>（</t>
    </r>
    <r>
      <rPr>
        <sz val="11"/>
        <color theme="1"/>
        <rFont val="Arial Narrow"/>
        <family val="2"/>
      </rPr>
      <t>1</t>
    </r>
    <r>
      <rPr>
        <sz val="11"/>
        <color theme="1"/>
        <rFont val="宋体"/>
        <family val="3"/>
        <charset val="134"/>
      </rPr>
      <t>）具体适用情形</t>
    </r>
  </si>
  <si>
    <r>
      <rPr>
        <sz val="10"/>
        <color theme="1"/>
        <rFont val="宋体"/>
        <family val="3"/>
        <charset val="134"/>
      </rPr>
      <t>对于报告期内发行人向职工（含持股平台）、客户、供应商等新增股份，以及主要股东及其关联方向职工（含持股平台）、客户、供应商等转让股份，均应考虑是否适用《企业会计准则第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股份支付》。对于报告期前的股份支付事项，如对期初未分配利润造成重大影响，也应考虑是否适用《企业会计准则第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t>
    </r>
  </si>
  <si>
    <r>
      <rPr>
        <sz val="10"/>
        <color theme="1"/>
        <rFont val="宋体"/>
        <family val="3"/>
        <charset val="134"/>
      </rPr>
      <t>通常情况下，解决股份代持等规范措施导致股份变动，家族内部财产分割、继承、赠与等非交易行为导致股权变动，资产重组、业务并购、持股方式转换、向老股东同比例配售新股等导致股权变动等，在有充分证据支持相关股份获取与发行人获得其服务无关的情况下，一般无需作为股份支付处理。</t>
    </r>
  </si>
  <si>
    <r>
      <rPr>
        <sz val="10"/>
        <color theme="1"/>
        <rFont val="宋体"/>
        <family val="3"/>
        <charset val="134"/>
      </rPr>
      <t>对于为发行人提供服务的实际控制人</t>
    </r>
    <r>
      <rPr>
        <sz val="10"/>
        <color theme="1"/>
        <rFont val="Arial Narrow"/>
        <family val="2"/>
      </rPr>
      <t>/</t>
    </r>
    <r>
      <rPr>
        <sz val="10"/>
        <color theme="1"/>
        <rFont val="宋体"/>
        <family val="3"/>
        <charset val="134"/>
      </rPr>
      <t>老股东以低于股份公允价值的价格增资入股事宜，如果根据增资协议，并非所有股东均有权按各自原持股比例获得新增股份，对于实际控制人</t>
    </r>
    <r>
      <rPr>
        <sz val="10"/>
        <color theme="1"/>
        <rFont val="Arial Narrow"/>
        <family val="2"/>
      </rPr>
      <t>/</t>
    </r>
    <r>
      <rPr>
        <sz val="10"/>
        <color theme="1"/>
        <rFont val="宋体"/>
        <family val="3"/>
        <charset val="134"/>
      </rPr>
      <t>老股东超过其原持股比例而获得的新增股份，应属于股份支付；如果增资协议约定，所有股东均有权按各自原持股比例获得新增股份，但股东之间转让新增股份受让权且构成集团内股份支付，导致实际控制人</t>
    </r>
    <r>
      <rPr>
        <sz val="10"/>
        <color theme="1"/>
        <rFont val="Arial Narrow"/>
        <family val="2"/>
      </rPr>
      <t>/</t>
    </r>
    <r>
      <rPr>
        <sz val="10"/>
        <color theme="1"/>
        <rFont val="宋体"/>
        <family val="3"/>
        <charset val="134"/>
      </rPr>
      <t>老股东超过其原持股比例获得的新增股份，也属于股份支付。对于实际控制人</t>
    </r>
    <r>
      <rPr>
        <sz val="10"/>
        <color theme="1"/>
        <rFont val="Arial Narrow"/>
        <family val="2"/>
      </rPr>
      <t>/</t>
    </r>
    <r>
      <rPr>
        <sz val="10"/>
        <color theme="1"/>
        <rFont val="宋体"/>
        <family val="3"/>
        <charset val="134"/>
      </rPr>
      <t>老股东原持股比例，应按照相关股东直接持有与穿透控股平台后间接持有的股份比例合并计算。</t>
    </r>
  </si>
  <si>
    <r>
      <t>（</t>
    </r>
    <r>
      <rPr>
        <sz val="11"/>
        <color theme="1"/>
        <rFont val="Arial Narrow"/>
        <family val="2"/>
      </rPr>
      <t>2</t>
    </r>
    <r>
      <rPr>
        <sz val="11"/>
        <color theme="1"/>
        <rFont val="宋体"/>
        <family val="3"/>
        <charset val="134"/>
      </rPr>
      <t>）确定公允价值</t>
    </r>
  </si>
  <si>
    <r>
      <rPr>
        <sz val="10"/>
        <color theme="1"/>
        <rFont val="宋体"/>
        <family val="3"/>
        <charset val="134"/>
      </rPr>
      <t>存在股份支付事项的，发行人及申报会计师应按照企业会计准则规定的原则确定权益工具的公允价值。在确定公允价值时，可合理考虑入股时间阶段、业绩基础与变动预期、市场环境变化、行业特点、同行业并购重组市盈率水平、股份支付实施或发生当年市盈率与市净率指标等因素的影响；也可优先参考熟悉情况并按公平原则自愿交易的各方最近达成的入股价格或相似股权价格确定公允价值，如近期合理的</t>
    </r>
    <r>
      <rPr>
        <sz val="10"/>
        <color theme="1"/>
        <rFont val="Arial Narrow"/>
        <family val="2"/>
      </rPr>
      <t>PE</t>
    </r>
    <r>
      <rPr>
        <sz val="10"/>
        <color theme="1"/>
        <rFont val="宋体"/>
        <family val="3"/>
        <charset val="134"/>
      </rPr>
      <t>入股价；也可采用恰当的估值技术确定公允价值，但要避免采取有争议的、结果显失公平的估值技术或公允价值确定方法，如明显增长预期下按照成本法评估的每股净资产价值或账面净资产。</t>
    </r>
  </si>
  <si>
    <r>
      <t>（</t>
    </r>
    <r>
      <rPr>
        <sz val="11"/>
        <color theme="1"/>
        <rFont val="Arial Narrow"/>
        <family val="2"/>
      </rPr>
      <t>3</t>
    </r>
    <r>
      <rPr>
        <sz val="11"/>
        <color theme="1"/>
        <rFont val="宋体"/>
        <family val="3"/>
        <charset val="134"/>
      </rPr>
      <t>）计量方式</t>
    </r>
  </si>
  <si>
    <r>
      <rPr>
        <sz val="10"/>
        <color theme="1"/>
        <rFont val="宋体"/>
        <family val="3"/>
        <charset val="134"/>
      </rPr>
      <t>确认股份支付费用时，对增资或受让的股份立即授予或转让完成且没有明确约定服务期等限制条件的，原则上应当一次性计入发生当期，并作为偶发事项计入非经常性损益。对设定服务期等限制条件的股份支付，股份支付费用可采用恰当的方法在服务期内进行分摊，并计入经常性损益。</t>
    </r>
  </si>
  <si>
    <r>
      <t>（</t>
    </r>
    <r>
      <rPr>
        <sz val="11"/>
        <color theme="1"/>
        <rFont val="Arial Narrow"/>
        <family val="2"/>
      </rPr>
      <t>4</t>
    </r>
    <r>
      <rPr>
        <sz val="11"/>
        <color theme="1"/>
        <rFont val="宋体"/>
        <family val="3"/>
        <charset val="134"/>
      </rPr>
      <t>）披露与核查</t>
    </r>
  </si>
  <si>
    <r>
      <rPr>
        <sz val="10"/>
        <color theme="1"/>
        <rFont val="宋体"/>
        <family val="3"/>
        <charset val="134"/>
      </rPr>
      <t>发行人应在招股说明书及报表附注中披露股份支付的形成原因、权益工具的公允价值及确认方法。保荐机构及申报会计师应对首发企业报告期内发生的股份变动是否适用《企业会计准则第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进行核查，并对以下问题发表明确意见：股份支付相关权益工具公允价值的计量方法及结果是否合理，与同期可比公司估值是否存在重大差异及原因；对于存在与股权所有权或收益权等相关的限制性条件的，相关条件是否真实、可行，服务期的判断是否准确，服务期各年</t>
    </r>
    <r>
      <rPr>
        <sz val="10"/>
        <color theme="1"/>
        <rFont val="Arial Narrow"/>
        <family val="2"/>
      </rPr>
      <t>/</t>
    </r>
    <r>
      <rPr>
        <sz val="10"/>
        <color theme="1"/>
        <rFont val="宋体"/>
        <family val="3"/>
        <charset val="134"/>
      </rPr>
      <t>期确认的员工服务成本或费用是否准确；发行人报告期内股份支付相关会计处理是否符合《企业会计准则》相关规定。</t>
    </r>
  </si>
  <si>
    <r>
      <rPr>
        <b/>
        <sz val="14"/>
        <rFont val="宋体"/>
        <family val="3"/>
        <charset val="134"/>
      </rPr>
      <t>北京注册会计师协会专家委员会提示</t>
    </r>
    <r>
      <rPr>
        <b/>
        <sz val="14"/>
        <rFont val="Arial Narrow"/>
        <family val="2"/>
      </rPr>
      <t>[2016]</t>
    </r>
    <r>
      <rPr>
        <b/>
        <sz val="14"/>
        <rFont val="宋体"/>
        <family val="3"/>
        <charset val="134"/>
      </rPr>
      <t>第</t>
    </r>
    <r>
      <rPr>
        <b/>
        <sz val="14"/>
        <rFont val="Arial Narrow"/>
        <family val="2"/>
      </rPr>
      <t>8</t>
    </r>
    <r>
      <rPr>
        <b/>
        <sz val="14"/>
        <rFont val="宋体"/>
        <family val="3"/>
        <charset val="134"/>
      </rPr>
      <t>号</t>
    </r>
    <r>
      <rPr>
        <b/>
        <sz val="14"/>
        <rFont val="Arial Narrow"/>
        <family val="2"/>
      </rPr>
      <t>—IPO</t>
    </r>
    <r>
      <rPr>
        <b/>
        <sz val="14"/>
        <rFont val="宋体"/>
        <family val="3"/>
        <charset val="134"/>
      </rPr>
      <t>企业股权激励工具关注的审计重点</t>
    </r>
    <phoneticPr fontId="6" type="noConversion"/>
  </si>
  <si>
    <r>
      <rPr>
        <sz val="10.5"/>
        <rFont val="宋体"/>
        <family val="3"/>
        <charset val="134"/>
      </rPr>
      <t>股权激励计划作为行之有效的激励工具，在众多企业中被广泛采用。企业在实施</t>
    </r>
    <r>
      <rPr>
        <sz val="10.5"/>
        <rFont val="Arial Narrow"/>
        <family val="2"/>
      </rPr>
      <t>IPO</t>
    </r>
    <r>
      <rPr>
        <sz val="10.5"/>
        <rFont val="宋体"/>
        <family val="3"/>
        <charset val="134"/>
      </rPr>
      <t>计划中，已经设定的股权激励工具在财务报表上具有较重要的影响，是</t>
    </r>
    <r>
      <rPr>
        <sz val="10.5"/>
        <rFont val="Arial Narrow"/>
        <family val="2"/>
      </rPr>
      <t>IPO</t>
    </r>
    <r>
      <rPr>
        <sz val="10.5"/>
        <rFont val="宋体"/>
        <family val="3"/>
        <charset val="134"/>
      </rPr>
      <t>审计应关注的重点和难点。</t>
    </r>
  </si>
  <si>
    <r>
      <rPr>
        <sz val="10.5"/>
        <rFont val="宋体"/>
        <family val="3"/>
        <charset val="134"/>
      </rPr>
      <t>本提示仅供事务所及相关从业人员在执业中参考，不能替代相关法律法规、注册会计师执业准则及注册会计师职业判断。提示中所涉及的审计时间</t>
    </r>
    <r>
      <rPr>
        <sz val="10.5"/>
        <rFont val="Arial Narrow"/>
        <family val="2"/>
      </rPr>
      <t xml:space="preserve"> </t>
    </r>
    <r>
      <rPr>
        <sz val="10.5"/>
        <rFont val="宋体"/>
        <family val="3"/>
        <charset val="134"/>
      </rPr>
      <t>、范围和程度等，事务所及相关从业人员在执业中需结合实际情况、风险导向原则以及注册会计师的职业判断确定，不能直接照搬照抄。</t>
    </r>
  </si>
  <si>
    <r>
      <rPr>
        <sz val="10.5"/>
        <rFont val="宋体"/>
        <family val="3"/>
        <charset val="134"/>
      </rPr>
      <t>针对有股权激励工具的</t>
    </r>
    <r>
      <rPr>
        <sz val="10.5"/>
        <rFont val="Arial Narrow"/>
        <family val="2"/>
      </rPr>
      <t>IPO</t>
    </r>
    <r>
      <rPr>
        <sz val="10.5"/>
        <rFont val="宋体"/>
        <family val="3"/>
        <charset val="134"/>
      </rPr>
      <t>企业应关注的财务报表影响，</t>
    </r>
    <r>
      <rPr>
        <sz val="10.5"/>
        <rFont val="Arial Narrow"/>
        <family val="2"/>
      </rPr>
      <t>IPO</t>
    </r>
    <r>
      <rPr>
        <sz val="10.5"/>
        <rFont val="宋体"/>
        <family val="3"/>
        <charset val="134"/>
      </rPr>
      <t>审计专家委员会做出如下提示：</t>
    </r>
  </si>
  <si>
    <r>
      <rPr>
        <sz val="10.5"/>
        <rFont val="宋体"/>
        <family val="3"/>
        <charset val="134"/>
      </rPr>
      <t>一、关注</t>
    </r>
    <r>
      <rPr>
        <sz val="10.5"/>
        <rFont val="Arial Narrow"/>
        <family val="2"/>
      </rPr>
      <t>IPO</t>
    </r>
    <r>
      <rPr>
        <sz val="10.5"/>
        <rFont val="宋体"/>
        <family val="3"/>
        <charset val="134"/>
      </rPr>
      <t>企业在以往期间的股权激励工具</t>
    </r>
  </si>
  <si>
    <r>
      <t>《</t>
    </r>
    <r>
      <rPr>
        <sz val="10.5"/>
        <rFont val="宋体"/>
        <family val="3"/>
        <charset val="134"/>
      </rPr>
      <t>公司</t>
    </r>
    <r>
      <rPr>
        <sz val="11"/>
        <color theme="1"/>
        <rFont val="宋体"/>
        <family val="3"/>
        <charset val="134"/>
      </rPr>
      <t>法》第一百四十二条中规定公司不得收购本公司股份，但以下情形除外：</t>
    </r>
    <r>
      <rPr>
        <sz val="11"/>
        <color theme="1"/>
        <rFont val="Arial Narrow"/>
        <family val="2"/>
      </rPr>
      <t>“</t>
    </r>
    <r>
      <rPr>
        <sz val="11"/>
        <color theme="1"/>
        <rFont val="宋体"/>
        <family val="3"/>
        <charset val="134"/>
      </rPr>
      <t>将股份奖励给本公司职工；公司依照第一款第</t>
    </r>
    <r>
      <rPr>
        <sz val="11"/>
        <color theme="1"/>
        <rFont val="Arial Narrow"/>
        <family val="2"/>
      </rPr>
      <t>(</t>
    </r>
    <r>
      <rPr>
        <sz val="11"/>
        <color theme="1"/>
        <rFont val="宋体"/>
        <family val="3"/>
        <charset val="134"/>
      </rPr>
      <t>三</t>
    </r>
    <r>
      <rPr>
        <sz val="11"/>
        <color theme="1"/>
        <rFont val="Arial Narrow"/>
        <family val="2"/>
      </rPr>
      <t>)</t>
    </r>
    <r>
      <rPr>
        <sz val="11"/>
        <color theme="1"/>
        <rFont val="宋体"/>
        <family val="3"/>
        <charset val="134"/>
      </rPr>
      <t>项规定收购的本公司股份，不得超过本公司已发行股份总额的百分之五；用于收购的资金应当从公司的税后利润中支出；所收购的股份应当在一年内转让给职工。</t>
    </r>
    <r>
      <rPr>
        <sz val="11"/>
        <color theme="1"/>
        <rFont val="Arial Narrow"/>
        <family val="2"/>
      </rPr>
      <t xml:space="preserve">” </t>
    </r>
    <r>
      <rPr>
        <sz val="11"/>
        <color theme="1"/>
        <rFont val="宋体"/>
        <family val="3"/>
        <charset val="134"/>
      </rPr>
      <t>随着《公司法》修订及新会计准则的实施，股权激励计划作为一项行之有效的长期激励工具，已经被众多企业广泛采用。</t>
    </r>
  </si>
  <si>
    <r>
      <t>（</t>
    </r>
    <r>
      <rPr>
        <sz val="10.5"/>
        <rFont val="宋体"/>
        <family val="3"/>
        <charset val="134"/>
      </rPr>
      <t>一）</t>
    </r>
    <r>
      <rPr>
        <sz val="10.5"/>
        <rFont val="Arial Narrow"/>
        <family val="2"/>
      </rPr>
      <t xml:space="preserve"> </t>
    </r>
    <r>
      <rPr>
        <sz val="10.5"/>
        <rFont val="宋体"/>
        <family val="3"/>
        <charset val="134"/>
      </rPr>
      <t>对历史财务报表以外信息的关注</t>
    </r>
  </si>
  <si>
    <r>
      <rPr>
        <sz val="10.5"/>
        <rFont val="宋体"/>
        <family val="3"/>
        <charset val="134"/>
      </rPr>
      <t>对已经采用股权激励的企业，公司历史财务报表很可能没有体现出其相应的会计处理。启动</t>
    </r>
    <r>
      <rPr>
        <sz val="10.5"/>
        <rFont val="Arial Narrow"/>
        <family val="2"/>
      </rPr>
      <t>IPO</t>
    </r>
    <r>
      <rPr>
        <sz val="10.5"/>
        <rFont val="宋体"/>
        <family val="3"/>
        <charset val="134"/>
      </rPr>
      <t>审计工作计划时，仅从历史财务报表无法发现并辨别公司是否有此事项，需要注册会计师特别关注，并主动与公司管理层及股东讨论询问，在公司历史年度是否存在《企业会计准则第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股份支付》中所明确的股份支付的情形，辨认出是否存在适用的事项。</t>
    </r>
  </si>
  <si>
    <r>
      <t>（</t>
    </r>
    <r>
      <rPr>
        <sz val="10.5"/>
        <rFont val="宋体"/>
        <family val="3"/>
        <charset val="134"/>
      </rPr>
      <t>二）</t>
    </r>
    <r>
      <rPr>
        <sz val="10.5"/>
        <rFont val="Arial Narrow"/>
        <family val="2"/>
      </rPr>
      <t xml:space="preserve"> </t>
    </r>
    <r>
      <rPr>
        <sz val="10.5"/>
        <rFont val="宋体"/>
        <family val="3"/>
        <charset val="134"/>
      </rPr>
      <t>深入沟通股份支付的会计影响</t>
    </r>
  </si>
  <si>
    <r>
      <rPr>
        <sz val="10.5"/>
        <rFont val="宋体"/>
        <family val="3"/>
        <charset val="134"/>
      </rPr>
      <t>对于</t>
    </r>
    <r>
      <rPr>
        <sz val="10.5"/>
        <rFont val="Arial Narrow"/>
        <family val="2"/>
      </rPr>
      <t>IPO</t>
    </r>
    <r>
      <rPr>
        <sz val="10.5"/>
        <rFont val="宋体"/>
        <family val="3"/>
        <charset val="134"/>
      </rPr>
      <t>企业的股份支付主体，《企业会计准则第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股份支付》规定：</t>
    </r>
    <r>
      <rPr>
        <sz val="10.5"/>
        <rFont val="Arial Narrow"/>
        <family val="2"/>
      </rPr>
      <t>“</t>
    </r>
    <r>
      <rPr>
        <sz val="10.5"/>
        <rFont val="宋体"/>
        <family val="3"/>
        <charset val="134"/>
      </rPr>
      <t>股份支付所指的权益工具是指企业自身权益工具，包括企业本身、企业的母公司或同集团其他会计主体的权益工具。</t>
    </r>
    <r>
      <rPr>
        <sz val="10.5"/>
        <rFont val="Arial Narrow"/>
        <family val="2"/>
      </rPr>
      <t>”</t>
    </r>
    <r>
      <rPr>
        <sz val="10.5"/>
        <rFont val="宋体"/>
        <family val="3"/>
        <charset val="134"/>
      </rPr>
      <t>大多数公司采用企业本身的权益工具，或者企业控股公司。企业控股公司通常为专门设立的股权激励平台公司或者控股壳公司。管理层和股东对股份支付的会计影响的认知可能与准则不一致，注册会计师需要深入沟通讨论。通常如下情形属于股份支付的会计影响事项：</t>
    </r>
  </si>
  <si>
    <r>
      <t>1.</t>
    </r>
    <r>
      <rPr>
        <sz val="10.5"/>
        <rFont val="宋体"/>
        <family val="3"/>
        <charset val="134"/>
      </rPr>
      <t>公司向董事、高管、核心员工、员工持股平台或者其他人员，发行的新股股份价格明显低于公允价值。这里，要注意其他人员，包括个人或者公司，也可能落入股份支付的范畴，进而导致股份支付的影响；</t>
    </r>
  </si>
  <si>
    <r>
      <t>2.</t>
    </r>
    <r>
      <rPr>
        <sz val="10.5"/>
        <rFont val="宋体"/>
        <family val="3"/>
        <charset val="134"/>
      </rPr>
      <t>股东将其持有的股份以较低的价格转让给如上人士，也属于股份支付会计事项；</t>
    </r>
  </si>
  <si>
    <r>
      <t>3.</t>
    </r>
    <r>
      <rPr>
        <sz val="10.5"/>
        <rFont val="宋体"/>
        <family val="3"/>
        <charset val="134"/>
      </rPr>
      <t>股票发行价格低于每股净资产的，亦需格外关注。全国股转系统发布的《挂牌公司股票发行常见问题解答（一）》中，有相应要求。</t>
    </r>
  </si>
  <si>
    <r>
      <rPr>
        <sz val="10.5"/>
        <rFont val="宋体"/>
        <family val="3"/>
        <charset val="134"/>
      </rPr>
      <t>对</t>
    </r>
    <r>
      <rPr>
        <sz val="10.5"/>
        <rFont val="Arial Narrow"/>
        <family val="2"/>
      </rPr>
      <t>IPO</t>
    </r>
    <r>
      <rPr>
        <sz val="10.5"/>
        <rFont val="宋体"/>
        <family val="3"/>
        <charset val="134"/>
      </rPr>
      <t>企业，不仅此事项发生在公司实施股权激励的年度，会产生会计报表影响，而且即使此类事项发生的年度更早，即不在三年一期的申报财务报表的时间范围内，公司和注册会计师仍需关注。因为，此事项会影响历史资产负债表中权益项目期初数的正确分类，即股份支付会对留存收益和资本公积两个报表一级项目产生重分类影响。</t>
    </r>
  </si>
  <si>
    <r>
      <rPr>
        <sz val="10.5"/>
        <rFont val="宋体"/>
        <family val="3"/>
        <charset val="134"/>
      </rPr>
      <t>二、关注</t>
    </r>
    <r>
      <rPr>
        <sz val="10.5"/>
        <rFont val="Arial Narrow"/>
        <family val="2"/>
      </rPr>
      <t>IPO</t>
    </r>
    <r>
      <rPr>
        <sz val="10.5"/>
        <rFont val="宋体"/>
        <family val="3"/>
        <charset val="134"/>
      </rPr>
      <t>企业股权激励的初始计量</t>
    </r>
  </si>
  <si>
    <r>
      <rPr>
        <sz val="10.5"/>
        <rFont val="宋体"/>
        <family val="3"/>
        <charset val="134"/>
      </rPr>
      <t>由于</t>
    </r>
    <r>
      <rPr>
        <sz val="10.5"/>
        <rFont val="Arial Narrow"/>
        <family val="2"/>
      </rPr>
      <t>IPO</t>
    </r>
    <r>
      <rPr>
        <sz val="10.5"/>
        <rFont val="宋体"/>
        <family val="3"/>
        <charset val="134"/>
      </rPr>
      <t>企业的股份暂未在资本市场流通，公允价值的获取有一定难度。应当依据《企业会计准则第</t>
    </r>
    <r>
      <rPr>
        <sz val="10.5"/>
        <rFont val="Arial Narrow"/>
        <family val="2"/>
      </rPr>
      <t>22</t>
    </r>
    <r>
      <rPr>
        <sz val="10.5"/>
        <rFont val="宋体"/>
        <family val="3"/>
        <charset val="134"/>
      </rPr>
      <t>号</t>
    </r>
    <r>
      <rPr>
        <sz val="10.5"/>
        <rFont val="Arial Narrow"/>
        <family val="2"/>
      </rPr>
      <t>—</t>
    </r>
    <r>
      <rPr>
        <sz val="10.5"/>
        <rFont val="宋体"/>
        <family val="3"/>
        <charset val="134"/>
      </rPr>
      <t>金融工具确认和计量》的有关规定，确定权益工具的公允价值，并根据股份支付协议条款的条件进行调整。</t>
    </r>
  </si>
  <si>
    <r>
      <t>(</t>
    </r>
    <r>
      <rPr>
        <sz val="10.5"/>
        <rFont val="宋体"/>
        <family val="3"/>
        <charset val="134"/>
      </rPr>
      <t>一</t>
    </r>
    <r>
      <rPr>
        <sz val="10.5"/>
        <rFont val="Arial Narrow"/>
        <family val="2"/>
      </rPr>
      <t>)</t>
    </r>
    <r>
      <rPr>
        <sz val="10.5"/>
        <rFont val="宋体"/>
        <family val="3"/>
        <charset val="134"/>
      </rPr>
      <t>确定公允价值的三个层次</t>
    </r>
  </si>
  <si>
    <r>
      <rPr>
        <sz val="10.5"/>
        <rFont val="宋体"/>
        <family val="3"/>
        <charset val="134"/>
      </rPr>
      <t>第一层次，是企业在计量日能获得相同资产或负债在活跃市场上报价的，以该报价为依据确定公允价值；</t>
    </r>
  </si>
  <si>
    <r>
      <rPr>
        <sz val="10.5"/>
        <rFont val="宋体"/>
        <family val="3"/>
        <charset val="134"/>
      </rPr>
      <t>第二层次包括</t>
    </r>
    <r>
      <rPr>
        <sz val="10.5"/>
        <rFont val="Arial Narrow"/>
        <family val="2"/>
      </rPr>
      <t>: (a)</t>
    </r>
    <r>
      <rPr>
        <sz val="10.5"/>
        <rFont val="宋体"/>
        <family val="3"/>
        <charset val="134"/>
      </rPr>
      <t>活跃市场中类似资产或负债的报价；</t>
    </r>
    <r>
      <rPr>
        <sz val="10.5"/>
        <rFont val="Arial Narrow"/>
        <family val="2"/>
      </rPr>
      <t>(b)</t>
    </r>
    <r>
      <rPr>
        <sz val="10.5"/>
        <rFont val="宋体"/>
        <family val="3"/>
        <charset val="134"/>
      </rPr>
      <t>非活跃市场中相同或类似资产或负债的报价；</t>
    </r>
    <r>
      <rPr>
        <sz val="10.5"/>
        <rFont val="Arial Narrow"/>
        <family val="2"/>
      </rPr>
      <t>(c)</t>
    </r>
    <r>
      <rPr>
        <sz val="10.5"/>
        <rFont val="宋体"/>
        <family val="3"/>
        <charset val="134"/>
      </rPr>
      <t>除报价以外的其他可观察输入值，包括在正常报价间隔期间可观察的利率和收益率曲线、隐含波动率和信用利差等；</t>
    </r>
    <r>
      <rPr>
        <sz val="10.5"/>
        <rFont val="Arial Narrow"/>
        <family val="2"/>
      </rPr>
      <t xml:space="preserve">(d) </t>
    </r>
    <r>
      <rPr>
        <sz val="10.5"/>
        <rFont val="宋体"/>
        <family val="3"/>
        <charset val="134"/>
      </rPr>
      <t>市场验证的输入值等。市场验证的输入值，是指通过相关性分析或其他手段获得的主要来源于可观察市场数据或者经过可观察市场数据验证的输入值；</t>
    </r>
  </si>
  <si>
    <r>
      <rPr>
        <sz val="10.5"/>
        <rFont val="宋体"/>
        <family val="3"/>
        <charset val="134"/>
      </rPr>
      <t>第三层次，输入值是相关资产或负债的不可观察输入值。输入值，是指市场参与者在给相关资产或负债定价时所使用的假设，包括可观察输入值和不可观察输入值。</t>
    </r>
  </si>
  <si>
    <r>
      <rPr>
        <sz val="10.5"/>
        <rFont val="宋体"/>
        <family val="3"/>
        <charset val="134"/>
      </rPr>
      <t>注册会计师需要提醒</t>
    </r>
    <r>
      <rPr>
        <sz val="10.5"/>
        <rFont val="Arial Narrow"/>
        <family val="2"/>
      </rPr>
      <t>IPO</t>
    </r>
    <r>
      <rPr>
        <sz val="10.5"/>
        <rFont val="宋体"/>
        <family val="3"/>
        <charset val="134"/>
      </rPr>
      <t>企业管理层，依靠第二或第三层次的公允价值估计，采用可行的操作方法确定。</t>
    </r>
  </si>
  <si>
    <r>
      <t>（</t>
    </r>
    <r>
      <rPr>
        <sz val="11"/>
        <color theme="1"/>
        <rFont val="宋体"/>
        <family val="3"/>
        <charset val="134"/>
      </rPr>
      <t>二）管理层确定公允价值的考虑</t>
    </r>
  </si>
  <si>
    <r>
      <rPr>
        <sz val="10.5"/>
        <rFont val="宋体"/>
        <family val="3"/>
        <charset val="134"/>
      </rPr>
      <t>通常管理层需要考虑以下四个维度，做出相互印证：</t>
    </r>
  </si>
  <si>
    <r>
      <t>1.</t>
    </r>
    <r>
      <rPr>
        <sz val="10.5"/>
        <rFont val="宋体"/>
        <family val="3"/>
        <charset val="134"/>
      </rPr>
      <t>以引入外部机构或战略投资者相对公允的价格作为参照依据。从参考时效上，通常考虑六个月之内的股权交易，并考虑近期公司业务是否有重大变化。如果发行价格明显不公允，例如，为换取外部投资者为企业带来的资源或其他利益，而单独确定发行价格的情况等，应当予以排除；</t>
    </r>
  </si>
  <si>
    <r>
      <t>2.</t>
    </r>
    <r>
      <rPr>
        <sz val="10.5"/>
        <rFont val="宋体"/>
        <family val="3"/>
        <charset val="134"/>
      </rPr>
      <t>引入专业的资产评估机构进行评估，比如首选现金流折现法；</t>
    </r>
  </si>
  <si>
    <r>
      <t>3.</t>
    </r>
    <r>
      <rPr>
        <sz val="10.5"/>
        <rFont val="宋体"/>
        <family val="3"/>
        <charset val="134"/>
      </rPr>
      <t>以相同或类似行业市盈率、市净率，作为衡量公允价值的校对依据；</t>
    </r>
  </si>
  <si>
    <r>
      <t>4.</t>
    </r>
    <r>
      <rPr>
        <sz val="10.5"/>
        <rFont val="宋体"/>
        <family val="3"/>
        <charset val="134"/>
      </rPr>
      <t>使用期权定价模型。</t>
    </r>
  </si>
  <si>
    <r>
      <rPr>
        <sz val="10.5"/>
        <rFont val="宋体"/>
        <family val="3"/>
        <charset val="134"/>
      </rPr>
      <t>三、关注</t>
    </r>
    <r>
      <rPr>
        <sz val="10.5"/>
        <rFont val="Arial Narrow"/>
        <family val="2"/>
      </rPr>
      <t>IPO</t>
    </r>
    <r>
      <rPr>
        <sz val="10.5"/>
        <rFont val="宋体"/>
        <family val="3"/>
        <charset val="134"/>
      </rPr>
      <t>企业对股权激励费用的处置</t>
    </r>
  </si>
  <si>
    <r>
      <t>《</t>
    </r>
    <r>
      <rPr>
        <sz val="10.5"/>
        <rFont val="宋体"/>
        <family val="3"/>
        <charset val="134"/>
      </rPr>
      <t>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股份支付》第五条规定</t>
    </r>
    <r>
      <rPr>
        <sz val="10.5"/>
        <rFont val="Arial Narrow"/>
        <family val="2"/>
      </rPr>
      <t>“</t>
    </r>
    <r>
      <rPr>
        <sz val="10.5"/>
        <rFont val="宋体"/>
        <family val="3"/>
        <charset val="134"/>
      </rPr>
      <t>授予后立即可行权的换取职工服务的以权益结算的股份支付，应当在授予日按照权益工具的公允价值计入相关成本或费用，相应增加资本公积。</t>
    </r>
    <r>
      <rPr>
        <sz val="10.5"/>
        <rFont val="Arial Narrow"/>
        <family val="2"/>
      </rPr>
      <t>”</t>
    </r>
    <r>
      <rPr>
        <sz val="10.5"/>
        <rFont val="宋体"/>
        <family val="3"/>
        <charset val="134"/>
      </rPr>
      <t>从股权激励的交易实质上来看，该交易的目的是为了获取员工或其他人士未来的服务。由于服务是在设定的较长的会计期间提供，基于成本费用与获取的经济资源</t>
    </r>
    <r>
      <rPr>
        <sz val="10.5"/>
        <rFont val="Arial Narrow"/>
        <family val="2"/>
      </rPr>
      <t>(</t>
    </r>
    <r>
      <rPr>
        <sz val="10.5"/>
        <rFont val="宋体"/>
        <family val="3"/>
        <charset val="134"/>
      </rPr>
      <t>服务</t>
    </r>
    <r>
      <rPr>
        <sz val="10.5"/>
        <rFont val="Arial Narrow"/>
        <family val="2"/>
      </rPr>
      <t>)</t>
    </r>
    <r>
      <rPr>
        <sz val="10.5"/>
        <rFont val="宋体"/>
        <family val="3"/>
        <charset val="134"/>
      </rPr>
      <t>相配比的会计原则，股份支付费用通常应该在对应的服务期间内分期摊销。因此，注册会计师需要了解公司在股份支付计划授予之时，管理层对摊销期间的判断。而</t>
    </r>
    <r>
      <rPr>
        <sz val="10.5"/>
        <rFont val="Arial Narrow"/>
        <family val="2"/>
      </rPr>
      <t>IPO</t>
    </r>
    <r>
      <rPr>
        <sz val="10.5"/>
        <rFont val="宋体"/>
        <family val="3"/>
        <charset val="134"/>
      </rPr>
      <t>企业股权激励的支出，是一次性计入相关成本或费用还是分期摊销计入相关成本或费用，要取决于向员工授予期权的目的和条件。</t>
    </r>
  </si>
  <si>
    <r>
      <t>（</t>
    </r>
    <r>
      <rPr>
        <sz val="10.5"/>
        <rFont val="宋体"/>
        <family val="3"/>
        <charset val="134"/>
      </rPr>
      <t>一）根据现有</t>
    </r>
    <r>
      <rPr>
        <sz val="10.5"/>
        <rFont val="Arial Narrow"/>
        <family val="2"/>
      </rPr>
      <t>IPO</t>
    </r>
    <r>
      <rPr>
        <sz val="10.5"/>
        <rFont val="宋体"/>
        <family val="3"/>
        <charset val="134"/>
      </rPr>
      <t>企业的实际情况来看，有些</t>
    </r>
    <r>
      <rPr>
        <sz val="10.5"/>
        <rFont val="Arial Narrow"/>
        <family val="2"/>
      </rPr>
      <t>IPO</t>
    </r>
    <r>
      <rPr>
        <sz val="10.5"/>
        <rFont val="宋体"/>
        <family val="3"/>
        <charset val="134"/>
      </rPr>
      <t>企业授予的股份虽然存在股权锁定期，但这个期限仅仅要求履行一般意义上的</t>
    </r>
    <r>
      <rPr>
        <sz val="10.5"/>
        <rFont val="Arial Narrow"/>
        <family val="2"/>
      </rPr>
      <t>IPO</t>
    </r>
    <r>
      <rPr>
        <sz val="10.5"/>
        <rFont val="宋体"/>
        <family val="3"/>
        <charset val="134"/>
      </rPr>
      <t>企业原股东的禁售义务，并不要求获取股权激励的员工在未来限售期内继续为本企业服务或者达到业绩条件，即服务期限的不确定性使得股份支付之后的限售期成为非可行权条件。因此，这类股权锁定期并不能作为股份支付费用进行分期摊销的充分条件，此时股份支付费用应当全部进入授予日报告期损益；</t>
    </r>
  </si>
  <si>
    <r>
      <t>（</t>
    </r>
    <r>
      <rPr>
        <sz val="10.5"/>
        <rFont val="宋体"/>
        <family val="3"/>
        <charset val="134"/>
      </rPr>
      <t>二）</t>
    </r>
    <r>
      <rPr>
        <sz val="11"/>
        <color theme="1"/>
        <rFont val="宋体"/>
        <family val="3"/>
        <charset val="134"/>
      </rPr>
      <t>如果股东与高管员工等人士有相应的合同条款，该条款对获取股权激励的员工具有强制性的服务期限约束，即企业获取服务与服务期限是确定的，这样的可行权条件，会计处理应做分期摊销。</t>
    </r>
  </si>
  <si>
    <r>
      <rPr>
        <sz val="10.5"/>
        <rFont val="宋体"/>
        <family val="3"/>
        <charset val="134"/>
      </rPr>
      <t>四、结合</t>
    </r>
    <r>
      <rPr>
        <sz val="10.5"/>
        <rFont val="Arial Narrow"/>
        <family val="2"/>
      </rPr>
      <t>IPO</t>
    </r>
    <r>
      <rPr>
        <sz val="10.5"/>
        <rFont val="宋体"/>
        <family val="3"/>
        <charset val="134"/>
      </rPr>
      <t>企业的上市申请时间表，关注证监会上市规则的要求</t>
    </r>
  </si>
  <si>
    <r>
      <t>（</t>
    </r>
    <r>
      <rPr>
        <sz val="11"/>
        <color theme="1"/>
        <rFont val="宋体"/>
        <family val="3"/>
        <charset val="134"/>
      </rPr>
      <t>一）证监会规定</t>
    </r>
  </si>
  <si>
    <r>
      <rPr>
        <sz val="10.5"/>
        <rFont val="宋体"/>
        <family val="3"/>
        <charset val="134"/>
      </rPr>
      <t>根据证监会于</t>
    </r>
    <r>
      <rPr>
        <sz val="10.5"/>
        <rFont val="Arial Narrow"/>
        <family val="2"/>
      </rPr>
      <t>2015</t>
    </r>
    <r>
      <rPr>
        <sz val="10.5"/>
        <rFont val="宋体"/>
        <family val="3"/>
        <charset val="134"/>
      </rPr>
      <t>年</t>
    </r>
    <r>
      <rPr>
        <sz val="10.5"/>
        <rFont val="Arial Narrow"/>
        <family val="2"/>
      </rPr>
      <t>12</t>
    </r>
    <r>
      <rPr>
        <sz val="10.5"/>
        <rFont val="宋体"/>
        <family val="3"/>
        <charset val="134"/>
      </rPr>
      <t>月</t>
    </r>
    <r>
      <rPr>
        <sz val="10.5"/>
        <rFont val="Arial Narrow"/>
        <family val="2"/>
      </rPr>
      <t>30</t>
    </r>
    <r>
      <rPr>
        <sz val="10.5"/>
        <rFont val="宋体"/>
        <family val="3"/>
        <charset val="134"/>
      </rPr>
      <t>日颁布的《首次公开发行股票并上市管理办法》</t>
    </r>
    <r>
      <rPr>
        <sz val="10.5"/>
        <rFont val="Arial Narrow"/>
        <family val="2"/>
      </rPr>
      <t>(</t>
    </r>
    <r>
      <rPr>
        <sz val="10.5"/>
        <rFont val="宋体"/>
        <family val="3"/>
        <charset val="134"/>
      </rPr>
      <t>修订</t>
    </r>
    <r>
      <rPr>
        <sz val="10.5"/>
        <rFont val="Arial Narrow"/>
        <family val="2"/>
      </rPr>
      <t>)</t>
    </r>
    <r>
      <rPr>
        <sz val="10.5"/>
        <rFont val="宋体"/>
        <family val="3"/>
        <charset val="134"/>
      </rPr>
      <t>第十三条规定</t>
    </r>
    <r>
      <rPr>
        <sz val="10.5"/>
        <rFont val="Arial Narrow"/>
        <family val="2"/>
      </rPr>
      <t>“</t>
    </r>
    <r>
      <rPr>
        <sz val="10.5"/>
        <rFont val="宋体"/>
        <family val="3"/>
        <charset val="134"/>
      </rPr>
      <t>发行人的股权清晰，控股股东和受控股股东、实际控制人支配的股东持有的发行人股份不存在重大权属纠纷。</t>
    </r>
    <r>
      <rPr>
        <sz val="10.5"/>
        <rFont val="Arial Narrow"/>
        <family val="2"/>
      </rPr>
      <t>”</t>
    </r>
    <r>
      <rPr>
        <sz val="10.5"/>
        <rFont val="宋体"/>
        <family val="3"/>
        <charset val="134"/>
      </rPr>
      <t>由于股权激励事项大部分都存在可行权条件，涉及服务期限条件和业绩条件，这些条件的设定会被证监会认定为</t>
    </r>
    <r>
      <rPr>
        <sz val="10.5"/>
        <rFont val="Arial Narrow"/>
        <family val="2"/>
      </rPr>
      <t>“</t>
    </r>
    <r>
      <rPr>
        <sz val="10.5"/>
        <rFont val="宋体"/>
        <family val="3"/>
        <charset val="134"/>
      </rPr>
      <t>股权不清晰</t>
    </r>
    <r>
      <rPr>
        <sz val="10.5"/>
        <rFont val="Arial Narrow"/>
        <family val="2"/>
      </rPr>
      <t>”</t>
    </r>
    <r>
      <rPr>
        <sz val="10.5"/>
        <rFont val="宋体"/>
        <family val="3"/>
        <charset val="134"/>
      </rPr>
      <t>，而不满足上市要求。</t>
    </r>
  </si>
  <si>
    <r>
      <rPr>
        <sz val="10.5"/>
        <rFont val="宋体"/>
        <family val="3"/>
        <charset val="134"/>
      </rPr>
      <t>例如：被授予对象在摊销期限内离职，其授予的股权归属问题；业绩条件中包括的市场条件、非市场条件能否实现，进而影响到被授予人能否取得股权等。因此，</t>
    </r>
    <r>
      <rPr>
        <sz val="10.5"/>
        <rFont val="Arial Narrow"/>
        <family val="2"/>
      </rPr>
      <t>IPO</t>
    </r>
    <r>
      <rPr>
        <sz val="10.5"/>
        <rFont val="宋体"/>
        <family val="3"/>
        <charset val="134"/>
      </rPr>
      <t>企业为避免被认定为股权不清晰，而对上市进程产生较大影响，企业通常的做法是在协议文件中约定，如果公司能够达成</t>
    </r>
    <r>
      <rPr>
        <sz val="10.5"/>
        <rFont val="Arial Narrow"/>
        <family val="2"/>
      </rPr>
      <t>IPO</t>
    </r>
    <r>
      <rPr>
        <sz val="10.5"/>
        <rFont val="宋体"/>
        <family val="3"/>
        <charset val="134"/>
      </rPr>
      <t>，即提前解除被授予人的服务锁定到期日，而以</t>
    </r>
    <r>
      <rPr>
        <sz val="10.5"/>
        <rFont val="Arial Narrow"/>
        <family val="2"/>
      </rPr>
      <t>IPO</t>
    </r>
    <r>
      <rPr>
        <sz val="10.5"/>
        <rFont val="宋体"/>
        <family val="3"/>
        <charset val="134"/>
      </rPr>
      <t>达成之日为终止点。</t>
    </r>
  </si>
  <si>
    <r>
      <rPr>
        <sz val="10.5"/>
        <rFont val="宋体"/>
        <family val="3"/>
        <charset val="134"/>
      </rPr>
      <t>如公司即将申报或已申报上市文件，并与相关员工约定如果公司在原约定的解锁日之前上市，则股份支付相关的股份立即解锁。公司应合理预估与员工签署的协议中约定的股份授予服务期，即股份支付锁定期（将此期间定义为</t>
    </r>
    <r>
      <rPr>
        <sz val="10.5"/>
        <rFont val="Arial Narrow"/>
        <family val="2"/>
      </rPr>
      <t>“a”</t>
    </r>
    <r>
      <rPr>
        <sz val="10.5"/>
        <rFont val="宋体"/>
        <family val="3"/>
        <charset val="134"/>
      </rPr>
      <t>），以及自股份支付授予日至上市之前临近的报告期截止日之间的时间（将此期间定义为</t>
    </r>
    <r>
      <rPr>
        <sz val="10.5"/>
        <rFont val="Arial Narrow"/>
        <family val="2"/>
      </rPr>
      <t>“b”</t>
    </r>
    <r>
      <rPr>
        <sz val="10.5"/>
        <rFont val="宋体"/>
        <family val="3"/>
        <charset val="134"/>
      </rPr>
      <t>）孰短，以孰短的期限作为股份支付的摊销期限。例如，公司在股份激励的协议文件中规定员工服务期即</t>
    </r>
    <r>
      <rPr>
        <sz val="10.5"/>
        <rFont val="Arial Narrow"/>
        <family val="2"/>
      </rPr>
      <t>“a”</t>
    </r>
    <r>
      <rPr>
        <sz val="10.5"/>
        <rFont val="宋体"/>
        <family val="3"/>
        <charset val="134"/>
      </rPr>
      <t>是</t>
    </r>
    <r>
      <rPr>
        <sz val="10.5"/>
        <rFont val="Arial Narrow"/>
        <family val="2"/>
      </rPr>
      <t>36</t>
    </r>
    <r>
      <rPr>
        <sz val="10.5"/>
        <rFont val="宋体"/>
        <family val="3"/>
        <charset val="134"/>
      </rPr>
      <t>个月，公司根据上市申请的节奏和成功获批的时间判断，第</t>
    </r>
    <r>
      <rPr>
        <sz val="10.5"/>
        <rFont val="Arial Narrow"/>
        <family val="2"/>
      </rPr>
      <t>26</t>
    </r>
    <r>
      <rPr>
        <sz val="10.5"/>
        <rFont val="宋体"/>
        <family val="3"/>
        <charset val="134"/>
      </rPr>
      <t>个月能够获批</t>
    </r>
    <r>
      <rPr>
        <sz val="10.5"/>
        <rFont val="Arial Narrow"/>
        <family val="2"/>
      </rPr>
      <t>IPO</t>
    </r>
    <r>
      <rPr>
        <sz val="10.5"/>
        <rFont val="宋体"/>
        <family val="3"/>
        <charset val="134"/>
      </rPr>
      <t>，即</t>
    </r>
    <r>
      <rPr>
        <sz val="10.5"/>
        <rFont val="Arial Narrow"/>
        <family val="2"/>
      </rPr>
      <t>“b”</t>
    </r>
    <r>
      <rPr>
        <sz val="10.5"/>
        <rFont val="宋体"/>
        <family val="3"/>
        <charset val="134"/>
      </rPr>
      <t>为</t>
    </r>
    <r>
      <rPr>
        <sz val="10.5"/>
        <rFont val="Arial Narrow"/>
        <family val="2"/>
      </rPr>
      <t>26</t>
    </r>
    <r>
      <rPr>
        <sz val="10.5"/>
        <rFont val="宋体"/>
        <family val="3"/>
        <charset val="134"/>
      </rPr>
      <t>个月。此种情形下，注册会计师应关注公司管理层对期间</t>
    </r>
    <r>
      <rPr>
        <sz val="10.5"/>
        <rFont val="Arial Narrow"/>
        <family val="2"/>
      </rPr>
      <t>b</t>
    </r>
    <r>
      <rPr>
        <sz val="10.5"/>
        <rFont val="宋体"/>
        <family val="3"/>
        <charset val="134"/>
      </rPr>
      <t>的分析和判断，在会计的摊销处理上，采用</t>
    </r>
    <r>
      <rPr>
        <sz val="10.5"/>
        <rFont val="Arial Narrow"/>
        <family val="2"/>
      </rPr>
      <t>a</t>
    </r>
    <r>
      <rPr>
        <sz val="10.5"/>
        <rFont val="宋体"/>
        <family val="3"/>
        <charset val="134"/>
      </rPr>
      <t>和</t>
    </r>
    <r>
      <rPr>
        <sz val="10.5"/>
        <rFont val="Arial Narrow"/>
        <family val="2"/>
      </rPr>
      <t>b</t>
    </r>
    <r>
      <rPr>
        <sz val="10.5"/>
        <rFont val="宋体"/>
        <family val="3"/>
        <charset val="134"/>
      </rPr>
      <t>孰短的做法。</t>
    </r>
  </si>
  <si>
    <r>
      <rPr>
        <sz val="10.5"/>
        <rFont val="宋体"/>
        <family val="3"/>
        <charset val="134"/>
      </rPr>
      <t>此外，管理层还应持续关注，在每六个月追加申报报表的更新报告之时，对上市被批准的最终时间段</t>
    </r>
    <r>
      <rPr>
        <sz val="10.5"/>
        <rFont val="Arial Narrow"/>
        <family val="2"/>
      </rPr>
      <t>“b”</t>
    </r>
    <r>
      <rPr>
        <sz val="10.5"/>
        <rFont val="宋体"/>
        <family val="3"/>
        <charset val="134"/>
      </rPr>
      <t>的刷新判断，据此考量摊销的期间是否需要修改。</t>
    </r>
  </si>
  <si>
    <r>
      <t>（</t>
    </r>
    <r>
      <rPr>
        <sz val="11"/>
        <color theme="1"/>
        <rFont val="宋体"/>
        <family val="3"/>
        <charset val="134"/>
      </rPr>
      <t>二）示例</t>
    </r>
  </si>
  <si>
    <r>
      <t>2015</t>
    </r>
    <r>
      <rPr>
        <sz val="10.5"/>
        <rFont val="宋体"/>
        <family val="3"/>
        <charset val="134"/>
      </rPr>
      <t>年</t>
    </r>
    <r>
      <rPr>
        <sz val="10.5"/>
        <rFont val="Arial Narrow"/>
        <family val="2"/>
      </rPr>
      <t>1</t>
    </r>
    <r>
      <rPr>
        <sz val="10.5"/>
        <rFont val="宋体"/>
        <family val="3"/>
        <charset val="134"/>
      </rPr>
      <t>月，某</t>
    </r>
    <r>
      <rPr>
        <sz val="10.5"/>
        <rFont val="Arial Narrow"/>
        <family val="2"/>
      </rPr>
      <t>IPO</t>
    </r>
    <r>
      <rPr>
        <sz val="10.5"/>
        <rFont val="宋体"/>
        <family val="3"/>
        <charset val="134"/>
      </rPr>
      <t>企业在充分保障股东利益的前提下，拟对主要管理层及核心员工进行激励，实施了向非公司现有股东的主要管理层及核心员工共计若干人定向增发股份的激励计划。公司认为，上述向非公司现有股东的主要管理层及核心员工定向增发股份事项，其满足股份支付的全部特征，应采用《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股份支付》相关的规定进行账务处理及披露。</t>
    </r>
  </si>
  <si>
    <r>
      <rPr>
        <sz val="10.5"/>
        <rFont val="宋体"/>
        <family val="3"/>
        <charset val="134"/>
      </rPr>
      <t>由于公司与被授予对象均签署承诺函，明确认可自本激励计划授予日起</t>
    </r>
    <r>
      <rPr>
        <sz val="10.5"/>
        <rFont val="Arial Narrow"/>
        <family val="2"/>
      </rPr>
      <t>3</t>
    </r>
    <r>
      <rPr>
        <sz val="10.5"/>
        <rFont val="宋体"/>
        <family val="3"/>
        <charset val="134"/>
      </rPr>
      <t>年内全职在公司工作后，才有权享有股权激励计划的相关收益。因此，公司认为股份支付锁定期</t>
    </r>
    <r>
      <rPr>
        <sz val="10.5"/>
        <rFont val="Arial Narrow"/>
        <family val="2"/>
      </rPr>
      <t>a</t>
    </r>
    <r>
      <rPr>
        <sz val="10.5"/>
        <rFont val="宋体"/>
        <family val="3"/>
        <charset val="134"/>
      </rPr>
      <t>为</t>
    </r>
    <r>
      <rPr>
        <sz val="10.5"/>
        <rFont val="Arial Narrow"/>
        <family val="2"/>
      </rPr>
      <t>36</t>
    </r>
    <r>
      <rPr>
        <sz val="10.5"/>
        <rFont val="宋体"/>
        <family val="3"/>
        <charset val="134"/>
      </rPr>
      <t>个月。</t>
    </r>
    <r>
      <rPr>
        <sz val="10.5"/>
        <rFont val="Arial Narrow"/>
        <family val="2"/>
      </rPr>
      <t>2015</t>
    </r>
    <r>
      <rPr>
        <sz val="10.5"/>
        <rFont val="宋体"/>
        <family val="3"/>
        <charset val="134"/>
      </rPr>
      <t>年</t>
    </r>
    <r>
      <rPr>
        <sz val="10.5"/>
        <rFont val="Arial Narrow"/>
        <family val="2"/>
      </rPr>
      <t>1</t>
    </r>
    <r>
      <rPr>
        <sz val="10.5"/>
        <rFont val="宋体"/>
        <family val="3"/>
        <charset val="134"/>
      </rPr>
      <t>月，公司启动</t>
    </r>
    <r>
      <rPr>
        <sz val="10.5"/>
        <rFont val="Arial Narrow"/>
        <family val="2"/>
      </rPr>
      <t>A</t>
    </r>
    <r>
      <rPr>
        <sz val="10.5"/>
        <rFont val="宋体"/>
        <family val="3"/>
        <charset val="134"/>
      </rPr>
      <t>股创业板</t>
    </r>
    <r>
      <rPr>
        <sz val="10.5"/>
        <rFont val="Arial Narrow"/>
        <family val="2"/>
      </rPr>
      <t>IPO</t>
    </r>
    <r>
      <rPr>
        <sz val="10.5"/>
        <rFont val="宋体"/>
        <family val="3"/>
        <charset val="134"/>
      </rPr>
      <t>计划，公司管理层在此时分析判断，自</t>
    </r>
    <r>
      <rPr>
        <sz val="10.5"/>
        <rFont val="Arial Narrow"/>
        <family val="2"/>
      </rPr>
      <t>2015</t>
    </r>
    <r>
      <rPr>
        <sz val="10.5"/>
        <rFont val="宋体"/>
        <family val="3"/>
        <charset val="134"/>
      </rPr>
      <t>年</t>
    </r>
    <r>
      <rPr>
        <sz val="10.5"/>
        <rFont val="Arial Narrow"/>
        <family val="2"/>
      </rPr>
      <t>1</t>
    </r>
    <r>
      <rPr>
        <sz val="10.5"/>
        <rFont val="宋体"/>
        <family val="3"/>
        <charset val="134"/>
      </rPr>
      <t>月</t>
    </r>
    <r>
      <rPr>
        <sz val="10.5"/>
        <rFont val="Arial Narrow"/>
        <family val="2"/>
      </rPr>
      <t>IPO</t>
    </r>
    <r>
      <rPr>
        <sz val="10.5"/>
        <rFont val="宋体"/>
        <family val="3"/>
        <charset val="134"/>
      </rPr>
      <t>启动至上市前被审核的最近一个会计期间截止日，预计将持续</t>
    </r>
    <r>
      <rPr>
        <sz val="10.5"/>
        <rFont val="Arial Narrow"/>
        <family val="2"/>
      </rPr>
      <t>24</t>
    </r>
    <r>
      <rPr>
        <sz val="10.5"/>
        <rFont val="宋体"/>
        <family val="3"/>
        <charset val="134"/>
      </rPr>
      <t>个月，即</t>
    </r>
    <r>
      <rPr>
        <sz val="10.5"/>
        <rFont val="Arial Narrow"/>
        <family val="2"/>
      </rPr>
      <t>b</t>
    </r>
    <r>
      <rPr>
        <sz val="10.5"/>
        <rFont val="宋体"/>
        <family val="3"/>
        <charset val="134"/>
      </rPr>
      <t>为</t>
    </r>
    <r>
      <rPr>
        <sz val="10.5"/>
        <rFont val="Arial Narrow"/>
        <family val="2"/>
      </rPr>
      <t>24</t>
    </r>
    <r>
      <rPr>
        <sz val="10.5"/>
        <rFont val="宋体"/>
        <family val="3"/>
        <charset val="134"/>
      </rPr>
      <t>个月。因此，为确保上市审核时遵守</t>
    </r>
    <r>
      <rPr>
        <sz val="10.5"/>
        <rFont val="Arial Narrow"/>
        <family val="2"/>
      </rPr>
      <t>IPO</t>
    </r>
    <r>
      <rPr>
        <sz val="10.5"/>
        <rFont val="宋体"/>
        <family val="3"/>
        <charset val="134"/>
      </rPr>
      <t>规则中</t>
    </r>
    <r>
      <rPr>
        <sz val="10.5"/>
        <rFont val="Arial Narrow"/>
        <family val="2"/>
      </rPr>
      <t>“</t>
    </r>
    <r>
      <rPr>
        <sz val="10.5"/>
        <rFont val="宋体"/>
        <family val="3"/>
        <charset val="134"/>
      </rPr>
      <t>股权清晰</t>
    </r>
    <r>
      <rPr>
        <sz val="10.5"/>
        <rFont val="Arial Narrow"/>
        <family val="2"/>
      </rPr>
      <t>”</t>
    </r>
    <r>
      <rPr>
        <sz val="10.5"/>
        <rFont val="宋体"/>
        <family val="3"/>
        <charset val="134"/>
      </rPr>
      <t>的要求，公司与相关员工约定</t>
    </r>
    <r>
      <rPr>
        <sz val="10.5"/>
        <rFont val="Arial Narrow"/>
        <family val="2"/>
      </rPr>
      <t>“</t>
    </r>
    <r>
      <rPr>
        <sz val="10.5"/>
        <rFont val="宋体"/>
        <family val="3"/>
        <charset val="134"/>
      </rPr>
      <t>如果公司在原约定的解锁日之前上市，则股份支付相关的股份立即解锁</t>
    </r>
    <r>
      <rPr>
        <sz val="10.5"/>
        <rFont val="Arial Narrow"/>
        <family val="2"/>
      </rPr>
      <t>”</t>
    </r>
    <r>
      <rPr>
        <sz val="10.5"/>
        <rFont val="宋体"/>
        <family val="3"/>
        <charset val="134"/>
      </rPr>
      <t>。公司按照修订服务期条件采用股份支付锁定期与自股份支付授予日至上市成功日之间孰短的原则，应按</t>
    </r>
    <r>
      <rPr>
        <sz val="10.5"/>
        <rFont val="Arial Narrow"/>
        <family val="2"/>
      </rPr>
      <t>b</t>
    </r>
    <r>
      <rPr>
        <sz val="10.5"/>
        <rFont val="宋体"/>
        <family val="3"/>
        <charset val="134"/>
      </rPr>
      <t>即</t>
    </r>
    <r>
      <rPr>
        <sz val="10.5"/>
        <rFont val="Arial Narrow"/>
        <family val="2"/>
      </rPr>
      <t>24</t>
    </r>
    <r>
      <rPr>
        <sz val="10.5"/>
        <rFont val="宋体"/>
        <family val="3"/>
        <charset val="134"/>
      </rPr>
      <t>个月对股份支付的公允价值进行摊销。同时，管理层还需在持续每六个月更新申报材料之时，依据相关外部监管规则和申请过程中环境的动态变化以及公司自身内部</t>
    </r>
    <r>
      <rPr>
        <sz val="10.5"/>
        <rFont val="Arial Narrow"/>
        <family val="2"/>
      </rPr>
      <t>IPO</t>
    </r>
    <r>
      <rPr>
        <sz val="10.5"/>
        <rFont val="宋体"/>
        <family val="3"/>
        <charset val="134"/>
      </rPr>
      <t>成熟度的把握，及时更新对</t>
    </r>
    <r>
      <rPr>
        <sz val="10.5"/>
        <rFont val="Arial Narrow"/>
        <family val="2"/>
      </rPr>
      <t>b</t>
    </r>
    <r>
      <rPr>
        <sz val="10.5"/>
        <rFont val="宋体"/>
        <family val="3"/>
        <charset val="134"/>
      </rPr>
      <t>的估计。</t>
    </r>
  </si>
  <si>
    <r>
      <rPr>
        <b/>
        <sz val="10.5"/>
        <color indexed="8"/>
        <rFont val="宋体"/>
        <family val="3"/>
        <charset val="134"/>
      </rPr>
      <t>北京注册会计师协会专家委员会专家提示第</t>
    </r>
    <r>
      <rPr>
        <b/>
        <sz val="10.5"/>
        <color indexed="8"/>
        <rFont val="Arial Narrow"/>
        <family val="2"/>
      </rPr>
      <t>5</t>
    </r>
    <r>
      <rPr>
        <b/>
        <sz val="10.5"/>
        <color indexed="8"/>
        <rFont val="宋体"/>
        <family val="3"/>
        <charset val="134"/>
      </rPr>
      <t>号</t>
    </r>
    <r>
      <rPr>
        <b/>
        <sz val="10.5"/>
        <color indexed="8"/>
        <rFont val="Arial Narrow"/>
        <family val="2"/>
      </rPr>
      <t>——IPO</t>
    </r>
    <r>
      <rPr>
        <b/>
        <sz val="10.5"/>
        <color indexed="8"/>
        <rFont val="宋体"/>
        <family val="3"/>
        <charset val="134"/>
      </rPr>
      <t>企业职工薪酬的审计</t>
    </r>
    <phoneticPr fontId="6" type="noConversion"/>
  </si>
  <si>
    <r>
      <rPr>
        <sz val="10.5"/>
        <color indexed="8"/>
        <rFont val="宋体"/>
        <family val="3"/>
        <charset val="134"/>
      </rPr>
      <t>职工薪酬作为重要的成本费用项目及舞弊操纵易发领域，是注册会计师在</t>
    </r>
    <r>
      <rPr>
        <sz val="10.5"/>
        <color indexed="8"/>
        <rFont val="Arial Narrow"/>
        <family val="2"/>
      </rPr>
      <t>IPO</t>
    </r>
    <r>
      <rPr>
        <sz val="10.5"/>
        <color indexed="8"/>
        <rFont val="宋体"/>
        <family val="3"/>
        <charset val="134"/>
      </rPr>
      <t>审计中需要特别关注的重点之一。现结合《企业会计准则》、《中国注册会计师执业准则》及相关法规对</t>
    </r>
    <r>
      <rPr>
        <sz val="10.5"/>
        <color indexed="8"/>
        <rFont val="Arial Narrow"/>
        <family val="2"/>
      </rPr>
      <t>IPO</t>
    </r>
    <r>
      <rPr>
        <sz val="10.5"/>
        <color indexed="8"/>
        <rFont val="宋体"/>
        <family val="3"/>
        <charset val="134"/>
      </rPr>
      <t>企业会计核算及规范运作的要求，就</t>
    </r>
    <r>
      <rPr>
        <sz val="10.5"/>
        <color indexed="8"/>
        <rFont val="Arial Narrow"/>
        <family val="2"/>
      </rPr>
      <t>IPO</t>
    </r>
    <r>
      <rPr>
        <sz val="10.5"/>
        <color indexed="8"/>
        <rFont val="宋体"/>
        <family val="3"/>
        <charset val="134"/>
      </rPr>
      <t>职工薪酬审计做如下风险提示。</t>
    </r>
  </si>
  <si>
    <r>
      <t xml:space="preserve">    </t>
    </r>
    <r>
      <rPr>
        <sz val="10.5"/>
        <color indexed="8"/>
        <rFont val="宋体"/>
        <family val="3"/>
        <charset val="134"/>
      </rPr>
      <t>本提示仅供事务所及相关业务人员在执行专项核查时参考，不能替代相关法律法规、注册会计师执业准则以及注册会计师个人的职业判断。事务所在执业中应结合项目实际情况、风险导向原则以及注册会计师的职业判断确定，不能直接照搬照抄。</t>
    </r>
  </si>
  <si>
    <r>
      <t>    IPO</t>
    </r>
    <r>
      <rPr>
        <sz val="10.5"/>
        <color indexed="8"/>
        <rFont val="宋体"/>
        <family val="3"/>
        <charset val="134"/>
      </rPr>
      <t>审计专家委员会针对</t>
    </r>
    <r>
      <rPr>
        <sz val="10.5"/>
        <color indexed="8"/>
        <rFont val="Arial Narrow"/>
        <family val="2"/>
      </rPr>
      <t>IPO</t>
    </r>
    <r>
      <rPr>
        <sz val="10.5"/>
        <color indexed="8"/>
        <rFont val="宋体"/>
        <family val="3"/>
        <charset val="134"/>
      </rPr>
      <t>企业职工薪酬的审计，提示如下：</t>
    </r>
  </si>
  <si>
    <r>
      <t xml:space="preserve">    </t>
    </r>
    <r>
      <rPr>
        <b/>
        <sz val="10.5"/>
        <color indexed="8"/>
        <rFont val="宋体"/>
        <family val="3"/>
        <charset val="134"/>
      </rPr>
      <t>一、职工薪酬的相关舞弊动机和方法</t>
    </r>
  </si>
  <si>
    <r>
      <t xml:space="preserve">    </t>
    </r>
    <r>
      <rPr>
        <sz val="10.5"/>
        <color indexed="8"/>
        <rFont val="宋体"/>
        <family val="3"/>
        <charset val="134"/>
      </rPr>
      <t>考虑到动机不同，企业利用职工薪酬的舞弊可分为盈利操纵和税收操纵。</t>
    </r>
    <r>
      <rPr>
        <sz val="10.5"/>
        <color indexed="8"/>
        <rFont val="Arial Narrow"/>
        <family val="2"/>
      </rPr>
      <t>IPO</t>
    </r>
    <r>
      <rPr>
        <sz val="10.5"/>
        <color indexed="8"/>
        <rFont val="宋体"/>
        <family val="3"/>
        <charset val="134"/>
      </rPr>
      <t>审计重点以防范盈利操纵为主，税收操纵涉及对企业规范运作要求。</t>
    </r>
  </si>
  <si>
    <r>
      <rPr>
        <sz val="10.5"/>
        <color indexed="8"/>
        <rFont val="宋体"/>
        <family val="3"/>
        <charset val="134"/>
      </rPr>
      <t>可能存在的舞弊情形主要有以下几种类型：</t>
    </r>
  </si>
  <si>
    <r>
      <t>    1</t>
    </r>
    <r>
      <rPr>
        <sz val="10.5"/>
        <color indexed="8"/>
        <rFont val="宋体"/>
        <family val="3"/>
        <charset val="134"/>
      </rPr>
      <t>．以侵占财产为目标，如虚增人数冒领工资侵占企业资产等；</t>
    </r>
  </si>
  <si>
    <r>
      <t>    2</t>
    </r>
    <r>
      <rPr>
        <sz val="10.5"/>
        <color indexed="8"/>
        <rFont val="宋体"/>
        <family val="3"/>
        <charset val="134"/>
      </rPr>
      <t>．以少缴个人所得税为目标，如将工资费用化或虚增人数</t>
    </r>
    <r>
      <rPr>
        <sz val="10.5"/>
        <color indexed="8"/>
        <rFont val="Arial Narrow"/>
        <family val="2"/>
      </rPr>
      <t>“</t>
    </r>
    <r>
      <rPr>
        <sz val="10.5"/>
        <color indexed="8"/>
        <rFont val="宋体"/>
        <family val="3"/>
        <charset val="134"/>
      </rPr>
      <t>化整为零</t>
    </r>
    <r>
      <rPr>
        <sz val="10.5"/>
        <color indexed="8"/>
        <rFont val="Arial Narrow"/>
        <family val="2"/>
      </rPr>
      <t>”</t>
    </r>
    <r>
      <rPr>
        <sz val="10.5"/>
        <color indexed="8"/>
        <rFont val="宋体"/>
        <family val="3"/>
        <charset val="134"/>
      </rPr>
      <t>少缴个人所得税等；</t>
    </r>
  </si>
  <si>
    <r>
      <t>    3</t>
    </r>
    <r>
      <rPr>
        <sz val="10.5"/>
        <color indexed="8"/>
        <rFont val="宋体"/>
        <family val="3"/>
        <charset val="134"/>
      </rPr>
      <t>．以少缴企业所得税为目标，如虚增人数以虚增薪酬总额、将资本化薪酬费用化、自产产品福利分配不确认收入成本等；</t>
    </r>
  </si>
  <si>
    <r>
      <t>    4</t>
    </r>
    <r>
      <rPr>
        <sz val="10.5"/>
        <color indexed="8"/>
        <rFont val="宋体"/>
        <family val="3"/>
        <charset val="134"/>
      </rPr>
      <t>．以盈利操纵为目标，如随意改变薪酬标准、延迟或提前确认薪酬费用、利用员工性质分类进行操纵或通过关联方承担薪酬改变费用金额等。</t>
    </r>
  </si>
  <si>
    <r>
      <t xml:space="preserve">    </t>
    </r>
    <r>
      <rPr>
        <sz val="10.5"/>
        <color indexed="8"/>
        <rFont val="宋体"/>
        <family val="3"/>
        <charset val="134"/>
      </rPr>
      <t>如果发现相关舞弊情形，除根据审计准则实施进一步程序外，还应考虑舞弊行为对内部控制有效性及规范运作的影响。如果涉及税收风险，则需要考虑相关行为是否构成重大违法等。</t>
    </r>
  </si>
  <si>
    <r>
      <t xml:space="preserve">    </t>
    </r>
    <r>
      <rPr>
        <b/>
        <sz val="10.5"/>
        <color indexed="8"/>
        <rFont val="宋体"/>
        <family val="3"/>
        <charset val="134"/>
      </rPr>
      <t>二、</t>
    </r>
    <r>
      <rPr>
        <b/>
        <sz val="10.5"/>
        <color indexed="8"/>
        <rFont val="Arial Narrow"/>
        <family val="2"/>
      </rPr>
      <t>IPO</t>
    </r>
    <r>
      <rPr>
        <b/>
        <sz val="10.5"/>
        <color indexed="8"/>
        <rFont val="宋体"/>
        <family val="3"/>
        <charset val="134"/>
      </rPr>
      <t>审计中具体事项的风险提示</t>
    </r>
  </si>
  <si>
    <r>
      <t xml:space="preserve">    </t>
    </r>
    <r>
      <rPr>
        <sz val="10.5"/>
        <color indexed="8"/>
        <rFont val="宋体"/>
        <family val="3"/>
        <charset val="134"/>
      </rPr>
      <t>下面，我们根据几种主要的风险事项提出相关操作提示。</t>
    </r>
  </si>
  <si>
    <r>
      <t xml:space="preserve">    </t>
    </r>
    <r>
      <rPr>
        <b/>
        <sz val="10.5"/>
        <color indexed="8"/>
        <rFont val="宋体"/>
        <family val="3"/>
        <charset val="134"/>
      </rPr>
      <t>风险提示一：随意改变薪酬标准</t>
    </r>
  </si>
  <si>
    <r>
      <t xml:space="preserve">    </t>
    </r>
    <r>
      <rPr>
        <sz val="10.5"/>
        <color indexed="8"/>
        <rFont val="宋体"/>
        <family val="3"/>
        <charset val="134"/>
      </rPr>
      <t>合理的薪酬制度和薪酬标准是企业核心竞争力的关键，如果在</t>
    </r>
    <r>
      <rPr>
        <sz val="10.5"/>
        <color indexed="8"/>
        <rFont val="Arial Narrow"/>
        <family val="2"/>
      </rPr>
      <t>IPO</t>
    </r>
    <r>
      <rPr>
        <sz val="10.5"/>
        <color indexed="8"/>
        <rFont val="宋体"/>
        <family val="3"/>
        <charset val="134"/>
      </rPr>
      <t>审计中发现企业存在随意改变职工薪酬标准而导致员工薪酬水平变化较大的情形，如在经营状况较好时提取额外的奖金福利、在经营业绩不及预期时阶段性降低薪酬标准等，注册会计师应当充分关注其合理性及粉饰业绩的可能性。</t>
    </r>
  </si>
  <si>
    <r>
      <t xml:space="preserve">    </t>
    </r>
    <r>
      <rPr>
        <b/>
        <sz val="10.5"/>
        <color indexed="8"/>
        <rFont val="宋体"/>
        <family val="3"/>
        <charset val="134"/>
      </rPr>
      <t>关注重点：</t>
    </r>
    <r>
      <rPr>
        <sz val="10.5"/>
        <color indexed="8"/>
        <rFont val="Arial Narrow"/>
        <family val="2"/>
      </rPr>
      <t>1</t>
    </r>
    <r>
      <rPr>
        <sz val="10.5"/>
        <color indexed="8"/>
        <rFont val="宋体"/>
        <family val="3"/>
        <charset val="134"/>
      </rPr>
      <t>、改变薪酬标准是否符合企业规定的决策程序，国有性质的企业是否经相关主管部门批准？</t>
    </r>
  </si>
  <si>
    <r>
      <t>    2</t>
    </r>
    <r>
      <rPr>
        <sz val="10.5"/>
        <color indexed="8"/>
        <rFont val="宋体"/>
        <family val="3"/>
        <charset val="134"/>
      </rPr>
      <t>、企业制定的薪酬制度和标准是否合理、是否符合税法规定、是否存在劳动纠纷隐患等？</t>
    </r>
  </si>
  <si>
    <r>
      <t>    3</t>
    </r>
    <r>
      <rPr>
        <sz val="10.5"/>
        <color indexed="8"/>
        <rFont val="宋体"/>
        <family val="3"/>
        <charset val="134"/>
      </rPr>
      <t>、改变薪酬标准的目的，是否与盈利目的相关？</t>
    </r>
  </si>
  <si>
    <r>
      <t>    4</t>
    </r>
    <r>
      <rPr>
        <sz val="10.5"/>
        <color indexed="8"/>
        <rFont val="宋体"/>
        <family val="3"/>
        <charset val="134"/>
      </rPr>
      <t>、结合经营状况和动机，关注是否可能存在其他盈利操纵行为。</t>
    </r>
  </si>
  <si>
    <r>
      <t xml:space="preserve">    </t>
    </r>
    <r>
      <rPr>
        <b/>
        <sz val="10.5"/>
        <color indexed="8"/>
        <rFont val="宋体"/>
        <family val="3"/>
        <charset val="134"/>
      </rPr>
      <t>风险提示二：薪酬水平异常偏低</t>
    </r>
  </si>
  <si>
    <r>
      <t xml:space="preserve">    </t>
    </r>
    <r>
      <rPr>
        <sz val="10.5"/>
        <color indexed="8"/>
        <rFont val="宋体"/>
        <family val="3"/>
        <charset val="134"/>
      </rPr>
      <t>一般情况下，企业薪酬水平应与企业规模、经营状况、行业或区域地位匹配，如果</t>
    </r>
    <r>
      <rPr>
        <sz val="10.5"/>
        <color indexed="8"/>
        <rFont val="Arial Narrow"/>
        <family val="2"/>
      </rPr>
      <t>IPO</t>
    </r>
    <r>
      <rPr>
        <sz val="10.5"/>
        <color indexed="8"/>
        <rFont val="宋体"/>
        <family val="3"/>
        <charset val="134"/>
      </rPr>
      <t>审计中发现存在异常偏低薪酬水平的情形，如人均水平远低于同行业或同地区的在岗职工平均水平，核心人员薪酬水平与同行业相比异常偏低等，注册会计师应当充分关注是否存在经营、舞弊操纵及其他审计风险。</t>
    </r>
  </si>
  <si>
    <r>
      <t xml:space="preserve">    </t>
    </r>
    <r>
      <rPr>
        <b/>
        <sz val="10.5"/>
        <color indexed="8"/>
        <rFont val="宋体"/>
        <family val="3"/>
        <charset val="134"/>
      </rPr>
      <t>关注重点：</t>
    </r>
    <r>
      <rPr>
        <sz val="10.5"/>
        <color indexed="8"/>
        <rFont val="Arial Narrow"/>
        <family val="2"/>
      </rPr>
      <t>1</t>
    </r>
    <r>
      <rPr>
        <sz val="10.5"/>
        <color indexed="8"/>
        <rFont val="宋体"/>
        <family val="3"/>
        <charset val="134"/>
      </rPr>
      <t>、企业实际经营状况是否正常、是否与财务报表显示的状况相背离？</t>
    </r>
  </si>
  <si>
    <r>
      <t>    2</t>
    </r>
    <r>
      <rPr>
        <sz val="10.5"/>
        <color indexed="8"/>
        <rFont val="宋体"/>
        <family val="3"/>
        <charset val="134"/>
      </rPr>
      <t>、是否存在人为操纵职工薪酬水平虚增业绩的行为？</t>
    </r>
  </si>
  <si>
    <r>
      <t>    3</t>
    </r>
    <r>
      <rPr>
        <sz val="10.5"/>
        <color indexed="8"/>
        <rFont val="宋体"/>
        <family val="3"/>
        <charset val="134"/>
      </rPr>
      <t>、是否存在通过股份支付等其他途径承担核心人员和高管薪酬的情形？</t>
    </r>
  </si>
  <si>
    <r>
      <t>    4</t>
    </r>
    <r>
      <rPr>
        <sz val="10.5"/>
        <color indexed="8"/>
        <rFont val="宋体"/>
        <family val="3"/>
        <charset val="134"/>
      </rPr>
      <t>、是否存在上市后大幅提高员工福利导致业绩变脸的可能？</t>
    </r>
  </si>
  <si>
    <r>
      <t xml:space="preserve">    </t>
    </r>
    <r>
      <rPr>
        <b/>
        <sz val="10.5"/>
        <color indexed="8"/>
        <rFont val="宋体"/>
        <family val="3"/>
        <charset val="134"/>
      </rPr>
      <t>风险提示三：职工人数异常下降</t>
    </r>
  </si>
  <si>
    <r>
      <t xml:space="preserve">    </t>
    </r>
    <r>
      <rPr>
        <sz val="10.5"/>
        <color indexed="8"/>
        <rFont val="宋体"/>
        <family val="3"/>
        <charset val="134"/>
      </rPr>
      <t>正常经营的企业，在技术、工艺、产品、经营环境等方面没有较大改变的情况下，职工人数不会有过大的异常变动。如果企业职工人数出现异常下降，则需要关注企业是否经营下滑或者存在关联方承担职工薪酬的舞弊可能。</t>
    </r>
  </si>
  <si>
    <r>
      <t xml:space="preserve">    </t>
    </r>
    <r>
      <rPr>
        <b/>
        <sz val="10.5"/>
        <color indexed="8"/>
        <rFont val="宋体"/>
        <family val="3"/>
        <charset val="134"/>
      </rPr>
      <t>关注重点：</t>
    </r>
    <r>
      <rPr>
        <sz val="10.5"/>
        <color indexed="8"/>
        <rFont val="Arial Narrow"/>
        <family val="2"/>
      </rPr>
      <t>1</t>
    </r>
    <r>
      <rPr>
        <sz val="10.5"/>
        <color indexed="8"/>
        <rFont val="宋体"/>
        <family val="3"/>
        <charset val="134"/>
      </rPr>
      <t>、通过实地核对主要部门岗位用人信息、核对</t>
    </r>
    <r>
      <rPr>
        <sz val="10.5"/>
        <color indexed="8"/>
        <rFont val="Arial Narrow"/>
        <family val="2"/>
      </rPr>
      <t>“</t>
    </r>
    <r>
      <rPr>
        <sz val="10.5"/>
        <color indexed="8"/>
        <rFont val="宋体"/>
        <family val="3"/>
        <charset val="134"/>
      </rPr>
      <t>五险一金</t>
    </r>
    <r>
      <rPr>
        <sz val="10.5"/>
        <color indexed="8"/>
        <rFont val="Arial Narrow"/>
        <family val="2"/>
      </rPr>
      <t>”</t>
    </r>
    <r>
      <rPr>
        <sz val="10.5"/>
        <color indexed="8"/>
        <rFont val="宋体"/>
        <family val="3"/>
        <charset val="134"/>
      </rPr>
      <t>和个人所得税的缴纳信息等，核实职工人数改变的真实性。</t>
    </r>
  </si>
  <si>
    <r>
      <t>    2</t>
    </r>
    <r>
      <rPr>
        <sz val="10.5"/>
        <color indexed="8"/>
        <rFont val="宋体"/>
        <family val="3"/>
        <charset val="134"/>
      </rPr>
      <t>、通过对职工人数改变的原因、生产效率和人均产能等的审查核实，判断人数改变是否合理，以及是否存在盈利能力造假风险。</t>
    </r>
  </si>
  <si>
    <r>
      <t>    3</t>
    </r>
    <r>
      <rPr>
        <sz val="10.5"/>
        <color indexed="8"/>
        <rFont val="宋体"/>
        <family val="3"/>
        <charset val="134"/>
      </rPr>
      <t>、关注关联企业及未合并企业的职工人数与产能的匹配性和盈利的真实性。</t>
    </r>
  </si>
  <si>
    <r>
      <t>    4</t>
    </r>
    <r>
      <rPr>
        <sz val="10.5"/>
        <color indexed="8"/>
        <rFont val="宋体"/>
        <family val="3"/>
        <charset val="134"/>
      </rPr>
      <t>、关注存在辞退福利计划的可能。</t>
    </r>
  </si>
  <si>
    <r>
      <t xml:space="preserve">    </t>
    </r>
    <r>
      <rPr>
        <b/>
        <sz val="10.5"/>
        <color indexed="8"/>
        <rFont val="宋体"/>
        <family val="3"/>
        <charset val="134"/>
      </rPr>
      <t>风险提示四：利用员工分类进行盈利操纵</t>
    </r>
  </si>
  <si>
    <r>
      <t xml:space="preserve">    </t>
    </r>
    <r>
      <rPr>
        <sz val="10.5"/>
        <color indexed="8"/>
        <rFont val="宋体"/>
        <family val="3"/>
        <charset val="134"/>
      </rPr>
      <t>企业根据员工岗位的专业化特点，对员工采取分类管理和考核，而职工薪酬的某些会计核算及税收优惠政策往往与员工分类相关。因此，依据岗位性质对员工进行分类存在一定的操控空间。</t>
    </r>
  </si>
  <si>
    <r>
      <t xml:space="preserve">    </t>
    </r>
    <r>
      <rPr>
        <b/>
        <sz val="10.5"/>
        <color indexed="8"/>
        <rFont val="宋体"/>
        <family val="3"/>
        <charset val="134"/>
      </rPr>
      <t>关注重点：</t>
    </r>
    <r>
      <rPr>
        <sz val="10.5"/>
        <color indexed="8"/>
        <rFont val="Arial Narrow"/>
        <family val="2"/>
      </rPr>
      <t>1</t>
    </r>
    <r>
      <rPr>
        <sz val="10.5"/>
        <color indexed="8"/>
        <rFont val="宋体"/>
        <family val="3"/>
        <charset val="134"/>
      </rPr>
      <t>、混淆资本性支出与收益性支出：人为调整基建工程和无形资产研发人员人数而调整当期费用；调整研发人员人数，还可能产生虚报研发费用加计扣除应纳税所得税额的违规风险；</t>
    </r>
  </si>
  <si>
    <r>
      <t>    2</t>
    </r>
    <r>
      <rPr>
        <sz val="10.5"/>
        <color indexed="8"/>
        <rFont val="宋体"/>
        <family val="3"/>
        <charset val="134"/>
      </rPr>
      <t>、混淆生产成本与当期费用：人为将应当期费用化的员工薪酬部分计入生产成本而虚增当期利润，反之则虚增毛利率水平和虚减利润；</t>
    </r>
  </si>
  <si>
    <r>
      <t>    3</t>
    </r>
    <r>
      <rPr>
        <sz val="10.5"/>
        <color indexed="8"/>
        <rFont val="宋体"/>
        <family val="3"/>
        <charset val="134"/>
      </rPr>
      <t>、违规享受税收优惠：福利性生产企业可以享受的职工薪酬加计扣除所得税和降低所得税率等优惠政策，均与员工性质有关。因此，企业可能通过操纵</t>
    </r>
    <r>
      <rPr>
        <sz val="10.5"/>
        <color indexed="8"/>
        <rFont val="Arial Narrow"/>
        <family val="2"/>
      </rPr>
      <t>“</t>
    </r>
    <r>
      <rPr>
        <sz val="10.5"/>
        <color indexed="8"/>
        <rFont val="宋体"/>
        <family val="3"/>
        <charset val="134"/>
      </rPr>
      <t>四残</t>
    </r>
    <r>
      <rPr>
        <sz val="10.5"/>
        <color indexed="8"/>
        <rFont val="Arial Narrow"/>
        <family val="2"/>
      </rPr>
      <t>”</t>
    </r>
    <r>
      <rPr>
        <sz val="10.5"/>
        <color indexed="8"/>
        <rFont val="宋体"/>
        <family val="3"/>
        <charset val="134"/>
      </rPr>
      <t>性质人数，从而达到违规享受优惠政策的情况。</t>
    </r>
  </si>
  <si>
    <r>
      <t xml:space="preserve">    </t>
    </r>
    <r>
      <rPr>
        <sz val="10.5"/>
        <color indexed="8"/>
        <rFont val="宋体"/>
        <family val="3"/>
        <charset val="134"/>
      </rPr>
      <t>因此，审计时应针对性分析员工分类及变化的合理性，必要时应实地核对相关岗位人员信息与会计记录的一致性。</t>
    </r>
  </si>
  <si>
    <r>
      <t xml:space="preserve">    </t>
    </r>
    <r>
      <rPr>
        <b/>
        <sz val="10.5"/>
        <color indexed="8"/>
        <rFont val="宋体"/>
        <family val="3"/>
        <charset val="134"/>
      </rPr>
      <t>风险提示五：对辞退福利的确认</t>
    </r>
  </si>
  <si>
    <r>
      <t xml:space="preserve">    </t>
    </r>
    <r>
      <rPr>
        <sz val="10.5"/>
        <color indexed="8"/>
        <rFont val="宋体"/>
        <family val="3"/>
        <charset val="134"/>
      </rPr>
      <t>某些特殊会计事项，如辞退福利和股份支付等，会计准则规定了相应的条件，计量金额也在较大程度上依赖于会计估计。这种情况下，注册会计师除需要判断确认的合理性外，还要关注是否可能存在盈利操纵的情形。</t>
    </r>
  </si>
  <si>
    <r>
      <t xml:space="preserve">    </t>
    </r>
    <r>
      <rPr>
        <b/>
        <sz val="10.5"/>
        <color indexed="8"/>
        <rFont val="宋体"/>
        <family val="3"/>
        <charset val="134"/>
      </rPr>
      <t>关注重点：</t>
    </r>
    <r>
      <rPr>
        <sz val="10.5"/>
        <color indexed="8"/>
        <rFont val="Arial Narrow"/>
        <family val="2"/>
      </rPr>
      <t xml:space="preserve">1. </t>
    </r>
    <r>
      <rPr>
        <sz val="10.5"/>
        <color indexed="8"/>
        <rFont val="宋体"/>
        <family val="3"/>
        <charset val="134"/>
      </rPr>
      <t>会计准则对辞退福利的确认规定了两个严格的限定条件，在</t>
    </r>
    <r>
      <rPr>
        <sz val="10.5"/>
        <color indexed="8"/>
        <rFont val="Arial Narrow"/>
        <family val="2"/>
      </rPr>
      <t>IPO</t>
    </r>
    <r>
      <rPr>
        <sz val="10.5"/>
        <color indexed="8"/>
        <rFont val="宋体"/>
        <family val="3"/>
        <charset val="134"/>
      </rPr>
      <t>审计中，为防止虚增利润，应重点关注应确认未确认的情形，以及在存在相关迹象时是否存在其他的经营风险；</t>
    </r>
  </si>
  <si>
    <r>
      <t xml:space="preserve">    2. </t>
    </r>
    <r>
      <rPr>
        <sz val="10.5"/>
        <color indexed="8"/>
        <rFont val="宋体"/>
        <family val="3"/>
        <charset val="134"/>
      </rPr>
      <t>为防范人为操纵，准则规定</t>
    </r>
    <r>
      <rPr>
        <sz val="10.5"/>
        <color indexed="8"/>
        <rFont val="Arial Narrow"/>
        <family val="2"/>
      </rPr>
      <t>“</t>
    </r>
    <r>
      <rPr>
        <sz val="10.5"/>
        <color indexed="8"/>
        <rFont val="宋体"/>
        <family val="3"/>
        <charset val="134"/>
      </rPr>
      <t>企业不可单方面撤回解除劳动关系计划或裁减建议</t>
    </r>
    <r>
      <rPr>
        <sz val="10.5"/>
        <color indexed="8"/>
        <rFont val="Arial Narrow"/>
        <family val="2"/>
      </rPr>
      <t>”</t>
    </r>
    <r>
      <rPr>
        <sz val="10.5"/>
        <color indexed="8"/>
        <rFont val="宋体"/>
        <family val="3"/>
        <charset val="134"/>
      </rPr>
      <t>，其实质是因为只有符合</t>
    </r>
    <r>
      <rPr>
        <sz val="10.5"/>
        <color indexed="8"/>
        <rFont val="Arial Narrow"/>
        <family val="2"/>
      </rPr>
      <t>“</t>
    </r>
    <r>
      <rPr>
        <sz val="10.5"/>
        <color indexed="8"/>
        <rFont val="宋体"/>
        <family val="3"/>
        <charset val="134"/>
      </rPr>
      <t>预计经济利益流出企业的可能性超过</t>
    </r>
    <r>
      <rPr>
        <sz val="10.5"/>
        <color indexed="8"/>
        <rFont val="Arial Narrow"/>
        <family val="2"/>
      </rPr>
      <t>50%”</t>
    </r>
    <r>
      <rPr>
        <sz val="10.5"/>
        <color indexed="8"/>
        <rFont val="宋体"/>
        <family val="3"/>
        <charset val="134"/>
      </rPr>
      <t>的条件才能确认预计负债，如果企业可以单方面否定，则人为操纵空间较大；</t>
    </r>
  </si>
  <si>
    <r>
      <t xml:space="preserve">    3. </t>
    </r>
    <r>
      <rPr>
        <sz val="10.5"/>
        <color indexed="8"/>
        <rFont val="宋体"/>
        <family val="3"/>
        <charset val="134"/>
      </rPr>
      <t>为防范随意确认补偿金额，对非强制性辞退计划补偿金额的确定应当是以企业与有选择权的员工签署了离职协议为准。</t>
    </r>
  </si>
  <si>
    <r>
      <t xml:space="preserve">    </t>
    </r>
    <r>
      <rPr>
        <b/>
        <sz val="10.5"/>
        <color indexed="8"/>
        <rFont val="宋体"/>
        <family val="3"/>
        <charset val="134"/>
      </rPr>
      <t>风险提示六：对股份支付的考虑</t>
    </r>
  </si>
  <si>
    <r>
      <t xml:space="preserve">    </t>
    </r>
    <r>
      <rPr>
        <sz val="10.5"/>
        <color indexed="8"/>
        <rFont val="宋体"/>
        <family val="3"/>
        <charset val="134"/>
      </rPr>
      <t>在</t>
    </r>
    <r>
      <rPr>
        <sz val="10.5"/>
        <color indexed="8"/>
        <rFont val="Arial Narrow"/>
        <family val="2"/>
      </rPr>
      <t>IPO</t>
    </r>
    <r>
      <rPr>
        <sz val="10.5"/>
        <color indexed="8"/>
        <rFont val="宋体"/>
        <family val="3"/>
        <charset val="134"/>
      </rPr>
      <t>审计中，考虑股份支付处理原则时主要应当关注两个方面：一，是否符合会计准则及监管部门强调的适用原则；二，是否存在人为操纵盈利的行为。</t>
    </r>
  </si>
  <si>
    <r>
      <t xml:space="preserve">    </t>
    </r>
    <r>
      <rPr>
        <sz val="10.5"/>
        <color indexed="8"/>
        <rFont val="宋体"/>
        <family val="3"/>
        <charset val="134"/>
      </rPr>
      <t>（一）监管部门对</t>
    </r>
    <r>
      <rPr>
        <sz val="10.5"/>
        <color indexed="8"/>
        <rFont val="Arial Narrow"/>
        <family val="2"/>
      </rPr>
      <t>IPO</t>
    </r>
    <r>
      <rPr>
        <sz val="10.5"/>
        <color indexed="8"/>
        <rFont val="宋体"/>
        <family val="3"/>
        <charset val="134"/>
      </rPr>
      <t>企业适用股份支付的相关要求</t>
    </r>
  </si>
  <si>
    <r>
      <t>    1.</t>
    </r>
    <r>
      <rPr>
        <sz val="10.5"/>
        <color indexed="8"/>
        <rFont val="宋体"/>
        <family val="3"/>
        <charset val="134"/>
      </rPr>
      <t>总体原则</t>
    </r>
  </si>
  <si>
    <r>
      <t xml:space="preserve">   </t>
    </r>
    <r>
      <rPr>
        <sz val="10.5"/>
        <color indexed="8"/>
        <rFont val="宋体"/>
        <family val="3"/>
        <charset val="134"/>
      </rPr>
      <t>所有</t>
    </r>
    <r>
      <rPr>
        <sz val="10.5"/>
        <color indexed="8"/>
        <rFont val="Arial Narrow"/>
        <family val="2"/>
      </rPr>
      <t>IPO</t>
    </r>
    <r>
      <rPr>
        <sz val="10.5"/>
        <color indexed="8"/>
        <rFont val="宋体"/>
        <family val="3"/>
        <charset val="134"/>
      </rPr>
      <t>企业必须严格执行会计准则的规定。在实务中把握</t>
    </r>
    <r>
      <rPr>
        <sz val="10.5"/>
        <color indexed="8"/>
        <rFont val="Arial Narrow"/>
        <family val="2"/>
      </rPr>
      <t>“</t>
    </r>
    <r>
      <rPr>
        <sz val="10.5"/>
        <color indexed="8"/>
        <rFont val="宋体"/>
        <family val="3"/>
        <charset val="134"/>
      </rPr>
      <t>认定从严、排除从宽</t>
    </r>
    <r>
      <rPr>
        <sz val="10.5"/>
        <color indexed="8"/>
        <rFont val="Arial Narrow"/>
        <family val="2"/>
      </rPr>
      <t>”</t>
    </r>
    <r>
      <rPr>
        <sz val="10.5"/>
        <color indexed="8"/>
        <rFont val="宋体"/>
        <family val="3"/>
        <charset val="134"/>
      </rPr>
      <t>的原则，一项与股份相关的交易是否属于股份支付，应由发行人和会计师基于准则做出合理判断，不进行会计处理应披露理由及依据</t>
    </r>
    <r>
      <rPr>
        <i/>
        <sz val="10.5"/>
        <color indexed="8"/>
        <rFont val="宋体"/>
        <family val="3"/>
        <charset val="134"/>
      </rPr>
      <t>。</t>
    </r>
  </si>
  <si>
    <r>
      <t>    2.</t>
    </r>
    <r>
      <rPr>
        <sz val="10.5"/>
        <color indexed="8"/>
        <rFont val="宋体"/>
        <family val="3"/>
        <charset val="134"/>
      </rPr>
      <t>适用条件</t>
    </r>
  </si>
  <si>
    <r>
      <t>（</t>
    </r>
    <r>
      <rPr>
        <sz val="11"/>
        <color theme="1"/>
        <rFont val="Arial Narrow"/>
        <family val="2"/>
      </rPr>
      <t>1</t>
    </r>
    <r>
      <rPr>
        <sz val="11"/>
        <color theme="1"/>
        <rFont val="宋体"/>
        <family val="3"/>
        <charset val="134"/>
      </rPr>
      <t>）换取服务的情形</t>
    </r>
  </si>
  <si>
    <r>
      <t xml:space="preserve">    </t>
    </r>
    <r>
      <rPr>
        <sz val="10.5"/>
        <color indexed="8"/>
        <rFont val="宋体"/>
        <family val="3"/>
        <charset val="134"/>
      </rPr>
      <t>股权激励的情形：发行人向高管或员工、或高管持股的公司低价发行股份，或发行人大股东及其关联股东向高管或员工低价转让股份等；</t>
    </r>
  </si>
  <si>
    <r>
      <rPr>
        <sz val="10.5"/>
        <color indexed="8"/>
        <rFont val="宋体"/>
        <family val="3"/>
        <charset val="134"/>
      </rPr>
      <t>发行人与客户、咨询机构、技术团队等第三方之间的服务购买行为：向特定供应商低价发行股份换取服务，对第三方低价发行股份以取得对共同专利的独家所有权等。</t>
    </r>
  </si>
  <si>
    <r>
      <t xml:space="preserve">    </t>
    </r>
    <r>
      <rPr>
        <sz val="10.5"/>
        <color indexed="8"/>
        <rFont val="宋体"/>
        <family val="3"/>
        <charset val="134"/>
      </rPr>
      <t>（</t>
    </r>
    <r>
      <rPr>
        <sz val="10.5"/>
        <color indexed="8"/>
        <rFont val="Arial Narrow"/>
        <family val="2"/>
      </rPr>
      <t>2</t>
    </r>
    <r>
      <rPr>
        <sz val="10.5"/>
        <color indexed="8"/>
        <rFont val="宋体"/>
        <family val="3"/>
        <charset val="134"/>
      </rPr>
      <t>）股份支付与约定服务期没有必然联系，对以前服务的奖励也可以作为股份支付。</t>
    </r>
  </si>
  <si>
    <r>
      <t xml:space="preserve">    </t>
    </r>
    <r>
      <rPr>
        <sz val="10.5"/>
        <color indexed="8"/>
        <rFont val="宋体"/>
        <family val="3"/>
        <charset val="134"/>
      </rPr>
      <t>（</t>
    </r>
    <r>
      <rPr>
        <sz val="10.5"/>
        <color indexed="8"/>
        <rFont val="Arial Narrow"/>
        <family val="2"/>
      </rPr>
      <t>3</t>
    </r>
    <r>
      <rPr>
        <sz val="10.5"/>
        <color indexed="8"/>
        <rFont val="宋体"/>
        <family val="3"/>
        <charset val="134"/>
      </rPr>
      <t>）不以换取服务为目的、不属于股份支付范畴的情形：</t>
    </r>
  </si>
  <si>
    <r>
      <t xml:space="preserve">    </t>
    </r>
    <r>
      <rPr>
        <sz val="10.5"/>
        <color indexed="8"/>
        <rFont val="宋体"/>
        <family val="3"/>
        <charset val="134"/>
      </rPr>
      <t>企业实施虚拟股权计划申报前落实的，或者对股权进行清晰规范解决代持的；</t>
    </r>
  </si>
  <si>
    <r>
      <rPr>
        <sz val="10.5"/>
        <color indexed="8"/>
        <rFont val="宋体"/>
        <family val="3"/>
        <charset val="134"/>
      </rPr>
      <t>取消境外上市，将相关股权转回；</t>
    </r>
  </si>
  <si>
    <r>
      <t xml:space="preserve">    </t>
    </r>
    <r>
      <rPr>
        <sz val="10.5"/>
        <color indexed="8"/>
        <rFont val="宋体"/>
        <family val="3"/>
        <charset val="134"/>
      </rPr>
      <t>继承、分割、赠与、亲属之间转让，即使亲属也在公司任职；</t>
    </r>
  </si>
  <si>
    <r>
      <t xml:space="preserve">    </t>
    </r>
    <r>
      <rPr>
        <sz val="10.5"/>
        <color indexed="8"/>
        <rFont val="宋体"/>
        <family val="3"/>
        <charset val="134"/>
      </rPr>
      <t>资产重组，如收购子公司少数股东股权等，或者业务整合过程中的补偿或股份安排；</t>
    </r>
  </si>
  <si>
    <r>
      <t xml:space="preserve">    </t>
    </r>
    <r>
      <rPr>
        <sz val="10.5"/>
        <color indexed="8"/>
        <rFont val="宋体"/>
        <family val="3"/>
        <charset val="134"/>
      </rPr>
      <t>对全体股东的配股或调节股东之间利益，即使偏向某个股东；</t>
    </r>
  </si>
  <si>
    <r>
      <t xml:space="preserve">    </t>
    </r>
    <r>
      <rPr>
        <sz val="10.5"/>
        <color indexed="8"/>
        <rFont val="宋体"/>
        <family val="3"/>
        <charset val="134"/>
      </rPr>
      <t>小股东转让股份给高管。</t>
    </r>
  </si>
  <si>
    <r>
      <t xml:space="preserve">    2. </t>
    </r>
    <r>
      <rPr>
        <sz val="10.5"/>
        <color indexed="8"/>
        <rFont val="宋体"/>
        <family val="3"/>
        <charset val="134"/>
      </rPr>
      <t>对价的确定</t>
    </r>
  </si>
  <si>
    <r>
      <t xml:space="preserve">    </t>
    </r>
    <r>
      <rPr>
        <sz val="10.5"/>
        <color indexed="8"/>
        <rFont val="宋体"/>
        <family val="3"/>
        <charset val="134"/>
      </rPr>
      <t>对价指股份的公允价值，是市场价格。但</t>
    </r>
    <r>
      <rPr>
        <sz val="10.5"/>
        <color indexed="8"/>
        <rFont val="Arial Narrow"/>
        <family val="2"/>
      </rPr>
      <t>IPO</t>
    </r>
    <r>
      <rPr>
        <sz val="10.5"/>
        <color indexed="8"/>
        <rFont val="宋体"/>
        <family val="3"/>
        <charset val="134"/>
      </rPr>
      <t>企业尚没有公开活跃市场交易，确定对价时主要需遵守下列原则：</t>
    </r>
  </si>
  <si>
    <r>
      <t xml:space="preserve">    </t>
    </r>
    <r>
      <rPr>
        <sz val="10.5"/>
        <color indexed="8"/>
        <rFont val="宋体"/>
        <family val="3"/>
        <charset val="134"/>
      </rPr>
      <t>（</t>
    </r>
    <r>
      <rPr>
        <sz val="10.5"/>
        <color indexed="8"/>
        <rFont val="Arial Narrow"/>
        <family val="2"/>
      </rPr>
      <t>1</t>
    </r>
    <r>
      <rPr>
        <sz val="10.5"/>
        <color indexed="8"/>
        <rFont val="宋体"/>
        <family val="3"/>
        <charset val="134"/>
      </rPr>
      <t>）正常情况下，高管取得股份的公允价值介于同期每股净资产和同期入股的</t>
    </r>
    <r>
      <rPr>
        <sz val="10.5"/>
        <color indexed="8"/>
        <rFont val="Arial Narrow"/>
        <family val="2"/>
      </rPr>
      <t>PE</t>
    </r>
    <r>
      <rPr>
        <sz val="10.5"/>
        <color indexed="8"/>
        <rFont val="宋体"/>
        <family val="3"/>
        <charset val="134"/>
      </rPr>
      <t>价格之间，当然也有低于每股净资产的可能，如房地产上市公司。</t>
    </r>
    <r>
      <rPr>
        <sz val="10.5"/>
        <color indexed="8"/>
        <rFont val="Arial Narrow"/>
        <family val="2"/>
      </rPr>
      <t>PE</t>
    </r>
    <r>
      <rPr>
        <sz val="10.5"/>
        <color indexed="8"/>
        <rFont val="宋体"/>
        <family val="3"/>
        <charset val="134"/>
      </rPr>
      <t>要有一定的量，量太小没有代表性，但不代表</t>
    </r>
    <r>
      <rPr>
        <sz val="10.5"/>
        <color indexed="8"/>
        <rFont val="Arial Narrow"/>
        <family val="2"/>
      </rPr>
      <t>PE</t>
    </r>
    <r>
      <rPr>
        <sz val="10.5"/>
        <color indexed="8"/>
        <rFont val="宋体"/>
        <family val="3"/>
        <charset val="134"/>
      </rPr>
      <t>价格就是公允价值，如何确定应有合理依据；</t>
    </r>
  </si>
  <si>
    <r>
      <t xml:space="preserve">    </t>
    </r>
    <r>
      <rPr>
        <sz val="10.5"/>
        <color indexed="8"/>
        <rFont val="宋体"/>
        <family val="3"/>
        <charset val="134"/>
      </rPr>
      <t>（</t>
    </r>
    <r>
      <rPr>
        <sz val="10.5"/>
        <color indexed="8"/>
        <rFont val="Arial Narrow"/>
        <family val="2"/>
      </rPr>
      <t>2</t>
    </r>
    <r>
      <rPr>
        <sz val="10.5"/>
        <color indexed="8"/>
        <rFont val="宋体"/>
        <family val="3"/>
        <charset val="134"/>
      </rPr>
      <t>）没有</t>
    </r>
    <r>
      <rPr>
        <sz val="10.5"/>
        <color indexed="8"/>
        <rFont val="Arial Narrow"/>
        <family val="2"/>
      </rPr>
      <t>PE</t>
    </r>
    <r>
      <rPr>
        <sz val="10.5"/>
        <color indexed="8"/>
        <rFont val="宋体"/>
        <family val="3"/>
        <charset val="134"/>
      </rPr>
      <t>价格，可以用估值模型，评估价值也可以作为参考；</t>
    </r>
  </si>
  <si>
    <r>
      <t xml:space="preserve">    </t>
    </r>
    <r>
      <rPr>
        <sz val="10.5"/>
        <color indexed="8"/>
        <rFont val="宋体"/>
        <family val="3"/>
        <charset val="134"/>
      </rPr>
      <t>（</t>
    </r>
    <r>
      <rPr>
        <sz val="10.5"/>
        <color indexed="8"/>
        <rFont val="Arial Narrow"/>
        <family val="2"/>
      </rPr>
      <t>3</t>
    </r>
    <r>
      <rPr>
        <sz val="10.5"/>
        <color indexed="8"/>
        <rFont val="宋体"/>
        <family val="3"/>
        <charset val="134"/>
      </rPr>
      <t>）报告期前两年可以放宽估值方法的确定，但必须超过每股净资产；</t>
    </r>
  </si>
  <si>
    <r>
      <t xml:space="preserve">    </t>
    </r>
    <r>
      <rPr>
        <sz val="10.5"/>
        <color indexed="8"/>
        <rFont val="宋体"/>
        <family val="3"/>
        <charset val="134"/>
      </rPr>
      <t>（</t>
    </r>
    <r>
      <rPr>
        <sz val="10.5"/>
        <color indexed="8"/>
        <rFont val="Arial Narrow"/>
        <family val="2"/>
      </rPr>
      <t>4</t>
    </r>
    <r>
      <rPr>
        <sz val="10.5"/>
        <color indexed="8"/>
        <rFont val="宋体"/>
        <family val="3"/>
        <charset val="134"/>
      </rPr>
      <t>）由于高管间接持有的发行人股份不能直接变现流通，因此其公允价值与直接持股不同，可以采用估值模型确定。</t>
    </r>
  </si>
  <si>
    <r>
      <t xml:space="preserve">    3. </t>
    </r>
    <r>
      <rPr>
        <sz val="10.5"/>
        <color indexed="8"/>
        <rFont val="宋体"/>
        <family val="3"/>
        <charset val="134"/>
      </rPr>
      <t>会计处理</t>
    </r>
  </si>
  <si>
    <r>
      <t xml:space="preserve">    </t>
    </r>
    <r>
      <rPr>
        <sz val="10.5"/>
        <color indexed="8"/>
        <rFont val="宋体"/>
        <family val="3"/>
        <charset val="134"/>
      </rPr>
      <t>（</t>
    </r>
    <r>
      <rPr>
        <sz val="10.5"/>
        <color indexed="8"/>
        <rFont val="Arial Narrow"/>
        <family val="2"/>
      </rPr>
      <t>1</t>
    </r>
    <r>
      <rPr>
        <sz val="10.5"/>
        <color indexed="8"/>
        <rFont val="宋体"/>
        <family val="3"/>
        <charset val="134"/>
      </rPr>
      <t>）审核重点在最近一年一期，以前期间执行较宽；</t>
    </r>
  </si>
  <si>
    <r>
      <t xml:space="preserve">    </t>
    </r>
    <r>
      <rPr>
        <sz val="10.5"/>
        <color indexed="8"/>
        <rFont val="宋体"/>
        <family val="3"/>
        <charset val="134"/>
      </rPr>
      <t>（</t>
    </r>
    <r>
      <rPr>
        <sz val="10.5"/>
        <color indexed="8"/>
        <rFont val="Arial Narrow"/>
        <family val="2"/>
      </rPr>
      <t>2</t>
    </r>
    <r>
      <rPr>
        <sz val="10.5"/>
        <color indexed="8"/>
        <rFont val="宋体"/>
        <family val="3"/>
        <charset val="134"/>
      </rPr>
      <t>）关于相关费用摊销期限，证监会不鼓励分期摊销。如果约定高管取得股份后有服务期，行权后分期摊销也可以，但必须约定服务期满前离职，与股份相关利益必须流入企业，否则需一次摊销。</t>
    </r>
  </si>
  <si>
    <r>
      <t xml:space="preserve">    </t>
    </r>
    <r>
      <rPr>
        <sz val="10.5"/>
        <color indexed="8"/>
        <rFont val="宋体"/>
        <family val="3"/>
        <charset val="134"/>
      </rPr>
      <t>（</t>
    </r>
    <r>
      <rPr>
        <sz val="10.5"/>
        <color indexed="8"/>
        <rFont val="Arial Narrow"/>
        <family val="2"/>
      </rPr>
      <t>3</t>
    </r>
    <r>
      <rPr>
        <sz val="10.5"/>
        <color indexed="8"/>
        <rFont val="宋体"/>
        <family val="3"/>
        <charset val="134"/>
      </rPr>
      <t>）偶发性的股份支付形成的费用可以作非经常性损益处理。</t>
    </r>
  </si>
  <si>
    <r>
      <t xml:space="preserve">    </t>
    </r>
    <r>
      <rPr>
        <sz val="10.5"/>
        <color indexed="8"/>
        <rFont val="宋体"/>
        <family val="3"/>
        <charset val="134"/>
      </rPr>
      <t>（二）通过发行审核的案例分析（以下案例分析是发行审核过程中的实务案例，仅供事务所在进行相关审计过程中参考，其前提还是应首先遵循企业会计准则的规定）</t>
    </r>
  </si>
  <si>
    <r>
      <t xml:space="preserve">    </t>
    </r>
    <r>
      <rPr>
        <b/>
        <sz val="10.5"/>
        <color indexed="8"/>
        <rFont val="宋体"/>
        <family val="3"/>
        <charset val="134"/>
      </rPr>
      <t>案例一：</t>
    </r>
  </si>
  <si>
    <r>
      <t xml:space="preserve">    1. </t>
    </r>
    <r>
      <rPr>
        <sz val="10.5"/>
        <color indexed="8"/>
        <rFont val="宋体"/>
        <family val="3"/>
        <charset val="134"/>
      </rPr>
      <t>公允价值确定方法</t>
    </r>
  </si>
  <si>
    <r>
      <t xml:space="preserve">    A. </t>
    </r>
    <r>
      <rPr>
        <sz val="10.5"/>
        <color indexed="8"/>
        <rFont val="宋体"/>
        <family val="3"/>
        <charset val="134"/>
      </rPr>
      <t>按评估后净资产确定</t>
    </r>
  </si>
  <si>
    <r>
      <t xml:space="preserve">    </t>
    </r>
    <r>
      <rPr>
        <sz val="10.5"/>
        <color indexed="8"/>
        <rFont val="宋体"/>
        <family val="3"/>
        <charset val="134"/>
      </rPr>
      <t>某企业</t>
    </r>
    <r>
      <rPr>
        <sz val="10.5"/>
        <color indexed="8"/>
        <rFont val="Arial Narrow"/>
        <family val="2"/>
      </rPr>
      <t>2011</t>
    </r>
    <r>
      <rPr>
        <sz val="10.5"/>
        <color indexed="8"/>
        <rFont val="宋体"/>
        <family val="3"/>
        <charset val="134"/>
      </rPr>
      <t>年</t>
    </r>
    <r>
      <rPr>
        <sz val="10.5"/>
        <color indexed="8"/>
        <rFont val="Arial Narrow"/>
        <family val="2"/>
      </rPr>
      <t>11</t>
    </r>
    <r>
      <rPr>
        <sz val="10.5"/>
        <color indexed="8"/>
        <rFont val="宋体"/>
        <family val="3"/>
        <charset val="134"/>
      </rPr>
      <t>月中小板上市，</t>
    </r>
    <r>
      <rPr>
        <sz val="10.5"/>
        <color indexed="8"/>
        <rFont val="Arial Narrow"/>
        <family val="2"/>
      </rPr>
      <t>2010</t>
    </r>
    <r>
      <rPr>
        <sz val="10.5"/>
        <color indexed="8"/>
        <rFont val="宋体"/>
        <family val="3"/>
        <charset val="134"/>
      </rPr>
      <t>年股权激励时因无</t>
    </r>
    <r>
      <rPr>
        <sz val="10.5"/>
        <color indexed="8"/>
        <rFont val="Arial Narrow"/>
        <family val="2"/>
      </rPr>
      <t>PE</t>
    </r>
    <r>
      <rPr>
        <sz val="10.5"/>
        <color indexed="8"/>
        <rFont val="宋体"/>
        <family val="3"/>
        <charset val="134"/>
      </rPr>
      <t>价格按净资产评估值确认了股份支付费用。</t>
    </r>
  </si>
  <si>
    <r>
      <t xml:space="preserve">    B. </t>
    </r>
    <r>
      <rPr>
        <sz val="10.5"/>
        <color indexed="8"/>
        <rFont val="宋体"/>
        <family val="3"/>
        <charset val="134"/>
      </rPr>
      <t>按</t>
    </r>
    <r>
      <rPr>
        <sz val="10.5"/>
        <color indexed="8"/>
        <rFont val="Arial Narrow"/>
        <family val="2"/>
      </rPr>
      <t>PE</t>
    </r>
    <r>
      <rPr>
        <sz val="10.5"/>
        <color indexed="8"/>
        <rFont val="宋体"/>
        <family val="3"/>
        <charset val="134"/>
      </rPr>
      <t>价格确定</t>
    </r>
  </si>
  <si>
    <r>
      <t xml:space="preserve">    </t>
    </r>
    <r>
      <rPr>
        <sz val="10.5"/>
        <color indexed="8"/>
        <rFont val="宋体"/>
        <family val="3"/>
        <charset val="134"/>
      </rPr>
      <t>某企业</t>
    </r>
    <r>
      <rPr>
        <sz val="10.5"/>
        <color indexed="8"/>
        <rFont val="Arial Narrow"/>
        <family val="2"/>
      </rPr>
      <t>2011</t>
    </r>
    <r>
      <rPr>
        <sz val="10.5"/>
        <color indexed="8"/>
        <rFont val="宋体"/>
        <family val="3"/>
        <charset val="134"/>
      </rPr>
      <t>年</t>
    </r>
    <r>
      <rPr>
        <sz val="10.5"/>
        <color indexed="8"/>
        <rFont val="Arial Narrow"/>
        <family val="2"/>
      </rPr>
      <t>11</t>
    </r>
    <r>
      <rPr>
        <sz val="10.5"/>
        <color indexed="8"/>
        <rFont val="宋体"/>
        <family val="3"/>
        <charset val="134"/>
      </rPr>
      <t>月中小板上市，</t>
    </r>
    <r>
      <rPr>
        <sz val="10.5"/>
        <color indexed="8"/>
        <rFont val="Arial Narrow"/>
        <family val="2"/>
      </rPr>
      <t>2010</t>
    </r>
    <r>
      <rPr>
        <sz val="10.5"/>
        <color indexed="8"/>
        <rFont val="宋体"/>
        <family val="3"/>
        <charset val="134"/>
      </rPr>
      <t>年进行股权激励，</t>
    </r>
    <r>
      <rPr>
        <sz val="10.5"/>
        <color indexed="8"/>
        <rFont val="Arial Narrow"/>
        <family val="2"/>
      </rPr>
      <t xml:space="preserve">1 </t>
    </r>
    <r>
      <rPr>
        <sz val="10.5"/>
        <color indexed="8"/>
        <rFont val="宋体"/>
        <family val="3"/>
        <charset val="134"/>
      </rPr>
      <t>个月后</t>
    </r>
    <r>
      <rPr>
        <sz val="10.5"/>
        <color indexed="8"/>
        <rFont val="Arial Narrow"/>
        <family val="2"/>
      </rPr>
      <t>PE</t>
    </r>
    <r>
      <rPr>
        <sz val="10.5"/>
        <color indexed="8"/>
        <rFont val="宋体"/>
        <family val="3"/>
        <charset val="134"/>
      </rPr>
      <t>入股，按照</t>
    </r>
    <r>
      <rPr>
        <sz val="10.5"/>
        <color indexed="8"/>
        <rFont val="Arial Narrow"/>
        <family val="2"/>
      </rPr>
      <t>PE</t>
    </r>
    <r>
      <rPr>
        <sz val="10.5"/>
        <color indexed="8"/>
        <rFont val="宋体"/>
        <family val="3"/>
        <charset val="134"/>
      </rPr>
      <t>价格计算股份支付费用。</t>
    </r>
  </si>
  <si>
    <r>
      <t xml:space="preserve">    C. </t>
    </r>
    <r>
      <rPr>
        <sz val="10.5"/>
        <color indexed="8"/>
        <rFont val="宋体"/>
        <family val="3"/>
        <charset val="134"/>
      </rPr>
      <t>以评估净资产为基础，参考</t>
    </r>
    <r>
      <rPr>
        <sz val="10.5"/>
        <color indexed="8"/>
        <rFont val="Arial Narrow"/>
        <family val="2"/>
      </rPr>
      <t>PE</t>
    </r>
    <r>
      <rPr>
        <sz val="10.5"/>
        <color indexed="8"/>
        <rFont val="宋体"/>
        <family val="3"/>
        <charset val="134"/>
      </rPr>
      <t>价格确定</t>
    </r>
  </si>
  <si>
    <r>
      <t xml:space="preserve">    </t>
    </r>
    <r>
      <rPr>
        <sz val="10.5"/>
        <color indexed="8"/>
        <rFont val="宋体"/>
        <family val="3"/>
        <charset val="134"/>
      </rPr>
      <t>某企业</t>
    </r>
    <r>
      <rPr>
        <sz val="10.5"/>
        <color indexed="8"/>
        <rFont val="Arial Narrow"/>
        <family val="2"/>
      </rPr>
      <t>2011</t>
    </r>
    <r>
      <rPr>
        <sz val="10.5"/>
        <color indexed="8"/>
        <rFont val="宋体"/>
        <family val="3"/>
        <charset val="134"/>
      </rPr>
      <t>年</t>
    </r>
    <r>
      <rPr>
        <sz val="10.5"/>
        <color indexed="8"/>
        <rFont val="Arial Narrow"/>
        <family val="2"/>
      </rPr>
      <t>8</t>
    </r>
    <r>
      <rPr>
        <sz val="10.5"/>
        <color indexed="8"/>
        <rFont val="宋体"/>
        <family val="3"/>
        <charset val="134"/>
      </rPr>
      <t>月中小市，</t>
    </r>
    <r>
      <rPr>
        <sz val="10.5"/>
        <color indexed="8"/>
        <rFont val="Arial Narrow"/>
        <family val="2"/>
      </rPr>
      <t>2009</t>
    </r>
    <r>
      <rPr>
        <sz val="10.5"/>
        <color indexed="8"/>
        <rFont val="宋体"/>
        <family val="3"/>
        <charset val="134"/>
      </rPr>
      <t>年</t>
    </r>
    <r>
      <rPr>
        <sz val="10.5"/>
        <color indexed="8"/>
        <rFont val="Arial Narrow"/>
        <family val="2"/>
      </rPr>
      <t>2</t>
    </r>
    <r>
      <rPr>
        <sz val="10.5"/>
        <color indexed="8"/>
        <rFont val="宋体"/>
        <family val="3"/>
        <charset val="134"/>
      </rPr>
      <t>月和</t>
    </r>
    <r>
      <rPr>
        <sz val="10.5"/>
        <color indexed="8"/>
        <rFont val="Arial Narrow"/>
        <family val="2"/>
      </rPr>
      <t>2010</t>
    </r>
    <r>
      <rPr>
        <sz val="10.5"/>
        <color indexed="8"/>
        <rFont val="宋体"/>
        <family val="3"/>
        <charset val="134"/>
      </rPr>
      <t>年</t>
    </r>
    <r>
      <rPr>
        <sz val="10.5"/>
        <color indexed="8"/>
        <rFont val="Arial Narrow"/>
        <family val="2"/>
      </rPr>
      <t>4</t>
    </r>
    <r>
      <rPr>
        <sz val="10.5"/>
        <color indexed="8"/>
        <rFont val="宋体"/>
        <family val="3"/>
        <charset val="134"/>
      </rPr>
      <t>月两次股权激励。</t>
    </r>
    <r>
      <rPr>
        <sz val="10.5"/>
        <color indexed="8"/>
        <rFont val="Arial Narrow"/>
        <family val="2"/>
      </rPr>
      <t>2010</t>
    </r>
    <r>
      <rPr>
        <sz val="10.5"/>
        <color indexed="8"/>
        <rFont val="宋体"/>
        <family val="3"/>
        <charset val="134"/>
      </rPr>
      <t>年</t>
    </r>
    <r>
      <rPr>
        <sz val="10.5"/>
        <color indexed="8"/>
        <rFont val="Arial Narrow"/>
        <family val="2"/>
      </rPr>
      <t>5</t>
    </r>
    <r>
      <rPr>
        <sz val="10.5"/>
        <color indexed="8"/>
        <rFont val="宋体"/>
        <family val="3"/>
        <charset val="134"/>
      </rPr>
      <t>月</t>
    </r>
    <r>
      <rPr>
        <sz val="10.5"/>
        <color indexed="8"/>
        <rFont val="Arial Narrow"/>
        <family val="2"/>
      </rPr>
      <t>PE</t>
    </r>
    <r>
      <rPr>
        <sz val="10.5"/>
        <color indexed="8"/>
        <rFont val="宋体"/>
        <family val="3"/>
        <charset val="134"/>
      </rPr>
      <t>入股，将</t>
    </r>
    <r>
      <rPr>
        <sz val="10.5"/>
        <color indexed="8"/>
        <rFont val="Arial Narrow"/>
        <family val="2"/>
      </rPr>
      <t>2010</t>
    </r>
    <r>
      <rPr>
        <sz val="10.5"/>
        <color indexed="8"/>
        <rFont val="宋体"/>
        <family val="3"/>
        <charset val="134"/>
      </rPr>
      <t>年</t>
    </r>
    <r>
      <rPr>
        <sz val="10.5"/>
        <color indexed="8"/>
        <rFont val="Arial Narrow"/>
        <family val="2"/>
      </rPr>
      <t>4</t>
    </r>
    <r>
      <rPr>
        <sz val="10.5"/>
        <color indexed="8"/>
        <rFont val="宋体"/>
        <family val="3"/>
        <charset val="134"/>
      </rPr>
      <t>月按股份支付处理，公允价值按照评估净资产并参照</t>
    </r>
    <r>
      <rPr>
        <sz val="10.5"/>
        <color indexed="8"/>
        <rFont val="Arial Narrow"/>
        <family val="2"/>
      </rPr>
      <t>PE</t>
    </r>
    <r>
      <rPr>
        <sz val="10.5"/>
        <color indexed="8"/>
        <rFont val="宋体"/>
        <family val="3"/>
        <charset val="134"/>
      </rPr>
      <t>价格进行调整。</t>
    </r>
  </si>
  <si>
    <r>
      <t xml:space="preserve">    2. </t>
    </r>
    <r>
      <rPr>
        <sz val="10.5"/>
        <color indexed="8"/>
        <rFont val="宋体"/>
        <family val="3"/>
        <charset val="134"/>
      </rPr>
      <t>关于处理时点</t>
    </r>
  </si>
  <si>
    <r>
      <t xml:space="preserve">    </t>
    </r>
    <r>
      <rPr>
        <sz val="10.5"/>
        <color indexed="8"/>
        <rFont val="宋体"/>
        <family val="3"/>
        <charset val="134"/>
      </rPr>
      <t>前面三个例子中，均是对申报期间的最近一年发生的股权激励进行了处理，对申报报表前二年的事项未做处理</t>
    </r>
    <r>
      <rPr>
        <sz val="10.5"/>
        <color indexed="8"/>
        <rFont val="Arial Narrow"/>
        <family val="2"/>
      </rPr>
      <t>,</t>
    </r>
    <r>
      <rPr>
        <sz val="10.5"/>
        <color indexed="8"/>
        <rFont val="宋体"/>
        <family val="3"/>
        <charset val="134"/>
      </rPr>
      <t>但也有在申报报表前二年进行处理的案例。</t>
    </r>
  </si>
  <si>
    <r>
      <t xml:space="preserve">    </t>
    </r>
    <r>
      <rPr>
        <b/>
        <sz val="10.5"/>
        <color indexed="8"/>
        <rFont val="宋体"/>
        <family val="3"/>
        <charset val="134"/>
      </rPr>
      <t>案例二：关于按工作合同期限摊销</t>
    </r>
  </si>
  <si>
    <r>
      <t xml:space="preserve">    </t>
    </r>
    <r>
      <rPr>
        <sz val="10.5"/>
        <color indexed="8"/>
        <rFont val="宋体"/>
        <family val="3"/>
        <charset val="134"/>
      </rPr>
      <t>某企业大股东</t>
    </r>
    <r>
      <rPr>
        <sz val="10.5"/>
        <color indexed="8"/>
        <rFont val="Arial Narrow"/>
        <family val="2"/>
      </rPr>
      <t>2009</t>
    </r>
    <r>
      <rPr>
        <sz val="10.5"/>
        <color indexed="8"/>
        <rFont val="宋体"/>
        <family val="3"/>
        <charset val="134"/>
      </rPr>
      <t>年</t>
    </r>
    <r>
      <rPr>
        <sz val="10.5"/>
        <color indexed="8"/>
        <rFont val="Arial Narrow"/>
        <family val="2"/>
      </rPr>
      <t>5</t>
    </r>
    <r>
      <rPr>
        <sz val="10.5"/>
        <color indexed="8"/>
        <rFont val="宋体"/>
        <family val="3"/>
        <charset val="134"/>
      </rPr>
      <t>月以每股</t>
    </r>
    <r>
      <rPr>
        <sz val="10.5"/>
        <color indexed="8"/>
        <rFont val="Arial Narrow"/>
        <family val="2"/>
      </rPr>
      <t>1</t>
    </r>
    <r>
      <rPr>
        <sz val="10.5"/>
        <color indexed="8"/>
        <rFont val="宋体"/>
        <family val="3"/>
        <charset val="134"/>
      </rPr>
      <t>元的价格将</t>
    </r>
    <r>
      <rPr>
        <sz val="10.5"/>
        <color indexed="8"/>
        <rFont val="Arial Narrow"/>
        <family val="2"/>
      </rPr>
      <t>100</t>
    </r>
    <r>
      <rPr>
        <sz val="10.5"/>
        <color indexed="8"/>
        <rFont val="宋体"/>
        <family val="3"/>
        <charset val="134"/>
      </rPr>
      <t>万股股份转让给员工，</t>
    </r>
    <r>
      <rPr>
        <sz val="10.5"/>
        <color indexed="8"/>
        <rFont val="Arial Narrow"/>
        <family val="2"/>
      </rPr>
      <t>7</t>
    </r>
    <r>
      <rPr>
        <sz val="10.5"/>
        <color indexed="8"/>
        <rFont val="宋体"/>
        <family val="3"/>
        <charset val="134"/>
      </rPr>
      <t>月以每股</t>
    </r>
    <r>
      <rPr>
        <sz val="10.5"/>
        <color indexed="8"/>
        <rFont val="Arial Narrow"/>
        <family val="2"/>
      </rPr>
      <t>3.80</t>
    </r>
    <r>
      <rPr>
        <sz val="10.5"/>
        <color indexed="8"/>
        <rFont val="宋体"/>
        <family val="3"/>
        <charset val="134"/>
      </rPr>
      <t>元的价格转让给非企业人员。企业最后确认股份支付费用</t>
    </r>
    <r>
      <rPr>
        <sz val="10.5"/>
        <color indexed="8"/>
        <rFont val="Arial Narrow"/>
        <family val="2"/>
      </rPr>
      <t>387.60</t>
    </r>
    <r>
      <rPr>
        <sz val="10.5"/>
        <color indexed="8"/>
        <rFont val="宋体"/>
        <family val="3"/>
        <charset val="134"/>
      </rPr>
      <t>万元，并按该员工的工作合同期</t>
    </r>
    <r>
      <rPr>
        <sz val="10.5"/>
        <color indexed="8"/>
        <rFont val="Arial Narrow"/>
        <family val="2"/>
      </rPr>
      <t>5</t>
    </r>
    <r>
      <rPr>
        <sz val="10.5"/>
        <color indexed="8"/>
        <rFont val="宋体"/>
        <family val="3"/>
        <charset val="134"/>
      </rPr>
      <t>年进行摊销。</t>
    </r>
  </si>
  <si>
    <r>
      <t xml:space="preserve">    </t>
    </r>
    <r>
      <rPr>
        <b/>
        <sz val="10.5"/>
        <color indexed="8"/>
        <rFont val="宋体"/>
        <family val="3"/>
        <charset val="134"/>
      </rPr>
      <t>风险提示七：对社会保险和公积金规范性影响的关注</t>
    </r>
  </si>
  <si>
    <r>
      <t xml:space="preserve">    </t>
    </r>
    <r>
      <rPr>
        <sz val="10.5"/>
        <color indexed="8"/>
        <rFont val="宋体"/>
        <family val="3"/>
        <charset val="134"/>
      </rPr>
      <t>根据相关法律法规，为员工及时足额缴纳社会保险和住房公积金是企业的法定责任，也是企业重要的社会责任。</t>
    </r>
    <r>
      <rPr>
        <sz val="10.5"/>
        <color indexed="8"/>
        <rFont val="Arial Narrow"/>
        <family val="2"/>
      </rPr>
      <t>IPO</t>
    </r>
    <r>
      <rPr>
        <sz val="10.5"/>
        <color indexed="8"/>
        <rFont val="宋体"/>
        <family val="3"/>
        <charset val="134"/>
      </rPr>
      <t>审计时，针对社会保险和公积金规范性问题关注如下：</t>
    </r>
  </si>
  <si>
    <r>
      <t xml:space="preserve">    </t>
    </r>
    <r>
      <rPr>
        <sz val="10.5"/>
        <color indexed="8"/>
        <rFont val="宋体"/>
        <family val="3"/>
        <charset val="134"/>
      </rPr>
      <t>（一）目前</t>
    </r>
    <r>
      <rPr>
        <sz val="10.5"/>
        <color indexed="8"/>
        <rFont val="Arial Narrow"/>
        <family val="2"/>
      </rPr>
      <t>IPO</t>
    </r>
    <r>
      <rPr>
        <sz val="10.5"/>
        <color indexed="8"/>
        <rFont val="宋体"/>
        <family val="3"/>
        <charset val="134"/>
      </rPr>
      <t>企业</t>
    </r>
    <r>
      <rPr>
        <sz val="10.5"/>
        <color indexed="8"/>
        <rFont val="Arial Narrow"/>
        <family val="2"/>
      </rPr>
      <t>“</t>
    </r>
    <r>
      <rPr>
        <sz val="10.5"/>
        <color indexed="8"/>
        <rFont val="宋体"/>
        <family val="3"/>
        <charset val="134"/>
      </rPr>
      <t>五险一金</t>
    </r>
    <r>
      <rPr>
        <sz val="10.5"/>
        <color indexed="8"/>
        <rFont val="Arial Narrow"/>
        <family val="2"/>
      </rPr>
      <t>”</t>
    </r>
    <r>
      <rPr>
        <sz val="10.5"/>
        <color indexed="8"/>
        <rFont val="宋体"/>
        <family val="3"/>
        <charset val="134"/>
      </rPr>
      <t>缴纳中实际存在的问题</t>
    </r>
  </si>
  <si>
    <r>
      <t xml:space="preserve">    1. </t>
    </r>
    <r>
      <rPr>
        <sz val="10.5"/>
        <color indexed="8"/>
        <rFont val="宋体"/>
        <family val="3"/>
        <charset val="134"/>
      </rPr>
      <t>只为部分员工缴纳</t>
    </r>
  </si>
  <si>
    <r>
      <t xml:space="preserve">    </t>
    </r>
    <r>
      <rPr>
        <sz val="10.5"/>
        <color indexed="8"/>
        <rFont val="宋体"/>
        <family val="3"/>
        <charset val="134"/>
      </rPr>
      <t>某创业报告期只为部分员工缴纳了社会保险和住房公积金，原因是员工非当地户籍和非城镇户籍占多数，流动性较高，员工对社保和公积金政策认识不够不愿缴纳；外地员工不了解社会保险转移手续，手续不完整而无法办理登记和申报手续。</t>
    </r>
  </si>
  <si>
    <r>
      <t xml:space="preserve">    2. </t>
    </r>
    <r>
      <rPr>
        <sz val="10.5"/>
        <color indexed="8"/>
        <rFont val="宋体"/>
        <family val="3"/>
        <charset val="134"/>
      </rPr>
      <t>只缴纳部分险种</t>
    </r>
  </si>
  <si>
    <r>
      <t xml:space="preserve">    </t>
    </r>
    <r>
      <rPr>
        <sz val="10.5"/>
        <color indexed="8"/>
        <rFont val="宋体"/>
        <family val="3"/>
        <charset val="134"/>
      </rPr>
      <t>某企业报告期内未为部分员工缴纳医疗保险，未为全体员工缴纳住房公积金。未缴纳基本医疗保险的原因是员工主要为周围农村居民，参加了新型农村合作医疗；未缴纳住房公积金的原因是员工主要为农村居民，一般不需要通过购买商品房来解决住房需求，因此员工不愿意交。</t>
    </r>
  </si>
  <si>
    <r>
      <t xml:space="preserve">    3. </t>
    </r>
    <r>
      <rPr>
        <sz val="10.5"/>
        <color indexed="8"/>
        <rFont val="宋体"/>
        <family val="3"/>
        <charset val="134"/>
      </rPr>
      <t>缴纳基数低于法定标准</t>
    </r>
  </si>
  <si>
    <r>
      <t xml:space="preserve">    </t>
    </r>
    <r>
      <rPr>
        <sz val="10.5"/>
        <color indexed="8"/>
        <rFont val="宋体"/>
        <family val="3"/>
        <charset val="134"/>
      </rPr>
      <t>部分企业按已披露的缴费金额和比例计算，人均缴纳社会保险基数和住房公积金基数仅为人均工资的</t>
    </r>
    <r>
      <rPr>
        <sz val="10.5"/>
        <color indexed="8"/>
        <rFont val="Arial Narrow"/>
        <family val="2"/>
      </rPr>
      <t>30%</t>
    </r>
    <r>
      <rPr>
        <sz val="10.5"/>
        <color indexed="8"/>
        <rFont val="宋体"/>
        <family val="3"/>
        <charset val="134"/>
      </rPr>
      <t>和</t>
    </r>
    <r>
      <rPr>
        <sz val="10.5"/>
        <color indexed="8"/>
        <rFont val="Arial Narrow"/>
        <family val="2"/>
      </rPr>
      <t>50%</t>
    </r>
    <r>
      <rPr>
        <sz val="10.5"/>
        <color indexed="8"/>
        <rFont val="宋体"/>
        <family val="3"/>
        <charset val="134"/>
      </rPr>
      <t>。</t>
    </r>
  </si>
  <si>
    <r>
      <t xml:space="preserve">    </t>
    </r>
    <r>
      <rPr>
        <sz val="10.5"/>
        <color indexed="8"/>
        <rFont val="宋体"/>
        <family val="3"/>
        <charset val="134"/>
      </rPr>
      <t>（二）相关监管部门的参考原则</t>
    </r>
  </si>
  <si>
    <r>
      <t xml:space="preserve">    1. </t>
    </r>
    <r>
      <rPr>
        <sz val="10.5"/>
        <color indexed="8"/>
        <rFont val="宋体"/>
        <family val="3"/>
        <charset val="134"/>
      </rPr>
      <t>总体原则</t>
    </r>
  </si>
  <si>
    <r>
      <t xml:space="preserve">    </t>
    </r>
    <r>
      <rPr>
        <sz val="10.5"/>
        <color indexed="8"/>
        <rFont val="宋体"/>
        <family val="3"/>
        <charset val="134"/>
      </rPr>
      <t>由于我国社保公积金缴纳规定尚不完善，各地具体操作不尽相同，上市前发行人可能存在社保、公积金缴纳不合规的问题，从历史角度看问题，如果不涉及太大问题一般允许上市，但是上市后必须按规定缴纳。</t>
    </r>
  </si>
  <si>
    <r>
      <t xml:space="preserve">    2. </t>
    </r>
    <r>
      <rPr>
        <sz val="10.5"/>
        <color indexed="8"/>
        <rFont val="宋体"/>
        <family val="3"/>
        <charset val="134"/>
      </rPr>
      <t>对于历史欠缴情况的要求</t>
    </r>
  </si>
  <si>
    <r>
      <t xml:space="preserve">    </t>
    </r>
    <r>
      <rPr>
        <sz val="10.5"/>
        <color indexed="8"/>
        <rFont val="宋体"/>
        <family val="3"/>
        <charset val="134"/>
      </rPr>
      <t>（</t>
    </r>
    <r>
      <rPr>
        <sz val="10.5"/>
        <color indexed="8"/>
        <rFont val="Arial Narrow"/>
        <family val="2"/>
      </rPr>
      <t>1</t>
    </r>
    <r>
      <rPr>
        <sz val="10.5"/>
        <color indexed="8"/>
        <rFont val="宋体"/>
        <family val="3"/>
        <charset val="134"/>
      </rPr>
      <t>）说明原因；</t>
    </r>
  </si>
  <si>
    <r>
      <t xml:space="preserve">    </t>
    </r>
    <r>
      <rPr>
        <sz val="10.5"/>
        <color indexed="8"/>
        <rFont val="宋体"/>
        <family val="3"/>
        <charset val="134"/>
      </rPr>
      <t>（</t>
    </r>
    <r>
      <rPr>
        <sz val="10.5"/>
        <color indexed="8"/>
        <rFont val="Arial Narrow"/>
        <family val="2"/>
      </rPr>
      <t>2</t>
    </r>
    <r>
      <rPr>
        <sz val="10.5"/>
        <color indexed="8"/>
        <rFont val="宋体"/>
        <family val="3"/>
        <charset val="134"/>
      </rPr>
      <t>）取得社保部门确认文件；</t>
    </r>
  </si>
  <si>
    <r>
      <t xml:space="preserve">    </t>
    </r>
    <r>
      <rPr>
        <sz val="10.5"/>
        <color indexed="8"/>
        <rFont val="宋体"/>
        <family val="3"/>
        <charset val="134"/>
      </rPr>
      <t>（</t>
    </r>
    <r>
      <rPr>
        <sz val="10.5"/>
        <color indexed="8"/>
        <rFont val="Arial Narrow"/>
        <family val="2"/>
      </rPr>
      <t>3</t>
    </r>
    <r>
      <rPr>
        <sz val="10.5"/>
        <color indexed="8"/>
        <rFont val="宋体"/>
        <family val="3"/>
        <charset val="134"/>
      </rPr>
      <t>）实际控制人或主要股东承诺承担所有因欠缴可能的支出或损失。</t>
    </r>
  </si>
  <si>
    <r>
      <t xml:space="preserve">    3. </t>
    </r>
    <r>
      <rPr>
        <sz val="10.5"/>
        <color indexed="8"/>
        <rFont val="宋体"/>
        <family val="3"/>
        <charset val="134"/>
      </rPr>
      <t>披露要求</t>
    </r>
  </si>
  <si>
    <r>
      <t xml:space="preserve">    </t>
    </r>
    <r>
      <rPr>
        <sz val="10.5"/>
        <color indexed="8"/>
        <rFont val="宋体"/>
        <family val="3"/>
        <charset val="134"/>
      </rPr>
      <t>发行人应说明并披露包括母公司和所有子公司办理社保和缴纳住房公积金的员工人数、未缴纳的人数及原因、企业与个人缴纳比例、缴纳起始日期、是否存在需要补缴的情形、补缴的金额及对发行人经营业绩的影响。</t>
    </r>
  </si>
  <si>
    <r>
      <t xml:space="preserve">    </t>
    </r>
    <r>
      <rPr>
        <sz val="10.5"/>
        <color indexed="8"/>
        <rFont val="宋体"/>
        <family val="3"/>
        <charset val="134"/>
      </rPr>
      <t>保荐机构和发行人律师应对缴纳情况进行核查，并对未依法缴纳是否构成重大违法形为及对本次发行上市的影响出具意见。</t>
    </r>
  </si>
  <si>
    <r>
      <t xml:space="preserve">    </t>
    </r>
    <r>
      <rPr>
        <sz val="10.5"/>
        <color indexed="8"/>
        <rFont val="宋体"/>
        <family val="3"/>
        <charset val="134"/>
      </rPr>
      <t>（三）审计时可以参考的处理原则</t>
    </r>
  </si>
  <si>
    <r>
      <t xml:space="preserve">    1. </t>
    </r>
    <r>
      <rPr>
        <sz val="10.5"/>
        <color indexed="8"/>
        <rFont val="宋体"/>
        <family val="3"/>
        <charset val="134"/>
      </rPr>
      <t>根据相关法规的规定完整计算应补缴的金额；</t>
    </r>
  </si>
  <si>
    <r>
      <t xml:space="preserve">    2. </t>
    </r>
    <r>
      <rPr>
        <sz val="10.5"/>
        <color indexed="8"/>
        <rFont val="宋体"/>
        <family val="3"/>
        <charset val="134"/>
      </rPr>
      <t>考虑如果追缴是否导致不能满足报告期对盈利指标的要求</t>
    </r>
    <r>
      <rPr>
        <sz val="10.5"/>
        <color indexed="8"/>
        <rFont val="Arial Narrow"/>
        <family val="2"/>
      </rPr>
      <t>,</t>
    </r>
    <r>
      <rPr>
        <sz val="10.5"/>
        <color indexed="8"/>
        <rFont val="宋体"/>
        <family val="3"/>
        <charset val="134"/>
      </rPr>
      <t>如成长性、连续盈利或盈利总额指标等；</t>
    </r>
  </si>
  <si>
    <r>
      <t xml:space="preserve">    3. </t>
    </r>
    <r>
      <rPr>
        <sz val="10.5"/>
        <color indexed="8"/>
        <rFont val="宋体"/>
        <family val="3"/>
        <charset val="134"/>
      </rPr>
      <t>在取得下述支持文件后可以考虑不进行审计调整：</t>
    </r>
  </si>
  <si>
    <r>
      <t xml:space="preserve">    </t>
    </r>
    <r>
      <rPr>
        <sz val="10.5"/>
        <color indexed="8"/>
        <rFont val="宋体"/>
        <family val="3"/>
        <charset val="134"/>
      </rPr>
      <t>社会保险和住房公积金管理部门守法证明；实际控制人和大股东对承担相关支出损失的承诺；发行人律师关于欠缴行为不构成重大违法和不对发行构成实际障碍的法律意见。</t>
    </r>
  </si>
  <si>
    <r>
      <rPr>
        <sz val="10"/>
        <rFont val="宋体"/>
        <family val="3"/>
        <charset val="134"/>
      </rPr>
      <t>索引号：</t>
    </r>
    <phoneticPr fontId="26" type="noConversion"/>
  </si>
  <si>
    <r>
      <rPr>
        <sz val="10"/>
        <rFont val="宋体"/>
        <family val="3"/>
        <charset val="134"/>
      </rPr>
      <t>页次：</t>
    </r>
  </si>
  <si>
    <r>
      <rPr>
        <b/>
        <sz val="10"/>
        <rFont val="宋体"/>
        <family val="3"/>
        <charset val="134"/>
      </rPr>
      <t>一、测试目标：</t>
    </r>
    <phoneticPr fontId="39" type="noConversion"/>
  </si>
  <si>
    <r>
      <rPr>
        <b/>
        <sz val="10"/>
        <rFont val="宋体"/>
        <family val="3"/>
        <charset val="134"/>
      </rPr>
      <t>二、样本选取标准与规模：</t>
    </r>
    <phoneticPr fontId="39" type="noConversion"/>
  </si>
  <si>
    <r>
      <rPr>
        <sz val="10"/>
        <rFont val="宋体"/>
        <family val="3"/>
        <charset val="134"/>
      </rPr>
      <t>抽测原因：大额（）关联方（）大额交易频繁（）异常（）其他（）</t>
    </r>
  </si>
  <si>
    <r>
      <rPr>
        <b/>
        <sz val="10"/>
        <rFont val="宋体"/>
        <family val="3"/>
        <charset val="134"/>
      </rPr>
      <t>三、测试：</t>
    </r>
    <phoneticPr fontId="39" type="noConversion"/>
  </si>
  <si>
    <r>
      <rPr>
        <sz val="10"/>
        <color rgb="FFFF0000"/>
        <rFont val="宋体"/>
        <family val="3"/>
        <charset val="134"/>
      </rPr>
      <t>奖金或者利润分享福利</t>
    </r>
    <phoneticPr fontId="6" type="noConversion"/>
  </si>
  <si>
    <r>
      <rPr>
        <b/>
        <sz val="10"/>
        <rFont val="宋体"/>
        <family val="3"/>
        <charset val="134"/>
      </rPr>
      <t>四、审计说明：</t>
    </r>
    <phoneticPr fontId="39" type="noConversion"/>
  </si>
  <si>
    <r>
      <rPr>
        <b/>
        <sz val="10"/>
        <rFont val="宋体"/>
        <family val="3"/>
        <charset val="134"/>
      </rPr>
      <t>五、审计结论：</t>
    </r>
    <phoneticPr fontId="26" type="noConversion"/>
  </si>
  <si>
    <r>
      <rPr>
        <b/>
        <sz val="12"/>
        <rFont val="宋体"/>
        <family val="3"/>
        <charset val="134"/>
      </rPr>
      <t>职工薪酬政策统计表</t>
    </r>
    <phoneticPr fontId="6" type="noConversion"/>
  </si>
  <si>
    <r>
      <rPr>
        <sz val="10"/>
        <rFont val="宋体"/>
        <family val="3"/>
        <charset val="134"/>
      </rPr>
      <t>页</t>
    </r>
    <r>
      <rPr>
        <sz val="10"/>
        <rFont val="Arial Narrow"/>
        <family val="2"/>
      </rPr>
      <t xml:space="preserve">  </t>
    </r>
    <r>
      <rPr>
        <sz val="10"/>
        <rFont val="宋体"/>
        <family val="3"/>
        <charset val="134"/>
      </rPr>
      <t>次：</t>
    </r>
    <phoneticPr fontId="6" type="noConversion"/>
  </si>
  <si>
    <r>
      <rPr>
        <b/>
        <sz val="10"/>
        <color indexed="8"/>
        <rFont val="宋体"/>
        <family val="3"/>
        <charset val="134"/>
      </rPr>
      <t>一、审计目标：</t>
    </r>
    <phoneticPr fontId="6" type="noConversion"/>
  </si>
  <si>
    <r>
      <rPr>
        <sz val="10"/>
        <color indexed="8"/>
        <rFont val="宋体"/>
        <family val="3"/>
        <charset val="134"/>
      </rPr>
      <t>检查应付职工薪酬计价是否正确。</t>
    </r>
    <phoneticPr fontId="6" type="noConversion"/>
  </si>
  <si>
    <r>
      <rPr>
        <sz val="10"/>
        <color indexed="8"/>
        <rFont val="宋体"/>
        <family val="3"/>
        <charset val="134"/>
      </rPr>
      <t>检查职工薪酬分摊是否合理。</t>
    </r>
    <phoneticPr fontId="6" type="noConversion"/>
  </si>
  <si>
    <r>
      <rPr>
        <b/>
        <sz val="10"/>
        <color indexed="8"/>
        <rFont val="宋体"/>
        <family val="3"/>
        <charset val="134"/>
      </rPr>
      <t>二、审计过程：</t>
    </r>
    <phoneticPr fontId="6" type="noConversion"/>
  </si>
  <si>
    <r>
      <t>1.</t>
    </r>
    <r>
      <rPr>
        <sz val="10"/>
        <color indexed="8"/>
        <rFont val="宋体"/>
        <family val="3"/>
        <charset val="134"/>
      </rPr>
      <t>解被审计单位工薪与人事循环和与财务报告相关内部控制</t>
    </r>
    <phoneticPr fontId="6" type="noConversion"/>
  </si>
  <si>
    <r>
      <t>2.</t>
    </r>
    <r>
      <rPr>
        <sz val="10"/>
        <color indexed="8"/>
        <rFont val="宋体"/>
        <family val="3"/>
        <charset val="134"/>
      </rPr>
      <t>了解被审计单位工资核算、计提及支付政策及流程，关注是否符合实际经营情况和会计准则的要求，并与前期进行对比，分析其是否保持一贯性。</t>
    </r>
    <phoneticPr fontId="6" type="noConversion"/>
  </si>
  <si>
    <r>
      <t>3.</t>
    </r>
    <r>
      <rPr>
        <sz val="10"/>
        <color indexed="8"/>
        <rFont val="宋体"/>
        <family val="3"/>
        <charset val="134"/>
      </rPr>
      <t>了解发放标准（高管、销售人员、技术人员、业务人员、生产人员、行政人员），发薪的周期（上发还是下发）、年度及季度奖金计提的原则。</t>
    </r>
    <phoneticPr fontId="43" type="noConversion"/>
  </si>
  <si>
    <r>
      <t>4.</t>
    </r>
    <r>
      <rPr>
        <sz val="10"/>
        <color indexed="8"/>
        <rFont val="宋体"/>
        <family val="3"/>
        <charset val="134"/>
      </rPr>
      <t>关注职工薪酬的发放方式和发放频率</t>
    </r>
    <phoneticPr fontId="43" type="noConversion"/>
  </si>
  <si>
    <r>
      <t>5.</t>
    </r>
    <r>
      <rPr>
        <sz val="10"/>
        <color indexed="8"/>
        <rFont val="宋体"/>
        <family val="3"/>
        <charset val="134"/>
      </rPr>
      <t>了解是否存在同一员工同时承担技术服务、研发、销售等多项职责的情况，同时关注此种情况下人工成本分配准确性</t>
    </r>
    <phoneticPr fontId="43" type="noConversion"/>
  </si>
  <si>
    <r>
      <t>6.</t>
    </r>
    <r>
      <rPr>
        <sz val="10"/>
        <color indexed="8"/>
        <rFont val="宋体"/>
        <family val="3"/>
        <charset val="134"/>
      </rPr>
      <t>检查分配方法与上年是否一致，除因解除与职工的劳动关系给予的补偿直接计入管理费用外，被审计单位是否根据职工提供服务的受益对象，分别对下列情况进行处理：</t>
    </r>
    <phoneticPr fontId="43" type="noConversion"/>
  </si>
  <si>
    <r>
      <t>6.1.</t>
    </r>
    <r>
      <rPr>
        <sz val="10"/>
        <color indexed="8"/>
        <rFont val="宋体"/>
        <family val="3"/>
        <charset val="134"/>
      </rPr>
      <t>应由生产产品、提供劳务负担的职工薪酬，计入产品成本或劳务成本；</t>
    </r>
    <phoneticPr fontId="43" type="noConversion"/>
  </si>
  <si>
    <r>
      <t>6.2.</t>
    </r>
    <r>
      <rPr>
        <sz val="10"/>
        <color indexed="8"/>
        <rFont val="宋体"/>
        <family val="3"/>
        <charset val="134"/>
      </rPr>
      <t>应由在建工程、无形资产负担的职工薪酬，计入建造固定资产或无形资产；</t>
    </r>
    <phoneticPr fontId="43" type="noConversion"/>
  </si>
  <si>
    <r>
      <t>6.3.</t>
    </r>
    <r>
      <rPr>
        <sz val="10"/>
        <color indexed="8"/>
        <rFont val="宋体"/>
        <family val="3"/>
        <charset val="134"/>
      </rPr>
      <t>其他职工薪酬，计入当期损益。</t>
    </r>
    <phoneticPr fontId="43" type="noConversion"/>
  </si>
  <si>
    <r>
      <t>6.1</t>
    </r>
    <r>
      <rPr>
        <b/>
        <sz val="10"/>
        <color indexed="8"/>
        <rFont val="宋体"/>
        <family val="3"/>
        <charset val="134"/>
      </rPr>
      <t>薪酬分配概述</t>
    </r>
    <phoneticPr fontId="6" type="noConversion"/>
  </si>
  <si>
    <r>
      <t>6.2</t>
    </r>
    <r>
      <rPr>
        <b/>
        <sz val="10"/>
        <color indexed="8"/>
        <rFont val="宋体"/>
        <family val="3"/>
        <charset val="134"/>
      </rPr>
      <t>薪酬分配流程</t>
    </r>
    <phoneticPr fontId="6" type="noConversion"/>
  </si>
  <si>
    <r>
      <rPr>
        <b/>
        <sz val="10"/>
        <rFont val="宋体"/>
        <family val="3"/>
        <charset val="134"/>
      </rPr>
      <t>三、审计说明：</t>
    </r>
    <phoneticPr fontId="39" type="noConversion"/>
  </si>
  <si>
    <r>
      <rPr>
        <b/>
        <sz val="10"/>
        <rFont val="宋体"/>
        <family val="3"/>
        <charset val="134"/>
      </rPr>
      <t>四、审计结论：</t>
    </r>
    <phoneticPr fontId="39" type="noConversion"/>
  </si>
  <si>
    <r>
      <rPr>
        <b/>
        <sz val="10"/>
        <color theme="1"/>
        <rFont val="宋体"/>
        <family val="3"/>
        <charset val="134"/>
      </rPr>
      <t>致同会计师事务所</t>
    </r>
    <phoneticPr fontId="43" type="noConversion"/>
  </si>
  <si>
    <r>
      <rPr>
        <b/>
        <sz val="12"/>
        <rFont val="宋体"/>
        <family val="3"/>
        <charset val="134"/>
      </rPr>
      <t>应付职工薪酬余额及期后事项检查表</t>
    </r>
    <phoneticPr fontId="6" type="noConversion"/>
  </si>
  <si>
    <r>
      <rPr>
        <b/>
        <sz val="10"/>
        <color indexed="8"/>
        <rFont val="宋体"/>
        <family val="3"/>
        <charset val="134"/>
      </rPr>
      <t>一、审计目标</t>
    </r>
    <r>
      <rPr>
        <b/>
        <sz val="10"/>
        <color indexed="8"/>
        <rFont val="Arial Narrow"/>
        <family val="2"/>
      </rPr>
      <t>:</t>
    </r>
    <phoneticPr fontId="12" type="noConversion"/>
  </si>
  <si>
    <r>
      <rPr>
        <sz val="10"/>
        <rFont val="宋体"/>
        <family val="3"/>
        <charset val="134"/>
      </rPr>
      <t>确定被审计单位职工薪酬计提的完整性。</t>
    </r>
    <phoneticPr fontId="6" type="noConversion"/>
  </si>
  <si>
    <r>
      <rPr>
        <b/>
        <sz val="10"/>
        <rFont val="宋体"/>
        <family val="3"/>
        <charset val="134"/>
      </rPr>
      <t>二、审计过程：</t>
    </r>
    <phoneticPr fontId="6" type="noConversion"/>
  </si>
  <si>
    <r>
      <t>1.</t>
    </r>
    <r>
      <rPr>
        <sz val="10"/>
        <rFont val="宋体"/>
        <family val="3"/>
        <charset val="134"/>
      </rPr>
      <t>检查应付职工薪酬的期后付款情况；</t>
    </r>
  </si>
  <si>
    <r>
      <rPr>
        <b/>
        <sz val="10"/>
        <rFont val="宋体"/>
        <family val="3"/>
        <charset val="134"/>
      </rPr>
      <t>三、审计说明：</t>
    </r>
    <phoneticPr fontId="26" type="noConversion"/>
  </si>
  <si>
    <r>
      <rPr>
        <b/>
        <sz val="10"/>
        <rFont val="宋体"/>
        <family val="3"/>
        <charset val="134"/>
      </rPr>
      <t>四、审计结论：</t>
    </r>
    <phoneticPr fontId="6" type="noConversion"/>
  </si>
  <si>
    <r>
      <rPr>
        <b/>
        <sz val="10"/>
        <rFont val="宋体"/>
        <family val="3"/>
        <charset val="134"/>
      </rPr>
      <t>致同会计师事务所</t>
    </r>
    <phoneticPr fontId="6" type="noConversion"/>
  </si>
  <si>
    <r>
      <rPr>
        <b/>
        <sz val="12"/>
        <rFont val="宋体"/>
        <family val="3"/>
        <charset val="134"/>
      </rPr>
      <t>应付职工薪酬</t>
    </r>
    <r>
      <rPr>
        <b/>
        <sz val="12"/>
        <rFont val="Arial Narrow"/>
        <family val="2"/>
      </rPr>
      <t>-</t>
    </r>
    <r>
      <rPr>
        <b/>
        <sz val="12"/>
        <rFont val="宋体"/>
        <family val="3"/>
        <charset val="134"/>
      </rPr>
      <t>股份支付检查表</t>
    </r>
    <phoneticPr fontId="26" type="noConversion"/>
  </si>
  <si>
    <r>
      <t>1.</t>
    </r>
    <r>
      <rPr>
        <sz val="10"/>
        <rFont val="宋体"/>
        <family val="3"/>
        <charset val="134"/>
      </rPr>
      <t>取得股份支付明细，确定计算的准确性</t>
    </r>
    <phoneticPr fontId="43" type="noConversion"/>
  </si>
  <si>
    <r>
      <t>2.</t>
    </r>
    <r>
      <rPr>
        <sz val="10"/>
        <rFont val="宋体"/>
        <family val="3"/>
        <charset val="134"/>
      </rPr>
      <t>取得股份支付薪酬奖励与董事会会议纪录或其他支持性文件，了解主要条款及条件（即授予日期、期权的价格、股数、行使日期等），并确定企业是否有政策限制该股份支付薪酬奖励发行的日期</t>
    </r>
    <phoneticPr fontId="43" type="noConversion"/>
  </si>
  <si>
    <r>
      <t>3.</t>
    </r>
    <r>
      <rPr>
        <sz val="10"/>
        <rFont val="宋体"/>
        <family val="3"/>
        <charset val="134"/>
      </rPr>
      <t xml:space="preserve">对新的或修改的股份支付进行分析：
</t>
    </r>
    <r>
      <rPr>
        <sz val="10"/>
        <rFont val="Arial Narrow"/>
        <family val="2"/>
      </rPr>
      <t xml:space="preserve">  </t>
    </r>
    <r>
      <rPr>
        <sz val="10"/>
        <rFont val="宋体"/>
        <family val="3"/>
        <charset val="134"/>
      </rPr>
      <t xml:space="preserve">①确定包括在分析中的所有个人都是雇员或其他提供类似服务的人员。	
</t>
    </r>
    <r>
      <rPr>
        <sz val="10"/>
        <rFont val="Arial Narrow"/>
        <family val="2"/>
      </rPr>
      <t xml:space="preserve">  </t>
    </r>
    <r>
      <rPr>
        <sz val="10"/>
        <rFont val="宋体"/>
        <family val="3"/>
        <charset val="134"/>
      </rPr>
      <t xml:space="preserve">②将新的股份支付薪酬奖励与董事会会议纪录或其它授权文件相比较。确定是否存在董事会会议记录或其他文件中提及的股份支付薪酬奖励尚未包含在上面的分析之内。如果是，获取该股份支付相关支持性文件，并确定该遗漏是否适当。	
</t>
    </r>
    <r>
      <rPr>
        <sz val="10"/>
        <rFont val="Arial Narrow"/>
        <family val="2"/>
      </rPr>
      <t xml:space="preserve">  </t>
    </r>
    <r>
      <rPr>
        <sz val="10"/>
        <rFont val="宋体"/>
        <family val="3"/>
        <charset val="134"/>
      </rPr>
      <t>③是否已适当地确认对现有的股份支付薪酬奖励的修改（如有修改）。</t>
    </r>
    <phoneticPr fontId="43" type="noConversion"/>
  </si>
  <si>
    <r>
      <t>4.</t>
    </r>
    <r>
      <rPr>
        <sz val="10"/>
        <rFont val="宋体"/>
        <family val="3"/>
        <charset val="134"/>
      </rPr>
      <t xml:space="preserve">选取样本（如需要）：
</t>
    </r>
    <r>
      <rPr>
        <sz val="10"/>
        <rFont val="Arial Narrow"/>
        <family val="2"/>
      </rPr>
      <t xml:space="preserve">  </t>
    </r>
    <r>
      <rPr>
        <sz val="10"/>
        <rFont val="宋体"/>
        <family val="3"/>
        <charset val="134"/>
      </rPr>
      <t xml:space="preserve">①取得合同及其他支持性文件。	
</t>
    </r>
    <r>
      <rPr>
        <sz val="10"/>
        <rFont val="Arial Narrow"/>
        <family val="2"/>
      </rPr>
      <t xml:space="preserve">  </t>
    </r>
    <r>
      <rPr>
        <sz val="10"/>
        <rFont val="宋体"/>
        <family val="3"/>
        <charset val="134"/>
      </rPr>
      <t xml:space="preserve">②确认主要条款及条件与股份支付薪酬工具是否一致（授予日期、期权的价格、股数、行使日期等）。	
</t>
    </r>
    <r>
      <rPr>
        <sz val="10"/>
        <rFont val="Arial Narrow"/>
        <family val="2"/>
      </rPr>
      <t xml:space="preserve">  </t>
    </r>
    <r>
      <rPr>
        <sz val="10"/>
        <rFont val="宋体"/>
        <family val="3"/>
        <charset val="134"/>
      </rPr>
      <t xml:space="preserve">③确定是否授权日与行权日之间存在重大时间间隔，如果有，向适当的人员询问原因。	</t>
    </r>
    <phoneticPr fontId="43" type="noConversion"/>
  </si>
  <si>
    <r>
      <t>5.</t>
    </r>
    <r>
      <rPr>
        <sz val="10"/>
        <rFont val="宋体"/>
        <family val="3"/>
        <charset val="134"/>
      </rPr>
      <t>根据该股份支付薪酬奖励的条款和条件，确定其分类（如分类为权益结算、现金结算、或者二者结合）适当，并判断所采用的会计处理是否能恰当地反映这种分类</t>
    </r>
    <phoneticPr fontId="43" type="noConversion"/>
  </si>
  <si>
    <r>
      <t>6.</t>
    </r>
    <r>
      <rPr>
        <sz val="10"/>
        <rFont val="宋体"/>
        <family val="3"/>
        <charset val="134"/>
      </rPr>
      <t>了解股份支付公允价值计算相关假设，确定假设的合理性</t>
    </r>
    <phoneticPr fontId="43" type="noConversion"/>
  </si>
  <si>
    <r>
      <t>7.</t>
    </r>
    <r>
      <rPr>
        <sz val="10"/>
        <rFont val="宋体"/>
        <family val="3"/>
        <charset val="134"/>
      </rPr>
      <t>确定股份支付金额是否正确，会计处理是否正确</t>
    </r>
    <phoneticPr fontId="43" type="noConversion"/>
  </si>
  <si>
    <r>
      <t>8.</t>
    </r>
    <r>
      <rPr>
        <sz val="10"/>
        <rFont val="宋体"/>
        <family val="3"/>
        <charset val="134"/>
      </rPr>
      <t>确定是否需要聘请估值专家，以协助评价：企业的专家（无论其是第三方还是内部员工）对该工具估值的工作。完成</t>
    </r>
    <r>
      <rPr>
        <sz val="10"/>
        <rFont val="Arial Narrow"/>
        <family val="2"/>
      </rPr>
      <t>“</t>
    </r>
    <r>
      <rPr>
        <sz val="10"/>
        <rFont val="宋体"/>
        <family val="3"/>
        <charset val="134"/>
      </rPr>
      <t>专家资质</t>
    </r>
    <r>
      <rPr>
        <sz val="10"/>
        <rFont val="Arial Narrow"/>
        <family val="2"/>
      </rPr>
      <t>”</t>
    </r>
    <r>
      <rPr>
        <sz val="10"/>
        <rFont val="宋体"/>
        <family val="3"/>
        <charset val="134"/>
      </rPr>
      <t>和</t>
    </r>
    <r>
      <rPr>
        <sz val="10"/>
        <rFont val="Arial Narrow"/>
        <family val="2"/>
      </rPr>
      <t>“</t>
    </r>
    <r>
      <rPr>
        <sz val="10"/>
        <rFont val="宋体"/>
        <family val="3"/>
        <charset val="134"/>
      </rPr>
      <t>专家工作</t>
    </r>
    <r>
      <rPr>
        <sz val="10"/>
        <rFont val="Arial Narrow"/>
        <family val="2"/>
      </rPr>
      <t>”</t>
    </r>
    <r>
      <rPr>
        <sz val="10"/>
        <rFont val="宋体"/>
        <family val="3"/>
        <charset val="134"/>
      </rPr>
      <t>的审计程序，以评估估值专家（无论其是第三方还是内部员工）的资质及其工作</t>
    </r>
    <phoneticPr fontId="43" type="noConversion"/>
  </si>
  <si>
    <r>
      <t>1</t>
    </r>
    <r>
      <rPr>
        <b/>
        <sz val="10"/>
        <rFont val="宋体"/>
        <family val="3"/>
        <charset val="134"/>
      </rPr>
      <t>、公司股份支付政策及其内容：</t>
    </r>
    <phoneticPr fontId="6" type="noConversion"/>
  </si>
  <si>
    <r>
      <t>2</t>
    </r>
    <r>
      <rPr>
        <b/>
        <sz val="10"/>
        <rFont val="宋体"/>
        <family val="3"/>
        <charset val="134"/>
      </rPr>
      <t>、公允价值的确定及相关假设</t>
    </r>
    <phoneticPr fontId="6" type="noConversion"/>
  </si>
  <si>
    <r>
      <t>3</t>
    </r>
    <r>
      <rPr>
        <b/>
        <sz val="10"/>
        <rFont val="宋体"/>
        <family val="3"/>
        <charset val="134"/>
      </rPr>
      <t>、了解专家资质及利用精算师的工作</t>
    </r>
    <phoneticPr fontId="6" type="noConversion"/>
  </si>
  <si>
    <r>
      <rPr>
        <b/>
        <sz val="10"/>
        <rFont val="宋体"/>
        <family val="3"/>
        <charset val="134"/>
      </rPr>
      <t>项目</t>
    </r>
    <phoneticPr fontId="6" type="noConversion"/>
  </si>
  <si>
    <r>
      <rPr>
        <sz val="10"/>
        <rFont val="宋体"/>
        <family val="3"/>
        <charset val="134"/>
      </rPr>
      <t>了解专家的资质</t>
    </r>
    <phoneticPr fontId="6" type="noConversion"/>
  </si>
  <si>
    <r>
      <rPr>
        <sz val="10"/>
        <rFont val="宋体"/>
        <family val="3"/>
        <charset val="134"/>
      </rPr>
      <t>利用专家的工作</t>
    </r>
    <phoneticPr fontId="6" type="noConversion"/>
  </si>
  <si>
    <r>
      <t>4</t>
    </r>
    <r>
      <rPr>
        <b/>
        <sz val="10"/>
        <color indexed="8"/>
        <rFont val="宋体"/>
        <family val="3"/>
        <charset val="134"/>
      </rPr>
      <t>、抽查本期增减变动的准确性性及会计处理的适当性</t>
    </r>
    <phoneticPr fontId="6" type="noConversion"/>
  </si>
  <si>
    <r>
      <t>5</t>
    </r>
    <r>
      <rPr>
        <b/>
        <sz val="10"/>
        <color indexed="8"/>
        <rFont val="宋体"/>
        <family val="3"/>
        <charset val="134"/>
      </rPr>
      <t>、抽查本期增减变动的准确性性及会计处理的适当性</t>
    </r>
    <phoneticPr fontId="6" type="noConversion"/>
  </si>
  <si>
    <r>
      <rPr>
        <b/>
        <sz val="10"/>
        <rFont val="宋体"/>
        <family val="3"/>
        <charset val="134"/>
      </rPr>
      <t>每股股票</t>
    </r>
    <r>
      <rPr>
        <b/>
        <sz val="10"/>
        <rFont val="Arial Narrow"/>
        <family val="2"/>
      </rPr>
      <t>/</t>
    </r>
    <r>
      <rPr>
        <b/>
        <sz val="10"/>
        <rFont val="宋体"/>
        <family val="3"/>
        <charset val="134"/>
      </rPr>
      <t>每份增值权公允价值</t>
    </r>
    <phoneticPr fontId="6" type="noConversion"/>
  </si>
  <si>
    <r>
      <rPr>
        <b/>
        <sz val="10"/>
        <rFont val="宋体"/>
        <family val="3"/>
        <charset val="134"/>
      </rPr>
      <t>每股股票</t>
    </r>
    <r>
      <rPr>
        <b/>
        <sz val="10"/>
        <rFont val="Arial Narrow"/>
        <family val="2"/>
      </rPr>
      <t>/</t>
    </r>
    <r>
      <rPr>
        <b/>
        <sz val="10"/>
        <rFont val="宋体"/>
        <family val="3"/>
        <charset val="134"/>
      </rPr>
      <t>每份增值权支付现金</t>
    </r>
    <phoneticPr fontId="6" type="noConversion"/>
  </si>
  <si>
    <r>
      <rPr>
        <b/>
        <sz val="10"/>
        <rFont val="宋体"/>
        <family val="3"/>
        <charset val="134"/>
      </rPr>
      <t>测算当期费用</t>
    </r>
    <r>
      <rPr>
        <b/>
        <sz val="10"/>
        <rFont val="Arial Narrow"/>
        <family val="2"/>
      </rPr>
      <t>/</t>
    </r>
    <r>
      <rPr>
        <b/>
        <sz val="10"/>
        <rFont val="宋体"/>
        <family val="3"/>
        <charset val="134"/>
      </rPr>
      <t>公允价值变动金额</t>
    </r>
    <phoneticPr fontId="6" type="noConversion"/>
  </si>
  <si>
    <r>
      <rPr>
        <sz val="10"/>
        <rFont val="宋体"/>
        <family val="3"/>
        <charset val="134"/>
      </rPr>
      <t>合计</t>
    </r>
  </si>
  <si>
    <r>
      <rPr>
        <b/>
        <sz val="10"/>
        <color rgb="FF0000FF"/>
        <rFont val="宋体"/>
        <family val="3"/>
        <charset val="134"/>
      </rPr>
      <t>提示：</t>
    </r>
    <phoneticPr fontId="43" type="noConversion"/>
  </si>
  <si>
    <r>
      <rPr>
        <sz val="10"/>
        <color rgb="FF0000FF"/>
        <rFont val="宋体"/>
        <family val="3"/>
        <charset val="134"/>
      </rPr>
      <t>注</t>
    </r>
    <r>
      <rPr>
        <sz val="10"/>
        <color rgb="FF0000FF"/>
        <rFont val="Arial Narrow"/>
        <family val="2"/>
      </rPr>
      <t>1</t>
    </r>
    <r>
      <rPr>
        <sz val="10"/>
        <color rgb="FF0000FF"/>
        <rFont val="宋体"/>
        <family val="3"/>
        <charset val="134"/>
      </rPr>
      <t>：检查授予后立即可行权的以现金结算的股份支付，是否在授权日以承担负债的公允价值计入相关成本或费用；</t>
    </r>
  </si>
  <si>
    <r>
      <rPr>
        <sz val="10"/>
        <color rgb="FF0000FF"/>
        <rFont val="宋体"/>
        <family val="3"/>
        <charset val="134"/>
      </rPr>
      <t>注</t>
    </r>
    <r>
      <rPr>
        <sz val="10"/>
        <color rgb="FF0000FF"/>
        <rFont val="Arial Narrow"/>
        <family val="2"/>
      </rPr>
      <t>2</t>
    </r>
    <r>
      <rPr>
        <sz val="10"/>
        <color rgb="FF0000FF"/>
        <rFont val="宋体"/>
        <family val="3"/>
        <charset val="134"/>
      </rPr>
      <t>：检查完成等待后的服务或达到规定业绩条件以后才可行权的以现金结算的股份支付，在等待期内的每个资产负债表日，</t>
    </r>
  </si>
  <si>
    <r>
      <rPr>
        <sz val="10"/>
        <color rgb="FF0000FF"/>
        <rFont val="宋体"/>
        <family val="3"/>
        <charset val="134"/>
      </rPr>
      <t>注</t>
    </r>
    <r>
      <rPr>
        <sz val="10"/>
        <color rgb="FF0000FF"/>
        <rFont val="Arial Narrow"/>
        <family val="2"/>
      </rPr>
      <t>3</t>
    </r>
    <r>
      <rPr>
        <sz val="10"/>
        <color rgb="FF0000FF"/>
        <rFont val="宋体"/>
        <family val="3"/>
        <charset val="134"/>
      </rPr>
      <t>：检查可行权日之后，以现金结算的股份支付当期公允价值的变动金额，是否借记或贷记</t>
    </r>
    <r>
      <rPr>
        <sz val="10"/>
        <color rgb="FF0000FF"/>
        <rFont val="Arial Narrow"/>
        <family val="2"/>
      </rPr>
      <t>“</t>
    </r>
    <r>
      <rPr>
        <sz val="10"/>
        <color rgb="FF0000FF"/>
        <rFont val="宋体"/>
        <family val="3"/>
        <charset val="134"/>
      </rPr>
      <t>公允价值变动损益</t>
    </r>
    <r>
      <rPr>
        <sz val="10"/>
        <color rgb="FF0000FF"/>
        <rFont val="Arial Narrow"/>
        <family val="2"/>
      </rPr>
      <t>”</t>
    </r>
  </si>
  <si>
    <r>
      <rPr>
        <sz val="10"/>
        <color rgb="FF0000FF"/>
        <rFont val="宋体"/>
        <family val="3"/>
        <charset val="134"/>
      </rPr>
      <t>注</t>
    </r>
    <r>
      <rPr>
        <sz val="10"/>
        <color rgb="FF0000FF"/>
        <rFont val="Arial Narrow"/>
        <family val="2"/>
      </rPr>
      <t>4</t>
    </r>
    <r>
      <rPr>
        <sz val="10"/>
        <color rgb="FF0000FF"/>
        <rFont val="宋体"/>
        <family val="3"/>
        <charset val="134"/>
      </rPr>
      <t>：检查可行权日，以现金结算的股份支付的金额正确，会计处理恰当。</t>
    </r>
  </si>
  <si>
    <r>
      <t>1</t>
    </r>
    <r>
      <rPr>
        <b/>
        <sz val="10"/>
        <rFont val="宋体"/>
        <family val="3"/>
        <charset val="134"/>
      </rPr>
      <t>、公司是否制定了关于辞退福利的相关制度，及其内容：</t>
    </r>
    <phoneticPr fontId="6" type="noConversion"/>
  </si>
  <si>
    <r>
      <t>2</t>
    </r>
    <r>
      <rPr>
        <b/>
        <sz val="10"/>
        <rFont val="宋体"/>
        <family val="3"/>
        <charset val="134"/>
      </rPr>
      <t>、公司近期是否正在实施辞退或裁减计划，具体内容及所处阶段：</t>
    </r>
    <phoneticPr fontId="6" type="noConversion"/>
  </si>
  <si>
    <r>
      <t>3</t>
    </r>
    <r>
      <rPr>
        <b/>
        <sz val="10"/>
        <rFont val="宋体"/>
        <family val="3"/>
        <charset val="134"/>
      </rPr>
      <t>、公司制定的解除劳动关系计划、提出自愿裁减建议是否符合准则规定的确认辞退福利的条件：</t>
    </r>
    <phoneticPr fontId="6" type="noConversion"/>
  </si>
  <si>
    <r>
      <t>4</t>
    </r>
    <r>
      <rPr>
        <b/>
        <sz val="10"/>
        <rFont val="宋体"/>
        <family val="3"/>
        <charset val="134"/>
      </rPr>
      <t>、了解专家资质及利用精算师的工作</t>
    </r>
    <phoneticPr fontId="6" type="noConversion"/>
  </si>
  <si>
    <r>
      <t>5</t>
    </r>
    <r>
      <rPr>
        <b/>
        <sz val="10"/>
        <color indexed="8"/>
        <rFont val="宋体"/>
        <family val="3"/>
        <charset val="134"/>
      </rPr>
      <t>、抽查本期增减变动的真实性</t>
    </r>
    <phoneticPr fontId="6" type="noConversion"/>
  </si>
  <si>
    <r>
      <rPr>
        <sz val="10"/>
        <color rgb="FF0000FF"/>
        <rFont val="宋体"/>
        <family val="3"/>
        <charset val="134"/>
      </rPr>
      <t>提示：辞退福利计算中使用的关键假设和主要参数</t>
    </r>
    <phoneticPr fontId="6" type="noConversion"/>
  </si>
  <si>
    <r>
      <rPr>
        <sz val="10"/>
        <color rgb="FF0000FF"/>
        <rFont val="宋体"/>
        <family val="3"/>
        <charset val="134"/>
      </rPr>
      <t>基本工资</t>
    </r>
    <r>
      <rPr>
        <sz val="10"/>
        <color rgb="FF0000FF"/>
        <rFont val="Arial Narrow"/>
        <family val="2"/>
      </rPr>
      <t>/</t>
    </r>
    <r>
      <rPr>
        <sz val="10"/>
        <color rgb="FF0000FF"/>
        <rFont val="宋体"/>
        <family val="3"/>
        <charset val="134"/>
      </rPr>
      <t>生活费增长率</t>
    </r>
  </si>
  <si>
    <r>
      <rPr>
        <sz val="10"/>
        <color rgb="FF0000FF"/>
        <rFont val="宋体"/>
        <family val="3"/>
        <charset val="134"/>
      </rPr>
      <t>社保、公积金增长率</t>
    </r>
  </si>
  <si>
    <r>
      <rPr>
        <sz val="10"/>
        <color rgb="FF0000FF"/>
        <rFont val="宋体"/>
        <family val="3"/>
        <charset val="134"/>
      </rPr>
      <t>死亡率</t>
    </r>
    <phoneticPr fontId="6" type="noConversion"/>
  </si>
  <si>
    <r>
      <rPr>
        <sz val="10"/>
        <color rgb="FF0000FF"/>
        <rFont val="宋体"/>
        <family val="3"/>
        <charset val="134"/>
      </rPr>
      <t>折现率</t>
    </r>
    <phoneticPr fontId="6" type="noConversion"/>
  </si>
  <si>
    <r>
      <rPr>
        <sz val="10"/>
        <color rgb="FF0000FF"/>
        <rFont val="宋体"/>
        <family val="3"/>
        <charset val="134"/>
      </rPr>
      <t>折现率为同期限同币种国债利率或高质量公司债券的市场收益率，不存在与辞退福利支付期限相匹配国债利率的，应当以短于辞退福利支付期限的国债利率为基础，并根据国债收益率曲线采用外推法估计超出期限部分的利率，合理确定折现率。</t>
    </r>
    <phoneticPr fontId="6" type="noConversion"/>
  </si>
  <si>
    <r>
      <t>1</t>
    </r>
    <r>
      <rPr>
        <b/>
        <sz val="10"/>
        <rFont val="宋体"/>
        <family val="3"/>
        <charset val="134"/>
      </rPr>
      <t>、公司非货币性福利政策及其内容：</t>
    </r>
    <phoneticPr fontId="6" type="noConversion"/>
  </si>
  <si>
    <r>
      <t>2</t>
    </r>
    <r>
      <rPr>
        <b/>
        <sz val="10"/>
        <rFont val="宋体"/>
        <family val="3"/>
        <charset val="134"/>
      </rPr>
      <t>、计提金额的确定：</t>
    </r>
    <phoneticPr fontId="6" type="noConversion"/>
  </si>
  <si>
    <r>
      <t>3</t>
    </r>
    <r>
      <rPr>
        <b/>
        <sz val="10"/>
        <color indexed="8"/>
        <rFont val="宋体"/>
        <family val="3"/>
        <charset val="134"/>
      </rPr>
      <t>、抽查本期增减变动的准确性性及会计处理的适当性</t>
    </r>
    <phoneticPr fontId="6" type="noConversion"/>
  </si>
  <si>
    <r>
      <rPr>
        <b/>
        <sz val="10"/>
        <color indexed="8"/>
        <rFont val="宋体"/>
        <family val="3"/>
        <charset val="134"/>
      </rPr>
      <t>项目名称</t>
    </r>
    <phoneticPr fontId="6" type="noConversion"/>
  </si>
  <si>
    <r>
      <rPr>
        <b/>
        <sz val="10"/>
        <rFont val="宋体"/>
        <family val="3"/>
        <charset val="134"/>
      </rPr>
      <t>生产成本</t>
    </r>
    <phoneticPr fontId="6" type="noConversion"/>
  </si>
  <si>
    <r>
      <rPr>
        <b/>
        <sz val="10"/>
        <rFont val="宋体"/>
        <family val="3"/>
        <charset val="134"/>
      </rPr>
      <t>制造费用</t>
    </r>
    <phoneticPr fontId="6" type="noConversion"/>
  </si>
  <si>
    <r>
      <rPr>
        <b/>
        <sz val="10"/>
        <rFont val="宋体"/>
        <family val="3"/>
        <charset val="134"/>
      </rPr>
      <t>管理费用</t>
    </r>
    <phoneticPr fontId="6" type="noConversion"/>
  </si>
  <si>
    <r>
      <rPr>
        <b/>
        <sz val="10"/>
        <rFont val="宋体"/>
        <family val="3"/>
        <charset val="134"/>
      </rPr>
      <t>销售费用</t>
    </r>
    <phoneticPr fontId="6" type="noConversion"/>
  </si>
  <si>
    <r>
      <rPr>
        <b/>
        <sz val="10"/>
        <rFont val="宋体"/>
        <family val="3"/>
        <charset val="134"/>
      </rPr>
      <t>其他</t>
    </r>
    <r>
      <rPr>
        <b/>
        <sz val="10"/>
        <rFont val="Arial Narrow"/>
        <family val="2"/>
      </rPr>
      <t>…</t>
    </r>
    <phoneticPr fontId="6" type="noConversion"/>
  </si>
  <si>
    <r>
      <rPr>
        <b/>
        <sz val="10"/>
        <color indexed="8"/>
        <rFont val="宋体"/>
        <family val="3"/>
        <charset val="134"/>
      </rPr>
      <t>本期合计</t>
    </r>
    <phoneticPr fontId="26" type="noConversion"/>
  </si>
  <si>
    <r>
      <rPr>
        <b/>
        <sz val="10"/>
        <color indexed="8"/>
        <rFont val="宋体"/>
        <family val="3"/>
        <charset val="134"/>
      </rPr>
      <t>本期实际计提数</t>
    </r>
    <phoneticPr fontId="26" type="noConversion"/>
  </si>
  <si>
    <r>
      <rPr>
        <b/>
        <sz val="10"/>
        <color indexed="8"/>
        <rFont val="宋体"/>
        <family val="3"/>
        <charset val="134"/>
      </rPr>
      <t>本期差异</t>
    </r>
    <phoneticPr fontId="26" type="noConversion"/>
  </si>
  <si>
    <r>
      <rPr>
        <b/>
        <sz val="10"/>
        <rFont val="宋体"/>
        <family val="3"/>
        <charset val="134"/>
      </rPr>
      <t>差异原因</t>
    </r>
    <phoneticPr fontId="26" type="noConversion"/>
  </si>
  <si>
    <r>
      <rPr>
        <b/>
        <sz val="10"/>
        <rFont val="宋体"/>
        <family val="3"/>
        <charset val="134"/>
      </rPr>
      <t>结论</t>
    </r>
    <phoneticPr fontId="26" type="noConversion"/>
  </si>
  <si>
    <r>
      <rPr>
        <b/>
        <sz val="10"/>
        <rFont val="宋体"/>
        <family val="3"/>
        <charset val="134"/>
      </rPr>
      <t>索引</t>
    </r>
    <phoneticPr fontId="6" type="noConversion"/>
  </si>
  <si>
    <r>
      <rPr>
        <sz val="10"/>
        <rFont val="宋体"/>
        <family val="3"/>
        <charset val="134"/>
      </rPr>
      <t>工资、奖金、津贴和补贴</t>
    </r>
  </si>
  <si>
    <r>
      <rPr>
        <sz val="10"/>
        <rFont val="宋体"/>
        <family val="3"/>
        <charset val="134"/>
      </rPr>
      <t>职工福利费</t>
    </r>
  </si>
  <si>
    <r>
      <rPr>
        <sz val="10"/>
        <rFont val="宋体"/>
        <family val="3"/>
        <charset val="134"/>
      </rPr>
      <t>社会保险费</t>
    </r>
  </si>
  <si>
    <r>
      <rPr>
        <sz val="10"/>
        <rFont val="宋体"/>
        <family val="3"/>
        <charset val="134"/>
      </rPr>
      <t>住房公积金</t>
    </r>
  </si>
  <si>
    <r>
      <rPr>
        <sz val="10"/>
        <rFont val="宋体"/>
        <family val="3"/>
        <charset val="134"/>
      </rPr>
      <t>工会经费</t>
    </r>
  </si>
  <si>
    <r>
      <rPr>
        <sz val="10"/>
        <rFont val="宋体"/>
        <family val="3"/>
        <charset val="134"/>
      </rPr>
      <t>职工教育经费</t>
    </r>
  </si>
  <si>
    <r>
      <rPr>
        <sz val="10"/>
        <rFont val="宋体"/>
        <family val="3"/>
        <charset val="134"/>
      </rPr>
      <t>短期带薪缺勤</t>
    </r>
  </si>
  <si>
    <r>
      <rPr>
        <sz val="10"/>
        <rFont val="宋体"/>
        <family val="3"/>
        <charset val="134"/>
      </rPr>
      <t>短期利润分享计划</t>
    </r>
  </si>
  <si>
    <r>
      <rPr>
        <sz val="10"/>
        <rFont val="宋体"/>
        <family val="3"/>
        <charset val="134"/>
      </rPr>
      <t>非货币性福利</t>
    </r>
  </si>
  <si>
    <r>
      <t>（2</t>
    </r>
    <r>
      <rPr>
        <b/>
        <sz val="10"/>
        <rFont val="宋体"/>
        <family val="3"/>
        <charset val="134"/>
      </rPr>
      <t>）离职后福利中设定提存计划、其他长期福利中符合设定提存条件的负债</t>
    </r>
    <phoneticPr fontId="44" type="noConversion"/>
  </si>
  <si>
    <r>
      <t>（</t>
    </r>
    <r>
      <rPr>
        <b/>
        <sz val="10"/>
        <color indexed="8"/>
        <rFont val="Arial Narrow"/>
        <family val="2"/>
      </rPr>
      <t>3</t>
    </r>
    <r>
      <rPr>
        <b/>
        <sz val="10"/>
        <color indexed="8"/>
        <rFont val="宋体"/>
        <family val="3"/>
        <charset val="134"/>
      </rPr>
      <t>）一年内支付的辞退福利</t>
    </r>
    <phoneticPr fontId="44" type="noConversion"/>
  </si>
  <si>
    <r>
      <t>（4</t>
    </r>
    <r>
      <rPr>
        <b/>
        <sz val="10"/>
        <rFont val="宋体"/>
        <family val="3"/>
        <charset val="134"/>
      </rPr>
      <t>）其他</t>
    </r>
    <phoneticPr fontId="44" type="noConversion"/>
  </si>
  <si>
    <r>
      <t>1.</t>
    </r>
    <r>
      <rPr>
        <sz val="10"/>
        <rFont val="宋体"/>
        <family val="3"/>
        <charset val="134"/>
      </rPr>
      <t>了解企业应付职工薪酬各项目计提政策，对按照职工提供服务情况和工资标准计算的职工薪酬（如工资），获取工资计算表，将工资标准与有关规定进行核对，选取样本进行测试。</t>
    </r>
  </si>
  <si>
    <r>
      <t>2.</t>
    </r>
    <r>
      <rPr>
        <sz val="10"/>
        <rFont val="宋体"/>
        <family val="3"/>
        <charset val="134"/>
      </rPr>
      <t>对国家规定了计提基础和计提比例的职工薪酬（如失业保险金、工伤保险金等），检查是否按照规定的计提基础和比例计提。</t>
    </r>
  </si>
  <si>
    <r>
      <t>3.</t>
    </r>
    <r>
      <rPr>
        <sz val="10"/>
        <rFont val="宋体"/>
        <family val="3"/>
        <charset val="134"/>
      </rPr>
      <t>分析设定提存计划计提缴存情况，检查是否按照规定的计提基础和比例计提。</t>
    </r>
  </si>
  <si>
    <r>
      <t>4.</t>
    </r>
    <r>
      <rPr>
        <sz val="10"/>
        <rFont val="宋体"/>
        <family val="3"/>
        <charset val="134"/>
      </rPr>
      <t>对被审计单位按照历史经验数据和当期计划预计的职工薪酬（如职工福利费），获取管理层进行估计的资料，分析其合理性。</t>
    </r>
  </si>
  <si>
    <r>
      <rPr>
        <b/>
        <sz val="10"/>
        <rFont val="宋体"/>
        <family val="3"/>
        <charset val="134"/>
      </rPr>
      <t>计提基数</t>
    </r>
    <phoneticPr fontId="6" type="noConversion"/>
  </si>
  <si>
    <r>
      <rPr>
        <b/>
        <sz val="10"/>
        <rFont val="宋体"/>
        <family val="3"/>
        <charset val="134"/>
      </rPr>
      <t>计提比例</t>
    </r>
    <phoneticPr fontId="6" type="noConversion"/>
  </si>
  <si>
    <r>
      <rPr>
        <b/>
        <sz val="10"/>
        <rFont val="宋体"/>
        <family val="3"/>
        <charset val="134"/>
      </rPr>
      <t>应提金额</t>
    </r>
    <phoneticPr fontId="6" type="noConversion"/>
  </si>
  <si>
    <r>
      <rPr>
        <b/>
        <sz val="10"/>
        <rFont val="宋体"/>
        <family val="3"/>
        <charset val="134"/>
      </rPr>
      <t>实际计提数</t>
    </r>
    <phoneticPr fontId="6" type="noConversion"/>
  </si>
  <si>
    <r>
      <rPr>
        <b/>
        <sz val="10"/>
        <rFont val="宋体"/>
        <family val="3"/>
        <charset val="134"/>
      </rPr>
      <t>差异原因</t>
    </r>
    <phoneticPr fontId="6" type="noConversion"/>
  </si>
  <si>
    <r>
      <rPr>
        <b/>
        <sz val="10"/>
        <rFont val="宋体"/>
        <family val="3"/>
        <charset val="134"/>
      </rPr>
      <t>结论</t>
    </r>
    <phoneticPr fontId="6" type="noConversion"/>
  </si>
  <si>
    <r>
      <rPr>
        <b/>
        <sz val="10"/>
        <rFont val="宋体"/>
        <family val="3"/>
        <charset val="134"/>
      </rPr>
      <t>名称</t>
    </r>
    <phoneticPr fontId="6" type="noConversion"/>
  </si>
  <si>
    <r>
      <rPr>
        <b/>
        <sz val="10"/>
        <rFont val="宋体"/>
        <family val="3"/>
        <charset val="134"/>
      </rPr>
      <t>金额</t>
    </r>
    <phoneticPr fontId="6" type="noConversion"/>
  </si>
  <si>
    <r>
      <rPr>
        <sz val="10"/>
        <color indexed="8"/>
        <rFont val="宋体"/>
        <family val="3"/>
        <charset val="134"/>
      </rPr>
      <t>一、工资、奖金、津贴和补贴</t>
    </r>
  </si>
  <si>
    <r>
      <rPr>
        <sz val="10"/>
        <rFont val="宋体"/>
        <family val="3"/>
        <charset val="134"/>
      </rPr>
      <t>其中：</t>
    </r>
    <r>
      <rPr>
        <sz val="10"/>
        <rFont val="Arial Narrow"/>
        <family val="2"/>
      </rPr>
      <t>1</t>
    </r>
    <r>
      <rPr>
        <sz val="10"/>
        <rFont val="宋体"/>
        <family val="3"/>
        <charset val="134"/>
      </rPr>
      <t>．工资</t>
    </r>
  </si>
  <si>
    <r>
      <t>　　　2</t>
    </r>
    <r>
      <rPr>
        <sz val="10"/>
        <rFont val="宋体"/>
        <family val="3"/>
        <charset val="134"/>
      </rPr>
      <t>．奖金</t>
    </r>
  </si>
  <si>
    <r>
      <t>　　　3</t>
    </r>
    <r>
      <rPr>
        <sz val="10"/>
        <rFont val="宋体"/>
        <family val="3"/>
        <charset val="134"/>
      </rPr>
      <t>．津贴</t>
    </r>
  </si>
  <si>
    <r>
      <rPr>
        <sz val="10"/>
        <color indexed="8"/>
        <rFont val="宋体"/>
        <family val="3"/>
        <charset val="134"/>
      </rPr>
      <t>二、职工福利费</t>
    </r>
  </si>
  <si>
    <r>
      <rPr>
        <sz val="10"/>
        <color indexed="8"/>
        <rFont val="宋体"/>
        <family val="3"/>
        <charset val="134"/>
      </rPr>
      <t>三、社会保险费</t>
    </r>
  </si>
  <si>
    <r>
      <rPr>
        <sz val="10"/>
        <color indexed="8"/>
        <rFont val="宋体"/>
        <family val="3"/>
        <charset val="134"/>
      </rPr>
      <t>其中：</t>
    </r>
    <r>
      <rPr>
        <sz val="10"/>
        <color indexed="8"/>
        <rFont val="Arial Narrow"/>
        <family val="2"/>
      </rPr>
      <t>1</t>
    </r>
    <r>
      <rPr>
        <sz val="10"/>
        <color indexed="8"/>
        <rFont val="宋体"/>
        <family val="3"/>
        <charset val="134"/>
      </rPr>
      <t>．医疗保险费</t>
    </r>
  </si>
  <si>
    <r>
      <rPr>
        <sz val="10"/>
        <color indexed="8"/>
        <rFont val="宋体"/>
        <family val="3"/>
        <charset val="134"/>
      </rPr>
      <t>四、住房公积金</t>
    </r>
  </si>
  <si>
    <r>
      <rPr>
        <sz val="10"/>
        <color indexed="8"/>
        <rFont val="宋体"/>
        <family val="3"/>
        <charset val="134"/>
      </rPr>
      <t>五、工会经费</t>
    </r>
  </si>
  <si>
    <r>
      <rPr>
        <sz val="10"/>
        <color indexed="8"/>
        <rFont val="宋体"/>
        <family val="3"/>
        <charset val="134"/>
      </rPr>
      <t>六、职工教育经费</t>
    </r>
  </si>
  <si>
    <r>
      <rPr>
        <sz val="10"/>
        <color indexed="8"/>
        <rFont val="宋体"/>
        <family val="3"/>
        <charset val="134"/>
      </rPr>
      <t>七、非货币性福利</t>
    </r>
  </si>
  <si>
    <r>
      <rPr>
        <sz val="10"/>
        <color indexed="8"/>
        <rFont val="宋体"/>
        <family val="3"/>
        <charset val="134"/>
      </rPr>
      <t>八、辞退福利
（因解除劳动关系给予的补偿）</t>
    </r>
  </si>
  <si>
    <r>
      <rPr>
        <sz val="10"/>
        <color indexed="8"/>
        <rFont val="宋体"/>
        <family val="3"/>
        <charset val="134"/>
      </rPr>
      <t>九、职工奖励及福利基金（外资）</t>
    </r>
  </si>
  <si>
    <r>
      <rPr>
        <sz val="10"/>
        <color indexed="8"/>
        <rFont val="宋体"/>
        <family val="3"/>
        <charset val="134"/>
      </rPr>
      <t>十、以现金结算的股份支付</t>
    </r>
  </si>
  <si>
    <r>
      <rPr>
        <sz val="10"/>
        <color indexed="8"/>
        <rFont val="宋体"/>
        <family val="3"/>
        <charset val="134"/>
      </rPr>
      <t>十一、其他</t>
    </r>
  </si>
  <si>
    <r>
      <rPr>
        <b/>
        <sz val="10"/>
        <rFont val="宋体"/>
        <family val="3"/>
        <charset val="134"/>
      </rPr>
      <t>项目</t>
    </r>
  </si>
  <si>
    <r>
      <rPr>
        <sz val="10"/>
        <color indexed="8"/>
        <rFont val="宋体"/>
        <family val="3"/>
        <charset val="134"/>
      </rPr>
      <t>一、离职后福利</t>
    </r>
    <phoneticPr fontId="44" type="noConversion"/>
  </si>
  <si>
    <r>
      <rPr>
        <sz val="10"/>
        <color indexed="8"/>
        <rFont val="宋体"/>
        <family val="3"/>
        <charset val="134"/>
      </rPr>
      <t>其中：</t>
    </r>
    <r>
      <rPr>
        <sz val="10"/>
        <color theme="1"/>
        <rFont val="Arial Narrow"/>
        <family val="2"/>
      </rPr>
      <t>1</t>
    </r>
    <r>
      <rPr>
        <sz val="10"/>
        <color theme="1"/>
        <rFont val="宋体"/>
        <family val="3"/>
        <charset val="134"/>
      </rPr>
      <t>．基本养老保险费</t>
    </r>
    <phoneticPr fontId="44" type="noConversion"/>
  </si>
  <si>
    <r>
      <t xml:space="preserve">    2</t>
    </r>
    <r>
      <rPr>
        <sz val="10"/>
        <color theme="1"/>
        <rFont val="宋体"/>
        <family val="3"/>
        <charset val="134"/>
      </rPr>
      <t>．失业保险费</t>
    </r>
    <phoneticPr fontId="44" type="noConversion"/>
  </si>
  <si>
    <r>
      <t xml:space="preserve">    3</t>
    </r>
    <r>
      <rPr>
        <sz val="10"/>
        <color theme="1"/>
        <rFont val="宋体"/>
        <family val="3"/>
        <charset val="134"/>
      </rPr>
      <t>．企业年金缴费</t>
    </r>
    <phoneticPr fontId="44" type="noConversion"/>
  </si>
  <si>
    <r>
      <t xml:space="preserve">    4</t>
    </r>
    <r>
      <rPr>
        <sz val="10"/>
        <color theme="1"/>
        <rFont val="宋体"/>
        <family val="3"/>
        <charset val="134"/>
      </rPr>
      <t>．其他</t>
    </r>
    <phoneticPr fontId="44" type="noConversion"/>
  </si>
  <si>
    <r>
      <rPr>
        <sz val="10"/>
        <color indexed="8"/>
        <rFont val="宋体"/>
        <family val="3"/>
        <charset val="134"/>
      </rPr>
      <t>二、其他长期职工福利</t>
    </r>
    <phoneticPr fontId="44" type="noConversion"/>
  </si>
  <si>
    <r>
      <rPr>
        <sz val="10"/>
        <color indexed="8"/>
        <rFont val="宋体"/>
        <family val="3"/>
        <charset val="134"/>
      </rPr>
      <t>其中：</t>
    </r>
    <r>
      <rPr>
        <sz val="10"/>
        <color theme="1"/>
        <rFont val="Arial Narrow"/>
        <family val="2"/>
      </rPr>
      <t>1</t>
    </r>
    <r>
      <rPr>
        <sz val="10"/>
        <color theme="1"/>
        <rFont val="宋体"/>
        <family val="3"/>
        <charset val="134"/>
      </rPr>
      <t>．</t>
    </r>
    <r>
      <rPr>
        <sz val="10"/>
        <color theme="1"/>
        <rFont val="Arial Narrow"/>
        <family val="2"/>
      </rPr>
      <t>xxx</t>
    </r>
    <phoneticPr fontId="44" type="noConversion"/>
  </si>
  <si>
    <r>
      <t>1</t>
    </r>
    <r>
      <rPr>
        <sz val="10"/>
        <rFont val="宋体"/>
        <family val="3"/>
        <charset val="134"/>
      </rPr>
      <t>、公司对社会保险费的核算方法：</t>
    </r>
    <phoneticPr fontId="6" type="noConversion"/>
  </si>
  <si>
    <r>
      <rPr>
        <sz val="10"/>
        <color rgb="FFFF0000"/>
        <rFont val="宋体"/>
        <family val="3"/>
        <charset val="134"/>
      </rPr>
      <t>计提，或按实列支</t>
    </r>
    <phoneticPr fontId="6" type="noConversion"/>
  </si>
  <si>
    <r>
      <t>2</t>
    </r>
    <r>
      <rPr>
        <sz val="10"/>
        <rFont val="宋体"/>
        <family val="3"/>
        <charset val="134"/>
      </rPr>
      <t>、国家关于计缴比例、计缴基数的规定：</t>
    </r>
    <phoneticPr fontId="6" type="noConversion"/>
  </si>
  <si>
    <r>
      <t>3</t>
    </r>
    <r>
      <rPr>
        <sz val="10"/>
        <rFont val="宋体"/>
        <family val="3"/>
        <charset val="134"/>
      </rPr>
      <t>、相关部门为公司确定的计缴基数的依据：</t>
    </r>
    <phoneticPr fontId="6" type="noConversion"/>
  </si>
  <si>
    <r>
      <t>4</t>
    </r>
    <r>
      <rPr>
        <sz val="10"/>
        <rFont val="宋体"/>
        <family val="3"/>
        <charset val="134"/>
      </rPr>
      <t>、公司未给员工计缴社会保险的情况：</t>
    </r>
    <phoneticPr fontId="6" type="noConversion"/>
  </si>
  <si>
    <r>
      <t>5</t>
    </r>
    <r>
      <rPr>
        <sz val="10"/>
        <rFont val="宋体"/>
        <family val="3"/>
        <charset val="134"/>
      </rPr>
      <t>、</t>
    </r>
    <r>
      <rPr>
        <sz val="10"/>
        <rFont val="Arial Narrow"/>
        <family val="2"/>
      </rPr>
      <t>……</t>
    </r>
    <phoneticPr fontId="6" type="noConversion"/>
  </si>
  <si>
    <r>
      <rPr>
        <b/>
        <sz val="10"/>
        <rFont val="宋体"/>
        <family val="3"/>
        <charset val="134"/>
      </rPr>
      <t>部门</t>
    </r>
    <r>
      <rPr>
        <b/>
        <sz val="10"/>
        <rFont val="Arial Narrow"/>
        <family val="2"/>
      </rPr>
      <t>/</t>
    </r>
    <r>
      <rPr>
        <b/>
        <sz val="10"/>
        <rFont val="宋体"/>
        <family val="3"/>
        <charset val="134"/>
      </rPr>
      <t>人员类型</t>
    </r>
    <phoneticPr fontId="6" type="noConversion"/>
  </si>
  <si>
    <r>
      <t>1</t>
    </r>
    <r>
      <rPr>
        <b/>
        <sz val="10"/>
        <rFont val="宋体"/>
        <family val="3"/>
        <charset val="134"/>
      </rPr>
      <t>月</t>
    </r>
    <phoneticPr fontId="26" type="noConversion"/>
  </si>
  <si>
    <r>
      <t>2</t>
    </r>
    <r>
      <rPr>
        <b/>
        <sz val="10"/>
        <rFont val="宋体"/>
        <family val="3"/>
        <charset val="134"/>
      </rPr>
      <t>月</t>
    </r>
    <phoneticPr fontId="26" type="noConversion"/>
  </si>
  <si>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</si>
  <si>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</si>
  <si>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</si>
  <si>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</si>
  <si>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</si>
  <si>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</si>
  <si>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</si>
  <si>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</si>
  <si>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</si>
  <si>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</si>
  <si>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r>
      <rPr>
        <b/>
        <sz val="10"/>
        <rFont val="宋体"/>
        <family val="3"/>
        <charset val="134"/>
      </rPr>
      <t>合计</t>
    </r>
    <phoneticPr fontId="6" type="noConversion"/>
  </si>
  <si>
    <r>
      <t>A</t>
    </r>
    <r>
      <rPr>
        <sz val="10"/>
        <color rgb="FFFF0000"/>
        <rFont val="宋体"/>
        <family val="3"/>
        <charset val="134"/>
      </rPr>
      <t>部门</t>
    </r>
    <phoneticPr fontId="6" type="noConversion"/>
  </si>
  <si>
    <r>
      <t>B</t>
    </r>
    <r>
      <rPr>
        <sz val="10"/>
        <color rgb="FFFF0000"/>
        <rFont val="宋体"/>
        <family val="3"/>
        <charset val="134"/>
      </rPr>
      <t>部门</t>
    </r>
    <phoneticPr fontId="6" type="noConversion"/>
  </si>
  <si>
    <r>
      <t>C</t>
    </r>
    <r>
      <rPr>
        <sz val="10"/>
        <color rgb="FFFF0000"/>
        <rFont val="宋体"/>
        <family val="3"/>
        <charset val="134"/>
      </rPr>
      <t>部门</t>
    </r>
    <phoneticPr fontId="6" type="noConversion"/>
  </si>
  <si>
    <r>
      <rPr>
        <b/>
        <sz val="10"/>
        <rFont val="宋体"/>
        <family val="3"/>
        <charset val="134"/>
      </rPr>
      <t>合计</t>
    </r>
  </si>
  <si>
    <r>
      <rPr>
        <b/>
        <sz val="10"/>
        <rFont val="宋体"/>
        <family val="3"/>
        <charset val="134"/>
      </rPr>
      <t>变动额</t>
    </r>
    <phoneticPr fontId="6" type="noConversion"/>
  </si>
  <si>
    <r>
      <rPr>
        <sz val="10"/>
        <rFont val="宋体"/>
        <family val="3"/>
        <charset val="134"/>
      </rPr>
      <t>索引号：</t>
    </r>
    <phoneticPr fontId="6" type="noConversion"/>
  </si>
  <si>
    <r>
      <rPr>
        <sz val="10"/>
        <rFont val="宋体"/>
        <family val="3"/>
        <charset val="134"/>
      </rPr>
      <t>页</t>
    </r>
    <r>
      <rPr>
        <sz val="10"/>
        <rFont val="Arial Narrow"/>
        <family val="2"/>
      </rPr>
      <t xml:space="preserve">    </t>
    </r>
    <r>
      <rPr>
        <sz val="10"/>
        <rFont val="宋体"/>
        <family val="3"/>
        <charset val="134"/>
      </rPr>
      <t>次：</t>
    </r>
    <phoneticPr fontId="6" type="noConversion"/>
  </si>
  <si>
    <r>
      <rPr>
        <sz val="10"/>
        <rFont val="宋体"/>
        <family val="3"/>
        <charset val="134"/>
      </rPr>
      <t>针对</t>
    </r>
    <r>
      <rPr>
        <sz val="10"/>
        <rFont val="Arial Narrow"/>
        <family val="2"/>
      </rPr>
      <t>IPO</t>
    </r>
    <r>
      <rPr>
        <sz val="10"/>
        <rFont val="宋体"/>
        <family val="3"/>
        <charset val="134"/>
      </rPr>
      <t>企业，分析企业报告期人均工资（分部门、地区或产品线）是否与同地区同行业的水平一致，并与招股书相关数据核对</t>
    </r>
    <phoneticPr fontId="43" type="noConversion"/>
  </si>
  <si>
    <r>
      <rPr>
        <sz val="10"/>
        <rFont val="宋体"/>
        <family val="3"/>
        <charset val="134"/>
      </rPr>
      <t>针对</t>
    </r>
    <r>
      <rPr>
        <sz val="10"/>
        <rFont val="Arial Narrow"/>
        <family val="2"/>
      </rPr>
      <t>IPO</t>
    </r>
    <r>
      <rPr>
        <sz val="10"/>
        <rFont val="宋体"/>
        <family val="3"/>
        <charset val="134"/>
      </rPr>
      <t>企业，分析人员构成及其变化是否合理、人数是否与企业规模一致</t>
    </r>
    <phoneticPr fontId="43" type="noConversion"/>
  </si>
  <si>
    <r>
      <rPr>
        <b/>
        <sz val="10"/>
        <rFont val="宋体"/>
        <family val="3"/>
        <charset val="134"/>
      </rPr>
      <t>部门</t>
    </r>
    <r>
      <rPr>
        <b/>
        <sz val="10"/>
        <rFont val="Arial Narrow"/>
        <family val="2"/>
      </rPr>
      <t>/</t>
    </r>
    <r>
      <rPr>
        <b/>
        <sz val="10"/>
        <rFont val="宋体"/>
        <family val="3"/>
        <charset val="134"/>
      </rPr>
      <t>地区</t>
    </r>
    <r>
      <rPr>
        <b/>
        <sz val="10"/>
        <rFont val="Arial Narrow"/>
        <family val="2"/>
      </rPr>
      <t>/</t>
    </r>
    <r>
      <rPr>
        <b/>
        <sz val="10"/>
        <rFont val="宋体"/>
        <family val="3"/>
        <charset val="134"/>
      </rPr>
      <t>产品线</t>
    </r>
    <phoneticPr fontId="6" type="noConversion"/>
  </si>
  <si>
    <r>
      <rPr>
        <b/>
        <sz val="10"/>
        <rFont val="宋体"/>
        <family val="3"/>
        <charset val="134"/>
      </rPr>
      <t>本期计提数</t>
    </r>
    <phoneticPr fontId="6" type="noConversion"/>
  </si>
  <si>
    <r>
      <rPr>
        <b/>
        <sz val="10"/>
        <rFont val="宋体"/>
        <family val="3"/>
        <charset val="134"/>
      </rPr>
      <t>上期计提数</t>
    </r>
    <phoneticPr fontId="6" type="noConversion"/>
  </si>
  <si>
    <r>
      <rPr>
        <b/>
        <sz val="10"/>
        <rFont val="宋体"/>
        <family val="3"/>
        <charset val="134"/>
      </rPr>
      <t>计提工资总额波动比例</t>
    </r>
    <phoneticPr fontId="6" type="noConversion"/>
  </si>
  <si>
    <r>
      <rPr>
        <b/>
        <sz val="10"/>
        <rFont val="宋体"/>
        <family val="3"/>
        <charset val="134"/>
      </rPr>
      <t>人均数波动比例</t>
    </r>
    <phoneticPr fontId="6" type="noConversion"/>
  </si>
  <si>
    <r>
      <rPr>
        <b/>
        <sz val="10"/>
        <rFont val="宋体"/>
        <family val="3"/>
        <charset val="134"/>
      </rPr>
      <t>异常波动分析或底稿索引</t>
    </r>
    <phoneticPr fontId="6" type="noConversion"/>
  </si>
  <si>
    <r>
      <rPr>
        <b/>
        <sz val="10"/>
        <rFont val="宋体"/>
        <family val="3"/>
        <charset val="134"/>
      </rPr>
      <t>人数</t>
    </r>
    <phoneticPr fontId="6" type="noConversion"/>
  </si>
  <si>
    <r>
      <rPr>
        <b/>
        <sz val="10"/>
        <rFont val="宋体"/>
        <family val="3"/>
        <charset val="134"/>
      </rPr>
      <t>总额</t>
    </r>
    <phoneticPr fontId="6" type="noConversion"/>
  </si>
  <si>
    <r>
      <rPr>
        <b/>
        <sz val="10"/>
        <rFont val="宋体"/>
        <family val="3"/>
        <charset val="134"/>
      </rPr>
      <t>人均数</t>
    </r>
    <phoneticPr fontId="6" type="noConversion"/>
  </si>
  <si>
    <r>
      <rPr>
        <sz val="10"/>
        <rFont val="宋体"/>
        <family val="3"/>
        <charset val="134"/>
      </rPr>
      <t>生产人员</t>
    </r>
    <phoneticPr fontId="43" type="noConversion"/>
  </si>
  <si>
    <r>
      <rPr>
        <sz val="10"/>
        <rFont val="宋体"/>
        <family val="3"/>
        <charset val="134"/>
      </rPr>
      <t>管理人员</t>
    </r>
    <phoneticPr fontId="43" type="noConversion"/>
  </si>
  <si>
    <r>
      <rPr>
        <b/>
        <sz val="10"/>
        <rFont val="宋体"/>
        <family val="3"/>
        <charset val="134"/>
      </rPr>
      <t>合计</t>
    </r>
    <phoneticPr fontId="43" type="noConversion"/>
  </si>
  <si>
    <r>
      <rPr>
        <b/>
        <sz val="10"/>
        <rFont val="宋体"/>
        <family val="3"/>
        <charset val="134"/>
      </rPr>
      <t>三、审计说明：</t>
    </r>
    <phoneticPr fontId="6" type="noConversion"/>
  </si>
  <si>
    <r>
      <rPr>
        <sz val="10"/>
        <color indexed="12"/>
        <rFont val="宋体"/>
        <family val="3"/>
        <charset val="134"/>
      </rPr>
      <t>答：部分首发企业存在将较多的劳务活动交由专门劳务外包公司实施的情况的。中介机构应当充分关注以下方面：</t>
    </r>
  </si>
  <si>
    <r>
      <rPr>
        <sz val="10"/>
        <color indexed="12"/>
        <rFont val="宋体"/>
        <family val="3"/>
        <charset val="134"/>
      </rPr>
      <t>该等劳务公司的经营合法合规性，比如是否具备必要的专业资质，是否遵循国家环保、税务、劳动保障等法律法规的相关规定；</t>
    </r>
  </si>
  <si>
    <r>
      <rPr>
        <sz val="10"/>
        <color indexed="12"/>
        <rFont val="宋体"/>
        <family val="3"/>
        <charset val="134"/>
      </rPr>
      <t>劳务公司是否专门或主要为发行人服务，如存在主要为发行人服务的情形的，应关注其合理性及必要性、关联关系的认定及披露是否真实、准确、完整。中介机构对于该类情形应当从实质重于形式角度按关联方的相关要求进行核查，并特别考虑其按规范运行的经营成果对发行人财务数据的影响，以及对发行人是否符合发行条件的影响；</t>
    </r>
  </si>
  <si>
    <r>
      <rPr>
        <sz val="10"/>
        <color indexed="12"/>
        <rFont val="宋体"/>
        <family val="3"/>
        <charset val="134"/>
      </rPr>
      <t>劳务公司的构成及变动情况，劳务外包合同的主要内容，劳务数量及费用变动是否与发行人经营业绩相匹配，劳务费用定价是否公允，是否存在跨期核算情形。</t>
    </r>
  </si>
  <si>
    <r>
      <rPr>
        <b/>
        <sz val="10"/>
        <rFont val="宋体"/>
        <family val="3"/>
        <charset val="134"/>
      </rPr>
      <t>贷方调整金额</t>
    </r>
    <phoneticPr fontId="6" type="noConversion"/>
  </si>
  <si>
    <r>
      <rPr>
        <b/>
        <sz val="10"/>
        <rFont val="宋体"/>
        <family val="3"/>
        <charset val="134"/>
      </rPr>
      <t>备注</t>
    </r>
    <phoneticPr fontId="6" type="noConversion"/>
  </si>
  <si>
    <r>
      <t>（1</t>
    </r>
    <r>
      <rPr>
        <b/>
        <sz val="10"/>
        <rFont val="宋体"/>
        <family val="3"/>
        <charset val="134"/>
      </rPr>
      <t>）短期薪酬</t>
    </r>
    <phoneticPr fontId="44" type="noConversion"/>
  </si>
  <si>
    <r>
      <rPr>
        <b/>
        <sz val="10"/>
        <color indexed="8"/>
        <rFont val="宋体"/>
        <family val="3"/>
        <charset val="134"/>
      </rPr>
      <t>序号</t>
    </r>
    <phoneticPr fontId="6" type="noConversion"/>
  </si>
  <si>
    <r>
      <rPr>
        <b/>
        <sz val="10"/>
        <color indexed="8"/>
        <rFont val="宋体"/>
        <family val="3"/>
        <charset val="134"/>
      </rPr>
      <t>未审数</t>
    </r>
    <phoneticPr fontId="6" type="noConversion"/>
  </si>
  <si>
    <r>
      <rPr>
        <b/>
        <sz val="10"/>
        <color indexed="8"/>
        <rFont val="宋体"/>
        <family val="3"/>
        <charset val="134"/>
      </rPr>
      <t>期初调整</t>
    </r>
    <phoneticPr fontId="43" type="noConversion"/>
  </si>
  <si>
    <r>
      <rPr>
        <b/>
        <sz val="10"/>
        <color indexed="8"/>
        <rFont val="宋体"/>
        <family val="3"/>
        <charset val="134"/>
      </rPr>
      <t>账项调整</t>
    </r>
    <phoneticPr fontId="43" type="noConversion"/>
  </si>
  <si>
    <r>
      <rPr>
        <b/>
        <sz val="10"/>
        <color indexed="8"/>
        <rFont val="宋体"/>
        <family val="3"/>
        <charset val="134"/>
      </rPr>
      <t>审定数</t>
    </r>
    <phoneticPr fontId="43" type="noConversion"/>
  </si>
  <si>
    <r>
      <rPr>
        <b/>
        <sz val="10"/>
        <color indexed="8"/>
        <rFont val="宋体"/>
        <family val="3"/>
        <charset val="134"/>
      </rPr>
      <t>备注</t>
    </r>
    <phoneticPr fontId="6" type="noConversion"/>
  </si>
  <si>
    <r>
      <rPr>
        <b/>
        <sz val="10"/>
        <color indexed="8"/>
        <rFont val="宋体"/>
        <family val="3"/>
        <charset val="134"/>
      </rPr>
      <t>期初数</t>
    </r>
    <phoneticPr fontId="6" type="noConversion"/>
  </si>
  <si>
    <r>
      <rPr>
        <b/>
        <sz val="10"/>
        <color indexed="8"/>
        <rFont val="宋体"/>
        <family val="3"/>
        <charset val="134"/>
      </rPr>
      <t>本期增加</t>
    </r>
    <phoneticPr fontId="6" type="noConversion"/>
  </si>
  <si>
    <r>
      <rPr>
        <b/>
        <sz val="10"/>
        <color indexed="8"/>
        <rFont val="宋体"/>
        <family val="3"/>
        <charset val="134"/>
      </rPr>
      <t>本期减少</t>
    </r>
    <phoneticPr fontId="6" type="noConversion"/>
  </si>
  <si>
    <r>
      <rPr>
        <b/>
        <sz val="10"/>
        <color indexed="8"/>
        <rFont val="宋体"/>
        <family val="3"/>
        <charset val="134"/>
      </rPr>
      <t>期末数</t>
    </r>
    <phoneticPr fontId="6" type="noConversion"/>
  </si>
  <si>
    <r>
      <rPr>
        <b/>
        <sz val="10"/>
        <color indexed="8"/>
        <rFont val="宋体"/>
        <family val="3"/>
        <charset val="134"/>
      </rPr>
      <t>账项调整</t>
    </r>
    <phoneticPr fontId="6" type="noConversion"/>
  </si>
  <si>
    <r>
      <rPr>
        <sz val="10"/>
        <color indexed="8"/>
        <rFont val="宋体"/>
        <family val="3"/>
        <charset val="134"/>
      </rPr>
      <t>一</t>
    </r>
    <phoneticPr fontId="6" type="noConversion"/>
  </si>
  <si>
    <r>
      <rPr>
        <sz val="10"/>
        <color indexed="8"/>
        <rFont val="宋体"/>
        <family val="3"/>
        <charset val="134"/>
      </rPr>
      <t>工资、奖金、津贴和补贴</t>
    </r>
  </si>
  <si>
    <r>
      <rPr>
        <sz val="10"/>
        <rFont val="宋体"/>
        <family val="3"/>
        <charset val="134"/>
      </rPr>
      <t>其中：</t>
    </r>
    <r>
      <rPr>
        <sz val="10"/>
        <rFont val="Arial Narrow"/>
        <family val="2"/>
      </rPr>
      <t>1.</t>
    </r>
    <r>
      <rPr>
        <sz val="10"/>
        <rFont val="宋体"/>
        <family val="3"/>
        <charset val="134"/>
      </rPr>
      <t>工资</t>
    </r>
    <phoneticPr fontId="6" type="noConversion"/>
  </si>
  <si>
    <r>
      <t>2.</t>
    </r>
    <r>
      <rPr>
        <sz val="10"/>
        <rFont val="宋体"/>
        <family val="3"/>
        <charset val="134"/>
      </rPr>
      <t>奖金</t>
    </r>
    <phoneticPr fontId="6" type="noConversion"/>
  </si>
  <si>
    <r>
      <t>3.</t>
    </r>
    <r>
      <rPr>
        <sz val="10"/>
        <rFont val="宋体"/>
        <family val="3"/>
        <charset val="134"/>
      </rPr>
      <t>津贴</t>
    </r>
    <phoneticPr fontId="6" type="noConversion"/>
  </si>
  <si>
    <r>
      <t>4.</t>
    </r>
    <r>
      <rPr>
        <sz val="10"/>
        <rFont val="宋体"/>
        <family val="3"/>
        <charset val="134"/>
      </rPr>
      <t>补贴</t>
    </r>
    <phoneticPr fontId="6" type="noConversion"/>
  </si>
  <si>
    <r>
      <t>5.</t>
    </r>
    <r>
      <rPr>
        <sz val="10"/>
        <rFont val="宋体"/>
        <family val="3"/>
        <charset val="134"/>
      </rPr>
      <t>其他</t>
    </r>
    <phoneticPr fontId="6" type="noConversion"/>
  </si>
  <si>
    <r>
      <rPr>
        <sz val="10"/>
        <color indexed="8"/>
        <rFont val="宋体"/>
        <family val="3"/>
        <charset val="134"/>
      </rPr>
      <t>二</t>
    </r>
    <phoneticPr fontId="6" type="noConversion"/>
  </si>
  <si>
    <r>
      <rPr>
        <sz val="10"/>
        <color indexed="8"/>
        <rFont val="宋体"/>
        <family val="3"/>
        <charset val="134"/>
      </rPr>
      <t>职工福利费</t>
    </r>
  </si>
  <si>
    <r>
      <rPr>
        <sz val="10"/>
        <rFont val="宋体"/>
        <family val="3"/>
        <charset val="134"/>
      </rPr>
      <t>三</t>
    </r>
    <phoneticPr fontId="6" type="noConversion"/>
  </si>
  <si>
    <r>
      <rPr>
        <sz val="10"/>
        <color indexed="8"/>
        <rFont val="宋体"/>
        <family val="3"/>
        <charset val="134"/>
      </rPr>
      <t>社会保险费</t>
    </r>
  </si>
  <si>
    <r>
      <t>1.</t>
    </r>
    <r>
      <rPr>
        <sz val="10"/>
        <rFont val="宋体"/>
        <family val="3"/>
        <charset val="134"/>
      </rPr>
      <t>基本医疗保险费</t>
    </r>
    <phoneticPr fontId="6" type="noConversion"/>
  </si>
  <si>
    <r>
      <t>2.</t>
    </r>
    <r>
      <rPr>
        <sz val="10"/>
        <rFont val="宋体"/>
        <family val="3"/>
        <charset val="134"/>
      </rPr>
      <t>补充医疗保险费</t>
    </r>
    <phoneticPr fontId="43" type="noConversion"/>
  </si>
  <si>
    <r>
      <t>3.</t>
    </r>
    <r>
      <rPr>
        <sz val="10"/>
        <rFont val="宋体"/>
        <family val="3"/>
        <charset val="134"/>
      </rPr>
      <t>工伤保险费</t>
    </r>
    <phoneticPr fontId="6" type="noConversion"/>
  </si>
  <si>
    <r>
      <t>4.</t>
    </r>
    <r>
      <rPr>
        <sz val="10"/>
        <rFont val="宋体"/>
        <family val="3"/>
        <charset val="134"/>
      </rPr>
      <t>生育保险费</t>
    </r>
    <phoneticPr fontId="6" type="noConversion"/>
  </si>
  <si>
    <r>
      <rPr>
        <sz val="10"/>
        <color indexed="8"/>
        <rFont val="宋体"/>
        <family val="3"/>
        <charset val="134"/>
      </rPr>
      <t>四</t>
    </r>
    <phoneticPr fontId="6" type="noConversion"/>
  </si>
  <si>
    <r>
      <rPr>
        <sz val="10"/>
        <color indexed="8"/>
        <rFont val="宋体"/>
        <family val="3"/>
        <charset val="134"/>
      </rPr>
      <t>住房公积金</t>
    </r>
  </si>
  <si>
    <r>
      <rPr>
        <sz val="10"/>
        <color indexed="8"/>
        <rFont val="宋体"/>
        <family val="3"/>
        <charset val="134"/>
      </rPr>
      <t>五</t>
    </r>
    <phoneticPr fontId="6" type="noConversion"/>
  </si>
  <si>
    <r>
      <rPr>
        <sz val="10"/>
        <color indexed="8"/>
        <rFont val="宋体"/>
        <family val="3"/>
        <charset val="134"/>
      </rPr>
      <t>工会经费</t>
    </r>
    <phoneticPr fontId="6" type="noConversion"/>
  </si>
  <si>
    <r>
      <rPr>
        <sz val="10"/>
        <color indexed="8"/>
        <rFont val="宋体"/>
        <family val="3"/>
        <charset val="134"/>
      </rPr>
      <t>六</t>
    </r>
    <phoneticPr fontId="6" type="noConversion"/>
  </si>
  <si>
    <r>
      <rPr>
        <sz val="10"/>
        <color indexed="8"/>
        <rFont val="宋体"/>
        <family val="3"/>
        <charset val="134"/>
      </rPr>
      <t>职工教育经费</t>
    </r>
    <phoneticPr fontId="6" type="noConversion"/>
  </si>
  <si>
    <r>
      <rPr>
        <sz val="10"/>
        <color indexed="8"/>
        <rFont val="宋体"/>
        <family val="3"/>
        <charset val="134"/>
      </rPr>
      <t>七</t>
    </r>
    <phoneticPr fontId="6" type="noConversion"/>
  </si>
  <si>
    <r>
      <rPr>
        <sz val="10"/>
        <color indexed="8"/>
        <rFont val="宋体"/>
        <family val="3"/>
        <charset val="134"/>
      </rPr>
      <t>短期带薪缺勤</t>
    </r>
  </si>
  <si>
    <r>
      <rPr>
        <sz val="10"/>
        <color indexed="8"/>
        <rFont val="宋体"/>
        <family val="3"/>
        <charset val="134"/>
      </rPr>
      <t>八</t>
    </r>
    <phoneticPr fontId="6" type="noConversion"/>
  </si>
  <si>
    <r>
      <rPr>
        <sz val="10"/>
        <color indexed="8"/>
        <rFont val="宋体"/>
        <family val="3"/>
        <charset val="134"/>
      </rPr>
      <t>短期利润分享计划</t>
    </r>
  </si>
  <si>
    <r>
      <rPr>
        <sz val="10"/>
        <color indexed="8"/>
        <rFont val="宋体"/>
        <family val="3"/>
        <charset val="134"/>
      </rPr>
      <t>九</t>
    </r>
    <phoneticPr fontId="6" type="noConversion"/>
  </si>
  <si>
    <r>
      <rPr>
        <sz val="10"/>
        <color indexed="8"/>
        <rFont val="宋体"/>
        <family val="3"/>
        <charset val="134"/>
      </rPr>
      <t>非货币性福利</t>
    </r>
  </si>
  <si>
    <r>
      <rPr>
        <sz val="10"/>
        <color indexed="8"/>
        <rFont val="宋体"/>
        <family val="3"/>
        <charset val="134"/>
      </rPr>
      <t>十</t>
    </r>
    <phoneticPr fontId="6" type="noConversion"/>
  </si>
  <si>
    <r>
      <rPr>
        <sz val="10"/>
        <color indexed="8"/>
        <rFont val="宋体"/>
        <family val="3"/>
        <charset val="134"/>
      </rPr>
      <t>其他短期薪酬</t>
    </r>
  </si>
  <si>
    <r>
      <rPr>
        <sz val="10"/>
        <color indexed="8"/>
        <rFont val="宋体"/>
        <family val="3"/>
        <charset val="134"/>
      </rPr>
      <t>其中：以现金结算的股份支付</t>
    </r>
    <phoneticPr fontId="43" type="noConversion"/>
  </si>
  <si>
    <r>
      <rPr>
        <b/>
        <sz val="10"/>
        <color indexed="8"/>
        <rFont val="宋体"/>
        <family val="3"/>
        <charset val="134"/>
      </rPr>
      <t>合计</t>
    </r>
  </si>
  <si>
    <r>
      <rPr>
        <sz val="10"/>
        <color indexed="8"/>
        <rFont val="宋体"/>
        <family val="3"/>
        <charset val="134"/>
      </rPr>
      <t>二</t>
    </r>
    <phoneticPr fontId="44" type="noConversion"/>
  </si>
  <si>
    <r>
      <rPr>
        <b/>
        <sz val="10"/>
        <color indexed="8"/>
        <rFont val="宋体"/>
        <family val="3"/>
        <charset val="134"/>
      </rPr>
      <t>致同会计师事务所</t>
    </r>
  </si>
  <si>
    <r>
      <rPr>
        <sz val="10"/>
        <color indexed="8"/>
        <rFont val="宋体"/>
        <family val="3"/>
        <charset val="134"/>
      </rPr>
      <t>索引号：</t>
    </r>
    <phoneticPr fontId="6" type="noConversion"/>
  </si>
  <si>
    <r>
      <rPr>
        <sz val="10"/>
        <color indexed="8"/>
        <rFont val="宋体"/>
        <family val="3"/>
        <charset val="134"/>
      </rPr>
      <t>页次：</t>
    </r>
    <phoneticPr fontId="6" type="noConversion"/>
  </si>
  <si>
    <r>
      <rPr>
        <sz val="10"/>
        <color theme="1"/>
        <rFont val="宋体"/>
        <family val="3"/>
        <charset val="134"/>
      </rPr>
      <t>应付职工薪酬</t>
    </r>
  </si>
  <si>
    <r>
      <t xml:space="preserve"> </t>
    </r>
    <r>
      <rPr>
        <sz val="10"/>
        <rFont val="宋体"/>
        <family val="3"/>
        <charset val="134"/>
      </rPr>
      <t>应付职工薪酬附注（不适用的删除）</t>
    </r>
    <r>
      <rPr>
        <sz val="10"/>
        <rFont val="Arial Narrow"/>
        <family val="2"/>
      </rPr>
      <t xml:space="preserve"> </t>
    </r>
    <phoneticPr fontId="6" type="noConversion"/>
  </si>
  <si>
    <r>
      <t xml:space="preserve"> </t>
    </r>
    <r>
      <rPr>
        <sz val="10"/>
        <rFont val="宋体"/>
        <family val="3"/>
        <charset val="134"/>
      </rPr>
      <t>（</t>
    </r>
    <r>
      <rPr>
        <sz val="10"/>
        <rFont val="Arial Narrow"/>
        <family val="2"/>
      </rPr>
      <t>1</t>
    </r>
    <r>
      <rPr>
        <sz val="10"/>
        <rFont val="宋体"/>
        <family val="3"/>
        <charset val="134"/>
      </rPr>
      <t>）应付职工薪酬列示</t>
    </r>
    <r>
      <rPr>
        <sz val="10"/>
        <rFont val="Arial Narrow"/>
        <family val="2"/>
      </rPr>
      <t xml:space="preserve"> </t>
    </r>
  </si>
  <si>
    <r>
      <t xml:space="preserve"> </t>
    </r>
    <r>
      <rPr>
        <b/>
        <sz val="10"/>
        <rFont val="宋体"/>
        <family val="3"/>
        <charset val="134"/>
      </rPr>
      <t>项</t>
    </r>
    <r>
      <rPr>
        <b/>
        <sz val="10"/>
        <rFont val="Arial Narrow"/>
        <family val="2"/>
      </rPr>
      <t xml:space="preserve">  </t>
    </r>
    <r>
      <rPr>
        <b/>
        <sz val="10"/>
        <rFont val="宋体"/>
        <family val="3"/>
        <charset val="134"/>
      </rPr>
      <t>目</t>
    </r>
    <r>
      <rPr>
        <b/>
        <sz val="10"/>
        <rFont val="Arial Narrow"/>
        <family val="2"/>
      </rPr>
      <t xml:space="preserve"> </t>
    </r>
  </si>
  <si>
    <r>
      <t xml:space="preserve"> </t>
    </r>
    <r>
      <rPr>
        <b/>
        <sz val="10"/>
        <rFont val="宋体"/>
        <family val="3"/>
        <charset val="134"/>
      </rPr>
      <t>期初余额</t>
    </r>
    <r>
      <rPr>
        <b/>
        <sz val="10"/>
        <rFont val="Arial Narrow"/>
        <family val="2"/>
      </rPr>
      <t xml:space="preserve"> </t>
    </r>
  </si>
  <si>
    <r>
      <t xml:space="preserve"> </t>
    </r>
    <r>
      <rPr>
        <b/>
        <sz val="10"/>
        <rFont val="宋体"/>
        <family val="3"/>
        <charset val="134"/>
      </rPr>
      <t>本期增加</t>
    </r>
    <r>
      <rPr>
        <b/>
        <sz val="10"/>
        <rFont val="Arial Narrow"/>
        <family val="2"/>
      </rPr>
      <t xml:space="preserve"> </t>
    </r>
  </si>
  <si>
    <r>
      <t xml:space="preserve"> </t>
    </r>
    <r>
      <rPr>
        <b/>
        <sz val="10"/>
        <rFont val="宋体"/>
        <family val="3"/>
        <charset val="134"/>
      </rPr>
      <t>本期减少</t>
    </r>
    <r>
      <rPr>
        <b/>
        <sz val="10"/>
        <rFont val="Arial Narrow"/>
        <family val="2"/>
      </rPr>
      <t xml:space="preserve"> </t>
    </r>
  </si>
  <si>
    <r>
      <t xml:space="preserve"> </t>
    </r>
    <r>
      <rPr>
        <b/>
        <sz val="10"/>
        <rFont val="宋体"/>
        <family val="3"/>
        <charset val="134"/>
      </rPr>
      <t>期末余额</t>
    </r>
    <r>
      <rPr>
        <b/>
        <sz val="10"/>
        <rFont val="Arial Narrow"/>
        <family val="2"/>
      </rPr>
      <t xml:space="preserve"> </t>
    </r>
  </si>
  <si>
    <r>
      <t xml:space="preserve"> </t>
    </r>
    <r>
      <rPr>
        <sz val="10"/>
        <rFont val="宋体"/>
        <family val="3"/>
        <charset val="134"/>
      </rPr>
      <t>短期薪酬</t>
    </r>
    <r>
      <rPr>
        <sz val="10"/>
        <rFont val="Arial Narrow"/>
        <family val="2"/>
      </rPr>
      <t xml:space="preserve"> </t>
    </r>
  </si>
  <si>
    <r>
      <t xml:space="preserve"> </t>
    </r>
    <r>
      <rPr>
        <sz val="10"/>
        <rFont val="宋体"/>
        <family val="3"/>
        <charset val="134"/>
      </rPr>
      <t>离职后福利</t>
    </r>
    <r>
      <rPr>
        <sz val="10"/>
        <rFont val="Arial Narrow"/>
        <family val="2"/>
      </rPr>
      <t>-</t>
    </r>
    <r>
      <rPr>
        <sz val="10"/>
        <rFont val="宋体"/>
        <family val="3"/>
        <charset val="134"/>
      </rPr>
      <t>设定提存计划</t>
    </r>
    <r>
      <rPr>
        <sz val="10"/>
        <rFont val="Arial Narrow"/>
        <family val="2"/>
      </rPr>
      <t xml:space="preserve"> </t>
    </r>
  </si>
  <si>
    <r>
      <t xml:space="preserve"> </t>
    </r>
    <r>
      <rPr>
        <sz val="10"/>
        <rFont val="宋体"/>
        <family val="3"/>
        <charset val="134"/>
      </rPr>
      <t>辞退福利</t>
    </r>
    <r>
      <rPr>
        <sz val="10"/>
        <rFont val="Arial Narrow"/>
        <family val="2"/>
      </rPr>
      <t xml:space="preserve"> </t>
    </r>
  </si>
  <si>
    <r>
      <t xml:space="preserve"> </t>
    </r>
    <r>
      <rPr>
        <sz val="10"/>
        <rFont val="宋体"/>
        <family val="3"/>
        <charset val="134"/>
      </rPr>
      <t>一年内到期的其他福利</t>
    </r>
    <r>
      <rPr>
        <sz val="10"/>
        <rFont val="Arial Narrow"/>
        <family val="2"/>
      </rPr>
      <t xml:space="preserve"> </t>
    </r>
  </si>
  <si>
    <r>
      <t xml:space="preserve"> </t>
    </r>
    <r>
      <rPr>
        <sz val="10"/>
        <rFont val="宋体"/>
        <family val="3"/>
        <charset val="134"/>
      </rPr>
      <t>其他</t>
    </r>
    <r>
      <rPr>
        <sz val="10"/>
        <rFont val="Arial Narrow"/>
        <family val="2"/>
      </rPr>
      <t xml:space="preserve"> </t>
    </r>
  </si>
  <si>
    <r>
      <t xml:space="preserve"> </t>
    </r>
    <r>
      <rPr>
        <b/>
        <sz val="10"/>
        <rFont val="宋体"/>
        <family val="3"/>
        <charset val="134"/>
      </rPr>
      <t>合</t>
    </r>
    <r>
      <rPr>
        <b/>
        <sz val="10"/>
        <rFont val="Arial Narrow"/>
        <family val="2"/>
      </rPr>
      <t xml:space="preserve">  </t>
    </r>
    <r>
      <rPr>
        <b/>
        <sz val="10"/>
        <rFont val="宋体"/>
        <family val="3"/>
        <charset val="134"/>
      </rPr>
      <t>计</t>
    </r>
    <r>
      <rPr>
        <b/>
        <sz val="10"/>
        <rFont val="Arial Narrow"/>
        <family val="2"/>
      </rPr>
      <t xml:space="preserve"> </t>
    </r>
  </si>
  <si>
    <r>
      <t xml:space="preserve"> </t>
    </r>
    <r>
      <rPr>
        <sz val="10"/>
        <rFont val="宋体"/>
        <family val="3"/>
        <charset val="134"/>
      </rPr>
      <t>（</t>
    </r>
    <r>
      <rPr>
        <sz val="10"/>
        <rFont val="Arial Narrow"/>
        <family val="2"/>
      </rPr>
      <t>2</t>
    </r>
    <r>
      <rPr>
        <sz val="10"/>
        <rFont val="宋体"/>
        <family val="3"/>
        <charset val="134"/>
      </rPr>
      <t>）短期薪酬列示</t>
    </r>
    <r>
      <rPr>
        <sz val="10"/>
        <rFont val="Arial Narrow"/>
        <family val="2"/>
      </rPr>
      <t xml:space="preserve"> </t>
    </r>
  </si>
  <si>
    <r>
      <t xml:space="preserve"> </t>
    </r>
    <r>
      <rPr>
        <sz val="10"/>
        <rFont val="宋体"/>
        <family val="3"/>
        <charset val="134"/>
      </rPr>
      <t>工资、奖金、津贴和补贴</t>
    </r>
    <r>
      <rPr>
        <sz val="10"/>
        <rFont val="Arial Narrow"/>
        <family val="2"/>
      </rPr>
      <t xml:space="preserve"> </t>
    </r>
  </si>
  <si>
    <r>
      <t xml:space="preserve"> </t>
    </r>
    <r>
      <rPr>
        <sz val="10"/>
        <rFont val="宋体"/>
        <family val="3"/>
        <charset val="134"/>
      </rPr>
      <t>职工福利费</t>
    </r>
    <r>
      <rPr>
        <sz val="10"/>
        <rFont val="Arial Narrow"/>
        <family val="2"/>
      </rPr>
      <t xml:space="preserve"> </t>
    </r>
  </si>
  <si>
    <r>
      <t xml:space="preserve"> </t>
    </r>
    <r>
      <rPr>
        <sz val="10"/>
        <rFont val="宋体"/>
        <family val="3"/>
        <charset val="134"/>
      </rPr>
      <t>社会保险费</t>
    </r>
    <r>
      <rPr>
        <sz val="10"/>
        <rFont val="Arial Narrow"/>
        <family val="2"/>
      </rPr>
      <t xml:space="preserve"> </t>
    </r>
  </si>
  <si>
    <r>
      <t xml:space="preserve"> </t>
    </r>
    <r>
      <rPr>
        <sz val="10"/>
        <color indexed="8"/>
        <rFont val="宋体"/>
        <family val="3"/>
        <charset val="134"/>
      </rPr>
      <t>其中：医疗保险费</t>
    </r>
    <r>
      <rPr>
        <sz val="10"/>
        <color indexed="8"/>
        <rFont val="Arial Narrow"/>
        <family val="2"/>
      </rPr>
      <t xml:space="preserve"> </t>
    </r>
  </si>
  <si>
    <r>
      <t xml:space="preserve">       </t>
    </r>
    <r>
      <rPr>
        <sz val="10"/>
        <color indexed="8"/>
        <rFont val="宋体"/>
        <family val="3"/>
        <charset val="134"/>
      </rPr>
      <t>工伤保险费</t>
    </r>
    <r>
      <rPr>
        <sz val="10"/>
        <color indexed="8"/>
        <rFont val="Arial Narrow"/>
        <family val="2"/>
      </rPr>
      <t xml:space="preserve"> </t>
    </r>
  </si>
  <si>
    <r>
      <t xml:space="preserve">       </t>
    </r>
    <r>
      <rPr>
        <sz val="10"/>
        <color indexed="8"/>
        <rFont val="宋体"/>
        <family val="3"/>
        <charset val="134"/>
      </rPr>
      <t>生育保险费</t>
    </r>
    <r>
      <rPr>
        <sz val="10"/>
        <color indexed="8"/>
        <rFont val="Arial Narrow"/>
        <family val="2"/>
      </rPr>
      <t xml:space="preserve"> </t>
    </r>
  </si>
  <si>
    <r>
      <t xml:space="preserve">       </t>
    </r>
    <r>
      <rPr>
        <sz val="10"/>
        <color indexed="8"/>
        <rFont val="宋体"/>
        <family val="3"/>
        <charset val="134"/>
      </rPr>
      <t>其他</t>
    </r>
    <r>
      <rPr>
        <sz val="10"/>
        <color indexed="8"/>
        <rFont val="Arial Narrow"/>
        <family val="2"/>
      </rPr>
      <t xml:space="preserve"> </t>
    </r>
  </si>
  <si>
    <r>
      <t xml:space="preserve"> </t>
    </r>
    <r>
      <rPr>
        <sz val="10"/>
        <color indexed="8"/>
        <rFont val="宋体"/>
        <family val="3"/>
        <charset val="134"/>
      </rPr>
      <t>住房公积金</t>
    </r>
    <r>
      <rPr>
        <sz val="10"/>
        <color indexed="8"/>
        <rFont val="Arial Narrow"/>
        <family val="2"/>
      </rPr>
      <t xml:space="preserve"> </t>
    </r>
  </si>
  <si>
    <r>
      <t xml:space="preserve"> </t>
    </r>
    <r>
      <rPr>
        <sz val="10"/>
        <color indexed="8"/>
        <rFont val="宋体"/>
        <family val="3"/>
        <charset val="134"/>
      </rPr>
      <t>工会经费和职工教育经费</t>
    </r>
    <r>
      <rPr>
        <sz val="10"/>
        <color indexed="8"/>
        <rFont val="Arial Narrow"/>
        <family val="2"/>
      </rPr>
      <t xml:space="preserve"> </t>
    </r>
  </si>
  <si>
    <r>
      <t xml:space="preserve"> </t>
    </r>
    <r>
      <rPr>
        <sz val="10"/>
        <color indexed="8"/>
        <rFont val="宋体"/>
        <family val="3"/>
        <charset val="134"/>
      </rPr>
      <t>短期带薪缺勤</t>
    </r>
    <r>
      <rPr>
        <sz val="10"/>
        <color indexed="8"/>
        <rFont val="Arial Narrow"/>
        <family val="2"/>
      </rPr>
      <t xml:space="preserve"> </t>
    </r>
  </si>
  <si>
    <r>
      <t xml:space="preserve"> </t>
    </r>
    <r>
      <rPr>
        <sz val="10"/>
        <color indexed="8"/>
        <rFont val="宋体"/>
        <family val="3"/>
        <charset val="134"/>
      </rPr>
      <t>短期利润分享计划</t>
    </r>
    <r>
      <rPr>
        <sz val="10"/>
        <color indexed="8"/>
        <rFont val="Arial Narrow"/>
        <family val="2"/>
      </rPr>
      <t xml:space="preserve"> </t>
    </r>
  </si>
  <si>
    <r>
      <t xml:space="preserve"> </t>
    </r>
    <r>
      <rPr>
        <sz val="10"/>
        <color indexed="8"/>
        <rFont val="宋体"/>
        <family val="3"/>
        <charset val="134"/>
      </rPr>
      <t>其他短期薪酬</t>
    </r>
    <r>
      <rPr>
        <sz val="10"/>
        <color indexed="8"/>
        <rFont val="Arial Narrow"/>
        <family val="2"/>
      </rPr>
      <t xml:space="preserve"> </t>
    </r>
  </si>
  <si>
    <r>
      <t xml:space="preserve"> </t>
    </r>
    <r>
      <rPr>
        <b/>
        <sz val="10"/>
        <color indexed="8"/>
        <rFont val="宋体"/>
        <family val="3"/>
        <charset val="134"/>
      </rPr>
      <t>合</t>
    </r>
    <r>
      <rPr>
        <b/>
        <sz val="10"/>
        <color indexed="8"/>
        <rFont val="Arial Narrow"/>
        <family val="2"/>
      </rPr>
      <t xml:space="preserve">  </t>
    </r>
    <r>
      <rPr>
        <b/>
        <sz val="10"/>
        <color indexed="8"/>
        <rFont val="宋体"/>
        <family val="3"/>
        <charset val="134"/>
      </rPr>
      <t>计</t>
    </r>
    <r>
      <rPr>
        <b/>
        <sz val="10"/>
        <color indexed="8"/>
        <rFont val="Arial Narrow"/>
        <family val="2"/>
      </rPr>
      <t xml:space="preserve"> </t>
    </r>
  </si>
  <si>
    <r>
      <t xml:space="preserve"> </t>
    </r>
    <r>
      <rPr>
        <sz val="10"/>
        <color indexed="8"/>
        <rFont val="宋体"/>
        <family val="3"/>
        <charset val="134"/>
      </rPr>
      <t>（</t>
    </r>
    <r>
      <rPr>
        <sz val="10"/>
        <color indexed="8"/>
        <rFont val="Arial Narrow"/>
        <family val="2"/>
      </rPr>
      <t>3</t>
    </r>
    <r>
      <rPr>
        <sz val="10"/>
        <color indexed="8"/>
        <rFont val="宋体"/>
        <family val="3"/>
        <charset val="134"/>
      </rPr>
      <t>）设定提存计划列示</t>
    </r>
    <r>
      <rPr>
        <sz val="10"/>
        <color indexed="8"/>
        <rFont val="Arial Narrow"/>
        <family val="2"/>
      </rPr>
      <t xml:space="preserve"> </t>
    </r>
  </si>
  <si>
    <r>
      <t xml:space="preserve"> </t>
    </r>
    <r>
      <rPr>
        <b/>
        <sz val="10"/>
        <color indexed="8"/>
        <rFont val="宋体"/>
        <family val="3"/>
        <charset val="134"/>
      </rPr>
      <t>项</t>
    </r>
    <r>
      <rPr>
        <b/>
        <sz val="10"/>
        <color indexed="8"/>
        <rFont val="Arial Narrow"/>
        <family val="2"/>
      </rPr>
      <t xml:space="preserve">  </t>
    </r>
    <r>
      <rPr>
        <b/>
        <sz val="10"/>
        <color indexed="8"/>
        <rFont val="宋体"/>
        <family val="3"/>
        <charset val="134"/>
      </rPr>
      <t>目</t>
    </r>
    <r>
      <rPr>
        <b/>
        <sz val="10"/>
        <color indexed="8"/>
        <rFont val="Arial Narrow"/>
        <family val="2"/>
      </rPr>
      <t xml:space="preserve"> </t>
    </r>
  </si>
  <si>
    <r>
      <t xml:space="preserve"> </t>
    </r>
    <r>
      <rPr>
        <b/>
        <sz val="10"/>
        <color indexed="8"/>
        <rFont val="宋体"/>
        <family val="3"/>
        <charset val="134"/>
      </rPr>
      <t>期初余额</t>
    </r>
    <r>
      <rPr>
        <b/>
        <sz val="10"/>
        <color indexed="8"/>
        <rFont val="Arial Narrow"/>
        <family val="2"/>
      </rPr>
      <t xml:space="preserve"> </t>
    </r>
  </si>
  <si>
    <r>
      <t xml:space="preserve"> </t>
    </r>
    <r>
      <rPr>
        <b/>
        <sz val="10"/>
        <color indexed="8"/>
        <rFont val="宋体"/>
        <family val="3"/>
        <charset val="134"/>
      </rPr>
      <t>本期增加</t>
    </r>
    <r>
      <rPr>
        <b/>
        <sz val="10"/>
        <color indexed="8"/>
        <rFont val="Arial Narrow"/>
        <family val="2"/>
      </rPr>
      <t xml:space="preserve"> </t>
    </r>
  </si>
  <si>
    <r>
      <t xml:space="preserve"> </t>
    </r>
    <r>
      <rPr>
        <b/>
        <sz val="10"/>
        <color indexed="8"/>
        <rFont val="宋体"/>
        <family val="3"/>
        <charset val="134"/>
      </rPr>
      <t>本期减少</t>
    </r>
    <r>
      <rPr>
        <b/>
        <sz val="10"/>
        <color indexed="8"/>
        <rFont val="Arial Narrow"/>
        <family val="2"/>
      </rPr>
      <t xml:space="preserve"> </t>
    </r>
  </si>
  <si>
    <r>
      <t xml:space="preserve"> </t>
    </r>
    <r>
      <rPr>
        <b/>
        <sz val="10"/>
        <color indexed="8"/>
        <rFont val="宋体"/>
        <family val="3"/>
        <charset val="134"/>
      </rPr>
      <t>期末余额</t>
    </r>
    <r>
      <rPr>
        <b/>
        <sz val="10"/>
        <color indexed="8"/>
        <rFont val="Arial Narrow"/>
        <family val="2"/>
      </rPr>
      <t xml:space="preserve"> </t>
    </r>
  </si>
  <si>
    <r>
      <t xml:space="preserve"> </t>
    </r>
    <r>
      <rPr>
        <sz val="10"/>
        <color indexed="8"/>
        <rFont val="宋体"/>
        <family val="3"/>
        <charset val="134"/>
      </rPr>
      <t>离职后福利</t>
    </r>
    <r>
      <rPr>
        <sz val="10"/>
        <color indexed="8"/>
        <rFont val="Arial Narrow"/>
        <family val="2"/>
      </rPr>
      <t xml:space="preserve"> </t>
    </r>
  </si>
  <si>
    <r>
      <t xml:space="preserve"> </t>
    </r>
    <r>
      <rPr>
        <sz val="10"/>
        <color indexed="8"/>
        <rFont val="宋体"/>
        <family val="3"/>
        <charset val="134"/>
      </rPr>
      <t>其中：基本养老保险费</t>
    </r>
    <r>
      <rPr>
        <sz val="10"/>
        <color indexed="8"/>
        <rFont val="Arial Narrow"/>
        <family val="2"/>
      </rPr>
      <t xml:space="preserve"> </t>
    </r>
  </si>
  <si>
    <r>
      <t xml:space="preserve">       </t>
    </r>
    <r>
      <rPr>
        <sz val="10"/>
        <color indexed="8"/>
        <rFont val="宋体"/>
        <family val="3"/>
        <charset val="134"/>
      </rPr>
      <t>失业保险费</t>
    </r>
    <r>
      <rPr>
        <sz val="10"/>
        <color indexed="8"/>
        <rFont val="Arial Narrow"/>
        <family val="2"/>
      </rPr>
      <t xml:space="preserve"> </t>
    </r>
  </si>
  <si>
    <r>
      <t xml:space="preserve">       </t>
    </r>
    <r>
      <rPr>
        <sz val="10"/>
        <color indexed="8"/>
        <rFont val="宋体"/>
        <family val="3"/>
        <charset val="134"/>
      </rPr>
      <t>企业年金缴费</t>
    </r>
    <r>
      <rPr>
        <sz val="10"/>
        <color indexed="8"/>
        <rFont val="Arial Narrow"/>
        <family val="2"/>
      </rPr>
      <t xml:space="preserve"> </t>
    </r>
  </si>
  <si>
    <r>
      <t xml:space="preserve"> </t>
    </r>
    <r>
      <rPr>
        <sz val="10"/>
        <color indexed="8"/>
        <rFont val="宋体"/>
        <family val="3"/>
        <charset val="134"/>
      </rPr>
      <t>其他长期职工福利（不适用的删除）</t>
    </r>
    <r>
      <rPr>
        <sz val="10"/>
        <color indexed="8"/>
        <rFont val="Arial Narrow"/>
        <family val="2"/>
      </rPr>
      <t xml:space="preserve"> </t>
    </r>
  </si>
  <si>
    <r>
      <t xml:space="preserve"> </t>
    </r>
    <r>
      <rPr>
        <sz val="10"/>
        <color indexed="8"/>
        <rFont val="宋体"/>
        <family val="3"/>
        <charset val="134"/>
      </rPr>
      <t>其中：</t>
    </r>
    <r>
      <rPr>
        <sz val="10"/>
        <color indexed="8"/>
        <rFont val="Arial Narrow"/>
        <family val="2"/>
      </rPr>
      <t xml:space="preserve">xxx </t>
    </r>
  </si>
  <si>
    <r>
      <t xml:space="preserve">     </t>
    </r>
    <r>
      <rPr>
        <sz val="10"/>
        <color indexed="8"/>
        <rFont val="宋体"/>
        <family val="3"/>
        <charset val="134"/>
      </rPr>
      <t>其他</t>
    </r>
    <r>
      <rPr>
        <sz val="10"/>
        <color indexed="8"/>
        <rFont val="Arial Narrow"/>
        <family val="2"/>
      </rPr>
      <t xml:space="preserve"> </t>
    </r>
    <phoneticPr fontId="6" type="noConversion"/>
  </si>
  <si>
    <r>
      <rPr>
        <sz val="10"/>
        <color rgb="FF0000FF"/>
        <rFont val="宋体"/>
        <family val="3"/>
        <charset val="134"/>
      </rPr>
      <t>说明：</t>
    </r>
  </si>
  <si>
    <r>
      <t>1.</t>
    </r>
    <r>
      <rPr>
        <sz val="10"/>
        <color rgb="FF0000FF"/>
        <rFont val="宋体"/>
        <family val="3"/>
        <charset val="134"/>
      </rPr>
      <t>企业本期为职工提供的各项非货币性福利的形式、金额及其计算依据。</t>
    </r>
  </si>
  <si>
    <r>
      <t>2.</t>
    </r>
    <r>
      <rPr>
        <sz val="10"/>
        <color rgb="FF0000FF"/>
        <rFont val="宋体"/>
        <family val="3"/>
        <charset val="134"/>
      </rPr>
      <t>企业应说明设立或参与的设定提存计划的性质、计算缴费金额的公式或依据。</t>
    </r>
  </si>
  <si>
    <r>
      <t>3.</t>
    </r>
    <r>
      <rPr>
        <sz val="10"/>
        <color rgb="FF0000FF"/>
        <rFont val="宋体"/>
        <family val="3"/>
        <charset val="134"/>
      </rPr>
      <t>存在设定受益计划的企业，应说明设定受益计划的特征及与之相关的风险、在财务报表中确认的金额及其变动、对未来现金流的影响、重大精算假设及有关敏感性分析等。设定受益计划情况详见附注八、</t>
    </r>
    <r>
      <rPr>
        <sz val="10"/>
        <color rgb="FF0000FF"/>
        <rFont val="Arial Narrow"/>
        <family val="2"/>
      </rPr>
      <t>47</t>
    </r>
  </si>
  <si>
    <r>
      <rPr>
        <b/>
        <sz val="12"/>
        <color indexed="8"/>
        <rFont val="宋体"/>
        <family val="3"/>
        <charset val="134"/>
      </rPr>
      <t>应付职工薪酬附注披露信息（上市公司）</t>
    </r>
    <phoneticPr fontId="6" type="noConversion"/>
  </si>
  <si>
    <r>
      <rPr>
        <b/>
        <sz val="10"/>
        <rFont val="宋体"/>
        <family val="3"/>
        <charset val="134"/>
      </rPr>
      <t>项目名称</t>
    </r>
    <phoneticPr fontId="6" type="noConversion"/>
  </si>
  <si>
    <r>
      <rPr>
        <b/>
        <sz val="10"/>
        <rFont val="宋体"/>
        <family val="3"/>
        <charset val="134"/>
      </rPr>
      <t>期初数</t>
    </r>
    <phoneticPr fontId="6" type="noConversion"/>
  </si>
  <si>
    <r>
      <rPr>
        <b/>
        <sz val="10"/>
        <rFont val="宋体"/>
        <family val="3"/>
        <charset val="134"/>
      </rPr>
      <t>期末数</t>
    </r>
    <phoneticPr fontId="6" type="noConversion"/>
  </si>
  <si>
    <r>
      <rPr>
        <b/>
        <sz val="10"/>
        <color indexed="8"/>
        <rFont val="宋体"/>
        <family val="3"/>
        <charset val="134"/>
      </rPr>
      <t>本期未审数与上期
审定数的比较</t>
    </r>
    <phoneticPr fontId="6" type="noConversion"/>
  </si>
  <si>
    <r>
      <rPr>
        <b/>
        <sz val="10"/>
        <color indexed="8"/>
        <rFont val="宋体"/>
        <family val="3"/>
        <charset val="134"/>
      </rPr>
      <t>本期审定数与上期
审定数的比较</t>
    </r>
    <phoneticPr fontId="6" type="noConversion"/>
  </si>
  <si>
    <r>
      <rPr>
        <b/>
        <sz val="10"/>
        <rFont val="宋体"/>
        <family val="3"/>
        <charset val="134"/>
      </rPr>
      <t>原因分析</t>
    </r>
    <phoneticPr fontId="43" type="noConversion"/>
  </si>
  <si>
    <r>
      <rPr>
        <b/>
        <sz val="10"/>
        <rFont val="宋体"/>
        <family val="3"/>
        <charset val="134"/>
      </rPr>
      <t>未审数</t>
    </r>
    <phoneticPr fontId="6" type="noConversion"/>
  </si>
  <si>
    <r>
      <rPr>
        <b/>
        <sz val="10"/>
        <rFont val="宋体"/>
        <family val="3"/>
        <charset val="134"/>
      </rPr>
      <t>账项调整</t>
    </r>
    <phoneticPr fontId="6" type="noConversion"/>
  </si>
  <si>
    <r>
      <rPr>
        <b/>
        <sz val="10"/>
        <rFont val="宋体"/>
        <family val="3"/>
        <charset val="134"/>
      </rPr>
      <t>审定数</t>
    </r>
    <phoneticPr fontId="6" type="noConversion"/>
  </si>
  <si>
    <r>
      <rPr>
        <b/>
        <sz val="10"/>
        <rFont val="宋体"/>
        <family val="3"/>
        <charset val="134"/>
      </rPr>
      <t>变动额</t>
    </r>
  </si>
  <si>
    <r>
      <rPr>
        <b/>
        <sz val="10"/>
        <rFont val="宋体"/>
        <family val="3"/>
        <charset val="134"/>
      </rPr>
      <t>变动率</t>
    </r>
    <phoneticPr fontId="6" type="noConversion"/>
  </si>
  <si>
    <r>
      <rPr>
        <b/>
        <sz val="10"/>
        <color indexed="8"/>
        <rFont val="宋体"/>
        <family val="3"/>
        <charset val="134"/>
      </rPr>
      <t>变动率</t>
    </r>
    <phoneticPr fontId="6" type="noConversion"/>
  </si>
  <si>
    <r>
      <t>1.</t>
    </r>
    <r>
      <rPr>
        <sz val="10"/>
        <rFont val="宋体"/>
        <family val="3"/>
        <charset val="134"/>
      </rPr>
      <t>基本医疗保险费</t>
    </r>
  </si>
  <si>
    <r>
      <t>2.</t>
    </r>
    <r>
      <rPr>
        <sz val="10"/>
        <rFont val="宋体"/>
        <family val="3"/>
        <charset val="134"/>
      </rPr>
      <t>补充医疗保险费</t>
    </r>
  </si>
  <si>
    <r>
      <t>3.</t>
    </r>
    <r>
      <rPr>
        <sz val="10"/>
        <color indexed="8"/>
        <rFont val="宋体"/>
        <family val="3"/>
        <charset val="134"/>
      </rPr>
      <t>工伤保险费</t>
    </r>
  </si>
  <si>
    <r>
      <t>4.</t>
    </r>
    <r>
      <rPr>
        <sz val="10"/>
        <color indexed="8"/>
        <rFont val="宋体"/>
        <family val="3"/>
        <charset val="134"/>
      </rPr>
      <t>生育保险费</t>
    </r>
  </si>
  <si>
    <r>
      <rPr>
        <sz val="10"/>
        <color indexed="8"/>
        <rFont val="宋体"/>
        <family val="3"/>
        <charset val="134"/>
      </rPr>
      <t>工会经费</t>
    </r>
  </si>
  <si>
    <r>
      <rPr>
        <sz val="10"/>
        <color indexed="8"/>
        <rFont val="宋体"/>
        <family val="3"/>
        <charset val="134"/>
      </rPr>
      <t>职工教育经费</t>
    </r>
  </si>
  <si>
    <r>
      <rPr>
        <b/>
        <sz val="10"/>
        <color theme="1"/>
        <rFont val="宋体"/>
        <family val="3"/>
        <charset val="134"/>
      </rPr>
      <t>项</t>
    </r>
    <r>
      <rPr>
        <b/>
        <sz val="10"/>
        <color theme="1"/>
        <rFont val="Arial Narrow"/>
        <family val="2"/>
      </rPr>
      <t xml:space="preserve"> </t>
    </r>
    <r>
      <rPr>
        <b/>
        <sz val="10"/>
        <color theme="1"/>
        <rFont val="宋体"/>
        <family val="3"/>
        <charset val="134"/>
      </rPr>
      <t>目</t>
    </r>
    <phoneticPr fontId="6" type="noConversion"/>
  </si>
  <si>
    <r>
      <rPr>
        <b/>
        <sz val="10"/>
        <color indexed="8"/>
        <rFont val="宋体"/>
        <family val="3"/>
        <charset val="134"/>
      </rPr>
      <t>合</t>
    </r>
    <r>
      <rPr>
        <b/>
        <sz val="10"/>
        <color theme="1"/>
        <rFont val="Arial Narrow"/>
        <family val="2"/>
      </rPr>
      <t xml:space="preserve">  </t>
    </r>
    <r>
      <rPr>
        <b/>
        <sz val="10"/>
        <color theme="1"/>
        <rFont val="宋体"/>
        <family val="3"/>
        <charset val="134"/>
      </rPr>
      <t>计</t>
    </r>
    <phoneticPr fontId="44" type="noConversion"/>
  </si>
  <si>
    <r>
      <rPr>
        <b/>
        <sz val="10"/>
        <rFont val="宋体"/>
        <family val="3"/>
        <charset val="134"/>
      </rPr>
      <t>试算平衡表数</t>
    </r>
    <phoneticPr fontId="6" type="noConversion"/>
  </si>
  <si>
    <r>
      <rPr>
        <b/>
        <sz val="10"/>
        <rFont val="宋体"/>
        <family val="3"/>
        <charset val="134"/>
      </rPr>
      <t>差异数</t>
    </r>
    <phoneticPr fontId="6" type="noConversion"/>
  </si>
  <si>
    <r>
      <t>2</t>
    </r>
    <r>
      <rPr>
        <b/>
        <sz val="10"/>
        <rFont val="宋体"/>
        <family val="3"/>
        <charset val="134"/>
      </rPr>
      <t>、审计结论</t>
    </r>
    <r>
      <rPr>
        <sz val="10"/>
        <color indexed="12"/>
        <rFont val="宋体"/>
        <family val="3"/>
        <charset val="134"/>
      </rPr>
      <t/>
    </r>
    <phoneticPr fontId="6" type="noConversion"/>
  </si>
  <si>
    <r>
      <rPr>
        <sz val="10"/>
        <rFont val="宋体"/>
        <family val="3"/>
        <charset val="134"/>
      </rPr>
      <t>索引号：</t>
    </r>
    <phoneticPr fontId="44" type="noConversion"/>
  </si>
  <si>
    <r>
      <rPr>
        <sz val="10"/>
        <rFont val="宋体"/>
        <family val="3"/>
        <charset val="134"/>
      </rPr>
      <t>存在</t>
    </r>
  </si>
  <si>
    <r>
      <rPr>
        <sz val="10"/>
        <rFont val="宋体"/>
        <family val="3"/>
        <charset val="134"/>
      </rPr>
      <t>完整性</t>
    </r>
  </si>
  <si>
    <r>
      <rPr>
        <sz val="10"/>
        <rFont val="宋体"/>
        <family val="3"/>
        <charset val="134"/>
      </rPr>
      <t>权利和义务</t>
    </r>
  </si>
  <si>
    <r>
      <rPr>
        <sz val="10"/>
        <rFont val="宋体"/>
        <family val="3"/>
        <charset val="134"/>
      </rPr>
      <t>列报与披露</t>
    </r>
  </si>
  <si>
    <r>
      <rPr>
        <b/>
        <sz val="10"/>
        <rFont val="宋体"/>
        <family val="3"/>
        <charset val="134"/>
      </rPr>
      <t>底稿索引号</t>
    </r>
    <phoneticPr fontId="6" type="noConversion"/>
  </si>
  <si>
    <r>
      <rPr>
        <b/>
        <sz val="10"/>
        <rFont val="宋体"/>
        <family val="3"/>
        <charset val="134"/>
      </rPr>
      <t>存在</t>
    </r>
    <phoneticPr fontId="6" type="noConversion"/>
  </si>
  <si>
    <r>
      <rPr>
        <b/>
        <sz val="10"/>
        <rFont val="宋体"/>
        <family val="3"/>
        <charset val="134"/>
      </rPr>
      <t>完整性</t>
    </r>
    <phoneticPr fontId="6" type="noConversion"/>
  </si>
  <si>
    <r>
      <rPr>
        <b/>
        <sz val="10"/>
        <rFont val="宋体"/>
        <family val="3"/>
        <charset val="134"/>
      </rPr>
      <t>权利和
义务</t>
    </r>
    <phoneticPr fontId="6" type="noConversion"/>
  </si>
  <si>
    <r>
      <rPr>
        <b/>
        <sz val="10"/>
        <rFont val="宋体"/>
        <family val="3"/>
        <charset val="134"/>
      </rPr>
      <t>列报</t>
    </r>
    <phoneticPr fontId="6" type="noConversion"/>
  </si>
  <si>
    <r>
      <rPr>
        <sz val="10"/>
        <color theme="1"/>
        <rFont val="宋体"/>
        <family val="3"/>
        <charset val="134"/>
      </rPr>
      <t>常规★</t>
    </r>
    <phoneticPr fontId="44" type="noConversion"/>
  </si>
  <si>
    <r>
      <rPr>
        <sz val="10"/>
        <color theme="1"/>
        <rFont val="宋体"/>
        <family val="3"/>
        <charset val="134"/>
      </rPr>
      <t>√</t>
    </r>
    <phoneticPr fontId="44" type="noConversion"/>
  </si>
  <si>
    <r>
      <rPr>
        <sz val="10"/>
        <color theme="1"/>
        <rFont val="宋体"/>
        <family val="3"/>
        <charset val="134"/>
      </rPr>
      <t>备选</t>
    </r>
    <phoneticPr fontId="44" type="noConversion"/>
  </si>
  <si>
    <r>
      <rPr>
        <sz val="10"/>
        <color theme="1"/>
        <rFont val="宋体"/>
        <family val="3"/>
        <charset val="134"/>
      </rPr>
      <t>针对识别的其他舞弊风险等因素增加的审计程序。</t>
    </r>
  </si>
  <si>
    <r>
      <rPr>
        <b/>
        <sz val="10"/>
        <rFont val="微软雅黑"/>
        <family val="2"/>
        <charset val="134"/>
      </rPr>
      <t>(1)</t>
    </r>
    <r>
      <rPr>
        <b/>
        <sz val="10"/>
        <color theme="1"/>
        <rFont val="宋体"/>
        <family val="3"/>
        <charset val="134"/>
      </rPr>
      <t>短期薪酬</t>
    </r>
    <phoneticPr fontId="44" type="noConversion"/>
  </si>
  <si>
    <r>
      <t>6</t>
    </r>
    <r>
      <rPr>
        <b/>
        <sz val="10"/>
        <rFont val="宋体"/>
        <family val="3"/>
        <charset val="134"/>
      </rPr>
      <t>、薪酬分配政策：</t>
    </r>
    <phoneticPr fontId="43" type="noConversion"/>
  </si>
  <si>
    <r>
      <t>（</t>
    </r>
    <r>
      <rPr>
        <sz val="10"/>
        <color theme="1"/>
        <rFont val="Arial Narrow"/>
        <family val="2"/>
      </rPr>
      <t>1</t>
    </r>
    <r>
      <rPr>
        <sz val="10"/>
        <color theme="1"/>
        <rFont val="宋体"/>
        <family val="3"/>
        <charset val="134"/>
      </rPr>
      <t>）薪酬归集</t>
    </r>
    <phoneticPr fontId="6" type="noConversion"/>
  </si>
  <si>
    <r>
      <t>（</t>
    </r>
    <r>
      <rPr>
        <sz val="10"/>
        <color theme="1"/>
        <rFont val="Arial Narrow"/>
        <family val="2"/>
      </rPr>
      <t>2</t>
    </r>
    <r>
      <rPr>
        <sz val="10"/>
        <color theme="1"/>
        <rFont val="宋体"/>
        <family val="3"/>
        <charset val="134"/>
      </rPr>
      <t>）薪酬分配标准</t>
    </r>
    <phoneticPr fontId="6" type="noConversion"/>
  </si>
  <si>
    <r>
      <t>（</t>
    </r>
    <r>
      <rPr>
        <sz val="10"/>
        <color theme="1"/>
        <rFont val="Arial Narrow"/>
        <family val="2"/>
      </rPr>
      <t>3</t>
    </r>
    <r>
      <rPr>
        <sz val="10"/>
        <color theme="1"/>
        <rFont val="宋体"/>
        <family val="3"/>
        <charset val="134"/>
      </rPr>
      <t>）薪酬分配流程图</t>
    </r>
    <phoneticPr fontId="6" type="noConversion"/>
  </si>
  <si>
    <r>
      <t>1</t>
    </r>
    <r>
      <rPr>
        <b/>
        <sz val="10"/>
        <rFont val="宋体"/>
        <family val="3"/>
        <charset val="134"/>
      </rPr>
      <t>、工资总额的组成部分：</t>
    </r>
  </si>
  <si>
    <r>
      <t>2</t>
    </r>
    <r>
      <rPr>
        <b/>
        <sz val="10"/>
        <rFont val="宋体"/>
        <family val="3"/>
        <charset val="134"/>
      </rPr>
      <t>、公司是否执行工效挂购：</t>
    </r>
    <phoneticPr fontId="43" type="noConversion"/>
  </si>
  <si>
    <r>
      <t>3</t>
    </r>
    <r>
      <rPr>
        <b/>
        <sz val="10"/>
        <rFont val="宋体"/>
        <family val="3"/>
        <charset val="134"/>
      </rPr>
      <t>、福利费政策：</t>
    </r>
  </si>
  <si>
    <r>
      <t>4</t>
    </r>
    <r>
      <rPr>
        <b/>
        <sz val="10"/>
        <rFont val="宋体"/>
        <family val="3"/>
        <charset val="134"/>
      </rPr>
      <t>、社会保险费和住房公积金计提标准：</t>
    </r>
  </si>
  <si>
    <r>
      <rPr>
        <b/>
        <sz val="10"/>
        <rFont val="宋体"/>
        <family val="3"/>
        <charset val="134"/>
      </rPr>
      <t>标准计提基数（企业负担）</t>
    </r>
  </si>
  <si>
    <r>
      <rPr>
        <b/>
        <sz val="10"/>
        <rFont val="宋体"/>
        <family val="3"/>
        <charset val="134"/>
      </rPr>
      <t>索引号</t>
    </r>
  </si>
  <si>
    <r>
      <rPr>
        <b/>
        <sz val="10"/>
        <rFont val="宋体"/>
        <family val="3"/>
        <charset val="134"/>
      </rPr>
      <t>比例</t>
    </r>
  </si>
  <si>
    <r>
      <rPr>
        <b/>
        <sz val="10"/>
        <rFont val="宋体"/>
        <family val="3"/>
        <charset val="134"/>
      </rPr>
      <t>本年是否缴纳</t>
    </r>
  </si>
  <si>
    <r>
      <rPr>
        <b/>
        <sz val="10"/>
        <rFont val="宋体"/>
        <family val="3"/>
        <charset val="134"/>
      </rPr>
      <t>备注</t>
    </r>
  </si>
  <si>
    <r>
      <t>5</t>
    </r>
    <r>
      <rPr>
        <b/>
        <sz val="10"/>
        <rFont val="宋体"/>
        <family val="3"/>
        <charset val="134"/>
      </rPr>
      <t>、社会保险费计提标准：</t>
    </r>
  </si>
  <si>
    <r>
      <rPr>
        <b/>
        <sz val="10"/>
        <rFont val="宋体"/>
        <family val="3"/>
        <charset val="134"/>
      </rPr>
      <t>计提基数</t>
    </r>
  </si>
  <si>
    <r>
      <rPr>
        <b/>
        <sz val="10"/>
        <rFont val="宋体"/>
        <family val="3"/>
        <charset val="134"/>
      </rPr>
      <t>本年是否计提</t>
    </r>
  </si>
  <si>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</si>
  <si>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b/>
        <sz val="10"/>
        <color theme="1"/>
        <rFont val="宋体"/>
        <family val="3"/>
        <charset val="134"/>
      </rPr>
      <t>上年年末数</t>
    </r>
  </si>
  <si>
    <r>
      <rPr>
        <b/>
        <sz val="10"/>
        <color theme="1"/>
        <rFont val="宋体"/>
        <family val="3"/>
        <charset val="134"/>
      </rPr>
      <t>本期增加</t>
    </r>
  </si>
  <si>
    <r>
      <rPr>
        <b/>
        <sz val="10"/>
        <color theme="1"/>
        <rFont val="宋体"/>
        <family val="3"/>
        <charset val="134"/>
      </rPr>
      <t>本期减少</t>
    </r>
  </si>
  <si>
    <r>
      <rPr>
        <b/>
        <sz val="10"/>
        <color theme="1"/>
        <rFont val="宋体"/>
        <family val="3"/>
        <charset val="134"/>
      </rPr>
      <t>期末数</t>
    </r>
  </si>
  <si>
    <r>
      <rPr>
        <sz val="10"/>
        <color theme="1"/>
        <rFont val="宋体"/>
        <family val="3"/>
        <charset val="134"/>
      </rPr>
      <t>短期薪酬</t>
    </r>
  </si>
  <si>
    <r>
      <rPr>
        <sz val="10"/>
        <color theme="1"/>
        <rFont val="宋体"/>
        <family val="3"/>
        <charset val="134"/>
      </rPr>
      <t>离职后福利</t>
    </r>
    <r>
      <rPr>
        <sz val="10"/>
        <color theme="1"/>
        <rFont val="Arial Narrow"/>
        <family val="2"/>
      </rPr>
      <t>-</t>
    </r>
    <r>
      <rPr>
        <sz val="10"/>
        <color theme="1"/>
        <rFont val="宋体"/>
        <family val="3"/>
        <charset val="134"/>
      </rPr>
      <t>设定提存计划</t>
    </r>
  </si>
  <si>
    <r>
      <rPr>
        <sz val="10"/>
        <color theme="1"/>
        <rFont val="宋体"/>
        <family val="3"/>
        <charset val="134"/>
      </rPr>
      <t>辞退福利</t>
    </r>
  </si>
  <si>
    <r>
      <rPr>
        <sz val="10"/>
        <color theme="1"/>
        <rFont val="宋体"/>
        <family val="3"/>
        <charset val="134"/>
      </rPr>
      <t>一年内到期的其他福利</t>
    </r>
  </si>
  <si>
    <r>
      <rPr>
        <b/>
        <sz val="10"/>
        <color theme="1"/>
        <rFont val="宋体"/>
        <family val="3"/>
        <charset val="134"/>
      </rPr>
      <t>合</t>
    </r>
    <r>
      <rPr>
        <b/>
        <sz val="10"/>
        <color theme="1"/>
        <rFont val="Arial Narrow"/>
        <family val="2"/>
      </rPr>
      <t xml:space="preserve"> </t>
    </r>
    <r>
      <rPr>
        <b/>
        <sz val="10"/>
        <color theme="1"/>
        <rFont val="宋体"/>
        <family val="3"/>
        <charset val="134"/>
      </rPr>
      <t>计</t>
    </r>
  </si>
  <si>
    <r>
      <t>【</t>
    </r>
    <r>
      <rPr>
        <sz val="10"/>
        <color theme="1"/>
        <rFont val="宋体"/>
        <family val="3"/>
        <charset val="134"/>
      </rPr>
      <t>提示：</t>
    </r>
  </si>
  <si>
    <r>
      <t>1</t>
    </r>
    <r>
      <rPr>
        <sz val="10"/>
        <color rgb="FF0000FF"/>
        <rFont val="宋体"/>
        <family val="3"/>
        <charset val="134"/>
      </rPr>
      <t>、辞退福利包括（</t>
    </r>
    <r>
      <rPr>
        <sz val="10"/>
        <color rgb="FF0000FF"/>
        <rFont val="Arial Narrow"/>
        <family val="2"/>
      </rPr>
      <t>1</t>
    </r>
    <r>
      <rPr>
        <sz val="10"/>
        <color rgb="FF0000FF"/>
        <rFont val="宋体"/>
        <family val="3"/>
        <charset val="134"/>
      </rPr>
      <t>）预期在其确认的年度报告期间期末后</t>
    </r>
    <r>
      <rPr>
        <sz val="10"/>
        <color rgb="FF0000FF"/>
        <rFont val="Arial Narrow"/>
        <family val="2"/>
      </rPr>
      <t>12</t>
    </r>
    <r>
      <rPr>
        <sz val="10"/>
        <color rgb="FF0000FF"/>
        <rFont val="宋体"/>
        <family val="3"/>
        <charset val="134"/>
      </rPr>
      <t>个月内完全支付的辞退福利；（</t>
    </r>
    <r>
      <rPr>
        <sz val="10"/>
        <color rgb="FF0000FF"/>
        <rFont val="Arial Narrow"/>
        <family val="2"/>
      </rPr>
      <t>2</t>
    </r>
    <r>
      <rPr>
        <sz val="10"/>
        <color rgb="FF0000FF"/>
        <rFont val="宋体"/>
        <family val="3"/>
        <charset val="134"/>
      </rPr>
      <t>）补偿款超过</t>
    </r>
    <r>
      <rPr>
        <sz val="10"/>
        <color rgb="FF0000FF"/>
        <rFont val="Arial Narrow"/>
        <family val="2"/>
      </rPr>
      <t>1</t>
    </r>
    <r>
      <rPr>
        <sz val="10"/>
        <color rgb="FF0000FF"/>
        <rFont val="宋体"/>
        <family val="3"/>
        <charset val="134"/>
      </rPr>
      <t>年支付的辞退计划将于年度报告期间期末后</t>
    </r>
    <r>
      <rPr>
        <sz val="10"/>
        <color rgb="FF0000FF"/>
        <rFont val="Arial Narrow"/>
        <family val="2"/>
      </rPr>
      <t>12</t>
    </r>
    <r>
      <rPr>
        <sz val="10"/>
        <color rgb="FF0000FF"/>
        <rFont val="宋体"/>
        <family val="3"/>
        <charset val="134"/>
      </rPr>
      <t>个月内支付的款项，例如内退计划将于下一年支付的金额。</t>
    </r>
  </si>
  <si>
    <r>
      <t>2</t>
    </r>
    <r>
      <rPr>
        <sz val="10"/>
        <color rgb="FF0000FF"/>
        <rFont val="宋体"/>
        <family val="3"/>
        <charset val="134"/>
      </rPr>
      <t>、一年内到期的其他福利：指一年内到期的其他长期福利（不含设定受益计划）；应根据</t>
    </r>
    <r>
      <rPr>
        <sz val="10"/>
        <color rgb="FF0000FF"/>
        <rFont val="Arial Narrow"/>
        <family val="2"/>
      </rPr>
      <t>“</t>
    </r>
    <r>
      <rPr>
        <sz val="10"/>
        <color rgb="FF0000FF"/>
        <rFont val="宋体"/>
        <family val="3"/>
        <charset val="134"/>
      </rPr>
      <t>长期应付职工薪酬</t>
    </r>
    <r>
      <rPr>
        <sz val="10"/>
        <color rgb="FF0000FF"/>
        <rFont val="Arial Narrow"/>
        <family val="2"/>
      </rPr>
      <t>”</t>
    </r>
    <r>
      <rPr>
        <sz val="10"/>
        <color rgb="FF0000FF"/>
        <rFont val="宋体"/>
        <family val="3"/>
        <charset val="134"/>
      </rPr>
      <t>项目分析填列。</t>
    </r>
  </si>
  <si>
    <r>
      <t>（1</t>
    </r>
    <r>
      <rPr>
        <sz val="10"/>
        <color theme="1"/>
        <rFont val="宋体"/>
        <family val="3"/>
        <charset val="134"/>
      </rPr>
      <t>）短期薪酬</t>
    </r>
  </si>
  <si>
    <r>
      <rPr>
        <sz val="10"/>
        <color theme="1"/>
        <rFont val="宋体"/>
        <family val="3"/>
        <charset val="134"/>
      </rPr>
      <t>工资、奖金、津贴和补贴</t>
    </r>
  </si>
  <si>
    <r>
      <rPr>
        <sz val="10"/>
        <color theme="1"/>
        <rFont val="宋体"/>
        <family val="3"/>
        <charset val="134"/>
      </rPr>
      <t>职工福利费</t>
    </r>
  </si>
  <si>
    <r>
      <rPr>
        <sz val="10"/>
        <color theme="1"/>
        <rFont val="宋体"/>
        <family val="3"/>
        <charset val="134"/>
      </rPr>
      <t>社会保险费</t>
    </r>
  </si>
  <si>
    <r>
      <rPr>
        <sz val="10"/>
        <color theme="1"/>
        <rFont val="宋体"/>
        <family val="3"/>
        <charset val="134"/>
      </rPr>
      <t>其中：</t>
    </r>
    <r>
      <rPr>
        <sz val="10"/>
        <color theme="1"/>
        <rFont val="Arial Narrow"/>
        <family val="2"/>
      </rPr>
      <t>1</t>
    </r>
    <r>
      <rPr>
        <sz val="10"/>
        <color theme="1"/>
        <rFont val="宋体"/>
        <family val="3"/>
        <charset val="134"/>
      </rPr>
      <t>．医疗保险费</t>
    </r>
  </si>
  <si>
    <r>
      <t>2</t>
    </r>
    <r>
      <rPr>
        <sz val="10"/>
        <color theme="1"/>
        <rFont val="宋体"/>
        <family val="3"/>
        <charset val="134"/>
      </rPr>
      <t>．工伤保险费</t>
    </r>
  </si>
  <si>
    <r>
      <t>3</t>
    </r>
    <r>
      <rPr>
        <sz val="10"/>
        <color theme="1"/>
        <rFont val="宋体"/>
        <family val="3"/>
        <charset val="134"/>
      </rPr>
      <t>．生育保险费</t>
    </r>
  </si>
  <si>
    <r>
      <rPr>
        <sz val="10"/>
        <color theme="1"/>
        <rFont val="宋体"/>
        <family val="3"/>
        <charset val="134"/>
      </rPr>
      <t>住房公积金</t>
    </r>
  </si>
  <si>
    <r>
      <rPr>
        <sz val="10"/>
        <color theme="1"/>
        <rFont val="宋体"/>
        <family val="3"/>
        <charset val="134"/>
      </rPr>
      <t>工会经费和职工教育经费</t>
    </r>
  </si>
  <si>
    <r>
      <rPr>
        <sz val="10"/>
        <color theme="1"/>
        <rFont val="宋体"/>
        <family val="3"/>
        <charset val="134"/>
      </rPr>
      <t>短期带薪缺勤</t>
    </r>
  </si>
  <si>
    <r>
      <rPr>
        <sz val="10"/>
        <color theme="1"/>
        <rFont val="宋体"/>
        <family val="3"/>
        <charset val="134"/>
      </rPr>
      <t>短期利润分享计划</t>
    </r>
  </si>
  <si>
    <r>
      <rPr>
        <sz val="10"/>
        <color theme="1"/>
        <rFont val="宋体"/>
        <family val="3"/>
        <charset val="134"/>
      </rPr>
      <t>非货币性福利</t>
    </r>
  </si>
  <si>
    <r>
      <rPr>
        <sz val="10"/>
        <color theme="1"/>
        <rFont val="宋体"/>
        <family val="3"/>
        <charset val="134"/>
      </rPr>
      <t>其他短期薪酬</t>
    </r>
  </si>
  <si>
    <r>
      <rPr>
        <b/>
        <sz val="10"/>
        <color theme="1"/>
        <rFont val="宋体"/>
        <family val="3"/>
        <charset val="134"/>
      </rPr>
      <t>合</t>
    </r>
    <r>
      <rPr>
        <b/>
        <sz val="10"/>
        <color theme="1"/>
        <rFont val="Arial Narrow"/>
        <family val="2"/>
      </rPr>
      <t xml:space="preserve">  </t>
    </r>
    <r>
      <rPr>
        <b/>
        <sz val="10"/>
        <color theme="1"/>
        <rFont val="宋体"/>
        <family val="3"/>
        <charset val="134"/>
      </rPr>
      <t>计</t>
    </r>
  </si>
  <si>
    <r>
      <rPr>
        <sz val="10"/>
        <color theme="1"/>
        <rFont val="宋体"/>
        <family val="3"/>
        <charset val="134"/>
      </rPr>
      <t>说明：</t>
    </r>
  </si>
  <si>
    <r>
      <t>1</t>
    </r>
    <r>
      <rPr>
        <sz val="10"/>
        <color theme="1"/>
        <rFont val="宋体"/>
        <family val="3"/>
        <charset val="134"/>
      </rPr>
      <t>、</t>
    </r>
    <r>
      <rPr>
        <sz val="10"/>
        <color rgb="FF0000FF"/>
        <rFont val="宋体"/>
        <family val="3"/>
        <charset val="134"/>
      </rPr>
      <t>（企业本期为职工提供的各项非货币性福利形式、其计算依据。）</t>
    </r>
    <phoneticPr fontId="43" type="noConversion"/>
  </si>
  <si>
    <r>
      <t>2</t>
    </r>
    <r>
      <rPr>
        <sz val="10"/>
        <color rgb="FF0000FF"/>
        <rFont val="宋体"/>
        <family val="3"/>
        <charset val="134"/>
      </rPr>
      <t>、（企业依据短期利润分享计划提供的职工薪酬计算依据。）</t>
    </r>
  </si>
  <si>
    <r>
      <t>（2</t>
    </r>
    <r>
      <rPr>
        <sz val="10"/>
        <color theme="1"/>
        <rFont val="宋体"/>
        <family val="3"/>
        <charset val="134"/>
      </rPr>
      <t>）设定提存计划</t>
    </r>
  </si>
  <si>
    <r>
      <rPr>
        <sz val="10"/>
        <color theme="1"/>
        <rFont val="宋体"/>
        <family val="3"/>
        <charset val="134"/>
      </rPr>
      <t>离职后福利</t>
    </r>
  </si>
  <si>
    <r>
      <rPr>
        <sz val="10"/>
        <color theme="1"/>
        <rFont val="宋体"/>
        <family val="3"/>
        <charset val="134"/>
      </rPr>
      <t>其中：</t>
    </r>
    <r>
      <rPr>
        <sz val="10"/>
        <color theme="1"/>
        <rFont val="Arial Narrow"/>
        <family val="2"/>
      </rPr>
      <t>1</t>
    </r>
    <r>
      <rPr>
        <sz val="10"/>
        <color theme="1"/>
        <rFont val="宋体"/>
        <family val="3"/>
        <charset val="134"/>
      </rPr>
      <t>．基本养老保险费</t>
    </r>
  </si>
  <si>
    <r>
      <t>2</t>
    </r>
    <r>
      <rPr>
        <sz val="10"/>
        <color theme="1"/>
        <rFont val="宋体"/>
        <family val="3"/>
        <charset val="134"/>
      </rPr>
      <t>．失业保险费</t>
    </r>
  </si>
  <si>
    <r>
      <t>3</t>
    </r>
    <r>
      <rPr>
        <sz val="10"/>
        <color theme="1"/>
        <rFont val="宋体"/>
        <family val="3"/>
        <charset val="134"/>
      </rPr>
      <t>．企业年金缴费</t>
    </r>
  </si>
  <si>
    <r>
      <t>4</t>
    </r>
    <r>
      <rPr>
        <sz val="10"/>
        <color theme="1"/>
        <rFont val="宋体"/>
        <family val="3"/>
        <charset val="134"/>
      </rPr>
      <t>．其他</t>
    </r>
  </si>
  <si>
    <r>
      <rPr>
        <sz val="10"/>
        <color theme="1"/>
        <rFont val="宋体"/>
        <family val="3"/>
        <charset val="134"/>
      </rPr>
      <t>其他长期职工福利</t>
    </r>
    <r>
      <rPr>
        <sz val="10"/>
        <color rgb="FF0000FF"/>
        <rFont val="宋体"/>
        <family val="3"/>
        <charset val="134"/>
      </rPr>
      <t>（不适用的删除）</t>
    </r>
  </si>
  <si>
    <r>
      <rPr>
        <sz val="10"/>
        <color theme="1"/>
        <rFont val="宋体"/>
        <family val="3"/>
        <charset val="134"/>
      </rPr>
      <t>其中：</t>
    </r>
    <r>
      <rPr>
        <sz val="10"/>
        <color theme="1"/>
        <rFont val="Arial Narrow"/>
        <family val="2"/>
      </rPr>
      <t>1</t>
    </r>
    <r>
      <rPr>
        <sz val="10"/>
        <color theme="1"/>
        <rFont val="宋体"/>
        <family val="3"/>
        <charset val="134"/>
      </rPr>
      <t>．</t>
    </r>
    <r>
      <rPr>
        <sz val="10"/>
        <color theme="1"/>
        <rFont val="Arial Narrow"/>
        <family val="2"/>
      </rPr>
      <t>xxx</t>
    </r>
  </si>
  <si>
    <r>
      <t>2</t>
    </r>
    <r>
      <rPr>
        <sz val="10"/>
        <color theme="1"/>
        <rFont val="宋体"/>
        <family val="3"/>
        <charset val="134"/>
      </rPr>
      <t>．其他</t>
    </r>
  </si>
  <si>
    <r>
      <rPr>
        <sz val="10"/>
        <color theme="1"/>
        <rFont val="宋体"/>
        <family val="3"/>
        <charset val="134"/>
      </rPr>
      <t>说明：</t>
    </r>
    <r>
      <rPr>
        <sz val="10"/>
        <color rgb="FF0000FF"/>
        <rFont val="宋体"/>
        <family val="3"/>
        <charset val="134"/>
      </rPr>
      <t>（设定提存计划的性质、计算缴费金额的公式或依据）</t>
    </r>
  </si>
  <si>
    <r>
      <t>【</t>
    </r>
    <r>
      <rPr>
        <sz val="10"/>
        <color theme="1"/>
        <rFont val="宋体"/>
        <family val="3"/>
        <charset val="134"/>
      </rPr>
      <t>提示：其他长期职工福利指符合设定提存计划条件的其他长期职工福利】</t>
    </r>
  </si>
  <si>
    <r>
      <t>（3</t>
    </r>
    <r>
      <rPr>
        <sz val="10"/>
        <color theme="1"/>
        <rFont val="宋体"/>
        <family val="3"/>
        <charset val="134"/>
      </rPr>
      <t>）辞退福利</t>
    </r>
  </si>
  <si>
    <r>
      <rPr>
        <sz val="10"/>
        <color theme="1"/>
        <rFont val="宋体"/>
        <family val="3"/>
        <charset val="134"/>
      </rPr>
      <t>说明：</t>
    </r>
    <r>
      <rPr>
        <sz val="10"/>
        <color rgb="FF0000FF"/>
        <rFont val="宋体"/>
        <family val="3"/>
        <charset val="134"/>
      </rPr>
      <t>辞退福利的性质、内容及计算依据。</t>
    </r>
  </si>
  <si>
    <r>
      <t>（</t>
    </r>
    <r>
      <rPr>
        <sz val="10"/>
        <color rgb="FF0000FF"/>
        <rFont val="宋体"/>
        <family val="3"/>
        <charset val="134"/>
      </rPr>
      <t>注：应付职工薪酬、设定受益计划净负债（净资产）、一年后支付的辞退福利及其他长期职工福利本期减少一般与现金流量中</t>
    </r>
    <r>
      <rPr>
        <sz val="10"/>
        <rFont val="Arial Narrow"/>
        <family val="2"/>
      </rPr>
      <t>“</t>
    </r>
    <r>
      <rPr>
        <sz val="10"/>
        <rFont val="宋体"/>
        <family val="3"/>
        <charset val="134"/>
      </rPr>
      <t>支付职工</t>
    </r>
    <r>
      <rPr>
        <sz val="10"/>
        <rFont val="Arial Narrow"/>
        <family val="2"/>
      </rPr>
      <t>”</t>
    </r>
    <r>
      <rPr>
        <sz val="10"/>
        <rFont val="宋体"/>
        <family val="3"/>
        <charset val="134"/>
      </rPr>
      <t>项一致，除非代扣税未交、实物发放等）</t>
    </r>
  </si>
  <si>
    <r>
      <rPr>
        <b/>
        <sz val="10"/>
        <color indexed="8"/>
        <rFont val="宋体"/>
        <family val="3"/>
        <charset val="134"/>
      </rPr>
      <t>凭证编号</t>
    </r>
  </si>
  <si>
    <r>
      <rPr>
        <b/>
        <sz val="10"/>
        <rFont val="宋体"/>
        <family val="3"/>
        <charset val="134"/>
      </rPr>
      <t>底稿开列时，可先在以下单元格填写有关内容，以便其他底稿引用有关数据：</t>
    </r>
    <phoneticPr fontId="6" type="noConversion"/>
  </si>
  <si>
    <r>
      <rPr>
        <b/>
        <sz val="10"/>
        <color indexed="8"/>
        <rFont val="宋体"/>
        <family val="3"/>
        <charset val="134"/>
      </rPr>
      <t>日</t>
    </r>
    <r>
      <rPr>
        <b/>
        <sz val="10"/>
        <color indexed="8"/>
        <rFont val="Arial Narrow"/>
        <family val="2"/>
      </rPr>
      <t xml:space="preserve">   </t>
    </r>
    <r>
      <rPr>
        <b/>
        <sz val="10"/>
        <color indexed="8"/>
        <rFont val="宋体"/>
        <family val="3"/>
        <charset val="134"/>
      </rPr>
      <t>期</t>
    </r>
    <phoneticPr fontId="6" type="noConversion"/>
  </si>
  <si>
    <r>
      <rPr>
        <b/>
        <sz val="10"/>
        <color indexed="8"/>
        <rFont val="宋体"/>
        <family val="3"/>
        <charset val="134"/>
      </rPr>
      <t>凭证种类</t>
    </r>
    <phoneticPr fontId="6" type="noConversion"/>
  </si>
  <si>
    <r>
      <rPr>
        <b/>
        <sz val="10"/>
        <color indexed="8"/>
        <rFont val="宋体"/>
        <family val="3"/>
        <charset val="134"/>
      </rPr>
      <t>业务内容</t>
    </r>
  </si>
  <si>
    <r>
      <rPr>
        <b/>
        <sz val="10"/>
        <color indexed="8"/>
        <rFont val="宋体"/>
        <family val="3"/>
        <charset val="134"/>
      </rPr>
      <t>明细科目</t>
    </r>
  </si>
  <si>
    <r>
      <rPr>
        <b/>
        <sz val="10"/>
        <color indexed="8"/>
        <rFont val="宋体"/>
        <family val="3"/>
        <charset val="134"/>
      </rPr>
      <t>对方科目</t>
    </r>
  </si>
  <si>
    <r>
      <rPr>
        <b/>
        <sz val="10"/>
        <color indexed="8"/>
        <rFont val="宋体"/>
        <family val="3"/>
        <charset val="134"/>
      </rPr>
      <t>金</t>
    </r>
    <r>
      <rPr>
        <b/>
        <sz val="10"/>
        <color indexed="8"/>
        <rFont val="Arial Narrow"/>
        <family val="2"/>
      </rPr>
      <t xml:space="preserve">   </t>
    </r>
    <r>
      <rPr>
        <b/>
        <sz val="10"/>
        <color indexed="8"/>
        <rFont val="宋体"/>
        <family val="3"/>
        <charset val="134"/>
      </rPr>
      <t>额</t>
    </r>
    <phoneticPr fontId="6" type="noConversion"/>
  </si>
  <si>
    <r>
      <rPr>
        <b/>
        <sz val="10"/>
        <color indexed="8"/>
        <rFont val="宋体"/>
        <family val="3"/>
        <charset val="134"/>
      </rPr>
      <t>借方</t>
    </r>
  </si>
  <si>
    <r>
      <rPr>
        <b/>
        <sz val="10"/>
        <color indexed="8"/>
        <rFont val="宋体"/>
        <family val="3"/>
        <charset val="134"/>
      </rPr>
      <t>贷方</t>
    </r>
  </si>
  <si>
    <r>
      <rPr>
        <b/>
        <sz val="10"/>
        <rFont val="宋体"/>
        <family val="3"/>
        <charset val="134"/>
      </rPr>
      <t>项</t>
    </r>
    <r>
      <rPr>
        <b/>
        <sz val="10"/>
        <rFont val="Arial Narrow"/>
        <family val="2"/>
      </rPr>
      <t xml:space="preserve">   </t>
    </r>
    <r>
      <rPr>
        <b/>
        <sz val="10"/>
        <rFont val="宋体"/>
        <family val="3"/>
        <charset val="134"/>
      </rPr>
      <t>目</t>
    </r>
    <phoneticPr fontId="6" type="noConversion"/>
  </si>
  <si>
    <r>
      <rPr>
        <b/>
        <sz val="10"/>
        <rFont val="宋体"/>
        <family val="3"/>
        <charset val="134"/>
      </rPr>
      <t>期末结余金额</t>
    </r>
    <phoneticPr fontId="6" type="noConversion"/>
  </si>
  <si>
    <r>
      <rPr>
        <b/>
        <sz val="10"/>
        <rFont val="宋体"/>
        <family val="3"/>
        <charset val="134"/>
      </rPr>
      <t>结余原因</t>
    </r>
    <phoneticPr fontId="6" type="noConversion"/>
  </si>
  <si>
    <r>
      <rPr>
        <b/>
        <sz val="10"/>
        <rFont val="宋体"/>
        <family val="3"/>
        <charset val="134"/>
      </rPr>
      <t>结余性质</t>
    </r>
    <phoneticPr fontId="6" type="noConversion"/>
  </si>
  <si>
    <r>
      <rPr>
        <b/>
        <sz val="10"/>
        <rFont val="宋体"/>
        <family val="3"/>
        <charset val="134"/>
      </rPr>
      <t>期后实际支付情况</t>
    </r>
    <phoneticPr fontId="6" type="noConversion"/>
  </si>
  <si>
    <r>
      <rPr>
        <b/>
        <sz val="10"/>
        <rFont val="宋体"/>
        <family val="3"/>
        <charset val="134"/>
      </rPr>
      <t>差</t>
    </r>
    <r>
      <rPr>
        <b/>
        <sz val="10"/>
        <rFont val="Arial Narrow"/>
        <family val="2"/>
      </rPr>
      <t xml:space="preserve">   </t>
    </r>
    <r>
      <rPr>
        <b/>
        <sz val="10"/>
        <rFont val="宋体"/>
        <family val="3"/>
        <charset val="134"/>
      </rPr>
      <t>异</t>
    </r>
    <phoneticPr fontId="6" type="noConversion"/>
  </si>
  <si>
    <r>
      <rPr>
        <b/>
        <sz val="10"/>
        <rFont val="宋体"/>
        <family val="3"/>
        <charset val="134"/>
      </rPr>
      <t>结</t>
    </r>
    <r>
      <rPr>
        <b/>
        <sz val="10"/>
        <rFont val="Arial Narrow"/>
        <family val="2"/>
      </rPr>
      <t xml:space="preserve">   </t>
    </r>
    <r>
      <rPr>
        <b/>
        <sz val="10"/>
        <rFont val="宋体"/>
        <family val="3"/>
        <charset val="134"/>
      </rPr>
      <t>论</t>
    </r>
    <phoneticPr fontId="6" type="noConversion"/>
  </si>
  <si>
    <r>
      <rPr>
        <b/>
        <sz val="10"/>
        <rFont val="宋体"/>
        <family val="3"/>
        <charset val="134"/>
      </rPr>
      <t>拖欠性质</t>
    </r>
    <r>
      <rPr>
        <b/>
        <sz val="10"/>
        <rFont val="Arial Narrow"/>
        <family val="2"/>
      </rPr>
      <t>/</t>
    </r>
    <r>
      <rPr>
        <b/>
        <sz val="10"/>
        <rFont val="宋体"/>
        <family val="3"/>
        <charset val="134"/>
      </rPr>
      <t>工效挂钩</t>
    </r>
    <phoneticPr fontId="6" type="noConversion"/>
  </si>
  <si>
    <r>
      <rPr>
        <b/>
        <sz val="10"/>
        <rFont val="宋体"/>
        <family val="3"/>
        <charset val="134"/>
      </rPr>
      <t>合</t>
    </r>
    <r>
      <rPr>
        <b/>
        <sz val="10"/>
        <rFont val="Arial Narrow"/>
        <family val="2"/>
      </rPr>
      <t xml:space="preserve">   </t>
    </r>
    <r>
      <rPr>
        <b/>
        <sz val="10"/>
        <rFont val="宋体"/>
        <family val="3"/>
        <charset val="134"/>
      </rPr>
      <t>计</t>
    </r>
    <phoneticPr fontId="6" type="noConversion"/>
  </si>
  <si>
    <r>
      <rPr>
        <b/>
        <sz val="10"/>
        <color indexed="8"/>
        <rFont val="宋体"/>
        <family val="3"/>
        <charset val="134"/>
      </rPr>
      <t>结论</t>
    </r>
    <phoneticPr fontId="6" type="noConversion"/>
  </si>
  <si>
    <r>
      <rPr>
        <b/>
        <sz val="10"/>
        <color rgb="FF000000"/>
        <rFont val="宋体"/>
        <family val="3"/>
        <charset val="134"/>
      </rPr>
      <t>股份支付种类</t>
    </r>
    <phoneticPr fontId="6" type="noConversion"/>
  </si>
  <si>
    <r>
      <rPr>
        <b/>
        <sz val="10"/>
        <color indexed="8"/>
        <rFont val="宋体"/>
        <family val="3"/>
        <charset val="134"/>
      </rPr>
      <t>账面记录当期费用</t>
    </r>
    <r>
      <rPr>
        <b/>
        <sz val="10"/>
        <color indexed="8"/>
        <rFont val="Arial Narrow"/>
        <family val="2"/>
      </rPr>
      <t>/</t>
    </r>
    <r>
      <rPr>
        <b/>
        <sz val="10"/>
        <color indexed="8"/>
        <rFont val="宋体"/>
        <family val="3"/>
        <charset val="134"/>
      </rPr>
      <t>公允价值变动金额</t>
    </r>
    <phoneticPr fontId="6" type="noConversion"/>
  </si>
  <si>
    <r>
      <rPr>
        <b/>
        <sz val="10"/>
        <color indexed="8"/>
        <rFont val="宋体"/>
        <family val="3"/>
        <charset val="134"/>
      </rPr>
      <t>是否为</t>
    </r>
    <r>
      <rPr>
        <b/>
        <sz val="10"/>
        <color rgb="FF000000"/>
        <rFont val="宋体"/>
        <family val="3"/>
        <charset val="134"/>
      </rPr>
      <t>雇员或其他提供类似服务的人员</t>
    </r>
    <phoneticPr fontId="6" type="noConversion"/>
  </si>
  <si>
    <r>
      <rPr>
        <b/>
        <sz val="10"/>
        <color indexed="8"/>
        <rFont val="宋体"/>
        <family val="3"/>
        <charset val="134"/>
      </rPr>
      <t>主要条款及条件与股份支付薪酬工具是否一致</t>
    </r>
    <phoneticPr fontId="6" type="noConversion"/>
  </si>
  <si>
    <r>
      <rPr>
        <b/>
        <sz val="10"/>
        <color indexed="8"/>
        <rFont val="宋体"/>
        <family val="3"/>
        <charset val="134"/>
      </rPr>
      <t>授权日与行权日之间是否存在重大时间间隔</t>
    </r>
    <phoneticPr fontId="6" type="noConversion"/>
  </si>
  <si>
    <r>
      <rPr>
        <b/>
        <sz val="10"/>
        <color indexed="8"/>
        <rFont val="宋体"/>
        <family val="3"/>
        <charset val="134"/>
      </rPr>
      <t>非货币性福利形式</t>
    </r>
    <phoneticPr fontId="6" type="noConversion"/>
  </si>
  <si>
    <r>
      <rPr>
        <b/>
        <sz val="10"/>
        <color indexed="8"/>
        <rFont val="宋体"/>
        <family val="3"/>
        <charset val="134"/>
      </rPr>
      <t>实物来源</t>
    </r>
    <phoneticPr fontId="6" type="noConversion"/>
  </si>
  <si>
    <r>
      <t>　　　</t>
    </r>
    <r>
      <rPr>
        <sz val="10"/>
        <color theme="1"/>
        <rFont val="Arial Narrow"/>
        <family val="2"/>
      </rPr>
      <t>4</t>
    </r>
    <r>
      <rPr>
        <sz val="10"/>
        <color theme="1"/>
        <rFont val="宋体"/>
        <family val="3"/>
        <charset val="134"/>
      </rPr>
      <t>．补贴</t>
    </r>
  </si>
  <si>
    <r>
      <t>　　　</t>
    </r>
    <r>
      <rPr>
        <sz val="10"/>
        <color theme="1"/>
        <rFont val="Arial Narrow"/>
        <family val="2"/>
      </rPr>
      <t>2</t>
    </r>
    <r>
      <rPr>
        <sz val="10"/>
        <color theme="1"/>
        <rFont val="宋体"/>
        <family val="3"/>
        <charset val="134"/>
      </rPr>
      <t>．年金缴费</t>
    </r>
    <phoneticPr fontId="6" type="noConversion"/>
  </si>
  <si>
    <r>
      <t>　　　</t>
    </r>
    <r>
      <rPr>
        <sz val="10"/>
        <color theme="1"/>
        <rFont val="Arial Narrow"/>
        <family val="2"/>
      </rPr>
      <t>3</t>
    </r>
    <r>
      <rPr>
        <sz val="10"/>
        <color theme="1"/>
        <rFont val="宋体"/>
        <family val="3"/>
        <charset val="134"/>
      </rPr>
      <t>．工伤保险费</t>
    </r>
    <phoneticPr fontId="6" type="noConversion"/>
  </si>
  <si>
    <r>
      <t>　　　</t>
    </r>
    <r>
      <rPr>
        <sz val="10"/>
        <color theme="1"/>
        <rFont val="Arial Narrow"/>
        <family val="2"/>
      </rPr>
      <t>4</t>
    </r>
    <r>
      <rPr>
        <sz val="10"/>
        <color theme="1"/>
        <rFont val="宋体"/>
        <family val="3"/>
        <charset val="134"/>
      </rPr>
      <t>．生育保险费</t>
    </r>
    <phoneticPr fontId="6" type="noConversion"/>
  </si>
  <si>
    <r>
      <rPr>
        <b/>
        <sz val="10"/>
        <rFont val="宋体"/>
        <family val="3"/>
        <charset val="134"/>
      </rPr>
      <t>公司发放工资人数</t>
    </r>
    <phoneticPr fontId="6" type="noConversion"/>
  </si>
  <si>
    <r>
      <rPr>
        <b/>
        <sz val="10"/>
        <rFont val="宋体"/>
        <family val="3"/>
        <charset val="134"/>
      </rPr>
      <t>公司实际上交社会保险的人数</t>
    </r>
    <phoneticPr fontId="6" type="noConversion"/>
  </si>
  <si>
    <r>
      <rPr>
        <b/>
        <sz val="10"/>
        <rFont val="宋体"/>
        <family val="3"/>
        <charset val="134"/>
      </rPr>
      <t>类</t>
    </r>
    <r>
      <rPr>
        <b/>
        <sz val="10"/>
        <rFont val="Arial Narrow"/>
        <family val="2"/>
      </rPr>
      <t xml:space="preserve">   </t>
    </r>
    <r>
      <rPr>
        <b/>
        <sz val="10"/>
        <rFont val="宋体"/>
        <family val="3"/>
        <charset val="134"/>
      </rPr>
      <t>别</t>
    </r>
    <phoneticPr fontId="6" type="noConversion"/>
  </si>
  <si>
    <r>
      <rPr>
        <b/>
        <sz val="10"/>
        <rFont val="宋体"/>
        <family val="3"/>
        <charset val="134"/>
      </rPr>
      <t>人</t>
    </r>
    <r>
      <rPr>
        <b/>
        <sz val="10"/>
        <rFont val="Arial Narrow"/>
        <family val="2"/>
      </rPr>
      <t xml:space="preserve">   </t>
    </r>
    <r>
      <rPr>
        <b/>
        <sz val="10"/>
        <rFont val="宋体"/>
        <family val="3"/>
        <charset val="134"/>
      </rPr>
      <t>数</t>
    </r>
    <phoneticPr fontId="6" type="noConversion"/>
  </si>
  <si>
    <r>
      <rPr>
        <sz val="10"/>
        <rFont val="宋体"/>
        <family val="3"/>
        <charset val="134"/>
      </rPr>
      <t>公司发放工资人数</t>
    </r>
    <phoneticPr fontId="6" type="noConversion"/>
  </si>
  <si>
    <r>
      <rPr>
        <sz val="10"/>
        <rFont val="宋体"/>
        <family val="3"/>
        <charset val="134"/>
      </rPr>
      <t>上交城镇保险人数</t>
    </r>
    <phoneticPr fontId="6" type="noConversion"/>
  </si>
  <si>
    <r>
      <rPr>
        <sz val="10"/>
        <rFont val="宋体"/>
        <family val="3"/>
        <charset val="134"/>
      </rPr>
      <t>上交小城镇保险人数</t>
    </r>
    <phoneticPr fontId="6" type="noConversion"/>
  </si>
  <si>
    <r>
      <rPr>
        <sz val="10"/>
        <rFont val="宋体"/>
        <family val="3"/>
        <charset val="134"/>
      </rPr>
      <t>上交农业保险人数</t>
    </r>
    <phoneticPr fontId="6" type="noConversion"/>
  </si>
  <si>
    <r>
      <rPr>
        <sz val="10"/>
        <rFont val="宋体"/>
        <family val="3"/>
        <charset val="134"/>
      </rPr>
      <t>扣除不上交社保费人数（注：在合法试用期内的职工）</t>
    </r>
    <phoneticPr fontId="6" type="noConversion"/>
  </si>
  <si>
    <r>
      <rPr>
        <sz val="10"/>
        <rFont val="宋体"/>
        <family val="3"/>
        <charset val="134"/>
      </rPr>
      <t>上交综合保险人数</t>
    </r>
    <phoneticPr fontId="6" type="noConversion"/>
  </si>
  <si>
    <r>
      <rPr>
        <sz val="10"/>
        <rFont val="宋体"/>
        <family val="3"/>
        <charset val="134"/>
      </rPr>
      <t>小</t>
    </r>
    <r>
      <rPr>
        <sz val="10"/>
        <rFont val="Arial Narrow"/>
        <family val="2"/>
      </rPr>
      <t xml:space="preserve">   </t>
    </r>
    <r>
      <rPr>
        <sz val="10"/>
        <rFont val="宋体"/>
        <family val="3"/>
        <charset val="134"/>
      </rPr>
      <t>计</t>
    </r>
    <phoneticPr fontId="6" type="noConversion"/>
  </si>
  <si>
    <r>
      <rPr>
        <sz val="10"/>
        <rFont val="宋体"/>
        <family val="3"/>
        <charset val="134"/>
      </rPr>
      <t>同行业平均数据</t>
    </r>
    <phoneticPr fontId="43" type="noConversion"/>
  </si>
  <si>
    <r>
      <rPr>
        <sz val="10"/>
        <rFont val="宋体"/>
        <family val="3"/>
        <charset val="134"/>
      </rPr>
      <t>被审计单位</t>
    </r>
    <phoneticPr fontId="43" type="noConversion"/>
  </si>
  <si>
    <r>
      <t>【</t>
    </r>
    <r>
      <rPr>
        <sz val="10"/>
        <color indexed="12"/>
        <rFont val="宋体"/>
        <family val="3"/>
        <charset val="134"/>
      </rPr>
      <t>注：本底稿适用于调整分录较多、较复杂的项目，且仅列示与本报表项目相关的审计调整。项目组可根据项目实际情况选择是否使用该底稿。】</t>
    </r>
    <phoneticPr fontId="6" type="noConversion"/>
  </si>
  <si>
    <r>
      <t>（</t>
    </r>
    <r>
      <rPr>
        <sz val="10"/>
        <color theme="1"/>
        <rFont val="Arial Narrow"/>
        <family val="2"/>
      </rPr>
      <t>2</t>
    </r>
    <r>
      <rPr>
        <sz val="10"/>
        <color theme="1"/>
        <rFont val="宋体"/>
        <family val="3"/>
        <charset val="134"/>
      </rPr>
      <t>）离职后福利中设定提存计划、其他长期福利中符合设定提存条件的负债</t>
    </r>
    <phoneticPr fontId="44" type="noConversion"/>
  </si>
  <si>
    <r>
      <rPr>
        <b/>
        <sz val="12"/>
        <color indexed="8"/>
        <rFont val="宋体"/>
        <family val="3"/>
        <charset val="134"/>
      </rPr>
      <t>应付职工薪酬附注披露信息（国有企业）</t>
    </r>
    <phoneticPr fontId="6" type="noConversion"/>
  </si>
  <si>
    <t>一、本账户涉及的科目</t>
    <phoneticPr fontId="44" type="noConversion"/>
  </si>
  <si>
    <t>二、审计目标与认定的对应关系</t>
    <phoneticPr fontId="6" type="noConversion"/>
  </si>
  <si>
    <r>
      <t xml:space="preserve">A. </t>
    </r>
    <r>
      <rPr>
        <sz val="10"/>
        <rFont val="宋体"/>
        <family val="3"/>
        <charset val="134"/>
      </rPr>
      <t>资产负债表中记录的应付职工薪酬是存在的，且已经记录在恰当的账户中</t>
    </r>
    <phoneticPr fontId="6" type="noConversion"/>
  </si>
  <si>
    <r>
      <t xml:space="preserve">B. </t>
    </r>
    <r>
      <rPr>
        <sz val="10"/>
        <rFont val="宋体"/>
        <family val="3"/>
        <charset val="134"/>
      </rPr>
      <t>所有应记录的应付职工薪酬均已记录，所有应当包括在财务报表中的相关披露均已包括</t>
    </r>
    <phoneticPr fontId="6" type="noConversion"/>
  </si>
  <si>
    <r>
      <t xml:space="preserve">C. </t>
    </r>
    <r>
      <rPr>
        <sz val="10"/>
        <rFont val="宋体"/>
        <family val="3"/>
        <charset val="134"/>
      </rPr>
      <t>记录的应付职工薪酬由被审计单位拥有或控制</t>
    </r>
    <phoneticPr fontId="6" type="noConversion"/>
  </si>
  <si>
    <r>
      <t xml:space="preserve">D. </t>
    </r>
    <r>
      <rPr>
        <sz val="10"/>
        <rFont val="宋体"/>
        <family val="3"/>
        <charset val="134"/>
      </rPr>
      <t>应付职工薪酬以恰当的金额包括在财务报表中，与之相关的计价或分摊调整已恰当记录，相关披露已得到恰当计量和描述</t>
    </r>
    <r>
      <rPr>
        <sz val="10"/>
        <rFont val="Arial"/>
        <family val="2"/>
      </rPr>
      <t xml:space="preserve"> </t>
    </r>
    <phoneticPr fontId="6" type="noConversion"/>
  </si>
  <si>
    <r>
      <t xml:space="preserve">E. </t>
    </r>
    <r>
      <rPr>
        <sz val="10"/>
        <rFont val="宋体"/>
        <family val="3"/>
        <charset val="134"/>
      </rPr>
      <t>应付职工薪酬已被恰当地汇总或分解且表述清楚，相关披露在按照企业会计准则的编制基础下是相关的、可理解的</t>
    </r>
    <phoneticPr fontId="6" type="noConversion"/>
  </si>
  <si>
    <t>财务报表的认定</t>
    <phoneticPr fontId="6" type="noConversion"/>
  </si>
  <si>
    <r>
      <rPr>
        <b/>
        <sz val="12"/>
        <rFont val="宋体"/>
        <family val="3"/>
        <charset val="134"/>
        <scheme val="minor"/>
      </rPr>
      <t>应付职工薪酬</t>
    </r>
    <r>
      <rPr>
        <b/>
        <sz val="12"/>
        <rFont val="宋体"/>
        <family val="3"/>
        <charset val="134"/>
      </rPr>
      <t>实质性程序</t>
    </r>
    <phoneticPr fontId="6" type="noConversion"/>
  </si>
  <si>
    <t>L1A</t>
    <phoneticPr fontId="6" type="noConversion"/>
  </si>
  <si>
    <r>
      <rPr>
        <sz val="10"/>
        <rFont val="宋体"/>
        <family val="3"/>
        <charset val="134"/>
      </rPr>
      <t>页</t>
    </r>
    <r>
      <rPr>
        <sz val="10"/>
        <rFont val="Arial Narrow"/>
        <family val="2"/>
      </rPr>
      <t xml:space="preserve">  </t>
    </r>
    <r>
      <rPr>
        <sz val="10"/>
        <rFont val="宋体"/>
        <family val="3"/>
        <charset val="134"/>
      </rPr>
      <t>次：</t>
    </r>
    <phoneticPr fontId="44" type="noConversion"/>
  </si>
  <si>
    <r>
      <rPr>
        <sz val="10"/>
        <color rgb="FF000000"/>
        <rFont val="宋体"/>
        <family val="3"/>
        <charset val="134"/>
      </rPr>
      <t>应付职工薪酬</t>
    </r>
    <phoneticPr fontId="44" type="noConversion"/>
  </si>
  <si>
    <r>
      <rPr>
        <b/>
        <sz val="10"/>
        <rFont val="宋体"/>
        <family val="3"/>
        <charset val="134"/>
      </rPr>
      <t>二、重大错报风险需从实质性程序获取的保证程度</t>
    </r>
    <phoneticPr fontId="6" type="noConversion"/>
  </si>
  <si>
    <r>
      <rPr>
        <b/>
        <sz val="10"/>
        <rFont val="宋体"/>
        <family val="3"/>
        <charset val="134"/>
      </rPr>
      <t>根据风险评估和内控测试的结果按下列顺序作出判断：</t>
    </r>
    <phoneticPr fontId="6" type="noConversion"/>
  </si>
  <si>
    <r>
      <rPr>
        <b/>
        <sz val="10"/>
        <rFont val="宋体"/>
        <family val="3"/>
        <charset val="134"/>
      </rPr>
      <t>说明</t>
    </r>
    <phoneticPr fontId="6" type="noConversion"/>
  </si>
  <si>
    <r>
      <rPr>
        <b/>
        <sz val="10"/>
        <rFont val="宋体"/>
        <family val="3"/>
        <charset val="134"/>
      </rPr>
      <t>索引号</t>
    </r>
    <phoneticPr fontId="6" type="noConversion"/>
  </si>
  <si>
    <t>计价和分摊</t>
  </si>
  <si>
    <r>
      <t>A</t>
    </r>
    <r>
      <rPr>
        <sz val="10"/>
        <rFont val="宋体"/>
        <family val="2"/>
        <charset val="134"/>
      </rPr>
      <t>资产负债表中记录的应付职工薪酬是存在的。</t>
    </r>
    <phoneticPr fontId="6" type="noConversion"/>
  </si>
  <si>
    <r>
      <t>B</t>
    </r>
    <r>
      <rPr>
        <sz val="10"/>
        <rFont val="宋体"/>
        <family val="2"/>
        <charset val="134"/>
      </rPr>
      <t>所有应当记录的应付职工薪酬均已记录。</t>
    </r>
    <phoneticPr fontId="6" type="noConversion"/>
  </si>
  <si>
    <r>
      <t>C</t>
    </r>
    <r>
      <rPr>
        <sz val="10"/>
        <rFont val="宋体"/>
        <family val="2"/>
        <charset val="134"/>
      </rPr>
      <t>记录的应付职工薪酬是被审计单位应当履行的现时义务。</t>
    </r>
    <phoneticPr fontId="6" type="noConversion"/>
  </si>
  <si>
    <r>
      <t>D</t>
    </r>
    <r>
      <rPr>
        <sz val="10"/>
        <rFont val="宋体"/>
        <family val="2"/>
        <charset val="134"/>
      </rPr>
      <t>应付职工薪酬以恰当的金额包括在财务报表中，与之相关的计价调整已恰当记录。</t>
    </r>
    <phoneticPr fontId="87" type="noConversion"/>
  </si>
  <si>
    <r>
      <t>E</t>
    </r>
    <r>
      <rPr>
        <sz val="10"/>
        <rFont val="宋体"/>
        <family val="2"/>
        <charset val="134"/>
      </rPr>
      <t>应付职工薪酬已按照企业会计准则的规定在财务报表中作出恰当列报和披露。</t>
    </r>
    <phoneticPr fontId="87" type="noConversion"/>
  </si>
  <si>
    <r>
      <rPr>
        <b/>
        <sz val="10"/>
        <rFont val="宋体"/>
        <family val="3"/>
        <charset val="134"/>
      </rPr>
      <t>三、计划实施的实质性程序</t>
    </r>
    <phoneticPr fontId="6" type="noConversion"/>
  </si>
  <si>
    <r>
      <rPr>
        <b/>
        <sz val="10"/>
        <rFont val="宋体"/>
        <family val="3"/>
        <charset val="134"/>
      </rPr>
      <t>序号</t>
    </r>
    <phoneticPr fontId="6" type="noConversion"/>
  </si>
  <si>
    <r>
      <rPr>
        <b/>
        <sz val="10"/>
        <rFont val="宋体"/>
        <family val="3"/>
        <charset val="134"/>
      </rPr>
      <t>程序分类</t>
    </r>
    <phoneticPr fontId="6" type="noConversion"/>
  </si>
  <si>
    <t>审计目标</t>
    <phoneticPr fontId="6" type="noConversion"/>
  </si>
  <si>
    <r>
      <rPr>
        <b/>
        <sz val="10"/>
        <rFont val="宋体"/>
        <family val="3"/>
        <charset val="134"/>
      </rPr>
      <t>执行情况说明
（含底稿索引）</t>
    </r>
    <phoneticPr fontId="6" type="noConversion"/>
  </si>
  <si>
    <t>一</t>
    <phoneticPr fontId="87" type="noConversion"/>
  </si>
  <si>
    <t>常规★</t>
    <phoneticPr fontId="87" type="noConversion"/>
  </si>
  <si>
    <t>B</t>
    <phoneticPr fontId="87" type="noConversion"/>
  </si>
  <si>
    <t>L1</t>
    <phoneticPr fontId="87" type="noConversion"/>
  </si>
  <si>
    <t>获取或编制应付职工薪酬明细表。</t>
  </si>
  <si>
    <t>常规★</t>
    <phoneticPr fontId="87" type="noConversion"/>
  </si>
  <si>
    <t>应付职工薪酬</t>
    <phoneticPr fontId="44" type="noConversion"/>
  </si>
  <si>
    <t>D</t>
    <phoneticPr fontId="87" type="noConversion"/>
  </si>
  <si>
    <t>L1-2</t>
    <phoneticPr fontId="87" type="noConversion"/>
  </si>
  <si>
    <t>1</t>
    <phoneticPr fontId="87" type="noConversion"/>
  </si>
  <si>
    <t>常规★</t>
    <phoneticPr fontId="87" type="noConversion"/>
  </si>
  <si>
    <r>
      <rPr>
        <sz val="10"/>
        <color theme="1"/>
        <rFont val="宋体"/>
        <family val="3"/>
        <charset val="134"/>
      </rPr>
      <t>应付职工薪酬</t>
    </r>
    <phoneticPr fontId="44" type="noConversion"/>
  </si>
  <si>
    <t>2</t>
    <phoneticPr fontId="87" type="noConversion"/>
  </si>
  <si>
    <r>
      <rPr>
        <sz val="10"/>
        <color theme="1"/>
        <rFont val="宋体"/>
        <family val="3"/>
        <charset val="134"/>
      </rPr>
      <t>应付职工薪酬</t>
    </r>
    <phoneticPr fontId="44" type="noConversion"/>
  </si>
  <si>
    <r>
      <rPr>
        <b/>
        <sz val="10"/>
        <rFont val="宋体"/>
        <family val="3"/>
        <charset val="134"/>
      </rPr>
      <t>三</t>
    </r>
    <phoneticPr fontId="6" type="noConversion"/>
  </si>
  <si>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phoneticPr fontId="44" type="noConversion"/>
  </si>
  <si>
    <t>T1</t>
    <phoneticPr fontId="87" type="noConversion"/>
  </si>
  <si>
    <t>1</t>
    <phoneticPr fontId="6" type="noConversion"/>
  </si>
  <si>
    <t>获取有关信息准确性和完整性的审计证据。</t>
    <phoneticPr fontId="6" type="noConversion"/>
  </si>
  <si>
    <t>2</t>
    <phoneticPr fontId="6" type="noConversion"/>
  </si>
  <si>
    <r>
      <rPr>
        <sz val="10"/>
        <rFont val="宋体"/>
        <family val="3"/>
        <charset val="134"/>
      </rPr>
      <t>评价信息对实现审计目的是否足够准确和详细。</t>
    </r>
    <phoneticPr fontId="6" type="noConversion"/>
  </si>
  <si>
    <t>四</t>
    <phoneticPr fontId="87" type="noConversion"/>
  </si>
  <si>
    <r>
      <rPr>
        <b/>
        <sz val="10"/>
        <color theme="1"/>
        <rFont val="微软雅黑"/>
        <family val="2"/>
        <charset val="134"/>
      </rPr>
      <t>对于上期期末各职工薪酬账户：</t>
    </r>
    <r>
      <rPr>
        <b/>
        <sz val="10"/>
        <color theme="1"/>
        <rFont val="Arial Narrow"/>
        <family val="2"/>
      </rPr>
      <t xml:space="preserve"> </t>
    </r>
    <phoneticPr fontId="87" type="noConversion"/>
  </si>
  <si>
    <r>
      <rPr>
        <sz val="10"/>
        <color theme="1"/>
        <rFont val="宋体"/>
        <family val="3"/>
        <charset val="134"/>
      </rPr>
      <t>备选</t>
    </r>
    <phoneticPr fontId="87" type="noConversion"/>
  </si>
  <si>
    <t>B</t>
    <phoneticPr fontId="87" type="noConversion"/>
  </si>
  <si>
    <t>L1-2</t>
    <phoneticPr fontId="87" type="noConversion"/>
  </si>
  <si>
    <t>1</t>
    <phoneticPr fontId="87" type="noConversion"/>
  </si>
  <si>
    <t>确定采用的会计政策和程序是适当的。</t>
  </si>
  <si>
    <r>
      <rPr>
        <sz val="10"/>
        <color theme="1"/>
        <rFont val="宋体"/>
        <family val="3"/>
        <charset val="134"/>
      </rPr>
      <t>备选</t>
    </r>
    <phoneticPr fontId="87" type="noConversion"/>
  </si>
  <si>
    <t>2</t>
    <phoneticPr fontId="87" type="noConversion"/>
  </si>
  <si>
    <t>获得并审阅支持薪酬计提的列表。</t>
  </si>
  <si>
    <t>3</t>
    <phoneticPr fontId="87" type="noConversion"/>
  </si>
  <si>
    <t>测试重大薪酬计提的支持性文件。</t>
  </si>
  <si>
    <r>
      <rPr>
        <sz val="10"/>
        <color theme="1"/>
        <rFont val="宋体"/>
        <family val="3"/>
        <charset val="134"/>
      </rPr>
      <t>备选</t>
    </r>
    <phoneticPr fontId="87" type="noConversion"/>
  </si>
  <si>
    <r>
      <rPr>
        <sz val="10"/>
        <color theme="1"/>
        <rFont val="宋体"/>
        <family val="3"/>
        <charset val="134"/>
      </rPr>
      <t>应付职工薪酬</t>
    </r>
    <phoneticPr fontId="44" type="noConversion"/>
  </si>
  <si>
    <t>4</t>
    <phoneticPr fontId="87" type="noConversion"/>
  </si>
  <si>
    <t>获取发行在外的股票期权的清单，并测试与其支持文件跟踪核对一致。</t>
  </si>
  <si>
    <t>五</t>
    <phoneticPr fontId="87" type="noConversion"/>
  </si>
  <si>
    <t>执行分析程序，以确定可能需要执行以下额外审计程序的工资薪酬事项：</t>
  </si>
  <si>
    <t>常规★</t>
    <phoneticPr fontId="87" type="noConversion"/>
  </si>
  <si>
    <t>ABD</t>
    <phoneticPr fontId="87" type="noConversion"/>
  </si>
  <si>
    <r>
      <t>L1-3-1</t>
    </r>
    <r>
      <rPr>
        <sz val="10"/>
        <color theme="1"/>
        <rFont val="宋体"/>
        <family val="3"/>
        <charset val="134"/>
      </rPr>
      <t>、</t>
    </r>
    <r>
      <rPr>
        <sz val="10"/>
        <color theme="1"/>
        <rFont val="Arial Narrow"/>
        <family val="2"/>
      </rPr>
      <t>L1-3-2</t>
    </r>
    <phoneticPr fontId="87" type="noConversion"/>
  </si>
  <si>
    <t>1</t>
    <phoneticPr fontId="44" type="noConversion"/>
  </si>
  <si>
    <t>将本期工资费用与上期工资费用总额进行比较</t>
  </si>
  <si>
    <t>2</t>
    <phoneticPr fontId="87" type="noConversion"/>
  </si>
  <si>
    <t>结合被审计单位员工人数的变动情况对各部门各月工资费用的发生额进行比较</t>
  </si>
  <si>
    <t>IPO/上市公司</t>
    <phoneticPr fontId="87" type="noConversion"/>
  </si>
  <si>
    <t>IPO/上市公司</t>
    <phoneticPr fontId="87" type="noConversion"/>
  </si>
  <si>
    <t>六</t>
    <phoneticPr fontId="87" type="noConversion"/>
  </si>
  <si>
    <t>常规</t>
    <phoneticPr fontId="87" type="noConversion"/>
  </si>
  <si>
    <t>ABCD</t>
    <phoneticPr fontId="87" type="noConversion"/>
  </si>
  <si>
    <t>常规</t>
    <phoneticPr fontId="87" type="noConversion"/>
  </si>
  <si>
    <t>常规</t>
    <phoneticPr fontId="87" type="noConversion"/>
  </si>
  <si>
    <r>
      <rPr>
        <sz val="10"/>
        <color theme="1"/>
        <rFont val="宋体"/>
        <family val="3"/>
        <charset val="134"/>
      </rPr>
      <t>应付职工薪酬</t>
    </r>
    <phoneticPr fontId="44" type="noConversion"/>
  </si>
  <si>
    <t>4</t>
    <phoneticPr fontId="87" type="noConversion"/>
  </si>
  <si>
    <t>七</t>
    <phoneticPr fontId="87" type="noConversion"/>
  </si>
  <si>
    <t>ABD</t>
    <phoneticPr fontId="87" type="noConversion"/>
  </si>
  <si>
    <r>
      <t>L1-4-1</t>
    </r>
    <r>
      <rPr>
        <sz val="10"/>
        <color theme="1"/>
        <rFont val="宋体"/>
        <family val="3"/>
        <charset val="134"/>
      </rPr>
      <t/>
    </r>
    <phoneticPr fontId="87" type="noConversion"/>
  </si>
  <si>
    <t>1</t>
    <phoneticPr fontId="87" type="noConversion"/>
  </si>
  <si>
    <t>3</t>
    <phoneticPr fontId="87" type="noConversion"/>
  </si>
  <si>
    <t>八</t>
    <phoneticPr fontId="87" type="noConversion"/>
  </si>
  <si>
    <t>ABD</t>
    <phoneticPr fontId="87" type="noConversion"/>
  </si>
  <si>
    <t>L1-4-2</t>
    <phoneticPr fontId="87" type="noConversion"/>
  </si>
  <si>
    <t>2</t>
    <phoneticPr fontId="44" type="noConversion"/>
  </si>
  <si>
    <t>九</t>
    <phoneticPr fontId="87" type="noConversion"/>
  </si>
  <si>
    <t>获取本期支付的奖金和佣金或其他易于导致错报的职工薪酬项目的明细表。</t>
  </si>
  <si>
    <t>核对重大异常项目的支持性文件。</t>
  </si>
  <si>
    <t>十</t>
    <phoneticPr fontId="87" type="noConversion"/>
  </si>
  <si>
    <t>取得非货币性福利的明细表</t>
  </si>
  <si>
    <t>L1-4-3</t>
    <phoneticPr fontId="87" type="noConversion"/>
  </si>
  <si>
    <t>十一</t>
    <phoneticPr fontId="87" type="noConversion"/>
  </si>
  <si>
    <t>取得辞退福利的明细表</t>
  </si>
  <si>
    <t>L1-4-4</t>
    <phoneticPr fontId="87" type="noConversion"/>
  </si>
  <si>
    <t>5</t>
    <phoneticPr fontId="87" type="noConversion"/>
  </si>
  <si>
    <t>6</t>
    <phoneticPr fontId="87" type="noConversion"/>
  </si>
  <si>
    <t>7</t>
    <phoneticPr fontId="87" type="noConversion"/>
  </si>
  <si>
    <t>8</t>
    <phoneticPr fontId="87" type="noConversion"/>
  </si>
  <si>
    <t>十二</t>
    <phoneticPr fontId="87" type="noConversion"/>
  </si>
  <si>
    <t>对于带薪休假：</t>
  </si>
  <si>
    <t>L1-5</t>
    <phoneticPr fontId="44" type="noConversion"/>
  </si>
  <si>
    <t>5</t>
    <phoneticPr fontId="87" type="noConversion"/>
  </si>
  <si>
    <t>7</t>
    <phoneticPr fontId="87" type="noConversion"/>
  </si>
  <si>
    <t>8</t>
    <phoneticPr fontId="87" type="noConversion"/>
  </si>
  <si>
    <t>（1）</t>
    <phoneticPr fontId="87" type="noConversion"/>
  </si>
  <si>
    <t>十三</t>
    <phoneticPr fontId="87" type="noConversion"/>
  </si>
  <si>
    <t>对于奖金或者利润分享福利：</t>
  </si>
  <si>
    <t>如果已支付，追踪至后续付款。</t>
  </si>
  <si>
    <t>对于尚未支付的福利，确定该项负债是否被正确计算。</t>
  </si>
  <si>
    <t>十四</t>
    <phoneticPr fontId="87" type="noConversion"/>
  </si>
  <si>
    <t>获取股份支付的明细表。</t>
  </si>
  <si>
    <r>
      <rPr>
        <sz val="10"/>
        <color theme="1"/>
        <rFont val="宋体"/>
        <family val="3"/>
        <charset val="134"/>
      </rPr>
      <t>备选</t>
    </r>
    <phoneticPr fontId="87" type="noConversion"/>
  </si>
  <si>
    <t>L1-4-5</t>
    <phoneticPr fontId="87" type="noConversion"/>
  </si>
  <si>
    <t>确定企业是否有政策限制该股份支付薪酬奖励发行的日期。</t>
  </si>
  <si>
    <t>（1）</t>
    <phoneticPr fontId="87" type="noConversion"/>
  </si>
  <si>
    <t>6</t>
    <phoneticPr fontId="87" type="noConversion"/>
  </si>
  <si>
    <t>11</t>
    <phoneticPr fontId="87" type="noConversion"/>
  </si>
  <si>
    <t>12</t>
    <phoneticPr fontId="87" type="noConversion"/>
  </si>
  <si>
    <t>13</t>
    <phoneticPr fontId="87" type="noConversion"/>
  </si>
  <si>
    <t>十五</t>
    <phoneticPr fontId="87" type="noConversion"/>
  </si>
  <si>
    <t>针对利用股票期权日期倒签等获取不正当利益的股份期权，执行下列程序：</t>
  </si>
  <si>
    <t>ABCD</t>
    <phoneticPr fontId="87" type="noConversion"/>
  </si>
  <si>
    <t>十六</t>
    <phoneticPr fontId="87" type="noConversion"/>
  </si>
  <si>
    <t>L1-4-1</t>
    <phoneticPr fontId="87" type="noConversion"/>
  </si>
  <si>
    <t>十七</t>
    <phoneticPr fontId="87" type="noConversion"/>
  </si>
  <si>
    <t>使用员工或工资花名册，执行下列程序：</t>
  </si>
  <si>
    <t>十八</t>
    <phoneticPr fontId="44" type="noConversion"/>
  </si>
  <si>
    <t>执行下列程序，确定个人所得税计提是否充分：</t>
  </si>
  <si>
    <t>备选</t>
    <phoneticPr fontId="87" type="noConversion"/>
  </si>
  <si>
    <t>备选</t>
    <phoneticPr fontId="87" type="noConversion"/>
  </si>
  <si>
    <t>3</t>
    <phoneticPr fontId="87" type="noConversion"/>
  </si>
  <si>
    <t>十九</t>
    <phoneticPr fontId="87" type="noConversion"/>
  </si>
  <si>
    <t>确定个人所得税返还是否恰当记录在案，相关缴税是否及时。</t>
  </si>
  <si>
    <t>二十</t>
    <phoneticPr fontId="87" type="noConversion"/>
  </si>
  <si>
    <t>ABC</t>
    <phoneticPr fontId="87" type="noConversion"/>
  </si>
  <si>
    <t>L1-4-6</t>
    <phoneticPr fontId="87" type="noConversion"/>
  </si>
  <si>
    <t>二十一</t>
    <phoneticPr fontId="87" type="noConversion"/>
  </si>
  <si>
    <t>二十二</t>
    <phoneticPr fontId="87" type="noConversion"/>
  </si>
  <si>
    <t>二十三</t>
    <phoneticPr fontId="87" type="noConversion"/>
  </si>
  <si>
    <t>E</t>
    <phoneticPr fontId="87" type="noConversion"/>
  </si>
  <si>
    <t>L1-1</t>
    <phoneticPr fontId="87" type="noConversion"/>
  </si>
  <si>
    <t>提示：</t>
    <phoneticPr fontId="6" type="noConversion"/>
  </si>
  <si>
    <t>根据具体情况，按下述5条所述流程，执行分析程序：</t>
    <phoneticPr fontId="6" type="noConversion"/>
  </si>
  <si>
    <t>与可比前期（预期）结果相比较。 Compare results to comparable prior periods (expectations).</t>
    <phoneticPr fontId="44" type="noConversion"/>
  </si>
  <si>
    <t>与适当客户人员讨论重大的非预期的差异。 Discuss significant unexpected differences with appropriate client personnel.</t>
    <phoneticPr fontId="44" type="noConversion"/>
  </si>
  <si>
    <t>考虑可信度，并在适当情况下进行证实。 Consider plausibility of responses and corroborate as appropriate.</t>
    <phoneticPr fontId="44" type="noConversion"/>
  </si>
  <si>
    <t>确定执行上述程序的结果是否表明需要补充必要的审计程序，如果是，执行适当的应对程序。 Determine whether results identify areas where additional procedures are required and if so, tailor an appropriate response.</t>
    <phoneticPr fontId="44" type="noConversion"/>
  </si>
  <si>
    <t>获取或编制应付职工薪酬明细表，复核加计是否正确，与总账、明细账合计数核对是否相符，并编制审定表。</t>
    <phoneticPr fontId="44" type="noConversion"/>
  </si>
  <si>
    <t>整合</t>
    <phoneticPr fontId="43"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</si>
  <si>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4"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</si>
  <si>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4"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</si>
  <si>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4" type="noConversion"/>
  </si>
  <si>
    <r>
      <t>对期初余额的审计，取得应付职工薪酬期初余额明细表复核加计是否正确，与总账、明细账合计数是否相符，检查上期应付职工薪酬在本期支付情况，检查重大薪酬计提支持性文件、发行在外的股票期权清单以及其他必要追加的审计程序。</t>
    </r>
    <r>
      <rPr>
        <sz val="10"/>
        <color rgb="FFFF0000"/>
        <rFont val="宋体"/>
        <family val="3"/>
        <charset val="134"/>
      </rPr>
      <t>（适用于首次承接）</t>
    </r>
    <phoneticPr fontId="44" type="noConversion"/>
  </si>
  <si>
    <t>√</t>
    <phoneticPr fontId="6" type="noConversion"/>
  </si>
  <si>
    <t>√</t>
    <phoneticPr fontId="6" type="noConversion"/>
  </si>
  <si>
    <t>√</t>
    <phoneticPr fontId="6" type="noConversion"/>
  </si>
  <si>
    <t>√</t>
    <phoneticPr fontId="6" type="noConversion"/>
  </si>
  <si>
    <r>
      <rPr>
        <sz val="10"/>
        <color theme="1"/>
        <rFont val="宋体"/>
        <family val="3"/>
        <charset val="134"/>
      </rPr>
      <t>关注会计政策、会计估计合理性、一贯性，关注其是否利用会计政策和会计估计及其变更操纵利润。</t>
    </r>
    <phoneticPr fontId="6" type="noConversion"/>
  </si>
  <si>
    <t>J1-1
/J1-2</t>
    <phoneticPr fontId="44" type="noConversion"/>
  </si>
  <si>
    <t>T1/</t>
    <phoneticPr fontId="44" type="noConversion"/>
  </si>
  <si>
    <t>实施实质性分析程序：
（1）将本期工资费用与上期工资费用总额进行比较。
（2）结合被审计单位员工人数的变动情况对各部门各月工资费用的发生额进行比较。</t>
  </si>
  <si>
    <t>实施实质性分析程序：
（1）将本期工资费用与上期工资费用总额进行比较。
（2）结合被审计单位员工人数的变动情况对各部门各月工资费用的发生额进行比较。</t>
    <phoneticPr fontId="44" type="noConversion"/>
  </si>
  <si>
    <t>本期人均工资</t>
    <phoneticPr fontId="6" type="noConversion"/>
  </si>
  <si>
    <t>本期计提工资</t>
    <phoneticPr fontId="6" type="noConversion"/>
  </si>
  <si>
    <t>本期员工数量</t>
    <phoneticPr fontId="6" type="noConversion"/>
  </si>
  <si>
    <t>上期计提工资</t>
    <phoneticPr fontId="6" type="noConversion"/>
  </si>
  <si>
    <t>上期员工数量</t>
    <phoneticPr fontId="6" type="noConversion"/>
  </si>
  <si>
    <t>上期人均工资</t>
    <phoneticPr fontId="6" type="noConversion"/>
  </si>
  <si>
    <t>复核上交社会保险的人数与公司实际发放工资的人数是否一致：</t>
    <phoneticPr fontId="6" type="noConversion"/>
  </si>
  <si>
    <r>
      <rPr>
        <sz val="10"/>
        <color theme="1"/>
        <rFont val="宋体"/>
        <family val="3"/>
        <charset val="134"/>
      </rPr>
      <t>针对</t>
    </r>
    <r>
      <rPr>
        <sz val="10"/>
        <color theme="1"/>
        <rFont val="Arial Narrow"/>
        <family val="2"/>
      </rPr>
      <t>IPO</t>
    </r>
    <r>
      <rPr>
        <sz val="10"/>
        <color theme="1"/>
        <rFont val="宋体"/>
        <family val="3"/>
        <charset val="134"/>
      </rPr>
      <t>企业，取得企业员工名册与报告期工资计提和发放金额，分析各部门人员构成（级别）及其变化是否合理、人数是否与企业规模一致，核对财务报表有关披露（如现金流量表披露、关键管理人员薪酬披露）的真实性与一</t>
    </r>
    <phoneticPr fontId="43" type="noConversion"/>
  </si>
  <si>
    <r>
      <rPr>
        <sz val="10"/>
        <color theme="1"/>
        <rFont val="宋体"/>
        <family val="3"/>
        <charset val="134"/>
      </rPr>
      <t>针对</t>
    </r>
    <r>
      <rPr>
        <sz val="10"/>
        <color theme="1"/>
        <rFont val="Arial Narrow"/>
        <family val="2"/>
      </rPr>
      <t>IPO</t>
    </r>
    <r>
      <rPr>
        <sz val="10"/>
        <color theme="1"/>
        <rFont val="宋体"/>
        <family val="3"/>
        <charset val="134"/>
      </rPr>
      <t>企业，分析企业报告期人均工资（分部门、地区或产品线）是否与同地区同行业的水平一致；特别关注劳务派遣是否符合规定、是否滥用以规避一线工人</t>
    </r>
    <phoneticPr fontId="43" type="noConversion"/>
  </si>
  <si>
    <t>舞弊应对</t>
    <phoneticPr fontId="43" type="noConversion"/>
  </si>
  <si>
    <t>整合</t>
    <phoneticPr fontId="43" type="noConversion"/>
  </si>
  <si>
    <t>舞弊应对，劳务派遣作为提示关注事项</t>
    <phoneticPr fontId="43" type="noConversion"/>
  </si>
  <si>
    <t>对被审计单位按照历史经验数据和当期计划预计的职工薪酬（如职工福利费），获取管理层进行估计的资料，分析其合理性。</t>
    <phoneticPr fontId="43" type="noConversion"/>
  </si>
  <si>
    <t>检查应付职工薪酬本期的发生:
(1)对按照职工提供服务情况和工资标准计算的职工薪酬(如工资)，获取工资计算表，将工资标准与有关规定进行核对，选取样本进行测试。
(2)对国家规定了计提基础和计提比例的职工薪酬(如失业保险金、工伤保险金等)，检查是否按照规定的计提基础和比例计提。
(3)对被审计单位按照历史经验数据和当期计划预计的职工薪酬(如职工福利费)，获取管理层进行估计的资料，分析其合理性。</t>
    <phoneticPr fontId="44" type="noConversion"/>
  </si>
  <si>
    <t>检查应付职工薪酬本期计提金额：</t>
    <phoneticPr fontId="43" type="noConversion"/>
  </si>
  <si>
    <t>检查应付职工薪酬的确认，与生产成本、制造费用、在建工程等相关账项进行核对：</t>
    <phoneticPr fontId="43" type="noConversion"/>
  </si>
  <si>
    <t>检查应付职工薪酬的确认，与生产成本、制造费用、在建工程等相关账项进行核对，确定会计处理是否符合企业会计准则的规定；分析本期及上期计入成本、费用的工资薪金，关注构成是否异常变化。</t>
    <phoneticPr fontId="44" type="noConversion"/>
  </si>
  <si>
    <t>检查应付职工薪酬的期后付款情况，并关注在资产负债表日至财务报表批准报出日之间，是否有确凿证据表明需要调整资产负债表日原确认的应付职工薪酬事项。</t>
    <phoneticPr fontId="44" type="noConversion"/>
  </si>
  <si>
    <t>如果存在非货币性福利：取得非货币性福利性文件，了解主要政策、非货币福利方式，会计处理是否正确。</t>
    <phoneticPr fontId="44" type="noConversion"/>
  </si>
  <si>
    <t>备选</t>
    <phoneticPr fontId="44" type="noConversion"/>
  </si>
  <si>
    <t>整合</t>
    <phoneticPr fontId="43" type="noConversion"/>
  </si>
  <si>
    <t>对于职工没有选择权的辞退计划，检查按辞退职工数量、辞退补偿标准计提辞退福利负债金额是否正确</t>
    <phoneticPr fontId="43" type="noConversion"/>
  </si>
  <si>
    <t>对于自愿接受裁减的建议，检查按接受裁减建议的预计职工数量、辞退补偿标准（该标准确定）等计提辞退福利负债金额是否正确</t>
    <phoneticPr fontId="43" type="noConversion"/>
  </si>
  <si>
    <t>识别辞退福利中是否包含未予辞退的员工；检查其工资薪酬是否已经恰当计入相关费用。</t>
    <phoneticPr fontId="43" type="noConversion"/>
  </si>
  <si>
    <t>如果存在辞退福利，取得相关辞退文件、协议：
（1）对于职工没有选择权的辞退计划，检查按辞退职工数量、辞退补偿标准计提辞退福利负债金额是否正确；
（2）对于自愿接受裁减的建议，检查按接受裁减建议的预计职工数量、辞退补偿标准（该标准确定）等计提辞退福利负债金额是否正确；
（3）识别辞退福利中是否包含未予辞退的员工；
检查辞退福利相关的工资薪酬是否已经恰当计入相关费用、会计处理是否正确。</t>
    <phoneticPr fontId="44" type="noConversion"/>
  </si>
  <si>
    <t>保留</t>
    <phoneticPr fontId="43" type="noConversion"/>
  </si>
  <si>
    <t>确认主要条款及条件与股份支付薪酬工具是否一致（即授予日期、期权的价格、股数、行使日期等）。</t>
    <phoneticPr fontId="43" type="noConversion"/>
  </si>
  <si>
    <t>根据该股份支付薪酬奖励的条款和条件，确定其分类（如分类为权益结算、现金结算、或者二者结合）适当。</t>
    <phoneticPr fontId="43" type="noConversion"/>
  </si>
  <si>
    <t>确定我们是否应聘请一位估值专家，以协助评价：企业的专家（无论其是第三方还是内部员工）对该工具估值的工作。</t>
    <phoneticPr fontId="43" type="noConversion"/>
  </si>
  <si>
    <r>
      <rPr>
        <sz val="10"/>
        <color theme="1"/>
        <rFont val="宋体"/>
        <family val="3"/>
        <charset val="134"/>
      </rPr>
      <t>完成</t>
    </r>
    <r>
      <rPr>
        <sz val="10"/>
        <color theme="1"/>
        <rFont val="Arial Narrow"/>
        <family val="2"/>
      </rPr>
      <t>“</t>
    </r>
    <r>
      <rPr>
        <sz val="10"/>
        <color theme="1"/>
        <rFont val="宋体"/>
        <family val="3"/>
        <charset val="134"/>
      </rPr>
      <t>专家资质</t>
    </r>
    <r>
      <rPr>
        <sz val="10"/>
        <color theme="1"/>
        <rFont val="Arial Narrow"/>
        <family val="2"/>
      </rPr>
      <t>”</t>
    </r>
    <r>
      <rPr>
        <sz val="10"/>
        <color theme="1"/>
        <rFont val="宋体"/>
        <family val="3"/>
        <charset val="134"/>
      </rPr>
      <t>和</t>
    </r>
    <r>
      <rPr>
        <sz val="10"/>
        <color theme="1"/>
        <rFont val="Arial Narrow"/>
        <family val="2"/>
      </rPr>
      <t>“</t>
    </r>
    <r>
      <rPr>
        <sz val="10"/>
        <color theme="1"/>
        <rFont val="宋体"/>
        <family val="3"/>
        <charset val="134"/>
      </rPr>
      <t>专家工作</t>
    </r>
    <r>
      <rPr>
        <sz val="10"/>
        <color theme="1"/>
        <rFont val="Arial Narrow"/>
        <family val="2"/>
      </rPr>
      <t>”</t>
    </r>
    <r>
      <rPr>
        <sz val="10"/>
        <color theme="1"/>
        <rFont val="宋体"/>
        <family val="3"/>
        <charset val="134"/>
      </rPr>
      <t>的审计程序，以评估每位精算师（无论其是第三方还是内部员工）的资质及其工作。</t>
    </r>
    <phoneticPr fontId="43" type="noConversion"/>
  </si>
  <si>
    <t>取得本期与上期个人所得税缴纳单，执行分析性程序，与本期工资发放额进行比对，判断个人所得税计缴是否在合理的范围，应交个人所得税是否低估。</t>
    <phoneticPr fontId="43" type="noConversion"/>
  </si>
  <si>
    <t>对于股份支付、发放现金股利或自然人股东（高管）留存收益转增股本等情形，测算并确定个人所得税计提是否充分。</t>
    <phoneticPr fontId="43" type="noConversion"/>
  </si>
  <si>
    <t>整合</t>
    <phoneticPr fontId="43" type="noConversion"/>
  </si>
  <si>
    <r>
      <rPr>
        <sz val="10"/>
        <color theme="1"/>
        <rFont val="宋体"/>
        <family val="3"/>
        <charset val="134"/>
      </rPr>
      <t>检查企业是否存在压低员工薪金，阶段性降低人工成本粉饰业绩的情况：	
（</t>
    </r>
    <r>
      <rPr>
        <sz val="10"/>
        <color theme="1"/>
        <rFont val="Arial Narrow"/>
        <family val="2"/>
      </rPr>
      <t>1</t>
    </r>
    <r>
      <rPr>
        <sz val="10"/>
        <color theme="1"/>
        <rFont val="宋体"/>
        <family val="3"/>
        <charset val="134"/>
      </rPr>
      <t>）将企业在册员工名单与实际工时记录（打卡、考勤记录等）比较，核查是否存在有工时记录，但不属于在册员工，未在企业发放工资的情况；是否存在重复或无效的员工信息；
（</t>
    </r>
    <r>
      <rPr>
        <sz val="10"/>
        <color theme="1"/>
        <rFont val="Arial Narrow"/>
        <family val="2"/>
      </rPr>
      <t>2</t>
    </r>
    <r>
      <rPr>
        <sz val="10"/>
        <color theme="1"/>
        <rFont val="宋体"/>
        <family val="3"/>
        <charset val="134"/>
      </rPr>
      <t>）根据企业的薪酬政策，测算每月工资总额及人均工资（分部门、地区或产品线），与企业的实际计提金额对比，分析合理性，并关注报告期是否存在降低的趋势；
（</t>
    </r>
    <r>
      <rPr>
        <sz val="10"/>
        <color theme="1"/>
        <rFont val="Arial Narrow"/>
        <family val="2"/>
      </rPr>
      <t>3</t>
    </r>
    <r>
      <rPr>
        <sz val="10"/>
        <color theme="1"/>
        <rFont val="宋体"/>
        <family val="3"/>
        <charset val="134"/>
      </rPr>
      <t>）访谈企业一般销售人员、研发人员、管理人员、车间人员，了解是否存在暂时压低员工薪金，期后补偿的协议或承诺；
（</t>
    </r>
    <r>
      <rPr>
        <sz val="10"/>
        <color theme="1"/>
        <rFont val="Arial Narrow"/>
        <family val="2"/>
      </rPr>
      <t>4</t>
    </r>
    <r>
      <rPr>
        <sz val="10"/>
        <color theme="1"/>
        <rFont val="宋体"/>
        <family val="3"/>
        <charset val="134"/>
      </rPr>
      <t>）取得报告期高级管理人员的工资数据，分析是否存在重大波动，波动原因是否合理</t>
    </r>
    <r>
      <rPr>
        <sz val="10"/>
        <color theme="1"/>
        <rFont val="Arial Narrow"/>
        <family val="2"/>
      </rPr>
      <t xml:space="preserve"> </t>
    </r>
    <r>
      <rPr>
        <sz val="10"/>
        <color theme="1"/>
        <rFont val="宋体"/>
        <family val="3"/>
        <charset val="134"/>
      </rPr>
      <t>；</t>
    </r>
    <phoneticPr fontId="44" type="noConversion"/>
  </si>
  <si>
    <t>职工人数分析，人均工资与同地区、同行业对比分析：
（1）检查上交社会保险的人数与公司实际发放工资的人数是否一致，分析各部门人员构成（级别）及其变化是否合理、人数是否与企业规模一致；识别公司是否存在未代扣税金或养老金的员工；
（2）分析人均工资（可分部门、地区或产品线）是否与同地区同行业的水平一致。</t>
    <phoneticPr fontId="44" type="noConversion"/>
  </si>
  <si>
    <t>已包含在辞退福利中</t>
    <phoneticPr fontId="43" type="noConversion"/>
  </si>
  <si>
    <t>整合</t>
    <phoneticPr fontId="43" type="noConversion"/>
  </si>
  <si>
    <t>检查应付职工薪酬是否已按企业会计准则或其他适用的规定在财务报表中做出恰当列报和披露。</t>
    <phoneticPr fontId="44" type="noConversion"/>
  </si>
  <si>
    <t>12</t>
  </si>
  <si>
    <t>保留</t>
    <phoneticPr fontId="43" type="noConversion"/>
  </si>
  <si>
    <t>保留</t>
    <phoneticPr fontId="43" type="noConversion"/>
  </si>
  <si>
    <r>
      <rPr>
        <b/>
        <sz val="10"/>
        <color theme="1"/>
        <rFont val="宋体"/>
        <family val="3"/>
        <charset val="134"/>
      </rPr>
      <t>√</t>
    </r>
    <phoneticPr fontId="44" type="noConversion"/>
  </si>
  <si>
    <r>
      <rPr>
        <b/>
        <sz val="10"/>
        <color theme="1"/>
        <rFont val="宋体"/>
        <family val="3"/>
        <charset val="134"/>
      </rPr>
      <t>√</t>
    </r>
    <phoneticPr fontId="44" type="noConversion"/>
  </si>
  <si>
    <r>
      <rPr>
        <b/>
        <sz val="10"/>
        <color theme="1"/>
        <rFont val="宋体"/>
        <family val="3"/>
        <charset val="134"/>
      </rPr>
      <t>√</t>
    </r>
    <phoneticPr fontId="44" type="noConversion"/>
  </si>
  <si>
    <r>
      <rPr>
        <b/>
        <sz val="10"/>
        <color theme="1"/>
        <rFont val="宋体"/>
        <family val="3"/>
        <charset val="134"/>
      </rPr>
      <t>√</t>
    </r>
    <phoneticPr fontId="44" type="noConversion"/>
  </si>
  <si>
    <r>
      <rPr>
        <b/>
        <sz val="10"/>
        <color theme="1"/>
        <rFont val="宋体"/>
        <family val="3"/>
        <charset val="134"/>
      </rPr>
      <t>√</t>
    </r>
    <phoneticPr fontId="44" type="noConversion"/>
  </si>
  <si>
    <t>致同会计师事务所</t>
  </si>
  <si>
    <t>应付职工薪酬审定表</t>
  </si>
  <si>
    <r>
      <t>1.</t>
    </r>
    <r>
      <rPr>
        <sz val="10"/>
        <rFont val="宋体"/>
        <family val="3"/>
        <charset val="134"/>
      </rPr>
      <t>资产负债表中记录的应付职工薪酬是存在的，且已经记录在恰当的账户中</t>
    </r>
    <phoneticPr fontId="43" type="noConversion"/>
  </si>
  <si>
    <r>
      <t>2.</t>
    </r>
    <r>
      <rPr>
        <sz val="10"/>
        <rFont val="宋体"/>
        <family val="3"/>
        <charset val="134"/>
      </rPr>
      <t>所有应记录的应付职工薪酬均已记录，所有应当包括在财务报表中的相关披露均已包括</t>
    </r>
    <phoneticPr fontId="43" type="noConversion"/>
  </si>
  <si>
    <r>
      <t>3.</t>
    </r>
    <r>
      <rPr>
        <sz val="10"/>
        <rFont val="宋体"/>
        <family val="3"/>
        <charset val="134"/>
      </rPr>
      <t>应付职工薪酬以恰当的金额包括在财务报表中，与之相关的计价或分摊调整已恰当记录，相关披露已得到恰当计量和描述</t>
    </r>
    <r>
      <rPr>
        <sz val="10"/>
        <rFont val="Arial Narrow"/>
        <family val="2"/>
      </rPr>
      <t xml:space="preserve"> </t>
    </r>
    <phoneticPr fontId="43" type="noConversion"/>
  </si>
  <si>
    <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6"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</si>
  <si>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6" type="noConversion"/>
  </si>
  <si>
    <t>报表项目</t>
    <phoneticPr fontId="6" type="noConversion"/>
  </si>
  <si>
    <t>科目名称</t>
    <phoneticPr fontId="6" type="noConversion"/>
  </si>
  <si>
    <t>应付职工薪酬调整分录汇总表</t>
    <phoneticPr fontId="6" type="noConversion"/>
  </si>
  <si>
    <r>
      <rPr>
        <b/>
        <sz val="10"/>
        <rFont val="宋体"/>
        <family val="3"/>
        <charset val="134"/>
      </rPr>
      <t>应付职工薪酬</t>
    </r>
    <r>
      <rPr>
        <b/>
        <sz val="10"/>
        <rFont val="Arial Narrow"/>
        <family val="2"/>
      </rPr>
      <t>——</t>
    </r>
    <r>
      <rPr>
        <b/>
        <sz val="10"/>
        <rFont val="宋体"/>
        <family val="3"/>
        <charset val="134"/>
      </rPr>
      <t>工资、奖金、津贴和补贴计提分析</t>
    </r>
    <phoneticPr fontId="26" type="noConversion"/>
  </si>
  <si>
    <t>占比</t>
    <phoneticPr fontId="6" type="noConversion"/>
  </si>
  <si>
    <t>本期各月计提占比</t>
    <phoneticPr fontId="6" type="noConversion"/>
  </si>
  <si>
    <t>本期留存</t>
    <phoneticPr fontId="6" type="noConversion"/>
  </si>
  <si>
    <t>本期实际发放额</t>
    <phoneticPr fontId="6" type="noConversion"/>
  </si>
  <si>
    <t>上年同期留存</t>
    <phoneticPr fontId="6" type="noConversion"/>
  </si>
  <si>
    <t>人均工资变动率</t>
    <phoneticPr fontId="6" type="noConversion"/>
  </si>
  <si>
    <t>应付职工薪酬实质性分析表</t>
    <phoneticPr fontId="26" type="noConversion"/>
  </si>
  <si>
    <t>致同会计师事务所</t>
    <phoneticPr fontId="6" type="noConversion"/>
  </si>
  <si>
    <t>致同会计师事务所</t>
    <phoneticPr fontId="6" type="noConversion"/>
  </si>
  <si>
    <r>
      <t>3.</t>
    </r>
    <r>
      <rPr>
        <sz val="10"/>
        <rFont val="宋体"/>
        <family val="3"/>
        <charset val="134"/>
      </rPr>
      <t>如果存在劳务外包，了解公司劳务外包情况，关注劳务公司的经营合法合规性；劳务公司是否专门或主要为发行人服务，如存在主要为发行人服务的情形的，应关注其合理性及必要性、关联关系的认定及披露是否真实、准确、完整。</t>
    </r>
    <phoneticPr fontId="43" type="noConversion"/>
  </si>
  <si>
    <r>
      <rPr>
        <b/>
        <sz val="10"/>
        <rFont val="宋体"/>
        <family val="3"/>
        <charset val="134"/>
      </rPr>
      <t>行业人均工资</t>
    </r>
    <phoneticPr fontId="43" type="noConversion"/>
  </si>
  <si>
    <r>
      <rPr>
        <b/>
        <sz val="10"/>
        <rFont val="宋体"/>
        <family val="3"/>
        <charset val="134"/>
      </rPr>
      <t>与行业人均工资比较</t>
    </r>
    <phoneticPr fontId="43" type="noConversion"/>
  </si>
  <si>
    <t>同行业比较分析</t>
    <phoneticPr fontId="43" type="noConversion"/>
  </si>
  <si>
    <t>提示1：《首发业务问答二》问题22、首发企业劳务外包情形，中介机构需重点关注哪些方面内容？</t>
    <phoneticPr fontId="6" type="noConversion"/>
  </si>
  <si>
    <t>特别关注劳务派遣是否符合规定、是否滥用以规避一线工人</t>
    <phoneticPr fontId="43" type="noConversion"/>
  </si>
  <si>
    <r>
      <rPr>
        <b/>
        <sz val="10"/>
        <color rgb="FF0000FF"/>
        <rFont val="宋体"/>
        <family val="3"/>
        <charset val="134"/>
      </rPr>
      <t>提示</t>
    </r>
    <r>
      <rPr>
        <b/>
        <sz val="10"/>
        <color rgb="FF0000FF"/>
        <rFont val="Arial Narrow"/>
        <family val="2"/>
      </rPr>
      <t>2</t>
    </r>
    <r>
      <rPr>
        <b/>
        <sz val="10"/>
        <color rgb="FF0000FF"/>
        <rFont val="宋体"/>
        <family val="3"/>
        <charset val="134"/>
      </rPr>
      <t>：</t>
    </r>
    <phoneticPr fontId="43" type="noConversion"/>
  </si>
  <si>
    <t>应付职工薪酬计提情况检查表</t>
    <phoneticPr fontId="6" type="noConversion"/>
  </si>
  <si>
    <t>（1）短期薪酬</t>
    <phoneticPr fontId="6" type="noConversion"/>
  </si>
  <si>
    <t>一、审计目标:</t>
    <phoneticPr fontId="12" type="noConversion"/>
  </si>
  <si>
    <t>二、审计过程：</t>
    <phoneticPr fontId="6" type="noConversion"/>
  </si>
  <si>
    <t>提示：</t>
    <phoneticPr fontId="6" type="noConversion"/>
  </si>
  <si>
    <t>如果公司薪酬明显低于同行业，考虑是否存在其他方（如关联方）代付工资的情况。</t>
    <phoneticPr fontId="43" type="noConversion"/>
  </si>
  <si>
    <t>致同会计师事务所</t>
    <phoneticPr fontId="6" type="noConversion"/>
  </si>
  <si>
    <t>应付职工薪酬-非货币性福利检查表</t>
    <phoneticPr fontId="26" type="noConversion"/>
  </si>
  <si>
    <r>
      <t>1.</t>
    </r>
    <r>
      <rPr>
        <sz val="10"/>
        <rFont val="宋体"/>
        <family val="3"/>
        <charset val="134"/>
      </rPr>
      <t>取得非货币性福利明细，确定计算的准确性；</t>
    </r>
    <r>
      <rPr>
        <sz val="10"/>
        <rFont val="Arial Narrow"/>
        <family val="2"/>
      </rPr>
      <t xml:space="preserve">      2.</t>
    </r>
    <r>
      <rPr>
        <sz val="10"/>
        <rFont val="宋体"/>
        <family val="3"/>
        <charset val="134"/>
      </rPr>
      <t>取得非货币性福利性文件，了解主要政策。</t>
    </r>
    <phoneticPr fontId="43" type="noConversion"/>
  </si>
  <si>
    <r>
      <t>3.</t>
    </r>
    <r>
      <rPr>
        <sz val="10"/>
        <rFont val="宋体"/>
        <family val="3"/>
        <charset val="134"/>
      </rPr>
      <t>确定该福利是否满足确认为负债的标准</t>
    </r>
    <r>
      <rPr>
        <sz val="10"/>
        <rFont val="Arial Narrow"/>
        <family val="2"/>
      </rPr>
      <t>;                  4.</t>
    </r>
    <r>
      <rPr>
        <sz val="10"/>
        <rFont val="宋体"/>
        <family val="3"/>
        <charset val="134"/>
      </rPr>
      <t>确定负债的计算是否合理。</t>
    </r>
    <r>
      <rPr>
        <sz val="10"/>
        <rFont val="Arial Narrow"/>
        <family val="2"/>
      </rPr>
      <t xml:space="preserve"> </t>
    </r>
    <phoneticPr fontId="43" type="noConversion"/>
  </si>
  <si>
    <r>
      <t>1.</t>
    </r>
    <r>
      <rPr>
        <sz val="10"/>
        <rFont val="宋体"/>
        <family val="3"/>
        <charset val="134"/>
      </rPr>
      <t>取得辞退福利相关制度、决议、计划、协议，确定该福利是否满足确认为负债的标准，确定负债的计算是否合理</t>
    </r>
    <phoneticPr fontId="6" type="noConversion"/>
  </si>
  <si>
    <r>
      <t>2.</t>
    </r>
    <r>
      <rPr>
        <sz val="10"/>
        <rFont val="宋体"/>
        <family val="3"/>
        <charset val="134"/>
      </rPr>
      <t>对于职工没有选择权的辞退计划，检查按辞退职工数量、辞退补偿标准计提辞退福利负债金额是否正确</t>
    </r>
    <phoneticPr fontId="6" type="noConversion"/>
  </si>
  <si>
    <r>
      <t>3.</t>
    </r>
    <r>
      <rPr>
        <sz val="10"/>
        <rFont val="宋体"/>
        <family val="3"/>
        <charset val="134"/>
      </rPr>
      <t>对于自愿接受裁减的建议，检查按接受裁减建议的预计职工数量、辞退补偿标准（该标准确定）等计提辞退福利负债金额是否正确</t>
    </r>
    <phoneticPr fontId="6" type="noConversion"/>
  </si>
  <si>
    <r>
      <t>4.</t>
    </r>
    <r>
      <rPr>
        <sz val="10"/>
        <rFont val="宋体"/>
        <family val="3"/>
        <charset val="134"/>
      </rPr>
      <t>检查实质性辞退工作在一年内完成</t>
    </r>
    <r>
      <rPr>
        <sz val="10"/>
        <rFont val="Arial Narrow"/>
        <family val="2"/>
      </rPr>
      <t>,</t>
    </r>
    <r>
      <rPr>
        <sz val="10"/>
        <rFont val="宋体"/>
        <family val="3"/>
        <charset val="134"/>
      </rPr>
      <t>但付款时间超过一年的辞退福利，是否按折现后的金额计量，折现率的选择是否合理</t>
    </r>
    <phoneticPr fontId="6" type="noConversion"/>
  </si>
  <si>
    <r>
      <t>5.</t>
    </r>
    <r>
      <rPr>
        <sz val="10"/>
        <rFont val="宋体"/>
        <family val="3"/>
        <charset val="134"/>
      </rPr>
      <t>识别辞退福利中是否包含未予辞退的员工；检查其工资薪酬是否已经恰当计入相关费用。</t>
    </r>
    <phoneticPr fontId="6" type="noConversion"/>
  </si>
  <si>
    <r>
      <t>6.</t>
    </r>
    <r>
      <rPr>
        <sz val="10"/>
        <rFont val="宋体"/>
        <family val="3"/>
        <charset val="134"/>
      </rPr>
      <t>检查辞退福利会计处理是否正确</t>
    </r>
    <phoneticPr fontId="6" type="noConversion"/>
  </si>
  <si>
    <t>凭证编号</t>
  </si>
  <si>
    <t>凭证编号</t>
    <phoneticPr fontId="6" type="noConversion"/>
  </si>
  <si>
    <t>对方明细科目</t>
    <phoneticPr fontId="6" type="noConversion"/>
  </si>
  <si>
    <t>附件</t>
    <phoneticPr fontId="6" type="noConversion"/>
  </si>
  <si>
    <t>附件</t>
    <phoneticPr fontId="43" type="noConversion"/>
  </si>
  <si>
    <t>S12</t>
    <phoneticPr fontId="6" type="noConversion"/>
  </si>
  <si>
    <t>S12A</t>
    <phoneticPr fontId="6" type="noConversion"/>
  </si>
  <si>
    <t>致同会计师事务所</t>
    <phoneticPr fontId="6" type="noConversion"/>
  </si>
  <si>
    <t>应付职工薪酬-辞退福利检查表</t>
    <phoneticPr fontId="26" type="noConversion"/>
  </si>
  <si>
    <t>应付职工薪酬检查表</t>
    <phoneticPr fontId="26" type="noConversion"/>
  </si>
  <si>
    <r>
      <t>2.</t>
    </r>
    <r>
      <rPr>
        <sz val="10"/>
        <rFont val="宋体"/>
        <family val="3"/>
        <charset val="134"/>
      </rPr>
      <t>所有应记录的应付职工薪酬均已记录，所有应当包括在财务报表中的相关披露均已包括</t>
    </r>
    <phoneticPr fontId="6" type="noConversion"/>
  </si>
  <si>
    <r>
      <t>3.</t>
    </r>
    <r>
      <rPr>
        <sz val="10"/>
        <rFont val="宋体"/>
        <family val="3"/>
        <charset val="134"/>
      </rPr>
      <t>记录的应付职工薪酬由被审计单位拥有或控制</t>
    </r>
    <phoneticPr fontId="6" type="noConversion"/>
  </si>
  <si>
    <r>
      <t>1.</t>
    </r>
    <r>
      <rPr>
        <sz val="10"/>
        <rFont val="宋体"/>
        <family val="3"/>
        <charset val="134"/>
      </rPr>
      <t>资产负债表中记录的应付职工薪酬是存在的，且已经记录在恰当的账户中</t>
    </r>
    <phoneticPr fontId="6" type="noConversion"/>
  </si>
  <si>
    <t>日期</t>
  </si>
  <si>
    <t>业务内容</t>
  </si>
  <si>
    <t>对方科目</t>
  </si>
  <si>
    <t>明细科目</t>
  </si>
  <si>
    <t>借方金额</t>
  </si>
  <si>
    <t>项目</t>
    <phoneticPr fontId="6" type="noConversion"/>
  </si>
  <si>
    <t>记账凭证</t>
    <phoneticPr fontId="6" type="noConversion"/>
  </si>
  <si>
    <t>付款审批单</t>
    <phoneticPr fontId="6" type="noConversion"/>
  </si>
  <si>
    <t>日期/编号</t>
    <phoneticPr fontId="6" type="noConversion"/>
  </si>
  <si>
    <t>银行回单</t>
    <phoneticPr fontId="6" type="noConversion"/>
  </si>
  <si>
    <t>日期</t>
    <phoneticPr fontId="6" type="noConversion"/>
  </si>
  <si>
    <t>金额</t>
    <phoneticPr fontId="6" type="noConversion"/>
  </si>
  <si>
    <t>摘要/说明</t>
    <phoneticPr fontId="6" type="noConversion"/>
  </si>
  <si>
    <t>索引号</t>
    <phoneticPr fontId="6" type="noConversion"/>
  </si>
  <si>
    <t>是否异常</t>
    <phoneticPr fontId="6" type="noConversion"/>
  </si>
  <si>
    <r>
      <t>2.</t>
    </r>
    <r>
      <rPr>
        <sz val="10"/>
        <rFont val="宋体"/>
        <family val="3"/>
        <charset val="134"/>
      </rPr>
      <t>检查资产负债表日至财务报表批准报出日之间职工薪酬发放情况；</t>
    </r>
    <phoneticPr fontId="43" type="noConversion"/>
  </si>
  <si>
    <r>
      <t>3.</t>
    </r>
    <r>
      <rPr>
        <sz val="10"/>
        <rFont val="宋体"/>
        <family val="3"/>
        <charset val="134"/>
      </rPr>
      <t>确定是否有确凿证据表明需要调整资产负债表日原确认的应付职工薪酬事项。</t>
    </r>
    <phoneticPr fontId="43" type="noConversion"/>
  </si>
  <si>
    <t>整合到检查表中</t>
    <phoneticPr fontId="43" type="noConversion"/>
  </si>
  <si>
    <t>1.被审计单位职工薪酬计提分配政策</t>
    <phoneticPr fontId="44" type="noConversion"/>
  </si>
  <si>
    <r>
      <rPr>
        <sz val="10"/>
        <rFont val="宋体"/>
        <family val="3"/>
        <charset val="134"/>
      </rPr>
      <t>（</t>
    </r>
    <r>
      <rPr>
        <sz val="10"/>
        <rFont val="Arial Narrow"/>
        <family val="2"/>
      </rPr>
      <t>1</t>
    </r>
    <r>
      <rPr>
        <sz val="10"/>
        <rFont val="宋体"/>
        <family val="3"/>
        <charset val="134"/>
      </rPr>
      <t>）工资总额的组成部分：</t>
    </r>
    <phoneticPr fontId="44" type="noConversion"/>
  </si>
  <si>
    <r>
      <rPr>
        <sz val="10"/>
        <rFont val="宋体"/>
        <family val="3"/>
        <charset val="134"/>
      </rPr>
      <t>（</t>
    </r>
    <r>
      <rPr>
        <sz val="10"/>
        <rFont val="Arial Narrow"/>
        <family val="2"/>
      </rPr>
      <t>2</t>
    </r>
    <r>
      <rPr>
        <sz val="10"/>
        <rFont val="宋体"/>
        <family val="3"/>
        <charset val="134"/>
      </rPr>
      <t>）公司是否执行工效挂钩：</t>
    </r>
    <phoneticPr fontId="44" type="noConversion"/>
  </si>
  <si>
    <r>
      <rPr>
        <sz val="10"/>
        <rFont val="宋体"/>
        <family val="3"/>
        <charset val="134"/>
      </rPr>
      <t>（</t>
    </r>
    <r>
      <rPr>
        <sz val="10"/>
        <rFont val="Arial Narrow"/>
        <family val="2"/>
      </rPr>
      <t>3</t>
    </r>
    <r>
      <rPr>
        <sz val="10"/>
        <rFont val="宋体"/>
        <family val="3"/>
        <charset val="134"/>
      </rPr>
      <t>）福利政策：</t>
    </r>
    <phoneticPr fontId="44" type="noConversion"/>
  </si>
  <si>
    <t>2.应付职工薪酬成本、费用分配情况</t>
    <phoneticPr fontId="44" type="noConversion"/>
  </si>
  <si>
    <t>提示：</t>
    <phoneticPr fontId="44" type="noConversion"/>
  </si>
  <si>
    <r>
      <t>2.</t>
    </r>
    <r>
      <rPr>
        <sz val="10"/>
        <color rgb="FF0000FF"/>
        <rFont val="宋体"/>
        <family val="3"/>
        <charset val="134"/>
      </rPr>
      <t>了解发放标准（高管、销售人员、技术人员、业务人员、生产人员、行政人员），发薪的周期（上发还是下发）、年度及季度奖金计提的原则。</t>
    </r>
    <phoneticPr fontId="44" type="noConversion"/>
  </si>
  <si>
    <r>
      <t>3.</t>
    </r>
    <r>
      <rPr>
        <sz val="10"/>
        <color rgb="FF0000FF"/>
        <rFont val="宋体"/>
        <family val="3"/>
        <charset val="134"/>
      </rPr>
      <t>关注职工薪酬的发放方式和发放频率</t>
    </r>
    <phoneticPr fontId="44" type="noConversion"/>
  </si>
  <si>
    <r>
      <t>1.</t>
    </r>
    <r>
      <rPr>
        <sz val="10"/>
        <color rgb="FF0000FF"/>
        <rFont val="宋体"/>
        <family val="3"/>
        <charset val="134"/>
      </rPr>
      <t>了解被审计单位工资核算、计提及支付政策及流程，关注是否符合实际经营情况和会计准则的要求，并与前期进行对比，分析其是否保持一贯性。</t>
    </r>
    <phoneticPr fontId="44" type="noConversion"/>
  </si>
  <si>
    <r>
      <t>4.</t>
    </r>
    <r>
      <rPr>
        <sz val="10"/>
        <color rgb="FF0000FF"/>
        <rFont val="宋体"/>
        <family val="3"/>
        <charset val="134"/>
      </rPr>
      <t>了解是否存在同一员工同时承担技术服务、研发、销售等多项职责的情况，同时关注此种情况下人工成本分配准确性</t>
    </r>
    <phoneticPr fontId="44" type="noConversion"/>
  </si>
  <si>
    <r>
      <t>5.</t>
    </r>
    <r>
      <rPr>
        <sz val="10"/>
        <color rgb="FF0000FF"/>
        <rFont val="宋体"/>
        <family val="3"/>
        <charset val="134"/>
      </rPr>
      <t>检查分配方法与上年是否一致，除因解除与职工的劳动关系给予的补偿直接计入管理费用外，被审计单位是否根据职工提供服务的受益对象，分别对下列情况进行处理：</t>
    </r>
    <phoneticPr fontId="44" type="noConversion"/>
  </si>
  <si>
    <r>
      <t>(1)</t>
    </r>
    <r>
      <rPr>
        <sz val="10"/>
        <color rgb="FF0000FF"/>
        <rFont val="宋体"/>
        <family val="3"/>
        <charset val="134"/>
      </rPr>
      <t>应由生产产品、提供劳务负担的职工薪酬，计入产品成本或劳务成本；</t>
    </r>
    <phoneticPr fontId="44" type="noConversion"/>
  </si>
  <si>
    <r>
      <t>(2)</t>
    </r>
    <r>
      <rPr>
        <sz val="10"/>
        <color rgb="FF0000FF"/>
        <rFont val="宋体"/>
        <family val="3"/>
        <charset val="134"/>
      </rPr>
      <t>应由在建工程、无形资产负担的职工薪酬，计入建造固定资产或无形资产；</t>
    </r>
    <phoneticPr fontId="44" type="noConversion"/>
  </si>
  <si>
    <r>
      <t>(3)</t>
    </r>
    <r>
      <rPr>
        <sz val="10"/>
        <color rgb="FF0000FF"/>
        <rFont val="宋体"/>
        <family val="3"/>
        <charset val="134"/>
      </rPr>
      <t>其他职工薪酬，计入当期损益。</t>
    </r>
    <phoneticPr fontId="44" type="noConversion"/>
  </si>
  <si>
    <r>
      <rPr>
        <sz val="12"/>
        <color theme="1"/>
        <rFont val="宋体"/>
        <family val="3"/>
        <charset val="134"/>
      </rPr>
      <t>整合到分配情况检查表</t>
    </r>
    <r>
      <rPr>
        <sz val="12"/>
        <color theme="1"/>
        <rFont val="Arial Narrow"/>
        <family val="2"/>
      </rPr>
      <t>J1-7</t>
    </r>
    <r>
      <rPr>
        <sz val="12"/>
        <color theme="1"/>
        <rFont val="宋体"/>
        <family val="3"/>
        <charset val="134"/>
      </rPr>
      <t>、计提情况检查表</t>
    </r>
    <r>
      <rPr>
        <sz val="12"/>
        <color theme="1"/>
        <rFont val="Arial Narrow"/>
        <family val="2"/>
      </rPr>
      <t>J1-6</t>
    </r>
    <phoneticPr fontId="43" type="noConversion"/>
  </si>
  <si>
    <t>应付职工薪酬中的由被审计单位生成的信息例如：员工名单、员工信息、员工工时记录等</t>
    <phoneticPr fontId="44" type="noConversion"/>
  </si>
  <si>
    <t>移至股份支付底稿</t>
    <phoneticPr fontId="43" type="noConversion"/>
  </si>
  <si>
    <t>移至股份支付底稿</t>
    <phoneticPr fontId="43" type="noConversion"/>
  </si>
  <si>
    <t>如果存在股份支付，检查股份支付的分类、会计处理、公允价值计量是否恰当，检查股份支付减少、调整、变更、取消等会计处理是否正确。</t>
    <phoneticPr fontId="44" type="noConversion"/>
  </si>
  <si>
    <t>取得个人所得税缴税凭证，结合本期工资发放额，判断个人所得税计缴是否在合理的范围，对于股份支付、发放现金股利或自然人股东（高管）留存收益转增股本等情形，测算并确定个人所得税计提是否充分。</t>
  </si>
  <si>
    <t>取得个人所得税缴税凭证，结合本期工资发放额，判断个人所得税计缴是否在合理的范围，对于股份支付、发放现金股利或自然人股东（高管）留存收益转增股本等情形，测算并确定个人所得税计提是否充分。</t>
    <phoneticPr fontId="44" type="noConversion"/>
  </si>
  <si>
    <r>
      <rPr>
        <b/>
        <sz val="10"/>
        <color theme="1"/>
        <rFont val="宋体"/>
        <family val="3"/>
        <charset val="134"/>
      </rPr>
      <t>√</t>
    </r>
    <phoneticPr fontId="44" type="noConversion"/>
  </si>
  <si>
    <t>致同会计师事务所</t>
    <phoneticPr fontId="43" type="noConversion"/>
  </si>
  <si>
    <t>应付职工薪酬同行业对比分析表</t>
    <phoneticPr fontId="6" type="noConversion"/>
  </si>
  <si>
    <t>应付职工薪酬实质性分析表</t>
    <phoneticPr fontId="6" type="noConversion"/>
  </si>
  <si>
    <t>应付职工薪酬同行业对比分析表</t>
    <phoneticPr fontId="6" type="noConversion"/>
  </si>
  <si>
    <t>应付职工薪酬成本、费用分配情况检查表</t>
    <phoneticPr fontId="26" type="noConversion"/>
  </si>
  <si>
    <t>应付职工薪酬成本、费用分配情况检查表</t>
    <phoneticPr fontId="6" type="noConversion"/>
  </si>
  <si>
    <t>J1-4</t>
  </si>
  <si>
    <t>J1-5</t>
  </si>
  <si>
    <t>J1-6</t>
  </si>
  <si>
    <t>J1-7</t>
  </si>
  <si>
    <t>J1-8</t>
  </si>
  <si>
    <t>J1-9</t>
  </si>
  <si>
    <t>J1-10</t>
  </si>
  <si>
    <t>J1-1
/J1-2
/J1-7</t>
    <phoneticPr fontId="44" type="noConversion"/>
  </si>
  <si>
    <t>J1-4</t>
    <phoneticPr fontId="44" type="noConversion"/>
  </si>
  <si>
    <t>J1-5</t>
    <phoneticPr fontId="44" type="noConversion"/>
  </si>
  <si>
    <t>J1-6</t>
    <phoneticPr fontId="44" type="noConversion"/>
  </si>
  <si>
    <t>J1-7</t>
    <phoneticPr fontId="44" type="noConversion"/>
  </si>
  <si>
    <t>J1-8</t>
    <phoneticPr fontId="44" type="noConversion"/>
  </si>
  <si>
    <t>J1-9</t>
    <phoneticPr fontId="44" type="noConversion"/>
  </si>
  <si>
    <t>J1-10</t>
    <phoneticPr fontId="44" type="noConversion"/>
  </si>
  <si>
    <t>提示1：</t>
    <phoneticPr fontId="43" type="noConversion"/>
  </si>
  <si>
    <t>提示2：对于本期计提和支付的重大奖金、佣金、利润分享福利及其他易于导致错报的职工薪酬项目应当：</t>
    <phoneticPr fontId="43" type="noConversion"/>
  </si>
  <si>
    <r>
      <rPr>
        <sz val="10"/>
        <color rgb="FF0000FF"/>
        <rFont val="宋体"/>
        <family val="3"/>
        <charset val="134"/>
      </rPr>
      <t>（</t>
    </r>
    <r>
      <rPr>
        <sz val="10"/>
        <color rgb="FF0000FF"/>
        <rFont val="Arial Narrow"/>
        <family val="2"/>
      </rPr>
      <t>1</t>
    </r>
    <r>
      <rPr>
        <sz val="10"/>
        <color rgb="FF0000FF"/>
        <rFont val="宋体"/>
        <family val="3"/>
        <charset val="134"/>
      </rPr>
      <t>）了解相关计提政策、审批流程的设计与执行有效性；（</t>
    </r>
    <r>
      <rPr>
        <sz val="10"/>
        <color rgb="FF0000FF"/>
        <rFont val="Arial Narrow"/>
        <family val="2"/>
      </rPr>
      <t>2</t>
    </r>
    <r>
      <rPr>
        <sz val="10"/>
        <color rgb="FF0000FF"/>
        <rFont val="宋体"/>
        <family val="3"/>
        <charset val="134"/>
      </rPr>
      <t>）获取相关项目的支持性文件；（</t>
    </r>
    <r>
      <rPr>
        <sz val="10"/>
        <color rgb="FF0000FF"/>
        <rFont val="Arial Narrow"/>
        <family val="2"/>
      </rPr>
      <t>3</t>
    </r>
    <r>
      <rPr>
        <sz val="10"/>
        <color rgb="FF0000FF"/>
        <rFont val="宋体"/>
        <family val="3"/>
        <charset val="134"/>
      </rPr>
      <t>）验证计提依据是否充分、合理，是否达到计提和付款条件；（</t>
    </r>
    <r>
      <rPr>
        <sz val="10"/>
        <color rgb="FF0000FF"/>
        <rFont val="Arial Narrow"/>
        <family val="2"/>
      </rPr>
      <t>4</t>
    </r>
    <r>
      <rPr>
        <sz val="10"/>
        <color rgb="FF0000FF"/>
        <rFont val="宋体"/>
        <family val="3"/>
        <charset val="134"/>
      </rPr>
      <t>）核对计算的准确性和完整性；（</t>
    </r>
    <r>
      <rPr>
        <sz val="10"/>
        <color rgb="FF0000FF"/>
        <rFont val="Arial Narrow"/>
        <family val="2"/>
      </rPr>
      <t>5</t>
    </r>
    <r>
      <rPr>
        <sz val="10"/>
        <color rgb="FF0000FF"/>
        <rFont val="宋体"/>
        <family val="3"/>
        <charset val="134"/>
      </rPr>
      <t>）对异常波动、异常支付对象等进行分析；（</t>
    </r>
    <r>
      <rPr>
        <sz val="10"/>
        <color rgb="FF0000FF"/>
        <rFont val="Arial Narrow"/>
        <family val="2"/>
      </rPr>
      <t>6</t>
    </r>
    <r>
      <rPr>
        <sz val="10"/>
        <color rgb="FF0000FF"/>
        <rFont val="宋体"/>
        <family val="3"/>
        <charset val="134"/>
      </rPr>
      <t>）对于尚未支付的项目，确定该项负债是否被正确计算；
（</t>
    </r>
    <r>
      <rPr>
        <sz val="10"/>
        <color rgb="FF0000FF"/>
        <rFont val="Arial Narrow"/>
        <family val="2"/>
      </rPr>
      <t>7</t>
    </r>
    <r>
      <rPr>
        <sz val="10"/>
        <color rgb="FF0000FF"/>
        <rFont val="宋体"/>
        <family val="3"/>
        <charset val="134"/>
      </rPr>
      <t>）执行截止测试，追踪至后续付款。</t>
    </r>
    <phoneticPr fontId="43" type="noConversion"/>
  </si>
  <si>
    <t>应付职工薪酬检查表</t>
    <phoneticPr fontId="6" type="noConversion"/>
  </si>
  <si>
    <r>
      <rPr>
        <sz val="10"/>
        <color indexed="8"/>
        <rFont val="宋体"/>
        <family val="3"/>
        <charset val="134"/>
      </rPr>
      <t>无需打印</t>
    </r>
    <phoneticPr fontId="6" type="noConversion"/>
  </si>
  <si>
    <t>非货币性福利检查表</t>
    <phoneticPr fontId="6" type="noConversion"/>
  </si>
  <si>
    <r>
      <rPr>
        <sz val="10"/>
        <color indexed="8"/>
        <rFont val="宋体"/>
        <family val="3"/>
        <charset val="134"/>
      </rPr>
      <t>无需打印</t>
    </r>
    <phoneticPr fontId="6" type="noConversion"/>
  </si>
  <si>
    <t>辞退福利检查表</t>
    <phoneticPr fontId="6" type="noConversion"/>
  </si>
  <si>
    <t>1.关注各月之间波动有无异常，如果异常降低，考虑是否存在其他方（如关联方）代付工资的情况。</t>
    <phoneticPr fontId="6" type="noConversion"/>
  </si>
  <si>
    <t>确定上次支付日期与资产负债报表日期间的天数。</t>
    <phoneticPr fontId="43" type="noConversion"/>
  </si>
  <si>
    <t>2.关注实际薪酬发放日与资产负债表日的间隔时间，考虑本期留存金额是否合理。</t>
    <phoneticPr fontId="6" type="noConversion"/>
  </si>
  <si>
    <t>删除、月度分析表J1-4作为提示</t>
    <phoneticPr fontId="43" type="noConversion"/>
  </si>
  <si>
    <t>分析计入成本、费用的工资薪金，关注构成是否异常变化、各月之间波动有无异常，如果异常降低，关注是否存在其他方（如关联方）代付工资的情况；</t>
    <phoneticPr fontId="43" type="noConversion"/>
  </si>
  <si>
    <t>删除、月度分析表J1-4作为提示</t>
    <phoneticPr fontId="43" type="noConversion"/>
  </si>
  <si>
    <t>整合，各月异常波动作为月度分析表J1-4作为提示</t>
    <phoneticPr fontId="43" type="noConversion"/>
  </si>
  <si>
    <t>删除，作为明细表J1-2 提示</t>
    <phoneticPr fontId="43" type="noConversion"/>
  </si>
  <si>
    <t>确定企业确认带薪休假的方法是否正确。</t>
    <phoneticPr fontId="43" type="noConversion"/>
  </si>
  <si>
    <t>确定所有员工均包含在列表中。</t>
    <phoneticPr fontId="43" type="noConversion"/>
  </si>
  <si>
    <t>将小时工资费用率与相关的记录核对。</t>
    <phoneticPr fontId="43" type="noConversion"/>
  </si>
  <si>
    <r>
      <t>1.</t>
    </r>
    <r>
      <rPr>
        <sz val="10"/>
        <color rgb="FF0000FF"/>
        <rFont val="宋体"/>
        <family val="3"/>
        <charset val="134"/>
      </rPr>
      <t>确定所有员工均均已包含；</t>
    </r>
    <r>
      <rPr>
        <sz val="10"/>
        <color rgb="FF0000FF"/>
        <rFont val="Arial Narrow"/>
        <family val="2"/>
      </rPr>
      <t xml:space="preserve">   2.</t>
    </r>
    <r>
      <rPr>
        <sz val="10"/>
        <color rgb="FF0000FF"/>
        <rFont val="宋体"/>
        <family val="3"/>
        <charset val="134"/>
      </rPr>
      <t>确定企业确认带薪休假的方法是否正确；</t>
    </r>
    <r>
      <rPr>
        <sz val="10"/>
        <color rgb="FF0000FF"/>
        <rFont val="Arial Narrow"/>
        <family val="2"/>
      </rPr>
      <t xml:space="preserve">    3.</t>
    </r>
    <r>
      <rPr>
        <sz val="10"/>
        <color rgb="FF0000FF"/>
        <rFont val="宋体"/>
        <family val="3"/>
        <charset val="134"/>
      </rPr>
      <t>关注小时工资费用率是否合理，并与相关的记录核对</t>
    </r>
    <phoneticPr fontId="43" type="noConversion"/>
  </si>
  <si>
    <t>删除，作为明细表J1-2 提示关注带薪休假</t>
    <phoneticPr fontId="43" type="noConversion"/>
  </si>
  <si>
    <t>确定是否授权日与行权日之间存在重大时间间隔，如果有，向适当的人员询问原因。</t>
    <phoneticPr fontId="43" type="noConversion"/>
  </si>
  <si>
    <t>确定包括在分析中的所有个人都是雇员或其他提供类似服务的人员。</t>
    <phoneticPr fontId="43" type="noConversion"/>
  </si>
  <si>
    <t>确定是否存在：董事会会议记录或其他文件中提及的股份支付薪酬奖励，尚未包含在上面的分析之内。</t>
    <phoneticPr fontId="43" type="noConversion"/>
  </si>
  <si>
    <t>考虑下列一个或多个情况能表现为利用股票期权日期倒签等获取不正当利益的股份期权。并考虑这些情况是否会导致财务报表出现重大错报。如果是，重新考虑之前的风险评估是否恰当。</t>
    <phoneticPr fontId="43" type="noConversion"/>
  </si>
  <si>
    <t>企业缺乏现金用于奖励员工</t>
    <phoneticPr fontId="43" type="noConversion"/>
  </si>
  <si>
    <t>过去的股票价格波动性很大</t>
    <phoneticPr fontId="43" type="noConversion"/>
  </si>
  <si>
    <t>期权授予与预定日期不一致，而无规则地出现在期权授予的整个时期之间</t>
    <phoneticPr fontId="43" type="noConversion"/>
  </si>
  <si>
    <t>是否为达到不正当目，授予日刻意选在一个特定的日期。</t>
    <phoneticPr fontId="43" type="noConversion"/>
  </si>
  <si>
    <t>删除，作为股份支付情况表J1-11提示</t>
    <phoneticPr fontId="43" type="noConversion"/>
  </si>
  <si>
    <t>股份支付单独体现9条程序</t>
    <phoneticPr fontId="43" type="noConversion"/>
  </si>
  <si>
    <t>对于设定提存计划的缴存款：</t>
    <phoneticPr fontId="43" type="noConversion"/>
  </si>
  <si>
    <r>
      <rPr>
        <b/>
        <sz val="10"/>
        <color rgb="FF0000FF"/>
        <rFont val="宋体"/>
        <family val="3"/>
        <charset val="134"/>
      </rPr>
      <t>提示</t>
    </r>
    <r>
      <rPr>
        <b/>
        <sz val="10"/>
        <color rgb="FF0000FF"/>
        <rFont val="Arial Narrow"/>
        <family val="2"/>
      </rPr>
      <t>3</t>
    </r>
    <r>
      <rPr>
        <b/>
        <sz val="10"/>
        <color rgb="FF0000FF"/>
        <rFont val="宋体"/>
        <family val="3"/>
        <charset val="134"/>
      </rPr>
      <t>：关注带薪休假</t>
    </r>
    <phoneticPr fontId="43" type="noConversion"/>
  </si>
  <si>
    <t>提示3：对于设定提存计划的缴存款关注</t>
    <phoneticPr fontId="43" type="noConversion"/>
  </si>
  <si>
    <t>确定代扣员工缴存款的总额。</t>
    <phoneticPr fontId="43" type="noConversion"/>
  </si>
  <si>
    <t>结合计提比例检查，确定代扣员工缴存款的总额是否合理，是否按时缴纳</t>
    <phoneticPr fontId="43" type="noConversion"/>
  </si>
  <si>
    <t xml:space="preserve">删除，作为设定提存计划提示明细表J1-2 </t>
    <phoneticPr fontId="43" type="noConversion"/>
  </si>
  <si>
    <t>已与舞弊程序整合</t>
    <phoneticPr fontId="43" type="noConversion"/>
  </si>
  <si>
    <t>职工人数分析，人均工资与同地区、同行业对比分析：
（1）检查上交社会保险的人数与公司实际发放工资的人数是否一致，分析各部门人员构成（级别）及其变化是否合理、人数是否与企业规模一致；
（2）分析人均工资（可分部门、地区或产品线）是否与同地区同行业的水平一致。</t>
    <phoneticPr fontId="44"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</si>
  <si>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6" type="noConversion"/>
  </si>
  <si>
    <t>是否跨期</t>
    <phoneticPr fontId="6" type="noConversion"/>
  </si>
  <si>
    <t>工资</t>
    <phoneticPr fontId="6" type="noConversion"/>
  </si>
  <si>
    <t>应付职工薪酬实质性程序</t>
    <phoneticPr fontId="6" type="noConversion"/>
  </si>
  <si>
    <t>致同会计师事务所</t>
    <phoneticPr fontId="43" type="noConversion"/>
  </si>
  <si>
    <t>应付职工薪酬明细表</t>
    <phoneticPr fontId="6" type="noConversion"/>
  </si>
  <si>
    <t>单位名称</t>
    <phoneticPr fontId="43" type="noConversion"/>
  </si>
  <si>
    <t>生产人数</t>
    <phoneticPr fontId="43" type="noConversion"/>
  </si>
  <si>
    <t>主营业务成本中人工成本</t>
    <phoneticPr fontId="43" type="noConversion"/>
  </si>
  <si>
    <t>收入</t>
    <phoneticPr fontId="43" type="noConversion"/>
  </si>
  <si>
    <t>指标</t>
    <phoneticPr fontId="43" type="noConversion"/>
  </si>
  <si>
    <t>人工成本</t>
    <phoneticPr fontId="43" type="noConversion"/>
  </si>
  <si>
    <t>成本</t>
    <phoneticPr fontId="43" type="noConversion"/>
  </si>
  <si>
    <t>收入</t>
    <phoneticPr fontId="43" type="noConversion"/>
  </si>
  <si>
    <t>总成本</t>
    <phoneticPr fontId="43" type="noConversion"/>
  </si>
  <si>
    <t>人工成本（生产人员）</t>
    <phoneticPr fontId="43" type="noConversion"/>
  </si>
  <si>
    <t>主营业务成本</t>
    <phoneticPr fontId="43" type="noConversion"/>
  </si>
  <si>
    <t>总成本中人工成本占比</t>
    <phoneticPr fontId="43" type="noConversion"/>
  </si>
  <si>
    <t>成本</t>
    <phoneticPr fontId="43" type="noConversion"/>
  </si>
  <si>
    <t>人均产值（收入/人数）</t>
    <phoneticPr fontId="43" type="noConversion"/>
  </si>
  <si>
    <t>主营业务成本总人工成本占比</t>
    <phoneticPr fontId="43" type="noConversion"/>
  </si>
  <si>
    <r>
      <rPr>
        <b/>
        <sz val="10"/>
        <rFont val="宋体"/>
        <family val="3"/>
        <charset val="134"/>
      </rPr>
      <t>差</t>
    </r>
    <r>
      <rPr>
        <b/>
        <sz val="10"/>
        <rFont val="Arial Narrow"/>
        <family val="2"/>
      </rPr>
      <t xml:space="preserve">   </t>
    </r>
    <r>
      <rPr>
        <b/>
        <sz val="10"/>
        <rFont val="宋体"/>
        <family val="3"/>
        <charset val="134"/>
      </rPr>
      <t>异</t>
    </r>
    <phoneticPr fontId="6" type="noConversion"/>
  </si>
  <si>
    <r>
      <rPr>
        <b/>
        <sz val="10"/>
        <rFont val="宋体"/>
        <family val="3"/>
        <charset val="134"/>
      </rPr>
      <t>差异</t>
    </r>
    <phoneticPr fontId="43" type="noConversion"/>
  </si>
  <si>
    <r>
      <rPr>
        <b/>
        <sz val="10"/>
        <rFont val="宋体"/>
        <family val="3"/>
        <charset val="134"/>
      </rPr>
      <t>单位名称</t>
    </r>
    <phoneticPr fontId="43" type="noConversion"/>
  </si>
  <si>
    <r>
      <rPr>
        <b/>
        <sz val="10"/>
        <rFont val="宋体"/>
        <family val="3"/>
        <charset val="134"/>
      </rPr>
      <t>销售人数</t>
    </r>
    <phoneticPr fontId="43" type="noConversion"/>
  </si>
  <si>
    <r>
      <rPr>
        <b/>
        <sz val="10"/>
        <rFont val="宋体"/>
        <family val="3"/>
        <charset val="134"/>
      </rPr>
      <t>人工成本（销售人员）</t>
    </r>
    <phoneticPr fontId="43" type="noConversion"/>
  </si>
  <si>
    <r>
      <rPr>
        <b/>
        <sz val="10"/>
        <rFont val="宋体"/>
        <family val="3"/>
        <charset val="134"/>
      </rPr>
      <t>销售人员平均薪酬</t>
    </r>
    <phoneticPr fontId="43" type="noConversion"/>
  </si>
  <si>
    <r>
      <rPr>
        <b/>
        <sz val="10"/>
        <rFont val="宋体"/>
        <family val="3"/>
        <charset val="134"/>
      </rPr>
      <t>管理人数</t>
    </r>
    <phoneticPr fontId="43" type="noConversion"/>
  </si>
  <si>
    <r>
      <rPr>
        <b/>
        <sz val="10"/>
        <rFont val="宋体"/>
        <family val="3"/>
        <charset val="134"/>
      </rPr>
      <t>人工成本（管理人员）</t>
    </r>
    <phoneticPr fontId="43" type="noConversion"/>
  </si>
  <si>
    <r>
      <rPr>
        <b/>
        <sz val="10"/>
        <rFont val="宋体"/>
        <family val="3"/>
        <charset val="134"/>
      </rPr>
      <t>研发人数</t>
    </r>
    <phoneticPr fontId="43" type="noConversion"/>
  </si>
  <si>
    <r>
      <rPr>
        <b/>
        <sz val="10"/>
        <rFont val="宋体"/>
        <family val="3"/>
        <charset val="134"/>
      </rPr>
      <t>人工成本（研发人员）</t>
    </r>
    <phoneticPr fontId="43" type="noConversion"/>
  </si>
  <si>
    <r>
      <rPr>
        <b/>
        <sz val="10"/>
        <rFont val="宋体"/>
        <family val="3"/>
        <charset val="134"/>
      </rPr>
      <t>人工成本</t>
    </r>
    <phoneticPr fontId="43" type="noConversion"/>
  </si>
  <si>
    <r>
      <rPr>
        <b/>
        <sz val="10"/>
        <rFont val="宋体"/>
        <family val="3"/>
        <charset val="134"/>
      </rPr>
      <t>人工成本</t>
    </r>
    <phoneticPr fontId="43" type="noConversion"/>
  </si>
  <si>
    <r>
      <t>2.</t>
    </r>
    <r>
      <rPr>
        <sz val="10"/>
        <rFont val="宋体"/>
        <family val="3"/>
        <charset val="134"/>
      </rPr>
      <t>分析人员构成及其变化是否合理、人数是否与企业规模一致</t>
    </r>
    <phoneticPr fontId="43" type="noConversion"/>
  </si>
  <si>
    <r>
      <t>1.</t>
    </r>
    <r>
      <rPr>
        <sz val="10"/>
        <rFont val="宋体"/>
        <family val="3"/>
        <charset val="134"/>
      </rPr>
      <t>分析企业报告期人均工资（分部门、地区或产品线）是否与同地区同行业的水平一致，并与招股书等相关数据核对</t>
    </r>
    <phoneticPr fontId="43" type="noConversion"/>
  </si>
  <si>
    <t>应付职工薪酬审定表</t>
    <phoneticPr fontId="6" type="noConversion"/>
  </si>
  <si>
    <t>应付职工薪酬附注披露表（上市公司）</t>
    <phoneticPr fontId="6" type="noConversion"/>
  </si>
  <si>
    <t>应付职工薪酬附注披露表（国有企业）</t>
    <phoneticPr fontId="6" type="noConversion"/>
  </si>
  <si>
    <t>应付职工薪酬实质性程序表</t>
    <phoneticPr fontId="6" type="noConversion"/>
  </si>
  <si>
    <t>应付职工薪酬明细表</t>
    <phoneticPr fontId="6" type="noConversion"/>
  </si>
  <si>
    <t>调整分录汇总表</t>
    <phoneticPr fontId="6" type="noConversion"/>
  </si>
  <si>
    <t>应付职工薪酬计提情况检查表</t>
    <phoneticPr fontId="6" type="noConversion"/>
  </si>
  <si>
    <t>页  次：</t>
    <phoneticPr fontId="6" type="noConversion"/>
  </si>
  <si>
    <t>页  次：</t>
    <phoneticPr fontId="43" type="noConversion"/>
  </si>
  <si>
    <t>页  次：</t>
    <phoneticPr fontId="44" type="noConversion"/>
  </si>
  <si>
    <t>页  次：</t>
    <phoneticPr fontId="6" type="noConversion"/>
  </si>
  <si>
    <t>页  次：</t>
    <phoneticPr fontId="43" type="noConversion"/>
  </si>
  <si>
    <t>页  次：</t>
    <phoneticPr fontId="43" type="noConversion"/>
  </si>
  <si>
    <r>
      <rPr>
        <b/>
        <sz val="10"/>
        <color theme="1"/>
        <rFont val="宋体"/>
        <family val="3"/>
        <charset val="134"/>
      </rPr>
      <t>√</t>
    </r>
    <phoneticPr fontId="44" type="noConversion"/>
  </si>
  <si>
    <t>检查应付职工薪酬是否已按企业会计准则或其他适用的规定在财务报表中做出恰当列报和披露。</t>
    <phoneticPr fontId="44" type="noConversion"/>
  </si>
  <si>
    <r>
      <t>1</t>
    </r>
    <r>
      <rPr>
        <b/>
        <sz val="10"/>
        <rFont val="宋体"/>
        <family val="3"/>
        <charset val="134"/>
      </rPr>
      <t>、审计说明</t>
    </r>
    <phoneticPr fontId="6" type="noConversion"/>
  </si>
  <si>
    <t>利用专家的工作</t>
    <phoneticPr fontId="6" type="noConversion"/>
  </si>
  <si>
    <t>评估专家工作</t>
    <phoneticPr fontId="6" type="noConversion"/>
  </si>
  <si>
    <t>同行业平均数据</t>
    <phoneticPr fontId="43" type="noConversion"/>
  </si>
  <si>
    <r>
      <rPr>
        <sz val="10"/>
        <rFont val="宋体"/>
        <family val="3"/>
        <charset val="134"/>
      </rPr>
      <t>（</t>
    </r>
    <r>
      <rPr>
        <sz val="10"/>
        <rFont val="Arial Narrow"/>
        <family val="2"/>
      </rPr>
      <t>4</t>
    </r>
    <r>
      <rPr>
        <sz val="10"/>
        <rFont val="宋体"/>
        <family val="3"/>
        <charset val="134"/>
      </rPr>
      <t>）职工薪酬核算、计提分配及支付政策及流程：</t>
    </r>
    <phoneticPr fontId="44" type="noConversion"/>
  </si>
  <si>
    <t>关注期后支付的职工薪酬摘要是否提及上期、支付依据、支付金额是否超过上期计提金额，是否应该归属于报告期、是否已计提</t>
    <phoneticPr fontId="6" type="noConversion"/>
  </si>
  <si>
    <t>是否经过恰当审批</t>
    <phoneticPr fontId="6" type="noConversion"/>
  </si>
  <si>
    <t>IPO/上市/新三板/重组/舞弊应对</t>
    <phoneticPr fontId="44" type="noConversion"/>
  </si>
  <si>
    <t>IPO/上市/新三板/重组/舞弊应对</t>
    <phoneticPr fontId="44" type="noConversion"/>
  </si>
  <si>
    <t>被审计单位：</t>
    <phoneticPr fontId="6" type="noConversion"/>
  </si>
  <si>
    <t>编制日期：</t>
    <phoneticPr fontId="6" type="noConversion"/>
  </si>
  <si>
    <t>复核人：</t>
    <phoneticPr fontId="6" type="noConversion"/>
  </si>
  <si>
    <t>复核日期：</t>
    <phoneticPr fontId="6" type="noConversion"/>
  </si>
  <si>
    <t>编制人：</t>
    <phoneticPr fontId="6" type="noConversion"/>
  </si>
  <si>
    <r>
      <rPr>
        <b/>
        <sz val="10"/>
        <rFont val="宋体"/>
        <family val="3"/>
        <charset val="134"/>
      </rPr>
      <t>调整事项说明</t>
    </r>
    <phoneticPr fontId="6"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</si>
  <si>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6" type="noConversion"/>
  </si>
  <si>
    <r>
      <rPr>
        <b/>
        <sz val="10"/>
        <rFont val="宋体"/>
        <family val="3"/>
        <charset val="134"/>
      </rPr>
      <t>附注项目</t>
    </r>
    <phoneticPr fontId="6" type="noConversion"/>
  </si>
  <si>
    <r>
      <rPr>
        <b/>
        <sz val="10"/>
        <rFont val="宋体"/>
        <family val="3"/>
        <charset val="134"/>
      </rPr>
      <t>借方调整金额</t>
    </r>
    <phoneticPr fontId="6" type="noConversion"/>
  </si>
  <si>
    <r>
      <t>1.</t>
    </r>
    <r>
      <rPr>
        <b/>
        <sz val="10"/>
        <rFont val="宋体"/>
        <family val="3"/>
        <charset val="134"/>
      </rPr>
      <t>本期贷方金额检查</t>
    </r>
    <phoneticPr fontId="6" type="noConversion"/>
  </si>
  <si>
    <r>
      <t>2.</t>
    </r>
    <r>
      <rPr>
        <b/>
        <sz val="10"/>
        <rFont val="宋体"/>
        <family val="3"/>
        <charset val="134"/>
      </rPr>
      <t>本期借方金额检查</t>
    </r>
    <phoneticPr fontId="6" type="noConversion"/>
  </si>
  <si>
    <r>
      <t>3.</t>
    </r>
    <r>
      <rPr>
        <b/>
        <sz val="10"/>
        <rFont val="宋体"/>
        <family val="3"/>
        <charset val="134"/>
      </rPr>
      <t>期后支付情况检查</t>
    </r>
    <phoneticPr fontId="6" type="noConversion"/>
  </si>
  <si>
    <t>贷方金额</t>
    <phoneticPr fontId="6" type="noConversion"/>
  </si>
  <si>
    <t>职工薪酬计算表</t>
    <phoneticPr fontId="6" type="noConversion"/>
  </si>
  <si>
    <t>月份</t>
    <phoneticPr fontId="6" type="noConversion"/>
  </si>
  <si>
    <t>金额</t>
    <phoneticPr fontId="6" type="noConversion"/>
  </si>
  <si>
    <t>准确性、计价和分摊</t>
    <phoneticPr fontId="44" type="noConversion"/>
  </si>
  <si>
    <t>准确性、计价和分摊</t>
    <phoneticPr fontId="44" type="noConversion"/>
  </si>
  <si>
    <t>根据被审计单位实际情况和风险评估情况裁剪、修改或增加审计程序</t>
    <phoneticPr fontId="6" type="noConversion"/>
  </si>
  <si>
    <t>审计程序</t>
    <phoneticPr fontId="44"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</si>
  <si>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6" type="noConversion"/>
  </si>
  <si>
    <t>关于工作底稿与审计程序索引号对应的说明</t>
    <phoneticPr fontId="6"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</si>
  <si>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</si>
  <si>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6"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</si>
  <si>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6" type="noConversion"/>
  </si>
  <si>
    <t>18</t>
  </si>
  <si>
    <t>对本期应付职工薪酬的增加和减少，检查支持性文件，确定会计处理是否正确。</t>
    <phoneticPr fontId="44" type="noConversion"/>
  </si>
  <si>
    <t>检查应付职工薪酬本期计提金额：
(1)对按照职工提供服务情况和工资标准计算的职工薪酬(如工资)，获取工资计算表，将工资标准与有关规定进行核对，选取样本检查劳动合同、考勤记录等。
(2)对国家规定了计提基础和计提比例的职工薪酬(如失业保险金、工伤保险金等)，检查是否按照规定的计提基础和比例计提。
(3)对被审计单位按照历史经验数据和当期计划预计的职工薪酬(如职工福利费)，获取管理层进行估计的资料，分析其合理性。</t>
    <phoneticPr fontId="44" type="noConversion"/>
  </si>
  <si>
    <t>取得关键管理人员薪酬明细表，分析薪酬结构是否合理、是否存在重大波动，对比与市场平均水平、公司内部其他岗位薪酬是否存在异常，评估是否符合行业惯例和公司薪酬政策，检查披露是否正确。</t>
    <phoneticPr fontId="44" type="noConversion"/>
  </si>
  <si>
    <r>
      <rPr>
        <sz val="10"/>
        <color theme="1"/>
        <rFont val="宋体"/>
        <family val="3"/>
        <charset val="134"/>
      </rPr>
      <t>检查企业是否存在压低员工薪金，阶段性降低人工成本粉饰业绩的情况：	
（</t>
    </r>
    <r>
      <rPr>
        <sz val="10"/>
        <color theme="1"/>
        <rFont val="Arial Narrow"/>
        <family val="2"/>
      </rPr>
      <t>1</t>
    </r>
    <r>
      <rPr>
        <sz val="10"/>
        <color theme="1"/>
        <rFont val="宋体"/>
        <family val="3"/>
        <charset val="134"/>
      </rPr>
      <t>）将企业在册员工名单与实际工时记录（打卡、考勤记录等）比较，核查是否存在有工时记录，但不属于在册员工，未在企业发放工资的情况；是否存在重复或无效的员工信息；
（</t>
    </r>
    <r>
      <rPr>
        <sz val="10"/>
        <color theme="1"/>
        <rFont val="Arial Narrow"/>
        <family val="2"/>
      </rPr>
      <t>2</t>
    </r>
    <r>
      <rPr>
        <sz val="10"/>
        <color theme="1"/>
        <rFont val="宋体"/>
        <family val="3"/>
        <charset val="134"/>
      </rPr>
      <t>）根据企业的薪酬政策，测算每月工资总额及人均工资（分部门、地区或产品线），与企业的实际计提金额对比，分析合理性，并关注报告期是否存在降低的趋势；
（</t>
    </r>
    <r>
      <rPr>
        <sz val="10"/>
        <color theme="1"/>
        <rFont val="Arial Narrow"/>
        <family val="2"/>
      </rPr>
      <t>3</t>
    </r>
    <r>
      <rPr>
        <sz val="10"/>
        <color theme="1"/>
        <rFont val="宋体"/>
        <family val="3"/>
        <charset val="134"/>
      </rPr>
      <t>）访谈企业一般销售人员、研发人员、管理人员、车间人员，了解是否存在暂时压低员工薪金，期后补偿的协议或承诺；</t>
    </r>
    <phoneticPr fontId="44" type="noConversion"/>
  </si>
  <si>
    <r>
      <rPr>
        <b/>
        <sz val="10"/>
        <color theme="1"/>
        <rFont val="宋体"/>
        <family val="3"/>
        <charset val="134"/>
      </rPr>
      <t>√</t>
    </r>
    <phoneticPr fontId="44" type="noConversion"/>
  </si>
  <si>
    <t>合计</t>
    <phoneticPr fontId="6" type="noConversion"/>
  </si>
  <si>
    <r>
      <t>1.</t>
    </r>
    <r>
      <rPr>
        <sz val="10"/>
        <rFont val="宋体"/>
        <family val="3"/>
        <charset val="134"/>
      </rPr>
      <t>本期发生额、期末余额检查比例：</t>
    </r>
    <phoneticPr fontId="6" type="noConversion"/>
  </si>
  <si>
    <t>方向</t>
    <phoneticPr fontId="6" type="noConversion"/>
  </si>
  <si>
    <t>账面金额</t>
    <phoneticPr fontId="6" type="noConversion"/>
  </si>
  <si>
    <t>检查金额</t>
    <phoneticPr fontId="6" type="noConversion"/>
  </si>
  <si>
    <t>检查比例</t>
    <phoneticPr fontId="6" type="noConversion"/>
  </si>
  <si>
    <t>如果检查比例较低应扩大检查样本量或说明原因</t>
    <phoneticPr fontId="6" type="noConversion"/>
  </si>
  <si>
    <t>本期借方</t>
    <phoneticPr fontId="6" type="noConversion"/>
  </si>
  <si>
    <t>2.……</t>
    <phoneticPr fontId="6" type="noConversion"/>
  </si>
  <si>
    <t>本期贷方</t>
    <phoneticPr fontId="6" type="noConversion"/>
  </si>
  <si>
    <t>J3A</t>
    <phoneticPr fontId="44" type="noConversion"/>
  </si>
  <si>
    <r>
      <t>A 1-1</t>
    </r>
    <r>
      <rPr>
        <sz val="10"/>
        <color rgb="FFFF0000"/>
        <rFont val="Arial Narrow"/>
        <family val="2"/>
      </rPr>
      <t>/A1-15 /A1-16</t>
    </r>
    <phoneticPr fontId="44" type="noConversion"/>
  </si>
  <si>
    <t>销售人员</t>
    <phoneticPr fontId="43" type="noConversion"/>
  </si>
  <si>
    <t>研发人员平均薪酬</t>
    <phoneticPr fontId="4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</si>
</sst>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0">
    <numFmt numFmtId="41" formatCode="_ * #,##0_ ;_ * \-#,##0_ ;_ * &quot;-&quot;_ ;_ @_ "/>
    <numFmt numFmtId="44" formatCode="_ &quot;¥&quot;* #,##0.00_ ;_ &quot;¥&quot;* \-#,##0.00_ ;_ &quot;¥&quot;*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0%"/>
    <numFmt numFmtId="195" formatCode="#,##0.00_ "/>
    <numFmt numFmtId="196" formatCode="#,##0_ "/>
    <numFmt numFmtId="197" formatCode="&quot;\&quot;#,##0.00;[Red]&quot;\&quot;&quot;\&quot;&quot;\&quot;&quot;\&quot;&quot;\&quot;&quot;\&quot;\-#,##0.00"/>
    <numFmt numFmtId="198" formatCode="&quot;\&quot;#,##0.00;[Red]&quot;\&quot;\-#,##0.00"/>
    <numFmt numFmtId="199" formatCode="&quot;\&quot;#,##0;[Red]&quot;\&quot;\-#,##0"/>
    <numFmt numFmtId="200" formatCode="0.00_);[Red]\(0.00\)"/>
    <numFmt numFmtId="201" formatCode="_ * #,##0.00_ ;_ * \-#,##0.00_ ;_ * &quot;-&quot;_ ;_ @_ "/>
    <numFmt numFmtId="202" formatCode="#,##0.00_);[Red]\(#,##0.00\)"/>
  </numFmts>
  <fonts count="131">
    <font>
      <sz val="11"/>
      <color theme="1"/>
      <name val="宋体"/>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1"/>
      <color indexed="8"/>
      <name val="宋体"/>
      <family val="3"/>
      <charset val="134"/>
    </font>
    <font>
      <sz val="10"/>
      <color indexed="8"/>
      <name val="Arial Narrow"/>
      <family val="2"/>
    </font>
    <font>
      <b/>
      <sz val="10"/>
      <color indexed="8"/>
      <name val="Arial Narrow"/>
      <family val="2"/>
    </font>
    <font>
      <b/>
      <sz val="10"/>
      <color indexed="8"/>
      <name val="宋体"/>
      <family val="3"/>
      <charset val="134"/>
    </font>
    <font>
      <b/>
      <sz val="12"/>
      <color indexed="8"/>
      <name val="Arial Narrow"/>
      <family val="2"/>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sz val="10"/>
      <name val="Arial Narrow"/>
      <family val="2"/>
    </font>
    <font>
      <sz val="10"/>
      <color indexed="12"/>
      <name val="Arial Narrow"/>
      <family val="2"/>
    </font>
    <font>
      <sz val="9"/>
      <name val="宋体"/>
      <family val="3"/>
      <charset val="134"/>
    </font>
    <font>
      <sz val="10"/>
      <color indexed="12"/>
      <name val="宋体"/>
      <family val="3"/>
      <charset val="134"/>
    </font>
    <font>
      <b/>
      <sz val="10"/>
      <name val="Arial Narrow"/>
      <family val="2"/>
    </font>
    <font>
      <b/>
      <sz val="10"/>
      <name val="宋体"/>
      <family val="3"/>
      <charset val="134"/>
    </font>
    <font>
      <sz val="10"/>
      <name val="宋体"/>
      <family val="3"/>
      <charset val="134"/>
    </font>
    <font>
      <b/>
      <sz val="10"/>
      <color indexed="12"/>
      <name val="Arial Narrow"/>
      <family val="2"/>
    </font>
    <font>
      <b/>
      <sz val="10"/>
      <color indexed="12"/>
      <name val="宋体"/>
      <family val="3"/>
      <charset val="134"/>
    </font>
    <font>
      <b/>
      <sz val="10"/>
      <color indexed="10"/>
      <name val="Arial Narrow"/>
      <family val="2"/>
    </font>
    <font>
      <sz val="12"/>
      <name val="Arial Narrow"/>
      <family val="2"/>
    </font>
    <font>
      <b/>
      <sz val="12"/>
      <name val="Arial Narrow"/>
      <family val="2"/>
    </font>
    <font>
      <b/>
      <sz val="12"/>
      <name val="宋体"/>
      <family val="3"/>
      <charset val="134"/>
    </font>
    <font>
      <i/>
      <sz val="10"/>
      <color indexed="12"/>
      <name val="Arial Narrow"/>
      <family val="2"/>
    </font>
    <font>
      <sz val="10"/>
      <color indexed="8"/>
      <name val="宋体"/>
      <family val="3"/>
      <charset val="134"/>
    </font>
    <font>
      <sz val="18"/>
      <color indexed="48"/>
      <name val="魏碑"/>
      <family val="3"/>
      <charset val="134"/>
    </font>
    <font>
      <sz val="12"/>
      <name val="宋体"/>
      <family val="3"/>
      <charset val="134"/>
    </font>
    <font>
      <b/>
      <sz val="12"/>
      <color indexed="8"/>
      <name val="宋体"/>
      <family val="3"/>
      <charset val="134"/>
    </font>
    <font>
      <u/>
      <sz val="11"/>
      <color theme="10"/>
      <name val="宋体"/>
      <family val="3"/>
      <charset val="134"/>
    </font>
    <font>
      <sz val="9"/>
      <name val="宋体"/>
      <family val="3"/>
      <charset val="134"/>
      <scheme val="minor"/>
    </font>
    <font>
      <sz val="9"/>
      <name val="宋体"/>
      <family val="2"/>
      <charset val="134"/>
      <scheme val="minor"/>
    </font>
    <font>
      <sz val="10"/>
      <color theme="1"/>
      <name val="Arial Narrow"/>
      <family val="2"/>
    </font>
    <font>
      <sz val="10"/>
      <color theme="1"/>
      <name val="宋体"/>
      <family val="3"/>
      <charset val="134"/>
    </font>
    <font>
      <b/>
      <sz val="10"/>
      <color theme="1"/>
      <name val="Arial Narrow"/>
      <family val="2"/>
    </font>
    <font>
      <sz val="10"/>
      <color rgb="FF0000FF"/>
      <name val="Arial Narrow"/>
      <family val="2"/>
    </font>
    <font>
      <sz val="11"/>
      <color theme="1"/>
      <name val="宋体"/>
      <family val="3"/>
      <charset val="134"/>
      <scheme val="minor"/>
    </font>
    <font>
      <b/>
      <sz val="10"/>
      <color theme="1"/>
      <name val="宋体"/>
      <family val="3"/>
      <charset val="134"/>
    </font>
    <font>
      <b/>
      <u/>
      <sz val="10"/>
      <color indexed="10"/>
      <name val="Arial Narrow"/>
      <family val="2"/>
    </font>
    <font>
      <sz val="10"/>
      <color rgb="FFFF0000"/>
      <name val="宋体"/>
      <family val="3"/>
      <charset val="134"/>
    </font>
    <font>
      <b/>
      <sz val="10"/>
      <color rgb="FFFF0000"/>
      <name val="Arial Narrow"/>
      <family val="2"/>
    </font>
    <font>
      <b/>
      <sz val="12"/>
      <name val="Arial"/>
      <family val="2"/>
    </font>
    <font>
      <sz val="12"/>
      <name val="Times New Roman"/>
      <family val="1"/>
    </font>
    <font>
      <sz val="14"/>
      <name val="柧挬"/>
      <family val="2"/>
    </font>
    <font>
      <sz val="11"/>
      <color rgb="FF9C0006"/>
      <name val="宋体"/>
      <family val="3"/>
      <charset val="134"/>
      <scheme val="minor"/>
    </font>
    <font>
      <sz val="11"/>
      <color rgb="FF006100"/>
      <name val="宋体"/>
      <family val="3"/>
      <charset val="134"/>
      <scheme val="minor"/>
    </font>
    <font>
      <sz val="12"/>
      <name val="官帕眉"/>
      <family val="2"/>
    </font>
    <font>
      <sz val="10"/>
      <name val="奔覆眉"/>
      <family val="2"/>
    </font>
    <font>
      <sz val="12"/>
      <name val="柧挬"/>
      <family val="2"/>
    </font>
    <font>
      <b/>
      <sz val="10"/>
      <color rgb="FFFF0000"/>
      <name val="宋体"/>
      <family val="3"/>
      <charset val="134"/>
    </font>
    <font>
      <sz val="10"/>
      <color rgb="FFFF0000"/>
      <name val="Arial Narrow"/>
      <family val="2"/>
    </font>
    <font>
      <sz val="12"/>
      <color indexed="8"/>
      <name val="Arial Narrow"/>
      <family val="2"/>
    </font>
    <font>
      <sz val="11"/>
      <color theme="1"/>
      <name val="Arial Narrow"/>
      <family val="2"/>
    </font>
    <font>
      <b/>
      <sz val="12"/>
      <color theme="1"/>
      <name val="Arial Narrow"/>
      <family val="2"/>
    </font>
    <font>
      <sz val="12"/>
      <color theme="1"/>
      <name val="Arial Narrow"/>
      <family val="2"/>
    </font>
    <font>
      <b/>
      <sz val="10.5"/>
      <color indexed="8"/>
      <name val="宋体"/>
      <family val="3"/>
      <charset val="134"/>
    </font>
    <font>
      <sz val="10.5"/>
      <color indexed="8"/>
      <name val="Arial Narrow"/>
      <family val="2"/>
    </font>
    <font>
      <sz val="10.5"/>
      <color indexed="8"/>
      <name val="宋体"/>
      <family val="3"/>
      <charset val="134"/>
    </font>
    <font>
      <i/>
      <sz val="10.5"/>
      <color indexed="8"/>
      <name val="宋体"/>
      <family val="3"/>
      <charset val="134"/>
    </font>
    <font>
      <sz val="11"/>
      <color theme="1"/>
      <name val="宋体"/>
      <family val="2"/>
      <scheme val="minor"/>
    </font>
    <font>
      <sz val="11"/>
      <color indexed="20"/>
      <name val="宋体"/>
      <family val="3"/>
      <charset val="134"/>
    </font>
    <font>
      <sz val="11"/>
      <color indexed="20"/>
      <name val="Tahoma"/>
      <family val="2"/>
    </font>
    <font>
      <u/>
      <sz val="12"/>
      <color indexed="12"/>
      <name val="宋体"/>
      <family val="3"/>
      <charset val="134"/>
    </font>
    <font>
      <sz val="11"/>
      <color indexed="17"/>
      <name val="宋体"/>
      <family val="3"/>
      <charset val="134"/>
    </font>
    <font>
      <sz val="11"/>
      <color indexed="17"/>
      <name val="Tahoma"/>
      <family val="2"/>
    </font>
    <font>
      <sz val="10"/>
      <color indexed="8"/>
      <name val="Arial"/>
      <family val="2"/>
    </font>
    <font>
      <sz val="11"/>
      <name val="ＭＳ Ｐゴシック"/>
      <family val="2"/>
    </font>
    <font>
      <sz val="12"/>
      <name val="바탕체"/>
      <family val="3"/>
    </font>
    <font>
      <b/>
      <sz val="14"/>
      <name val="宋体"/>
      <family val="3"/>
      <charset val="134"/>
    </font>
    <font>
      <sz val="10.5"/>
      <name val="Arial Narrow"/>
      <family val="2"/>
    </font>
    <font>
      <b/>
      <sz val="12"/>
      <color theme="1"/>
      <name val="宋体"/>
      <family val="3"/>
      <charset val="134"/>
    </font>
    <font>
      <sz val="11"/>
      <color theme="1"/>
      <name val="宋体"/>
      <family val="2"/>
      <charset val="134"/>
      <scheme val="minor"/>
    </font>
    <font>
      <sz val="10"/>
      <color rgb="FF000000"/>
      <name val="宋体"/>
      <family val="3"/>
      <charset val="134"/>
    </font>
    <font>
      <sz val="10"/>
      <color rgb="FF0070C0"/>
      <name val="Arial Narrow"/>
      <family val="2"/>
    </font>
    <font>
      <sz val="9"/>
      <name val="Arial Narrow"/>
      <family val="2"/>
      <charset val="134"/>
    </font>
    <font>
      <b/>
      <sz val="11"/>
      <color theme="1"/>
      <name val="Arial Narrow"/>
      <family val="2"/>
    </font>
    <font>
      <sz val="10"/>
      <color theme="1"/>
      <name val="宋体"/>
      <family val="2"/>
      <charset val="134"/>
      <scheme val="minor"/>
    </font>
    <font>
      <b/>
      <sz val="12"/>
      <color rgb="FF0000FF"/>
      <name val="Arial Narrow"/>
      <family val="2"/>
    </font>
    <font>
      <i/>
      <u/>
      <sz val="10"/>
      <color indexed="12"/>
      <name val="Arial Narrow"/>
      <family val="2"/>
    </font>
    <font>
      <b/>
      <sz val="10"/>
      <color rgb="FF000000"/>
      <name val="Arial Narrow"/>
      <family val="2"/>
    </font>
    <font>
      <sz val="11"/>
      <color theme="1"/>
      <name val="宋体"/>
      <family val="3"/>
      <charset val="134"/>
    </font>
    <font>
      <b/>
      <sz val="10"/>
      <color rgb="FF0000FF"/>
      <name val="Arial Narrow"/>
      <family val="2"/>
    </font>
    <font>
      <b/>
      <sz val="10"/>
      <color rgb="FF0000FF"/>
      <name val="宋体"/>
      <family val="3"/>
      <charset val="134"/>
    </font>
    <font>
      <sz val="10"/>
      <color rgb="FF0000FF"/>
      <name val="宋体"/>
      <family val="3"/>
      <charset val="134"/>
    </font>
    <font>
      <b/>
      <sz val="14"/>
      <name val="Arial Narrow"/>
      <family val="2"/>
    </font>
    <font>
      <sz val="10.5"/>
      <name val="宋体"/>
      <family val="3"/>
      <charset val="134"/>
    </font>
    <font>
      <u/>
      <sz val="11"/>
      <color theme="1"/>
      <name val="宋体"/>
      <family val="3"/>
      <charset val="134"/>
    </font>
    <font>
      <b/>
      <sz val="12"/>
      <name val="宋体"/>
      <family val="3"/>
      <charset val="134"/>
      <scheme val="minor"/>
    </font>
    <font>
      <sz val="10"/>
      <color rgb="FF000000"/>
      <name val="Arial Narrow"/>
      <family val="2"/>
    </font>
    <font>
      <sz val="10"/>
      <name val="微软雅黑"/>
      <family val="2"/>
      <charset val="134"/>
    </font>
    <font>
      <sz val="10"/>
      <name val="宋体"/>
      <family val="2"/>
      <charset val="134"/>
    </font>
    <font>
      <sz val="10"/>
      <color rgb="FF0070C0"/>
      <name val="宋体"/>
      <family val="3"/>
      <charset val="134"/>
    </font>
    <font>
      <b/>
      <sz val="10"/>
      <name val="宋体"/>
      <family val="2"/>
      <charset val="134"/>
    </font>
    <font>
      <b/>
      <sz val="10"/>
      <color theme="1"/>
      <name val="Arial Narrow"/>
      <family val="3"/>
      <charset val="134"/>
    </font>
    <font>
      <sz val="10"/>
      <color theme="1"/>
      <name val="宋体"/>
      <family val="2"/>
      <charset val="134"/>
    </font>
    <font>
      <b/>
      <sz val="10"/>
      <color theme="1"/>
      <name val="微软雅黑"/>
      <family val="2"/>
      <charset val="134"/>
    </font>
    <font>
      <sz val="10"/>
      <color theme="1"/>
      <name val="Arial Narrow"/>
      <family val="3"/>
      <charset val="134"/>
    </font>
    <font>
      <sz val="10"/>
      <color theme="1"/>
      <name val="Arial Narrow"/>
      <family val="2"/>
      <charset val="134"/>
    </font>
    <font>
      <sz val="10"/>
      <color theme="1"/>
      <name val="微软雅黑"/>
      <family val="2"/>
      <charset val="134"/>
    </font>
    <font>
      <b/>
      <sz val="10"/>
      <name val="Arial Narrow"/>
      <family val="3"/>
      <charset val="134"/>
    </font>
    <font>
      <b/>
      <sz val="10"/>
      <name val="Arial"/>
      <family val="2"/>
    </font>
    <font>
      <b/>
      <sz val="10"/>
      <color theme="1"/>
      <name val="Arial Narrow"/>
      <family val="2"/>
      <charset val="134"/>
    </font>
    <font>
      <b/>
      <sz val="12"/>
      <color rgb="FF0000FF"/>
      <name val="宋体"/>
      <family val="3"/>
      <charset val="134"/>
    </font>
    <font>
      <u/>
      <sz val="11"/>
      <color theme="1"/>
      <name val="Arial Narrow"/>
      <family val="2"/>
    </font>
    <font>
      <b/>
      <sz val="10.5"/>
      <color indexed="8"/>
      <name val="Arial Narrow"/>
      <family val="2"/>
    </font>
    <font>
      <b/>
      <sz val="10"/>
      <name val="微软雅黑"/>
      <family val="2"/>
      <charset val="134"/>
    </font>
    <font>
      <b/>
      <sz val="10"/>
      <name val="Arial Narrow"/>
      <family val="2"/>
      <charset val="134"/>
    </font>
    <font>
      <u/>
      <sz val="10"/>
      <color theme="10"/>
      <name val="Arial Narrow"/>
      <family val="2"/>
    </font>
    <font>
      <b/>
      <sz val="10"/>
      <color rgb="FF000000"/>
      <name val="宋体"/>
      <family val="3"/>
      <charset val="134"/>
    </font>
    <font>
      <b/>
      <sz val="10"/>
      <color rgb="FFFF0000"/>
      <name val="Arial Narrow"/>
      <family val="3"/>
      <charset val="134"/>
    </font>
    <font>
      <b/>
      <sz val="14"/>
      <color indexed="8"/>
      <name val="宋体"/>
      <family val="3"/>
      <charset val="134"/>
    </font>
    <font>
      <sz val="14"/>
      <color indexed="8"/>
      <name val="宋体"/>
      <family val="3"/>
      <charset val="134"/>
    </font>
    <font>
      <sz val="10"/>
      <color rgb="FF0000FF"/>
      <name val="宋体"/>
      <family val="3"/>
      <charset val="134"/>
      <scheme val="minor"/>
    </font>
    <font>
      <sz val="9"/>
      <color indexed="81"/>
      <name val="宋体"/>
      <family val="3"/>
      <charset val="134"/>
    </font>
    <font>
      <b/>
      <sz val="9"/>
      <color indexed="81"/>
      <name val="宋体"/>
      <family val="3"/>
      <charset val="134"/>
    </font>
    <font>
      <sz val="12"/>
      <color theme="1"/>
      <name val="宋体"/>
      <family val="3"/>
      <charset val="134"/>
    </font>
    <font>
      <sz val="10"/>
      <color theme="10"/>
      <name val="Arial Narrow"/>
      <family val="2"/>
    </font>
    <font>
      <sz val="10"/>
      <color indexed="10"/>
      <name val="Arial Narrow"/>
      <family val="2"/>
    </font>
  </fonts>
  <fills count="1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theme="7" tint="0.7999816888943144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indexed="14"/>
        <bgColor indexed="64"/>
      </patternFill>
    </fill>
    <fill>
      <patternFill patternType="solid">
        <fgColor theme="7" tint="0.59999389629810485"/>
        <bgColor indexed="64"/>
      </patternFill>
    </fill>
    <fill>
      <patternFill patternType="solid">
        <fgColor indexed="45"/>
        <bgColor indexed="64"/>
      </patternFill>
    </fill>
    <fill>
      <patternFill patternType="solid">
        <fgColor indexed="42"/>
        <bgColor indexed="64"/>
      </patternFill>
    </fill>
    <fill>
      <patternFill patternType="solid">
        <fgColor theme="0"/>
        <bgColor indexed="64"/>
      </patternFill>
    </fill>
    <fill>
      <patternFill patternType="solid">
        <fgColor theme="4"/>
        <bgColor indexed="64"/>
      </patternFill>
    </fill>
    <fill>
      <patternFill patternType="solid">
        <fgColor rgb="FF0070C0"/>
        <bgColor indexed="64"/>
      </patternFill>
    </fill>
    <fill>
      <patternFill patternType="solid">
        <fgColor theme="0" tint="-0.14999847407452621"/>
        <bgColor indexed="64"/>
      </patternFill>
    </fill>
    <fill>
      <patternFill patternType="solid">
        <fgColor rgb="FFE4DFEC"/>
        <bgColor rgb="FFB7DEE8"/>
      </patternFill>
    </fill>
  </fills>
  <borders count="2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bottom style="medium">
        <color indexed="64"/>
      </bottom>
      <diagonal/>
    </border>
    <border>
      <left/>
      <right/>
      <top style="medium">
        <color indexed="64"/>
      </top>
      <bottom style="medium">
        <color indexed="64"/>
      </bottom>
      <diagonal/>
    </border>
    <border>
      <left style="hair">
        <color indexed="64"/>
      </left>
      <right/>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style="hair">
        <color indexed="64"/>
      </left>
      <right style="hair">
        <color indexed="64"/>
      </right>
      <top/>
      <bottom/>
      <diagonal/>
    </border>
    <border>
      <left/>
      <right/>
      <top style="hair">
        <color indexed="64"/>
      </top>
      <bottom/>
      <diagonal/>
    </border>
  </borders>
  <cellStyleXfs count="377">
    <xf numFmtId="190" fontId="0" fillId="0" borderId="0">
      <alignment vertical="center"/>
    </xf>
    <xf numFmtId="49" fontId="12" fillId="0" borderId="0" applyProtection="0">
      <alignment horizontal="left"/>
    </xf>
    <xf numFmtId="176" fontId="12" fillId="0" borderId="0" applyFill="0" applyBorder="0" applyProtection="0">
      <alignment horizontal="right"/>
    </xf>
    <xf numFmtId="177" fontId="12" fillId="0" borderId="0" applyFill="0" applyBorder="0" applyProtection="0">
      <alignment horizontal="right"/>
    </xf>
    <xf numFmtId="178" fontId="13" fillId="0" borderId="0" applyFill="0" applyBorder="0" applyProtection="0">
      <alignment horizontal="center"/>
    </xf>
    <xf numFmtId="179" fontId="13" fillId="0" borderId="0" applyFill="0" applyBorder="0" applyProtection="0">
      <alignment horizontal="center"/>
    </xf>
    <xf numFmtId="180" fontId="14" fillId="0" borderId="0" applyFill="0" applyBorder="0" applyProtection="0">
      <alignment horizontal="right"/>
    </xf>
    <xf numFmtId="181" fontId="12" fillId="0" borderId="0" applyFill="0" applyBorder="0" applyProtection="0">
      <alignment horizontal="right"/>
    </xf>
    <xf numFmtId="182" fontId="12" fillId="0" borderId="0" applyFill="0" applyBorder="0" applyProtection="0">
      <alignment horizontal="right"/>
    </xf>
    <xf numFmtId="183" fontId="12" fillId="0" borderId="0" applyFill="0" applyBorder="0" applyProtection="0">
      <alignment horizontal="right"/>
    </xf>
    <xf numFmtId="184" fontId="12" fillId="0" borderId="0" applyFill="0" applyBorder="0" applyProtection="0">
      <alignment horizontal="right"/>
    </xf>
    <xf numFmtId="3" fontId="15" fillId="0" borderId="0"/>
    <xf numFmtId="185" fontId="16" fillId="0" borderId="1" applyAlignment="0" applyProtection="0"/>
    <xf numFmtId="186" fontId="17" fillId="0" borderId="0" applyFont="0" applyFill="0" applyBorder="0" applyAlignment="0" applyProtection="0"/>
    <xf numFmtId="187" fontId="17" fillId="0" borderId="0" applyFont="0" applyFill="0" applyBorder="0" applyAlignment="0" applyProtection="0"/>
    <xf numFmtId="188" fontId="17" fillId="0" borderId="0" applyFont="0" applyFill="0" applyBorder="0" applyAlignment="0" applyProtection="0"/>
    <xf numFmtId="189" fontId="17"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190" fontId="12" fillId="0" borderId="0" applyFont="0" applyFill="0" applyBorder="0" applyAlignment="0" applyProtection="0"/>
    <xf numFmtId="190" fontId="18" fillId="0" borderId="0" applyNumberFormat="0" applyFill="0" applyBorder="0" applyAlignment="0" applyProtection="0">
      <alignment vertical="top"/>
      <protection locked="0"/>
    </xf>
    <xf numFmtId="38" fontId="19" fillId="2" borderId="0" applyNumberFormat="0" applyBorder="0" applyAlignment="0" applyProtection="0"/>
    <xf numFmtId="190" fontId="20" fillId="0" borderId="0" applyNumberFormat="0" applyFill="0" applyBorder="0" applyAlignment="0" applyProtection="0">
      <alignment vertical="top"/>
      <protection locked="0"/>
    </xf>
    <xf numFmtId="10" fontId="19" fillId="3" borderId="2" applyNumberFormat="0" applyBorder="0" applyAlignment="0" applyProtection="0"/>
    <xf numFmtId="191" fontId="21" fillId="0" borderId="0" applyFont="0" applyFill="0" applyBorder="0" applyAlignment="0" applyProtection="0"/>
    <xf numFmtId="192" fontId="21" fillId="0" borderId="0" applyFont="0" applyFill="0" applyBorder="0" applyAlignment="0" applyProtection="0"/>
    <xf numFmtId="190" fontId="22" fillId="0" borderId="0"/>
    <xf numFmtId="193" fontId="21" fillId="0" borderId="0"/>
    <xf numFmtId="10" fontId="17" fillId="0" borderId="0" applyFont="0" applyFill="0" applyBorder="0" applyAlignment="0" applyProtection="0"/>
    <xf numFmtId="3" fontId="23" fillId="0" borderId="0"/>
    <xf numFmtId="9" fontId="7" fillId="0" borderId="0" applyFont="0" applyFill="0" applyBorder="0" applyAlignment="0" applyProtection="0">
      <alignment vertical="center"/>
    </xf>
    <xf numFmtId="9" fontId="21" fillId="0" borderId="0" applyFont="0" applyFill="0" applyBorder="0" applyAlignment="0" applyProtection="0"/>
    <xf numFmtId="190" fontId="21" fillId="0" borderId="0">
      <protection locked="0"/>
    </xf>
    <xf numFmtId="190" fontId="40" fillId="0" borderId="0"/>
    <xf numFmtId="190" fontId="21" fillId="0" borderId="0">
      <alignment vertical="center"/>
    </xf>
    <xf numFmtId="190" fontId="21" fillId="0" borderId="0">
      <alignment vertical="center"/>
    </xf>
    <xf numFmtId="190" fontId="21" fillId="0" borderId="0">
      <alignment vertical="center"/>
    </xf>
    <xf numFmtId="190" fontId="21" fillId="0" borderId="0"/>
    <xf numFmtId="190" fontId="21" fillId="0" borderId="0" applyFill="0" applyBorder="0"/>
    <xf numFmtId="190" fontId="21" fillId="0" borderId="0">
      <alignment vertical="center"/>
    </xf>
    <xf numFmtId="190" fontId="42" fillId="0" borderId="0" applyNumberFormat="0" applyFill="0" applyBorder="0" applyAlignment="0" applyProtection="0">
      <alignment vertical="top"/>
      <protection locked="0"/>
    </xf>
    <xf numFmtId="43" fontId="7" fillId="0" borderId="0" applyFont="0" applyFill="0" applyBorder="0" applyAlignment="0" applyProtection="0">
      <alignment vertical="center"/>
    </xf>
    <xf numFmtId="43" fontId="21" fillId="0" borderId="0" applyFont="0" applyFill="0" applyBorder="0" applyAlignment="0" applyProtection="0"/>
    <xf numFmtId="190" fontId="49" fillId="0" borderId="0">
      <alignment vertical="center"/>
    </xf>
    <xf numFmtId="0" fontId="21" fillId="0" borderId="0">
      <alignment vertical="center"/>
    </xf>
    <xf numFmtId="0" fontId="54" fillId="0" borderId="6" applyNumberFormat="0" applyAlignment="0" applyProtection="0">
      <alignment horizontal="left" vertical="center"/>
    </xf>
    <xf numFmtId="0" fontId="54" fillId="0" borderId="17">
      <alignment horizontal="left" vertical="center"/>
    </xf>
    <xf numFmtId="0" fontId="17" fillId="0" borderId="0"/>
    <xf numFmtId="41" fontId="12" fillId="0" borderId="0" applyFont="0" applyFill="0" applyBorder="0" applyAlignment="0" applyProtection="0"/>
    <xf numFmtId="0" fontId="24" fillId="0" borderId="0"/>
    <xf numFmtId="9" fontId="55"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7" fillId="8" borderId="0" applyNumberFormat="0" applyBorder="0" applyAlignment="0" applyProtection="0">
      <alignment vertical="center"/>
    </xf>
    <xf numFmtId="0" fontId="21" fillId="0" borderId="0">
      <alignment vertical="center"/>
    </xf>
    <xf numFmtId="0" fontId="58" fillId="7" borderId="0" applyNumberFormat="0" applyBorder="0" applyAlignment="0" applyProtection="0">
      <alignment vertical="center"/>
    </xf>
    <xf numFmtId="191" fontId="17" fillId="0" borderId="0" applyFont="0" applyFill="0" applyBorder="0" applyAlignment="0" applyProtection="0"/>
    <xf numFmtId="197" fontId="17" fillId="0" borderId="0" applyFont="0" applyFill="0" applyBorder="0" applyAlignment="0" applyProtection="0"/>
    <xf numFmtId="198" fontId="59" fillId="0" borderId="0" applyFont="0" applyFill="0" applyBorder="0" applyAlignment="0" applyProtection="0"/>
    <xf numFmtId="199" fontId="59" fillId="0" borderId="0" applyFont="0" applyFill="0" applyBorder="0" applyAlignment="0" applyProtection="0"/>
    <xf numFmtId="0" fontId="60" fillId="0" borderId="0"/>
    <xf numFmtId="0" fontId="61" fillId="0" borderId="0"/>
    <xf numFmtId="40" fontId="56" fillId="0" borderId="0" applyFont="0" applyFill="0" applyBorder="0" applyAlignment="0" applyProtection="0"/>
    <xf numFmtId="38" fontId="56" fillId="0" borderId="0" applyFont="0" applyFill="0" applyBorder="0" applyAlignment="0" applyProtection="0"/>
    <xf numFmtId="9" fontId="21" fillId="0" borderId="0" applyFont="0" applyFill="0" applyBorder="0" applyAlignment="0" applyProtection="0">
      <alignment vertical="center"/>
    </xf>
    <xf numFmtId="0" fontId="21" fillId="0" borderId="0">
      <protection locked="0"/>
    </xf>
    <xf numFmtId="0" fontId="36" fillId="0" borderId="0" applyNumberFormat="0" applyFill="0" applyBorder="0" applyAlignment="0" applyProtection="0"/>
    <xf numFmtId="9" fontId="21" fillId="0" borderId="0" applyFont="0" applyFill="0" applyBorder="0" applyAlignment="0" applyProtection="0">
      <alignment vertical="center"/>
    </xf>
    <xf numFmtId="9" fontId="72" fillId="0" borderId="0" applyFont="0" applyFill="0" applyBorder="0" applyAlignment="0" applyProtection="0">
      <alignment vertical="center"/>
    </xf>
    <xf numFmtId="0" fontId="73" fillId="11" borderId="0" applyNumberFormat="0" applyBorder="0" applyAlignment="0" applyProtection="0">
      <alignment vertical="center"/>
    </xf>
    <xf numFmtId="0" fontId="73" fillId="11" borderId="0" applyNumberFormat="0" applyBorder="0" applyAlignment="0" applyProtection="0">
      <alignment vertical="center"/>
    </xf>
    <xf numFmtId="0" fontId="74" fillId="11" borderId="0" applyNumberFormat="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7" fillId="0" borderId="0">
      <alignment vertical="center"/>
    </xf>
    <xf numFmtId="0" fontId="30" fillId="0" borderId="0"/>
    <xf numFmtId="0" fontId="30" fillId="0" borderId="0"/>
    <xf numFmtId="0" fontId="21" fillId="0" borderId="0">
      <alignment vertical="center"/>
    </xf>
    <xf numFmtId="0" fontId="21" fillId="0" borderId="0"/>
    <xf numFmtId="0" fontId="21" fillId="0" borderId="0"/>
    <xf numFmtId="0" fontId="21" fillId="0" borderId="0">
      <alignment vertical="center"/>
    </xf>
    <xf numFmtId="0" fontId="21" fillId="0" borderId="0">
      <alignment vertical="center"/>
    </xf>
    <xf numFmtId="0" fontId="21" fillId="0" borderId="0">
      <alignment vertical="center"/>
    </xf>
    <xf numFmtId="0" fontId="21" fillId="0" borderId="0"/>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horizontal="center"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horizontal="center"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xf numFmtId="0" fontId="21"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7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75" fillId="0" borderId="0" applyNumberFormat="0" applyFill="0" applyBorder="0" applyAlignment="0" applyProtection="0">
      <alignment vertical="top"/>
      <protection locked="0"/>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7" fillId="12" borderId="0" applyNumberFormat="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0" fontId="12" fillId="0" borderId="0"/>
    <xf numFmtId="41" fontId="12" fillId="0" borderId="0" applyFont="0" applyFill="0" applyBorder="0" applyAlignment="0" applyProtection="0"/>
    <xf numFmtId="43" fontId="12"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2"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xf numFmtId="0" fontId="78" fillId="0" borderId="0">
      <alignment vertical="top"/>
    </xf>
    <xf numFmtId="38" fontId="79" fillId="0" borderId="0" applyFont="0" applyFill="0" applyBorder="0" applyAlignment="0" applyProtection="0"/>
    <xf numFmtId="40" fontId="79" fillId="0" borderId="0" applyFont="0" applyFill="0" applyBorder="0" applyAlignment="0" applyProtection="0"/>
    <xf numFmtId="0" fontId="79" fillId="0" borderId="0" applyFont="0" applyFill="0" applyBorder="0" applyAlignment="0" applyProtection="0"/>
    <xf numFmtId="0" fontId="79" fillId="0" borderId="0" applyFont="0" applyFill="0" applyBorder="0" applyAlignment="0" applyProtection="0"/>
    <xf numFmtId="0" fontId="80" fillId="0" borderId="0"/>
    <xf numFmtId="0" fontId="21" fillId="0" borderId="0"/>
    <xf numFmtId="190" fontId="84" fillId="0" borderId="0">
      <alignment vertical="center"/>
    </xf>
    <xf numFmtId="0" fontId="21" fillId="0" borderId="0">
      <protection locked="0"/>
    </xf>
    <xf numFmtId="0" fontId="84" fillId="0" borderId="0">
      <alignment vertical="center"/>
    </xf>
    <xf numFmtId="0" fontId="89" fillId="0" borderId="0">
      <alignment vertical="center"/>
    </xf>
    <xf numFmtId="0" fontId="21" fillId="0" borderId="0">
      <alignment vertical="center"/>
    </xf>
    <xf numFmtId="0" fontId="5" fillId="0" borderId="0">
      <alignment vertical="center"/>
    </xf>
    <xf numFmtId="43" fontId="7" fillId="0" borderId="0" applyFont="0" applyFill="0" applyBorder="0" applyAlignment="0" applyProtection="0">
      <alignment vertical="center"/>
    </xf>
    <xf numFmtId="190" fontId="21" fillId="0" borderId="0"/>
    <xf numFmtId="43" fontId="21" fillId="0" borderId="0" applyFont="0" applyFill="0" applyBorder="0" applyAlignment="0" applyProtection="0"/>
    <xf numFmtId="0" fontId="55" fillId="0" borderId="0"/>
    <xf numFmtId="43" fontId="21" fillId="0" borderId="0" applyFont="0" applyFill="0" applyBorder="0" applyAlignment="0" applyProtection="0"/>
    <xf numFmtId="0" fontId="21" fillId="0" borderId="0">
      <protection locked="0"/>
    </xf>
    <xf numFmtId="0" fontId="4" fillId="0" borderId="0">
      <alignment vertical="center"/>
    </xf>
    <xf numFmtId="190" fontId="3" fillId="0" borderId="0">
      <alignment vertical="center"/>
    </xf>
    <xf numFmtId="0" fontId="3" fillId="0" borderId="0">
      <alignment vertical="center"/>
    </xf>
    <xf numFmtId="190" fontId="2" fillId="0" borderId="0">
      <alignment vertical="center"/>
    </xf>
    <xf numFmtId="0" fontId="2" fillId="0" borderId="0">
      <alignment vertical="center"/>
    </xf>
    <xf numFmtId="190" fontId="1" fillId="0" borderId="0">
      <alignment vertical="center"/>
    </xf>
  </cellStyleXfs>
  <cellXfs count="831">
    <xf numFmtId="190" fontId="0" fillId="0" borderId="0" xfId="0">
      <alignment vertical="center"/>
    </xf>
    <xf numFmtId="190" fontId="8" fillId="0" borderId="0" xfId="0" applyFont="1">
      <alignment vertical="center"/>
    </xf>
    <xf numFmtId="190" fontId="8" fillId="0" borderId="0" xfId="0" applyFont="1" applyAlignment="1">
      <alignment horizontal="center" vertical="center"/>
    </xf>
    <xf numFmtId="190" fontId="9" fillId="0" borderId="0" xfId="0" applyFont="1" applyAlignment="1">
      <alignment horizontal="center" vertical="center"/>
    </xf>
    <xf numFmtId="190" fontId="28" fillId="0" borderId="0" xfId="34" applyFont="1" applyAlignment="1">
      <alignment vertical="center" wrapText="1"/>
    </xf>
    <xf numFmtId="190" fontId="24" fillId="0" borderId="0" xfId="34" applyFont="1" applyAlignment="1">
      <alignment vertical="center" wrapText="1"/>
    </xf>
    <xf numFmtId="190" fontId="24" fillId="0" borderId="0" xfId="0" applyFont="1" applyProtection="1">
      <alignment vertical="center"/>
      <protection locked="0"/>
    </xf>
    <xf numFmtId="190" fontId="28" fillId="0" borderId="0" xfId="35" applyFont="1" applyAlignment="1">
      <alignment vertical="center" wrapText="1"/>
    </xf>
    <xf numFmtId="190" fontId="35" fillId="0" borderId="0" xfId="35" applyFont="1" applyAlignment="1">
      <alignment vertical="center" wrapText="1"/>
    </xf>
    <xf numFmtId="190" fontId="24" fillId="0" borderId="0" xfId="39" applyFont="1">
      <alignment vertical="center"/>
    </xf>
    <xf numFmtId="190" fontId="28" fillId="0" borderId="0" xfId="35" applyFont="1">
      <alignment vertical="center"/>
    </xf>
    <xf numFmtId="190" fontId="35" fillId="0" borderId="0" xfId="35" applyFont="1">
      <alignment vertical="center"/>
    </xf>
    <xf numFmtId="190" fontId="24" fillId="0" borderId="0" xfId="32" applyFont="1">
      <protection locked="0"/>
    </xf>
    <xf numFmtId="190" fontId="24" fillId="0" borderId="0" xfId="32" applyFont="1" applyAlignment="1">
      <alignment vertical="center"/>
      <protection locked="0"/>
    </xf>
    <xf numFmtId="190" fontId="24" fillId="0" borderId="0" xfId="32" applyFont="1" applyAlignment="1">
      <alignment horizontal="justify" vertical="center"/>
      <protection locked="0"/>
    </xf>
    <xf numFmtId="190" fontId="28" fillId="0" borderId="0" xfId="32" applyFont="1" applyAlignment="1">
      <alignment vertical="center"/>
      <protection locked="0"/>
    </xf>
    <xf numFmtId="190" fontId="24" fillId="0" borderId="0" xfId="32" applyFont="1" applyAlignment="1">
      <alignment vertical="center" wrapText="1"/>
      <protection locked="0"/>
    </xf>
    <xf numFmtId="10" fontId="24" fillId="0" borderId="0" xfId="31" applyNumberFormat="1" applyFont="1" applyBorder="1" applyAlignment="1" applyProtection="1">
      <alignment horizontal="center" vertical="center"/>
      <protection locked="0"/>
    </xf>
    <xf numFmtId="43" fontId="24" fillId="0" borderId="0" xfId="32" applyNumberFormat="1" applyFont="1" applyAlignment="1">
      <alignment horizontal="center" vertical="center"/>
      <protection locked="0"/>
    </xf>
    <xf numFmtId="190" fontId="24" fillId="0" borderId="3" xfId="32" applyFont="1" applyBorder="1" applyAlignment="1">
      <alignment horizontal="center" vertical="center"/>
      <protection locked="0"/>
    </xf>
    <xf numFmtId="190" fontId="28" fillId="0" borderId="0" xfId="32" applyFont="1" applyAlignment="1">
      <alignment horizontal="left" vertical="center"/>
      <protection locked="0"/>
    </xf>
    <xf numFmtId="190" fontId="33" fillId="0" borderId="0" xfId="32" applyFont="1" applyAlignment="1">
      <alignment vertical="center"/>
      <protection locked="0"/>
    </xf>
    <xf numFmtId="190" fontId="24" fillId="0" borderId="0" xfId="32" applyFont="1" applyAlignment="1">
      <alignment horizontal="left" vertical="center"/>
      <protection locked="0"/>
    </xf>
    <xf numFmtId="10" fontId="28" fillId="0" borderId="0" xfId="31" applyNumberFormat="1" applyFont="1" applyBorder="1" applyAlignment="1" applyProtection="1">
      <alignment horizontal="center" vertical="center"/>
      <protection locked="0"/>
    </xf>
    <xf numFmtId="43" fontId="28" fillId="0" borderId="0" xfId="32" applyNumberFormat="1" applyFont="1" applyAlignment="1">
      <alignment horizontal="center" vertical="center"/>
      <protection locked="0"/>
    </xf>
    <xf numFmtId="190" fontId="24" fillId="0" borderId="0" xfId="32" applyFont="1" applyAlignment="1">
      <alignment horizontal="justify" vertical="center" wrapText="1"/>
      <protection locked="0"/>
    </xf>
    <xf numFmtId="190" fontId="28" fillId="0" borderId="0" xfId="36" applyFont="1">
      <alignment vertical="center"/>
    </xf>
    <xf numFmtId="190" fontId="35" fillId="0" borderId="0" xfId="36" applyFont="1">
      <alignment vertical="center"/>
    </xf>
    <xf numFmtId="190" fontId="25" fillId="0" borderId="0" xfId="32" applyFont="1">
      <protection locked="0"/>
    </xf>
    <xf numFmtId="190" fontId="25" fillId="0" borderId="0" xfId="32" applyFont="1" applyAlignment="1">
      <alignment vertical="center"/>
      <protection locked="0"/>
    </xf>
    <xf numFmtId="190" fontId="24" fillId="0" borderId="0" xfId="37" applyFont="1" applyAlignment="1" applyProtection="1">
      <alignment vertical="center"/>
      <protection locked="0"/>
    </xf>
    <xf numFmtId="190" fontId="25" fillId="0" borderId="0" xfId="37" applyFont="1" applyAlignment="1" applyProtection="1">
      <alignment horizontal="left" vertical="center"/>
      <protection locked="0"/>
    </xf>
    <xf numFmtId="190" fontId="24" fillId="0" borderId="0" xfId="37" applyFont="1" applyAlignment="1" applyProtection="1">
      <alignment horizontal="left" vertical="center"/>
      <protection hidden="1"/>
    </xf>
    <xf numFmtId="190" fontId="25" fillId="0" borderId="0" xfId="37" applyFont="1" applyAlignment="1" applyProtection="1">
      <alignment horizontal="center" vertical="center"/>
      <protection hidden="1"/>
    </xf>
    <xf numFmtId="190" fontId="24" fillId="0" borderId="0" xfId="37" applyFont="1" applyAlignment="1">
      <alignment vertical="center"/>
    </xf>
    <xf numFmtId="190" fontId="28" fillId="0" borderId="0" xfId="37" applyFont="1" applyAlignment="1">
      <alignment horizontal="left" vertical="center"/>
    </xf>
    <xf numFmtId="190" fontId="35" fillId="0" borderId="0" xfId="32" applyFont="1" applyAlignment="1">
      <alignment vertical="center"/>
      <protection locked="0"/>
    </xf>
    <xf numFmtId="190" fontId="11" fillId="0" borderId="0" xfId="0" applyFont="1">
      <alignment vertical="center"/>
    </xf>
    <xf numFmtId="190" fontId="9" fillId="0" borderId="0" xfId="0" applyFont="1">
      <alignment vertical="center"/>
    </xf>
    <xf numFmtId="190" fontId="24" fillId="0" borderId="0" xfId="32" applyFont="1" applyAlignment="1">
      <alignment horizontal="center" vertical="center"/>
      <protection locked="0"/>
    </xf>
    <xf numFmtId="190" fontId="28" fillId="0" borderId="0" xfId="32" applyFont="1" applyAlignment="1">
      <alignment horizontal="center" vertical="center"/>
      <protection locked="0"/>
    </xf>
    <xf numFmtId="43" fontId="8" fillId="4" borderId="0" xfId="42" applyFont="1" applyFill="1" applyBorder="1" applyAlignment="1">
      <alignment horizontal="right" vertical="center"/>
    </xf>
    <xf numFmtId="194" fontId="8" fillId="4" borderId="0" xfId="31" applyNumberFormat="1" applyFont="1" applyFill="1" applyBorder="1" applyAlignment="1">
      <alignment horizontal="center" vertical="center"/>
    </xf>
    <xf numFmtId="190" fontId="8" fillId="4" borderId="3" xfId="32" applyFont="1" applyFill="1" applyBorder="1" applyAlignment="1">
      <alignment horizontal="right" vertical="center"/>
      <protection locked="0"/>
    </xf>
    <xf numFmtId="43" fontId="8" fillId="4" borderId="3" xfId="42" applyFont="1" applyFill="1" applyBorder="1" applyAlignment="1">
      <alignment horizontal="right" vertical="center"/>
    </xf>
    <xf numFmtId="190" fontId="24" fillId="0" borderId="0" xfId="43" applyFont="1" applyProtection="1">
      <alignment vertical="center"/>
      <protection locked="0"/>
    </xf>
    <xf numFmtId="190" fontId="24" fillId="0" borderId="0" xfId="43" applyFont="1" applyAlignment="1" applyProtection="1">
      <alignment vertical="center" wrapText="1"/>
      <protection locked="0"/>
    </xf>
    <xf numFmtId="190" fontId="24" fillId="0" borderId="0" xfId="43" applyFont="1" applyAlignment="1" applyProtection="1">
      <alignment horizontal="right" vertical="center"/>
      <protection locked="0"/>
    </xf>
    <xf numFmtId="190" fontId="28" fillId="0" borderId="0" xfId="43" applyFont="1" applyProtection="1">
      <alignment vertical="center"/>
      <protection locked="0"/>
    </xf>
    <xf numFmtId="190" fontId="24" fillId="0" borderId="3" xfId="43" applyFont="1" applyBorder="1" applyAlignment="1" applyProtection="1">
      <alignment horizontal="left" vertical="center" wrapText="1"/>
      <protection locked="0"/>
    </xf>
    <xf numFmtId="190" fontId="9" fillId="0" borderId="3" xfId="43" applyFont="1" applyBorder="1" applyAlignment="1" applyProtection="1">
      <alignment horizontal="center" vertical="center" wrapText="1"/>
      <protection locked="0"/>
    </xf>
    <xf numFmtId="190" fontId="9" fillId="0" borderId="0" xfId="43" applyFont="1" applyAlignment="1" applyProtection="1">
      <alignment horizontal="center" vertical="center" wrapText="1"/>
      <protection locked="0"/>
    </xf>
    <xf numFmtId="190" fontId="28" fillId="0" borderId="3" xfId="43" applyFont="1" applyBorder="1" applyAlignment="1" applyProtection="1">
      <alignment horizontal="left" vertical="center" wrapText="1"/>
      <protection locked="0"/>
    </xf>
    <xf numFmtId="190" fontId="28" fillId="0" borderId="0" xfId="43" applyFont="1" applyAlignment="1" applyProtection="1">
      <alignment horizontal="left" vertical="center" wrapText="1"/>
      <protection locked="0"/>
    </xf>
    <xf numFmtId="190" fontId="28" fillId="0" borderId="0" xfId="43" applyFont="1" applyAlignment="1" applyProtection="1">
      <alignment vertical="center" wrapText="1"/>
      <protection locked="0"/>
    </xf>
    <xf numFmtId="190" fontId="24" fillId="0" borderId="0" xfId="43" applyFont="1" applyAlignment="1" applyProtection="1">
      <alignment horizontal="center" vertical="center" wrapText="1"/>
      <protection locked="0"/>
    </xf>
    <xf numFmtId="190" fontId="8" fillId="0" borderId="0" xfId="43" applyFont="1" applyAlignment="1" applyProtection="1">
      <alignment horizontal="left" vertical="center" wrapText="1" indent="1"/>
      <protection locked="0"/>
    </xf>
    <xf numFmtId="43" fontId="24" fillId="0" borderId="11" xfId="41" applyFont="1" applyFill="1" applyBorder="1" applyAlignment="1">
      <alignment horizontal="right" vertical="center" wrapText="1"/>
    </xf>
    <xf numFmtId="190" fontId="24" fillId="0" borderId="11" xfId="43" applyFont="1" applyBorder="1" applyAlignment="1" applyProtection="1">
      <alignment horizontal="left" vertical="center" wrapText="1"/>
      <protection locked="0"/>
    </xf>
    <xf numFmtId="190" fontId="24" fillId="0" borderId="0" xfId="43" applyFont="1" applyAlignment="1" applyProtection="1">
      <protection locked="0"/>
    </xf>
    <xf numFmtId="43" fontId="8" fillId="0" borderId="3" xfId="41" applyFont="1" applyFill="1" applyBorder="1" applyAlignment="1">
      <alignment horizontal="right" vertical="center"/>
    </xf>
    <xf numFmtId="190" fontId="9" fillId="0" borderId="0" xfId="32" applyFont="1" applyAlignment="1" applyProtection="1">
      <alignment vertical="center"/>
    </xf>
    <xf numFmtId="190" fontId="51" fillId="0" borderId="0" xfId="32" applyFont="1" applyAlignment="1" applyProtection="1">
      <alignment horizontal="center"/>
    </xf>
    <xf numFmtId="49" fontId="28" fillId="0" borderId="0" xfId="42" applyNumberFormat="1" applyFont="1" applyFill="1" applyAlignment="1" applyProtection="1">
      <alignment horizontal="right" vertical="center" shrinkToFit="1"/>
    </xf>
    <xf numFmtId="190" fontId="28" fillId="0" borderId="0" xfId="32" applyFont="1" applyAlignment="1" applyProtection="1">
      <alignment horizontal="left" vertical="center"/>
    </xf>
    <xf numFmtId="190" fontId="9" fillId="5" borderId="3" xfId="43" applyFont="1" applyFill="1" applyBorder="1" applyAlignment="1" applyProtection="1">
      <alignment horizontal="centerContinuous" vertical="center"/>
      <protection locked="0"/>
    </xf>
    <xf numFmtId="0" fontId="34" fillId="0" borderId="0" xfId="44" applyFont="1">
      <alignment vertical="center"/>
    </xf>
    <xf numFmtId="0" fontId="24" fillId="0" borderId="3" xfId="44" applyFont="1" applyBorder="1">
      <alignment vertical="center"/>
    </xf>
    <xf numFmtId="196" fontId="24" fillId="0" borderId="3" xfId="44" applyNumberFormat="1" applyFont="1" applyBorder="1">
      <alignment vertical="center"/>
    </xf>
    <xf numFmtId="0" fontId="24" fillId="0" borderId="3" xfId="44" applyFont="1" applyBorder="1" applyAlignment="1">
      <alignment horizontal="center" vertical="center"/>
    </xf>
    <xf numFmtId="0" fontId="24" fillId="0" borderId="0" xfId="44" applyFont="1">
      <alignment vertical="center"/>
    </xf>
    <xf numFmtId="0" fontId="24" fillId="0" borderId="0" xfId="44" applyFont="1" applyAlignment="1">
      <alignment horizontal="right" vertical="center"/>
    </xf>
    <xf numFmtId="0" fontId="28" fillId="5" borderId="3" xfId="44" applyFont="1" applyFill="1" applyBorder="1" applyAlignment="1">
      <alignment horizontal="centerContinuous" vertical="center"/>
    </xf>
    <xf numFmtId="190" fontId="24" fillId="0" borderId="0" xfId="32" applyFont="1" applyAlignment="1">
      <alignment horizontal="right" vertical="center"/>
      <protection locked="0"/>
    </xf>
    <xf numFmtId="190" fontId="28" fillId="5" borderId="3" xfId="0" applyFont="1" applyFill="1" applyBorder="1" applyAlignment="1">
      <alignment horizontal="centerContinuous" vertical="center"/>
    </xf>
    <xf numFmtId="190" fontId="24" fillId="0" borderId="3" xfId="0" applyFont="1" applyBorder="1">
      <alignment vertical="center"/>
    </xf>
    <xf numFmtId="195" fontId="24" fillId="0" borderId="3" xfId="0" applyNumberFormat="1" applyFont="1" applyBorder="1">
      <alignment vertical="center"/>
    </xf>
    <xf numFmtId="190" fontId="24" fillId="0" borderId="3" xfId="0" applyFont="1" applyBorder="1" applyAlignment="1">
      <alignment horizontal="center" vertical="center"/>
    </xf>
    <xf numFmtId="10" fontId="24" fillId="0" borderId="3" xfId="64" applyNumberFormat="1" applyFont="1" applyBorder="1">
      <alignment vertical="center"/>
    </xf>
    <xf numFmtId="43" fontId="8" fillId="0" borderId="0" xfId="42" applyFont="1" applyFill="1" applyBorder="1" applyAlignment="1">
      <alignment horizontal="right" vertical="center"/>
    </xf>
    <xf numFmtId="190" fontId="45" fillId="0" borderId="0" xfId="43" applyFont="1" applyAlignment="1">
      <alignment vertical="center" wrapText="1"/>
    </xf>
    <xf numFmtId="190" fontId="33" fillId="0" borderId="0" xfId="0" applyFont="1">
      <alignment vertical="center"/>
    </xf>
    <xf numFmtId="43" fontId="24" fillId="0" borderId="3" xfId="41" applyFont="1" applyBorder="1">
      <alignment vertical="center"/>
    </xf>
    <xf numFmtId="190" fontId="8" fillId="4" borderId="16" xfId="32" applyFont="1" applyFill="1" applyBorder="1" applyAlignment="1">
      <alignment horizontal="right" vertical="center"/>
      <protection locked="0"/>
    </xf>
    <xf numFmtId="190" fontId="28" fillId="5" borderId="4" xfId="0" applyFont="1" applyFill="1" applyBorder="1" applyProtection="1">
      <alignment vertical="center"/>
      <protection locked="0"/>
    </xf>
    <xf numFmtId="190" fontId="28" fillId="5" borderId="9" xfId="0" applyFont="1" applyFill="1" applyBorder="1" applyProtection="1">
      <alignment vertical="center"/>
      <protection locked="0"/>
    </xf>
    <xf numFmtId="43" fontId="8" fillId="0" borderId="16" xfId="42" applyFont="1" applyFill="1" applyBorder="1" applyAlignment="1">
      <alignment horizontal="right" vertical="center"/>
    </xf>
    <xf numFmtId="43" fontId="8" fillId="0" borderId="3" xfId="42" applyFont="1" applyFill="1" applyBorder="1" applyAlignment="1">
      <alignment horizontal="right" vertical="center"/>
    </xf>
    <xf numFmtId="43" fontId="9" fillId="0" borderId="3" xfId="42" applyFont="1" applyFill="1" applyBorder="1" applyAlignment="1">
      <alignment horizontal="right" vertical="center"/>
    </xf>
    <xf numFmtId="190" fontId="24" fillId="0" borderId="0" xfId="0" applyFont="1">
      <alignment vertical="center"/>
    </xf>
    <xf numFmtId="195" fontId="24" fillId="0" borderId="0" xfId="0" applyNumberFormat="1" applyFont="1">
      <alignment vertical="center"/>
    </xf>
    <xf numFmtId="190" fontId="24" fillId="0" borderId="0" xfId="0" applyFont="1" applyAlignment="1">
      <alignment horizontal="center" vertical="center"/>
    </xf>
    <xf numFmtId="10" fontId="24" fillId="0" borderId="0" xfId="64" applyNumberFormat="1" applyFont="1" applyFill="1" applyBorder="1">
      <alignment vertical="center"/>
    </xf>
    <xf numFmtId="43" fontId="24" fillId="0" borderId="0" xfId="41" applyFont="1" applyFill="1" applyBorder="1">
      <alignment vertical="center"/>
    </xf>
    <xf numFmtId="190" fontId="28" fillId="0" borderId="0" xfId="0" applyFont="1">
      <alignment vertical="center"/>
    </xf>
    <xf numFmtId="190" fontId="63" fillId="0" borderId="3" xfId="32" applyFont="1" applyBorder="1" applyAlignment="1">
      <alignment horizontal="left" vertical="center"/>
      <protection locked="0"/>
    </xf>
    <xf numFmtId="190" fontId="45" fillId="0" borderId="0" xfId="0" applyFont="1">
      <alignment vertical="center"/>
    </xf>
    <xf numFmtId="190" fontId="24" fillId="0" borderId="4" xfId="32" applyFont="1" applyBorder="1" applyAlignment="1">
      <alignment vertical="center"/>
      <protection locked="0"/>
    </xf>
    <xf numFmtId="190" fontId="24" fillId="0" borderId="9" xfId="32" applyFont="1" applyBorder="1" applyAlignment="1">
      <alignment vertical="center"/>
      <protection locked="0"/>
    </xf>
    <xf numFmtId="0" fontId="24" fillId="0" borderId="3" xfId="32" applyNumberFormat="1" applyFont="1" applyBorder="1" applyAlignment="1">
      <alignment horizontal="center" vertical="center"/>
      <protection locked="0"/>
    </xf>
    <xf numFmtId="43" fontId="24" fillId="0" borderId="3" xfId="41" applyFont="1" applyFill="1" applyBorder="1">
      <alignment vertical="center"/>
    </xf>
    <xf numFmtId="190" fontId="8" fillId="0" borderId="3" xfId="43" applyFont="1" applyBorder="1" applyAlignment="1" applyProtection="1">
      <alignment horizontal="left" vertical="center" wrapText="1" indent="1"/>
      <protection locked="0"/>
    </xf>
    <xf numFmtId="190" fontId="24" fillId="0" borderId="3" xfId="43" applyFont="1" applyBorder="1" applyAlignment="1" applyProtection="1">
      <alignment horizontal="center" vertical="center" wrapText="1"/>
      <protection locked="0"/>
    </xf>
    <xf numFmtId="14" fontId="8" fillId="0" borderId="0" xfId="43" applyNumberFormat="1" applyFont="1">
      <alignment vertical="center"/>
    </xf>
    <xf numFmtId="14" fontId="24" fillId="0" borderId="0" xfId="43" applyNumberFormat="1" applyFont="1" applyAlignment="1" applyProtection="1">
      <alignment horizontal="right" vertical="center"/>
      <protection locked="0"/>
    </xf>
    <xf numFmtId="14" fontId="24" fillId="0" borderId="0" xfId="43" applyNumberFormat="1" applyFont="1" applyProtection="1">
      <alignment vertical="center"/>
      <protection locked="0"/>
    </xf>
    <xf numFmtId="14" fontId="8" fillId="0" borderId="0" xfId="0" applyNumberFormat="1" applyFont="1">
      <alignment vertical="center"/>
    </xf>
    <xf numFmtId="190" fontId="8" fillId="0" borderId="3" xfId="43" applyFont="1" applyBorder="1" applyProtection="1">
      <alignment vertical="center"/>
      <protection locked="0"/>
    </xf>
    <xf numFmtId="14" fontId="24" fillId="0" borderId="0" xfId="44" applyNumberFormat="1" applyFont="1">
      <alignment vertical="center"/>
    </xf>
    <xf numFmtId="190" fontId="63" fillId="0" borderId="3" xfId="32" applyFont="1" applyBorder="1" applyAlignment="1">
      <alignment horizontal="center" vertical="center"/>
      <protection locked="0"/>
    </xf>
    <xf numFmtId="14" fontId="24" fillId="0" borderId="0" xfId="32" applyNumberFormat="1" applyFont="1" applyAlignment="1">
      <alignment vertical="center"/>
      <protection locked="0"/>
    </xf>
    <xf numFmtId="190" fontId="8" fillId="0" borderId="9" xfId="32" applyFont="1" applyBorder="1" applyAlignment="1">
      <alignment vertical="center"/>
      <protection locked="0"/>
    </xf>
    <xf numFmtId="190" fontId="24" fillId="0" borderId="4" xfId="0" applyFont="1" applyBorder="1" applyAlignment="1" applyProtection="1">
      <alignment horizontal="left" vertical="center" indent="1"/>
      <protection locked="0"/>
    </xf>
    <xf numFmtId="190" fontId="24" fillId="0" borderId="9" xfId="0" applyFont="1" applyBorder="1" applyAlignment="1" applyProtection="1">
      <alignment horizontal="left" vertical="center" indent="1"/>
      <protection locked="0"/>
    </xf>
    <xf numFmtId="190" fontId="8" fillId="0" borderId="4" xfId="32" applyFont="1" applyBorder="1" applyAlignment="1">
      <alignment horizontal="left" vertical="center" indent="1"/>
      <protection locked="0"/>
    </xf>
    <xf numFmtId="190" fontId="8" fillId="0" borderId="9" xfId="32" applyFont="1" applyBorder="1" applyAlignment="1">
      <alignment horizontal="left" vertical="center" indent="1"/>
      <protection locked="0"/>
    </xf>
    <xf numFmtId="190" fontId="8" fillId="0" borderId="4" xfId="0" applyFont="1" applyBorder="1" applyProtection="1">
      <alignment vertical="center"/>
      <protection locked="0"/>
    </xf>
    <xf numFmtId="190" fontId="8" fillId="0" borderId="9" xfId="0" applyFont="1" applyBorder="1" applyProtection="1">
      <alignment vertical="center"/>
      <protection locked="0"/>
    </xf>
    <xf numFmtId="190" fontId="8" fillId="0" borderId="9" xfId="0" applyFont="1" applyBorder="1" applyAlignment="1" applyProtection="1">
      <alignment vertical="center" wrapText="1"/>
      <protection locked="0"/>
    </xf>
    <xf numFmtId="190" fontId="8" fillId="0" borderId="9" xfId="0" applyFont="1" applyBorder="1" applyAlignment="1" applyProtection="1">
      <alignment horizontal="left" vertical="center" wrapText="1" indent="1"/>
      <protection locked="0"/>
    </xf>
    <xf numFmtId="190" fontId="8" fillId="0" borderId="4" xfId="0" applyFont="1" applyBorder="1" applyAlignment="1" applyProtection="1">
      <alignment horizontal="left" vertical="center" indent="1"/>
      <protection locked="0"/>
    </xf>
    <xf numFmtId="190" fontId="63" fillId="0" borderId="0" xfId="43" applyFont="1" applyAlignment="1" applyProtection="1">
      <protection locked="0"/>
    </xf>
    <xf numFmtId="14" fontId="24" fillId="0" borderId="3" xfId="42" applyNumberFormat="1" applyFont="1" applyFill="1" applyBorder="1" applyAlignment="1">
      <alignment horizontal="right" vertical="center" shrinkToFit="1"/>
    </xf>
    <xf numFmtId="43" fontId="24" fillId="0" borderId="3" xfId="42" applyFont="1" applyFill="1" applyBorder="1" applyAlignment="1">
      <alignment horizontal="right" vertical="center" shrinkToFit="1"/>
    </xf>
    <xf numFmtId="0" fontId="28" fillId="0" borderId="3" xfId="54" applyFont="1" applyBorder="1" applyAlignment="1">
      <alignment horizontal="right" vertical="center" shrinkToFit="1"/>
    </xf>
    <xf numFmtId="0" fontId="24" fillId="0" borderId="3" xfId="54" applyFont="1" applyBorder="1" applyAlignment="1">
      <alignment vertical="center" shrinkToFit="1"/>
    </xf>
    <xf numFmtId="43" fontId="24" fillId="0" borderId="3" xfId="54" applyNumberFormat="1" applyFont="1" applyBorder="1" applyAlignment="1">
      <alignment vertical="center" shrinkToFit="1"/>
    </xf>
    <xf numFmtId="43" fontId="28" fillId="0" borderId="3" xfId="54" applyNumberFormat="1" applyFont="1" applyBorder="1" applyAlignment="1">
      <alignment horizontal="right" vertical="center" shrinkToFit="1"/>
    </xf>
    <xf numFmtId="190" fontId="8" fillId="0" borderId="0" xfId="32" applyFont="1" applyAlignment="1" applyProtection="1">
      <alignment vertical="center"/>
    </xf>
    <xf numFmtId="0" fontId="64" fillId="0" borderId="0" xfId="54" applyFont="1">
      <alignment vertical="center"/>
    </xf>
    <xf numFmtId="0" fontId="69" fillId="0" borderId="0" xfId="54" applyFont="1" applyAlignment="1">
      <alignment horizontal="left" vertical="center" wrapText="1"/>
    </xf>
    <xf numFmtId="0" fontId="64" fillId="0" borderId="0" xfId="54" applyFont="1" applyAlignment="1">
      <alignment vertical="center" wrapText="1"/>
    </xf>
    <xf numFmtId="0" fontId="34" fillId="0" borderId="0" xfId="54" applyFont="1" applyAlignment="1">
      <alignment vertical="center" wrapText="1"/>
    </xf>
    <xf numFmtId="0" fontId="34" fillId="0" borderId="0" xfId="54" applyFont="1">
      <alignment vertical="center"/>
    </xf>
    <xf numFmtId="0" fontId="24" fillId="0" borderId="3" xfId="54" applyFont="1" applyBorder="1" applyAlignment="1">
      <alignment horizontal="justify" vertical="center" shrinkToFit="1"/>
    </xf>
    <xf numFmtId="0" fontId="24" fillId="0" borderId="3" xfId="54" applyFont="1" applyBorder="1" applyAlignment="1">
      <alignment horizontal="right" vertical="center" shrinkToFit="1"/>
    </xf>
    <xf numFmtId="43" fontId="28" fillId="0" borderId="3" xfId="54" applyNumberFormat="1" applyFont="1" applyBorder="1" applyAlignment="1">
      <alignment vertical="center" shrinkToFit="1"/>
    </xf>
    <xf numFmtId="0" fontId="28" fillId="0" borderId="3" xfId="54" applyFont="1" applyBorder="1" applyAlignment="1">
      <alignment vertical="center" shrinkToFit="1"/>
    </xf>
    <xf numFmtId="0" fontId="34" fillId="0" borderId="0" xfId="72" applyFont="1">
      <alignment vertical="center"/>
    </xf>
    <xf numFmtId="0" fontId="34" fillId="0" borderId="0" xfId="72" applyFont="1" applyAlignment="1">
      <alignment horizontal="left" vertical="center"/>
    </xf>
    <xf numFmtId="0" fontId="82" fillId="0" borderId="0" xfId="72" applyFont="1" applyAlignment="1">
      <alignment horizontal="left" vertical="center"/>
    </xf>
    <xf numFmtId="190" fontId="45" fillId="13" borderId="0" xfId="0" applyFont="1" applyFill="1" applyAlignment="1">
      <alignment horizontal="justify" vertical="center"/>
    </xf>
    <xf numFmtId="190" fontId="45" fillId="0" borderId="0" xfId="359" applyFont="1">
      <alignment vertical="center"/>
    </xf>
    <xf numFmtId="190" fontId="24" fillId="0" borderId="0" xfId="359" applyFont="1" applyProtection="1">
      <alignment vertical="center"/>
      <protection locked="0"/>
    </xf>
    <xf numFmtId="0" fontId="24" fillId="0" borderId="0" xfId="360" applyFont="1" applyAlignment="1">
      <alignment horizontal="left" vertical="center"/>
      <protection locked="0"/>
    </xf>
    <xf numFmtId="190" fontId="28" fillId="0" borderId="0" xfId="359" applyFont="1" applyAlignment="1" applyProtection="1">
      <alignment horizontal="justify" vertical="center"/>
      <protection locked="0"/>
    </xf>
    <xf numFmtId="190" fontId="47" fillId="0" borderId="0" xfId="359" applyFont="1" applyAlignment="1" applyProtection="1">
      <alignment horizontal="center" vertical="center"/>
      <protection locked="0"/>
    </xf>
    <xf numFmtId="190" fontId="45" fillId="0" borderId="0" xfId="359" applyFont="1" applyAlignment="1" applyProtection="1">
      <alignment horizontal="center" vertical="center"/>
      <protection locked="0"/>
    </xf>
    <xf numFmtId="0" fontId="90" fillId="0" borderId="0" xfId="363" applyFont="1">
      <alignment vertical="center"/>
    </xf>
    <xf numFmtId="0" fontId="30" fillId="0" borderId="0" xfId="360" applyFont="1" applyAlignment="1">
      <alignment horizontal="left" vertical="center"/>
      <protection locked="0"/>
    </xf>
    <xf numFmtId="190" fontId="8" fillId="0" borderId="2" xfId="0" applyFont="1" applyBorder="1" applyAlignment="1">
      <alignment horizontal="center" vertical="center"/>
    </xf>
    <xf numFmtId="190" fontId="28" fillId="0" borderId="3" xfId="43" applyFont="1" applyBorder="1" applyAlignment="1" applyProtection="1">
      <alignment horizontal="center" vertical="center"/>
      <protection locked="0"/>
    </xf>
    <xf numFmtId="43" fontId="24" fillId="0" borderId="0" xfId="38" applyNumberFormat="1" applyFont="1" applyBorder="1" applyAlignment="1">
      <alignment vertical="center"/>
    </xf>
    <xf numFmtId="43" fontId="24" fillId="0" borderId="0" xfId="38" applyNumberFormat="1" applyFont="1" applyBorder="1" applyAlignment="1">
      <alignment horizontal="left" vertical="center"/>
    </xf>
    <xf numFmtId="0" fontId="9" fillId="0" borderId="3" xfId="146" applyFont="1" applyBorder="1" applyAlignment="1">
      <alignment horizontal="center" vertical="center"/>
    </xf>
    <xf numFmtId="43" fontId="28" fillId="0" borderId="19" xfId="38" applyNumberFormat="1" applyFont="1" applyBorder="1" applyAlignment="1">
      <alignment horizontal="left" vertical="center"/>
    </xf>
    <xf numFmtId="43" fontId="24" fillId="0" borderId="19" xfId="38" applyNumberFormat="1" applyFont="1" applyBorder="1" applyAlignment="1">
      <alignment horizontal="left" vertical="center"/>
    </xf>
    <xf numFmtId="43" fontId="91" fillId="0" borderId="19" xfId="331" applyNumberFormat="1" applyFont="1" applyBorder="1" applyAlignment="1" applyProtection="1">
      <alignment horizontal="center" vertical="center"/>
    </xf>
    <xf numFmtId="0" fontId="28" fillId="0" borderId="0" xfId="368" applyFont="1" applyAlignment="1">
      <alignment vertical="center"/>
    </xf>
    <xf numFmtId="190" fontId="24" fillId="0" borderId="0" xfId="43" applyFont="1" applyAlignment="1" applyProtection="1">
      <alignment horizontal="left" vertical="center" wrapText="1"/>
      <protection locked="0"/>
    </xf>
    <xf numFmtId="43" fontId="24" fillId="0" borderId="0" xfId="41" applyFont="1" applyFill="1" applyBorder="1" applyAlignment="1">
      <alignment horizontal="right" vertical="center" wrapText="1"/>
    </xf>
    <xf numFmtId="10" fontId="28" fillId="0" borderId="0" xfId="30" applyNumberFormat="1" applyFont="1" applyFill="1" applyBorder="1" applyAlignment="1">
      <alignment horizontal="right" vertical="center" wrapText="1"/>
    </xf>
    <xf numFmtId="43" fontId="8" fillId="0" borderId="0" xfId="43" applyNumberFormat="1" applyFont="1" applyAlignment="1" applyProtection="1">
      <alignment horizontal="left" vertical="center" wrapText="1" indent="1"/>
      <protection locked="0"/>
    </xf>
    <xf numFmtId="190" fontId="9" fillId="4" borderId="0" xfId="43" applyFont="1" applyFill="1" applyAlignment="1" applyProtection="1">
      <alignment horizontal="left" vertical="center"/>
      <protection locked="0"/>
    </xf>
    <xf numFmtId="43" fontId="28" fillId="0" borderId="0" xfId="41" applyFont="1" applyFill="1" applyBorder="1" applyAlignment="1">
      <alignment vertical="center"/>
    </xf>
    <xf numFmtId="190" fontId="28" fillId="0" borderId="0" xfId="43" applyFont="1" applyAlignment="1" applyProtection="1">
      <alignment horizontal="center" vertical="center"/>
      <protection locked="0"/>
    </xf>
    <xf numFmtId="190" fontId="24" fillId="0" borderId="0" xfId="0" applyFont="1" applyAlignment="1">
      <alignment horizontal="left" vertical="center" wrapText="1"/>
    </xf>
    <xf numFmtId="43" fontId="92" fillId="0" borderId="5" xfId="41" applyFont="1" applyBorder="1" applyAlignment="1">
      <alignment horizontal="right" vertical="center"/>
    </xf>
    <xf numFmtId="190" fontId="33" fillId="0" borderId="0" xfId="0" applyFont="1" applyAlignment="1">
      <alignment horizontal="center" vertical="center"/>
    </xf>
    <xf numFmtId="190" fontId="24" fillId="0" borderId="0" xfId="0" applyFont="1" applyAlignment="1">
      <alignment horizontal="center" vertical="center" wrapText="1"/>
    </xf>
    <xf numFmtId="190" fontId="8" fillId="0" borderId="0" xfId="0" applyFont="1" applyAlignment="1">
      <alignment horizontal="left" vertical="center"/>
    </xf>
    <xf numFmtId="14" fontId="8" fillId="0" borderId="0" xfId="0" applyNumberFormat="1" applyFont="1" applyAlignment="1">
      <alignment horizontal="left" vertical="center"/>
    </xf>
    <xf numFmtId="43" fontId="8" fillId="0" borderId="0" xfId="41" applyFont="1" applyAlignment="1">
      <alignment horizontal="right" vertical="center"/>
    </xf>
    <xf numFmtId="190" fontId="24" fillId="0" borderId="0" xfId="0" applyFont="1" applyAlignment="1">
      <alignment horizontal="right" vertical="center" wrapText="1"/>
    </xf>
    <xf numFmtId="43" fontId="24" fillId="0" borderId="0" xfId="41" applyFont="1" applyAlignment="1">
      <alignment horizontal="right" vertical="center" wrapText="1"/>
    </xf>
    <xf numFmtId="43" fontId="24" fillId="0" borderId="0" xfId="41" applyFont="1" applyAlignment="1">
      <alignment horizontal="right" vertical="center"/>
    </xf>
    <xf numFmtId="190" fontId="48" fillId="0" borderId="0" xfId="0" applyFont="1">
      <alignment vertical="center"/>
    </xf>
    <xf numFmtId="190" fontId="28" fillId="0" borderId="0" xfId="35" applyFont="1" applyAlignment="1">
      <alignment horizontal="center" vertical="center"/>
    </xf>
    <xf numFmtId="190" fontId="35" fillId="0" borderId="0" xfId="35" applyFont="1" applyAlignment="1">
      <alignment horizontal="center" vertical="center"/>
    </xf>
    <xf numFmtId="190" fontId="28" fillId="0" borderId="6" xfId="0" applyFont="1" applyBorder="1" applyAlignment="1">
      <alignment horizontal="justify" vertical="center"/>
    </xf>
    <xf numFmtId="190" fontId="28" fillId="0" borderId="6" xfId="0" applyFont="1" applyBorder="1" applyAlignment="1">
      <alignment horizontal="center" vertical="center"/>
    </xf>
    <xf numFmtId="190" fontId="28" fillId="0" borderId="5" xfId="0" applyFont="1" applyBorder="1" applyAlignment="1">
      <alignment horizontal="justify" vertical="center"/>
    </xf>
    <xf numFmtId="190" fontId="92" fillId="0" borderId="5" xfId="0" applyFont="1" applyBorder="1" applyAlignment="1">
      <alignment horizontal="justify" vertical="center"/>
    </xf>
    <xf numFmtId="43" fontId="28" fillId="0" borderId="6" xfId="41" applyFont="1" applyBorder="1" applyAlignment="1">
      <alignment horizontal="center" vertical="center"/>
    </xf>
    <xf numFmtId="190" fontId="92" fillId="0" borderId="5" xfId="0" applyFont="1" applyBorder="1" applyAlignment="1">
      <alignment horizontal="left" vertical="center"/>
    </xf>
    <xf numFmtId="190" fontId="25" fillId="0" borderId="0" xfId="43" applyFont="1" applyAlignment="1" applyProtection="1">
      <protection locked="0"/>
    </xf>
    <xf numFmtId="14" fontId="24" fillId="0" borderId="0" xfId="32" applyNumberFormat="1" applyFont="1" applyAlignment="1">
      <alignment horizontal="left" vertical="center"/>
      <protection locked="0"/>
    </xf>
    <xf numFmtId="190" fontId="28" fillId="0" borderId="0" xfId="37" applyFont="1" applyAlignment="1">
      <alignment vertical="center"/>
    </xf>
    <xf numFmtId="190" fontId="37" fillId="0" borderId="0" xfId="32" applyFont="1" applyAlignment="1">
      <alignment vertical="center"/>
      <protection locked="0"/>
    </xf>
    <xf numFmtId="190" fontId="31" fillId="0" borderId="0" xfId="32" applyFont="1" applyAlignment="1">
      <alignment horizontal="left"/>
      <protection locked="0"/>
    </xf>
    <xf numFmtId="190" fontId="93" fillId="0" borderId="0" xfId="0" applyFont="1">
      <alignment vertical="center"/>
    </xf>
    <xf numFmtId="190" fontId="24" fillId="0" borderId="0" xfId="359" applyFont="1" applyAlignment="1" applyProtection="1">
      <alignment horizontal="center" vertical="center"/>
      <protection locked="0"/>
    </xf>
    <xf numFmtId="190" fontId="86" fillId="0" borderId="0" xfId="359" applyFont="1" applyAlignment="1" applyProtection="1">
      <alignment horizontal="center" vertical="center" wrapText="1"/>
      <protection locked="0"/>
    </xf>
    <xf numFmtId="190" fontId="24" fillId="0" borderId="0" xfId="359" applyFont="1" applyAlignment="1" applyProtection="1">
      <alignment horizontal="center" vertical="center" wrapText="1"/>
      <protection locked="0"/>
    </xf>
    <xf numFmtId="190" fontId="67" fillId="0" borderId="0" xfId="0" applyFont="1">
      <alignment vertical="center"/>
    </xf>
    <xf numFmtId="190" fontId="45" fillId="0" borderId="0" xfId="0" applyFont="1" applyAlignment="1">
      <alignment horizontal="center" vertical="center"/>
    </xf>
    <xf numFmtId="190" fontId="28" fillId="0" borderId="5" xfId="0" applyFont="1" applyBorder="1" applyAlignment="1">
      <alignment horizontal="center" vertical="center"/>
    </xf>
    <xf numFmtId="0" fontId="8" fillId="0" borderId="3" xfId="146" applyFont="1" applyBorder="1">
      <alignment vertical="center"/>
    </xf>
    <xf numFmtId="0" fontId="24" fillId="0" borderId="3" xfId="146" applyFont="1" applyBorder="1">
      <alignment vertical="center"/>
    </xf>
    <xf numFmtId="0" fontId="63" fillId="0" borderId="3" xfId="146" applyFont="1" applyBorder="1" applyAlignment="1">
      <alignment horizontal="left" vertical="center" indent="1"/>
    </xf>
    <xf numFmtId="190" fontId="45" fillId="0" borderId="0" xfId="372" applyFont="1" applyAlignment="1">
      <alignment vertical="center" wrapText="1"/>
    </xf>
    <xf numFmtId="190" fontId="45" fillId="0" borderId="0" xfId="372" applyFont="1">
      <alignment vertical="center"/>
    </xf>
    <xf numFmtId="190" fontId="65" fillId="0" borderId="0" xfId="372" applyFont="1">
      <alignment vertical="center"/>
    </xf>
    <xf numFmtId="190" fontId="24" fillId="0" borderId="0" xfId="372" applyFont="1" applyProtection="1">
      <alignment vertical="center"/>
      <protection locked="0"/>
    </xf>
    <xf numFmtId="14" fontId="24" fillId="0" borderId="0" xfId="372" applyNumberFormat="1" applyFont="1" applyProtection="1">
      <alignment vertical="center"/>
      <protection locked="0"/>
    </xf>
    <xf numFmtId="190" fontId="24" fillId="0" borderId="0" xfId="372" applyFont="1" applyAlignment="1" applyProtection="1">
      <alignment vertical="center" wrapText="1"/>
      <protection locked="0"/>
    </xf>
    <xf numFmtId="190" fontId="30" fillId="0" borderId="0" xfId="372" applyFont="1" applyProtection="1">
      <alignment vertical="center"/>
      <protection locked="0"/>
    </xf>
    <xf numFmtId="190" fontId="28" fillId="0" borderId="0" xfId="372" applyFont="1" applyProtection="1">
      <alignment vertical="center"/>
      <protection locked="0"/>
    </xf>
    <xf numFmtId="190" fontId="101" fillId="0" borderId="0" xfId="372" applyFont="1">
      <alignment vertical="center"/>
    </xf>
    <xf numFmtId="49" fontId="28" fillId="0" borderId="0" xfId="372" applyNumberFormat="1" applyFont="1" applyAlignment="1" applyProtection="1">
      <alignment horizontal="left" vertical="center"/>
      <protection locked="0"/>
    </xf>
    <xf numFmtId="190" fontId="28" fillId="0" borderId="0" xfId="372" applyFont="1" applyAlignment="1" applyProtection="1">
      <alignment horizontal="justify" vertical="center"/>
      <protection locked="0"/>
    </xf>
    <xf numFmtId="190" fontId="47" fillId="0" borderId="0" xfId="372" applyFont="1" applyAlignment="1" applyProtection="1">
      <alignment horizontal="center" vertical="center" wrapText="1"/>
      <protection locked="0"/>
    </xf>
    <xf numFmtId="190" fontId="47" fillId="0" borderId="0" xfId="372" applyFont="1" applyAlignment="1" applyProtection="1">
      <alignment horizontal="center" vertical="center"/>
      <protection locked="0"/>
    </xf>
    <xf numFmtId="190" fontId="28" fillId="0" borderId="0" xfId="372" applyFont="1" applyAlignment="1" applyProtection="1">
      <alignment horizontal="center" vertical="center" wrapText="1"/>
      <protection locked="0"/>
    </xf>
    <xf numFmtId="0" fontId="24" fillId="0" borderId="3" xfId="373" applyFont="1" applyBorder="1" applyAlignment="1" applyProtection="1">
      <alignment horizontal="center" vertical="center" wrapText="1"/>
      <protection locked="0"/>
    </xf>
    <xf numFmtId="0" fontId="102" fillId="0" borderId="3" xfId="373" applyFont="1" applyBorder="1" applyAlignment="1" applyProtection="1">
      <alignment horizontal="center" vertical="center" wrapText="1"/>
      <protection locked="0"/>
    </xf>
    <xf numFmtId="190" fontId="104" fillId="0" borderId="3" xfId="372" applyFont="1" applyBorder="1" applyAlignment="1" applyProtection="1">
      <alignment horizontal="center" vertical="center" wrapText="1"/>
      <protection locked="0"/>
    </xf>
    <xf numFmtId="190" fontId="86" fillId="0" borderId="3" xfId="372" applyFont="1" applyBorder="1" applyAlignment="1" applyProtection="1">
      <alignment horizontal="center" vertical="center" wrapText="1"/>
      <protection locked="0"/>
    </xf>
    <xf numFmtId="190" fontId="24" fillId="0" borderId="3" xfId="372" applyFont="1" applyBorder="1" applyAlignment="1" applyProtection="1">
      <alignment horizontal="center" vertical="center" wrapText="1"/>
      <protection locked="0"/>
    </xf>
    <xf numFmtId="190" fontId="63" fillId="0" borderId="3" xfId="372" applyFont="1" applyBorder="1" applyAlignment="1" applyProtection="1">
      <alignment horizontal="center" vertical="center" wrapText="1"/>
      <protection locked="0"/>
    </xf>
    <xf numFmtId="190" fontId="63" fillId="0" borderId="0" xfId="372" applyFont="1" applyAlignment="1" applyProtection="1">
      <alignment horizontal="center" vertical="center" wrapText="1"/>
      <protection locked="0"/>
    </xf>
    <xf numFmtId="49" fontId="28" fillId="5" borderId="3" xfId="372" applyNumberFormat="1" applyFont="1" applyFill="1" applyBorder="1" applyAlignment="1" applyProtection="1">
      <alignment horizontal="center" vertical="center"/>
      <protection locked="0"/>
    </xf>
    <xf numFmtId="190" fontId="28" fillId="5" borderId="0" xfId="372" applyFont="1" applyFill="1" applyAlignment="1" applyProtection="1">
      <alignment horizontal="center" vertical="center" wrapText="1"/>
      <protection locked="0"/>
    </xf>
    <xf numFmtId="190" fontId="88" fillId="0" borderId="0" xfId="372" applyFont="1" applyAlignment="1">
      <alignment horizontal="center" vertical="center"/>
    </xf>
    <xf numFmtId="49" fontId="105" fillId="5" borderId="3" xfId="372" applyNumberFormat="1" applyFont="1" applyFill="1" applyBorder="1" applyAlignment="1" applyProtection="1">
      <alignment horizontal="left" vertical="center"/>
      <protection locked="0"/>
    </xf>
    <xf numFmtId="190" fontId="24" fillId="5" borderId="7" xfId="372" applyFont="1" applyFill="1" applyBorder="1" applyAlignment="1">
      <alignment horizontal="center" vertical="center" wrapText="1"/>
    </xf>
    <xf numFmtId="190" fontId="45" fillId="0" borderId="0" xfId="372" applyFont="1" applyAlignment="1" applyProtection="1">
      <alignment horizontal="center" vertical="center"/>
      <protection locked="0"/>
    </xf>
    <xf numFmtId="49" fontId="28" fillId="0" borderId="3" xfId="372" applyNumberFormat="1" applyFont="1" applyBorder="1" applyAlignment="1" applyProtection="1">
      <alignment horizontal="left" vertical="center" indent="1"/>
      <protection locked="0"/>
    </xf>
    <xf numFmtId="190" fontId="24" fillId="0" borderId="7" xfId="372" applyFont="1" applyBorder="1" applyAlignment="1">
      <alignment horizontal="center" vertical="center" wrapText="1"/>
    </xf>
    <xf numFmtId="49" fontId="29" fillId="5" borderId="3" xfId="363" applyNumberFormat="1" applyFont="1" applyFill="1" applyBorder="1" applyAlignment="1">
      <alignment horizontal="left" vertical="center"/>
    </xf>
    <xf numFmtId="0" fontId="113" fillId="0" borderId="0" xfId="363" applyFont="1">
      <alignment vertical="center"/>
    </xf>
    <xf numFmtId="49" fontId="113" fillId="0" borderId="3" xfId="363" applyNumberFormat="1" applyFont="1" applyBorder="1" applyAlignment="1">
      <alignment horizontal="left" vertical="center" indent="1"/>
    </xf>
    <xf numFmtId="0" fontId="17" fillId="0" borderId="0" xfId="363" applyFont="1">
      <alignment vertical="center"/>
    </xf>
    <xf numFmtId="49" fontId="103" fillId="5" borderId="3" xfId="372" applyNumberFormat="1" applyFont="1" applyFill="1" applyBorder="1" applyAlignment="1" applyProtection="1">
      <alignment horizontal="left" vertical="center"/>
      <protection locked="0"/>
    </xf>
    <xf numFmtId="49" fontId="24" fillId="0" borderId="3" xfId="362" applyNumberFormat="1" applyFont="1" applyBorder="1" applyAlignment="1">
      <alignment horizontal="left" vertical="center" indent="1" shrinkToFit="1"/>
    </xf>
    <xf numFmtId="190" fontId="45" fillId="0" borderId="7" xfId="372" applyFont="1" applyBorder="1" applyAlignment="1">
      <alignment horizontal="center" vertical="center" wrapText="1"/>
    </xf>
    <xf numFmtId="49" fontId="105" fillId="5" borderId="3" xfId="362" applyNumberFormat="1" applyFont="1" applyFill="1" applyBorder="1" applyAlignment="1">
      <alignment horizontal="left" vertical="center" shrinkToFit="1"/>
    </xf>
    <xf numFmtId="190" fontId="45" fillId="5" borderId="7" xfId="372" applyFont="1" applyFill="1" applyBorder="1" applyAlignment="1">
      <alignment horizontal="center" vertical="center" wrapText="1"/>
    </xf>
    <xf numFmtId="49" fontId="28" fillId="0" borderId="3" xfId="362" quotePrefix="1" applyNumberFormat="1" applyFont="1" applyBorder="1" applyAlignment="1">
      <alignment horizontal="left" vertical="center" indent="1" shrinkToFit="1"/>
    </xf>
    <xf numFmtId="49" fontId="103" fillId="5" borderId="3" xfId="362" applyNumberFormat="1" applyFont="1" applyFill="1" applyBorder="1" applyAlignment="1">
      <alignment horizontal="left" vertical="center" shrinkToFit="1"/>
    </xf>
    <xf numFmtId="190" fontId="45" fillId="5" borderId="0" xfId="372" applyFont="1" applyFill="1" applyAlignment="1">
      <alignment horizontal="center" vertical="center" wrapText="1"/>
    </xf>
    <xf numFmtId="49" fontId="24" fillId="0" borderId="3" xfId="362" quotePrefix="1" applyNumberFormat="1" applyFont="1" applyBorder="1" applyAlignment="1">
      <alignment horizontal="left" vertical="center" indent="1" shrinkToFit="1"/>
    </xf>
    <xf numFmtId="190" fontId="45" fillId="0" borderId="0" xfId="372" applyFont="1" applyAlignment="1">
      <alignment horizontal="center" vertical="center" wrapText="1"/>
    </xf>
    <xf numFmtId="49" fontId="24" fillId="0" borderId="3" xfId="362" quotePrefix="1" applyNumberFormat="1" applyFont="1" applyBorder="1" applyAlignment="1">
      <alignment horizontal="left" vertical="center" indent="1"/>
    </xf>
    <xf numFmtId="49" fontId="103" fillId="0" borderId="3" xfId="362" applyNumberFormat="1" applyFont="1" applyBorder="1" applyAlignment="1">
      <alignment horizontal="left" vertical="center" indent="1" shrinkToFit="1"/>
    </xf>
    <xf numFmtId="190" fontId="45" fillId="0" borderId="0" xfId="372" applyFont="1" applyAlignment="1" applyProtection="1">
      <alignment horizontal="left" vertical="center" wrapText="1"/>
      <protection locked="0"/>
    </xf>
    <xf numFmtId="49" fontId="24" fillId="0" borderId="3" xfId="362" applyNumberFormat="1" applyFont="1" applyBorder="1" applyAlignment="1">
      <alignment horizontal="left" vertical="center" indent="1"/>
    </xf>
    <xf numFmtId="190" fontId="45" fillId="0" borderId="0" xfId="372" applyFont="1" applyAlignment="1" applyProtection="1">
      <alignment horizontal="center" vertical="center" wrapText="1"/>
      <protection locked="0"/>
    </xf>
    <xf numFmtId="49" fontId="105" fillId="5" borderId="3" xfId="362" applyNumberFormat="1" applyFont="1" applyFill="1" applyBorder="1" applyAlignment="1">
      <alignment horizontal="left" vertical="center" wrapText="1"/>
    </xf>
    <xf numFmtId="190" fontId="65" fillId="0" borderId="0" xfId="372" applyFont="1" applyAlignment="1">
      <alignment vertical="center" wrapText="1"/>
    </xf>
    <xf numFmtId="0" fontId="115" fillId="0" borderId="0" xfId="363" applyFont="1">
      <alignment vertical="center"/>
    </xf>
    <xf numFmtId="190" fontId="28" fillId="5" borderId="3" xfId="43" applyFont="1" applyFill="1" applyBorder="1" applyAlignment="1" applyProtection="1">
      <alignment horizontal="center" vertical="center" wrapText="1"/>
      <protection locked="0"/>
    </xf>
    <xf numFmtId="190" fontId="28" fillId="0" borderId="0" xfId="34" applyFont="1" applyAlignment="1">
      <alignment horizontal="left" vertical="center" wrapText="1"/>
    </xf>
    <xf numFmtId="190" fontId="9" fillId="5" borderId="3" xfId="43" applyFont="1" applyFill="1" applyBorder="1" applyAlignment="1" applyProtection="1">
      <alignment horizontal="center" vertical="center"/>
      <protection locked="0"/>
    </xf>
    <xf numFmtId="0" fontId="28" fillId="5" borderId="3" xfId="44" applyFont="1" applyFill="1" applyBorder="1" applyAlignment="1">
      <alignment horizontal="center" vertical="center" wrapText="1"/>
    </xf>
    <xf numFmtId="190" fontId="28" fillId="5" borderId="3" xfId="0" applyFont="1" applyFill="1" applyBorder="1" applyAlignment="1">
      <alignment horizontal="center" vertical="center"/>
    </xf>
    <xf numFmtId="190" fontId="28" fillId="5" borderId="3" xfId="32" applyFont="1" applyFill="1" applyBorder="1" applyAlignment="1">
      <alignment horizontal="center" vertical="center"/>
      <protection locked="0"/>
    </xf>
    <xf numFmtId="0" fontId="24" fillId="0" borderId="0" xfId="44" applyFont="1" applyAlignment="1">
      <alignment vertical="center" wrapText="1"/>
    </xf>
    <xf numFmtId="43" fontId="24" fillId="0" borderId="3" xfId="41" applyFont="1" applyBorder="1" applyAlignment="1" applyProtection="1">
      <alignment horizontal="left" vertical="center"/>
      <protection locked="0"/>
    </xf>
    <xf numFmtId="190" fontId="66" fillId="13" borderId="0" xfId="0" applyFont="1" applyFill="1" applyAlignment="1">
      <alignment horizontal="center" vertical="center"/>
    </xf>
    <xf numFmtId="190" fontId="116" fillId="13" borderId="0" xfId="0" applyFont="1" applyFill="1" applyAlignment="1">
      <alignment horizontal="justify" vertical="center"/>
    </xf>
    <xf numFmtId="0" fontId="117" fillId="0" borderId="0" xfId="54" applyFont="1" applyAlignment="1">
      <alignment horizontal="left" vertical="center" wrapText="1"/>
    </xf>
    <xf numFmtId="190" fontId="25" fillId="0" borderId="0" xfId="32" applyFont="1" applyAlignment="1">
      <alignment horizontal="right"/>
      <protection locked="0"/>
    </xf>
    <xf numFmtId="190" fontId="8" fillId="0" borderId="0" xfId="32" applyFont="1" applyAlignment="1" applyProtection="1">
      <alignment horizontal="left" vertical="center" indent="1"/>
    </xf>
    <xf numFmtId="190" fontId="24" fillId="0" borderId="0" xfId="32" applyFont="1" applyAlignment="1" applyProtection="1">
      <alignment vertical="center"/>
    </xf>
    <xf numFmtId="0" fontId="24" fillId="0" borderId="0" xfId="32" applyNumberFormat="1" applyFont="1" applyAlignment="1" applyProtection="1">
      <alignment horizontal="left" vertical="center"/>
    </xf>
    <xf numFmtId="0" fontId="24" fillId="0" borderId="3" xfId="54" applyFont="1" applyBorder="1" applyAlignment="1">
      <alignment horizontal="center" vertical="center" shrinkToFit="1"/>
    </xf>
    <xf numFmtId="190" fontId="94" fillId="0" borderId="0" xfId="0" applyFont="1">
      <alignment vertical="center"/>
    </xf>
    <xf numFmtId="0" fontId="48" fillId="0" borderId="0" xfId="0" applyNumberFormat="1" applyFont="1" applyAlignment="1">
      <alignment horizontal="center" vertical="center"/>
    </xf>
    <xf numFmtId="190" fontId="8" fillId="0" borderId="4" xfId="32" applyFont="1" applyBorder="1" applyAlignment="1">
      <alignment vertical="center"/>
      <protection locked="0"/>
    </xf>
    <xf numFmtId="190" fontId="8" fillId="0" borderId="4" xfId="0" applyFont="1" applyBorder="1" applyAlignment="1" applyProtection="1">
      <alignment horizontal="left" vertical="center"/>
      <protection locked="0"/>
    </xf>
    <xf numFmtId="190" fontId="63" fillId="0" borderId="0" xfId="0" applyFont="1">
      <alignment vertical="center"/>
    </xf>
    <xf numFmtId="190" fontId="28" fillId="5" borderId="3" xfId="32" applyFont="1" applyFill="1" applyBorder="1" applyAlignment="1">
      <alignment horizontal="center" vertical="center" wrapText="1"/>
      <protection locked="0"/>
    </xf>
    <xf numFmtId="0" fontId="28" fillId="5" borderId="3" xfId="44" applyFont="1" applyFill="1" applyBorder="1" applyAlignment="1">
      <alignment horizontal="center" vertical="center"/>
    </xf>
    <xf numFmtId="0" fontId="28" fillId="5" borderId="3" xfId="203" applyFont="1" applyFill="1" applyBorder="1" applyAlignment="1" applyProtection="1">
      <alignment horizontal="center" vertical="center" wrapText="1"/>
      <protection locked="0"/>
    </xf>
    <xf numFmtId="190" fontId="9" fillId="5" borderId="4" xfId="43" applyFont="1" applyFill="1" applyBorder="1" applyAlignment="1" applyProtection="1">
      <alignment horizontal="center" vertical="center"/>
      <protection locked="0"/>
    </xf>
    <xf numFmtId="190" fontId="45" fillId="0" borderId="0" xfId="0" applyFont="1" applyAlignment="1">
      <alignment horizontal="left" vertical="center"/>
    </xf>
    <xf numFmtId="190" fontId="48" fillId="0" borderId="0" xfId="0" applyFont="1" applyAlignment="1">
      <alignment horizontal="justify" vertical="center"/>
    </xf>
    <xf numFmtId="190" fontId="8" fillId="0" borderId="0" xfId="0" applyFont="1" applyAlignment="1">
      <alignment horizontal="right" vertical="center"/>
    </xf>
    <xf numFmtId="190" fontId="9" fillId="5" borderId="3" xfId="33" applyFont="1" applyFill="1" applyBorder="1" applyAlignment="1" applyProtection="1">
      <alignment horizontal="center" vertical="center" wrapText="1"/>
      <protection locked="0"/>
    </xf>
    <xf numFmtId="190" fontId="28" fillId="5" borderId="3" xfId="33" applyFont="1" applyFill="1" applyBorder="1" applyAlignment="1" applyProtection="1">
      <alignment horizontal="center" vertical="center"/>
      <protection locked="0"/>
    </xf>
    <xf numFmtId="190" fontId="9" fillId="5" borderId="3" xfId="43" applyFont="1" applyFill="1" applyBorder="1" applyAlignment="1" applyProtection="1">
      <alignment horizontal="center" vertical="center" wrapText="1"/>
      <protection locked="0"/>
    </xf>
    <xf numFmtId="43" fontId="28" fillId="0" borderId="0" xfId="38" applyNumberFormat="1" applyFont="1" applyFill="1" applyBorder="1" applyAlignment="1">
      <alignment vertical="center"/>
    </xf>
    <xf numFmtId="43" fontId="25" fillId="0" borderId="0" xfId="38" applyNumberFormat="1" applyFont="1" applyBorder="1" applyAlignment="1">
      <alignment horizontal="right" vertical="center"/>
    </xf>
    <xf numFmtId="43" fontId="25" fillId="0" borderId="0" xfId="38" applyNumberFormat="1" applyFont="1" applyBorder="1" applyAlignment="1">
      <alignment vertical="center"/>
    </xf>
    <xf numFmtId="190" fontId="101" fillId="0" borderId="0" xfId="359" applyFont="1">
      <alignment vertical="center"/>
    </xf>
    <xf numFmtId="49" fontId="28" fillId="0" borderId="0" xfId="359" applyNumberFormat="1" applyFont="1" applyAlignment="1" applyProtection="1">
      <alignment horizontal="left" vertical="center"/>
      <protection locked="0"/>
    </xf>
    <xf numFmtId="0" fontId="28" fillId="5" borderId="3" xfId="267" applyFont="1" applyFill="1" applyBorder="1" applyAlignment="1" applyProtection="1">
      <alignment horizontal="center" vertical="center" wrapText="1"/>
      <protection locked="0"/>
    </xf>
    <xf numFmtId="49" fontId="24" fillId="0" borderId="3" xfId="359" applyNumberFormat="1" applyFont="1" applyBorder="1" applyAlignment="1" applyProtection="1">
      <alignment horizontal="center" vertical="center"/>
      <protection locked="0"/>
    </xf>
    <xf numFmtId="190" fontId="45" fillId="0" borderId="4" xfId="359" applyFont="1" applyBorder="1" applyAlignment="1">
      <alignment horizontal="left" vertical="top" wrapText="1"/>
    </xf>
    <xf numFmtId="0" fontId="28" fillId="0" borderId="0" xfId="358" applyFont="1" applyAlignment="1" applyProtection="1">
      <alignment horizontal="left" vertical="center" wrapText="1"/>
      <protection locked="0"/>
    </xf>
    <xf numFmtId="190" fontId="120" fillId="0" borderId="0" xfId="40" applyFont="1" applyAlignment="1">
      <alignment vertical="center"/>
      <protection locked="0"/>
    </xf>
    <xf numFmtId="0" fontId="28" fillId="0" borderId="0" xfId="358" applyFont="1" applyAlignment="1" applyProtection="1">
      <alignment horizontal="left" vertical="center"/>
      <protection locked="0"/>
    </xf>
    <xf numFmtId="0" fontId="28" fillId="10" borderId="3" xfId="358" applyFont="1" applyFill="1" applyBorder="1" applyAlignment="1" applyProtection="1">
      <alignment horizontal="center" vertical="center" wrapText="1"/>
      <protection locked="0"/>
    </xf>
    <xf numFmtId="0" fontId="24" fillId="0" borderId="3" xfId="358" applyFont="1" applyBorder="1" applyAlignment="1" applyProtection="1">
      <alignment horizontal="left" vertical="center" wrapText="1"/>
      <protection locked="0"/>
    </xf>
    <xf numFmtId="0" fontId="24" fillId="0" borderId="3" xfId="350" applyNumberFormat="1" applyFont="1" applyFill="1" applyBorder="1" applyAlignment="1" applyProtection="1">
      <alignment horizontal="left" vertical="center" wrapText="1"/>
      <protection locked="0"/>
    </xf>
    <xf numFmtId="201" fontId="24" fillId="0" borderId="3" xfId="350" applyNumberFormat="1" applyFont="1" applyFill="1" applyBorder="1" applyAlignment="1" applyProtection="1">
      <alignment vertical="center"/>
      <protection locked="0"/>
    </xf>
    <xf numFmtId="10" fontId="24" fillId="0" borderId="3" xfId="64" applyNumberFormat="1" applyFont="1" applyFill="1" applyBorder="1" applyAlignment="1" applyProtection="1">
      <alignment horizontal="center" vertical="center" shrinkToFit="1"/>
      <protection locked="0"/>
    </xf>
    <xf numFmtId="0" fontId="24" fillId="0" borderId="3" xfId="358" applyFont="1" applyBorder="1" applyAlignment="1" applyProtection="1">
      <alignment vertical="center"/>
      <protection locked="0"/>
    </xf>
    <xf numFmtId="0" fontId="24" fillId="0" borderId="3" xfId="358" applyFont="1" applyBorder="1" applyAlignment="1" applyProtection="1">
      <alignment horizontal="center" vertical="center"/>
      <protection locked="0"/>
    </xf>
    <xf numFmtId="201" fontId="24" fillId="0" borderId="3" xfId="350" applyNumberFormat="1" applyFont="1" applyFill="1" applyBorder="1" applyAlignment="1" applyProtection="1">
      <alignment horizontal="center" vertical="center"/>
      <protection locked="0"/>
    </xf>
    <xf numFmtId="10" fontId="24" fillId="0" borderId="3" xfId="64" applyNumberFormat="1" applyFont="1" applyFill="1" applyBorder="1" applyAlignment="1" applyProtection="1">
      <alignment vertical="center"/>
      <protection locked="0"/>
    </xf>
    <xf numFmtId="190" fontId="45" fillId="0" borderId="0" xfId="0" applyFont="1" applyAlignment="1">
      <alignment horizontal="justify" vertical="center"/>
    </xf>
    <xf numFmtId="190" fontId="47" fillId="0" borderId="6" xfId="0" applyFont="1" applyBorder="1" applyAlignment="1">
      <alignment horizontal="justify" vertical="center" wrapText="1"/>
    </xf>
    <xf numFmtId="190" fontId="47" fillId="0" borderId="6" xfId="0" applyFont="1" applyBorder="1" applyAlignment="1">
      <alignment horizontal="right" vertical="center" wrapText="1"/>
    </xf>
    <xf numFmtId="190" fontId="45" fillId="0" borderId="0" xfId="0" applyFont="1" applyAlignment="1">
      <alignment horizontal="justify" vertical="center" wrapText="1"/>
    </xf>
    <xf numFmtId="43" fontId="45" fillId="0" borderId="0" xfId="41" applyFont="1" applyAlignment="1">
      <alignment horizontal="right" vertical="center" wrapText="1"/>
    </xf>
    <xf numFmtId="190" fontId="45" fillId="0" borderId="5" xfId="0" applyFont="1" applyBorder="1" applyAlignment="1">
      <alignment horizontal="justify" vertical="center" wrapText="1"/>
    </xf>
    <xf numFmtId="43" fontId="45" fillId="0" borderId="5" xfId="41" applyFont="1" applyBorder="1" applyAlignment="1">
      <alignment horizontal="right" vertical="center" wrapText="1"/>
    </xf>
    <xf numFmtId="190" fontId="47" fillId="0" borderId="5" xfId="0" applyFont="1" applyBorder="1" applyAlignment="1">
      <alignment horizontal="justify" vertical="center" wrapText="1"/>
    </xf>
    <xf numFmtId="43" fontId="47" fillId="0" borderId="5" xfId="41" applyFont="1" applyBorder="1" applyAlignment="1">
      <alignment horizontal="right" vertical="center" wrapText="1"/>
    </xf>
    <xf numFmtId="190" fontId="47" fillId="0" borderId="6" xfId="0" applyFont="1" applyBorder="1" applyAlignment="1">
      <alignment horizontal="left" vertical="center" wrapText="1"/>
    </xf>
    <xf numFmtId="190" fontId="45" fillId="0" borderId="0" xfId="0" applyFont="1" applyAlignment="1">
      <alignment horizontal="justify" vertical="top" wrapText="1"/>
    </xf>
    <xf numFmtId="43" fontId="45" fillId="0" borderId="0" xfId="41" applyFont="1" applyBorder="1" applyAlignment="1">
      <alignment vertical="center" wrapText="1"/>
    </xf>
    <xf numFmtId="43" fontId="47" fillId="0" borderId="0" xfId="41" applyFont="1" applyBorder="1" applyAlignment="1">
      <alignment horizontal="right" vertical="center" wrapText="1"/>
    </xf>
    <xf numFmtId="190" fontId="45" fillId="0" borderId="0" xfId="0" applyFont="1" applyAlignment="1">
      <alignment vertical="top" wrapText="1"/>
    </xf>
    <xf numFmtId="190" fontId="45" fillId="0" borderId="0" xfId="0" applyFont="1" applyAlignment="1">
      <alignment vertical="center" wrapText="1"/>
    </xf>
    <xf numFmtId="190" fontId="47" fillId="0" borderId="0" xfId="0" applyFont="1" applyAlignment="1">
      <alignment horizontal="right" vertical="center" wrapText="1"/>
    </xf>
    <xf numFmtId="190" fontId="47" fillId="0" borderId="6" xfId="0" applyFont="1" applyBorder="1" applyAlignment="1">
      <alignment horizontal="justify" vertical="top" wrapText="1"/>
    </xf>
    <xf numFmtId="43" fontId="45" fillId="0" borderId="6" xfId="41" applyFont="1" applyBorder="1" applyAlignment="1">
      <alignment vertical="center" wrapText="1"/>
    </xf>
    <xf numFmtId="43" fontId="24" fillId="0" borderId="3" xfId="43" applyNumberFormat="1" applyFont="1" applyBorder="1" applyAlignment="1" applyProtection="1">
      <alignment horizontal="right" vertical="center" shrinkToFit="1"/>
      <protection locked="0"/>
    </xf>
    <xf numFmtId="0" fontId="28" fillId="0" borderId="0" xfId="65" applyFont="1" applyAlignment="1">
      <alignment vertical="center"/>
      <protection locked="0"/>
    </xf>
    <xf numFmtId="190" fontId="120" fillId="0" borderId="0" xfId="40" applyFont="1" applyAlignment="1" applyProtection="1">
      <alignment vertical="center"/>
    </xf>
    <xf numFmtId="0" fontId="9" fillId="5" borderId="3" xfId="0" applyNumberFormat="1" applyFont="1" applyFill="1" applyBorder="1" applyAlignment="1" applyProtection="1">
      <alignment horizontal="center" vertical="center" wrapText="1"/>
      <protection locked="0"/>
    </xf>
    <xf numFmtId="14" fontId="45" fillId="0" borderId="0" xfId="0" applyNumberFormat="1" applyFont="1">
      <alignment vertical="center"/>
    </xf>
    <xf numFmtId="190" fontId="28" fillId="5" borderId="3" xfId="43" applyFont="1" applyFill="1" applyBorder="1" applyAlignment="1" applyProtection="1">
      <alignment horizontal="center" vertical="center"/>
      <protection locked="0"/>
    </xf>
    <xf numFmtId="190" fontId="28" fillId="5" borderId="3" xfId="43" applyFont="1" applyFill="1" applyBorder="1" applyAlignment="1" applyProtection="1">
      <alignment horizontal="centerContinuous" vertical="center"/>
      <protection locked="0"/>
    </xf>
    <xf numFmtId="0" fontId="24" fillId="0" borderId="3" xfId="43" applyNumberFormat="1" applyFont="1" applyBorder="1" applyAlignment="1" applyProtection="1">
      <protection locked="0"/>
    </xf>
    <xf numFmtId="43" fontId="24" fillId="6" borderId="3" xfId="43" applyNumberFormat="1" applyFont="1" applyFill="1" applyBorder="1" applyAlignment="1">
      <alignment horizontal="right" vertical="center" shrinkToFit="1"/>
    </xf>
    <xf numFmtId="190" fontId="24" fillId="0" borderId="0" xfId="43" applyFont="1" applyAlignment="1" applyProtection="1">
      <alignment horizontal="left"/>
      <protection locked="0"/>
    </xf>
    <xf numFmtId="0" fontId="24" fillId="0" borderId="3" xfId="0" applyNumberFormat="1" applyFont="1" applyBorder="1" applyAlignment="1" applyProtection="1">
      <alignment vertical="center" wrapText="1"/>
      <protection locked="0"/>
    </xf>
    <xf numFmtId="43" fontId="24" fillId="0" borderId="3" xfId="0" applyNumberFormat="1" applyFont="1" applyBorder="1" applyAlignment="1" applyProtection="1">
      <alignment horizontal="right" vertical="center" shrinkToFit="1"/>
      <protection locked="0"/>
    </xf>
    <xf numFmtId="0" fontId="24" fillId="0" borderId="0" xfId="0" applyNumberFormat="1" applyFont="1" applyAlignment="1" applyProtection="1">
      <alignment vertical="center" wrapText="1"/>
      <protection locked="0"/>
    </xf>
    <xf numFmtId="43" fontId="24" fillId="0" borderId="0" xfId="0" applyNumberFormat="1" applyFont="1" applyAlignment="1" applyProtection="1">
      <alignment horizontal="right" vertical="center" shrinkToFit="1"/>
      <protection locked="0"/>
    </xf>
    <xf numFmtId="0" fontId="92" fillId="5" borderId="3" xfId="0" applyNumberFormat="1" applyFont="1" applyFill="1" applyBorder="1" applyAlignment="1" applyProtection="1">
      <alignment horizontal="center" vertical="center" wrapText="1"/>
      <protection locked="0"/>
    </xf>
    <xf numFmtId="0" fontId="45" fillId="0" borderId="0" xfId="44" applyFont="1">
      <alignment vertical="center"/>
    </xf>
    <xf numFmtId="41" fontId="24" fillId="0" borderId="0" xfId="43" applyNumberFormat="1" applyFont="1" applyAlignment="1">
      <alignment horizontal="right" vertical="center"/>
    </xf>
    <xf numFmtId="200" fontId="24" fillId="0" borderId="3" xfId="43" applyNumberFormat="1" applyFont="1" applyBorder="1" applyAlignment="1" applyProtection="1">
      <alignment horizontal="center" vertical="center" wrapText="1"/>
      <protection locked="0"/>
    </xf>
    <xf numFmtId="200" fontId="24" fillId="0" borderId="3" xfId="43" applyNumberFormat="1" applyFont="1" applyBorder="1" applyAlignment="1">
      <alignment horizontal="right" vertical="center"/>
    </xf>
    <xf numFmtId="200" fontId="24" fillId="0" borderId="4" xfId="44" applyNumberFormat="1" applyFont="1" applyBorder="1">
      <alignment vertical="center"/>
    </xf>
    <xf numFmtId="0" fontId="24" fillId="0" borderId="18" xfId="44" applyFont="1" applyBorder="1">
      <alignment vertical="center"/>
    </xf>
    <xf numFmtId="200" fontId="24" fillId="0" borderId="4" xfId="43" applyNumberFormat="1" applyFont="1" applyBorder="1" applyAlignment="1">
      <alignment horizontal="right" vertical="center"/>
    </xf>
    <xf numFmtId="0" fontId="24" fillId="0" borderId="0" xfId="146" applyFont="1" applyAlignment="1" applyProtection="1">
      <protection locked="0"/>
    </xf>
    <xf numFmtId="190" fontId="47" fillId="0" borderId="0" xfId="43" applyFont="1" applyAlignment="1">
      <alignment horizontal="right" vertical="center" wrapText="1"/>
    </xf>
    <xf numFmtId="190" fontId="45" fillId="0" borderId="0" xfId="359" applyFont="1" applyAlignment="1">
      <alignment horizontal="center" vertical="center"/>
    </xf>
    <xf numFmtId="190" fontId="47" fillId="0" borderId="0" xfId="359" applyFont="1" applyAlignment="1">
      <alignment horizontal="center" vertical="center"/>
    </xf>
    <xf numFmtId="0" fontId="94" fillId="0" borderId="0" xfId="363" applyFont="1">
      <alignment vertical="center"/>
    </xf>
    <xf numFmtId="190" fontId="67" fillId="0" borderId="0" xfId="359" applyFont="1">
      <alignment vertical="center"/>
    </xf>
    <xf numFmtId="190" fontId="34" fillId="0" borderId="0" xfId="36" applyFont="1">
      <alignment vertical="center"/>
    </xf>
    <xf numFmtId="190" fontId="29" fillId="0" borderId="0" xfId="0" applyFont="1" applyFill="1" applyBorder="1" applyAlignment="1" applyProtection="1">
      <alignment vertical="center"/>
      <protection locked="0"/>
    </xf>
    <xf numFmtId="49" fontId="29" fillId="0" borderId="0" xfId="267" applyNumberFormat="1" applyFont="1" applyFill="1" applyAlignment="1" applyProtection="1">
      <alignment horizontal="left" vertical="center"/>
      <protection locked="0"/>
    </xf>
    <xf numFmtId="190" fontId="45" fillId="0" borderId="0" xfId="374" applyFont="1">
      <alignment vertical="center"/>
    </xf>
    <xf numFmtId="190" fontId="65" fillId="0" borderId="0" xfId="374" applyFont="1">
      <alignment vertical="center"/>
    </xf>
    <xf numFmtId="190" fontId="24" fillId="0" borderId="0" xfId="374" applyFont="1" applyProtection="1">
      <alignment vertical="center"/>
      <protection locked="0"/>
    </xf>
    <xf numFmtId="14" fontId="24" fillId="0" borderId="0" xfId="374" applyNumberFormat="1" applyFont="1" applyProtection="1">
      <alignment vertical="center"/>
      <protection locked="0"/>
    </xf>
    <xf numFmtId="190" fontId="24" fillId="0" borderId="0" xfId="374" applyFont="1" applyAlignment="1" applyProtection="1">
      <alignment vertical="center" wrapText="1"/>
      <protection locked="0"/>
    </xf>
    <xf numFmtId="190" fontId="30" fillId="0" borderId="0" xfId="374" applyFont="1" applyProtection="1">
      <alignment vertical="center"/>
      <protection locked="0"/>
    </xf>
    <xf numFmtId="190" fontId="28" fillId="0" borderId="0" xfId="374" applyFont="1" applyProtection="1">
      <alignment vertical="center"/>
      <protection locked="0"/>
    </xf>
    <xf numFmtId="190" fontId="101" fillId="0" borderId="0" xfId="374" applyFont="1">
      <alignment vertical="center"/>
    </xf>
    <xf numFmtId="49" fontId="28" fillId="0" borderId="0" xfId="374" applyNumberFormat="1" applyFont="1" applyAlignment="1" applyProtection="1">
      <alignment horizontal="left" vertical="center"/>
      <protection locked="0"/>
    </xf>
    <xf numFmtId="190" fontId="28" fillId="0" borderId="0" xfId="374" applyFont="1" applyAlignment="1" applyProtection="1">
      <alignment horizontal="justify" vertical="center"/>
      <protection locked="0"/>
    </xf>
    <xf numFmtId="190" fontId="47" fillId="0" borderId="0" xfId="374" applyFont="1" applyAlignment="1" applyProtection="1">
      <alignment horizontal="center" vertical="center"/>
      <protection locked="0"/>
    </xf>
    <xf numFmtId="0" fontId="24" fillId="0" borderId="3" xfId="375" applyFont="1" applyBorder="1" applyAlignment="1" applyProtection="1">
      <alignment horizontal="center" vertical="center" wrapText="1"/>
      <protection locked="0"/>
    </xf>
    <xf numFmtId="190" fontId="104" fillId="0" borderId="3" xfId="374" applyFont="1" applyBorder="1" applyAlignment="1" applyProtection="1">
      <alignment horizontal="center" vertical="center" wrapText="1"/>
      <protection locked="0"/>
    </xf>
    <xf numFmtId="190" fontId="86" fillId="0" borderId="3" xfId="374" applyFont="1" applyBorder="1" applyAlignment="1" applyProtection="1">
      <alignment horizontal="center" vertical="center" wrapText="1"/>
      <protection locked="0"/>
    </xf>
    <xf numFmtId="190" fontId="24" fillId="0" borderId="3" xfId="374" applyFont="1" applyBorder="1" applyAlignment="1" applyProtection="1">
      <alignment horizontal="center" vertical="center" wrapText="1"/>
      <protection locked="0"/>
    </xf>
    <xf numFmtId="190" fontId="63" fillId="0" borderId="3" xfId="374" applyFont="1" applyBorder="1" applyAlignment="1" applyProtection="1">
      <alignment horizontal="center" vertical="center" wrapText="1"/>
      <protection locked="0"/>
    </xf>
    <xf numFmtId="49" fontId="28" fillId="5" borderId="3" xfId="374" applyNumberFormat="1" applyFont="1" applyFill="1" applyBorder="1" applyAlignment="1" applyProtection="1">
      <alignment horizontal="center" vertical="center"/>
      <protection locked="0"/>
    </xf>
    <xf numFmtId="190" fontId="88" fillId="0" borderId="0" xfId="374" applyFont="1" applyAlignment="1">
      <alignment horizontal="center" vertical="center"/>
    </xf>
    <xf numFmtId="49" fontId="105" fillId="5" borderId="3" xfId="374" applyNumberFormat="1" applyFont="1" applyFill="1" applyBorder="1" applyAlignment="1" applyProtection="1">
      <alignment horizontal="left" vertical="center"/>
      <protection locked="0"/>
    </xf>
    <xf numFmtId="190" fontId="45" fillId="0" borderId="0" xfId="374" applyFont="1" applyAlignment="1" applyProtection="1">
      <alignment horizontal="center" vertical="center"/>
      <protection locked="0"/>
    </xf>
    <xf numFmtId="49" fontId="28" fillId="0" borderId="3" xfId="374" applyNumberFormat="1" applyFont="1" applyBorder="1" applyAlignment="1" applyProtection="1">
      <alignment horizontal="left" vertical="center" indent="1"/>
      <protection locked="0"/>
    </xf>
    <xf numFmtId="49" fontId="103" fillId="5" borderId="3" xfId="374" applyNumberFormat="1" applyFont="1" applyFill="1" applyBorder="1" applyAlignment="1" applyProtection="1">
      <alignment horizontal="left" vertical="center"/>
      <protection locked="0"/>
    </xf>
    <xf numFmtId="190" fontId="65" fillId="0" borderId="0" xfId="374" applyFont="1" applyAlignment="1">
      <alignment vertical="center" wrapText="1"/>
    </xf>
    <xf numFmtId="190" fontId="46" fillId="0" borderId="0" xfId="374" applyFont="1" applyAlignment="1" applyProtection="1">
      <alignment horizontal="center" vertical="center"/>
      <protection locked="0"/>
    </xf>
    <xf numFmtId="0" fontId="48" fillId="16" borderId="0" xfId="267" applyFont="1" applyFill="1" applyAlignment="1" applyProtection="1">
      <alignment horizontal="left" vertical="center" wrapText="1"/>
      <protection locked="0"/>
    </xf>
    <xf numFmtId="0" fontId="46" fillId="0" borderId="3" xfId="267" applyFont="1" applyFill="1" applyBorder="1" applyAlignment="1">
      <alignment horizontal="center" vertical="center" wrapText="1"/>
    </xf>
    <xf numFmtId="0" fontId="45" fillId="0" borderId="3" xfId="267" applyFont="1" applyFill="1" applyBorder="1" applyAlignment="1">
      <alignment horizontal="center" vertical="center" wrapText="1"/>
    </xf>
    <xf numFmtId="0" fontId="50" fillId="0" borderId="3" xfId="267" applyFont="1" applyFill="1" applyBorder="1" applyAlignment="1">
      <alignment horizontal="center" vertical="center" wrapText="1"/>
    </xf>
    <xf numFmtId="0" fontId="45" fillId="0" borderId="3" xfId="44" applyFont="1" applyFill="1" applyBorder="1" applyAlignment="1" applyProtection="1">
      <alignment vertical="center" wrapText="1"/>
    </xf>
    <xf numFmtId="0" fontId="46" fillId="0" borderId="4" xfId="44" applyFont="1" applyFill="1" applyBorder="1" applyAlignment="1" applyProtection="1">
      <alignment vertical="center" wrapText="1"/>
    </xf>
    <xf numFmtId="0" fontId="30" fillId="0" borderId="0" xfId="44" applyFont="1">
      <alignment vertical="center"/>
    </xf>
    <xf numFmtId="190" fontId="30" fillId="0" borderId="0" xfId="32" applyFont="1" applyAlignment="1">
      <alignment vertical="center"/>
      <protection locked="0"/>
    </xf>
    <xf numFmtId="0" fontId="46" fillId="0" borderId="0" xfId="44" applyFont="1" applyFill="1" applyBorder="1" applyAlignment="1" applyProtection="1">
      <alignment vertical="center" wrapText="1"/>
    </xf>
    <xf numFmtId="190" fontId="52" fillId="0" borderId="0" xfId="374" applyFont="1" applyAlignment="1" applyProtection="1">
      <alignment horizontal="left" vertical="center"/>
      <protection locked="0"/>
    </xf>
    <xf numFmtId="190" fontId="9" fillId="0" borderId="0" xfId="0" applyFont="1" applyAlignment="1">
      <alignment horizontal="center" vertical="center"/>
    </xf>
    <xf numFmtId="49" fontId="24" fillId="0" borderId="0" xfId="42" applyNumberFormat="1" applyFont="1" applyFill="1" applyAlignment="1" applyProtection="1">
      <alignment horizontal="left" vertical="center" shrinkToFit="1"/>
    </xf>
    <xf numFmtId="190" fontId="9" fillId="0" borderId="0" xfId="0" applyFont="1">
      <alignment vertical="center"/>
    </xf>
    <xf numFmtId="190" fontId="46" fillId="0" borderId="0" xfId="374" applyFont="1" applyAlignment="1" applyProtection="1">
      <alignment horizontal="left" vertical="center"/>
      <protection locked="0"/>
    </xf>
    <xf numFmtId="190" fontId="46" fillId="0" borderId="4" xfId="359" applyFont="1" applyBorder="1" applyAlignment="1">
      <alignment horizontal="left" vertical="top" wrapText="1"/>
    </xf>
    <xf numFmtId="0" fontId="28" fillId="5" borderId="3" xfId="267" applyFont="1" applyFill="1" applyBorder="1" applyAlignment="1" applyProtection="1">
      <alignment horizontal="center" vertical="center"/>
      <protection locked="0"/>
    </xf>
    <xf numFmtId="190" fontId="28" fillId="5" borderId="3" xfId="43" applyFont="1" applyFill="1" applyBorder="1" applyAlignment="1" applyProtection="1">
      <alignment horizontal="center" vertical="center" wrapText="1"/>
      <protection locked="0"/>
    </xf>
    <xf numFmtId="49" fontId="24" fillId="0" borderId="0" xfId="42" applyNumberFormat="1" applyFont="1" applyFill="1" applyAlignment="1" applyProtection="1">
      <alignment vertical="center" shrinkToFit="1"/>
    </xf>
    <xf numFmtId="49" fontId="24" fillId="0" borderId="0" xfId="42" applyNumberFormat="1" applyFont="1" applyFill="1" applyAlignment="1" applyProtection="1">
      <alignment vertical="center"/>
    </xf>
    <xf numFmtId="49" fontId="24" fillId="0" borderId="0" xfId="42" applyNumberFormat="1" applyFont="1" applyFill="1" applyAlignment="1" applyProtection="1">
      <alignment horizontal="left" vertical="center"/>
    </xf>
    <xf numFmtId="43" fontId="24" fillId="5" borderId="3" xfId="41" applyFont="1" applyFill="1" applyBorder="1" applyAlignment="1">
      <alignment horizontal="right" vertical="center" wrapText="1"/>
    </xf>
    <xf numFmtId="43" fontId="8" fillId="5" borderId="3" xfId="41" applyFont="1" applyFill="1" applyBorder="1" applyAlignment="1">
      <alignment horizontal="right" vertical="center"/>
    </xf>
    <xf numFmtId="43" fontId="28" fillId="5" borderId="3" xfId="41" applyFont="1" applyFill="1" applyBorder="1" applyAlignment="1">
      <alignment vertical="center"/>
    </xf>
    <xf numFmtId="190" fontId="8" fillId="5" borderId="3" xfId="43" applyFont="1" applyFill="1" applyBorder="1" applyAlignment="1" applyProtection="1">
      <alignment horizontal="center" vertical="center"/>
      <protection locked="0"/>
    </xf>
    <xf numFmtId="190" fontId="8" fillId="5" borderId="3" xfId="43" applyFont="1" applyFill="1" applyBorder="1" applyProtection="1">
      <alignment vertical="center"/>
      <protection locked="0"/>
    </xf>
    <xf numFmtId="190" fontId="24" fillId="5" borderId="3" xfId="43" applyFont="1" applyFill="1" applyBorder="1" applyProtection="1">
      <alignment vertical="center"/>
      <protection locked="0"/>
    </xf>
    <xf numFmtId="190" fontId="24" fillId="5" borderId="3" xfId="43" applyFont="1" applyFill="1" applyBorder="1" applyAlignment="1" applyProtection="1">
      <alignment horizontal="left" vertical="center" indent="1"/>
      <protection locked="0"/>
    </xf>
    <xf numFmtId="190" fontId="24" fillId="5" borderId="3" xfId="43" applyFont="1" applyFill="1" applyBorder="1" applyAlignment="1" applyProtection="1">
      <alignment horizontal="center" vertical="center"/>
      <protection locked="0"/>
    </xf>
    <xf numFmtId="190" fontId="8" fillId="5" borderId="3" xfId="43" applyFont="1" applyFill="1" applyBorder="1" applyAlignment="1" applyProtection="1">
      <alignment vertical="center" wrapText="1"/>
      <protection locked="0"/>
    </xf>
    <xf numFmtId="190" fontId="8" fillId="5" borderId="3" xfId="43" applyFont="1" applyFill="1" applyBorder="1" applyAlignment="1" applyProtection="1">
      <alignment horizontal="left" vertical="center" wrapText="1" indent="1"/>
      <protection locked="0"/>
    </xf>
    <xf numFmtId="190" fontId="38" fillId="0" borderId="3" xfId="43" applyFont="1" applyBorder="1" applyAlignment="1" applyProtection="1">
      <alignment vertical="center" wrapText="1"/>
      <protection locked="0"/>
    </xf>
    <xf numFmtId="0" fontId="8" fillId="0" borderId="3" xfId="43" applyNumberFormat="1" applyFont="1" applyBorder="1" applyAlignment="1" applyProtection="1">
      <alignment horizontal="center" vertical="center"/>
      <protection locked="0"/>
    </xf>
    <xf numFmtId="0" fontId="24" fillId="0" borderId="3" xfId="43" applyNumberFormat="1" applyFont="1" applyBorder="1" applyAlignment="1" applyProtection="1">
      <alignment horizontal="center" vertical="center"/>
      <protection locked="0"/>
    </xf>
    <xf numFmtId="10" fontId="24" fillId="5" borderId="3" xfId="30" applyNumberFormat="1" applyFont="1" applyFill="1" applyBorder="1" applyAlignment="1">
      <alignment horizontal="right" vertical="center" wrapText="1"/>
    </xf>
    <xf numFmtId="10" fontId="28" fillId="5" borderId="3" xfId="30" applyNumberFormat="1" applyFont="1" applyFill="1" applyBorder="1" applyAlignment="1">
      <alignment horizontal="right" vertical="center" wrapText="1"/>
    </xf>
    <xf numFmtId="43" fontId="8" fillId="5" borderId="3" xfId="41" applyFont="1" applyFill="1" applyBorder="1" applyAlignment="1" applyProtection="1">
      <alignment vertical="center" wrapText="1"/>
      <protection locked="0"/>
    </xf>
    <xf numFmtId="43" fontId="8" fillId="5" borderId="3" xfId="43" applyNumberFormat="1" applyFont="1" applyFill="1" applyBorder="1" applyAlignment="1" applyProtection="1">
      <alignment horizontal="left" vertical="center" wrapText="1" indent="1"/>
      <protection locked="0"/>
    </xf>
    <xf numFmtId="190" fontId="25" fillId="0" borderId="0" xfId="0" applyFont="1" applyAlignment="1" applyProtection="1">
      <alignment vertical="center"/>
      <protection locked="0"/>
    </xf>
    <xf numFmtId="190" fontId="29" fillId="5" borderId="3" xfId="32" applyFont="1" applyFill="1" applyBorder="1" applyAlignment="1">
      <alignment horizontal="center" vertical="center"/>
      <protection locked="0"/>
    </xf>
    <xf numFmtId="190" fontId="29" fillId="5" borderId="3" xfId="32" applyFont="1" applyFill="1" applyBorder="1" applyAlignment="1">
      <alignment horizontal="center" vertical="center" wrapText="1"/>
      <protection locked="0"/>
    </xf>
    <xf numFmtId="43" fontId="28" fillId="0" borderId="3" xfId="30" applyNumberFormat="1" applyFont="1" applyFill="1" applyBorder="1" applyAlignment="1" applyProtection="1">
      <alignment horizontal="right" vertical="center"/>
      <protection locked="0"/>
    </xf>
    <xf numFmtId="43" fontId="24" fillId="0" borderId="3" xfId="32" applyNumberFormat="1" applyFont="1" applyFill="1" applyBorder="1" applyAlignment="1">
      <alignment vertical="center"/>
      <protection locked="0"/>
    </xf>
    <xf numFmtId="190" fontId="24" fillId="5" borderId="3" xfId="32" applyFont="1" applyFill="1" applyBorder="1" applyAlignment="1">
      <alignment vertical="center"/>
      <protection locked="0"/>
    </xf>
    <xf numFmtId="10" fontId="28" fillId="5" borderId="3" xfId="30" applyNumberFormat="1" applyFont="1" applyFill="1" applyBorder="1" applyAlignment="1" applyProtection="1">
      <alignment horizontal="right" vertical="center"/>
      <protection locked="0"/>
    </xf>
    <xf numFmtId="195" fontId="28" fillId="5" borderId="3" xfId="30" applyNumberFormat="1" applyFont="1" applyFill="1" applyBorder="1" applyAlignment="1" applyProtection="1">
      <alignment horizontal="right" vertical="center"/>
      <protection locked="0"/>
    </xf>
    <xf numFmtId="43" fontId="24" fillId="4" borderId="3" xfId="41" applyFont="1" applyFill="1" applyBorder="1" applyAlignment="1" applyProtection="1">
      <alignment horizontal="right" vertical="center"/>
      <protection locked="0"/>
    </xf>
    <xf numFmtId="202" fontId="28" fillId="5" borderId="3" xfId="32" applyNumberFormat="1" applyFont="1" applyFill="1" applyBorder="1" applyAlignment="1">
      <alignment horizontal="right" vertical="center" wrapText="1"/>
      <protection locked="0"/>
    </xf>
    <xf numFmtId="43" fontId="28" fillId="5" borderId="3" xfId="41" applyFont="1" applyFill="1" applyBorder="1" applyAlignment="1" applyProtection="1">
      <alignment horizontal="right" vertical="center" wrapText="1"/>
      <protection locked="0"/>
    </xf>
    <xf numFmtId="190" fontId="28" fillId="5" borderId="3" xfId="32" applyFont="1" applyFill="1" applyBorder="1" applyAlignment="1">
      <alignment horizontal="right" vertical="center"/>
      <protection locked="0"/>
    </xf>
    <xf numFmtId="202" fontId="24" fillId="0" borderId="3" xfId="41" quotePrefix="1" applyNumberFormat="1" applyFont="1" applyBorder="1" applyAlignment="1" applyProtection="1">
      <alignment horizontal="right" vertical="center"/>
      <protection locked="0"/>
    </xf>
    <xf numFmtId="43" fontId="24" fillId="5" borderId="3" xfId="41" applyFont="1" applyFill="1" applyBorder="1" applyAlignment="1" applyProtection="1">
      <alignment horizontal="right" vertical="center"/>
      <protection locked="0"/>
    </xf>
    <xf numFmtId="10" fontId="24" fillId="5" borderId="3" xfId="30" applyNumberFormat="1" applyFont="1" applyFill="1" applyBorder="1" applyAlignment="1" applyProtection="1">
      <alignment horizontal="right" vertical="center"/>
      <protection locked="0"/>
    </xf>
    <xf numFmtId="43" fontId="24" fillId="5" borderId="3" xfId="41" quotePrefix="1" applyFont="1" applyFill="1" applyBorder="1" applyAlignment="1" applyProtection="1">
      <alignment horizontal="right" vertical="center"/>
      <protection locked="0"/>
    </xf>
    <xf numFmtId="43" fontId="24" fillId="0" borderId="3" xfId="41" quotePrefix="1" applyFont="1" applyBorder="1" applyAlignment="1" applyProtection="1">
      <alignment horizontal="right" vertical="center"/>
      <protection locked="0"/>
    </xf>
    <xf numFmtId="43" fontId="24" fillId="5" borderId="3" xfId="32" applyNumberFormat="1" applyFont="1" applyFill="1" applyBorder="1" applyAlignment="1">
      <alignment horizontal="right" vertical="center"/>
      <protection locked="0"/>
    </xf>
    <xf numFmtId="10" fontId="24" fillId="5" borderId="3" xfId="30" quotePrefix="1" applyNumberFormat="1" applyFont="1" applyFill="1" applyBorder="1" applyAlignment="1" applyProtection="1">
      <alignment horizontal="right" vertical="center"/>
      <protection locked="0"/>
    </xf>
    <xf numFmtId="190" fontId="24" fillId="5" borderId="3" xfId="32" applyFont="1" applyFill="1" applyBorder="1" applyAlignment="1">
      <alignment horizontal="right" vertical="center"/>
      <protection locked="0"/>
    </xf>
    <xf numFmtId="0" fontId="36" fillId="0" borderId="0" xfId="44" applyFont="1" applyAlignment="1">
      <alignment horizontal="centerContinuous" vertical="center"/>
    </xf>
    <xf numFmtId="43" fontId="24" fillId="5" borderId="3" xfId="41" applyFont="1" applyFill="1" applyBorder="1">
      <alignment vertical="center"/>
    </xf>
    <xf numFmtId="0" fontId="24" fillId="5" borderId="3" xfId="44" applyFont="1" applyFill="1" applyBorder="1">
      <alignment vertical="center"/>
    </xf>
    <xf numFmtId="10" fontId="24" fillId="5" borderId="3" xfId="30" applyNumberFormat="1" applyFont="1" applyFill="1" applyBorder="1">
      <alignment vertical="center"/>
    </xf>
    <xf numFmtId="10" fontId="24" fillId="5" borderId="3" xfId="44" applyNumberFormat="1" applyFont="1" applyFill="1" applyBorder="1">
      <alignment vertical="center"/>
    </xf>
    <xf numFmtId="190" fontId="29" fillId="0" borderId="0" xfId="43" applyFont="1" applyAlignment="1" applyProtection="1">
      <alignment vertical="center"/>
      <protection locked="0"/>
    </xf>
    <xf numFmtId="190" fontId="24" fillId="0" borderId="0" xfId="43" applyFont="1" applyFill="1" applyAlignment="1" applyProtection="1">
      <alignment horizontal="center" vertical="center" wrapText="1"/>
      <protection locked="0"/>
    </xf>
    <xf numFmtId="41" fontId="24" fillId="0" borderId="0" xfId="43" applyNumberFormat="1" applyFont="1" applyFill="1" applyAlignment="1">
      <alignment horizontal="right" vertical="center"/>
    </xf>
    <xf numFmtId="0" fontId="24" fillId="0" borderId="0" xfId="44" applyFont="1" applyFill="1">
      <alignment vertical="center"/>
    </xf>
    <xf numFmtId="190" fontId="29" fillId="0" borderId="0" xfId="43" applyFont="1" applyAlignment="1" applyProtection="1">
      <alignment horizontal="left" vertical="center"/>
      <protection locked="0"/>
    </xf>
    <xf numFmtId="200" fontId="24" fillId="5" borderId="3" xfId="43" applyNumberFormat="1" applyFont="1" applyFill="1" applyBorder="1" applyAlignment="1">
      <alignment horizontal="right" vertical="center"/>
    </xf>
    <xf numFmtId="200" fontId="24" fillId="5" borderId="4" xfId="43" applyNumberFormat="1" applyFont="1" applyFill="1" applyBorder="1" applyAlignment="1">
      <alignment horizontal="right" vertical="center"/>
    </xf>
    <xf numFmtId="190" fontId="32" fillId="0" borderId="0" xfId="43" applyFont="1" applyAlignment="1" applyProtection="1">
      <protection locked="0"/>
    </xf>
    <xf numFmtId="0" fontId="94" fillId="0" borderId="0" xfId="44" applyFont="1">
      <alignment vertical="center"/>
    </xf>
    <xf numFmtId="0" fontId="96" fillId="0" borderId="0" xfId="44" applyFont="1">
      <alignment vertical="center"/>
    </xf>
    <xf numFmtId="190" fontId="29" fillId="0" borderId="0" xfId="43" applyFont="1" applyProtection="1">
      <alignment vertical="center"/>
      <protection locked="0"/>
    </xf>
    <xf numFmtId="190" fontId="29" fillId="0" borderId="0" xfId="32" applyFont="1" applyAlignment="1">
      <alignment vertical="center"/>
      <protection locked="0"/>
    </xf>
    <xf numFmtId="190" fontId="10" fillId="0" borderId="0" xfId="32" applyFont="1" applyAlignment="1" applyProtection="1">
      <alignment vertical="center"/>
    </xf>
    <xf numFmtId="190" fontId="29" fillId="0" borderId="0" xfId="32" applyFont="1" applyAlignment="1" applyProtection="1">
      <alignment horizontal="left" vertical="center"/>
    </xf>
    <xf numFmtId="190" fontId="95" fillId="0" borderId="0" xfId="32" applyFont="1" applyAlignment="1">
      <alignment vertical="center"/>
      <protection locked="0"/>
    </xf>
    <xf numFmtId="190" fontId="96" fillId="0" borderId="0" xfId="32" applyFont="1" applyAlignment="1">
      <alignment vertical="center"/>
      <protection locked="0"/>
    </xf>
    <xf numFmtId="190" fontId="30" fillId="0" borderId="0" xfId="32" applyFont="1">
      <protection locked="0"/>
    </xf>
    <xf numFmtId="43" fontId="28" fillId="5" borderId="16" xfId="32" applyNumberFormat="1" applyFont="1" applyFill="1" applyBorder="1" applyAlignment="1">
      <alignment horizontal="center" vertical="center" wrapText="1"/>
      <protection locked="0"/>
    </xf>
    <xf numFmtId="43" fontId="8" fillId="5" borderId="16" xfId="42" applyFont="1" applyFill="1" applyBorder="1" applyAlignment="1">
      <alignment horizontal="right" vertical="center"/>
    </xf>
    <xf numFmtId="43" fontId="8" fillId="5" borderId="3" xfId="42" applyFont="1" applyFill="1" applyBorder="1" applyAlignment="1">
      <alignment horizontal="right" vertical="center"/>
    </xf>
    <xf numFmtId="43" fontId="28" fillId="5" borderId="3" xfId="41" applyFont="1" applyFill="1" applyBorder="1" applyAlignment="1" applyProtection="1">
      <alignment horizontal="center" vertical="center"/>
      <protection locked="0"/>
    </xf>
    <xf numFmtId="190" fontId="24" fillId="5" borderId="4" xfId="32" applyFont="1" applyFill="1" applyBorder="1" applyAlignment="1">
      <alignment vertical="center"/>
      <protection locked="0"/>
    </xf>
    <xf numFmtId="190" fontId="24" fillId="5" borderId="9" xfId="32" applyFont="1" applyFill="1" applyBorder="1" applyAlignment="1">
      <alignment vertical="center" wrapText="1"/>
      <protection locked="0"/>
    </xf>
    <xf numFmtId="190" fontId="24" fillId="5" borderId="9" xfId="32" applyFont="1" applyFill="1" applyBorder="1" applyAlignment="1">
      <alignment vertical="center"/>
      <protection locked="0"/>
    </xf>
    <xf numFmtId="190" fontId="24" fillId="0" borderId="0" xfId="32" applyFont="1" applyFill="1" applyAlignment="1">
      <alignment vertical="center"/>
      <protection locked="0"/>
    </xf>
    <xf numFmtId="190" fontId="46" fillId="0" borderId="0" xfId="0" applyFont="1">
      <alignment vertical="center"/>
    </xf>
    <xf numFmtId="190" fontId="30" fillId="0" borderId="4" xfId="32" applyFont="1" applyBorder="1" applyAlignment="1">
      <alignment vertical="center"/>
      <protection locked="0"/>
    </xf>
    <xf numFmtId="190" fontId="30" fillId="0" borderId="0" xfId="37" applyFont="1" applyAlignment="1" applyProtection="1">
      <alignment vertical="center"/>
      <protection locked="0"/>
    </xf>
    <xf numFmtId="0" fontId="10" fillId="5" borderId="3" xfId="0" applyNumberFormat="1" applyFont="1" applyFill="1" applyBorder="1" applyAlignment="1" applyProtection="1">
      <alignment horizontal="center" vertical="center" wrapText="1"/>
      <protection locked="0"/>
    </xf>
    <xf numFmtId="0" fontId="62" fillId="17" borderId="3" xfId="32" applyNumberFormat="1" applyFont="1" applyFill="1" applyBorder="1" applyAlignment="1" applyProtection="1">
      <alignment horizontal="center" vertical="center" wrapText="1"/>
    </xf>
    <xf numFmtId="0" fontId="62" fillId="17" borderId="3" xfId="32" applyNumberFormat="1" applyFont="1" applyFill="1" applyBorder="1" applyAlignment="1" applyProtection="1">
      <alignment horizontal="center" vertical="center"/>
    </xf>
    <xf numFmtId="14" fontId="24" fillId="0" borderId="3" xfId="32" applyNumberFormat="1" applyFont="1" applyBorder="1" applyAlignment="1">
      <alignment horizontal="center" vertical="center"/>
      <protection locked="0"/>
    </xf>
    <xf numFmtId="0" fontId="24" fillId="0" borderId="3" xfId="32" applyNumberFormat="1" applyFont="1" applyBorder="1" applyAlignment="1">
      <alignment horizontal="left" vertical="center"/>
      <protection locked="0"/>
    </xf>
    <xf numFmtId="0" fontId="30" fillId="0" borderId="3" xfId="32" applyNumberFormat="1" applyFont="1" applyBorder="1" applyAlignment="1">
      <alignment horizontal="left" vertical="center"/>
      <protection locked="0"/>
    </xf>
    <xf numFmtId="0" fontId="30" fillId="0" borderId="3" xfId="32" applyNumberFormat="1" applyFont="1" applyBorder="1" applyAlignment="1">
      <alignment vertical="center" wrapText="1"/>
      <protection locked="0"/>
    </xf>
    <xf numFmtId="0" fontId="30" fillId="0" borderId="3" xfId="32" applyNumberFormat="1" applyFont="1" applyBorder="1" applyAlignment="1">
      <alignment horizontal="center" vertical="center"/>
      <protection locked="0"/>
    </xf>
    <xf numFmtId="0" fontId="24" fillId="0" borderId="3" xfId="32" applyNumberFormat="1" applyFont="1" applyBorder="1" applyAlignment="1">
      <alignment vertical="center" wrapText="1"/>
      <protection locked="0"/>
    </xf>
    <xf numFmtId="0" fontId="30" fillId="0" borderId="3" xfId="41" applyNumberFormat="1" applyFont="1" applyBorder="1" applyAlignment="1" applyProtection="1">
      <alignment horizontal="center" vertical="center"/>
      <protection locked="0"/>
    </xf>
    <xf numFmtId="0" fontId="24" fillId="0" borderId="3" xfId="41" applyNumberFormat="1" applyFont="1" applyBorder="1" applyAlignment="1" applyProtection="1">
      <alignment horizontal="center" vertical="center"/>
      <protection locked="0"/>
    </xf>
    <xf numFmtId="43" fontId="24" fillId="0" borderId="3" xfId="41" applyFont="1" applyBorder="1" applyAlignment="1" applyProtection="1">
      <alignment horizontal="center" vertical="center"/>
      <protection locked="0"/>
    </xf>
    <xf numFmtId="0" fontId="30" fillId="0" borderId="3" xfId="32" applyNumberFormat="1" applyFont="1" applyBorder="1" applyAlignment="1">
      <alignment horizontal="center" vertical="center" wrapText="1"/>
      <protection locked="0"/>
    </xf>
    <xf numFmtId="0" fontId="24" fillId="0" borderId="3" xfId="32" applyNumberFormat="1" applyFont="1" applyBorder="1" applyAlignment="1">
      <alignment horizontal="center" vertical="center" wrapText="1"/>
      <protection locked="0"/>
    </xf>
    <xf numFmtId="14" fontId="24" fillId="0" borderId="8" xfId="32" applyNumberFormat="1" applyFont="1" applyBorder="1" applyAlignment="1">
      <alignment horizontal="center" vertical="center"/>
      <protection locked="0"/>
    </xf>
    <xf numFmtId="0" fontId="24" fillId="0" borderId="8" xfId="32" applyNumberFormat="1" applyFont="1" applyBorder="1" applyAlignment="1">
      <alignment horizontal="center" vertical="center"/>
      <protection locked="0"/>
    </xf>
    <xf numFmtId="0" fontId="24" fillId="0" borderId="8" xfId="32" applyNumberFormat="1" applyFont="1" applyBorder="1" applyAlignment="1">
      <alignment horizontal="left" vertical="center"/>
      <protection locked="0"/>
    </xf>
    <xf numFmtId="0" fontId="24" fillId="0" borderId="8" xfId="32" applyNumberFormat="1" applyFont="1" applyBorder="1" applyAlignment="1">
      <alignment vertical="center" wrapText="1"/>
      <protection locked="0"/>
    </xf>
    <xf numFmtId="43" fontId="24" fillId="0" borderId="8" xfId="41" applyFont="1" applyBorder="1" applyAlignment="1" applyProtection="1">
      <alignment horizontal="left" vertical="center"/>
      <protection locked="0"/>
    </xf>
    <xf numFmtId="0" fontId="24" fillId="0" borderId="8" xfId="41" applyNumberFormat="1" applyFont="1" applyBorder="1" applyAlignment="1" applyProtection="1">
      <alignment horizontal="center" vertical="center"/>
      <protection locked="0"/>
    </xf>
    <xf numFmtId="43" fontId="24" fillId="0" borderId="8" xfId="41" applyFont="1" applyBorder="1" applyAlignment="1" applyProtection="1">
      <alignment horizontal="center" vertical="center"/>
      <protection locked="0"/>
    </xf>
    <xf numFmtId="0" fontId="24" fillId="0" borderId="8" xfId="32" applyNumberFormat="1" applyFont="1" applyBorder="1" applyAlignment="1">
      <alignment horizontal="center" vertical="center" wrapText="1"/>
      <protection locked="0"/>
    </xf>
    <xf numFmtId="190" fontId="125" fillId="0" borderId="0" xfId="32" applyFont="1">
      <protection locked="0"/>
    </xf>
    <xf numFmtId="190" fontId="128" fillId="0" borderId="0" xfId="0" applyFont="1">
      <alignment vertical="center"/>
    </xf>
    <xf numFmtId="190" fontId="48" fillId="0" borderId="0" xfId="32" applyFont="1" applyAlignment="1">
      <alignment vertical="center"/>
      <protection locked="0"/>
    </xf>
    <xf numFmtId="0" fontId="24" fillId="9" borderId="0" xfId="65" applyFont="1" applyFill="1" applyAlignment="1">
      <alignment horizontal="justify" vertical="center" wrapText="1"/>
      <protection locked="0"/>
    </xf>
    <xf numFmtId="0" fontId="38" fillId="9" borderId="0" xfId="65" applyFont="1" applyFill="1" applyAlignment="1">
      <alignment horizontal="justify" vertical="center" wrapText="1"/>
      <protection locked="0"/>
    </xf>
    <xf numFmtId="0" fontId="30" fillId="9" borderId="0" xfId="65" applyFont="1" applyFill="1" applyAlignment="1">
      <alignment horizontal="justify" vertical="center" wrapText="1"/>
      <protection locked="0"/>
    </xf>
    <xf numFmtId="0" fontId="96" fillId="16" borderId="0" xfId="267" applyFont="1" applyFill="1" applyAlignment="1" applyProtection="1">
      <alignment horizontal="left" vertical="center" wrapText="1"/>
      <protection locked="0"/>
    </xf>
    <xf numFmtId="0" fontId="81" fillId="0" borderId="0" xfId="44" applyFont="1" applyAlignment="1">
      <alignment horizontal="centerContinuous" vertical="center"/>
    </xf>
    <xf numFmtId="190" fontId="101" fillId="0" borderId="2" xfId="0" applyFont="1" applyBorder="1" applyAlignment="1">
      <alignment horizontal="center" vertical="center"/>
    </xf>
    <xf numFmtId="190" fontId="95" fillId="0" borderId="0" xfId="43" applyFont="1" applyAlignment="1" applyProtection="1">
      <alignment vertical="center"/>
      <protection locked="0"/>
    </xf>
    <xf numFmtId="0" fontId="115" fillId="0" borderId="0" xfId="44" applyFont="1">
      <alignment vertical="center"/>
    </xf>
    <xf numFmtId="190" fontId="94" fillId="0" borderId="0" xfId="43" applyFont="1" applyAlignment="1" applyProtection="1">
      <protection locked="0"/>
    </xf>
    <xf numFmtId="190" fontId="48" fillId="0" borderId="0" xfId="43" applyFont="1" applyAlignment="1" applyProtection="1">
      <protection locked="0"/>
    </xf>
    <xf numFmtId="190" fontId="95" fillId="0" borderId="0" xfId="43" applyFont="1" applyAlignment="1" applyProtection="1">
      <protection locked="0"/>
    </xf>
    <xf numFmtId="190" fontId="96" fillId="0" borderId="0" xfId="43" applyFont="1" applyAlignment="1" applyProtection="1">
      <protection locked="0"/>
    </xf>
    <xf numFmtId="190" fontId="63" fillId="0" borderId="0" xfId="0" applyFont="1" applyFill="1" applyBorder="1" applyAlignment="1" applyProtection="1">
      <alignment horizontal="left" vertical="center"/>
      <protection locked="0"/>
    </xf>
    <xf numFmtId="190" fontId="52" fillId="0" borderId="3" xfId="32" applyFont="1" applyBorder="1" applyAlignment="1">
      <alignment horizontal="left" vertical="center"/>
      <protection locked="0"/>
    </xf>
    <xf numFmtId="190" fontId="28" fillId="0" borderId="0" xfId="32" applyFont="1" applyFill="1" applyAlignment="1">
      <alignment vertical="center"/>
      <protection locked="0"/>
    </xf>
    <xf numFmtId="190" fontId="24" fillId="0" borderId="0" xfId="32" applyFont="1" applyFill="1" applyAlignment="1">
      <alignment horizontal="center" vertical="center"/>
      <protection locked="0"/>
    </xf>
    <xf numFmtId="190" fontId="125" fillId="0" borderId="0" xfId="32" applyFont="1" applyFill="1">
      <protection locked="0"/>
    </xf>
    <xf numFmtId="190" fontId="48" fillId="0" borderId="0" xfId="32" applyFont="1" applyFill="1" applyAlignment="1">
      <alignment horizontal="center" vertical="center"/>
      <protection locked="0"/>
    </xf>
    <xf numFmtId="190" fontId="94" fillId="0" borderId="0" xfId="32" applyFont="1" applyFill="1" applyAlignment="1">
      <alignment vertical="center"/>
      <protection locked="0"/>
    </xf>
    <xf numFmtId="190" fontId="28" fillId="0" borderId="0" xfId="32" applyFont="1" applyFill="1" applyAlignment="1">
      <alignment horizontal="left" vertical="center"/>
      <protection locked="0"/>
    </xf>
    <xf numFmtId="190" fontId="24" fillId="0" borderId="0" xfId="32" applyFont="1" applyFill="1" applyAlignment="1">
      <alignment horizontal="left" vertical="center"/>
      <protection locked="0"/>
    </xf>
    <xf numFmtId="190" fontId="86" fillId="0" borderId="7" xfId="359" applyFont="1" applyBorder="1" applyAlignment="1" applyProtection="1">
      <alignment horizontal="center" vertical="center" wrapText="1"/>
      <protection locked="0"/>
    </xf>
    <xf numFmtId="190" fontId="46" fillId="0" borderId="3" xfId="359" applyFont="1" applyBorder="1" applyAlignment="1">
      <alignment horizontal="left" vertical="center" wrapText="1"/>
    </xf>
    <xf numFmtId="190" fontId="45" fillId="0" borderId="3" xfId="359" applyFont="1" applyBorder="1" applyAlignment="1">
      <alignment horizontal="center" vertical="center" wrapText="1"/>
    </xf>
    <xf numFmtId="0" fontId="46" fillId="0" borderId="3" xfId="44" applyFont="1" applyFill="1" applyBorder="1" applyAlignment="1" applyProtection="1">
      <alignment vertical="center" wrapText="1"/>
    </xf>
    <xf numFmtId="190" fontId="46" fillId="0" borderId="3" xfId="359" applyFont="1" applyBorder="1" applyAlignment="1">
      <alignment horizontal="center" vertical="center" wrapText="1"/>
    </xf>
    <xf numFmtId="190" fontId="47" fillId="0" borderId="3" xfId="359" applyFont="1" applyBorder="1" applyAlignment="1">
      <alignment horizontal="center" vertical="center" wrapText="1"/>
    </xf>
    <xf numFmtId="0" fontId="30" fillId="0" borderId="3" xfId="44" applyFont="1" applyFill="1" applyBorder="1" applyAlignment="1" applyProtection="1">
      <alignment vertical="center" wrapText="1"/>
    </xf>
    <xf numFmtId="190" fontId="45" fillId="0" borderId="3" xfId="359" applyFont="1" applyBorder="1" applyAlignment="1">
      <alignment horizontal="left" vertical="top" wrapText="1"/>
    </xf>
    <xf numFmtId="190" fontId="45" fillId="0" borderId="3" xfId="359" applyFont="1" applyBorder="1" applyAlignment="1">
      <alignment horizontal="left" vertical="center" wrapText="1"/>
    </xf>
    <xf numFmtId="190" fontId="46" fillId="0" borderId="3" xfId="359" applyFont="1" applyBorder="1" applyAlignment="1">
      <alignment horizontal="left" vertical="top" wrapText="1"/>
    </xf>
    <xf numFmtId="41" fontId="29" fillId="10" borderId="3" xfId="43" applyNumberFormat="1" applyFont="1" applyFill="1" applyBorder="1" applyAlignment="1">
      <alignment horizontal="center" vertical="center" wrapText="1"/>
    </xf>
    <xf numFmtId="41" fontId="29" fillId="10" borderId="4" xfId="43" applyNumberFormat="1" applyFont="1" applyFill="1" applyBorder="1" applyAlignment="1">
      <alignment horizontal="center" vertical="center" wrapText="1"/>
    </xf>
    <xf numFmtId="0" fontId="24" fillId="5" borderId="3" xfId="43" applyNumberFormat="1" applyFont="1" applyFill="1" applyBorder="1" applyAlignment="1">
      <alignment horizontal="center" vertical="center" shrinkToFit="1"/>
    </xf>
    <xf numFmtId="190" fontId="28" fillId="0" borderId="3" xfId="43" applyFont="1" applyBorder="1" applyAlignment="1" applyProtection="1">
      <alignment horizontal="center" vertical="center" wrapText="1"/>
      <protection locked="0"/>
    </xf>
    <xf numFmtId="200" fontId="28" fillId="0" borderId="3" xfId="43" applyNumberFormat="1" applyFont="1" applyBorder="1" applyAlignment="1" applyProtection="1">
      <alignment horizontal="center" vertical="center" wrapText="1"/>
      <protection locked="0"/>
    </xf>
    <xf numFmtId="200" fontId="28" fillId="0" borderId="3" xfId="43" applyNumberFormat="1" applyFont="1" applyBorder="1" applyAlignment="1">
      <alignment horizontal="right" vertical="center"/>
    </xf>
    <xf numFmtId="200" fontId="28" fillId="5" borderId="3" xfId="43" applyNumberFormat="1" applyFont="1" applyFill="1" applyBorder="1" applyAlignment="1">
      <alignment horizontal="right" vertical="center"/>
    </xf>
    <xf numFmtId="200" fontId="28" fillId="5" borderId="3" xfId="43" applyNumberFormat="1" applyFont="1" applyFill="1" applyBorder="1" applyAlignment="1" applyProtection="1">
      <alignment horizontal="center" vertical="center" wrapText="1"/>
      <protection locked="0"/>
    </xf>
    <xf numFmtId="190" fontId="96" fillId="0" borderId="2" xfId="40" applyFont="1" applyBorder="1" applyAlignment="1" applyProtection="1">
      <alignment vertical="center"/>
    </xf>
    <xf numFmtId="190" fontId="129" fillId="0" borderId="0" xfId="40" applyFont="1" applyAlignment="1" applyProtection="1">
      <alignment horizontal="center" vertical="center"/>
    </xf>
    <xf numFmtId="190" fontId="129" fillId="0" borderId="0" xfId="40" applyFont="1" applyAlignment="1" applyProtection="1">
      <alignment vertical="center"/>
      <protection locked="0"/>
    </xf>
    <xf numFmtId="0" fontId="129" fillId="0" borderId="0" xfId="40" applyNumberFormat="1" applyFont="1" applyAlignment="1" applyProtection="1">
      <alignment horizontal="left" vertical="center"/>
    </xf>
    <xf numFmtId="190" fontId="129" fillId="0" borderId="0" xfId="40" applyFont="1" applyAlignment="1">
      <alignment vertical="center"/>
      <protection locked="0"/>
    </xf>
    <xf numFmtId="190" fontId="130" fillId="0" borderId="0" xfId="32" applyFont="1" applyAlignment="1">
      <alignment vertical="center"/>
      <protection locked="0"/>
    </xf>
    <xf numFmtId="190" fontId="30" fillId="0" borderId="0" xfId="32" applyFont="1" applyAlignment="1">
      <alignment horizontal="right" vertical="center"/>
      <protection locked="0"/>
    </xf>
    <xf numFmtId="190" fontId="30" fillId="0" borderId="0" xfId="0" applyFont="1" applyProtection="1">
      <alignment vertical="center"/>
      <protection locked="0"/>
    </xf>
    <xf numFmtId="190" fontId="30" fillId="0" borderId="0" xfId="43" applyFont="1" applyAlignment="1" applyProtection="1">
      <alignment horizontal="right" vertical="center"/>
      <protection locked="0"/>
    </xf>
    <xf numFmtId="190" fontId="48" fillId="0" borderId="0" xfId="34" applyFont="1" applyAlignment="1">
      <alignment vertical="center" wrapText="1"/>
    </xf>
    <xf numFmtId="190" fontId="30" fillId="0" borderId="3" xfId="43" applyFont="1" applyBorder="1" applyAlignment="1" applyProtection="1">
      <alignment horizontal="center" vertical="center" wrapText="1"/>
      <protection locked="0"/>
    </xf>
    <xf numFmtId="190" fontId="29" fillId="5" borderId="3" xfId="32" applyFont="1" applyFill="1" applyBorder="1" applyAlignment="1">
      <alignment horizontal="center" vertical="center"/>
      <protection locked="0"/>
    </xf>
    <xf numFmtId="0" fontId="28" fillId="5" borderId="3" xfId="146" applyFont="1" applyFill="1" applyBorder="1" applyAlignment="1">
      <alignment horizontal="center" vertical="center"/>
    </xf>
    <xf numFmtId="0" fontId="28" fillId="5" borderId="3" xfId="146" applyFont="1" applyFill="1" applyBorder="1" applyAlignment="1">
      <alignment horizontal="center" vertical="center" wrapText="1"/>
    </xf>
    <xf numFmtId="0" fontId="29" fillId="5" borderId="3" xfId="146" applyFont="1" applyFill="1" applyBorder="1" applyAlignment="1" applyProtection="1">
      <alignment horizontal="center" vertical="center"/>
    </xf>
    <xf numFmtId="0" fontId="29" fillId="5" borderId="3" xfId="203" applyFont="1" applyFill="1" applyBorder="1" applyAlignment="1" applyProtection="1">
      <alignment horizontal="center" vertical="center" wrapText="1"/>
      <protection locked="0"/>
    </xf>
    <xf numFmtId="49" fontId="29" fillId="0" borderId="0" xfId="42" applyNumberFormat="1" applyFont="1" applyFill="1" applyAlignment="1" applyProtection="1">
      <alignment horizontal="left" vertical="center"/>
    </xf>
    <xf numFmtId="190" fontId="29" fillId="0" borderId="0" xfId="32" applyFont="1" applyFill="1" applyAlignment="1" applyProtection="1">
      <alignment horizontal="left" vertical="center"/>
    </xf>
    <xf numFmtId="190" fontId="28" fillId="0" borderId="0" xfId="37" applyFont="1" applyFill="1" applyAlignment="1">
      <alignment horizontal="left" vertical="center"/>
    </xf>
    <xf numFmtId="190" fontId="24" fillId="0" borderId="0" xfId="37" applyFont="1" applyFill="1" applyAlignment="1">
      <alignment vertical="center"/>
    </xf>
    <xf numFmtId="190" fontId="28" fillId="0" borderId="0" xfId="37" applyFont="1" applyFill="1" applyAlignment="1">
      <alignment vertical="center"/>
    </xf>
    <xf numFmtId="190" fontId="28" fillId="0" borderId="8" xfId="37" applyFont="1" applyFill="1" applyBorder="1" applyAlignment="1">
      <alignment vertical="center"/>
    </xf>
    <xf numFmtId="190" fontId="28" fillId="0" borderId="0" xfId="32" applyFont="1" applyFill="1" applyAlignment="1" applyProtection="1">
      <alignment horizontal="left" vertical="center"/>
    </xf>
    <xf numFmtId="190" fontId="8" fillId="0" borderId="0" xfId="0" applyFont="1" applyFill="1">
      <alignment vertical="center"/>
    </xf>
    <xf numFmtId="0" fontId="24" fillId="0" borderId="0" xfId="32" applyNumberFormat="1" applyFont="1" applyFill="1" applyAlignment="1" applyProtection="1">
      <alignment horizontal="left" vertical="center"/>
    </xf>
    <xf numFmtId="190" fontId="24" fillId="0" borderId="3" xfId="32" applyFont="1" applyFill="1" applyBorder="1" applyAlignment="1">
      <alignment horizontal="center" vertical="center"/>
      <protection locked="0"/>
    </xf>
    <xf numFmtId="190" fontId="28" fillId="0" borderId="0" xfId="34" applyFont="1" applyFill="1" applyAlignment="1">
      <alignment vertical="center" wrapText="1"/>
    </xf>
    <xf numFmtId="0" fontId="62" fillId="17" borderId="3" xfId="32" applyNumberFormat="1" applyFont="1" applyFill="1" applyBorder="1" applyAlignment="1" applyProtection="1">
      <alignment horizontal="center" vertical="center" wrapText="1"/>
    </xf>
    <xf numFmtId="0" fontId="10" fillId="5" borderId="3" xfId="0" applyNumberFormat="1" applyFont="1" applyFill="1" applyBorder="1" applyAlignment="1" applyProtection="1">
      <alignment horizontal="center" vertical="center" wrapText="1"/>
      <protection locked="0"/>
    </xf>
    <xf numFmtId="0" fontId="29" fillId="5" borderId="3" xfId="267" applyFont="1" applyFill="1" applyBorder="1" applyAlignment="1" applyProtection="1">
      <alignment horizontal="center" vertical="center" wrapText="1"/>
      <protection locked="0"/>
    </xf>
    <xf numFmtId="0" fontId="30" fillId="0" borderId="4" xfId="32" applyNumberFormat="1" applyFont="1" applyBorder="1" applyAlignment="1">
      <alignment horizontal="center" vertical="center"/>
      <protection locked="0"/>
    </xf>
    <xf numFmtId="0" fontId="24" fillId="0" borderId="4" xfId="32" applyNumberFormat="1" applyFont="1" applyBorder="1" applyAlignment="1">
      <alignment horizontal="center" vertical="center"/>
      <protection locked="0"/>
    </xf>
    <xf numFmtId="0" fontId="24" fillId="0" borderId="7" xfId="32" applyNumberFormat="1" applyFont="1" applyBorder="1" applyAlignment="1">
      <alignment horizontal="center" vertical="center"/>
      <protection locked="0"/>
    </xf>
    <xf numFmtId="0" fontId="30" fillId="0" borderId="0" xfId="32" applyNumberFormat="1" applyFont="1" applyBorder="1" applyAlignment="1">
      <alignment horizontal="center" vertical="center" wrapText="1"/>
      <protection locked="0"/>
    </xf>
    <xf numFmtId="0" fontId="24" fillId="0" borderId="0" xfId="32" applyNumberFormat="1" applyFont="1" applyBorder="1" applyAlignment="1">
      <alignment horizontal="center" vertical="center" wrapText="1"/>
      <protection locked="0"/>
    </xf>
    <xf numFmtId="190" fontId="29" fillId="5" borderId="3" xfId="32" applyFont="1" applyFill="1" applyBorder="1" applyAlignment="1">
      <alignment horizontal="center" vertical="center"/>
      <protection locked="0"/>
    </xf>
    <xf numFmtId="190" fontId="96" fillId="0" borderId="0" xfId="376" applyFont="1" applyFill="1" applyAlignment="1">
      <alignment horizontal="left" vertical="center"/>
    </xf>
    <xf numFmtId="0" fontId="8" fillId="0" borderId="2" xfId="0" applyNumberFormat="1" applyFont="1" applyBorder="1" applyAlignment="1">
      <alignment horizontal="center" vertical="center"/>
    </xf>
    <xf numFmtId="0" fontId="28" fillId="0" borderId="0" xfId="65" applyFont="1" applyFill="1" applyAlignment="1">
      <alignment vertical="center"/>
      <protection locked="0"/>
    </xf>
    <xf numFmtId="0" fontId="38" fillId="0" borderId="0" xfId="65" applyFont="1" applyFill="1" applyAlignment="1">
      <alignment horizontal="justify" vertical="center" wrapText="1"/>
      <protection locked="0"/>
    </xf>
    <xf numFmtId="0" fontId="24" fillId="0" borderId="0" xfId="65" applyFont="1" applyFill="1" applyAlignment="1">
      <alignment horizontal="justify" vertical="center" wrapText="1"/>
      <protection locked="0"/>
    </xf>
    <xf numFmtId="0" fontId="30" fillId="0" borderId="0" xfId="65" applyFont="1" applyFill="1" applyAlignment="1">
      <alignment horizontal="justify" vertical="center" wrapText="1"/>
      <protection locked="0"/>
    </xf>
    <xf numFmtId="190" fontId="81" fillId="0" borderId="0" xfId="0" applyFont="1" applyAlignment="1" applyProtection="1">
      <alignment horizontal="center" vertical="center"/>
      <protection locked="0"/>
    </xf>
    <xf numFmtId="14" fontId="28" fillId="5" borderId="3" xfId="32" applyNumberFormat="1" applyFont="1" applyFill="1" applyBorder="1" applyAlignment="1">
      <alignment horizontal="center" vertical="center"/>
      <protection locked="0"/>
    </xf>
    <xf numFmtId="0" fontId="28" fillId="5" borderId="3" xfId="32" applyNumberFormat="1" applyFont="1" applyFill="1" applyBorder="1" applyAlignment="1">
      <alignment horizontal="center" vertical="center"/>
      <protection locked="0"/>
    </xf>
    <xf numFmtId="0" fontId="28" fillId="5" borderId="3" xfId="32" applyNumberFormat="1" applyFont="1" applyFill="1" applyBorder="1" applyAlignment="1">
      <alignment horizontal="left" vertical="center"/>
      <protection locked="0"/>
    </xf>
    <xf numFmtId="0" fontId="28" fillId="5" borderId="3" xfId="32" applyNumberFormat="1" applyFont="1" applyFill="1" applyBorder="1" applyAlignment="1">
      <alignment vertical="center" wrapText="1"/>
      <protection locked="0"/>
    </xf>
    <xf numFmtId="43" fontId="28" fillId="5" borderId="3" xfId="41" applyFont="1" applyFill="1" applyBorder="1" applyAlignment="1" applyProtection="1">
      <alignment horizontal="left" vertical="center"/>
      <protection locked="0"/>
    </xf>
    <xf numFmtId="0" fontId="28" fillId="5" borderId="4" xfId="32" applyNumberFormat="1" applyFont="1" applyFill="1" applyBorder="1" applyAlignment="1">
      <alignment horizontal="center" vertical="center"/>
      <protection locked="0"/>
    </xf>
    <xf numFmtId="0" fontId="28" fillId="5" borderId="7" xfId="32" applyNumberFormat="1" applyFont="1" applyFill="1" applyBorder="1" applyAlignment="1">
      <alignment horizontal="center" vertical="center"/>
      <protection locked="0"/>
    </xf>
    <xf numFmtId="0" fontId="28" fillId="5" borderId="0" xfId="32" applyNumberFormat="1" applyFont="1" applyFill="1" applyBorder="1" applyAlignment="1">
      <alignment horizontal="center" vertical="center" wrapText="1"/>
      <protection locked="0"/>
    </xf>
    <xf numFmtId="190" fontId="28" fillId="5" borderId="0" xfId="32" applyFont="1" applyFill="1" applyAlignment="1">
      <alignment vertical="center"/>
      <protection locked="0"/>
    </xf>
    <xf numFmtId="0" fontId="28" fillId="5" borderId="3" xfId="41" applyNumberFormat="1" applyFont="1" applyFill="1" applyBorder="1" applyAlignment="1" applyProtection="1">
      <alignment horizontal="center" vertical="center"/>
      <protection locked="0"/>
    </xf>
    <xf numFmtId="0" fontId="28" fillId="5" borderId="3" xfId="32" applyNumberFormat="1" applyFont="1" applyFill="1" applyBorder="1" applyAlignment="1">
      <alignment horizontal="center" vertical="center" wrapText="1"/>
      <protection locked="0"/>
    </xf>
    <xf numFmtId="190" fontId="0" fillId="0" borderId="0" xfId="0" applyAlignment="1" applyProtection="1">
      <protection locked="0"/>
    </xf>
    <xf numFmtId="190" fontId="30" fillId="0" borderId="3" xfId="0" applyFont="1" applyBorder="1" applyAlignment="1" applyProtection="1">
      <alignment horizontal="center" vertical="center"/>
      <protection locked="0"/>
    </xf>
    <xf numFmtId="190" fontId="52" fillId="0" borderId="0" xfId="32" applyFont="1" applyAlignment="1">
      <alignment vertical="center"/>
      <protection locked="0"/>
    </xf>
    <xf numFmtId="10" fontId="24" fillId="0" borderId="3" xfId="67" applyNumberFormat="1" applyFont="1" applyBorder="1" applyAlignment="1" applyProtection="1">
      <alignment horizontal="center" vertical="center"/>
      <protection locked="0"/>
    </xf>
    <xf numFmtId="190" fontId="30" fillId="0" borderId="0" xfId="0" applyFont="1" applyAlignment="1" applyProtection="1">
      <alignment vertical="center"/>
      <protection locked="0"/>
    </xf>
    <xf numFmtId="190" fontId="63" fillId="0" borderId="0" xfId="32" applyFont="1" applyAlignment="1">
      <alignment vertical="center"/>
      <protection locked="0"/>
    </xf>
    <xf numFmtId="190" fontId="30" fillId="0" borderId="0" xfId="0" applyFont="1" applyBorder="1" applyAlignment="1" applyProtection="1">
      <alignment horizontal="center" vertical="center"/>
      <protection locked="0"/>
    </xf>
    <xf numFmtId="43" fontId="24" fillId="0" borderId="0" xfId="41" applyFont="1" applyBorder="1" applyAlignment="1" applyProtection="1">
      <alignment horizontal="center" vertical="center"/>
      <protection locked="0"/>
    </xf>
    <xf numFmtId="10" fontId="24" fillId="0" borderId="0" xfId="67" applyNumberFormat="1" applyFont="1" applyBorder="1" applyAlignment="1" applyProtection="1">
      <alignment horizontal="center" vertical="center"/>
      <protection locked="0"/>
    </xf>
    <xf numFmtId="0" fontId="8" fillId="0" borderId="1" xfId="0" applyNumberFormat="1" applyFont="1" applyBorder="1" applyAlignment="1">
      <alignment horizontal="center" vertical="center"/>
    </xf>
    <xf numFmtId="190" fontId="96" fillId="0" borderId="1" xfId="40" applyFont="1" applyBorder="1" applyAlignment="1" applyProtection="1">
      <alignment vertical="center"/>
    </xf>
    <xf numFmtId="190" fontId="8" fillId="0" borderId="1" xfId="0" applyFont="1" applyBorder="1" applyAlignment="1">
      <alignment horizontal="center" vertical="center"/>
    </xf>
    <xf numFmtId="0" fontId="8" fillId="0" borderId="0" xfId="0" applyNumberFormat="1" applyFont="1" applyBorder="1" applyAlignment="1">
      <alignment horizontal="center" vertical="center"/>
    </xf>
    <xf numFmtId="190" fontId="96" fillId="0" borderId="0" xfId="40" applyFont="1" applyBorder="1" applyAlignment="1" applyProtection="1">
      <alignment vertical="center"/>
    </xf>
    <xf numFmtId="190" fontId="8" fillId="0" borderId="0" xfId="0" applyFont="1" applyBorder="1" applyAlignment="1">
      <alignment horizontal="center" vertical="center"/>
    </xf>
    <xf numFmtId="190" fontId="9" fillId="5" borderId="3" xfId="32" applyFont="1" applyFill="1" applyBorder="1" applyAlignment="1">
      <alignment horizontal="center" vertical="center" wrapText="1"/>
      <protection locked="0"/>
    </xf>
    <xf numFmtId="190" fontId="28" fillId="5" borderId="3" xfId="0" applyFont="1" applyFill="1" applyBorder="1" applyAlignment="1">
      <alignment horizontal="center" vertical="center" wrapText="1"/>
    </xf>
    <xf numFmtId="0" fontId="30" fillId="0" borderId="3" xfId="44" applyFont="1" applyBorder="1">
      <alignment vertical="center"/>
    </xf>
    <xf numFmtId="190" fontId="24" fillId="0" borderId="0" xfId="32" applyFont="1" applyAlignment="1">
      <alignment horizontal="center"/>
      <protection locked="0"/>
    </xf>
    <xf numFmtId="190" fontId="24" fillId="0" borderId="0" xfId="0" applyFont="1" applyAlignment="1" applyProtection="1">
      <alignment horizontal="right" vertical="center"/>
      <protection locked="0"/>
    </xf>
    <xf numFmtId="190" fontId="30" fillId="0" borderId="0" xfId="0" applyFont="1" applyAlignment="1" applyProtection="1">
      <alignment horizontal="right" vertical="center"/>
      <protection locked="0"/>
    </xf>
    <xf numFmtId="190" fontId="9" fillId="0" borderId="0" xfId="0" applyFont="1" applyAlignment="1">
      <alignment horizontal="center" vertical="center"/>
    </xf>
    <xf numFmtId="190" fontId="35" fillId="0" borderId="0" xfId="0" applyFont="1" applyAlignment="1" applyProtection="1">
      <alignment horizontal="left" vertical="center" wrapText="1"/>
      <protection locked="0"/>
    </xf>
    <xf numFmtId="190" fontId="34" fillId="0" borderId="0" xfId="0" applyFont="1" applyAlignment="1" applyProtection="1">
      <alignment horizontal="left" vertical="center" wrapText="1"/>
      <protection locked="0"/>
    </xf>
    <xf numFmtId="0" fontId="17" fillId="0" borderId="3" xfId="267" applyFont="1" applyFill="1" applyBorder="1" applyAlignment="1" applyProtection="1">
      <alignment horizontal="left" vertical="center" wrapText="1"/>
      <protection locked="0"/>
    </xf>
    <xf numFmtId="0" fontId="113" fillId="5" borderId="3" xfId="267" applyFont="1" applyFill="1" applyBorder="1" applyAlignment="1" applyProtection="1">
      <alignment horizontal="center" vertical="center" wrapText="1"/>
      <protection locked="0"/>
    </xf>
    <xf numFmtId="190" fontId="24" fillId="0" borderId="3" xfId="359" applyFont="1" applyBorder="1" applyAlignment="1" applyProtection="1">
      <alignment horizontal="center" vertical="center" wrapText="1"/>
      <protection locked="0"/>
    </xf>
    <xf numFmtId="190" fontId="30" fillId="0" borderId="3" xfId="359" applyFont="1" applyBorder="1" applyAlignment="1" applyProtection="1">
      <alignment horizontal="center" vertical="center" wrapText="1"/>
      <protection locked="0"/>
    </xf>
    <xf numFmtId="190" fontId="24" fillId="0" borderId="0" xfId="359" applyFont="1" applyAlignment="1" applyProtection="1">
      <alignment horizontal="left" vertical="center"/>
      <protection locked="0"/>
    </xf>
    <xf numFmtId="190" fontId="28" fillId="5" borderId="3" xfId="359" applyFont="1" applyFill="1" applyBorder="1" applyAlignment="1" applyProtection="1">
      <alignment horizontal="center" vertical="center" wrapText="1"/>
      <protection locked="0"/>
    </xf>
    <xf numFmtId="190" fontId="36" fillId="0" borderId="0" xfId="35" applyFont="1" applyAlignment="1">
      <alignment horizontal="center" vertical="center"/>
    </xf>
    <xf numFmtId="190" fontId="81" fillId="0" borderId="0" xfId="35" applyFont="1" applyAlignment="1">
      <alignment horizontal="center" vertical="center"/>
    </xf>
    <xf numFmtId="0" fontId="24" fillId="0" borderId="0" xfId="361" applyFont="1" applyAlignment="1" applyProtection="1">
      <alignment horizontal="center" vertical="center" wrapText="1"/>
      <protection locked="0"/>
    </xf>
    <xf numFmtId="0" fontId="29" fillId="5" borderId="3" xfId="267" applyFont="1" applyFill="1" applyBorder="1" applyAlignment="1" applyProtection="1">
      <alignment horizontal="center" vertical="center"/>
      <protection locked="0"/>
    </xf>
    <xf numFmtId="0" fontId="28" fillId="5" borderId="3" xfId="267" applyFont="1" applyFill="1" applyBorder="1" applyAlignment="1" applyProtection="1">
      <alignment horizontal="center" vertical="center"/>
      <protection locked="0"/>
    </xf>
    <xf numFmtId="0" fontId="29" fillId="5" borderId="3" xfId="267" applyFont="1" applyFill="1" applyBorder="1" applyAlignment="1" applyProtection="1">
      <alignment horizontal="center" vertical="center" wrapText="1"/>
      <protection locked="0"/>
    </xf>
    <xf numFmtId="49" fontId="28" fillId="5" borderId="3" xfId="359" applyNumberFormat="1" applyFont="1" applyFill="1" applyBorder="1" applyAlignment="1" applyProtection="1">
      <alignment horizontal="center" vertical="center"/>
      <protection locked="0"/>
    </xf>
    <xf numFmtId="0" fontId="24" fillId="0" borderId="3" xfId="362" applyFont="1" applyBorder="1" applyAlignment="1">
      <alignment horizontal="left" vertical="center" wrapText="1"/>
    </xf>
    <xf numFmtId="190" fontId="106" fillId="5" borderId="3" xfId="372" applyFont="1" applyFill="1" applyBorder="1" applyAlignment="1">
      <alignment horizontal="left" vertical="center" wrapText="1"/>
    </xf>
    <xf numFmtId="190" fontId="47" fillId="5" borderId="3" xfId="372" applyFont="1" applyFill="1" applyBorder="1" applyAlignment="1">
      <alignment horizontal="left" vertical="center" wrapText="1"/>
    </xf>
    <xf numFmtId="190" fontId="46" fillId="5" borderId="4" xfId="372" applyFont="1" applyFill="1" applyBorder="1" applyAlignment="1">
      <alignment horizontal="center" vertical="center" wrapText="1"/>
    </xf>
    <xf numFmtId="190" fontId="46" fillId="5" borderId="9" xfId="372" applyFont="1" applyFill="1" applyBorder="1" applyAlignment="1">
      <alignment horizontal="center" vertical="center" wrapText="1"/>
    </xf>
    <xf numFmtId="190" fontId="45" fillId="5" borderId="3" xfId="372" applyFont="1" applyFill="1" applyBorder="1" applyAlignment="1">
      <alignment horizontal="center" vertical="center" wrapText="1"/>
    </xf>
    <xf numFmtId="190" fontId="46" fillId="0" borderId="4" xfId="372" applyFont="1" applyBorder="1" applyAlignment="1">
      <alignment horizontal="center" vertical="center" wrapText="1"/>
    </xf>
    <xf numFmtId="190" fontId="46" fillId="0" borderId="9" xfId="372" applyFont="1" applyBorder="1" applyAlignment="1">
      <alignment horizontal="center" vertical="center" wrapText="1"/>
    </xf>
    <xf numFmtId="190" fontId="45" fillId="0" borderId="3" xfId="372" applyFont="1" applyBorder="1" applyAlignment="1">
      <alignment horizontal="center" vertical="center" wrapText="1"/>
    </xf>
    <xf numFmtId="190" fontId="110" fillId="0" borderId="0" xfId="372" applyFont="1" applyAlignment="1" applyProtection="1">
      <alignment horizontal="left" vertical="top" wrapText="1"/>
      <protection locked="0"/>
    </xf>
    <xf numFmtId="190" fontId="45" fillId="0" borderId="0" xfId="372" applyFont="1" applyAlignment="1" applyProtection="1">
      <alignment horizontal="left" vertical="top" wrapText="1"/>
      <protection locked="0"/>
    </xf>
    <xf numFmtId="190" fontId="45" fillId="0" borderId="3" xfId="372" applyFont="1" applyBorder="1" applyAlignment="1">
      <alignment horizontal="left" vertical="center" wrapText="1"/>
    </xf>
    <xf numFmtId="190" fontId="45" fillId="0" borderId="4" xfId="372" applyFont="1" applyBorder="1" applyAlignment="1">
      <alignment horizontal="center" vertical="center" wrapText="1"/>
    </xf>
    <xf numFmtId="190" fontId="45" fillId="0" borderId="9" xfId="372" applyFont="1" applyBorder="1" applyAlignment="1">
      <alignment horizontal="center" vertical="center" wrapText="1"/>
    </xf>
    <xf numFmtId="190" fontId="108" fillId="5" borderId="3" xfId="372" applyFont="1" applyFill="1" applyBorder="1" applyAlignment="1">
      <alignment horizontal="left" vertical="center" wrapText="1"/>
    </xf>
    <xf numFmtId="190" fontId="45" fillId="5" borderId="4" xfId="372" applyFont="1" applyFill="1" applyBorder="1" applyAlignment="1">
      <alignment horizontal="center" vertical="center" wrapText="1"/>
    </xf>
    <xf numFmtId="190" fontId="45" fillId="5" borderId="9" xfId="372" applyFont="1" applyFill="1" applyBorder="1" applyAlignment="1">
      <alignment horizontal="center" vertical="center" wrapText="1"/>
    </xf>
    <xf numFmtId="190" fontId="107" fillId="0" borderId="0" xfId="372" applyFont="1" applyAlignment="1" applyProtection="1">
      <alignment horizontal="left" vertical="top" wrapText="1"/>
      <protection locked="0"/>
    </xf>
    <xf numFmtId="190" fontId="111" fillId="0" borderId="3" xfId="372" applyFont="1" applyBorder="1" applyAlignment="1">
      <alignment horizontal="left" vertical="center" wrapText="1"/>
    </xf>
    <xf numFmtId="190" fontId="107" fillId="14" borderId="0" xfId="372" applyFont="1" applyFill="1" applyAlignment="1" applyProtection="1">
      <alignment horizontal="left" vertical="top" wrapText="1"/>
      <protection locked="0"/>
    </xf>
    <xf numFmtId="190" fontId="111" fillId="14" borderId="3" xfId="372" applyFont="1" applyFill="1" applyBorder="1" applyAlignment="1">
      <alignment horizontal="left" vertical="center" wrapText="1"/>
    </xf>
    <xf numFmtId="190" fontId="45" fillId="14" borderId="3" xfId="372" applyFont="1" applyFill="1" applyBorder="1" applyAlignment="1">
      <alignment horizontal="left" vertical="center" wrapText="1"/>
    </xf>
    <xf numFmtId="190" fontId="110" fillId="14" borderId="3" xfId="372" applyFont="1" applyFill="1" applyBorder="1" applyAlignment="1">
      <alignment horizontal="left" vertical="center" wrapText="1"/>
    </xf>
    <xf numFmtId="190" fontId="45" fillId="15" borderId="3" xfId="372" applyFont="1" applyFill="1" applyBorder="1" applyAlignment="1">
      <alignment horizontal="left" vertical="center" wrapText="1"/>
    </xf>
    <xf numFmtId="190" fontId="111" fillId="15" borderId="3" xfId="372" applyFont="1" applyFill="1" applyBorder="1" applyAlignment="1">
      <alignment horizontal="left" vertical="center" wrapText="1"/>
    </xf>
    <xf numFmtId="190" fontId="107" fillId="14" borderId="0" xfId="372" applyFont="1" applyFill="1" applyAlignment="1" applyProtection="1">
      <alignment horizontal="center" vertical="center" wrapText="1"/>
      <protection locked="0"/>
    </xf>
    <xf numFmtId="190" fontId="45" fillId="14" borderId="0" xfId="372" applyFont="1" applyFill="1" applyAlignment="1" applyProtection="1">
      <alignment horizontal="center" vertical="center" wrapText="1"/>
      <protection locked="0"/>
    </xf>
    <xf numFmtId="190" fontId="107" fillId="14" borderId="0" xfId="372" applyFont="1" applyFill="1" applyAlignment="1" applyProtection="1">
      <alignment horizontal="left" vertical="center" wrapText="1"/>
      <protection locked="0"/>
    </xf>
    <xf numFmtId="190" fontId="45" fillId="14" borderId="0" xfId="372" applyFont="1" applyFill="1" applyAlignment="1" applyProtection="1">
      <alignment horizontal="left" vertical="center" wrapText="1"/>
      <protection locked="0"/>
    </xf>
    <xf numFmtId="190" fontId="45" fillId="14" borderId="0" xfId="372" applyFont="1" applyFill="1" applyAlignment="1" applyProtection="1">
      <alignment horizontal="left" vertical="top" wrapText="1"/>
      <protection locked="0"/>
    </xf>
    <xf numFmtId="190" fontId="107" fillId="14" borderId="7" xfId="372" applyFont="1" applyFill="1" applyBorder="1" applyAlignment="1" applyProtection="1">
      <alignment horizontal="left" vertical="center" wrapText="1"/>
      <protection locked="0"/>
    </xf>
    <xf numFmtId="190" fontId="45" fillId="14" borderId="7" xfId="372" applyFont="1" applyFill="1" applyBorder="1" applyAlignment="1" applyProtection="1">
      <alignment horizontal="left" vertical="center" wrapText="1"/>
      <protection locked="0"/>
    </xf>
    <xf numFmtId="190" fontId="110" fillId="0" borderId="3" xfId="372" applyFont="1" applyBorder="1" applyAlignment="1">
      <alignment horizontal="left" vertical="center" wrapText="1"/>
    </xf>
    <xf numFmtId="190" fontId="110" fillId="14" borderId="7" xfId="372" applyFont="1" applyFill="1" applyBorder="1" applyAlignment="1" applyProtection="1">
      <alignment horizontal="left" vertical="center" wrapText="1"/>
      <protection locked="0"/>
    </xf>
    <xf numFmtId="190" fontId="24" fillId="0" borderId="3" xfId="372" applyFont="1" applyBorder="1" applyAlignment="1">
      <alignment horizontal="center" vertical="center" wrapText="1"/>
    </xf>
    <xf numFmtId="190" fontId="30" fillId="0" borderId="3" xfId="372" applyFont="1" applyBorder="1" applyAlignment="1">
      <alignment horizontal="left" vertical="center" wrapText="1"/>
    </xf>
    <xf numFmtId="190" fontId="114" fillId="5" borderId="3" xfId="372" applyFont="1" applyFill="1" applyBorder="1" applyAlignment="1">
      <alignment horizontal="left" vertical="center" wrapText="1"/>
    </xf>
    <xf numFmtId="190" fontId="24" fillId="5" borderId="3" xfId="372" applyFont="1" applyFill="1" applyBorder="1" applyAlignment="1">
      <alignment horizontal="center" vertical="center" wrapText="1"/>
    </xf>
    <xf numFmtId="190" fontId="112" fillId="5" borderId="3" xfId="372" applyFont="1" applyFill="1" applyBorder="1" applyAlignment="1">
      <alignment horizontal="left" vertical="center" wrapText="1"/>
    </xf>
    <xf numFmtId="190" fontId="109" fillId="5" borderId="3" xfId="372" applyFont="1" applyFill="1" applyBorder="1" applyAlignment="1">
      <alignment horizontal="center" vertical="center" wrapText="1"/>
    </xf>
    <xf numFmtId="190" fontId="28" fillId="5" borderId="3" xfId="372" applyFont="1" applyFill="1" applyBorder="1" applyAlignment="1" applyProtection="1">
      <alignment horizontal="center" vertical="center" wrapText="1"/>
      <protection locked="0"/>
    </xf>
    <xf numFmtId="190" fontId="24" fillId="0" borderId="19" xfId="372" applyFont="1" applyBorder="1" applyAlignment="1" applyProtection="1">
      <alignment horizontal="left" vertical="center" wrapText="1"/>
      <protection locked="0"/>
    </xf>
    <xf numFmtId="0" fontId="24" fillId="0" borderId="4" xfId="373" applyFont="1" applyBorder="1" applyAlignment="1" applyProtection="1">
      <alignment horizontal="center" vertical="center" wrapText="1"/>
      <protection locked="0"/>
    </xf>
    <xf numFmtId="0" fontId="24" fillId="0" borderId="8" xfId="373" applyFont="1" applyBorder="1" applyAlignment="1" applyProtection="1">
      <alignment horizontal="center" vertical="center" wrapText="1"/>
      <protection locked="0"/>
    </xf>
    <xf numFmtId="0" fontId="24" fillId="0" borderId="9" xfId="373" applyFont="1" applyBorder="1" applyAlignment="1" applyProtection="1">
      <alignment horizontal="center" vertical="center" wrapText="1"/>
      <protection locked="0"/>
    </xf>
    <xf numFmtId="190" fontId="28" fillId="5" borderId="4" xfId="372" applyFont="1" applyFill="1" applyBorder="1" applyAlignment="1" applyProtection="1">
      <alignment horizontal="center" vertical="center" wrapText="1"/>
      <protection locked="0"/>
    </xf>
    <xf numFmtId="190" fontId="28" fillId="5" borderId="9" xfId="372" applyFont="1" applyFill="1" applyBorder="1" applyAlignment="1" applyProtection="1">
      <alignment horizontal="center" vertical="center" wrapText="1"/>
      <protection locked="0"/>
    </xf>
    <xf numFmtId="190" fontId="105" fillId="5" borderId="3" xfId="372" applyFont="1" applyFill="1" applyBorder="1" applyAlignment="1" applyProtection="1">
      <alignment horizontal="center" vertical="center"/>
      <protection locked="0"/>
    </xf>
    <xf numFmtId="190" fontId="28" fillId="5" borderId="3" xfId="372" applyFont="1" applyFill="1" applyBorder="1" applyAlignment="1" applyProtection="1">
      <alignment horizontal="center" vertical="center"/>
      <protection locked="0"/>
    </xf>
    <xf numFmtId="190" fontId="24" fillId="0" borderId="3" xfId="372" applyFont="1" applyBorder="1" applyAlignment="1" applyProtection="1">
      <alignment horizontal="left" vertical="center" wrapText="1"/>
      <protection locked="0"/>
    </xf>
    <xf numFmtId="190" fontId="28" fillId="0" borderId="0" xfId="35" applyFont="1" applyAlignment="1">
      <alignment horizontal="center" vertical="center"/>
    </xf>
    <xf numFmtId="190" fontId="35" fillId="0" borderId="0" xfId="35" applyFont="1" applyAlignment="1">
      <alignment horizontal="center" vertical="center"/>
    </xf>
    <xf numFmtId="190" fontId="28" fillId="0" borderId="3" xfId="372" applyFont="1" applyBorder="1" applyAlignment="1" applyProtection="1">
      <alignment horizontal="center" vertical="center" wrapText="1"/>
      <protection locked="0"/>
    </xf>
    <xf numFmtId="190" fontId="28" fillId="0" borderId="4" xfId="372" applyFont="1" applyBorder="1" applyAlignment="1" applyProtection="1">
      <alignment horizontal="center" vertical="center"/>
      <protection locked="0"/>
    </xf>
    <xf numFmtId="190" fontId="28" fillId="0" borderId="8" xfId="372" applyFont="1" applyBorder="1" applyAlignment="1" applyProtection="1">
      <alignment horizontal="center" vertical="center"/>
      <protection locked="0"/>
    </xf>
    <xf numFmtId="190" fontId="28" fillId="0" borderId="9" xfId="372" applyFont="1" applyBorder="1" applyAlignment="1" applyProtection="1">
      <alignment horizontal="center" vertical="center"/>
      <protection locked="0"/>
    </xf>
    <xf numFmtId="190" fontId="28" fillId="0" borderId="15" xfId="372" applyFont="1" applyBorder="1" applyAlignment="1" applyProtection="1">
      <alignment horizontal="center" vertical="center" wrapText="1"/>
      <protection locked="0"/>
    </xf>
    <xf numFmtId="190" fontId="28" fillId="0" borderId="16" xfId="372" applyFont="1" applyBorder="1" applyAlignment="1" applyProtection="1">
      <alignment horizontal="center" vertical="center" wrapText="1"/>
      <protection locked="0"/>
    </xf>
    <xf numFmtId="190" fontId="45" fillId="0" borderId="19" xfId="359" applyFont="1" applyBorder="1" applyAlignment="1">
      <alignment horizontal="left" vertical="top" wrapText="1"/>
    </xf>
    <xf numFmtId="190" fontId="45" fillId="0" borderId="0" xfId="359" applyFont="1" applyBorder="1" applyAlignment="1">
      <alignment horizontal="left" vertical="top" wrapText="1"/>
    </xf>
    <xf numFmtId="190" fontId="28" fillId="0" borderId="3" xfId="374" applyFont="1" applyBorder="1" applyAlignment="1" applyProtection="1">
      <alignment horizontal="center" vertical="center" wrapText="1"/>
      <protection locked="0"/>
    </xf>
    <xf numFmtId="190" fontId="28" fillId="0" borderId="3" xfId="374" applyFont="1" applyBorder="1" applyAlignment="1" applyProtection="1">
      <alignment horizontal="center" vertical="center"/>
      <protection locked="0"/>
    </xf>
    <xf numFmtId="0" fontId="24" fillId="0" borderId="4" xfId="375" applyFont="1" applyBorder="1" applyAlignment="1" applyProtection="1">
      <alignment horizontal="center" vertical="center" wrapText="1"/>
      <protection locked="0"/>
    </xf>
    <xf numFmtId="0" fontId="24" fillId="0" borderId="8" xfId="375" applyFont="1" applyBorder="1" applyAlignment="1" applyProtection="1">
      <alignment horizontal="center" vertical="center" wrapText="1"/>
      <protection locked="0"/>
    </xf>
    <xf numFmtId="0" fontId="24" fillId="0" borderId="9" xfId="375" applyFont="1" applyBorder="1" applyAlignment="1" applyProtection="1">
      <alignment horizontal="center" vertical="center" wrapText="1"/>
      <protection locked="0"/>
    </xf>
    <xf numFmtId="0" fontId="52" fillId="0" borderId="19" xfId="44" applyFont="1" applyFill="1" applyBorder="1" applyAlignment="1" applyProtection="1">
      <alignment horizontal="left" vertical="center" wrapText="1"/>
    </xf>
    <xf numFmtId="0" fontId="52" fillId="0" borderId="0" xfId="44" applyFont="1" applyFill="1" applyBorder="1" applyAlignment="1" applyProtection="1">
      <alignment horizontal="left" vertical="center" wrapText="1"/>
    </xf>
    <xf numFmtId="0" fontId="52" fillId="0" borderId="11" xfId="44" applyFont="1" applyFill="1" applyBorder="1" applyAlignment="1" applyProtection="1">
      <alignment horizontal="left" vertical="center" wrapText="1"/>
    </xf>
    <xf numFmtId="190" fontId="24" fillId="0" borderId="19" xfId="374" applyFont="1" applyBorder="1" applyAlignment="1" applyProtection="1">
      <alignment horizontal="left" vertical="center" wrapText="1"/>
      <protection locked="0"/>
    </xf>
    <xf numFmtId="190" fontId="28" fillId="5" borderId="3" xfId="374" applyFont="1" applyFill="1" applyBorder="1" applyAlignment="1" applyProtection="1">
      <alignment horizontal="center" vertical="center" wrapText="1"/>
      <protection locked="0"/>
    </xf>
    <xf numFmtId="190" fontId="28" fillId="5" borderId="4" xfId="374" applyFont="1" applyFill="1" applyBorder="1" applyAlignment="1" applyProtection="1">
      <alignment horizontal="center" vertical="center" wrapText="1"/>
      <protection locked="0"/>
    </xf>
    <xf numFmtId="190" fontId="28" fillId="5" borderId="9" xfId="374" applyFont="1" applyFill="1" applyBorder="1" applyAlignment="1" applyProtection="1">
      <alignment horizontal="center" vertical="center" wrapText="1"/>
      <protection locked="0"/>
    </xf>
    <xf numFmtId="190" fontId="105" fillId="5" borderId="3" xfId="374" applyFont="1" applyFill="1" applyBorder="1" applyAlignment="1" applyProtection="1">
      <alignment horizontal="center" vertical="center"/>
      <protection locked="0"/>
    </xf>
    <xf numFmtId="190" fontId="28" fillId="5" borderId="3" xfId="374" applyFont="1" applyFill="1" applyBorder="1" applyAlignment="1" applyProtection="1">
      <alignment horizontal="center" vertical="center"/>
      <protection locked="0"/>
    </xf>
    <xf numFmtId="190" fontId="24" fillId="0" borderId="3" xfId="374" applyFont="1" applyBorder="1" applyAlignment="1" applyProtection="1">
      <alignment horizontal="left" vertical="center" wrapText="1"/>
      <protection locked="0"/>
    </xf>
    <xf numFmtId="190" fontId="106" fillId="5" borderId="3" xfId="374" applyFont="1" applyFill="1" applyBorder="1" applyAlignment="1">
      <alignment horizontal="left" vertical="center" wrapText="1"/>
    </xf>
    <xf numFmtId="190" fontId="47" fillId="5" borderId="3" xfId="374" applyFont="1" applyFill="1" applyBorder="1" applyAlignment="1">
      <alignment horizontal="left" vertical="center" wrapText="1"/>
    </xf>
    <xf numFmtId="190" fontId="46" fillId="5" borderId="4" xfId="374" applyFont="1" applyFill="1" applyBorder="1" applyAlignment="1">
      <alignment horizontal="center" vertical="center" wrapText="1"/>
    </xf>
    <xf numFmtId="190" fontId="46" fillId="5" borderId="9" xfId="374" applyFont="1" applyFill="1" applyBorder="1" applyAlignment="1">
      <alignment horizontal="center" vertical="center" wrapText="1"/>
    </xf>
    <xf numFmtId="190" fontId="45" fillId="5" borderId="3" xfId="374" applyFont="1" applyFill="1" applyBorder="1" applyAlignment="1">
      <alignment horizontal="center" vertical="center" wrapText="1"/>
    </xf>
    <xf numFmtId="190" fontId="24" fillId="5" borderId="3" xfId="374" applyFont="1" applyFill="1" applyBorder="1" applyAlignment="1">
      <alignment horizontal="center" vertical="center" wrapText="1"/>
    </xf>
    <xf numFmtId="190" fontId="109" fillId="5" borderId="3" xfId="374" applyFont="1" applyFill="1" applyBorder="1" applyAlignment="1">
      <alignment horizontal="center" vertical="center" wrapText="1"/>
    </xf>
    <xf numFmtId="190" fontId="45" fillId="0" borderId="3" xfId="374" applyFont="1" applyBorder="1" applyAlignment="1">
      <alignment horizontal="left" vertical="center" wrapText="1"/>
    </xf>
    <xf numFmtId="190" fontId="46" fillId="0" borderId="4" xfId="374" applyFont="1" applyBorder="1" applyAlignment="1">
      <alignment horizontal="center" vertical="center" wrapText="1"/>
    </xf>
    <xf numFmtId="190" fontId="46" fillId="0" borderId="9" xfId="374" applyFont="1" applyBorder="1" applyAlignment="1">
      <alignment horizontal="center" vertical="center" wrapText="1"/>
    </xf>
    <xf numFmtId="190" fontId="45" fillId="0" borderId="3" xfId="374" applyFont="1" applyBorder="1" applyAlignment="1">
      <alignment horizontal="center" vertical="center" wrapText="1"/>
    </xf>
    <xf numFmtId="190" fontId="24" fillId="0" borderId="3" xfId="374" applyFont="1" applyBorder="1" applyAlignment="1">
      <alignment horizontal="center" vertical="center" wrapText="1"/>
    </xf>
    <xf numFmtId="190" fontId="114" fillId="5" borderId="3" xfId="374" applyFont="1" applyFill="1" applyBorder="1" applyAlignment="1">
      <alignment horizontal="left" vertical="center" wrapText="1"/>
    </xf>
    <xf numFmtId="190" fontId="46" fillId="0" borderId="3" xfId="374" applyFont="1" applyBorder="1" applyAlignment="1">
      <alignment horizontal="left" vertical="center" wrapText="1"/>
    </xf>
    <xf numFmtId="190" fontId="50" fillId="5" borderId="3" xfId="374" applyFont="1" applyFill="1" applyBorder="1" applyAlignment="1">
      <alignment horizontal="left" vertical="center" wrapText="1"/>
    </xf>
    <xf numFmtId="190" fontId="52" fillId="0" borderId="3" xfId="374" applyFont="1" applyBorder="1" applyAlignment="1">
      <alignment horizontal="left" vertical="center" wrapText="1"/>
    </xf>
    <xf numFmtId="190" fontId="63" fillId="0" borderId="3" xfId="374" applyFont="1" applyBorder="1" applyAlignment="1">
      <alignment horizontal="left" vertical="center" wrapText="1"/>
    </xf>
    <xf numFmtId="190" fontId="122" fillId="5" borderId="3" xfId="374" applyFont="1" applyFill="1" applyBorder="1" applyAlignment="1">
      <alignment horizontal="left" vertical="center" wrapText="1"/>
    </xf>
    <xf numFmtId="190" fontId="53" fillId="5" borderId="3" xfId="374" applyFont="1" applyFill="1" applyBorder="1" applyAlignment="1">
      <alignment horizontal="left" vertical="center" wrapText="1"/>
    </xf>
    <xf numFmtId="190" fontId="45" fillId="5" borderId="4" xfId="374" applyFont="1" applyFill="1" applyBorder="1" applyAlignment="1">
      <alignment horizontal="center" vertical="center" wrapText="1"/>
    </xf>
    <xf numFmtId="190" fontId="45" fillId="5" borderId="9" xfId="374" applyFont="1" applyFill="1" applyBorder="1" applyAlignment="1">
      <alignment horizontal="center" vertical="center" wrapText="1"/>
    </xf>
    <xf numFmtId="190" fontId="45" fillId="0" borderId="4" xfId="374" applyFont="1" applyBorder="1" applyAlignment="1">
      <alignment horizontal="center" vertical="center" wrapText="1"/>
    </xf>
    <xf numFmtId="190" fontId="45" fillId="0" borderId="9" xfId="374" applyFont="1" applyBorder="1" applyAlignment="1">
      <alignment horizontal="center" vertical="center" wrapText="1"/>
    </xf>
    <xf numFmtId="0" fontId="46" fillId="0" borderId="19" xfId="44" applyFont="1" applyFill="1" applyBorder="1" applyAlignment="1" applyProtection="1">
      <alignment horizontal="left" vertical="center" wrapText="1"/>
    </xf>
    <xf numFmtId="0" fontId="46" fillId="0" borderId="0" xfId="44" applyFont="1" applyFill="1" applyBorder="1" applyAlignment="1" applyProtection="1">
      <alignment horizontal="left" vertical="center" wrapText="1"/>
    </xf>
    <xf numFmtId="190" fontId="46" fillId="0" borderId="0" xfId="359" applyFont="1" applyBorder="1" applyAlignment="1">
      <alignment horizontal="left" vertical="top" wrapText="1"/>
    </xf>
    <xf numFmtId="190" fontId="46" fillId="0" borderId="19" xfId="359" applyFont="1" applyBorder="1" applyAlignment="1">
      <alignment horizontal="left" vertical="center" wrapText="1"/>
    </xf>
    <xf numFmtId="190" fontId="46" fillId="0" borderId="0" xfId="359" applyFont="1" applyBorder="1" applyAlignment="1">
      <alignment horizontal="left" vertical="center" wrapText="1"/>
    </xf>
    <xf numFmtId="190" fontId="9" fillId="5" borderId="3" xfId="33" applyFont="1" applyFill="1" applyBorder="1" applyAlignment="1" applyProtection="1">
      <alignment horizontal="center" vertical="center" wrapText="1"/>
      <protection locked="0"/>
    </xf>
    <xf numFmtId="190" fontId="28" fillId="5" borderId="3" xfId="33" applyFont="1" applyFill="1" applyBorder="1" applyAlignment="1" applyProtection="1">
      <alignment horizontal="center" vertical="center" wrapText="1"/>
      <protection locked="0"/>
    </xf>
    <xf numFmtId="190" fontId="28" fillId="5" borderId="12" xfId="43" applyFont="1" applyFill="1" applyBorder="1" applyAlignment="1" applyProtection="1">
      <alignment horizontal="center" vertical="center" wrapText="1"/>
      <protection locked="0"/>
    </xf>
    <xf numFmtId="190" fontId="28" fillId="5" borderId="13" xfId="43" applyFont="1" applyFill="1" applyBorder="1" applyAlignment="1" applyProtection="1">
      <alignment horizontal="center" vertical="center" wrapText="1"/>
      <protection locked="0"/>
    </xf>
    <xf numFmtId="190" fontId="28" fillId="5" borderId="4" xfId="43" applyFont="1" applyFill="1" applyBorder="1" applyAlignment="1" applyProtection="1">
      <alignment horizontal="center" vertical="center" wrapText="1"/>
      <protection locked="0"/>
    </xf>
    <xf numFmtId="190" fontId="28" fillId="5" borderId="8" xfId="43" applyFont="1" applyFill="1" applyBorder="1" applyAlignment="1" applyProtection="1">
      <alignment horizontal="center" vertical="center" wrapText="1"/>
      <protection locked="0"/>
    </xf>
    <xf numFmtId="190" fontId="28" fillId="5" borderId="9" xfId="43" applyFont="1" applyFill="1" applyBorder="1" applyAlignment="1" applyProtection="1">
      <alignment horizontal="center" vertical="center" wrapText="1"/>
      <protection locked="0"/>
    </xf>
    <xf numFmtId="190" fontId="36" fillId="0" borderId="0" xfId="35" applyFont="1" applyAlignment="1">
      <alignment horizontal="center" vertical="center" wrapText="1"/>
    </xf>
    <xf numFmtId="190" fontId="81" fillId="0" borderId="0" xfId="35" applyFont="1" applyAlignment="1">
      <alignment horizontal="center" vertical="center" wrapText="1"/>
    </xf>
    <xf numFmtId="190" fontId="28" fillId="5" borderId="3" xfId="43" applyFont="1" applyFill="1" applyBorder="1" applyAlignment="1" applyProtection="1">
      <alignment horizontal="center" vertical="center" wrapText="1"/>
      <protection locked="0"/>
    </xf>
    <xf numFmtId="190" fontId="9" fillId="5" borderId="4" xfId="33" applyFont="1" applyFill="1" applyBorder="1" applyAlignment="1" applyProtection="1">
      <alignment horizontal="center" vertical="center" wrapText="1"/>
      <protection locked="0"/>
    </xf>
    <xf numFmtId="190" fontId="9" fillId="5" borderId="9" xfId="33" applyFont="1" applyFill="1" applyBorder="1" applyAlignment="1" applyProtection="1">
      <alignment horizontal="center" vertical="center" wrapText="1"/>
      <protection locked="0"/>
    </xf>
    <xf numFmtId="190" fontId="11" fillId="0" borderId="0" xfId="0" applyFont="1" applyAlignment="1">
      <alignment horizontal="center" vertical="center"/>
    </xf>
    <xf numFmtId="190" fontId="48" fillId="0" borderId="0" xfId="0" applyFont="1" applyAlignment="1">
      <alignment horizontal="left" vertical="center" wrapText="1"/>
    </xf>
    <xf numFmtId="190" fontId="45" fillId="0" borderId="0" xfId="0" applyFont="1" applyAlignment="1">
      <alignment horizontal="left" vertical="center"/>
    </xf>
    <xf numFmtId="190" fontId="48" fillId="0" borderId="0" xfId="0" applyFont="1" applyAlignment="1">
      <alignment horizontal="left" vertical="center"/>
    </xf>
    <xf numFmtId="190" fontId="9" fillId="5" borderId="15" xfId="43" applyFont="1" applyFill="1" applyBorder="1" applyAlignment="1" applyProtection="1">
      <alignment horizontal="center" vertical="center"/>
      <protection locked="0"/>
    </xf>
    <xf numFmtId="190" fontId="9" fillId="5" borderId="16" xfId="43" applyFont="1" applyFill="1" applyBorder="1" applyAlignment="1" applyProtection="1">
      <alignment horizontal="center" vertical="center"/>
      <protection locked="0"/>
    </xf>
    <xf numFmtId="190" fontId="9" fillId="5" borderId="4" xfId="43" applyFont="1" applyFill="1" applyBorder="1" applyAlignment="1" applyProtection="1">
      <alignment horizontal="center" vertical="center"/>
      <protection locked="0"/>
    </xf>
    <xf numFmtId="190" fontId="9" fillId="5" borderId="8" xfId="43" applyFont="1" applyFill="1" applyBorder="1" applyAlignment="1" applyProtection="1">
      <alignment horizontal="center" vertical="center"/>
      <protection locked="0"/>
    </xf>
    <xf numFmtId="190" fontId="9" fillId="5" borderId="9" xfId="43" applyFont="1" applyFill="1" applyBorder="1" applyAlignment="1" applyProtection="1">
      <alignment horizontal="center" vertical="center"/>
      <protection locked="0"/>
    </xf>
    <xf numFmtId="190" fontId="9" fillId="5" borderId="3" xfId="43" applyFont="1" applyFill="1" applyBorder="1" applyAlignment="1" applyProtection="1">
      <alignment horizontal="center" vertical="center"/>
      <protection locked="0"/>
    </xf>
    <xf numFmtId="190" fontId="48" fillId="0" borderId="0" xfId="43" applyFont="1" applyAlignment="1" applyProtection="1">
      <alignment horizontal="left" vertical="center" wrapText="1"/>
      <protection locked="0"/>
    </xf>
    <xf numFmtId="43" fontId="36" fillId="0" borderId="0" xfId="38" applyNumberFormat="1" applyFont="1" applyBorder="1" applyAlignment="1">
      <alignment horizontal="center" vertical="center"/>
    </xf>
    <xf numFmtId="43" fontId="81" fillId="0" borderId="0" xfId="38" applyNumberFormat="1" applyFont="1" applyBorder="1" applyAlignment="1">
      <alignment horizontal="center" vertical="center"/>
    </xf>
    <xf numFmtId="0" fontId="25" fillId="0" borderId="0" xfId="146" applyFont="1" applyAlignment="1" applyProtection="1">
      <alignment horizontal="left" vertical="center" wrapText="1"/>
      <protection locked="0"/>
    </xf>
    <xf numFmtId="190" fontId="36" fillId="0" borderId="0" xfId="36" applyFont="1" applyAlignment="1">
      <alignment horizontal="center" vertical="center"/>
    </xf>
    <xf numFmtId="190" fontId="41" fillId="0" borderId="0" xfId="0" applyFont="1">
      <alignment vertical="center"/>
    </xf>
    <xf numFmtId="190" fontId="81" fillId="0" borderId="0" xfId="36" applyFont="1" applyAlignment="1">
      <alignment horizontal="center" vertical="center"/>
    </xf>
    <xf numFmtId="190" fontId="123" fillId="0" borderId="0" xfId="0" applyFont="1">
      <alignment vertical="center"/>
    </xf>
    <xf numFmtId="41" fontId="29" fillId="10" borderId="7" xfId="43" applyNumberFormat="1" applyFont="1" applyFill="1" applyBorder="1" applyAlignment="1">
      <alignment horizontal="center" vertical="center"/>
    </xf>
    <xf numFmtId="41" fontId="29" fillId="10" borderId="0" xfId="43" applyNumberFormat="1" applyFont="1" applyFill="1" applyAlignment="1">
      <alignment horizontal="center" vertical="center"/>
    </xf>
    <xf numFmtId="190" fontId="29" fillId="10" borderId="3" xfId="43" applyFont="1" applyFill="1" applyBorder="1" applyAlignment="1" applyProtection="1">
      <alignment horizontal="center" vertical="center" wrapText="1"/>
      <protection locked="0"/>
    </xf>
    <xf numFmtId="190" fontId="29" fillId="10" borderId="15" xfId="43" applyFont="1" applyFill="1" applyBorder="1" applyAlignment="1" applyProtection="1">
      <alignment horizontal="center" vertical="center" wrapText="1"/>
      <protection locked="0"/>
    </xf>
    <xf numFmtId="190" fontId="29" fillId="10" borderId="16" xfId="43" applyFont="1" applyFill="1" applyBorder="1" applyAlignment="1" applyProtection="1">
      <alignment horizontal="center" vertical="center" wrapText="1"/>
      <protection locked="0"/>
    </xf>
    <xf numFmtId="190" fontId="24" fillId="0" borderId="3" xfId="43" applyFont="1" applyBorder="1" applyAlignment="1" applyProtection="1">
      <alignment horizontal="left" vertical="center" wrapText="1"/>
      <protection locked="0"/>
    </xf>
    <xf numFmtId="190" fontId="24" fillId="0" borderId="3" xfId="43" applyFont="1" applyBorder="1" applyAlignment="1" applyProtection="1">
      <alignment vertical="center" wrapText="1"/>
      <protection locked="0"/>
    </xf>
    <xf numFmtId="190" fontId="24" fillId="5" borderId="3" xfId="43" applyFont="1" applyFill="1" applyBorder="1" applyAlignment="1" applyProtection="1">
      <alignment horizontal="center" vertical="center" wrapText="1"/>
      <protection locked="0"/>
    </xf>
    <xf numFmtId="190" fontId="24" fillId="5" borderId="4" xfId="43" applyFont="1" applyFill="1" applyBorder="1" applyAlignment="1" applyProtection="1">
      <alignment horizontal="center" vertical="center"/>
      <protection locked="0"/>
    </xf>
    <xf numFmtId="190" fontId="24" fillId="5" borderId="9" xfId="43" applyFont="1" applyFill="1" applyBorder="1" applyAlignment="1" applyProtection="1">
      <alignment horizontal="center" vertical="center"/>
      <protection locked="0"/>
    </xf>
    <xf numFmtId="41" fontId="28" fillId="5" borderId="4" xfId="43" applyNumberFormat="1" applyFont="1" applyFill="1" applyBorder="1" applyAlignment="1">
      <alignment horizontal="right" vertical="center"/>
    </xf>
    <xf numFmtId="41" fontId="28" fillId="5" borderId="8" xfId="43" applyNumberFormat="1" applyFont="1" applyFill="1" applyBorder="1" applyAlignment="1">
      <alignment horizontal="right" vertical="center"/>
    </xf>
    <xf numFmtId="41" fontId="28" fillId="5" borderId="9" xfId="43" applyNumberFormat="1" applyFont="1" applyFill="1" applyBorder="1" applyAlignment="1">
      <alignment horizontal="right" vertical="center"/>
    </xf>
    <xf numFmtId="190" fontId="28" fillId="5" borderId="3" xfId="43" applyFont="1" applyFill="1" applyBorder="1" applyAlignment="1" applyProtection="1">
      <alignment horizontal="center" vertical="center"/>
      <protection locked="0"/>
    </xf>
    <xf numFmtId="0" fontId="24" fillId="0" borderId="3" xfId="43" applyNumberFormat="1" applyFont="1" applyBorder="1" applyAlignment="1" applyProtection="1">
      <alignment horizontal="center" vertical="center"/>
      <protection locked="0"/>
    </xf>
    <xf numFmtId="0" fontId="36" fillId="0" borderId="0" xfId="44" applyFont="1" applyAlignment="1">
      <alignment horizontal="center" vertical="center"/>
    </xf>
    <xf numFmtId="0" fontId="28" fillId="5" borderId="15" xfId="44" applyFont="1" applyFill="1" applyBorder="1" applyAlignment="1">
      <alignment horizontal="center" vertical="center" wrapText="1"/>
    </xf>
    <xf numFmtId="0" fontId="28" fillId="5" borderId="16" xfId="44" applyFont="1" applyFill="1" applyBorder="1" applyAlignment="1">
      <alignment horizontal="center" vertical="center" wrapText="1"/>
    </xf>
    <xf numFmtId="0" fontId="28" fillId="5" borderId="3" xfId="44" applyFont="1" applyFill="1" applyBorder="1" applyAlignment="1">
      <alignment horizontal="center" vertical="center" wrapText="1"/>
    </xf>
    <xf numFmtId="0" fontId="24" fillId="0" borderId="0" xfId="32" applyNumberFormat="1" applyFont="1" applyAlignment="1" applyProtection="1">
      <alignment vertical="center"/>
    </xf>
    <xf numFmtId="0" fontId="24" fillId="0" borderId="0" xfId="32" applyNumberFormat="1" applyFont="1" applyAlignment="1" applyProtection="1">
      <alignment vertical="center" wrapText="1"/>
    </xf>
    <xf numFmtId="190" fontId="28" fillId="10" borderId="3" xfId="43" applyFont="1" applyFill="1" applyBorder="1" applyAlignment="1" applyProtection="1">
      <alignment horizontal="center" vertical="center" wrapText="1"/>
      <protection locked="0"/>
    </xf>
    <xf numFmtId="190" fontId="28" fillId="10" borderId="15" xfId="43" applyFont="1" applyFill="1" applyBorder="1" applyAlignment="1" applyProtection="1">
      <alignment horizontal="center" vertical="center" wrapText="1"/>
      <protection locked="0"/>
    </xf>
    <xf numFmtId="190" fontId="28" fillId="10" borderId="16" xfId="43" applyFont="1" applyFill="1" applyBorder="1" applyAlignment="1" applyProtection="1">
      <alignment horizontal="center" vertical="center" wrapText="1"/>
      <protection locked="0"/>
    </xf>
    <xf numFmtId="190" fontId="28" fillId="5" borderId="3" xfId="0" applyFont="1" applyFill="1" applyBorder="1" applyAlignment="1">
      <alignment horizontal="center" vertical="center"/>
    </xf>
    <xf numFmtId="0" fontId="24" fillId="0" borderId="0" xfId="32" applyNumberFormat="1" applyFont="1" applyAlignment="1" applyProtection="1">
      <alignment horizontal="left" vertical="center" wrapText="1"/>
    </xf>
    <xf numFmtId="190" fontId="28" fillId="5" borderId="14" xfId="0" applyFont="1" applyFill="1" applyBorder="1" applyAlignment="1">
      <alignment horizontal="center" vertical="center"/>
    </xf>
    <xf numFmtId="190" fontId="28" fillId="5" borderId="12" xfId="0" applyFont="1" applyFill="1" applyBorder="1" applyAlignment="1">
      <alignment horizontal="center" vertical="center"/>
    </xf>
    <xf numFmtId="190" fontId="28" fillId="5" borderId="10" xfId="0" applyFont="1" applyFill="1" applyBorder="1" applyAlignment="1">
      <alignment horizontal="center" vertical="center"/>
    </xf>
    <xf numFmtId="190" fontId="28" fillId="5" borderId="13" xfId="0" applyFont="1" applyFill="1" applyBorder="1" applyAlignment="1">
      <alignment horizontal="center" vertical="center"/>
    </xf>
    <xf numFmtId="190" fontId="28" fillId="5" borderId="4" xfId="0" applyFont="1" applyFill="1" applyBorder="1" applyAlignment="1" applyProtection="1">
      <alignment horizontal="left" vertical="center" wrapText="1"/>
      <protection locked="0"/>
    </xf>
    <xf numFmtId="190" fontId="28" fillId="5" borderId="9" xfId="0" applyFont="1" applyFill="1" applyBorder="1" applyAlignment="1" applyProtection="1">
      <alignment horizontal="left" vertical="center" wrapText="1"/>
      <protection locked="0"/>
    </xf>
    <xf numFmtId="190" fontId="119" fillId="5" borderId="10" xfId="0" applyFont="1" applyFill="1" applyBorder="1" applyAlignment="1" applyProtection="1">
      <alignment horizontal="left" vertical="center" wrapText="1"/>
      <protection locked="0"/>
    </xf>
    <xf numFmtId="190" fontId="28" fillId="5" borderId="13" xfId="0" applyFont="1" applyFill="1" applyBorder="1" applyAlignment="1" applyProtection="1">
      <alignment horizontal="left" vertical="center" wrapText="1"/>
      <protection locked="0"/>
    </xf>
    <xf numFmtId="190" fontId="9" fillId="5" borderId="3" xfId="32" applyFont="1" applyFill="1" applyBorder="1" applyAlignment="1">
      <alignment horizontal="center" vertical="center" wrapText="1"/>
      <protection locked="0"/>
    </xf>
    <xf numFmtId="0" fontId="29" fillId="17" borderId="3" xfId="32" applyNumberFormat="1" applyFont="1" applyFill="1" applyBorder="1" applyAlignment="1" applyProtection="1">
      <alignment horizontal="center" vertical="center" wrapText="1"/>
    </xf>
    <xf numFmtId="190" fontId="29" fillId="5" borderId="3" xfId="32" applyFont="1" applyFill="1" applyBorder="1" applyAlignment="1">
      <alignment horizontal="center" vertical="center"/>
      <protection locked="0"/>
    </xf>
    <xf numFmtId="0" fontId="62" fillId="17" borderId="3" xfId="32" applyNumberFormat="1" applyFont="1" applyFill="1" applyBorder="1" applyAlignment="1" applyProtection="1">
      <alignment horizontal="center" vertical="center" wrapText="1"/>
    </xf>
    <xf numFmtId="0" fontId="121" fillId="17" borderId="3" xfId="32" applyNumberFormat="1" applyFont="1" applyFill="1" applyBorder="1" applyAlignment="1" applyProtection="1">
      <alignment horizontal="center" vertical="center" wrapText="1"/>
    </xf>
    <xf numFmtId="190" fontId="36" fillId="0" borderId="0" xfId="32" applyFont="1" applyAlignment="1">
      <alignment horizontal="center" vertical="center"/>
      <protection locked="0"/>
    </xf>
    <xf numFmtId="190" fontId="81" fillId="0" borderId="0" xfId="32" applyFont="1" applyFill="1" applyAlignment="1">
      <alignment horizontal="center" vertical="center"/>
      <protection locked="0"/>
    </xf>
    <xf numFmtId="0" fontId="29" fillId="17" borderId="4" xfId="32" applyNumberFormat="1" applyFont="1" applyFill="1" applyBorder="1" applyAlignment="1" applyProtection="1">
      <alignment horizontal="center" vertical="center" wrapText="1"/>
    </xf>
    <xf numFmtId="0" fontId="29" fillId="17" borderId="7" xfId="32" applyNumberFormat="1" applyFont="1" applyFill="1" applyBorder="1" applyAlignment="1" applyProtection="1">
      <alignment horizontal="center" vertical="center" wrapText="1"/>
    </xf>
    <xf numFmtId="0" fontId="29" fillId="17" borderId="0" xfId="32" applyNumberFormat="1" applyFont="1" applyFill="1" applyBorder="1" applyAlignment="1" applyProtection="1">
      <alignment horizontal="center" vertical="center" wrapText="1"/>
    </xf>
    <xf numFmtId="0" fontId="62" fillId="17" borderId="4" xfId="32" applyNumberFormat="1" applyFont="1" applyFill="1" applyBorder="1" applyAlignment="1" applyProtection="1">
      <alignment horizontal="center" vertical="center" wrapText="1"/>
    </xf>
    <xf numFmtId="0" fontId="62" fillId="17" borderId="8" xfId="32" applyNumberFormat="1" applyFont="1" applyFill="1" applyBorder="1" applyAlignment="1" applyProtection="1">
      <alignment horizontal="center" vertical="center" wrapText="1"/>
    </xf>
    <xf numFmtId="0" fontId="62" fillId="17" borderId="9" xfId="32" applyNumberFormat="1" applyFont="1" applyFill="1" applyBorder="1" applyAlignment="1" applyProtection="1">
      <alignment horizontal="center" vertical="center" wrapText="1"/>
    </xf>
    <xf numFmtId="0" fontId="9" fillId="5" borderId="3" xfId="0" applyNumberFormat="1" applyFont="1" applyFill="1" applyBorder="1" applyAlignment="1" applyProtection="1">
      <alignment horizontal="center" vertical="center" wrapText="1"/>
      <protection locked="0"/>
    </xf>
    <xf numFmtId="0" fontId="28" fillId="5" borderId="3" xfId="0" applyNumberFormat="1" applyFont="1" applyFill="1" applyBorder="1" applyAlignment="1" applyProtection="1">
      <alignment horizontal="center" vertical="center" wrapText="1"/>
      <protection locked="0"/>
    </xf>
    <xf numFmtId="190" fontId="124" fillId="0" borderId="0" xfId="0" applyFont="1">
      <alignment vertical="center"/>
    </xf>
    <xf numFmtId="0" fontId="29" fillId="5" borderId="15" xfId="0" applyNumberFormat="1" applyFont="1" applyFill="1" applyBorder="1" applyAlignment="1" applyProtection="1">
      <alignment horizontal="center" vertical="center" wrapText="1"/>
      <protection locked="0"/>
    </xf>
    <xf numFmtId="0" fontId="29" fillId="5" borderId="16" xfId="0" applyNumberFormat="1" applyFont="1" applyFill="1" applyBorder="1" applyAlignment="1" applyProtection="1">
      <alignment horizontal="center" vertical="center" wrapText="1"/>
      <protection locked="0"/>
    </xf>
    <xf numFmtId="0" fontId="10" fillId="5" borderId="3" xfId="0" applyNumberFormat="1" applyFont="1" applyFill="1" applyBorder="1" applyAlignment="1" applyProtection="1">
      <alignment horizontal="center" vertical="center" wrapText="1"/>
      <protection locked="0"/>
    </xf>
    <xf numFmtId="190" fontId="28" fillId="5" borderId="4" xfId="32" applyFont="1" applyFill="1" applyBorder="1" applyAlignment="1">
      <alignment horizontal="center" vertical="center"/>
      <protection locked="0"/>
    </xf>
    <xf numFmtId="190" fontId="28" fillId="5" borderId="9" xfId="32" applyFont="1" applyFill="1" applyBorder="1" applyAlignment="1">
      <alignment horizontal="center" vertical="center"/>
      <protection locked="0"/>
    </xf>
    <xf numFmtId="0" fontId="24" fillId="0" borderId="0" xfId="44" applyFont="1" applyAlignment="1">
      <alignment horizontal="left" vertical="center" wrapText="1"/>
    </xf>
    <xf numFmtId="190" fontId="28" fillId="0" borderId="0" xfId="36" applyFont="1" applyAlignment="1">
      <alignment horizontal="center" vertical="center"/>
    </xf>
    <xf numFmtId="190" fontId="35" fillId="0" borderId="0" xfId="36" applyFont="1" applyAlignment="1">
      <alignment horizontal="center" vertical="center"/>
    </xf>
    <xf numFmtId="190" fontId="28" fillId="5" borderId="4" xfId="43" applyFont="1" applyFill="1" applyBorder="1" applyAlignment="1" applyProtection="1">
      <alignment horizontal="center"/>
      <protection locked="0"/>
    </xf>
    <xf numFmtId="190" fontId="28" fillId="5" borderId="9" xfId="43" applyFont="1" applyFill="1" applyBorder="1" applyAlignment="1" applyProtection="1">
      <alignment horizontal="center"/>
      <protection locked="0"/>
    </xf>
    <xf numFmtId="190" fontId="47" fillId="0" borderId="0" xfId="0" applyFont="1" applyAlignment="1">
      <alignment horizontal="center" vertical="center"/>
    </xf>
    <xf numFmtId="0" fontId="35" fillId="0" borderId="0" xfId="43" applyNumberFormat="1" applyFont="1" applyAlignment="1" applyProtection="1">
      <alignment horizontal="center" vertical="center" wrapText="1"/>
      <protection locked="0"/>
    </xf>
    <xf numFmtId="190" fontId="28" fillId="5" borderId="14" xfId="43" applyFont="1" applyFill="1" applyBorder="1" applyAlignment="1" applyProtection="1">
      <alignment horizontal="center" vertical="center"/>
      <protection locked="0"/>
    </xf>
    <xf numFmtId="190" fontId="28" fillId="5" borderId="12" xfId="43" applyFont="1" applyFill="1" applyBorder="1" applyAlignment="1" applyProtection="1">
      <alignment horizontal="center" vertical="center"/>
      <protection locked="0"/>
    </xf>
    <xf numFmtId="190" fontId="28" fillId="5" borderId="10" xfId="43" applyFont="1" applyFill="1" applyBorder="1" applyAlignment="1" applyProtection="1">
      <alignment horizontal="center" vertical="center"/>
      <protection locked="0"/>
    </xf>
    <xf numFmtId="190" fontId="28" fillId="5" borderId="13" xfId="43" applyFont="1" applyFill="1" applyBorder="1" applyAlignment="1" applyProtection="1">
      <alignment horizontal="center" vertical="center"/>
      <protection locked="0"/>
    </xf>
    <xf numFmtId="0" fontId="24" fillId="0" borderId="4" xfId="43" applyNumberFormat="1" applyFont="1" applyBorder="1" applyAlignment="1" applyProtection="1">
      <alignment horizontal="left"/>
      <protection locked="0"/>
    </xf>
    <xf numFmtId="0" fontId="24" fillId="0" borderId="9" xfId="43" applyNumberFormat="1" applyFont="1" applyBorder="1" applyAlignment="1" applyProtection="1">
      <alignment horizontal="left"/>
      <protection locked="0"/>
    </xf>
    <xf numFmtId="0" fontId="28" fillId="0" borderId="0" xfId="358" applyFont="1" applyAlignment="1" applyProtection="1">
      <alignment horizontal="left" vertical="center" wrapText="1"/>
      <protection locked="0"/>
    </xf>
    <xf numFmtId="190" fontId="8" fillId="0" borderId="0" xfId="32" applyFont="1" applyAlignment="1" applyProtection="1">
      <alignment horizontal="left" vertical="center" wrapText="1" indent="1"/>
    </xf>
    <xf numFmtId="0" fontId="24" fillId="0" borderId="3" xfId="350" applyNumberFormat="1" applyFont="1" applyFill="1" applyBorder="1" applyAlignment="1" applyProtection="1">
      <alignment horizontal="left" vertical="center" wrapText="1"/>
      <protection locked="0"/>
    </xf>
    <xf numFmtId="0" fontId="28" fillId="10" borderId="3" xfId="358" applyFont="1" applyFill="1" applyBorder="1" applyAlignment="1" applyProtection="1">
      <alignment horizontal="center" vertical="center" wrapText="1"/>
      <protection locked="0"/>
    </xf>
    <xf numFmtId="0" fontId="24" fillId="0" borderId="3" xfId="358" applyFont="1" applyBorder="1" applyAlignment="1" applyProtection="1">
      <alignment horizontal="center" vertical="center"/>
      <protection locked="0"/>
    </xf>
    <xf numFmtId="0" fontId="82" fillId="0" borderId="0" xfId="72" applyFont="1" applyAlignment="1">
      <alignment horizontal="left" vertical="center"/>
    </xf>
    <xf numFmtId="0" fontId="97" fillId="0" borderId="0" xfId="72" applyFont="1" applyAlignment="1">
      <alignment horizontal="center" vertical="center"/>
    </xf>
    <xf numFmtId="0" fontId="82" fillId="0" borderId="0" xfId="72" applyFont="1" applyAlignment="1">
      <alignment horizontal="center" vertical="center"/>
    </xf>
    <xf numFmtId="0" fontId="82" fillId="0" borderId="0" xfId="72" applyFont="1" applyAlignment="1">
      <alignment horizontal="left" vertical="center" wrapText="1"/>
    </xf>
    <xf numFmtId="0" fontId="82" fillId="0" borderId="0" xfId="72" applyFont="1" applyAlignment="1">
      <alignment horizontal="center" vertical="center" wrapText="1"/>
    </xf>
  </cellXfs>
  <cellStyles count="377">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eader1" xfId="45"/>
    <cellStyle name="Header2" xfId="46"/>
    <cellStyle name="Hyperlink_AheadBehind.xls Chart 23" xfId="22"/>
    <cellStyle name="Input [yellow]" xfId="23"/>
    <cellStyle name="Milliers [0]_laroux" xfId="24"/>
    <cellStyle name="Milliers_laroux" xfId="25"/>
    <cellStyle name="Non défini" xfId="26"/>
    <cellStyle name="Normal - Style1" xfId="27"/>
    <cellStyle name="Normal_ SG&amp;A Bridge " xfId="47"/>
    <cellStyle name="Percent [2]" xfId="28"/>
    <cellStyle name="Red" xfId="29"/>
    <cellStyle name="row_def_array" xfId="48"/>
    <cellStyle name="RowLevel_0" xfId="66"/>
    <cellStyle name="_laroux" xfId="49"/>
    <cellStyle name="だ_laroux" xfId="50"/>
    <cellStyle name="百分比" xfId="30" builtinId="5"/>
    <cellStyle name="百分比 2" xfId="31"/>
    <cellStyle name="百分比 2 2" xfId="67"/>
    <cellStyle name="百分比 3" xfId="64"/>
    <cellStyle name="百分比 4" xfId="68"/>
    <cellStyle name="捠壿 [0.00]_PRODUCT DETAIL Q1" xfId="51"/>
    <cellStyle name="捠壿_PRODUCT DETAIL Q1" xfId="52"/>
    <cellStyle name="差_Book1" xfId="69"/>
    <cellStyle name="差_Book1 2" xfId="70"/>
    <cellStyle name="差_StartUp" xfId="53"/>
    <cellStyle name="差_文法2011-2012学年续放款名单(2009年签订贷款合同的" xfId="71"/>
    <cellStyle name="常规" xfId="0" builtinId="0"/>
    <cellStyle name="常规 10" xfId="72"/>
    <cellStyle name="常规 10 2" xfId="54"/>
    <cellStyle name="常规 100" xfId="73"/>
    <cellStyle name="常规 100 2" xfId="74"/>
    <cellStyle name="常规 101" xfId="75"/>
    <cellStyle name="常规 101 2" xfId="76"/>
    <cellStyle name="常规 102" xfId="77"/>
    <cellStyle name="常规 102 2" xfId="78"/>
    <cellStyle name="常规 103" xfId="361"/>
    <cellStyle name="常规 103 2" xfId="373"/>
    <cellStyle name="常规 103 3" xfId="375"/>
    <cellStyle name="常规 104" xfId="364"/>
    <cellStyle name="常规 105" xfId="79"/>
    <cellStyle name="常规 105 2" xfId="80"/>
    <cellStyle name="常规 106" xfId="81"/>
    <cellStyle name="常规 106 2" xfId="82"/>
    <cellStyle name="常规 109" xfId="83"/>
    <cellStyle name="常规 109 2" xfId="84"/>
    <cellStyle name="常规 11" xfId="85"/>
    <cellStyle name="常规 11 2" xfId="86"/>
    <cellStyle name="常规 11 5" xfId="376"/>
    <cellStyle name="常规 110" xfId="87"/>
    <cellStyle name="常规 110 2" xfId="88"/>
    <cellStyle name="常规 111" xfId="89"/>
    <cellStyle name="常规 111 2" xfId="90"/>
    <cellStyle name="常规 112" xfId="91"/>
    <cellStyle name="常规 112 2" xfId="92"/>
    <cellStyle name="常规 114" xfId="93"/>
    <cellStyle name="常规 114 2" xfId="94"/>
    <cellStyle name="常规 115" xfId="95"/>
    <cellStyle name="常规 115 2" xfId="96"/>
    <cellStyle name="常规 116" xfId="97"/>
    <cellStyle name="常规 116 2" xfId="98"/>
    <cellStyle name="常规 117" xfId="99"/>
    <cellStyle name="常规 117 2" xfId="100"/>
    <cellStyle name="常规 118" xfId="101"/>
    <cellStyle name="常规 118 2" xfId="102"/>
    <cellStyle name="常规 119" xfId="103"/>
    <cellStyle name="常规 119 2" xfId="104"/>
    <cellStyle name="常规 12" xfId="105"/>
    <cellStyle name="常规 12 2" xfId="106"/>
    <cellStyle name="常规 12 3" xfId="362"/>
    <cellStyle name="常规 120" xfId="107"/>
    <cellStyle name="常规 120 2" xfId="108"/>
    <cellStyle name="常规 121" xfId="109"/>
    <cellStyle name="常规 121 2" xfId="110"/>
    <cellStyle name="常规 122" xfId="111"/>
    <cellStyle name="常规 122 2" xfId="112"/>
    <cellStyle name="常规 123" xfId="113"/>
    <cellStyle name="常规 123 2" xfId="114"/>
    <cellStyle name="常规 129" xfId="115"/>
    <cellStyle name="常规 129 2" xfId="116"/>
    <cellStyle name="常规 13" xfId="117"/>
    <cellStyle name="常规 13 2" xfId="118"/>
    <cellStyle name="常规 13 3" xfId="359"/>
    <cellStyle name="常规 13 3 2" xfId="372"/>
    <cellStyle name="常规 13 3 3" xfId="374"/>
    <cellStyle name="常规 130" xfId="119"/>
    <cellStyle name="常规 130 2" xfId="120"/>
    <cellStyle name="常规 131" xfId="121"/>
    <cellStyle name="常规 131 2" xfId="122"/>
    <cellStyle name="常规 132" xfId="123"/>
    <cellStyle name="常规 132 2" xfId="124"/>
    <cellStyle name="常规 133" xfId="125"/>
    <cellStyle name="常规 133 2" xfId="126"/>
    <cellStyle name="常规 134" xfId="127"/>
    <cellStyle name="常规 134 2" xfId="128"/>
    <cellStyle name="常规 135" xfId="129"/>
    <cellStyle name="常规 135 2" xfId="130"/>
    <cellStyle name="常规 14" xfId="131"/>
    <cellStyle name="常规 14 2" xfId="132"/>
    <cellStyle name="常规 15" xfId="133"/>
    <cellStyle name="常规 15 2" xfId="134"/>
    <cellStyle name="常规 16" xfId="135"/>
    <cellStyle name="常规 16 2" xfId="136"/>
    <cellStyle name="常规 17" xfId="137"/>
    <cellStyle name="常规 17 2" xfId="138"/>
    <cellStyle name="常规 18" xfId="139"/>
    <cellStyle name="常规 18 2" xfId="140"/>
    <cellStyle name="常规 19" xfId="141"/>
    <cellStyle name="常规 19 2" xfId="142"/>
    <cellStyle name="常规 2" xfId="32"/>
    <cellStyle name="常规 2 10" xfId="143"/>
    <cellStyle name="常规 2 12" xfId="144"/>
    <cellStyle name="常规 2 12 2" xfId="145"/>
    <cellStyle name="常规 2 2" xfId="146"/>
    <cellStyle name="常规 2 2 2" xfId="147"/>
    <cellStyle name="常规 2 2 2 2" xfId="148"/>
    <cellStyle name="常规 2 2 3" xfId="149"/>
    <cellStyle name="常规 2 2 9" xfId="150"/>
    <cellStyle name="常规 2 2 9 2" xfId="151"/>
    <cellStyle name="常规 2 2_Sheet1" xfId="152"/>
    <cellStyle name="常规 2 3" xfId="153"/>
    <cellStyle name="常规 2 3 2" xfId="154"/>
    <cellStyle name="常规 2 4" xfId="155"/>
    <cellStyle name="常规 2 5" xfId="156"/>
    <cellStyle name="常规 2 6" xfId="157"/>
    <cellStyle name="常规 2 7" xfId="158"/>
    <cellStyle name="常规 2 8" xfId="159"/>
    <cellStyle name="常规 2 9" xfId="160"/>
    <cellStyle name="常规 2_2010-2011年度申请国家助学贷款学生审核信息表(终)" xfId="161"/>
    <cellStyle name="常规 20" xfId="162"/>
    <cellStyle name="常规 20 2" xfId="163"/>
    <cellStyle name="常规 21" xfId="164"/>
    <cellStyle name="常规 21 2" xfId="165"/>
    <cellStyle name="常规 22" xfId="166"/>
    <cellStyle name="常规 22 2" xfId="167"/>
    <cellStyle name="常规 23" xfId="168"/>
    <cellStyle name="常规 23 2" xfId="169"/>
    <cellStyle name="常规 24" xfId="170"/>
    <cellStyle name="常规 24 2" xfId="171"/>
    <cellStyle name="常规 25" xfId="172"/>
    <cellStyle name="常规 25 2" xfId="173"/>
    <cellStyle name="常规 26" xfId="174"/>
    <cellStyle name="常规 26 2" xfId="175"/>
    <cellStyle name="常规 27" xfId="176"/>
    <cellStyle name="常规 27 2" xfId="177"/>
    <cellStyle name="常规 28" xfId="178"/>
    <cellStyle name="常规 28 2" xfId="179"/>
    <cellStyle name="常规 29" xfId="180"/>
    <cellStyle name="常规 29 2" xfId="181"/>
    <cellStyle name="常规 3" xfId="33"/>
    <cellStyle name="常规 3 2" xfId="182"/>
    <cellStyle name="常规 3 2 2" xfId="370"/>
    <cellStyle name="常规 3 3" xfId="360"/>
    <cellStyle name="常规 3 4" xfId="366"/>
    <cellStyle name="常规 30" xfId="183"/>
    <cellStyle name="常规 30 2" xfId="184"/>
    <cellStyle name="常规 31" xfId="185"/>
    <cellStyle name="常规 31 2" xfId="186"/>
    <cellStyle name="常规 32" xfId="187"/>
    <cellStyle name="常规 32 2" xfId="188"/>
    <cellStyle name="常规 33" xfId="189"/>
    <cellStyle name="常规 33 2" xfId="190"/>
    <cellStyle name="常规 34" xfId="191"/>
    <cellStyle name="常规 34 2" xfId="192"/>
    <cellStyle name="常规 35" xfId="193"/>
    <cellStyle name="常规 35 2" xfId="194"/>
    <cellStyle name="常规 36" xfId="195"/>
    <cellStyle name="常规 36 2" xfId="196"/>
    <cellStyle name="常规 37" xfId="197"/>
    <cellStyle name="常规 37 2" xfId="198"/>
    <cellStyle name="常规 38" xfId="199"/>
    <cellStyle name="常规 38 2" xfId="200"/>
    <cellStyle name="常规 39" xfId="201"/>
    <cellStyle name="常规 39 2" xfId="202"/>
    <cellStyle name="常规 4" xfId="43"/>
    <cellStyle name="常规 4 2" xfId="203"/>
    <cellStyle name="常规 40" xfId="204"/>
    <cellStyle name="常规 40 2" xfId="205"/>
    <cellStyle name="常规 41" xfId="206"/>
    <cellStyle name="常规 41 2" xfId="207"/>
    <cellStyle name="常规 42" xfId="208"/>
    <cellStyle name="常规 42 2" xfId="209"/>
    <cellStyle name="常规 43" xfId="210"/>
    <cellStyle name="常规 43 2" xfId="211"/>
    <cellStyle name="常规 44" xfId="212"/>
    <cellStyle name="常规 44 2" xfId="213"/>
    <cellStyle name="常规 45" xfId="214"/>
    <cellStyle name="常规 45 2" xfId="215"/>
    <cellStyle name="常规 46" xfId="216"/>
    <cellStyle name="常规 46 2" xfId="217"/>
    <cellStyle name="常规 47" xfId="218"/>
    <cellStyle name="常规 47 2" xfId="219"/>
    <cellStyle name="常规 48" xfId="220"/>
    <cellStyle name="常规 48 2" xfId="221"/>
    <cellStyle name="常规 49" xfId="222"/>
    <cellStyle name="常规 49 2" xfId="223"/>
    <cellStyle name="常规 5" xfId="44"/>
    <cellStyle name="常规 5 2" xfId="224"/>
    <cellStyle name="常规 50" xfId="225"/>
    <cellStyle name="常规 50 2" xfId="226"/>
    <cellStyle name="常规 51" xfId="227"/>
    <cellStyle name="常规 51 2" xfId="228"/>
    <cellStyle name="常规 52" xfId="229"/>
    <cellStyle name="常规 52 2" xfId="230"/>
    <cellStyle name="常规 53" xfId="231"/>
    <cellStyle name="常规 53 2" xfId="232"/>
    <cellStyle name="常规 54" xfId="233"/>
    <cellStyle name="常规 54 2" xfId="234"/>
    <cellStyle name="常规 55" xfId="235"/>
    <cellStyle name="常规 55 2" xfId="236"/>
    <cellStyle name="常规 56" xfId="237"/>
    <cellStyle name="常规 56 2" xfId="238"/>
    <cellStyle name="常规 57" xfId="239"/>
    <cellStyle name="常规 57 2" xfId="240"/>
    <cellStyle name="常规 58" xfId="241"/>
    <cellStyle name="常规 58 2" xfId="242"/>
    <cellStyle name="常规 59" xfId="243"/>
    <cellStyle name="常规 59 2" xfId="244"/>
    <cellStyle name="常规 6" xfId="245"/>
    <cellStyle name="常规 6 2" xfId="246"/>
    <cellStyle name="常规 6 5" xfId="371"/>
    <cellStyle name="常规 60" xfId="247"/>
    <cellStyle name="常规 60 2" xfId="248"/>
    <cellStyle name="常规 61" xfId="249"/>
    <cellStyle name="常规 61 2" xfId="250"/>
    <cellStyle name="常规 62" xfId="251"/>
    <cellStyle name="常规 62 2" xfId="252"/>
    <cellStyle name="常规 63" xfId="253"/>
    <cellStyle name="常规 63 2" xfId="254"/>
    <cellStyle name="常规 64" xfId="255"/>
    <cellStyle name="常规 64 2" xfId="256"/>
    <cellStyle name="常规 65" xfId="257"/>
    <cellStyle name="常规 65 2" xfId="258"/>
    <cellStyle name="常规 66" xfId="259"/>
    <cellStyle name="常规 66 2" xfId="260"/>
    <cellStyle name="常规 67" xfId="261"/>
    <cellStyle name="常规 67 2" xfId="262"/>
    <cellStyle name="常规 68" xfId="263"/>
    <cellStyle name="常规 68 2" xfId="264"/>
    <cellStyle name="常规 69" xfId="265"/>
    <cellStyle name="常规 69 2" xfId="266"/>
    <cellStyle name="常规 7" xfId="267"/>
    <cellStyle name="常规 7 2" xfId="268"/>
    <cellStyle name="常规 70" xfId="269"/>
    <cellStyle name="常规 70 2" xfId="270"/>
    <cellStyle name="常规 71" xfId="271"/>
    <cellStyle name="常规 71 2" xfId="272"/>
    <cellStyle name="常规 72" xfId="273"/>
    <cellStyle name="常规 72 2" xfId="274"/>
    <cellStyle name="常规 73" xfId="275"/>
    <cellStyle name="常规 73 2" xfId="276"/>
    <cellStyle name="常规 74" xfId="277"/>
    <cellStyle name="常规 74 2" xfId="278"/>
    <cellStyle name="常规 75" xfId="279"/>
    <cellStyle name="常规 75 2" xfId="280"/>
    <cellStyle name="常规 76" xfId="281"/>
    <cellStyle name="常规 76 2" xfId="282"/>
    <cellStyle name="常规 77" xfId="283"/>
    <cellStyle name="常规 77 2" xfId="284"/>
    <cellStyle name="常规 78" xfId="285"/>
    <cellStyle name="常规 78 2" xfId="286"/>
    <cellStyle name="常规 79" xfId="287"/>
    <cellStyle name="常规 79 2" xfId="288"/>
    <cellStyle name="常规 8" xfId="289"/>
    <cellStyle name="常规 8 2" xfId="290"/>
    <cellStyle name="常规 80" xfId="291"/>
    <cellStyle name="常规 80 2" xfId="292"/>
    <cellStyle name="常规 81" xfId="293"/>
    <cellStyle name="常规 81 2" xfId="294"/>
    <cellStyle name="常规 82" xfId="295"/>
    <cellStyle name="常规 82 2" xfId="296"/>
    <cellStyle name="常规 83" xfId="297"/>
    <cellStyle name="常规 83 2" xfId="298"/>
    <cellStyle name="常规 84" xfId="299"/>
    <cellStyle name="常规 84 2" xfId="300"/>
    <cellStyle name="常规 85" xfId="301"/>
    <cellStyle name="常规 85 2" xfId="302"/>
    <cellStyle name="常规 86" xfId="303"/>
    <cellStyle name="常规 86 2" xfId="304"/>
    <cellStyle name="常规 87" xfId="305"/>
    <cellStyle name="常规 87 2" xfId="306"/>
    <cellStyle name="常规 88" xfId="307"/>
    <cellStyle name="常规 88 2" xfId="308"/>
    <cellStyle name="常规 89" xfId="309"/>
    <cellStyle name="常规 9" xfId="310"/>
    <cellStyle name="常规 9 2" xfId="311"/>
    <cellStyle name="常规 90" xfId="312"/>
    <cellStyle name="常规 91" xfId="313"/>
    <cellStyle name="常规 91 2" xfId="314"/>
    <cellStyle name="常规 92" xfId="315"/>
    <cellStyle name="常规 92 2" xfId="316"/>
    <cellStyle name="常规 93" xfId="317"/>
    <cellStyle name="常规 93 2" xfId="318"/>
    <cellStyle name="常规 94" xfId="319"/>
    <cellStyle name="常规 94 2" xfId="320"/>
    <cellStyle name="常规 95" xfId="321"/>
    <cellStyle name="常规 95 2" xfId="322"/>
    <cellStyle name="常规 96" xfId="323"/>
    <cellStyle name="常规 96 2" xfId="324"/>
    <cellStyle name="常规 97" xfId="325"/>
    <cellStyle name="常规 97 2" xfId="326"/>
    <cellStyle name="常规 98" xfId="327"/>
    <cellStyle name="常规 98 2" xfId="328"/>
    <cellStyle name="常规 99" xfId="329"/>
    <cellStyle name="常规 99 2" xfId="330"/>
    <cellStyle name="常规_2-1项目审定表－模板" xfId="34"/>
    <cellStyle name="常规_32-应付职工薪酬(空白模板) 2" xfId="358"/>
    <cellStyle name="常规_Book1" xfId="35"/>
    <cellStyle name="常规_Book1 2" xfId="36"/>
    <cellStyle name="常规_c-资产类" xfId="368"/>
    <cellStyle name="常规_D1货币资金" xfId="65"/>
    <cellStyle name="常规_进一步审计程序--销售与收款循环" xfId="37"/>
    <cellStyle name="常规_新审定表" xfId="38"/>
    <cellStyle name="常规_制造费用" xfId="39"/>
    <cellStyle name="常规_制造费用 2" xfId="363"/>
    <cellStyle name="超链接" xfId="40" builtinId="8"/>
    <cellStyle name="超链接 2" xfId="331"/>
    <cellStyle name="好_Book1" xfId="332"/>
    <cellStyle name="好_Book1 2" xfId="333"/>
    <cellStyle name="好_StartUp" xfId="55"/>
    <cellStyle name="好_文法2011-2012学年续放款名单(2009年签订贷款合同的" xfId="334"/>
    <cellStyle name="货币 18" xfId="335"/>
    <cellStyle name="货币 18 2" xfId="336"/>
    <cellStyle name="货币 29" xfId="337"/>
    <cellStyle name="货币 29 2" xfId="338"/>
    <cellStyle name="货币 7" xfId="339"/>
    <cellStyle name="货币 7 2" xfId="340"/>
    <cellStyle name="霓付 [0]_1202" xfId="56"/>
    <cellStyle name="霓付_1202" xfId="57"/>
    <cellStyle name="烹拳 [0]_1202" xfId="58"/>
    <cellStyle name="烹拳_1202" xfId="59"/>
    <cellStyle name="普通_ 白土" xfId="341"/>
    <cellStyle name="千分位[0]_ 白土" xfId="342"/>
    <cellStyle name="千分位_ 白土" xfId="343"/>
    <cellStyle name="千位[0]_97试算平衡" xfId="344"/>
    <cellStyle name="千位_97试算平衡" xfId="345"/>
    <cellStyle name="千位分隔" xfId="41" builtinId="3"/>
    <cellStyle name="千位分隔 2" xfId="42"/>
    <cellStyle name="千位分隔 2 16" xfId="346"/>
    <cellStyle name="千位分隔 2 16 2" xfId="347"/>
    <cellStyle name="千位分隔 2 2" xfId="348"/>
    <cellStyle name="千位分隔 2 3" xfId="367"/>
    <cellStyle name="千位分隔 3" xfId="349"/>
    <cellStyle name="千位分隔 3 2" xfId="369"/>
    <cellStyle name="千位分隔 4" xfId="365"/>
    <cellStyle name="千位分隔[0] 2" xfId="350"/>
    <cellStyle name="千位分隔[0] 3" xfId="351"/>
    <cellStyle name="钎霖_(沥焊何巩)岿喊牢盔拌裙" xfId="60"/>
    <cellStyle name="样式 1" xfId="352"/>
    <cellStyle name="昗弨_BOOKSHIP" xfId="61"/>
    <cellStyle name="寘嬫愗傝 [0.00]_PRODUCT DETAIL Q1" xfId="62"/>
    <cellStyle name="寘嬫愗傝_PRODUCT DETAIL Q1" xfId="63"/>
    <cellStyle name="콤마 [0]_BOILER-CO1" xfId="353"/>
    <cellStyle name="콤마_BOILER-CO1" xfId="354"/>
    <cellStyle name="통화 [0]_BOILER-CO1" xfId="355"/>
    <cellStyle name="통화_BOILER-CO1" xfId="356"/>
    <cellStyle name="표준_0N-HANDLING " xfId="357"/>
  </cellStyles>
  <dxfs count="0"/>
  <tableStyles count="0" defaultTableStyle="TableStyleMedium9" defaultPivotStyle="PivotStyleLight16"/>
  <colors>
    <mruColors>
      <color rgb="FFF2DAF2"/>
      <color rgb="FF0000FF"/>
      <color rgb="FFFFFFCC"/>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5.&#24213;&#31295;&#27169;&#26495;\2024&#24180;&#24213;&#31295;&#12289;&#25253;&#21578;&#27169;&#26495;\1.&#33268;&#21516;&#23457;&#35745;&#31243;&#24207;&#21450;&#24213;&#31295;&#27169;&#26495;&#65288;2024&#24180;&#65289;\4.&#39118;&#38505;&#24212;&#23545;-&#23454;&#36136;&#24615;&#31243;&#24207;&#65288;D-Q&#65289;\L%20&#32844;&#24037;&#34218;&#37228;&#24490;&#29615;\L1%20&#24212;&#20184;&#32844;&#24037;&#34218;&#37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O企业薪酬审计提示"/>
      <sheetName val="IPO企业股权激励工具关注的审计重点"/>
      <sheetName val="首发业务解答二"/>
      <sheetName val="底稿目录"/>
      <sheetName val="应付职工薪酬实质性程序表 L1A"/>
      <sheetName val="审定表L1 "/>
      <sheetName val="附注披露信息（上市公司）L1-1"/>
      <sheetName val="附注披露信息L1-1（国有企业）"/>
      <sheetName val="明细表L1-2 "/>
      <sheetName val="调整分录汇总表L1-2-1"/>
      <sheetName val="分析表L1-3-1"/>
      <sheetName val="分析表L1-3-2"/>
      <sheetName val="计提情况检查表L1-4-1"/>
      <sheetName val="分配情况检查表L1-4-2"/>
      <sheetName val="非货币性福利检查表L1-4-3"/>
      <sheetName val="辞退福利检查表L1-4-4"/>
      <sheetName val="股份支付检查表L1-4-5"/>
      <sheetName val="应付职工薪酬余额及期后事项检查表L1-4-6"/>
      <sheetName val="职工薪酬政策统计表L1-4-7"/>
      <sheetName val="细节测试表L1-5"/>
      <sheetName val="带薪缺勤L1-8"/>
      <sheetName val="股份支付L1-9"/>
      <sheetName val="GT_Custom"/>
    </sheetNames>
    <sheetDataSet>
      <sheetData sheetId="0"/>
      <sheetData sheetId="1"/>
      <sheetData sheetId="2"/>
      <sheetData sheetId="3">
        <row r="2">
          <cell r="A2" t="str">
            <v>客户名称：</v>
          </cell>
        </row>
        <row r="3">
          <cell r="A3" t="str">
            <v>截止日：2022年12月31日</v>
          </cell>
        </row>
        <row r="4">
          <cell r="A4" t="str">
            <v>编制人：</v>
          </cell>
        </row>
        <row r="5">
          <cell r="A5" t="str">
            <v>编制日期：</v>
          </cell>
        </row>
        <row r="6">
          <cell r="A6" t="str">
            <v>复核人：</v>
          </cell>
        </row>
        <row r="7">
          <cell r="A7" t="str">
            <v>复核日期：</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9"/>
  <sheetViews>
    <sheetView tabSelected="1" zoomScaleNormal="100" workbookViewId="0"/>
  </sheetViews>
  <sheetFormatPr defaultColWidth="9" defaultRowHeight="15" customHeight="1"/>
  <cols>
    <col min="1" max="1" width="72.88671875" style="1" customWidth="1"/>
    <col min="2" max="3" width="4.88671875" style="552" customWidth="1"/>
    <col min="4" max="4" width="9" style="2" customWidth="1"/>
    <col min="5" max="5" width="44.21875" style="1" bestFit="1" customWidth="1"/>
    <col min="6" max="6" width="9" style="1"/>
    <col min="7" max="7" width="9.109375" style="1" customWidth="1"/>
    <col min="8" max="16384" width="9" style="1"/>
  </cols>
  <sheetData>
    <row r="1" spans="1:7" s="3" customFormat="1" ht="19.95" customHeight="1">
      <c r="A1" s="321" t="s">
        <v>850</v>
      </c>
      <c r="B1" s="567"/>
      <c r="C1" s="567"/>
      <c r="D1" s="604"/>
      <c r="E1" s="604"/>
      <c r="F1" s="604"/>
      <c r="G1" s="604"/>
    </row>
    <row r="2" spans="1:7" ht="19.95" customHeight="1">
      <c r="A2" s="491" t="s">
        <v>1325</v>
      </c>
      <c r="B2" s="568"/>
      <c r="C2" s="568"/>
      <c r="D2" s="385" t="s">
        <v>309</v>
      </c>
      <c r="E2" s="385" t="s">
        <v>310</v>
      </c>
      <c r="F2" s="385" t="s">
        <v>311</v>
      </c>
      <c r="G2" s="385" t="s">
        <v>312</v>
      </c>
    </row>
    <row r="3" spans="1:7" ht="19.95" customHeight="1">
      <c r="A3" s="490" t="s">
        <v>1345</v>
      </c>
      <c r="B3" s="569"/>
      <c r="C3" s="569"/>
      <c r="D3" s="566">
        <v>1</v>
      </c>
      <c r="E3" s="529" t="s">
        <v>1304</v>
      </c>
      <c r="F3" s="150" t="s">
        <v>62</v>
      </c>
    </row>
    <row r="4" spans="1:7" ht="19.95" customHeight="1">
      <c r="A4" s="492" t="s">
        <v>1329</v>
      </c>
      <c r="B4" s="570"/>
      <c r="C4" s="570"/>
      <c r="D4" s="566">
        <v>2</v>
      </c>
      <c r="E4" s="529" t="s">
        <v>1301</v>
      </c>
      <c r="F4" s="495" t="s">
        <v>63</v>
      </c>
      <c r="G4" s="387"/>
    </row>
    <row r="5" spans="1:7" ht="19.95" customHeight="1">
      <c r="A5" s="491" t="s">
        <v>1326</v>
      </c>
      <c r="B5" s="568"/>
      <c r="C5" s="568"/>
      <c r="D5" s="566">
        <v>3</v>
      </c>
      <c r="E5" s="529" t="s">
        <v>1302</v>
      </c>
      <c r="F5" s="150"/>
      <c r="G5" s="1" t="s">
        <v>1233</v>
      </c>
    </row>
    <row r="6" spans="1:7" ht="19.95" customHeight="1">
      <c r="A6" s="491" t="s">
        <v>1327</v>
      </c>
      <c r="B6" s="568"/>
      <c r="C6" s="568"/>
      <c r="D6" s="566">
        <v>4</v>
      </c>
      <c r="E6" s="529" t="s">
        <v>1303</v>
      </c>
      <c r="F6" s="150"/>
      <c r="G6" s="1" t="s">
        <v>1231</v>
      </c>
    </row>
    <row r="7" spans="1:7" ht="19.95" customHeight="1">
      <c r="A7" s="491" t="s">
        <v>1328</v>
      </c>
      <c r="B7" s="568"/>
      <c r="C7" s="568"/>
      <c r="D7" s="566">
        <v>5</v>
      </c>
      <c r="E7" s="529" t="s">
        <v>1305</v>
      </c>
      <c r="F7" s="150" t="s">
        <v>64</v>
      </c>
    </row>
    <row r="8" spans="1:7" ht="19.95" customHeight="1">
      <c r="D8" s="566">
        <v>6</v>
      </c>
      <c r="E8" s="529" t="s">
        <v>1306</v>
      </c>
      <c r="F8" s="150" t="s">
        <v>95</v>
      </c>
    </row>
    <row r="9" spans="1:7" ht="19.95" customHeight="1">
      <c r="A9" s="571" t="s">
        <v>1346</v>
      </c>
      <c r="D9" s="566">
        <v>7</v>
      </c>
      <c r="E9" s="529" t="s">
        <v>1208</v>
      </c>
      <c r="F9" s="150" t="s">
        <v>1212</v>
      </c>
    </row>
    <row r="10" spans="1:7" ht="19.95" customHeight="1">
      <c r="A10" s="605" t="s">
        <v>1347</v>
      </c>
      <c r="D10" s="566">
        <v>8</v>
      </c>
      <c r="E10" s="529" t="s">
        <v>1207</v>
      </c>
      <c r="F10" s="150" t="s">
        <v>1213</v>
      </c>
    </row>
    <row r="11" spans="1:7" ht="19.95" customHeight="1">
      <c r="A11" s="605"/>
      <c r="D11" s="566">
        <v>9</v>
      </c>
      <c r="E11" s="529" t="s">
        <v>1307</v>
      </c>
      <c r="F11" s="150" t="s">
        <v>1214</v>
      </c>
    </row>
    <row r="12" spans="1:7" ht="19.95" customHeight="1">
      <c r="A12" s="605"/>
      <c r="D12" s="566">
        <v>10</v>
      </c>
      <c r="E12" s="529" t="s">
        <v>1211</v>
      </c>
      <c r="F12" s="150" t="s">
        <v>1215</v>
      </c>
    </row>
    <row r="13" spans="1:7" ht="19.95" customHeight="1">
      <c r="A13" s="605"/>
      <c r="D13" s="566">
        <v>11</v>
      </c>
      <c r="E13" s="529" t="s">
        <v>1230</v>
      </c>
      <c r="F13" s="150" t="s">
        <v>1216</v>
      </c>
    </row>
    <row r="14" spans="1:7" ht="19.95" customHeight="1">
      <c r="A14" s="605" t="s">
        <v>1348</v>
      </c>
      <c r="D14" s="566">
        <v>12</v>
      </c>
      <c r="E14" s="529" t="s">
        <v>1232</v>
      </c>
      <c r="F14" s="150" t="s">
        <v>1217</v>
      </c>
    </row>
    <row r="15" spans="1:7" ht="19.95" customHeight="1">
      <c r="A15" s="605"/>
      <c r="D15" s="566">
        <v>13</v>
      </c>
      <c r="E15" s="529" t="s">
        <v>1234</v>
      </c>
      <c r="F15" s="150" t="s">
        <v>1218</v>
      </c>
    </row>
    <row r="16" spans="1:7" ht="19.95" customHeight="1">
      <c r="A16" s="605"/>
      <c r="D16" s="592"/>
      <c r="E16" s="593"/>
      <c r="F16" s="594"/>
    </row>
    <row r="17" spans="1:6" ht="19.95" customHeight="1">
      <c r="A17" s="606" t="s">
        <v>1349</v>
      </c>
      <c r="D17" s="595"/>
      <c r="E17" s="596"/>
      <c r="F17" s="597"/>
    </row>
    <row r="18" spans="1:6" ht="19.95" customHeight="1">
      <c r="A18" s="606"/>
      <c r="D18" s="595"/>
      <c r="E18" s="596"/>
      <c r="F18" s="597"/>
    </row>
    <row r="19" spans="1:6" ht="15" customHeight="1">
      <c r="A19" s="606"/>
    </row>
  </sheetData>
  <mergeCells count="4">
    <mergeCell ref="D1:G1"/>
    <mergeCell ref="A10:A13"/>
    <mergeCell ref="A14:A16"/>
    <mergeCell ref="A17:A19"/>
  </mergeCells>
  <phoneticPr fontId="6" type="noConversion"/>
  <hyperlinks>
    <hyperlink ref="E4" location="'审定表J1-1 '!A1" display="应付职工薪酬审定表"/>
    <hyperlink ref="E7" location="'明细表J1-2 '!A1" display="应付职工薪酬明细表"/>
    <hyperlink ref="E9" location="'月度分析表J1-4'!A1" display="应付职工薪酬实质性分析表"/>
    <hyperlink ref="E10" location="'与同行业对比分析表J1-5'!A1" display="应付职工薪酬同行业对比分析表"/>
    <hyperlink ref="E11" location="'计提情况检查表J1-6'!A1" display="应付职工薪酬计提情况检查表"/>
    <hyperlink ref="E13" location="'检查表J1-8'!A1" display="应付职工薪酬检查表"/>
    <hyperlink ref="E15" location="'辞退福利检查表J1-10'!A1" display="辞退福利检查表"/>
    <hyperlink ref="E12" location="'分配情况检查表J1-7'!A1" display="应付职工薪酬分配表"/>
    <hyperlink ref="E5" location="'附注披露信息（上市公司）'!A1" display="应付职工薪酬附注披露表（上市公司）"/>
    <hyperlink ref="E6" location="'附注披露信息（国有企业）'!A1" display="应付职工薪酬附注披露表（国有企业）"/>
    <hyperlink ref="E14" location="'非货币性福利检查表J1-9'!A1" display="非货币性福利检查表"/>
    <hyperlink ref="E3" location="'应付职工薪酬实质性程序表 J1A'!A1" display="应付职工薪酬实质性程序表"/>
    <hyperlink ref="E8" location="'调整分录汇总表J1-3'!A1" display="调整分录汇总表"/>
  </hyperlinks>
  <pageMargins left="0.70866141732283472" right="0.70866141732283472" top="0.74803149606299213" bottom="0.74803149606299213" header="0.31496062992125984" footer="0.31496062992125984"/>
  <pageSetup paperSize="9" orientation="portrait"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K48"/>
  <sheetViews>
    <sheetView view="pageBreakPreview" zoomScaleNormal="120" zoomScaleSheetLayoutView="100" workbookViewId="0">
      <selection sqref="A1:I1"/>
    </sheetView>
  </sheetViews>
  <sheetFormatPr defaultColWidth="9" defaultRowHeight="15" customHeight="1"/>
  <cols>
    <col min="1" max="1" width="5.21875" style="142" customWidth="1"/>
    <col min="2" max="2" width="70.88671875" style="142" customWidth="1"/>
    <col min="3" max="3" width="9.88671875" style="142" customWidth="1"/>
    <col min="4" max="4" width="5.5546875" style="142" customWidth="1"/>
    <col min="5" max="5" width="7" style="142" customWidth="1"/>
    <col min="6" max="6" width="6.6640625" style="142" customWidth="1"/>
    <col min="7" max="7" width="7.77734375" style="142" customWidth="1"/>
    <col min="8" max="8" width="5.44140625" style="142" customWidth="1"/>
    <col min="9" max="9" width="8.6640625" style="344" customWidth="1"/>
    <col min="10" max="10" width="74.6640625" style="142" customWidth="1"/>
    <col min="11" max="11" width="17.44140625" style="142" customWidth="1"/>
    <col min="12" max="16384" width="9" style="142"/>
  </cols>
  <sheetData>
    <row r="1" spans="1:11" ht="19.95" customHeight="1">
      <c r="A1" s="613" t="s">
        <v>1110</v>
      </c>
      <c r="B1" s="613"/>
      <c r="C1" s="613"/>
      <c r="D1" s="613"/>
      <c r="E1" s="613"/>
      <c r="F1" s="613"/>
      <c r="G1" s="613"/>
      <c r="H1" s="613"/>
      <c r="I1" s="613"/>
    </row>
    <row r="2" spans="1:11" s="347" customFormat="1" ht="19.95" customHeight="1">
      <c r="A2" s="614" t="s">
        <v>1269</v>
      </c>
      <c r="B2" s="614"/>
      <c r="C2" s="614"/>
      <c r="D2" s="614"/>
      <c r="E2" s="614"/>
      <c r="F2" s="614"/>
      <c r="G2" s="614"/>
      <c r="H2" s="614"/>
      <c r="I2" s="614"/>
    </row>
    <row r="3" spans="1:11" ht="19.95" customHeight="1">
      <c r="A3" s="611" t="str">
        <f>底稿目录!A2</f>
        <v>被审计单位：</v>
      </c>
      <c r="B3" s="611"/>
      <c r="C3" s="144" t="str">
        <f>底稿目录!A4</f>
        <v>编制人：</v>
      </c>
      <c r="E3" s="144" t="str">
        <f>底稿目录!A5</f>
        <v>编制日期：</v>
      </c>
      <c r="F3" s="144"/>
      <c r="G3" s="144"/>
      <c r="H3" s="144" t="s">
        <v>774</v>
      </c>
      <c r="I3" s="530" t="str">
        <f>底稿目录!F3</f>
        <v>J1A</v>
      </c>
    </row>
    <row r="4" spans="1:11" ht="19.95" customHeight="1">
      <c r="A4" s="611" t="str">
        <f>底稿目录!A3</f>
        <v>截止日：202X年12月31日</v>
      </c>
      <c r="B4" s="611"/>
      <c r="C4" s="144" t="str">
        <f>底稿目录!A6</f>
        <v>复核人：</v>
      </c>
      <c r="E4" s="144" t="str">
        <f>底稿目录!A7</f>
        <v>复核日期：</v>
      </c>
      <c r="F4" s="144"/>
      <c r="G4" s="144"/>
      <c r="H4" s="144" t="s">
        <v>100</v>
      </c>
    </row>
    <row r="5" spans="1:11" ht="19.95" customHeight="1">
      <c r="A5" s="349" t="s">
        <v>896</v>
      </c>
      <c r="B5" s="143"/>
      <c r="C5" s="143"/>
      <c r="D5" s="143"/>
      <c r="E5" s="143"/>
      <c r="F5" s="143"/>
      <c r="G5" s="143"/>
      <c r="H5" s="143"/>
      <c r="I5" s="191"/>
    </row>
    <row r="6" spans="1:11" ht="19.95" customHeight="1">
      <c r="A6" s="285" t="s">
        <v>102</v>
      </c>
      <c r="B6" s="143"/>
      <c r="C6" s="143"/>
      <c r="D6" s="143"/>
      <c r="E6" s="143"/>
      <c r="F6" s="143"/>
      <c r="G6" s="143"/>
      <c r="H6" s="143"/>
      <c r="I6" s="191"/>
    </row>
    <row r="7" spans="1:11" ht="19.95" customHeight="1">
      <c r="A7" s="350" t="s">
        <v>897</v>
      </c>
      <c r="B7" s="145"/>
      <c r="C7" s="143"/>
      <c r="D7" s="143"/>
      <c r="E7" s="143"/>
      <c r="F7" s="143"/>
      <c r="G7" s="143"/>
      <c r="H7" s="143"/>
      <c r="I7" s="191"/>
      <c r="J7" s="146"/>
    </row>
    <row r="8" spans="1:11" ht="19.95" customHeight="1">
      <c r="A8" s="618" t="s">
        <v>43</v>
      </c>
      <c r="B8" s="618"/>
      <c r="C8" s="618"/>
      <c r="D8" s="618"/>
      <c r="E8" s="618"/>
      <c r="F8" s="618"/>
      <c r="G8" s="608" t="s">
        <v>105</v>
      </c>
      <c r="H8" s="608"/>
      <c r="I8" s="608"/>
      <c r="J8" s="146"/>
    </row>
    <row r="9" spans="1:11" ht="19.95" customHeight="1">
      <c r="A9" s="607" t="s">
        <v>898</v>
      </c>
      <c r="B9" s="607"/>
      <c r="C9" s="607"/>
      <c r="D9" s="607"/>
      <c r="E9" s="607"/>
      <c r="F9" s="607"/>
      <c r="G9" s="609" t="s">
        <v>775</v>
      </c>
      <c r="H9" s="609"/>
      <c r="I9" s="609"/>
      <c r="J9" s="146"/>
    </row>
    <row r="10" spans="1:11" ht="19.95" customHeight="1">
      <c r="A10" s="607" t="s">
        <v>899</v>
      </c>
      <c r="B10" s="607"/>
      <c r="C10" s="607"/>
      <c r="D10" s="607"/>
      <c r="E10" s="607"/>
      <c r="F10" s="607"/>
      <c r="G10" s="609" t="s">
        <v>776</v>
      </c>
      <c r="H10" s="609"/>
      <c r="I10" s="609"/>
      <c r="J10" s="146"/>
    </row>
    <row r="11" spans="1:11" ht="19.95" customHeight="1">
      <c r="A11" s="607" t="s">
        <v>900</v>
      </c>
      <c r="B11" s="607"/>
      <c r="C11" s="607"/>
      <c r="D11" s="607"/>
      <c r="E11" s="607"/>
      <c r="F11" s="607"/>
      <c r="G11" s="609" t="s">
        <v>777</v>
      </c>
      <c r="H11" s="609"/>
      <c r="I11" s="609"/>
      <c r="J11" s="146"/>
    </row>
    <row r="12" spans="1:11" ht="19.95" customHeight="1">
      <c r="A12" s="607" t="s">
        <v>901</v>
      </c>
      <c r="B12" s="607"/>
      <c r="C12" s="607"/>
      <c r="D12" s="607"/>
      <c r="E12" s="607"/>
      <c r="F12" s="607"/>
      <c r="G12" s="610" t="s">
        <v>1342</v>
      </c>
      <c r="H12" s="609"/>
      <c r="I12" s="609"/>
      <c r="J12" s="146"/>
    </row>
    <row r="13" spans="1:11" ht="19.95" customHeight="1">
      <c r="A13" s="607" t="s">
        <v>902</v>
      </c>
      <c r="B13" s="607"/>
      <c r="C13" s="607"/>
      <c r="D13" s="607"/>
      <c r="E13" s="607"/>
      <c r="F13" s="607"/>
      <c r="G13" s="609" t="s">
        <v>778</v>
      </c>
      <c r="H13" s="609"/>
      <c r="I13" s="609"/>
      <c r="J13" s="146"/>
    </row>
    <row r="14" spans="1:11" ht="19.95" customHeight="1">
      <c r="A14" s="286" t="s">
        <v>115</v>
      </c>
      <c r="C14" s="511"/>
      <c r="D14" s="192"/>
      <c r="E14" s="192"/>
      <c r="F14" s="615"/>
      <c r="G14" s="615"/>
      <c r="H14" s="615"/>
      <c r="I14" s="193"/>
      <c r="J14" s="146"/>
    </row>
    <row r="15" spans="1:11" ht="22.2" customHeight="1">
      <c r="A15" s="619" t="s">
        <v>116</v>
      </c>
      <c r="B15" s="618" t="s">
        <v>1344</v>
      </c>
      <c r="C15" s="612" t="s">
        <v>118</v>
      </c>
      <c r="D15" s="616" t="s">
        <v>903</v>
      </c>
      <c r="E15" s="617"/>
      <c r="F15" s="617"/>
      <c r="G15" s="617"/>
      <c r="H15" s="617"/>
      <c r="I15" s="612" t="s">
        <v>779</v>
      </c>
      <c r="J15" s="146"/>
      <c r="K15" s="345"/>
    </row>
    <row r="16" spans="1:11" ht="36" customHeight="1">
      <c r="A16" s="619"/>
      <c r="B16" s="618"/>
      <c r="C16" s="612"/>
      <c r="D16" s="390" t="s">
        <v>780</v>
      </c>
      <c r="E16" s="390" t="s">
        <v>781</v>
      </c>
      <c r="F16" s="287" t="s">
        <v>782</v>
      </c>
      <c r="G16" s="558" t="s">
        <v>1341</v>
      </c>
      <c r="H16" s="287" t="s">
        <v>783</v>
      </c>
      <c r="I16" s="612"/>
      <c r="J16" s="565" t="s">
        <v>1343</v>
      </c>
      <c r="K16" s="345"/>
    </row>
    <row r="17" spans="1:10" ht="30" customHeight="1">
      <c r="A17" s="288" t="s">
        <v>46</v>
      </c>
      <c r="B17" s="512" t="s">
        <v>1049</v>
      </c>
      <c r="C17" s="513" t="s">
        <v>784</v>
      </c>
      <c r="D17" s="376" t="s">
        <v>1055</v>
      </c>
      <c r="E17" s="376" t="s">
        <v>1056</v>
      </c>
      <c r="F17" s="377"/>
      <c r="G17" s="378" t="s">
        <v>1057</v>
      </c>
      <c r="H17" s="513"/>
      <c r="I17" s="513" t="s">
        <v>1060</v>
      </c>
      <c r="J17" s="147"/>
    </row>
    <row r="18" spans="1:10" ht="44.4" customHeight="1">
      <c r="A18" s="288" t="s">
        <v>47</v>
      </c>
      <c r="B18" s="512" t="s">
        <v>1051</v>
      </c>
      <c r="C18" s="513" t="s">
        <v>784</v>
      </c>
      <c r="D18" s="377"/>
      <c r="E18" s="378" t="s">
        <v>1055</v>
      </c>
      <c r="F18" s="377"/>
      <c r="G18" s="376" t="s">
        <v>1058</v>
      </c>
      <c r="H18" s="513"/>
      <c r="I18" s="513" t="s">
        <v>1061</v>
      </c>
      <c r="J18" s="375" t="s">
        <v>1052</v>
      </c>
    </row>
    <row r="19" spans="1:10" ht="54" customHeight="1">
      <c r="A19" s="288" t="s">
        <v>48</v>
      </c>
      <c r="B19" s="512" t="s">
        <v>1054</v>
      </c>
      <c r="C19" s="513" t="s">
        <v>786</v>
      </c>
      <c r="D19" s="376" t="s">
        <v>1056</v>
      </c>
      <c r="E19" s="378" t="s">
        <v>1056</v>
      </c>
      <c r="F19" s="376" t="s">
        <v>1055</v>
      </c>
      <c r="G19" s="376" t="s">
        <v>1055</v>
      </c>
      <c r="H19" s="513"/>
      <c r="I19" s="513"/>
      <c r="J19" s="375" t="s">
        <v>1053</v>
      </c>
    </row>
    <row r="20" spans="1:10" ht="38.4" customHeight="1">
      <c r="A20" s="288" t="s">
        <v>49</v>
      </c>
      <c r="B20" s="379" t="s">
        <v>1059</v>
      </c>
      <c r="C20" s="513" t="s">
        <v>784</v>
      </c>
      <c r="D20" s="376" t="s">
        <v>1056</v>
      </c>
      <c r="E20" s="376" t="s">
        <v>1056</v>
      </c>
      <c r="F20" s="377"/>
      <c r="G20" s="376" t="s">
        <v>1056</v>
      </c>
      <c r="H20" s="513"/>
      <c r="I20" s="513" t="s">
        <v>1219</v>
      </c>
      <c r="J20" s="493" t="s">
        <v>1199</v>
      </c>
    </row>
    <row r="21" spans="1:10" ht="45.6" customHeight="1">
      <c r="A21" s="288" t="s">
        <v>54</v>
      </c>
      <c r="B21" s="514" t="s">
        <v>1063</v>
      </c>
      <c r="C21" s="513" t="s">
        <v>784</v>
      </c>
      <c r="D21" s="376" t="s">
        <v>1056</v>
      </c>
      <c r="E21" s="378" t="s">
        <v>1056</v>
      </c>
      <c r="F21" s="377"/>
      <c r="G21" s="376" t="s">
        <v>1056</v>
      </c>
      <c r="H21" s="513"/>
      <c r="I21" s="513" t="s">
        <v>1220</v>
      </c>
      <c r="J21" s="375"/>
    </row>
    <row r="22" spans="1:10" ht="66" customHeight="1">
      <c r="A22" s="288" t="s">
        <v>55</v>
      </c>
      <c r="B22" s="514" t="s">
        <v>1098</v>
      </c>
      <c r="C22" s="376" t="s">
        <v>1323</v>
      </c>
      <c r="D22" s="376" t="s">
        <v>1056</v>
      </c>
      <c r="E22" s="378" t="s">
        <v>1056</v>
      </c>
      <c r="F22" s="377"/>
      <c r="G22" s="376" t="s">
        <v>1056</v>
      </c>
      <c r="H22" s="513"/>
      <c r="I22" s="513" t="s">
        <v>1221</v>
      </c>
      <c r="J22" s="375"/>
    </row>
    <row r="23" spans="1:10" ht="89.4" customHeight="1">
      <c r="A23" s="288" t="s">
        <v>50</v>
      </c>
      <c r="B23" s="514" t="s">
        <v>1352</v>
      </c>
      <c r="C23" s="513" t="s">
        <v>784</v>
      </c>
      <c r="D23" s="376" t="s">
        <v>1056</v>
      </c>
      <c r="E23" s="378" t="s">
        <v>1056</v>
      </c>
      <c r="F23" s="377"/>
      <c r="G23" s="378" t="s">
        <v>1056</v>
      </c>
      <c r="H23" s="513"/>
      <c r="I23" s="513" t="s">
        <v>1222</v>
      </c>
      <c r="J23" s="375"/>
    </row>
    <row r="24" spans="1:10" ht="39" customHeight="1">
      <c r="A24" s="288" t="s">
        <v>51</v>
      </c>
      <c r="B24" s="514" t="s">
        <v>1080</v>
      </c>
      <c r="C24" s="513" t="s">
        <v>784</v>
      </c>
      <c r="D24" s="376" t="s">
        <v>1056</v>
      </c>
      <c r="E24" s="378" t="s">
        <v>1056</v>
      </c>
      <c r="F24" s="377"/>
      <c r="G24" s="376" t="s">
        <v>1056</v>
      </c>
      <c r="H24" s="513"/>
      <c r="I24" s="513" t="s">
        <v>1223</v>
      </c>
      <c r="J24" s="375"/>
    </row>
    <row r="25" spans="1:10" ht="28.2" customHeight="1">
      <c r="A25" s="288" t="s">
        <v>52</v>
      </c>
      <c r="B25" s="514" t="s">
        <v>1351</v>
      </c>
      <c r="C25" s="513" t="s">
        <v>784</v>
      </c>
      <c r="D25" s="378" t="s">
        <v>1056</v>
      </c>
      <c r="E25" s="376" t="s">
        <v>1056</v>
      </c>
      <c r="F25" s="376" t="s">
        <v>1056</v>
      </c>
      <c r="G25" s="376"/>
      <c r="H25" s="513"/>
      <c r="I25" s="513" t="s">
        <v>1224</v>
      </c>
      <c r="J25" s="375"/>
    </row>
    <row r="26" spans="1:10" ht="34.799999999999997" customHeight="1">
      <c r="A26" s="288" t="s">
        <v>53</v>
      </c>
      <c r="B26" s="514" t="s">
        <v>1081</v>
      </c>
      <c r="C26" s="513" t="s">
        <v>784</v>
      </c>
      <c r="D26" s="376" t="s">
        <v>1056</v>
      </c>
      <c r="E26" s="378" t="s">
        <v>1056</v>
      </c>
      <c r="F26" s="376" t="s">
        <v>1056</v>
      </c>
      <c r="G26" s="376"/>
      <c r="H26" s="513"/>
      <c r="I26" s="513" t="s">
        <v>1224</v>
      </c>
      <c r="J26" s="375"/>
    </row>
    <row r="27" spans="1:10" ht="31.2" customHeight="1">
      <c r="A27" s="288" t="s">
        <v>65</v>
      </c>
      <c r="B27" s="514" t="s">
        <v>1082</v>
      </c>
      <c r="C27" s="515" t="s">
        <v>1083</v>
      </c>
      <c r="D27" s="513" t="s">
        <v>785</v>
      </c>
      <c r="E27" s="516" t="s">
        <v>1106</v>
      </c>
      <c r="F27" s="513"/>
      <c r="G27" s="513" t="s">
        <v>785</v>
      </c>
      <c r="H27" s="513"/>
      <c r="I27" s="513" t="s">
        <v>1225</v>
      </c>
      <c r="J27" s="375"/>
    </row>
    <row r="28" spans="1:10" ht="93.6" customHeight="1">
      <c r="A28" s="288" t="s">
        <v>1102</v>
      </c>
      <c r="B28" s="517" t="s">
        <v>1088</v>
      </c>
      <c r="C28" s="515" t="s">
        <v>1083</v>
      </c>
      <c r="D28" s="513" t="s">
        <v>785</v>
      </c>
      <c r="E28" s="516" t="s">
        <v>1314</v>
      </c>
      <c r="F28" s="513" t="s">
        <v>785</v>
      </c>
      <c r="G28" s="516" t="s">
        <v>1314</v>
      </c>
      <c r="H28" s="513"/>
      <c r="I28" s="513" t="s">
        <v>1226</v>
      </c>
      <c r="J28" s="375"/>
    </row>
    <row r="29" spans="1:10" ht="33" customHeight="1">
      <c r="A29" s="288" t="s">
        <v>66</v>
      </c>
      <c r="B29" s="514" t="s">
        <v>1202</v>
      </c>
      <c r="C29" s="515" t="s">
        <v>1083</v>
      </c>
      <c r="D29" s="513" t="s">
        <v>785</v>
      </c>
      <c r="E29" s="516" t="s">
        <v>1107</v>
      </c>
      <c r="F29" s="516" t="s">
        <v>1109</v>
      </c>
      <c r="G29" s="516" t="s">
        <v>1108</v>
      </c>
      <c r="H29" s="513" t="s">
        <v>785</v>
      </c>
      <c r="I29" s="513" t="s">
        <v>1366</v>
      </c>
      <c r="J29" s="375"/>
    </row>
    <row r="30" spans="1:10" ht="42" customHeight="1">
      <c r="A30" s="288" t="s">
        <v>67</v>
      </c>
      <c r="B30" s="517" t="s">
        <v>1204</v>
      </c>
      <c r="C30" s="513" t="s">
        <v>784</v>
      </c>
      <c r="D30" s="513" t="s">
        <v>785</v>
      </c>
      <c r="E30" s="516" t="s">
        <v>1205</v>
      </c>
      <c r="F30" s="513" t="s">
        <v>785</v>
      </c>
      <c r="G30" s="513" t="s">
        <v>785</v>
      </c>
      <c r="H30" s="513"/>
      <c r="I30" s="513"/>
      <c r="J30" s="375"/>
    </row>
    <row r="31" spans="1:10" ht="121.2" customHeight="1">
      <c r="A31" s="288" t="s">
        <v>68</v>
      </c>
      <c r="B31" s="518" t="s">
        <v>1354</v>
      </c>
      <c r="C31" s="376" t="s">
        <v>1323</v>
      </c>
      <c r="D31" s="513" t="s">
        <v>785</v>
      </c>
      <c r="E31" s="516" t="s">
        <v>1105</v>
      </c>
      <c r="F31" s="513"/>
      <c r="G31" s="513" t="s">
        <v>785</v>
      </c>
      <c r="H31" s="513"/>
      <c r="I31" s="513"/>
      <c r="J31" s="375"/>
    </row>
    <row r="32" spans="1:10" ht="48.6" customHeight="1">
      <c r="A32" s="288" t="s">
        <v>69</v>
      </c>
      <c r="B32" s="512" t="s">
        <v>1353</v>
      </c>
      <c r="C32" s="376" t="s">
        <v>1323</v>
      </c>
      <c r="D32" s="513" t="s">
        <v>785</v>
      </c>
      <c r="E32" s="516" t="s">
        <v>1105</v>
      </c>
      <c r="F32" s="513"/>
      <c r="G32" s="513" t="s">
        <v>785</v>
      </c>
      <c r="H32" s="516" t="s">
        <v>1355</v>
      </c>
      <c r="I32" s="513"/>
      <c r="J32" s="375"/>
    </row>
    <row r="33" spans="1:10" ht="48.6" customHeight="1">
      <c r="A33" s="288" t="s">
        <v>70</v>
      </c>
      <c r="B33" s="519" t="s">
        <v>787</v>
      </c>
      <c r="C33" s="376" t="s">
        <v>1324</v>
      </c>
      <c r="D33" s="513"/>
      <c r="E33" s="513"/>
      <c r="F33" s="513"/>
      <c r="G33" s="513"/>
      <c r="H33" s="513"/>
      <c r="I33" s="513"/>
      <c r="J33" s="147"/>
    </row>
    <row r="34" spans="1:10" ht="32.4" customHeight="1">
      <c r="A34" s="288" t="s">
        <v>1350</v>
      </c>
      <c r="B34" s="520" t="s">
        <v>1315</v>
      </c>
      <c r="C34" s="513" t="s">
        <v>784</v>
      </c>
      <c r="D34" s="513"/>
      <c r="E34" s="513"/>
      <c r="F34" s="513"/>
      <c r="G34" s="513"/>
      <c r="H34" s="378" t="s">
        <v>110</v>
      </c>
      <c r="I34" s="513" t="s">
        <v>1367</v>
      </c>
      <c r="J34" s="147"/>
    </row>
    <row r="36" spans="1:10" ht="15" customHeight="1">
      <c r="B36" s="346"/>
    </row>
    <row r="37" spans="1:10" ht="15" customHeight="1">
      <c r="C37" s="147"/>
      <c r="D37" s="147"/>
      <c r="E37" s="147"/>
      <c r="F37" s="147"/>
      <c r="G37" s="147"/>
      <c r="H37" s="147"/>
      <c r="I37" s="147"/>
    </row>
    <row r="38" spans="1:10" ht="15" customHeight="1">
      <c r="C38" s="147"/>
      <c r="D38" s="147"/>
      <c r="E38" s="147"/>
      <c r="F38" s="147"/>
      <c r="G38" s="147"/>
      <c r="H38" s="147"/>
      <c r="I38" s="147"/>
    </row>
    <row r="39" spans="1:10" ht="15" customHeight="1">
      <c r="C39" s="147"/>
      <c r="D39" s="147"/>
      <c r="E39" s="147"/>
      <c r="F39" s="147"/>
      <c r="G39" s="147"/>
      <c r="H39" s="147"/>
      <c r="I39" s="147"/>
    </row>
    <row r="40" spans="1:10" ht="15" customHeight="1">
      <c r="C40" s="147"/>
      <c r="D40" s="147"/>
      <c r="E40" s="147"/>
      <c r="F40" s="147"/>
      <c r="G40" s="147"/>
      <c r="H40" s="147"/>
      <c r="I40" s="147"/>
    </row>
    <row r="41" spans="1:10" ht="15" customHeight="1">
      <c r="C41" s="147"/>
      <c r="D41" s="147"/>
      <c r="E41" s="147"/>
      <c r="F41" s="147"/>
      <c r="G41" s="147"/>
      <c r="H41" s="147"/>
      <c r="I41" s="147"/>
    </row>
    <row r="42" spans="1:10" ht="15" customHeight="1">
      <c r="C42" s="147"/>
      <c r="D42" s="147"/>
      <c r="E42" s="147"/>
      <c r="F42" s="147"/>
      <c r="G42" s="147"/>
      <c r="H42" s="147"/>
      <c r="I42" s="147"/>
    </row>
    <row r="43" spans="1:10" ht="15" customHeight="1">
      <c r="C43" s="147"/>
      <c r="D43" s="147"/>
      <c r="E43" s="147"/>
      <c r="F43" s="147"/>
      <c r="G43" s="147"/>
      <c r="H43" s="147"/>
      <c r="I43" s="147"/>
    </row>
    <row r="44" spans="1:10" ht="15" customHeight="1">
      <c r="C44" s="147"/>
      <c r="D44" s="147"/>
      <c r="E44" s="147"/>
      <c r="F44" s="147"/>
      <c r="G44" s="147"/>
      <c r="H44" s="147"/>
      <c r="I44" s="147"/>
    </row>
    <row r="45" spans="1:10" ht="15" customHeight="1">
      <c r="C45" s="147"/>
      <c r="D45" s="147"/>
      <c r="E45" s="147"/>
      <c r="F45" s="147"/>
      <c r="G45" s="147"/>
      <c r="H45" s="147"/>
      <c r="I45" s="147"/>
    </row>
    <row r="46" spans="1:10" ht="15" customHeight="1">
      <c r="C46" s="147"/>
      <c r="D46" s="147"/>
      <c r="E46" s="147"/>
      <c r="F46" s="147"/>
      <c r="G46" s="147"/>
      <c r="H46" s="147"/>
      <c r="I46" s="147"/>
    </row>
    <row r="47" spans="1:10" ht="15" customHeight="1">
      <c r="C47" s="147"/>
      <c r="D47" s="147"/>
      <c r="E47" s="147"/>
      <c r="F47" s="147"/>
      <c r="G47" s="147"/>
      <c r="H47" s="147"/>
      <c r="I47" s="147"/>
    </row>
    <row r="48" spans="1:10" ht="15" customHeight="1">
      <c r="C48" s="147"/>
      <c r="D48" s="147"/>
      <c r="E48" s="147"/>
      <c r="F48" s="147"/>
      <c r="G48" s="147"/>
      <c r="H48" s="147"/>
      <c r="I48" s="147"/>
    </row>
  </sheetData>
  <mergeCells count="22">
    <mergeCell ref="A3:B3"/>
    <mergeCell ref="A4:B4"/>
    <mergeCell ref="I15:I16"/>
    <mergeCell ref="A1:I1"/>
    <mergeCell ref="A2:I2"/>
    <mergeCell ref="F14:H14"/>
    <mergeCell ref="D15:H15"/>
    <mergeCell ref="A8:F8"/>
    <mergeCell ref="A9:F9"/>
    <mergeCell ref="A15:A16"/>
    <mergeCell ref="B15:B16"/>
    <mergeCell ref="C15:C16"/>
    <mergeCell ref="G13:I13"/>
    <mergeCell ref="A10:F10"/>
    <mergeCell ref="A11:F11"/>
    <mergeCell ref="A12:F12"/>
    <mergeCell ref="A13:F13"/>
    <mergeCell ref="G8:I8"/>
    <mergeCell ref="G9:I9"/>
    <mergeCell ref="G10:I10"/>
    <mergeCell ref="G11:I11"/>
    <mergeCell ref="G12:I12"/>
  </mergeCells>
  <phoneticPr fontId="44" type="noConversion"/>
  <hyperlinks>
    <hyperlink ref="I3" location="底稿目录!A1" display="J1A"/>
  </hyperlinks>
  <pageMargins left="0.70866141732283472" right="0.70866141732283472" top="0.74803149606299213" bottom="0.74803149606299213" header="0.31496062992125984" footer="0.31496062992125984"/>
  <pageSetup paperSize="9" scale="70" fitToHeight="5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7030A0"/>
    <pageSetUpPr fitToPage="1"/>
  </sheetPr>
  <dimension ref="A1:P162"/>
  <sheetViews>
    <sheetView view="pageBreakPreview" topLeftCell="A115" zoomScale="110" zoomScaleNormal="120" zoomScaleSheetLayoutView="110" workbookViewId="0">
      <selection activeCell="B123" sqref="B123:C123"/>
    </sheetView>
  </sheetViews>
  <sheetFormatPr defaultColWidth="9" defaultRowHeight="13.8" outlineLevelRow="1"/>
  <cols>
    <col min="1" max="1" width="7.33203125" style="202" customWidth="1"/>
    <col min="2" max="2" width="42.88671875" style="202" customWidth="1"/>
    <col min="3" max="3" width="34.6640625" style="202" customWidth="1"/>
    <col min="4" max="4" width="5.33203125" style="202" customWidth="1"/>
    <col min="5" max="5" width="7.33203125" style="202" customWidth="1"/>
    <col min="6" max="6" width="8.44140625" style="202" customWidth="1"/>
    <col min="7" max="7" width="8.21875" style="202" customWidth="1"/>
    <col min="8" max="8" width="5.6640625" style="202" customWidth="1"/>
    <col min="9" max="9" width="4.109375" style="202" customWidth="1"/>
    <col min="10" max="10" width="5.109375" style="202" customWidth="1"/>
    <col min="11" max="11" width="9" style="202"/>
    <col min="12" max="13" width="8.109375" style="249" customWidth="1"/>
    <col min="14" max="14" width="40.6640625" style="200" customWidth="1"/>
    <col min="15" max="15" width="14.77734375" style="201" customWidth="1"/>
    <col min="16" max="16" width="17.44140625" style="202" customWidth="1"/>
    <col min="17" max="16384" width="9" style="202"/>
  </cols>
  <sheetData>
    <row r="1" spans="1:16" ht="20.100000000000001" customHeight="1">
      <c r="A1" s="670" t="s">
        <v>97</v>
      </c>
      <c r="B1" s="670"/>
      <c r="C1" s="670"/>
      <c r="D1" s="670"/>
      <c r="E1" s="670"/>
      <c r="F1" s="670"/>
      <c r="G1" s="670"/>
      <c r="H1" s="670"/>
      <c r="I1" s="670"/>
      <c r="J1" s="670"/>
      <c r="K1" s="670"/>
      <c r="L1" s="670"/>
      <c r="M1" s="177"/>
    </row>
    <row r="2" spans="1:16" ht="24.9" customHeight="1">
      <c r="A2" s="613" t="s">
        <v>98</v>
      </c>
      <c r="B2" s="671"/>
      <c r="C2" s="671"/>
      <c r="D2" s="671"/>
      <c r="E2" s="671"/>
      <c r="F2" s="671"/>
      <c r="G2" s="671"/>
      <c r="H2" s="671"/>
      <c r="I2" s="671"/>
      <c r="J2" s="671"/>
      <c r="K2" s="671"/>
      <c r="L2" s="671"/>
      <c r="M2" s="178"/>
    </row>
    <row r="3" spans="1:16" ht="20.100000000000001" customHeight="1">
      <c r="A3" s="203" t="s">
        <v>307</v>
      </c>
      <c r="B3" s="203"/>
      <c r="C3" s="144" t="s">
        <v>59</v>
      </c>
      <c r="D3" s="203"/>
      <c r="E3" s="204" t="s">
        <v>60</v>
      </c>
      <c r="F3" s="204"/>
      <c r="G3" s="203"/>
      <c r="H3" s="203"/>
      <c r="I3" s="203"/>
      <c r="J3" s="203"/>
      <c r="K3" s="203" t="s">
        <v>99</v>
      </c>
      <c r="L3" s="205" t="s">
        <v>62</v>
      </c>
      <c r="M3" s="205"/>
    </row>
    <row r="4" spans="1:16" ht="20.100000000000001" customHeight="1">
      <c r="A4" s="206" t="s">
        <v>308</v>
      </c>
      <c r="B4" s="203"/>
      <c r="C4" s="149" t="s">
        <v>0</v>
      </c>
      <c r="D4" s="203"/>
      <c r="E4" s="204" t="s">
        <v>61</v>
      </c>
      <c r="F4" s="204"/>
      <c r="G4" s="203"/>
      <c r="H4" s="203"/>
      <c r="I4" s="203"/>
      <c r="J4" s="203"/>
      <c r="K4" s="203" t="s">
        <v>100</v>
      </c>
      <c r="L4" s="205"/>
      <c r="M4" s="205"/>
    </row>
    <row r="5" spans="1:16" ht="20.100000000000001" customHeight="1">
      <c r="A5" s="207" t="s">
        <v>101</v>
      </c>
      <c r="B5" s="203"/>
      <c r="C5" s="203"/>
      <c r="D5" s="203"/>
      <c r="E5" s="203"/>
      <c r="F5" s="203"/>
      <c r="G5" s="203"/>
      <c r="H5" s="203"/>
      <c r="I5" s="203"/>
      <c r="J5" s="203"/>
      <c r="K5" s="203"/>
      <c r="L5" s="205"/>
      <c r="M5" s="205"/>
    </row>
    <row r="6" spans="1:16" ht="20.100000000000001" customHeight="1">
      <c r="A6" s="208" t="s">
        <v>102</v>
      </c>
      <c r="B6" s="203"/>
      <c r="C6" s="203"/>
      <c r="D6" s="203"/>
      <c r="E6" s="203"/>
      <c r="F6" s="203"/>
      <c r="G6" s="203"/>
      <c r="H6" s="203"/>
      <c r="I6" s="203"/>
      <c r="J6" s="203"/>
      <c r="K6" s="203"/>
      <c r="L6" s="205"/>
      <c r="M6" s="205"/>
    </row>
    <row r="7" spans="1:16" ht="20.100000000000001" customHeight="1">
      <c r="A7" s="209" t="s">
        <v>103</v>
      </c>
      <c r="B7" s="210"/>
      <c r="C7" s="210"/>
      <c r="D7" s="203"/>
      <c r="E7" s="203"/>
      <c r="F7" s="203"/>
      <c r="G7" s="203"/>
      <c r="H7" s="203"/>
      <c r="I7" s="203"/>
      <c r="J7" s="203"/>
      <c r="K7" s="203"/>
      <c r="L7" s="205"/>
      <c r="M7" s="205"/>
      <c r="N7" s="211"/>
      <c r="O7" s="212"/>
    </row>
    <row r="8" spans="1:16" ht="20.100000000000001" customHeight="1">
      <c r="A8" s="672" t="s">
        <v>104</v>
      </c>
      <c r="B8" s="672"/>
      <c r="C8" s="672"/>
      <c r="D8" s="673" t="s">
        <v>105</v>
      </c>
      <c r="E8" s="674"/>
      <c r="F8" s="674"/>
      <c r="G8" s="674"/>
      <c r="H8" s="674"/>
      <c r="I8" s="674"/>
      <c r="J8" s="675"/>
      <c r="K8" s="676" t="s">
        <v>106</v>
      </c>
      <c r="L8" s="676" t="s">
        <v>107</v>
      </c>
      <c r="M8" s="213"/>
      <c r="N8" s="211"/>
      <c r="O8" s="212"/>
    </row>
    <row r="9" spans="1:16" ht="30.75" customHeight="1">
      <c r="A9" s="672"/>
      <c r="B9" s="672"/>
      <c r="C9" s="672"/>
      <c r="D9" s="214" t="s">
        <v>39</v>
      </c>
      <c r="E9" s="214" t="s">
        <v>40</v>
      </c>
      <c r="F9" s="214" t="s">
        <v>41</v>
      </c>
      <c r="G9" s="215" t="s">
        <v>108</v>
      </c>
      <c r="H9" s="662" t="s">
        <v>42</v>
      </c>
      <c r="I9" s="663"/>
      <c r="J9" s="664"/>
      <c r="K9" s="677"/>
      <c r="L9" s="677"/>
      <c r="M9" s="213"/>
      <c r="N9" s="211"/>
      <c r="O9" s="212"/>
    </row>
    <row r="10" spans="1:16" ht="27" customHeight="1">
      <c r="A10" s="669" t="s">
        <v>109</v>
      </c>
      <c r="B10" s="669"/>
      <c r="C10" s="669"/>
      <c r="D10" s="216" t="s">
        <v>110</v>
      </c>
      <c r="E10" s="217"/>
      <c r="F10" s="217"/>
      <c r="G10" s="217"/>
      <c r="H10" s="662"/>
      <c r="I10" s="663"/>
      <c r="J10" s="664"/>
      <c r="K10" s="218"/>
      <c r="L10" s="219"/>
      <c r="M10" s="220"/>
      <c r="N10" s="211"/>
      <c r="O10" s="212"/>
    </row>
    <row r="11" spans="1:16" ht="27" customHeight="1">
      <c r="A11" s="669" t="s">
        <v>111</v>
      </c>
      <c r="B11" s="669"/>
      <c r="C11" s="669"/>
      <c r="D11" s="217"/>
      <c r="E11" s="216" t="s">
        <v>110</v>
      </c>
      <c r="F11" s="217"/>
      <c r="G11" s="217"/>
      <c r="H11" s="662"/>
      <c r="I11" s="663"/>
      <c r="J11" s="664"/>
      <c r="K11" s="218"/>
      <c r="L11" s="219"/>
      <c r="M11" s="220"/>
      <c r="N11" s="211"/>
      <c r="O11" s="212"/>
    </row>
    <row r="12" spans="1:16" ht="25.5" customHeight="1">
      <c r="A12" s="669" t="s">
        <v>112</v>
      </c>
      <c r="B12" s="669"/>
      <c r="C12" s="669"/>
      <c r="D12" s="217"/>
      <c r="E12" s="217"/>
      <c r="F12" s="216" t="s">
        <v>110</v>
      </c>
      <c r="G12" s="217"/>
      <c r="H12" s="662"/>
      <c r="I12" s="663"/>
      <c r="J12" s="664"/>
      <c r="K12" s="218"/>
      <c r="L12" s="219"/>
      <c r="M12" s="220"/>
      <c r="N12" s="211"/>
      <c r="O12" s="212"/>
    </row>
    <row r="13" spans="1:16" ht="25.5" customHeight="1">
      <c r="A13" s="661" t="s">
        <v>113</v>
      </c>
      <c r="B13" s="661"/>
      <c r="C13" s="661"/>
      <c r="D13" s="217"/>
      <c r="E13" s="217"/>
      <c r="F13" s="217"/>
      <c r="G13" s="216" t="s">
        <v>110</v>
      </c>
      <c r="H13" s="662"/>
      <c r="I13" s="663"/>
      <c r="J13" s="664"/>
      <c r="K13" s="218"/>
      <c r="L13" s="219"/>
      <c r="M13" s="220"/>
      <c r="N13" s="211"/>
      <c r="O13" s="212"/>
    </row>
    <row r="14" spans="1:16" ht="25.5" customHeight="1">
      <c r="A14" s="661" t="s">
        <v>114</v>
      </c>
      <c r="B14" s="661"/>
      <c r="C14" s="661"/>
      <c r="D14" s="217"/>
      <c r="E14" s="217"/>
      <c r="F14" s="217"/>
      <c r="G14" s="217"/>
      <c r="H14" s="662" t="s">
        <v>110</v>
      </c>
      <c r="I14" s="663"/>
      <c r="J14" s="664"/>
      <c r="K14" s="218"/>
      <c r="L14" s="219"/>
      <c r="M14" s="220"/>
      <c r="N14" s="211"/>
      <c r="O14" s="212"/>
    </row>
    <row r="15" spans="1:16" ht="20.100000000000001" customHeight="1">
      <c r="A15" s="209" t="s">
        <v>115</v>
      </c>
      <c r="D15" s="217"/>
      <c r="E15" s="217"/>
      <c r="F15" s="217"/>
      <c r="G15" s="217"/>
      <c r="H15" s="662"/>
      <c r="I15" s="663"/>
      <c r="J15" s="664"/>
      <c r="K15" s="218"/>
      <c r="L15" s="219"/>
      <c r="M15" s="220"/>
      <c r="N15" s="211"/>
      <c r="O15" s="212"/>
    </row>
    <row r="16" spans="1:16" ht="28.5" customHeight="1">
      <c r="A16" s="221" t="s">
        <v>116</v>
      </c>
      <c r="B16" s="660" t="s">
        <v>117</v>
      </c>
      <c r="C16" s="660"/>
      <c r="D16" s="665" t="s">
        <v>118</v>
      </c>
      <c r="E16" s="666"/>
      <c r="F16" s="667" t="s">
        <v>43</v>
      </c>
      <c r="G16" s="668"/>
      <c r="H16" s="668"/>
      <c r="I16" s="668"/>
      <c r="J16" s="668"/>
      <c r="K16" s="660" t="s">
        <v>119</v>
      </c>
      <c r="L16" s="660"/>
      <c r="M16" s="222"/>
      <c r="N16" s="211"/>
      <c r="O16" s="212"/>
      <c r="P16" s="223"/>
    </row>
    <row r="17" spans="1:15" ht="28.5" customHeight="1">
      <c r="A17" s="224" t="s">
        <v>120</v>
      </c>
      <c r="B17" s="621" t="s">
        <v>121</v>
      </c>
      <c r="C17" s="622"/>
      <c r="D17" s="623" t="s">
        <v>122</v>
      </c>
      <c r="E17" s="624"/>
      <c r="F17" s="625" t="s">
        <v>123</v>
      </c>
      <c r="G17" s="625"/>
      <c r="H17" s="625"/>
      <c r="I17" s="625"/>
      <c r="J17" s="625"/>
      <c r="K17" s="657" t="s">
        <v>124</v>
      </c>
      <c r="L17" s="657"/>
      <c r="M17" s="225"/>
      <c r="N17" s="650" t="s">
        <v>125</v>
      </c>
      <c r="O17" s="226"/>
    </row>
    <row r="18" spans="1:15" ht="36.75" customHeight="1">
      <c r="A18" s="224" t="s">
        <v>44</v>
      </c>
      <c r="B18" s="634" t="s">
        <v>126</v>
      </c>
      <c r="C18" s="622"/>
      <c r="D18" s="623" t="s">
        <v>122</v>
      </c>
      <c r="E18" s="624" t="s">
        <v>45</v>
      </c>
      <c r="F18" s="659" t="s">
        <v>127</v>
      </c>
      <c r="G18" s="625"/>
      <c r="H18" s="625"/>
      <c r="I18" s="625"/>
      <c r="J18" s="625"/>
      <c r="K18" s="657" t="s">
        <v>128</v>
      </c>
      <c r="L18" s="657"/>
      <c r="M18" s="225"/>
      <c r="N18" s="653"/>
      <c r="O18" s="226"/>
    </row>
    <row r="19" spans="1:15" ht="33" customHeight="1" outlineLevel="1">
      <c r="A19" s="227" t="s">
        <v>129</v>
      </c>
      <c r="B19" s="638" t="s">
        <v>130</v>
      </c>
      <c r="C19" s="631"/>
      <c r="D19" s="626" t="s">
        <v>122</v>
      </c>
      <c r="E19" s="627" t="s">
        <v>131</v>
      </c>
      <c r="F19" s="628"/>
      <c r="G19" s="628"/>
      <c r="H19" s="628"/>
      <c r="I19" s="628"/>
      <c r="J19" s="628"/>
      <c r="K19" s="654"/>
      <c r="L19" s="654"/>
      <c r="M19" s="228"/>
      <c r="N19" s="653"/>
      <c r="O19" s="226"/>
    </row>
    <row r="20" spans="1:15" ht="33" customHeight="1" outlineLevel="1">
      <c r="A20" s="227" t="s">
        <v>132</v>
      </c>
      <c r="B20" s="631" t="s">
        <v>133</v>
      </c>
      <c r="C20" s="631"/>
      <c r="D20" s="626" t="s">
        <v>122</v>
      </c>
      <c r="E20" s="627" t="s">
        <v>131</v>
      </c>
      <c r="F20" s="628"/>
      <c r="G20" s="628"/>
      <c r="H20" s="628"/>
      <c r="I20" s="628"/>
      <c r="J20" s="628"/>
      <c r="K20" s="654"/>
      <c r="L20" s="654"/>
      <c r="M20" s="228"/>
      <c r="N20" s="653"/>
      <c r="O20" s="226"/>
    </row>
    <row r="21" spans="1:15" s="230" customFormat="1" ht="30.75" customHeight="1">
      <c r="A21" s="229" t="s">
        <v>134</v>
      </c>
      <c r="B21" s="658" t="s">
        <v>135</v>
      </c>
      <c r="C21" s="622"/>
      <c r="D21" s="623" t="s">
        <v>122</v>
      </c>
      <c r="E21" s="624"/>
      <c r="F21" s="659" t="s">
        <v>123</v>
      </c>
      <c r="G21" s="625"/>
      <c r="H21" s="625"/>
      <c r="I21" s="625"/>
      <c r="J21" s="625"/>
      <c r="K21" s="657" t="s">
        <v>136</v>
      </c>
      <c r="L21" s="657"/>
      <c r="M21" s="225"/>
      <c r="N21" s="653" t="s">
        <v>137</v>
      </c>
    </row>
    <row r="22" spans="1:15" s="232" customFormat="1" ht="30.75" customHeight="1" outlineLevel="1">
      <c r="A22" s="231" t="s">
        <v>138</v>
      </c>
      <c r="B22" s="631" t="s">
        <v>139</v>
      </c>
      <c r="C22" s="631"/>
      <c r="D22" s="626"/>
      <c r="E22" s="627"/>
      <c r="F22" s="628"/>
      <c r="G22" s="628"/>
      <c r="H22" s="628"/>
      <c r="I22" s="628"/>
      <c r="J22" s="628"/>
      <c r="K22" s="654"/>
      <c r="L22" s="654"/>
      <c r="M22" s="228"/>
      <c r="N22" s="651"/>
    </row>
    <row r="23" spans="1:15" s="232" customFormat="1" ht="30.75" customHeight="1" outlineLevel="1">
      <c r="A23" s="231" t="s">
        <v>140</v>
      </c>
      <c r="B23" s="655" t="s">
        <v>141</v>
      </c>
      <c r="C23" s="631"/>
      <c r="D23" s="626"/>
      <c r="E23" s="627"/>
      <c r="F23" s="628"/>
      <c r="G23" s="628"/>
      <c r="H23" s="628"/>
      <c r="I23" s="628"/>
      <c r="J23" s="628"/>
      <c r="K23" s="654"/>
      <c r="L23" s="654"/>
      <c r="M23" s="228"/>
      <c r="N23" s="651"/>
    </row>
    <row r="24" spans="1:15" ht="41.25" customHeight="1">
      <c r="A24" s="233" t="s">
        <v>142</v>
      </c>
      <c r="B24" s="656" t="s">
        <v>143</v>
      </c>
      <c r="C24" s="622"/>
      <c r="D24" s="623" t="s">
        <v>144</v>
      </c>
      <c r="E24" s="624" t="s">
        <v>131</v>
      </c>
      <c r="F24" s="625" t="s">
        <v>123</v>
      </c>
      <c r="G24" s="625"/>
      <c r="H24" s="625"/>
      <c r="I24" s="625"/>
      <c r="J24" s="625"/>
      <c r="K24" s="657" t="s">
        <v>128</v>
      </c>
      <c r="L24" s="657"/>
      <c r="M24" s="225"/>
      <c r="N24" s="650" t="s">
        <v>71</v>
      </c>
      <c r="O24" s="226"/>
    </row>
    <row r="25" spans="1:15" ht="40.5" customHeight="1" outlineLevel="1">
      <c r="A25" s="234" t="s">
        <v>129</v>
      </c>
      <c r="B25" s="638" t="s">
        <v>145</v>
      </c>
      <c r="C25" s="631"/>
      <c r="D25" s="626" t="s">
        <v>146</v>
      </c>
      <c r="E25" s="627" t="s">
        <v>131</v>
      </c>
      <c r="F25" s="628"/>
      <c r="G25" s="628"/>
      <c r="H25" s="628"/>
      <c r="I25" s="628"/>
      <c r="J25" s="628"/>
      <c r="K25" s="628"/>
      <c r="L25" s="628"/>
      <c r="M25" s="235"/>
      <c r="N25" s="650"/>
      <c r="O25" s="226"/>
    </row>
    <row r="26" spans="1:15" ht="38.25" customHeight="1" outlineLevel="1">
      <c r="A26" s="234" t="s">
        <v>132</v>
      </c>
      <c r="B26" s="638" t="s">
        <v>147</v>
      </c>
      <c r="C26" s="631"/>
      <c r="D26" s="626" t="s">
        <v>146</v>
      </c>
      <c r="E26" s="627" t="s">
        <v>131</v>
      </c>
      <c r="F26" s="628"/>
      <c r="G26" s="628"/>
      <c r="H26" s="628"/>
      <c r="I26" s="628"/>
      <c r="J26" s="628"/>
      <c r="K26" s="628"/>
      <c r="L26" s="628"/>
      <c r="M26" s="235"/>
      <c r="N26" s="650"/>
      <c r="O26" s="226"/>
    </row>
    <row r="27" spans="1:15" ht="38.25" customHeight="1" outlineLevel="1">
      <c r="A27" s="234" t="s">
        <v>148</v>
      </c>
      <c r="B27" s="638" t="s">
        <v>149</v>
      </c>
      <c r="C27" s="631"/>
      <c r="D27" s="626" t="s">
        <v>146</v>
      </c>
      <c r="E27" s="627" t="s">
        <v>131</v>
      </c>
      <c r="F27" s="628"/>
      <c r="G27" s="628"/>
      <c r="H27" s="628"/>
      <c r="I27" s="628"/>
      <c r="J27" s="628"/>
      <c r="K27" s="628"/>
      <c r="L27" s="628"/>
      <c r="M27" s="235"/>
      <c r="N27" s="650"/>
      <c r="O27" s="226"/>
    </row>
    <row r="28" spans="1:15" ht="38.25" customHeight="1" outlineLevel="1">
      <c r="A28" s="234" t="s">
        <v>150</v>
      </c>
      <c r="B28" s="638" t="s">
        <v>151</v>
      </c>
      <c r="C28" s="631"/>
      <c r="D28" s="626" t="s">
        <v>146</v>
      </c>
      <c r="E28" s="627" t="s">
        <v>131</v>
      </c>
      <c r="F28" s="628"/>
      <c r="G28" s="628"/>
      <c r="H28" s="628"/>
      <c r="I28" s="628"/>
      <c r="J28" s="628"/>
      <c r="K28" s="628"/>
      <c r="L28" s="628"/>
      <c r="M28" s="235"/>
      <c r="N28" s="650"/>
      <c r="O28" s="226"/>
    </row>
    <row r="29" spans="1:15" ht="53.25" customHeight="1">
      <c r="A29" s="236" t="s">
        <v>152</v>
      </c>
      <c r="B29" s="634" t="s">
        <v>153</v>
      </c>
      <c r="C29" s="622"/>
      <c r="D29" s="623" t="s">
        <v>122</v>
      </c>
      <c r="E29" s="624" t="s">
        <v>131</v>
      </c>
      <c r="F29" s="625" t="s">
        <v>154</v>
      </c>
      <c r="G29" s="625"/>
      <c r="H29" s="625"/>
      <c r="I29" s="625"/>
      <c r="J29" s="625"/>
      <c r="K29" s="625" t="s">
        <v>155</v>
      </c>
      <c r="L29" s="625"/>
      <c r="M29" s="237"/>
      <c r="N29" s="650" t="s">
        <v>72</v>
      </c>
      <c r="O29" s="226"/>
    </row>
    <row r="30" spans="1:15" ht="52.5" customHeight="1" outlineLevel="1" collapsed="1">
      <c r="A30" s="238" t="s">
        <v>46</v>
      </c>
      <c r="B30" s="638" t="s">
        <v>156</v>
      </c>
      <c r="C30" s="631"/>
      <c r="D30" s="626" t="s">
        <v>122</v>
      </c>
      <c r="E30" s="627" t="s">
        <v>131</v>
      </c>
      <c r="F30" s="628"/>
      <c r="G30" s="628"/>
      <c r="H30" s="628"/>
      <c r="I30" s="628"/>
      <c r="J30" s="628"/>
      <c r="K30" s="628"/>
      <c r="L30" s="628"/>
      <c r="M30" s="235"/>
      <c r="N30" s="651"/>
      <c r="O30" s="226"/>
    </row>
    <row r="31" spans="1:15" ht="52.5" customHeight="1" outlineLevel="1">
      <c r="A31" s="238" t="s">
        <v>132</v>
      </c>
      <c r="B31" s="638" t="s">
        <v>157</v>
      </c>
      <c r="C31" s="631"/>
      <c r="D31" s="626" t="s">
        <v>122</v>
      </c>
      <c r="E31" s="627" t="s">
        <v>131</v>
      </c>
      <c r="F31" s="628"/>
      <c r="G31" s="628"/>
      <c r="H31" s="628"/>
      <c r="I31" s="628"/>
      <c r="J31" s="628"/>
      <c r="K31" s="628"/>
      <c r="L31" s="628"/>
      <c r="M31" s="235"/>
      <c r="N31" s="651"/>
      <c r="O31" s="226"/>
    </row>
    <row r="32" spans="1:15" ht="52.5" customHeight="1" outlineLevel="1">
      <c r="A32" s="238" t="s">
        <v>148</v>
      </c>
      <c r="B32" s="652" t="s">
        <v>158</v>
      </c>
      <c r="C32" s="631"/>
      <c r="D32" s="626" t="s">
        <v>159</v>
      </c>
      <c r="E32" s="627" t="s">
        <v>131</v>
      </c>
      <c r="F32" s="628"/>
      <c r="G32" s="628"/>
      <c r="H32" s="628"/>
      <c r="I32" s="628"/>
      <c r="J32" s="628"/>
      <c r="K32" s="628"/>
      <c r="L32" s="628"/>
      <c r="M32" s="235"/>
      <c r="N32" s="651"/>
      <c r="O32" s="226"/>
    </row>
    <row r="33" spans="1:15" ht="52.5" customHeight="1" outlineLevel="1">
      <c r="A33" s="238" t="s">
        <v>150</v>
      </c>
      <c r="B33" s="652" t="s">
        <v>160</v>
      </c>
      <c r="C33" s="631"/>
      <c r="D33" s="626" t="s">
        <v>159</v>
      </c>
      <c r="E33" s="627" t="s">
        <v>131</v>
      </c>
      <c r="F33" s="628"/>
      <c r="G33" s="628"/>
      <c r="H33" s="628"/>
      <c r="I33" s="628"/>
      <c r="J33" s="628"/>
      <c r="K33" s="628"/>
      <c r="L33" s="628"/>
      <c r="M33" s="235"/>
      <c r="N33" s="651"/>
      <c r="O33" s="226"/>
    </row>
    <row r="34" spans="1:15" ht="45.75" customHeight="1">
      <c r="A34" s="239" t="s">
        <v>161</v>
      </c>
      <c r="B34" s="621" t="s">
        <v>162</v>
      </c>
      <c r="C34" s="622"/>
      <c r="D34" s="623" t="s">
        <v>163</v>
      </c>
      <c r="E34" s="624" t="s">
        <v>131</v>
      </c>
      <c r="F34" s="625" t="s">
        <v>164</v>
      </c>
      <c r="G34" s="625"/>
      <c r="H34" s="625"/>
      <c r="I34" s="625"/>
      <c r="J34" s="625"/>
      <c r="K34" s="625"/>
      <c r="L34" s="625"/>
      <c r="M34" s="237"/>
      <c r="N34" s="650" t="s">
        <v>73</v>
      </c>
      <c r="O34" s="226"/>
    </row>
    <row r="35" spans="1:15" ht="44.25" customHeight="1" outlineLevel="1">
      <c r="A35" s="234" t="s">
        <v>129</v>
      </c>
      <c r="B35" s="638" t="s">
        <v>165</v>
      </c>
      <c r="C35" s="631"/>
      <c r="D35" s="626" t="s">
        <v>163</v>
      </c>
      <c r="E35" s="627" t="s">
        <v>131</v>
      </c>
      <c r="F35" s="628"/>
      <c r="G35" s="628"/>
      <c r="H35" s="628"/>
      <c r="I35" s="628"/>
      <c r="J35" s="628"/>
      <c r="K35" s="628"/>
      <c r="L35" s="628"/>
      <c r="M35" s="235"/>
      <c r="N35" s="651"/>
      <c r="O35" s="226"/>
    </row>
    <row r="36" spans="1:15" ht="44.25" customHeight="1" outlineLevel="1">
      <c r="A36" s="234" t="s">
        <v>132</v>
      </c>
      <c r="B36" s="631" t="s">
        <v>166</v>
      </c>
      <c r="C36" s="631"/>
      <c r="D36" s="626" t="s">
        <v>163</v>
      </c>
      <c r="E36" s="627" t="s">
        <v>131</v>
      </c>
      <c r="F36" s="628"/>
      <c r="G36" s="628"/>
      <c r="H36" s="628"/>
      <c r="I36" s="628"/>
      <c r="J36" s="628"/>
      <c r="K36" s="628"/>
      <c r="L36" s="628"/>
      <c r="M36" s="235"/>
      <c r="N36" s="651"/>
      <c r="O36" s="226"/>
    </row>
    <row r="37" spans="1:15" ht="44.25" customHeight="1" outlineLevel="1">
      <c r="A37" s="234" t="s">
        <v>148</v>
      </c>
      <c r="B37" s="631" t="s">
        <v>167</v>
      </c>
      <c r="C37" s="631"/>
      <c r="D37" s="626" t="s">
        <v>163</v>
      </c>
      <c r="E37" s="627" t="s">
        <v>131</v>
      </c>
      <c r="F37" s="628"/>
      <c r="G37" s="628"/>
      <c r="H37" s="628"/>
      <c r="I37" s="628"/>
      <c r="J37" s="628"/>
      <c r="K37" s="628"/>
      <c r="L37" s="628"/>
      <c r="M37" s="235"/>
      <c r="N37" s="651"/>
      <c r="O37" s="226"/>
    </row>
    <row r="38" spans="1:15" ht="44.25" customHeight="1" outlineLevel="1">
      <c r="A38" s="234" t="s">
        <v>150</v>
      </c>
      <c r="B38" s="631" t="s">
        <v>168</v>
      </c>
      <c r="C38" s="631"/>
      <c r="D38" s="626" t="s">
        <v>163</v>
      </c>
      <c r="E38" s="627" t="s">
        <v>131</v>
      </c>
      <c r="F38" s="628"/>
      <c r="G38" s="628"/>
      <c r="H38" s="628"/>
      <c r="I38" s="628"/>
      <c r="J38" s="628"/>
      <c r="K38" s="628"/>
      <c r="L38" s="628"/>
      <c r="M38" s="235"/>
      <c r="N38" s="651"/>
      <c r="O38" s="226"/>
    </row>
    <row r="39" spans="1:15" ht="39.75" customHeight="1">
      <c r="A39" s="239" t="s">
        <v>169</v>
      </c>
      <c r="B39" s="634" t="s">
        <v>170</v>
      </c>
      <c r="C39" s="622"/>
      <c r="D39" s="623" t="s">
        <v>122</v>
      </c>
      <c r="E39" s="624" t="s">
        <v>131</v>
      </c>
      <c r="F39" s="625" t="s">
        <v>154</v>
      </c>
      <c r="G39" s="625"/>
      <c r="H39" s="625"/>
      <c r="I39" s="625"/>
      <c r="J39" s="625"/>
      <c r="K39" s="625" t="s">
        <v>171</v>
      </c>
      <c r="L39" s="625"/>
      <c r="M39" s="237"/>
      <c r="N39" s="651"/>
      <c r="O39" s="226"/>
    </row>
    <row r="40" spans="1:15" ht="35.25" customHeight="1" outlineLevel="1">
      <c r="A40" s="234" t="s">
        <v>129</v>
      </c>
      <c r="B40" s="631" t="s">
        <v>172</v>
      </c>
      <c r="C40" s="631"/>
      <c r="D40" s="626" t="s">
        <v>122</v>
      </c>
      <c r="E40" s="627" t="s">
        <v>131</v>
      </c>
      <c r="F40" s="628"/>
      <c r="G40" s="628"/>
      <c r="H40" s="628"/>
      <c r="I40" s="628"/>
      <c r="J40" s="628"/>
      <c r="K40" s="628"/>
      <c r="L40" s="628"/>
      <c r="M40" s="235"/>
      <c r="N40" s="651"/>
      <c r="O40" s="226"/>
    </row>
    <row r="41" spans="1:15" ht="35.25" customHeight="1" outlineLevel="1">
      <c r="A41" s="234" t="s">
        <v>132</v>
      </c>
      <c r="B41" s="631" t="s">
        <v>173</v>
      </c>
      <c r="C41" s="631"/>
      <c r="D41" s="626" t="s">
        <v>122</v>
      </c>
      <c r="E41" s="627" t="s">
        <v>131</v>
      </c>
      <c r="F41" s="628"/>
      <c r="G41" s="628"/>
      <c r="H41" s="628"/>
      <c r="I41" s="628"/>
      <c r="J41" s="628"/>
      <c r="K41" s="628"/>
      <c r="L41" s="628"/>
      <c r="M41" s="235"/>
      <c r="N41" s="651"/>
      <c r="O41" s="226"/>
    </row>
    <row r="42" spans="1:15" ht="35.25" customHeight="1" outlineLevel="1">
      <c r="A42" s="234" t="s">
        <v>148</v>
      </c>
      <c r="B42" s="631" t="s">
        <v>174</v>
      </c>
      <c r="C42" s="631"/>
      <c r="D42" s="626" t="s">
        <v>122</v>
      </c>
      <c r="E42" s="627" t="s">
        <v>131</v>
      </c>
      <c r="F42" s="628"/>
      <c r="G42" s="628"/>
      <c r="H42" s="628"/>
      <c r="I42" s="628"/>
      <c r="J42" s="628"/>
      <c r="K42" s="628"/>
      <c r="L42" s="628"/>
      <c r="M42" s="235"/>
      <c r="N42" s="651"/>
      <c r="O42" s="226"/>
    </row>
    <row r="43" spans="1:15" ht="50.25" customHeight="1">
      <c r="A43" s="239" t="s">
        <v>175</v>
      </c>
      <c r="B43" s="634" t="s">
        <v>176</v>
      </c>
      <c r="C43" s="622"/>
      <c r="D43" s="623" t="s">
        <v>122</v>
      </c>
      <c r="E43" s="624" t="s">
        <v>23</v>
      </c>
      <c r="F43" s="625" t="s">
        <v>154</v>
      </c>
      <c r="G43" s="625"/>
      <c r="H43" s="625"/>
      <c r="I43" s="625"/>
      <c r="J43" s="625"/>
      <c r="K43" s="625" t="s">
        <v>177</v>
      </c>
      <c r="L43" s="625"/>
      <c r="M43" s="240"/>
      <c r="N43" s="639" t="s">
        <v>74</v>
      </c>
      <c r="O43" s="226"/>
    </row>
    <row r="44" spans="1:15" ht="45.75" customHeight="1" outlineLevel="1">
      <c r="A44" s="241" t="s">
        <v>46</v>
      </c>
      <c r="B44" s="631" t="s">
        <v>26</v>
      </c>
      <c r="C44" s="631"/>
      <c r="D44" s="626" t="s">
        <v>122</v>
      </c>
      <c r="E44" s="627" t="s">
        <v>23</v>
      </c>
      <c r="F44" s="628"/>
      <c r="G44" s="628"/>
      <c r="H44" s="628"/>
      <c r="I44" s="628"/>
      <c r="J44" s="628"/>
      <c r="K44" s="628"/>
      <c r="L44" s="628"/>
      <c r="M44" s="242"/>
      <c r="N44" s="649"/>
      <c r="O44" s="226"/>
    </row>
    <row r="45" spans="1:15" ht="45.75" customHeight="1" outlineLevel="1">
      <c r="A45" s="243" t="s">
        <v>47</v>
      </c>
      <c r="B45" s="638" t="s">
        <v>178</v>
      </c>
      <c r="C45" s="631"/>
      <c r="D45" s="626" t="s">
        <v>159</v>
      </c>
      <c r="E45" s="627" t="s">
        <v>23</v>
      </c>
      <c r="F45" s="628"/>
      <c r="G45" s="628"/>
      <c r="H45" s="628"/>
      <c r="I45" s="628"/>
      <c r="J45" s="628"/>
      <c r="K45" s="628"/>
      <c r="L45" s="628"/>
      <c r="M45" s="242"/>
      <c r="N45" s="649"/>
      <c r="O45" s="226"/>
    </row>
    <row r="46" spans="1:15" ht="42.75" customHeight="1">
      <c r="A46" s="239" t="s">
        <v>179</v>
      </c>
      <c r="B46" s="634" t="s">
        <v>180</v>
      </c>
      <c r="C46" s="622"/>
      <c r="D46" s="623" t="s">
        <v>163</v>
      </c>
      <c r="E46" s="624" t="s">
        <v>131</v>
      </c>
      <c r="F46" s="625" t="s">
        <v>154</v>
      </c>
      <c r="G46" s="625"/>
      <c r="H46" s="625"/>
      <c r="I46" s="625"/>
      <c r="J46" s="625"/>
      <c r="K46" s="625"/>
      <c r="L46" s="625"/>
      <c r="M46" s="240"/>
      <c r="N46" s="647" t="s">
        <v>75</v>
      </c>
      <c r="O46" s="226"/>
    </row>
    <row r="47" spans="1:15" ht="46.5" customHeight="1" outlineLevel="1">
      <c r="A47" s="234" t="s">
        <v>129</v>
      </c>
      <c r="B47" s="638" t="s">
        <v>130</v>
      </c>
      <c r="C47" s="631"/>
      <c r="D47" s="626" t="s">
        <v>163</v>
      </c>
      <c r="E47" s="627" t="s">
        <v>131</v>
      </c>
      <c r="F47" s="628"/>
      <c r="G47" s="628"/>
      <c r="H47" s="628"/>
      <c r="I47" s="628"/>
      <c r="J47" s="628"/>
      <c r="K47" s="628"/>
      <c r="L47" s="628"/>
      <c r="M47" s="242"/>
      <c r="N47" s="648"/>
      <c r="O47" s="226"/>
    </row>
    <row r="48" spans="1:15" ht="66" customHeight="1" outlineLevel="1">
      <c r="A48" s="234" t="s">
        <v>132</v>
      </c>
      <c r="B48" s="638" t="s">
        <v>181</v>
      </c>
      <c r="C48" s="631"/>
      <c r="D48" s="626" t="s">
        <v>163</v>
      </c>
      <c r="E48" s="627" t="s">
        <v>131</v>
      </c>
      <c r="F48" s="628"/>
      <c r="G48" s="628"/>
      <c r="H48" s="628"/>
      <c r="I48" s="628"/>
      <c r="J48" s="628"/>
      <c r="K48" s="628"/>
      <c r="L48" s="628"/>
      <c r="M48" s="242"/>
      <c r="N48" s="648"/>
      <c r="O48" s="226"/>
    </row>
    <row r="49" spans="1:15" ht="40.5" customHeight="1">
      <c r="A49" s="239" t="s">
        <v>182</v>
      </c>
      <c r="B49" s="634" t="s">
        <v>183</v>
      </c>
      <c r="C49" s="622"/>
      <c r="D49" s="623" t="s">
        <v>146</v>
      </c>
      <c r="E49" s="624" t="s">
        <v>131</v>
      </c>
      <c r="F49" s="625" t="s">
        <v>154</v>
      </c>
      <c r="G49" s="625"/>
      <c r="H49" s="625"/>
      <c r="I49" s="625"/>
      <c r="J49" s="625"/>
      <c r="K49" s="625" t="s">
        <v>184</v>
      </c>
      <c r="L49" s="625"/>
      <c r="M49" s="240"/>
      <c r="N49" s="647" t="s">
        <v>76</v>
      </c>
      <c r="O49" s="226"/>
    </row>
    <row r="50" spans="1:15" ht="45" customHeight="1" outlineLevel="1">
      <c r="A50" s="234" t="s">
        <v>129</v>
      </c>
      <c r="B50" s="638" t="s">
        <v>130</v>
      </c>
      <c r="C50" s="631"/>
      <c r="D50" s="626" t="s">
        <v>146</v>
      </c>
      <c r="E50" s="627" t="s">
        <v>131</v>
      </c>
      <c r="F50" s="628"/>
      <c r="G50" s="628"/>
      <c r="H50" s="628"/>
      <c r="I50" s="628"/>
      <c r="J50" s="628"/>
      <c r="K50" s="628"/>
      <c r="L50" s="628"/>
      <c r="M50" s="242"/>
      <c r="N50" s="648"/>
      <c r="O50" s="226"/>
    </row>
    <row r="51" spans="1:15" ht="45" customHeight="1" outlineLevel="1">
      <c r="A51" s="234" t="s">
        <v>132</v>
      </c>
      <c r="B51" s="638" t="s">
        <v>185</v>
      </c>
      <c r="C51" s="631"/>
      <c r="D51" s="626" t="s">
        <v>146</v>
      </c>
      <c r="E51" s="627" t="s">
        <v>131</v>
      </c>
      <c r="F51" s="628"/>
      <c r="G51" s="628"/>
      <c r="H51" s="628"/>
      <c r="I51" s="628"/>
      <c r="J51" s="628"/>
      <c r="K51" s="628"/>
      <c r="L51" s="628"/>
      <c r="M51" s="242"/>
      <c r="N51" s="648"/>
      <c r="O51" s="226"/>
    </row>
    <row r="52" spans="1:15" ht="45" customHeight="1" outlineLevel="1">
      <c r="A52" s="234" t="s">
        <v>148</v>
      </c>
      <c r="B52" s="638" t="s">
        <v>186</v>
      </c>
      <c r="C52" s="631"/>
      <c r="D52" s="626" t="s">
        <v>146</v>
      </c>
      <c r="E52" s="627" t="s">
        <v>131</v>
      </c>
      <c r="F52" s="628"/>
      <c r="G52" s="628"/>
      <c r="H52" s="628"/>
      <c r="I52" s="628"/>
      <c r="J52" s="628"/>
      <c r="K52" s="628"/>
      <c r="L52" s="628"/>
      <c r="M52" s="242"/>
      <c r="N52" s="648"/>
      <c r="O52" s="226"/>
    </row>
    <row r="53" spans="1:15" ht="45" customHeight="1" outlineLevel="1">
      <c r="A53" s="234" t="s">
        <v>150</v>
      </c>
      <c r="B53" s="638" t="s">
        <v>187</v>
      </c>
      <c r="C53" s="631"/>
      <c r="D53" s="626" t="s">
        <v>146</v>
      </c>
      <c r="E53" s="627" t="s">
        <v>131</v>
      </c>
      <c r="F53" s="628"/>
      <c r="G53" s="628"/>
      <c r="H53" s="628"/>
      <c r="I53" s="628"/>
      <c r="J53" s="628"/>
      <c r="K53" s="628"/>
      <c r="L53" s="628"/>
      <c r="M53" s="242"/>
      <c r="N53" s="648"/>
      <c r="O53" s="226"/>
    </row>
    <row r="54" spans="1:15" ht="40.5" customHeight="1">
      <c r="A54" s="239" t="s">
        <v>188</v>
      </c>
      <c r="B54" s="634" t="s">
        <v>189</v>
      </c>
      <c r="C54" s="622"/>
      <c r="D54" s="623" t="s">
        <v>146</v>
      </c>
      <c r="E54" s="624" t="s">
        <v>23</v>
      </c>
      <c r="F54" s="625" t="s">
        <v>154</v>
      </c>
      <c r="G54" s="625"/>
      <c r="H54" s="625"/>
      <c r="I54" s="625"/>
      <c r="J54" s="625"/>
      <c r="K54" s="625" t="s">
        <v>190</v>
      </c>
      <c r="L54" s="625"/>
      <c r="M54" s="240"/>
      <c r="N54" s="647" t="s">
        <v>77</v>
      </c>
      <c r="O54" s="226"/>
    </row>
    <row r="55" spans="1:15" ht="42" customHeight="1" outlineLevel="1">
      <c r="A55" s="234" t="s">
        <v>129</v>
      </c>
      <c r="B55" s="631" t="s">
        <v>191</v>
      </c>
      <c r="C55" s="631"/>
      <c r="D55" s="626" t="s">
        <v>146</v>
      </c>
      <c r="E55" s="627" t="s">
        <v>23</v>
      </c>
      <c r="F55" s="628"/>
      <c r="G55" s="628"/>
      <c r="H55" s="628"/>
      <c r="I55" s="628"/>
      <c r="J55" s="628"/>
      <c r="K55" s="628"/>
      <c r="L55" s="628"/>
      <c r="M55" s="242"/>
      <c r="N55" s="647"/>
      <c r="O55" s="226"/>
    </row>
    <row r="56" spans="1:15" ht="42" customHeight="1" outlineLevel="1">
      <c r="A56" s="234" t="s">
        <v>132</v>
      </c>
      <c r="B56" s="631" t="s">
        <v>192</v>
      </c>
      <c r="C56" s="631"/>
      <c r="D56" s="626" t="s">
        <v>146</v>
      </c>
      <c r="E56" s="627" t="s">
        <v>23</v>
      </c>
      <c r="F56" s="628"/>
      <c r="G56" s="628"/>
      <c r="H56" s="628"/>
      <c r="I56" s="628"/>
      <c r="J56" s="628"/>
      <c r="K56" s="628"/>
      <c r="L56" s="628"/>
      <c r="M56" s="242"/>
      <c r="N56" s="647"/>
      <c r="O56" s="226"/>
    </row>
    <row r="57" spans="1:15" ht="42" customHeight="1" outlineLevel="1">
      <c r="A57" s="234" t="s">
        <v>148</v>
      </c>
      <c r="B57" s="631" t="s">
        <v>193</v>
      </c>
      <c r="C57" s="631"/>
      <c r="D57" s="626" t="s">
        <v>146</v>
      </c>
      <c r="E57" s="627" t="s">
        <v>23</v>
      </c>
      <c r="F57" s="628"/>
      <c r="G57" s="628"/>
      <c r="H57" s="628"/>
      <c r="I57" s="628"/>
      <c r="J57" s="628"/>
      <c r="K57" s="628"/>
      <c r="L57" s="628"/>
      <c r="M57" s="242"/>
      <c r="N57" s="647"/>
      <c r="O57" s="226"/>
    </row>
    <row r="58" spans="1:15" ht="42" customHeight="1" outlineLevel="1">
      <c r="A58" s="234" t="s">
        <v>150</v>
      </c>
      <c r="B58" s="631" t="s">
        <v>194</v>
      </c>
      <c r="C58" s="631"/>
      <c r="D58" s="626" t="s">
        <v>146</v>
      </c>
      <c r="E58" s="627" t="s">
        <v>23</v>
      </c>
      <c r="F58" s="628"/>
      <c r="G58" s="628"/>
      <c r="H58" s="628"/>
      <c r="I58" s="628"/>
      <c r="J58" s="628"/>
      <c r="K58" s="628"/>
      <c r="L58" s="628"/>
      <c r="M58" s="242"/>
      <c r="N58" s="647"/>
      <c r="O58" s="226"/>
    </row>
    <row r="59" spans="1:15" ht="42" customHeight="1" outlineLevel="1">
      <c r="A59" s="234" t="s">
        <v>195</v>
      </c>
      <c r="B59" s="638" t="s">
        <v>196</v>
      </c>
      <c r="C59" s="631"/>
      <c r="D59" s="626" t="s">
        <v>146</v>
      </c>
      <c r="E59" s="627" t="s">
        <v>23</v>
      </c>
      <c r="F59" s="628"/>
      <c r="G59" s="628"/>
      <c r="H59" s="628"/>
      <c r="I59" s="628"/>
      <c r="J59" s="628"/>
      <c r="K59" s="628"/>
      <c r="L59" s="628"/>
      <c r="M59" s="242"/>
      <c r="N59" s="647"/>
      <c r="O59" s="226"/>
    </row>
    <row r="60" spans="1:15" ht="42" customHeight="1" outlineLevel="1">
      <c r="A60" s="234" t="s">
        <v>197</v>
      </c>
      <c r="B60" s="631" t="s">
        <v>28</v>
      </c>
      <c r="C60" s="631"/>
      <c r="D60" s="626" t="s">
        <v>146</v>
      </c>
      <c r="E60" s="627" t="s">
        <v>23</v>
      </c>
      <c r="F60" s="628"/>
      <c r="G60" s="628"/>
      <c r="H60" s="628"/>
      <c r="I60" s="628"/>
      <c r="J60" s="628"/>
      <c r="K60" s="628"/>
      <c r="L60" s="628"/>
      <c r="M60" s="242"/>
      <c r="N60" s="647"/>
      <c r="O60" s="226"/>
    </row>
    <row r="61" spans="1:15" ht="42" customHeight="1" outlineLevel="1">
      <c r="A61" s="234" t="s">
        <v>198</v>
      </c>
      <c r="B61" s="631" t="s">
        <v>29</v>
      </c>
      <c r="C61" s="631"/>
      <c r="D61" s="626" t="s">
        <v>146</v>
      </c>
      <c r="E61" s="627" t="s">
        <v>23</v>
      </c>
      <c r="F61" s="628"/>
      <c r="G61" s="628"/>
      <c r="H61" s="628"/>
      <c r="I61" s="628"/>
      <c r="J61" s="628"/>
      <c r="K61" s="628"/>
      <c r="L61" s="628"/>
      <c r="M61" s="242"/>
      <c r="N61" s="647"/>
      <c r="O61" s="226"/>
    </row>
    <row r="62" spans="1:15" ht="42" customHeight="1" outlineLevel="1">
      <c r="A62" s="234" t="s">
        <v>199</v>
      </c>
      <c r="B62" s="631" t="s">
        <v>30</v>
      </c>
      <c r="C62" s="631"/>
      <c r="D62" s="626" t="s">
        <v>146</v>
      </c>
      <c r="E62" s="627" t="s">
        <v>23</v>
      </c>
      <c r="F62" s="628"/>
      <c r="G62" s="628"/>
      <c r="H62" s="628"/>
      <c r="I62" s="628"/>
      <c r="J62" s="628"/>
      <c r="K62" s="628"/>
      <c r="L62" s="628"/>
      <c r="M62" s="242"/>
      <c r="N62" s="647"/>
      <c r="O62" s="226"/>
    </row>
    <row r="63" spans="1:15" ht="38.25" customHeight="1">
      <c r="A63" s="239" t="s">
        <v>200</v>
      </c>
      <c r="B63" s="634" t="s">
        <v>201</v>
      </c>
      <c r="C63" s="622"/>
      <c r="D63" s="623" t="s">
        <v>146</v>
      </c>
      <c r="E63" s="624" t="s">
        <v>23</v>
      </c>
      <c r="F63" s="625" t="s">
        <v>154</v>
      </c>
      <c r="G63" s="625"/>
      <c r="H63" s="625"/>
      <c r="I63" s="625"/>
      <c r="J63" s="625"/>
      <c r="K63" s="625" t="s">
        <v>202</v>
      </c>
      <c r="L63" s="625"/>
      <c r="M63" s="240"/>
      <c r="N63" s="647" t="s">
        <v>203</v>
      </c>
      <c r="O63" s="226"/>
    </row>
    <row r="64" spans="1:15" ht="42" customHeight="1" outlineLevel="1">
      <c r="A64" s="234" t="s">
        <v>129</v>
      </c>
      <c r="B64" s="638" t="s">
        <v>204</v>
      </c>
      <c r="C64" s="631"/>
      <c r="D64" s="626" t="s">
        <v>146</v>
      </c>
      <c r="E64" s="627" t="s">
        <v>23</v>
      </c>
      <c r="F64" s="628"/>
      <c r="G64" s="628"/>
      <c r="H64" s="628"/>
      <c r="I64" s="628"/>
      <c r="J64" s="628"/>
      <c r="K64" s="628"/>
      <c r="L64" s="628"/>
      <c r="M64" s="242"/>
      <c r="N64" s="647"/>
      <c r="O64" s="226"/>
    </row>
    <row r="65" spans="1:15" ht="38.25" customHeight="1" outlineLevel="1">
      <c r="A65" s="234" t="s">
        <v>132</v>
      </c>
      <c r="B65" s="631" t="s">
        <v>205</v>
      </c>
      <c r="C65" s="631"/>
      <c r="D65" s="626" t="s">
        <v>146</v>
      </c>
      <c r="E65" s="627" t="s">
        <v>23</v>
      </c>
      <c r="F65" s="628"/>
      <c r="G65" s="628"/>
      <c r="H65" s="628"/>
      <c r="I65" s="628"/>
      <c r="J65" s="628"/>
      <c r="K65" s="628"/>
      <c r="L65" s="628"/>
      <c r="M65" s="242"/>
      <c r="N65" s="647"/>
      <c r="O65" s="226"/>
    </row>
    <row r="66" spans="1:15" ht="38.25" customHeight="1" outlineLevel="1">
      <c r="A66" s="234" t="s">
        <v>148</v>
      </c>
      <c r="B66" s="631" t="s">
        <v>206</v>
      </c>
      <c r="C66" s="631"/>
      <c r="D66" s="626" t="s">
        <v>146</v>
      </c>
      <c r="E66" s="627" t="s">
        <v>23</v>
      </c>
      <c r="F66" s="628"/>
      <c r="G66" s="628"/>
      <c r="H66" s="628"/>
      <c r="I66" s="628"/>
      <c r="J66" s="628"/>
      <c r="K66" s="628"/>
      <c r="L66" s="628"/>
      <c r="M66" s="242"/>
      <c r="N66" s="647"/>
      <c r="O66" s="226"/>
    </row>
    <row r="67" spans="1:15" ht="38.25" customHeight="1" outlineLevel="1">
      <c r="A67" s="234" t="s">
        <v>150</v>
      </c>
      <c r="B67" s="631" t="s">
        <v>207</v>
      </c>
      <c r="C67" s="631"/>
      <c r="D67" s="626" t="s">
        <v>146</v>
      </c>
      <c r="E67" s="627" t="s">
        <v>23</v>
      </c>
      <c r="F67" s="628"/>
      <c r="G67" s="628"/>
      <c r="H67" s="628"/>
      <c r="I67" s="628"/>
      <c r="J67" s="628"/>
      <c r="K67" s="628"/>
      <c r="L67" s="628"/>
      <c r="M67" s="242"/>
      <c r="N67" s="647"/>
      <c r="O67" s="226"/>
    </row>
    <row r="68" spans="1:15" ht="38.25" customHeight="1" outlineLevel="1">
      <c r="A68" s="234" t="s">
        <v>195</v>
      </c>
      <c r="B68" s="631" t="s">
        <v>208</v>
      </c>
      <c r="C68" s="631"/>
      <c r="D68" s="626" t="s">
        <v>146</v>
      </c>
      <c r="E68" s="627" t="s">
        <v>23</v>
      </c>
      <c r="F68" s="628"/>
      <c r="G68" s="628"/>
      <c r="H68" s="628"/>
      <c r="I68" s="628"/>
      <c r="J68" s="628"/>
      <c r="K68" s="628"/>
      <c r="L68" s="628"/>
      <c r="M68" s="242"/>
      <c r="N68" s="647"/>
      <c r="O68" s="226"/>
    </row>
    <row r="69" spans="1:15" ht="38.25" customHeight="1" outlineLevel="1">
      <c r="A69" s="234" t="s">
        <v>197</v>
      </c>
      <c r="B69" s="631" t="s">
        <v>209</v>
      </c>
      <c r="C69" s="631"/>
      <c r="D69" s="626" t="s">
        <v>146</v>
      </c>
      <c r="E69" s="627" t="s">
        <v>23</v>
      </c>
      <c r="F69" s="628"/>
      <c r="G69" s="628"/>
      <c r="H69" s="628"/>
      <c r="I69" s="628"/>
      <c r="J69" s="628"/>
      <c r="K69" s="628"/>
      <c r="L69" s="628"/>
      <c r="M69" s="242"/>
      <c r="N69" s="647"/>
      <c r="O69" s="226"/>
    </row>
    <row r="70" spans="1:15" ht="38.25" customHeight="1" outlineLevel="1">
      <c r="A70" s="234" t="s">
        <v>198</v>
      </c>
      <c r="B70" s="631" t="s">
        <v>210</v>
      </c>
      <c r="C70" s="631"/>
      <c r="D70" s="626" t="s">
        <v>146</v>
      </c>
      <c r="E70" s="627" t="s">
        <v>23</v>
      </c>
      <c r="F70" s="628"/>
      <c r="G70" s="628"/>
      <c r="H70" s="628"/>
      <c r="I70" s="628"/>
      <c r="J70" s="628"/>
      <c r="K70" s="628"/>
      <c r="L70" s="628"/>
      <c r="M70" s="242"/>
      <c r="N70" s="647"/>
      <c r="O70" s="226"/>
    </row>
    <row r="71" spans="1:15" ht="38.25" customHeight="1" outlineLevel="1">
      <c r="A71" s="234" t="s">
        <v>199</v>
      </c>
      <c r="B71" s="631" t="s">
        <v>211</v>
      </c>
      <c r="C71" s="631"/>
      <c r="D71" s="626" t="s">
        <v>146</v>
      </c>
      <c r="E71" s="627" t="s">
        <v>23</v>
      </c>
      <c r="F71" s="628"/>
      <c r="G71" s="628"/>
      <c r="H71" s="628"/>
      <c r="I71" s="628"/>
      <c r="J71" s="628"/>
      <c r="K71" s="628"/>
      <c r="L71" s="628"/>
      <c r="M71" s="242"/>
      <c r="N71" s="647"/>
      <c r="O71" s="226"/>
    </row>
    <row r="72" spans="1:15" ht="38.25" customHeight="1" outlineLevel="1">
      <c r="A72" s="244" t="s">
        <v>212</v>
      </c>
      <c r="B72" s="631" t="s">
        <v>213</v>
      </c>
      <c r="C72" s="631"/>
      <c r="D72" s="626" t="s">
        <v>146</v>
      </c>
      <c r="E72" s="627" t="s">
        <v>23</v>
      </c>
      <c r="F72" s="628"/>
      <c r="G72" s="628"/>
      <c r="H72" s="628"/>
      <c r="I72" s="628"/>
      <c r="J72" s="628"/>
      <c r="K72" s="628"/>
      <c r="L72" s="628"/>
      <c r="M72" s="242"/>
      <c r="N72" s="647"/>
      <c r="O72" s="226"/>
    </row>
    <row r="73" spans="1:15" ht="38.25" customHeight="1" outlineLevel="1">
      <c r="A73" s="244" t="s">
        <v>214</v>
      </c>
      <c r="B73" s="631" t="s">
        <v>215</v>
      </c>
      <c r="C73" s="631"/>
      <c r="D73" s="626" t="s">
        <v>146</v>
      </c>
      <c r="E73" s="627" t="s">
        <v>23</v>
      </c>
      <c r="F73" s="628"/>
      <c r="G73" s="628"/>
      <c r="H73" s="628"/>
      <c r="I73" s="628"/>
      <c r="J73" s="628"/>
      <c r="K73" s="628"/>
      <c r="L73" s="628"/>
      <c r="M73" s="242"/>
      <c r="N73" s="647"/>
      <c r="O73" s="226"/>
    </row>
    <row r="74" spans="1:15" ht="38.25" customHeight="1" outlineLevel="1">
      <c r="A74" s="244" t="s">
        <v>216</v>
      </c>
      <c r="B74" s="631" t="s">
        <v>217</v>
      </c>
      <c r="C74" s="631"/>
      <c r="D74" s="626" t="s">
        <v>146</v>
      </c>
      <c r="E74" s="627" t="s">
        <v>23</v>
      </c>
      <c r="F74" s="628"/>
      <c r="G74" s="628"/>
      <c r="H74" s="628"/>
      <c r="I74" s="628"/>
      <c r="J74" s="628"/>
      <c r="K74" s="628"/>
      <c r="L74" s="628"/>
      <c r="M74" s="242"/>
      <c r="N74" s="647"/>
      <c r="O74" s="226"/>
    </row>
    <row r="75" spans="1:15" ht="41.25" customHeight="1">
      <c r="A75" s="239" t="s">
        <v>218</v>
      </c>
      <c r="B75" s="634" t="s">
        <v>219</v>
      </c>
      <c r="C75" s="622"/>
      <c r="D75" s="623" t="s">
        <v>146</v>
      </c>
      <c r="E75" s="624" t="s">
        <v>131</v>
      </c>
      <c r="F75" s="625" t="s">
        <v>154</v>
      </c>
      <c r="G75" s="625"/>
      <c r="H75" s="625"/>
      <c r="I75" s="625"/>
      <c r="J75" s="625"/>
      <c r="K75" s="625" t="s">
        <v>202</v>
      </c>
      <c r="L75" s="625"/>
      <c r="M75" s="240"/>
      <c r="N75" s="645" t="s">
        <v>220</v>
      </c>
      <c r="O75" s="226"/>
    </row>
    <row r="76" spans="1:15" ht="34.5" customHeight="1" outlineLevel="1">
      <c r="A76" s="234" t="s">
        <v>129</v>
      </c>
      <c r="B76" s="631" t="s">
        <v>221</v>
      </c>
      <c r="C76" s="631"/>
      <c r="D76" s="626" t="s">
        <v>146</v>
      </c>
      <c r="E76" s="627" t="s">
        <v>131</v>
      </c>
      <c r="F76" s="628"/>
      <c r="G76" s="628"/>
      <c r="H76" s="628"/>
      <c r="I76" s="628"/>
      <c r="J76" s="628"/>
      <c r="K76" s="628"/>
      <c r="L76" s="628"/>
      <c r="M76" s="242"/>
      <c r="N76" s="646"/>
      <c r="O76" s="226"/>
    </row>
    <row r="77" spans="1:15" ht="34.5" customHeight="1" outlineLevel="1">
      <c r="A77" s="234" t="s">
        <v>132</v>
      </c>
      <c r="B77" s="638" t="s">
        <v>222</v>
      </c>
      <c r="C77" s="631"/>
      <c r="D77" s="626" t="s">
        <v>146</v>
      </c>
      <c r="E77" s="627" t="s">
        <v>131</v>
      </c>
      <c r="F77" s="628"/>
      <c r="G77" s="628"/>
      <c r="H77" s="628"/>
      <c r="I77" s="628"/>
      <c r="J77" s="628"/>
      <c r="K77" s="628"/>
      <c r="L77" s="628"/>
      <c r="M77" s="242"/>
      <c r="N77" s="646"/>
      <c r="O77" s="226"/>
    </row>
    <row r="78" spans="1:15" ht="34.5" customHeight="1" outlineLevel="1">
      <c r="A78" s="234" t="s">
        <v>148</v>
      </c>
      <c r="B78" s="638" t="s">
        <v>223</v>
      </c>
      <c r="C78" s="631"/>
      <c r="D78" s="626" t="s">
        <v>146</v>
      </c>
      <c r="E78" s="627" t="s">
        <v>131</v>
      </c>
      <c r="F78" s="628"/>
      <c r="G78" s="628"/>
      <c r="H78" s="628"/>
      <c r="I78" s="628"/>
      <c r="J78" s="628"/>
      <c r="K78" s="628"/>
      <c r="L78" s="628"/>
      <c r="M78" s="242"/>
      <c r="N78" s="646"/>
      <c r="O78" s="226"/>
    </row>
    <row r="79" spans="1:15" ht="41.25" customHeight="1">
      <c r="A79" s="239" t="s">
        <v>224</v>
      </c>
      <c r="B79" s="634" t="s">
        <v>225</v>
      </c>
      <c r="C79" s="622"/>
      <c r="D79" s="623" t="s">
        <v>146</v>
      </c>
      <c r="E79" s="624" t="s">
        <v>131</v>
      </c>
      <c r="F79" s="625" t="s">
        <v>154</v>
      </c>
      <c r="G79" s="625"/>
      <c r="H79" s="625"/>
      <c r="I79" s="625"/>
      <c r="J79" s="625"/>
      <c r="K79" s="625" t="s">
        <v>226</v>
      </c>
      <c r="L79" s="625"/>
      <c r="M79" s="240"/>
      <c r="N79" s="639" t="s">
        <v>78</v>
      </c>
      <c r="O79" s="226"/>
    </row>
    <row r="80" spans="1:15" ht="30.75" customHeight="1" outlineLevel="1">
      <c r="A80" s="234" t="s">
        <v>129</v>
      </c>
      <c r="B80" s="643" t="s">
        <v>191</v>
      </c>
      <c r="C80" s="643"/>
      <c r="D80" s="626" t="s">
        <v>146</v>
      </c>
      <c r="E80" s="627" t="s">
        <v>131</v>
      </c>
      <c r="F80" s="628"/>
      <c r="G80" s="628"/>
      <c r="H80" s="628"/>
      <c r="I80" s="628"/>
      <c r="J80" s="628"/>
      <c r="K80" s="628"/>
      <c r="L80" s="628"/>
      <c r="M80" s="242"/>
      <c r="N80" s="639"/>
      <c r="O80" s="226"/>
    </row>
    <row r="81" spans="1:15" ht="36.75" customHeight="1" outlineLevel="1">
      <c r="A81" s="234" t="s">
        <v>132</v>
      </c>
      <c r="B81" s="644" t="s">
        <v>227</v>
      </c>
      <c r="C81" s="643"/>
      <c r="D81" s="626" t="s">
        <v>146</v>
      </c>
      <c r="E81" s="627" t="s">
        <v>131</v>
      </c>
      <c r="F81" s="628"/>
      <c r="G81" s="628"/>
      <c r="H81" s="628"/>
      <c r="I81" s="628"/>
      <c r="J81" s="628"/>
      <c r="K81" s="628"/>
      <c r="L81" s="628"/>
      <c r="M81" s="242"/>
      <c r="N81" s="639"/>
      <c r="O81" s="226"/>
    </row>
    <row r="82" spans="1:15" ht="33" customHeight="1" outlineLevel="1">
      <c r="A82" s="234" t="s">
        <v>48</v>
      </c>
      <c r="B82" s="643" t="s">
        <v>192</v>
      </c>
      <c r="C82" s="643"/>
      <c r="D82" s="626" t="s">
        <v>146</v>
      </c>
      <c r="E82" s="627" t="s">
        <v>131</v>
      </c>
      <c r="F82" s="628"/>
      <c r="G82" s="628"/>
      <c r="H82" s="628"/>
      <c r="I82" s="628"/>
      <c r="J82" s="628"/>
      <c r="K82" s="628"/>
      <c r="L82" s="628"/>
      <c r="M82" s="242"/>
      <c r="N82" s="639"/>
      <c r="O82" s="226"/>
    </row>
    <row r="83" spans="1:15" ht="30" customHeight="1" outlineLevel="1">
      <c r="A83" s="234" t="s">
        <v>49</v>
      </c>
      <c r="B83" s="643" t="s">
        <v>228</v>
      </c>
      <c r="C83" s="643"/>
      <c r="D83" s="626" t="s">
        <v>146</v>
      </c>
      <c r="E83" s="627" t="s">
        <v>131</v>
      </c>
      <c r="F83" s="628"/>
      <c r="G83" s="628"/>
      <c r="H83" s="628"/>
      <c r="I83" s="628"/>
      <c r="J83" s="628"/>
      <c r="K83" s="628"/>
      <c r="L83" s="628"/>
      <c r="M83" s="242"/>
      <c r="N83" s="639"/>
      <c r="O83" s="226"/>
    </row>
    <row r="84" spans="1:15" ht="33" customHeight="1" outlineLevel="1">
      <c r="A84" s="244" t="s">
        <v>212</v>
      </c>
      <c r="B84" s="643" t="s">
        <v>229</v>
      </c>
      <c r="C84" s="643"/>
      <c r="D84" s="626" t="s">
        <v>146</v>
      </c>
      <c r="E84" s="627" t="s">
        <v>131</v>
      </c>
      <c r="F84" s="628"/>
      <c r="G84" s="628"/>
      <c r="H84" s="628"/>
      <c r="I84" s="628"/>
      <c r="J84" s="628"/>
      <c r="K84" s="628"/>
      <c r="L84" s="628"/>
      <c r="M84" s="242"/>
      <c r="N84" s="639"/>
      <c r="O84" s="226"/>
    </row>
    <row r="85" spans="1:15" ht="45.75" customHeight="1" outlineLevel="1">
      <c r="A85" s="244" t="s">
        <v>214</v>
      </c>
      <c r="B85" s="643" t="s">
        <v>230</v>
      </c>
      <c r="C85" s="643"/>
      <c r="D85" s="626" t="s">
        <v>146</v>
      </c>
      <c r="E85" s="627" t="s">
        <v>131</v>
      </c>
      <c r="F85" s="628"/>
      <c r="G85" s="628"/>
      <c r="H85" s="628"/>
      <c r="I85" s="628"/>
      <c r="J85" s="628"/>
      <c r="K85" s="628"/>
      <c r="L85" s="628"/>
      <c r="M85" s="242"/>
      <c r="N85" s="639"/>
      <c r="O85" s="226"/>
    </row>
    <row r="86" spans="1:15" ht="41.25" customHeight="1" outlineLevel="1">
      <c r="A86" s="244" t="s">
        <v>216</v>
      </c>
      <c r="B86" s="643" t="s">
        <v>231</v>
      </c>
      <c r="C86" s="643"/>
      <c r="D86" s="626" t="s">
        <v>146</v>
      </c>
      <c r="E86" s="627" t="s">
        <v>131</v>
      </c>
      <c r="F86" s="628"/>
      <c r="G86" s="628"/>
      <c r="H86" s="628"/>
      <c r="I86" s="628"/>
      <c r="J86" s="628"/>
      <c r="K86" s="628"/>
      <c r="L86" s="628"/>
      <c r="M86" s="242"/>
      <c r="N86" s="639"/>
      <c r="O86" s="226"/>
    </row>
    <row r="87" spans="1:15" ht="48.75" customHeight="1" outlineLevel="1">
      <c r="A87" s="234" t="s">
        <v>195</v>
      </c>
      <c r="B87" s="643" t="s">
        <v>232</v>
      </c>
      <c r="C87" s="643"/>
      <c r="D87" s="626" t="s">
        <v>146</v>
      </c>
      <c r="E87" s="627" t="s">
        <v>131</v>
      </c>
      <c r="F87" s="628"/>
      <c r="G87" s="628"/>
      <c r="H87" s="628"/>
      <c r="I87" s="628"/>
      <c r="J87" s="628"/>
      <c r="K87" s="628"/>
      <c r="L87" s="628"/>
      <c r="M87" s="242"/>
      <c r="N87" s="639"/>
      <c r="O87" s="226"/>
    </row>
    <row r="88" spans="1:15" ht="45" customHeight="1" outlineLevel="1">
      <c r="A88" s="234" t="s">
        <v>197</v>
      </c>
      <c r="B88" s="643" t="s">
        <v>233</v>
      </c>
      <c r="C88" s="643"/>
      <c r="D88" s="626" t="s">
        <v>146</v>
      </c>
      <c r="E88" s="627" t="s">
        <v>131</v>
      </c>
      <c r="F88" s="628"/>
      <c r="G88" s="628"/>
      <c r="H88" s="628"/>
      <c r="I88" s="628"/>
      <c r="J88" s="628"/>
      <c r="K88" s="628"/>
      <c r="L88" s="628"/>
      <c r="M88" s="242"/>
      <c r="N88" s="639"/>
      <c r="O88" s="226"/>
    </row>
    <row r="89" spans="1:15" ht="41.25" customHeight="1" outlineLevel="1">
      <c r="A89" s="234" t="s">
        <v>50</v>
      </c>
      <c r="B89" s="643" t="s">
        <v>234</v>
      </c>
      <c r="C89" s="643"/>
      <c r="D89" s="626" t="s">
        <v>146</v>
      </c>
      <c r="E89" s="627" t="s">
        <v>131</v>
      </c>
      <c r="F89" s="628"/>
      <c r="G89" s="628"/>
      <c r="H89" s="628"/>
      <c r="I89" s="628"/>
      <c r="J89" s="628"/>
      <c r="K89" s="628"/>
      <c r="L89" s="628"/>
      <c r="M89" s="242"/>
      <c r="N89" s="639"/>
      <c r="O89" s="226"/>
    </row>
    <row r="90" spans="1:15" ht="41.25" customHeight="1" outlineLevel="1">
      <c r="A90" s="234" t="s">
        <v>51</v>
      </c>
      <c r="B90" s="643" t="s">
        <v>235</v>
      </c>
      <c r="C90" s="643"/>
      <c r="D90" s="626" t="s">
        <v>146</v>
      </c>
      <c r="E90" s="627" t="s">
        <v>131</v>
      </c>
      <c r="F90" s="628"/>
      <c r="G90" s="628"/>
      <c r="H90" s="628"/>
      <c r="I90" s="628"/>
      <c r="J90" s="628"/>
      <c r="K90" s="628"/>
      <c r="L90" s="628"/>
      <c r="M90" s="242"/>
      <c r="N90" s="639"/>
      <c r="O90" s="226"/>
    </row>
    <row r="91" spans="1:15" ht="41.25" customHeight="1" outlineLevel="1">
      <c r="A91" s="234" t="s">
        <v>52</v>
      </c>
      <c r="B91" s="643" t="s">
        <v>236</v>
      </c>
      <c r="C91" s="643"/>
      <c r="D91" s="626" t="s">
        <v>146</v>
      </c>
      <c r="E91" s="627" t="s">
        <v>131</v>
      </c>
      <c r="F91" s="628"/>
      <c r="G91" s="628"/>
      <c r="H91" s="628"/>
      <c r="I91" s="628"/>
      <c r="J91" s="628"/>
      <c r="K91" s="628"/>
      <c r="L91" s="628"/>
      <c r="M91" s="242"/>
      <c r="N91" s="639"/>
      <c r="O91" s="226"/>
    </row>
    <row r="92" spans="1:15" ht="50.25" customHeight="1" outlineLevel="1">
      <c r="A92" s="234" t="s">
        <v>53</v>
      </c>
      <c r="B92" s="643" t="s">
        <v>237</v>
      </c>
      <c r="C92" s="643"/>
      <c r="D92" s="626" t="s">
        <v>146</v>
      </c>
      <c r="E92" s="627" t="s">
        <v>131</v>
      </c>
      <c r="F92" s="628"/>
      <c r="G92" s="628"/>
      <c r="H92" s="628"/>
      <c r="I92" s="628"/>
      <c r="J92" s="628"/>
      <c r="K92" s="628"/>
      <c r="L92" s="628"/>
      <c r="M92" s="242"/>
      <c r="N92" s="639"/>
      <c r="O92" s="226"/>
    </row>
    <row r="93" spans="1:15" ht="42.75" customHeight="1" outlineLevel="1">
      <c r="A93" s="244" t="s">
        <v>212</v>
      </c>
      <c r="B93" s="643" t="s">
        <v>238</v>
      </c>
      <c r="C93" s="643"/>
      <c r="D93" s="626" t="s">
        <v>146</v>
      </c>
      <c r="E93" s="627" t="s">
        <v>131</v>
      </c>
      <c r="F93" s="628"/>
      <c r="G93" s="628"/>
      <c r="H93" s="628"/>
      <c r="I93" s="628"/>
      <c r="J93" s="628"/>
      <c r="K93" s="628"/>
      <c r="L93" s="628"/>
      <c r="M93" s="242"/>
      <c r="N93" s="639"/>
      <c r="O93" s="226"/>
    </row>
    <row r="94" spans="1:15" ht="48.75" customHeight="1" outlineLevel="1">
      <c r="A94" s="244" t="s">
        <v>214</v>
      </c>
      <c r="B94" s="643" t="s">
        <v>239</v>
      </c>
      <c r="C94" s="643"/>
      <c r="D94" s="626" t="s">
        <v>146</v>
      </c>
      <c r="E94" s="627" t="s">
        <v>131</v>
      </c>
      <c r="F94" s="628"/>
      <c r="G94" s="628"/>
      <c r="H94" s="628"/>
      <c r="I94" s="628"/>
      <c r="J94" s="628"/>
      <c r="K94" s="628"/>
      <c r="L94" s="628"/>
      <c r="M94" s="242"/>
      <c r="N94" s="639"/>
      <c r="O94" s="226"/>
    </row>
    <row r="95" spans="1:15" ht="53.25" customHeight="1" outlineLevel="1">
      <c r="A95" s="234" t="s">
        <v>240</v>
      </c>
      <c r="B95" s="640" t="s">
        <v>241</v>
      </c>
      <c r="C95" s="641"/>
      <c r="D95" s="626" t="s">
        <v>146</v>
      </c>
      <c r="E95" s="627" t="s">
        <v>131</v>
      </c>
      <c r="F95" s="628"/>
      <c r="G95" s="628"/>
      <c r="H95" s="628"/>
      <c r="I95" s="628"/>
      <c r="J95" s="628"/>
      <c r="K95" s="628"/>
      <c r="L95" s="628"/>
      <c r="M95" s="242"/>
      <c r="N95" s="639"/>
      <c r="O95" s="226"/>
    </row>
    <row r="96" spans="1:15" ht="60" customHeight="1" outlineLevel="1">
      <c r="A96" s="234" t="s">
        <v>242</v>
      </c>
      <c r="B96" s="642" t="s">
        <v>243</v>
      </c>
      <c r="C96" s="641"/>
      <c r="D96" s="626" t="s">
        <v>146</v>
      </c>
      <c r="E96" s="627" t="s">
        <v>131</v>
      </c>
      <c r="F96" s="628"/>
      <c r="G96" s="628"/>
      <c r="H96" s="628"/>
      <c r="I96" s="628"/>
      <c r="J96" s="628"/>
      <c r="K96" s="628"/>
      <c r="L96" s="628"/>
      <c r="M96" s="242"/>
      <c r="N96" s="639"/>
      <c r="O96" s="226"/>
    </row>
    <row r="97" spans="1:15" ht="88.5" customHeight="1" outlineLevel="1">
      <c r="A97" s="234" t="s">
        <v>244</v>
      </c>
      <c r="B97" s="631" t="s">
        <v>245</v>
      </c>
      <c r="C97" s="631"/>
      <c r="D97" s="626" t="s">
        <v>146</v>
      </c>
      <c r="E97" s="627" t="s">
        <v>131</v>
      </c>
      <c r="F97" s="628"/>
      <c r="G97" s="628"/>
      <c r="H97" s="628"/>
      <c r="I97" s="628"/>
      <c r="J97" s="628"/>
      <c r="K97" s="628"/>
      <c r="L97" s="628"/>
      <c r="M97" s="242"/>
      <c r="N97" s="639" t="s">
        <v>246</v>
      </c>
      <c r="O97" s="226"/>
    </row>
    <row r="98" spans="1:15" ht="46.5" customHeight="1" outlineLevel="1">
      <c r="A98" s="244" t="s">
        <v>212</v>
      </c>
      <c r="B98" s="631" t="s">
        <v>247</v>
      </c>
      <c r="C98" s="631"/>
      <c r="D98" s="626" t="s">
        <v>146</v>
      </c>
      <c r="E98" s="627" t="s">
        <v>131</v>
      </c>
      <c r="F98" s="628"/>
      <c r="G98" s="628"/>
      <c r="H98" s="628"/>
      <c r="I98" s="628"/>
      <c r="J98" s="628"/>
      <c r="K98" s="628"/>
      <c r="L98" s="628"/>
      <c r="M98" s="242"/>
      <c r="N98" s="639"/>
      <c r="O98" s="226"/>
    </row>
    <row r="99" spans="1:15" ht="46.5" customHeight="1" outlineLevel="1">
      <c r="A99" s="244" t="s">
        <v>214</v>
      </c>
      <c r="B99" s="631" t="s">
        <v>248</v>
      </c>
      <c r="C99" s="631"/>
      <c r="D99" s="626" t="s">
        <v>146</v>
      </c>
      <c r="E99" s="627" t="s">
        <v>131</v>
      </c>
      <c r="F99" s="628"/>
      <c r="G99" s="628"/>
      <c r="H99" s="628"/>
      <c r="I99" s="628"/>
      <c r="J99" s="628"/>
      <c r="K99" s="628"/>
      <c r="L99" s="628"/>
      <c r="M99" s="242"/>
      <c r="N99" s="639"/>
      <c r="O99" s="226"/>
    </row>
    <row r="100" spans="1:15" ht="46.5" customHeight="1" outlineLevel="1">
      <c r="A100" s="244" t="s">
        <v>216</v>
      </c>
      <c r="B100" s="631" t="s">
        <v>249</v>
      </c>
      <c r="C100" s="631"/>
      <c r="D100" s="626" t="s">
        <v>146</v>
      </c>
      <c r="E100" s="627" t="s">
        <v>131</v>
      </c>
      <c r="F100" s="628"/>
      <c r="G100" s="628"/>
      <c r="H100" s="628"/>
      <c r="I100" s="628"/>
      <c r="J100" s="628"/>
      <c r="K100" s="628"/>
      <c r="L100" s="628"/>
      <c r="M100" s="242"/>
      <c r="N100" s="639"/>
      <c r="O100" s="226"/>
    </row>
    <row r="101" spans="1:15" ht="46.5" customHeight="1" outlineLevel="1">
      <c r="A101" s="244" t="s">
        <v>250</v>
      </c>
      <c r="B101" s="631" t="s">
        <v>251</v>
      </c>
      <c r="C101" s="631"/>
      <c r="D101" s="626" t="s">
        <v>146</v>
      </c>
      <c r="E101" s="627" t="s">
        <v>131</v>
      </c>
      <c r="F101" s="628"/>
      <c r="G101" s="628"/>
      <c r="H101" s="628"/>
      <c r="I101" s="628"/>
      <c r="J101" s="628"/>
      <c r="K101" s="628"/>
      <c r="L101" s="628"/>
      <c r="M101" s="242"/>
      <c r="N101" s="639"/>
      <c r="O101" s="226"/>
    </row>
    <row r="102" spans="1:15" ht="46.5" customHeight="1" outlineLevel="1">
      <c r="A102" s="244" t="s">
        <v>252</v>
      </c>
      <c r="B102" s="631" t="s">
        <v>253</v>
      </c>
      <c r="C102" s="631"/>
      <c r="D102" s="626" t="s">
        <v>146</v>
      </c>
      <c r="E102" s="627" t="s">
        <v>131</v>
      </c>
      <c r="F102" s="628"/>
      <c r="G102" s="628"/>
      <c r="H102" s="628"/>
      <c r="I102" s="628"/>
      <c r="J102" s="628"/>
      <c r="K102" s="628"/>
      <c r="L102" s="628"/>
      <c r="M102" s="242"/>
      <c r="N102" s="639"/>
      <c r="O102" s="226"/>
    </row>
    <row r="103" spans="1:15" ht="44.25" customHeight="1">
      <c r="A103" s="239" t="s">
        <v>254</v>
      </c>
      <c r="B103" s="634" t="s">
        <v>255</v>
      </c>
      <c r="C103" s="622"/>
      <c r="D103" s="623" t="s">
        <v>146</v>
      </c>
      <c r="E103" s="624" t="s">
        <v>131</v>
      </c>
      <c r="F103" s="625" t="s">
        <v>164</v>
      </c>
      <c r="G103" s="625"/>
      <c r="H103" s="625"/>
      <c r="I103" s="625"/>
      <c r="J103" s="625"/>
      <c r="K103" s="625"/>
      <c r="L103" s="625"/>
      <c r="M103" s="240"/>
      <c r="N103" s="639"/>
      <c r="O103" s="226"/>
    </row>
    <row r="104" spans="1:15" ht="28.5" customHeight="1" outlineLevel="1">
      <c r="A104" s="234" t="s">
        <v>129</v>
      </c>
      <c r="B104" s="631" t="s">
        <v>256</v>
      </c>
      <c r="C104" s="631"/>
      <c r="D104" s="626" t="s">
        <v>146</v>
      </c>
      <c r="E104" s="627" t="s">
        <v>131</v>
      </c>
      <c r="F104" s="628"/>
      <c r="G104" s="628"/>
      <c r="H104" s="628"/>
      <c r="I104" s="628"/>
      <c r="J104" s="628"/>
      <c r="K104" s="628"/>
      <c r="L104" s="628"/>
      <c r="M104" s="242"/>
      <c r="N104" s="639"/>
      <c r="O104" s="226"/>
    </row>
    <row r="105" spans="1:15" ht="28.5" customHeight="1" outlineLevel="1">
      <c r="A105" s="234" t="s">
        <v>132</v>
      </c>
      <c r="B105" s="631" t="s">
        <v>257</v>
      </c>
      <c r="C105" s="631"/>
      <c r="D105" s="626" t="s">
        <v>146</v>
      </c>
      <c r="E105" s="627" t="s">
        <v>131</v>
      </c>
      <c r="F105" s="628"/>
      <c r="G105" s="628"/>
      <c r="H105" s="628"/>
      <c r="I105" s="628"/>
      <c r="J105" s="628"/>
      <c r="K105" s="628"/>
      <c r="L105" s="628"/>
      <c r="M105" s="242"/>
      <c r="N105" s="639"/>
      <c r="O105" s="226"/>
    </row>
    <row r="106" spans="1:15" ht="28.5" customHeight="1" outlineLevel="1">
      <c r="A106" s="234" t="s">
        <v>148</v>
      </c>
      <c r="B106" s="631" t="s">
        <v>258</v>
      </c>
      <c r="C106" s="631"/>
      <c r="D106" s="626" t="s">
        <v>146</v>
      </c>
      <c r="E106" s="627" t="s">
        <v>131</v>
      </c>
      <c r="F106" s="628"/>
      <c r="G106" s="628"/>
      <c r="H106" s="628"/>
      <c r="I106" s="628"/>
      <c r="J106" s="628"/>
      <c r="K106" s="628"/>
      <c r="L106" s="628"/>
      <c r="M106" s="242"/>
      <c r="N106" s="639"/>
      <c r="O106" s="226"/>
    </row>
    <row r="107" spans="1:15" ht="28.5" customHeight="1" outlineLevel="1">
      <c r="A107" s="234" t="s">
        <v>150</v>
      </c>
      <c r="B107" s="631" t="s">
        <v>259</v>
      </c>
      <c r="C107" s="631"/>
      <c r="D107" s="626" t="s">
        <v>146</v>
      </c>
      <c r="E107" s="627" t="s">
        <v>131</v>
      </c>
      <c r="F107" s="628"/>
      <c r="G107" s="628"/>
      <c r="H107" s="628"/>
      <c r="I107" s="628"/>
      <c r="J107" s="628"/>
      <c r="K107" s="628"/>
      <c r="L107" s="628"/>
      <c r="M107" s="242"/>
      <c r="N107" s="639"/>
      <c r="O107" s="226"/>
    </row>
    <row r="108" spans="1:15" ht="39" customHeight="1" outlineLevel="1">
      <c r="A108" s="234" t="s">
        <v>195</v>
      </c>
      <c r="B108" s="631" t="s">
        <v>260</v>
      </c>
      <c r="C108" s="631"/>
      <c r="D108" s="626" t="s">
        <v>146</v>
      </c>
      <c r="E108" s="627" t="s">
        <v>131</v>
      </c>
      <c r="F108" s="628"/>
      <c r="G108" s="628"/>
      <c r="H108" s="628"/>
      <c r="I108" s="628"/>
      <c r="J108" s="628"/>
      <c r="K108" s="628"/>
      <c r="L108" s="628"/>
      <c r="M108" s="242"/>
      <c r="N108" s="639"/>
      <c r="O108" s="226"/>
    </row>
    <row r="109" spans="1:15" ht="60.75" customHeight="1" outlineLevel="1">
      <c r="A109" s="234" t="s">
        <v>197</v>
      </c>
      <c r="B109" s="631" t="s">
        <v>261</v>
      </c>
      <c r="C109" s="631"/>
      <c r="D109" s="626" t="s">
        <v>146</v>
      </c>
      <c r="E109" s="627" t="s">
        <v>131</v>
      </c>
      <c r="F109" s="628"/>
      <c r="G109" s="628"/>
      <c r="H109" s="628"/>
      <c r="I109" s="628"/>
      <c r="J109" s="628"/>
      <c r="K109" s="628"/>
      <c r="L109" s="628"/>
      <c r="M109" s="242"/>
      <c r="N109" s="639"/>
      <c r="O109" s="226"/>
    </row>
    <row r="110" spans="1:15" ht="44.25" customHeight="1">
      <c r="A110" s="239" t="s">
        <v>262</v>
      </c>
      <c r="B110" s="634" t="s">
        <v>263</v>
      </c>
      <c r="C110" s="622"/>
      <c r="D110" s="623" t="s">
        <v>146</v>
      </c>
      <c r="E110" s="624" t="s">
        <v>131</v>
      </c>
      <c r="F110" s="625" t="s">
        <v>154</v>
      </c>
      <c r="G110" s="625"/>
      <c r="H110" s="625"/>
      <c r="I110" s="625"/>
      <c r="J110" s="625"/>
      <c r="K110" s="625" t="s">
        <v>171</v>
      </c>
      <c r="L110" s="625"/>
      <c r="M110" s="240"/>
      <c r="N110" s="637" t="s">
        <v>264</v>
      </c>
      <c r="O110" s="226"/>
    </row>
    <row r="111" spans="1:15" ht="50.25" customHeight="1" outlineLevel="1">
      <c r="A111" s="234" t="s">
        <v>129</v>
      </c>
      <c r="B111" s="631" t="s">
        <v>265</v>
      </c>
      <c r="C111" s="631"/>
      <c r="D111" s="626" t="s">
        <v>146</v>
      </c>
      <c r="E111" s="627" t="s">
        <v>131</v>
      </c>
      <c r="F111" s="628"/>
      <c r="G111" s="628"/>
      <c r="H111" s="628"/>
      <c r="I111" s="628"/>
      <c r="J111" s="628"/>
      <c r="K111" s="628"/>
      <c r="L111" s="628"/>
      <c r="M111" s="242"/>
      <c r="N111" s="630"/>
      <c r="O111" s="226"/>
    </row>
    <row r="112" spans="1:15" ht="44.25" customHeight="1" outlineLevel="1">
      <c r="A112" s="244" t="s">
        <v>212</v>
      </c>
      <c r="B112" s="631" t="s">
        <v>266</v>
      </c>
      <c r="C112" s="631"/>
      <c r="D112" s="626" t="s">
        <v>146</v>
      </c>
      <c r="E112" s="627" t="s">
        <v>131</v>
      </c>
      <c r="F112" s="628"/>
      <c r="G112" s="628"/>
      <c r="H112" s="628"/>
      <c r="I112" s="628"/>
      <c r="J112" s="628"/>
      <c r="K112" s="628"/>
      <c r="L112" s="628"/>
      <c r="M112" s="242"/>
      <c r="N112" s="630"/>
      <c r="O112" s="226"/>
    </row>
    <row r="113" spans="1:15" ht="44.25" customHeight="1" outlineLevel="1">
      <c r="A113" s="244" t="s">
        <v>214</v>
      </c>
      <c r="B113" s="631" t="s">
        <v>267</v>
      </c>
      <c r="C113" s="631"/>
      <c r="D113" s="626" t="s">
        <v>146</v>
      </c>
      <c r="E113" s="627" t="s">
        <v>131</v>
      </c>
      <c r="F113" s="628"/>
      <c r="G113" s="628"/>
      <c r="H113" s="628"/>
      <c r="I113" s="628"/>
      <c r="J113" s="628"/>
      <c r="K113" s="628"/>
      <c r="L113" s="628"/>
      <c r="M113" s="242"/>
      <c r="N113" s="630"/>
      <c r="O113" s="226"/>
    </row>
    <row r="114" spans="1:15" ht="44.25" customHeight="1" outlineLevel="1">
      <c r="A114" s="244" t="s">
        <v>216</v>
      </c>
      <c r="B114" s="631" t="s">
        <v>167</v>
      </c>
      <c r="C114" s="631"/>
      <c r="D114" s="626" t="s">
        <v>146</v>
      </c>
      <c r="E114" s="627" t="s">
        <v>131</v>
      </c>
      <c r="F114" s="628"/>
      <c r="G114" s="628"/>
      <c r="H114" s="628"/>
      <c r="I114" s="628"/>
      <c r="J114" s="628"/>
      <c r="K114" s="628"/>
      <c r="L114" s="628"/>
      <c r="M114" s="242"/>
      <c r="N114" s="630"/>
      <c r="O114" s="226"/>
    </row>
    <row r="115" spans="1:15" ht="44.25" customHeight="1" outlineLevel="1">
      <c r="A115" s="244" t="s">
        <v>250</v>
      </c>
      <c r="B115" s="631" t="s">
        <v>168</v>
      </c>
      <c r="C115" s="631"/>
      <c r="D115" s="626" t="s">
        <v>146</v>
      </c>
      <c r="E115" s="627" t="s">
        <v>131</v>
      </c>
      <c r="F115" s="628"/>
      <c r="G115" s="628"/>
      <c r="H115" s="628"/>
      <c r="I115" s="628"/>
      <c r="J115" s="628"/>
      <c r="K115" s="628"/>
      <c r="L115" s="628"/>
      <c r="M115" s="242"/>
      <c r="N115" s="630"/>
      <c r="O115" s="226"/>
    </row>
    <row r="116" spans="1:15" ht="44.25" customHeight="1" outlineLevel="1">
      <c r="A116" s="234" t="s">
        <v>132</v>
      </c>
      <c r="B116" s="631" t="s">
        <v>268</v>
      </c>
      <c r="C116" s="631"/>
      <c r="D116" s="626" t="s">
        <v>146</v>
      </c>
      <c r="E116" s="627" t="s">
        <v>131</v>
      </c>
      <c r="F116" s="628"/>
      <c r="G116" s="628"/>
      <c r="H116" s="628"/>
      <c r="I116" s="628"/>
      <c r="J116" s="628"/>
      <c r="K116" s="628"/>
      <c r="L116" s="628"/>
      <c r="M116" s="242"/>
      <c r="N116" s="630"/>
      <c r="O116" s="226"/>
    </row>
    <row r="117" spans="1:15" ht="44.25" customHeight="1" outlineLevel="1">
      <c r="A117" s="234" t="s">
        <v>148</v>
      </c>
      <c r="B117" s="631" t="s">
        <v>269</v>
      </c>
      <c r="C117" s="631"/>
      <c r="D117" s="626" t="s">
        <v>146</v>
      </c>
      <c r="E117" s="627" t="s">
        <v>131</v>
      </c>
      <c r="F117" s="628"/>
      <c r="G117" s="628"/>
      <c r="H117" s="628"/>
      <c r="I117" s="628"/>
      <c r="J117" s="628"/>
      <c r="K117" s="628"/>
      <c r="L117" s="628"/>
      <c r="M117" s="242"/>
      <c r="N117" s="630"/>
      <c r="O117" s="226"/>
    </row>
    <row r="118" spans="1:15" ht="46.5" customHeight="1">
      <c r="A118" s="239" t="s">
        <v>270</v>
      </c>
      <c r="B118" s="634" t="s">
        <v>271</v>
      </c>
      <c r="C118" s="622"/>
      <c r="D118" s="623" t="s">
        <v>159</v>
      </c>
      <c r="E118" s="624" t="s">
        <v>131</v>
      </c>
      <c r="F118" s="625" t="s">
        <v>154</v>
      </c>
      <c r="G118" s="625"/>
      <c r="H118" s="625"/>
      <c r="I118" s="625"/>
      <c r="J118" s="625"/>
      <c r="K118" s="625"/>
      <c r="L118" s="625"/>
      <c r="M118" s="240"/>
      <c r="N118" s="637" t="s">
        <v>79</v>
      </c>
      <c r="O118" s="226"/>
    </row>
    <row r="119" spans="1:15" ht="43.5" customHeight="1" outlineLevel="1">
      <c r="A119" s="234" t="s">
        <v>129</v>
      </c>
      <c r="B119" s="631" t="s">
        <v>272</v>
      </c>
      <c r="C119" s="631"/>
      <c r="D119" s="626" t="s">
        <v>159</v>
      </c>
      <c r="E119" s="627" t="s">
        <v>131</v>
      </c>
      <c r="F119" s="628"/>
      <c r="G119" s="628"/>
      <c r="H119" s="628"/>
      <c r="I119" s="628"/>
      <c r="J119" s="628"/>
      <c r="K119" s="628"/>
      <c r="L119" s="628"/>
      <c r="M119" s="242"/>
      <c r="N119" s="630"/>
      <c r="O119" s="226"/>
    </row>
    <row r="120" spans="1:15" ht="41.25" customHeight="1" outlineLevel="1">
      <c r="A120" s="234" t="s">
        <v>132</v>
      </c>
      <c r="B120" s="631" t="s">
        <v>273</v>
      </c>
      <c r="C120" s="631"/>
      <c r="D120" s="626" t="s">
        <v>159</v>
      </c>
      <c r="E120" s="627" t="s">
        <v>131</v>
      </c>
      <c r="F120" s="628"/>
      <c r="G120" s="628"/>
      <c r="H120" s="628"/>
      <c r="I120" s="628"/>
      <c r="J120" s="628"/>
      <c r="K120" s="628"/>
      <c r="L120" s="628"/>
      <c r="M120" s="242"/>
      <c r="N120" s="630"/>
      <c r="O120" s="226"/>
    </row>
    <row r="121" spans="1:15" ht="41.25" customHeight="1" outlineLevel="1">
      <c r="A121" s="234" t="s">
        <v>48</v>
      </c>
      <c r="B121" s="631" t="s">
        <v>274</v>
      </c>
      <c r="C121" s="631"/>
      <c r="D121" s="626" t="s">
        <v>159</v>
      </c>
      <c r="E121" s="627" t="s">
        <v>131</v>
      </c>
      <c r="F121" s="628"/>
      <c r="G121" s="628"/>
      <c r="H121" s="628"/>
      <c r="I121" s="628"/>
      <c r="J121" s="628"/>
      <c r="K121" s="628"/>
      <c r="L121" s="628"/>
      <c r="M121" s="242"/>
      <c r="N121" s="630"/>
      <c r="O121" s="226"/>
    </row>
    <row r="122" spans="1:15" ht="41.25" customHeight="1" outlineLevel="1">
      <c r="A122" s="234" t="s">
        <v>49</v>
      </c>
      <c r="B122" s="631" t="s">
        <v>275</v>
      </c>
      <c r="C122" s="631"/>
      <c r="D122" s="626" t="s">
        <v>159</v>
      </c>
      <c r="E122" s="627" t="s">
        <v>131</v>
      </c>
      <c r="F122" s="628"/>
      <c r="G122" s="628"/>
      <c r="H122" s="628"/>
      <c r="I122" s="628"/>
      <c r="J122" s="628"/>
      <c r="K122" s="628"/>
      <c r="L122" s="628"/>
      <c r="M122" s="242"/>
      <c r="N122" s="630"/>
      <c r="O122" s="226"/>
    </row>
    <row r="123" spans="1:15" ht="43.5" customHeight="1" outlineLevel="1">
      <c r="A123" s="234" t="s">
        <v>54</v>
      </c>
      <c r="B123" s="631" t="s">
        <v>29</v>
      </c>
      <c r="C123" s="631"/>
      <c r="D123" s="626" t="s">
        <v>159</v>
      </c>
      <c r="E123" s="627" t="s">
        <v>131</v>
      </c>
      <c r="F123" s="628"/>
      <c r="G123" s="628"/>
      <c r="H123" s="628"/>
      <c r="I123" s="628"/>
      <c r="J123" s="628"/>
      <c r="K123" s="628"/>
      <c r="L123" s="628"/>
      <c r="M123" s="242"/>
      <c r="N123" s="630"/>
      <c r="O123" s="226"/>
    </row>
    <row r="124" spans="1:15" ht="39.75" customHeight="1" outlineLevel="1">
      <c r="A124" s="234" t="s">
        <v>55</v>
      </c>
      <c r="B124" s="631" t="s">
        <v>276</v>
      </c>
      <c r="C124" s="631"/>
      <c r="D124" s="626" t="s">
        <v>159</v>
      </c>
      <c r="E124" s="627" t="s">
        <v>131</v>
      </c>
      <c r="F124" s="628"/>
      <c r="G124" s="628"/>
      <c r="H124" s="628"/>
      <c r="I124" s="628"/>
      <c r="J124" s="628"/>
      <c r="K124" s="628"/>
      <c r="L124" s="628"/>
      <c r="M124" s="242"/>
      <c r="N124" s="630"/>
      <c r="O124" s="226"/>
    </row>
    <row r="125" spans="1:15" ht="28.5" customHeight="1">
      <c r="A125" s="239" t="s">
        <v>277</v>
      </c>
      <c r="B125" s="634" t="s">
        <v>278</v>
      </c>
      <c r="C125" s="622"/>
      <c r="D125" s="623" t="s">
        <v>146</v>
      </c>
      <c r="E125" s="624" t="s">
        <v>23</v>
      </c>
      <c r="F125" s="625" t="s">
        <v>154</v>
      </c>
      <c r="G125" s="625"/>
      <c r="H125" s="625"/>
      <c r="I125" s="625"/>
      <c r="J125" s="625"/>
      <c r="K125" s="635"/>
      <c r="L125" s="636"/>
      <c r="M125" s="240"/>
      <c r="N125" s="637" t="s">
        <v>279</v>
      </c>
      <c r="O125" s="226"/>
    </row>
    <row r="126" spans="1:15" ht="39.75" customHeight="1" outlineLevel="1">
      <c r="A126" s="234" t="s">
        <v>46</v>
      </c>
      <c r="B126" s="638" t="s">
        <v>280</v>
      </c>
      <c r="C126" s="631"/>
      <c r="D126" s="626" t="s">
        <v>144</v>
      </c>
      <c r="E126" s="627" t="s">
        <v>23</v>
      </c>
      <c r="F126" s="628"/>
      <c r="G126" s="628"/>
      <c r="H126" s="628"/>
      <c r="I126" s="628"/>
      <c r="J126" s="628"/>
      <c r="K126" s="632"/>
      <c r="L126" s="633"/>
      <c r="M126" s="242"/>
      <c r="N126" s="637"/>
      <c r="O126" s="226"/>
    </row>
    <row r="127" spans="1:15" ht="39.75" customHeight="1" outlineLevel="1">
      <c r="A127" s="234" t="s">
        <v>132</v>
      </c>
      <c r="B127" s="631" t="s">
        <v>281</v>
      </c>
      <c r="C127" s="631"/>
      <c r="D127" s="626" t="s">
        <v>144</v>
      </c>
      <c r="E127" s="627" t="s">
        <v>23</v>
      </c>
      <c r="F127" s="628"/>
      <c r="G127" s="628"/>
      <c r="H127" s="628"/>
      <c r="I127" s="628"/>
      <c r="J127" s="628"/>
      <c r="K127" s="632"/>
      <c r="L127" s="633"/>
      <c r="M127" s="242"/>
      <c r="N127" s="637"/>
      <c r="O127" s="226"/>
    </row>
    <row r="128" spans="1:15" ht="39.75" customHeight="1" outlineLevel="1">
      <c r="A128" s="234" t="s">
        <v>148</v>
      </c>
      <c r="B128" s="631" t="s">
        <v>282</v>
      </c>
      <c r="C128" s="631"/>
      <c r="D128" s="626" t="s">
        <v>144</v>
      </c>
      <c r="E128" s="627" t="s">
        <v>23</v>
      </c>
      <c r="F128" s="628"/>
      <c r="G128" s="628"/>
      <c r="H128" s="628"/>
      <c r="I128" s="628"/>
      <c r="J128" s="628"/>
      <c r="K128" s="632"/>
      <c r="L128" s="633"/>
      <c r="M128" s="242"/>
      <c r="N128" s="637"/>
      <c r="O128" s="226"/>
    </row>
    <row r="129" spans="1:15" ht="28.5" customHeight="1">
      <c r="A129" s="239" t="s">
        <v>283</v>
      </c>
      <c r="B129" s="621" t="s">
        <v>284</v>
      </c>
      <c r="C129" s="622"/>
      <c r="D129" s="623" t="s">
        <v>146</v>
      </c>
      <c r="E129" s="624" t="s">
        <v>131</v>
      </c>
      <c r="F129" s="625" t="s">
        <v>164</v>
      </c>
      <c r="G129" s="625"/>
      <c r="H129" s="625"/>
      <c r="I129" s="625"/>
      <c r="J129" s="625"/>
      <c r="K129" s="625"/>
      <c r="L129" s="625"/>
      <c r="M129" s="240"/>
      <c r="N129" s="637"/>
      <c r="O129" s="226"/>
    </row>
    <row r="130" spans="1:15" ht="28.5" customHeight="1" outlineLevel="1">
      <c r="A130" s="234" t="s">
        <v>129</v>
      </c>
      <c r="B130" s="638" t="s">
        <v>285</v>
      </c>
      <c r="C130" s="631"/>
      <c r="D130" s="626" t="s">
        <v>146</v>
      </c>
      <c r="E130" s="627" t="s">
        <v>131</v>
      </c>
      <c r="F130" s="628"/>
      <c r="G130" s="628"/>
      <c r="H130" s="628"/>
      <c r="I130" s="628"/>
      <c r="J130" s="628"/>
      <c r="K130" s="628"/>
      <c r="L130" s="628"/>
      <c r="M130" s="242"/>
      <c r="N130" s="637"/>
      <c r="O130" s="226"/>
    </row>
    <row r="131" spans="1:15" ht="28.5" customHeight="1" outlineLevel="1">
      <c r="A131" s="234" t="s">
        <v>132</v>
      </c>
      <c r="B131" s="631" t="s">
        <v>286</v>
      </c>
      <c r="C131" s="631"/>
      <c r="D131" s="626" t="s">
        <v>146</v>
      </c>
      <c r="E131" s="627" t="s">
        <v>131</v>
      </c>
      <c r="F131" s="628"/>
      <c r="G131" s="628"/>
      <c r="H131" s="628"/>
      <c r="I131" s="628"/>
      <c r="J131" s="628"/>
      <c r="K131" s="628"/>
      <c r="L131" s="628"/>
      <c r="M131" s="242"/>
      <c r="N131" s="637"/>
      <c r="O131" s="226"/>
    </row>
    <row r="132" spans="1:15" ht="78" customHeight="1" outlineLevel="1">
      <c r="A132" s="234" t="s">
        <v>148</v>
      </c>
      <c r="B132" s="631" t="s">
        <v>287</v>
      </c>
      <c r="C132" s="631"/>
      <c r="D132" s="626" t="s">
        <v>146</v>
      </c>
      <c r="E132" s="627" t="s">
        <v>131</v>
      </c>
      <c r="F132" s="628"/>
      <c r="G132" s="628"/>
      <c r="H132" s="628"/>
      <c r="I132" s="628"/>
      <c r="J132" s="628"/>
      <c r="K132" s="628"/>
      <c r="L132" s="628"/>
      <c r="M132" s="242"/>
      <c r="N132" s="637"/>
      <c r="O132" s="226"/>
    </row>
    <row r="133" spans="1:15" ht="64.5" customHeight="1">
      <c r="A133" s="236" t="s">
        <v>288</v>
      </c>
      <c r="B133" s="621" t="s">
        <v>56</v>
      </c>
      <c r="C133" s="622"/>
      <c r="D133" s="623" t="s">
        <v>122</v>
      </c>
      <c r="E133" s="624" t="s">
        <v>131</v>
      </c>
      <c r="F133" s="625" t="s">
        <v>289</v>
      </c>
      <c r="G133" s="625"/>
      <c r="H133" s="625"/>
      <c r="I133" s="625"/>
      <c r="J133" s="625"/>
      <c r="K133" s="625" t="s">
        <v>290</v>
      </c>
      <c r="L133" s="625"/>
      <c r="M133" s="240"/>
      <c r="N133" s="245" t="str">
        <f>B133</f>
        <v>检查应付职工薪酬的期后付款情况，并关注在资产负债表日至财务报表批准报出日之间，是否有确凿证据表明需要调整资产负债表日原确认的应付职工薪酬事项；</v>
      </c>
      <c r="O133" s="226"/>
    </row>
    <row r="134" spans="1:15" ht="33.75" customHeight="1">
      <c r="A134" s="239" t="s">
        <v>291</v>
      </c>
      <c r="B134" s="621" t="s">
        <v>292</v>
      </c>
      <c r="C134" s="622"/>
      <c r="D134" s="623" t="s">
        <v>159</v>
      </c>
      <c r="E134" s="624" t="s">
        <v>131</v>
      </c>
      <c r="F134" s="625" t="s">
        <v>154</v>
      </c>
      <c r="G134" s="625"/>
      <c r="H134" s="625"/>
      <c r="I134" s="625"/>
      <c r="J134" s="625"/>
      <c r="K134" s="625"/>
      <c r="L134" s="625"/>
      <c r="M134" s="240"/>
      <c r="N134" s="629" t="s">
        <v>80</v>
      </c>
      <c r="O134" s="226"/>
    </row>
    <row r="135" spans="1:15" ht="37.5" customHeight="1" outlineLevel="1">
      <c r="A135" s="246" t="s">
        <v>129</v>
      </c>
      <c r="B135" s="631" t="s">
        <v>293</v>
      </c>
      <c r="C135" s="631"/>
      <c r="D135" s="626" t="s">
        <v>159</v>
      </c>
      <c r="E135" s="627" t="s">
        <v>131</v>
      </c>
      <c r="F135" s="628"/>
      <c r="G135" s="628"/>
      <c r="H135" s="628"/>
      <c r="I135" s="628"/>
      <c r="J135" s="628"/>
      <c r="K135" s="628"/>
      <c r="L135" s="628"/>
      <c r="M135" s="242"/>
      <c r="N135" s="630"/>
      <c r="O135" s="226"/>
    </row>
    <row r="136" spans="1:15" ht="46.5" customHeight="1" outlineLevel="1">
      <c r="A136" s="246" t="s">
        <v>132</v>
      </c>
      <c r="B136" s="631" t="s">
        <v>294</v>
      </c>
      <c r="C136" s="631"/>
      <c r="D136" s="626" t="s">
        <v>159</v>
      </c>
      <c r="E136" s="627" t="s">
        <v>131</v>
      </c>
      <c r="F136" s="628"/>
      <c r="G136" s="628"/>
      <c r="H136" s="628"/>
      <c r="I136" s="628"/>
      <c r="J136" s="628"/>
      <c r="K136" s="628"/>
      <c r="L136" s="628"/>
      <c r="M136" s="242"/>
      <c r="N136" s="630"/>
      <c r="O136" s="226"/>
    </row>
    <row r="137" spans="1:15" ht="46.5" customHeight="1" outlineLevel="1">
      <c r="A137" s="246" t="s">
        <v>148</v>
      </c>
      <c r="B137" s="631" t="s">
        <v>295</v>
      </c>
      <c r="C137" s="631"/>
      <c r="D137" s="626" t="s">
        <v>159</v>
      </c>
      <c r="E137" s="627" t="s">
        <v>131</v>
      </c>
      <c r="F137" s="628"/>
      <c r="G137" s="628"/>
      <c r="H137" s="628"/>
      <c r="I137" s="628"/>
      <c r="J137" s="628"/>
      <c r="K137" s="628"/>
      <c r="L137" s="628"/>
      <c r="M137" s="242"/>
      <c r="N137" s="630"/>
      <c r="O137" s="226"/>
    </row>
    <row r="138" spans="1:15" ht="44.25" customHeight="1">
      <c r="A138" s="239" t="s">
        <v>296</v>
      </c>
      <c r="B138" s="621" t="s">
        <v>57</v>
      </c>
      <c r="C138" s="622"/>
      <c r="D138" s="623" t="s">
        <v>146</v>
      </c>
      <c r="E138" s="624" t="s">
        <v>23</v>
      </c>
      <c r="F138" s="625" t="s">
        <v>154</v>
      </c>
      <c r="G138" s="625"/>
      <c r="H138" s="625"/>
      <c r="I138" s="625"/>
      <c r="J138" s="625"/>
      <c r="K138" s="625"/>
      <c r="L138" s="625"/>
      <c r="M138" s="240"/>
      <c r="N138" s="247" t="str">
        <f>B138</f>
        <v>针对识别的其他舞弊风险等因素增加的审计程序。</v>
      </c>
      <c r="O138" s="226"/>
    </row>
    <row r="139" spans="1:15" ht="46.5" customHeight="1">
      <c r="A139" s="248" t="s">
        <v>297</v>
      </c>
      <c r="B139" s="621" t="s">
        <v>58</v>
      </c>
      <c r="C139" s="622"/>
      <c r="D139" s="623" t="s">
        <v>122</v>
      </c>
      <c r="E139" s="624" t="s">
        <v>23</v>
      </c>
      <c r="F139" s="625" t="s">
        <v>298</v>
      </c>
      <c r="G139" s="625"/>
      <c r="H139" s="625"/>
      <c r="I139" s="625"/>
      <c r="J139" s="625"/>
      <c r="K139" s="625" t="s">
        <v>299</v>
      </c>
      <c r="L139" s="625"/>
      <c r="M139" s="240"/>
      <c r="N139" s="247" t="str">
        <f>B139</f>
        <v>确定需在财务报表中单独披露的信息已被记录。</v>
      </c>
      <c r="O139" s="226"/>
    </row>
    <row r="140" spans="1:15" ht="22.5" customHeight="1"/>
    <row r="141" spans="1:15" ht="22.5" customHeight="1">
      <c r="B141" s="148" t="s">
        <v>300</v>
      </c>
    </row>
    <row r="142" spans="1:15" ht="22.5" customHeight="1">
      <c r="A142" s="226"/>
      <c r="B142" s="250" t="s">
        <v>301</v>
      </c>
    </row>
    <row r="143" spans="1:15" ht="33.75" customHeight="1">
      <c r="A143" s="226"/>
      <c r="B143" s="620" t="s">
        <v>302</v>
      </c>
      <c r="C143" s="620"/>
      <c r="D143" s="226"/>
      <c r="E143" s="226"/>
      <c r="F143" s="226"/>
      <c r="G143" s="226"/>
      <c r="H143" s="226"/>
      <c r="I143" s="226"/>
      <c r="J143" s="226"/>
      <c r="K143" s="226"/>
      <c r="L143" s="226"/>
      <c r="M143" s="226"/>
      <c r="N143" s="247"/>
      <c r="O143" s="226"/>
    </row>
    <row r="144" spans="1:15" ht="33.75" customHeight="1">
      <c r="A144" s="226"/>
      <c r="B144" s="620" t="s">
        <v>303</v>
      </c>
      <c r="C144" s="620"/>
      <c r="D144" s="226"/>
      <c r="E144" s="226"/>
      <c r="F144" s="226"/>
      <c r="G144" s="226"/>
      <c r="H144" s="226"/>
      <c r="I144" s="226"/>
      <c r="J144" s="226"/>
      <c r="K144" s="226"/>
      <c r="L144" s="226"/>
      <c r="M144" s="226"/>
      <c r="N144" s="247"/>
      <c r="O144" s="226"/>
    </row>
    <row r="145" spans="1:15" ht="33.75" customHeight="1">
      <c r="A145" s="226"/>
      <c r="B145" s="620" t="s">
        <v>304</v>
      </c>
      <c r="C145" s="620"/>
      <c r="D145" s="226"/>
      <c r="E145" s="226"/>
      <c r="F145" s="226"/>
      <c r="G145" s="226"/>
      <c r="H145" s="226"/>
      <c r="I145" s="226"/>
      <c r="J145" s="226"/>
      <c r="K145" s="226"/>
      <c r="L145" s="226"/>
      <c r="M145" s="226"/>
      <c r="N145" s="247"/>
      <c r="O145" s="226"/>
    </row>
    <row r="146" spans="1:15" ht="33.75" customHeight="1">
      <c r="A146" s="226"/>
      <c r="B146" s="620" t="s">
        <v>305</v>
      </c>
      <c r="C146" s="620"/>
      <c r="D146" s="226"/>
      <c r="E146" s="226"/>
      <c r="F146" s="226"/>
      <c r="G146" s="226"/>
      <c r="H146" s="226"/>
      <c r="I146" s="226"/>
      <c r="J146" s="226"/>
      <c r="K146" s="226"/>
      <c r="L146" s="226"/>
      <c r="M146" s="226"/>
      <c r="N146" s="247"/>
      <c r="O146" s="226"/>
    </row>
    <row r="147" spans="1:15" ht="43.5" customHeight="1">
      <c r="A147" s="226"/>
      <c r="B147" s="620" t="s">
        <v>306</v>
      </c>
      <c r="C147" s="620"/>
      <c r="D147" s="226"/>
      <c r="E147" s="226"/>
      <c r="F147" s="226"/>
      <c r="G147" s="226"/>
      <c r="H147" s="226"/>
      <c r="I147" s="226"/>
      <c r="J147" s="226"/>
      <c r="K147" s="226"/>
      <c r="L147" s="226"/>
      <c r="M147" s="226"/>
      <c r="N147" s="247"/>
      <c r="O147" s="226"/>
    </row>
    <row r="148" spans="1:15">
      <c r="A148" s="226"/>
      <c r="D148" s="226"/>
      <c r="E148" s="226"/>
      <c r="F148" s="226"/>
      <c r="G148" s="226"/>
      <c r="H148" s="226"/>
      <c r="I148" s="226"/>
      <c r="J148" s="226"/>
      <c r="K148" s="226"/>
      <c r="L148" s="226"/>
      <c r="M148" s="226"/>
    </row>
    <row r="149" spans="1:15">
      <c r="A149" s="226"/>
      <c r="D149" s="226"/>
      <c r="E149" s="226"/>
      <c r="F149" s="226"/>
      <c r="G149" s="226"/>
      <c r="H149" s="226"/>
      <c r="I149" s="226"/>
      <c r="J149" s="226"/>
      <c r="K149" s="226"/>
      <c r="L149" s="226"/>
      <c r="M149" s="226"/>
    </row>
    <row r="150" spans="1:15">
      <c r="A150" s="226"/>
      <c r="D150" s="226"/>
      <c r="E150" s="226"/>
      <c r="F150" s="226"/>
      <c r="G150" s="226"/>
      <c r="H150" s="226"/>
      <c r="I150" s="226"/>
      <c r="J150" s="226"/>
      <c r="K150" s="226"/>
      <c r="L150" s="226"/>
      <c r="M150" s="226"/>
    </row>
    <row r="151" spans="1:15">
      <c r="D151" s="226"/>
      <c r="E151" s="226"/>
      <c r="F151" s="226"/>
      <c r="G151" s="226"/>
      <c r="H151" s="226"/>
      <c r="I151" s="226"/>
      <c r="J151" s="226"/>
      <c r="K151" s="226"/>
      <c r="L151" s="226"/>
      <c r="M151" s="226"/>
    </row>
    <row r="152" spans="1:15">
      <c r="D152" s="226"/>
      <c r="E152" s="226"/>
      <c r="F152" s="226"/>
      <c r="G152" s="226"/>
      <c r="H152" s="226"/>
      <c r="I152" s="226"/>
      <c r="J152" s="226"/>
      <c r="K152" s="226"/>
      <c r="L152" s="226"/>
      <c r="M152" s="226"/>
    </row>
    <row r="153" spans="1:15">
      <c r="D153" s="226"/>
      <c r="E153" s="226"/>
      <c r="F153" s="226"/>
      <c r="G153" s="226"/>
      <c r="H153" s="226"/>
      <c r="I153" s="226"/>
      <c r="J153" s="226"/>
      <c r="K153" s="226"/>
      <c r="L153" s="226"/>
      <c r="M153" s="226"/>
    </row>
    <row r="154" spans="1:15">
      <c r="D154" s="226"/>
      <c r="E154" s="226"/>
      <c r="F154" s="226"/>
      <c r="G154" s="226"/>
      <c r="H154" s="226"/>
      <c r="I154" s="226"/>
      <c r="J154" s="226"/>
      <c r="K154" s="226"/>
      <c r="L154" s="226"/>
      <c r="M154" s="226"/>
    </row>
    <row r="155" spans="1:15">
      <c r="D155" s="226"/>
      <c r="E155" s="226"/>
      <c r="F155" s="226"/>
      <c r="G155" s="226"/>
      <c r="H155" s="226"/>
      <c r="I155" s="226"/>
      <c r="J155" s="226"/>
      <c r="K155" s="226"/>
      <c r="L155" s="226"/>
      <c r="M155" s="226"/>
    </row>
    <row r="156" spans="1:15">
      <c r="D156" s="226"/>
      <c r="E156" s="226"/>
      <c r="F156" s="226"/>
      <c r="G156" s="226"/>
      <c r="H156" s="226"/>
      <c r="I156" s="226"/>
      <c r="J156" s="226"/>
      <c r="K156" s="226"/>
      <c r="L156" s="226"/>
      <c r="M156" s="226"/>
    </row>
    <row r="157" spans="1:15">
      <c r="D157" s="226"/>
      <c r="E157" s="226"/>
      <c r="F157" s="226"/>
      <c r="G157" s="226"/>
      <c r="H157" s="226"/>
      <c r="I157" s="226"/>
      <c r="J157" s="226"/>
      <c r="K157" s="226"/>
      <c r="L157" s="226"/>
      <c r="M157" s="226"/>
    </row>
    <row r="158" spans="1:15">
      <c r="D158" s="226"/>
      <c r="E158" s="226"/>
      <c r="F158" s="226"/>
      <c r="G158" s="226"/>
      <c r="H158" s="226"/>
      <c r="I158" s="226"/>
      <c r="J158" s="226"/>
      <c r="K158" s="226"/>
      <c r="L158" s="226"/>
      <c r="M158" s="226"/>
    </row>
    <row r="159" spans="1:15">
      <c r="D159" s="226"/>
      <c r="E159" s="226"/>
      <c r="F159" s="226"/>
      <c r="G159" s="226"/>
      <c r="H159" s="226"/>
      <c r="I159" s="226"/>
      <c r="J159" s="226"/>
      <c r="K159" s="226"/>
      <c r="L159" s="226"/>
      <c r="M159" s="226"/>
    </row>
    <row r="160" spans="1:15">
      <c r="D160" s="226"/>
      <c r="E160" s="226"/>
      <c r="F160" s="226"/>
      <c r="G160" s="226"/>
      <c r="H160" s="226"/>
      <c r="I160" s="226"/>
      <c r="J160" s="226"/>
      <c r="K160" s="226"/>
      <c r="L160" s="226"/>
      <c r="M160" s="226"/>
    </row>
    <row r="161" spans="4:13">
      <c r="D161" s="226"/>
      <c r="E161" s="226"/>
      <c r="F161" s="226"/>
      <c r="G161" s="226"/>
      <c r="H161" s="226"/>
      <c r="I161" s="226"/>
      <c r="J161" s="226"/>
      <c r="K161" s="226"/>
      <c r="L161" s="226"/>
      <c r="M161" s="226"/>
    </row>
    <row r="162" spans="4:13">
      <c r="D162" s="226"/>
      <c r="E162" s="226"/>
      <c r="F162" s="226"/>
      <c r="G162" s="226"/>
      <c r="H162" s="226"/>
      <c r="I162" s="226"/>
      <c r="J162" s="226"/>
      <c r="K162" s="226"/>
      <c r="L162" s="226"/>
      <c r="M162" s="226"/>
    </row>
  </sheetData>
  <autoFilter ref="A16:P139">
    <filterColumn colId="1" showButton="0"/>
    <filterColumn colId="5" showButton="0"/>
    <filterColumn colId="6" showButton="0"/>
    <filterColumn colId="7" showButton="0"/>
    <filterColumn colId="8" showButton="0"/>
    <filterColumn colId="10" showButton="0"/>
  </autoFilter>
  <mergeCells count="536">
    <mergeCell ref="A1:L1"/>
    <mergeCell ref="A2:L2"/>
    <mergeCell ref="A8:C9"/>
    <mergeCell ref="D8:J8"/>
    <mergeCell ref="K8:K9"/>
    <mergeCell ref="L8:L9"/>
    <mergeCell ref="H9:J9"/>
    <mergeCell ref="A13:C13"/>
    <mergeCell ref="H13:J13"/>
    <mergeCell ref="A14:C14"/>
    <mergeCell ref="H14:J14"/>
    <mergeCell ref="H15:J15"/>
    <mergeCell ref="B16:C16"/>
    <mergeCell ref="D16:E16"/>
    <mergeCell ref="F16:J16"/>
    <mergeCell ref="A10:C10"/>
    <mergeCell ref="H10:J10"/>
    <mergeCell ref="A11:C11"/>
    <mergeCell ref="H11:J11"/>
    <mergeCell ref="A12:C12"/>
    <mergeCell ref="H12:J12"/>
    <mergeCell ref="K16:L16"/>
    <mergeCell ref="B17:C17"/>
    <mergeCell ref="D17:E17"/>
    <mergeCell ref="F17:J17"/>
    <mergeCell ref="K17:L17"/>
    <mergeCell ref="N17:N20"/>
    <mergeCell ref="B18:C18"/>
    <mergeCell ref="D18:E18"/>
    <mergeCell ref="F18:J18"/>
    <mergeCell ref="K18:L18"/>
    <mergeCell ref="B19:C19"/>
    <mergeCell ref="D19:E19"/>
    <mergeCell ref="F19:J19"/>
    <mergeCell ref="K19:L19"/>
    <mergeCell ref="B20:C20"/>
    <mergeCell ref="D20:E20"/>
    <mergeCell ref="F20:J20"/>
    <mergeCell ref="K20:L20"/>
    <mergeCell ref="D23:E23"/>
    <mergeCell ref="F23:J23"/>
    <mergeCell ref="K23:L23"/>
    <mergeCell ref="B21:C21"/>
    <mergeCell ref="D21:E21"/>
    <mergeCell ref="F21:J21"/>
    <mergeCell ref="K21:L21"/>
    <mergeCell ref="D27:E27"/>
    <mergeCell ref="F27:J27"/>
    <mergeCell ref="K27:L27"/>
    <mergeCell ref="N21:N23"/>
    <mergeCell ref="B22:C22"/>
    <mergeCell ref="D22:E22"/>
    <mergeCell ref="F22:J22"/>
    <mergeCell ref="K22:L22"/>
    <mergeCell ref="B23:C23"/>
    <mergeCell ref="B28:C28"/>
    <mergeCell ref="D28:E28"/>
    <mergeCell ref="F28:J28"/>
    <mergeCell ref="K28:L28"/>
    <mergeCell ref="N24:N28"/>
    <mergeCell ref="B25:C25"/>
    <mergeCell ref="D25:E25"/>
    <mergeCell ref="F25:J25"/>
    <mergeCell ref="K25:L25"/>
    <mergeCell ref="B26:C26"/>
    <mergeCell ref="D26:E26"/>
    <mergeCell ref="F26:J26"/>
    <mergeCell ref="K26:L26"/>
    <mergeCell ref="B27:C27"/>
    <mergeCell ref="B24:C24"/>
    <mergeCell ref="D24:E24"/>
    <mergeCell ref="F24:J24"/>
    <mergeCell ref="K24:L24"/>
    <mergeCell ref="B29:C29"/>
    <mergeCell ref="D29:E29"/>
    <mergeCell ref="F29:J29"/>
    <mergeCell ref="K29:L29"/>
    <mergeCell ref="N29:N33"/>
    <mergeCell ref="B30:C30"/>
    <mergeCell ref="D30:E30"/>
    <mergeCell ref="F30:J30"/>
    <mergeCell ref="K30:L30"/>
    <mergeCell ref="B31:C31"/>
    <mergeCell ref="B33:C33"/>
    <mergeCell ref="D33:E33"/>
    <mergeCell ref="F33:J33"/>
    <mergeCell ref="K33:L33"/>
    <mergeCell ref="B34:C34"/>
    <mergeCell ref="D34:E34"/>
    <mergeCell ref="F34:J34"/>
    <mergeCell ref="K34:L34"/>
    <mergeCell ref="D31:E31"/>
    <mergeCell ref="F31:J31"/>
    <mergeCell ref="K31:L31"/>
    <mergeCell ref="B32:C32"/>
    <mergeCell ref="D32:E32"/>
    <mergeCell ref="F32:J32"/>
    <mergeCell ref="K32:L32"/>
    <mergeCell ref="B39:C39"/>
    <mergeCell ref="D39:E39"/>
    <mergeCell ref="F39:J39"/>
    <mergeCell ref="K39:L39"/>
    <mergeCell ref="B40:C40"/>
    <mergeCell ref="D40:E40"/>
    <mergeCell ref="F40:J40"/>
    <mergeCell ref="K40:L40"/>
    <mergeCell ref="D37:E37"/>
    <mergeCell ref="F37:J37"/>
    <mergeCell ref="K37:L37"/>
    <mergeCell ref="B38:C38"/>
    <mergeCell ref="D38:E38"/>
    <mergeCell ref="F38:J38"/>
    <mergeCell ref="K38:L38"/>
    <mergeCell ref="B37:C37"/>
    <mergeCell ref="N43:N45"/>
    <mergeCell ref="B44:C44"/>
    <mergeCell ref="D44:E44"/>
    <mergeCell ref="F44:J44"/>
    <mergeCell ref="K44:L44"/>
    <mergeCell ref="B45:C45"/>
    <mergeCell ref="B41:C41"/>
    <mergeCell ref="D41:E41"/>
    <mergeCell ref="F41:J41"/>
    <mergeCell ref="K41:L41"/>
    <mergeCell ref="B42:C42"/>
    <mergeCell ref="D42:E42"/>
    <mergeCell ref="F42:J42"/>
    <mergeCell ref="K42:L42"/>
    <mergeCell ref="N34:N42"/>
    <mergeCell ref="B35:C35"/>
    <mergeCell ref="D35:E35"/>
    <mergeCell ref="F35:J35"/>
    <mergeCell ref="K35:L35"/>
    <mergeCell ref="B36:C36"/>
    <mergeCell ref="D36:E36"/>
    <mergeCell ref="F36:J36"/>
    <mergeCell ref="K36:L36"/>
    <mergeCell ref="D45:E45"/>
    <mergeCell ref="F45:J45"/>
    <mergeCell ref="K45:L45"/>
    <mergeCell ref="B46:C46"/>
    <mergeCell ref="D46:E46"/>
    <mergeCell ref="F46:J46"/>
    <mergeCell ref="K46:L46"/>
    <mergeCell ref="B43:C43"/>
    <mergeCell ref="D43:E43"/>
    <mergeCell ref="F43:J43"/>
    <mergeCell ref="K43:L43"/>
    <mergeCell ref="N46:N48"/>
    <mergeCell ref="B47:C47"/>
    <mergeCell ref="D47:E47"/>
    <mergeCell ref="F47:J47"/>
    <mergeCell ref="K47:L47"/>
    <mergeCell ref="B48:C48"/>
    <mergeCell ref="D48:E48"/>
    <mergeCell ref="F48:J48"/>
    <mergeCell ref="K48:L48"/>
    <mergeCell ref="B49:C49"/>
    <mergeCell ref="D49:E49"/>
    <mergeCell ref="F49:J49"/>
    <mergeCell ref="K49:L49"/>
    <mergeCell ref="N49:N53"/>
    <mergeCell ref="B50:C50"/>
    <mergeCell ref="D50:E50"/>
    <mergeCell ref="F50:J50"/>
    <mergeCell ref="K50:L50"/>
    <mergeCell ref="B51:C51"/>
    <mergeCell ref="B53:C53"/>
    <mergeCell ref="D53:E53"/>
    <mergeCell ref="F53:J53"/>
    <mergeCell ref="K53:L53"/>
    <mergeCell ref="B54:C54"/>
    <mergeCell ref="D54:E54"/>
    <mergeCell ref="F54:J54"/>
    <mergeCell ref="K54:L54"/>
    <mergeCell ref="D51:E51"/>
    <mergeCell ref="F51:J51"/>
    <mergeCell ref="K51:L51"/>
    <mergeCell ref="B52:C52"/>
    <mergeCell ref="D52:E52"/>
    <mergeCell ref="F52:J52"/>
    <mergeCell ref="K52:L52"/>
    <mergeCell ref="D57:E57"/>
    <mergeCell ref="F57:J57"/>
    <mergeCell ref="K57:L57"/>
    <mergeCell ref="B58:C58"/>
    <mergeCell ref="D58:E58"/>
    <mergeCell ref="F58:J58"/>
    <mergeCell ref="K58:L58"/>
    <mergeCell ref="N54:N62"/>
    <mergeCell ref="B55:C55"/>
    <mergeCell ref="D55:E55"/>
    <mergeCell ref="F55:J55"/>
    <mergeCell ref="K55:L55"/>
    <mergeCell ref="B56:C56"/>
    <mergeCell ref="D56:E56"/>
    <mergeCell ref="F56:J56"/>
    <mergeCell ref="K56:L56"/>
    <mergeCell ref="B57:C57"/>
    <mergeCell ref="B61:C61"/>
    <mergeCell ref="D61:E61"/>
    <mergeCell ref="F61:J61"/>
    <mergeCell ref="K61:L61"/>
    <mergeCell ref="B62:C62"/>
    <mergeCell ref="D62:E62"/>
    <mergeCell ref="F62:J62"/>
    <mergeCell ref="K62:L62"/>
    <mergeCell ref="B59:C59"/>
    <mergeCell ref="D59:E59"/>
    <mergeCell ref="F59:J59"/>
    <mergeCell ref="K59:L59"/>
    <mergeCell ref="B60:C60"/>
    <mergeCell ref="D60:E60"/>
    <mergeCell ref="F60:J60"/>
    <mergeCell ref="K60:L60"/>
    <mergeCell ref="B63:C63"/>
    <mergeCell ref="D63:E63"/>
    <mergeCell ref="F63:J63"/>
    <mergeCell ref="K63:L63"/>
    <mergeCell ref="N63:N74"/>
    <mergeCell ref="B64:C64"/>
    <mergeCell ref="D64:E64"/>
    <mergeCell ref="F64:J64"/>
    <mergeCell ref="K64:L64"/>
    <mergeCell ref="B65:C65"/>
    <mergeCell ref="B67:C67"/>
    <mergeCell ref="D67:E67"/>
    <mergeCell ref="F67:J67"/>
    <mergeCell ref="K67:L67"/>
    <mergeCell ref="B68:C68"/>
    <mergeCell ref="D68:E68"/>
    <mergeCell ref="F68:J68"/>
    <mergeCell ref="K68:L68"/>
    <mergeCell ref="D65:E65"/>
    <mergeCell ref="F65:J65"/>
    <mergeCell ref="K65:L65"/>
    <mergeCell ref="B66:C66"/>
    <mergeCell ref="D66:E66"/>
    <mergeCell ref="F66:J66"/>
    <mergeCell ref="K66:L66"/>
    <mergeCell ref="B71:C71"/>
    <mergeCell ref="D71:E71"/>
    <mergeCell ref="F71:J71"/>
    <mergeCell ref="K71:L71"/>
    <mergeCell ref="B72:C72"/>
    <mergeCell ref="D72:E72"/>
    <mergeCell ref="F72:J72"/>
    <mergeCell ref="K72:L72"/>
    <mergeCell ref="B69:C69"/>
    <mergeCell ref="D69:E69"/>
    <mergeCell ref="F69:J69"/>
    <mergeCell ref="K69:L69"/>
    <mergeCell ref="B70:C70"/>
    <mergeCell ref="D70:E70"/>
    <mergeCell ref="F70:J70"/>
    <mergeCell ref="K70:L70"/>
    <mergeCell ref="N75:N78"/>
    <mergeCell ref="B76:C76"/>
    <mergeCell ref="D76:E76"/>
    <mergeCell ref="F76:J76"/>
    <mergeCell ref="K76:L76"/>
    <mergeCell ref="B77:C77"/>
    <mergeCell ref="B73:C73"/>
    <mergeCell ref="D73:E73"/>
    <mergeCell ref="F73:J73"/>
    <mergeCell ref="K73:L73"/>
    <mergeCell ref="B74:C74"/>
    <mergeCell ref="D74:E74"/>
    <mergeCell ref="F74:J74"/>
    <mergeCell ref="K74:L74"/>
    <mergeCell ref="D77:E77"/>
    <mergeCell ref="F77:J77"/>
    <mergeCell ref="K77:L77"/>
    <mergeCell ref="B78:C78"/>
    <mergeCell ref="D78:E78"/>
    <mergeCell ref="F78:J78"/>
    <mergeCell ref="K78:L78"/>
    <mergeCell ref="B75:C75"/>
    <mergeCell ref="D75:E75"/>
    <mergeCell ref="F75:J75"/>
    <mergeCell ref="K75:L75"/>
    <mergeCell ref="B79:C79"/>
    <mergeCell ref="D79:E79"/>
    <mergeCell ref="F79:J79"/>
    <mergeCell ref="K79:L79"/>
    <mergeCell ref="N79:N96"/>
    <mergeCell ref="B80:C80"/>
    <mergeCell ref="D80:E80"/>
    <mergeCell ref="F80:J80"/>
    <mergeCell ref="K80:L80"/>
    <mergeCell ref="B81:C81"/>
    <mergeCell ref="B83:C83"/>
    <mergeCell ref="D83:E83"/>
    <mergeCell ref="F83:J83"/>
    <mergeCell ref="K83:L83"/>
    <mergeCell ref="B84:C84"/>
    <mergeCell ref="D84:E84"/>
    <mergeCell ref="F84:J84"/>
    <mergeCell ref="K84:L84"/>
    <mergeCell ref="D81:E81"/>
    <mergeCell ref="F81:J81"/>
    <mergeCell ref="K81:L81"/>
    <mergeCell ref="B82:C82"/>
    <mergeCell ref="D82:E82"/>
    <mergeCell ref="F82:J82"/>
    <mergeCell ref="K82:L82"/>
    <mergeCell ref="B87:C87"/>
    <mergeCell ref="D87:E87"/>
    <mergeCell ref="F87:J87"/>
    <mergeCell ref="K87:L87"/>
    <mergeCell ref="B88:C88"/>
    <mergeCell ref="D88:E88"/>
    <mergeCell ref="F88:J88"/>
    <mergeCell ref="K88:L88"/>
    <mergeCell ref="B85:C85"/>
    <mergeCell ref="D85:E85"/>
    <mergeCell ref="F85:J85"/>
    <mergeCell ref="K85:L85"/>
    <mergeCell ref="B86:C86"/>
    <mergeCell ref="D86:E86"/>
    <mergeCell ref="F86:J86"/>
    <mergeCell ref="K86:L86"/>
    <mergeCell ref="B91:C91"/>
    <mergeCell ref="D91:E91"/>
    <mergeCell ref="F91:J91"/>
    <mergeCell ref="K91:L91"/>
    <mergeCell ref="B92:C92"/>
    <mergeCell ref="D92:E92"/>
    <mergeCell ref="F92:J92"/>
    <mergeCell ref="K92:L92"/>
    <mergeCell ref="B89:C89"/>
    <mergeCell ref="D89:E89"/>
    <mergeCell ref="F89:J89"/>
    <mergeCell ref="K89:L89"/>
    <mergeCell ref="B90:C90"/>
    <mergeCell ref="D90:E90"/>
    <mergeCell ref="F90:J90"/>
    <mergeCell ref="K90:L90"/>
    <mergeCell ref="B95:C95"/>
    <mergeCell ref="D95:E95"/>
    <mergeCell ref="F95:J95"/>
    <mergeCell ref="K95:L95"/>
    <mergeCell ref="B96:C96"/>
    <mergeCell ref="D96:E96"/>
    <mergeCell ref="F96:J96"/>
    <mergeCell ref="K96:L96"/>
    <mergeCell ref="B93:C93"/>
    <mergeCell ref="D93:E93"/>
    <mergeCell ref="F93:J93"/>
    <mergeCell ref="K93:L93"/>
    <mergeCell ref="B94:C94"/>
    <mergeCell ref="D94:E94"/>
    <mergeCell ref="F94:J94"/>
    <mergeCell ref="K94:L94"/>
    <mergeCell ref="B97:C97"/>
    <mergeCell ref="D97:E97"/>
    <mergeCell ref="F97:J97"/>
    <mergeCell ref="K97:L97"/>
    <mergeCell ref="N97:N109"/>
    <mergeCell ref="B98:C98"/>
    <mergeCell ref="D98:E98"/>
    <mergeCell ref="F98:J98"/>
    <mergeCell ref="K98:L98"/>
    <mergeCell ref="B99:C99"/>
    <mergeCell ref="B101:C101"/>
    <mergeCell ref="D101:E101"/>
    <mergeCell ref="F101:J101"/>
    <mergeCell ref="K101:L101"/>
    <mergeCell ref="B102:C102"/>
    <mergeCell ref="D102:E102"/>
    <mergeCell ref="F102:J102"/>
    <mergeCell ref="K102:L102"/>
    <mergeCell ref="D99:E99"/>
    <mergeCell ref="F99:J99"/>
    <mergeCell ref="K99:L99"/>
    <mergeCell ref="B100:C100"/>
    <mergeCell ref="D100:E100"/>
    <mergeCell ref="F100:J100"/>
    <mergeCell ref="K100:L100"/>
    <mergeCell ref="B105:C105"/>
    <mergeCell ref="D105:E105"/>
    <mergeCell ref="F105:J105"/>
    <mergeCell ref="K105:L105"/>
    <mergeCell ref="B106:C106"/>
    <mergeCell ref="D106:E106"/>
    <mergeCell ref="F106:J106"/>
    <mergeCell ref="K106:L106"/>
    <mergeCell ref="B103:C103"/>
    <mergeCell ref="D103:E103"/>
    <mergeCell ref="F103:J103"/>
    <mergeCell ref="K103:L103"/>
    <mergeCell ref="B104:C104"/>
    <mergeCell ref="D104:E104"/>
    <mergeCell ref="F104:J104"/>
    <mergeCell ref="K104:L104"/>
    <mergeCell ref="B109:C109"/>
    <mergeCell ref="D109:E109"/>
    <mergeCell ref="F109:J109"/>
    <mergeCell ref="K109:L109"/>
    <mergeCell ref="B110:C110"/>
    <mergeCell ref="D110:E110"/>
    <mergeCell ref="F110:J110"/>
    <mergeCell ref="K110:L110"/>
    <mergeCell ref="B107:C107"/>
    <mergeCell ref="D107:E107"/>
    <mergeCell ref="F107:J107"/>
    <mergeCell ref="K107:L107"/>
    <mergeCell ref="B108:C108"/>
    <mergeCell ref="D108:E108"/>
    <mergeCell ref="F108:J108"/>
    <mergeCell ref="K108:L108"/>
    <mergeCell ref="D113:E113"/>
    <mergeCell ref="F113:J113"/>
    <mergeCell ref="K113:L113"/>
    <mergeCell ref="B114:C114"/>
    <mergeCell ref="D114:E114"/>
    <mergeCell ref="F114:J114"/>
    <mergeCell ref="K114:L114"/>
    <mergeCell ref="N110:N117"/>
    <mergeCell ref="B111:C111"/>
    <mergeCell ref="D111:E111"/>
    <mergeCell ref="F111:J111"/>
    <mergeCell ref="K111:L111"/>
    <mergeCell ref="B112:C112"/>
    <mergeCell ref="D112:E112"/>
    <mergeCell ref="F112:J112"/>
    <mergeCell ref="K112:L112"/>
    <mergeCell ref="B113:C113"/>
    <mergeCell ref="B117:C117"/>
    <mergeCell ref="D117:E117"/>
    <mergeCell ref="F117:J117"/>
    <mergeCell ref="K117:L117"/>
    <mergeCell ref="B118:C118"/>
    <mergeCell ref="D118:E118"/>
    <mergeCell ref="F118:J118"/>
    <mergeCell ref="K118:L118"/>
    <mergeCell ref="B115:C115"/>
    <mergeCell ref="D115:E115"/>
    <mergeCell ref="F115:J115"/>
    <mergeCell ref="K115:L115"/>
    <mergeCell ref="B116:C116"/>
    <mergeCell ref="D116:E116"/>
    <mergeCell ref="F116:J116"/>
    <mergeCell ref="K116:L116"/>
    <mergeCell ref="N118:N124"/>
    <mergeCell ref="B119:C119"/>
    <mergeCell ref="D119:E119"/>
    <mergeCell ref="F119:J119"/>
    <mergeCell ref="K119:L119"/>
    <mergeCell ref="B120:C120"/>
    <mergeCell ref="D120:E120"/>
    <mergeCell ref="F120:J120"/>
    <mergeCell ref="K120:L120"/>
    <mergeCell ref="B121:C121"/>
    <mergeCell ref="B123:C123"/>
    <mergeCell ref="D123:E123"/>
    <mergeCell ref="F123:J123"/>
    <mergeCell ref="K123:L123"/>
    <mergeCell ref="B124:C124"/>
    <mergeCell ref="D124:E124"/>
    <mergeCell ref="F124:J124"/>
    <mergeCell ref="K124:L124"/>
    <mergeCell ref="D121:E121"/>
    <mergeCell ref="F121:J121"/>
    <mergeCell ref="K121:L121"/>
    <mergeCell ref="B122:C122"/>
    <mergeCell ref="D122:E122"/>
    <mergeCell ref="F122:J122"/>
    <mergeCell ref="K122:L122"/>
    <mergeCell ref="B125:C125"/>
    <mergeCell ref="D125:E125"/>
    <mergeCell ref="F125:J125"/>
    <mergeCell ref="K125:L125"/>
    <mergeCell ref="N125:N132"/>
    <mergeCell ref="B126:C126"/>
    <mergeCell ref="D126:E126"/>
    <mergeCell ref="F126:J126"/>
    <mergeCell ref="K126:L126"/>
    <mergeCell ref="B127:C127"/>
    <mergeCell ref="B129:C129"/>
    <mergeCell ref="D129:E129"/>
    <mergeCell ref="F129:J129"/>
    <mergeCell ref="K129:L129"/>
    <mergeCell ref="B130:C130"/>
    <mergeCell ref="D130:E130"/>
    <mergeCell ref="F130:J130"/>
    <mergeCell ref="K130:L130"/>
    <mergeCell ref="D127:E127"/>
    <mergeCell ref="F127:J127"/>
    <mergeCell ref="K127:L127"/>
    <mergeCell ref="B128:C128"/>
    <mergeCell ref="D128:E128"/>
    <mergeCell ref="F128:J128"/>
    <mergeCell ref="K128:L128"/>
    <mergeCell ref="B133:C133"/>
    <mergeCell ref="D133:E133"/>
    <mergeCell ref="F133:J133"/>
    <mergeCell ref="K133:L133"/>
    <mergeCell ref="B134:C134"/>
    <mergeCell ref="D134:E134"/>
    <mergeCell ref="F134:J134"/>
    <mergeCell ref="K134:L134"/>
    <mergeCell ref="B131:C131"/>
    <mergeCell ref="D131:E131"/>
    <mergeCell ref="F131:J131"/>
    <mergeCell ref="K131:L131"/>
    <mergeCell ref="B132:C132"/>
    <mergeCell ref="D132:E132"/>
    <mergeCell ref="F132:J132"/>
    <mergeCell ref="K132:L132"/>
    <mergeCell ref="D137:E137"/>
    <mergeCell ref="F137:J137"/>
    <mergeCell ref="K137:L137"/>
    <mergeCell ref="B138:C138"/>
    <mergeCell ref="D138:E138"/>
    <mergeCell ref="F138:J138"/>
    <mergeCell ref="K138:L138"/>
    <mergeCell ref="N134:N137"/>
    <mergeCell ref="B135:C135"/>
    <mergeCell ref="D135:E135"/>
    <mergeCell ref="F135:J135"/>
    <mergeCell ref="K135:L135"/>
    <mergeCell ref="B136:C136"/>
    <mergeCell ref="D136:E136"/>
    <mergeCell ref="F136:J136"/>
    <mergeCell ref="K136:L136"/>
    <mergeCell ref="B137:C137"/>
    <mergeCell ref="B145:C145"/>
    <mergeCell ref="B146:C146"/>
    <mergeCell ref="B147:C147"/>
    <mergeCell ref="B139:C139"/>
    <mergeCell ref="D139:E139"/>
    <mergeCell ref="F139:J139"/>
    <mergeCell ref="K139:L139"/>
    <mergeCell ref="B143:C143"/>
    <mergeCell ref="B144:C144"/>
  </mergeCells>
  <phoneticPr fontId="43" type="noConversion"/>
  <printOptions horizontalCentered="1"/>
  <pageMargins left="0.47244094488188981" right="0.31496062992125984" top="0.54" bottom="0.35" header="0.51181102362204722" footer="0.21"/>
  <pageSetup paperSize="9" scale="72" fitToHeight="50" orientation="landscape" blackAndWhite="1" cellComments="atEnd"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7030A0"/>
    <pageSetUpPr fitToPage="1"/>
  </sheetPr>
  <dimension ref="A1:O162"/>
  <sheetViews>
    <sheetView view="pageBreakPreview" topLeftCell="A123" zoomScale="110" zoomScaleNormal="120" zoomScaleSheetLayoutView="110" workbookViewId="0">
      <selection activeCell="B17" sqref="B17:C139"/>
    </sheetView>
  </sheetViews>
  <sheetFormatPr defaultColWidth="9" defaultRowHeight="13.8" outlineLevelRow="1"/>
  <cols>
    <col min="1" max="1" width="7.33203125" style="352" customWidth="1"/>
    <col min="2" max="2" width="42.88671875" style="352" customWidth="1"/>
    <col min="3" max="3" width="34.6640625" style="352" customWidth="1"/>
    <col min="4" max="4" width="5.33203125" style="352" customWidth="1"/>
    <col min="5" max="5" width="7.33203125" style="352" customWidth="1"/>
    <col min="6" max="10" width="4" style="352" customWidth="1"/>
    <col min="11" max="11" width="3.88671875" style="352" customWidth="1"/>
    <col min="12" max="12" width="4.77734375" style="373" customWidth="1"/>
    <col min="13" max="13" width="10" style="351" customWidth="1"/>
    <col min="14" max="14" width="45.44140625" style="351" customWidth="1"/>
    <col min="15" max="15" width="17.44140625" style="352" customWidth="1"/>
    <col min="16" max="16384" width="9" style="352"/>
  </cols>
  <sheetData>
    <row r="1" spans="1:15" ht="20.100000000000001" customHeight="1">
      <c r="A1" s="670" t="s">
        <v>97</v>
      </c>
      <c r="B1" s="670"/>
      <c r="C1" s="670"/>
      <c r="D1" s="670"/>
      <c r="E1" s="670"/>
      <c r="F1" s="670"/>
      <c r="G1" s="670"/>
      <c r="H1" s="670"/>
      <c r="I1" s="670"/>
      <c r="J1" s="670"/>
      <c r="K1" s="670"/>
      <c r="L1" s="670"/>
    </row>
    <row r="2" spans="1:15" ht="24.9" customHeight="1">
      <c r="A2" s="613" t="s">
        <v>904</v>
      </c>
      <c r="B2" s="671"/>
      <c r="C2" s="671"/>
      <c r="D2" s="671"/>
      <c r="E2" s="671"/>
      <c r="F2" s="671"/>
      <c r="G2" s="671"/>
      <c r="H2" s="671"/>
      <c r="I2" s="671"/>
      <c r="J2" s="671"/>
      <c r="K2" s="671"/>
      <c r="L2" s="671"/>
    </row>
    <row r="3" spans="1:15" ht="20.100000000000001" customHeight="1">
      <c r="A3" s="353" t="str">
        <f>[2]底稿目录!A2</f>
        <v>客户名称：</v>
      </c>
      <c r="B3" s="353"/>
      <c r="C3" s="144" t="str">
        <f>[2]底稿目录!A4</f>
        <v>编制人：</v>
      </c>
      <c r="D3" s="353"/>
      <c r="E3" s="354" t="str">
        <f>[2]底稿目录!A5</f>
        <v>编制日期：</v>
      </c>
      <c r="F3" s="354"/>
      <c r="G3" s="353"/>
      <c r="H3" s="353"/>
      <c r="I3" s="353"/>
      <c r="J3" s="353"/>
      <c r="K3" s="353" t="s">
        <v>99</v>
      </c>
      <c r="L3" s="355" t="s">
        <v>905</v>
      </c>
    </row>
    <row r="4" spans="1:15" ht="20.100000000000001" customHeight="1">
      <c r="A4" s="356" t="str">
        <f>[2]底稿目录!A3</f>
        <v>截止日：2022年12月31日</v>
      </c>
      <c r="B4" s="353"/>
      <c r="C4" s="149" t="str">
        <f>[2]底稿目录!A6</f>
        <v>复核人：</v>
      </c>
      <c r="D4" s="353"/>
      <c r="E4" s="354" t="str">
        <f>[2]底稿目录!A7</f>
        <v>复核日期：</v>
      </c>
      <c r="F4" s="354"/>
      <c r="G4" s="353"/>
      <c r="H4" s="353"/>
      <c r="I4" s="353"/>
      <c r="J4" s="353"/>
      <c r="K4" s="353" t="s">
        <v>906</v>
      </c>
      <c r="L4" s="355"/>
    </row>
    <row r="5" spans="1:15" ht="20.100000000000001" customHeight="1">
      <c r="A5" s="357" t="s">
        <v>101</v>
      </c>
      <c r="B5" s="353"/>
      <c r="C5" s="353"/>
      <c r="D5" s="353"/>
      <c r="E5" s="353"/>
      <c r="F5" s="353"/>
      <c r="G5" s="353"/>
      <c r="H5" s="353"/>
      <c r="I5" s="353"/>
      <c r="J5" s="353"/>
      <c r="K5" s="353"/>
      <c r="L5" s="355"/>
    </row>
    <row r="6" spans="1:15" ht="20.100000000000001" customHeight="1">
      <c r="A6" s="358" t="s">
        <v>907</v>
      </c>
      <c r="B6" s="353"/>
      <c r="C6" s="353"/>
      <c r="D6" s="353"/>
      <c r="E6" s="353"/>
      <c r="F6" s="353"/>
      <c r="G6" s="353"/>
      <c r="H6" s="353"/>
      <c r="I6" s="353"/>
      <c r="J6" s="353"/>
      <c r="K6" s="353"/>
      <c r="L6" s="355"/>
    </row>
    <row r="7" spans="1:15" ht="20.100000000000001" customHeight="1">
      <c r="A7" s="359" t="s">
        <v>908</v>
      </c>
      <c r="B7" s="360"/>
      <c r="C7" s="360"/>
      <c r="D7" s="353"/>
      <c r="E7" s="353"/>
      <c r="F7" s="353"/>
      <c r="G7" s="353"/>
      <c r="H7" s="353"/>
      <c r="I7" s="353"/>
      <c r="J7" s="353"/>
      <c r="K7" s="353"/>
      <c r="L7" s="355"/>
      <c r="M7" s="361"/>
      <c r="N7" s="361"/>
    </row>
    <row r="8" spans="1:15" ht="20.100000000000001" customHeight="1">
      <c r="A8" s="680" t="s">
        <v>909</v>
      </c>
      <c r="B8" s="680"/>
      <c r="C8" s="680"/>
      <c r="D8" s="681" t="s">
        <v>105</v>
      </c>
      <c r="E8" s="681"/>
      <c r="F8" s="681"/>
      <c r="G8" s="681"/>
      <c r="H8" s="681"/>
      <c r="I8" s="681"/>
      <c r="J8" s="681"/>
      <c r="K8" s="680" t="s">
        <v>910</v>
      </c>
      <c r="L8" s="680" t="s">
        <v>911</v>
      </c>
      <c r="M8" s="361"/>
      <c r="N8" s="361"/>
    </row>
    <row r="9" spans="1:15" ht="30.75" customHeight="1">
      <c r="A9" s="680"/>
      <c r="B9" s="680"/>
      <c r="C9" s="680"/>
      <c r="D9" s="362" t="s">
        <v>39</v>
      </c>
      <c r="E9" s="362" t="s">
        <v>40</v>
      </c>
      <c r="F9" s="362" t="s">
        <v>41</v>
      </c>
      <c r="G9" s="362" t="s">
        <v>912</v>
      </c>
      <c r="H9" s="682" t="s">
        <v>42</v>
      </c>
      <c r="I9" s="683"/>
      <c r="J9" s="684"/>
      <c r="K9" s="680"/>
      <c r="L9" s="680"/>
      <c r="M9" s="361"/>
      <c r="N9" s="361"/>
    </row>
    <row r="10" spans="1:15" ht="27" customHeight="1">
      <c r="A10" s="694" t="s">
        <v>913</v>
      </c>
      <c r="B10" s="694"/>
      <c r="C10" s="694"/>
      <c r="D10" s="363" t="s">
        <v>110</v>
      </c>
      <c r="E10" s="364"/>
      <c r="F10" s="364"/>
      <c r="G10" s="364"/>
      <c r="H10" s="682"/>
      <c r="I10" s="683"/>
      <c r="J10" s="684"/>
      <c r="K10" s="365"/>
      <c r="L10" s="366"/>
      <c r="M10" s="361"/>
      <c r="N10" s="361"/>
    </row>
    <row r="11" spans="1:15" ht="27" customHeight="1">
      <c r="A11" s="694" t="s">
        <v>914</v>
      </c>
      <c r="B11" s="694"/>
      <c r="C11" s="694"/>
      <c r="D11" s="364"/>
      <c r="E11" s="363" t="s">
        <v>110</v>
      </c>
      <c r="F11" s="364"/>
      <c r="G11" s="364"/>
      <c r="H11" s="682"/>
      <c r="I11" s="683"/>
      <c r="J11" s="684"/>
      <c r="K11" s="365"/>
      <c r="L11" s="366"/>
      <c r="M11" s="361"/>
      <c r="N11" s="361"/>
    </row>
    <row r="12" spans="1:15" ht="25.5" customHeight="1">
      <c r="A12" s="694" t="s">
        <v>915</v>
      </c>
      <c r="B12" s="694"/>
      <c r="C12" s="694"/>
      <c r="D12" s="364"/>
      <c r="E12" s="364"/>
      <c r="F12" s="363" t="s">
        <v>110</v>
      </c>
      <c r="G12" s="364"/>
      <c r="H12" s="682"/>
      <c r="I12" s="683"/>
      <c r="J12" s="684"/>
      <c r="K12" s="365"/>
      <c r="L12" s="366"/>
      <c r="M12" s="361"/>
      <c r="N12" s="361"/>
    </row>
    <row r="13" spans="1:15" ht="25.5" customHeight="1">
      <c r="A13" s="688" t="s">
        <v>916</v>
      </c>
      <c r="B13" s="688"/>
      <c r="C13" s="688"/>
      <c r="D13" s="364"/>
      <c r="E13" s="364"/>
      <c r="F13" s="364"/>
      <c r="G13" s="363" t="s">
        <v>110</v>
      </c>
      <c r="H13" s="682"/>
      <c r="I13" s="683"/>
      <c r="J13" s="684"/>
      <c r="K13" s="365"/>
      <c r="L13" s="366"/>
      <c r="M13" s="361"/>
      <c r="N13" s="361"/>
    </row>
    <row r="14" spans="1:15" ht="25.5" customHeight="1">
      <c r="A14" s="688" t="s">
        <v>917</v>
      </c>
      <c r="B14" s="688"/>
      <c r="C14" s="688"/>
      <c r="D14" s="364"/>
      <c r="E14" s="364"/>
      <c r="F14" s="364"/>
      <c r="G14" s="364"/>
      <c r="H14" s="682" t="s">
        <v>110</v>
      </c>
      <c r="I14" s="683"/>
      <c r="J14" s="684"/>
      <c r="K14" s="365"/>
      <c r="L14" s="366"/>
      <c r="M14" s="361"/>
      <c r="N14" s="361"/>
    </row>
    <row r="15" spans="1:15" ht="20.100000000000001" customHeight="1">
      <c r="A15" s="359" t="s">
        <v>918</v>
      </c>
      <c r="D15" s="364"/>
      <c r="E15" s="364"/>
      <c r="F15" s="364"/>
      <c r="G15" s="364"/>
      <c r="H15" s="682"/>
      <c r="I15" s="683"/>
      <c r="J15" s="684"/>
      <c r="K15" s="365"/>
      <c r="L15" s="366"/>
      <c r="M15" s="361"/>
      <c r="N15" s="361"/>
    </row>
    <row r="16" spans="1:15" ht="19.95" customHeight="1">
      <c r="A16" s="367" t="s">
        <v>919</v>
      </c>
      <c r="B16" s="689" t="s">
        <v>117</v>
      </c>
      <c r="C16" s="689"/>
      <c r="D16" s="690" t="s">
        <v>920</v>
      </c>
      <c r="E16" s="691"/>
      <c r="F16" s="692" t="s">
        <v>921</v>
      </c>
      <c r="G16" s="693"/>
      <c r="H16" s="693"/>
      <c r="I16" s="693"/>
      <c r="J16" s="693"/>
      <c r="K16" s="689" t="s">
        <v>922</v>
      </c>
      <c r="L16" s="689"/>
      <c r="M16" s="361"/>
      <c r="N16" s="361"/>
      <c r="O16" s="368"/>
    </row>
    <row r="17" spans="1:14" ht="19.95" customHeight="1">
      <c r="A17" s="369" t="s">
        <v>923</v>
      </c>
      <c r="B17" s="695" t="s">
        <v>121</v>
      </c>
      <c r="C17" s="696"/>
      <c r="D17" s="697" t="s">
        <v>924</v>
      </c>
      <c r="E17" s="698"/>
      <c r="F17" s="699" t="s">
        <v>925</v>
      </c>
      <c r="G17" s="699"/>
      <c r="H17" s="699"/>
      <c r="I17" s="699"/>
      <c r="J17" s="699"/>
      <c r="K17" s="700" t="s">
        <v>926</v>
      </c>
      <c r="L17" s="700"/>
      <c r="M17" s="374" t="s">
        <v>1050</v>
      </c>
      <c r="N17" s="720" t="s">
        <v>1049</v>
      </c>
    </row>
    <row r="18" spans="1:14" ht="19.95" customHeight="1">
      <c r="A18" s="369" t="s">
        <v>44</v>
      </c>
      <c r="B18" s="695" t="s">
        <v>927</v>
      </c>
      <c r="C18" s="696"/>
      <c r="D18" s="697" t="s">
        <v>928</v>
      </c>
      <c r="E18" s="698" t="s">
        <v>929</v>
      </c>
      <c r="F18" s="701" t="s">
        <v>930</v>
      </c>
      <c r="G18" s="699"/>
      <c r="H18" s="699"/>
      <c r="I18" s="699"/>
      <c r="J18" s="699"/>
      <c r="K18" s="700" t="s">
        <v>931</v>
      </c>
      <c r="L18" s="700"/>
      <c r="M18" s="374" t="s">
        <v>1050</v>
      </c>
      <c r="N18" s="720"/>
    </row>
    <row r="19" spans="1:14" ht="19.95" customHeight="1" outlineLevel="1">
      <c r="A19" s="371" t="s">
        <v>932</v>
      </c>
      <c r="B19" s="702" t="s">
        <v>191</v>
      </c>
      <c r="C19" s="702"/>
      <c r="D19" s="703" t="s">
        <v>933</v>
      </c>
      <c r="E19" s="704" t="s">
        <v>934</v>
      </c>
      <c r="F19" s="705"/>
      <c r="G19" s="705"/>
      <c r="H19" s="705"/>
      <c r="I19" s="705"/>
      <c r="J19" s="705"/>
      <c r="K19" s="706"/>
      <c r="L19" s="706"/>
      <c r="M19" s="374" t="s">
        <v>1050</v>
      </c>
      <c r="N19" s="720"/>
    </row>
    <row r="20" spans="1:14" ht="19.95" customHeight="1" outlineLevel="1">
      <c r="A20" s="371" t="s">
        <v>935</v>
      </c>
      <c r="B20" s="702" t="s">
        <v>133</v>
      </c>
      <c r="C20" s="702"/>
      <c r="D20" s="703" t="s">
        <v>924</v>
      </c>
      <c r="E20" s="704" t="s">
        <v>936</v>
      </c>
      <c r="F20" s="705"/>
      <c r="G20" s="705"/>
      <c r="H20" s="705"/>
      <c r="I20" s="705"/>
      <c r="J20" s="705"/>
      <c r="K20" s="706"/>
      <c r="L20" s="706"/>
      <c r="M20" s="374" t="s">
        <v>1050</v>
      </c>
      <c r="N20" s="720"/>
    </row>
    <row r="21" spans="1:14" s="230" customFormat="1" ht="19.95" customHeight="1">
      <c r="A21" s="229" t="s">
        <v>937</v>
      </c>
      <c r="B21" s="695" t="s">
        <v>938</v>
      </c>
      <c r="C21" s="696"/>
      <c r="D21" s="697" t="s">
        <v>924</v>
      </c>
      <c r="E21" s="698"/>
      <c r="F21" s="701" t="s">
        <v>925</v>
      </c>
      <c r="G21" s="699"/>
      <c r="H21" s="699"/>
      <c r="I21" s="699"/>
      <c r="J21" s="699"/>
      <c r="K21" s="700" t="s">
        <v>939</v>
      </c>
      <c r="L21" s="700"/>
      <c r="M21" s="374" t="s">
        <v>1050</v>
      </c>
      <c r="N21" s="721" t="s">
        <v>1051</v>
      </c>
    </row>
    <row r="22" spans="1:14" s="232" customFormat="1" ht="19.95" customHeight="1" outlineLevel="1">
      <c r="A22" s="231" t="s">
        <v>940</v>
      </c>
      <c r="B22" s="702" t="s">
        <v>941</v>
      </c>
      <c r="C22" s="702"/>
      <c r="D22" s="703"/>
      <c r="E22" s="704"/>
      <c r="F22" s="705"/>
      <c r="G22" s="705"/>
      <c r="H22" s="705"/>
      <c r="I22" s="705"/>
      <c r="J22" s="705"/>
      <c r="K22" s="706"/>
      <c r="L22" s="706"/>
      <c r="M22" s="374" t="s">
        <v>1050</v>
      </c>
      <c r="N22" s="722"/>
    </row>
    <row r="23" spans="1:14" s="232" customFormat="1" ht="19.95" customHeight="1" outlineLevel="1">
      <c r="A23" s="231" t="s">
        <v>942</v>
      </c>
      <c r="B23" s="702" t="s">
        <v>943</v>
      </c>
      <c r="C23" s="702"/>
      <c r="D23" s="703"/>
      <c r="E23" s="704"/>
      <c r="F23" s="705"/>
      <c r="G23" s="705"/>
      <c r="H23" s="705"/>
      <c r="I23" s="705"/>
      <c r="J23" s="705"/>
      <c r="K23" s="706"/>
      <c r="L23" s="706"/>
      <c r="M23" s="374" t="s">
        <v>1050</v>
      </c>
      <c r="N23" s="722"/>
    </row>
    <row r="24" spans="1:14" ht="19.95" customHeight="1">
      <c r="A24" s="372" t="s">
        <v>944</v>
      </c>
      <c r="B24" s="707" t="s">
        <v>945</v>
      </c>
      <c r="C24" s="696"/>
      <c r="D24" s="697" t="s">
        <v>946</v>
      </c>
      <c r="E24" s="698" t="s">
        <v>934</v>
      </c>
      <c r="F24" s="699" t="s">
        <v>947</v>
      </c>
      <c r="G24" s="699"/>
      <c r="H24" s="699"/>
      <c r="I24" s="699"/>
      <c r="J24" s="699"/>
      <c r="K24" s="700" t="s">
        <v>948</v>
      </c>
      <c r="L24" s="700"/>
      <c r="M24" s="374" t="s">
        <v>1050</v>
      </c>
      <c r="N24" s="721" t="s">
        <v>1054</v>
      </c>
    </row>
    <row r="25" spans="1:14" ht="19.95" customHeight="1" outlineLevel="1">
      <c r="A25" s="234" t="s">
        <v>949</v>
      </c>
      <c r="B25" s="702" t="s">
        <v>950</v>
      </c>
      <c r="C25" s="702"/>
      <c r="D25" s="703" t="s">
        <v>951</v>
      </c>
      <c r="E25" s="704" t="s">
        <v>936</v>
      </c>
      <c r="F25" s="705"/>
      <c r="G25" s="705"/>
      <c r="H25" s="705"/>
      <c r="I25" s="705"/>
      <c r="J25" s="705"/>
      <c r="K25" s="705"/>
      <c r="L25" s="705"/>
      <c r="M25" s="374" t="s">
        <v>1050</v>
      </c>
      <c r="N25" s="722"/>
    </row>
    <row r="26" spans="1:14" ht="19.95" customHeight="1" outlineLevel="1">
      <c r="A26" s="234" t="s">
        <v>952</v>
      </c>
      <c r="B26" s="702" t="s">
        <v>953</v>
      </c>
      <c r="C26" s="702"/>
      <c r="D26" s="703" t="s">
        <v>951</v>
      </c>
      <c r="E26" s="704" t="s">
        <v>934</v>
      </c>
      <c r="F26" s="705"/>
      <c r="G26" s="705"/>
      <c r="H26" s="705"/>
      <c r="I26" s="705"/>
      <c r="J26" s="705"/>
      <c r="K26" s="705"/>
      <c r="L26" s="705"/>
      <c r="M26" s="374" t="s">
        <v>1050</v>
      </c>
      <c r="N26" s="722"/>
    </row>
    <row r="27" spans="1:14" ht="19.95" customHeight="1" outlineLevel="1">
      <c r="A27" s="234" t="s">
        <v>954</v>
      </c>
      <c r="B27" s="702" t="s">
        <v>955</v>
      </c>
      <c r="C27" s="702"/>
      <c r="D27" s="703" t="s">
        <v>956</v>
      </c>
      <c r="E27" s="704" t="s">
        <v>957</v>
      </c>
      <c r="F27" s="705"/>
      <c r="G27" s="705"/>
      <c r="H27" s="705"/>
      <c r="I27" s="705"/>
      <c r="J27" s="705"/>
      <c r="K27" s="705"/>
      <c r="L27" s="705"/>
      <c r="M27" s="374" t="s">
        <v>1050</v>
      </c>
      <c r="N27" s="722"/>
    </row>
    <row r="28" spans="1:14" ht="19.95" customHeight="1" outlineLevel="1">
      <c r="A28" s="234" t="s">
        <v>958</v>
      </c>
      <c r="B28" s="702" t="s">
        <v>959</v>
      </c>
      <c r="C28" s="702"/>
      <c r="D28" s="703" t="s">
        <v>946</v>
      </c>
      <c r="E28" s="704" t="s">
        <v>957</v>
      </c>
      <c r="F28" s="705"/>
      <c r="G28" s="705"/>
      <c r="H28" s="705"/>
      <c r="I28" s="705"/>
      <c r="J28" s="705"/>
      <c r="K28" s="705"/>
      <c r="L28" s="705"/>
      <c r="M28" s="374" t="s">
        <v>1050</v>
      </c>
      <c r="N28" s="722"/>
    </row>
    <row r="29" spans="1:14" ht="19.95" customHeight="1">
      <c r="A29" s="236" t="s">
        <v>960</v>
      </c>
      <c r="B29" s="695" t="s">
        <v>961</v>
      </c>
      <c r="C29" s="696"/>
      <c r="D29" s="697" t="s">
        <v>962</v>
      </c>
      <c r="E29" s="698" t="s">
        <v>936</v>
      </c>
      <c r="F29" s="699" t="s">
        <v>963</v>
      </c>
      <c r="G29" s="699"/>
      <c r="H29" s="699"/>
      <c r="I29" s="699"/>
      <c r="J29" s="699"/>
      <c r="K29" s="699" t="s">
        <v>964</v>
      </c>
      <c r="L29" s="699"/>
      <c r="M29" s="374" t="s">
        <v>1074</v>
      </c>
      <c r="N29" s="718" t="s">
        <v>1062</v>
      </c>
    </row>
    <row r="30" spans="1:14" ht="19.95" customHeight="1" outlineLevel="1" collapsed="1">
      <c r="A30" s="238" t="s">
        <v>965</v>
      </c>
      <c r="B30" s="702" t="s">
        <v>966</v>
      </c>
      <c r="C30" s="702"/>
      <c r="D30" s="703" t="s">
        <v>933</v>
      </c>
      <c r="E30" s="704" t="s">
        <v>936</v>
      </c>
      <c r="F30" s="705"/>
      <c r="G30" s="705"/>
      <c r="H30" s="705"/>
      <c r="I30" s="705"/>
      <c r="J30" s="705"/>
      <c r="K30" s="705"/>
      <c r="L30" s="705"/>
      <c r="M30" s="374" t="s">
        <v>1074</v>
      </c>
      <c r="N30" s="719"/>
    </row>
    <row r="31" spans="1:14" ht="19.95" customHeight="1" outlineLevel="1">
      <c r="A31" s="238" t="s">
        <v>967</v>
      </c>
      <c r="B31" s="702" t="s">
        <v>968</v>
      </c>
      <c r="C31" s="702"/>
      <c r="D31" s="703" t="s">
        <v>924</v>
      </c>
      <c r="E31" s="704" t="s">
        <v>936</v>
      </c>
      <c r="F31" s="705"/>
      <c r="G31" s="705"/>
      <c r="H31" s="705"/>
      <c r="I31" s="705"/>
      <c r="J31" s="705"/>
      <c r="K31" s="705"/>
      <c r="L31" s="705"/>
      <c r="M31" s="374" t="s">
        <v>1074</v>
      </c>
      <c r="N31" s="719"/>
    </row>
    <row r="32" spans="1:14" ht="19.95" customHeight="1" outlineLevel="1">
      <c r="A32" s="238" t="s">
        <v>954</v>
      </c>
      <c r="B32" s="702" t="s">
        <v>1072</v>
      </c>
      <c r="C32" s="702"/>
      <c r="D32" s="703" t="s">
        <v>969</v>
      </c>
      <c r="E32" s="704" t="s">
        <v>957</v>
      </c>
      <c r="F32" s="705"/>
      <c r="G32" s="705"/>
      <c r="H32" s="705"/>
      <c r="I32" s="705"/>
      <c r="J32" s="705"/>
      <c r="K32" s="705"/>
      <c r="L32" s="705"/>
      <c r="M32" s="374" t="s">
        <v>1075</v>
      </c>
      <c r="N32" s="718" t="s">
        <v>1265</v>
      </c>
    </row>
    <row r="33" spans="1:14" ht="19.95" customHeight="1" outlineLevel="1">
      <c r="A33" s="238" t="s">
        <v>958</v>
      </c>
      <c r="B33" s="702" t="s">
        <v>1071</v>
      </c>
      <c r="C33" s="702"/>
      <c r="D33" s="703" t="s">
        <v>970</v>
      </c>
      <c r="E33" s="704" t="s">
        <v>936</v>
      </c>
      <c r="F33" s="705"/>
      <c r="G33" s="705"/>
      <c r="H33" s="705"/>
      <c r="I33" s="705"/>
      <c r="J33" s="705"/>
      <c r="K33" s="705"/>
      <c r="L33" s="705"/>
      <c r="M33" s="374" t="s">
        <v>1073</v>
      </c>
      <c r="N33" s="719"/>
    </row>
    <row r="34" spans="1:14" ht="19.95" customHeight="1">
      <c r="A34" s="239" t="s">
        <v>971</v>
      </c>
      <c r="B34" s="695" t="s">
        <v>162</v>
      </c>
      <c r="C34" s="696"/>
      <c r="D34" s="697" t="s">
        <v>972</v>
      </c>
      <c r="E34" s="698" t="s">
        <v>957</v>
      </c>
      <c r="F34" s="699" t="s">
        <v>973</v>
      </c>
      <c r="G34" s="699"/>
      <c r="H34" s="699"/>
      <c r="I34" s="699"/>
      <c r="J34" s="699"/>
      <c r="K34" s="699"/>
      <c r="L34" s="699"/>
      <c r="M34" s="384" t="s">
        <v>1240</v>
      </c>
      <c r="N34" s="383"/>
    </row>
    <row r="35" spans="1:14" ht="19.95" customHeight="1" outlineLevel="1">
      <c r="A35" s="234" t="s">
        <v>949</v>
      </c>
      <c r="B35" s="708" t="s">
        <v>1236</v>
      </c>
      <c r="C35" s="702"/>
      <c r="D35" s="703" t="s">
        <v>974</v>
      </c>
      <c r="E35" s="704" t="s">
        <v>936</v>
      </c>
      <c r="F35" s="705"/>
      <c r="G35" s="705"/>
      <c r="H35" s="705"/>
      <c r="I35" s="705"/>
      <c r="J35" s="705"/>
      <c r="K35" s="705"/>
      <c r="L35" s="705"/>
      <c r="M35" s="384" t="s">
        <v>1238</v>
      </c>
      <c r="N35" s="370"/>
    </row>
    <row r="36" spans="1:14" ht="19.95" customHeight="1" outlineLevel="1">
      <c r="A36" s="234" t="s">
        <v>952</v>
      </c>
      <c r="B36" s="702" t="s">
        <v>166</v>
      </c>
      <c r="C36" s="702"/>
      <c r="D36" s="703" t="s">
        <v>972</v>
      </c>
      <c r="E36" s="704" t="s">
        <v>936</v>
      </c>
      <c r="F36" s="705"/>
      <c r="G36" s="705"/>
      <c r="H36" s="705"/>
      <c r="I36" s="705"/>
      <c r="J36" s="705"/>
      <c r="K36" s="705"/>
      <c r="L36" s="705"/>
      <c r="M36" s="384" t="s">
        <v>1238</v>
      </c>
      <c r="N36" s="370"/>
    </row>
    <row r="37" spans="1:14" ht="19.95" customHeight="1" outlineLevel="1">
      <c r="A37" s="234" t="s">
        <v>954</v>
      </c>
      <c r="B37" s="702" t="s">
        <v>167</v>
      </c>
      <c r="C37" s="702"/>
      <c r="D37" s="703" t="s">
        <v>975</v>
      </c>
      <c r="E37" s="704" t="s">
        <v>976</v>
      </c>
      <c r="F37" s="705"/>
      <c r="G37" s="705"/>
      <c r="H37" s="705"/>
      <c r="I37" s="705"/>
      <c r="J37" s="705"/>
      <c r="K37" s="705"/>
      <c r="L37" s="705"/>
      <c r="M37" s="384" t="s">
        <v>1238</v>
      </c>
      <c r="N37" s="370"/>
    </row>
    <row r="38" spans="1:14" ht="19.95" customHeight="1" outlineLevel="1">
      <c r="A38" s="234" t="s">
        <v>977</v>
      </c>
      <c r="B38" s="702" t="s">
        <v>168</v>
      </c>
      <c r="C38" s="702"/>
      <c r="D38" s="703" t="s">
        <v>972</v>
      </c>
      <c r="E38" s="704" t="s">
        <v>957</v>
      </c>
      <c r="F38" s="705"/>
      <c r="G38" s="705"/>
      <c r="H38" s="705"/>
      <c r="I38" s="705"/>
      <c r="J38" s="705"/>
      <c r="K38" s="705"/>
      <c r="L38" s="705"/>
      <c r="M38" s="384" t="s">
        <v>1238</v>
      </c>
      <c r="N38" s="370"/>
    </row>
    <row r="39" spans="1:14" ht="19.95" customHeight="1">
      <c r="A39" s="239" t="s">
        <v>978</v>
      </c>
      <c r="B39" s="709" t="s">
        <v>1078</v>
      </c>
      <c r="C39" s="696"/>
      <c r="D39" s="697" t="s">
        <v>933</v>
      </c>
      <c r="E39" s="698" t="s">
        <v>934</v>
      </c>
      <c r="F39" s="699" t="s">
        <v>979</v>
      </c>
      <c r="G39" s="699"/>
      <c r="H39" s="699"/>
      <c r="I39" s="699"/>
      <c r="J39" s="699"/>
      <c r="K39" s="699" t="s">
        <v>980</v>
      </c>
      <c r="L39" s="699"/>
      <c r="M39" s="374" t="s">
        <v>1050</v>
      </c>
      <c r="N39" s="718" t="s">
        <v>1077</v>
      </c>
    </row>
    <row r="40" spans="1:14" ht="28.8" customHeight="1" outlineLevel="1">
      <c r="A40" s="234" t="s">
        <v>981</v>
      </c>
      <c r="B40" s="702" t="s">
        <v>172</v>
      </c>
      <c r="C40" s="702"/>
      <c r="D40" s="703" t="s">
        <v>962</v>
      </c>
      <c r="E40" s="704" t="s">
        <v>934</v>
      </c>
      <c r="F40" s="705"/>
      <c r="G40" s="705"/>
      <c r="H40" s="705"/>
      <c r="I40" s="705"/>
      <c r="J40" s="705"/>
      <c r="K40" s="705"/>
      <c r="L40" s="705"/>
      <c r="M40" s="374" t="s">
        <v>1050</v>
      </c>
      <c r="N40" s="719"/>
    </row>
    <row r="41" spans="1:14" ht="19.95" customHeight="1" outlineLevel="1">
      <c r="A41" s="234" t="s">
        <v>967</v>
      </c>
      <c r="B41" s="702" t="s">
        <v>173</v>
      </c>
      <c r="C41" s="702"/>
      <c r="D41" s="703" t="s">
        <v>924</v>
      </c>
      <c r="E41" s="704" t="s">
        <v>934</v>
      </c>
      <c r="F41" s="705"/>
      <c r="G41" s="705"/>
      <c r="H41" s="705"/>
      <c r="I41" s="705"/>
      <c r="J41" s="705"/>
      <c r="K41" s="705"/>
      <c r="L41" s="705"/>
      <c r="M41" s="374" t="s">
        <v>1050</v>
      </c>
      <c r="N41" s="719"/>
    </row>
    <row r="42" spans="1:14" ht="19.95" customHeight="1" outlineLevel="1">
      <c r="A42" s="234" t="s">
        <v>982</v>
      </c>
      <c r="B42" s="708" t="s">
        <v>1076</v>
      </c>
      <c r="C42" s="702"/>
      <c r="D42" s="703" t="s">
        <v>962</v>
      </c>
      <c r="E42" s="704" t="s">
        <v>934</v>
      </c>
      <c r="F42" s="705"/>
      <c r="G42" s="705"/>
      <c r="H42" s="705"/>
      <c r="I42" s="705"/>
      <c r="J42" s="705"/>
      <c r="K42" s="705"/>
      <c r="L42" s="705"/>
      <c r="M42" s="374" t="s">
        <v>1050</v>
      </c>
      <c r="N42" s="719"/>
    </row>
    <row r="43" spans="1:14" ht="19.95" customHeight="1">
      <c r="A43" s="239" t="s">
        <v>983</v>
      </c>
      <c r="B43" s="709" t="s">
        <v>1079</v>
      </c>
      <c r="C43" s="696"/>
      <c r="D43" s="697" t="s">
        <v>933</v>
      </c>
      <c r="E43" s="698" t="s">
        <v>23</v>
      </c>
      <c r="F43" s="699" t="s">
        <v>984</v>
      </c>
      <c r="G43" s="699"/>
      <c r="H43" s="699"/>
      <c r="I43" s="699"/>
      <c r="J43" s="699"/>
      <c r="K43" s="699" t="s">
        <v>985</v>
      </c>
      <c r="L43" s="699"/>
      <c r="M43" s="374" t="s">
        <v>1050</v>
      </c>
      <c r="N43" s="718" t="s">
        <v>1080</v>
      </c>
    </row>
    <row r="44" spans="1:14" ht="19.95" customHeight="1" outlineLevel="1">
      <c r="A44" s="241" t="s">
        <v>46</v>
      </c>
      <c r="B44" s="702" t="s">
        <v>26</v>
      </c>
      <c r="C44" s="702"/>
      <c r="D44" s="703" t="s">
        <v>924</v>
      </c>
      <c r="E44" s="704" t="s">
        <v>23</v>
      </c>
      <c r="F44" s="705"/>
      <c r="G44" s="705"/>
      <c r="H44" s="705"/>
      <c r="I44" s="705"/>
      <c r="J44" s="705"/>
      <c r="K44" s="705"/>
      <c r="L44" s="705"/>
      <c r="M44" s="374" t="s">
        <v>1050</v>
      </c>
      <c r="N44" s="719"/>
    </row>
    <row r="45" spans="1:14" ht="34.200000000000003" customHeight="1" outlineLevel="1">
      <c r="A45" s="243" t="s">
        <v>986</v>
      </c>
      <c r="B45" s="708" t="s">
        <v>1239</v>
      </c>
      <c r="C45" s="702"/>
      <c r="D45" s="703" t="s">
        <v>970</v>
      </c>
      <c r="E45" s="704" t="s">
        <v>23</v>
      </c>
      <c r="F45" s="705"/>
      <c r="G45" s="705"/>
      <c r="H45" s="705"/>
      <c r="I45" s="705"/>
      <c r="J45" s="705"/>
      <c r="K45" s="705"/>
      <c r="L45" s="705"/>
      <c r="M45" s="384" t="s">
        <v>1241</v>
      </c>
      <c r="N45" s="719"/>
    </row>
    <row r="46" spans="1:14" ht="19.95" customHeight="1">
      <c r="A46" s="239" t="s">
        <v>987</v>
      </c>
      <c r="B46" s="695" t="s">
        <v>988</v>
      </c>
      <c r="C46" s="696"/>
      <c r="D46" s="697" t="s">
        <v>972</v>
      </c>
      <c r="E46" s="698" t="s">
        <v>934</v>
      </c>
      <c r="F46" s="699" t="s">
        <v>984</v>
      </c>
      <c r="G46" s="699"/>
      <c r="H46" s="699"/>
      <c r="I46" s="699"/>
      <c r="J46" s="699"/>
      <c r="K46" s="699"/>
      <c r="L46" s="699"/>
      <c r="M46" s="384" t="s">
        <v>1242</v>
      </c>
      <c r="N46" s="370"/>
    </row>
    <row r="47" spans="1:14" ht="19.95" customHeight="1" outlineLevel="1">
      <c r="A47" s="234" t="s">
        <v>949</v>
      </c>
      <c r="B47" s="702" t="s">
        <v>191</v>
      </c>
      <c r="C47" s="702"/>
      <c r="D47" s="703" t="s">
        <v>974</v>
      </c>
      <c r="E47" s="704" t="s">
        <v>934</v>
      </c>
      <c r="F47" s="705"/>
      <c r="G47" s="705"/>
      <c r="H47" s="705"/>
      <c r="I47" s="705"/>
      <c r="J47" s="705"/>
      <c r="K47" s="705"/>
      <c r="L47" s="705"/>
      <c r="M47" s="384" t="s">
        <v>1242</v>
      </c>
      <c r="N47" s="370"/>
    </row>
    <row r="48" spans="1:14" ht="19.95" customHeight="1" outlineLevel="1">
      <c r="A48" s="234" t="s">
        <v>952</v>
      </c>
      <c r="B48" s="702" t="s">
        <v>989</v>
      </c>
      <c r="C48" s="702"/>
      <c r="D48" s="703" t="s">
        <v>975</v>
      </c>
      <c r="E48" s="704" t="s">
        <v>936</v>
      </c>
      <c r="F48" s="705"/>
      <c r="G48" s="705"/>
      <c r="H48" s="705"/>
      <c r="I48" s="705"/>
      <c r="J48" s="705"/>
      <c r="K48" s="705"/>
      <c r="L48" s="705"/>
      <c r="M48" s="384" t="s">
        <v>1242</v>
      </c>
      <c r="N48" s="370"/>
    </row>
    <row r="49" spans="1:14" ht="19.95" customHeight="1">
      <c r="A49" s="239" t="s">
        <v>990</v>
      </c>
      <c r="B49" s="695" t="s">
        <v>991</v>
      </c>
      <c r="C49" s="696"/>
      <c r="D49" s="697" t="s">
        <v>951</v>
      </c>
      <c r="E49" s="698" t="s">
        <v>957</v>
      </c>
      <c r="F49" s="699" t="s">
        <v>979</v>
      </c>
      <c r="G49" s="699"/>
      <c r="H49" s="699"/>
      <c r="I49" s="699"/>
      <c r="J49" s="699"/>
      <c r="K49" s="699" t="s">
        <v>992</v>
      </c>
      <c r="L49" s="699"/>
      <c r="M49" s="374" t="s">
        <v>1084</v>
      </c>
      <c r="N49" s="718" t="s">
        <v>1082</v>
      </c>
    </row>
    <row r="50" spans="1:14" ht="19.95" customHeight="1" outlineLevel="1">
      <c r="A50" s="234" t="s">
        <v>949</v>
      </c>
      <c r="B50" s="702" t="s">
        <v>191</v>
      </c>
      <c r="C50" s="702"/>
      <c r="D50" s="703" t="s">
        <v>946</v>
      </c>
      <c r="E50" s="704" t="s">
        <v>934</v>
      </c>
      <c r="F50" s="705"/>
      <c r="G50" s="705"/>
      <c r="H50" s="705"/>
      <c r="I50" s="705"/>
      <c r="J50" s="705"/>
      <c r="K50" s="705"/>
      <c r="L50" s="705"/>
      <c r="M50" s="374" t="s">
        <v>1084</v>
      </c>
      <c r="N50" s="719"/>
    </row>
    <row r="51" spans="1:14" ht="19.95" customHeight="1" outlineLevel="1">
      <c r="A51" s="234" t="s">
        <v>952</v>
      </c>
      <c r="B51" s="702" t="s">
        <v>192</v>
      </c>
      <c r="C51" s="702"/>
      <c r="D51" s="703" t="s">
        <v>951</v>
      </c>
      <c r="E51" s="704" t="s">
        <v>957</v>
      </c>
      <c r="F51" s="705"/>
      <c r="G51" s="705"/>
      <c r="H51" s="705"/>
      <c r="I51" s="705"/>
      <c r="J51" s="705"/>
      <c r="K51" s="705"/>
      <c r="L51" s="705"/>
      <c r="M51" s="374" t="s">
        <v>1084</v>
      </c>
      <c r="N51" s="719"/>
    </row>
    <row r="52" spans="1:14" ht="19.95" customHeight="1" outlineLevel="1">
      <c r="A52" s="234" t="s">
        <v>982</v>
      </c>
      <c r="B52" s="702" t="s">
        <v>193</v>
      </c>
      <c r="C52" s="702"/>
      <c r="D52" s="703" t="s">
        <v>951</v>
      </c>
      <c r="E52" s="704" t="s">
        <v>957</v>
      </c>
      <c r="F52" s="705"/>
      <c r="G52" s="705"/>
      <c r="H52" s="705"/>
      <c r="I52" s="705"/>
      <c r="J52" s="705"/>
      <c r="K52" s="705"/>
      <c r="L52" s="705"/>
      <c r="M52" s="374" t="s">
        <v>1084</v>
      </c>
      <c r="N52" s="719"/>
    </row>
    <row r="53" spans="1:14" ht="19.95" customHeight="1" outlineLevel="1">
      <c r="A53" s="234" t="s">
        <v>977</v>
      </c>
      <c r="B53" s="702" t="s">
        <v>194</v>
      </c>
      <c r="C53" s="702"/>
      <c r="D53" s="703" t="s">
        <v>951</v>
      </c>
      <c r="E53" s="704" t="s">
        <v>957</v>
      </c>
      <c r="F53" s="705"/>
      <c r="G53" s="705"/>
      <c r="H53" s="705"/>
      <c r="I53" s="705"/>
      <c r="J53" s="705"/>
      <c r="K53" s="705"/>
      <c r="L53" s="705"/>
      <c r="M53" s="374" t="s">
        <v>1084</v>
      </c>
      <c r="N53" s="719"/>
    </row>
    <row r="54" spans="1:14" ht="19.95" customHeight="1">
      <c r="A54" s="239" t="s">
        <v>993</v>
      </c>
      <c r="B54" s="695" t="s">
        <v>994</v>
      </c>
      <c r="C54" s="696"/>
      <c r="D54" s="697" t="s">
        <v>951</v>
      </c>
      <c r="E54" s="698" t="s">
        <v>23</v>
      </c>
      <c r="F54" s="699" t="s">
        <v>979</v>
      </c>
      <c r="G54" s="699"/>
      <c r="H54" s="699"/>
      <c r="I54" s="699"/>
      <c r="J54" s="699"/>
      <c r="K54" s="699" t="s">
        <v>995</v>
      </c>
      <c r="L54" s="699"/>
      <c r="M54" s="374" t="s">
        <v>1084</v>
      </c>
      <c r="N54" s="685" t="s">
        <v>1088</v>
      </c>
    </row>
    <row r="55" spans="1:14" ht="19.95" customHeight="1" outlineLevel="1">
      <c r="A55" s="234" t="s">
        <v>949</v>
      </c>
      <c r="B55" s="702" t="s">
        <v>191</v>
      </c>
      <c r="C55" s="702"/>
      <c r="D55" s="703" t="s">
        <v>956</v>
      </c>
      <c r="E55" s="704" t="s">
        <v>23</v>
      </c>
      <c r="F55" s="705"/>
      <c r="G55" s="705"/>
      <c r="H55" s="705"/>
      <c r="I55" s="705"/>
      <c r="J55" s="705"/>
      <c r="K55" s="705"/>
      <c r="L55" s="705"/>
      <c r="M55" s="374" t="s">
        <v>1084</v>
      </c>
      <c r="N55" s="686"/>
    </row>
    <row r="56" spans="1:14" ht="19.95" customHeight="1" outlineLevel="1">
      <c r="A56" s="234" t="s">
        <v>935</v>
      </c>
      <c r="B56" s="702" t="s">
        <v>192</v>
      </c>
      <c r="C56" s="702"/>
      <c r="D56" s="703" t="s">
        <v>946</v>
      </c>
      <c r="E56" s="704" t="s">
        <v>23</v>
      </c>
      <c r="F56" s="705"/>
      <c r="G56" s="705"/>
      <c r="H56" s="705"/>
      <c r="I56" s="705"/>
      <c r="J56" s="705"/>
      <c r="K56" s="705"/>
      <c r="L56" s="705"/>
      <c r="M56" s="374" t="s">
        <v>1084</v>
      </c>
      <c r="N56" s="686"/>
    </row>
    <row r="57" spans="1:14" ht="19.95" customHeight="1" outlineLevel="1">
      <c r="A57" s="234" t="s">
        <v>954</v>
      </c>
      <c r="B57" s="702" t="s">
        <v>193</v>
      </c>
      <c r="C57" s="702"/>
      <c r="D57" s="703" t="s">
        <v>951</v>
      </c>
      <c r="E57" s="704" t="s">
        <v>23</v>
      </c>
      <c r="F57" s="705"/>
      <c r="G57" s="705"/>
      <c r="H57" s="705"/>
      <c r="I57" s="705"/>
      <c r="J57" s="705"/>
      <c r="K57" s="705"/>
      <c r="L57" s="705"/>
      <c r="M57" s="374" t="s">
        <v>1084</v>
      </c>
      <c r="N57" s="686"/>
    </row>
    <row r="58" spans="1:14" ht="19.95" customHeight="1" outlineLevel="1">
      <c r="A58" s="234" t="s">
        <v>977</v>
      </c>
      <c r="B58" s="702" t="s">
        <v>194</v>
      </c>
      <c r="C58" s="702"/>
      <c r="D58" s="703" t="s">
        <v>946</v>
      </c>
      <c r="E58" s="704" t="s">
        <v>23</v>
      </c>
      <c r="F58" s="705"/>
      <c r="G58" s="705"/>
      <c r="H58" s="705"/>
      <c r="I58" s="705"/>
      <c r="J58" s="705"/>
      <c r="K58" s="705"/>
      <c r="L58" s="705"/>
      <c r="M58" s="374" t="s">
        <v>1084</v>
      </c>
      <c r="N58" s="686"/>
    </row>
    <row r="59" spans="1:14" ht="19.95" customHeight="1" outlineLevel="1">
      <c r="A59" s="234" t="s">
        <v>996</v>
      </c>
      <c r="B59" s="708" t="s">
        <v>1085</v>
      </c>
      <c r="C59" s="702"/>
      <c r="D59" s="703" t="s">
        <v>951</v>
      </c>
      <c r="E59" s="704" t="s">
        <v>23</v>
      </c>
      <c r="F59" s="705"/>
      <c r="G59" s="705"/>
      <c r="H59" s="705"/>
      <c r="I59" s="705"/>
      <c r="J59" s="705"/>
      <c r="K59" s="705"/>
      <c r="L59" s="705"/>
      <c r="M59" s="374" t="s">
        <v>1084</v>
      </c>
      <c r="N59" s="686"/>
    </row>
    <row r="60" spans="1:14" ht="19.95" customHeight="1" outlineLevel="1">
      <c r="A60" s="234" t="s">
        <v>997</v>
      </c>
      <c r="B60" s="708" t="s">
        <v>1086</v>
      </c>
      <c r="C60" s="702"/>
      <c r="D60" s="703" t="s">
        <v>956</v>
      </c>
      <c r="E60" s="704" t="s">
        <v>23</v>
      </c>
      <c r="F60" s="705"/>
      <c r="G60" s="705"/>
      <c r="H60" s="705"/>
      <c r="I60" s="705"/>
      <c r="J60" s="705"/>
      <c r="K60" s="705"/>
      <c r="L60" s="705"/>
      <c r="M60" s="374" t="s">
        <v>1084</v>
      </c>
      <c r="N60" s="686"/>
    </row>
    <row r="61" spans="1:14" ht="19.95" customHeight="1" outlineLevel="1">
      <c r="A61" s="234" t="s">
        <v>998</v>
      </c>
      <c r="B61" s="708" t="s">
        <v>1087</v>
      </c>
      <c r="C61" s="702"/>
      <c r="D61" s="703" t="s">
        <v>951</v>
      </c>
      <c r="E61" s="704" t="s">
        <v>23</v>
      </c>
      <c r="F61" s="705"/>
      <c r="G61" s="705"/>
      <c r="H61" s="705"/>
      <c r="I61" s="705"/>
      <c r="J61" s="705"/>
      <c r="K61" s="705"/>
      <c r="L61" s="705"/>
      <c r="M61" s="374" t="s">
        <v>1084</v>
      </c>
      <c r="N61" s="686"/>
    </row>
    <row r="62" spans="1:14" ht="19.95" customHeight="1" outlineLevel="1">
      <c r="A62" s="234" t="s">
        <v>999</v>
      </c>
      <c r="B62" s="702" t="s">
        <v>30</v>
      </c>
      <c r="C62" s="702"/>
      <c r="D62" s="703" t="s">
        <v>946</v>
      </c>
      <c r="E62" s="704" t="s">
        <v>23</v>
      </c>
      <c r="F62" s="705"/>
      <c r="G62" s="705"/>
      <c r="H62" s="705"/>
      <c r="I62" s="705"/>
      <c r="J62" s="705"/>
      <c r="K62" s="705"/>
      <c r="L62" s="705"/>
      <c r="M62" s="374" t="s">
        <v>1084</v>
      </c>
      <c r="N62" s="686"/>
    </row>
    <row r="63" spans="1:14" ht="19.95" customHeight="1">
      <c r="A63" s="239" t="s">
        <v>1000</v>
      </c>
      <c r="B63" s="695" t="s">
        <v>1001</v>
      </c>
      <c r="C63" s="696"/>
      <c r="D63" s="697" t="s">
        <v>946</v>
      </c>
      <c r="E63" s="698" t="s">
        <v>23</v>
      </c>
      <c r="F63" s="699" t="s">
        <v>984</v>
      </c>
      <c r="G63" s="699"/>
      <c r="H63" s="699"/>
      <c r="I63" s="699"/>
      <c r="J63" s="699"/>
      <c r="K63" s="699" t="s">
        <v>1002</v>
      </c>
      <c r="L63" s="699"/>
      <c r="M63" s="384" t="s">
        <v>1247</v>
      </c>
      <c r="N63" s="370"/>
    </row>
    <row r="64" spans="1:14" ht="19.95" customHeight="1" outlineLevel="1">
      <c r="A64" s="234" t="s">
        <v>949</v>
      </c>
      <c r="B64" s="708" t="s">
        <v>1244</v>
      </c>
      <c r="C64" s="702"/>
      <c r="D64" s="703" t="s">
        <v>946</v>
      </c>
      <c r="E64" s="704" t="s">
        <v>23</v>
      </c>
      <c r="F64" s="705"/>
      <c r="G64" s="705"/>
      <c r="H64" s="705"/>
      <c r="I64" s="705"/>
      <c r="J64" s="705"/>
      <c r="K64" s="705"/>
      <c r="L64" s="705"/>
      <c r="M64" s="384" t="s">
        <v>1247</v>
      </c>
      <c r="N64" s="370"/>
    </row>
    <row r="65" spans="1:14" ht="19.95" customHeight="1" outlineLevel="1">
      <c r="A65" s="234" t="s">
        <v>952</v>
      </c>
      <c r="B65" s="708" t="s">
        <v>1243</v>
      </c>
      <c r="C65" s="702"/>
      <c r="D65" s="703" t="s">
        <v>946</v>
      </c>
      <c r="E65" s="704" t="s">
        <v>23</v>
      </c>
      <c r="F65" s="705"/>
      <c r="G65" s="705"/>
      <c r="H65" s="705"/>
      <c r="I65" s="705"/>
      <c r="J65" s="705"/>
      <c r="K65" s="705"/>
      <c r="L65" s="705"/>
      <c r="M65" s="384" t="s">
        <v>1247</v>
      </c>
      <c r="N65" s="370"/>
    </row>
    <row r="66" spans="1:14" ht="19.95" customHeight="1" outlineLevel="1">
      <c r="A66" s="234" t="s">
        <v>982</v>
      </c>
      <c r="B66" s="702" t="s">
        <v>206</v>
      </c>
      <c r="C66" s="702"/>
      <c r="D66" s="703" t="s">
        <v>956</v>
      </c>
      <c r="E66" s="704" t="s">
        <v>23</v>
      </c>
      <c r="F66" s="705"/>
      <c r="G66" s="705"/>
      <c r="H66" s="705"/>
      <c r="I66" s="705"/>
      <c r="J66" s="705"/>
      <c r="K66" s="705"/>
      <c r="L66" s="705"/>
      <c r="M66" s="384" t="s">
        <v>1247</v>
      </c>
      <c r="N66" s="370"/>
    </row>
    <row r="67" spans="1:14" ht="19.95" customHeight="1" outlineLevel="1">
      <c r="A67" s="234" t="s">
        <v>977</v>
      </c>
      <c r="B67" s="702" t="s">
        <v>207</v>
      </c>
      <c r="C67" s="702"/>
      <c r="D67" s="703" t="s">
        <v>951</v>
      </c>
      <c r="E67" s="704" t="s">
        <v>23</v>
      </c>
      <c r="F67" s="705"/>
      <c r="G67" s="705"/>
      <c r="H67" s="705"/>
      <c r="I67" s="705"/>
      <c r="J67" s="705"/>
      <c r="K67" s="705"/>
      <c r="L67" s="705"/>
      <c r="M67" s="384" t="s">
        <v>1247</v>
      </c>
      <c r="N67" s="370"/>
    </row>
    <row r="68" spans="1:14" ht="19.95" customHeight="1" outlineLevel="1">
      <c r="A68" s="234" t="s">
        <v>1003</v>
      </c>
      <c r="B68" s="702" t="s">
        <v>208</v>
      </c>
      <c r="C68" s="702"/>
      <c r="D68" s="703" t="s">
        <v>951</v>
      </c>
      <c r="E68" s="704" t="s">
        <v>23</v>
      </c>
      <c r="F68" s="705"/>
      <c r="G68" s="705"/>
      <c r="H68" s="705"/>
      <c r="I68" s="705"/>
      <c r="J68" s="705"/>
      <c r="K68" s="705"/>
      <c r="L68" s="705"/>
      <c r="M68" s="384" t="s">
        <v>1247</v>
      </c>
      <c r="N68" s="370"/>
    </row>
    <row r="69" spans="1:14" ht="19.95" customHeight="1" outlineLevel="1">
      <c r="A69" s="234" t="s">
        <v>997</v>
      </c>
      <c r="B69" s="708" t="s">
        <v>1245</v>
      </c>
      <c r="C69" s="702"/>
      <c r="D69" s="703" t="s">
        <v>946</v>
      </c>
      <c r="E69" s="704" t="s">
        <v>23</v>
      </c>
      <c r="F69" s="705"/>
      <c r="G69" s="705"/>
      <c r="H69" s="705"/>
      <c r="I69" s="705"/>
      <c r="J69" s="705"/>
      <c r="K69" s="705"/>
      <c r="L69" s="705"/>
      <c r="M69" s="384" t="s">
        <v>1247</v>
      </c>
      <c r="N69" s="370"/>
    </row>
    <row r="70" spans="1:14" ht="19.95" customHeight="1" outlineLevel="1">
      <c r="A70" s="234" t="s">
        <v>1004</v>
      </c>
      <c r="B70" s="702" t="s">
        <v>210</v>
      </c>
      <c r="C70" s="702"/>
      <c r="D70" s="703" t="s">
        <v>951</v>
      </c>
      <c r="E70" s="704" t="s">
        <v>23</v>
      </c>
      <c r="F70" s="705"/>
      <c r="G70" s="705"/>
      <c r="H70" s="705"/>
      <c r="I70" s="705"/>
      <c r="J70" s="705"/>
      <c r="K70" s="705"/>
      <c r="L70" s="705"/>
      <c r="M70" s="384" t="s">
        <v>1247</v>
      </c>
      <c r="N70" s="370"/>
    </row>
    <row r="71" spans="1:14" ht="19.95" customHeight="1" outlineLevel="1">
      <c r="A71" s="234" t="s">
        <v>1005</v>
      </c>
      <c r="B71" s="702" t="s">
        <v>211</v>
      </c>
      <c r="C71" s="702"/>
      <c r="D71" s="703" t="s">
        <v>946</v>
      </c>
      <c r="E71" s="704" t="s">
        <v>23</v>
      </c>
      <c r="F71" s="705"/>
      <c r="G71" s="705"/>
      <c r="H71" s="705"/>
      <c r="I71" s="705"/>
      <c r="J71" s="705"/>
      <c r="K71" s="705"/>
      <c r="L71" s="705"/>
      <c r="M71" s="384" t="s">
        <v>1247</v>
      </c>
      <c r="N71" s="370"/>
    </row>
    <row r="72" spans="1:14" ht="19.95" customHeight="1" outlineLevel="1">
      <c r="A72" s="244" t="s">
        <v>1006</v>
      </c>
      <c r="B72" s="702" t="s">
        <v>213</v>
      </c>
      <c r="C72" s="702"/>
      <c r="D72" s="703" t="s">
        <v>946</v>
      </c>
      <c r="E72" s="704" t="s">
        <v>23</v>
      </c>
      <c r="F72" s="705"/>
      <c r="G72" s="705"/>
      <c r="H72" s="705"/>
      <c r="I72" s="705"/>
      <c r="J72" s="705"/>
      <c r="K72" s="705"/>
      <c r="L72" s="705"/>
      <c r="M72" s="384" t="s">
        <v>1247</v>
      </c>
      <c r="N72" s="370"/>
    </row>
    <row r="73" spans="1:14" ht="19.95" customHeight="1" outlineLevel="1">
      <c r="A73" s="244" t="s">
        <v>214</v>
      </c>
      <c r="B73" s="702" t="s">
        <v>215</v>
      </c>
      <c r="C73" s="702"/>
      <c r="D73" s="703" t="s">
        <v>951</v>
      </c>
      <c r="E73" s="704" t="s">
        <v>23</v>
      </c>
      <c r="F73" s="705"/>
      <c r="G73" s="705"/>
      <c r="H73" s="705"/>
      <c r="I73" s="705"/>
      <c r="J73" s="705"/>
      <c r="K73" s="705"/>
      <c r="L73" s="705"/>
      <c r="M73" s="384" t="s">
        <v>1247</v>
      </c>
      <c r="N73" s="370"/>
    </row>
    <row r="74" spans="1:14" ht="19.95" customHeight="1" outlineLevel="1">
      <c r="A74" s="244" t="s">
        <v>216</v>
      </c>
      <c r="B74" s="702" t="s">
        <v>217</v>
      </c>
      <c r="C74" s="702"/>
      <c r="D74" s="703" t="s">
        <v>951</v>
      </c>
      <c r="E74" s="704" t="s">
        <v>23</v>
      </c>
      <c r="F74" s="705"/>
      <c r="G74" s="705"/>
      <c r="H74" s="705"/>
      <c r="I74" s="705"/>
      <c r="J74" s="705"/>
      <c r="K74" s="705"/>
      <c r="L74" s="705"/>
      <c r="M74" s="384" t="s">
        <v>1247</v>
      </c>
      <c r="N74" s="370"/>
    </row>
    <row r="75" spans="1:14" ht="19.95" customHeight="1">
      <c r="A75" s="239" t="s">
        <v>1007</v>
      </c>
      <c r="B75" s="695" t="s">
        <v>1008</v>
      </c>
      <c r="C75" s="696"/>
      <c r="D75" s="697" t="s">
        <v>946</v>
      </c>
      <c r="E75" s="698" t="s">
        <v>957</v>
      </c>
      <c r="F75" s="699" t="s">
        <v>963</v>
      </c>
      <c r="G75" s="699"/>
      <c r="H75" s="699"/>
      <c r="I75" s="699"/>
      <c r="J75" s="699"/>
      <c r="K75" s="699" t="s">
        <v>1002</v>
      </c>
      <c r="L75" s="699"/>
      <c r="M75" s="384" t="s">
        <v>1242</v>
      </c>
      <c r="N75" s="370"/>
    </row>
    <row r="76" spans="1:14" ht="19.95" customHeight="1" outlineLevel="1">
      <c r="A76" s="234" t="s">
        <v>949</v>
      </c>
      <c r="B76" s="702" t="s">
        <v>221</v>
      </c>
      <c r="C76" s="702"/>
      <c r="D76" s="703" t="s">
        <v>951</v>
      </c>
      <c r="E76" s="704" t="s">
        <v>934</v>
      </c>
      <c r="F76" s="705"/>
      <c r="G76" s="705"/>
      <c r="H76" s="705"/>
      <c r="I76" s="705"/>
      <c r="J76" s="705"/>
      <c r="K76" s="705"/>
      <c r="L76" s="705"/>
      <c r="M76" s="384" t="s">
        <v>1242</v>
      </c>
      <c r="N76" s="370"/>
    </row>
    <row r="77" spans="1:14" ht="19.95" customHeight="1" outlineLevel="1">
      <c r="A77" s="234" t="s">
        <v>935</v>
      </c>
      <c r="B77" s="702" t="s">
        <v>1009</v>
      </c>
      <c r="C77" s="702"/>
      <c r="D77" s="703" t="s">
        <v>946</v>
      </c>
      <c r="E77" s="704" t="s">
        <v>957</v>
      </c>
      <c r="F77" s="705"/>
      <c r="G77" s="705"/>
      <c r="H77" s="705"/>
      <c r="I77" s="705"/>
      <c r="J77" s="705"/>
      <c r="K77" s="705"/>
      <c r="L77" s="705"/>
      <c r="M77" s="384" t="s">
        <v>1242</v>
      </c>
      <c r="N77" s="370"/>
    </row>
    <row r="78" spans="1:14" ht="19.95" customHeight="1" outlineLevel="1">
      <c r="A78" s="234" t="s">
        <v>954</v>
      </c>
      <c r="B78" s="702" t="s">
        <v>1010</v>
      </c>
      <c r="C78" s="702"/>
      <c r="D78" s="703" t="s">
        <v>946</v>
      </c>
      <c r="E78" s="704" t="s">
        <v>934</v>
      </c>
      <c r="F78" s="705"/>
      <c r="G78" s="705"/>
      <c r="H78" s="705"/>
      <c r="I78" s="705"/>
      <c r="J78" s="705"/>
      <c r="K78" s="705"/>
      <c r="L78" s="705"/>
      <c r="M78" s="384" t="s">
        <v>1242</v>
      </c>
      <c r="N78" s="370"/>
    </row>
    <row r="79" spans="1:14" ht="19.95" customHeight="1">
      <c r="A79" s="239" t="s">
        <v>1011</v>
      </c>
      <c r="B79" s="695" t="s">
        <v>1012</v>
      </c>
      <c r="C79" s="696"/>
      <c r="D79" s="697" t="s">
        <v>1013</v>
      </c>
      <c r="E79" s="698" t="s">
        <v>957</v>
      </c>
      <c r="F79" s="699" t="s">
        <v>979</v>
      </c>
      <c r="G79" s="699"/>
      <c r="H79" s="699"/>
      <c r="I79" s="699"/>
      <c r="J79" s="699"/>
      <c r="K79" s="699" t="s">
        <v>1014</v>
      </c>
      <c r="L79" s="699"/>
      <c r="M79" s="388" t="s">
        <v>1257</v>
      </c>
      <c r="N79" s="370"/>
    </row>
    <row r="80" spans="1:14" ht="19.95" customHeight="1" outlineLevel="1">
      <c r="A80" s="234" t="s">
        <v>981</v>
      </c>
      <c r="B80" s="702" t="s">
        <v>191</v>
      </c>
      <c r="C80" s="702"/>
      <c r="D80" s="703" t="s">
        <v>951</v>
      </c>
      <c r="E80" s="704" t="s">
        <v>957</v>
      </c>
      <c r="F80" s="705"/>
      <c r="G80" s="705"/>
      <c r="H80" s="705"/>
      <c r="I80" s="705"/>
      <c r="J80" s="705"/>
      <c r="K80" s="705"/>
      <c r="L80" s="705"/>
      <c r="M80" s="388" t="s">
        <v>1257</v>
      </c>
      <c r="N80" s="370"/>
    </row>
    <row r="81" spans="1:14" ht="19.95" customHeight="1" outlineLevel="1">
      <c r="A81" s="234" t="s">
        <v>935</v>
      </c>
      <c r="B81" s="702" t="s">
        <v>1015</v>
      </c>
      <c r="C81" s="702"/>
      <c r="D81" s="703" t="s">
        <v>946</v>
      </c>
      <c r="E81" s="704" t="s">
        <v>957</v>
      </c>
      <c r="F81" s="705"/>
      <c r="G81" s="705"/>
      <c r="H81" s="705"/>
      <c r="I81" s="705"/>
      <c r="J81" s="705"/>
      <c r="K81" s="705"/>
      <c r="L81" s="705"/>
      <c r="M81" s="388" t="s">
        <v>1257</v>
      </c>
      <c r="N81" s="370"/>
    </row>
    <row r="82" spans="1:14" ht="19.95" customHeight="1" outlineLevel="1">
      <c r="A82" s="234" t="s">
        <v>48</v>
      </c>
      <c r="B82" s="702" t="s">
        <v>192</v>
      </c>
      <c r="C82" s="702"/>
      <c r="D82" s="703" t="s">
        <v>946</v>
      </c>
      <c r="E82" s="704" t="s">
        <v>957</v>
      </c>
      <c r="F82" s="705"/>
      <c r="G82" s="705"/>
      <c r="H82" s="705"/>
      <c r="I82" s="705"/>
      <c r="J82" s="705"/>
      <c r="K82" s="705"/>
      <c r="L82" s="705"/>
      <c r="M82" s="388" t="s">
        <v>1257</v>
      </c>
      <c r="N82" s="370"/>
    </row>
    <row r="83" spans="1:14" ht="19.95" customHeight="1" outlineLevel="1">
      <c r="A83" s="234" t="s">
        <v>49</v>
      </c>
      <c r="B83" s="702" t="s">
        <v>228</v>
      </c>
      <c r="C83" s="702"/>
      <c r="D83" s="703" t="s">
        <v>946</v>
      </c>
      <c r="E83" s="704" t="s">
        <v>957</v>
      </c>
      <c r="F83" s="705"/>
      <c r="G83" s="705"/>
      <c r="H83" s="705"/>
      <c r="I83" s="705"/>
      <c r="J83" s="705"/>
      <c r="K83" s="705"/>
      <c r="L83" s="705"/>
      <c r="M83" s="388" t="s">
        <v>1257</v>
      </c>
      <c r="N83" s="370"/>
    </row>
    <row r="84" spans="1:14" ht="19.95" customHeight="1" outlineLevel="1">
      <c r="A84" s="244" t="s">
        <v>1016</v>
      </c>
      <c r="B84" s="702" t="s">
        <v>229</v>
      </c>
      <c r="C84" s="702"/>
      <c r="D84" s="703" t="s">
        <v>946</v>
      </c>
      <c r="E84" s="704" t="s">
        <v>957</v>
      </c>
      <c r="F84" s="705"/>
      <c r="G84" s="705"/>
      <c r="H84" s="705"/>
      <c r="I84" s="705"/>
      <c r="J84" s="705"/>
      <c r="K84" s="705"/>
      <c r="L84" s="705"/>
      <c r="M84" s="388" t="s">
        <v>1257</v>
      </c>
      <c r="N84" s="370"/>
    </row>
    <row r="85" spans="1:14" ht="19.95" customHeight="1" outlineLevel="1">
      <c r="A85" s="244" t="s">
        <v>214</v>
      </c>
      <c r="B85" s="708" t="s">
        <v>1090</v>
      </c>
      <c r="C85" s="702"/>
      <c r="D85" s="703" t="s">
        <v>946</v>
      </c>
      <c r="E85" s="704" t="s">
        <v>934</v>
      </c>
      <c r="F85" s="705"/>
      <c r="G85" s="705"/>
      <c r="H85" s="705"/>
      <c r="I85" s="705"/>
      <c r="J85" s="705"/>
      <c r="K85" s="705"/>
      <c r="L85" s="705"/>
      <c r="M85" s="388" t="s">
        <v>1257</v>
      </c>
      <c r="N85" s="370"/>
    </row>
    <row r="86" spans="1:14" ht="19.95" customHeight="1" outlineLevel="1">
      <c r="A86" s="244" t="s">
        <v>216</v>
      </c>
      <c r="B86" s="710" t="s">
        <v>1248</v>
      </c>
      <c r="C86" s="711"/>
      <c r="D86" s="703" t="s">
        <v>946</v>
      </c>
      <c r="E86" s="704" t="s">
        <v>957</v>
      </c>
      <c r="F86" s="705"/>
      <c r="G86" s="705"/>
      <c r="H86" s="705"/>
      <c r="I86" s="705"/>
      <c r="J86" s="705"/>
      <c r="K86" s="705"/>
      <c r="L86" s="705"/>
      <c r="M86" s="384" t="s">
        <v>1256</v>
      </c>
      <c r="N86" s="370"/>
    </row>
    <row r="87" spans="1:14" ht="19.95" customHeight="1" outlineLevel="1">
      <c r="A87" s="234" t="s">
        <v>996</v>
      </c>
      <c r="B87" s="710" t="s">
        <v>1249</v>
      </c>
      <c r="C87" s="711"/>
      <c r="D87" s="703" t="s">
        <v>946</v>
      </c>
      <c r="E87" s="704" t="s">
        <v>936</v>
      </c>
      <c r="F87" s="705"/>
      <c r="G87" s="705"/>
      <c r="H87" s="705"/>
      <c r="I87" s="705"/>
      <c r="J87" s="705"/>
      <c r="K87" s="705"/>
      <c r="L87" s="705"/>
      <c r="M87" s="384" t="s">
        <v>1256</v>
      </c>
      <c r="N87" s="370"/>
    </row>
    <row r="88" spans="1:14" ht="19.95" customHeight="1" outlineLevel="1">
      <c r="A88" s="234" t="s">
        <v>1017</v>
      </c>
      <c r="B88" s="702" t="s">
        <v>233</v>
      </c>
      <c r="C88" s="702"/>
      <c r="D88" s="703" t="s">
        <v>946</v>
      </c>
      <c r="E88" s="704" t="s">
        <v>957</v>
      </c>
      <c r="F88" s="705"/>
      <c r="G88" s="705"/>
      <c r="H88" s="705"/>
      <c r="I88" s="705"/>
      <c r="J88" s="705"/>
      <c r="K88" s="705"/>
      <c r="L88" s="705"/>
      <c r="M88" s="388" t="s">
        <v>1257</v>
      </c>
      <c r="N88" s="370"/>
    </row>
    <row r="89" spans="1:14" ht="19.95" customHeight="1" outlineLevel="1">
      <c r="A89" s="234" t="s">
        <v>50</v>
      </c>
      <c r="B89" s="710" t="s">
        <v>1250</v>
      </c>
      <c r="C89" s="711"/>
      <c r="D89" s="703" t="s">
        <v>946</v>
      </c>
      <c r="E89" s="704" t="s">
        <v>957</v>
      </c>
      <c r="F89" s="705"/>
      <c r="G89" s="705"/>
      <c r="H89" s="705"/>
      <c r="I89" s="705"/>
      <c r="J89" s="705"/>
      <c r="K89" s="705"/>
      <c r="L89" s="705"/>
      <c r="M89" s="388" t="s">
        <v>1257</v>
      </c>
      <c r="N89" s="370"/>
    </row>
    <row r="90" spans="1:14" ht="19.95" customHeight="1" outlineLevel="1">
      <c r="A90" s="234" t="s">
        <v>51</v>
      </c>
      <c r="B90" s="702" t="s">
        <v>235</v>
      </c>
      <c r="C90" s="702"/>
      <c r="D90" s="703" t="s">
        <v>946</v>
      </c>
      <c r="E90" s="704" t="s">
        <v>957</v>
      </c>
      <c r="F90" s="705"/>
      <c r="G90" s="705"/>
      <c r="H90" s="705"/>
      <c r="I90" s="705"/>
      <c r="J90" s="705"/>
      <c r="K90" s="705"/>
      <c r="L90" s="705"/>
      <c r="M90" s="388" t="s">
        <v>1257</v>
      </c>
      <c r="N90" s="370"/>
    </row>
    <row r="91" spans="1:14" ht="19.95" customHeight="1" outlineLevel="1">
      <c r="A91" s="234" t="s">
        <v>52</v>
      </c>
      <c r="B91" s="711" t="s">
        <v>236</v>
      </c>
      <c r="C91" s="711"/>
      <c r="D91" s="703" t="s">
        <v>946</v>
      </c>
      <c r="E91" s="704" t="s">
        <v>934</v>
      </c>
      <c r="F91" s="705"/>
      <c r="G91" s="705"/>
      <c r="H91" s="705"/>
      <c r="I91" s="705"/>
      <c r="J91" s="705"/>
      <c r="K91" s="705"/>
      <c r="L91" s="705"/>
      <c r="M91" s="388" t="s">
        <v>1257</v>
      </c>
      <c r="N91" s="370"/>
    </row>
    <row r="92" spans="1:14" ht="19.95" customHeight="1" outlineLevel="1">
      <c r="A92" s="234" t="s">
        <v>53</v>
      </c>
      <c r="B92" s="702" t="s">
        <v>237</v>
      </c>
      <c r="C92" s="702"/>
      <c r="D92" s="703" t="s">
        <v>946</v>
      </c>
      <c r="E92" s="704" t="s">
        <v>957</v>
      </c>
      <c r="F92" s="705"/>
      <c r="G92" s="705"/>
      <c r="H92" s="705"/>
      <c r="I92" s="705"/>
      <c r="J92" s="705"/>
      <c r="K92" s="705"/>
      <c r="L92" s="705"/>
      <c r="M92" s="388" t="s">
        <v>1257</v>
      </c>
      <c r="N92" s="370"/>
    </row>
    <row r="93" spans="1:14" ht="19.95" customHeight="1" outlineLevel="1">
      <c r="A93" s="244" t="s">
        <v>1016</v>
      </c>
      <c r="B93" s="708" t="s">
        <v>1091</v>
      </c>
      <c r="C93" s="702"/>
      <c r="D93" s="703" t="s">
        <v>946</v>
      </c>
      <c r="E93" s="704" t="s">
        <v>957</v>
      </c>
      <c r="F93" s="705"/>
      <c r="G93" s="705"/>
      <c r="H93" s="705"/>
      <c r="I93" s="705"/>
      <c r="J93" s="705"/>
      <c r="K93" s="705"/>
      <c r="L93" s="705"/>
      <c r="M93" s="388" t="s">
        <v>1257</v>
      </c>
      <c r="N93" s="370"/>
    </row>
    <row r="94" spans="1:14" ht="19.95" customHeight="1" outlineLevel="1">
      <c r="A94" s="244" t="s">
        <v>214</v>
      </c>
      <c r="B94" s="702" t="s">
        <v>239</v>
      </c>
      <c r="C94" s="702"/>
      <c r="D94" s="703" t="s">
        <v>946</v>
      </c>
      <c r="E94" s="704" t="s">
        <v>957</v>
      </c>
      <c r="F94" s="705"/>
      <c r="G94" s="705"/>
      <c r="H94" s="705"/>
      <c r="I94" s="705"/>
      <c r="J94" s="705"/>
      <c r="K94" s="705"/>
      <c r="L94" s="705"/>
      <c r="M94" s="388" t="s">
        <v>1257</v>
      </c>
      <c r="N94" s="370"/>
    </row>
    <row r="95" spans="1:14" ht="19.95" customHeight="1" outlineLevel="1">
      <c r="A95" s="234" t="s">
        <v>1018</v>
      </c>
      <c r="B95" s="708" t="s">
        <v>1092</v>
      </c>
      <c r="C95" s="702"/>
      <c r="D95" s="703" t="s">
        <v>946</v>
      </c>
      <c r="E95" s="704" t="s">
        <v>936</v>
      </c>
      <c r="F95" s="705"/>
      <c r="G95" s="705"/>
      <c r="H95" s="705"/>
      <c r="I95" s="705"/>
      <c r="J95" s="705"/>
      <c r="K95" s="705"/>
      <c r="L95" s="705"/>
      <c r="M95" s="388" t="s">
        <v>1257</v>
      </c>
      <c r="N95" s="370"/>
    </row>
    <row r="96" spans="1:14" ht="19.95" customHeight="1" outlineLevel="1">
      <c r="A96" s="234" t="s">
        <v>1019</v>
      </c>
      <c r="B96" s="702" t="s">
        <v>1093</v>
      </c>
      <c r="C96" s="702"/>
      <c r="D96" s="703" t="s">
        <v>946</v>
      </c>
      <c r="E96" s="704" t="s">
        <v>957</v>
      </c>
      <c r="F96" s="705"/>
      <c r="G96" s="705"/>
      <c r="H96" s="705"/>
      <c r="I96" s="705"/>
      <c r="J96" s="705"/>
      <c r="K96" s="705"/>
      <c r="L96" s="705"/>
      <c r="M96" s="388" t="s">
        <v>1257</v>
      </c>
      <c r="N96" s="370"/>
    </row>
    <row r="97" spans="1:14" ht="19.95" customHeight="1" outlineLevel="1">
      <c r="A97" s="234" t="s">
        <v>1020</v>
      </c>
      <c r="B97" s="710" t="s">
        <v>1251</v>
      </c>
      <c r="C97" s="711"/>
      <c r="D97" s="703" t="s">
        <v>946</v>
      </c>
      <c r="E97" s="704" t="s">
        <v>957</v>
      </c>
      <c r="F97" s="705"/>
      <c r="G97" s="705"/>
      <c r="H97" s="705"/>
      <c r="I97" s="705"/>
      <c r="J97" s="705"/>
      <c r="K97" s="705"/>
      <c r="L97" s="705"/>
      <c r="M97" s="384" t="s">
        <v>1256</v>
      </c>
      <c r="N97" s="370"/>
    </row>
    <row r="98" spans="1:14" ht="19.95" customHeight="1" outlineLevel="1">
      <c r="A98" s="244" t="s">
        <v>1016</v>
      </c>
      <c r="B98" s="710" t="s">
        <v>1252</v>
      </c>
      <c r="C98" s="711"/>
      <c r="D98" s="703" t="s">
        <v>946</v>
      </c>
      <c r="E98" s="704" t="s">
        <v>957</v>
      </c>
      <c r="F98" s="705"/>
      <c r="G98" s="705"/>
      <c r="H98" s="705"/>
      <c r="I98" s="705"/>
      <c r="J98" s="705"/>
      <c r="K98" s="705"/>
      <c r="L98" s="705"/>
      <c r="M98" s="384" t="s">
        <v>1256</v>
      </c>
      <c r="N98" s="370"/>
    </row>
    <row r="99" spans="1:14" ht="19.95" customHeight="1" outlineLevel="1">
      <c r="A99" s="244" t="s">
        <v>214</v>
      </c>
      <c r="B99" s="710" t="s">
        <v>1253</v>
      </c>
      <c r="C99" s="711"/>
      <c r="D99" s="703" t="s">
        <v>946</v>
      </c>
      <c r="E99" s="704" t="s">
        <v>957</v>
      </c>
      <c r="F99" s="705"/>
      <c r="G99" s="705"/>
      <c r="H99" s="705"/>
      <c r="I99" s="705"/>
      <c r="J99" s="705"/>
      <c r="K99" s="705"/>
      <c r="L99" s="705"/>
      <c r="M99" s="384" t="s">
        <v>1256</v>
      </c>
      <c r="N99" s="370"/>
    </row>
    <row r="100" spans="1:14" ht="19.95" customHeight="1" outlineLevel="1">
      <c r="A100" s="244" t="s">
        <v>216</v>
      </c>
      <c r="B100" s="710" t="s">
        <v>1254</v>
      </c>
      <c r="C100" s="711"/>
      <c r="D100" s="703" t="s">
        <v>946</v>
      </c>
      <c r="E100" s="704" t="s">
        <v>957</v>
      </c>
      <c r="F100" s="705"/>
      <c r="G100" s="705"/>
      <c r="H100" s="705"/>
      <c r="I100" s="705"/>
      <c r="J100" s="705"/>
      <c r="K100" s="705"/>
      <c r="L100" s="705"/>
      <c r="M100" s="384" t="s">
        <v>1256</v>
      </c>
      <c r="N100" s="370"/>
    </row>
    <row r="101" spans="1:14" ht="19.95" customHeight="1" outlineLevel="1">
      <c r="A101" s="244" t="s">
        <v>250</v>
      </c>
      <c r="B101" s="711" t="s">
        <v>251</v>
      </c>
      <c r="C101" s="711"/>
      <c r="D101" s="703" t="s">
        <v>946</v>
      </c>
      <c r="E101" s="704" t="s">
        <v>957</v>
      </c>
      <c r="F101" s="705"/>
      <c r="G101" s="705"/>
      <c r="H101" s="705"/>
      <c r="I101" s="705"/>
      <c r="J101" s="705"/>
      <c r="K101" s="705"/>
      <c r="L101" s="705"/>
      <c r="M101" s="384" t="s">
        <v>1256</v>
      </c>
      <c r="N101" s="370"/>
    </row>
    <row r="102" spans="1:14" ht="19.95" customHeight="1" outlineLevel="1">
      <c r="A102" s="244" t="s">
        <v>252</v>
      </c>
      <c r="B102" s="711" t="s">
        <v>253</v>
      </c>
      <c r="C102" s="711"/>
      <c r="D102" s="703" t="s">
        <v>946</v>
      </c>
      <c r="E102" s="704" t="s">
        <v>957</v>
      </c>
      <c r="F102" s="705"/>
      <c r="G102" s="705"/>
      <c r="H102" s="705"/>
      <c r="I102" s="705"/>
      <c r="J102" s="705"/>
      <c r="K102" s="705"/>
      <c r="L102" s="705"/>
      <c r="M102" s="384" t="s">
        <v>1256</v>
      </c>
      <c r="N102" s="370"/>
    </row>
    <row r="103" spans="1:14" ht="19.95" customHeight="1">
      <c r="A103" s="239" t="s">
        <v>1021</v>
      </c>
      <c r="B103" s="712" t="s">
        <v>1022</v>
      </c>
      <c r="C103" s="713"/>
      <c r="D103" s="697" t="s">
        <v>946</v>
      </c>
      <c r="E103" s="698" t="s">
        <v>957</v>
      </c>
      <c r="F103" s="699" t="s">
        <v>1023</v>
      </c>
      <c r="G103" s="699"/>
      <c r="H103" s="699"/>
      <c r="I103" s="699"/>
      <c r="J103" s="699"/>
      <c r="K103" s="699"/>
      <c r="L103" s="699"/>
      <c r="M103" s="384" t="s">
        <v>1256</v>
      </c>
      <c r="N103" s="370"/>
    </row>
    <row r="104" spans="1:14" ht="19.95" customHeight="1" outlineLevel="1">
      <c r="A104" s="234" t="s">
        <v>981</v>
      </c>
      <c r="B104" s="711" t="s">
        <v>256</v>
      </c>
      <c r="C104" s="711"/>
      <c r="D104" s="703" t="s">
        <v>951</v>
      </c>
      <c r="E104" s="704" t="s">
        <v>936</v>
      </c>
      <c r="F104" s="705"/>
      <c r="G104" s="705"/>
      <c r="H104" s="705"/>
      <c r="I104" s="705"/>
      <c r="J104" s="705"/>
      <c r="K104" s="705"/>
      <c r="L104" s="705"/>
      <c r="M104" s="384" t="s">
        <v>1256</v>
      </c>
      <c r="N104" s="370"/>
    </row>
    <row r="105" spans="1:14" ht="19.95" customHeight="1" outlineLevel="1">
      <c r="A105" s="234" t="s">
        <v>935</v>
      </c>
      <c r="B105" s="711" t="s">
        <v>257</v>
      </c>
      <c r="C105" s="711"/>
      <c r="D105" s="703" t="s">
        <v>951</v>
      </c>
      <c r="E105" s="704" t="s">
        <v>957</v>
      </c>
      <c r="F105" s="705"/>
      <c r="G105" s="705"/>
      <c r="H105" s="705"/>
      <c r="I105" s="705"/>
      <c r="J105" s="705"/>
      <c r="K105" s="705"/>
      <c r="L105" s="705"/>
      <c r="M105" s="384" t="s">
        <v>1256</v>
      </c>
      <c r="N105" s="370"/>
    </row>
    <row r="106" spans="1:14" ht="19.95" customHeight="1" outlineLevel="1">
      <c r="A106" s="234" t="s">
        <v>982</v>
      </c>
      <c r="B106" s="710" t="s">
        <v>1255</v>
      </c>
      <c r="C106" s="711"/>
      <c r="D106" s="703" t="s">
        <v>946</v>
      </c>
      <c r="E106" s="704" t="s">
        <v>957</v>
      </c>
      <c r="F106" s="705"/>
      <c r="G106" s="705"/>
      <c r="H106" s="705"/>
      <c r="I106" s="705"/>
      <c r="J106" s="705"/>
      <c r="K106" s="705"/>
      <c r="L106" s="705"/>
      <c r="M106" s="384" t="s">
        <v>1256</v>
      </c>
      <c r="N106" s="370"/>
    </row>
    <row r="107" spans="1:14" ht="19.95" customHeight="1" outlineLevel="1">
      <c r="A107" s="234" t="s">
        <v>977</v>
      </c>
      <c r="B107" s="711" t="s">
        <v>259</v>
      </c>
      <c r="C107" s="711"/>
      <c r="D107" s="703" t="s">
        <v>946</v>
      </c>
      <c r="E107" s="704" t="s">
        <v>957</v>
      </c>
      <c r="F107" s="705"/>
      <c r="G107" s="705"/>
      <c r="H107" s="705"/>
      <c r="I107" s="705"/>
      <c r="J107" s="705"/>
      <c r="K107" s="705"/>
      <c r="L107" s="705"/>
      <c r="M107" s="384" t="s">
        <v>1256</v>
      </c>
      <c r="N107" s="370"/>
    </row>
    <row r="108" spans="1:14" ht="19.95" customHeight="1" outlineLevel="1">
      <c r="A108" s="234" t="s">
        <v>996</v>
      </c>
      <c r="B108" s="711" t="s">
        <v>260</v>
      </c>
      <c r="C108" s="711"/>
      <c r="D108" s="703" t="s">
        <v>946</v>
      </c>
      <c r="E108" s="704" t="s">
        <v>957</v>
      </c>
      <c r="F108" s="705"/>
      <c r="G108" s="705"/>
      <c r="H108" s="705"/>
      <c r="I108" s="705"/>
      <c r="J108" s="705"/>
      <c r="K108" s="705"/>
      <c r="L108" s="705"/>
      <c r="M108" s="384" t="s">
        <v>1256</v>
      </c>
      <c r="N108" s="370"/>
    </row>
    <row r="109" spans="1:14" ht="19.95" customHeight="1" outlineLevel="1">
      <c r="A109" s="234" t="s">
        <v>1017</v>
      </c>
      <c r="B109" s="711" t="s">
        <v>261</v>
      </c>
      <c r="C109" s="711"/>
      <c r="D109" s="703" t="s">
        <v>951</v>
      </c>
      <c r="E109" s="704" t="s">
        <v>957</v>
      </c>
      <c r="F109" s="705"/>
      <c r="G109" s="705"/>
      <c r="H109" s="705"/>
      <c r="I109" s="705"/>
      <c r="J109" s="705"/>
      <c r="K109" s="705"/>
      <c r="L109" s="705"/>
      <c r="M109" s="384" t="s">
        <v>1256</v>
      </c>
      <c r="N109" s="370"/>
    </row>
    <row r="110" spans="1:14" ht="19.95" customHeight="1">
      <c r="A110" s="239" t="s">
        <v>1024</v>
      </c>
      <c r="B110" s="709" t="s">
        <v>1258</v>
      </c>
      <c r="C110" s="696"/>
      <c r="D110" s="697" t="s">
        <v>946</v>
      </c>
      <c r="E110" s="698" t="s">
        <v>976</v>
      </c>
      <c r="F110" s="699" t="s">
        <v>984</v>
      </c>
      <c r="G110" s="699"/>
      <c r="H110" s="699"/>
      <c r="I110" s="699"/>
      <c r="J110" s="699"/>
      <c r="K110" s="699" t="s">
        <v>1025</v>
      </c>
      <c r="L110" s="699"/>
      <c r="M110" s="384" t="s">
        <v>1263</v>
      </c>
      <c r="N110" s="370"/>
    </row>
    <row r="111" spans="1:14" ht="19.95" customHeight="1" outlineLevel="1">
      <c r="A111" s="234" t="s">
        <v>981</v>
      </c>
      <c r="B111" s="702" t="s">
        <v>265</v>
      </c>
      <c r="C111" s="702"/>
      <c r="D111" s="703" t="s">
        <v>946</v>
      </c>
      <c r="E111" s="704" t="s">
        <v>957</v>
      </c>
      <c r="F111" s="705"/>
      <c r="G111" s="705"/>
      <c r="H111" s="705"/>
      <c r="I111" s="705"/>
      <c r="J111" s="705"/>
      <c r="K111" s="705"/>
      <c r="L111" s="705"/>
      <c r="M111" s="384" t="s">
        <v>1263</v>
      </c>
      <c r="N111" s="370"/>
    </row>
    <row r="112" spans="1:14" ht="19.95" customHeight="1" outlineLevel="1">
      <c r="A112" s="244" t="s">
        <v>1006</v>
      </c>
      <c r="B112" s="702" t="s">
        <v>266</v>
      </c>
      <c r="C112" s="702"/>
      <c r="D112" s="703" t="s">
        <v>946</v>
      </c>
      <c r="E112" s="704" t="s">
        <v>957</v>
      </c>
      <c r="F112" s="705"/>
      <c r="G112" s="705"/>
      <c r="H112" s="705"/>
      <c r="I112" s="705"/>
      <c r="J112" s="705"/>
      <c r="K112" s="705"/>
      <c r="L112" s="705"/>
      <c r="M112" s="384" t="s">
        <v>1263</v>
      </c>
      <c r="N112" s="370"/>
    </row>
    <row r="113" spans="1:14" ht="19.95" customHeight="1" outlineLevel="1">
      <c r="A113" s="244" t="s">
        <v>214</v>
      </c>
      <c r="B113" s="702" t="s">
        <v>267</v>
      </c>
      <c r="C113" s="702"/>
      <c r="D113" s="703" t="s">
        <v>951</v>
      </c>
      <c r="E113" s="704" t="s">
        <v>957</v>
      </c>
      <c r="F113" s="705"/>
      <c r="G113" s="705"/>
      <c r="H113" s="705"/>
      <c r="I113" s="705"/>
      <c r="J113" s="705"/>
      <c r="K113" s="705"/>
      <c r="L113" s="705"/>
      <c r="M113" s="384" t="s">
        <v>1263</v>
      </c>
      <c r="N113" s="370"/>
    </row>
    <row r="114" spans="1:14" ht="19.95" customHeight="1" outlineLevel="1">
      <c r="A114" s="244" t="s">
        <v>216</v>
      </c>
      <c r="B114" s="702" t="s">
        <v>167</v>
      </c>
      <c r="C114" s="702"/>
      <c r="D114" s="703" t="s">
        <v>946</v>
      </c>
      <c r="E114" s="704" t="s">
        <v>957</v>
      </c>
      <c r="F114" s="705"/>
      <c r="G114" s="705"/>
      <c r="H114" s="705"/>
      <c r="I114" s="705"/>
      <c r="J114" s="705"/>
      <c r="K114" s="705"/>
      <c r="L114" s="705"/>
      <c r="M114" s="384" t="s">
        <v>1263</v>
      </c>
      <c r="N114" s="370"/>
    </row>
    <row r="115" spans="1:14" ht="19.95" customHeight="1" outlineLevel="1">
      <c r="A115" s="244" t="s">
        <v>250</v>
      </c>
      <c r="B115" s="702" t="s">
        <v>168</v>
      </c>
      <c r="C115" s="702"/>
      <c r="D115" s="703" t="s">
        <v>946</v>
      </c>
      <c r="E115" s="704" t="s">
        <v>957</v>
      </c>
      <c r="F115" s="705"/>
      <c r="G115" s="705"/>
      <c r="H115" s="705"/>
      <c r="I115" s="705"/>
      <c r="J115" s="705"/>
      <c r="K115" s="705"/>
      <c r="L115" s="705"/>
      <c r="M115" s="384" t="s">
        <v>1263</v>
      </c>
      <c r="N115" s="370"/>
    </row>
    <row r="116" spans="1:14" ht="19.95" customHeight="1" outlineLevel="1">
      <c r="A116" s="234" t="s">
        <v>952</v>
      </c>
      <c r="B116" s="708" t="s">
        <v>1261</v>
      </c>
      <c r="C116" s="702"/>
      <c r="D116" s="703" t="s">
        <v>951</v>
      </c>
      <c r="E116" s="704" t="s">
        <v>957</v>
      </c>
      <c r="F116" s="705"/>
      <c r="G116" s="705"/>
      <c r="H116" s="705"/>
      <c r="I116" s="705"/>
      <c r="J116" s="705"/>
      <c r="K116" s="705"/>
      <c r="L116" s="705"/>
      <c r="M116" s="384" t="s">
        <v>1263</v>
      </c>
      <c r="N116" s="370"/>
    </row>
    <row r="117" spans="1:14" ht="19.95" customHeight="1" outlineLevel="1">
      <c r="A117" s="234" t="s">
        <v>982</v>
      </c>
      <c r="B117" s="702" t="s">
        <v>269</v>
      </c>
      <c r="C117" s="702"/>
      <c r="D117" s="703" t="s">
        <v>946</v>
      </c>
      <c r="E117" s="704" t="s">
        <v>957</v>
      </c>
      <c r="F117" s="705"/>
      <c r="G117" s="705"/>
      <c r="H117" s="705"/>
      <c r="I117" s="705"/>
      <c r="J117" s="705"/>
      <c r="K117" s="705"/>
      <c r="L117" s="705"/>
      <c r="M117" s="384" t="s">
        <v>1263</v>
      </c>
      <c r="N117" s="370"/>
    </row>
    <row r="118" spans="1:14" ht="19.95" customHeight="1">
      <c r="A118" s="239" t="s">
        <v>1026</v>
      </c>
      <c r="B118" s="695" t="s">
        <v>1027</v>
      </c>
      <c r="C118" s="696"/>
      <c r="D118" s="697" t="s">
        <v>970</v>
      </c>
      <c r="E118" s="698" t="s">
        <v>934</v>
      </c>
      <c r="F118" s="699" t="s">
        <v>979</v>
      </c>
      <c r="G118" s="699"/>
      <c r="H118" s="699"/>
      <c r="I118" s="699"/>
      <c r="J118" s="699"/>
      <c r="K118" s="699"/>
      <c r="L118" s="699"/>
      <c r="M118" s="388" t="s">
        <v>1264</v>
      </c>
      <c r="N118" s="370"/>
    </row>
    <row r="119" spans="1:14" ht="19.95" customHeight="1" outlineLevel="1">
      <c r="A119" s="234" t="s">
        <v>981</v>
      </c>
      <c r="B119" s="702" t="s">
        <v>272</v>
      </c>
      <c r="C119" s="702"/>
      <c r="D119" s="703" t="s">
        <v>970</v>
      </c>
      <c r="E119" s="704" t="s">
        <v>957</v>
      </c>
      <c r="F119" s="705"/>
      <c r="G119" s="705"/>
      <c r="H119" s="705"/>
      <c r="I119" s="705"/>
      <c r="J119" s="705"/>
      <c r="K119" s="705"/>
      <c r="L119" s="705"/>
      <c r="M119" s="388" t="s">
        <v>1264</v>
      </c>
      <c r="N119" s="370"/>
    </row>
    <row r="120" spans="1:14" ht="19.95" customHeight="1" outlineLevel="1">
      <c r="A120" s="234" t="s">
        <v>935</v>
      </c>
      <c r="B120" s="702" t="s">
        <v>273</v>
      </c>
      <c r="C120" s="702"/>
      <c r="D120" s="703" t="s">
        <v>969</v>
      </c>
      <c r="E120" s="704" t="s">
        <v>957</v>
      </c>
      <c r="F120" s="705"/>
      <c r="G120" s="705"/>
      <c r="H120" s="705"/>
      <c r="I120" s="705"/>
      <c r="J120" s="705"/>
      <c r="K120" s="705"/>
      <c r="L120" s="705"/>
      <c r="M120" s="388" t="s">
        <v>1264</v>
      </c>
      <c r="N120" s="370"/>
    </row>
    <row r="121" spans="1:14" ht="19.95" customHeight="1" outlineLevel="1">
      <c r="A121" s="234" t="s">
        <v>48</v>
      </c>
      <c r="B121" s="702" t="s">
        <v>274</v>
      </c>
      <c r="C121" s="702"/>
      <c r="D121" s="703" t="s">
        <v>969</v>
      </c>
      <c r="E121" s="704" t="s">
        <v>957</v>
      </c>
      <c r="F121" s="705"/>
      <c r="G121" s="705"/>
      <c r="H121" s="705"/>
      <c r="I121" s="705"/>
      <c r="J121" s="705"/>
      <c r="K121" s="705"/>
      <c r="L121" s="705"/>
      <c r="M121" s="388" t="s">
        <v>1264</v>
      </c>
      <c r="N121" s="370"/>
    </row>
    <row r="122" spans="1:14" ht="19.95" customHeight="1" outlineLevel="1">
      <c r="A122" s="234" t="s">
        <v>49</v>
      </c>
      <c r="B122" s="702" t="s">
        <v>275</v>
      </c>
      <c r="C122" s="702"/>
      <c r="D122" s="703" t="s">
        <v>970</v>
      </c>
      <c r="E122" s="704" t="s">
        <v>934</v>
      </c>
      <c r="F122" s="705"/>
      <c r="G122" s="705"/>
      <c r="H122" s="705"/>
      <c r="I122" s="705"/>
      <c r="J122" s="705"/>
      <c r="K122" s="705"/>
      <c r="L122" s="705"/>
      <c r="M122" s="388" t="s">
        <v>1264</v>
      </c>
      <c r="N122" s="370"/>
    </row>
    <row r="123" spans="1:14" ht="19.95" customHeight="1" outlineLevel="1">
      <c r="A123" s="234" t="s">
        <v>54</v>
      </c>
      <c r="B123" s="702" t="s">
        <v>29</v>
      </c>
      <c r="C123" s="702"/>
      <c r="D123" s="703" t="s">
        <v>969</v>
      </c>
      <c r="E123" s="704" t="s">
        <v>957</v>
      </c>
      <c r="F123" s="705"/>
      <c r="G123" s="705"/>
      <c r="H123" s="705"/>
      <c r="I123" s="705"/>
      <c r="J123" s="705"/>
      <c r="K123" s="705"/>
      <c r="L123" s="705"/>
      <c r="M123" s="388" t="s">
        <v>1099</v>
      </c>
      <c r="N123" s="370"/>
    </row>
    <row r="124" spans="1:14" ht="19.95" customHeight="1" outlineLevel="1">
      <c r="A124" s="234" t="s">
        <v>55</v>
      </c>
      <c r="B124" s="702" t="s">
        <v>276</v>
      </c>
      <c r="C124" s="702"/>
      <c r="D124" s="703" t="s">
        <v>970</v>
      </c>
      <c r="E124" s="704" t="s">
        <v>957</v>
      </c>
      <c r="F124" s="705"/>
      <c r="G124" s="705"/>
      <c r="H124" s="705"/>
      <c r="I124" s="705"/>
      <c r="J124" s="705"/>
      <c r="K124" s="705"/>
      <c r="L124" s="705"/>
      <c r="M124" s="388" t="s">
        <v>1264</v>
      </c>
      <c r="N124" s="370"/>
    </row>
    <row r="125" spans="1:14" ht="19.95" customHeight="1">
      <c r="A125" s="239" t="s">
        <v>1028</v>
      </c>
      <c r="B125" s="695" t="s">
        <v>1029</v>
      </c>
      <c r="C125" s="696"/>
      <c r="D125" s="697" t="s">
        <v>946</v>
      </c>
      <c r="E125" s="698" t="s">
        <v>23</v>
      </c>
      <c r="F125" s="699" t="s">
        <v>979</v>
      </c>
      <c r="G125" s="699"/>
      <c r="H125" s="699"/>
      <c r="I125" s="699"/>
      <c r="J125" s="699"/>
      <c r="K125" s="714"/>
      <c r="L125" s="715"/>
      <c r="M125" s="388" t="s">
        <v>1096</v>
      </c>
      <c r="N125" s="685" t="s">
        <v>1203</v>
      </c>
    </row>
    <row r="126" spans="1:14" ht="19.95" customHeight="1" outlineLevel="1">
      <c r="A126" s="234" t="s">
        <v>46</v>
      </c>
      <c r="B126" s="708" t="s">
        <v>1094</v>
      </c>
      <c r="C126" s="702"/>
      <c r="D126" s="703" t="s">
        <v>1030</v>
      </c>
      <c r="E126" s="704" t="s">
        <v>23</v>
      </c>
      <c r="F126" s="705"/>
      <c r="G126" s="705"/>
      <c r="H126" s="705"/>
      <c r="I126" s="705"/>
      <c r="J126" s="705"/>
      <c r="K126" s="716"/>
      <c r="L126" s="717"/>
      <c r="M126" s="388" t="s">
        <v>1096</v>
      </c>
      <c r="N126" s="686"/>
    </row>
    <row r="127" spans="1:14" ht="19.95" customHeight="1" outlineLevel="1">
      <c r="A127" s="234" t="s">
        <v>935</v>
      </c>
      <c r="B127" s="708" t="s">
        <v>1095</v>
      </c>
      <c r="C127" s="702"/>
      <c r="D127" s="703" t="s">
        <v>1031</v>
      </c>
      <c r="E127" s="704" t="s">
        <v>23</v>
      </c>
      <c r="F127" s="705"/>
      <c r="G127" s="705"/>
      <c r="H127" s="705"/>
      <c r="I127" s="705"/>
      <c r="J127" s="705"/>
      <c r="K127" s="716"/>
      <c r="L127" s="717"/>
      <c r="M127" s="388" t="s">
        <v>1096</v>
      </c>
      <c r="N127" s="686"/>
    </row>
    <row r="128" spans="1:14" ht="19.95" customHeight="1" outlineLevel="1">
      <c r="A128" s="234" t="s">
        <v>1032</v>
      </c>
      <c r="B128" s="702" t="s">
        <v>282</v>
      </c>
      <c r="C128" s="702"/>
      <c r="D128" s="703" t="s">
        <v>1031</v>
      </c>
      <c r="E128" s="704" t="s">
        <v>23</v>
      </c>
      <c r="F128" s="705"/>
      <c r="G128" s="705"/>
      <c r="H128" s="705"/>
      <c r="I128" s="705"/>
      <c r="J128" s="705"/>
      <c r="K128" s="716"/>
      <c r="L128" s="717"/>
      <c r="M128" s="388" t="s">
        <v>1096</v>
      </c>
      <c r="N128" s="686"/>
    </row>
    <row r="129" spans="1:14" ht="19.95" customHeight="1">
      <c r="A129" s="239" t="s">
        <v>1033</v>
      </c>
      <c r="B129" s="695" t="s">
        <v>284</v>
      </c>
      <c r="C129" s="696"/>
      <c r="D129" s="697" t="s">
        <v>946</v>
      </c>
      <c r="E129" s="698" t="s">
        <v>957</v>
      </c>
      <c r="F129" s="699" t="s">
        <v>1023</v>
      </c>
      <c r="G129" s="699"/>
      <c r="H129" s="699"/>
      <c r="I129" s="699"/>
      <c r="J129" s="699"/>
      <c r="K129" s="699"/>
      <c r="L129" s="699"/>
      <c r="M129" s="388" t="s">
        <v>1096</v>
      </c>
      <c r="N129" s="686"/>
    </row>
    <row r="130" spans="1:14" ht="19.95" customHeight="1" outlineLevel="1">
      <c r="A130" s="234" t="s">
        <v>981</v>
      </c>
      <c r="B130" s="702" t="s">
        <v>1034</v>
      </c>
      <c r="C130" s="702"/>
      <c r="D130" s="703" t="s">
        <v>946</v>
      </c>
      <c r="E130" s="704" t="s">
        <v>957</v>
      </c>
      <c r="F130" s="705"/>
      <c r="G130" s="705"/>
      <c r="H130" s="705"/>
      <c r="I130" s="705"/>
      <c r="J130" s="705"/>
      <c r="K130" s="705"/>
      <c r="L130" s="705"/>
      <c r="M130" s="388" t="s">
        <v>1096</v>
      </c>
      <c r="N130" s="686"/>
    </row>
    <row r="131" spans="1:14" ht="19.95" customHeight="1" outlineLevel="1">
      <c r="A131" s="234" t="s">
        <v>952</v>
      </c>
      <c r="B131" s="702" t="s">
        <v>286</v>
      </c>
      <c r="C131" s="702"/>
      <c r="D131" s="703" t="s">
        <v>946</v>
      </c>
      <c r="E131" s="704" t="s">
        <v>934</v>
      </c>
      <c r="F131" s="705"/>
      <c r="G131" s="705"/>
      <c r="H131" s="705"/>
      <c r="I131" s="705"/>
      <c r="J131" s="705"/>
      <c r="K131" s="705"/>
      <c r="L131" s="705"/>
      <c r="M131" s="388" t="s">
        <v>1096</v>
      </c>
      <c r="N131" s="686"/>
    </row>
    <row r="132" spans="1:14" ht="19.95" customHeight="1" outlineLevel="1">
      <c r="A132" s="234" t="s">
        <v>954</v>
      </c>
      <c r="B132" s="702" t="s">
        <v>287</v>
      </c>
      <c r="C132" s="702"/>
      <c r="D132" s="703" t="s">
        <v>951</v>
      </c>
      <c r="E132" s="704" t="s">
        <v>934</v>
      </c>
      <c r="F132" s="705"/>
      <c r="G132" s="705"/>
      <c r="H132" s="705"/>
      <c r="I132" s="705"/>
      <c r="J132" s="705"/>
      <c r="K132" s="705"/>
      <c r="L132" s="705"/>
      <c r="M132" s="388" t="s">
        <v>1096</v>
      </c>
      <c r="N132" s="687"/>
    </row>
    <row r="133" spans="1:14" ht="31.8" customHeight="1">
      <c r="A133" s="236" t="s">
        <v>1035</v>
      </c>
      <c r="B133" s="695" t="s">
        <v>56</v>
      </c>
      <c r="C133" s="696"/>
      <c r="D133" s="697" t="s">
        <v>962</v>
      </c>
      <c r="E133" s="698" t="s">
        <v>934</v>
      </c>
      <c r="F133" s="699" t="s">
        <v>1036</v>
      </c>
      <c r="G133" s="699"/>
      <c r="H133" s="699"/>
      <c r="I133" s="699"/>
      <c r="J133" s="699"/>
      <c r="K133" s="699" t="s">
        <v>1037</v>
      </c>
      <c r="L133" s="699"/>
      <c r="M133" s="374" t="s">
        <v>1089</v>
      </c>
      <c r="N133" s="380" t="s">
        <v>1081</v>
      </c>
    </row>
    <row r="134" spans="1:14" ht="19.95" customHeight="1">
      <c r="A134" s="239" t="s">
        <v>1038</v>
      </c>
      <c r="B134" s="695" t="s">
        <v>292</v>
      </c>
      <c r="C134" s="696"/>
      <c r="D134" s="697" t="s">
        <v>970</v>
      </c>
      <c r="E134" s="698" t="s">
        <v>957</v>
      </c>
      <c r="F134" s="699" t="s">
        <v>984</v>
      </c>
      <c r="G134" s="699"/>
      <c r="H134" s="699"/>
      <c r="I134" s="699"/>
      <c r="J134" s="699"/>
      <c r="K134" s="699"/>
      <c r="L134" s="699"/>
      <c r="M134" s="374" t="s">
        <v>1100</v>
      </c>
      <c r="N134" s="678" t="s">
        <v>1097</v>
      </c>
    </row>
    <row r="135" spans="1:14" ht="19.95" customHeight="1" outlineLevel="1">
      <c r="A135" s="246" t="s">
        <v>949</v>
      </c>
      <c r="B135" s="702" t="s">
        <v>293</v>
      </c>
      <c r="C135" s="702"/>
      <c r="D135" s="703" t="s">
        <v>970</v>
      </c>
      <c r="E135" s="704" t="s">
        <v>957</v>
      </c>
      <c r="F135" s="705"/>
      <c r="G135" s="705"/>
      <c r="H135" s="705"/>
      <c r="I135" s="705"/>
      <c r="J135" s="705"/>
      <c r="K135" s="705"/>
      <c r="L135" s="705"/>
      <c r="M135" s="374" t="s">
        <v>1100</v>
      </c>
      <c r="N135" s="679"/>
    </row>
    <row r="136" spans="1:14" ht="19.95" customHeight="1" outlineLevel="1">
      <c r="A136" s="246" t="s">
        <v>935</v>
      </c>
      <c r="B136" s="702" t="s">
        <v>294</v>
      </c>
      <c r="C136" s="702"/>
      <c r="D136" s="703" t="s">
        <v>970</v>
      </c>
      <c r="E136" s="704" t="s">
        <v>957</v>
      </c>
      <c r="F136" s="705"/>
      <c r="G136" s="705"/>
      <c r="H136" s="705"/>
      <c r="I136" s="705"/>
      <c r="J136" s="705"/>
      <c r="K136" s="705"/>
      <c r="L136" s="705"/>
      <c r="M136" s="374" t="s">
        <v>1100</v>
      </c>
      <c r="N136" s="679"/>
    </row>
    <row r="137" spans="1:14" ht="19.95" customHeight="1" outlineLevel="1">
      <c r="A137" s="246" t="s">
        <v>954</v>
      </c>
      <c r="B137" s="702" t="s">
        <v>295</v>
      </c>
      <c r="C137" s="702"/>
      <c r="D137" s="703" t="s">
        <v>969</v>
      </c>
      <c r="E137" s="704" t="s">
        <v>957</v>
      </c>
      <c r="F137" s="705"/>
      <c r="G137" s="705"/>
      <c r="H137" s="705"/>
      <c r="I137" s="705"/>
      <c r="J137" s="705"/>
      <c r="K137" s="705"/>
      <c r="L137" s="705"/>
      <c r="M137" s="374" t="s">
        <v>1100</v>
      </c>
      <c r="N137" s="679"/>
    </row>
    <row r="138" spans="1:14" ht="19.95" customHeight="1">
      <c r="A138" s="239" t="s">
        <v>1039</v>
      </c>
      <c r="B138" s="695" t="s">
        <v>57</v>
      </c>
      <c r="C138" s="696"/>
      <c r="D138" s="697" t="s">
        <v>946</v>
      </c>
      <c r="E138" s="698" t="s">
        <v>23</v>
      </c>
      <c r="F138" s="699" t="s">
        <v>984</v>
      </c>
      <c r="G138" s="699"/>
      <c r="H138" s="699"/>
      <c r="I138" s="699"/>
      <c r="J138" s="699"/>
      <c r="K138" s="699"/>
      <c r="L138" s="699"/>
      <c r="M138" s="374" t="s">
        <v>1103</v>
      </c>
      <c r="N138" s="289" t="s">
        <v>787</v>
      </c>
    </row>
    <row r="139" spans="1:14" ht="19.95" customHeight="1">
      <c r="A139" s="248" t="s">
        <v>1040</v>
      </c>
      <c r="B139" s="695" t="s">
        <v>58</v>
      </c>
      <c r="C139" s="696"/>
      <c r="D139" s="697" t="s">
        <v>962</v>
      </c>
      <c r="E139" s="698" t="s">
        <v>23</v>
      </c>
      <c r="F139" s="699" t="s">
        <v>1041</v>
      </c>
      <c r="G139" s="699"/>
      <c r="H139" s="699"/>
      <c r="I139" s="699"/>
      <c r="J139" s="699"/>
      <c r="K139" s="699" t="s">
        <v>1042</v>
      </c>
      <c r="L139" s="699"/>
      <c r="M139" s="374" t="s">
        <v>1104</v>
      </c>
      <c r="N139" s="389" t="s">
        <v>1101</v>
      </c>
    </row>
    <row r="140" spans="1:14" ht="22.5" customHeight="1"/>
    <row r="141" spans="1:14" ht="22.5" customHeight="1">
      <c r="B141" s="148" t="s">
        <v>1043</v>
      </c>
    </row>
    <row r="142" spans="1:14" ht="22.5" customHeight="1">
      <c r="A142" s="370"/>
      <c r="B142" s="250" t="s">
        <v>1044</v>
      </c>
    </row>
    <row r="143" spans="1:14" ht="33.75" customHeight="1">
      <c r="A143" s="370"/>
      <c r="B143" s="620" t="s">
        <v>302</v>
      </c>
      <c r="C143" s="620"/>
      <c r="D143" s="370"/>
      <c r="E143" s="370"/>
      <c r="F143" s="370"/>
      <c r="G143" s="370"/>
      <c r="H143" s="370"/>
      <c r="I143" s="370"/>
      <c r="J143" s="370"/>
      <c r="K143" s="370"/>
      <c r="L143" s="370"/>
      <c r="M143" s="370"/>
      <c r="N143" s="370"/>
    </row>
    <row r="144" spans="1:14" ht="33.75" customHeight="1">
      <c r="A144" s="370"/>
      <c r="B144" s="620" t="s">
        <v>1045</v>
      </c>
      <c r="C144" s="620"/>
      <c r="D144" s="370"/>
      <c r="E144" s="370"/>
      <c r="F144" s="370"/>
      <c r="G144" s="370"/>
      <c r="H144" s="370"/>
      <c r="I144" s="370"/>
      <c r="J144" s="370"/>
      <c r="K144" s="370"/>
      <c r="L144" s="370"/>
      <c r="M144" s="370"/>
      <c r="N144" s="370"/>
    </row>
    <row r="145" spans="1:14" ht="33.75" customHeight="1">
      <c r="A145" s="370"/>
      <c r="B145" s="620" t="s">
        <v>1046</v>
      </c>
      <c r="C145" s="620"/>
      <c r="D145" s="370"/>
      <c r="E145" s="370"/>
      <c r="F145" s="370"/>
      <c r="G145" s="370"/>
      <c r="H145" s="370"/>
      <c r="I145" s="370"/>
      <c r="J145" s="370"/>
      <c r="K145" s="370"/>
      <c r="L145" s="370"/>
      <c r="M145" s="370"/>
      <c r="N145" s="370"/>
    </row>
    <row r="146" spans="1:14" ht="33.75" customHeight="1">
      <c r="A146" s="370"/>
      <c r="B146" s="620" t="s">
        <v>1047</v>
      </c>
      <c r="C146" s="620"/>
      <c r="D146" s="370"/>
      <c r="E146" s="370"/>
      <c r="F146" s="370"/>
      <c r="G146" s="370"/>
      <c r="H146" s="370"/>
      <c r="I146" s="370"/>
      <c r="J146" s="370"/>
      <c r="K146" s="370"/>
      <c r="L146" s="370"/>
      <c r="M146" s="370"/>
      <c r="N146" s="370"/>
    </row>
    <row r="147" spans="1:14" ht="43.5" customHeight="1">
      <c r="A147" s="370"/>
      <c r="B147" s="620" t="s">
        <v>1048</v>
      </c>
      <c r="C147" s="620"/>
      <c r="D147" s="370"/>
      <c r="E147" s="370"/>
      <c r="F147" s="370"/>
      <c r="G147" s="370"/>
      <c r="H147" s="370"/>
      <c r="I147" s="370"/>
      <c r="J147" s="370"/>
      <c r="K147" s="370"/>
      <c r="L147" s="370"/>
      <c r="M147" s="370"/>
      <c r="N147" s="370"/>
    </row>
    <row r="148" spans="1:14">
      <c r="A148" s="370"/>
      <c r="D148" s="370"/>
      <c r="E148" s="370"/>
      <c r="F148" s="370"/>
      <c r="G148" s="370"/>
      <c r="H148" s="370"/>
      <c r="I148" s="370"/>
      <c r="J148" s="370"/>
      <c r="K148" s="370"/>
      <c r="L148" s="370"/>
    </row>
    <row r="149" spans="1:14">
      <c r="A149" s="370"/>
      <c r="D149" s="370"/>
      <c r="E149" s="370"/>
      <c r="F149" s="370"/>
      <c r="G149" s="370"/>
      <c r="H149" s="370"/>
      <c r="I149" s="370"/>
      <c r="J149" s="370"/>
      <c r="K149" s="370"/>
      <c r="L149" s="370"/>
    </row>
    <row r="150" spans="1:14">
      <c r="A150" s="370"/>
      <c r="D150" s="370"/>
      <c r="E150" s="370"/>
      <c r="F150" s="370"/>
      <c r="G150" s="370"/>
      <c r="H150" s="370"/>
      <c r="I150" s="370"/>
      <c r="J150" s="370"/>
      <c r="K150" s="370"/>
      <c r="L150" s="370"/>
    </row>
    <row r="151" spans="1:14">
      <c r="D151" s="370"/>
      <c r="E151" s="370"/>
      <c r="F151" s="370"/>
      <c r="G151" s="370"/>
      <c r="H151" s="370"/>
      <c r="I151" s="370"/>
      <c r="J151" s="370"/>
      <c r="K151" s="370"/>
      <c r="L151" s="370"/>
    </row>
    <row r="152" spans="1:14">
      <c r="D152" s="370"/>
      <c r="E152" s="370"/>
      <c r="F152" s="370"/>
      <c r="G152" s="370"/>
      <c r="H152" s="370"/>
      <c r="I152" s="370"/>
      <c r="J152" s="370"/>
      <c r="K152" s="370"/>
      <c r="L152" s="370"/>
    </row>
    <row r="153" spans="1:14">
      <c r="D153" s="370"/>
      <c r="E153" s="370"/>
      <c r="F153" s="370"/>
      <c r="G153" s="370"/>
      <c r="H153" s="370"/>
      <c r="I153" s="370"/>
      <c r="J153" s="370"/>
      <c r="K153" s="370"/>
      <c r="L153" s="370"/>
    </row>
    <row r="154" spans="1:14">
      <c r="D154" s="370"/>
      <c r="E154" s="370"/>
      <c r="F154" s="370"/>
      <c r="G154" s="370"/>
      <c r="H154" s="370"/>
      <c r="I154" s="370"/>
      <c r="J154" s="370"/>
      <c r="K154" s="370"/>
      <c r="L154" s="370"/>
    </row>
    <row r="155" spans="1:14">
      <c r="D155" s="370"/>
      <c r="E155" s="370"/>
      <c r="F155" s="370"/>
      <c r="G155" s="370"/>
      <c r="H155" s="370"/>
      <c r="I155" s="370"/>
      <c r="J155" s="370"/>
      <c r="K155" s="370"/>
      <c r="L155" s="370"/>
    </row>
    <row r="156" spans="1:14">
      <c r="D156" s="370"/>
      <c r="E156" s="370"/>
      <c r="F156" s="370"/>
      <c r="G156" s="370"/>
      <c r="H156" s="370"/>
      <c r="I156" s="370"/>
      <c r="J156" s="370"/>
      <c r="K156" s="370"/>
      <c r="L156" s="370"/>
    </row>
    <row r="157" spans="1:14">
      <c r="D157" s="370"/>
      <c r="E157" s="370"/>
      <c r="F157" s="370"/>
      <c r="G157" s="370"/>
      <c r="H157" s="370"/>
      <c r="I157" s="370"/>
      <c r="J157" s="370"/>
      <c r="K157" s="370"/>
      <c r="L157" s="370"/>
    </row>
    <row r="158" spans="1:14">
      <c r="D158" s="370"/>
      <c r="E158" s="370"/>
      <c r="F158" s="370"/>
      <c r="G158" s="370"/>
      <c r="H158" s="370"/>
      <c r="I158" s="370"/>
      <c r="J158" s="370"/>
      <c r="K158" s="370"/>
      <c r="L158" s="370"/>
    </row>
    <row r="159" spans="1:14">
      <c r="D159" s="370"/>
      <c r="E159" s="370"/>
      <c r="F159" s="370"/>
      <c r="G159" s="370"/>
      <c r="H159" s="370"/>
      <c r="I159" s="370"/>
      <c r="J159" s="370"/>
      <c r="K159" s="370"/>
      <c r="L159" s="370"/>
    </row>
    <row r="160" spans="1:14">
      <c r="D160" s="370"/>
      <c r="E160" s="370"/>
      <c r="F160" s="370"/>
      <c r="G160" s="370"/>
      <c r="H160" s="370"/>
      <c r="I160" s="370"/>
      <c r="J160" s="370"/>
      <c r="K160" s="370"/>
      <c r="L160" s="370"/>
    </row>
    <row r="161" spans="4:12">
      <c r="D161" s="370"/>
      <c r="E161" s="370"/>
      <c r="F161" s="370"/>
      <c r="G161" s="370"/>
      <c r="H161" s="370"/>
      <c r="I161" s="370"/>
      <c r="J161" s="370"/>
      <c r="K161" s="370"/>
      <c r="L161" s="370"/>
    </row>
    <row r="162" spans="4:12">
      <c r="D162" s="370"/>
      <c r="E162" s="370"/>
      <c r="F162" s="370"/>
      <c r="G162" s="370"/>
      <c r="H162" s="370"/>
      <c r="I162" s="370"/>
      <c r="J162" s="370"/>
      <c r="K162" s="370"/>
      <c r="L162" s="370"/>
    </row>
  </sheetData>
  <autoFilter ref="A16:O139">
    <filterColumn colId="1" showButton="0"/>
    <filterColumn colId="5" showButton="0"/>
    <filterColumn colId="6" showButton="0"/>
    <filterColumn colId="7" showButton="0"/>
    <filterColumn colId="8" showButton="0"/>
    <filterColumn colId="10" showButton="0"/>
  </autoFilter>
  <mergeCells count="530">
    <mergeCell ref="N39:N42"/>
    <mergeCell ref="N43:N45"/>
    <mergeCell ref="N49:N53"/>
    <mergeCell ref="N54:N62"/>
    <mergeCell ref="B145:C145"/>
    <mergeCell ref="B146:C146"/>
    <mergeCell ref="B147:C147"/>
    <mergeCell ref="N17:N20"/>
    <mergeCell ref="N21:N23"/>
    <mergeCell ref="N24:N28"/>
    <mergeCell ref="N29:N31"/>
    <mergeCell ref="N32:N33"/>
    <mergeCell ref="B139:C139"/>
    <mergeCell ref="D139:E139"/>
    <mergeCell ref="F139:J139"/>
    <mergeCell ref="K139:L139"/>
    <mergeCell ref="B143:C143"/>
    <mergeCell ref="B144:C144"/>
    <mergeCell ref="B137:C137"/>
    <mergeCell ref="D137:E137"/>
    <mergeCell ref="F137:J137"/>
    <mergeCell ref="K137:L137"/>
    <mergeCell ref="B138:C138"/>
    <mergeCell ref="D138:E138"/>
    <mergeCell ref="F138:J138"/>
    <mergeCell ref="K138:L138"/>
    <mergeCell ref="B135:C135"/>
    <mergeCell ref="D135:E135"/>
    <mergeCell ref="F135:J135"/>
    <mergeCell ref="K135:L135"/>
    <mergeCell ref="B136:C136"/>
    <mergeCell ref="D136:E136"/>
    <mergeCell ref="F136:J136"/>
    <mergeCell ref="K136:L136"/>
    <mergeCell ref="B133:C133"/>
    <mergeCell ref="D133:E133"/>
    <mergeCell ref="F133:J133"/>
    <mergeCell ref="K133:L133"/>
    <mergeCell ref="B134:C134"/>
    <mergeCell ref="D134:E134"/>
    <mergeCell ref="F134:J134"/>
    <mergeCell ref="K134:L134"/>
    <mergeCell ref="B131:C131"/>
    <mergeCell ref="D131:E131"/>
    <mergeCell ref="F131:J131"/>
    <mergeCell ref="K131:L131"/>
    <mergeCell ref="B132:C132"/>
    <mergeCell ref="D132:E132"/>
    <mergeCell ref="F132:J132"/>
    <mergeCell ref="K132:L132"/>
    <mergeCell ref="B129:C129"/>
    <mergeCell ref="D129:E129"/>
    <mergeCell ref="F129:J129"/>
    <mergeCell ref="K129:L129"/>
    <mergeCell ref="B130:C130"/>
    <mergeCell ref="D130:E130"/>
    <mergeCell ref="F130:J130"/>
    <mergeCell ref="K130:L130"/>
    <mergeCell ref="B127:C127"/>
    <mergeCell ref="D127:E127"/>
    <mergeCell ref="F127:J127"/>
    <mergeCell ref="K127:L127"/>
    <mergeCell ref="B128:C128"/>
    <mergeCell ref="D128:E128"/>
    <mergeCell ref="F128:J128"/>
    <mergeCell ref="K128:L128"/>
    <mergeCell ref="B125:C125"/>
    <mergeCell ref="D125:E125"/>
    <mergeCell ref="F125:J125"/>
    <mergeCell ref="K125:L125"/>
    <mergeCell ref="B126:C126"/>
    <mergeCell ref="D126:E126"/>
    <mergeCell ref="F126:J126"/>
    <mergeCell ref="K126:L126"/>
    <mergeCell ref="B123:C123"/>
    <mergeCell ref="D123:E123"/>
    <mergeCell ref="F123:J123"/>
    <mergeCell ref="K123:L123"/>
    <mergeCell ref="B124:C124"/>
    <mergeCell ref="D124:E124"/>
    <mergeCell ref="F124:J124"/>
    <mergeCell ref="K124:L124"/>
    <mergeCell ref="B121:C121"/>
    <mergeCell ref="D121:E121"/>
    <mergeCell ref="F121:J121"/>
    <mergeCell ref="K121:L121"/>
    <mergeCell ref="B122:C122"/>
    <mergeCell ref="D122:E122"/>
    <mergeCell ref="F122:J122"/>
    <mergeCell ref="K122:L122"/>
    <mergeCell ref="B119:C119"/>
    <mergeCell ref="D119:E119"/>
    <mergeCell ref="F119:J119"/>
    <mergeCell ref="K119:L119"/>
    <mergeCell ref="B120:C120"/>
    <mergeCell ref="D120:E120"/>
    <mergeCell ref="F120:J120"/>
    <mergeCell ref="K120:L120"/>
    <mergeCell ref="B117:C117"/>
    <mergeCell ref="D117:E117"/>
    <mergeCell ref="F117:J117"/>
    <mergeCell ref="K117:L117"/>
    <mergeCell ref="B118:C118"/>
    <mergeCell ref="D118:E118"/>
    <mergeCell ref="F118:J118"/>
    <mergeCell ref="K118:L118"/>
    <mergeCell ref="B115:C115"/>
    <mergeCell ref="D115:E115"/>
    <mergeCell ref="F115:J115"/>
    <mergeCell ref="K115:L115"/>
    <mergeCell ref="B116:C116"/>
    <mergeCell ref="D116:E116"/>
    <mergeCell ref="F116:J116"/>
    <mergeCell ref="K116:L116"/>
    <mergeCell ref="B113:C113"/>
    <mergeCell ref="D113:E113"/>
    <mergeCell ref="F113:J113"/>
    <mergeCell ref="K113:L113"/>
    <mergeCell ref="B114:C114"/>
    <mergeCell ref="D114:E114"/>
    <mergeCell ref="F114:J114"/>
    <mergeCell ref="K114:L114"/>
    <mergeCell ref="B111:C111"/>
    <mergeCell ref="D111:E111"/>
    <mergeCell ref="F111:J111"/>
    <mergeCell ref="K111:L111"/>
    <mergeCell ref="B112:C112"/>
    <mergeCell ref="D112:E112"/>
    <mergeCell ref="F112:J112"/>
    <mergeCell ref="K112:L112"/>
    <mergeCell ref="B109:C109"/>
    <mergeCell ref="D109:E109"/>
    <mergeCell ref="F109:J109"/>
    <mergeCell ref="K109:L109"/>
    <mergeCell ref="B110:C110"/>
    <mergeCell ref="D110:E110"/>
    <mergeCell ref="F110:J110"/>
    <mergeCell ref="K110:L110"/>
    <mergeCell ref="B107:C107"/>
    <mergeCell ref="D107:E107"/>
    <mergeCell ref="F107:J107"/>
    <mergeCell ref="K107:L107"/>
    <mergeCell ref="B108:C108"/>
    <mergeCell ref="D108:E108"/>
    <mergeCell ref="F108:J108"/>
    <mergeCell ref="K108:L108"/>
    <mergeCell ref="B105:C105"/>
    <mergeCell ref="D105:E105"/>
    <mergeCell ref="F105:J105"/>
    <mergeCell ref="K105:L105"/>
    <mergeCell ref="B106:C106"/>
    <mergeCell ref="D106:E106"/>
    <mergeCell ref="F106:J106"/>
    <mergeCell ref="K106:L106"/>
    <mergeCell ref="B103:C103"/>
    <mergeCell ref="D103:E103"/>
    <mergeCell ref="F103:J103"/>
    <mergeCell ref="K103:L103"/>
    <mergeCell ref="B104:C104"/>
    <mergeCell ref="D104:E104"/>
    <mergeCell ref="F104:J104"/>
    <mergeCell ref="K104:L104"/>
    <mergeCell ref="B101:C101"/>
    <mergeCell ref="D101:E101"/>
    <mergeCell ref="F101:J101"/>
    <mergeCell ref="K101:L101"/>
    <mergeCell ref="B102:C102"/>
    <mergeCell ref="D102:E102"/>
    <mergeCell ref="F102:J102"/>
    <mergeCell ref="K102:L102"/>
    <mergeCell ref="B99:C99"/>
    <mergeCell ref="D99:E99"/>
    <mergeCell ref="F99:J99"/>
    <mergeCell ref="K99:L99"/>
    <mergeCell ref="B100:C100"/>
    <mergeCell ref="D100:E100"/>
    <mergeCell ref="F100:J100"/>
    <mergeCell ref="K100:L100"/>
    <mergeCell ref="B97:C97"/>
    <mergeCell ref="D97:E97"/>
    <mergeCell ref="F97:J97"/>
    <mergeCell ref="K97:L97"/>
    <mergeCell ref="B98:C98"/>
    <mergeCell ref="D98:E98"/>
    <mergeCell ref="F98:J98"/>
    <mergeCell ref="K98:L98"/>
    <mergeCell ref="B95:C95"/>
    <mergeCell ref="D95:E95"/>
    <mergeCell ref="F95:J95"/>
    <mergeCell ref="K95:L95"/>
    <mergeCell ref="B96:C96"/>
    <mergeCell ref="D96:E96"/>
    <mergeCell ref="F96:J96"/>
    <mergeCell ref="K96:L96"/>
    <mergeCell ref="B93:C93"/>
    <mergeCell ref="D93:E93"/>
    <mergeCell ref="F93:J93"/>
    <mergeCell ref="K93:L93"/>
    <mergeCell ref="B94:C94"/>
    <mergeCell ref="D94:E94"/>
    <mergeCell ref="F94:J94"/>
    <mergeCell ref="K94:L94"/>
    <mergeCell ref="B91:C91"/>
    <mergeCell ref="D91:E91"/>
    <mergeCell ref="F91:J91"/>
    <mergeCell ref="K91:L91"/>
    <mergeCell ref="B92:C92"/>
    <mergeCell ref="D92:E92"/>
    <mergeCell ref="F92:J92"/>
    <mergeCell ref="K92:L92"/>
    <mergeCell ref="B89:C89"/>
    <mergeCell ref="D89:E89"/>
    <mergeCell ref="F89:J89"/>
    <mergeCell ref="K89:L89"/>
    <mergeCell ref="B90:C90"/>
    <mergeCell ref="D90:E90"/>
    <mergeCell ref="F90:J90"/>
    <mergeCell ref="K90:L90"/>
    <mergeCell ref="B87:C87"/>
    <mergeCell ref="D87:E87"/>
    <mergeCell ref="F87:J87"/>
    <mergeCell ref="K87:L87"/>
    <mergeCell ref="B88:C88"/>
    <mergeCell ref="D88:E88"/>
    <mergeCell ref="F88:J88"/>
    <mergeCell ref="K88:L88"/>
    <mergeCell ref="B85:C85"/>
    <mergeCell ref="D85:E85"/>
    <mergeCell ref="F85:J85"/>
    <mergeCell ref="K85:L85"/>
    <mergeCell ref="B86:C86"/>
    <mergeCell ref="D86:E86"/>
    <mergeCell ref="F86:J86"/>
    <mergeCell ref="K86:L86"/>
    <mergeCell ref="B83:C83"/>
    <mergeCell ref="D83:E83"/>
    <mergeCell ref="F83:J83"/>
    <mergeCell ref="K83:L83"/>
    <mergeCell ref="B84:C84"/>
    <mergeCell ref="D84:E84"/>
    <mergeCell ref="F84:J84"/>
    <mergeCell ref="K84:L84"/>
    <mergeCell ref="B81:C81"/>
    <mergeCell ref="D81:E81"/>
    <mergeCell ref="F81:J81"/>
    <mergeCell ref="K81:L81"/>
    <mergeCell ref="B82:C82"/>
    <mergeCell ref="D82:E82"/>
    <mergeCell ref="F82:J82"/>
    <mergeCell ref="K82:L82"/>
    <mergeCell ref="B79:C79"/>
    <mergeCell ref="D79:E79"/>
    <mergeCell ref="F79:J79"/>
    <mergeCell ref="K79:L79"/>
    <mergeCell ref="B80:C80"/>
    <mergeCell ref="D80:E80"/>
    <mergeCell ref="F80:J80"/>
    <mergeCell ref="K80:L80"/>
    <mergeCell ref="B77:C77"/>
    <mergeCell ref="D77:E77"/>
    <mergeCell ref="F77:J77"/>
    <mergeCell ref="K77:L77"/>
    <mergeCell ref="B78:C78"/>
    <mergeCell ref="D78:E78"/>
    <mergeCell ref="F78:J78"/>
    <mergeCell ref="K78:L78"/>
    <mergeCell ref="B75:C75"/>
    <mergeCell ref="D75:E75"/>
    <mergeCell ref="F75:J75"/>
    <mergeCell ref="K75:L75"/>
    <mergeCell ref="B76:C76"/>
    <mergeCell ref="D76:E76"/>
    <mergeCell ref="F76:J76"/>
    <mergeCell ref="K76:L76"/>
    <mergeCell ref="B73:C73"/>
    <mergeCell ref="D73:E73"/>
    <mergeCell ref="F73:J73"/>
    <mergeCell ref="K73:L73"/>
    <mergeCell ref="B74:C74"/>
    <mergeCell ref="D74:E74"/>
    <mergeCell ref="F74:J74"/>
    <mergeCell ref="K74:L74"/>
    <mergeCell ref="B71:C71"/>
    <mergeCell ref="D71:E71"/>
    <mergeCell ref="F71:J71"/>
    <mergeCell ref="K71:L71"/>
    <mergeCell ref="B72:C72"/>
    <mergeCell ref="D72:E72"/>
    <mergeCell ref="F72:J72"/>
    <mergeCell ref="K72:L72"/>
    <mergeCell ref="B69:C69"/>
    <mergeCell ref="D69:E69"/>
    <mergeCell ref="F69:J69"/>
    <mergeCell ref="K69:L69"/>
    <mergeCell ref="B70:C70"/>
    <mergeCell ref="D70:E70"/>
    <mergeCell ref="F70:J70"/>
    <mergeCell ref="K70:L70"/>
    <mergeCell ref="B67:C67"/>
    <mergeCell ref="D67:E67"/>
    <mergeCell ref="F67:J67"/>
    <mergeCell ref="K67:L67"/>
    <mergeCell ref="B68:C68"/>
    <mergeCell ref="D68:E68"/>
    <mergeCell ref="F68:J68"/>
    <mergeCell ref="K68:L68"/>
    <mergeCell ref="B65:C65"/>
    <mergeCell ref="D65:E65"/>
    <mergeCell ref="F65:J65"/>
    <mergeCell ref="K65:L65"/>
    <mergeCell ref="B66:C66"/>
    <mergeCell ref="D66:E66"/>
    <mergeCell ref="F66:J66"/>
    <mergeCell ref="K66:L66"/>
    <mergeCell ref="B63:C63"/>
    <mergeCell ref="D63:E63"/>
    <mergeCell ref="F63:J63"/>
    <mergeCell ref="K63:L63"/>
    <mergeCell ref="B64:C64"/>
    <mergeCell ref="D64:E64"/>
    <mergeCell ref="F64:J64"/>
    <mergeCell ref="K64:L64"/>
    <mergeCell ref="B61:C61"/>
    <mergeCell ref="D61:E61"/>
    <mergeCell ref="F61:J61"/>
    <mergeCell ref="K61:L61"/>
    <mergeCell ref="B62:C62"/>
    <mergeCell ref="D62:E62"/>
    <mergeCell ref="F62:J62"/>
    <mergeCell ref="K62:L62"/>
    <mergeCell ref="B59:C59"/>
    <mergeCell ref="D59:E59"/>
    <mergeCell ref="F59:J59"/>
    <mergeCell ref="K59:L59"/>
    <mergeCell ref="B60:C60"/>
    <mergeCell ref="D60:E60"/>
    <mergeCell ref="F60:J60"/>
    <mergeCell ref="K60:L60"/>
    <mergeCell ref="B57:C57"/>
    <mergeCell ref="D57:E57"/>
    <mergeCell ref="F57:J57"/>
    <mergeCell ref="K57:L57"/>
    <mergeCell ref="B58:C58"/>
    <mergeCell ref="D58:E58"/>
    <mergeCell ref="F58:J58"/>
    <mergeCell ref="K58:L58"/>
    <mergeCell ref="B55:C55"/>
    <mergeCell ref="D55:E55"/>
    <mergeCell ref="F55:J55"/>
    <mergeCell ref="K55:L55"/>
    <mergeCell ref="B56:C56"/>
    <mergeCell ref="D56:E56"/>
    <mergeCell ref="F56:J56"/>
    <mergeCell ref="K56:L56"/>
    <mergeCell ref="B53:C53"/>
    <mergeCell ref="D53:E53"/>
    <mergeCell ref="F53:J53"/>
    <mergeCell ref="K53:L53"/>
    <mergeCell ref="B54:C54"/>
    <mergeCell ref="D54:E54"/>
    <mergeCell ref="F54:J54"/>
    <mergeCell ref="K54:L54"/>
    <mergeCell ref="B51:C51"/>
    <mergeCell ref="D51:E51"/>
    <mergeCell ref="F51:J51"/>
    <mergeCell ref="K51:L51"/>
    <mergeCell ref="B52:C52"/>
    <mergeCell ref="D52:E52"/>
    <mergeCell ref="F52:J52"/>
    <mergeCell ref="K52:L52"/>
    <mergeCell ref="B49:C49"/>
    <mergeCell ref="D49:E49"/>
    <mergeCell ref="F49:J49"/>
    <mergeCell ref="K49:L49"/>
    <mergeCell ref="B50:C50"/>
    <mergeCell ref="D50:E50"/>
    <mergeCell ref="F50:J50"/>
    <mergeCell ref="K50:L50"/>
    <mergeCell ref="B47:C47"/>
    <mergeCell ref="D47:E47"/>
    <mergeCell ref="F47:J47"/>
    <mergeCell ref="K47:L47"/>
    <mergeCell ref="B48:C48"/>
    <mergeCell ref="D48:E48"/>
    <mergeCell ref="F48:J48"/>
    <mergeCell ref="K48:L48"/>
    <mergeCell ref="B45:C45"/>
    <mergeCell ref="D45:E45"/>
    <mergeCell ref="F45:J45"/>
    <mergeCell ref="K45:L45"/>
    <mergeCell ref="B46:C46"/>
    <mergeCell ref="D46:E46"/>
    <mergeCell ref="F46:J46"/>
    <mergeCell ref="K46:L46"/>
    <mergeCell ref="B43:C43"/>
    <mergeCell ref="D43:E43"/>
    <mergeCell ref="F43:J43"/>
    <mergeCell ref="K43:L43"/>
    <mergeCell ref="B44:C44"/>
    <mergeCell ref="D44:E44"/>
    <mergeCell ref="F44:J44"/>
    <mergeCell ref="K44:L44"/>
    <mergeCell ref="B41:C41"/>
    <mergeCell ref="D41:E41"/>
    <mergeCell ref="F41:J41"/>
    <mergeCell ref="K41:L41"/>
    <mergeCell ref="B42:C42"/>
    <mergeCell ref="D42:E42"/>
    <mergeCell ref="F42:J42"/>
    <mergeCell ref="K42:L42"/>
    <mergeCell ref="B39:C39"/>
    <mergeCell ref="D39:E39"/>
    <mergeCell ref="F39:J39"/>
    <mergeCell ref="K39:L39"/>
    <mergeCell ref="B40:C40"/>
    <mergeCell ref="D40:E40"/>
    <mergeCell ref="F40:J40"/>
    <mergeCell ref="K40:L40"/>
    <mergeCell ref="B37:C37"/>
    <mergeCell ref="D37:E37"/>
    <mergeCell ref="F37:J37"/>
    <mergeCell ref="K37:L37"/>
    <mergeCell ref="B38:C38"/>
    <mergeCell ref="D38:E38"/>
    <mergeCell ref="F38:J38"/>
    <mergeCell ref="K38:L38"/>
    <mergeCell ref="B35:C35"/>
    <mergeCell ref="D35:E35"/>
    <mergeCell ref="F35:J35"/>
    <mergeCell ref="K35:L35"/>
    <mergeCell ref="B36:C36"/>
    <mergeCell ref="D36:E36"/>
    <mergeCell ref="F36:J36"/>
    <mergeCell ref="K36:L36"/>
    <mergeCell ref="B33:C33"/>
    <mergeCell ref="D33:E33"/>
    <mergeCell ref="F33:J33"/>
    <mergeCell ref="K33:L33"/>
    <mergeCell ref="B34:C34"/>
    <mergeCell ref="D34:E34"/>
    <mergeCell ref="F34:J34"/>
    <mergeCell ref="K34:L34"/>
    <mergeCell ref="B31:C31"/>
    <mergeCell ref="D31:E31"/>
    <mergeCell ref="F31:J31"/>
    <mergeCell ref="K31:L31"/>
    <mergeCell ref="B32:C32"/>
    <mergeCell ref="D32:E32"/>
    <mergeCell ref="F32:J32"/>
    <mergeCell ref="K32:L32"/>
    <mergeCell ref="B29:C29"/>
    <mergeCell ref="D29:E29"/>
    <mergeCell ref="F29:J29"/>
    <mergeCell ref="K29:L29"/>
    <mergeCell ref="B30:C30"/>
    <mergeCell ref="D30:E30"/>
    <mergeCell ref="F30:J30"/>
    <mergeCell ref="K30:L30"/>
    <mergeCell ref="B27:C27"/>
    <mergeCell ref="D27:E27"/>
    <mergeCell ref="F27:J27"/>
    <mergeCell ref="K27:L27"/>
    <mergeCell ref="B28:C28"/>
    <mergeCell ref="D28:E28"/>
    <mergeCell ref="F28:J28"/>
    <mergeCell ref="K28:L28"/>
    <mergeCell ref="B25:C25"/>
    <mergeCell ref="D25:E25"/>
    <mergeCell ref="F25:J25"/>
    <mergeCell ref="K25:L25"/>
    <mergeCell ref="B26:C26"/>
    <mergeCell ref="D26:E26"/>
    <mergeCell ref="F26:J26"/>
    <mergeCell ref="K26:L26"/>
    <mergeCell ref="B23:C23"/>
    <mergeCell ref="D23:E23"/>
    <mergeCell ref="F23:J23"/>
    <mergeCell ref="K23:L23"/>
    <mergeCell ref="B24:C24"/>
    <mergeCell ref="D24:E24"/>
    <mergeCell ref="F24:J24"/>
    <mergeCell ref="K24:L24"/>
    <mergeCell ref="B22:C22"/>
    <mergeCell ref="D22:E22"/>
    <mergeCell ref="F22:J22"/>
    <mergeCell ref="K22:L22"/>
    <mergeCell ref="B19:C19"/>
    <mergeCell ref="D19:E19"/>
    <mergeCell ref="F19:J19"/>
    <mergeCell ref="K19:L19"/>
    <mergeCell ref="B20:C20"/>
    <mergeCell ref="D20:E20"/>
    <mergeCell ref="F20:J20"/>
    <mergeCell ref="K20:L20"/>
    <mergeCell ref="B17:C17"/>
    <mergeCell ref="D17:E17"/>
    <mergeCell ref="F17:J17"/>
    <mergeCell ref="K17:L17"/>
    <mergeCell ref="B18:C18"/>
    <mergeCell ref="D18:E18"/>
    <mergeCell ref="F18:J18"/>
    <mergeCell ref="K18:L18"/>
    <mergeCell ref="B21:C21"/>
    <mergeCell ref="D21:E21"/>
    <mergeCell ref="F21:J21"/>
    <mergeCell ref="K21:L21"/>
    <mergeCell ref="N134:N137"/>
    <mergeCell ref="A1:L1"/>
    <mergeCell ref="A2:L2"/>
    <mergeCell ref="A8:C9"/>
    <mergeCell ref="D8:J8"/>
    <mergeCell ref="K8:K9"/>
    <mergeCell ref="L8:L9"/>
    <mergeCell ref="H9:J9"/>
    <mergeCell ref="N125:N132"/>
    <mergeCell ref="A13:C13"/>
    <mergeCell ref="H13:J13"/>
    <mergeCell ref="A14:C14"/>
    <mergeCell ref="H14:J14"/>
    <mergeCell ref="H15:J15"/>
    <mergeCell ref="B16:C16"/>
    <mergeCell ref="D16:E16"/>
    <mergeCell ref="F16:J16"/>
    <mergeCell ref="A10:C10"/>
    <mergeCell ref="H10:J10"/>
    <mergeCell ref="A11:C11"/>
    <mergeCell ref="H11:J11"/>
    <mergeCell ref="A12:C12"/>
    <mergeCell ref="H12:J12"/>
    <mergeCell ref="K16:L16"/>
  </mergeCells>
  <phoneticPr fontId="43" type="noConversion"/>
  <printOptions horizontalCentered="1"/>
  <pageMargins left="0.47244094488188981" right="0.31496062992125984" top="0.54" bottom="0.35" header="0.51181102362204722" footer="0.21"/>
  <pageSetup paperSize="9" fitToHeight="50" orientation="landscape" blackAndWhite="1" cellComments="atEnd" r:id="rId1"/>
  <headerFooter alignWithMargins="0">
    <oddFooter>&amp;R&amp;10&amp;P/&amp;N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50"/>
  <sheetViews>
    <sheetView view="pageBreakPreview" zoomScaleNormal="130" zoomScaleSheetLayoutView="100" workbookViewId="0">
      <selection sqref="A1:L1"/>
    </sheetView>
  </sheetViews>
  <sheetFormatPr defaultColWidth="9" defaultRowHeight="15" customHeight="1"/>
  <cols>
    <col min="1" max="1" width="20.21875" style="46" customWidth="1"/>
    <col min="2" max="11" width="10" style="46" customWidth="1"/>
    <col min="12" max="12" width="10.5546875" style="46" customWidth="1"/>
    <col min="13" max="17" width="14.6640625" style="46" customWidth="1"/>
    <col min="18" max="16384" width="9" style="46"/>
  </cols>
  <sheetData>
    <row r="1" spans="1:12" s="7" customFormat="1" ht="19.95" customHeight="1">
      <c r="A1" s="730" t="s">
        <v>1110</v>
      </c>
      <c r="B1" s="730"/>
      <c r="C1" s="730"/>
      <c r="D1" s="730"/>
      <c r="E1" s="730"/>
      <c r="F1" s="730"/>
      <c r="G1" s="730"/>
      <c r="H1" s="730"/>
      <c r="I1" s="730"/>
      <c r="J1" s="730"/>
      <c r="K1" s="730"/>
      <c r="L1" s="730"/>
    </row>
    <row r="2" spans="1:12" s="8" customFormat="1" ht="19.95" customHeight="1">
      <c r="A2" s="731" t="s">
        <v>1111</v>
      </c>
      <c r="B2" s="731"/>
      <c r="C2" s="731"/>
      <c r="D2" s="731"/>
      <c r="E2" s="731"/>
      <c r="F2" s="731"/>
      <c r="G2" s="731"/>
      <c r="H2" s="731"/>
      <c r="I2" s="731"/>
      <c r="J2" s="731"/>
      <c r="K2" s="731"/>
      <c r="L2" s="731"/>
    </row>
    <row r="3" spans="1:12" ht="19.95" customHeight="1">
      <c r="A3" s="45" t="str">
        <f>底稿目录!A2</f>
        <v>被审计单位：</v>
      </c>
      <c r="B3" s="45"/>
      <c r="D3" s="45" t="str">
        <f>底稿目录!A4</f>
        <v>编制人：</v>
      </c>
      <c r="E3" s="45"/>
      <c r="F3" s="45"/>
      <c r="G3" s="103" t="str">
        <f>底稿目录!A5</f>
        <v>编制日期：</v>
      </c>
      <c r="H3" s="104"/>
      <c r="I3" s="47"/>
      <c r="J3" s="47"/>
      <c r="K3" s="47" t="s">
        <v>99</v>
      </c>
      <c r="L3" s="531" t="str">
        <f>底稿目录!F4</f>
        <v>J1-1</v>
      </c>
    </row>
    <row r="4" spans="1:12" ht="19.95" customHeight="1">
      <c r="A4" s="45" t="str">
        <f>底稿目录!A3</f>
        <v>截止日：202X年12月31日</v>
      </c>
      <c r="B4" s="45"/>
      <c r="D4" s="45" t="str">
        <f>底稿目录!A6</f>
        <v>复核人：</v>
      </c>
      <c r="E4" s="45"/>
      <c r="F4" s="45"/>
      <c r="G4" s="105" t="str">
        <f>底稿目录!A7</f>
        <v>复核日期：</v>
      </c>
      <c r="H4" s="104"/>
      <c r="I4" s="47"/>
      <c r="J4" s="47"/>
      <c r="K4" s="537" t="s">
        <v>1313</v>
      </c>
      <c r="L4" s="45"/>
    </row>
    <row r="5" spans="1:12" ht="19.95" customHeight="1">
      <c r="A5" s="48" t="s">
        <v>658</v>
      </c>
      <c r="B5" s="45"/>
      <c r="C5" s="45"/>
      <c r="D5" s="45"/>
      <c r="E5" s="45"/>
      <c r="F5" s="45"/>
      <c r="G5" s="45"/>
      <c r="H5" s="45"/>
      <c r="I5" s="45"/>
      <c r="J5" s="45"/>
      <c r="K5" s="45"/>
      <c r="L5" s="45"/>
    </row>
    <row r="6" spans="1:12" ht="24.6" customHeight="1">
      <c r="A6" s="732" t="s">
        <v>751</v>
      </c>
      <c r="B6" s="727" t="s">
        <v>752</v>
      </c>
      <c r="C6" s="728"/>
      <c r="D6" s="729"/>
      <c r="E6" s="727" t="s">
        <v>753</v>
      </c>
      <c r="F6" s="728"/>
      <c r="G6" s="729"/>
      <c r="H6" s="733" t="s">
        <v>754</v>
      </c>
      <c r="I6" s="734"/>
      <c r="J6" s="723" t="s">
        <v>755</v>
      </c>
      <c r="K6" s="724"/>
      <c r="L6" s="725" t="s">
        <v>756</v>
      </c>
    </row>
    <row r="7" spans="1:12" ht="19.95" customHeight="1">
      <c r="A7" s="732"/>
      <c r="B7" s="251" t="s">
        <v>757</v>
      </c>
      <c r="C7" s="251" t="s">
        <v>758</v>
      </c>
      <c r="D7" s="251" t="s">
        <v>759</v>
      </c>
      <c r="E7" s="251" t="s">
        <v>757</v>
      </c>
      <c r="F7" s="251" t="s">
        <v>758</v>
      </c>
      <c r="G7" s="251" t="s">
        <v>759</v>
      </c>
      <c r="H7" s="280" t="s">
        <v>760</v>
      </c>
      <c r="I7" s="280" t="s">
        <v>761</v>
      </c>
      <c r="J7" s="280" t="s">
        <v>634</v>
      </c>
      <c r="K7" s="279" t="s">
        <v>762</v>
      </c>
      <c r="L7" s="726"/>
    </row>
    <row r="8" spans="1:12" ht="19.95" customHeight="1">
      <c r="A8" s="403" t="s">
        <v>671</v>
      </c>
      <c r="B8" s="395">
        <f>'明细表J1-2 '!C13</f>
        <v>0</v>
      </c>
      <c r="C8" s="395">
        <f>'明细表J1-2 '!G13</f>
        <v>0</v>
      </c>
      <c r="D8" s="395">
        <f>B8+C8</f>
        <v>0</v>
      </c>
      <c r="E8" s="395">
        <f>'明细表J1-2 '!F13</f>
        <v>0</v>
      </c>
      <c r="F8" s="395">
        <f>'明细表J1-2 '!G13+'明细表J1-2 '!H13-'明细表J1-2 '!I13</f>
        <v>0</v>
      </c>
      <c r="G8" s="395">
        <f>E8+F8</f>
        <v>0</v>
      </c>
      <c r="H8" s="395">
        <f t="shared" ref="H8:H21" si="0">E8-B8</f>
        <v>0</v>
      </c>
      <c r="I8" s="408">
        <f t="shared" ref="I8:I22" si="1">IF(AND(B8=0,E8=0),0,IF(AND(B8=0,E8&gt;0),1,H8/B8))</f>
        <v>0</v>
      </c>
      <c r="J8" s="395">
        <f t="shared" ref="J8:J21" si="2">G8-D8</f>
        <v>0</v>
      </c>
      <c r="K8" s="408">
        <f t="shared" ref="K8:K22" si="3">IF(AND(D8=0,G8=0),0,IF(AND(D8=0,G8&gt;0),1,J8/D8))</f>
        <v>0</v>
      </c>
      <c r="L8" s="49"/>
    </row>
    <row r="9" spans="1:12" ht="19.95" customHeight="1">
      <c r="A9" s="403" t="s">
        <v>678</v>
      </c>
      <c r="B9" s="395">
        <f>'明细表J1-2 '!C19</f>
        <v>0</v>
      </c>
      <c r="C9" s="395">
        <f>'明细表J1-2 '!G19</f>
        <v>0</v>
      </c>
      <c r="D9" s="395">
        <f t="shared" ref="D9:D21" si="4">B9+C9</f>
        <v>0</v>
      </c>
      <c r="E9" s="395">
        <f>'明细表J1-2 '!F19</f>
        <v>0</v>
      </c>
      <c r="F9" s="395">
        <f>'明细表J1-2 '!G19+'明细表J1-2 '!H19-'明细表J1-2 '!I19</f>
        <v>0</v>
      </c>
      <c r="G9" s="395">
        <f t="shared" ref="G9:G21" si="5">E9+F9</f>
        <v>0</v>
      </c>
      <c r="H9" s="395">
        <f t="shared" si="0"/>
        <v>0</v>
      </c>
      <c r="I9" s="408">
        <f t="shared" si="1"/>
        <v>0</v>
      </c>
      <c r="J9" s="395">
        <f t="shared" si="2"/>
        <v>0</v>
      </c>
      <c r="K9" s="408">
        <f t="shared" si="3"/>
        <v>0</v>
      </c>
      <c r="L9" s="49"/>
    </row>
    <row r="10" spans="1:12" ht="19.95" customHeight="1">
      <c r="A10" s="403" t="s">
        <v>680</v>
      </c>
      <c r="B10" s="395">
        <f>SUM(B11:B14)</f>
        <v>0</v>
      </c>
      <c r="C10" s="395">
        <f>SUM(C11:C14)</f>
        <v>0</v>
      </c>
      <c r="D10" s="395">
        <f>B10+C10</f>
        <v>0</v>
      </c>
      <c r="E10" s="395">
        <f>SUM(E11:E14)</f>
        <v>0</v>
      </c>
      <c r="F10" s="395">
        <f>SUM(F11:F14)</f>
        <v>0</v>
      </c>
      <c r="G10" s="395">
        <f>E10+F10</f>
        <v>0</v>
      </c>
      <c r="H10" s="395">
        <f t="shared" si="0"/>
        <v>0</v>
      </c>
      <c r="I10" s="408">
        <f t="shared" si="1"/>
        <v>0</v>
      </c>
      <c r="J10" s="395">
        <f t="shared" si="2"/>
        <v>0</v>
      </c>
      <c r="K10" s="408">
        <f t="shared" si="3"/>
        <v>0</v>
      </c>
      <c r="L10" s="49"/>
    </row>
    <row r="11" spans="1:12" ht="19.95" customHeight="1">
      <c r="A11" s="401" t="s">
        <v>763</v>
      </c>
      <c r="B11" s="395">
        <f>'明细表J1-2 '!C21</f>
        <v>0</v>
      </c>
      <c r="C11" s="395">
        <f>'明细表J1-2 '!G21</f>
        <v>0</v>
      </c>
      <c r="D11" s="395">
        <f>B11+C11</f>
        <v>0</v>
      </c>
      <c r="E11" s="395">
        <f>'明细表J1-2 '!F21</f>
        <v>0</v>
      </c>
      <c r="F11" s="395">
        <f>'明细表J1-2 '!G21+'明细表J1-2 '!H21-'明细表J1-2 '!I21</f>
        <v>0</v>
      </c>
      <c r="G11" s="395">
        <f t="shared" si="5"/>
        <v>0</v>
      </c>
      <c r="H11" s="395">
        <f t="shared" si="0"/>
        <v>0</v>
      </c>
      <c r="I11" s="408">
        <f t="shared" si="1"/>
        <v>0</v>
      </c>
      <c r="J11" s="395">
        <f t="shared" si="2"/>
        <v>0</v>
      </c>
      <c r="K11" s="408">
        <f t="shared" si="3"/>
        <v>0</v>
      </c>
      <c r="L11" s="49"/>
    </row>
    <row r="12" spans="1:12" ht="19.95" customHeight="1">
      <c r="A12" s="401" t="s">
        <v>764</v>
      </c>
      <c r="B12" s="395">
        <f>'明细表J1-2 '!C22</f>
        <v>0</v>
      </c>
      <c r="C12" s="395">
        <f>'明细表J1-2 '!G22</f>
        <v>0</v>
      </c>
      <c r="D12" s="395">
        <f t="shared" si="4"/>
        <v>0</v>
      </c>
      <c r="E12" s="395">
        <f>'明细表J1-2 '!F22</f>
        <v>0</v>
      </c>
      <c r="F12" s="395">
        <f>'明细表J1-2 '!G22+'明细表J1-2 '!H22-'明细表J1-2 '!I22</f>
        <v>0</v>
      </c>
      <c r="G12" s="395">
        <f t="shared" si="5"/>
        <v>0</v>
      </c>
      <c r="H12" s="395">
        <f t="shared" si="0"/>
        <v>0</v>
      </c>
      <c r="I12" s="408">
        <f t="shared" si="1"/>
        <v>0</v>
      </c>
      <c r="J12" s="395">
        <f t="shared" si="2"/>
        <v>0</v>
      </c>
      <c r="K12" s="408">
        <f t="shared" si="3"/>
        <v>0</v>
      </c>
      <c r="L12" s="49"/>
    </row>
    <row r="13" spans="1:12" ht="19.95" customHeight="1">
      <c r="A13" s="404" t="s">
        <v>765</v>
      </c>
      <c r="B13" s="395">
        <f>'明细表J1-2 '!C23</f>
        <v>0</v>
      </c>
      <c r="C13" s="395">
        <f>'明细表J1-2 '!G23</f>
        <v>0</v>
      </c>
      <c r="D13" s="395">
        <f t="shared" si="4"/>
        <v>0</v>
      </c>
      <c r="E13" s="395">
        <f>'明细表J1-2 '!F23</f>
        <v>0</v>
      </c>
      <c r="F13" s="395">
        <f>'明细表J1-2 '!G23+'明细表J1-2 '!H23-'明细表J1-2 '!I23</f>
        <v>0</v>
      </c>
      <c r="G13" s="395">
        <f t="shared" si="5"/>
        <v>0</v>
      </c>
      <c r="H13" s="395">
        <f t="shared" si="0"/>
        <v>0</v>
      </c>
      <c r="I13" s="408">
        <f t="shared" si="1"/>
        <v>0</v>
      </c>
      <c r="J13" s="395">
        <f t="shared" si="2"/>
        <v>0</v>
      </c>
      <c r="K13" s="408">
        <f t="shared" si="3"/>
        <v>0</v>
      </c>
      <c r="L13" s="49"/>
    </row>
    <row r="14" spans="1:12" ht="19.95" customHeight="1">
      <c r="A14" s="404" t="s">
        <v>766</v>
      </c>
      <c r="B14" s="395">
        <f>'明细表J1-2 '!C24</f>
        <v>0</v>
      </c>
      <c r="C14" s="395">
        <f>'明细表J1-2 '!G24</f>
        <v>0</v>
      </c>
      <c r="D14" s="395">
        <f t="shared" si="4"/>
        <v>0</v>
      </c>
      <c r="E14" s="395">
        <f>'明细表J1-2 '!F24</f>
        <v>0</v>
      </c>
      <c r="F14" s="395">
        <f>'明细表J1-2 '!G24+'明细表J1-2 '!H24-'明细表J1-2 '!I24</f>
        <v>0</v>
      </c>
      <c r="G14" s="395">
        <f t="shared" si="5"/>
        <v>0</v>
      </c>
      <c r="H14" s="395">
        <f t="shared" si="0"/>
        <v>0</v>
      </c>
      <c r="I14" s="408">
        <f t="shared" si="1"/>
        <v>0</v>
      </c>
      <c r="J14" s="395">
        <f t="shared" si="2"/>
        <v>0</v>
      </c>
      <c r="K14" s="408">
        <f t="shared" si="3"/>
        <v>0</v>
      </c>
      <c r="L14" s="49"/>
    </row>
    <row r="15" spans="1:12" ht="19.95" customHeight="1">
      <c r="A15" s="403" t="s">
        <v>686</v>
      </c>
      <c r="B15" s="395">
        <f>'明细表J1-2 '!C25</f>
        <v>0</v>
      </c>
      <c r="C15" s="395">
        <f>'明细表J1-2 '!G25</f>
        <v>0</v>
      </c>
      <c r="D15" s="395">
        <f t="shared" si="4"/>
        <v>0</v>
      </c>
      <c r="E15" s="395">
        <f>'明细表J1-2 '!F25</f>
        <v>0</v>
      </c>
      <c r="F15" s="395">
        <f>'明细表J1-2 '!G25+'明细表J1-2 '!H25-'明细表J1-2 '!I25</f>
        <v>0</v>
      </c>
      <c r="G15" s="395">
        <f t="shared" si="5"/>
        <v>0</v>
      </c>
      <c r="H15" s="395">
        <f t="shared" si="0"/>
        <v>0</v>
      </c>
      <c r="I15" s="408">
        <f t="shared" si="1"/>
        <v>0</v>
      </c>
      <c r="J15" s="395">
        <f t="shared" si="2"/>
        <v>0</v>
      </c>
      <c r="K15" s="408">
        <f t="shared" si="3"/>
        <v>0</v>
      </c>
      <c r="L15" s="49"/>
    </row>
    <row r="16" spans="1:12" ht="19.95" customHeight="1">
      <c r="A16" s="403" t="s">
        <v>767</v>
      </c>
      <c r="B16" s="395">
        <f>'明细表J1-2 '!C26</f>
        <v>0</v>
      </c>
      <c r="C16" s="395">
        <f>'明细表J1-2 '!G26</f>
        <v>0</v>
      </c>
      <c r="D16" s="395">
        <f t="shared" si="4"/>
        <v>0</v>
      </c>
      <c r="E16" s="395">
        <f>'明细表J1-2 '!F26</f>
        <v>0</v>
      </c>
      <c r="F16" s="395">
        <f>'明细表J1-2 '!G26+'明细表J1-2 '!H26-'明细表J1-2 '!I26</f>
        <v>0</v>
      </c>
      <c r="G16" s="395">
        <f t="shared" si="5"/>
        <v>0</v>
      </c>
      <c r="H16" s="395">
        <f t="shared" si="0"/>
        <v>0</v>
      </c>
      <c r="I16" s="408">
        <f t="shared" si="1"/>
        <v>0</v>
      </c>
      <c r="J16" s="395">
        <f t="shared" si="2"/>
        <v>0</v>
      </c>
      <c r="K16" s="408">
        <f t="shared" si="3"/>
        <v>0</v>
      </c>
      <c r="L16" s="49"/>
    </row>
    <row r="17" spans="1:13" ht="19.95" customHeight="1">
      <c r="A17" s="403" t="s">
        <v>768</v>
      </c>
      <c r="B17" s="395">
        <f>'明细表J1-2 '!C27</f>
        <v>0</v>
      </c>
      <c r="C17" s="395">
        <f>'明细表J1-2 '!G27</f>
        <v>0</v>
      </c>
      <c r="D17" s="395">
        <f t="shared" si="4"/>
        <v>0</v>
      </c>
      <c r="E17" s="395">
        <f>'明细表J1-2 '!F27</f>
        <v>0</v>
      </c>
      <c r="F17" s="395">
        <f>'明细表J1-2 '!G27+'明细表J1-2 '!H27-'明细表J1-2 '!I27</f>
        <v>0</v>
      </c>
      <c r="G17" s="395">
        <f t="shared" si="5"/>
        <v>0</v>
      </c>
      <c r="H17" s="395">
        <f t="shared" si="0"/>
        <v>0</v>
      </c>
      <c r="I17" s="408">
        <f t="shared" si="1"/>
        <v>0</v>
      </c>
      <c r="J17" s="395">
        <f t="shared" si="2"/>
        <v>0</v>
      </c>
      <c r="K17" s="408">
        <f t="shared" si="3"/>
        <v>0</v>
      </c>
      <c r="L17" s="49"/>
    </row>
    <row r="18" spans="1:13" ht="19.95" customHeight="1">
      <c r="A18" s="403" t="s">
        <v>692</v>
      </c>
      <c r="B18" s="395">
        <f>'明细表J1-2 '!C28</f>
        <v>0</v>
      </c>
      <c r="C18" s="395">
        <f>'明细表J1-2 '!G28</f>
        <v>0</v>
      </c>
      <c r="D18" s="395">
        <f t="shared" si="4"/>
        <v>0</v>
      </c>
      <c r="E18" s="395">
        <f>'明细表J1-2 '!F28</f>
        <v>0</v>
      </c>
      <c r="F18" s="395">
        <f>'明细表J1-2 '!G28+'明细表J1-2 '!H28-'明细表J1-2 '!I28</f>
        <v>0</v>
      </c>
      <c r="G18" s="395">
        <f t="shared" si="5"/>
        <v>0</v>
      </c>
      <c r="H18" s="395">
        <f t="shared" si="0"/>
        <v>0</v>
      </c>
      <c r="I18" s="408">
        <f t="shared" si="1"/>
        <v>0</v>
      </c>
      <c r="J18" s="395">
        <f t="shared" si="2"/>
        <v>0</v>
      </c>
      <c r="K18" s="408">
        <f t="shared" si="3"/>
        <v>0</v>
      </c>
      <c r="L18" s="49"/>
    </row>
    <row r="19" spans="1:13" ht="19.95" customHeight="1">
      <c r="A19" s="403" t="s">
        <v>694</v>
      </c>
      <c r="B19" s="395">
        <f>'明细表J1-2 '!C29</f>
        <v>0</v>
      </c>
      <c r="C19" s="395">
        <f>'明细表J1-2 '!G29</f>
        <v>0</v>
      </c>
      <c r="D19" s="395">
        <f t="shared" si="4"/>
        <v>0</v>
      </c>
      <c r="E19" s="395">
        <f>'明细表J1-2 '!F29</f>
        <v>0</v>
      </c>
      <c r="F19" s="395">
        <f>'明细表J1-2 '!G29+'明细表J1-2 '!H29-'明细表J1-2 '!I29</f>
        <v>0</v>
      </c>
      <c r="G19" s="395">
        <f t="shared" si="5"/>
        <v>0</v>
      </c>
      <c r="H19" s="395">
        <f t="shared" si="0"/>
        <v>0</v>
      </c>
      <c r="I19" s="408">
        <f t="shared" si="1"/>
        <v>0</v>
      </c>
      <c r="J19" s="395">
        <f t="shared" si="2"/>
        <v>0</v>
      </c>
      <c r="K19" s="408">
        <f t="shared" si="3"/>
        <v>0</v>
      </c>
      <c r="L19" s="49"/>
    </row>
    <row r="20" spans="1:13" ht="19.95" customHeight="1">
      <c r="A20" s="403" t="s">
        <v>696</v>
      </c>
      <c r="B20" s="395">
        <f>'明细表J1-2 '!C30</f>
        <v>0</v>
      </c>
      <c r="C20" s="395">
        <f>'明细表J1-2 '!G30</f>
        <v>0</v>
      </c>
      <c r="D20" s="395">
        <f t="shared" si="4"/>
        <v>0</v>
      </c>
      <c r="E20" s="395">
        <f>'明细表J1-2 '!F30</f>
        <v>0</v>
      </c>
      <c r="F20" s="395">
        <f>'明细表J1-2 '!G30+'明细表J1-2 '!H30-'明细表J1-2 '!I30</f>
        <v>0</v>
      </c>
      <c r="G20" s="395">
        <f t="shared" si="5"/>
        <v>0</v>
      </c>
      <c r="H20" s="395">
        <f t="shared" si="0"/>
        <v>0</v>
      </c>
      <c r="I20" s="408">
        <f t="shared" si="1"/>
        <v>0</v>
      </c>
      <c r="J20" s="395">
        <f t="shared" si="2"/>
        <v>0</v>
      </c>
      <c r="K20" s="408">
        <f t="shared" si="3"/>
        <v>0</v>
      </c>
      <c r="L20" s="49"/>
    </row>
    <row r="21" spans="1:13" ht="19.95" customHeight="1">
      <c r="A21" s="403" t="s">
        <v>698</v>
      </c>
      <c r="B21" s="395">
        <f>'明细表J1-2 '!C31</f>
        <v>0</v>
      </c>
      <c r="C21" s="395">
        <f>'明细表J1-2 '!G31</f>
        <v>0</v>
      </c>
      <c r="D21" s="395">
        <f t="shared" si="4"/>
        <v>0</v>
      </c>
      <c r="E21" s="395">
        <f>'明细表J1-2 '!F31</f>
        <v>0</v>
      </c>
      <c r="F21" s="395">
        <f>'明细表J1-2 '!G31+'明细表J1-2 '!H31-'明细表J1-2 '!I31</f>
        <v>0</v>
      </c>
      <c r="G21" s="395">
        <f t="shared" si="5"/>
        <v>0</v>
      </c>
      <c r="H21" s="395">
        <f t="shared" si="0"/>
        <v>0</v>
      </c>
      <c r="I21" s="408">
        <f t="shared" si="1"/>
        <v>0</v>
      </c>
      <c r="J21" s="395">
        <f t="shared" si="2"/>
        <v>0</v>
      </c>
      <c r="K21" s="408">
        <f t="shared" si="3"/>
        <v>0</v>
      </c>
      <c r="L21" s="50"/>
      <c r="M21" s="51"/>
    </row>
    <row r="22" spans="1:13" s="54" customFormat="1" ht="19.95" customHeight="1">
      <c r="A22" s="251" t="s">
        <v>633</v>
      </c>
      <c r="B22" s="397">
        <f t="shared" ref="B22:H22" si="6">SUM(B8:B10,B15:B21)</f>
        <v>0</v>
      </c>
      <c r="C22" s="397">
        <f>SUM(C8:C10,C15:C21)</f>
        <v>0</v>
      </c>
      <c r="D22" s="397">
        <f>SUM(D8:D10,D15:D21)</f>
        <v>0</v>
      </c>
      <c r="E22" s="397">
        <f t="shared" si="6"/>
        <v>0</v>
      </c>
      <c r="F22" s="397">
        <f t="shared" si="6"/>
        <v>0</v>
      </c>
      <c r="G22" s="397">
        <f t="shared" si="6"/>
        <v>0</v>
      </c>
      <c r="H22" s="397">
        <f t="shared" si="6"/>
        <v>0</v>
      </c>
      <c r="I22" s="409">
        <f t="shared" si="1"/>
        <v>0</v>
      </c>
      <c r="J22" s="397">
        <f>SUM(J8:J10,J15:J21)</f>
        <v>0</v>
      </c>
      <c r="K22" s="409">
        <f t="shared" si="3"/>
        <v>0</v>
      </c>
      <c r="L22" s="52"/>
      <c r="M22" s="53"/>
    </row>
    <row r="23" spans="1:13" ht="19.95" customHeight="1">
      <c r="A23" s="48" t="s">
        <v>572</v>
      </c>
    </row>
    <row r="24" spans="1:13" ht="19.95" customHeight="1">
      <c r="A24" s="732" t="s">
        <v>769</v>
      </c>
      <c r="B24" s="727" t="s">
        <v>752</v>
      </c>
      <c r="C24" s="728"/>
      <c r="D24" s="729"/>
      <c r="E24" s="727" t="s">
        <v>753</v>
      </c>
      <c r="F24" s="728"/>
      <c r="G24" s="729"/>
      <c r="H24" s="723" t="s">
        <v>754</v>
      </c>
      <c r="I24" s="723"/>
      <c r="J24" s="723" t="s">
        <v>755</v>
      </c>
      <c r="K24" s="724"/>
      <c r="L24" s="725" t="s">
        <v>756</v>
      </c>
    </row>
    <row r="25" spans="1:13" s="55" customFormat="1" ht="19.95" customHeight="1">
      <c r="A25" s="732"/>
      <c r="B25" s="251" t="s">
        <v>757</v>
      </c>
      <c r="C25" s="251" t="s">
        <v>758</v>
      </c>
      <c r="D25" s="251" t="s">
        <v>759</v>
      </c>
      <c r="E25" s="251" t="s">
        <v>757</v>
      </c>
      <c r="F25" s="251" t="s">
        <v>758</v>
      </c>
      <c r="G25" s="251" t="s">
        <v>759</v>
      </c>
      <c r="H25" s="280" t="s">
        <v>760</v>
      </c>
      <c r="I25" s="280" t="s">
        <v>761</v>
      </c>
      <c r="J25" s="280" t="s">
        <v>634</v>
      </c>
      <c r="K25" s="279" t="s">
        <v>762</v>
      </c>
      <c r="L25" s="726"/>
    </row>
    <row r="26" spans="1:13" ht="19.95" customHeight="1">
      <c r="A26" s="403" t="s">
        <v>17</v>
      </c>
      <c r="B26" s="395">
        <f>B27+B28+B29+B30</f>
        <v>0</v>
      </c>
      <c r="C26" s="395">
        <f>C27+C28+C29+C30</f>
        <v>0</v>
      </c>
      <c r="D26" s="395">
        <f t="shared" ref="D26:D33" si="7">B26+C26</f>
        <v>0</v>
      </c>
      <c r="E26" s="395">
        <f>E27+E28+E29+E30</f>
        <v>0</v>
      </c>
      <c r="F26" s="395">
        <f>F27+F28+F29+F30</f>
        <v>0</v>
      </c>
      <c r="G26" s="395">
        <f t="shared" ref="G26:G33" si="8">E26+F26</f>
        <v>0</v>
      </c>
      <c r="H26" s="395">
        <f t="shared" ref="H26:H33" si="9">E26-B26</f>
        <v>0</v>
      </c>
      <c r="I26" s="408">
        <f t="shared" ref="I26:I34" si="10">IF(AND(B26=0,E26=0),0,IF(AND(B26=0,E26&gt;0),1,H26/B26))</f>
        <v>0</v>
      </c>
      <c r="J26" s="395">
        <f t="shared" ref="J26:J33" si="11">G26-D26</f>
        <v>0</v>
      </c>
      <c r="K26" s="408">
        <f t="shared" ref="K26:K34" si="12">IF(AND(D26=0,G26=0),0,IF(AND(D26=0,G26&gt;0),1,J26/D26))</f>
        <v>0</v>
      </c>
      <c r="L26" s="49"/>
    </row>
    <row r="27" spans="1:13" ht="19.95" customHeight="1">
      <c r="A27" s="404" t="s">
        <v>604</v>
      </c>
      <c r="B27" s="395">
        <f>'明细表J1-2 '!C38</f>
        <v>0</v>
      </c>
      <c r="C27" s="395">
        <f>'明细表J1-2 '!G38</f>
        <v>0</v>
      </c>
      <c r="D27" s="395">
        <f t="shared" si="7"/>
        <v>0</v>
      </c>
      <c r="E27" s="395">
        <f>'明细表J1-2 '!F38</f>
        <v>0</v>
      </c>
      <c r="F27" s="395">
        <f>'明细表J1-2 '!G38+'明细表J1-2 '!H38-'明细表J1-2 '!I38</f>
        <v>0</v>
      </c>
      <c r="G27" s="395">
        <f t="shared" si="8"/>
        <v>0</v>
      </c>
      <c r="H27" s="395">
        <f t="shared" si="9"/>
        <v>0</v>
      </c>
      <c r="I27" s="408">
        <f t="shared" si="10"/>
        <v>0</v>
      </c>
      <c r="J27" s="395">
        <f t="shared" si="11"/>
        <v>0</v>
      </c>
      <c r="K27" s="408">
        <f t="shared" si="12"/>
        <v>0</v>
      </c>
      <c r="L27" s="49"/>
    </row>
    <row r="28" spans="1:13" ht="19.95" customHeight="1">
      <c r="A28" s="404" t="s">
        <v>19</v>
      </c>
      <c r="B28" s="395">
        <f>'明细表J1-2 '!C39</f>
        <v>0</v>
      </c>
      <c r="C28" s="395">
        <f>'明细表J1-2 '!G39</f>
        <v>0</v>
      </c>
      <c r="D28" s="395">
        <f t="shared" si="7"/>
        <v>0</v>
      </c>
      <c r="E28" s="395">
        <f>'明细表J1-2 '!F39</f>
        <v>0</v>
      </c>
      <c r="F28" s="395">
        <f>'明细表J1-2 '!G39+'明细表J1-2 '!H39-'明细表J1-2 '!I39</f>
        <v>0</v>
      </c>
      <c r="G28" s="395">
        <f t="shared" si="8"/>
        <v>0</v>
      </c>
      <c r="H28" s="395">
        <f t="shared" si="9"/>
        <v>0</v>
      </c>
      <c r="I28" s="408">
        <f t="shared" si="10"/>
        <v>0</v>
      </c>
      <c r="J28" s="395">
        <f t="shared" si="11"/>
        <v>0</v>
      </c>
      <c r="K28" s="408">
        <f t="shared" si="12"/>
        <v>0</v>
      </c>
      <c r="L28" s="49"/>
    </row>
    <row r="29" spans="1:13" ht="19.95" customHeight="1">
      <c r="A29" s="404" t="s">
        <v>20</v>
      </c>
      <c r="B29" s="395">
        <f>'明细表J1-2 '!C40</f>
        <v>0</v>
      </c>
      <c r="C29" s="395">
        <f>'明细表J1-2 '!G40</f>
        <v>0</v>
      </c>
      <c r="D29" s="395">
        <f t="shared" si="7"/>
        <v>0</v>
      </c>
      <c r="E29" s="395">
        <f>'明细表J1-2 '!F40</f>
        <v>0</v>
      </c>
      <c r="F29" s="395">
        <f>'明细表J1-2 '!G40+'明细表J1-2 '!H40-'明细表J1-2 '!I40</f>
        <v>0</v>
      </c>
      <c r="G29" s="395">
        <f t="shared" si="8"/>
        <v>0</v>
      </c>
      <c r="H29" s="395">
        <f t="shared" si="9"/>
        <v>0</v>
      </c>
      <c r="I29" s="408">
        <f t="shared" si="10"/>
        <v>0</v>
      </c>
      <c r="J29" s="395">
        <f t="shared" si="11"/>
        <v>0</v>
      </c>
      <c r="K29" s="408">
        <f t="shared" si="12"/>
        <v>0</v>
      </c>
      <c r="L29" s="49"/>
    </row>
    <row r="30" spans="1:13" ht="19.95" customHeight="1">
      <c r="A30" s="404" t="s">
        <v>21</v>
      </c>
      <c r="B30" s="395">
        <f>'明细表J1-2 '!C41</f>
        <v>0</v>
      </c>
      <c r="C30" s="395">
        <f>'明细表J1-2 '!G41</f>
        <v>0</v>
      </c>
      <c r="D30" s="395">
        <f t="shared" si="7"/>
        <v>0</v>
      </c>
      <c r="E30" s="395">
        <f>'明细表J1-2 '!F41</f>
        <v>0</v>
      </c>
      <c r="F30" s="395">
        <f>'明细表J1-2 '!G41+'明细表J1-2 '!H41-'明细表J1-2 '!I41</f>
        <v>0</v>
      </c>
      <c r="G30" s="395">
        <f t="shared" si="8"/>
        <v>0</v>
      </c>
      <c r="H30" s="395">
        <f t="shared" si="9"/>
        <v>0</v>
      </c>
      <c r="I30" s="408">
        <f t="shared" si="10"/>
        <v>0</v>
      </c>
      <c r="J30" s="395">
        <f t="shared" si="11"/>
        <v>0</v>
      </c>
      <c r="K30" s="408">
        <f t="shared" si="12"/>
        <v>0</v>
      </c>
      <c r="L30" s="49"/>
    </row>
    <row r="31" spans="1:13" ht="19.95" customHeight="1">
      <c r="A31" s="403" t="s">
        <v>18</v>
      </c>
      <c r="B31" s="395">
        <f t="shared" ref="B31:F31" si="13">B32+B33</f>
        <v>0</v>
      </c>
      <c r="C31" s="395">
        <f>C32+C33</f>
        <v>0</v>
      </c>
      <c r="D31" s="395">
        <f t="shared" si="7"/>
        <v>0</v>
      </c>
      <c r="E31" s="395">
        <f t="shared" si="13"/>
        <v>0</v>
      </c>
      <c r="F31" s="395">
        <f t="shared" si="13"/>
        <v>0</v>
      </c>
      <c r="G31" s="395">
        <f t="shared" si="8"/>
        <v>0</v>
      </c>
      <c r="H31" s="395">
        <f t="shared" si="9"/>
        <v>0</v>
      </c>
      <c r="I31" s="408">
        <f t="shared" si="10"/>
        <v>0</v>
      </c>
      <c r="J31" s="395">
        <f t="shared" si="11"/>
        <v>0</v>
      </c>
      <c r="K31" s="408">
        <f t="shared" si="12"/>
        <v>0</v>
      </c>
      <c r="L31" s="49"/>
    </row>
    <row r="32" spans="1:13" ht="19.95" customHeight="1">
      <c r="A32" s="101" t="s">
        <v>609</v>
      </c>
      <c r="B32" s="395">
        <f>'明细表J1-2 '!C43</f>
        <v>0</v>
      </c>
      <c r="C32" s="395">
        <f>'明细表J1-2 '!G43</f>
        <v>0</v>
      </c>
      <c r="D32" s="395">
        <f t="shared" si="7"/>
        <v>0</v>
      </c>
      <c r="E32" s="410">
        <f>'明细表J1-2 '!F43</f>
        <v>0</v>
      </c>
      <c r="F32" s="410">
        <f>'明细表J1-2 '!G43+'明细表J1-2 '!H43-'明细表J1-2 '!I43</f>
        <v>0</v>
      </c>
      <c r="G32" s="395">
        <f t="shared" si="8"/>
        <v>0</v>
      </c>
      <c r="H32" s="395">
        <f t="shared" si="9"/>
        <v>0</v>
      </c>
      <c r="I32" s="408">
        <f t="shared" si="10"/>
        <v>0</v>
      </c>
      <c r="J32" s="395">
        <f t="shared" si="11"/>
        <v>0</v>
      </c>
      <c r="K32" s="408">
        <f t="shared" si="12"/>
        <v>0</v>
      </c>
      <c r="L32" s="49"/>
    </row>
    <row r="33" spans="1:12" ht="19.95" customHeight="1">
      <c r="A33" s="101" t="s">
        <v>22</v>
      </c>
      <c r="B33" s="395">
        <f>'明细表J1-2 '!C44</f>
        <v>0</v>
      </c>
      <c r="C33" s="395">
        <f>'明细表J1-2 '!G44</f>
        <v>0</v>
      </c>
      <c r="D33" s="395">
        <f t="shared" si="7"/>
        <v>0</v>
      </c>
      <c r="E33" s="410">
        <f>'明细表J1-2 '!F44</f>
        <v>0</v>
      </c>
      <c r="F33" s="410">
        <f>'明细表J1-2 '!G44+'明细表J1-2 '!H44-'明细表J1-2 '!I44</f>
        <v>0</v>
      </c>
      <c r="G33" s="395">
        <f t="shared" si="8"/>
        <v>0</v>
      </c>
      <c r="H33" s="395">
        <f t="shared" si="9"/>
        <v>0</v>
      </c>
      <c r="I33" s="408">
        <f t="shared" si="10"/>
        <v>0</v>
      </c>
      <c r="J33" s="395">
        <f t="shared" si="11"/>
        <v>0</v>
      </c>
      <c r="K33" s="408">
        <f t="shared" si="12"/>
        <v>0</v>
      </c>
      <c r="L33" s="49"/>
    </row>
    <row r="34" spans="1:12" ht="19.95" customHeight="1">
      <c r="A34" s="281" t="s">
        <v>770</v>
      </c>
      <c r="B34" s="411">
        <f>B26+B31</f>
        <v>0</v>
      </c>
      <c r="C34" s="411">
        <f>C26+C31</f>
        <v>0</v>
      </c>
      <c r="D34" s="411">
        <f>D26+D31</f>
        <v>0</v>
      </c>
      <c r="E34" s="411">
        <f t="shared" ref="E34:J34" si="14">E26+E31</f>
        <v>0</v>
      </c>
      <c r="F34" s="411">
        <f t="shared" si="14"/>
        <v>0</v>
      </c>
      <c r="G34" s="411">
        <f t="shared" si="14"/>
        <v>0</v>
      </c>
      <c r="H34" s="411">
        <f t="shared" si="14"/>
        <v>0</v>
      </c>
      <c r="I34" s="409">
        <f t="shared" si="10"/>
        <v>0</v>
      </c>
      <c r="J34" s="411">
        <f t="shared" si="14"/>
        <v>0</v>
      </c>
      <c r="K34" s="409">
        <f t="shared" si="12"/>
        <v>0</v>
      </c>
      <c r="L34" s="49"/>
    </row>
    <row r="35" spans="1:12" ht="19.95" customHeight="1">
      <c r="A35" s="48" t="s">
        <v>573</v>
      </c>
      <c r="B35" s="56"/>
      <c r="C35" s="343"/>
      <c r="D35" s="80"/>
      <c r="E35" s="80"/>
      <c r="F35" s="80"/>
      <c r="G35" s="80"/>
      <c r="H35" s="57"/>
      <c r="I35" s="57"/>
      <c r="J35" s="57"/>
      <c r="K35" s="57"/>
      <c r="L35" s="58"/>
    </row>
    <row r="36" spans="1:12" ht="19.95" customHeight="1">
      <c r="A36" s="732" t="s">
        <v>769</v>
      </c>
      <c r="B36" s="727" t="s">
        <v>752</v>
      </c>
      <c r="C36" s="728"/>
      <c r="D36" s="729"/>
      <c r="E36" s="727" t="s">
        <v>753</v>
      </c>
      <c r="F36" s="728"/>
      <c r="G36" s="729"/>
      <c r="H36" s="723" t="s">
        <v>754</v>
      </c>
      <c r="I36" s="723"/>
      <c r="J36" s="723" t="s">
        <v>755</v>
      </c>
      <c r="K36" s="724"/>
      <c r="L36" s="725" t="s">
        <v>756</v>
      </c>
    </row>
    <row r="37" spans="1:12" ht="19.95" customHeight="1">
      <c r="A37" s="732"/>
      <c r="B37" s="251" t="s">
        <v>757</v>
      </c>
      <c r="C37" s="251" t="s">
        <v>758</v>
      </c>
      <c r="D37" s="251" t="s">
        <v>759</v>
      </c>
      <c r="E37" s="251" t="s">
        <v>757</v>
      </c>
      <c r="F37" s="251" t="s">
        <v>758</v>
      </c>
      <c r="G37" s="251" t="s">
        <v>759</v>
      </c>
      <c r="H37" s="280" t="s">
        <v>760</v>
      </c>
      <c r="I37" s="280" t="s">
        <v>761</v>
      </c>
      <c r="J37" s="280" t="s">
        <v>634</v>
      </c>
      <c r="K37" s="279" t="s">
        <v>762</v>
      </c>
      <c r="L37" s="726"/>
    </row>
    <row r="38" spans="1:12" ht="19.95" customHeight="1">
      <c r="A38" s="102"/>
      <c r="B38" s="395">
        <f>'明细表J1-2 '!C50</f>
        <v>0</v>
      </c>
      <c r="C38" s="395">
        <f>'明细表J1-2 '!G50</f>
        <v>0</v>
      </c>
      <c r="D38" s="395">
        <f>B38+C38</f>
        <v>0</v>
      </c>
      <c r="E38" s="395">
        <f>'明细表J1-2 '!F50</f>
        <v>0</v>
      </c>
      <c r="F38" s="395">
        <f>'明细表J1-2 '!G50+'明细表J1-2 '!H50-'明细表J1-2 '!I50</f>
        <v>0</v>
      </c>
      <c r="G38" s="395">
        <f>E38+F38</f>
        <v>0</v>
      </c>
      <c r="H38" s="395">
        <f>E38-B38</f>
        <v>0</v>
      </c>
      <c r="I38" s="408">
        <f>IF(AND(B38=0,E38=0),0,IF(AND(B38=0,E38&gt;0),1,H38/B38))</f>
        <v>0</v>
      </c>
      <c r="J38" s="395">
        <f>G38-D38</f>
        <v>0</v>
      </c>
      <c r="K38" s="408">
        <f>IF(AND(D38=0,G38=0),0,IF(AND(D38=0,G38&gt;0),1,J38/D38))</f>
        <v>0</v>
      </c>
      <c r="L38" s="49"/>
    </row>
    <row r="39" spans="1:12" ht="19.95" customHeight="1">
      <c r="A39" s="102"/>
      <c r="B39" s="395">
        <f>'明细表J1-2 '!C51</f>
        <v>0</v>
      </c>
      <c r="C39" s="395">
        <f>'明细表J1-2 '!G51</f>
        <v>0</v>
      </c>
      <c r="D39" s="395">
        <f>B39+C39</f>
        <v>0</v>
      </c>
      <c r="E39" s="395">
        <f>'明细表J1-2 '!F51</f>
        <v>0</v>
      </c>
      <c r="F39" s="395">
        <f>'明细表J1-2 '!G51+'明细表J1-2 '!H51-'明细表J1-2 '!I51</f>
        <v>0</v>
      </c>
      <c r="G39" s="395">
        <f>E39+F39</f>
        <v>0</v>
      </c>
      <c r="H39" s="395">
        <f>E39-B39</f>
        <v>0</v>
      </c>
      <c r="I39" s="408">
        <f>IF(AND(B39=0,E39=0),0,IF(AND(B39=0,E39&gt;0),1,H39/B39))</f>
        <v>0</v>
      </c>
      <c r="J39" s="395">
        <f>G39-D39</f>
        <v>0</v>
      </c>
      <c r="K39" s="408">
        <f>IF(AND(D39=0,G39=0),0,IF(AND(D39=0,G39&gt;0),1,J39/D39))</f>
        <v>0</v>
      </c>
      <c r="L39" s="49"/>
    </row>
    <row r="40" spans="1:12" ht="19.95" customHeight="1">
      <c r="A40" s="102"/>
      <c r="B40" s="395">
        <f>'明细表J1-2 '!C52</f>
        <v>0</v>
      </c>
      <c r="C40" s="395">
        <f>'明细表J1-2 '!G52</f>
        <v>0</v>
      </c>
      <c r="D40" s="395">
        <f>B40+C40</f>
        <v>0</v>
      </c>
      <c r="E40" s="395">
        <f>'明细表J1-2 '!F52</f>
        <v>0</v>
      </c>
      <c r="F40" s="395">
        <f>'明细表J1-2 '!G52+'明细表J1-2 '!H52-'明细表J1-2 '!I52</f>
        <v>0</v>
      </c>
      <c r="G40" s="395">
        <f>E40+F40</f>
        <v>0</v>
      </c>
      <c r="H40" s="395">
        <f>E40-B40</f>
        <v>0</v>
      </c>
      <c r="I40" s="408">
        <f>IF(AND(B40=0,E40=0),0,IF(AND(B40=0,E40&gt;0),1,H40/B40))</f>
        <v>0</v>
      </c>
      <c r="J40" s="395">
        <f>G40-D40</f>
        <v>0</v>
      </c>
      <c r="K40" s="408">
        <f>IF(AND(D40=0,G40=0),0,IF(AND(D40=0,G40&gt;0),1,J40/D40))</f>
        <v>0</v>
      </c>
      <c r="L40" s="49"/>
    </row>
    <row r="41" spans="1:12" ht="19.95" customHeight="1">
      <c r="A41" s="281" t="s">
        <v>770</v>
      </c>
      <c r="B41" s="395">
        <f>SUM(B38:B40)</f>
        <v>0</v>
      </c>
      <c r="C41" s="395">
        <f>SUM(C38:C40)</f>
        <v>0</v>
      </c>
      <c r="D41" s="395">
        <f>B41+C41</f>
        <v>0</v>
      </c>
      <c r="E41" s="395">
        <f>SUM(E38:E40)</f>
        <v>0</v>
      </c>
      <c r="F41" s="395">
        <f>SUM(F38:F40)</f>
        <v>0</v>
      </c>
      <c r="G41" s="395">
        <f>E41+F41</f>
        <v>0</v>
      </c>
      <c r="H41" s="395">
        <f>E41-B41</f>
        <v>0</v>
      </c>
      <c r="I41" s="409">
        <f>IF(AND(B41=0,E41=0),0,IF(AND(B41=0,E41&gt;0),1,H41/B41))</f>
        <v>0</v>
      </c>
      <c r="J41" s="411">
        <f>J34+J38</f>
        <v>0</v>
      </c>
      <c r="K41" s="409">
        <f>IF(AND(D41=0,G41=0),0,IF(AND(D41=0,G41&gt;0),1,J41/D41))</f>
        <v>0</v>
      </c>
      <c r="L41" s="49"/>
    </row>
    <row r="42" spans="1:12" ht="19.95" customHeight="1">
      <c r="A42" s="282" t="s">
        <v>771</v>
      </c>
      <c r="B42" s="160"/>
      <c r="C42" s="160"/>
      <c r="D42" s="160"/>
      <c r="E42" s="160"/>
      <c r="F42" s="160"/>
      <c r="G42" s="160"/>
      <c r="H42" s="160"/>
      <c r="I42" s="161"/>
      <c r="J42" s="162"/>
      <c r="K42" s="161"/>
      <c r="L42" s="159"/>
    </row>
    <row r="43" spans="1:12" ht="19.95" customHeight="1">
      <c r="A43" s="282" t="s">
        <v>772</v>
      </c>
      <c r="B43" s="160"/>
      <c r="C43" s="160"/>
      <c r="D43" s="395">
        <f>D22+D34+D41-D42</f>
        <v>0</v>
      </c>
      <c r="E43" s="160"/>
      <c r="F43" s="160"/>
      <c r="G43" s="395">
        <f>G22+G34+G41-G42</f>
        <v>0</v>
      </c>
      <c r="H43" s="160"/>
      <c r="I43" s="161"/>
      <c r="J43" s="162"/>
      <c r="K43" s="161"/>
      <c r="L43" s="159"/>
    </row>
    <row r="44" spans="1:12" s="4" customFormat="1" ht="19.95" customHeight="1">
      <c r="A44" s="555" t="s">
        <v>1316</v>
      </c>
    </row>
    <row r="45" spans="1:12" s="5" customFormat="1" ht="19.95" customHeight="1">
      <c r="A45" s="538"/>
      <c r="B45" s="538"/>
      <c r="C45" s="538"/>
      <c r="D45" s="538"/>
      <c r="E45" s="538"/>
      <c r="F45" s="538"/>
      <c r="G45" s="538"/>
      <c r="H45" s="538"/>
      <c r="I45" s="538"/>
      <c r="J45" s="538"/>
      <c r="K45" s="538"/>
      <c r="L45" s="538"/>
    </row>
    <row r="46" spans="1:12" s="5" customFormat="1" ht="19.95" customHeight="1">
      <c r="A46" s="538"/>
      <c r="B46" s="538"/>
      <c r="C46" s="538"/>
      <c r="D46" s="538"/>
      <c r="E46" s="538"/>
      <c r="F46" s="538"/>
      <c r="G46" s="538"/>
      <c r="H46" s="538"/>
      <c r="I46" s="538"/>
      <c r="J46" s="538"/>
      <c r="K46" s="538"/>
      <c r="L46" s="538"/>
    </row>
    <row r="47" spans="1:12" ht="19.95" customHeight="1">
      <c r="A47" s="252" t="s">
        <v>773</v>
      </c>
    </row>
    <row r="48" spans="1:12" ht="19.95" customHeight="1">
      <c r="A48" s="283"/>
      <c r="B48" s="284"/>
    </row>
    <row r="49" spans="1:2" ht="19.95" customHeight="1">
      <c r="A49" s="283"/>
      <c r="B49" s="284"/>
    </row>
    <row r="50" spans="1:2" ht="19.95" customHeight="1">
      <c r="A50" s="283"/>
      <c r="B50" s="284"/>
    </row>
  </sheetData>
  <mergeCells count="20">
    <mergeCell ref="A24:A25"/>
    <mergeCell ref="B24:D24"/>
    <mergeCell ref="A36:A37"/>
    <mergeCell ref="B36:D36"/>
    <mergeCell ref="H24:I24"/>
    <mergeCell ref="A1:L1"/>
    <mergeCell ref="A2:L2"/>
    <mergeCell ref="A6:A7"/>
    <mergeCell ref="B6:D6"/>
    <mergeCell ref="H6:I6"/>
    <mergeCell ref="J6:K6"/>
    <mergeCell ref="L6:L7"/>
    <mergeCell ref="J24:K24"/>
    <mergeCell ref="L24:L25"/>
    <mergeCell ref="J36:K36"/>
    <mergeCell ref="L36:L37"/>
    <mergeCell ref="E6:G6"/>
    <mergeCell ref="E24:G24"/>
    <mergeCell ref="E36:G36"/>
    <mergeCell ref="H36:I36"/>
  </mergeCells>
  <phoneticPr fontId="43" type="noConversion"/>
  <dataValidations count="1">
    <dataValidation type="list" allowBlank="1" showInputMessage="1" showErrorMessage="1" sqref="B75">
      <formula1>$B$109:$B$111</formula1>
    </dataValidation>
  </dataValidations>
  <hyperlinks>
    <hyperlink ref="L3" location="底稿目录!A1" display="J1-1"/>
  </hyperlinks>
  <pageMargins left="0.70866141732283472" right="0.70866141732283472" top="0.74803149606299213" bottom="0.74803149606299213" header="0.31496062992125984" footer="0.31496062992125984"/>
  <pageSetup paperSize="9" scale="68" fitToHeight="0"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54"/>
  <sheetViews>
    <sheetView view="pageBreakPreview" topLeftCell="A34" zoomScaleSheetLayoutView="100" workbookViewId="0">
      <selection sqref="A1:X1"/>
    </sheetView>
  </sheetViews>
  <sheetFormatPr defaultColWidth="9" defaultRowHeight="15" customHeight="1"/>
  <cols>
    <col min="1" max="1" width="30.6640625" style="1" customWidth="1"/>
    <col min="2" max="2" width="15.109375" style="1" customWidth="1"/>
    <col min="3" max="5" width="15.6640625" style="1" customWidth="1"/>
    <col min="6" max="6" width="9" style="1"/>
    <col min="7" max="7" width="44.88671875" style="1" customWidth="1"/>
    <col min="8" max="16384" width="9" style="1"/>
  </cols>
  <sheetData>
    <row r="1" spans="1:5" s="38" customFormat="1" ht="15" customHeight="1">
      <c r="A1" s="604" t="s">
        <v>702</v>
      </c>
      <c r="B1" s="604"/>
      <c r="C1" s="604"/>
      <c r="D1" s="604"/>
      <c r="E1" s="604"/>
    </row>
    <row r="2" spans="1:5" s="37" customFormat="1" ht="15" customHeight="1">
      <c r="A2" s="735" t="s">
        <v>750</v>
      </c>
      <c r="B2" s="735"/>
      <c r="C2" s="735"/>
      <c r="D2" s="735"/>
      <c r="E2" s="735"/>
    </row>
    <row r="3" spans="1:5" ht="15" customHeight="1">
      <c r="A3" s="1" t="str">
        <f>底稿目录!A2</f>
        <v>被审计单位：</v>
      </c>
      <c r="B3" s="1" t="str">
        <f>底稿目录!A4</f>
        <v>编制人：</v>
      </c>
      <c r="C3" s="106" t="str">
        <f>底稿目录!A5</f>
        <v>编制日期：</v>
      </c>
      <c r="D3" s="278" t="s">
        <v>703</v>
      </c>
      <c r="E3" s="81"/>
    </row>
    <row r="4" spans="1:5" ht="15" customHeight="1">
      <c r="A4" s="1" t="str">
        <f>底稿目录!A3</f>
        <v>截止日：202X年12月31日</v>
      </c>
      <c r="B4" s="1" t="str">
        <f>底稿目录!A6</f>
        <v>复核人：</v>
      </c>
      <c r="C4" s="106" t="str">
        <f>底稿目录!A7</f>
        <v>复核日期：</v>
      </c>
      <c r="D4" s="278" t="s">
        <v>704</v>
      </c>
      <c r="E4" s="81"/>
    </row>
    <row r="5" spans="1:5" ht="15" customHeight="1" thickBot="1">
      <c r="A5" s="302" t="s">
        <v>705</v>
      </c>
      <c r="B5" s="96"/>
      <c r="C5" s="96"/>
      <c r="D5" s="96"/>
      <c r="E5" s="96"/>
    </row>
    <row r="6" spans="1:5" ht="15" customHeight="1" thickBot="1">
      <c r="A6" s="303" t="s">
        <v>805</v>
      </c>
      <c r="B6" s="304" t="s">
        <v>806</v>
      </c>
      <c r="C6" s="304" t="s">
        <v>807</v>
      </c>
      <c r="D6" s="304" t="s">
        <v>808</v>
      </c>
      <c r="E6" s="304" t="s">
        <v>809</v>
      </c>
    </row>
    <row r="7" spans="1:5" ht="15" customHeight="1">
      <c r="A7" s="305" t="s">
        <v>810</v>
      </c>
      <c r="B7" s="306">
        <f>'明细表J1-2 '!J33</f>
        <v>0</v>
      </c>
      <c r="C7" s="306">
        <f>'明细表J1-2 '!K33</f>
        <v>0</v>
      </c>
      <c r="D7" s="306">
        <f>'明细表J1-2 '!L33</f>
        <v>0</v>
      </c>
      <c r="E7" s="306">
        <f>'明细表J1-2 '!M33</f>
        <v>0</v>
      </c>
    </row>
    <row r="8" spans="1:5" ht="15" customHeight="1">
      <c r="A8" s="305" t="s">
        <v>811</v>
      </c>
      <c r="B8" s="306">
        <f>'明细表J1-2 '!J46</f>
        <v>0</v>
      </c>
      <c r="C8" s="306">
        <f>'明细表J1-2 '!K46</f>
        <v>0</v>
      </c>
      <c r="D8" s="306">
        <f>'明细表J1-2 '!L46</f>
        <v>0</v>
      </c>
      <c r="E8" s="306">
        <f>'明细表J1-2 '!M46</f>
        <v>0</v>
      </c>
    </row>
    <row r="9" spans="1:5" ht="15" customHeight="1">
      <c r="A9" s="305" t="s">
        <v>812</v>
      </c>
      <c r="B9" s="306">
        <f>'明细表J1-2 '!J53</f>
        <v>0</v>
      </c>
      <c r="C9" s="306">
        <f>'明细表J1-2 '!K53</f>
        <v>0</v>
      </c>
      <c r="D9" s="306">
        <f>'明细表J1-2 '!L53</f>
        <v>0</v>
      </c>
      <c r="E9" s="306">
        <f>'明细表J1-2 '!M53</f>
        <v>0</v>
      </c>
    </row>
    <row r="10" spans="1:5" ht="15" customHeight="1">
      <c r="A10" s="305" t="s">
        <v>813</v>
      </c>
      <c r="B10" s="306"/>
      <c r="C10" s="306"/>
      <c r="D10" s="306"/>
      <c r="E10" s="306"/>
    </row>
    <row r="11" spans="1:5" ht="15" customHeight="1" thickBot="1">
      <c r="A11" s="307"/>
      <c r="B11" s="308"/>
      <c r="C11" s="308"/>
      <c r="D11" s="308"/>
      <c r="E11" s="308"/>
    </row>
    <row r="12" spans="1:5" ht="15" customHeight="1" thickBot="1">
      <c r="A12" s="309" t="s">
        <v>814</v>
      </c>
      <c r="B12" s="310">
        <f>SUM(B7:B11)</f>
        <v>0</v>
      </c>
      <c r="C12" s="310">
        <f>SUM(C7:C11)</f>
        <v>0</v>
      </c>
      <c r="D12" s="310">
        <f>SUM(D7:D11)</f>
        <v>0</v>
      </c>
      <c r="E12" s="310">
        <f>SUM(E7:E11)</f>
        <v>0</v>
      </c>
    </row>
    <row r="13" spans="1:5" ht="15" customHeight="1">
      <c r="A13" s="277" t="s">
        <v>815</v>
      </c>
      <c r="B13" s="96"/>
      <c r="C13" s="96"/>
      <c r="D13" s="96"/>
      <c r="E13" s="96"/>
    </row>
    <row r="14" spans="1:5" ht="27.75" customHeight="1">
      <c r="A14" s="736" t="s">
        <v>816</v>
      </c>
      <c r="B14" s="736"/>
      <c r="C14" s="736"/>
      <c r="D14" s="736"/>
      <c r="E14" s="736"/>
    </row>
    <row r="15" spans="1:5" ht="23.25" customHeight="1">
      <c r="A15" s="736" t="s">
        <v>817</v>
      </c>
      <c r="B15" s="736"/>
      <c r="C15" s="736"/>
      <c r="D15" s="736"/>
      <c r="E15" s="736"/>
    </row>
    <row r="16" spans="1:5" ht="15" customHeight="1" thickBot="1">
      <c r="A16" s="302" t="s">
        <v>818</v>
      </c>
      <c r="B16" s="96"/>
      <c r="C16" s="96"/>
      <c r="D16" s="96"/>
      <c r="E16" s="96"/>
    </row>
    <row r="17" spans="1:5" ht="15" customHeight="1" thickBot="1">
      <c r="A17" s="311" t="s">
        <v>805</v>
      </c>
      <c r="B17" s="304" t="s">
        <v>806</v>
      </c>
      <c r="C17" s="304" t="s">
        <v>807</v>
      </c>
      <c r="D17" s="304" t="s">
        <v>808</v>
      </c>
      <c r="E17" s="304" t="s">
        <v>809</v>
      </c>
    </row>
    <row r="18" spans="1:5" ht="15" customHeight="1">
      <c r="A18" s="312" t="s">
        <v>819</v>
      </c>
      <c r="B18" s="313">
        <f>'明细表J1-2 '!J13</f>
        <v>0</v>
      </c>
      <c r="C18" s="313">
        <f>'明细表J1-2 '!K13</f>
        <v>0</v>
      </c>
      <c r="D18" s="313">
        <f>'明细表J1-2 '!L13</f>
        <v>0</v>
      </c>
      <c r="E18" s="313">
        <f>'明细表J1-2 '!M13</f>
        <v>0</v>
      </c>
    </row>
    <row r="19" spans="1:5" ht="15" customHeight="1">
      <c r="A19" s="312" t="s">
        <v>820</v>
      </c>
      <c r="B19" s="313">
        <f>'明细表J1-2 '!J19</f>
        <v>0</v>
      </c>
      <c r="C19" s="313">
        <f>'明细表J1-2 '!K19</f>
        <v>0</v>
      </c>
      <c r="D19" s="313">
        <f>'明细表J1-2 '!L19</f>
        <v>0</v>
      </c>
      <c r="E19" s="313">
        <f>'明细表J1-2 '!M19</f>
        <v>0</v>
      </c>
    </row>
    <row r="20" spans="1:5" ht="15" customHeight="1">
      <c r="A20" s="312" t="s">
        <v>821</v>
      </c>
      <c r="B20" s="313">
        <f>SUM(B21:B27)</f>
        <v>0</v>
      </c>
      <c r="C20" s="313">
        <f>SUM(C21:C27)</f>
        <v>0</v>
      </c>
      <c r="D20" s="313">
        <f>SUM(D21:D27)</f>
        <v>0</v>
      </c>
      <c r="E20" s="313">
        <f>SUM(E21:E27)</f>
        <v>0</v>
      </c>
    </row>
    <row r="21" spans="1:5" ht="15" customHeight="1">
      <c r="A21" s="312" t="s">
        <v>822</v>
      </c>
      <c r="B21" s="313">
        <f>'明细表J1-2 '!J21+'明细表J1-2 '!J22</f>
        <v>0</v>
      </c>
      <c r="C21" s="313">
        <f>'明细表J1-2 '!K21+'明细表J1-2 '!K22</f>
        <v>0</v>
      </c>
      <c r="D21" s="313">
        <f>'明细表J1-2 '!L21+'明细表J1-2 '!L22</f>
        <v>0</v>
      </c>
      <c r="E21" s="313">
        <f>'明细表J1-2 '!M21+'明细表J1-2 '!M22</f>
        <v>0</v>
      </c>
    </row>
    <row r="22" spans="1:5" ht="15" customHeight="1">
      <c r="A22" s="312" t="s">
        <v>823</v>
      </c>
      <c r="B22" s="313">
        <f>'明细表J1-2 '!J23</f>
        <v>0</v>
      </c>
      <c r="C22" s="313">
        <f>'明细表J1-2 '!K23</f>
        <v>0</v>
      </c>
      <c r="D22" s="313">
        <f>'明细表J1-2 '!L23</f>
        <v>0</v>
      </c>
      <c r="E22" s="313">
        <f>'明细表J1-2 '!M23</f>
        <v>0</v>
      </c>
    </row>
    <row r="23" spans="1:5" ht="15" customHeight="1">
      <c r="A23" s="312" t="s">
        <v>824</v>
      </c>
      <c r="B23" s="313">
        <f>'明细表J1-2 '!J24</f>
        <v>0</v>
      </c>
      <c r="C23" s="313">
        <f>'明细表J1-2 '!K24</f>
        <v>0</v>
      </c>
      <c r="D23" s="313">
        <f>'明细表J1-2 '!L24</f>
        <v>0</v>
      </c>
      <c r="E23" s="313">
        <f>'明细表J1-2 '!M24</f>
        <v>0</v>
      </c>
    </row>
    <row r="24" spans="1:5" ht="15" customHeight="1">
      <c r="A24" s="312" t="s">
        <v>24</v>
      </c>
      <c r="B24" s="313"/>
      <c r="C24" s="314"/>
      <c r="D24" s="314"/>
      <c r="E24" s="313"/>
    </row>
    <row r="25" spans="1:5" ht="15" customHeight="1">
      <c r="A25" s="315"/>
      <c r="B25" s="313"/>
      <c r="C25" s="314"/>
      <c r="D25" s="314"/>
      <c r="E25" s="313"/>
    </row>
    <row r="26" spans="1:5" ht="15" customHeight="1">
      <c r="A26" s="315"/>
      <c r="B26" s="313"/>
      <c r="C26" s="314"/>
      <c r="D26" s="314"/>
      <c r="E26" s="313"/>
    </row>
    <row r="27" spans="1:5" ht="15" customHeight="1">
      <c r="A27" s="315"/>
      <c r="B27" s="313"/>
      <c r="C27" s="314"/>
      <c r="D27" s="314"/>
      <c r="E27" s="313"/>
    </row>
    <row r="28" spans="1:5" ht="15" customHeight="1">
      <c r="A28" s="312" t="s">
        <v>825</v>
      </c>
      <c r="B28" s="313">
        <f>'明细表J1-2 '!J25</f>
        <v>0</v>
      </c>
      <c r="C28" s="313">
        <f>'明细表J1-2 '!K25</f>
        <v>0</v>
      </c>
      <c r="D28" s="313">
        <f>'明细表J1-2 '!L25</f>
        <v>0</v>
      </c>
      <c r="E28" s="313">
        <f>'明细表J1-2 '!M25</f>
        <v>0</v>
      </c>
    </row>
    <row r="29" spans="1:5" ht="15" customHeight="1">
      <c r="A29" s="312" t="s">
        <v>826</v>
      </c>
      <c r="B29" s="313">
        <f>'明细表J1-2 '!J26+'明细表J1-2 '!J27</f>
        <v>0</v>
      </c>
      <c r="C29" s="313">
        <f>'明细表J1-2 '!K26+'明细表J1-2 '!K27</f>
        <v>0</v>
      </c>
      <c r="D29" s="313">
        <f>'明细表J1-2 '!L26+'明细表J1-2 '!L27</f>
        <v>0</v>
      </c>
      <c r="E29" s="313">
        <f>'明细表J1-2 '!M26+'明细表J1-2 '!M27</f>
        <v>0</v>
      </c>
    </row>
    <row r="30" spans="1:5" ht="15" customHeight="1">
      <c r="A30" s="312" t="s">
        <v>827</v>
      </c>
      <c r="B30" s="313">
        <f>'明细表J1-2 '!J28</f>
        <v>0</v>
      </c>
      <c r="C30" s="313">
        <f>'明细表J1-2 '!K28</f>
        <v>0</v>
      </c>
      <c r="D30" s="313">
        <f>'明细表J1-2 '!L28</f>
        <v>0</v>
      </c>
      <c r="E30" s="313">
        <f>'明细表J1-2 '!M28</f>
        <v>0</v>
      </c>
    </row>
    <row r="31" spans="1:5" ht="15" customHeight="1">
      <c r="A31" s="312" t="s">
        <v>828</v>
      </c>
      <c r="B31" s="313">
        <f>'明细表J1-2 '!J29</f>
        <v>0</v>
      </c>
      <c r="C31" s="313">
        <f>'明细表J1-2 '!K29</f>
        <v>0</v>
      </c>
      <c r="D31" s="313">
        <f>'明细表J1-2 '!L29</f>
        <v>0</v>
      </c>
      <c r="E31" s="313">
        <f>'明细表J1-2 '!M29</f>
        <v>0</v>
      </c>
    </row>
    <row r="32" spans="1:5" ht="15" customHeight="1">
      <c r="A32" s="312" t="s">
        <v>829</v>
      </c>
      <c r="B32" s="313">
        <f>'明细表J1-2 '!J30</f>
        <v>0</v>
      </c>
      <c r="C32" s="313">
        <f>'明细表J1-2 '!K30</f>
        <v>0</v>
      </c>
      <c r="D32" s="313">
        <f>'明细表J1-2 '!L30</f>
        <v>0</v>
      </c>
      <c r="E32" s="313">
        <f>'明细表J1-2 '!M30</f>
        <v>0</v>
      </c>
    </row>
    <row r="33" spans="1:5" ht="15" customHeight="1">
      <c r="A33" s="312" t="s">
        <v>830</v>
      </c>
      <c r="B33" s="313">
        <f>'明细表J1-2 '!J31</f>
        <v>0</v>
      </c>
      <c r="C33" s="313">
        <f>'明细表J1-2 '!K31</f>
        <v>0</v>
      </c>
      <c r="D33" s="313">
        <f>'明细表J1-2 '!L31</f>
        <v>0</v>
      </c>
      <c r="E33" s="313">
        <f>'明细表J1-2 '!M31</f>
        <v>0</v>
      </c>
    </row>
    <row r="34" spans="1:5" ht="15" customHeight="1" thickBot="1">
      <c r="A34" s="315"/>
      <c r="B34" s="316"/>
      <c r="C34" s="317"/>
      <c r="D34" s="317"/>
      <c r="E34" s="316"/>
    </row>
    <row r="35" spans="1:5" ht="15" customHeight="1" thickBot="1">
      <c r="A35" s="318" t="s">
        <v>831</v>
      </c>
      <c r="B35" s="319">
        <f>SUM(B18:B20)+SUM(B28:B34)</f>
        <v>0</v>
      </c>
      <c r="C35" s="319">
        <f>SUM(C18:C20)+SUM(C28:C34)</f>
        <v>0</v>
      </c>
      <c r="D35" s="319">
        <f>SUM(D18:D20)+SUM(D28:D34)</f>
        <v>0</v>
      </c>
      <c r="E35" s="319">
        <f>SUM(E18:E20)+SUM(E28:E34)</f>
        <v>0</v>
      </c>
    </row>
    <row r="36" spans="1:5" ht="15" customHeight="1">
      <c r="A36" s="302" t="s">
        <v>832</v>
      </c>
      <c r="B36" s="96"/>
      <c r="C36" s="96"/>
      <c r="D36" s="96"/>
      <c r="E36" s="96"/>
    </row>
    <row r="37" spans="1:5" ht="15" customHeight="1">
      <c r="A37" s="737" t="s">
        <v>833</v>
      </c>
      <c r="B37" s="737"/>
      <c r="C37" s="737"/>
      <c r="D37" s="737"/>
      <c r="E37" s="737"/>
    </row>
    <row r="38" spans="1:5" ht="15" customHeight="1">
      <c r="A38" s="738" t="s">
        <v>834</v>
      </c>
      <c r="B38" s="738"/>
      <c r="C38" s="738"/>
      <c r="D38" s="738"/>
      <c r="E38" s="738"/>
    </row>
    <row r="39" spans="1:5" ht="15" customHeight="1" thickBot="1">
      <c r="A39" s="302" t="s">
        <v>835</v>
      </c>
      <c r="B39" s="96"/>
      <c r="C39" s="96"/>
      <c r="D39" s="96"/>
      <c r="E39" s="96"/>
    </row>
    <row r="40" spans="1:5" ht="15" customHeight="1" thickBot="1">
      <c r="A40" s="311" t="s">
        <v>805</v>
      </c>
      <c r="B40" s="304" t="s">
        <v>806</v>
      </c>
      <c r="C40" s="304" t="s">
        <v>807</v>
      </c>
      <c r="D40" s="304" t="s">
        <v>808</v>
      </c>
      <c r="E40" s="304" t="s">
        <v>809</v>
      </c>
    </row>
    <row r="41" spans="1:5" ht="15" customHeight="1">
      <c r="A41" s="312" t="s">
        <v>836</v>
      </c>
      <c r="B41" s="313">
        <f>SUM(B42:B45)</f>
        <v>0</v>
      </c>
      <c r="C41" s="313">
        <f>SUM(C42:C45)</f>
        <v>0</v>
      </c>
      <c r="D41" s="313">
        <f>SUM(D42:D45)</f>
        <v>0</v>
      </c>
      <c r="E41" s="313">
        <f>SUM(E42:E45)</f>
        <v>0</v>
      </c>
    </row>
    <row r="42" spans="1:5" ht="15" customHeight="1">
      <c r="A42" s="312" t="s">
        <v>837</v>
      </c>
      <c r="B42" s="313">
        <f>'明细表J1-2 '!J38</f>
        <v>0</v>
      </c>
      <c r="C42" s="313">
        <f>'明细表J1-2 '!K38</f>
        <v>0</v>
      </c>
      <c r="D42" s="313">
        <f>'明细表J1-2 '!L38</f>
        <v>0</v>
      </c>
      <c r="E42" s="313">
        <f>'明细表J1-2 '!M38</f>
        <v>0</v>
      </c>
    </row>
    <row r="43" spans="1:5" ht="15" customHeight="1">
      <c r="A43" s="312" t="s">
        <v>838</v>
      </c>
      <c r="B43" s="313">
        <f>'明细表J1-2 '!J39</f>
        <v>0</v>
      </c>
      <c r="C43" s="313">
        <f>'明细表J1-2 '!K39</f>
        <v>0</v>
      </c>
      <c r="D43" s="313">
        <f>'明细表J1-2 '!L39</f>
        <v>0</v>
      </c>
      <c r="E43" s="313">
        <f>'明细表J1-2 '!M39</f>
        <v>0</v>
      </c>
    </row>
    <row r="44" spans="1:5" ht="15" customHeight="1">
      <c r="A44" s="312" t="s">
        <v>839</v>
      </c>
      <c r="B44" s="313">
        <f>'明细表J1-2 '!J40</f>
        <v>0</v>
      </c>
      <c r="C44" s="313">
        <f>'明细表J1-2 '!K40</f>
        <v>0</v>
      </c>
      <c r="D44" s="313">
        <f>'明细表J1-2 '!L40</f>
        <v>0</v>
      </c>
      <c r="E44" s="313">
        <f>'明细表J1-2 '!M40</f>
        <v>0</v>
      </c>
    </row>
    <row r="45" spans="1:5" ht="15" customHeight="1">
      <c r="A45" s="312" t="s">
        <v>840</v>
      </c>
      <c r="B45" s="313">
        <f>'明细表J1-2 '!J41</f>
        <v>0</v>
      </c>
      <c r="C45" s="313">
        <f>'明细表J1-2 '!K41</f>
        <v>0</v>
      </c>
      <c r="D45" s="313">
        <f>'明细表J1-2 '!L41</f>
        <v>0</v>
      </c>
      <c r="E45" s="313">
        <f>'明细表J1-2 '!M41</f>
        <v>0</v>
      </c>
    </row>
    <row r="46" spans="1:5" ht="15" customHeight="1">
      <c r="A46" s="312" t="s">
        <v>841</v>
      </c>
      <c r="B46" s="313">
        <f>'明细表J1-2 '!J42</f>
        <v>0</v>
      </c>
      <c r="C46" s="313">
        <f>'明细表J1-2 '!K42</f>
        <v>0</v>
      </c>
      <c r="D46" s="313">
        <f>'明细表J1-2 '!L42</f>
        <v>0</v>
      </c>
      <c r="E46" s="313">
        <f>'明细表J1-2 '!M42</f>
        <v>0</v>
      </c>
    </row>
    <row r="47" spans="1:5" ht="15" customHeight="1">
      <c r="A47" s="312" t="s">
        <v>842</v>
      </c>
      <c r="B47" s="313">
        <f>'明细表J1-2 '!J43</f>
        <v>0</v>
      </c>
      <c r="C47" s="313">
        <f>'明细表J1-2 '!K43</f>
        <v>0</v>
      </c>
      <c r="D47" s="313">
        <f>'明细表J1-2 '!L43</f>
        <v>0</v>
      </c>
      <c r="E47" s="313">
        <f>'明细表J1-2 '!M43</f>
        <v>0</v>
      </c>
    </row>
    <row r="48" spans="1:5" ht="15" customHeight="1" thickBot="1">
      <c r="A48" s="312" t="s">
        <v>843</v>
      </c>
      <c r="B48" s="313">
        <f>'明细表J1-2 '!J44</f>
        <v>0</v>
      </c>
      <c r="C48" s="313">
        <f>'明细表J1-2 '!K44</f>
        <v>0</v>
      </c>
      <c r="D48" s="313">
        <f>'明细表J1-2 '!L44</f>
        <v>0</v>
      </c>
      <c r="E48" s="313">
        <f>'明细表J1-2 '!M44</f>
        <v>0</v>
      </c>
    </row>
    <row r="49" spans="1:5" ht="15" customHeight="1" thickBot="1">
      <c r="A49" s="318" t="s">
        <v>831</v>
      </c>
      <c r="B49" s="319">
        <f>B41+B46</f>
        <v>0</v>
      </c>
      <c r="C49" s="319">
        <f>C41+C46</f>
        <v>0</v>
      </c>
      <c r="D49" s="319">
        <f>D41+D46</f>
        <v>0</v>
      </c>
      <c r="E49" s="319">
        <f>E41+E46</f>
        <v>0</v>
      </c>
    </row>
    <row r="50" spans="1:5" ht="15" customHeight="1">
      <c r="A50" s="737" t="s">
        <v>844</v>
      </c>
      <c r="B50" s="737"/>
      <c r="C50" s="737"/>
      <c r="D50" s="737"/>
      <c r="E50" s="737"/>
    </row>
    <row r="51" spans="1:5" ht="15" customHeight="1">
      <c r="A51" s="738" t="s">
        <v>845</v>
      </c>
      <c r="B51" s="738"/>
      <c r="C51" s="738"/>
      <c r="D51" s="738"/>
      <c r="E51" s="738"/>
    </row>
    <row r="52" spans="1:5" ht="15" customHeight="1">
      <c r="A52" s="302" t="s">
        <v>846</v>
      </c>
      <c r="B52" s="96"/>
      <c r="C52" s="96"/>
      <c r="D52" s="96"/>
      <c r="E52" s="96"/>
    </row>
    <row r="53" spans="1:5" ht="15" customHeight="1">
      <c r="A53" s="737" t="s">
        <v>847</v>
      </c>
      <c r="B53" s="737"/>
      <c r="C53" s="737"/>
      <c r="D53" s="737"/>
      <c r="E53" s="737"/>
    </row>
    <row r="54" spans="1:5" ht="15" customHeight="1">
      <c r="A54" s="736" t="s">
        <v>848</v>
      </c>
      <c r="B54" s="736"/>
      <c r="C54" s="736"/>
      <c r="D54" s="736"/>
      <c r="E54" s="736"/>
    </row>
  </sheetData>
  <mergeCells count="10">
    <mergeCell ref="A1:E1"/>
    <mergeCell ref="A2:E2"/>
    <mergeCell ref="A14:E14"/>
    <mergeCell ref="A15:E15"/>
    <mergeCell ref="A54:E54"/>
    <mergeCell ref="A37:E37"/>
    <mergeCell ref="A38:E38"/>
    <mergeCell ref="A50:E50"/>
    <mergeCell ref="A51:E51"/>
    <mergeCell ref="A53:E53"/>
  </mergeCells>
  <phoneticPr fontId="6" type="noConversion"/>
  <pageMargins left="0.70866141732283472" right="0.70866141732283472" top="0.74803149606299213" bottom="0.74803149606299213" header="0.31496062992125984" footer="0.31496062992125984"/>
  <pageSetup paperSize="9" scale="84" fitToHeight="100" orientation="portrait"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44"/>
  <sheetViews>
    <sheetView view="pageBreakPreview" topLeftCell="A37" zoomScaleSheetLayoutView="100" workbookViewId="0">
      <selection sqref="A1:X1"/>
    </sheetView>
  </sheetViews>
  <sheetFormatPr defaultColWidth="14.33203125" defaultRowHeight="15" customHeight="1"/>
  <cols>
    <col min="1" max="1" width="25.109375" style="1" customWidth="1"/>
    <col min="2" max="5" width="14.33203125" style="2"/>
    <col min="6" max="16384" width="14.33203125" style="1"/>
  </cols>
  <sheetData>
    <row r="1" spans="1:5" s="38" customFormat="1" ht="15" customHeight="1">
      <c r="A1" s="604" t="s">
        <v>702</v>
      </c>
      <c r="B1" s="604"/>
      <c r="C1" s="604"/>
      <c r="D1" s="604"/>
      <c r="E1" s="604"/>
    </row>
    <row r="2" spans="1:5" s="37" customFormat="1" ht="15" customHeight="1">
      <c r="A2" s="735" t="s">
        <v>895</v>
      </c>
      <c r="B2" s="735"/>
      <c r="C2" s="735"/>
      <c r="D2" s="735"/>
      <c r="E2" s="735"/>
    </row>
    <row r="3" spans="1:5" ht="15" customHeight="1">
      <c r="A3" s="1" t="str">
        <f>底稿目录!A2</f>
        <v>被审计单位：</v>
      </c>
      <c r="B3" s="170" t="str">
        <f>底稿目录!A4</f>
        <v>编制人：</v>
      </c>
      <c r="C3" s="171" t="str">
        <f>底稿目录!A5</f>
        <v>编制日期：</v>
      </c>
      <c r="D3" s="170" t="s">
        <v>703</v>
      </c>
      <c r="E3" s="168"/>
    </row>
    <row r="4" spans="1:5" ht="15" customHeight="1">
      <c r="A4" s="1" t="str">
        <f>底稿目录!A3</f>
        <v>截止日：202X年12月31日</v>
      </c>
      <c r="B4" s="170" t="str">
        <f>底稿目录!A6</f>
        <v>复核人：</v>
      </c>
      <c r="C4" s="171" t="str">
        <f>底稿目录!A7</f>
        <v>复核日期：</v>
      </c>
      <c r="D4" s="170" t="s">
        <v>704</v>
      </c>
      <c r="E4" s="168"/>
    </row>
    <row r="5" spans="1:5" ht="15" customHeight="1">
      <c r="A5" s="276" t="s">
        <v>705</v>
      </c>
      <c r="B5" s="195"/>
      <c r="C5" s="195"/>
      <c r="D5" s="195"/>
      <c r="E5" s="195"/>
    </row>
    <row r="6" spans="1:5" s="89" customFormat="1" ht="15" customHeight="1">
      <c r="A6" s="166" t="s">
        <v>706</v>
      </c>
      <c r="B6" s="169"/>
      <c r="C6" s="169"/>
      <c r="D6" s="169"/>
      <c r="E6" s="169"/>
    </row>
    <row r="7" spans="1:5" s="89" customFormat="1" ht="15" customHeight="1" thickBot="1">
      <c r="A7" s="166" t="s">
        <v>707</v>
      </c>
      <c r="B7" s="169"/>
      <c r="C7" s="169"/>
      <c r="D7" s="169"/>
      <c r="E7" s="169"/>
    </row>
    <row r="8" spans="1:5" s="94" customFormat="1" ht="15" customHeight="1" thickBot="1">
      <c r="A8" s="179" t="s">
        <v>708</v>
      </c>
      <c r="B8" s="180" t="s">
        <v>709</v>
      </c>
      <c r="C8" s="180" t="s">
        <v>710</v>
      </c>
      <c r="D8" s="180" t="s">
        <v>711</v>
      </c>
      <c r="E8" s="180" t="s">
        <v>712</v>
      </c>
    </row>
    <row r="9" spans="1:5" s="89" customFormat="1" ht="15" customHeight="1">
      <c r="A9" s="166" t="s">
        <v>713</v>
      </c>
      <c r="B9" s="174">
        <f>'明细表J1-2 '!J33</f>
        <v>0</v>
      </c>
      <c r="C9" s="174">
        <f>'明细表J1-2 '!K33</f>
        <v>0</v>
      </c>
      <c r="D9" s="174">
        <f>'明细表J1-2 '!L33</f>
        <v>0</v>
      </c>
      <c r="E9" s="174">
        <f>B9+C9-D9</f>
        <v>0</v>
      </c>
    </row>
    <row r="10" spans="1:5" s="89" customFormat="1" ht="15" customHeight="1">
      <c r="A10" s="166" t="s">
        <v>714</v>
      </c>
      <c r="B10" s="174">
        <f>'明细表J1-2 '!J46</f>
        <v>0</v>
      </c>
      <c r="C10" s="174">
        <f>'明细表J1-2 '!K46</f>
        <v>0</v>
      </c>
      <c r="D10" s="174">
        <f>'明细表J1-2 '!L46</f>
        <v>0</v>
      </c>
      <c r="E10" s="174">
        <f>B10+C10-D10</f>
        <v>0</v>
      </c>
    </row>
    <row r="11" spans="1:5" s="89" customFormat="1" ht="15" customHeight="1">
      <c r="A11" s="166" t="s">
        <v>715</v>
      </c>
      <c r="B11" s="174">
        <f>'明细表J1-2 '!J53</f>
        <v>0</v>
      </c>
      <c r="C11" s="174">
        <f>'明细表J1-2 '!K53</f>
        <v>0</v>
      </c>
      <c r="D11" s="174">
        <f>'明细表J1-2 '!L53</f>
        <v>0</v>
      </c>
      <c r="E11" s="174">
        <f>B11+C11-D11</f>
        <v>0</v>
      </c>
    </row>
    <row r="12" spans="1:5" s="89" customFormat="1" ht="15" customHeight="1">
      <c r="A12" s="166" t="s">
        <v>716</v>
      </c>
      <c r="B12" s="173"/>
      <c r="C12" s="173"/>
      <c r="D12" s="173"/>
      <c r="E12" s="174">
        <f>B12+C12-D12</f>
        <v>0</v>
      </c>
    </row>
    <row r="13" spans="1:5" s="89" customFormat="1" ht="15" customHeight="1" thickBot="1">
      <c r="A13" s="181" t="s">
        <v>717</v>
      </c>
      <c r="B13" s="196"/>
      <c r="C13" s="196"/>
      <c r="D13" s="196"/>
      <c r="E13" s="196"/>
    </row>
    <row r="14" spans="1:5" s="38" customFormat="1" ht="15" customHeight="1" thickBot="1">
      <c r="A14" s="182" t="s">
        <v>718</v>
      </c>
      <c r="B14" s="167">
        <f>SUM(B9:B13)</f>
        <v>0</v>
      </c>
      <c r="C14" s="167">
        <f>SUM(C9:C13)</f>
        <v>0</v>
      </c>
      <c r="D14" s="167">
        <f>SUM(D9:D13)</f>
        <v>0</v>
      </c>
      <c r="E14" s="167">
        <f>SUM(E9:E13)</f>
        <v>0</v>
      </c>
    </row>
    <row r="15" spans="1:5" s="89" customFormat="1" ht="15" customHeight="1" thickBot="1">
      <c r="A15" s="166" t="s">
        <v>719</v>
      </c>
      <c r="B15" s="169"/>
      <c r="C15" s="169"/>
      <c r="D15" s="169"/>
      <c r="E15" s="169"/>
    </row>
    <row r="16" spans="1:5" s="94" customFormat="1" ht="15" customHeight="1" thickBot="1">
      <c r="A16" s="179" t="s">
        <v>708</v>
      </c>
      <c r="B16" s="180" t="s">
        <v>709</v>
      </c>
      <c r="C16" s="180" t="s">
        <v>710</v>
      </c>
      <c r="D16" s="180" t="s">
        <v>711</v>
      </c>
      <c r="E16" s="180" t="s">
        <v>712</v>
      </c>
    </row>
    <row r="17" spans="1:5" s="89" customFormat="1" ht="15" customHeight="1">
      <c r="A17" s="166" t="s">
        <v>720</v>
      </c>
      <c r="B17" s="174">
        <f>'明细表J1-2 '!J13</f>
        <v>0</v>
      </c>
      <c r="C17" s="174">
        <f>'明细表J1-2 '!K13</f>
        <v>0</v>
      </c>
      <c r="D17" s="174">
        <f>'明细表J1-2 '!L13</f>
        <v>0</v>
      </c>
      <c r="E17" s="174">
        <f t="shared" ref="E17:E28" si="0">B17+C17-D17</f>
        <v>0</v>
      </c>
    </row>
    <row r="18" spans="1:5" s="89" customFormat="1" ht="15" customHeight="1">
      <c r="A18" s="89" t="s">
        <v>721</v>
      </c>
      <c r="B18" s="175">
        <f>'明细表J1-2 '!J19</f>
        <v>0</v>
      </c>
      <c r="C18" s="175">
        <f>'明细表J1-2 '!K19</f>
        <v>0</v>
      </c>
      <c r="D18" s="175">
        <f>'明细表J1-2 '!L19</f>
        <v>0</v>
      </c>
      <c r="E18" s="175">
        <f t="shared" si="0"/>
        <v>0</v>
      </c>
    </row>
    <row r="19" spans="1:5" s="89" customFormat="1" ht="15" customHeight="1">
      <c r="A19" s="89" t="s">
        <v>722</v>
      </c>
      <c r="B19" s="175">
        <f>SUM(B20:B23)</f>
        <v>0</v>
      </c>
      <c r="C19" s="175">
        <f>SUM(C20:C23)</f>
        <v>0</v>
      </c>
      <c r="D19" s="175">
        <f>SUM(D20:D23)</f>
        <v>0</v>
      </c>
      <c r="E19" s="175">
        <f t="shared" si="0"/>
        <v>0</v>
      </c>
    </row>
    <row r="20" spans="1:5" ht="15" customHeight="1">
      <c r="A20" s="1" t="s">
        <v>723</v>
      </c>
      <c r="B20" s="172">
        <f>'明细表J1-2 '!J21+'明细表J1-2 '!J22</f>
        <v>0</v>
      </c>
      <c r="C20" s="172">
        <f>'明细表J1-2 '!K21+'明细表J1-2 '!K22</f>
        <v>0</v>
      </c>
      <c r="D20" s="172">
        <f>'明细表J1-2 '!L21+'明细表J1-2 '!L22</f>
        <v>0</v>
      </c>
      <c r="E20" s="172">
        <f t="shared" si="0"/>
        <v>0</v>
      </c>
    </row>
    <row r="21" spans="1:5" ht="15" customHeight="1">
      <c r="A21" s="1" t="s">
        <v>724</v>
      </c>
      <c r="B21" s="172">
        <f>'明细表J1-2 '!J23</f>
        <v>0</v>
      </c>
      <c r="C21" s="172">
        <f>'明细表J1-2 '!K23</f>
        <v>0</v>
      </c>
      <c r="D21" s="172">
        <f>'明细表J1-2 '!L23</f>
        <v>0</v>
      </c>
      <c r="E21" s="172">
        <f t="shared" si="0"/>
        <v>0</v>
      </c>
    </row>
    <row r="22" spans="1:5" ht="15" customHeight="1">
      <c r="A22" s="1" t="s">
        <v>725</v>
      </c>
      <c r="B22" s="172">
        <f>'明细表J1-2 '!J24</f>
        <v>0</v>
      </c>
      <c r="C22" s="172">
        <f>'明细表J1-2 '!K24</f>
        <v>0</v>
      </c>
      <c r="D22" s="172">
        <f>'明细表J1-2 '!L24</f>
        <v>0</v>
      </c>
      <c r="E22" s="172">
        <f t="shared" si="0"/>
        <v>0</v>
      </c>
    </row>
    <row r="23" spans="1:5" ht="15" customHeight="1">
      <c r="A23" s="1" t="s">
        <v>726</v>
      </c>
      <c r="B23" s="172"/>
      <c r="C23" s="172"/>
      <c r="D23" s="172"/>
      <c r="E23" s="172">
        <f t="shared" si="0"/>
        <v>0</v>
      </c>
    </row>
    <row r="24" spans="1:5" ht="15" customHeight="1">
      <c r="A24" s="1" t="s">
        <v>727</v>
      </c>
      <c r="B24" s="172">
        <f>'明细表J1-2 '!J25</f>
        <v>0</v>
      </c>
      <c r="C24" s="172">
        <f>'明细表J1-2 '!K25</f>
        <v>0</v>
      </c>
      <c r="D24" s="172">
        <f>'明细表J1-2 '!L25</f>
        <v>0</v>
      </c>
      <c r="E24" s="172">
        <f t="shared" si="0"/>
        <v>0</v>
      </c>
    </row>
    <row r="25" spans="1:5" ht="15" customHeight="1">
      <c r="A25" s="1" t="s">
        <v>728</v>
      </c>
      <c r="B25" s="172">
        <f>'明细表J1-2 '!J26+'明细表J1-2 '!J27</f>
        <v>0</v>
      </c>
      <c r="C25" s="172">
        <f>'明细表J1-2 '!K26+'明细表J1-2 '!K27</f>
        <v>0</v>
      </c>
      <c r="D25" s="172">
        <f>'明细表J1-2 '!L26+'明细表J1-2 '!L27</f>
        <v>0</v>
      </c>
      <c r="E25" s="172">
        <f t="shared" si="0"/>
        <v>0</v>
      </c>
    </row>
    <row r="26" spans="1:5" ht="15" customHeight="1">
      <c r="A26" s="1" t="s">
        <v>729</v>
      </c>
      <c r="B26" s="172">
        <f>'明细表J1-2 '!J28</f>
        <v>0</v>
      </c>
      <c r="C26" s="172">
        <f>'明细表J1-2 '!K28</f>
        <v>0</v>
      </c>
      <c r="D26" s="172">
        <f>'明细表J1-2 '!L28</f>
        <v>0</v>
      </c>
      <c r="E26" s="172">
        <f t="shared" si="0"/>
        <v>0</v>
      </c>
    </row>
    <row r="27" spans="1:5" ht="15" customHeight="1">
      <c r="A27" s="1" t="s">
        <v>730</v>
      </c>
      <c r="B27" s="172">
        <f>'明细表J1-2 '!J29</f>
        <v>0</v>
      </c>
      <c r="C27" s="172">
        <f>'明细表J1-2 '!K29</f>
        <v>0</v>
      </c>
      <c r="D27" s="172">
        <f>'明细表J1-2 '!L29</f>
        <v>0</v>
      </c>
      <c r="E27" s="172">
        <f t="shared" si="0"/>
        <v>0</v>
      </c>
    </row>
    <row r="28" spans="1:5" ht="15" customHeight="1" thickBot="1">
      <c r="A28" s="1" t="s">
        <v>731</v>
      </c>
      <c r="B28" s="172">
        <f>'明细表J1-2 '!J30+'明细表J1-2 '!J31</f>
        <v>0</v>
      </c>
      <c r="C28" s="172">
        <f>'明细表J1-2 '!K30+'明细表J1-2 '!K31</f>
        <v>0</v>
      </c>
      <c r="D28" s="172">
        <f>'明细表J1-2 '!L30+'明细表J1-2 '!L31</f>
        <v>0</v>
      </c>
      <c r="E28" s="172">
        <f t="shared" si="0"/>
        <v>0</v>
      </c>
    </row>
    <row r="29" spans="1:5" s="94" customFormat="1" ht="15" customHeight="1" thickBot="1">
      <c r="A29" s="179" t="s">
        <v>732</v>
      </c>
      <c r="B29" s="183">
        <f>SUM(B17:B28)-SUM(B20:B23)</f>
        <v>0</v>
      </c>
      <c r="C29" s="183">
        <f>SUM(C17:C28)-SUM(C20:C23)</f>
        <v>0</v>
      </c>
      <c r="D29" s="183">
        <f>SUM(D17:D28)-SUM(D20:D23)</f>
        <v>0</v>
      </c>
      <c r="E29" s="183">
        <f>SUM(E17:E28)-SUM(E20:E23)</f>
        <v>0</v>
      </c>
    </row>
    <row r="30" spans="1:5" ht="15" customHeight="1" thickBot="1">
      <c r="A30" s="1" t="s">
        <v>733</v>
      </c>
    </row>
    <row r="31" spans="1:5" s="94" customFormat="1" ht="15" customHeight="1" thickBot="1">
      <c r="A31" s="179" t="s">
        <v>734</v>
      </c>
      <c r="B31" s="180" t="s">
        <v>735</v>
      </c>
      <c r="C31" s="180" t="s">
        <v>736</v>
      </c>
      <c r="D31" s="180" t="s">
        <v>737</v>
      </c>
      <c r="E31" s="180" t="s">
        <v>738</v>
      </c>
    </row>
    <row r="32" spans="1:5" ht="15" customHeight="1">
      <c r="A32" s="1" t="s">
        <v>739</v>
      </c>
      <c r="B32" s="172">
        <f>SUM(B33:B36)</f>
        <v>0</v>
      </c>
      <c r="C32" s="172">
        <f>SUM(C33:C36)</f>
        <v>0</v>
      </c>
      <c r="D32" s="172">
        <f>SUM(D33:D36)</f>
        <v>0</v>
      </c>
      <c r="E32" s="172">
        <f t="shared" ref="E32:E39" si="1">B32+C32-D32</f>
        <v>0</v>
      </c>
    </row>
    <row r="33" spans="1:5" ht="15" customHeight="1">
      <c r="A33" s="1" t="s">
        <v>740</v>
      </c>
      <c r="B33" s="172">
        <f>'明细表J1-2 '!J38</f>
        <v>0</v>
      </c>
      <c r="C33" s="172">
        <f>'明细表J1-2 '!K38</f>
        <v>0</v>
      </c>
      <c r="D33" s="172">
        <f>'明细表J1-2 '!L38</f>
        <v>0</v>
      </c>
      <c r="E33" s="172">
        <f t="shared" si="1"/>
        <v>0</v>
      </c>
    </row>
    <row r="34" spans="1:5" ht="15" customHeight="1">
      <c r="A34" s="1" t="s">
        <v>741</v>
      </c>
      <c r="B34" s="172">
        <f>'明细表J1-2 '!J39</f>
        <v>0</v>
      </c>
      <c r="C34" s="172">
        <f>'明细表J1-2 '!K39</f>
        <v>0</v>
      </c>
      <c r="D34" s="172">
        <f>'明细表J1-2 '!L39</f>
        <v>0</v>
      </c>
      <c r="E34" s="172">
        <f t="shared" si="1"/>
        <v>0</v>
      </c>
    </row>
    <row r="35" spans="1:5" ht="15" customHeight="1">
      <c r="A35" s="1" t="s">
        <v>742</v>
      </c>
      <c r="B35" s="172">
        <f>'明细表J1-2 '!J40</f>
        <v>0</v>
      </c>
      <c r="C35" s="172">
        <f>'明细表J1-2 '!K40</f>
        <v>0</v>
      </c>
      <c r="D35" s="172">
        <f>'明细表J1-2 '!L40</f>
        <v>0</v>
      </c>
      <c r="E35" s="172">
        <f t="shared" si="1"/>
        <v>0</v>
      </c>
    </row>
    <row r="36" spans="1:5" ht="15" customHeight="1">
      <c r="A36" s="1" t="s">
        <v>726</v>
      </c>
      <c r="B36" s="172">
        <f>'明细表J1-2 '!J41</f>
        <v>0</v>
      </c>
      <c r="C36" s="172">
        <f>'明细表J1-2 '!K41</f>
        <v>0</v>
      </c>
      <c r="D36" s="172">
        <f>'明细表J1-2 '!L41</f>
        <v>0</v>
      </c>
      <c r="E36" s="172">
        <f t="shared" si="1"/>
        <v>0</v>
      </c>
    </row>
    <row r="37" spans="1:5" ht="15" customHeight="1">
      <c r="A37" s="1" t="s">
        <v>743</v>
      </c>
      <c r="B37" s="172">
        <f>'明细表J1-2 '!J42</f>
        <v>0</v>
      </c>
      <c r="C37" s="172">
        <f>'明细表J1-2 '!K42</f>
        <v>0</v>
      </c>
      <c r="D37" s="172">
        <f>'明细表J1-2 '!L42</f>
        <v>0</v>
      </c>
      <c r="E37" s="172">
        <f t="shared" si="1"/>
        <v>0</v>
      </c>
    </row>
    <row r="38" spans="1:5" ht="15" customHeight="1">
      <c r="A38" s="1" t="s">
        <v>744</v>
      </c>
      <c r="B38" s="172">
        <f>'明细表J1-2 '!J43</f>
        <v>0</v>
      </c>
      <c r="C38" s="172">
        <f>'明细表J1-2 '!K43</f>
        <v>0</v>
      </c>
      <c r="D38" s="172">
        <f>'明细表J1-2 '!L43</f>
        <v>0</v>
      </c>
      <c r="E38" s="172">
        <f t="shared" si="1"/>
        <v>0</v>
      </c>
    </row>
    <row r="39" spans="1:5" ht="15" customHeight="1" thickBot="1">
      <c r="A39" s="184" t="s">
        <v>745</v>
      </c>
      <c r="B39" s="167">
        <f>'明细表J1-2 '!J44</f>
        <v>0</v>
      </c>
      <c r="C39" s="167">
        <f>'明细表J1-2 '!K44</f>
        <v>0</v>
      </c>
      <c r="D39" s="167">
        <f>'明细表J1-2 '!L44</f>
        <v>0</v>
      </c>
      <c r="E39" s="167">
        <f t="shared" si="1"/>
        <v>0</v>
      </c>
    </row>
    <row r="40" spans="1:5" s="38" customFormat="1" ht="15" customHeight="1" thickBot="1">
      <c r="A40" s="182" t="s">
        <v>732</v>
      </c>
      <c r="B40" s="167">
        <f>B32+B37</f>
        <v>0</v>
      </c>
      <c r="C40" s="167">
        <f>C32+C37</f>
        <v>0</v>
      </c>
      <c r="D40" s="167">
        <f>D32+D37</f>
        <v>0</v>
      </c>
      <c r="E40" s="167">
        <f>E32+E37</f>
        <v>0</v>
      </c>
    </row>
    <row r="41" spans="1:5" ht="15" customHeight="1">
      <c r="A41" s="277" t="s">
        <v>746</v>
      </c>
      <c r="B41" s="195"/>
      <c r="C41" s="195"/>
      <c r="D41" s="195"/>
      <c r="E41" s="195"/>
    </row>
    <row r="42" spans="1:5" ht="15" customHeight="1">
      <c r="A42" s="738" t="s">
        <v>747</v>
      </c>
      <c r="B42" s="738"/>
      <c r="C42" s="738"/>
      <c r="D42" s="738"/>
      <c r="E42" s="738"/>
    </row>
    <row r="43" spans="1:5" ht="15" customHeight="1">
      <c r="A43" s="738" t="s">
        <v>748</v>
      </c>
      <c r="B43" s="738"/>
      <c r="C43" s="738"/>
      <c r="D43" s="738"/>
      <c r="E43" s="738"/>
    </row>
    <row r="44" spans="1:5" ht="15" customHeight="1">
      <c r="A44" s="736" t="s">
        <v>749</v>
      </c>
      <c r="B44" s="736"/>
      <c r="C44" s="736"/>
      <c r="D44" s="736"/>
      <c r="E44" s="736"/>
    </row>
  </sheetData>
  <mergeCells count="5">
    <mergeCell ref="A43:E43"/>
    <mergeCell ref="A44:E44"/>
    <mergeCell ref="A1:E1"/>
    <mergeCell ref="A2:E2"/>
    <mergeCell ref="A42:E42"/>
  </mergeCells>
  <phoneticPr fontId="6" type="noConversion"/>
  <pageMargins left="0.70866141732283472" right="0.70866141732283472" top="0.74803149606299213" bottom="0.74803149606299213" header="0.31496062992125984" footer="0.31496062992125984"/>
  <pageSetup paperSize="9" fitToHeight="100" orientation="portrait"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75"/>
  <sheetViews>
    <sheetView view="pageBreakPreview" zoomScaleNormal="110" zoomScaleSheetLayoutView="100" workbookViewId="0">
      <selection sqref="A1:N1"/>
    </sheetView>
  </sheetViews>
  <sheetFormatPr defaultColWidth="9" defaultRowHeight="15" customHeight="1"/>
  <cols>
    <col min="1" max="1" width="5.44140625" style="59" customWidth="1"/>
    <col min="2" max="2" width="18.21875" style="59" customWidth="1"/>
    <col min="3" max="6" width="8.44140625" style="59" customWidth="1"/>
    <col min="7" max="7" width="10.109375" style="59" customWidth="1"/>
    <col min="8" max="14" width="8.44140625" style="59" customWidth="1"/>
    <col min="15" max="16384" width="9" style="59"/>
  </cols>
  <sheetData>
    <row r="1" spans="1:14" s="10" customFormat="1" ht="19.95" customHeight="1">
      <c r="A1" s="613" t="s">
        <v>1270</v>
      </c>
      <c r="B1" s="613"/>
      <c r="C1" s="613"/>
      <c r="D1" s="613"/>
      <c r="E1" s="613"/>
      <c r="F1" s="613"/>
      <c r="G1" s="613"/>
      <c r="H1" s="613"/>
      <c r="I1" s="613"/>
      <c r="J1" s="613"/>
      <c r="K1" s="613"/>
      <c r="L1" s="613"/>
      <c r="M1" s="613"/>
      <c r="N1" s="613"/>
    </row>
    <row r="2" spans="1:14" s="11" customFormat="1" ht="19.95" customHeight="1">
      <c r="A2" s="614" t="s">
        <v>1271</v>
      </c>
      <c r="B2" s="614"/>
      <c r="C2" s="614"/>
      <c r="D2" s="614"/>
      <c r="E2" s="614"/>
      <c r="F2" s="614"/>
      <c r="G2" s="614"/>
      <c r="H2" s="614"/>
      <c r="I2" s="614"/>
      <c r="J2" s="614"/>
      <c r="K2" s="614"/>
      <c r="L2" s="614"/>
      <c r="M2" s="614"/>
      <c r="N2" s="614"/>
    </row>
    <row r="3" spans="1:14" s="45" customFormat="1" ht="19.05" customHeight="1">
      <c r="A3" s="45" t="str">
        <f>底稿目录!A2</f>
        <v>被审计单位：</v>
      </c>
      <c r="F3" s="45" t="str">
        <f>底稿目录!A4</f>
        <v>编制人：</v>
      </c>
      <c r="G3" s="47"/>
      <c r="H3" s="47"/>
      <c r="I3" s="103" t="str">
        <f>底稿目录!A5</f>
        <v>编制日期：</v>
      </c>
      <c r="J3" s="104"/>
      <c r="K3" s="47"/>
      <c r="L3" s="47"/>
      <c r="M3" s="47" t="s">
        <v>635</v>
      </c>
      <c r="N3" s="531" t="str">
        <f>底稿目录!F7</f>
        <v>J1-2</v>
      </c>
    </row>
    <row r="4" spans="1:14" s="45" customFormat="1" ht="19.05" customHeight="1">
      <c r="A4" s="45" t="str">
        <f>底稿目录!A3</f>
        <v>截止日：202X年12月31日</v>
      </c>
      <c r="F4" s="45" t="str">
        <f>底稿目录!A6</f>
        <v>复核人：</v>
      </c>
      <c r="G4" s="47"/>
      <c r="H4" s="47"/>
      <c r="I4" s="103" t="str">
        <f>底稿目录!A7</f>
        <v>复核日期：</v>
      </c>
      <c r="J4" s="104"/>
      <c r="K4" s="47"/>
      <c r="L4" s="47"/>
      <c r="M4" s="537" t="s">
        <v>1312</v>
      </c>
    </row>
    <row r="5" spans="1:14" s="45" customFormat="1" ht="19.05" customHeight="1">
      <c r="A5" s="61" t="s">
        <v>504</v>
      </c>
      <c r="B5" s="62"/>
      <c r="G5" s="47"/>
      <c r="H5" s="47"/>
      <c r="I5" s="47"/>
      <c r="J5" s="47"/>
      <c r="K5" s="47"/>
      <c r="L5" s="47"/>
      <c r="M5" s="47"/>
    </row>
    <row r="6" spans="1:14" s="45" customFormat="1" ht="19.05" customHeight="1">
      <c r="A6" s="393" t="s">
        <v>1112</v>
      </c>
      <c r="B6" s="392"/>
      <c r="C6" s="392"/>
      <c r="D6" s="392"/>
      <c r="E6" s="392"/>
      <c r="F6" s="392"/>
      <c r="G6" s="392"/>
      <c r="H6" s="47"/>
      <c r="I6" s="47"/>
      <c r="J6" s="47"/>
      <c r="K6" s="47"/>
      <c r="L6" s="47"/>
      <c r="M6" s="47"/>
    </row>
    <row r="7" spans="1:14" s="45" customFormat="1" ht="19.05" customHeight="1">
      <c r="A7" s="394" t="s">
        <v>1113</v>
      </c>
      <c r="B7" s="386"/>
      <c r="C7" s="386"/>
      <c r="D7" s="386"/>
      <c r="E7" s="386"/>
      <c r="F7" s="386"/>
      <c r="G7" s="386"/>
      <c r="H7" s="47"/>
      <c r="I7" s="47"/>
      <c r="J7" s="47"/>
      <c r="K7" s="47"/>
      <c r="L7" s="47"/>
      <c r="M7" s="47"/>
    </row>
    <row r="8" spans="1:14" s="45" customFormat="1" ht="19.05" customHeight="1">
      <c r="A8" s="394" t="s">
        <v>1114</v>
      </c>
      <c r="B8" s="386"/>
      <c r="C8" s="386"/>
      <c r="D8" s="386"/>
      <c r="E8" s="386"/>
      <c r="F8" s="386"/>
      <c r="G8" s="386"/>
      <c r="H8" s="47"/>
      <c r="I8" s="47"/>
      <c r="J8" s="47"/>
      <c r="K8" s="47"/>
      <c r="L8" s="47"/>
      <c r="M8" s="47"/>
    </row>
    <row r="9" spans="1:14" s="45" customFormat="1" ht="19.05" customHeight="1">
      <c r="A9" s="64" t="s">
        <v>506</v>
      </c>
      <c r="B9" s="13"/>
      <c r="G9" s="47"/>
      <c r="H9" s="47"/>
      <c r="I9" s="47"/>
      <c r="J9" s="47"/>
      <c r="K9" s="47"/>
      <c r="L9" s="47"/>
      <c r="M9" s="47"/>
    </row>
    <row r="10" spans="1:14" s="45" customFormat="1" ht="19.05" customHeight="1">
      <c r="A10" s="48" t="s">
        <v>658</v>
      </c>
      <c r="D10" s="9"/>
    </row>
    <row r="11" spans="1:14" s="45" customFormat="1" ht="19.05" customHeight="1">
      <c r="A11" s="739" t="s">
        <v>659</v>
      </c>
      <c r="B11" s="739" t="s">
        <v>551</v>
      </c>
      <c r="C11" s="741" t="s">
        <v>660</v>
      </c>
      <c r="D11" s="742"/>
      <c r="E11" s="742"/>
      <c r="F11" s="743"/>
      <c r="G11" s="253" t="s">
        <v>661</v>
      </c>
      <c r="H11" s="744" t="s">
        <v>662</v>
      </c>
      <c r="I11" s="744"/>
      <c r="J11" s="741" t="s">
        <v>663</v>
      </c>
      <c r="K11" s="742"/>
      <c r="L11" s="742"/>
      <c r="M11" s="743"/>
      <c r="N11" s="739" t="s">
        <v>664</v>
      </c>
    </row>
    <row r="12" spans="1:14" s="45" customFormat="1" ht="19.05" customHeight="1">
      <c r="A12" s="740"/>
      <c r="B12" s="740"/>
      <c r="C12" s="253" t="s">
        <v>665</v>
      </c>
      <c r="D12" s="275" t="s">
        <v>666</v>
      </c>
      <c r="E12" s="275" t="s">
        <v>667</v>
      </c>
      <c r="F12" s="253" t="s">
        <v>668</v>
      </c>
      <c r="G12" s="253" t="s">
        <v>669</v>
      </c>
      <c r="H12" s="253" t="s">
        <v>666</v>
      </c>
      <c r="I12" s="253" t="s">
        <v>667</v>
      </c>
      <c r="J12" s="253" t="s">
        <v>665</v>
      </c>
      <c r="K12" s="275" t="s">
        <v>666</v>
      </c>
      <c r="L12" s="275" t="s">
        <v>667</v>
      </c>
      <c r="M12" s="253" t="s">
        <v>668</v>
      </c>
      <c r="N12" s="740"/>
    </row>
    <row r="13" spans="1:14" s="45" customFormat="1" ht="19.05" customHeight="1">
      <c r="A13" s="398" t="s">
        <v>670</v>
      </c>
      <c r="B13" s="403" t="s">
        <v>671</v>
      </c>
      <c r="C13" s="395">
        <f>SUM(C14:C18)</f>
        <v>0</v>
      </c>
      <c r="D13" s="395">
        <f>SUM(D14:D18)</f>
        <v>0</v>
      </c>
      <c r="E13" s="395">
        <f>SUM(E14:E18)</f>
        <v>0</v>
      </c>
      <c r="F13" s="395">
        <f t="shared" ref="F13:F32" si="0">C13+D13-E13</f>
        <v>0</v>
      </c>
      <c r="G13" s="395">
        <f t="shared" ref="G13:M13" si="1">SUM(G14:G18)</f>
        <v>0</v>
      </c>
      <c r="H13" s="395">
        <f t="shared" si="1"/>
        <v>0</v>
      </c>
      <c r="I13" s="395">
        <f t="shared" si="1"/>
        <v>0</v>
      </c>
      <c r="J13" s="395">
        <f t="shared" si="1"/>
        <v>0</v>
      </c>
      <c r="K13" s="395">
        <f t="shared" si="1"/>
        <v>0</v>
      </c>
      <c r="L13" s="395">
        <f t="shared" si="1"/>
        <v>0</v>
      </c>
      <c r="M13" s="395">
        <f t="shared" si="1"/>
        <v>0</v>
      </c>
      <c r="N13" s="151"/>
    </row>
    <row r="14" spans="1:14" s="45" customFormat="1" ht="19.05" customHeight="1">
      <c r="A14" s="398"/>
      <c r="B14" s="400" t="s">
        <v>672</v>
      </c>
      <c r="C14" s="60"/>
      <c r="D14" s="60"/>
      <c r="E14" s="60"/>
      <c r="F14" s="396">
        <f>C14+D14-E14</f>
        <v>0</v>
      </c>
      <c r="G14" s="60"/>
      <c r="H14" s="60"/>
      <c r="I14" s="60"/>
      <c r="J14" s="396">
        <f>C14+G14</f>
        <v>0</v>
      </c>
      <c r="K14" s="396">
        <f>D14+H14</f>
        <v>0</v>
      </c>
      <c r="L14" s="396">
        <f>E14+I14</f>
        <v>0</v>
      </c>
      <c r="M14" s="396">
        <f>J14+K14-L14</f>
        <v>0</v>
      </c>
      <c r="N14" s="151"/>
    </row>
    <row r="15" spans="1:14" s="45" customFormat="1" ht="19.05" customHeight="1">
      <c r="A15" s="398"/>
      <c r="B15" s="401" t="s">
        <v>673</v>
      </c>
      <c r="C15" s="60"/>
      <c r="D15" s="60"/>
      <c r="E15" s="60"/>
      <c r="F15" s="396">
        <f>C15+D15-E15</f>
        <v>0</v>
      </c>
      <c r="G15" s="60"/>
      <c r="H15" s="60"/>
      <c r="I15" s="60"/>
      <c r="J15" s="396">
        <f t="shared" ref="J15:L19" si="2">C15+G15</f>
        <v>0</v>
      </c>
      <c r="K15" s="396">
        <f t="shared" si="2"/>
        <v>0</v>
      </c>
      <c r="L15" s="396">
        <f t="shared" si="2"/>
        <v>0</v>
      </c>
      <c r="M15" s="396">
        <f t="shared" ref="M15:M32" si="3">J15+K15-L15</f>
        <v>0</v>
      </c>
      <c r="N15" s="151"/>
    </row>
    <row r="16" spans="1:14" s="45" customFormat="1" ht="19.05" customHeight="1">
      <c r="A16" s="398"/>
      <c r="B16" s="401" t="s">
        <v>674</v>
      </c>
      <c r="C16" s="60"/>
      <c r="D16" s="60"/>
      <c r="E16" s="60"/>
      <c r="F16" s="396">
        <f t="shared" si="0"/>
        <v>0</v>
      </c>
      <c r="G16" s="60"/>
      <c r="H16" s="60"/>
      <c r="I16" s="60"/>
      <c r="J16" s="396">
        <f t="shared" si="2"/>
        <v>0</v>
      </c>
      <c r="K16" s="396">
        <f t="shared" si="2"/>
        <v>0</v>
      </c>
      <c r="L16" s="396">
        <f t="shared" si="2"/>
        <v>0</v>
      </c>
      <c r="M16" s="396">
        <f t="shared" si="3"/>
        <v>0</v>
      </c>
      <c r="N16" s="151"/>
    </row>
    <row r="17" spans="1:14" s="45" customFormat="1" ht="19.05" customHeight="1">
      <c r="A17" s="398"/>
      <c r="B17" s="401" t="s">
        <v>675</v>
      </c>
      <c r="C17" s="60"/>
      <c r="D17" s="60"/>
      <c r="E17" s="60"/>
      <c r="F17" s="396">
        <f t="shared" si="0"/>
        <v>0</v>
      </c>
      <c r="G17" s="60"/>
      <c r="H17" s="60"/>
      <c r="I17" s="60"/>
      <c r="J17" s="396">
        <f t="shared" si="2"/>
        <v>0</v>
      </c>
      <c r="K17" s="396">
        <f t="shared" si="2"/>
        <v>0</v>
      </c>
      <c r="L17" s="396">
        <f t="shared" si="2"/>
        <v>0</v>
      </c>
      <c r="M17" s="396">
        <f t="shared" si="3"/>
        <v>0</v>
      </c>
      <c r="N17" s="151"/>
    </row>
    <row r="18" spans="1:14" s="45" customFormat="1" ht="19.05" customHeight="1">
      <c r="A18" s="398"/>
      <c r="B18" s="401" t="s">
        <v>676</v>
      </c>
      <c r="C18" s="60"/>
      <c r="D18" s="60"/>
      <c r="E18" s="60"/>
      <c r="F18" s="396">
        <f t="shared" si="0"/>
        <v>0</v>
      </c>
      <c r="G18" s="60"/>
      <c r="H18" s="60"/>
      <c r="I18" s="60"/>
      <c r="J18" s="396">
        <f t="shared" si="2"/>
        <v>0</v>
      </c>
      <c r="K18" s="396">
        <f t="shared" si="2"/>
        <v>0</v>
      </c>
      <c r="L18" s="396">
        <f t="shared" si="2"/>
        <v>0</v>
      </c>
      <c r="M18" s="396">
        <f t="shared" si="3"/>
        <v>0</v>
      </c>
      <c r="N18" s="151"/>
    </row>
    <row r="19" spans="1:14" s="45" customFormat="1" ht="19.05" customHeight="1">
      <c r="A19" s="398" t="s">
        <v>677</v>
      </c>
      <c r="B19" s="399" t="s">
        <v>678</v>
      </c>
      <c r="C19" s="60"/>
      <c r="D19" s="60"/>
      <c r="E19" s="60"/>
      <c r="F19" s="396">
        <f t="shared" si="0"/>
        <v>0</v>
      </c>
      <c r="G19" s="60"/>
      <c r="H19" s="60"/>
      <c r="I19" s="60"/>
      <c r="J19" s="396">
        <f t="shared" si="2"/>
        <v>0</v>
      </c>
      <c r="K19" s="396">
        <f t="shared" si="2"/>
        <v>0</v>
      </c>
      <c r="L19" s="396">
        <f t="shared" si="2"/>
        <v>0</v>
      </c>
      <c r="M19" s="396">
        <f t="shared" si="3"/>
        <v>0</v>
      </c>
      <c r="N19" s="151"/>
    </row>
    <row r="20" spans="1:14" s="45" customFormat="1" ht="19.05" customHeight="1">
      <c r="A20" s="402" t="s">
        <v>679</v>
      </c>
      <c r="B20" s="399" t="s">
        <v>680</v>
      </c>
      <c r="C20" s="396">
        <f>SUM(C21:C24)</f>
        <v>0</v>
      </c>
      <c r="D20" s="396">
        <f>SUM(D21:D24)</f>
        <v>0</v>
      </c>
      <c r="E20" s="396">
        <f>SUM(E21:E24)</f>
        <v>0</v>
      </c>
      <c r="F20" s="396">
        <f t="shared" si="0"/>
        <v>0</v>
      </c>
      <c r="G20" s="396">
        <f>SUM(G21:G24)</f>
        <v>0</v>
      </c>
      <c r="H20" s="396">
        <f t="shared" ref="H20:M20" si="4">SUM(H21:H24)</f>
        <v>0</v>
      </c>
      <c r="I20" s="396">
        <f t="shared" si="4"/>
        <v>0</v>
      </c>
      <c r="J20" s="396">
        <f t="shared" si="4"/>
        <v>0</v>
      </c>
      <c r="K20" s="396">
        <f t="shared" si="4"/>
        <v>0</v>
      </c>
      <c r="L20" s="396">
        <f t="shared" si="4"/>
        <v>0</v>
      </c>
      <c r="M20" s="396">
        <f t="shared" si="4"/>
        <v>0</v>
      </c>
      <c r="N20" s="151"/>
    </row>
    <row r="21" spans="1:14" s="45" customFormat="1" ht="19.05" customHeight="1">
      <c r="A21" s="398"/>
      <c r="B21" s="401" t="s">
        <v>681</v>
      </c>
      <c r="C21" s="60"/>
      <c r="D21" s="60"/>
      <c r="E21" s="60"/>
      <c r="F21" s="396">
        <f t="shared" si="0"/>
        <v>0</v>
      </c>
      <c r="G21" s="60"/>
      <c r="H21" s="60"/>
      <c r="I21" s="60"/>
      <c r="J21" s="396">
        <f t="shared" ref="J21:L32" si="5">C21+G21</f>
        <v>0</v>
      </c>
      <c r="K21" s="396">
        <f t="shared" si="5"/>
        <v>0</v>
      </c>
      <c r="L21" s="396">
        <f t="shared" si="5"/>
        <v>0</v>
      </c>
      <c r="M21" s="396">
        <f t="shared" si="3"/>
        <v>0</v>
      </c>
      <c r="N21" s="151"/>
    </row>
    <row r="22" spans="1:14" s="45" customFormat="1" ht="19.05" customHeight="1">
      <c r="A22" s="398"/>
      <c r="B22" s="401" t="s">
        <v>682</v>
      </c>
      <c r="C22" s="60"/>
      <c r="D22" s="60"/>
      <c r="E22" s="60"/>
      <c r="F22" s="396">
        <f t="shared" si="0"/>
        <v>0</v>
      </c>
      <c r="G22" s="60"/>
      <c r="H22" s="60"/>
      <c r="I22" s="60"/>
      <c r="J22" s="396">
        <f t="shared" si="5"/>
        <v>0</v>
      </c>
      <c r="K22" s="396">
        <f t="shared" si="5"/>
        <v>0</v>
      </c>
      <c r="L22" s="396">
        <f t="shared" si="5"/>
        <v>0</v>
      </c>
      <c r="M22" s="396">
        <f t="shared" si="3"/>
        <v>0</v>
      </c>
      <c r="N22" s="151"/>
    </row>
    <row r="23" spans="1:14" s="45" customFormat="1" ht="19.05" customHeight="1">
      <c r="A23" s="398"/>
      <c r="B23" s="401" t="s">
        <v>683</v>
      </c>
      <c r="C23" s="60"/>
      <c r="D23" s="60"/>
      <c r="E23" s="60"/>
      <c r="F23" s="396">
        <f t="shared" si="0"/>
        <v>0</v>
      </c>
      <c r="G23" s="60"/>
      <c r="H23" s="60"/>
      <c r="I23" s="60"/>
      <c r="J23" s="396">
        <f t="shared" si="5"/>
        <v>0</v>
      </c>
      <c r="K23" s="396">
        <f t="shared" si="5"/>
        <v>0</v>
      </c>
      <c r="L23" s="396">
        <f t="shared" si="5"/>
        <v>0</v>
      </c>
      <c r="M23" s="396">
        <f t="shared" si="3"/>
        <v>0</v>
      </c>
      <c r="N23" s="151"/>
    </row>
    <row r="24" spans="1:14" s="45" customFormat="1" ht="19.05" customHeight="1">
      <c r="A24" s="398"/>
      <c r="B24" s="401" t="s">
        <v>684</v>
      </c>
      <c r="C24" s="60"/>
      <c r="D24" s="60"/>
      <c r="E24" s="60"/>
      <c r="F24" s="396">
        <f t="shared" si="0"/>
        <v>0</v>
      </c>
      <c r="G24" s="60"/>
      <c r="H24" s="60"/>
      <c r="I24" s="60"/>
      <c r="J24" s="396">
        <f t="shared" si="5"/>
        <v>0</v>
      </c>
      <c r="K24" s="396">
        <f t="shared" si="5"/>
        <v>0</v>
      </c>
      <c r="L24" s="396">
        <f t="shared" si="5"/>
        <v>0</v>
      </c>
      <c r="M24" s="396">
        <f t="shared" si="3"/>
        <v>0</v>
      </c>
      <c r="N24" s="151"/>
    </row>
    <row r="25" spans="1:14" s="45" customFormat="1" ht="19.05" customHeight="1">
      <c r="A25" s="398" t="s">
        <v>685</v>
      </c>
      <c r="B25" s="399" t="s">
        <v>686</v>
      </c>
      <c r="C25" s="60"/>
      <c r="D25" s="60"/>
      <c r="E25" s="60"/>
      <c r="F25" s="396">
        <f t="shared" si="0"/>
        <v>0</v>
      </c>
      <c r="G25" s="60"/>
      <c r="H25" s="60"/>
      <c r="I25" s="60"/>
      <c r="J25" s="396">
        <f t="shared" si="5"/>
        <v>0</v>
      </c>
      <c r="K25" s="396">
        <f t="shared" si="5"/>
        <v>0</v>
      </c>
      <c r="L25" s="396">
        <f t="shared" si="5"/>
        <v>0</v>
      </c>
      <c r="M25" s="396">
        <f t="shared" si="3"/>
        <v>0</v>
      </c>
      <c r="N25" s="151"/>
    </row>
    <row r="26" spans="1:14" s="45" customFormat="1" ht="19.05" customHeight="1">
      <c r="A26" s="398" t="s">
        <v>687</v>
      </c>
      <c r="B26" s="399" t="s">
        <v>688</v>
      </c>
      <c r="C26" s="60"/>
      <c r="D26" s="60"/>
      <c r="E26" s="60"/>
      <c r="F26" s="396">
        <f t="shared" si="0"/>
        <v>0</v>
      </c>
      <c r="G26" s="60"/>
      <c r="H26" s="60"/>
      <c r="I26" s="60"/>
      <c r="J26" s="396">
        <f t="shared" si="5"/>
        <v>0</v>
      </c>
      <c r="K26" s="396">
        <f t="shared" si="5"/>
        <v>0</v>
      </c>
      <c r="L26" s="396">
        <f t="shared" si="5"/>
        <v>0</v>
      </c>
      <c r="M26" s="396">
        <f t="shared" si="3"/>
        <v>0</v>
      </c>
      <c r="N26" s="151"/>
    </row>
    <row r="27" spans="1:14" s="45" customFormat="1" ht="19.05" customHeight="1">
      <c r="A27" s="398" t="s">
        <v>689</v>
      </c>
      <c r="B27" s="399" t="s">
        <v>690</v>
      </c>
      <c r="C27" s="60"/>
      <c r="D27" s="60"/>
      <c r="E27" s="60"/>
      <c r="F27" s="396">
        <f t="shared" si="0"/>
        <v>0</v>
      </c>
      <c r="G27" s="60"/>
      <c r="H27" s="60"/>
      <c r="I27" s="60"/>
      <c r="J27" s="396">
        <f t="shared" si="5"/>
        <v>0</v>
      </c>
      <c r="K27" s="396">
        <f t="shared" si="5"/>
        <v>0</v>
      </c>
      <c r="L27" s="396">
        <f t="shared" si="5"/>
        <v>0</v>
      </c>
      <c r="M27" s="396">
        <f t="shared" si="3"/>
        <v>0</v>
      </c>
      <c r="N27" s="151"/>
    </row>
    <row r="28" spans="1:14" s="45" customFormat="1" ht="19.05" customHeight="1">
      <c r="A28" s="398" t="s">
        <v>691</v>
      </c>
      <c r="B28" s="399" t="s">
        <v>692</v>
      </c>
      <c r="C28" s="60"/>
      <c r="D28" s="60"/>
      <c r="E28" s="60"/>
      <c r="F28" s="396">
        <f t="shared" si="0"/>
        <v>0</v>
      </c>
      <c r="G28" s="60"/>
      <c r="H28" s="60"/>
      <c r="I28" s="60"/>
      <c r="J28" s="396">
        <f t="shared" si="5"/>
        <v>0</v>
      </c>
      <c r="K28" s="396">
        <f t="shared" si="5"/>
        <v>0</v>
      </c>
      <c r="L28" s="396">
        <f t="shared" si="5"/>
        <v>0</v>
      </c>
      <c r="M28" s="396">
        <f t="shared" si="3"/>
        <v>0</v>
      </c>
      <c r="N28" s="151"/>
    </row>
    <row r="29" spans="1:14" s="45" customFormat="1" ht="19.05" customHeight="1">
      <c r="A29" s="398" t="s">
        <v>693</v>
      </c>
      <c r="B29" s="399" t="s">
        <v>694</v>
      </c>
      <c r="C29" s="60"/>
      <c r="D29" s="60"/>
      <c r="E29" s="60"/>
      <c r="F29" s="396">
        <f t="shared" si="0"/>
        <v>0</v>
      </c>
      <c r="G29" s="60"/>
      <c r="H29" s="60"/>
      <c r="I29" s="60"/>
      <c r="J29" s="396">
        <f t="shared" si="5"/>
        <v>0</v>
      </c>
      <c r="K29" s="396">
        <f>D29+H29</f>
        <v>0</v>
      </c>
      <c r="L29" s="396">
        <f t="shared" si="5"/>
        <v>0</v>
      </c>
      <c r="M29" s="396">
        <f t="shared" si="3"/>
        <v>0</v>
      </c>
      <c r="N29" s="151"/>
    </row>
    <row r="30" spans="1:14" s="45" customFormat="1" ht="19.05" customHeight="1">
      <c r="A30" s="398" t="s">
        <v>695</v>
      </c>
      <c r="B30" s="399" t="s">
        <v>696</v>
      </c>
      <c r="C30" s="60"/>
      <c r="D30" s="60"/>
      <c r="E30" s="60"/>
      <c r="F30" s="396">
        <f t="shared" si="0"/>
        <v>0</v>
      </c>
      <c r="G30" s="60"/>
      <c r="H30" s="60"/>
      <c r="I30" s="60"/>
      <c r="J30" s="396">
        <f t="shared" si="5"/>
        <v>0</v>
      </c>
      <c r="K30" s="396">
        <f t="shared" si="5"/>
        <v>0</v>
      </c>
      <c r="L30" s="396">
        <f t="shared" si="5"/>
        <v>0</v>
      </c>
      <c r="M30" s="396">
        <f t="shared" si="3"/>
        <v>0</v>
      </c>
      <c r="N30" s="151"/>
    </row>
    <row r="31" spans="1:14" s="45" customFormat="1" ht="19.05" customHeight="1">
      <c r="A31" s="398" t="s">
        <v>697</v>
      </c>
      <c r="B31" s="399" t="s">
        <v>698</v>
      </c>
      <c r="C31" s="60"/>
      <c r="D31" s="60"/>
      <c r="E31" s="60"/>
      <c r="F31" s="396">
        <f t="shared" si="0"/>
        <v>0</v>
      </c>
      <c r="G31" s="60"/>
      <c r="H31" s="60"/>
      <c r="I31" s="60"/>
      <c r="J31" s="396">
        <f t="shared" si="5"/>
        <v>0</v>
      </c>
      <c r="K31" s="396">
        <f t="shared" si="5"/>
        <v>0</v>
      </c>
      <c r="L31" s="396">
        <f t="shared" si="5"/>
        <v>0</v>
      </c>
      <c r="M31" s="396">
        <f t="shared" si="3"/>
        <v>0</v>
      </c>
      <c r="N31" s="151"/>
    </row>
    <row r="32" spans="1:14" s="45" customFormat="1" ht="19.05" customHeight="1">
      <c r="A32" s="398"/>
      <c r="B32" s="399" t="s">
        <v>699</v>
      </c>
      <c r="C32" s="60"/>
      <c r="D32" s="60"/>
      <c r="E32" s="60"/>
      <c r="F32" s="396">
        <f t="shared" si="0"/>
        <v>0</v>
      </c>
      <c r="G32" s="60"/>
      <c r="H32" s="60"/>
      <c r="I32" s="60"/>
      <c r="J32" s="396">
        <f t="shared" si="5"/>
        <v>0</v>
      </c>
      <c r="K32" s="396">
        <f t="shared" si="5"/>
        <v>0</v>
      </c>
      <c r="L32" s="396">
        <f t="shared" si="5"/>
        <v>0</v>
      </c>
      <c r="M32" s="396">
        <f t="shared" si="3"/>
        <v>0</v>
      </c>
      <c r="N32" s="151"/>
    </row>
    <row r="33" spans="1:14" s="45" customFormat="1" ht="19.05" customHeight="1">
      <c r="A33" s="65" t="s">
        <v>700</v>
      </c>
      <c r="B33" s="65"/>
      <c r="C33" s="397">
        <f>SUM(C13,C19:C20,C25:C31)</f>
        <v>0</v>
      </c>
      <c r="D33" s="397">
        <f t="shared" ref="D33:L33" si="6">SUM(D13,D19:D20,D25:D31)</f>
        <v>0</v>
      </c>
      <c r="E33" s="397">
        <f t="shared" si="6"/>
        <v>0</v>
      </c>
      <c r="F33" s="397">
        <f>SUM(F13,F19:F20,F25:F31)</f>
        <v>0</v>
      </c>
      <c r="G33" s="397">
        <f t="shared" si="6"/>
        <v>0</v>
      </c>
      <c r="H33" s="397">
        <f t="shared" si="6"/>
        <v>0</v>
      </c>
      <c r="I33" s="397">
        <f t="shared" si="6"/>
        <v>0</v>
      </c>
      <c r="J33" s="397">
        <f>SUM(J13,J19:J20,J25:J31)</f>
        <v>0</v>
      </c>
      <c r="K33" s="397">
        <f t="shared" si="6"/>
        <v>0</v>
      </c>
      <c r="L33" s="397">
        <f t="shared" si="6"/>
        <v>0</v>
      </c>
      <c r="M33" s="397">
        <f>SUM(M13,M19:M20,M25:M31)</f>
        <v>0</v>
      </c>
      <c r="N33" s="151"/>
    </row>
    <row r="34" spans="1:14" s="45" customFormat="1" ht="19.05" customHeight="1">
      <c r="A34" s="48" t="s">
        <v>894</v>
      </c>
      <c r="B34" s="163"/>
      <c r="C34" s="164"/>
      <c r="D34" s="164"/>
      <c r="E34" s="164"/>
      <c r="F34" s="164"/>
      <c r="G34" s="164"/>
      <c r="H34" s="164"/>
      <c r="I34" s="164"/>
      <c r="J34" s="164"/>
      <c r="K34" s="164"/>
      <c r="L34" s="164"/>
      <c r="M34" s="164"/>
      <c r="N34" s="165"/>
    </row>
    <row r="35" spans="1:14" s="45" customFormat="1" ht="19.05" customHeight="1">
      <c r="A35" s="739" t="s">
        <v>659</v>
      </c>
      <c r="B35" s="739" t="s">
        <v>551</v>
      </c>
      <c r="C35" s="741" t="s">
        <v>660</v>
      </c>
      <c r="D35" s="742"/>
      <c r="E35" s="742"/>
      <c r="F35" s="743"/>
      <c r="G35" s="275" t="s">
        <v>661</v>
      </c>
      <c r="H35" s="742" t="s">
        <v>662</v>
      </c>
      <c r="I35" s="743"/>
      <c r="J35" s="741" t="s">
        <v>663</v>
      </c>
      <c r="K35" s="742"/>
      <c r="L35" s="742"/>
      <c r="M35" s="743"/>
      <c r="N35" s="739" t="s">
        <v>664</v>
      </c>
    </row>
    <row r="36" spans="1:14" s="45" customFormat="1" ht="19.05" customHeight="1">
      <c r="A36" s="740"/>
      <c r="B36" s="740"/>
      <c r="C36" s="253" t="s">
        <v>665</v>
      </c>
      <c r="D36" s="275" t="s">
        <v>666</v>
      </c>
      <c r="E36" s="275" t="s">
        <v>667</v>
      </c>
      <c r="F36" s="253" t="s">
        <v>668</v>
      </c>
      <c r="G36" s="253" t="s">
        <v>669</v>
      </c>
      <c r="H36" s="275" t="s">
        <v>666</v>
      </c>
      <c r="I36" s="275" t="s">
        <v>667</v>
      </c>
      <c r="J36" s="253" t="s">
        <v>665</v>
      </c>
      <c r="K36" s="275" t="s">
        <v>666</v>
      </c>
      <c r="L36" s="275" t="s">
        <v>667</v>
      </c>
      <c r="M36" s="253" t="s">
        <v>668</v>
      </c>
      <c r="N36" s="740"/>
    </row>
    <row r="37" spans="1:14" s="45" customFormat="1" ht="19.05" customHeight="1">
      <c r="A37" s="398" t="s">
        <v>670</v>
      </c>
      <c r="B37" s="403" t="s">
        <v>17</v>
      </c>
      <c r="C37" s="396">
        <f>SUM(C38:C41)</f>
        <v>0</v>
      </c>
      <c r="D37" s="396">
        <f t="shared" ref="D37:M37" si="7">SUM(D38:D41)</f>
        <v>0</v>
      </c>
      <c r="E37" s="396">
        <f t="shared" si="7"/>
        <v>0</v>
      </c>
      <c r="F37" s="396">
        <f t="shared" si="7"/>
        <v>0</v>
      </c>
      <c r="G37" s="396">
        <f t="shared" si="7"/>
        <v>0</v>
      </c>
      <c r="H37" s="396">
        <f t="shared" si="7"/>
        <v>0</v>
      </c>
      <c r="I37" s="396">
        <f t="shared" si="7"/>
        <v>0</v>
      </c>
      <c r="J37" s="396">
        <f t="shared" si="7"/>
        <v>0</v>
      </c>
      <c r="K37" s="396">
        <f t="shared" si="7"/>
        <v>0</v>
      </c>
      <c r="L37" s="396">
        <f t="shared" si="7"/>
        <v>0</v>
      </c>
      <c r="M37" s="396">
        <f t="shared" si="7"/>
        <v>0</v>
      </c>
      <c r="N37" s="151"/>
    </row>
    <row r="38" spans="1:14" s="45" customFormat="1" ht="19.05" customHeight="1">
      <c r="A38" s="398"/>
      <c r="B38" s="404" t="s">
        <v>604</v>
      </c>
      <c r="C38" s="60"/>
      <c r="D38" s="60"/>
      <c r="E38" s="60"/>
      <c r="F38" s="396">
        <f t="shared" ref="F38:F45" si="8">C38+D38-E38</f>
        <v>0</v>
      </c>
      <c r="G38" s="60"/>
      <c r="H38" s="60"/>
      <c r="I38" s="60"/>
      <c r="J38" s="396">
        <f t="shared" ref="J38:L41" si="9">C38+G38</f>
        <v>0</v>
      </c>
      <c r="K38" s="396">
        <f t="shared" si="9"/>
        <v>0</v>
      </c>
      <c r="L38" s="396">
        <f t="shared" si="9"/>
        <v>0</v>
      </c>
      <c r="M38" s="396">
        <f>J38+K38-L38</f>
        <v>0</v>
      </c>
      <c r="N38" s="151"/>
    </row>
    <row r="39" spans="1:14" s="45" customFormat="1" ht="19.05" customHeight="1">
      <c r="A39" s="398"/>
      <c r="B39" s="404" t="s">
        <v>19</v>
      </c>
      <c r="C39" s="60"/>
      <c r="D39" s="60"/>
      <c r="E39" s="60"/>
      <c r="F39" s="396">
        <f t="shared" si="8"/>
        <v>0</v>
      </c>
      <c r="G39" s="60"/>
      <c r="H39" s="60"/>
      <c r="I39" s="60"/>
      <c r="J39" s="396">
        <f t="shared" si="9"/>
        <v>0</v>
      </c>
      <c r="K39" s="396">
        <f t="shared" si="9"/>
        <v>0</v>
      </c>
      <c r="L39" s="396">
        <f t="shared" si="9"/>
        <v>0</v>
      </c>
      <c r="M39" s="396">
        <f>J39+K39-L39</f>
        <v>0</v>
      </c>
      <c r="N39" s="151"/>
    </row>
    <row r="40" spans="1:14" s="45" customFormat="1" ht="19.05" customHeight="1">
      <c r="A40" s="398"/>
      <c r="B40" s="404" t="s">
        <v>20</v>
      </c>
      <c r="C40" s="60"/>
      <c r="D40" s="60"/>
      <c r="E40" s="60"/>
      <c r="F40" s="396">
        <f t="shared" si="8"/>
        <v>0</v>
      </c>
      <c r="G40" s="60"/>
      <c r="H40" s="60"/>
      <c r="I40" s="60"/>
      <c r="J40" s="396">
        <f t="shared" si="9"/>
        <v>0</v>
      </c>
      <c r="K40" s="396">
        <f t="shared" si="9"/>
        <v>0</v>
      </c>
      <c r="L40" s="396">
        <f t="shared" si="9"/>
        <v>0</v>
      </c>
      <c r="M40" s="396">
        <f>J40+K40-L40</f>
        <v>0</v>
      </c>
      <c r="N40" s="151"/>
    </row>
    <row r="41" spans="1:14" s="45" customFormat="1" ht="19.05" customHeight="1">
      <c r="A41" s="398"/>
      <c r="B41" s="404" t="s">
        <v>21</v>
      </c>
      <c r="C41" s="60"/>
      <c r="D41" s="60"/>
      <c r="E41" s="60"/>
      <c r="F41" s="396">
        <f t="shared" si="8"/>
        <v>0</v>
      </c>
      <c r="G41" s="60"/>
      <c r="H41" s="60"/>
      <c r="I41" s="60"/>
      <c r="J41" s="396">
        <f t="shared" si="9"/>
        <v>0</v>
      </c>
      <c r="K41" s="396">
        <f t="shared" si="9"/>
        <v>0</v>
      </c>
      <c r="L41" s="396">
        <f t="shared" si="9"/>
        <v>0</v>
      </c>
      <c r="M41" s="396">
        <f>J41+K41-L41</f>
        <v>0</v>
      </c>
      <c r="N41" s="151"/>
    </row>
    <row r="42" spans="1:14" s="45" customFormat="1" ht="19.05" customHeight="1">
      <c r="A42" s="398" t="s">
        <v>701</v>
      </c>
      <c r="B42" s="403" t="s">
        <v>18</v>
      </c>
      <c r="C42" s="396">
        <f>C43+C44</f>
        <v>0</v>
      </c>
      <c r="D42" s="396">
        <f t="shared" ref="D42:M42" si="10">D43+D44</f>
        <v>0</v>
      </c>
      <c r="E42" s="396">
        <f t="shared" si="10"/>
        <v>0</v>
      </c>
      <c r="F42" s="396">
        <f t="shared" si="8"/>
        <v>0</v>
      </c>
      <c r="G42" s="396">
        <f t="shared" si="10"/>
        <v>0</v>
      </c>
      <c r="H42" s="396">
        <f t="shared" si="10"/>
        <v>0</v>
      </c>
      <c r="I42" s="396">
        <f t="shared" si="10"/>
        <v>0</v>
      </c>
      <c r="J42" s="396">
        <f t="shared" si="10"/>
        <v>0</v>
      </c>
      <c r="K42" s="396">
        <f t="shared" si="10"/>
        <v>0</v>
      </c>
      <c r="L42" s="396">
        <f t="shared" si="10"/>
        <v>0</v>
      </c>
      <c r="M42" s="396">
        <f t="shared" si="10"/>
        <v>0</v>
      </c>
      <c r="N42" s="151"/>
    </row>
    <row r="43" spans="1:14" s="45" customFormat="1" ht="19.05" customHeight="1">
      <c r="A43" s="398"/>
      <c r="B43" s="101" t="s">
        <v>609</v>
      </c>
      <c r="C43" s="60"/>
      <c r="D43" s="60"/>
      <c r="E43" s="60"/>
      <c r="F43" s="396">
        <f t="shared" si="8"/>
        <v>0</v>
      </c>
      <c r="G43" s="60"/>
      <c r="H43" s="60"/>
      <c r="I43" s="60"/>
      <c r="J43" s="396">
        <f t="shared" ref="J43:L45" si="11">C43+G43</f>
        <v>0</v>
      </c>
      <c r="K43" s="396">
        <f t="shared" si="11"/>
        <v>0</v>
      </c>
      <c r="L43" s="396">
        <f t="shared" si="11"/>
        <v>0</v>
      </c>
      <c r="M43" s="396">
        <f>J43+K43-L43</f>
        <v>0</v>
      </c>
      <c r="N43" s="151"/>
    </row>
    <row r="44" spans="1:14" s="45" customFormat="1" ht="19.05" customHeight="1">
      <c r="A44" s="402"/>
      <c r="B44" s="101" t="s">
        <v>22</v>
      </c>
      <c r="C44" s="60"/>
      <c r="D44" s="60"/>
      <c r="E44" s="60"/>
      <c r="F44" s="396">
        <f t="shared" si="8"/>
        <v>0</v>
      </c>
      <c r="G44" s="60"/>
      <c r="H44" s="60"/>
      <c r="I44" s="60"/>
      <c r="J44" s="396">
        <f t="shared" si="11"/>
        <v>0</v>
      </c>
      <c r="K44" s="396">
        <f t="shared" si="11"/>
        <v>0</v>
      </c>
      <c r="L44" s="396">
        <f t="shared" si="11"/>
        <v>0</v>
      </c>
      <c r="M44" s="396">
        <f>J44+K44-L44</f>
        <v>0</v>
      </c>
      <c r="N44" s="151"/>
    </row>
    <row r="45" spans="1:14" s="45" customFormat="1" ht="19.05" customHeight="1">
      <c r="A45" s="398"/>
      <c r="B45" s="107"/>
      <c r="C45" s="60"/>
      <c r="D45" s="60"/>
      <c r="E45" s="60"/>
      <c r="F45" s="396">
        <f t="shared" si="8"/>
        <v>0</v>
      </c>
      <c r="G45" s="60"/>
      <c r="H45" s="60"/>
      <c r="I45" s="60"/>
      <c r="J45" s="396">
        <f t="shared" si="11"/>
        <v>0</v>
      </c>
      <c r="K45" s="396">
        <f t="shared" si="11"/>
        <v>0</v>
      </c>
      <c r="L45" s="396">
        <f t="shared" si="11"/>
        <v>0</v>
      </c>
      <c r="M45" s="396">
        <f>J45+K45-L45</f>
        <v>0</v>
      </c>
      <c r="N45" s="151"/>
    </row>
    <row r="46" spans="1:14" s="45" customFormat="1" ht="19.05" customHeight="1">
      <c r="A46" s="65" t="s">
        <v>700</v>
      </c>
      <c r="B46" s="65"/>
      <c r="C46" s="397">
        <f>C42+C37</f>
        <v>0</v>
      </c>
      <c r="D46" s="397">
        <f t="shared" ref="D46:M46" si="12">D42+D37</f>
        <v>0</v>
      </c>
      <c r="E46" s="397">
        <f t="shared" si="12"/>
        <v>0</v>
      </c>
      <c r="F46" s="397">
        <f t="shared" si="12"/>
        <v>0</v>
      </c>
      <c r="G46" s="397">
        <f t="shared" si="12"/>
        <v>0</v>
      </c>
      <c r="H46" s="397">
        <f t="shared" si="12"/>
        <v>0</v>
      </c>
      <c r="I46" s="397">
        <f t="shared" si="12"/>
        <v>0</v>
      </c>
      <c r="J46" s="397">
        <f t="shared" si="12"/>
        <v>0</v>
      </c>
      <c r="K46" s="397">
        <f t="shared" si="12"/>
        <v>0</v>
      </c>
      <c r="L46" s="397">
        <f t="shared" si="12"/>
        <v>0</v>
      </c>
      <c r="M46" s="397">
        <f t="shared" si="12"/>
        <v>0</v>
      </c>
      <c r="N46" s="151"/>
    </row>
    <row r="47" spans="1:14" s="45" customFormat="1" ht="19.05" customHeight="1">
      <c r="A47" s="48" t="s">
        <v>573</v>
      </c>
      <c r="B47" s="163"/>
      <c r="C47" s="164"/>
      <c r="D47" s="164"/>
      <c r="E47" s="164"/>
      <c r="F47" s="164"/>
      <c r="G47" s="164"/>
      <c r="H47" s="164"/>
      <c r="I47" s="164"/>
      <c r="J47" s="164"/>
      <c r="K47" s="164"/>
      <c r="L47" s="164"/>
      <c r="M47" s="164"/>
      <c r="N47" s="165"/>
    </row>
    <row r="48" spans="1:14" s="45" customFormat="1" ht="19.05" customHeight="1">
      <c r="A48" s="739" t="s">
        <v>659</v>
      </c>
      <c r="B48" s="739" t="s">
        <v>551</v>
      </c>
      <c r="C48" s="741" t="s">
        <v>660</v>
      </c>
      <c r="D48" s="742"/>
      <c r="E48" s="742"/>
      <c r="F48" s="743"/>
      <c r="G48" s="275" t="s">
        <v>661</v>
      </c>
      <c r="H48" s="742" t="s">
        <v>662</v>
      </c>
      <c r="I48" s="743"/>
      <c r="J48" s="741" t="s">
        <v>663</v>
      </c>
      <c r="K48" s="742"/>
      <c r="L48" s="742"/>
      <c r="M48" s="743"/>
      <c r="N48" s="739" t="s">
        <v>664</v>
      </c>
    </row>
    <row r="49" spans="1:14" s="45" customFormat="1" ht="19.05" customHeight="1">
      <c r="A49" s="740"/>
      <c r="B49" s="740"/>
      <c r="C49" s="253" t="s">
        <v>665</v>
      </c>
      <c r="D49" s="275" t="s">
        <v>666</v>
      </c>
      <c r="E49" s="275" t="s">
        <v>667</v>
      </c>
      <c r="F49" s="253" t="s">
        <v>668</v>
      </c>
      <c r="G49" s="253" t="s">
        <v>669</v>
      </c>
      <c r="H49" s="275" t="s">
        <v>666</v>
      </c>
      <c r="I49" s="275" t="s">
        <v>667</v>
      </c>
      <c r="J49" s="253" t="s">
        <v>665</v>
      </c>
      <c r="K49" s="275" t="s">
        <v>666</v>
      </c>
      <c r="L49" s="275" t="s">
        <v>667</v>
      </c>
      <c r="M49" s="253" t="s">
        <v>668</v>
      </c>
      <c r="N49" s="740"/>
    </row>
    <row r="50" spans="1:14" s="45" customFormat="1" ht="19.05" customHeight="1">
      <c r="A50" s="406">
        <v>1</v>
      </c>
      <c r="B50" s="405"/>
      <c r="C50" s="60"/>
      <c r="D50" s="60"/>
      <c r="E50" s="60"/>
      <c r="F50" s="396">
        <f>C50+D50-E50</f>
        <v>0</v>
      </c>
      <c r="G50" s="60"/>
      <c r="H50" s="60"/>
      <c r="I50" s="60"/>
      <c r="J50" s="396">
        <f t="shared" ref="J50:L52" si="13">C50+G50</f>
        <v>0</v>
      </c>
      <c r="K50" s="396">
        <f t="shared" si="13"/>
        <v>0</v>
      </c>
      <c r="L50" s="396">
        <f t="shared" si="13"/>
        <v>0</v>
      </c>
      <c r="M50" s="396">
        <f>J50+K50-L50</f>
        <v>0</v>
      </c>
      <c r="N50" s="151"/>
    </row>
    <row r="51" spans="1:14" s="45" customFormat="1" ht="19.05" customHeight="1">
      <c r="A51" s="406"/>
      <c r="B51" s="101"/>
      <c r="C51" s="60"/>
      <c r="D51" s="60"/>
      <c r="E51" s="60"/>
      <c r="F51" s="396">
        <f>C51+D51-E51</f>
        <v>0</v>
      </c>
      <c r="G51" s="60"/>
      <c r="H51" s="60"/>
      <c r="I51" s="60"/>
      <c r="J51" s="396">
        <f t="shared" si="13"/>
        <v>0</v>
      </c>
      <c r="K51" s="396">
        <f t="shared" si="13"/>
        <v>0</v>
      </c>
      <c r="L51" s="396">
        <f t="shared" si="13"/>
        <v>0</v>
      </c>
      <c r="M51" s="396">
        <f>J51+K51-L51</f>
        <v>0</v>
      </c>
      <c r="N51" s="151"/>
    </row>
    <row r="52" spans="1:14" s="45" customFormat="1" ht="19.05" customHeight="1">
      <c r="A52" s="407"/>
      <c r="B52" s="101"/>
      <c r="C52" s="60"/>
      <c r="D52" s="60"/>
      <c r="E52" s="60"/>
      <c r="F52" s="396">
        <f>C52+D52-E52</f>
        <v>0</v>
      </c>
      <c r="G52" s="60"/>
      <c r="H52" s="60"/>
      <c r="I52" s="60"/>
      <c r="J52" s="396">
        <f t="shared" si="13"/>
        <v>0</v>
      </c>
      <c r="K52" s="396">
        <f t="shared" si="13"/>
        <v>0</v>
      </c>
      <c r="L52" s="396">
        <f t="shared" si="13"/>
        <v>0</v>
      </c>
      <c r="M52" s="396">
        <f>J52+K52-L52</f>
        <v>0</v>
      </c>
      <c r="N52" s="151"/>
    </row>
    <row r="53" spans="1:14" s="45" customFormat="1" ht="19.05" customHeight="1">
      <c r="A53" s="65" t="s">
        <v>700</v>
      </c>
      <c r="B53" s="65"/>
      <c r="C53" s="397">
        <f>SUM(C50:C52)</f>
        <v>0</v>
      </c>
      <c r="D53" s="397">
        <f t="shared" ref="D53:M53" si="14">SUM(D50:D52)</f>
        <v>0</v>
      </c>
      <c r="E53" s="397">
        <f t="shared" si="14"/>
        <v>0</v>
      </c>
      <c r="F53" s="397">
        <f t="shared" si="14"/>
        <v>0</v>
      </c>
      <c r="G53" s="397">
        <f t="shared" si="14"/>
        <v>0</v>
      </c>
      <c r="H53" s="397">
        <f t="shared" si="14"/>
        <v>0</v>
      </c>
      <c r="I53" s="397">
        <f t="shared" si="14"/>
        <v>0</v>
      </c>
      <c r="J53" s="397">
        <f t="shared" si="14"/>
        <v>0</v>
      </c>
      <c r="K53" s="397">
        <f t="shared" si="14"/>
        <v>0</v>
      </c>
      <c r="L53" s="397">
        <f t="shared" si="14"/>
        <v>0</v>
      </c>
      <c r="M53" s="397">
        <f t="shared" si="14"/>
        <v>0</v>
      </c>
      <c r="N53" s="151"/>
    </row>
    <row r="54" spans="1:14" s="45" customFormat="1" ht="19.05" customHeight="1">
      <c r="A54" s="48" t="s">
        <v>651</v>
      </c>
    </row>
    <row r="55" spans="1:14" ht="19.05" customHeight="1">
      <c r="A55" s="48"/>
      <c r="B55" s="45"/>
      <c r="C55" s="45"/>
      <c r="D55" s="45"/>
      <c r="E55" s="45"/>
      <c r="F55" s="45"/>
      <c r="G55" s="45"/>
      <c r="H55" s="45"/>
      <c r="I55" s="45"/>
      <c r="J55" s="45"/>
      <c r="K55" s="45"/>
      <c r="L55" s="45"/>
      <c r="M55" s="45"/>
      <c r="N55" s="45"/>
    </row>
    <row r="56" spans="1:14" ht="19.05" customHeight="1">
      <c r="A56" s="48" t="s">
        <v>509</v>
      </c>
      <c r="B56" s="45"/>
      <c r="C56" s="45"/>
      <c r="D56" s="45"/>
      <c r="E56" s="45"/>
      <c r="F56" s="45"/>
      <c r="G56" s="45"/>
      <c r="H56" s="45"/>
      <c r="I56" s="45"/>
      <c r="J56" s="45"/>
      <c r="K56" s="45"/>
      <c r="L56" s="45"/>
      <c r="M56" s="45"/>
      <c r="N56" s="45"/>
    </row>
    <row r="57" spans="1:14" ht="19.05" customHeight="1">
      <c r="A57" s="48"/>
      <c r="B57" s="45"/>
      <c r="C57" s="45"/>
      <c r="D57" s="45"/>
      <c r="E57" s="45"/>
      <c r="F57" s="45"/>
      <c r="G57" s="45"/>
      <c r="H57" s="45"/>
      <c r="I57" s="45"/>
      <c r="J57" s="45"/>
      <c r="K57" s="45"/>
      <c r="L57" s="45"/>
      <c r="M57" s="45"/>
      <c r="N57" s="45"/>
    </row>
    <row r="58" spans="1:14" ht="19.05" customHeight="1">
      <c r="A58" s="48"/>
      <c r="B58" s="45"/>
      <c r="C58" s="45"/>
      <c r="D58" s="45"/>
      <c r="E58" s="45"/>
      <c r="F58" s="45"/>
      <c r="G58" s="45"/>
      <c r="H58" s="45"/>
      <c r="I58" s="45"/>
      <c r="J58" s="45"/>
      <c r="K58" s="45"/>
      <c r="L58" s="45"/>
      <c r="M58" s="45"/>
      <c r="N58" s="45"/>
    </row>
    <row r="59" spans="1:14" ht="17.399999999999999" customHeight="1">
      <c r="A59" s="496" t="s">
        <v>1227</v>
      </c>
    </row>
    <row r="60" spans="1:14" ht="17.399999999999999" customHeight="1">
      <c r="A60" s="412" t="s">
        <v>1115</v>
      </c>
    </row>
    <row r="61" spans="1:14" ht="17.399999999999999" customHeight="1">
      <c r="A61" s="412" t="s">
        <v>1116</v>
      </c>
    </row>
    <row r="62" spans="1:14" ht="15" customHeight="1">
      <c r="A62" s="496" t="s">
        <v>1228</v>
      </c>
    </row>
    <row r="63" spans="1:14" ht="48.6" customHeight="1">
      <c r="A63" s="745" t="s">
        <v>1229</v>
      </c>
      <c r="B63" s="745"/>
      <c r="C63" s="745"/>
      <c r="D63" s="745"/>
      <c r="E63" s="745"/>
      <c r="F63" s="745"/>
      <c r="G63" s="745"/>
      <c r="H63" s="745"/>
      <c r="I63" s="745"/>
      <c r="J63" s="745"/>
      <c r="K63" s="745"/>
      <c r="L63" s="745"/>
      <c r="M63" s="745"/>
      <c r="N63" s="745"/>
    </row>
    <row r="64" spans="1:14" ht="15" customHeight="1">
      <c r="A64" s="498" t="s">
        <v>1259</v>
      </c>
    </row>
    <row r="65" spans="1:1" ht="15" customHeight="1">
      <c r="A65" s="499" t="s">
        <v>1246</v>
      </c>
    </row>
    <row r="66" spans="1:1" ht="15" customHeight="1">
      <c r="A66" s="500" t="s">
        <v>1260</v>
      </c>
    </row>
    <row r="67" spans="1:1" ht="15" customHeight="1">
      <c r="A67" s="501" t="s">
        <v>1262</v>
      </c>
    </row>
    <row r="75" spans="1:1" s="121" customFormat="1" ht="15" customHeight="1"/>
  </sheetData>
  <mergeCells count="21">
    <mergeCell ref="A63:N63"/>
    <mergeCell ref="N35:N36"/>
    <mergeCell ref="A48:A49"/>
    <mergeCell ref="A35:A36"/>
    <mergeCell ref="B35:B36"/>
    <mergeCell ref="C35:F35"/>
    <mergeCell ref="H35:I35"/>
    <mergeCell ref="J35:M35"/>
    <mergeCell ref="B48:B49"/>
    <mergeCell ref="C48:F48"/>
    <mergeCell ref="H48:I48"/>
    <mergeCell ref="J48:M48"/>
    <mergeCell ref="N48:N49"/>
    <mergeCell ref="A1:N1"/>
    <mergeCell ref="A2:N2"/>
    <mergeCell ref="A11:A12"/>
    <mergeCell ref="B11:B12"/>
    <mergeCell ref="C11:F11"/>
    <mergeCell ref="H11:I11"/>
    <mergeCell ref="J11:M11"/>
    <mergeCell ref="N11:N12"/>
  </mergeCells>
  <phoneticPr fontId="43" type="noConversion"/>
  <hyperlinks>
    <hyperlink ref="N3" location="底稿目录!A1" display="底稿目录!A1"/>
  </hyperlinks>
  <pageMargins left="0.70866141732283472" right="0.70866141732283472" top="0.74803149606299213" bottom="0.74803149606299213" header="0.31496062992125984" footer="0.31496062992125984"/>
  <pageSetup paperSize="9" scale="70" fitToHeight="100"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J24"/>
  <sheetViews>
    <sheetView view="pageBreakPreview" zoomScaleNormal="100" zoomScaleSheetLayoutView="100" workbookViewId="0">
      <selection sqref="A1:J1"/>
    </sheetView>
  </sheetViews>
  <sheetFormatPr defaultColWidth="9" defaultRowHeight="15" customHeight="1"/>
  <cols>
    <col min="1" max="1" width="20" style="96" customWidth="1"/>
    <col min="2" max="2" width="16.109375" style="96" customWidth="1"/>
    <col min="3" max="3" width="14.6640625" style="96" customWidth="1"/>
    <col min="4" max="4" width="15.33203125" style="96" customWidth="1"/>
    <col min="5" max="5" width="18.44140625" style="96" customWidth="1"/>
    <col min="6" max="6" width="9" style="96"/>
    <col min="7" max="7" width="11.33203125" style="96" customWidth="1"/>
    <col min="8" max="8" width="11.44140625" style="96" customWidth="1"/>
    <col min="9" max="16384" width="9" style="96"/>
  </cols>
  <sheetData>
    <row r="1" spans="1:10" ht="19.95" customHeight="1">
      <c r="A1" s="746" t="s">
        <v>1110</v>
      </c>
      <c r="B1" s="746"/>
      <c r="C1" s="746"/>
      <c r="D1" s="746"/>
      <c r="E1" s="746"/>
      <c r="F1" s="746"/>
      <c r="G1" s="746"/>
      <c r="H1" s="746"/>
      <c r="I1" s="746"/>
      <c r="J1" s="746"/>
    </row>
    <row r="2" spans="1:10" s="194" customFormat="1" ht="19.95" customHeight="1">
      <c r="A2" s="747" t="s">
        <v>1119</v>
      </c>
      <c r="B2" s="747"/>
      <c r="C2" s="747"/>
      <c r="D2" s="747"/>
      <c r="E2" s="747"/>
      <c r="F2" s="747"/>
      <c r="G2" s="747"/>
      <c r="H2" s="747"/>
      <c r="I2" s="747"/>
      <c r="J2" s="747"/>
    </row>
    <row r="3" spans="1:10" ht="19.95" customHeight="1">
      <c r="A3" s="152" t="str">
        <f>底稿目录!A2</f>
        <v>被审计单位：</v>
      </c>
      <c r="B3" s="152"/>
      <c r="C3" s="152"/>
      <c r="D3" s="152" t="str">
        <f>底稿目录!A4</f>
        <v>编制人：</v>
      </c>
      <c r="E3" s="152"/>
      <c r="F3" s="153"/>
      <c r="G3" s="152" t="str">
        <f>底稿目录!A5</f>
        <v>编制日期：</v>
      </c>
      <c r="H3" s="152"/>
      <c r="I3" s="47" t="s">
        <v>635</v>
      </c>
      <c r="J3" s="531" t="str">
        <f>底稿目录!F8</f>
        <v>J1-3</v>
      </c>
    </row>
    <row r="4" spans="1:10" ht="19.95" customHeight="1">
      <c r="A4" s="152" t="str">
        <f>底稿目录!A3</f>
        <v>截止日：202X年12月31日</v>
      </c>
      <c r="B4" s="152"/>
      <c r="C4" s="152"/>
      <c r="D4" s="152" t="str">
        <f>底稿目录!A6</f>
        <v>复核人：</v>
      </c>
      <c r="E4" s="152"/>
      <c r="F4" s="153"/>
      <c r="G4" s="152" t="str">
        <f>底稿目录!A7</f>
        <v>复核日期：</v>
      </c>
      <c r="H4" s="152"/>
      <c r="I4" s="537" t="s">
        <v>1312</v>
      </c>
      <c r="J4" s="153"/>
    </row>
    <row r="5" spans="1:10" ht="27.6" customHeight="1">
      <c r="A5" s="541" t="s">
        <v>1330</v>
      </c>
      <c r="B5" s="542" t="s">
        <v>1331</v>
      </c>
      <c r="C5" s="543" t="s">
        <v>1117</v>
      </c>
      <c r="D5" s="544" t="s">
        <v>1118</v>
      </c>
      <c r="E5" s="274" t="s">
        <v>1332</v>
      </c>
      <c r="F5" s="274" t="s">
        <v>25</v>
      </c>
      <c r="G5" s="274" t="s">
        <v>1333</v>
      </c>
      <c r="H5" s="274" t="s">
        <v>656</v>
      </c>
      <c r="I5" s="274" t="s">
        <v>562</v>
      </c>
      <c r="J5" s="274" t="s">
        <v>657</v>
      </c>
    </row>
    <row r="6" spans="1:10" ht="19.95" customHeight="1">
      <c r="A6" s="197"/>
      <c r="B6" s="197"/>
      <c r="C6" s="197"/>
      <c r="D6" s="197"/>
      <c r="E6" s="197"/>
      <c r="F6" s="197"/>
      <c r="G6" s="197"/>
      <c r="H6" s="197"/>
      <c r="I6" s="197"/>
      <c r="J6" s="197"/>
    </row>
    <row r="7" spans="1:10" ht="19.95" customHeight="1">
      <c r="A7" s="198"/>
      <c r="B7" s="197"/>
      <c r="C7" s="197"/>
      <c r="D7" s="197"/>
      <c r="E7" s="197"/>
      <c r="F7" s="197"/>
      <c r="G7" s="197"/>
      <c r="H7" s="197"/>
      <c r="I7" s="197"/>
      <c r="J7" s="197"/>
    </row>
    <row r="8" spans="1:10" ht="19.95" customHeight="1">
      <c r="A8" s="199"/>
      <c r="B8" s="197"/>
      <c r="C8" s="197"/>
      <c r="D8" s="197"/>
      <c r="E8" s="197"/>
      <c r="F8" s="197"/>
      <c r="G8" s="197"/>
      <c r="H8" s="197"/>
      <c r="I8" s="197"/>
      <c r="J8" s="197"/>
    </row>
    <row r="9" spans="1:10" ht="19.95" customHeight="1">
      <c r="A9" s="199"/>
      <c r="B9" s="197"/>
      <c r="C9" s="197"/>
      <c r="D9" s="197"/>
      <c r="E9" s="197"/>
      <c r="F9" s="197"/>
      <c r="G9" s="197"/>
      <c r="H9" s="197"/>
      <c r="I9" s="197"/>
      <c r="J9" s="197"/>
    </row>
    <row r="10" spans="1:10" ht="19.95" customHeight="1">
      <c r="A10" s="199"/>
      <c r="B10" s="197"/>
      <c r="C10" s="197"/>
      <c r="D10" s="197"/>
      <c r="E10" s="197"/>
      <c r="F10" s="197"/>
      <c r="G10" s="197"/>
      <c r="H10" s="197"/>
      <c r="I10" s="197"/>
      <c r="J10" s="197"/>
    </row>
    <row r="11" spans="1:10" ht="19.95" customHeight="1">
      <c r="A11" s="154"/>
      <c r="B11" s="197"/>
      <c r="C11" s="197"/>
      <c r="D11" s="197"/>
      <c r="E11" s="197"/>
      <c r="F11" s="197"/>
      <c r="G11" s="197"/>
      <c r="H11" s="197"/>
      <c r="I11" s="197"/>
      <c r="J11" s="197"/>
    </row>
    <row r="12" spans="1:10" ht="19.95" customHeight="1">
      <c r="A12" s="199"/>
      <c r="B12" s="197"/>
      <c r="C12" s="197"/>
      <c r="D12" s="197"/>
      <c r="E12" s="197"/>
      <c r="F12" s="197"/>
      <c r="G12" s="197"/>
      <c r="H12" s="197"/>
      <c r="I12" s="197"/>
      <c r="J12" s="197"/>
    </row>
    <row r="13" spans="1:10" ht="19.95" customHeight="1">
      <c r="A13" s="199"/>
      <c r="B13" s="197"/>
      <c r="C13" s="197"/>
      <c r="D13" s="197"/>
      <c r="E13" s="197"/>
      <c r="F13" s="197"/>
      <c r="G13" s="197"/>
      <c r="H13" s="197"/>
      <c r="I13" s="197"/>
      <c r="J13" s="197"/>
    </row>
    <row r="14" spans="1:10" ht="19.95" customHeight="1">
      <c r="A14" s="199"/>
      <c r="B14" s="197"/>
      <c r="C14" s="197"/>
      <c r="D14" s="197"/>
      <c r="E14" s="197"/>
      <c r="F14" s="197"/>
      <c r="G14" s="197"/>
      <c r="H14" s="197"/>
      <c r="I14" s="197"/>
      <c r="J14" s="197"/>
    </row>
    <row r="15" spans="1:10" ht="19.95" customHeight="1">
      <c r="A15" s="199"/>
      <c r="B15" s="197"/>
      <c r="C15" s="197"/>
      <c r="D15" s="197"/>
      <c r="E15" s="197"/>
      <c r="F15" s="197"/>
      <c r="G15" s="197"/>
      <c r="H15" s="197"/>
      <c r="I15" s="197"/>
      <c r="J15" s="197"/>
    </row>
    <row r="16" spans="1:10" ht="19.95" customHeight="1">
      <c r="A16" s="199"/>
      <c r="B16" s="197"/>
      <c r="C16" s="197"/>
      <c r="D16" s="197"/>
      <c r="E16" s="197"/>
      <c r="F16" s="197"/>
      <c r="G16" s="197"/>
      <c r="H16" s="197"/>
      <c r="I16" s="197"/>
      <c r="J16" s="197"/>
    </row>
    <row r="17" spans="1:10" ht="19.95" customHeight="1">
      <c r="A17" s="199"/>
      <c r="B17" s="197"/>
      <c r="C17" s="197"/>
      <c r="D17" s="197"/>
      <c r="E17" s="197"/>
      <c r="F17" s="197"/>
      <c r="G17" s="197"/>
      <c r="H17" s="197"/>
      <c r="I17" s="197"/>
      <c r="J17" s="197"/>
    </row>
    <row r="18" spans="1:10" ht="19.95" customHeight="1">
      <c r="A18" s="199"/>
      <c r="B18" s="197"/>
      <c r="C18" s="197"/>
      <c r="D18" s="197"/>
      <c r="E18" s="197"/>
      <c r="F18" s="197"/>
      <c r="G18" s="197"/>
      <c r="H18" s="197"/>
      <c r="I18" s="197"/>
      <c r="J18" s="197"/>
    </row>
    <row r="19" spans="1:10" ht="19.95" customHeight="1">
      <c r="A19" s="199"/>
      <c r="B19" s="197"/>
      <c r="C19" s="197"/>
      <c r="D19" s="197"/>
      <c r="E19" s="197"/>
      <c r="F19" s="197"/>
      <c r="G19" s="197"/>
      <c r="H19" s="197"/>
      <c r="I19" s="197"/>
      <c r="J19" s="197"/>
    </row>
    <row r="20" spans="1:10" ht="19.95" customHeight="1">
      <c r="A20" s="199"/>
      <c r="B20" s="197"/>
      <c r="C20" s="197"/>
      <c r="D20" s="197"/>
      <c r="E20" s="197"/>
      <c r="F20" s="197"/>
      <c r="G20" s="197"/>
      <c r="H20" s="197"/>
      <c r="I20" s="197"/>
      <c r="J20" s="197"/>
    </row>
    <row r="21" spans="1:10" ht="19.95" customHeight="1">
      <c r="A21" s="155"/>
      <c r="B21" s="155"/>
      <c r="C21" s="155"/>
      <c r="D21" s="156"/>
      <c r="E21" s="156"/>
      <c r="F21" s="156"/>
      <c r="G21" s="157"/>
      <c r="H21" s="157"/>
      <c r="I21" s="156"/>
      <c r="J21" s="158"/>
    </row>
    <row r="22" spans="1:10" ht="38.4" customHeight="1">
      <c r="A22" s="748" t="s">
        <v>893</v>
      </c>
      <c r="B22" s="748"/>
      <c r="C22" s="748"/>
      <c r="D22" s="748"/>
      <c r="E22" s="748"/>
      <c r="F22" s="748"/>
      <c r="G22" s="748"/>
      <c r="H22" s="748"/>
      <c r="I22" s="748"/>
      <c r="J22" s="748"/>
    </row>
    <row r="23" spans="1:10" ht="15" customHeight="1">
      <c r="A23" s="342"/>
      <c r="B23" s="342"/>
      <c r="C23" s="342"/>
      <c r="D23" s="342"/>
      <c r="E23" s="342"/>
      <c r="F23" s="342"/>
      <c r="G23" s="342"/>
      <c r="H23" s="342"/>
      <c r="I23" s="342"/>
      <c r="J23" s="342"/>
    </row>
    <row r="24" spans="1:10" ht="15" customHeight="1">
      <c r="A24" s="342"/>
      <c r="B24" s="342"/>
      <c r="C24" s="342"/>
      <c r="D24" s="342"/>
      <c r="E24" s="342"/>
      <c r="F24" s="342"/>
      <c r="G24" s="342"/>
      <c r="H24" s="342"/>
      <c r="I24" s="342"/>
      <c r="J24" s="342"/>
    </row>
  </sheetData>
  <mergeCells count="3">
    <mergeCell ref="A1:J1"/>
    <mergeCell ref="A2:J2"/>
    <mergeCell ref="A22:J22"/>
  </mergeCells>
  <phoneticPr fontId="43"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64"/>
  <sheetViews>
    <sheetView view="pageBreakPreview" zoomScaleNormal="80" zoomScaleSheetLayoutView="100" workbookViewId="0">
      <selection sqref="A1:O1"/>
    </sheetView>
  </sheetViews>
  <sheetFormatPr defaultColWidth="9" defaultRowHeight="15" customHeight="1"/>
  <cols>
    <col min="1" max="1" width="15.21875" style="12" customWidth="1"/>
    <col min="2" max="15" width="9.109375" style="12" customWidth="1"/>
    <col min="16" max="16384" width="9" style="12"/>
  </cols>
  <sheetData>
    <row r="1" spans="1:15" s="26" customFormat="1" ht="18" customHeight="1">
      <c r="A1" s="749" t="s">
        <v>1129</v>
      </c>
      <c r="B1" s="749"/>
      <c r="C1" s="749"/>
      <c r="D1" s="749"/>
      <c r="E1" s="749"/>
      <c r="F1" s="749"/>
      <c r="G1" s="749"/>
      <c r="H1" s="749"/>
      <c r="I1" s="749"/>
      <c r="J1" s="750"/>
      <c r="K1" s="750"/>
      <c r="L1" s="750"/>
      <c r="M1" s="750"/>
      <c r="N1" s="750"/>
      <c r="O1" s="750"/>
    </row>
    <row r="2" spans="1:15" s="27" customFormat="1" ht="18" customHeight="1">
      <c r="A2" s="751" t="s">
        <v>1127</v>
      </c>
      <c r="B2" s="751"/>
      <c r="C2" s="751"/>
      <c r="D2" s="751"/>
      <c r="E2" s="751"/>
      <c r="F2" s="751"/>
      <c r="G2" s="751"/>
      <c r="H2" s="751"/>
      <c r="I2" s="751"/>
      <c r="J2" s="752"/>
      <c r="K2" s="752"/>
      <c r="L2" s="752"/>
      <c r="M2" s="752"/>
      <c r="N2" s="752"/>
      <c r="O2" s="752"/>
    </row>
    <row r="3" spans="1:15" s="13" customFormat="1" ht="18" customHeight="1">
      <c r="A3" s="13" t="str">
        <f>底稿目录!A2</f>
        <v>被审计单位：</v>
      </c>
      <c r="F3" s="13" t="str">
        <f>底稿目录!A4</f>
        <v>编制人：</v>
      </c>
      <c r="J3" s="110" t="str">
        <f>底稿目录!A5</f>
        <v>编制日期：</v>
      </c>
      <c r="K3" s="110"/>
      <c r="N3" s="73" t="s">
        <v>474</v>
      </c>
      <c r="O3" s="291" t="str">
        <f>底稿目录!F9</f>
        <v>J1-4</v>
      </c>
    </row>
    <row r="4" spans="1:15" s="13" customFormat="1" ht="18" customHeight="1">
      <c r="A4" s="13" t="str">
        <f>底稿目录!A3</f>
        <v>截止日：202X年12月31日</v>
      </c>
      <c r="F4" s="13" t="str">
        <f>底稿目录!A6</f>
        <v>复核人：</v>
      </c>
      <c r="J4" s="110" t="str">
        <f>底稿目录!A7</f>
        <v>复核日期：</v>
      </c>
      <c r="K4" s="110"/>
      <c r="N4" s="535" t="s">
        <v>1308</v>
      </c>
    </row>
    <row r="5" spans="1:15" s="13" customFormat="1" ht="18" customHeight="1">
      <c r="A5" s="61" t="s">
        <v>504</v>
      </c>
      <c r="B5" s="62"/>
      <c r="C5" s="70"/>
      <c r="D5" s="71"/>
    </row>
    <row r="6" spans="1:15" s="13" customFormat="1" ht="18" customHeight="1">
      <c r="A6" s="393" t="s">
        <v>1112</v>
      </c>
      <c r="B6" s="264"/>
      <c r="C6" s="70"/>
      <c r="D6" s="71"/>
    </row>
    <row r="7" spans="1:15" s="13" customFormat="1" ht="18" customHeight="1">
      <c r="A7" s="394" t="s">
        <v>1113</v>
      </c>
      <c r="B7" s="264"/>
      <c r="C7" s="70"/>
      <c r="D7" s="71"/>
    </row>
    <row r="8" spans="1:15" s="13" customFormat="1" ht="18" customHeight="1">
      <c r="A8" s="394" t="s">
        <v>1114</v>
      </c>
      <c r="B8" s="264"/>
      <c r="C8" s="70"/>
      <c r="D8" s="71"/>
    </row>
    <row r="9" spans="1:15" s="13" customFormat="1" ht="18" customHeight="1">
      <c r="A9" s="64" t="s">
        <v>506</v>
      </c>
      <c r="B9" s="70"/>
      <c r="C9" s="70"/>
      <c r="D9" s="71"/>
    </row>
    <row r="10" spans="1:15" s="13" customFormat="1" ht="18" customHeight="1">
      <c r="A10" s="20" t="s">
        <v>1120</v>
      </c>
      <c r="B10" s="20"/>
      <c r="C10" s="20"/>
      <c r="D10" s="20"/>
      <c r="E10" s="20"/>
      <c r="F10" s="20"/>
      <c r="G10" s="20"/>
      <c r="H10" s="20"/>
    </row>
    <row r="11" spans="1:15" s="15" customFormat="1" ht="18" customHeight="1">
      <c r="A11" s="272" t="s">
        <v>616</v>
      </c>
      <c r="B11" s="272" t="s">
        <v>617</v>
      </c>
      <c r="C11" s="272" t="s">
        <v>618</v>
      </c>
      <c r="D11" s="272" t="s">
        <v>619</v>
      </c>
      <c r="E11" s="272" t="s">
        <v>620</v>
      </c>
      <c r="F11" s="272" t="s">
        <v>621</v>
      </c>
      <c r="G11" s="272" t="s">
        <v>622</v>
      </c>
      <c r="H11" s="272" t="s">
        <v>623</v>
      </c>
      <c r="I11" s="272" t="s">
        <v>624</v>
      </c>
      <c r="J11" s="272" t="s">
        <v>625</v>
      </c>
      <c r="K11" s="272" t="s">
        <v>626</v>
      </c>
      <c r="L11" s="272" t="s">
        <v>627</v>
      </c>
      <c r="M11" s="272" t="s">
        <v>628</v>
      </c>
      <c r="N11" s="272" t="s">
        <v>629</v>
      </c>
      <c r="O11" s="413" t="s">
        <v>1121</v>
      </c>
    </row>
    <row r="12" spans="1:15" s="15" customFormat="1" ht="18" customHeight="1">
      <c r="A12" s="414" t="s">
        <v>1065</v>
      </c>
      <c r="B12" s="421">
        <f>SUM(B13:B16)</f>
        <v>0</v>
      </c>
      <c r="C12" s="421">
        <f t="shared" ref="C12:M12" si="0">SUM(C13:C16)</f>
        <v>0</v>
      </c>
      <c r="D12" s="421">
        <f t="shared" si="0"/>
        <v>0</v>
      </c>
      <c r="E12" s="421">
        <f t="shared" si="0"/>
        <v>0</v>
      </c>
      <c r="F12" s="421">
        <f t="shared" si="0"/>
        <v>0</v>
      </c>
      <c r="G12" s="421">
        <f t="shared" si="0"/>
        <v>0</v>
      </c>
      <c r="H12" s="421">
        <f t="shared" si="0"/>
        <v>0</v>
      </c>
      <c r="I12" s="421">
        <f t="shared" si="0"/>
        <v>0</v>
      </c>
      <c r="J12" s="421">
        <f t="shared" si="0"/>
        <v>0</v>
      </c>
      <c r="K12" s="421">
        <f t="shared" si="0"/>
        <v>0</v>
      </c>
      <c r="L12" s="421">
        <f t="shared" si="0"/>
        <v>0</v>
      </c>
      <c r="M12" s="421">
        <f t="shared" si="0"/>
        <v>0</v>
      </c>
      <c r="N12" s="422">
        <f>SUM(N13:N16)</f>
        <v>0</v>
      </c>
      <c r="O12" s="423"/>
    </row>
    <row r="13" spans="1:15" s="13" customFormat="1" ht="18" customHeight="1">
      <c r="A13" s="109" t="s">
        <v>630</v>
      </c>
      <c r="B13" s="424"/>
      <c r="C13" s="424"/>
      <c r="D13" s="424"/>
      <c r="E13" s="424"/>
      <c r="F13" s="424"/>
      <c r="G13" s="424"/>
      <c r="H13" s="424"/>
      <c r="I13" s="424"/>
      <c r="J13" s="424"/>
      <c r="K13" s="424"/>
      <c r="L13" s="424"/>
      <c r="M13" s="424"/>
      <c r="N13" s="425">
        <f>SUM(B13:M13)</f>
        <v>0</v>
      </c>
      <c r="O13" s="426">
        <f>IF(N13=0,,N13/$N$12)</f>
        <v>0</v>
      </c>
    </row>
    <row r="14" spans="1:15" s="13" customFormat="1" ht="18" customHeight="1">
      <c r="A14" s="109" t="s">
        <v>631</v>
      </c>
      <c r="B14" s="424"/>
      <c r="C14" s="424"/>
      <c r="D14" s="424"/>
      <c r="E14" s="424"/>
      <c r="F14" s="424"/>
      <c r="G14" s="424"/>
      <c r="H14" s="424"/>
      <c r="I14" s="424"/>
      <c r="J14" s="424"/>
      <c r="K14" s="424"/>
      <c r="L14" s="424"/>
      <c r="M14" s="424"/>
      <c r="N14" s="425">
        <f t="shared" ref="N14:N21" si="1">SUM(B14:M14)</f>
        <v>0</v>
      </c>
      <c r="O14" s="426">
        <f t="shared" ref="O14:O16" si="2">IF(N14=0,,N14/$N$12)</f>
        <v>0</v>
      </c>
    </row>
    <row r="15" spans="1:15" s="13" customFormat="1" ht="18" customHeight="1">
      <c r="A15" s="109" t="s">
        <v>632</v>
      </c>
      <c r="B15" s="424"/>
      <c r="C15" s="424"/>
      <c r="D15" s="424"/>
      <c r="E15" s="424"/>
      <c r="F15" s="424"/>
      <c r="G15" s="424"/>
      <c r="H15" s="424"/>
      <c r="I15" s="424"/>
      <c r="J15" s="424"/>
      <c r="K15" s="424"/>
      <c r="L15" s="424"/>
      <c r="M15" s="424"/>
      <c r="N15" s="425">
        <f t="shared" si="1"/>
        <v>0</v>
      </c>
      <c r="O15" s="426">
        <f t="shared" si="2"/>
        <v>0</v>
      </c>
    </row>
    <row r="16" spans="1:15" s="13" customFormat="1" ht="18" customHeight="1">
      <c r="A16" s="109" t="s">
        <v>25</v>
      </c>
      <c r="B16" s="424"/>
      <c r="C16" s="424"/>
      <c r="D16" s="424"/>
      <c r="E16" s="424"/>
      <c r="F16" s="424"/>
      <c r="G16" s="424"/>
      <c r="H16" s="424"/>
      <c r="I16" s="424"/>
      <c r="J16" s="424"/>
      <c r="K16" s="424"/>
      <c r="L16" s="424"/>
      <c r="M16" s="424"/>
      <c r="N16" s="425">
        <f t="shared" si="1"/>
        <v>0</v>
      </c>
      <c r="O16" s="426">
        <f t="shared" si="2"/>
        <v>0</v>
      </c>
    </row>
    <row r="17" spans="1:15" s="13" customFormat="1" ht="18" customHeight="1">
      <c r="A17" s="414" t="s">
        <v>1066</v>
      </c>
      <c r="B17" s="427">
        <f>SUM(B18:B21)</f>
        <v>0</v>
      </c>
      <c r="C17" s="427">
        <f t="shared" ref="C17:M17" si="3">SUM(C18:C21)</f>
        <v>0</v>
      </c>
      <c r="D17" s="427">
        <f t="shared" si="3"/>
        <v>0</v>
      </c>
      <c r="E17" s="427">
        <f t="shared" si="3"/>
        <v>0</v>
      </c>
      <c r="F17" s="427">
        <f t="shared" si="3"/>
        <v>0</v>
      </c>
      <c r="G17" s="427">
        <f t="shared" si="3"/>
        <v>0</v>
      </c>
      <c r="H17" s="427">
        <f t="shared" si="3"/>
        <v>0</v>
      </c>
      <c r="I17" s="427">
        <f t="shared" si="3"/>
        <v>0</v>
      </c>
      <c r="J17" s="427">
        <f t="shared" si="3"/>
        <v>0</v>
      </c>
      <c r="K17" s="427">
        <f t="shared" si="3"/>
        <v>0</v>
      </c>
      <c r="L17" s="427">
        <f t="shared" si="3"/>
        <v>0</v>
      </c>
      <c r="M17" s="427">
        <f t="shared" si="3"/>
        <v>0</v>
      </c>
      <c r="N17" s="427">
        <f>SUM(N18:N21)</f>
        <v>0</v>
      </c>
      <c r="O17" s="426"/>
    </row>
    <row r="18" spans="1:15" s="13" customFormat="1" ht="18" customHeight="1">
      <c r="A18" s="109" t="s">
        <v>630</v>
      </c>
      <c r="B18" s="428"/>
      <c r="C18" s="428"/>
      <c r="D18" s="428"/>
      <c r="E18" s="428"/>
      <c r="F18" s="428"/>
      <c r="G18" s="428"/>
      <c r="H18" s="428"/>
      <c r="I18" s="428"/>
      <c r="J18" s="428"/>
      <c r="K18" s="428"/>
      <c r="L18" s="428"/>
      <c r="M18" s="428"/>
      <c r="N18" s="425">
        <f>SUM(B18:M18)</f>
        <v>0</v>
      </c>
      <c r="O18" s="426">
        <f>IF(N18=0,,N18/$N$17)</f>
        <v>0</v>
      </c>
    </row>
    <row r="19" spans="1:15" s="13" customFormat="1" ht="18" customHeight="1">
      <c r="A19" s="109" t="s">
        <v>631</v>
      </c>
      <c r="B19" s="428"/>
      <c r="C19" s="428"/>
      <c r="D19" s="428"/>
      <c r="E19" s="428"/>
      <c r="F19" s="428"/>
      <c r="G19" s="428"/>
      <c r="H19" s="428"/>
      <c r="I19" s="428"/>
      <c r="J19" s="428"/>
      <c r="K19" s="428"/>
      <c r="L19" s="428"/>
      <c r="M19" s="428"/>
      <c r="N19" s="425">
        <f t="shared" si="1"/>
        <v>0</v>
      </c>
      <c r="O19" s="426">
        <f t="shared" ref="O19:O21" si="4">IF(N19=0,,N19/$N$17)</f>
        <v>0</v>
      </c>
    </row>
    <row r="20" spans="1:15" s="13" customFormat="1" ht="18" customHeight="1">
      <c r="A20" s="109" t="s">
        <v>632</v>
      </c>
      <c r="B20" s="428"/>
      <c r="C20" s="428"/>
      <c r="D20" s="428"/>
      <c r="E20" s="428"/>
      <c r="F20" s="428"/>
      <c r="G20" s="428"/>
      <c r="H20" s="428"/>
      <c r="I20" s="428"/>
      <c r="J20" s="428"/>
      <c r="K20" s="428"/>
      <c r="L20" s="428"/>
      <c r="M20" s="428"/>
      <c r="N20" s="425">
        <f t="shared" si="1"/>
        <v>0</v>
      </c>
      <c r="O20" s="426">
        <f t="shared" si="4"/>
        <v>0</v>
      </c>
    </row>
    <row r="21" spans="1:15" s="13" customFormat="1" ht="18" customHeight="1">
      <c r="A21" s="109" t="s">
        <v>25</v>
      </c>
      <c r="B21" s="428"/>
      <c r="C21" s="428"/>
      <c r="D21" s="428"/>
      <c r="E21" s="428"/>
      <c r="F21" s="428"/>
      <c r="G21" s="428"/>
      <c r="H21" s="428"/>
      <c r="I21" s="428"/>
      <c r="J21" s="428"/>
      <c r="K21" s="428"/>
      <c r="L21" s="428"/>
      <c r="M21" s="428"/>
      <c r="N21" s="425">
        <f t="shared" si="1"/>
        <v>0</v>
      </c>
      <c r="O21" s="426">
        <f t="shared" si="4"/>
        <v>0</v>
      </c>
    </row>
    <row r="22" spans="1:15" s="13" customFormat="1" ht="18" customHeight="1">
      <c r="A22" s="414" t="s">
        <v>1064</v>
      </c>
      <c r="B22" s="427" t="e">
        <f>B12/B17</f>
        <v>#DIV/0!</v>
      </c>
      <c r="C22" s="427" t="e">
        <f t="shared" ref="C22:N22" si="5">C12/C17</f>
        <v>#DIV/0!</v>
      </c>
      <c r="D22" s="427" t="e">
        <f t="shared" si="5"/>
        <v>#DIV/0!</v>
      </c>
      <c r="E22" s="427" t="e">
        <f t="shared" si="5"/>
        <v>#DIV/0!</v>
      </c>
      <c r="F22" s="427" t="e">
        <f t="shared" si="5"/>
        <v>#DIV/0!</v>
      </c>
      <c r="G22" s="427" t="e">
        <f t="shared" si="5"/>
        <v>#DIV/0!</v>
      </c>
      <c r="H22" s="427" t="e">
        <f t="shared" si="5"/>
        <v>#DIV/0!</v>
      </c>
      <c r="I22" s="427" t="e">
        <f t="shared" si="5"/>
        <v>#DIV/0!</v>
      </c>
      <c r="J22" s="427" t="e">
        <f t="shared" si="5"/>
        <v>#DIV/0!</v>
      </c>
      <c r="K22" s="427" t="e">
        <f t="shared" si="5"/>
        <v>#DIV/0!</v>
      </c>
      <c r="L22" s="427" t="e">
        <f t="shared" si="5"/>
        <v>#DIV/0!</v>
      </c>
      <c r="M22" s="427" t="e">
        <f t="shared" si="5"/>
        <v>#DIV/0!</v>
      </c>
      <c r="N22" s="427" t="e">
        <f t="shared" si="5"/>
        <v>#DIV/0!</v>
      </c>
      <c r="O22" s="426"/>
    </row>
    <row r="23" spans="1:15" s="13" customFormat="1" ht="18" customHeight="1">
      <c r="A23" s="109" t="s">
        <v>630</v>
      </c>
      <c r="B23" s="427" t="e">
        <f t="shared" ref="B23:N23" si="6">B13/B18</f>
        <v>#DIV/0!</v>
      </c>
      <c r="C23" s="427" t="e">
        <f t="shared" si="6"/>
        <v>#DIV/0!</v>
      </c>
      <c r="D23" s="427" t="e">
        <f t="shared" si="6"/>
        <v>#DIV/0!</v>
      </c>
      <c r="E23" s="427" t="e">
        <f t="shared" si="6"/>
        <v>#DIV/0!</v>
      </c>
      <c r="F23" s="427" t="e">
        <f t="shared" si="6"/>
        <v>#DIV/0!</v>
      </c>
      <c r="G23" s="427" t="e">
        <f t="shared" si="6"/>
        <v>#DIV/0!</v>
      </c>
      <c r="H23" s="427" t="e">
        <f t="shared" si="6"/>
        <v>#DIV/0!</v>
      </c>
      <c r="I23" s="427" t="e">
        <f t="shared" si="6"/>
        <v>#DIV/0!</v>
      </c>
      <c r="J23" s="427" t="e">
        <f t="shared" si="6"/>
        <v>#DIV/0!</v>
      </c>
      <c r="K23" s="427" t="e">
        <f t="shared" si="6"/>
        <v>#DIV/0!</v>
      </c>
      <c r="L23" s="427" t="e">
        <f t="shared" si="6"/>
        <v>#DIV/0!</v>
      </c>
      <c r="M23" s="427" t="e">
        <f t="shared" si="6"/>
        <v>#DIV/0!</v>
      </c>
      <c r="N23" s="427" t="e">
        <f t="shared" si="6"/>
        <v>#DIV/0!</v>
      </c>
      <c r="O23" s="426"/>
    </row>
    <row r="24" spans="1:15" s="13" customFormat="1" ht="18" customHeight="1">
      <c r="A24" s="109" t="s">
        <v>631</v>
      </c>
      <c r="B24" s="427" t="e">
        <f t="shared" ref="B24:N24" si="7">B14/B19</f>
        <v>#DIV/0!</v>
      </c>
      <c r="C24" s="427" t="e">
        <f t="shared" si="7"/>
        <v>#DIV/0!</v>
      </c>
      <c r="D24" s="427" t="e">
        <f t="shared" si="7"/>
        <v>#DIV/0!</v>
      </c>
      <c r="E24" s="427" t="e">
        <f t="shared" si="7"/>
        <v>#DIV/0!</v>
      </c>
      <c r="F24" s="427" t="e">
        <f t="shared" si="7"/>
        <v>#DIV/0!</v>
      </c>
      <c r="G24" s="427" t="e">
        <f t="shared" si="7"/>
        <v>#DIV/0!</v>
      </c>
      <c r="H24" s="427" t="e">
        <f t="shared" si="7"/>
        <v>#DIV/0!</v>
      </c>
      <c r="I24" s="427" t="e">
        <f t="shared" si="7"/>
        <v>#DIV/0!</v>
      </c>
      <c r="J24" s="427" t="e">
        <f t="shared" si="7"/>
        <v>#DIV/0!</v>
      </c>
      <c r="K24" s="427" t="e">
        <f t="shared" si="7"/>
        <v>#DIV/0!</v>
      </c>
      <c r="L24" s="427" t="e">
        <f t="shared" si="7"/>
        <v>#DIV/0!</v>
      </c>
      <c r="M24" s="427" t="e">
        <f t="shared" si="7"/>
        <v>#DIV/0!</v>
      </c>
      <c r="N24" s="427" t="e">
        <f t="shared" si="7"/>
        <v>#DIV/0!</v>
      </c>
      <c r="O24" s="426"/>
    </row>
    <row r="25" spans="1:15" s="13" customFormat="1" ht="18" customHeight="1">
      <c r="A25" s="109" t="s">
        <v>632</v>
      </c>
      <c r="B25" s="427" t="e">
        <f t="shared" ref="B25:N25" si="8">B15/B20</f>
        <v>#DIV/0!</v>
      </c>
      <c r="C25" s="427" t="e">
        <f t="shared" si="8"/>
        <v>#DIV/0!</v>
      </c>
      <c r="D25" s="427" t="e">
        <f t="shared" si="8"/>
        <v>#DIV/0!</v>
      </c>
      <c r="E25" s="427" t="e">
        <f t="shared" si="8"/>
        <v>#DIV/0!</v>
      </c>
      <c r="F25" s="427" t="e">
        <f t="shared" si="8"/>
        <v>#DIV/0!</v>
      </c>
      <c r="G25" s="427" t="e">
        <f t="shared" si="8"/>
        <v>#DIV/0!</v>
      </c>
      <c r="H25" s="427" t="e">
        <f t="shared" si="8"/>
        <v>#DIV/0!</v>
      </c>
      <c r="I25" s="427" t="e">
        <f t="shared" si="8"/>
        <v>#DIV/0!</v>
      </c>
      <c r="J25" s="427" t="e">
        <f t="shared" si="8"/>
        <v>#DIV/0!</v>
      </c>
      <c r="K25" s="427" t="e">
        <f t="shared" si="8"/>
        <v>#DIV/0!</v>
      </c>
      <c r="L25" s="427" t="e">
        <f t="shared" si="8"/>
        <v>#DIV/0!</v>
      </c>
      <c r="M25" s="427" t="e">
        <f t="shared" si="8"/>
        <v>#DIV/0!</v>
      </c>
      <c r="N25" s="427" t="e">
        <f t="shared" si="8"/>
        <v>#DIV/0!</v>
      </c>
      <c r="O25" s="426"/>
    </row>
    <row r="26" spans="1:15" s="13" customFormat="1" ht="18" customHeight="1">
      <c r="A26" s="109" t="s">
        <v>25</v>
      </c>
      <c r="B26" s="427" t="e">
        <f t="shared" ref="B26:N26" si="9">B16/B21</f>
        <v>#DIV/0!</v>
      </c>
      <c r="C26" s="427" t="e">
        <f t="shared" si="9"/>
        <v>#DIV/0!</v>
      </c>
      <c r="D26" s="427" t="e">
        <f t="shared" si="9"/>
        <v>#DIV/0!</v>
      </c>
      <c r="E26" s="427" t="e">
        <f t="shared" si="9"/>
        <v>#DIV/0!</v>
      </c>
      <c r="F26" s="427" t="e">
        <f t="shared" si="9"/>
        <v>#DIV/0!</v>
      </c>
      <c r="G26" s="427" t="e">
        <f t="shared" si="9"/>
        <v>#DIV/0!</v>
      </c>
      <c r="H26" s="427" t="e">
        <f t="shared" si="9"/>
        <v>#DIV/0!</v>
      </c>
      <c r="I26" s="427" t="e">
        <f t="shared" si="9"/>
        <v>#DIV/0!</v>
      </c>
      <c r="J26" s="427" t="e">
        <f t="shared" si="9"/>
        <v>#DIV/0!</v>
      </c>
      <c r="K26" s="427" t="e">
        <f t="shared" si="9"/>
        <v>#DIV/0!</v>
      </c>
      <c r="L26" s="427" t="e">
        <f t="shared" si="9"/>
        <v>#DIV/0!</v>
      </c>
      <c r="M26" s="427" t="e">
        <f t="shared" si="9"/>
        <v>#DIV/0!</v>
      </c>
      <c r="N26" s="427" t="e">
        <f t="shared" si="9"/>
        <v>#DIV/0!</v>
      </c>
      <c r="O26" s="426"/>
    </row>
    <row r="27" spans="1:15" s="13" customFormat="1" ht="18" customHeight="1">
      <c r="A27" s="414" t="s">
        <v>1067</v>
      </c>
      <c r="B27" s="427">
        <f>SUM(B28:B31)</f>
        <v>0</v>
      </c>
      <c r="C27" s="427">
        <f t="shared" ref="C27:N27" si="10">SUM(C28:C31)</f>
        <v>0</v>
      </c>
      <c r="D27" s="427">
        <f t="shared" si="10"/>
        <v>0</v>
      </c>
      <c r="E27" s="427">
        <f t="shared" si="10"/>
        <v>0</v>
      </c>
      <c r="F27" s="427">
        <f t="shared" si="10"/>
        <v>0</v>
      </c>
      <c r="G27" s="427">
        <f t="shared" si="10"/>
        <v>0</v>
      </c>
      <c r="H27" s="427">
        <f t="shared" si="10"/>
        <v>0</v>
      </c>
      <c r="I27" s="427">
        <f t="shared" si="10"/>
        <v>0</v>
      </c>
      <c r="J27" s="427">
        <f t="shared" si="10"/>
        <v>0</v>
      </c>
      <c r="K27" s="427">
        <f t="shared" si="10"/>
        <v>0</v>
      </c>
      <c r="L27" s="427">
        <f t="shared" si="10"/>
        <v>0</v>
      </c>
      <c r="M27" s="427">
        <f t="shared" si="10"/>
        <v>0</v>
      </c>
      <c r="N27" s="427">
        <f t="shared" si="10"/>
        <v>0</v>
      </c>
      <c r="O27" s="426"/>
    </row>
    <row r="28" spans="1:15" s="13" customFormat="1" ht="18" customHeight="1">
      <c r="A28" s="109" t="s">
        <v>630</v>
      </c>
      <c r="B28" s="428"/>
      <c r="C28" s="428"/>
      <c r="D28" s="428"/>
      <c r="E28" s="428"/>
      <c r="F28" s="428"/>
      <c r="G28" s="428"/>
      <c r="H28" s="428"/>
      <c r="I28" s="428"/>
      <c r="J28" s="428"/>
      <c r="K28" s="428"/>
      <c r="L28" s="428"/>
      <c r="M28" s="428"/>
      <c r="N28" s="429">
        <f>SUM(B28:M28)</f>
        <v>0</v>
      </c>
      <c r="O28" s="426">
        <f>IF(N28=0,,N28/$N$27)</f>
        <v>0</v>
      </c>
    </row>
    <row r="29" spans="1:15" s="13" customFormat="1" ht="18" customHeight="1">
      <c r="A29" s="109" t="s">
        <v>631</v>
      </c>
      <c r="B29" s="428"/>
      <c r="C29" s="428"/>
      <c r="D29" s="428"/>
      <c r="E29" s="428"/>
      <c r="F29" s="428"/>
      <c r="G29" s="428"/>
      <c r="H29" s="428"/>
      <c r="I29" s="428"/>
      <c r="J29" s="428"/>
      <c r="K29" s="428"/>
      <c r="L29" s="428"/>
      <c r="M29" s="428"/>
      <c r="N29" s="429">
        <f t="shared" ref="N29:N30" si="11">SUM(B29:M29)</f>
        <v>0</v>
      </c>
      <c r="O29" s="426">
        <f>IF(N29=0,,N29/$N$27)</f>
        <v>0</v>
      </c>
    </row>
    <row r="30" spans="1:15" s="13" customFormat="1" ht="18" customHeight="1">
      <c r="A30" s="109" t="s">
        <v>632</v>
      </c>
      <c r="B30" s="428"/>
      <c r="C30" s="428"/>
      <c r="D30" s="428"/>
      <c r="E30" s="428"/>
      <c r="F30" s="428"/>
      <c r="G30" s="428"/>
      <c r="H30" s="428"/>
      <c r="I30" s="428"/>
      <c r="J30" s="428"/>
      <c r="K30" s="428"/>
      <c r="L30" s="428"/>
      <c r="M30" s="428"/>
      <c r="N30" s="429">
        <f t="shared" si="11"/>
        <v>0</v>
      </c>
      <c r="O30" s="426">
        <f t="shared" ref="O30:O31" si="12">IF(N30=0,,N30/$N$27)</f>
        <v>0</v>
      </c>
    </row>
    <row r="31" spans="1:15" s="13" customFormat="1" ht="18" customHeight="1">
      <c r="A31" s="109" t="s">
        <v>25</v>
      </c>
      <c r="B31" s="428"/>
      <c r="C31" s="428"/>
      <c r="D31" s="428"/>
      <c r="E31" s="428"/>
      <c r="F31" s="428"/>
      <c r="G31" s="428"/>
      <c r="H31" s="428"/>
      <c r="I31" s="428"/>
      <c r="J31" s="428"/>
      <c r="K31" s="428"/>
      <c r="L31" s="428"/>
      <c r="M31" s="428"/>
      <c r="N31" s="429">
        <f>SUM(B31:M31)</f>
        <v>0</v>
      </c>
      <c r="O31" s="426">
        <f t="shared" si="12"/>
        <v>0</v>
      </c>
    </row>
    <row r="32" spans="1:15" s="13" customFormat="1" ht="18" customHeight="1">
      <c r="A32" s="414" t="s">
        <v>1068</v>
      </c>
      <c r="B32" s="427">
        <f>SUM(B33:B36)</f>
        <v>0</v>
      </c>
      <c r="C32" s="427">
        <f t="shared" ref="C32:M32" si="13">SUM(C33:C36)</f>
        <v>0</v>
      </c>
      <c r="D32" s="427">
        <f t="shared" si="13"/>
        <v>0</v>
      </c>
      <c r="E32" s="427">
        <f t="shared" si="13"/>
        <v>0</v>
      </c>
      <c r="F32" s="427">
        <f t="shared" si="13"/>
        <v>0</v>
      </c>
      <c r="G32" s="427">
        <f t="shared" si="13"/>
        <v>0</v>
      </c>
      <c r="H32" s="427">
        <f t="shared" si="13"/>
        <v>0</v>
      </c>
      <c r="I32" s="427">
        <f t="shared" si="13"/>
        <v>0</v>
      </c>
      <c r="J32" s="427">
        <f t="shared" si="13"/>
        <v>0</v>
      </c>
      <c r="K32" s="427">
        <f t="shared" si="13"/>
        <v>0</v>
      </c>
      <c r="L32" s="427">
        <f t="shared" si="13"/>
        <v>0</v>
      </c>
      <c r="M32" s="427">
        <f t="shared" si="13"/>
        <v>0</v>
      </c>
      <c r="N32" s="427">
        <f>SUM(N33:N36)</f>
        <v>0</v>
      </c>
      <c r="O32" s="426"/>
    </row>
    <row r="33" spans="1:16" s="13" customFormat="1" ht="18" customHeight="1">
      <c r="A33" s="109" t="s">
        <v>630</v>
      </c>
      <c r="B33" s="428"/>
      <c r="C33" s="428"/>
      <c r="D33" s="428"/>
      <c r="E33" s="428"/>
      <c r="F33" s="428"/>
      <c r="G33" s="428"/>
      <c r="H33" s="428"/>
      <c r="I33" s="428"/>
      <c r="J33" s="428"/>
      <c r="K33" s="428"/>
      <c r="L33" s="428"/>
      <c r="M33" s="428"/>
      <c r="N33" s="429">
        <f>SUM(B33:M33)</f>
        <v>0</v>
      </c>
      <c r="O33" s="426">
        <f>IF(N33=0,,N33/$N$32)</f>
        <v>0</v>
      </c>
    </row>
    <row r="34" spans="1:16" s="13" customFormat="1" ht="18" customHeight="1">
      <c r="A34" s="109" t="s">
        <v>631</v>
      </c>
      <c r="B34" s="428"/>
      <c r="C34" s="428"/>
      <c r="D34" s="428"/>
      <c r="E34" s="428"/>
      <c r="F34" s="428"/>
      <c r="G34" s="428"/>
      <c r="H34" s="428"/>
      <c r="I34" s="428"/>
      <c r="J34" s="428"/>
      <c r="K34" s="428"/>
      <c r="L34" s="428"/>
      <c r="M34" s="428"/>
      <c r="N34" s="429">
        <f t="shared" ref="N34:N36" si="14">SUM(B34:M34)</f>
        <v>0</v>
      </c>
      <c r="O34" s="426">
        <f t="shared" ref="O34:O36" si="15">IF(N34=0,,N34/$N$32)</f>
        <v>0</v>
      </c>
    </row>
    <row r="35" spans="1:16" s="13" customFormat="1" ht="18" customHeight="1">
      <c r="A35" s="109" t="s">
        <v>632</v>
      </c>
      <c r="B35" s="428"/>
      <c r="C35" s="428"/>
      <c r="D35" s="428"/>
      <c r="E35" s="428"/>
      <c r="F35" s="428"/>
      <c r="G35" s="428"/>
      <c r="H35" s="428"/>
      <c r="I35" s="428"/>
      <c r="J35" s="428"/>
      <c r="K35" s="428"/>
      <c r="L35" s="428"/>
      <c r="M35" s="428"/>
      <c r="N35" s="429">
        <f t="shared" si="14"/>
        <v>0</v>
      </c>
      <c r="O35" s="426">
        <f t="shared" si="15"/>
        <v>0</v>
      </c>
    </row>
    <row r="36" spans="1:16" s="13" customFormat="1" ht="18" customHeight="1">
      <c r="A36" s="109" t="s">
        <v>25</v>
      </c>
      <c r="B36" s="428"/>
      <c r="C36" s="428"/>
      <c r="D36" s="428"/>
      <c r="E36" s="428"/>
      <c r="F36" s="428"/>
      <c r="G36" s="428"/>
      <c r="H36" s="428"/>
      <c r="I36" s="428"/>
      <c r="J36" s="428"/>
      <c r="K36" s="428"/>
      <c r="L36" s="428"/>
      <c r="M36" s="428"/>
      <c r="N36" s="429">
        <f t="shared" si="14"/>
        <v>0</v>
      </c>
      <c r="O36" s="426">
        <f t="shared" si="15"/>
        <v>0</v>
      </c>
    </row>
    <row r="37" spans="1:16" s="13" customFormat="1" ht="18" customHeight="1">
      <c r="A37" s="414" t="s">
        <v>1069</v>
      </c>
      <c r="B37" s="427" t="e">
        <f>B27/B32</f>
        <v>#DIV/0!</v>
      </c>
      <c r="C37" s="427" t="e">
        <f t="shared" ref="C37:N37" si="16">C27/C32</f>
        <v>#DIV/0!</v>
      </c>
      <c r="D37" s="427" t="e">
        <f t="shared" si="16"/>
        <v>#DIV/0!</v>
      </c>
      <c r="E37" s="427" t="e">
        <f t="shared" si="16"/>
        <v>#DIV/0!</v>
      </c>
      <c r="F37" s="427" t="e">
        <f t="shared" si="16"/>
        <v>#DIV/0!</v>
      </c>
      <c r="G37" s="427" t="e">
        <f t="shared" si="16"/>
        <v>#DIV/0!</v>
      </c>
      <c r="H37" s="427" t="e">
        <f t="shared" si="16"/>
        <v>#DIV/0!</v>
      </c>
      <c r="I37" s="427" t="e">
        <f t="shared" si="16"/>
        <v>#DIV/0!</v>
      </c>
      <c r="J37" s="427" t="e">
        <f t="shared" si="16"/>
        <v>#DIV/0!</v>
      </c>
      <c r="K37" s="427" t="e">
        <f t="shared" si="16"/>
        <v>#DIV/0!</v>
      </c>
      <c r="L37" s="427" t="e">
        <f t="shared" si="16"/>
        <v>#DIV/0!</v>
      </c>
      <c r="M37" s="427" t="e">
        <f t="shared" si="16"/>
        <v>#DIV/0!</v>
      </c>
      <c r="N37" s="427" t="e">
        <f t="shared" si="16"/>
        <v>#DIV/0!</v>
      </c>
      <c r="O37" s="426"/>
    </row>
    <row r="38" spans="1:16" s="13" customFormat="1" ht="18" customHeight="1">
      <c r="A38" s="109" t="s">
        <v>630</v>
      </c>
      <c r="B38" s="427" t="e">
        <f>B28/B33</f>
        <v>#DIV/0!</v>
      </c>
      <c r="C38" s="427" t="e">
        <f>C28/C33</f>
        <v>#DIV/0!</v>
      </c>
      <c r="D38" s="427" t="e">
        <f t="shared" ref="D38:N38" si="17">D28/D33</f>
        <v>#DIV/0!</v>
      </c>
      <c r="E38" s="427" t="e">
        <f>E28/E33</f>
        <v>#DIV/0!</v>
      </c>
      <c r="F38" s="427" t="e">
        <f t="shared" si="17"/>
        <v>#DIV/0!</v>
      </c>
      <c r="G38" s="427" t="e">
        <f t="shared" si="17"/>
        <v>#DIV/0!</v>
      </c>
      <c r="H38" s="427" t="e">
        <f t="shared" si="17"/>
        <v>#DIV/0!</v>
      </c>
      <c r="I38" s="427" t="e">
        <f t="shared" si="17"/>
        <v>#DIV/0!</v>
      </c>
      <c r="J38" s="427" t="e">
        <f t="shared" si="17"/>
        <v>#DIV/0!</v>
      </c>
      <c r="K38" s="427" t="e">
        <f t="shared" si="17"/>
        <v>#DIV/0!</v>
      </c>
      <c r="L38" s="427" t="e">
        <f t="shared" si="17"/>
        <v>#DIV/0!</v>
      </c>
      <c r="M38" s="427" t="e">
        <f t="shared" si="17"/>
        <v>#DIV/0!</v>
      </c>
      <c r="N38" s="427" t="e">
        <f t="shared" si="17"/>
        <v>#DIV/0!</v>
      </c>
      <c r="O38" s="426"/>
    </row>
    <row r="39" spans="1:16" s="13" customFormat="1" ht="18" customHeight="1">
      <c r="A39" s="109" t="s">
        <v>631</v>
      </c>
      <c r="B39" s="427" t="e">
        <f>B29/B34</f>
        <v>#DIV/0!</v>
      </c>
      <c r="C39" s="427" t="e">
        <f t="shared" ref="C39:N39" si="18">C29/C34</f>
        <v>#DIV/0!</v>
      </c>
      <c r="D39" s="427" t="e">
        <f t="shared" si="18"/>
        <v>#DIV/0!</v>
      </c>
      <c r="E39" s="427" t="e">
        <f t="shared" si="18"/>
        <v>#DIV/0!</v>
      </c>
      <c r="F39" s="427" t="e">
        <f t="shared" si="18"/>
        <v>#DIV/0!</v>
      </c>
      <c r="G39" s="427" t="e">
        <f t="shared" si="18"/>
        <v>#DIV/0!</v>
      </c>
      <c r="H39" s="427" t="e">
        <f t="shared" si="18"/>
        <v>#DIV/0!</v>
      </c>
      <c r="I39" s="427" t="e">
        <f t="shared" si="18"/>
        <v>#DIV/0!</v>
      </c>
      <c r="J39" s="427" t="e">
        <f t="shared" si="18"/>
        <v>#DIV/0!</v>
      </c>
      <c r="K39" s="427" t="e">
        <f t="shared" si="18"/>
        <v>#DIV/0!</v>
      </c>
      <c r="L39" s="427" t="e">
        <f t="shared" si="18"/>
        <v>#DIV/0!</v>
      </c>
      <c r="M39" s="427" t="e">
        <f t="shared" si="18"/>
        <v>#DIV/0!</v>
      </c>
      <c r="N39" s="427" t="e">
        <f t="shared" si="18"/>
        <v>#DIV/0!</v>
      </c>
      <c r="O39" s="426"/>
    </row>
    <row r="40" spans="1:16" s="13" customFormat="1" ht="18" customHeight="1">
      <c r="A40" s="109" t="s">
        <v>632</v>
      </c>
      <c r="B40" s="427" t="e">
        <f t="shared" ref="B40:N40" si="19">B30/B35</f>
        <v>#DIV/0!</v>
      </c>
      <c r="C40" s="427" t="e">
        <f t="shared" si="19"/>
        <v>#DIV/0!</v>
      </c>
      <c r="D40" s="427" t="e">
        <f t="shared" si="19"/>
        <v>#DIV/0!</v>
      </c>
      <c r="E40" s="427" t="e">
        <f t="shared" si="19"/>
        <v>#DIV/0!</v>
      </c>
      <c r="F40" s="427" t="e">
        <f t="shared" si="19"/>
        <v>#DIV/0!</v>
      </c>
      <c r="G40" s="427" t="e">
        <f t="shared" si="19"/>
        <v>#DIV/0!</v>
      </c>
      <c r="H40" s="427" t="e">
        <f t="shared" si="19"/>
        <v>#DIV/0!</v>
      </c>
      <c r="I40" s="427" t="e">
        <f t="shared" si="19"/>
        <v>#DIV/0!</v>
      </c>
      <c r="J40" s="427" t="e">
        <f t="shared" si="19"/>
        <v>#DIV/0!</v>
      </c>
      <c r="K40" s="427" t="e">
        <f t="shared" si="19"/>
        <v>#DIV/0!</v>
      </c>
      <c r="L40" s="427" t="e">
        <f t="shared" si="19"/>
        <v>#DIV/0!</v>
      </c>
      <c r="M40" s="427" t="e">
        <f t="shared" si="19"/>
        <v>#DIV/0!</v>
      </c>
      <c r="N40" s="427" t="e">
        <f t="shared" si="19"/>
        <v>#DIV/0!</v>
      </c>
      <c r="O40" s="426"/>
    </row>
    <row r="41" spans="1:16" s="13" customFormat="1" ht="18" customHeight="1">
      <c r="A41" s="109" t="s">
        <v>25</v>
      </c>
      <c r="B41" s="427" t="e">
        <f t="shared" ref="B41:N41" si="20">B31/B36</f>
        <v>#DIV/0!</v>
      </c>
      <c r="C41" s="427" t="e">
        <f t="shared" si="20"/>
        <v>#DIV/0!</v>
      </c>
      <c r="D41" s="427" t="e">
        <f t="shared" si="20"/>
        <v>#DIV/0!</v>
      </c>
      <c r="E41" s="427" t="e">
        <f t="shared" si="20"/>
        <v>#DIV/0!</v>
      </c>
      <c r="F41" s="427" t="e">
        <f t="shared" si="20"/>
        <v>#DIV/0!</v>
      </c>
      <c r="G41" s="427" t="e">
        <f t="shared" si="20"/>
        <v>#DIV/0!</v>
      </c>
      <c r="H41" s="427" t="e">
        <f t="shared" si="20"/>
        <v>#DIV/0!</v>
      </c>
      <c r="I41" s="427" t="e">
        <f t="shared" si="20"/>
        <v>#DIV/0!</v>
      </c>
      <c r="J41" s="427" t="e">
        <f t="shared" si="20"/>
        <v>#DIV/0!</v>
      </c>
      <c r="K41" s="427" t="e">
        <f t="shared" si="20"/>
        <v>#DIV/0!</v>
      </c>
      <c r="L41" s="427" t="e">
        <f t="shared" si="20"/>
        <v>#DIV/0!</v>
      </c>
      <c r="M41" s="427" t="e">
        <f t="shared" si="20"/>
        <v>#DIV/0!</v>
      </c>
      <c r="N41" s="427" t="e">
        <f t="shared" si="20"/>
        <v>#DIV/0!</v>
      </c>
      <c r="O41" s="426"/>
      <c r="P41" s="382"/>
    </row>
    <row r="42" spans="1:16" s="13" customFormat="1" ht="18" customHeight="1">
      <c r="A42" s="540" t="s">
        <v>1126</v>
      </c>
      <c r="B42" s="430" t="e">
        <f>(B22-B37)/B37</f>
        <v>#DIV/0!</v>
      </c>
      <c r="C42" s="430" t="e">
        <f t="shared" ref="C42:N42" si="21">(C22-C37)/C37</f>
        <v>#DIV/0!</v>
      </c>
      <c r="D42" s="430" t="e">
        <f t="shared" si="21"/>
        <v>#DIV/0!</v>
      </c>
      <c r="E42" s="430" t="e">
        <f t="shared" si="21"/>
        <v>#DIV/0!</v>
      </c>
      <c r="F42" s="430" t="e">
        <f t="shared" si="21"/>
        <v>#DIV/0!</v>
      </c>
      <c r="G42" s="430" t="e">
        <f t="shared" si="21"/>
        <v>#DIV/0!</v>
      </c>
      <c r="H42" s="430" t="e">
        <f t="shared" si="21"/>
        <v>#DIV/0!</v>
      </c>
      <c r="I42" s="430" t="e">
        <f t="shared" si="21"/>
        <v>#DIV/0!</v>
      </c>
      <c r="J42" s="430" t="e">
        <f t="shared" si="21"/>
        <v>#DIV/0!</v>
      </c>
      <c r="K42" s="430" t="e">
        <f t="shared" si="21"/>
        <v>#DIV/0!</v>
      </c>
      <c r="L42" s="430" t="e">
        <f t="shared" si="21"/>
        <v>#DIV/0!</v>
      </c>
      <c r="M42" s="430" t="e">
        <f t="shared" si="21"/>
        <v>#DIV/0!</v>
      </c>
      <c r="N42" s="430" t="e">
        <f t="shared" si="21"/>
        <v>#DIV/0!</v>
      </c>
      <c r="O42" s="426"/>
    </row>
    <row r="43" spans="1:16" s="13" customFormat="1" ht="18" customHeight="1">
      <c r="A43" s="109" t="s">
        <v>630</v>
      </c>
      <c r="B43" s="430" t="e">
        <f>(B23-B38)/B38</f>
        <v>#DIV/0!</v>
      </c>
      <c r="C43" s="430" t="e">
        <f>(C23-C38)/C38</f>
        <v>#DIV/0!</v>
      </c>
      <c r="D43" s="430" t="e">
        <f>(D23-D38)/D38</f>
        <v>#DIV/0!</v>
      </c>
      <c r="E43" s="430" t="e">
        <f>(E23-E38)/E38</f>
        <v>#DIV/0!</v>
      </c>
      <c r="F43" s="430" t="e">
        <f t="shared" ref="F43:N43" si="22">(F23-F38)/F38</f>
        <v>#DIV/0!</v>
      </c>
      <c r="G43" s="430" t="e">
        <f t="shared" si="22"/>
        <v>#DIV/0!</v>
      </c>
      <c r="H43" s="430" t="e">
        <f t="shared" si="22"/>
        <v>#DIV/0!</v>
      </c>
      <c r="I43" s="430" t="e">
        <f t="shared" si="22"/>
        <v>#DIV/0!</v>
      </c>
      <c r="J43" s="430" t="e">
        <f t="shared" si="22"/>
        <v>#DIV/0!</v>
      </c>
      <c r="K43" s="430" t="e">
        <f t="shared" si="22"/>
        <v>#DIV/0!</v>
      </c>
      <c r="L43" s="430" t="e">
        <f t="shared" si="22"/>
        <v>#DIV/0!</v>
      </c>
      <c r="M43" s="430" t="e">
        <f t="shared" si="22"/>
        <v>#DIV/0!</v>
      </c>
      <c r="N43" s="430" t="e">
        <f t="shared" si="22"/>
        <v>#DIV/0!</v>
      </c>
      <c r="O43" s="426"/>
    </row>
    <row r="44" spans="1:16" s="13" customFormat="1" ht="18" customHeight="1">
      <c r="A44" s="109" t="s">
        <v>631</v>
      </c>
      <c r="B44" s="430" t="e">
        <f t="shared" ref="B44:N44" si="23">(B24-B39)/B39</f>
        <v>#DIV/0!</v>
      </c>
      <c r="C44" s="430" t="e">
        <f t="shared" si="23"/>
        <v>#DIV/0!</v>
      </c>
      <c r="D44" s="430" t="e">
        <f t="shared" si="23"/>
        <v>#DIV/0!</v>
      </c>
      <c r="E44" s="430" t="e">
        <f t="shared" si="23"/>
        <v>#DIV/0!</v>
      </c>
      <c r="F44" s="430" t="e">
        <f t="shared" si="23"/>
        <v>#DIV/0!</v>
      </c>
      <c r="G44" s="430" t="e">
        <f t="shared" si="23"/>
        <v>#DIV/0!</v>
      </c>
      <c r="H44" s="430" t="e">
        <f t="shared" si="23"/>
        <v>#DIV/0!</v>
      </c>
      <c r="I44" s="430" t="e">
        <f t="shared" si="23"/>
        <v>#DIV/0!</v>
      </c>
      <c r="J44" s="430" t="e">
        <f t="shared" si="23"/>
        <v>#DIV/0!</v>
      </c>
      <c r="K44" s="430" t="e">
        <f t="shared" si="23"/>
        <v>#DIV/0!</v>
      </c>
      <c r="L44" s="430" t="e">
        <f t="shared" si="23"/>
        <v>#DIV/0!</v>
      </c>
      <c r="M44" s="430" t="e">
        <f t="shared" si="23"/>
        <v>#DIV/0!</v>
      </c>
      <c r="N44" s="430" t="e">
        <f t="shared" si="23"/>
        <v>#DIV/0!</v>
      </c>
      <c r="O44" s="426"/>
    </row>
    <row r="45" spans="1:16" s="13" customFormat="1" ht="18" customHeight="1">
      <c r="A45" s="109" t="s">
        <v>632</v>
      </c>
      <c r="B45" s="430" t="e">
        <f t="shared" ref="B45:N45" si="24">(B25-B40)/B40</f>
        <v>#DIV/0!</v>
      </c>
      <c r="C45" s="430" t="e">
        <f t="shared" si="24"/>
        <v>#DIV/0!</v>
      </c>
      <c r="D45" s="430" t="e">
        <f t="shared" si="24"/>
        <v>#DIV/0!</v>
      </c>
      <c r="E45" s="430" t="e">
        <f t="shared" si="24"/>
        <v>#DIV/0!</v>
      </c>
      <c r="F45" s="430" t="e">
        <f t="shared" si="24"/>
        <v>#DIV/0!</v>
      </c>
      <c r="G45" s="430" t="e">
        <f t="shared" si="24"/>
        <v>#DIV/0!</v>
      </c>
      <c r="H45" s="430" t="e">
        <f t="shared" si="24"/>
        <v>#DIV/0!</v>
      </c>
      <c r="I45" s="430" t="e">
        <f t="shared" si="24"/>
        <v>#DIV/0!</v>
      </c>
      <c r="J45" s="430" t="e">
        <f t="shared" si="24"/>
        <v>#DIV/0!</v>
      </c>
      <c r="K45" s="430" t="e">
        <f t="shared" si="24"/>
        <v>#DIV/0!</v>
      </c>
      <c r="L45" s="430" t="e">
        <f t="shared" si="24"/>
        <v>#DIV/0!</v>
      </c>
      <c r="M45" s="430" t="e">
        <f t="shared" si="24"/>
        <v>#DIV/0!</v>
      </c>
      <c r="N45" s="430" t="e">
        <f t="shared" si="24"/>
        <v>#DIV/0!</v>
      </c>
      <c r="O45" s="426"/>
    </row>
    <row r="46" spans="1:16" s="13" customFormat="1" ht="18" customHeight="1">
      <c r="A46" s="109" t="s">
        <v>25</v>
      </c>
      <c r="B46" s="430" t="e">
        <f t="shared" ref="B46:N46" si="25">(B26-B41)/B41</f>
        <v>#DIV/0!</v>
      </c>
      <c r="C46" s="430" t="e">
        <f t="shared" si="25"/>
        <v>#DIV/0!</v>
      </c>
      <c r="D46" s="430" t="e">
        <f t="shared" si="25"/>
        <v>#DIV/0!</v>
      </c>
      <c r="E46" s="430" t="e">
        <f t="shared" si="25"/>
        <v>#DIV/0!</v>
      </c>
      <c r="F46" s="430" t="e">
        <f t="shared" si="25"/>
        <v>#DIV/0!</v>
      </c>
      <c r="G46" s="430" t="e">
        <f t="shared" si="25"/>
        <v>#DIV/0!</v>
      </c>
      <c r="H46" s="430" t="e">
        <f t="shared" si="25"/>
        <v>#DIV/0!</v>
      </c>
      <c r="I46" s="430" t="e">
        <f t="shared" si="25"/>
        <v>#DIV/0!</v>
      </c>
      <c r="J46" s="430" t="e">
        <f t="shared" si="25"/>
        <v>#DIV/0!</v>
      </c>
      <c r="K46" s="430" t="e">
        <f t="shared" si="25"/>
        <v>#DIV/0!</v>
      </c>
      <c r="L46" s="430" t="e">
        <f t="shared" si="25"/>
        <v>#DIV/0!</v>
      </c>
      <c r="M46" s="430" t="e">
        <f t="shared" si="25"/>
        <v>#DIV/0!</v>
      </c>
      <c r="N46" s="430" t="e">
        <f t="shared" si="25"/>
        <v>#DIV/0!</v>
      </c>
      <c r="O46" s="426"/>
    </row>
    <row r="47" spans="1:16" s="13" customFormat="1" ht="18" customHeight="1">
      <c r="A47" s="414" t="s">
        <v>1122</v>
      </c>
      <c r="B47" s="418" t="e">
        <f>B12/$N$12</f>
        <v>#DIV/0!</v>
      </c>
      <c r="C47" s="418" t="e">
        <f t="shared" ref="C47:L47" si="26">C12/$N$12</f>
        <v>#DIV/0!</v>
      </c>
      <c r="D47" s="418" t="e">
        <f t="shared" si="26"/>
        <v>#DIV/0!</v>
      </c>
      <c r="E47" s="418" t="e">
        <f t="shared" si="26"/>
        <v>#DIV/0!</v>
      </c>
      <c r="F47" s="418" t="e">
        <f t="shared" si="26"/>
        <v>#DIV/0!</v>
      </c>
      <c r="G47" s="418" t="e">
        <f t="shared" si="26"/>
        <v>#DIV/0!</v>
      </c>
      <c r="H47" s="418" t="e">
        <f t="shared" si="26"/>
        <v>#DIV/0!</v>
      </c>
      <c r="I47" s="418" t="e">
        <f t="shared" si="26"/>
        <v>#DIV/0!</v>
      </c>
      <c r="J47" s="418" t="e">
        <f t="shared" si="26"/>
        <v>#DIV/0!</v>
      </c>
      <c r="K47" s="418" t="e">
        <f t="shared" si="26"/>
        <v>#DIV/0!</v>
      </c>
      <c r="L47" s="418" t="e">
        <f t="shared" si="26"/>
        <v>#DIV/0!</v>
      </c>
      <c r="M47" s="418" t="e">
        <f>M12/$N$12</f>
        <v>#DIV/0!</v>
      </c>
      <c r="N47" s="418" t="e">
        <f>N12/$N$12</f>
        <v>#DIV/0!</v>
      </c>
      <c r="O47" s="431"/>
    </row>
    <row r="48" spans="1:16" s="13" customFormat="1" ht="18" customHeight="1">
      <c r="A48" s="413" t="s">
        <v>1124</v>
      </c>
      <c r="B48" s="420"/>
      <c r="C48" s="420"/>
      <c r="D48" s="420"/>
      <c r="E48" s="420"/>
      <c r="F48" s="420"/>
      <c r="G48" s="420"/>
      <c r="H48" s="420"/>
      <c r="I48" s="420"/>
      <c r="J48" s="420"/>
      <c r="K48" s="420"/>
      <c r="L48" s="420"/>
      <c r="M48" s="420"/>
      <c r="N48" s="425">
        <f>SUM(B48:M48)</f>
        <v>0</v>
      </c>
      <c r="O48" s="431"/>
    </row>
    <row r="49" spans="1:15" s="13" customFormat="1" ht="18" customHeight="1">
      <c r="A49" s="413" t="s">
        <v>1123</v>
      </c>
      <c r="B49" s="419">
        <f>B12-B48</f>
        <v>0</v>
      </c>
      <c r="C49" s="419">
        <f t="shared" ref="C49:M49" si="27">C12-C48</f>
        <v>0</v>
      </c>
      <c r="D49" s="419">
        <f t="shared" si="27"/>
        <v>0</v>
      </c>
      <c r="E49" s="419">
        <f t="shared" si="27"/>
        <v>0</v>
      </c>
      <c r="F49" s="419">
        <f t="shared" si="27"/>
        <v>0</v>
      </c>
      <c r="G49" s="419">
        <f t="shared" si="27"/>
        <v>0</v>
      </c>
      <c r="H49" s="419">
        <f t="shared" si="27"/>
        <v>0</v>
      </c>
      <c r="I49" s="419">
        <f t="shared" si="27"/>
        <v>0</v>
      </c>
      <c r="J49" s="419">
        <f t="shared" si="27"/>
        <v>0</v>
      </c>
      <c r="K49" s="419">
        <f t="shared" si="27"/>
        <v>0</v>
      </c>
      <c r="L49" s="419">
        <f t="shared" si="27"/>
        <v>0</v>
      </c>
      <c r="M49" s="419">
        <f t="shared" si="27"/>
        <v>0</v>
      </c>
      <c r="N49" s="419">
        <f>N12-N48</f>
        <v>0</v>
      </c>
      <c r="O49" s="431"/>
    </row>
    <row r="50" spans="1:15" s="13" customFormat="1" ht="18" customHeight="1">
      <c r="A50" s="413" t="s">
        <v>1125</v>
      </c>
      <c r="B50" s="415"/>
      <c r="C50" s="415"/>
      <c r="D50" s="415"/>
      <c r="E50" s="415"/>
      <c r="F50" s="415"/>
      <c r="G50" s="415"/>
      <c r="H50" s="415"/>
      <c r="I50" s="415"/>
      <c r="J50" s="415"/>
      <c r="K50" s="415"/>
      <c r="L50" s="415"/>
      <c r="M50" s="415"/>
      <c r="N50" s="416"/>
      <c r="O50" s="417"/>
    </row>
    <row r="51" spans="1:15" s="13" customFormat="1" ht="18" customHeight="1">
      <c r="A51" s="20" t="s">
        <v>508</v>
      </c>
      <c r="B51" s="18"/>
      <c r="C51" s="18"/>
      <c r="D51" s="17"/>
      <c r="E51" s="18"/>
      <c r="F51" s="17"/>
      <c r="G51" s="17"/>
      <c r="H51" s="39"/>
      <c r="I51" s="39"/>
    </row>
    <row r="52" spans="1:15" s="13" customFormat="1" ht="18" customHeight="1">
      <c r="A52" s="20"/>
      <c r="B52" s="18"/>
      <c r="C52" s="18"/>
      <c r="D52" s="17"/>
      <c r="E52" s="18"/>
      <c r="F52" s="17"/>
      <c r="G52" s="17"/>
      <c r="H52" s="39"/>
      <c r="I52" s="39"/>
    </row>
    <row r="53" spans="1:15" s="13" customFormat="1" ht="18" customHeight="1">
      <c r="A53" s="39"/>
      <c r="B53" s="18"/>
      <c r="C53" s="18"/>
      <c r="D53" s="17"/>
      <c r="E53" s="18"/>
      <c r="F53" s="17"/>
      <c r="G53" s="17"/>
      <c r="H53" s="39"/>
      <c r="I53" s="39"/>
    </row>
    <row r="54" spans="1:15" s="13" customFormat="1" ht="18" customHeight="1">
      <c r="A54" s="48" t="s">
        <v>509</v>
      </c>
      <c r="B54" s="18"/>
      <c r="C54" s="18"/>
      <c r="D54" s="17"/>
      <c r="E54" s="18"/>
      <c r="F54" s="17"/>
      <c r="G54" s="17"/>
      <c r="H54" s="39"/>
      <c r="I54" s="39"/>
    </row>
    <row r="55" spans="1:15" s="13" customFormat="1" ht="18" customHeight="1">
      <c r="A55" s="39"/>
      <c r="B55" s="18"/>
      <c r="C55" s="18"/>
      <c r="D55" s="17"/>
      <c r="E55" s="18"/>
      <c r="F55" s="17"/>
      <c r="G55" s="17"/>
      <c r="H55" s="39"/>
      <c r="I55" s="39"/>
    </row>
    <row r="56" spans="1:15" s="13" customFormat="1" ht="18" customHeight="1">
      <c r="A56" s="39"/>
      <c r="B56" s="18"/>
      <c r="C56" s="18"/>
      <c r="D56" s="17"/>
      <c r="E56" s="18"/>
      <c r="F56" s="17"/>
      <c r="G56" s="17"/>
      <c r="H56" s="39"/>
      <c r="I56" s="39"/>
    </row>
    <row r="57" spans="1:15" s="13" customFormat="1" ht="15" customHeight="1">
      <c r="A57" s="16"/>
      <c r="B57" s="16"/>
      <c r="C57" s="16"/>
      <c r="D57" s="16"/>
      <c r="E57" s="16"/>
      <c r="F57" s="16"/>
      <c r="G57" s="16"/>
      <c r="H57" s="16"/>
    </row>
    <row r="58" spans="1:15" s="13" customFormat="1" ht="15" customHeight="1">
      <c r="A58" s="451" t="s">
        <v>1141</v>
      </c>
      <c r="B58" s="15"/>
    </row>
    <row r="59" spans="1:15" s="13" customFormat="1" ht="15" customHeight="1">
      <c r="A59" s="452" t="s">
        <v>1235</v>
      </c>
      <c r="B59" s="15"/>
    </row>
    <row r="60" spans="1:15" s="13" customFormat="1" ht="15" customHeight="1">
      <c r="A60" s="452" t="s">
        <v>1237</v>
      </c>
      <c r="B60" s="15"/>
    </row>
    <row r="61" spans="1:15" s="13" customFormat="1" ht="15" customHeight="1">
      <c r="A61" s="14"/>
      <c r="B61" s="14"/>
    </row>
    <row r="62" spans="1:15" s="13" customFormat="1" ht="15" customHeight="1"/>
    <row r="63" spans="1:15" s="13" customFormat="1" ht="15" customHeight="1"/>
    <row r="64" spans="1:15" s="13" customFormat="1" ht="15" customHeight="1"/>
  </sheetData>
  <mergeCells count="2">
    <mergeCell ref="A1:O1"/>
    <mergeCell ref="A2:O2"/>
  </mergeCells>
  <phoneticPr fontId="6" type="noConversion"/>
  <hyperlinks>
    <hyperlink ref="O3" location="底稿目录!A1" display="J1-5"/>
  </hyperlinks>
  <pageMargins left="0.70866141732283472" right="0.70866141732283472" top="0.74803149606299213" bottom="0.74803149606299213" header="0.31496062992125984" footer="0.31496062992125984"/>
  <pageSetup paperSize="9" scale="9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M71"/>
  <sheetViews>
    <sheetView view="pageBreakPreview" zoomScaleSheetLayoutView="100" workbookViewId="0">
      <selection sqref="A1:L1"/>
    </sheetView>
  </sheetViews>
  <sheetFormatPr defaultColWidth="9.21875" defaultRowHeight="15" customHeight="1"/>
  <cols>
    <col min="1" max="16384" width="9.21875" style="70"/>
  </cols>
  <sheetData>
    <row r="1" spans="1:13" ht="21.6" customHeight="1">
      <c r="A1" s="768" t="s">
        <v>1206</v>
      </c>
      <c r="B1" s="768"/>
      <c r="C1" s="768"/>
      <c r="D1" s="768"/>
      <c r="E1" s="768"/>
      <c r="F1" s="768"/>
      <c r="G1" s="768"/>
      <c r="H1" s="768"/>
      <c r="I1" s="768"/>
      <c r="J1" s="768"/>
      <c r="K1" s="768"/>
      <c r="L1" s="768"/>
      <c r="M1" s="445"/>
    </row>
    <row r="2" spans="1:13" s="66" customFormat="1" ht="21.6" customHeight="1">
      <c r="A2" s="432" t="s">
        <v>1209</v>
      </c>
      <c r="B2" s="432"/>
      <c r="C2" s="432"/>
      <c r="D2" s="432"/>
      <c r="E2" s="432"/>
      <c r="F2" s="494"/>
      <c r="G2" s="432"/>
      <c r="H2" s="432"/>
      <c r="I2" s="432"/>
      <c r="J2" s="432"/>
      <c r="K2" s="432"/>
      <c r="L2" s="432"/>
      <c r="M2" s="497"/>
    </row>
    <row r="3" spans="1:13" ht="18" customHeight="1">
      <c r="A3" s="70" t="str">
        <f>底稿目录!A2</f>
        <v>被审计单位：</v>
      </c>
      <c r="D3" s="70" t="str">
        <f>底稿目录!A4</f>
        <v>编制人：</v>
      </c>
      <c r="G3" s="108"/>
      <c r="H3" s="108" t="str">
        <f>底稿目录!A5</f>
        <v>编制日期：</v>
      </c>
      <c r="I3" s="71"/>
      <c r="J3" s="71"/>
      <c r="K3" s="71" t="s">
        <v>635</v>
      </c>
      <c r="L3" s="532" t="str">
        <f>底稿目录!F10</f>
        <v>J1-5</v>
      </c>
    </row>
    <row r="4" spans="1:13" ht="18" customHeight="1">
      <c r="A4" s="70" t="str">
        <f>底稿目录!A3</f>
        <v>截止日：202X年12月31日</v>
      </c>
      <c r="D4" s="1" t="str">
        <f>底稿目录!A6</f>
        <v>复核人：</v>
      </c>
      <c r="G4" s="108"/>
      <c r="H4" s="108" t="str">
        <f>底稿目录!A7</f>
        <v>复核日期：</v>
      </c>
      <c r="I4" s="71"/>
      <c r="J4" s="71"/>
      <c r="K4" s="71" t="s">
        <v>636</v>
      </c>
    </row>
    <row r="5" spans="1:13" ht="18" customHeight="1">
      <c r="A5" s="61" t="s">
        <v>504</v>
      </c>
      <c r="B5" s="62"/>
      <c r="D5" s="71"/>
      <c r="I5" s="71"/>
      <c r="J5" s="71"/>
      <c r="K5" s="71"/>
    </row>
    <row r="6" spans="1:13" ht="18" customHeight="1">
      <c r="A6" s="393" t="s">
        <v>1112</v>
      </c>
      <c r="B6" s="264"/>
      <c r="D6" s="71"/>
      <c r="I6" s="71"/>
      <c r="J6" s="71"/>
      <c r="K6" s="71"/>
    </row>
    <row r="7" spans="1:13" ht="18" customHeight="1">
      <c r="A7" s="394" t="s">
        <v>1113</v>
      </c>
      <c r="B7" s="264"/>
      <c r="D7" s="71"/>
      <c r="I7" s="71"/>
      <c r="J7" s="71"/>
      <c r="K7" s="71"/>
    </row>
    <row r="8" spans="1:13" ht="18" customHeight="1">
      <c r="A8" s="394" t="s">
        <v>1114</v>
      </c>
      <c r="B8" s="264"/>
      <c r="D8" s="71"/>
      <c r="I8" s="71"/>
      <c r="J8" s="71"/>
      <c r="K8" s="71"/>
    </row>
    <row r="9" spans="1:13" ht="18" customHeight="1">
      <c r="A9" s="64" t="s">
        <v>506</v>
      </c>
      <c r="D9" s="71"/>
      <c r="I9" s="71"/>
      <c r="J9" s="71"/>
      <c r="K9" s="71"/>
    </row>
    <row r="10" spans="1:13" s="335" customFormat="1" ht="18" customHeight="1">
      <c r="A10" s="772" t="s">
        <v>1300</v>
      </c>
      <c r="B10" s="772" t="s">
        <v>637</v>
      </c>
      <c r="C10" s="772"/>
      <c r="D10" s="772"/>
      <c r="E10" s="772"/>
      <c r="F10" s="772"/>
      <c r="G10" s="772"/>
      <c r="H10" s="772"/>
      <c r="I10" s="772"/>
      <c r="J10" s="772"/>
      <c r="K10" s="772"/>
      <c r="L10" s="772"/>
    </row>
    <row r="11" spans="1:13" s="335" customFormat="1" ht="18" customHeight="1">
      <c r="A11" s="772" t="s">
        <v>1299</v>
      </c>
      <c r="B11" s="772" t="s">
        <v>638</v>
      </c>
      <c r="C11" s="772"/>
      <c r="D11" s="772"/>
      <c r="E11" s="772"/>
      <c r="F11" s="772"/>
      <c r="G11" s="772"/>
      <c r="H11" s="772"/>
      <c r="I11" s="772"/>
      <c r="J11" s="772"/>
      <c r="K11" s="772"/>
      <c r="L11" s="772"/>
    </row>
    <row r="12" spans="1:13" ht="29.4" customHeight="1">
      <c r="A12" s="773" t="s">
        <v>1130</v>
      </c>
      <c r="B12" s="773"/>
      <c r="C12" s="773"/>
      <c r="D12" s="773"/>
      <c r="E12" s="773"/>
      <c r="F12" s="773"/>
      <c r="G12" s="773"/>
      <c r="H12" s="773"/>
      <c r="I12" s="773"/>
      <c r="J12" s="773"/>
      <c r="K12" s="773"/>
      <c r="L12" s="773"/>
    </row>
    <row r="13" spans="1:13" ht="18" customHeight="1">
      <c r="A13" s="769" t="s">
        <v>639</v>
      </c>
      <c r="B13" s="72" t="s">
        <v>640</v>
      </c>
      <c r="C13" s="72"/>
      <c r="D13" s="72"/>
      <c r="E13" s="72" t="s">
        <v>641</v>
      </c>
      <c r="F13" s="72"/>
      <c r="G13" s="72"/>
      <c r="H13" s="771" t="s">
        <v>642</v>
      </c>
      <c r="I13" s="771" t="s">
        <v>643</v>
      </c>
      <c r="J13" s="769" t="s">
        <v>1131</v>
      </c>
      <c r="K13" s="769" t="s">
        <v>1132</v>
      </c>
      <c r="L13" s="771" t="s">
        <v>644</v>
      </c>
    </row>
    <row r="14" spans="1:13" ht="18" customHeight="1">
      <c r="A14" s="770"/>
      <c r="B14" s="254" t="s">
        <v>645</v>
      </c>
      <c r="C14" s="254" t="s">
        <v>646</v>
      </c>
      <c r="D14" s="254" t="s">
        <v>647</v>
      </c>
      <c r="E14" s="254" t="s">
        <v>645</v>
      </c>
      <c r="F14" s="254" t="s">
        <v>646</v>
      </c>
      <c r="G14" s="254" t="s">
        <v>647</v>
      </c>
      <c r="H14" s="771"/>
      <c r="I14" s="771"/>
      <c r="J14" s="770"/>
      <c r="K14" s="770"/>
      <c r="L14" s="771"/>
    </row>
    <row r="15" spans="1:13" ht="18" customHeight="1">
      <c r="A15" s="67" t="s">
        <v>648</v>
      </c>
      <c r="B15" s="67"/>
      <c r="C15" s="82"/>
      <c r="D15" s="433">
        <f t="shared" ref="D15:D26" si="0">IF(B15=0,0,C15/B15)</f>
        <v>0</v>
      </c>
      <c r="E15" s="68"/>
      <c r="F15" s="82"/>
      <c r="G15" s="433">
        <f t="shared" ref="G15:G26" si="1">IF(E15=0,0,F15/E15)</f>
        <v>0</v>
      </c>
      <c r="H15" s="435">
        <f>IF(AND(F15=0,C15=0),0,IF(AND(F15=0,C15&gt;0),1,(C15-F15)/F15))</f>
        <v>0</v>
      </c>
      <c r="I15" s="435">
        <f>IF(AND(G15=0,D15=0),0,IF(AND(G15=0,D15&gt;0),1,(D15-G15)/G15))</f>
        <v>0</v>
      </c>
      <c r="J15" s="100"/>
      <c r="K15" s="436">
        <f>IF(AND(J15=0,D15=0),0,IF(AND(J15=0,D15&gt;0),1,(D15-J15)/J15))</f>
        <v>0</v>
      </c>
      <c r="L15" s="69"/>
    </row>
    <row r="16" spans="1:13" ht="18" customHeight="1">
      <c r="A16" s="67" t="s">
        <v>649</v>
      </c>
      <c r="B16" s="67"/>
      <c r="C16" s="82"/>
      <c r="D16" s="433">
        <f t="shared" si="0"/>
        <v>0</v>
      </c>
      <c r="E16" s="68"/>
      <c r="F16" s="82"/>
      <c r="G16" s="433">
        <f t="shared" si="1"/>
        <v>0</v>
      </c>
      <c r="H16" s="435">
        <f t="shared" ref="H16:H26" si="2">IF(AND(F16=0,C16=0),0,IF(AND(F16=0,C16&gt;0),1,(C16-F16)/F16))</f>
        <v>0</v>
      </c>
      <c r="I16" s="435">
        <f t="shared" ref="I16:I26" si="3">IF(AND(G16=0,D16=0),0,IF(AND(G16=0,D16&gt;0),1,(D16-G16)/G16))</f>
        <v>0</v>
      </c>
      <c r="J16" s="100"/>
      <c r="K16" s="436">
        <f t="shared" ref="K16:K26" si="4">IF(AND(J16=0,D16=0),0,IF(AND(J16=0,D16&gt;0),1,(D16-J16)/J16))</f>
        <v>0</v>
      </c>
      <c r="L16" s="69"/>
    </row>
    <row r="17" spans="1:13" ht="18" customHeight="1">
      <c r="A17" s="600" t="s">
        <v>1368</v>
      </c>
      <c r="B17" s="67"/>
      <c r="C17" s="82"/>
      <c r="D17" s="433">
        <f t="shared" si="0"/>
        <v>0</v>
      </c>
      <c r="E17" s="68"/>
      <c r="F17" s="82"/>
      <c r="G17" s="433">
        <f t="shared" si="1"/>
        <v>0</v>
      </c>
      <c r="H17" s="435">
        <f t="shared" si="2"/>
        <v>0</v>
      </c>
      <c r="I17" s="435">
        <f t="shared" si="3"/>
        <v>0</v>
      </c>
      <c r="J17" s="100"/>
      <c r="K17" s="436">
        <f t="shared" si="4"/>
        <v>0</v>
      </c>
      <c r="L17" s="69"/>
    </row>
    <row r="18" spans="1:13" ht="18" customHeight="1">
      <c r="A18" s="67"/>
      <c r="B18" s="67"/>
      <c r="C18" s="82"/>
      <c r="D18" s="433">
        <f t="shared" si="0"/>
        <v>0</v>
      </c>
      <c r="E18" s="68"/>
      <c r="F18" s="82"/>
      <c r="G18" s="433">
        <f t="shared" si="1"/>
        <v>0</v>
      </c>
      <c r="H18" s="435">
        <f t="shared" si="2"/>
        <v>0</v>
      </c>
      <c r="I18" s="435">
        <f t="shared" si="3"/>
        <v>0</v>
      </c>
      <c r="J18" s="100"/>
      <c r="K18" s="436">
        <f t="shared" si="4"/>
        <v>0</v>
      </c>
      <c r="L18" s="69"/>
    </row>
    <row r="19" spans="1:13" ht="18" customHeight="1">
      <c r="A19" s="67"/>
      <c r="B19" s="67"/>
      <c r="C19" s="82"/>
      <c r="D19" s="433">
        <f t="shared" si="0"/>
        <v>0</v>
      </c>
      <c r="E19" s="68"/>
      <c r="F19" s="82"/>
      <c r="G19" s="433">
        <f t="shared" si="1"/>
        <v>0</v>
      </c>
      <c r="H19" s="435">
        <f t="shared" si="2"/>
        <v>0</v>
      </c>
      <c r="I19" s="435">
        <f t="shared" si="3"/>
        <v>0</v>
      </c>
      <c r="J19" s="100"/>
      <c r="K19" s="436">
        <f t="shared" si="4"/>
        <v>0</v>
      </c>
      <c r="L19" s="69"/>
    </row>
    <row r="20" spans="1:13" ht="18" customHeight="1">
      <c r="A20" s="67"/>
      <c r="B20" s="67"/>
      <c r="C20" s="82"/>
      <c r="D20" s="433">
        <f t="shared" si="0"/>
        <v>0</v>
      </c>
      <c r="E20" s="68"/>
      <c r="F20" s="82"/>
      <c r="G20" s="433">
        <f t="shared" si="1"/>
        <v>0</v>
      </c>
      <c r="H20" s="435">
        <f t="shared" si="2"/>
        <v>0</v>
      </c>
      <c r="I20" s="435">
        <f t="shared" si="3"/>
        <v>0</v>
      </c>
      <c r="J20" s="100"/>
      <c r="K20" s="436">
        <f t="shared" si="4"/>
        <v>0</v>
      </c>
      <c r="L20" s="69"/>
    </row>
    <row r="21" spans="1:13" ht="18" customHeight="1">
      <c r="A21" s="67"/>
      <c r="B21" s="67"/>
      <c r="C21" s="82"/>
      <c r="D21" s="433">
        <f t="shared" si="0"/>
        <v>0</v>
      </c>
      <c r="E21" s="68"/>
      <c r="F21" s="82"/>
      <c r="G21" s="433">
        <f t="shared" si="1"/>
        <v>0</v>
      </c>
      <c r="H21" s="435">
        <f t="shared" si="2"/>
        <v>0</v>
      </c>
      <c r="I21" s="435">
        <f t="shared" si="3"/>
        <v>0</v>
      </c>
      <c r="J21" s="100"/>
      <c r="K21" s="436">
        <f t="shared" si="4"/>
        <v>0</v>
      </c>
      <c r="L21" s="69"/>
    </row>
    <row r="22" spans="1:13" ht="18" customHeight="1">
      <c r="A22" s="67"/>
      <c r="B22" s="67"/>
      <c r="C22" s="82"/>
      <c r="D22" s="433">
        <f t="shared" si="0"/>
        <v>0</v>
      </c>
      <c r="E22" s="68"/>
      <c r="F22" s="82"/>
      <c r="G22" s="433">
        <f t="shared" si="1"/>
        <v>0</v>
      </c>
      <c r="H22" s="435">
        <f t="shared" si="2"/>
        <v>0</v>
      </c>
      <c r="I22" s="435">
        <f t="shared" si="3"/>
        <v>0</v>
      </c>
      <c r="J22" s="100"/>
      <c r="K22" s="436">
        <f t="shared" si="4"/>
        <v>0</v>
      </c>
      <c r="L22" s="69"/>
    </row>
    <row r="23" spans="1:13" ht="18" customHeight="1">
      <c r="A23" s="67"/>
      <c r="B23" s="67"/>
      <c r="C23" s="82"/>
      <c r="D23" s="433">
        <f t="shared" si="0"/>
        <v>0</v>
      </c>
      <c r="E23" s="68"/>
      <c r="F23" s="82"/>
      <c r="G23" s="433">
        <f t="shared" si="1"/>
        <v>0</v>
      </c>
      <c r="H23" s="435">
        <f t="shared" si="2"/>
        <v>0</v>
      </c>
      <c r="I23" s="435">
        <f t="shared" si="3"/>
        <v>0</v>
      </c>
      <c r="J23" s="100"/>
      <c r="K23" s="436">
        <f t="shared" si="4"/>
        <v>0</v>
      </c>
      <c r="L23" s="69"/>
    </row>
    <row r="24" spans="1:13" ht="18" customHeight="1">
      <c r="A24" s="67"/>
      <c r="B24" s="67"/>
      <c r="C24" s="82"/>
      <c r="D24" s="433">
        <f t="shared" si="0"/>
        <v>0</v>
      </c>
      <c r="E24" s="68"/>
      <c r="F24" s="82"/>
      <c r="G24" s="433">
        <f t="shared" si="1"/>
        <v>0</v>
      </c>
      <c r="H24" s="435">
        <f t="shared" si="2"/>
        <v>0</v>
      </c>
      <c r="I24" s="435">
        <f t="shared" si="3"/>
        <v>0</v>
      </c>
      <c r="J24" s="100"/>
      <c r="K24" s="436">
        <f t="shared" si="4"/>
        <v>0</v>
      </c>
      <c r="L24" s="69"/>
    </row>
    <row r="25" spans="1:13" ht="18" customHeight="1">
      <c r="A25" s="67"/>
      <c r="B25" s="67"/>
      <c r="C25" s="82"/>
      <c r="D25" s="433">
        <f t="shared" si="0"/>
        <v>0</v>
      </c>
      <c r="E25" s="68"/>
      <c r="F25" s="82"/>
      <c r="G25" s="433">
        <f t="shared" si="1"/>
        <v>0</v>
      </c>
      <c r="H25" s="435">
        <f t="shared" si="2"/>
        <v>0</v>
      </c>
      <c r="I25" s="435">
        <f t="shared" si="3"/>
        <v>0</v>
      </c>
      <c r="J25" s="100"/>
      <c r="K25" s="436">
        <f t="shared" si="4"/>
        <v>0</v>
      </c>
      <c r="L25" s="69"/>
    </row>
    <row r="26" spans="1:13" ht="18" customHeight="1">
      <c r="A26" s="273" t="s">
        <v>650</v>
      </c>
      <c r="B26" s="434">
        <f>SUM(B15:B25)</f>
        <v>0</v>
      </c>
      <c r="C26" s="433">
        <f>SUM(C15:C25)</f>
        <v>0</v>
      </c>
      <c r="D26" s="433">
        <f t="shared" si="0"/>
        <v>0</v>
      </c>
      <c r="E26" s="434">
        <f>SUM(E15:E25)</f>
        <v>0</v>
      </c>
      <c r="F26" s="433">
        <f>SUM(F15:F25)</f>
        <v>0</v>
      </c>
      <c r="G26" s="433">
        <f t="shared" si="1"/>
        <v>0</v>
      </c>
      <c r="H26" s="435">
        <f t="shared" si="2"/>
        <v>0</v>
      </c>
      <c r="I26" s="435">
        <f t="shared" si="3"/>
        <v>0</v>
      </c>
      <c r="J26" s="100"/>
      <c r="K26" s="436">
        <f t="shared" si="4"/>
        <v>0</v>
      </c>
      <c r="L26" s="69"/>
    </row>
    <row r="27" spans="1:13" ht="18" customHeight="1">
      <c r="A27" s="437" t="s">
        <v>1070</v>
      </c>
      <c r="B27" s="59"/>
      <c r="C27" s="59"/>
      <c r="D27" s="59"/>
      <c r="E27" s="59"/>
      <c r="F27" s="59"/>
      <c r="M27" s="381"/>
    </row>
    <row r="28" spans="1:13" ht="18" customHeight="1">
      <c r="A28" s="727" t="s">
        <v>880</v>
      </c>
      <c r="B28" s="728"/>
      <c r="C28" s="729"/>
      <c r="D28" s="766" t="s">
        <v>881</v>
      </c>
      <c r="E28" s="766"/>
      <c r="F28" s="766"/>
    </row>
    <row r="29" spans="1:13" ht="18" customHeight="1">
      <c r="A29" s="766" t="s">
        <v>882</v>
      </c>
      <c r="B29" s="766"/>
      <c r="C29" s="326" t="s">
        <v>883</v>
      </c>
      <c r="D29" s="766" t="s">
        <v>882</v>
      </c>
      <c r="E29" s="766"/>
      <c r="F29" s="326" t="s">
        <v>883</v>
      </c>
    </row>
    <row r="30" spans="1:13" ht="18" customHeight="1">
      <c r="A30" s="758" t="s">
        <v>884</v>
      </c>
      <c r="B30" s="758"/>
      <c r="C30" s="767"/>
      <c r="D30" s="759" t="s">
        <v>885</v>
      </c>
      <c r="E30" s="759"/>
      <c r="F30" s="407"/>
    </row>
    <row r="31" spans="1:13" ht="18" customHeight="1">
      <c r="A31" s="758"/>
      <c r="B31" s="758"/>
      <c r="C31" s="767"/>
      <c r="D31" s="759" t="s">
        <v>886</v>
      </c>
      <c r="E31" s="759"/>
      <c r="F31" s="407"/>
    </row>
    <row r="32" spans="1:13" ht="18" customHeight="1">
      <c r="A32" s="758"/>
      <c r="B32" s="758"/>
      <c r="C32" s="767"/>
      <c r="D32" s="759" t="s">
        <v>887</v>
      </c>
      <c r="E32" s="759"/>
      <c r="F32" s="407"/>
    </row>
    <row r="33" spans="1:13" ht="30.6" customHeight="1">
      <c r="A33" s="758" t="s">
        <v>888</v>
      </c>
      <c r="B33" s="758"/>
      <c r="C33" s="407"/>
      <c r="D33" s="759" t="s">
        <v>889</v>
      </c>
      <c r="E33" s="759"/>
      <c r="F33" s="407"/>
    </row>
    <row r="34" spans="1:13" ht="18" customHeight="1">
      <c r="A34" s="760" t="s">
        <v>890</v>
      </c>
      <c r="B34" s="760"/>
      <c r="C34" s="523">
        <f>C30-C33</f>
        <v>0</v>
      </c>
      <c r="D34" s="761" t="s">
        <v>890</v>
      </c>
      <c r="E34" s="762"/>
      <c r="F34" s="523">
        <f>SUM(F30:F33)</f>
        <v>0</v>
      </c>
      <c r="M34" s="381"/>
    </row>
    <row r="35" spans="1:13" ht="18" customHeight="1">
      <c r="A35" s="732" t="s">
        <v>1287</v>
      </c>
      <c r="B35" s="732"/>
      <c r="C35" s="732"/>
      <c r="D35" s="763">
        <f>C34-F34</f>
        <v>0</v>
      </c>
      <c r="E35" s="764"/>
      <c r="F35" s="765"/>
    </row>
    <row r="36" spans="1:13" s="440" customFormat="1" ht="18" customHeight="1">
      <c r="A36" s="438"/>
      <c r="B36" s="438"/>
      <c r="C36" s="438"/>
      <c r="D36" s="439"/>
      <c r="E36" s="439"/>
      <c r="F36" s="439"/>
    </row>
    <row r="37" spans="1:13" ht="18" customHeight="1">
      <c r="A37" s="441" t="s">
        <v>1133</v>
      </c>
      <c r="B37" s="55"/>
      <c r="C37" s="55"/>
      <c r="D37" s="55"/>
      <c r="E37" s="336"/>
      <c r="F37" s="336"/>
      <c r="G37" s="336"/>
    </row>
    <row r="38" spans="1:13" ht="18" customHeight="1">
      <c r="A38" s="755" t="s">
        <v>1272</v>
      </c>
      <c r="B38" s="755" t="s">
        <v>1273</v>
      </c>
      <c r="C38" s="756" t="s">
        <v>1281</v>
      </c>
      <c r="D38" s="756" t="s">
        <v>1274</v>
      </c>
      <c r="E38" s="755" t="s">
        <v>1279</v>
      </c>
      <c r="F38" s="755" t="s">
        <v>1280</v>
      </c>
      <c r="G38" s="755" t="s">
        <v>1282</v>
      </c>
      <c r="H38" s="753" t="s">
        <v>1276</v>
      </c>
      <c r="I38" s="754"/>
      <c r="J38" s="754"/>
    </row>
    <row r="39" spans="1:13" ht="18" customHeight="1">
      <c r="A39" s="755"/>
      <c r="B39" s="755"/>
      <c r="C39" s="757" t="s">
        <v>1277</v>
      </c>
      <c r="D39" s="757"/>
      <c r="E39" s="755" t="s">
        <v>1275</v>
      </c>
      <c r="F39" s="755" t="s">
        <v>1278</v>
      </c>
      <c r="G39" s="755" t="s">
        <v>1284</v>
      </c>
      <c r="H39" s="521" t="s">
        <v>1285</v>
      </c>
      <c r="I39" s="522" t="s">
        <v>1283</v>
      </c>
      <c r="J39" s="521" t="s">
        <v>1286</v>
      </c>
    </row>
    <row r="40" spans="1:13" ht="18" customHeight="1">
      <c r="A40" s="102" t="s">
        <v>35</v>
      </c>
      <c r="B40" s="337"/>
      <c r="C40" s="337"/>
      <c r="D40" s="337"/>
      <c r="E40" s="337"/>
      <c r="F40" s="337"/>
      <c r="G40" s="338"/>
      <c r="H40" s="442" t="e">
        <f>E40/B40</f>
        <v>#DIV/0!</v>
      </c>
      <c r="I40" s="443" t="e">
        <f>C40/F40</f>
        <v>#DIV/0!</v>
      </c>
      <c r="J40" s="442" t="e">
        <f>D40/G40</f>
        <v>#DIV/0!</v>
      </c>
    </row>
    <row r="41" spans="1:13" ht="18" customHeight="1">
      <c r="A41" s="102" t="s">
        <v>36</v>
      </c>
      <c r="B41" s="337"/>
      <c r="C41" s="337"/>
      <c r="D41" s="337"/>
      <c r="E41" s="337"/>
      <c r="F41" s="337"/>
      <c r="G41" s="338"/>
      <c r="H41" s="442" t="e">
        <f>E41/B41</f>
        <v>#DIV/0!</v>
      </c>
      <c r="I41" s="443" t="e">
        <f t="shared" ref="I41:J43" si="5">C41/F41</f>
        <v>#DIV/0!</v>
      </c>
      <c r="J41" s="442" t="e">
        <f t="shared" si="5"/>
        <v>#DIV/0!</v>
      </c>
    </row>
    <row r="42" spans="1:13" ht="18" customHeight="1">
      <c r="A42" s="102" t="s">
        <v>37</v>
      </c>
      <c r="B42" s="337"/>
      <c r="C42" s="337"/>
      <c r="D42" s="337"/>
      <c r="E42" s="337"/>
      <c r="F42" s="337"/>
      <c r="G42" s="338"/>
      <c r="H42" s="442" t="e">
        <f>E42/B42</f>
        <v>#DIV/0!</v>
      </c>
      <c r="I42" s="443" t="e">
        <f t="shared" si="5"/>
        <v>#DIV/0!</v>
      </c>
      <c r="J42" s="442" t="e">
        <f t="shared" si="5"/>
        <v>#DIV/0!</v>
      </c>
    </row>
    <row r="43" spans="1:13" ht="18" customHeight="1">
      <c r="A43" s="102" t="s">
        <v>38</v>
      </c>
      <c r="B43" s="337"/>
      <c r="C43" s="337"/>
      <c r="D43" s="337"/>
      <c r="E43" s="337"/>
      <c r="F43" s="337"/>
      <c r="G43" s="338"/>
      <c r="H43" s="442" t="e">
        <f>E43/B43</f>
        <v>#DIV/0!</v>
      </c>
      <c r="I43" s="443" t="e">
        <f t="shared" si="5"/>
        <v>#DIV/0!</v>
      </c>
      <c r="J43" s="442" t="e">
        <f t="shared" si="5"/>
        <v>#DIV/0!</v>
      </c>
    </row>
    <row r="44" spans="1:13" ht="18" customHeight="1">
      <c r="A44" s="102" t="s">
        <v>891</v>
      </c>
      <c r="B44" s="337"/>
      <c r="C44" s="337"/>
      <c r="D44" s="337"/>
      <c r="E44" s="337"/>
      <c r="F44" s="337"/>
      <c r="G44" s="338"/>
      <c r="H44" s="442" t="e">
        <f>AVERAGE(H40:H43)</f>
        <v>#DIV/0!</v>
      </c>
      <c r="I44" s="442" t="e">
        <f>AVERAGE(I40:I43)</f>
        <v>#DIV/0!</v>
      </c>
      <c r="J44" s="442" t="e">
        <f>AVERAGE(J40:J43)</f>
        <v>#DIV/0!</v>
      </c>
    </row>
    <row r="45" spans="1:13" ht="18" customHeight="1">
      <c r="A45" s="102" t="s">
        <v>892</v>
      </c>
      <c r="B45" s="337"/>
      <c r="C45" s="337"/>
      <c r="D45" s="337"/>
      <c r="E45" s="338"/>
      <c r="F45" s="338"/>
      <c r="G45" s="338"/>
      <c r="H45" s="338"/>
      <c r="I45" s="339"/>
      <c r="J45" s="340"/>
    </row>
    <row r="46" spans="1:13" ht="18" customHeight="1">
      <c r="A46" s="524" t="s">
        <v>1288</v>
      </c>
      <c r="B46" s="525"/>
      <c r="C46" s="525"/>
      <c r="D46" s="525"/>
      <c r="E46" s="526"/>
      <c r="F46" s="526"/>
      <c r="G46" s="526"/>
      <c r="H46" s="527" t="e">
        <f>H44-H45</f>
        <v>#DIV/0!</v>
      </c>
      <c r="I46" s="527" t="e">
        <f>I44-I45</f>
        <v>#DIV/0!</v>
      </c>
      <c r="J46" s="527" t="e">
        <f>J44-J45</f>
        <v>#DIV/0!</v>
      </c>
    </row>
    <row r="47" spans="1:13" ht="18" customHeight="1">
      <c r="A47" s="55"/>
      <c r="B47" s="55"/>
      <c r="C47" s="55"/>
      <c r="D47" s="336"/>
      <c r="E47" s="336"/>
      <c r="F47" s="336"/>
    </row>
    <row r="48" spans="1:13" ht="18" customHeight="1">
      <c r="A48" s="774" t="s">
        <v>1289</v>
      </c>
      <c r="B48" s="774" t="s">
        <v>1290</v>
      </c>
      <c r="C48" s="775" t="s">
        <v>1291</v>
      </c>
      <c r="D48" s="775" t="s">
        <v>1292</v>
      </c>
      <c r="E48" s="774" t="s">
        <v>1293</v>
      </c>
      <c r="F48" s="775" t="s">
        <v>1294</v>
      </c>
      <c r="G48" s="775" t="s">
        <v>1292</v>
      </c>
      <c r="H48" s="774" t="s">
        <v>1295</v>
      </c>
      <c r="I48" s="775" t="s">
        <v>1296</v>
      </c>
      <c r="J48" s="756" t="s">
        <v>1369</v>
      </c>
    </row>
    <row r="49" spans="1:13" ht="18" customHeight="1">
      <c r="A49" s="774"/>
      <c r="B49" s="774"/>
      <c r="C49" s="776" t="s">
        <v>1297</v>
      </c>
      <c r="D49" s="776"/>
      <c r="E49" s="774"/>
      <c r="F49" s="776" t="s">
        <v>1298</v>
      </c>
      <c r="G49" s="776"/>
      <c r="H49" s="774"/>
      <c r="I49" s="776" t="s">
        <v>1298</v>
      </c>
      <c r="J49" s="776"/>
    </row>
    <row r="50" spans="1:13" ht="18" customHeight="1">
      <c r="A50" s="102" t="s">
        <v>35</v>
      </c>
      <c r="B50" s="337"/>
      <c r="C50" s="337"/>
      <c r="D50" s="442" t="e">
        <f>C50/B50</f>
        <v>#DIV/0!</v>
      </c>
      <c r="E50" s="337"/>
      <c r="F50" s="337"/>
      <c r="G50" s="442" t="e">
        <f>F50/E50</f>
        <v>#DIV/0!</v>
      </c>
      <c r="H50" s="338"/>
      <c r="I50" s="341"/>
      <c r="J50" s="442" t="e">
        <f>I50/H50</f>
        <v>#DIV/0!</v>
      </c>
    </row>
    <row r="51" spans="1:13" ht="18" customHeight="1">
      <c r="A51" s="102" t="s">
        <v>36</v>
      </c>
      <c r="B51" s="337"/>
      <c r="C51" s="337"/>
      <c r="D51" s="442" t="e">
        <f>C51/B51</f>
        <v>#DIV/0!</v>
      </c>
      <c r="E51" s="337"/>
      <c r="F51" s="337"/>
      <c r="G51" s="442" t="e">
        <f>F51/E51</f>
        <v>#DIV/0!</v>
      </c>
      <c r="H51" s="338"/>
      <c r="I51" s="341"/>
      <c r="J51" s="442" t="e">
        <f>I51/H51</f>
        <v>#DIV/0!</v>
      </c>
    </row>
    <row r="52" spans="1:13" ht="18" customHeight="1">
      <c r="A52" s="102" t="s">
        <v>37</v>
      </c>
      <c r="B52" s="337"/>
      <c r="C52" s="337"/>
      <c r="D52" s="442" t="e">
        <f>C52/B52</f>
        <v>#DIV/0!</v>
      </c>
      <c r="E52" s="337"/>
      <c r="F52" s="337"/>
      <c r="G52" s="442" t="e">
        <f>F52/E52</f>
        <v>#DIV/0!</v>
      </c>
      <c r="H52" s="338"/>
      <c r="I52" s="341"/>
      <c r="J52" s="442" t="e">
        <f>I52/H52</f>
        <v>#DIV/0!</v>
      </c>
    </row>
    <row r="53" spans="1:13" ht="18" customHeight="1">
      <c r="A53" s="102" t="s">
        <v>38</v>
      </c>
      <c r="B53" s="337"/>
      <c r="C53" s="337"/>
      <c r="D53" s="442" t="e">
        <f>C53/B53</f>
        <v>#DIV/0!</v>
      </c>
      <c r="E53" s="337"/>
      <c r="F53" s="337"/>
      <c r="G53" s="442" t="e">
        <f>F53/E53</f>
        <v>#DIV/0!</v>
      </c>
      <c r="H53" s="338"/>
      <c r="I53" s="341"/>
      <c r="J53" s="442" t="e">
        <f>I53/H53</f>
        <v>#DIV/0!</v>
      </c>
    </row>
    <row r="54" spans="1:13" ht="18" customHeight="1">
      <c r="A54" s="539" t="s">
        <v>1319</v>
      </c>
      <c r="B54" s="337"/>
      <c r="C54" s="337"/>
      <c r="D54" s="442" t="e">
        <f>AVERAGE(D50:D53)</f>
        <v>#DIV/0!</v>
      </c>
      <c r="E54" s="337"/>
      <c r="F54" s="337"/>
      <c r="G54" s="442" t="e">
        <f>AVERAGE(G50:G53)</f>
        <v>#DIV/0!</v>
      </c>
      <c r="H54" s="338"/>
      <c r="I54" s="338"/>
      <c r="J54" s="442" t="e">
        <f>AVERAGE(J50:J53)</f>
        <v>#DIV/0!</v>
      </c>
      <c r="M54" s="381"/>
    </row>
    <row r="55" spans="1:13" ht="18" customHeight="1">
      <c r="A55" s="102" t="s">
        <v>892</v>
      </c>
      <c r="B55" s="337"/>
      <c r="C55" s="337"/>
      <c r="D55" s="337"/>
      <c r="E55" s="338"/>
      <c r="F55" s="338"/>
      <c r="G55" s="338"/>
      <c r="H55" s="338"/>
      <c r="I55" s="339"/>
      <c r="J55" s="340"/>
    </row>
    <row r="56" spans="1:13" ht="18" customHeight="1">
      <c r="A56" s="391" t="s">
        <v>1288</v>
      </c>
      <c r="B56" s="528"/>
      <c r="C56" s="528"/>
      <c r="D56" s="528" t="e">
        <f>D54-D55</f>
        <v>#DIV/0!</v>
      </c>
      <c r="E56" s="527"/>
      <c r="F56" s="527"/>
      <c r="G56" s="528" t="e">
        <f>G54-G55</f>
        <v>#DIV/0!</v>
      </c>
      <c r="H56" s="527"/>
      <c r="I56" s="527"/>
      <c r="J56" s="528" t="e">
        <f>J54-J55</f>
        <v>#DIV/0!</v>
      </c>
    </row>
    <row r="57" spans="1:13" ht="18" customHeight="1">
      <c r="A57" s="48" t="s">
        <v>651</v>
      </c>
      <c r="B57" s="45"/>
    </row>
    <row r="58" spans="1:13" ht="18" customHeight="1">
      <c r="A58" s="48"/>
      <c r="B58" s="45"/>
    </row>
    <row r="59" spans="1:13" ht="18" customHeight="1">
      <c r="A59" s="48" t="s">
        <v>509</v>
      </c>
      <c r="B59" s="45"/>
    </row>
    <row r="60" spans="1:13" ht="18" customHeight="1">
      <c r="A60" s="48"/>
      <c r="B60" s="45"/>
    </row>
    <row r="61" spans="1:13" ht="18" customHeight="1"/>
    <row r="63" spans="1:13" ht="15" customHeight="1">
      <c r="A63" s="444" t="s">
        <v>1134</v>
      </c>
    </row>
    <row r="64" spans="1:13" ht="15" customHeight="1">
      <c r="A64" s="185" t="s">
        <v>652</v>
      </c>
    </row>
    <row r="65" spans="1:1" ht="15" customHeight="1">
      <c r="A65" s="185" t="s">
        <v>653</v>
      </c>
    </row>
    <row r="66" spans="1:1" ht="15" customHeight="1">
      <c r="A66" s="185" t="s">
        <v>654</v>
      </c>
    </row>
    <row r="67" spans="1:1" ht="15" customHeight="1">
      <c r="A67" s="185" t="s">
        <v>655</v>
      </c>
    </row>
    <row r="68" spans="1:1" ht="15" customHeight="1">
      <c r="A68" s="445" t="s">
        <v>1136</v>
      </c>
    </row>
    <row r="69" spans="1:1" ht="15" customHeight="1">
      <c r="A69" s="446" t="s">
        <v>1135</v>
      </c>
    </row>
    <row r="70" spans="1:1" ht="15" customHeight="1">
      <c r="A70" s="446" t="s">
        <v>1142</v>
      </c>
    </row>
    <row r="71" spans="1:1" ht="15" customHeight="1">
      <c r="A71" s="381"/>
    </row>
  </sheetData>
  <mergeCells count="43">
    <mergeCell ref="F48:F49"/>
    <mergeCell ref="G48:G49"/>
    <mergeCell ref="H48:H49"/>
    <mergeCell ref="I48:I49"/>
    <mergeCell ref="J48:J49"/>
    <mergeCell ref="A48:A49"/>
    <mergeCell ref="B48:B49"/>
    <mergeCell ref="C48:C49"/>
    <mergeCell ref="D48:D49"/>
    <mergeCell ref="E48:E49"/>
    <mergeCell ref="A1:L1"/>
    <mergeCell ref="J13:J14"/>
    <mergeCell ref="K13:K14"/>
    <mergeCell ref="A13:A14"/>
    <mergeCell ref="I13:I14"/>
    <mergeCell ref="L13:L14"/>
    <mergeCell ref="H13:H14"/>
    <mergeCell ref="A10:L10"/>
    <mergeCell ref="A11:L11"/>
    <mergeCell ref="A12:L12"/>
    <mergeCell ref="A28:C28"/>
    <mergeCell ref="D28:F28"/>
    <mergeCell ref="A29:B29"/>
    <mergeCell ref="D29:E29"/>
    <mergeCell ref="A30:B32"/>
    <mergeCell ref="C30:C32"/>
    <mergeCell ref="D30:E30"/>
    <mergeCell ref="D31:E31"/>
    <mergeCell ref="D32:E32"/>
    <mergeCell ref="A33:B33"/>
    <mergeCell ref="D33:E33"/>
    <mergeCell ref="A34:B34"/>
    <mergeCell ref="D34:E34"/>
    <mergeCell ref="A35:C35"/>
    <mergeCell ref="D35:F35"/>
    <mergeCell ref="H38:J38"/>
    <mergeCell ref="A38:A39"/>
    <mergeCell ref="C38:C39"/>
    <mergeCell ref="E38:E39"/>
    <mergeCell ref="G38:G39"/>
    <mergeCell ref="B38:B39"/>
    <mergeCell ref="F38:F39"/>
    <mergeCell ref="D38:D39"/>
  </mergeCells>
  <phoneticPr fontId="43" type="noConversion"/>
  <hyperlinks>
    <hyperlink ref="L3" location="底稿目录!A1" display="J1-4"/>
  </hyperlinks>
  <pageMargins left="0.70866141732283472" right="0.70866141732283472" top="0.74803149606299213" bottom="0.74803149606299213" header="0.31496062992125984" footer="0.31496062992125984"/>
  <pageSetup paperSize="9" scale="69" orientation="portrait"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60"/>
  <sheetViews>
    <sheetView view="pageBreakPreview" zoomScaleSheetLayoutView="100" workbookViewId="0">
      <selection sqref="A1:K1"/>
    </sheetView>
  </sheetViews>
  <sheetFormatPr defaultColWidth="9" defaultRowHeight="15" customHeight="1"/>
  <cols>
    <col min="1" max="1" width="6.44140625" style="12" customWidth="1"/>
    <col min="2" max="2" width="18.6640625" style="12" customWidth="1"/>
    <col min="3" max="11" width="10.88671875" style="12" customWidth="1"/>
    <col min="12" max="16384" width="9" style="12"/>
  </cols>
  <sheetData>
    <row r="1" spans="1:11" s="26" customFormat="1" ht="18" customHeight="1">
      <c r="A1" s="749" t="s">
        <v>1128</v>
      </c>
      <c r="B1" s="749"/>
      <c r="C1" s="749"/>
      <c r="D1" s="749"/>
      <c r="E1" s="749"/>
      <c r="F1" s="749"/>
      <c r="G1" s="749"/>
      <c r="H1" s="749"/>
      <c r="I1" s="749"/>
      <c r="J1" s="749"/>
      <c r="K1" s="749"/>
    </row>
    <row r="2" spans="1:11" s="27" customFormat="1" ht="18" customHeight="1">
      <c r="A2" s="751" t="s">
        <v>1137</v>
      </c>
      <c r="B2" s="751"/>
      <c r="C2" s="751"/>
      <c r="D2" s="751"/>
      <c r="E2" s="751"/>
      <c r="F2" s="751"/>
      <c r="G2" s="751"/>
      <c r="H2" s="751"/>
      <c r="I2" s="751"/>
      <c r="J2" s="751"/>
      <c r="K2" s="751"/>
    </row>
    <row r="3" spans="1:11" s="13" customFormat="1" ht="18" customHeight="1">
      <c r="A3" s="6" t="str">
        <f>底稿目录!A2</f>
        <v>被审计单位：</v>
      </c>
      <c r="B3" s="6"/>
      <c r="D3" s="6" t="str">
        <f>底稿目录!A4</f>
        <v>编制人：</v>
      </c>
      <c r="G3" s="106" t="str">
        <f>底稿目录!A5</f>
        <v>编制日期：</v>
      </c>
      <c r="H3" s="110"/>
      <c r="J3" s="73" t="s">
        <v>99</v>
      </c>
      <c r="K3" s="532" t="str">
        <f>底稿目录!F11</f>
        <v>J1-6</v>
      </c>
    </row>
    <row r="4" spans="1:11" s="13" customFormat="1" ht="18" customHeight="1">
      <c r="A4" s="6" t="str">
        <f>底稿目录!A3</f>
        <v>截止日：202X年12月31日</v>
      </c>
      <c r="B4" s="6"/>
      <c r="D4" s="6" t="str">
        <f>底稿目录!A6</f>
        <v>复核人：</v>
      </c>
      <c r="G4" s="110" t="str">
        <f>底稿目录!A7</f>
        <v>复核日期：</v>
      </c>
      <c r="H4" s="110"/>
      <c r="J4" s="535" t="s">
        <v>1311</v>
      </c>
      <c r="K4" s="21"/>
    </row>
    <row r="5" spans="1:11" s="13" customFormat="1" ht="18" customHeight="1">
      <c r="A5" s="449" t="s">
        <v>1139</v>
      </c>
      <c r="B5" s="61"/>
      <c r="C5" s="62"/>
      <c r="D5" s="6"/>
      <c r="J5" s="73"/>
      <c r="K5" s="21"/>
    </row>
    <row r="6" spans="1:11" s="13" customFormat="1" ht="18" customHeight="1">
      <c r="A6" s="393" t="s">
        <v>1112</v>
      </c>
      <c r="B6" s="264"/>
      <c r="D6" s="6"/>
      <c r="J6" s="73"/>
      <c r="K6" s="21"/>
    </row>
    <row r="7" spans="1:11" s="13" customFormat="1" ht="18" customHeight="1">
      <c r="A7" s="394" t="s">
        <v>1113</v>
      </c>
      <c r="B7" s="264"/>
      <c r="D7" s="6"/>
      <c r="J7" s="73"/>
      <c r="K7" s="21"/>
    </row>
    <row r="8" spans="1:11" s="13" customFormat="1" ht="18" customHeight="1">
      <c r="A8" s="394" t="s">
        <v>1114</v>
      </c>
      <c r="B8" s="264"/>
      <c r="D8" s="6"/>
      <c r="J8" s="73"/>
      <c r="K8" s="21"/>
    </row>
    <row r="9" spans="1:11" s="13" customFormat="1" ht="18" customHeight="1">
      <c r="A9" s="450" t="s">
        <v>1140</v>
      </c>
      <c r="B9" s="64"/>
      <c r="C9" s="70"/>
      <c r="D9" s="6"/>
      <c r="J9" s="73"/>
      <c r="K9" s="21"/>
    </row>
    <row r="10" spans="1:11" s="13" customFormat="1" ht="27" customHeight="1">
      <c r="A10" s="778" t="s">
        <v>575</v>
      </c>
      <c r="B10" s="778"/>
      <c r="C10" s="778"/>
      <c r="D10" s="778"/>
      <c r="E10" s="778"/>
      <c r="F10" s="778"/>
      <c r="G10" s="778"/>
      <c r="H10" s="778"/>
      <c r="I10" s="778"/>
      <c r="J10" s="778"/>
      <c r="K10" s="778"/>
    </row>
    <row r="11" spans="1:11" s="13" customFormat="1" ht="19.8" customHeight="1">
      <c r="A11" s="265" t="s">
        <v>576</v>
      </c>
      <c r="B11" s="70"/>
      <c r="D11" s="6"/>
      <c r="J11" s="73"/>
      <c r="K11" s="21"/>
    </row>
    <row r="12" spans="1:11" s="13" customFormat="1" ht="18" customHeight="1">
      <c r="A12" s="265" t="s">
        <v>577</v>
      </c>
      <c r="B12" s="70"/>
      <c r="D12" s="6"/>
      <c r="J12" s="73"/>
      <c r="K12" s="21"/>
    </row>
    <row r="13" spans="1:11" s="13" customFormat="1" ht="18" customHeight="1">
      <c r="A13" s="265" t="s">
        <v>578</v>
      </c>
      <c r="B13" s="70"/>
      <c r="D13" s="6"/>
      <c r="J13" s="73"/>
      <c r="K13" s="21"/>
    </row>
    <row r="14" spans="1:11" s="13" customFormat="1" ht="18" customHeight="1">
      <c r="A14" s="448" t="s">
        <v>1138</v>
      </c>
      <c r="B14" s="15"/>
      <c r="J14" s="25"/>
    </row>
    <row r="15" spans="1:11" ht="18" customHeight="1">
      <c r="A15" s="779" t="s">
        <v>523</v>
      </c>
      <c r="B15" s="780"/>
      <c r="C15" s="74" t="s">
        <v>579</v>
      </c>
      <c r="D15" s="74"/>
      <c r="E15" s="74"/>
      <c r="F15" s="777" t="s">
        <v>580</v>
      </c>
      <c r="G15" s="777" t="s">
        <v>581</v>
      </c>
      <c r="H15" s="777" t="s">
        <v>582</v>
      </c>
      <c r="I15" s="777" t="s">
        <v>27</v>
      </c>
      <c r="J15" s="777" t="s">
        <v>583</v>
      </c>
      <c r="K15" s="777" t="s">
        <v>584</v>
      </c>
    </row>
    <row r="16" spans="1:11" ht="18" customHeight="1">
      <c r="A16" s="781"/>
      <c r="B16" s="782"/>
      <c r="C16" s="255" t="s">
        <v>585</v>
      </c>
      <c r="D16" s="255" t="s">
        <v>586</v>
      </c>
      <c r="E16" s="255" t="s">
        <v>562</v>
      </c>
      <c r="F16" s="777"/>
      <c r="G16" s="777"/>
      <c r="H16" s="777"/>
      <c r="I16" s="777"/>
      <c r="J16" s="777"/>
      <c r="K16" s="777"/>
    </row>
    <row r="17" spans="1:11" ht="18" customHeight="1">
      <c r="A17" s="269" t="s">
        <v>587</v>
      </c>
      <c r="B17" s="111"/>
      <c r="C17" s="75"/>
      <c r="D17" s="76"/>
      <c r="E17" s="77"/>
      <c r="F17" s="78"/>
      <c r="G17" s="433">
        <f>ROUND(D17*F17,2)</f>
        <v>0</v>
      </c>
      <c r="H17" s="76"/>
      <c r="I17" s="433">
        <f t="shared" ref="I17:I36" si="0">G17-H17</f>
        <v>0</v>
      </c>
      <c r="J17" s="75"/>
      <c r="K17" s="75"/>
    </row>
    <row r="18" spans="1:11" ht="18" customHeight="1">
      <c r="A18" s="112" t="s">
        <v>588</v>
      </c>
      <c r="B18" s="113"/>
      <c r="C18" s="75"/>
      <c r="D18" s="76"/>
      <c r="E18" s="77"/>
      <c r="F18" s="78"/>
      <c r="G18" s="433">
        <f t="shared" ref="G18:G36" si="1">ROUND(D18*F18,2)</f>
        <v>0</v>
      </c>
      <c r="H18" s="76"/>
      <c r="I18" s="433">
        <f t="shared" si="0"/>
        <v>0</v>
      </c>
      <c r="J18" s="75"/>
      <c r="K18" s="75"/>
    </row>
    <row r="19" spans="1:11" ht="18" customHeight="1">
      <c r="A19" s="112" t="s">
        <v>589</v>
      </c>
      <c r="B19" s="113"/>
      <c r="C19" s="75"/>
      <c r="D19" s="76"/>
      <c r="E19" s="77"/>
      <c r="F19" s="78"/>
      <c r="G19" s="433">
        <f t="shared" si="1"/>
        <v>0</v>
      </c>
      <c r="H19" s="76"/>
      <c r="I19" s="433">
        <f t="shared" si="0"/>
        <v>0</v>
      </c>
      <c r="J19" s="75"/>
      <c r="K19" s="75"/>
    </row>
    <row r="20" spans="1:11" ht="18" customHeight="1">
      <c r="A20" s="112" t="s">
        <v>590</v>
      </c>
      <c r="B20" s="113"/>
      <c r="C20" s="75"/>
      <c r="D20" s="76"/>
      <c r="E20" s="77"/>
      <c r="F20" s="78"/>
      <c r="G20" s="433">
        <f t="shared" si="1"/>
        <v>0</v>
      </c>
      <c r="H20" s="76"/>
      <c r="I20" s="433">
        <f t="shared" si="0"/>
        <v>0</v>
      </c>
      <c r="J20" s="75"/>
      <c r="K20" s="75"/>
    </row>
    <row r="21" spans="1:11" ht="18" customHeight="1">
      <c r="A21" s="114" t="s">
        <v>876</v>
      </c>
      <c r="B21" s="115"/>
      <c r="C21" s="75"/>
      <c r="D21" s="76"/>
      <c r="E21" s="77"/>
      <c r="F21" s="78"/>
      <c r="G21" s="433">
        <f t="shared" si="1"/>
        <v>0</v>
      </c>
      <c r="H21" s="76"/>
      <c r="I21" s="433">
        <f t="shared" si="0"/>
        <v>0</v>
      </c>
      <c r="J21" s="75"/>
      <c r="K21" s="75"/>
    </row>
    <row r="22" spans="1:11" ht="18" customHeight="1">
      <c r="A22" s="269" t="s">
        <v>591</v>
      </c>
      <c r="B22" s="111"/>
      <c r="C22" s="75"/>
      <c r="D22" s="76"/>
      <c r="E22" s="77"/>
      <c r="F22" s="78"/>
      <c r="G22" s="433">
        <f t="shared" si="1"/>
        <v>0</v>
      </c>
      <c r="H22" s="76"/>
      <c r="I22" s="433">
        <f t="shared" si="0"/>
        <v>0</v>
      </c>
      <c r="J22" s="75"/>
      <c r="K22" s="75"/>
    </row>
    <row r="23" spans="1:11" ht="18" customHeight="1">
      <c r="A23" s="269" t="s">
        <v>592</v>
      </c>
      <c r="B23" s="111"/>
      <c r="C23" s="75"/>
      <c r="D23" s="76"/>
      <c r="E23" s="77"/>
      <c r="F23" s="78"/>
      <c r="G23" s="433">
        <f t="shared" si="1"/>
        <v>0</v>
      </c>
      <c r="H23" s="76"/>
      <c r="I23" s="433">
        <f t="shared" si="0"/>
        <v>0</v>
      </c>
      <c r="J23" s="75"/>
      <c r="K23" s="75"/>
    </row>
    <row r="24" spans="1:11" ht="18" customHeight="1">
      <c r="A24" s="116" t="s">
        <v>593</v>
      </c>
      <c r="B24" s="117"/>
      <c r="C24" s="75"/>
      <c r="D24" s="76"/>
      <c r="E24" s="77"/>
      <c r="F24" s="78"/>
      <c r="G24" s="433">
        <f t="shared" si="1"/>
        <v>0</v>
      </c>
      <c r="H24" s="76"/>
      <c r="I24" s="433">
        <f t="shared" si="0"/>
        <v>0</v>
      </c>
      <c r="J24" s="75"/>
      <c r="K24" s="75"/>
    </row>
    <row r="25" spans="1:11" ht="18" customHeight="1">
      <c r="A25" s="116" t="s">
        <v>877</v>
      </c>
      <c r="B25" s="117"/>
      <c r="C25" s="75"/>
      <c r="D25" s="76"/>
      <c r="E25" s="77"/>
      <c r="F25" s="78"/>
      <c r="G25" s="433">
        <f t="shared" si="1"/>
        <v>0</v>
      </c>
      <c r="H25" s="76"/>
      <c r="I25" s="433">
        <f t="shared" si="0"/>
        <v>0</v>
      </c>
      <c r="J25" s="75"/>
      <c r="K25" s="75"/>
    </row>
    <row r="26" spans="1:11" ht="18" customHeight="1">
      <c r="A26" s="116" t="s">
        <v>878</v>
      </c>
      <c r="B26" s="117"/>
      <c r="C26" s="75"/>
      <c r="D26" s="76"/>
      <c r="E26" s="77"/>
      <c r="F26" s="78"/>
      <c r="G26" s="433">
        <f t="shared" si="1"/>
        <v>0</v>
      </c>
      <c r="H26" s="76"/>
      <c r="I26" s="433">
        <f t="shared" si="0"/>
        <v>0</v>
      </c>
      <c r="J26" s="75"/>
      <c r="K26" s="75"/>
    </row>
    <row r="27" spans="1:11" ht="18" customHeight="1">
      <c r="A27" s="116" t="s">
        <v>879</v>
      </c>
      <c r="B27" s="117"/>
      <c r="C27" s="75"/>
      <c r="D27" s="76"/>
      <c r="E27" s="77"/>
      <c r="F27" s="78"/>
      <c r="G27" s="433">
        <f>ROUND(D27*F27,2)</f>
        <v>0</v>
      </c>
      <c r="H27" s="76"/>
      <c r="I27" s="433">
        <f t="shared" si="0"/>
        <v>0</v>
      </c>
      <c r="J27" s="75"/>
      <c r="K27" s="75"/>
    </row>
    <row r="28" spans="1:11" ht="18" customHeight="1">
      <c r="A28" s="116" t="s">
        <v>594</v>
      </c>
      <c r="B28" s="117"/>
      <c r="C28" s="75"/>
      <c r="D28" s="76"/>
      <c r="E28" s="77"/>
      <c r="F28" s="78"/>
      <c r="G28" s="433">
        <f t="shared" si="1"/>
        <v>0</v>
      </c>
      <c r="H28" s="76"/>
      <c r="I28" s="433">
        <f t="shared" si="0"/>
        <v>0</v>
      </c>
      <c r="J28" s="75"/>
      <c r="K28" s="75"/>
    </row>
    <row r="29" spans="1:11" ht="18" customHeight="1">
      <c r="A29" s="116" t="s">
        <v>595</v>
      </c>
      <c r="B29" s="117"/>
      <c r="C29" s="75"/>
      <c r="D29" s="76"/>
      <c r="E29" s="77"/>
      <c r="F29" s="78"/>
      <c r="G29" s="433">
        <f t="shared" si="1"/>
        <v>0</v>
      </c>
      <c r="H29" s="76"/>
      <c r="I29" s="433">
        <f t="shared" si="0"/>
        <v>0</v>
      </c>
      <c r="J29" s="75"/>
      <c r="K29" s="75"/>
    </row>
    <row r="30" spans="1:11" ht="18" customHeight="1">
      <c r="A30" s="116" t="s">
        <v>596</v>
      </c>
      <c r="B30" s="117"/>
      <c r="C30" s="75"/>
      <c r="D30" s="76"/>
      <c r="E30" s="77"/>
      <c r="F30" s="78"/>
      <c r="G30" s="433">
        <f t="shared" si="1"/>
        <v>0</v>
      </c>
      <c r="H30" s="76"/>
      <c r="I30" s="433">
        <f t="shared" si="0"/>
        <v>0</v>
      </c>
      <c r="J30" s="75"/>
      <c r="K30" s="75"/>
    </row>
    <row r="31" spans="1:11" ht="18" customHeight="1">
      <c r="A31" s="116" t="s">
        <v>597</v>
      </c>
      <c r="B31" s="117"/>
      <c r="C31" s="75"/>
      <c r="D31" s="76"/>
      <c r="E31" s="77"/>
      <c r="F31" s="78"/>
      <c r="G31" s="433">
        <f t="shared" si="1"/>
        <v>0</v>
      </c>
      <c r="H31" s="76"/>
      <c r="I31" s="433">
        <f t="shared" si="0"/>
        <v>0</v>
      </c>
      <c r="J31" s="75"/>
      <c r="K31" s="75"/>
    </row>
    <row r="32" spans="1:11" ht="18" customHeight="1">
      <c r="A32" s="116" t="s">
        <v>598</v>
      </c>
      <c r="B32" s="117"/>
      <c r="C32" s="75"/>
      <c r="D32" s="76"/>
      <c r="E32" s="77"/>
      <c r="F32" s="78"/>
      <c r="G32" s="433">
        <f t="shared" si="1"/>
        <v>0</v>
      </c>
      <c r="H32" s="76"/>
      <c r="I32" s="433">
        <f t="shared" si="0"/>
        <v>0</v>
      </c>
      <c r="J32" s="75"/>
      <c r="K32" s="75"/>
    </row>
    <row r="33" spans="1:11" ht="18" customHeight="1">
      <c r="A33" s="116" t="s">
        <v>599</v>
      </c>
      <c r="B33" s="117"/>
      <c r="C33" s="75"/>
      <c r="D33" s="76"/>
      <c r="E33" s="77"/>
      <c r="F33" s="78"/>
      <c r="G33" s="433">
        <f t="shared" si="1"/>
        <v>0</v>
      </c>
      <c r="H33" s="76"/>
      <c r="I33" s="433">
        <f t="shared" si="0"/>
        <v>0</v>
      </c>
      <c r="J33" s="75"/>
      <c r="K33" s="75"/>
    </row>
    <row r="34" spans="1:11" ht="18" customHeight="1">
      <c r="A34" s="116" t="s">
        <v>600</v>
      </c>
      <c r="B34" s="117"/>
      <c r="C34" s="75"/>
      <c r="D34" s="76"/>
      <c r="E34" s="77"/>
      <c r="F34" s="78"/>
      <c r="G34" s="433">
        <f t="shared" si="1"/>
        <v>0</v>
      </c>
      <c r="H34" s="76"/>
      <c r="I34" s="433">
        <f t="shared" si="0"/>
        <v>0</v>
      </c>
      <c r="J34" s="75"/>
      <c r="K34" s="75"/>
    </row>
    <row r="35" spans="1:11" ht="18" customHeight="1">
      <c r="A35" s="269" t="s">
        <v>601</v>
      </c>
      <c r="B35" s="111"/>
      <c r="C35" s="75"/>
      <c r="D35" s="76"/>
      <c r="E35" s="77"/>
      <c r="F35" s="78"/>
      <c r="G35" s="433">
        <f t="shared" si="1"/>
        <v>0</v>
      </c>
      <c r="H35" s="76"/>
      <c r="I35" s="433">
        <f t="shared" si="0"/>
        <v>0</v>
      </c>
      <c r="J35" s="75"/>
      <c r="K35" s="75"/>
    </row>
    <row r="36" spans="1:11" ht="18" customHeight="1">
      <c r="A36" s="114"/>
      <c r="B36" s="115"/>
      <c r="C36" s="75"/>
      <c r="D36" s="76"/>
      <c r="E36" s="77"/>
      <c r="F36" s="78"/>
      <c r="G36" s="433">
        <f t="shared" si="1"/>
        <v>0</v>
      </c>
      <c r="H36" s="76"/>
      <c r="I36" s="433">
        <f t="shared" si="0"/>
        <v>0</v>
      </c>
      <c r="J36" s="75"/>
      <c r="K36" s="75"/>
    </row>
    <row r="37" spans="1:11" ht="18" customHeight="1">
      <c r="A37" s="447" t="s">
        <v>96</v>
      </c>
      <c r="B37" s="48"/>
      <c r="C37" s="41"/>
      <c r="D37" s="41"/>
      <c r="E37" s="42"/>
      <c r="F37" s="79"/>
      <c r="G37" s="18"/>
      <c r="H37" s="40"/>
    </row>
    <row r="38" spans="1:11" ht="18" customHeight="1">
      <c r="A38" s="779" t="s">
        <v>602</v>
      </c>
      <c r="B38" s="780"/>
      <c r="C38" s="74" t="s">
        <v>579</v>
      </c>
      <c r="D38" s="74"/>
      <c r="E38" s="74"/>
      <c r="F38" s="777" t="s">
        <v>580</v>
      </c>
      <c r="G38" s="777" t="s">
        <v>581</v>
      </c>
      <c r="H38" s="777" t="s">
        <v>582</v>
      </c>
      <c r="I38" s="777" t="s">
        <v>27</v>
      </c>
      <c r="J38" s="777" t="s">
        <v>583</v>
      </c>
      <c r="K38" s="777" t="s">
        <v>584</v>
      </c>
    </row>
    <row r="39" spans="1:11" ht="18" customHeight="1">
      <c r="A39" s="781"/>
      <c r="B39" s="782"/>
      <c r="C39" s="255" t="s">
        <v>585</v>
      </c>
      <c r="D39" s="255" t="s">
        <v>586</v>
      </c>
      <c r="E39" s="255" t="s">
        <v>562</v>
      </c>
      <c r="F39" s="777"/>
      <c r="G39" s="777"/>
      <c r="H39" s="777"/>
      <c r="I39" s="777"/>
      <c r="J39" s="777"/>
      <c r="K39" s="777"/>
    </row>
    <row r="40" spans="1:11" ht="18" customHeight="1">
      <c r="A40" s="269" t="s">
        <v>603</v>
      </c>
      <c r="B40" s="118"/>
      <c r="C40" s="75"/>
      <c r="D40" s="76"/>
      <c r="E40" s="77"/>
      <c r="F40" s="78"/>
      <c r="G40" s="433">
        <f t="shared" ref="G40:G47" si="2">ROUND(D40*F40,2)</f>
        <v>0</v>
      </c>
      <c r="H40" s="82"/>
      <c r="I40" s="433">
        <f t="shared" ref="I40:I47" si="3">G40-H40</f>
        <v>0</v>
      </c>
      <c r="J40" s="75"/>
      <c r="K40" s="75"/>
    </row>
    <row r="41" spans="1:11" ht="18" customHeight="1">
      <c r="A41" s="116" t="s">
        <v>604</v>
      </c>
      <c r="B41" s="119"/>
      <c r="C41" s="75"/>
      <c r="D41" s="76"/>
      <c r="E41" s="77"/>
      <c r="F41" s="78"/>
      <c r="G41" s="433">
        <f t="shared" si="2"/>
        <v>0</v>
      </c>
      <c r="H41" s="82"/>
      <c r="I41" s="433">
        <f t="shared" si="3"/>
        <v>0</v>
      </c>
      <c r="J41" s="75"/>
      <c r="K41" s="75"/>
    </row>
    <row r="42" spans="1:11" ht="18" customHeight="1">
      <c r="A42" s="120" t="s">
        <v>605</v>
      </c>
      <c r="B42" s="119"/>
      <c r="C42" s="75"/>
      <c r="D42" s="76"/>
      <c r="E42" s="77"/>
      <c r="F42" s="78"/>
      <c r="G42" s="433">
        <f t="shared" si="2"/>
        <v>0</v>
      </c>
      <c r="H42" s="82"/>
      <c r="I42" s="433">
        <f t="shared" si="3"/>
        <v>0</v>
      </c>
      <c r="J42" s="75"/>
      <c r="K42" s="75"/>
    </row>
    <row r="43" spans="1:11" ht="18" customHeight="1">
      <c r="A43" s="120" t="s">
        <v>606</v>
      </c>
      <c r="B43" s="119"/>
      <c r="C43" s="75"/>
      <c r="D43" s="76"/>
      <c r="E43" s="77"/>
      <c r="F43" s="78"/>
      <c r="G43" s="433">
        <f t="shared" si="2"/>
        <v>0</v>
      </c>
      <c r="H43" s="82"/>
      <c r="I43" s="433">
        <f t="shared" si="3"/>
        <v>0</v>
      </c>
      <c r="J43" s="75"/>
      <c r="K43" s="75"/>
    </row>
    <row r="44" spans="1:11" ht="18" customHeight="1">
      <c r="A44" s="120" t="s">
        <v>607</v>
      </c>
      <c r="B44" s="119"/>
      <c r="C44" s="75"/>
      <c r="D44" s="76"/>
      <c r="E44" s="77"/>
      <c r="F44" s="78"/>
      <c r="G44" s="433">
        <f t="shared" si="2"/>
        <v>0</v>
      </c>
      <c r="H44" s="82"/>
      <c r="I44" s="433">
        <f t="shared" si="3"/>
        <v>0</v>
      </c>
      <c r="J44" s="75"/>
      <c r="K44" s="75"/>
    </row>
    <row r="45" spans="1:11" ht="18" customHeight="1">
      <c r="A45" s="116" t="s">
        <v>608</v>
      </c>
      <c r="B45" s="118"/>
      <c r="C45" s="75"/>
      <c r="D45" s="76"/>
      <c r="E45" s="77"/>
      <c r="F45" s="78"/>
      <c r="G45" s="433">
        <f t="shared" si="2"/>
        <v>0</v>
      </c>
      <c r="H45" s="82"/>
      <c r="I45" s="433">
        <f t="shared" si="3"/>
        <v>0</v>
      </c>
      <c r="J45" s="75"/>
      <c r="K45" s="75"/>
    </row>
    <row r="46" spans="1:11" ht="18" customHeight="1">
      <c r="A46" s="270" t="s">
        <v>609</v>
      </c>
      <c r="B46" s="119"/>
      <c r="C46" s="75"/>
      <c r="D46" s="76"/>
      <c r="E46" s="77"/>
      <c r="F46" s="78"/>
      <c r="G46" s="433">
        <f t="shared" si="2"/>
        <v>0</v>
      </c>
      <c r="H46" s="82"/>
      <c r="I46" s="433">
        <f t="shared" si="3"/>
        <v>0</v>
      </c>
      <c r="J46" s="75"/>
      <c r="K46" s="75"/>
    </row>
    <row r="47" spans="1:11" ht="18" customHeight="1">
      <c r="A47" s="270" t="s">
        <v>22</v>
      </c>
      <c r="B47" s="119"/>
      <c r="C47" s="75"/>
      <c r="D47" s="76"/>
      <c r="E47" s="77"/>
      <c r="F47" s="78"/>
      <c r="G47" s="433">
        <f t="shared" si="2"/>
        <v>0</v>
      </c>
      <c r="H47" s="82"/>
      <c r="I47" s="433">
        <f t="shared" si="3"/>
        <v>0</v>
      </c>
      <c r="J47" s="75"/>
      <c r="K47" s="75"/>
    </row>
    <row r="48" spans="1:11" ht="18" customHeight="1">
      <c r="A48" s="20" t="s">
        <v>508</v>
      </c>
      <c r="B48" s="15"/>
      <c r="C48" s="13"/>
      <c r="D48" s="13"/>
      <c r="E48" s="13"/>
      <c r="F48" s="13"/>
      <c r="G48" s="13"/>
      <c r="H48" s="13"/>
    </row>
    <row r="49" spans="1:11" ht="18" customHeight="1">
      <c r="A49" s="89" t="s">
        <v>610</v>
      </c>
      <c r="B49" s="89"/>
      <c r="C49" s="89"/>
      <c r="D49" s="90"/>
      <c r="E49" s="91"/>
      <c r="F49" s="92"/>
      <c r="G49" s="93"/>
      <c r="H49" s="93"/>
      <c r="I49" s="93"/>
      <c r="J49" s="89"/>
      <c r="K49" s="89"/>
    </row>
    <row r="50" spans="1:11" ht="18" customHeight="1">
      <c r="A50" s="271" t="s">
        <v>611</v>
      </c>
      <c r="B50" s="89"/>
      <c r="C50" s="89"/>
      <c r="D50" s="90"/>
      <c r="E50" s="91"/>
      <c r="F50" s="92"/>
      <c r="G50" s="93"/>
      <c r="H50" s="93"/>
      <c r="I50" s="93"/>
      <c r="J50" s="89"/>
      <c r="K50" s="89"/>
    </row>
    <row r="51" spans="1:11" ht="18" customHeight="1">
      <c r="A51" s="89" t="s">
        <v>612</v>
      </c>
      <c r="B51" s="89"/>
      <c r="C51" s="89"/>
      <c r="D51" s="90"/>
      <c r="E51" s="91"/>
      <c r="F51" s="92"/>
      <c r="G51" s="93"/>
      <c r="H51" s="93"/>
      <c r="I51" s="93"/>
      <c r="J51" s="89"/>
      <c r="K51" s="89"/>
    </row>
    <row r="52" spans="1:11" ht="18" customHeight="1">
      <c r="A52" s="89"/>
      <c r="B52" s="89"/>
      <c r="C52" s="89"/>
      <c r="D52" s="90"/>
      <c r="E52" s="91"/>
      <c r="F52" s="92"/>
      <c r="G52" s="93"/>
      <c r="H52" s="93"/>
      <c r="I52" s="93"/>
      <c r="J52" s="89"/>
      <c r="K52" s="89"/>
    </row>
    <row r="53" spans="1:11" ht="18" customHeight="1">
      <c r="A53" s="89" t="s">
        <v>613</v>
      </c>
      <c r="B53" s="89"/>
      <c r="C53" s="89"/>
      <c r="D53" s="90"/>
      <c r="E53" s="91"/>
      <c r="F53" s="92"/>
      <c r="G53" s="93"/>
      <c r="H53" s="93"/>
      <c r="I53" s="93"/>
      <c r="J53" s="89"/>
      <c r="K53" s="89"/>
    </row>
    <row r="54" spans="1:11" ht="18" customHeight="1">
      <c r="A54" s="94"/>
      <c r="B54" s="89"/>
      <c r="C54" s="89"/>
      <c r="D54" s="90"/>
      <c r="E54" s="91"/>
      <c r="F54" s="92"/>
      <c r="G54" s="93"/>
      <c r="H54" s="93"/>
      <c r="I54" s="93"/>
      <c r="J54" s="89"/>
      <c r="K54" s="89"/>
    </row>
    <row r="55" spans="1:11" ht="18" customHeight="1">
      <c r="A55" s="89" t="s">
        <v>614</v>
      </c>
      <c r="B55" s="89"/>
      <c r="C55" s="89"/>
      <c r="D55" s="90"/>
      <c r="E55" s="91"/>
      <c r="F55" s="92"/>
      <c r="G55" s="93"/>
      <c r="H55" s="93"/>
      <c r="I55" s="93"/>
      <c r="J55" s="89"/>
      <c r="K55" s="89"/>
    </row>
    <row r="56" spans="1:11" ht="18" customHeight="1">
      <c r="A56" s="39"/>
      <c r="B56" s="13"/>
      <c r="C56" s="13"/>
      <c r="D56" s="13"/>
      <c r="E56" s="13"/>
      <c r="F56" s="13"/>
      <c r="G56" s="13"/>
      <c r="H56" s="13"/>
    </row>
    <row r="57" spans="1:11" ht="18" customHeight="1">
      <c r="A57" s="39" t="s">
        <v>615</v>
      </c>
      <c r="B57" s="13"/>
      <c r="C57" s="13"/>
      <c r="D57" s="13"/>
      <c r="E57" s="13"/>
      <c r="F57" s="13"/>
      <c r="G57" s="13"/>
      <c r="H57" s="13"/>
    </row>
    <row r="58" spans="1:11" ht="18" customHeight="1">
      <c r="A58" s="39"/>
      <c r="B58" s="13"/>
      <c r="C58" s="13"/>
      <c r="D58" s="13"/>
      <c r="E58" s="13"/>
      <c r="F58" s="13"/>
      <c r="G58" s="13"/>
      <c r="H58" s="13"/>
    </row>
    <row r="59" spans="1:11" ht="18" customHeight="1">
      <c r="A59" s="48" t="s">
        <v>509</v>
      </c>
      <c r="B59" s="13"/>
      <c r="C59" s="13"/>
      <c r="D59" s="13"/>
      <c r="E59" s="13"/>
      <c r="F59" s="13"/>
      <c r="G59" s="13"/>
      <c r="H59" s="13"/>
    </row>
    <row r="60" spans="1:11" ht="18" customHeight="1">
      <c r="A60" s="13"/>
      <c r="B60" s="13"/>
      <c r="C60" s="13"/>
      <c r="D60" s="13"/>
      <c r="E60" s="13"/>
      <c r="F60" s="13"/>
      <c r="G60" s="13"/>
      <c r="H60" s="13"/>
    </row>
  </sheetData>
  <mergeCells count="17">
    <mergeCell ref="A1:K1"/>
    <mergeCell ref="A15:B16"/>
    <mergeCell ref="A38:B39"/>
    <mergeCell ref="F15:F16"/>
    <mergeCell ref="G15:G16"/>
    <mergeCell ref="H15:H16"/>
    <mergeCell ref="I15:I16"/>
    <mergeCell ref="J15:J16"/>
    <mergeCell ref="K15:K16"/>
    <mergeCell ref="F38:F39"/>
    <mergeCell ref="G38:G39"/>
    <mergeCell ref="H38:H39"/>
    <mergeCell ref="I38:I39"/>
    <mergeCell ref="J38:J39"/>
    <mergeCell ref="K38:K39"/>
    <mergeCell ref="A10:K10"/>
    <mergeCell ref="A2:K2"/>
  </mergeCells>
  <phoneticPr fontId="6" type="noConversion"/>
  <hyperlinks>
    <hyperlink ref="K3" location="底稿目录!A1" display="底稿目录!A1"/>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51"/>
  <sheetViews>
    <sheetView view="pageBreakPreview" zoomScaleNormal="90" zoomScaleSheetLayoutView="100" workbookViewId="0">
      <selection sqref="A1:L1"/>
    </sheetView>
  </sheetViews>
  <sheetFormatPr defaultColWidth="9" defaultRowHeight="15" customHeight="1"/>
  <cols>
    <col min="1" max="1" width="6" style="12" customWidth="1"/>
    <col min="2" max="2" width="29" style="12" customWidth="1"/>
    <col min="3" max="8" width="14.109375" style="12" customWidth="1"/>
    <col min="9" max="9" width="15" style="12" customWidth="1"/>
    <col min="10" max="10" width="14.109375" style="12" customWidth="1"/>
    <col min="11" max="11" width="19.88671875" style="12" customWidth="1"/>
    <col min="12" max="12" width="12.77734375" style="12" customWidth="1"/>
    <col min="13" max="16384" width="9" style="12"/>
  </cols>
  <sheetData>
    <row r="1" spans="1:13" s="26" customFormat="1" ht="19.95" customHeight="1">
      <c r="A1" s="749" t="s">
        <v>1110</v>
      </c>
      <c r="B1" s="749"/>
      <c r="C1" s="749"/>
      <c r="D1" s="749"/>
      <c r="E1" s="749"/>
      <c r="F1" s="749"/>
      <c r="G1" s="749"/>
      <c r="H1" s="749"/>
      <c r="I1" s="749"/>
      <c r="J1" s="749"/>
      <c r="K1" s="749"/>
      <c r="L1" s="749"/>
    </row>
    <row r="2" spans="1:13" s="27" customFormat="1" ht="19.95" customHeight="1">
      <c r="A2" s="751" t="s">
        <v>1210</v>
      </c>
      <c r="B2" s="751"/>
      <c r="C2" s="751"/>
      <c r="D2" s="751"/>
      <c r="E2" s="751"/>
      <c r="F2" s="751"/>
      <c r="G2" s="751"/>
      <c r="H2" s="751"/>
      <c r="I2" s="751"/>
      <c r="J2" s="751"/>
      <c r="K2" s="751"/>
      <c r="L2" s="751"/>
    </row>
    <row r="3" spans="1:13" s="13" customFormat="1" ht="19.95" customHeight="1">
      <c r="A3" s="6" t="str">
        <f>底稿目录!A2</f>
        <v>被审计单位：</v>
      </c>
      <c r="B3" s="6"/>
      <c r="D3" s="6" t="str">
        <f>底稿目录!A4</f>
        <v>编制人：</v>
      </c>
      <c r="G3" s="106" t="str">
        <f>底稿目录!A5</f>
        <v>编制日期：</v>
      </c>
      <c r="K3" s="602" t="s">
        <v>474</v>
      </c>
      <c r="L3" s="533" t="str">
        <f>底稿目录!F12</f>
        <v>J1-7</v>
      </c>
    </row>
    <row r="4" spans="1:13" s="13" customFormat="1" ht="19.95" customHeight="1">
      <c r="A4" s="6" t="str">
        <f>底稿目录!A3</f>
        <v>截止日：202X年12月31日</v>
      </c>
      <c r="B4" s="6"/>
      <c r="D4" s="6" t="str">
        <f>底稿目录!A6</f>
        <v>复核人：</v>
      </c>
      <c r="G4" s="110" t="str">
        <f>底稿目录!A7</f>
        <v>复核日期：</v>
      </c>
      <c r="K4" s="603" t="s">
        <v>1310</v>
      </c>
    </row>
    <row r="5" spans="1:13" s="13" customFormat="1" ht="19.95" customHeight="1">
      <c r="A5" s="61" t="s">
        <v>504</v>
      </c>
      <c r="B5" s="61"/>
      <c r="C5" s="61"/>
    </row>
    <row r="6" spans="1:13" s="13" customFormat="1" ht="19.95" customHeight="1">
      <c r="A6" s="393" t="s">
        <v>1112</v>
      </c>
      <c r="B6" s="264"/>
    </row>
    <row r="7" spans="1:13" s="13" customFormat="1" ht="19.95" customHeight="1">
      <c r="A7" s="394" t="s">
        <v>1113</v>
      </c>
      <c r="B7" s="264"/>
    </row>
    <row r="8" spans="1:13" s="13" customFormat="1" ht="19.95" customHeight="1">
      <c r="A8" s="394" t="s">
        <v>1114</v>
      </c>
      <c r="B8" s="264"/>
    </row>
    <row r="9" spans="1:13" s="13" customFormat="1" ht="19.95" customHeight="1">
      <c r="A9" s="64" t="s">
        <v>506</v>
      </c>
      <c r="B9" s="264"/>
      <c r="M9" s="382"/>
    </row>
    <row r="10" spans="1:13" s="13" customFormat="1" ht="19.95" customHeight="1">
      <c r="A10" s="545" t="s">
        <v>1184</v>
      </c>
      <c r="B10" s="264"/>
    </row>
    <row r="11" spans="1:13" s="13" customFormat="1" ht="19.95" customHeight="1">
      <c r="A11" s="394" t="s">
        <v>1185</v>
      </c>
      <c r="B11" s="264"/>
    </row>
    <row r="12" spans="1:13" s="13" customFormat="1" ht="19.95" customHeight="1">
      <c r="A12" s="394" t="s">
        <v>1186</v>
      </c>
      <c r="B12" s="264"/>
    </row>
    <row r="13" spans="1:13" s="13" customFormat="1" ht="19.95" customHeight="1">
      <c r="A13" s="394" t="s">
        <v>1187</v>
      </c>
      <c r="B13" s="264"/>
    </row>
    <row r="14" spans="1:13" s="13" customFormat="1" ht="19.95" customHeight="1">
      <c r="A14" s="394" t="s">
        <v>1320</v>
      </c>
      <c r="B14" s="264"/>
    </row>
    <row r="15" spans="1:13" s="13" customFormat="1" ht="19.95" customHeight="1">
      <c r="A15" s="546" t="s">
        <v>1188</v>
      </c>
      <c r="B15" s="64"/>
      <c r="C15" s="64"/>
    </row>
    <row r="16" spans="1:13" s="601" customFormat="1" ht="24.6" customHeight="1">
      <c r="A16" s="787" t="s">
        <v>551</v>
      </c>
      <c r="B16" s="787"/>
      <c r="C16" s="599" t="s">
        <v>552</v>
      </c>
      <c r="D16" s="599" t="s">
        <v>553</v>
      </c>
      <c r="E16" s="599" t="s">
        <v>554</v>
      </c>
      <c r="F16" s="599" t="s">
        <v>555</v>
      </c>
      <c r="G16" s="599" t="s">
        <v>556</v>
      </c>
      <c r="H16" s="598" t="s">
        <v>557</v>
      </c>
      <c r="I16" s="598" t="s">
        <v>558</v>
      </c>
      <c r="J16" s="598" t="s">
        <v>559</v>
      </c>
      <c r="K16" s="599" t="s">
        <v>560</v>
      </c>
      <c r="L16" s="599" t="s">
        <v>561</v>
      </c>
    </row>
    <row r="17" spans="1:13" ht="19.95" customHeight="1">
      <c r="A17" s="785" t="s">
        <v>788</v>
      </c>
      <c r="B17" s="786"/>
      <c r="C17" s="454">
        <f>SUM(C18:C26)</f>
        <v>0</v>
      </c>
      <c r="D17" s="454">
        <f t="shared" ref="D17:G17" si="0">SUM(D18:D26)</f>
        <v>0</v>
      </c>
      <c r="E17" s="454">
        <f>SUM(E18:E26)</f>
        <v>0</v>
      </c>
      <c r="F17" s="454">
        <f t="shared" si="0"/>
        <v>0</v>
      </c>
      <c r="G17" s="454">
        <f t="shared" si="0"/>
        <v>0</v>
      </c>
      <c r="H17" s="455">
        <f t="shared" ref="H17:H31" si="1">SUM(C17,D17,E17,F17,G17)</f>
        <v>0</v>
      </c>
      <c r="I17" s="455">
        <f>SUM(I18:I26)</f>
        <v>0</v>
      </c>
      <c r="J17" s="455">
        <f t="shared" ref="J17:J31" si="2">H17-I17</f>
        <v>0</v>
      </c>
      <c r="K17" s="86"/>
      <c r="L17" s="83"/>
      <c r="M17" s="453"/>
    </row>
    <row r="18" spans="1:13" ht="19.95" customHeight="1">
      <c r="A18" s="458" t="s">
        <v>563</v>
      </c>
      <c r="B18" s="459"/>
      <c r="C18" s="44"/>
      <c r="D18" s="44"/>
      <c r="E18" s="44"/>
      <c r="F18" s="44"/>
      <c r="G18" s="44"/>
      <c r="H18" s="456">
        <f t="shared" si="1"/>
        <v>0</v>
      </c>
      <c r="I18" s="456">
        <f>'明细表J1-2 '!K13</f>
        <v>0</v>
      </c>
      <c r="J18" s="455">
        <f t="shared" si="2"/>
        <v>0</v>
      </c>
      <c r="K18" s="87"/>
      <c r="L18" s="43"/>
    </row>
    <row r="19" spans="1:13" ht="19.95" customHeight="1">
      <c r="A19" s="458" t="s">
        <v>564</v>
      </c>
      <c r="B19" s="460"/>
      <c r="C19" s="44"/>
      <c r="D19" s="44"/>
      <c r="E19" s="44"/>
      <c r="F19" s="44"/>
      <c r="G19" s="44"/>
      <c r="H19" s="456">
        <f t="shared" si="1"/>
        <v>0</v>
      </c>
      <c r="I19" s="456">
        <f>'明细表J1-2 '!K19</f>
        <v>0</v>
      </c>
      <c r="J19" s="455">
        <f t="shared" si="2"/>
        <v>0</v>
      </c>
      <c r="K19" s="87"/>
      <c r="L19" s="43"/>
    </row>
    <row r="20" spans="1:13" ht="19.95" customHeight="1">
      <c r="A20" s="458" t="s">
        <v>565</v>
      </c>
      <c r="B20" s="460"/>
      <c r="C20" s="44"/>
      <c r="D20" s="44"/>
      <c r="E20" s="44"/>
      <c r="F20" s="44"/>
      <c r="G20" s="44"/>
      <c r="H20" s="456">
        <f t="shared" si="1"/>
        <v>0</v>
      </c>
      <c r="I20" s="456">
        <f>'明细表J1-2 '!K20</f>
        <v>0</v>
      </c>
      <c r="J20" s="455">
        <f t="shared" si="2"/>
        <v>0</v>
      </c>
      <c r="K20" s="87"/>
      <c r="L20" s="43"/>
    </row>
    <row r="21" spans="1:13" ht="19.95" customHeight="1">
      <c r="A21" s="458" t="s">
        <v>566</v>
      </c>
      <c r="B21" s="460"/>
      <c r="C21" s="44"/>
      <c r="D21" s="44"/>
      <c r="E21" s="44"/>
      <c r="F21" s="44"/>
      <c r="G21" s="44"/>
      <c r="H21" s="456">
        <f t="shared" si="1"/>
        <v>0</v>
      </c>
      <c r="I21" s="456">
        <f>'明细表J1-2 '!K25</f>
        <v>0</v>
      </c>
      <c r="J21" s="455">
        <f t="shared" si="2"/>
        <v>0</v>
      </c>
      <c r="K21" s="87"/>
      <c r="L21" s="43"/>
    </row>
    <row r="22" spans="1:13" ht="19.95" customHeight="1">
      <c r="A22" s="458" t="s">
        <v>567</v>
      </c>
      <c r="B22" s="460"/>
      <c r="C22" s="44"/>
      <c r="D22" s="44"/>
      <c r="E22" s="44"/>
      <c r="F22" s="44"/>
      <c r="G22" s="44"/>
      <c r="H22" s="456">
        <f t="shared" si="1"/>
        <v>0</v>
      </c>
      <c r="I22" s="456">
        <f>'明细表J1-2 '!K26</f>
        <v>0</v>
      </c>
      <c r="J22" s="455">
        <f t="shared" si="2"/>
        <v>0</v>
      </c>
      <c r="K22" s="87"/>
      <c r="L22" s="43"/>
    </row>
    <row r="23" spans="1:13" ht="19.95" customHeight="1">
      <c r="A23" s="458" t="s">
        <v>568</v>
      </c>
      <c r="B23" s="460"/>
      <c r="C23" s="44"/>
      <c r="D23" s="44"/>
      <c r="E23" s="44"/>
      <c r="F23" s="44"/>
      <c r="G23" s="44"/>
      <c r="H23" s="456">
        <f t="shared" si="1"/>
        <v>0</v>
      </c>
      <c r="I23" s="456">
        <f>'明细表J1-2 '!K27</f>
        <v>0</v>
      </c>
      <c r="J23" s="455">
        <f t="shared" si="2"/>
        <v>0</v>
      </c>
      <c r="K23" s="87"/>
      <c r="L23" s="43"/>
    </row>
    <row r="24" spans="1:13" ht="19.95" customHeight="1">
      <c r="A24" s="458" t="s">
        <v>569</v>
      </c>
      <c r="B24" s="460"/>
      <c r="C24" s="44"/>
      <c r="D24" s="44"/>
      <c r="E24" s="44"/>
      <c r="F24" s="44"/>
      <c r="G24" s="44"/>
      <c r="H24" s="456">
        <f t="shared" si="1"/>
        <v>0</v>
      </c>
      <c r="I24" s="456">
        <f>'明细表J1-2 '!K28</f>
        <v>0</v>
      </c>
      <c r="J24" s="455">
        <f t="shared" si="2"/>
        <v>0</v>
      </c>
      <c r="K24" s="87"/>
      <c r="L24" s="43"/>
    </row>
    <row r="25" spans="1:13" ht="19.95" customHeight="1">
      <c r="A25" s="458" t="s">
        <v>570</v>
      </c>
      <c r="B25" s="460"/>
      <c r="C25" s="44"/>
      <c r="D25" s="44"/>
      <c r="E25" s="44"/>
      <c r="F25" s="44"/>
      <c r="G25" s="44"/>
      <c r="H25" s="456">
        <f t="shared" si="1"/>
        <v>0</v>
      </c>
      <c r="I25" s="456">
        <f>'明细表J1-2 '!K29</f>
        <v>0</v>
      </c>
      <c r="J25" s="455">
        <f t="shared" si="2"/>
        <v>0</v>
      </c>
      <c r="K25" s="87"/>
      <c r="L25" s="43"/>
    </row>
    <row r="26" spans="1:13" ht="19.95" customHeight="1">
      <c r="A26" s="458" t="s">
        <v>571</v>
      </c>
      <c r="B26" s="460"/>
      <c r="C26" s="44"/>
      <c r="D26" s="44"/>
      <c r="E26" s="44"/>
      <c r="F26" s="44"/>
      <c r="G26" s="44"/>
      <c r="H26" s="456">
        <f t="shared" si="1"/>
        <v>0</v>
      </c>
      <c r="I26" s="456">
        <f>'明细表J1-2 '!K30</f>
        <v>0</v>
      </c>
      <c r="J26" s="455">
        <f t="shared" si="2"/>
        <v>0</v>
      </c>
      <c r="K26" s="87"/>
      <c r="L26" s="43"/>
    </row>
    <row r="27" spans="1:13" ht="33.6" customHeight="1">
      <c r="A27" s="783" t="s">
        <v>572</v>
      </c>
      <c r="B27" s="784"/>
      <c r="C27" s="457">
        <f>SUM(C28:C29)</f>
        <v>0</v>
      </c>
      <c r="D27" s="457">
        <f t="shared" ref="D27:G27" si="3">SUM(D28:D29)</f>
        <v>0</v>
      </c>
      <c r="E27" s="457">
        <f t="shared" si="3"/>
        <v>0</v>
      </c>
      <c r="F27" s="457">
        <f t="shared" si="3"/>
        <v>0</v>
      </c>
      <c r="G27" s="457">
        <f t="shared" si="3"/>
        <v>0</v>
      </c>
      <c r="H27" s="456">
        <f t="shared" si="1"/>
        <v>0</v>
      </c>
      <c r="I27" s="456">
        <f>I28+I29</f>
        <v>0</v>
      </c>
      <c r="J27" s="455">
        <f t="shared" si="2"/>
        <v>0</v>
      </c>
      <c r="K27" s="88"/>
      <c r="L27" s="43"/>
    </row>
    <row r="28" spans="1:13" ht="19.95" customHeight="1">
      <c r="A28" s="458" t="s">
        <v>17</v>
      </c>
      <c r="B28" s="458"/>
      <c r="C28" s="44"/>
      <c r="D28" s="44"/>
      <c r="E28" s="44"/>
      <c r="F28" s="44"/>
      <c r="G28" s="44"/>
      <c r="H28" s="456">
        <f t="shared" si="1"/>
        <v>0</v>
      </c>
      <c r="I28" s="456">
        <f>'明细表J1-2 '!K37</f>
        <v>0</v>
      </c>
      <c r="J28" s="455">
        <f t="shared" si="2"/>
        <v>0</v>
      </c>
      <c r="K28" s="87"/>
      <c r="L28" s="43"/>
    </row>
    <row r="29" spans="1:13" ht="19.95" customHeight="1">
      <c r="A29" s="458" t="s">
        <v>18</v>
      </c>
      <c r="B29" s="458"/>
      <c r="C29" s="44"/>
      <c r="D29" s="44"/>
      <c r="E29" s="44"/>
      <c r="F29" s="44"/>
      <c r="G29" s="44"/>
      <c r="H29" s="456">
        <f t="shared" si="1"/>
        <v>0</v>
      </c>
      <c r="I29" s="456">
        <f>'明细表J1-2 '!K42</f>
        <v>0</v>
      </c>
      <c r="J29" s="455">
        <f t="shared" si="2"/>
        <v>0</v>
      </c>
      <c r="K29" s="87"/>
      <c r="L29" s="43"/>
    </row>
    <row r="30" spans="1:13" ht="19.95" customHeight="1">
      <c r="A30" s="84" t="s">
        <v>573</v>
      </c>
      <c r="B30" s="85"/>
      <c r="C30" s="87"/>
      <c r="D30" s="87"/>
      <c r="E30" s="87"/>
      <c r="F30" s="87"/>
      <c r="G30" s="87"/>
      <c r="H30" s="456">
        <f t="shared" si="1"/>
        <v>0</v>
      </c>
      <c r="I30" s="456">
        <f>'明细表J1-2 '!K53</f>
        <v>0</v>
      </c>
      <c r="J30" s="455">
        <f t="shared" si="2"/>
        <v>0</v>
      </c>
      <c r="K30" s="88"/>
      <c r="L30" s="43"/>
    </row>
    <row r="31" spans="1:13" ht="19.95" customHeight="1">
      <c r="A31" s="84" t="s">
        <v>574</v>
      </c>
      <c r="B31" s="85"/>
      <c r="C31" s="87"/>
      <c r="D31" s="87"/>
      <c r="E31" s="87"/>
      <c r="F31" s="87"/>
      <c r="G31" s="87"/>
      <c r="H31" s="456">
        <f t="shared" si="1"/>
        <v>0</v>
      </c>
      <c r="I31" s="87"/>
      <c r="J31" s="455">
        <f t="shared" si="2"/>
        <v>0</v>
      </c>
      <c r="K31" s="88"/>
      <c r="L31" s="43"/>
    </row>
    <row r="32" spans="1:13" s="13" customFormat="1" ht="19.95" customHeight="1">
      <c r="A32" s="20" t="s">
        <v>508</v>
      </c>
      <c r="B32" s="20"/>
      <c r="C32" s="18"/>
      <c r="D32" s="18"/>
      <c r="E32" s="17"/>
      <c r="F32" s="18"/>
      <c r="G32" s="17"/>
      <c r="H32" s="39"/>
      <c r="I32" s="39"/>
      <c r="J32" s="39"/>
      <c r="K32" s="39"/>
      <c r="L32" s="39"/>
    </row>
    <row r="33" spans="1:12" s="13" customFormat="1" ht="19.95" customHeight="1">
      <c r="A33" s="20"/>
      <c r="B33" s="39"/>
      <c r="C33" s="18"/>
      <c r="D33" s="18"/>
      <c r="E33" s="17"/>
      <c r="F33" s="18"/>
      <c r="G33" s="17"/>
      <c r="H33" s="39"/>
      <c r="I33" s="39"/>
      <c r="J33" s="39"/>
      <c r="K33" s="39"/>
      <c r="L33" s="39"/>
    </row>
    <row r="34" spans="1:12" s="13" customFormat="1" ht="19.95" customHeight="1">
      <c r="A34" s="39"/>
      <c r="B34" s="39"/>
      <c r="C34" s="18"/>
      <c r="D34" s="18"/>
      <c r="E34" s="17"/>
      <c r="F34" s="18"/>
      <c r="G34" s="17"/>
      <c r="H34" s="39"/>
      <c r="I34" s="39"/>
      <c r="J34" s="39"/>
      <c r="K34" s="39"/>
      <c r="L34" s="39"/>
    </row>
    <row r="35" spans="1:12" s="13" customFormat="1" ht="19.95" customHeight="1">
      <c r="A35" s="48" t="s">
        <v>509</v>
      </c>
      <c r="B35" s="40"/>
      <c r="C35" s="18"/>
      <c r="D35" s="24"/>
      <c r="E35" s="23"/>
      <c r="F35" s="22"/>
      <c r="G35" s="22"/>
      <c r="H35" s="22"/>
      <c r="I35" s="22"/>
      <c r="J35" s="22"/>
      <c r="K35" s="22"/>
    </row>
    <row r="36" spans="1:12" s="13" customFormat="1" ht="19.95" customHeight="1">
      <c r="A36" s="20"/>
      <c r="B36" s="20"/>
      <c r="C36" s="20"/>
      <c r="D36" s="20"/>
      <c r="E36" s="20"/>
      <c r="F36" s="20"/>
      <c r="G36" s="20"/>
      <c r="H36" s="20"/>
      <c r="I36" s="20"/>
      <c r="J36" s="20"/>
      <c r="K36" s="20"/>
    </row>
    <row r="37" spans="1:12" s="13" customFormat="1" ht="15" customHeight="1">
      <c r="A37" s="451" t="s">
        <v>1189</v>
      </c>
    </row>
    <row r="38" spans="1:12" s="13" customFormat="1" ht="15" customHeight="1">
      <c r="A38" s="489" t="s">
        <v>1192</v>
      </c>
    </row>
    <row r="39" spans="1:12" s="13" customFormat="1" ht="15" customHeight="1">
      <c r="A39" s="489" t="s">
        <v>1190</v>
      </c>
    </row>
    <row r="40" spans="1:12" s="13" customFormat="1" ht="15" customHeight="1">
      <c r="A40" s="489" t="s">
        <v>1191</v>
      </c>
    </row>
    <row r="41" spans="1:12" s="13" customFormat="1" ht="15" customHeight="1">
      <c r="A41" s="489" t="s">
        <v>1193</v>
      </c>
    </row>
    <row r="42" spans="1:12" s="13" customFormat="1" ht="15" customHeight="1">
      <c r="A42" s="489" t="s">
        <v>1194</v>
      </c>
    </row>
    <row r="43" spans="1:12" s="13" customFormat="1" ht="15" customHeight="1">
      <c r="A43" s="489" t="s">
        <v>1195</v>
      </c>
    </row>
    <row r="44" spans="1:12" s="13" customFormat="1" ht="15" customHeight="1">
      <c r="A44" s="489" t="s">
        <v>1196</v>
      </c>
      <c r="B44" s="16"/>
      <c r="C44" s="16"/>
      <c r="D44" s="16"/>
      <c r="E44" s="16"/>
      <c r="F44" s="16"/>
      <c r="G44" s="16"/>
      <c r="H44" s="16"/>
      <c r="I44" s="16"/>
      <c r="J44" s="16"/>
      <c r="K44" s="16"/>
    </row>
    <row r="45" spans="1:12" s="13" customFormat="1" ht="15" customHeight="1">
      <c r="A45" s="489" t="s">
        <v>1197</v>
      </c>
      <c r="B45" s="15"/>
      <c r="C45" s="15"/>
    </row>
    <row r="46" spans="1:12" s="13" customFormat="1" ht="15" customHeight="1">
      <c r="A46" s="15"/>
      <c r="B46" s="15"/>
      <c r="C46" s="15"/>
    </row>
    <row r="47" spans="1:12" s="13" customFormat="1" ht="15" customHeight="1">
      <c r="A47" s="15"/>
      <c r="B47" s="15"/>
      <c r="C47" s="15"/>
    </row>
    <row r="48" spans="1:12" s="13" customFormat="1" ht="15" customHeight="1">
      <c r="A48" s="14"/>
      <c r="B48" s="14"/>
      <c r="C48" s="14"/>
    </row>
    <row r="49" s="13" customFormat="1" ht="15" customHeight="1"/>
    <row r="50" s="13" customFormat="1" ht="15" customHeight="1"/>
    <row r="51" s="13" customFormat="1" ht="15" customHeight="1"/>
  </sheetData>
  <mergeCells count="5">
    <mergeCell ref="A27:B27"/>
    <mergeCell ref="A1:L1"/>
    <mergeCell ref="A2:L2"/>
    <mergeCell ref="A17:B17"/>
    <mergeCell ref="A16:B16"/>
  </mergeCells>
  <phoneticPr fontId="44" type="noConversion"/>
  <hyperlinks>
    <hyperlink ref="L3" location="底稿目录!A1" display="J1-7"/>
  </hyperlinks>
  <pageMargins left="0.70866141732283472" right="0.70866141732283472" top="0.74803149606299213" bottom="0.74803149606299213" header="0.31496062992125984" footer="0.31496062992125984"/>
  <pageSetup paperSize="9" scale="68" fitToHeight="100" orientation="landscape" blackAndWhite="1" r:id="rId1"/>
  <headerFooter>
    <oddFooter>&amp;C&amp;P/&amp;N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P58"/>
  <sheetViews>
    <sheetView view="pageBreakPreview" zoomScaleSheetLayoutView="100" workbookViewId="0">
      <selection sqref="A1:O1"/>
    </sheetView>
  </sheetViews>
  <sheetFormatPr defaultColWidth="9" defaultRowHeight="15" customHeight="1"/>
  <cols>
    <col min="1" max="1" width="16.21875" style="13" customWidth="1"/>
    <col min="2" max="2" width="10" style="13" customWidth="1"/>
    <col min="3" max="3" width="11" style="13" customWidth="1"/>
    <col min="4" max="4" width="14.33203125" style="13" customWidth="1"/>
    <col min="5" max="5" width="13.33203125" style="13" customWidth="1"/>
    <col min="6" max="6" width="12.6640625" style="13" customWidth="1"/>
    <col min="7" max="7" width="11.77734375" style="13" customWidth="1"/>
    <col min="8" max="8" width="10.33203125" style="13" customWidth="1"/>
    <col min="9" max="9" width="9.109375" style="13" customWidth="1"/>
    <col min="10" max="10" width="11" style="13" customWidth="1"/>
    <col min="11" max="11" width="11.5546875" style="13" customWidth="1"/>
    <col min="12" max="12" width="10.5546875" style="13" customWidth="1"/>
    <col min="13" max="13" width="7.109375" style="13" customWidth="1"/>
    <col min="14" max="14" width="8.5546875" style="13" customWidth="1"/>
    <col min="15" max="15" width="9.88671875" style="13" customWidth="1"/>
    <col min="16" max="16384" width="9" style="13"/>
  </cols>
  <sheetData>
    <row r="1" spans="1:16" s="15" customFormat="1" ht="19.95" customHeight="1">
      <c r="A1" s="792" t="s">
        <v>1110</v>
      </c>
      <c r="B1" s="792"/>
      <c r="C1" s="792"/>
      <c r="D1" s="792"/>
      <c r="E1" s="792"/>
      <c r="F1" s="792"/>
      <c r="G1" s="792"/>
      <c r="H1" s="792"/>
      <c r="I1" s="792"/>
      <c r="J1" s="792"/>
      <c r="K1" s="792"/>
      <c r="L1" s="792"/>
      <c r="M1" s="792"/>
      <c r="N1" s="792"/>
      <c r="O1" s="792"/>
    </row>
    <row r="2" spans="1:16" s="36" customFormat="1" ht="19.95" customHeight="1">
      <c r="A2" s="793" t="s">
        <v>1162</v>
      </c>
      <c r="B2" s="793"/>
      <c r="C2" s="793"/>
      <c r="D2" s="793"/>
      <c r="E2" s="793"/>
      <c r="F2" s="793"/>
      <c r="G2" s="793"/>
      <c r="H2" s="793"/>
      <c r="I2" s="793"/>
      <c r="J2" s="793"/>
      <c r="K2" s="793"/>
      <c r="L2" s="793"/>
      <c r="M2" s="793"/>
      <c r="N2" s="793"/>
      <c r="O2" s="793"/>
    </row>
    <row r="3" spans="1:16" ht="19.95" customHeight="1">
      <c r="A3" s="6" t="str">
        <f>底稿目录!A2</f>
        <v>被审计单位：</v>
      </c>
      <c r="D3" s="22"/>
      <c r="E3" s="6" t="str">
        <f>底稿目录!A4</f>
        <v>编制人：</v>
      </c>
      <c r="H3" s="110"/>
      <c r="J3" s="106" t="str">
        <f>底稿目录!A5</f>
        <v>编制日期：</v>
      </c>
      <c r="N3" s="6" t="s">
        <v>474</v>
      </c>
      <c r="O3" s="533" t="str">
        <f>底稿目录!F13</f>
        <v>J1-8</v>
      </c>
    </row>
    <row r="4" spans="1:16" ht="19.95" customHeight="1">
      <c r="A4" s="6" t="str">
        <f>底稿目录!A3</f>
        <v>截止日：202X年12月31日</v>
      </c>
      <c r="D4" s="22"/>
      <c r="E4" s="6" t="str">
        <f>底稿目录!A6</f>
        <v>复核人：</v>
      </c>
      <c r="H4" s="110"/>
      <c r="J4" s="186" t="str">
        <f>底稿目录!A7</f>
        <v>复核日期：</v>
      </c>
      <c r="N4" s="536" t="s">
        <v>1308</v>
      </c>
    </row>
    <row r="5" spans="1:16" s="30" customFormat="1" ht="19.95" customHeight="1">
      <c r="A5" s="547" t="s">
        <v>476</v>
      </c>
      <c r="B5" s="35"/>
      <c r="D5" s="35"/>
      <c r="E5" s="35"/>
      <c r="F5" s="35"/>
      <c r="G5" s="35"/>
      <c r="H5" s="35"/>
      <c r="I5" s="35"/>
      <c r="J5" s="35"/>
      <c r="K5" s="35"/>
      <c r="L5" s="35"/>
    </row>
    <row r="6" spans="1:16" s="30" customFormat="1" ht="19.95" customHeight="1">
      <c r="A6" s="548" t="s">
        <v>1165</v>
      </c>
      <c r="B6" s="464"/>
      <c r="E6" s="34"/>
      <c r="F6" s="34"/>
      <c r="G6" s="34"/>
      <c r="H6" s="34"/>
      <c r="I6" s="34"/>
      <c r="J6" s="34"/>
      <c r="K6" s="34"/>
      <c r="L6" s="34"/>
      <c r="P6" s="464"/>
    </row>
    <row r="7" spans="1:16" s="30" customFormat="1" ht="19.95" customHeight="1">
      <c r="A7" s="548" t="s">
        <v>1163</v>
      </c>
      <c r="B7" s="464"/>
      <c r="E7" s="34"/>
      <c r="F7" s="34"/>
      <c r="G7" s="34"/>
      <c r="H7" s="34"/>
      <c r="I7" s="34"/>
      <c r="J7" s="34"/>
      <c r="K7" s="34"/>
      <c r="L7" s="34"/>
    </row>
    <row r="8" spans="1:16" s="30" customFormat="1" ht="19.95" customHeight="1">
      <c r="A8" s="548" t="s">
        <v>1164</v>
      </c>
      <c r="B8" s="464"/>
      <c r="E8" s="34"/>
      <c r="F8" s="34"/>
      <c r="G8" s="34"/>
      <c r="H8" s="34"/>
      <c r="I8" s="34"/>
      <c r="J8" s="34"/>
      <c r="K8" s="34"/>
      <c r="L8" s="34"/>
    </row>
    <row r="9" spans="1:16" s="30" customFormat="1" ht="19.95" customHeight="1">
      <c r="A9" s="547" t="s">
        <v>477</v>
      </c>
      <c r="B9" s="35"/>
      <c r="D9" s="35"/>
      <c r="E9" s="35"/>
      <c r="F9" s="35"/>
      <c r="G9" s="35"/>
      <c r="H9" s="35"/>
      <c r="I9" s="35"/>
      <c r="J9" s="35"/>
      <c r="K9" s="35"/>
      <c r="L9" s="35"/>
    </row>
    <row r="10" spans="1:16" s="30" customFormat="1" ht="19.95" customHeight="1">
      <c r="A10" s="548" t="s">
        <v>478</v>
      </c>
      <c r="D10" s="34"/>
      <c r="E10" s="34"/>
      <c r="F10" s="34"/>
      <c r="G10" s="34"/>
      <c r="H10" s="34"/>
      <c r="I10" s="34"/>
      <c r="J10" s="34"/>
      <c r="K10" s="34"/>
      <c r="L10" s="34"/>
    </row>
    <row r="11" spans="1:16" s="30" customFormat="1" ht="19.95" customHeight="1">
      <c r="A11" s="549" t="s">
        <v>479</v>
      </c>
      <c r="C11" s="187"/>
      <c r="D11" s="33"/>
      <c r="E11" s="33"/>
      <c r="F11" s="32"/>
      <c r="G11" s="31"/>
    </row>
    <row r="12" spans="1:16" s="30" customFormat="1" ht="19.95" customHeight="1">
      <c r="A12" s="502" t="s">
        <v>1266</v>
      </c>
      <c r="C12" s="187"/>
      <c r="D12" s="33"/>
      <c r="E12" s="33"/>
      <c r="F12" s="32"/>
      <c r="G12" s="31"/>
    </row>
    <row r="13" spans="1:16" s="30" customFormat="1" ht="19.95" customHeight="1">
      <c r="A13" s="549" t="s">
        <v>1334</v>
      </c>
      <c r="C13" s="187"/>
      <c r="D13" s="33"/>
      <c r="E13" s="33"/>
      <c r="F13" s="32"/>
      <c r="G13" s="31"/>
      <c r="P13" s="464"/>
    </row>
    <row r="14" spans="1:16" s="30" customFormat="1" ht="19.95" customHeight="1">
      <c r="A14" s="789" t="s">
        <v>1172</v>
      </c>
      <c r="B14" s="789"/>
      <c r="C14" s="789"/>
      <c r="D14" s="789"/>
      <c r="E14" s="789"/>
      <c r="F14" s="789"/>
      <c r="G14" s="789"/>
      <c r="H14" s="797" t="s">
        <v>1338</v>
      </c>
      <c r="I14" s="798"/>
      <c r="J14" s="799"/>
      <c r="K14" s="790" t="s">
        <v>34</v>
      </c>
      <c r="L14" s="788" t="s">
        <v>1179</v>
      </c>
      <c r="M14" s="794" t="s">
        <v>1180</v>
      </c>
      <c r="N14" s="795"/>
      <c r="O14" s="796"/>
      <c r="P14" s="464"/>
    </row>
    <row r="15" spans="1:16" ht="19.95" customHeight="1">
      <c r="A15" s="557" t="s">
        <v>1171</v>
      </c>
      <c r="B15" s="557" t="s">
        <v>1166</v>
      </c>
      <c r="C15" s="557" t="s">
        <v>1153</v>
      </c>
      <c r="D15" s="557" t="s">
        <v>1167</v>
      </c>
      <c r="E15" s="557" t="s">
        <v>1168</v>
      </c>
      <c r="F15" s="557" t="s">
        <v>1169</v>
      </c>
      <c r="G15" s="557" t="s">
        <v>1337</v>
      </c>
      <c r="H15" s="556" t="s">
        <v>1339</v>
      </c>
      <c r="I15" s="556" t="s">
        <v>1340</v>
      </c>
      <c r="J15" s="556" t="s">
        <v>1322</v>
      </c>
      <c r="K15" s="790"/>
      <c r="L15" s="788"/>
      <c r="M15" s="794"/>
      <c r="N15" s="795"/>
      <c r="O15" s="796"/>
    </row>
    <row r="16" spans="1:16" ht="19.95" customHeight="1">
      <c r="A16" s="503" t="s">
        <v>1268</v>
      </c>
      <c r="B16" s="468"/>
      <c r="C16" s="99"/>
      <c r="D16" s="470"/>
      <c r="E16" s="470"/>
      <c r="F16" s="471"/>
      <c r="G16" s="258"/>
      <c r="H16" s="468"/>
      <c r="I16" s="474"/>
      <c r="J16" s="468"/>
      <c r="K16" s="472"/>
      <c r="L16" s="476"/>
      <c r="M16" s="559"/>
      <c r="N16" s="561"/>
      <c r="O16" s="562"/>
    </row>
    <row r="17" spans="1:16" ht="19.95" customHeight="1">
      <c r="A17" s="95" t="s">
        <v>480</v>
      </c>
      <c r="B17" s="468"/>
      <c r="C17" s="99"/>
      <c r="D17" s="469"/>
      <c r="E17" s="469"/>
      <c r="F17" s="473"/>
      <c r="G17" s="258"/>
      <c r="H17" s="468"/>
      <c r="I17" s="475"/>
      <c r="J17" s="468"/>
      <c r="K17" s="99"/>
      <c r="L17" s="476"/>
      <c r="M17" s="560"/>
      <c r="N17" s="561"/>
      <c r="O17" s="563"/>
    </row>
    <row r="18" spans="1:16" ht="19.95" customHeight="1">
      <c r="A18" s="95" t="s">
        <v>34</v>
      </c>
      <c r="B18" s="468"/>
      <c r="C18" s="99"/>
      <c r="D18" s="469"/>
      <c r="E18" s="469"/>
      <c r="F18" s="473"/>
      <c r="G18" s="258"/>
      <c r="H18" s="468"/>
      <c r="I18" s="475"/>
      <c r="J18" s="468"/>
      <c r="K18" s="99"/>
      <c r="L18" s="476"/>
      <c r="M18" s="560"/>
      <c r="N18" s="561"/>
      <c r="O18" s="563"/>
    </row>
    <row r="19" spans="1:16" ht="19.95" customHeight="1">
      <c r="A19" s="95"/>
      <c r="B19" s="468"/>
      <c r="C19" s="99"/>
      <c r="D19" s="469"/>
      <c r="E19" s="469"/>
      <c r="F19" s="473"/>
      <c r="G19" s="258"/>
      <c r="H19" s="468"/>
      <c r="I19" s="475"/>
      <c r="J19" s="468"/>
      <c r="K19" s="99"/>
      <c r="L19" s="476"/>
      <c r="M19" s="560"/>
      <c r="N19" s="561"/>
      <c r="O19" s="563"/>
    </row>
    <row r="20" spans="1:16" ht="19.95" customHeight="1">
      <c r="A20" s="95"/>
      <c r="B20" s="468"/>
      <c r="C20" s="99"/>
      <c r="D20" s="469"/>
      <c r="E20" s="469"/>
      <c r="F20" s="473"/>
      <c r="G20" s="258"/>
      <c r="H20" s="468"/>
      <c r="I20" s="475"/>
      <c r="J20" s="468"/>
      <c r="K20" s="99"/>
      <c r="L20" s="476"/>
      <c r="M20" s="560"/>
      <c r="N20" s="561"/>
      <c r="O20" s="563"/>
    </row>
    <row r="21" spans="1:16" ht="19.95" customHeight="1">
      <c r="A21" s="95"/>
      <c r="B21" s="468"/>
      <c r="C21" s="99"/>
      <c r="D21" s="469"/>
      <c r="E21" s="469"/>
      <c r="F21" s="473"/>
      <c r="G21" s="258"/>
      <c r="H21" s="468"/>
      <c r="I21" s="475"/>
      <c r="J21" s="468"/>
      <c r="K21" s="99"/>
      <c r="L21" s="476"/>
      <c r="M21" s="560"/>
      <c r="N21" s="561"/>
      <c r="O21" s="563"/>
    </row>
    <row r="22" spans="1:16" ht="19.95" customHeight="1">
      <c r="A22" s="95"/>
      <c r="B22" s="468"/>
      <c r="C22" s="99"/>
      <c r="D22" s="469"/>
      <c r="E22" s="469"/>
      <c r="F22" s="473"/>
      <c r="G22" s="258"/>
      <c r="H22" s="468"/>
      <c r="I22" s="475"/>
      <c r="J22" s="468"/>
      <c r="K22" s="99"/>
      <c r="L22" s="476"/>
      <c r="M22" s="560"/>
      <c r="N22" s="561"/>
      <c r="O22" s="563"/>
    </row>
    <row r="23" spans="1:16" s="580" customFormat="1" ht="19.95" customHeight="1">
      <c r="A23" s="564" t="s">
        <v>1356</v>
      </c>
      <c r="B23" s="572"/>
      <c r="C23" s="573"/>
      <c r="D23" s="574"/>
      <c r="E23" s="574"/>
      <c r="F23" s="575"/>
      <c r="G23" s="576">
        <f>SUM(G16:G22)</f>
        <v>0</v>
      </c>
      <c r="H23" s="572"/>
      <c r="I23" s="576">
        <f>SUM(I16:I22)</f>
        <v>0</v>
      </c>
      <c r="J23" s="572"/>
      <c r="K23" s="573"/>
      <c r="L23" s="457"/>
      <c r="M23" s="577"/>
      <c r="N23" s="578"/>
      <c r="O23" s="579"/>
    </row>
    <row r="24" spans="1:16" s="30" customFormat="1" ht="19.95" customHeight="1">
      <c r="A24" s="549" t="s">
        <v>1335</v>
      </c>
      <c r="C24" s="187"/>
      <c r="D24" s="33"/>
      <c r="E24" s="33"/>
      <c r="F24" s="32"/>
      <c r="G24" s="31"/>
      <c r="P24" s="464"/>
    </row>
    <row r="25" spans="1:16" s="30" customFormat="1" ht="19.95" customHeight="1">
      <c r="A25" s="789" t="s">
        <v>1172</v>
      </c>
      <c r="B25" s="789"/>
      <c r="C25" s="789"/>
      <c r="D25" s="789"/>
      <c r="E25" s="789"/>
      <c r="F25" s="789"/>
      <c r="G25" s="789"/>
      <c r="H25" s="790" t="s">
        <v>1173</v>
      </c>
      <c r="I25" s="790"/>
      <c r="J25" s="791" t="s">
        <v>1175</v>
      </c>
      <c r="K25" s="791"/>
      <c r="L25" s="791"/>
      <c r="M25" s="790" t="s">
        <v>34</v>
      </c>
      <c r="N25" s="788" t="s">
        <v>1179</v>
      </c>
      <c r="O25" s="788" t="s">
        <v>1180</v>
      </c>
      <c r="P25" s="464"/>
    </row>
    <row r="26" spans="1:16" ht="19.95" customHeight="1">
      <c r="A26" s="557" t="s">
        <v>1171</v>
      </c>
      <c r="B26" s="557" t="s">
        <v>1166</v>
      </c>
      <c r="C26" s="557" t="s">
        <v>1153</v>
      </c>
      <c r="D26" s="557" t="s">
        <v>1167</v>
      </c>
      <c r="E26" s="557" t="s">
        <v>1168</v>
      </c>
      <c r="F26" s="557" t="s">
        <v>1169</v>
      </c>
      <c r="G26" s="557" t="s">
        <v>1170</v>
      </c>
      <c r="H26" s="556" t="s">
        <v>1174</v>
      </c>
      <c r="I26" s="556" t="s">
        <v>1322</v>
      </c>
      <c r="J26" s="467" t="s">
        <v>1176</v>
      </c>
      <c r="K26" s="467" t="s">
        <v>1178</v>
      </c>
      <c r="L26" s="467" t="s">
        <v>1177</v>
      </c>
      <c r="M26" s="790"/>
      <c r="N26" s="788"/>
      <c r="O26" s="788"/>
    </row>
    <row r="27" spans="1:16" ht="19.95" customHeight="1">
      <c r="A27" s="503" t="s">
        <v>1268</v>
      </c>
      <c r="B27" s="468"/>
      <c r="C27" s="99"/>
      <c r="D27" s="470"/>
      <c r="E27" s="470"/>
      <c r="F27" s="471"/>
      <c r="G27" s="258"/>
      <c r="H27" s="468"/>
      <c r="I27" s="474"/>
      <c r="J27" s="468"/>
      <c r="K27" s="472"/>
      <c r="L27" s="476"/>
      <c r="M27" s="472"/>
      <c r="N27" s="99"/>
      <c r="O27" s="477"/>
    </row>
    <row r="28" spans="1:16" ht="19.95" customHeight="1">
      <c r="A28" s="95" t="s">
        <v>480</v>
      </c>
      <c r="B28" s="468"/>
      <c r="C28" s="99"/>
      <c r="D28" s="469"/>
      <c r="E28" s="469"/>
      <c r="F28" s="473"/>
      <c r="G28" s="258"/>
      <c r="H28" s="468"/>
      <c r="I28" s="475"/>
      <c r="J28" s="468"/>
      <c r="K28" s="99"/>
      <c r="L28" s="476"/>
      <c r="M28" s="99"/>
      <c r="N28" s="99"/>
      <c r="O28" s="478"/>
    </row>
    <row r="29" spans="1:16" ht="19.95" customHeight="1">
      <c r="A29" s="95" t="s">
        <v>34</v>
      </c>
      <c r="B29" s="468"/>
      <c r="C29" s="99"/>
      <c r="D29" s="469"/>
      <c r="E29" s="469"/>
      <c r="F29" s="473"/>
      <c r="G29" s="258"/>
      <c r="H29" s="468"/>
      <c r="I29" s="475"/>
      <c r="J29" s="468"/>
      <c r="K29" s="99"/>
      <c r="L29" s="476"/>
      <c r="M29" s="99"/>
      <c r="N29" s="99"/>
      <c r="O29" s="478"/>
    </row>
    <row r="30" spans="1:16" ht="19.95" customHeight="1">
      <c r="A30" s="95"/>
      <c r="B30" s="468"/>
      <c r="C30" s="99"/>
      <c r="D30" s="469"/>
      <c r="E30" s="469"/>
      <c r="F30" s="473"/>
      <c r="G30" s="258"/>
      <c r="H30" s="468"/>
      <c r="I30" s="475"/>
      <c r="J30" s="468"/>
      <c r="K30" s="99"/>
      <c r="L30" s="476"/>
      <c r="M30" s="99"/>
      <c r="N30" s="99"/>
      <c r="O30" s="478"/>
    </row>
    <row r="31" spans="1:16" ht="19.95" customHeight="1">
      <c r="A31" s="95"/>
      <c r="B31" s="468"/>
      <c r="C31" s="99"/>
      <c r="D31" s="469"/>
      <c r="E31" s="469"/>
      <c r="F31" s="473"/>
      <c r="G31" s="258"/>
      <c r="H31" s="468"/>
      <c r="I31" s="475"/>
      <c r="J31" s="468"/>
      <c r="K31" s="99"/>
      <c r="L31" s="476"/>
      <c r="M31" s="99"/>
      <c r="N31" s="99"/>
      <c r="O31" s="478"/>
    </row>
    <row r="32" spans="1:16" ht="19.95" customHeight="1">
      <c r="A32" s="95"/>
      <c r="B32" s="468"/>
      <c r="C32" s="99"/>
      <c r="D32" s="469"/>
      <c r="E32" s="469"/>
      <c r="F32" s="473"/>
      <c r="G32" s="258"/>
      <c r="H32" s="468"/>
      <c r="I32" s="475"/>
      <c r="J32" s="468"/>
      <c r="K32" s="99"/>
      <c r="L32" s="476"/>
      <c r="M32" s="99"/>
      <c r="N32" s="99"/>
      <c r="O32" s="478"/>
    </row>
    <row r="33" spans="1:16" ht="19.95" customHeight="1">
      <c r="A33" s="95"/>
      <c r="B33" s="468"/>
      <c r="C33" s="99"/>
      <c r="D33" s="469"/>
      <c r="E33" s="469"/>
      <c r="F33" s="473"/>
      <c r="G33" s="258"/>
      <c r="H33" s="468"/>
      <c r="I33" s="475"/>
      <c r="J33" s="468"/>
      <c r="K33" s="99"/>
      <c r="L33" s="476"/>
      <c r="M33" s="99"/>
      <c r="N33" s="99"/>
      <c r="O33" s="478"/>
    </row>
    <row r="34" spans="1:16" s="580" customFormat="1" ht="19.95" customHeight="1">
      <c r="A34" s="564" t="s">
        <v>1356</v>
      </c>
      <c r="B34" s="572"/>
      <c r="C34" s="573"/>
      <c r="D34" s="574"/>
      <c r="E34" s="574"/>
      <c r="F34" s="575"/>
      <c r="G34" s="576">
        <f>SUM(G27:G33)</f>
        <v>0</v>
      </c>
      <c r="H34" s="572"/>
      <c r="I34" s="581"/>
      <c r="J34" s="572"/>
      <c r="K34" s="573"/>
      <c r="L34" s="576">
        <f>SUM(L27:L33)</f>
        <v>0</v>
      </c>
      <c r="M34" s="573"/>
      <c r="N34" s="573"/>
      <c r="O34" s="582"/>
    </row>
    <row r="35" spans="1:16" ht="19.95" customHeight="1">
      <c r="A35" s="550" t="s">
        <v>1336</v>
      </c>
      <c r="B35" s="479"/>
      <c r="C35" s="480"/>
      <c r="D35" s="481"/>
      <c r="E35" s="481"/>
      <c r="F35" s="482"/>
      <c r="G35" s="483"/>
      <c r="H35" s="479"/>
      <c r="I35" s="484"/>
      <c r="J35" s="479"/>
      <c r="K35" s="480"/>
      <c r="L35" s="485"/>
      <c r="M35" s="480"/>
      <c r="N35" s="480"/>
      <c r="O35" s="486"/>
      <c r="P35" s="452" t="s">
        <v>1321</v>
      </c>
    </row>
    <row r="36" spans="1:16" ht="19.95" customHeight="1">
      <c r="A36" s="789" t="s">
        <v>1172</v>
      </c>
      <c r="B36" s="789"/>
      <c r="C36" s="789"/>
      <c r="D36" s="789"/>
      <c r="E36" s="789"/>
      <c r="F36" s="789"/>
      <c r="G36" s="789"/>
      <c r="H36" s="790" t="s">
        <v>1173</v>
      </c>
      <c r="I36" s="790"/>
      <c r="J36" s="791" t="s">
        <v>1175</v>
      </c>
      <c r="K36" s="791"/>
      <c r="L36" s="791"/>
      <c r="M36" s="790" t="s">
        <v>25</v>
      </c>
      <c r="N36" s="788" t="s">
        <v>1179</v>
      </c>
      <c r="O36" s="788" t="s">
        <v>1267</v>
      </c>
    </row>
    <row r="37" spans="1:16" ht="19.95" customHeight="1">
      <c r="A37" s="465" t="s">
        <v>1171</v>
      </c>
      <c r="B37" s="465" t="s">
        <v>1166</v>
      </c>
      <c r="C37" s="465" t="s">
        <v>1153</v>
      </c>
      <c r="D37" s="465" t="s">
        <v>1167</v>
      </c>
      <c r="E37" s="465" t="s">
        <v>1168</v>
      </c>
      <c r="F37" s="465" t="s">
        <v>1169</v>
      </c>
      <c r="G37" s="465" t="s">
        <v>1170</v>
      </c>
      <c r="H37" s="466" t="s">
        <v>1174</v>
      </c>
      <c r="I37" s="466" t="s">
        <v>1322</v>
      </c>
      <c r="J37" s="467" t="s">
        <v>1176</v>
      </c>
      <c r="K37" s="467" t="s">
        <v>1178</v>
      </c>
      <c r="L37" s="467" t="s">
        <v>1177</v>
      </c>
      <c r="M37" s="790"/>
      <c r="N37" s="788"/>
      <c r="O37" s="788"/>
    </row>
    <row r="38" spans="1:16" ht="19.95" customHeight="1">
      <c r="A38" s="503" t="s">
        <v>1268</v>
      </c>
      <c r="B38" s="468"/>
      <c r="C38" s="99"/>
      <c r="D38" s="470"/>
      <c r="E38" s="470"/>
      <c r="F38" s="471"/>
      <c r="G38" s="258"/>
      <c r="H38" s="468"/>
      <c r="I38" s="474"/>
      <c r="J38" s="468"/>
      <c r="K38" s="472"/>
      <c r="L38" s="476"/>
      <c r="M38" s="472"/>
      <c r="N38" s="99"/>
      <c r="O38" s="477"/>
    </row>
    <row r="39" spans="1:16" ht="19.95" customHeight="1">
      <c r="A39" s="95" t="s">
        <v>480</v>
      </c>
      <c r="B39" s="468"/>
      <c r="C39" s="99"/>
      <c r="D39" s="469"/>
      <c r="E39" s="469"/>
      <c r="F39" s="473"/>
      <c r="G39" s="258"/>
      <c r="H39" s="468"/>
      <c r="I39" s="475"/>
      <c r="J39" s="468"/>
      <c r="K39" s="99"/>
      <c r="L39" s="476"/>
      <c r="M39" s="99"/>
      <c r="N39" s="99"/>
      <c r="O39" s="478"/>
    </row>
    <row r="40" spans="1:16" ht="19.95" customHeight="1">
      <c r="A40" s="95" t="s">
        <v>25</v>
      </c>
      <c r="B40" s="468"/>
      <c r="C40" s="99"/>
      <c r="D40" s="469"/>
      <c r="E40" s="469"/>
      <c r="F40" s="473"/>
      <c r="G40" s="258"/>
      <c r="H40" s="468"/>
      <c r="I40" s="475"/>
      <c r="J40" s="468"/>
      <c r="K40" s="99"/>
      <c r="L40" s="476"/>
      <c r="M40" s="99"/>
      <c r="N40" s="99"/>
      <c r="O40" s="478"/>
    </row>
    <row r="41" spans="1:16" ht="19.95" customHeight="1">
      <c r="A41" s="95"/>
      <c r="B41" s="468"/>
      <c r="C41" s="99"/>
      <c r="D41" s="469"/>
      <c r="E41" s="469"/>
      <c r="F41" s="473"/>
      <c r="G41" s="258"/>
      <c r="H41" s="468"/>
      <c r="I41" s="475"/>
      <c r="J41" s="468"/>
      <c r="K41" s="99"/>
      <c r="L41" s="476"/>
      <c r="M41" s="99"/>
      <c r="N41" s="99"/>
      <c r="O41" s="478"/>
    </row>
    <row r="42" spans="1:16" ht="19.95" customHeight="1">
      <c r="A42" s="95"/>
      <c r="B42" s="468"/>
      <c r="C42" s="99"/>
      <c r="D42" s="469"/>
      <c r="E42" s="469"/>
      <c r="F42" s="473"/>
      <c r="G42" s="258"/>
      <c r="H42" s="468"/>
      <c r="I42" s="475"/>
      <c r="J42" s="468"/>
      <c r="K42" s="99"/>
      <c r="L42" s="476"/>
      <c r="M42" s="99"/>
      <c r="N42" s="99"/>
      <c r="O42" s="478"/>
    </row>
    <row r="43" spans="1:16" s="580" customFormat="1" ht="19.95" customHeight="1">
      <c r="A43" s="564" t="s">
        <v>1356</v>
      </c>
      <c r="B43" s="572"/>
      <c r="C43" s="573"/>
      <c r="D43" s="574"/>
      <c r="E43" s="574"/>
      <c r="F43" s="575"/>
      <c r="G43" s="576">
        <f>SUM(G38:G42)</f>
        <v>0</v>
      </c>
      <c r="H43" s="572"/>
      <c r="I43" s="581"/>
      <c r="J43" s="572"/>
      <c r="K43" s="573"/>
      <c r="L43" s="576">
        <f>SUM(L38:L42)</f>
        <v>0</v>
      </c>
      <c r="M43" s="573"/>
      <c r="N43" s="573"/>
      <c r="O43" s="582"/>
    </row>
    <row r="44" spans="1:16" ht="19.95" customHeight="1">
      <c r="A44" s="187" t="s">
        <v>481</v>
      </c>
      <c r="C44" s="187"/>
      <c r="H44" s="15"/>
      <c r="I44" s="504"/>
      <c r="J44" s="505"/>
      <c r="K44" s="505"/>
      <c r="L44" s="505"/>
      <c r="M44" s="505"/>
      <c r="N44" s="22"/>
    </row>
    <row r="45" spans="1:16" ht="19.95" customHeight="1">
      <c r="A45" s="13" t="s">
        <v>1357</v>
      </c>
      <c r="C45" s="583"/>
      <c r="D45" s="584" t="s">
        <v>1358</v>
      </c>
      <c r="E45" s="584" t="s">
        <v>1359</v>
      </c>
      <c r="F45" s="584" t="s">
        <v>1360</v>
      </c>
      <c r="G45" s="584" t="s">
        <v>1361</v>
      </c>
      <c r="H45" s="585" t="s">
        <v>1362</v>
      </c>
      <c r="I45" s="504"/>
      <c r="J45" s="505"/>
      <c r="K45" s="505"/>
      <c r="L45" s="505"/>
      <c r="M45" s="505"/>
      <c r="N45" s="22"/>
    </row>
    <row r="46" spans="1:16" ht="19.95" customHeight="1">
      <c r="A46" s="15"/>
      <c r="B46" s="15"/>
      <c r="C46" s="583"/>
      <c r="D46" s="584" t="s">
        <v>1365</v>
      </c>
      <c r="E46" s="476">
        <f>'明细表J1-2 '!K33</f>
        <v>0</v>
      </c>
      <c r="F46" s="476">
        <f>G23</f>
        <v>0</v>
      </c>
      <c r="G46" s="586" t="e">
        <f>ROUND(F46/E46,4)</f>
        <v>#DIV/0!</v>
      </c>
      <c r="H46" s="587"/>
      <c r="I46" s="504"/>
      <c r="J46" s="505"/>
      <c r="K46" s="505"/>
      <c r="L46" s="505"/>
      <c r="M46" s="505"/>
      <c r="N46" s="22"/>
    </row>
    <row r="47" spans="1:16" ht="19.95" customHeight="1">
      <c r="A47" s="15"/>
      <c r="B47" s="15"/>
      <c r="C47" s="583"/>
      <c r="D47" s="584" t="s">
        <v>1363</v>
      </c>
      <c r="E47" s="476">
        <f>'明细表J1-2 '!L33</f>
        <v>0</v>
      </c>
      <c r="F47" s="476">
        <f>G34</f>
        <v>0</v>
      </c>
      <c r="G47" s="586" t="e">
        <f>ROUND(F47/E47,2)</f>
        <v>#DIV/0!</v>
      </c>
      <c r="H47" s="587"/>
      <c r="I47" s="504"/>
      <c r="J47" s="505"/>
      <c r="K47" s="505"/>
      <c r="L47" s="505"/>
      <c r="M47" s="505"/>
      <c r="N47" s="22"/>
    </row>
    <row r="48" spans="1:16" ht="19.95" customHeight="1">
      <c r="A48" s="588" t="s">
        <v>1364</v>
      </c>
      <c r="B48" s="15"/>
      <c r="C48" s="583"/>
      <c r="D48" s="589"/>
      <c r="E48" s="590"/>
      <c r="F48" s="590"/>
      <c r="G48" s="591"/>
      <c r="H48" s="587"/>
      <c r="I48" s="506"/>
      <c r="J48" s="507"/>
      <c r="K48" s="461"/>
      <c r="L48" s="506"/>
      <c r="M48" s="505"/>
      <c r="N48" s="22"/>
    </row>
    <row r="49" spans="1:14" s="15" customFormat="1" ht="19.95" customHeight="1">
      <c r="F49" s="487"/>
      <c r="I49" s="506"/>
      <c r="J49" s="508"/>
      <c r="K49" s="504"/>
      <c r="L49" s="506"/>
      <c r="M49" s="509"/>
      <c r="N49" s="20"/>
    </row>
    <row r="50" spans="1:14" ht="19.95" customHeight="1">
      <c r="A50" s="15" t="s">
        <v>482</v>
      </c>
      <c r="B50" s="461"/>
      <c r="C50" s="15"/>
      <c r="I50" s="506"/>
      <c r="J50" s="510"/>
      <c r="K50" s="510"/>
      <c r="L50" s="510"/>
      <c r="M50" s="510"/>
      <c r="N50" s="22"/>
    </row>
    <row r="51" spans="1:14" ht="19.95" customHeight="1">
      <c r="A51" s="22"/>
      <c r="B51" s="39"/>
      <c r="C51" s="39"/>
      <c r="E51" s="22"/>
      <c r="F51" s="22"/>
      <c r="G51" s="22"/>
      <c r="H51" s="22"/>
      <c r="I51" s="22"/>
      <c r="J51" s="22"/>
      <c r="K51" s="22"/>
      <c r="L51" s="22"/>
      <c r="M51" s="22"/>
      <c r="N51" s="22"/>
    </row>
    <row r="52" spans="1:14" ht="15" customHeight="1">
      <c r="B52" s="188"/>
      <c r="C52" s="188"/>
    </row>
    <row r="53" spans="1:14" ht="15" customHeight="1">
      <c r="B53" s="29"/>
      <c r="C53" s="29"/>
      <c r="D53" s="29"/>
    </row>
    <row r="54" spans="1:14" ht="15" customHeight="1">
      <c r="B54" s="28"/>
      <c r="C54" s="28"/>
      <c r="D54" s="28"/>
    </row>
    <row r="55" spans="1:14" ht="15" customHeight="1">
      <c r="B55" s="189"/>
      <c r="C55" s="189"/>
      <c r="D55" s="28"/>
    </row>
    <row r="56" spans="1:14" ht="15" customHeight="1">
      <c r="B56" s="262"/>
      <c r="C56" s="28"/>
    </row>
    <row r="57" spans="1:14" ht="15" customHeight="1">
      <c r="B57" s="262"/>
      <c r="C57" s="28"/>
    </row>
    <row r="58" spans="1:14" ht="15" customHeight="1">
      <c r="B58" s="262"/>
      <c r="C58" s="28"/>
    </row>
  </sheetData>
  <mergeCells count="21">
    <mergeCell ref="L14:L15"/>
    <mergeCell ref="H25:I25"/>
    <mergeCell ref="A1:O1"/>
    <mergeCell ref="A2:O2"/>
    <mergeCell ref="O25:O26"/>
    <mergeCell ref="A25:G25"/>
    <mergeCell ref="J25:L25"/>
    <mergeCell ref="M25:M26"/>
    <mergeCell ref="N25:N26"/>
    <mergeCell ref="A14:G14"/>
    <mergeCell ref="M14:M15"/>
    <mergeCell ref="N14:N15"/>
    <mergeCell ref="O14:O15"/>
    <mergeCell ref="H14:J14"/>
    <mergeCell ref="K14:K15"/>
    <mergeCell ref="O36:O37"/>
    <mergeCell ref="A36:G36"/>
    <mergeCell ref="H36:I36"/>
    <mergeCell ref="J36:L36"/>
    <mergeCell ref="M36:M37"/>
    <mergeCell ref="N36:N37"/>
  </mergeCells>
  <phoneticPr fontId="6" type="noConversion"/>
  <hyperlinks>
    <hyperlink ref="O3" location="底稿目录!A1" display="底稿目录!A1"/>
  </hyperlinks>
  <pageMargins left="0.70866141732283472" right="0.70866141732283472" top="0.74803149606299213" bottom="0.74803149606299213" header="0.31496062992125984" footer="0.31496062992125984"/>
  <pageSetup paperSize="9" scale="75" orientation="landscape" blackAndWhite="1" r:id="rId1"/>
  <headerFooter>
    <oddFooter>&amp;C&amp;P/&amp;N</oddFooter>
  </headerFooter>
  <rowBreaks count="1" manualBreakCount="1">
    <brk id="34" max="14" man="1"/>
  </row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M29"/>
  <sheetViews>
    <sheetView view="pageBreakPreview" zoomScaleSheetLayoutView="100" workbookViewId="0">
      <selection sqref="A1:L1"/>
    </sheetView>
  </sheetViews>
  <sheetFormatPr defaultColWidth="9" defaultRowHeight="15" customHeight="1"/>
  <cols>
    <col min="1" max="1" width="14.21875" style="96" customWidth="1"/>
    <col min="2" max="3" width="11.6640625" style="96" customWidth="1"/>
    <col min="4" max="4" width="14.21875" style="96" customWidth="1"/>
    <col min="5" max="8" width="11.6640625" style="96" customWidth="1"/>
    <col min="9" max="9" width="13.33203125" style="96" customWidth="1"/>
    <col min="10" max="10" width="11.5546875" style="96" customWidth="1"/>
    <col min="11" max="12" width="11.6640625" style="96" customWidth="1"/>
    <col min="13" max="16384" width="9" style="96"/>
  </cols>
  <sheetData>
    <row r="1" spans="1:13" ht="19.95" customHeight="1">
      <c r="A1" s="749" t="s">
        <v>1143</v>
      </c>
      <c r="B1" s="749"/>
      <c r="C1" s="749"/>
      <c r="D1" s="749"/>
      <c r="E1" s="750"/>
      <c r="F1" s="750"/>
      <c r="G1" s="750"/>
      <c r="H1" s="750"/>
      <c r="I1" s="750"/>
      <c r="J1" s="750"/>
      <c r="K1" s="750"/>
      <c r="L1" s="750"/>
    </row>
    <row r="2" spans="1:13" s="194" customFormat="1" ht="19.95" customHeight="1">
      <c r="A2" s="751" t="s">
        <v>1144</v>
      </c>
      <c r="B2" s="751"/>
      <c r="C2" s="751"/>
      <c r="D2" s="751"/>
      <c r="E2" s="802"/>
      <c r="F2" s="802"/>
      <c r="G2" s="802"/>
      <c r="H2" s="802"/>
      <c r="I2" s="802"/>
      <c r="J2" s="802"/>
      <c r="K2" s="802"/>
      <c r="L2" s="802"/>
    </row>
    <row r="3" spans="1:13" ht="19.95" customHeight="1">
      <c r="A3" s="13" t="str">
        <f>底稿目录!A2</f>
        <v>被审计单位：</v>
      </c>
      <c r="B3" s="13"/>
      <c r="C3" s="13"/>
      <c r="D3" s="13" t="str">
        <f>底稿目录!A4</f>
        <v>编制人：</v>
      </c>
      <c r="E3" s="13"/>
      <c r="G3" s="110"/>
      <c r="H3" s="110" t="str">
        <f>底稿目录!A5</f>
        <v>编制日期：</v>
      </c>
      <c r="J3" s="73"/>
      <c r="K3" s="73" t="s">
        <v>99</v>
      </c>
      <c r="L3" s="533" t="str">
        <f>底稿目录!F14</f>
        <v>J1-9</v>
      </c>
    </row>
    <row r="4" spans="1:13" ht="19.95" customHeight="1">
      <c r="A4" s="13" t="str">
        <f>底稿目录!A3</f>
        <v>截止日：202X年12月31日</v>
      </c>
      <c r="B4" s="13"/>
      <c r="C4" s="13"/>
      <c r="D4" s="13" t="str">
        <f>底稿目录!A6</f>
        <v>复核人：</v>
      </c>
      <c r="E4" s="13"/>
      <c r="G4" s="110"/>
      <c r="H4" s="110" t="str">
        <f>底稿目录!A7</f>
        <v>复核日期：</v>
      </c>
      <c r="J4" s="73"/>
      <c r="K4" s="535" t="s">
        <v>1309</v>
      </c>
      <c r="L4" s="21"/>
    </row>
    <row r="5" spans="1:13" ht="19.95" customHeight="1">
      <c r="A5" s="61" t="s">
        <v>504</v>
      </c>
      <c r="B5" s="61"/>
      <c r="C5" s="1"/>
      <c r="D5" s="1"/>
      <c r="E5" s="1"/>
      <c r="F5" s="1"/>
      <c r="G5" s="1"/>
      <c r="H5" s="1"/>
      <c r="I5" s="1"/>
      <c r="J5" s="1"/>
      <c r="K5" s="1"/>
      <c r="L5" s="1"/>
    </row>
    <row r="6" spans="1:13" ht="19.95" customHeight="1">
      <c r="A6" s="393" t="s">
        <v>1112</v>
      </c>
      <c r="B6" s="264"/>
      <c r="C6" s="1"/>
      <c r="D6" s="1"/>
      <c r="E6" s="1"/>
      <c r="F6" s="1"/>
      <c r="G6" s="1"/>
      <c r="H6" s="1"/>
      <c r="I6" s="1"/>
      <c r="J6" s="1"/>
      <c r="K6" s="1"/>
      <c r="L6" s="1"/>
    </row>
    <row r="7" spans="1:13" ht="19.95" customHeight="1">
      <c r="A7" s="394" t="s">
        <v>1113</v>
      </c>
      <c r="B7" s="264"/>
      <c r="C7" s="1"/>
      <c r="D7" s="1"/>
      <c r="E7" s="1"/>
      <c r="F7" s="1"/>
      <c r="G7" s="1"/>
      <c r="H7" s="1"/>
      <c r="I7" s="1"/>
      <c r="J7" s="1"/>
      <c r="K7" s="1"/>
      <c r="L7" s="1"/>
    </row>
    <row r="8" spans="1:13" ht="19.95" customHeight="1">
      <c r="A8" s="394" t="s">
        <v>1114</v>
      </c>
      <c r="B8" s="264"/>
      <c r="C8" s="1"/>
      <c r="D8" s="1"/>
      <c r="E8" s="1"/>
      <c r="F8" s="1"/>
      <c r="G8" s="1"/>
      <c r="H8" s="1"/>
      <c r="I8" s="1"/>
      <c r="J8" s="1"/>
      <c r="K8" s="1"/>
      <c r="L8" s="1"/>
    </row>
    <row r="9" spans="1:13" ht="19.95" customHeight="1">
      <c r="A9" s="551" t="s">
        <v>506</v>
      </c>
      <c r="B9" s="551"/>
      <c r="C9" s="552"/>
      <c r="D9" s="552"/>
      <c r="E9" s="552"/>
      <c r="F9" s="1"/>
      <c r="G9" s="1"/>
      <c r="H9" s="1"/>
      <c r="I9" s="1"/>
      <c r="J9" s="1"/>
      <c r="K9" s="1"/>
      <c r="L9" s="1"/>
      <c r="M9" s="462"/>
    </row>
    <row r="10" spans="1:13" ht="19.95" customHeight="1">
      <c r="A10" s="553" t="s">
        <v>1145</v>
      </c>
      <c r="B10" s="440"/>
      <c r="C10" s="552"/>
      <c r="D10" s="552"/>
      <c r="E10" s="552"/>
      <c r="F10" s="1"/>
      <c r="G10" s="1"/>
      <c r="H10" s="1"/>
      <c r="I10" s="1"/>
      <c r="J10" s="1"/>
      <c r="K10" s="1"/>
      <c r="L10" s="1"/>
    </row>
    <row r="11" spans="1:13" ht="19.95" customHeight="1">
      <c r="A11" s="553" t="s">
        <v>1146</v>
      </c>
      <c r="B11" s="440"/>
      <c r="C11" s="552"/>
      <c r="D11" s="552"/>
      <c r="E11" s="552"/>
      <c r="F11" s="1"/>
      <c r="G11" s="1"/>
      <c r="H11" s="1"/>
      <c r="I11" s="1"/>
      <c r="J11" s="1"/>
      <c r="K11" s="1"/>
      <c r="L11" s="1"/>
    </row>
    <row r="12" spans="1:13" ht="19.95" customHeight="1">
      <c r="A12" s="94" t="s">
        <v>548</v>
      </c>
      <c r="B12" s="89"/>
      <c r="C12" s="89"/>
      <c r="D12" s="89"/>
      <c r="E12" s="89"/>
      <c r="F12" s="89"/>
      <c r="G12" s="89"/>
      <c r="H12" s="89"/>
      <c r="I12" s="89"/>
      <c r="J12" s="89"/>
      <c r="K12" s="89"/>
      <c r="L12" s="89"/>
    </row>
    <row r="13" spans="1:13" ht="19.95" customHeight="1">
      <c r="A13" s="89"/>
      <c r="B13" s="89"/>
      <c r="C13" s="89"/>
      <c r="D13" s="89"/>
      <c r="E13" s="89"/>
      <c r="F13" s="89"/>
      <c r="G13" s="89"/>
      <c r="H13" s="89"/>
      <c r="I13" s="89"/>
      <c r="J13" s="89"/>
      <c r="K13" s="89"/>
      <c r="L13" s="89"/>
    </row>
    <row r="14" spans="1:13" ht="19.95" customHeight="1">
      <c r="A14" s="94" t="s">
        <v>549</v>
      </c>
      <c r="B14" s="89"/>
      <c r="C14" s="89"/>
      <c r="D14" s="89"/>
      <c r="E14" s="89"/>
      <c r="F14" s="89"/>
      <c r="G14" s="89"/>
      <c r="H14" s="89"/>
      <c r="I14" s="89"/>
      <c r="J14" s="89"/>
      <c r="K14" s="89"/>
      <c r="L14" s="89"/>
    </row>
    <row r="15" spans="1:13" ht="19.95" customHeight="1">
      <c r="A15" s="89"/>
      <c r="B15" s="89"/>
      <c r="C15" s="89"/>
      <c r="D15" s="89"/>
      <c r="E15" s="89"/>
      <c r="F15" s="89"/>
      <c r="G15" s="89"/>
      <c r="H15" s="89"/>
      <c r="I15" s="89"/>
      <c r="J15" s="89"/>
      <c r="K15" s="89"/>
      <c r="L15" s="89"/>
    </row>
    <row r="16" spans="1:13" ht="19.95" customHeight="1">
      <c r="A16" s="38" t="s">
        <v>550</v>
      </c>
      <c r="B16" s="1"/>
      <c r="C16" s="1"/>
      <c r="D16" s="1"/>
      <c r="E16" s="1"/>
      <c r="F16" s="1"/>
      <c r="G16" s="1"/>
      <c r="H16" s="1"/>
      <c r="I16" s="1"/>
      <c r="J16" s="1"/>
      <c r="K16" s="1"/>
      <c r="L16" s="1"/>
    </row>
    <row r="17" spans="1:12" ht="17.399999999999999" customHeight="1">
      <c r="A17" s="800" t="s">
        <v>851</v>
      </c>
      <c r="B17" s="800" t="s">
        <v>852</v>
      </c>
      <c r="C17" s="800" t="s">
        <v>849</v>
      </c>
      <c r="D17" s="800" t="s">
        <v>853</v>
      </c>
      <c r="E17" s="800" t="s">
        <v>854</v>
      </c>
      <c r="F17" s="800" t="s">
        <v>855</v>
      </c>
      <c r="G17" s="800" t="s">
        <v>856</v>
      </c>
      <c r="H17" s="801"/>
      <c r="I17" s="803" t="s">
        <v>1157</v>
      </c>
      <c r="J17" s="800" t="s">
        <v>874</v>
      </c>
      <c r="K17" s="800" t="s">
        <v>875</v>
      </c>
      <c r="L17" s="800" t="s">
        <v>868</v>
      </c>
    </row>
    <row r="18" spans="1:12" ht="17.399999999999999" customHeight="1">
      <c r="A18" s="801"/>
      <c r="B18" s="801"/>
      <c r="C18" s="801"/>
      <c r="D18" s="801"/>
      <c r="E18" s="801"/>
      <c r="F18" s="801"/>
      <c r="G18" s="323" t="s">
        <v>857</v>
      </c>
      <c r="H18" s="323" t="s">
        <v>858</v>
      </c>
      <c r="I18" s="804"/>
      <c r="J18" s="801"/>
      <c r="K18" s="801"/>
      <c r="L18" s="801"/>
    </row>
    <row r="19" spans="1:12" ht="19.95" customHeight="1">
      <c r="A19" s="330"/>
      <c r="B19" s="330"/>
      <c r="C19" s="330"/>
      <c r="D19" s="330"/>
      <c r="E19" s="330"/>
      <c r="F19" s="330"/>
      <c r="G19" s="331"/>
      <c r="H19" s="331"/>
      <c r="I19" s="331"/>
      <c r="J19" s="331"/>
      <c r="K19" s="331"/>
      <c r="L19" s="330"/>
    </row>
    <row r="20" spans="1:12" ht="19.95" customHeight="1">
      <c r="A20" s="330"/>
      <c r="B20" s="330"/>
      <c r="C20" s="330"/>
      <c r="D20" s="330"/>
      <c r="E20" s="330"/>
      <c r="F20" s="330"/>
      <c r="G20" s="331"/>
      <c r="H20" s="331"/>
      <c r="I20" s="331"/>
      <c r="J20" s="331"/>
      <c r="K20" s="331"/>
      <c r="L20" s="330"/>
    </row>
    <row r="21" spans="1:12" ht="19.95" customHeight="1">
      <c r="A21" s="330"/>
      <c r="B21" s="330"/>
      <c r="C21" s="330"/>
      <c r="D21" s="330"/>
      <c r="E21" s="330"/>
      <c r="F21" s="330"/>
      <c r="G21" s="331"/>
      <c r="H21" s="331"/>
      <c r="I21" s="331"/>
      <c r="J21" s="331"/>
      <c r="K21" s="331"/>
      <c r="L21" s="330"/>
    </row>
    <row r="22" spans="1:12" ht="19.95" customHeight="1">
      <c r="A22" s="330"/>
      <c r="B22" s="330"/>
      <c r="C22" s="330"/>
      <c r="D22" s="330"/>
      <c r="E22" s="330"/>
      <c r="F22" s="330"/>
      <c r="G22" s="331"/>
      <c r="H22" s="331"/>
      <c r="I22" s="331"/>
      <c r="J22" s="331"/>
      <c r="K22" s="331"/>
      <c r="L22" s="330"/>
    </row>
    <row r="23" spans="1:12" ht="19.95" customHeight="1">
      <c r="A23" s="330"/>
      <c r="B23" s="330"/>
      <c r="C23" s="330"/>
      <c r="D23" s="330"/>
      <c r="E23" s="330"/>
      <c r="F23" s="330"/>
      <c r="G23" s="331"/>
      <c r="H23" s="331"/>
      <c r="I23" s="331"/>
      <c r="J23" s="331"/>
      <c r="K23" s="331"/>
      <c r="L23" s="330"/>
    </row>
    <row r="24" spans="1:12" ht="19.95" customHeight="1">
      <c r="A24" s="20" t="s">
        <v>508</v>
      </c>
      <c r="B24" s="1"/>
      <c r="C24" s="1"/>
      <c r="D24" s="1"/>
      <c r="E24" s="1"/>
      <c r="F24" s="1"/>
      <c r="G24" s="1"/>
      <c r="H24" s="1"/>
      <c r="I24" s="1"/>
      <c r="J24" s="1"/>
      <c r="K24" s="1"/>
      <c r="L24" s="1"/>
    </row>
    <row r="25" spans="1:12" ht="19.95" customHeight="1">
      <c r="A25" s="20"/>
      <c r="B25" s="1"/>
      <c r="C25" s="1"/>
      <c r="D25" s="1"/>
      <c r="E25" s="1"/>
      <c r="F25" s="1"/>
      <c r="G25" s="1"/>
      <c r="H25" s="1"/>
      <c r="I25" s="1"/>
      <c r="J25" s="1"/>
      <c r="K25" s="1"/>
      <c r="L25" s="1"/>
    </row>
    <row r="26" spans="1:12" ht="19.95" customHeight="1">
      <c r="A26" s="20"/>
      <c r="B26" s="1"/>
      <c r="C26" s="1"/>
      <c r="D26" s="1"/>
      <c r="E26" s="1"/>
      <c r="F26" s="1"/>
      <c r="G26" s="1"/>
      <c r="H26" s="1"/>
      <c r="I26" s="1"/>
      <c r="J26" s="1"/>
      <c r="K26" s="1"/>
      <c r="L26" s="1"/>
    </row>
    <row r="27" spans="1:12" ht="19.95" customHeight="1">
      <c r="A27" s="48" t="s">
        <v>509</v>
      </c>
      <c r="B27" s="1"/>
      <c r="C27" s="461"/>
      <c r="D27" s="1"/>
      <c r="E27" s="1"/>
      <c r="F27" s="1"/>
      <c r="G27" s="1"/>
      <c r="H27" s="1"/>
      <c r="I27" s="1"/>
      <c r="J27" s="1"/>
      <c r="K27" s="1"/>
      <c r="L27" s="1"/>
    </row>
    <row r="28" spans="1:12" ht="19.95" customHeight="1">
      <c r="A28" s="48"/>
      <c r="B28" s="1"/>
      <c r="C28" s="1"/>
      <c r="D28" s="1"/>
      <c r="E28" s="1"/>
      <c r="F28" s="1"/>
      <c r="G28" s="1"/>
      <c r="H28" s="1"/>
      <c r="I28" s="1"/>
      <c r="J28" s="1"/>
      <c r="K28" s="1"/>
      <c r="L28" s="1"/>
    </row>
    <row r="29" spans="1:12" ht="15" customHeight="1">
      <c r="A29" s="48"/>
      <c r="B29" s="1"/>
      <c r="C29" s="1"/>
      <c r="D29" s="1"/>
      <c r="E29" s="1"/>
      <c r="F29" s="1"/>
      <c r="G29" s="1"/>
      <c r="H29" s="1"/>
      <c r="I29" s="1"/>
      <c r="J29" s="1"/>
      <c r="K29" s="1"/>
      <c r="L29" s="1"/>
    </row>
  </sheetData>
  <mergeCells count="13">
    <mergeCell ref="L17:L18"/>
    <mergeCell ref="J17:J18"/>
    <mergeCell ref="K17:K18"/>
    <mergeCell ref="A1:L1"/>
    <mergeCell ref="A2:L2"/>
    <mergeCell ref="A17:A18"/>
    <mergeCell ref="B17:B18"/>
    <mergeCell ref="C17:C18"/>
    <mergeCell ref="D17:D18"/>
    <mergeCell ref="E17:E18"/>
    <mergeCell ref="F17:F18"/>
    <mergeCell ref="G17:H17"/>
    <mergeCell ref="I17:I18"/>
  </mergeCells>
  <phoneticPr fontId="43" type="noConversion"/>
  <hyperlinks>
    <hyperlink ref="L3" location="底稿目录!A1" display="底稿目录!A1"/>
  </hyperlinks>
  <pageMargins left="0.70866141732283472" right="0.70866141732283472" top="0.74803149606299213" bottom="0.74803149606299213" header="0.31496062992125984" footer="0.31496062992125984"/>
  <pageSetup paperSize="9" scale="90" fitToHeight="0" orientation="landscape" blackAndWhite="1" r:id="rId1"/>
  <headerFoot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48"/>
  <sheetViews>
    <sheetView view="pageBreakPreview" zoomScaleSheetLayoutView="100" workbookViewId="0">
      <selection activeCell="J3" sqref="J3"/>
    </sheetView>
  </sheetViews>
  <sheetFormatPr defaultColWidth="9" defaultRowHeight="15" customHeight="1"/>
  <cols>
    <col min="1" max="1" width="6.88671875" style="1" customWidth="1"/>
    <col min="2" max="2" width="11" style="1" customWidth="1"/>
    <col min="3" max="3" width="10.21875" style="1" customWidth="1"/>
    <col min="4" max="4" width="13.88671875" style="1" customWidth="1"/>
    <col min="5" max="5" width="11.5546875" style="1" customWidth="1"/>
    <col min="6" max="6" width="13.44140625" style="1" customWidth="1"/>
    <col min="7" max="8" width="10.21875" style="1" customWidth="1"/>
    <col min="9" max="9" width="12" style="1" customWidth="1"/>
    <col min="10" max="10" width="11.88671875" style="1" customWidth="1"/>
    <col min="11" max="16384" width="9" style="1"/>
  </cols>
  <sheetData>
    <row r="1" spans="1:10" s="26" customFormat="1" ht="19.95" customHeight="1">
      <c r="A1" s="749" t="s">
        <v>1160</v>
      </c>
      <c r="B1" s="749"/>
      <c r="C1" s="749"/>
      <c r="D1" s="749"/>
      <c r="E1" s="750"/>
      <c r="F1" s="750"/>
      <c r="G1" s="750"/>
      <c r="H1" s="750"/>
      <c r="I1" s="750"/>
      <c r="J1" s="750"/>
    </row>
    <row r="2" spans="1:10" s="348" customFormat="1" ht="19.95" customHeight="1">
      <c r="A2" s="751" t="s">
        <v>1161</v>
      </c>
      <c r="B2" s="751"/>
      <c r="C2" s="751"/>
      <c r="D2" s="751"/>
      <c r="E2" s="802"/>
      <c r="F2" s="802"/>
      <c r="G2" s="802"/>
      <c r="H2" s="802"/>
      <c r="I2" s="802"/>
      <c r="J2" s="802"/>
    </row>
    <row r="3" spans="1:10" s="13" customFormat="1" ht="19.95" customHeight="1">
      <c r="A3" s="13" t="str">
        <f>底稿目录!A2</f>
        <v>被审计单位：</v>
      </c>
      <c r="D3" s="13" t="str">
        <f>底稿目录!A4</f>
        <v>编制人：</v>
      </c>
      <c r="F3" s="110" t="str">
        <f>底稿目录!A5</f>
        <v>编制日期：</v>
      </c>
      <c r="G3" s="110"/>
      <c r="I3" s="73" t="s">
        <v>99</v>
      </c>
      <c r="J3" s="533" t="str">
        <f>底稿目录!F15</f>
        <v>J1-10</v>
      </c>
    </row>
    <row r="4" spans="1:10" s="13" customFormat="1" ht="19.95" customHeight="1">
      <c r="A4" s="13" t="str">
        <f>底稿目录!A3</f>
        <v>截止日：202X年12月31日</v>
      </c>
      <c r="D4" s="13" t="str">
        <f>底稿目录!A6</f>
        <v>复核人：</v>
      </c>
      <c r="F4" s="110" t="str">
        <f>底稿目录!A7</f>
        <v>复核日期：</v>
      </c>
      <c r="G4" s="110"/>
      <c r="I4" s="535" t="s">
        <v>1308</v>
      </c>
      <c r="J4" s="534"/>
    </row>
    <row r="5" spans="1:10" ht="19.95" customHeight="1">
      <c r="A5" s="61" t="s">
        <v>504</v>
      </c>
      <c r="B5" s="61"/>
    </row>
    <row r="6" spans="1:10" ht="19.95" customHeight="1">
      <c r="A6" s="393" t="s">
        <v>1112</v>
      </c>
      <c r="B6" s="264"/>
    </row>
    <row r="7" spans="1:10" ht="19.95" customHeight="1">
      <c r="A7" s="394" t="s">
        <v>1113</v>
      </c>
      <c r="B7" s="264"/>
    </row>
    <row r="8" spans="1:10" ht="19.95" customHeight="1">
      <c r="A8" s="394" t="s">
        <v>1114</v>
      </c>
      <c r="B8" s="264"/>
    </row>
    <row r="9" spans="1:10" ht="19.95" customHeight="1">
      <c r="A9" s="64" t="s">
        <v>506</v>
      </c>
      <c r="B9" s="64"/>
    </row>
    <row r="10" spans="1:10" ht="19.95" customHeight="1">
      <c r="A10" s="265" t="s">
        <v>1147</v>
      </c>
      <c r="B10" s="70"/>
    </row>
    <row r="11" spans="1:10" ht="19.95" customHeight="1">
      <c r="A11" s="265" t="s">
        <v>1148</v>
      </c>
      <c r="B11" s="70"/>
    </row>
    <row r="12" spans="1:10" ht="19.95" customHeight="1">
      <c r="A12" s="265" t="s">
        <v>1149</v>
      </c>
      <c r="B12" s="70"/>
    </row>
    <row r="13" spans="1:10" ht="19.95" customHeight="1">
      <c r="A13" s="265" t="s">
        <v>1150</v>
      </c>
    </row>
    <row r="14" spans="1:10" ht="19.95" customHeight="1">
      <c r="A14" s="265" t="s">
        <v>1151</v>
      </c>
    </row>
    <row r="15" spans="1:10" ht="19.95" customHeight="1">
      <c r="A15" s="265" t="s">
        <v>1152</v>
      </c>
    </row>
    <row r="16" spans="1:10" s="89" customFormat="1" ht="19.95" customHeight="1">
      <c r="A16" s="94" t="s">
        <v>537</v>
      </c>
    </row>
    <row r="17" spans="1:10" s="89" customFormat="1" ht="19.95" customHeight="1"/>
    <row r="18" spans="1:10" s="89" customFormat="1" ht="19.95" customHeight="1">
      <c r="A18" s="94" t="s">
        <v>538</v>
      </c>
    </row>
    <row r="19" spans="1:10" s="89" customFormat="1" ht="19.95" customHeight="1"/>
    <row r="20" spans="1:10" s="89" customFormat="1" ht="19.95" customHeight="1">
      <c r="A20" s="94" t="s">
        <v>539</v>
      </c>
    </row>
    <row r="21" spans="1:10" s="89" customFormat="1" ht="19.95" customHeight="1"/>
    <row r="22" spans="1:10" s="89" customFormat="1" ht="19.95" customHeight="1">
      <c r="A22" s="15" t="s">
        <v>540</v>
      </c>
      <c r="B22" s="13"/>
    </row>
    <row r="23" spans="1:10" ht="19.95" customHeight="1">
      <c r="A23" s="256" t="s">
        <v>116</v>
      </c>
      <c r="B23" s="806" t="s">
        <v>523</v>
      </c>
      <c r="C23" s="807"/>
      <c r="D23" s="256" t="s">
        <v>107</v>
      </c>
    </row>
    <row r="24" spans="1:10" ht="19.95" customHeight="1">
      <c r="A24" s="99">
        <v>1</v>
      </c>
      <c r="B24" s="463" t="s">
        <v>1317</v>
      </c>
      <c r="C24" s="98"/>
      <c r="D24" s="554" t="s">
        <v>1158</v>
      </c>
    </row>
    <row r="25" spans="1:10" ht="19.95" customHeight="1">
      <c r="A25" s="99">
        <v>2</v>
      </c>
      <c r="B25" s="463" t="s">
        <v>1318</v>
      </c>
      <c r="C25" s="98"/>
      <c r="D25" s="554" t="s">
        <v>1159</v>
      </c>
    </row>
    <row r="26" spans="1:10" ht="19.95" customHeight="1">
      <c r="A26" s="38" t="s">
        <v>541</v>
      </c>
    </row>
    <row r="27" spans="1:10" ht="18.600000000000001" customHeight="1">
      <c r="A27" s="800" t="s">
        <v>851</v>
      </c>
      <c r="B27" s="800" t="s">
        <v>852</v>
      </c>
      <c r="C27" s="805" t="s">
        <v>1154</v>
      </c>
      <c r="D27" s="800" t="s">
        <v>853</v>
      </c>
      <c r="E27" s="800" t="s">
        <v>854</v>
      </c>
      <c r="F27" s="805" t="s">
        <v>1155</v>
      </c>
      <c r="G27" s="800" t="s">
        <v>856</v>
      </c>
      <c r="H27" s="801"/>
      <c r="I27" s="803" t="s">
        <v>1156</v>
      </c>
      <c r="J27" s="800" t="s">
        <v>868</v>
      </c>
    </row>
    <row r="28" spans="1:10" ht="18.600000000000001" customHeight="1">
      <c r="A28" s="801"/>
      <c r="B28" s="801"/>
      <c r="C28" s="801"/>
      <c r="D28" s="801"/>
      <c r="E28" s="801"/>
      <c r="F28" s="801"/>
      <c r="G28" s="323" t="s">
        <v>857</v>
      </c>
      <c r="H28" s="323" t="s">
        <v>858</v>
      </c>
      <c r="I28" s="804"/>
      <c r="J28" s="801"/>
    </row>
    <row r="29" spans="1:10" ht="19.95" customHeight="1">
      <c r="A29" s="330"/>
      <c r="B29" s="330"/>
      <c r="C29" s="330"/>
      <c r="D29" s="330"/>
      <c r="E29" s="330"/>
      <c r="F29" s="330"/>
      <c r="G29" s="331"/>
      <c r="H29" s="331"/>
      <c r="I29" s="331"/>
      <c r="J29" s="330"/>
    </row>
    <row r="30" spans="1:10" ht="19.95" customHeight="1">
      <c r="A30" s="330"/>
      <c r="B30" s="330"/>
      <c r="C30" s="330"/>
      <c r="D30" s="330"/>
      <c r="E30" s="330"/>
      <c r="F30" s="330"/>
      <c r="G30" s="331"/>
      <c r="H30" s="331"/>
      <c r="I30" s="331"/>
      <c r="J30" s="330"/>
    </row>
    <row r="31" spans="1:10" ht="19.95" customHeight="1">
      <c r="A31" s="330"/>
      <c r="B31" s="330"/>
      <c r="C31" s="330"/>
      <c r="D31" s="330"/>
      <c r="E31" s="330"/>
      <c r="F31" s="330"/>
      <c r="G31" s="331"/>
      <c r="H31" s="331"/>
      <c r="I31" s="331"/>
      <c r="J31" s="330"/>
    </row>
    <row r="32" spans="1:10" ht="19.95" customHeight="1">
      <c r="A32" s="330"/>
      <c r="B32" s="330"/>
      <c r="C32" s="330"/>
      <c r="D32" s="330"/>
      <c r="E32" s="330"/>
      <c r="F32" s="330"/>
      <c r="G32" s="331"/>
      <c r="H32" s="331"/>
      <c r="I32" s="331"/>
      <c r="J32" s="330"/>
    </row>
    <row r="33" spans="1:10" ht="19.95" customHeight="1">
      <c r="A33" s="330"/>
      <c r="B33" s="330"/>
      <c r="C33" s="330"/>
      <c r="D33" s="330"/>
      <c r="E33" s="330"/>
      <c r="F33" s="330"/>
      <c r="G33" s="331"/>
      <c r="H33" s="331"/>
      <c r="I33" s="331"/>
      <c r="J33" s="330"/>
    </row>
    <row r="34" spans="1:10" ht="19.95" customHeight="1">
      <c r="A34" s="330"/>
      <c r="B34" s="330"/>
      <c r="C34" s="330"/>
      <c r="D34" s="330"/>
      <c r="E34" s="330"/>
      <c r="F34" s="330"/>
      <c r="G34" s="331"/>
      <c r="H34" s="331"/>
      <c r="I34" s="331"/>
      <c r="J34" s="330"/>
    </row>
    <row r="35" spans="1:10" ht="19.95" customHeight="1">
      <c r="A35" s="20" t="s">
        <v>508</v>
      </c>
    </row>
    <row r="36" spans="1:10" ht="19.95" customHeight="1">
      <c r="A36" s="20"/>
    </row>
    <row r="37" spans="1:10" ht="19.95" customHeight="1">
      <c r="A37" s="39"/>
    </row>
    <row r="38" spans="1:10" ht="19.95" customHeight="1">
      <c r="A38" s="48" t="s">
        <v>509</v>
      </c>
    </row>
    <row r="39" spans="1:10" ht="19.95" customHeight="1">
      <c r="A39" s="48"/>
    </row>
    <row r="40" spans="1:10" ht="19.95" customHeight="1">
      <c r="A40" s="48"/>
    </row>
    <row r="41" spans="1:10" ht="15" customHeight="1">
      <c r="A41" s="176" t="s">
        <v>542</v>
      </c>
      <c r="B41" s="176"/>
      <c r="C41" s="176"/>
      <c r="D41" s="176"/>
      <c r="E41" s="176"/>
      <c r="F41" s="176"/>
      <c r="G41" s="176"/>
      <c r="H41" s="176"/>
      <c r="I41" s="176"/>
      <c r="J41" s="176"/>
    </row>
    <row r="42" spans="1:10" ht="15" customHeight="1">
      <c r="A42" s="268">
        <v>1</v>
      </c>
      <c r="B42" s="176" t="s">
        <v>543</v>
      </c>
      <c r="C42" s="176"/>
      <c r="D42" s="176"/>
      <c r="E42" s="176"/>
      <c r="F42" s="176"/>
      <c r="G42" s="176"/>
      <c r="H42" s="176"/>
      <c r="I42" s="176"/>
      <c r="J42" s="176"/>
    </row>
    <row r="43" spans="1:10" ht="15" customHeight="1">
      <c r="A43" s="268">
        <v>2</v>
      </c>
      <c r="B43" s="176" t="s">
        <v>544</v>
      </c>
      <c r="C43" s="176"/>
      <c r="D43" s="176"/>
      <c r="E43" s="176"/>
      <c r="F43" s="176"/>
      <c r="G43" s="176"/>
      <c r="H43" s="176"/>
      <c r="I43" s="176"/>
      <c r="J43" s="176"/>
    </row>
    <row r="44" spans="1:10" ht="15" customHeight="1">
      <c r="A44" s="268">
        <v>3</v>
      </c>
      <c r="B44" s="176" t="s">
        <v>545</v>
      </c>
      <c r="C44" s="176"/>
      <c r="D44" s="176"/>
      <c r="E44" s="176"/>
      <c r="F44" s="176"/>
      <c r="G44" s="176"/>
      <c r="H44" s="176"/>
      <c r="I44" s="176"/>
      <c r="J44" s="176"/>
    </row>
    <row r="45" spans="1:10" ht="15" customHeight="1">
      <c r="A45" s="268">
        <v>4</v>
      </c>
      <c r="B45" s="176" t="s">
        <v>546</v>
      </c>
      <c r="C45" s="176"/>
      <c r="D45" s="176"/>
      <c r="E45" s="176"/>
      <c r="F45" s="176"/>
      <c r="G45" s="176"/>
      <c r="H45" s="176"/>
      <c r="I45" s="176"/>
      <c r="J45" s="176"/>
    </row>
    <row r="46" spans="1:10" ht="44.4" customHeight="1">
      <c r="A46" s="736" t="s">
        <v>547</v>
      </c>
      <c r="B46" s="736"/>
      <c r="C46" s="736"/>
      <c r="D46" s="736"/>
      <c r="E46" s="736"/>
      <c r="F46" s="736"/>
      <c r="G46" s="736"/>
      <c r="H46" s="736"/>
      <c r="I46" s="736"/>
      <c r="J46" s="736"/>
    </row>
    <row r="48" spans="1:10" ht="15" customHeight="1">
      <c r="A48" s="1" t="s">
        <v>31</v>
      </c>
    </row>
  </sheetData>
  <mergeCells count="13">
    <mergeCell ref="J27:J28"/>
    <mergeCell ref="A1:J1"/>
    <mergeCell ref="A2:J2"/>
    <mergeCell ref="A46:J46"/>
    <mergeCell ref="A27:A28"/>
    <mergeCell ref="B27:B28"/>
    <mergeCell ref="C27:C28"/>
    <mergeCell ref="D27:D28"/>
    <mergeCell ref="E27:E28"/>
    <mergeCell ref="F27:F28"/>
    <mergeCell ref="G27:H27"/>
    <mergeCell ref="B23:C23"/>
    <mergeCell ref="I27:I28"/>
  </mergeCells>
  <phoneticPr fontId="6" type="noConversion"/>
  <hyperlinks>
    <hyperlink ref="J3" location="底稿目录!A1" display="底稿目录!A1"/>
  </hyperlinks>
  <pageMargins left="0.70866141732283472" right="0.70866141732283472" top="0.74803149606299213" bottom="0.74803149606299213" header="0.31496062992125984" footer="0.31496062992125984"/>
  <pageSetup paperSize="9" scale="80" orientation="portrait" blackAndWhite="1" r:id="rId1"/>
  <headerFoot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A1:T66"/>
  <sheetViews>
    <sheetView view="pageBreakPreview" topLeftCell="A34" zoomScaleSheetLayoutView="100" workbookViewId="0">
      <selection activeCell="U49" sqref="U49"/>
    </sheetView>
  </sheetViews>
  <sheetFormatPr defaultColWidth="9" defaultRowHeight="15" customHeight="1"/>
  <cols>
    <col min="1" max="1" width="6.88671875" style="96" customWidth="1"/>
    <col min="2" max="2" width="10.109375" style="96" customWidth="1"/>
    <col min="3" max="4" width="11.21875" style="96" customWidth="1"/>
    <col min="5" max="5" width="7.6640625" style="96" customWidth="1"/>
    <col min="6" max="8" width="7.77734375" style="96" customWidth="1"/>
    <col min="9" max="9" width="9.21875" style="96" customWidth="1"/>
    <col min="10" max="16384" width="9" style="96"/>
  </cols>
  <sheetData>
    <row r="1" spans="1:20" ht="15" customHeight="1">
      <c r="A1" s="809" t="s">
        <v>510</v>
      </c>
      <c r="B1" s="809"/>
      <c r="C1" s="809"/>
      <c r="D1" s="809"/>
      <c r="E1" s="809"/>
      <c r="F1" s="809"/>
      <c r="G1" s="809"/>
      <c r="H1" s="809"/>
      <c r="I1" s="809"/>
      <c r="J1" s="809"/>
      <c r="K1" s="809"/>
      <c r="L1" s="809"/>
      <c r="M1" s="809"/>
      <c r="N1" s="809"/>
      <c r="O1" s="809"/>
      <c r="P1" s="809"/>
      <c r="Q1" s="809"/>
      <c r="R1" s="809"/>
      <c r="S1" s="809"/>
    </row>
    <row r="2" spans="1:20" s="194" customFormat="1" ht="15" customHeight="1">
      <c r="A2" s="810" t="s">
        <v>511</v>
      </c>
      <c r="B2" s="810"/>
      <c r="C2" s="810"/>
      <c r="D2" s="810"/>
      <c r="E2" s="810"/>
      <c r="F2" s="810"/>
      <c r="G2" s="810"/>
      <c r="H2" s="810"/>
      <c r="I2" s="810"/>
      <c r="J2" s="810"/>
      <c r="K2" s="810"/>
      <c r="L2" s="810"/>
      <c r="M2" s="810"/>
      <c r="N2" s="810"/>
      <c r="O2" s="810"/>
      <c r="P2" s="810"/>
      <c r="Q2" s="810"/>
      <c r="R2" s="810"/>
      <c r="S2" s="810"/>
    </row>
    <row r="3" spans="1:20" ht="15" customHeight="1">
      <c r="A3" s="13" t="str">
        <f>底稿目录!A2</f>
        <v>被审计单位：</v>
      </c>
      <c r="B3" s="13"/>
      <c r="C3" s="13"/>
      <c r="E3" s="13"/>
      <c r="G3" s="13"/>
      <c r="H3" s="13" t="str">
        <f>底稿目录!A4</f>
        <v>编制人：</v>
      </c>
      <c r="N3" s="13" t="str">
        <f>底稿目录!A5</f>
        <v>编制日期：</v>
      </c>
      <c r="R3" s="73" t="s">
        <v>99</v>
      </c>
      <c r="S3" s="291" t="s">
        <v>92</v>
      </c>
      <c r="T3" s="462" t="s">
        <v>1200</v>
      </c>
    </row>
    <row r="4" spans="1:20" ht="15" customHeight="1">
      <c r="A4" s="13" t="str">
        <f>底稿目录!A3</f>
        <v>截止日：202X年12月31日</v>
      </c>
      <c r="B4" s="13"/>
      <c r="C4" s="13"/>
      <c r="E4" s="13"/>
      <c r="G4" s="13"/>
      <c r="H4" s="13" t="str">
        <f>底稿目录!A6</f>
        <v>复核人：</v>
      </c>
      <c r="N4" s="13" t="str">
        <f>底稿目录!A7</f>
        <v>复核日期：</v>
      </c>
      <c r="R4" s="73" t="s">
        <v>475</v>
      </c>
      <c r="S4" s="21"/>
    </row>
    <row r="5" spans="1:20" ht="15" customHeight="1">
      <c r="A5" s="61" t="s">
        <v>504</v>
      </c>
      <c r="B5" s="61"/>
      <c r="C5" s="1"/>
      <c r="D5" s="1"/>
      <c r="E5" s="1"/>
      <c r="F5" s="1"/>
      <c r="G5" s="1"/>
      <c r="H5" s="1"/>
      <c r="I5" s="1"/>
    </row>
    <row r="6" spans="1:20" ht="15" customHeight="1">
      <c r="A6" s="63"/>
      <c r="B6" s="264" t="s">
        <v>505</v>
      </c>
      <c r="C6" s="1"/>
      <c r="D6" s="1"/>
      <c r="E6" s="1"/>
      <c r="F6" s="1"/>
      <c r="G6" s="1"/>
      <c r="H6" s="1"/>
      <c r="I6" s="1"/>
    </row>
    <row r="7" spans="1:20" ht="15" customHeight="1">
      <c r="A7" s="64" t="s">
        <v>506</v>
      </c>
      <c r="B7" s="64"/>
      <c r="C7" s="1"/>
      <c r="D7" s="1"/>
      <c r="E7" s="1"/>
      <c r="F7" s="1"/>
      <c r="G7" s="1"/>
      <c r="H7" s="1"/>
      <c r="I7" s="1"/>
    </row>
    <row r="8" spans="1:20" ht="15" customHeight="1">
      <c r="A8" s="808" t="s">
        <v>512</v>
      </c>
      <c r="B8" s="808"/>
      <c r="C8" s="808"/>
      <c r="D8" s="808"/>
      <c r="E8" s="808"/>
      <c r="F8" s="808"/>
      <c r="G8" s="808"/>
      <c r="H8" s="808"/>
      <c r="I8" s="808"/>
      <c r="J8" s="808"/>
      <c r="K8" s="808"/>
      <c r="L8" s="808"/>
      <c r="M8" s="808"/>
      <c r="N8" s="808"/>
      <c r="O8" s="808"/>
      <c r="P8" s="808"/>
      <c r="Q8" s="808"/>
      <c r="R8" s="808"/>
    </row>
    <row r="9" spans="1:20" ht="15" customHeight="1">
      <c r="A9" s="808" t="s">
        <v>513</v>
      </c>
      <c r="B9" s="808"/>
      <c r="C9" s="808"/>
      <c r="D9" s="808"/>
      <c r="E9" s="808"/>
      <c r="F9" s="808"/>
      <c r="G9" s="808"/>
      <c r="H9" s="808"/>
      <c r="I9" s="808"/>
      <c r="J9" s="808"/>
      <c r="K9" s="808"/>
      <c r="L9" s="808"/>
      <c r="M9" s="808"/>
      <c r="N9" s="808"/>
      <c r="O9" s="808"/>
      <c r="P9" s="808"/>
      <c r="Q9" s="808"/>
      <c r="R9" s="808"/>
    </row>
    <row r="10" spans="1:20" ht="51" customHeight="1">
      <c r="A10" s="808" t="s">
        <v>514</v>
      </c>
      <c r="B10" s="808"/>
      <c r="C10" s="808"/>
      <c r="D10" s="808"/>
      <c r="E10" s="808"/>
      <c r="F10" s="808"/>
      <c r="G10" s="808"/>
      <c r="H10" s="808"/>
      <c r="I10" s="808"/>
      <c r="J10" s="808"/>
      <c r="K10" s="808"/>
      <c r="L10" s="808"/>
      <c r="M10" s="808"/>
      <c r="N10" s="808"/>
      <c r="O10" s="808"/>
      <c r="P10" s="808"/>
      <c r="Q10" s="808"/>
      <c r="R10" s="808"/>
      <c r="S10" s="808"/>
    </row>
    <row r="11" spans="1:20" ht="56.25" customHeight="1">
      <c r="A11" s="808" t="s">
        <v>515</v>
      </c>
      <c r="B11" s="808"/>
      <c r="C11" s="808"/>
      <c r="D11" s="808"/>
      <c r="E11" s="808"/>
      <c r="F11" s="808"/>
      <c r="G11" s="808"/>
      <c r="H11" s="808"/>
      <c r="I11" s="808"/>
      <c r="J11" s="808"/>
      <c r="K11" s="808"/>
      <c r="L11" s="808"/>
      <c r="M11" s="808"/>
      <c r="N11" s="808"/>
      <c r="O11" s="808"/>
      <c r="P11" s="808"/>
      <c r="Q11" s="808"/>
      <c r="R11" s="808"/>
      <c r="S11" s="257"/>
    </row>
    <row r="12" spans="1:20" ht="15" customHeight="1">
      <c r="A12" s="808" t="s">
        <v>516</v>
      </c>
      <c r="B12" s="808"/>
      <c r="C12" s="808"/>
      <c r="D12" s="808"/>
      <c r="E12" s="808"/>
      <c r="F12" s="808"/>
      <c r="G12" s="808"/>
      <c r="H12" s="808"/>
      <c r="I12" s="808"/>
      <c r="J12" s="808"/>
      <c r="K12" s="808"/>
      <c r="L12" s="808"/>
      <c r="M12" s="808"/>
      <c r="N12" s="808"/>
      <c r="O12" s="808"/>
      <c r="P12" s="808"/>
      <c r="Q12" s="808"/>
      <c r="R12" s="808"/>
    </row>
    <row r="13" spans="1:20" ht="15" customHeight="1">
      <c r="A13" s="808" t="s">
        <v>517</v>
      </c>
      <c r="B13" s="808"/>
      <c r="C13" s="808"/>
      <c r="D13" s="808"/>
      <c r="E13" s="808"/>
      <c r="F13" s="808"/>
      <c r="G13" s="808"/>
      <c r="H13" s="808"/>
      <c r="I13" s="808"/>
      <c r="J13" s="808"/>
      <c r="K13" s="808"/>
      <c r="L13" s="808"/>
      <c r="M13" s="808"/>
      <c r="N13" s="808"/>
      <c r="O13" s="808"/>
      <c r="P13" s="808"/>
      <c r="Q13" s="808"/>
      <c r="R13" s="808"/>
    </row>
    <row r="14" spans="1:20" ht="15" customHeight="1">
      <c r="A14" s="808" t="s">
        <v>518</v>
      </c>
      <c r="B14" s="808"/>
      <c r="C14" s="808"/>
      <c r="D14" s="808"/>
      <c r="E14" s="808"/>
      <c r="F14" s="808"/>
      <c r="G14" s="808"/>
      <c r="H14" s="808"/>
      <c r="I14" s="808"/>
      <c r="J14" s="808"/>
      <c r="K14" s="808"/>
      <c r="L14" s="808"/>
      <c r="M14" s="808"/>
      <c r="N14" s="808"/>
      <c r="O14" s="808"/>
      <c r="P14" s="808"/>
      <c r="Q14" s="808"/>
      <c r="R14" s="808"/>
    </row>
    <row r="15" spans="1:20" ht="15" customHeight="1">
      <c r="A15" s="808" t="s">
        <v>519</v>
      </c>
      <c r="B15" s="808"/>
      <c r="C15" s="808"/>
      <c r="D15" s="808"/>
      <c r="E15" s="808"/>
      <c r="F15" s="808"/>
      <c r="G15" s="808"/>
      <c r="H15" s="808"/>
      <c r="I15" s="808"/>
      <c r="J15" s="808"/>
      <c r="K15" s="808"/>
      <c r="L15" s="808"/>
      <c r="M15" s="808"/>
      <c r="N15" s="808"/>
      <c r="O15" s="808"/>
      <c r="P15" s="808"/>
      <c r="Q15" s="808"/>
      <c r="R15" s="808"/>
    </row>
    <row r="16" spans="1:20" ht="15" customHeight="1">
      <c r="A16" s="94" t="s">
        <v>520</v>
      </c>
      <c r="B16" s="89"/>
      <c r="C16" s="89"/>
      <c r="D16" s="89"/>
      <c r="E16" s="89"/>
      <c r="F16" s="89"/>
      <c r="G16" s="89"/>
      <c r="H16" s="89"/>
      <c r="I16" s="89"/>
    </row>
    <row r="17" spans="1:10" ht="15" customHeight="1">
      <c r="A17" s="89"/>
      <c r="B17" s="89"/>
      <c r="C17" s="89"/>
      <c r="D17" s="89"/>
      <c r="E17" s="89"/>
      <c r="F17" s="89"/>
      <c r="G17" s="89"/>
      <c r="H17" s="89"/>
      <c r="I17" s="89"/>
    </row>
    <row r="18" spans="1:10" ht="15" customHeight="1">
      <c r="A18" s="94" t="s">
        <v>521</v>
      </c>
      <c r="B18" s="89"/>
      <c r="C18" s="89"/>
      <c r="D18" s="89"/>
      <c r="E18" s="89"/>
      <c r="F18" s="89"/>
      <c r="G18" s="89"/>
      <c r="H18" s="89"/>
      <c r="I18" s="89"/>
    </row>
    <row r="19" spans="1:10" ht="15" customHeight="1">
      <c r="A19" s="89"/>
      <c r="B19" s="89"/>
      <c r="C19" s="89"/>
      <c r="D19" s="89"/>
      <c r="E19" s="89"/>
      <c r="F19" s="89"/>
      <c r="G19" s="89"/>
      <c r="H19" s="89"/>
      <c r="I19" s="89"/>
    </row>
    <row r="20" spans="1:10" ht="15" customHeight="1">
      <c r="A20" s="15" t="s">
        <v>522</v>
      </c>
      <c r="B20" s="13"/>
      <c r="C20" s="89"/>
      <c r="D20" s="89"/>
      <c r="E20" s="89"/>
      <c r="F20" s="89"/>
      <c r="G20" s="89"/>
      <c r="H20" s="89"/>
      <c r="I20" s="89"/>
    </row>
    <row r="21" spans="1:10" ht="15" customHeight="1">
      <c r="A21" s="256" t="s">
        <v>116</v>
      </c>
      <c r="B21" s="806" t="s">
        <v>523</v>
      </c>
      <c r="C21" s="807"/>
      <c r="D21" s="256" t="s">
        <v>107</v>
      </c>
      <c r="E21" s="89"/>
      <c r="F21" s="89"/>
      <c r="G21" s="89"/>
      <c r="H21" s="89"/>
      <c r="I21" s="89"/>
      <c r="J21" s="89"/>
    </row>
    <row r="22" spans="1:10" ht="15" customHeight="1">
      <c r="A22" s="99">
        <v>1</v>
      </c>
      <c r="B22" s="97" t="s">
        <v>524</v>
      </c>
      <c r="C22" s="98"/>
      <c r="D22" s="19" t="s">
        <v>32</v>
      </c>
      <c r="E22" s="89"/>
      <c r="F22" s="89"/>
      <c r="G22" s="89"/>
      <c r="H22" s="89"/>
      <c r="I22" s="89"/>
      <c r="J22" s="89"/>
    </row>
    <row r="23" spans="1:10" ht="15" customHeight="1">
      <c r="A23" s="99">
        <v>2</v>
      </c>
      <c r="B23" s="97" t="s">
        <v>525</v>
      </c>
      <c r="C23" s="98"/>
      <c r="D23" s="19" t="s">
        <v>33</v>
      </c>
      <c r="E23" s="89"/>
      <c r="F23" s="89"/>
      <c r="G23" s="89"/>
      <c r="H23" s="89"/>
      <c r="I23" s="89"/>
      <c r="J23" s="89"/>
    </row>
    <row r="24" spans="1:10" ht="15" customHeight="1">
      <c r="A24" s="38" t="s">
        <v>526</v>
      </c>
      <c r="B24" s="1"/>
      <c r="C24" s="1"/>
      <c r="D24" s="1"/>
      <c r="E24" s="1"/>
      <c r="F24" s="1"/>
      <c r="G24" s="1"/>
      <c r="H24" s="1"/>
      <c r="I24" s="1"/>
    </row>
    <row r="25" spans="1:10" ht="15" customHeight="1">
      <c r="A25" s="800" t="s">
        <v>851</v>
      </c>
      <c r="B25" s="800" t="s">
        <v>852</v>
      </c>
      <c r="C25" s="800" t="s">
        <v>849</v>
      </c>
      <c r="D25" s="800" t="s">
        <v>853</v>
      </c>
      <c r="E25" s="800" t="s">
        <v>854</v>
      </c>
      <c r="F25" s="800" t="s">
        <v>855</v>
      </c>
      <c r="G25" s="800" t="s">
        <v>856</v>
      </c>
      <c r="H25" s="801"/>
      <c r="I25" s="800" t="s">
        <v>868</v>
      </c>
    </row>
    <row r="26" spans="1:10" ht="15" customHeight="1">
      <c r="A26" s="801"/>
      <c r="B26" s="801"/>
      <c r="C26" s="801"/>
      <c r="D26" s="801"/>
      <c r="E26" s="801"/>
      <c r="F26" s="801"/>
      <c r="G26" s="323" t="s">
        <v>857</v>
      </c>
      <c r="H26" s="323" t="s">
        <v>858</v>
      </c>
      <c r="I26" s="801"/>
    </row>
    <row r="27" spans="1:10" ht="15" customHeight="1">
      <c r="A27" s="330"/>
      <c r="B27" s="330"/>
      <c r="C27" s="330"/>
      <c r="D27" s="330"/>
      <c r="E27" s="330"/>
      <c r="F27" s="330"/>
      <c r="G27" s="331"/>
      <c r="H27" s="331"/>
      <c r="I27" s="330"/>
    </row>
    <row r="28" spans="1:10" ht="15" customHeight="1">
      <c r="A28" s="330"/>
      <c r="B28" s="330"/>
      <c r="C28" s="330"/>
      <c r="D28" s="330"/>
      <c r="E28" s="330"/>
      <c r="F28" s="330"/>
      <c r="G28" s="331"/>
      <c r="H28" s="331"/>
      <c r="I28" s="330"/>
    </row>
    <row r="29" spans="1:10" ht="15" customHeight="1">
      <c r="A29" s="330"/>
      <c r="B29" s="330"/>
      <c r="C29" s="330"/>
      <c r="D29" s="330"/>
      <c r="E29" s="330"/>
      <c r="F29" s="330"/>
      <c r="G29" s="331"/>
      <c r="H29" s="331"/>
      <c r="I29" s="330"/>
    </row>
    <row r="30" spans="1:10" ht="15" customHeight="1">
      <c r="A30" s="330"/>
      <c r="B30" s="330"/>
      <c r="C30" s="330"/>
      <c r="D30" s="330"/>
      <c r="E30" s="330"/>
      <c r="F30" s="330"/>
      <c r="G30" s="331"/>
      <c r="H30" s="331"/>
      <c r="I30" s="330"/>
    </row>
    <row r="31" spans="1:10" ht="15" customHeight="1">
      <c r="A31" s="330"/>
      <c r="B31" s="330"/>
      <c r="C31" s="330"/>
      <c r="D31" s="330"/>
      <c r="E31" s="330"/>
      <c r="F31" s="330"/>
      <c r="G31" s="331"/>
      <c r="H31" s="331"/>
      <c r="I31" s="330"/>
    </row>
    <row r="32" spans="1:10" ht="15" customHeight="1">
      <c r="A32" s="330"/>
      <c r="B32" s="330"/>
      <c r="C32" s="330"/>
      <c r="D32" s="330"/>
      <c r="E32" s="330"/>
      <c r="F32" s="330"/>
      <c r="G32" s="331"/>
      <c r="H32" s="331"/>
      <c r="I32" s="330"/>
    </row>
    <row r="33" spans="1:19" ht="15" customHeight="1">
      <c r="A33" s="330"/>
      <c r="B33" s="330"/>
      <c r="C33" s="330"/>
      <c r="D33" s="330"/>
      <c r="E33" s="330"/>
      <c r="F33" s="330"/>
      <c r="G33" s="331"/>
      <c r="H33" s="331"/>
      <c r="I33" s="330"/>
    </row>
    <row r="34" spans="1:19" ht="15" customHeight="1">
      <c r="A34" s="330"/>
      <c r="B34" s="330"/>
      <c r="C34" s="330"/>
      <c r="D34" s="330"/>
      <c r="E34" s="330"/>
      <c r="F34" s="330"/>
      <c r="G34" s="331"/>
      <c r="H34" s="331"/>
      <c r="I34" s="330"/>
    </row>
    <row r="35" spans="1:19" ht="15" customHeight="1">
      <c r="A35" s="332"/>
      <c r="B35" s="332"/>
      <c r="C35" s="332"/>
      <c r="D35" s="332"/>
      <c r="E35" s="332"/>
      <c r="F35" s="332"/>
      <c r="G35" s="333"/>
      <c r="H35" s="333"/>
      <c r="I35" s="332"/>
    </row>
    <row r="36" spans="1:19" ht="15" customHeight="1">
      <c r="A36" s="38" t="s">
        <v>527</v>
      </c>
      <c r="B36" s="332"/>
      <c r="C36" s="332"/>
      <c r="D36" s="332"/>
      <c r="E36" s="332"/>
      <c r="F36" s="332"/>
      <c r="G36" s="333"/>
      <c r="H36" s="333"/>
      <c r="I36" s="332"/>
    </row>
    <row r="37" spans="1:19" ht="66.75" customHeight="1">
      <c r="A37" s="334" t="s">
        <v>869</v>
      </c>
      <c r="B37" s="323" t="s">
        <v>81</v>
      </c>
      <c r="C37" s="323" t="s">
        <v>528</v>
      </c>
      <c r="D37" s="323" t="s">
        <v>529</v>
      </c>
      <c r="E37" s="323" t="s">
        <v>82</v>
      </c>
      <c r="F37" s="323" t="s">
        <v>83</v>
      </c>
      <c r="G37" s="323" t="s">
        <v>84</v>
      </c>
      <c r="H37" s="323" t="s">
        <v>85</v>
      </c>
      <c r="I37" s="323" t="s">
        <v>86</v>
      </c>
      <c r="J37" s="323" t="s">
        <v>87</v>
      </c>
      <c r="K37" s="323" t="s">
        <v>88</v>
      </c>
      <c r="L37" s="323" t="s">
        <v>27</v>
      </c>
      <c r="M37" s="323" t="s">
        <v>89</v>
      </c>
      <c r="N37" s="323" t="s">
        <v>530</v>
      </c>
      <c r="O37" s="323" t="s">
        <v>870</v>
      </c>
      <c r="P37" s="323" t="s">
        <v>27</v>
      </c>
      <c r="Q37" s="323" t="s">
        <v>871</v>
      </c>
      <c r="R37" s="323" t="s">
        <v>872</v>
      </c>
      <c r="S37" s="323" t="s">
        <v>873</v>
      </c>
    </row>
    <row r="38" spans="1:19" ht="15" customHeight="1">
      <c r="A38" s="134"/>
      <c r="B38" s="122"/>
      <c r="C38" s="123"/>
      <c r="D38" s="123"/>
      <c r="E38" s="123"/>
      <c r="F38" s="123"/>
      <c r="G38" s="135"/>
      <c r="H38" s="125"/>
      <c r="I38" s="125"/>
      <c r="J38" s="123"/>
      <c r="K38" s="123"/>
      <c r="L38" s="127">
        <f>J38-K38</f>
        <v>0</v>
      </c>
      <c r="M38" s="127">
        <v>0</v>
      </c>
      <c r="N38" s="127"/>
      <c r="O38" s="125"/>
      <c r="P38" s="127">
        <f>N38-O38</f>
        <v>0</v>
      </c>
      <c r="Q38" s="127"/>
      <c r="R38" s="127"/>
      <c r="S38" s="127"/>
    </row>
    <row r="39" spans="1:19" ht="15" customHeight="1">
      <c r="A39" s="134"/>
      <c r="B39" s="122"/>
      <c r="C39" s="123"/>
      <c r="D39" s="123"/>
      <c r="E39" s="123"/>
      <c r="F39" s="123"/>
      <c r="G39" s="124"/>
      <c r="H39" s="125"/>
      <c r="I39" s="125"/>
      <c r="J39" s="126"/>
      <c r="K39" s="125"/>
      <c r="L39" s="127">
        <f t="shared" ref="L39:L44" si="0">J39-K39</f>
        <v>0</v>
      </c>
      <c r="M39" s="127">
        <v>0</v>
      </c>
      <c r="N39" s="127"/>
      <c r="O39" s="125"/>
      <c r="P39" s="127">
        <f t="shared" ref="P39:P44" si="1">N39-O39</f>
        <v>0</v>
      </c>
      <c r="Q39" s="127"/>
      <c r="R39" s="127"/>
      <c r="S39" s="127"/>
    </row>
    <row r="40" spans="1:19" ht="15" customHeight="1">
      <c r="A40" s="134"/>
      <c r="B40" s="122"/>
      <c r="C40" s="123"/>
      <c r="D40" s="123"/>
      <c r="E40" s="123"/>
      <c r="F40" s="123"/>
      <c r="G40" s="124"/>
      <c r="H40" s="125"/>
      <c r="I40" s="125"/>
      <c r="J40" s="126"/>
      <c r="K40" s="125"/>
      <c r="L40" s="127">
        <f t="shared" si="0"/>
        <v>0</v>
      </c>
      <c r="M40" s="127">
        <v>0</v>
      </c>
      <c r="N40" s="127"/>
      <c r="O40" s="125"/>
      <c r="P40" s="127">
        <f t="shared" si="1"/>
        <v>0</v>
      </c>
      <c r="Q40" s="127"/>
      <c r="R40" s="127"/>
      <c r="S40" s="127"/>
    </row>
    <row r="41" spans="1:19" ht="15" customHeight="1">
      <c r="A41" s="134"/>
      <c r="B41" s="122"/>
      <c r="C41" s="123"/>
      <c r="D41" s="123"/>
      <c r="E41" s="123"/>
      <c r="F41" s="123"/>
      <c r="G41" s="124"/>
      <c r="H41" s="125"/>
      <c r="I41" s="125"/>
      <c r="J41" s="126"/>
      <c r="K41" s="125"/>
      <c r="L41" s="127">
        <f t="shared" si="0"/>
        <v>0</v>
      </c>
      <c r="M41" s="127">
        <v>0</v>
      </c>
      <c r="N41" s="127"/>
      <c r="O41" s="125"/>
      <c r="P41" s="127">
        <f t="shared" si="1"/>
        <v>0</v>
      </c>
      <c r="Q41" s="127"/>
      <c r="R41" s="127"/>
      <c r="S41" s="127"/>
    </row>
    <row r="42" spans="1:19" ht="15" customHeight="1">
      <c r="A42" s="134"/>
      <c r="B42" s="122"/>
      <c r="C42" s="125"/>
      <c r="D42" s="125"/>
      <c r="E42" s="125"/>
      <c r="F42" s="125"/>
      <c r="G42" s="124"/>
      <c r="H42" s="125"/>
      <c r="I42" s="125"/>
      <c r="J42" s="126"/>
      <c r="K42" s="125"/>
      <c r="L42" s="127">
        <f t="shared" si="0"/>
        <v>0</v>
      </c>
      <c r="M42" s="127">
        <v>0</v>
      </c>
      <c r="N42" s="127"/>
      <c r="O42" s="125"/>
      <c r="P42" s="127">
        <f t="shared" si="1"/>
        <v>0</v>
      </c>
      <c r="Q42" s="127"/>
      <c r="R42" s="127"/>
      <c r="S42" s="127"/>
    </row>
    <row r="43" spans="1:19" ht="15" customHeight="1">
      <c r="A43" s="134"/>
      <c r="B43" s="122"/>
      <c r="C43" s="125"/>
      <c r="D43" s="125"/>
      <c r="E43" s="125"/>
      <c r="F43" s="125"/>
      <c r="G43" s="124"/>
      <c r="H43" s="125"/>
      <c r="I43" s="125"/>
      <c r="J43" s="126"/>
      <c r="K43" s="125"/>
      <c r="L43" s="127">
        <f t="shared" si="0"/>
        <v>0</v>
      </c>
      <c r="M43" s="127">
        <v>0</v>
      </c>
      <c r="N43" s="127"/>
      <c r="O43" s="125"/>
      <c r="P43" s="127">
        <f t="shared" si="1"/>
        <v>0</v>
      </c>
      <c r="Q43" s="127"/>
      <c r="R43" s="127"/>
      <c r="S43" s="127"/>
    </row>
    <row r="44" spans="1:19" ht="15" customHeight="1">
      <c r="A44" s="134"/>
      <c r="B44" s="122"/>
      <c r="C44" s="125"/>
      <c r="D44" s="125"/>
      <c r="E44" s="125"/>
      <c r="F44" s="125"/>
      <c r="G44" s="124"/>
      <c r="H44" s="125"/>
      <c r="I44" s="125"/>
      <c r="J44" s="126"/>
      <c r="K44" s="125"/>
      <c r="L44" s="127">
        <f t="shared" si="0"/>
        <v>0</v>
      </c>
      <c r="M44" s="127">
        <v>0</v>
      </c>
      <c r="N44" s="127"/>
      <c r="O44" s="125"/>
      <c r="P44" s="127">
        <f t="shared" si="1"/>
        <v>0</v>
      </c>
      <c r="Q44" s="127"/>
      <c r="R44" s="127"/>
      <c r="S44" s="127"/>
    </row>
    <row r="45" spans="1:19" ht="15" customHeight="1">
      <c r="A45" s="266" t="s">
        <v>531</v>
      </c>
      <c r="B45" s="126"/>
      <c r="C45" s="136"/>
      <c r="D45" s="136"/>
      <c r="E45" s="136">
        <f>SUM(E38:E44)</f>
        <v>0</v>
      </c>
      <c r="F45" s="136">
        <f>SUM(F38:F44)</f>
        <v>0</v>
      </c>
      <c r="G45" s="136">
        <f>SUM(G38:G44)</f>
        <v>0</v>
      </c>
      <c r="H45" s="137"/>
      <c r="I45" s="137"/>
      <c r="J45" s="136">
        <f t="shared" ref="J45:P45" si="2">SUM(J38:J44)</f>
        <v>0</v>
      </c>
      <c r="K45" s="136">
        <f t="shared" si="2"/>
        <v>0</v>
      </c>
      <c r="L45" s="136">
        <f t="shared" si="2"/>
        <v>0</v>
      </c>
      <c r="M45" s="136">
        <f t="shared" si="2"/>
        <v>0</v>
      </c>
      <c r="N45" s="136">
        <f t="shared" si="2"/>
        <v>0</v>
      </c>
      <c r="O45" s="136">
        <f t="shared" si="2"/>
        <v>0</v>
      </c>
      <c r="P45" s="136">
        <f t="shared" si="2"/>
        <v>0</v>
      </c>
      <c r="Q45" s="136"/>
      <c r="R45" s="136"/>
      <c r="S45" s="136"/>
    </row>
    <row r="46" spans="1:19" ht="15" customHeight="1">
      <c r="A46" s="332"/>
      <c r="B46" s="332"/>
      <c r="C46" s="332"/>
      <c r="D46" s="332"/>
      <c r="E46" s="332"/>
      <c r="F46" s="332"/>
      <c r="G46" s="333"/>
      <c r="H46" s="333"/>
      <c r="I46" s="332"/>
    </row>
    <row r="47" spans="1:19" ht="15" customHeight="1">
      <c r="A47" s="332"/>
      <c r="B47" s="332"/>
      <c r="C47" s="332"/>
      <c r="D47" s="332"/>
      <c r="E47" s="332"/>
      <c r="F47" s="332"/>
      <c r="G47" s="333"/>
      <c r="H47" s="333"/>
      <c r="I47" s="332"/>
    </row>
    <row r="48" spans="1:19" ht="15" customHeight="1">
      <c r="A48" s="20" t="s">
        <v>508</v>
      </c>
      <c r="B48" s="1"/>
      <c r="C48" s="1"/>
      <c r="D48" s="1"/>
      <c r="E48" s="1"/>
      <c r="F48" s="1"/>
      <c r="G48" s="1"/>
      <c r="H48" s="1"/>
      <c r="I48" s="1"/>
    </row>
    <row r="49" spans="1:9" ht="15" customHeight="1">
      <c r="A49" s="20"/>
      <c r="B49" s="1"/>
      <c r="C49" s="1"/>
      <c r="D49" s="1"/>
      <c r="E49" s="1"/>
      <c r="F49" s="1"/>
      <c r="G49" s="1"/>
      <c r="H49" s="1"/>
      <c r="I49" s="1"/>
    </row>
    <row r="50" spans="1:9" ht="15" customHeight="1">
      <c r="A50" s="20"/>
      <c r="B50" s="1"/>
      <c r="C50" s="1"/>
      <c r="D50" s="1"/>
      <c r="E50" s="1"/>
      <c r="F50" s="1"/>
      <c r="G50" s="1"/>
      <c r="H50" s="1"/>
      <c r="I50" s="1"/>
    </row>
    <row r="51" spans="1:9" ht="15" customHeight="1">
      <c r="A51" s="20"/>
      <c r="B51" s="1"/>
      <c r="C51" s="1"/>
      <c r="D51" s="1"/>
      <c r="E51" s="1"/>
      <c r="F51" s="1"/>
      <c r="G51" s="1"/>
      <c r="H51" s="1"/>
      <c r="I51" s="1"/>
    </row>
    <row r="52" spans="1:9" ht="15" customHeight="1">
      <c r="A52" s="39"/>
      <c r="B52" s="1"/>
      <c r="C52" s="1"/>
      <c r="D52" s="1"/>
      <c r="E52" s="1"/>
      <c r="F52" s="1"/>
      <c r="G52" s="1"/>
      <c r="H52" s="1"/>
      <c r="I52" s="1"/>
    </row>
    <row r="53" spans="1:9" ht="15" customHeight="1">
      <c r="A53" s="48" t="s">
        <v>509</v>
      </c>
      <c r="B53" s="1"/>
      <c r="C53" s="1"/>
      <c r="D53" s="1"/>
      <c r="E53" s="1"/>
      <c r="F53" s="1"/>
      <c r="G53" s="1"/>
      <c r="H53" s="1"/>
      <c r="I53" s="1"/>
    </row>
    <row r="54" spans="1:9" ht="15" customHeight="1">
      <c r="A54" s="48"/>
      <c r="B54" s="1"/>
      <c r="C54" s="1"/>
      <c r="D54" s="1"/>
      <c r="E54" s="1"/>
      <c r="F54" s="1"/>
      <c r="G54" s="1"/>
      <c r="H54" s="1"/>
      <c r="I54" s="1"/>
    </row>
    <row r="55" spans="1:9" ht="15" customHeight="1">
      <c r="A55" s="48"/>
      <c r="B55" s="1"/>
      <c r="C55" s="1"/>
      <c r="D55" s="1"/>
      <c r="E55" s="1"/>
      <c r="F55" s="1"/>
      <c r="G55" s="1"/>
      <c r="H55" s="1"/>
      <c r="I55" s="1"/>
    </row>
    <row r="56" spans="1:9" ht="15" customHeight="1">
      <c r="A56" s="48"/>
      <c r="B56" s="1"/>
      <c r="C56" s="1"/>
      <c r="D56" s="1"/>
      <c r="E56" s="1"/>
      <c r="F56" s="1"/>
      <c r="G56" s="1"/>
      <c r="H56" s="1"/>
      <c r="I56" s="1"/>
    </row>
    <row r="57" spans="1:9" ht="15" customHeight="1">
      <c r="A57" s="267" t="s">
        <v>532</v>
      </c>
    </row>
    <row r="58" spans="1:9" ht="15" customHeight="1">
      <c r="A58" s="176" t="s">
        <v>533</v>
      </c>
    </row>
    <row r="59" spans="1:9" ht="15" customHeight="1">
      <c r="A59" s="176"/>
    </row>
    <row r="60" spans="1:9" ht="15" customHeight="1">
      <c r="A60" s="176" t="s">
        <v>534</v>
      </c>
    </row>
    <row r="61" spans="1:9" ht="15" customHeight="1">
      <c r="A61" s="176" t="s">
        <v>90</v>
      </c>
    </row>
    <row r="62" spans="1:9" ht="15" customHeight="1">
      <c r="A62" s="176" t="s">
        <v>91</v>
      </c>
    </row>
    <row r="63" spans="1:9" ht="15" customHeight="1">
      <c r="A63" s="176"/>
    </row>
    <row r="64" spans="1:9" ht="15" customHeight="1">
      <c r="A64" s="176" t="s">
        <v>535</v>
      </c>
    </row>
    <row r="65" spans="1:1" ht="15" customHeight="1">
      <c r="A65" s="176"/>
    </row>
    <row r="66" spans="1:1" ht="15" customHeight="1">
      <c r="A66" s="176" t="s">
        <v>536</v>
      </c>
    </row>
  </sheetData>
  <mergeCells count="19">
    <mergeCell ref="F25:F26"/>
    <mergeCell ref="G25:H25"/>
    <mergeCell ref="I25:I26"/>
    <mergeCell ref="B21:C21"/>
    <mergeCell ref="A25:A26"/>
    <mergeCell ref="B25:B26"/>
    <mergeCell ref="C25:C26"/>
    <mergeCell ref="D25:D26"/>
    <mergeCell ref="E25:E26"/>
    <mergeCell ref="A13:R13"/>
    <mergeCell ref="A14:R14"/>
    <mergeCell ref="A15:R15"/>
    <mergeCell ref="A1:S1"/>
    <mergeCell ref="A2:S2"/>
    <mergeCell ref="A9:R9"/>
    <mergeCell ref="A10:S10"/>
    <mergeCell ref="A11:R11"/>
    <mergeCell ref="A12:R12"/>
    <mergeCell ref="A8:R8"/>
  </mergeCells>
  <phoneticPr fontId="43" type="noConversion"/>
  <hyperlinks>
    <hyperlink ref="S3" location="底稿目录!A1" display="J1-10"/>
  </hyperlinks>
  <pageMargins left="0.70866141732283472" right="0.70866141732283472" top="0.74803149606299213" bottom="0.74803149606299213" header="0.31496062992125984" footer="0.31496062992125984"/>
  <pageSetup paperSize="9" scale="78" orientation="landscape" r:id="rId1"/>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0000"/>
  </sheetPr>
  <dimension ref="A1:J37"/>
  <sheetViews>
    <sheetView view="pageBreakPreview" topLeftCell="A7" zoomScaleSheetLayoutView="100" workbookViewId="0">
      <selection activeCell="K6" sqref="K6:K7"/>
    </sheetView>
  </sheetViews>
  <sheetFormatPr defaultColWidth="9" defaultRowHeight="15" customHeight="1"/>
  <cols>
    <col min="1" max="1" width="4.21875" style="96" customWidth="1"/>
    <col min="2" max="2" width="7.44140625" style="96" customWidth="1"/>
    <col min="3" max="9" width="10.6640625" style="96" customWidth="1"/>
    <col min="10" max="16384" width="9" style="96"/>
  </cols>
  <sheetData>
    <row r="1" spans="1:10" ht="15" customHeight="1">
      <c r="A1" s="813" t="s">
        <v>502</v>
      </c>
      <c r="B1" s="813"/>
      <c r="C1" s="813"/>
      <c r="D1" s="813"/>
      <c r="E1" s="813"/>
      <c r="F1" s="813"/>
      <c r="G1" s="813"/>
      <c r="H1" s="813"/>
      <c r="I1" s="813"/>
    </row>
    <row r="2" spans="1:10" s="194" customFormat="1" ht="15" customHeight="1">
      <c r="A2" s="814" t="s">
        <v>503</v>
      </c>
      <c r="B2" s="814"/>
      <c r="C2" s="814"/>
      <c r="D2" s="814"/>
      <c r="E2" s="814"/>
      <c r="F2" s="814"/>
      <c r="G2" s="814"/>
      <c r="H2" s="814"/>
      <c r="I2" s="814"/>
      <c r="J2" s="488" t="s">
        <v>1183</v>
      </c>
    </row>
    <row r="3" spans="1:10" ht="15" customHeight="1">
      <c r="A3" s="13" t="str">
        <f>底稿目录!A2</f>
        <v>被审计单位：</v>
      </c>
      <c r="B3" s="13"/>
      <c r="C3" s="13"/>
      <c r="D3" s="13" t="str">
        <f>底稿目录!A4</f>
        <v>编制人：</v>
      </c>
      <c r="F3" s="110" t="str">
        <f>底稿目录!A5</f>
        <v>编制日期：</v>
      </c>
      <c r="G3" s="324"/>
      <c r="H3" s="73" t="s">
        <v>99</v>
      </c>
      <c r="I3" s="322" t="s">
        <v>93</v>
      </c>
    </row>
    <row r="4" spans="1:10" ht="15" customHeight="1">
      <c r="A4" s="13" t="str">
        <f>底稿目录!A3</f>
        <v>截止日：202X年12月31日</v>
      </c>
      <c r="B4" s="13"/>
      <c r="C4" s="13"/>
      <c r="D4" s="13" t="str">
        <f>底稿目录!A6</f>
        <v>复核人：</v>
      </c>
      <c r="F4" s="110" t="str">
        <f>底稿目录!A7</f>
        <v>复核日期：</v>
      </c>
      <c r="G4" s="324"/>
      <c r="H4" s="73" t="s">
        <v>475</v>
      </c>
    </row>
    <row r="5" spans="1:10" ht="15" customHeight="1">
      <c r="A5" s="61" t="s">
        <v>504</v>
      </c>
      <c r="B5" s="61"/>
      <c r="C5" s="61"/>
      <c r="D5" s="13"/>
      <c r="E5" s="13"/>
      <c r="F5" s="13"/>
      <c r="G5" s="13"/>
      <c r="H5" s="13"/>
      <c r="I5" s="73"/>
    </row>
    <row r="6" spans="1:10" ht="15" customHeight="1">
      <c r="A6" s="63"/>
      <c r="B6" s="264" t="s">
        <v>505</v>
      </c>
      <c r="D6" s="13"/>
      <c r="E6" s="13"/>
      <c r="F6" s="13"/>
      <c r="G6" s="13"/>
      <c r="H6" s="13"/>
      <c r="I6" s="73"/>
    </row>
    <row r="7" spans="1:10" ht="15" customHeight="1">
      <c r="A7" s="64" t="s">
        <v>506</v>
      </c>
      <c r="B7" s="64"/>
      <c r="C7" s="1"/>
      <c r="D7" s="13"/>
      <c r="E7" s="13"/>
      <c r="F7" s="13"/>
      <c r="G7" s="13"/>
      <c r="H7" s="13"/>
      <c r="I7" s="73"/>
    </row>
    <row r="8" spans="1:10" ht="15" customHeight="1">
      <c r="A8" s="265" t="s">
        <v>507</v>
      </c>
      <c r="B8" s="70"/>
      <c r="C8" s="1"/>
      <c r="D8" s="13"/>
      <c r="E8" s="13"/>
      <c r="F8" s="13"/>
      <c r="G8" s="13"/>
      <c r="H8" s="13"/>
      <c r="I8" s="73"/>
    </row>
    <row r="9" spans="1:10" ht="15" customHeight="1">
      <c r="A9" s="265" t="s">
        <v>1181</v>
      </c>
      <c r="B9" s="70"/>
      <c r="C9" s="1"/>
      <c r="D9" s="13"/>
      <c r="E9" s="13"/>
      <c r="F9" s="13"/>
      <c r="G9" s="13"/>
      <c r="H9" s="13"/>
      <c r="I9" s="73"/>
    </row>
    <row r="10" spans="1:10" ht="15" customHeight="1">
      <c r="A10" s="265" t="s">
        <v>1182</v>
      </c>
      <c r="B10" s="13"/>
      <c r="C10" s="13"/>
      <c r="D10" s="13"/>
      <c r="E10" s="13"/>
      <c r="F10" s="13"/>
      <c r="G10" s="13"/>
      <c r="H10" s="13"/>
      <c r="I10" s="73"/>
    </row>
    <row r="11" spans="1:10" ht="15" customHeight="1">
      <c r="A11" s="815" t="s">
        <v>859</v>
      </c>
      <c r="B11" s="816"/>
      <c r="C11" s="766" t="s">
        <v>860</v>
      </c>
      <c r="D11" s="766" t="s">
        <v>861</v>
      </c>
      <c r="E11" s="325" t="s">
        <v>862</v>
      </c>
      <c r="F11" s="326" t="s">
        <v>863</v>
      </c>
      <c r="G11" s="326"/>
      <c r="H11" s="766" t="s">
        <v>864</v>
      </c>
      <c r="I11" s="766" t="s">
        <v>865</v>
      </c>
    </row>
    <row r="12" spans="1:10" ht="15" customHeight="1">
      <c r="A12" s="817"/>
      <c r="B12" s="818"/>
      <c r="C12" s="766"/>
      <c r="D12" s="766"/>
      <c r="E12" s="325" t="s">
        <v>866</v>
      </c>
      <c r="F12" s="325" t="s">
        <v>586</v>
      </c>
      <c r="G12" s="325" t="s">
        <v>562</v>
      </c>
      <c r="H12" s="766"/>
      <c r="I12" s="766"/>
    </row>
    <row r="13" spans="1:10" ht="15" customHeight="1">
      <c r="A13" s="819"/>
      <c r="B13" s="820"/>
      <c r="C13" s="320"/>
      <c r="D13" s="327"/>
      <c r="E13" s="327"/>
      <c r="F13" s="320"/>
      <c r="G13" s="327"/>
      <c r="H13" s="328">
        <f>C13-F13</f>
        <v>0</v>
      </c>
      <c r="I13" s="327"/>
    </row>
    <row r="14" spans="1:10" ht="15" customHeight="1">
      <c r="A14" s="819"/>
      <c r="B14" s="820"/>
      <c r="C14" s="320"/>
      <c r="D14" s="327"/>
      <c r="E14" s="327"/>
      <c r="F14" s="320"/>
      <c r="G14" s="327"/>
      <c r="H14" s="328">
        <f t="shared" ref="H14:H30" si="0">C14-F14</f>
        <v>0</v>
      </c>
      <c r="I14" s="327"/>
    </row>
    <row r="15" spans="1:10" ht="15" customHeight="1">
      <c r="A15" s="819"/>
      <c r="B15" s="820"/>
      <c r="C15" s="320"/>
      <c r="D15" s="327"/>
      <c r="E15" s="327"/>
      <c r="F15" s="320"/>
      <c r="G15" s="327"/>
      <c r="H15" s="328">
        <f t="shared" si="0"/>
        <v>0</v>
      </c>
      <c r="I15" s="327"/>
    </row>
    <row r="16" spans="1:10" ht="15" customHeight="1">
      <c r="A16" s="819"/>
      <c r="B16" s="820"/>
      <c r="C16" s="320"/>
      <c r="D16" s="327"/>
      <c r="E16" s="327"/>
      <c r="F16" s="320"/>
      <c r="G16" s="327"/>
      <c r="H16" s="328">
        <f t="shared" si="0"/>
        <v>0</v>
      </c>
      <c r="I16" s="327"/>
    </row>
    <row r="17" spans="1:9" ht="15" customHeight="1">
      <c r="A17" s="819"/>
      <c r="B17" s="820"/>
      <c r="C17" s="320"/>
      <c r="D17" s="327"/>
      <c r="E17" s="327"/>
      <c r="F17" s="320"/>
      <c r="G17" s="327"/>
      <c r="H17" s="328">
        <f t="shared" si="0"/>
        <v>0</v>
      </c>
      <c r="I17" s="327"/>
    </row>
    <row r="18" spans="1:9" ht="15" customHeight="1">
      <c r="A18" s="819"/>
      <c r="B18" s="820"/>
      <c r="C18" s="320"/>
      <c r="D18" s="327"/>
      <c r="E18" s="327"/>
      <c r="F18" s="320"/>
      <c r="G18" s="327"/>
      <c r="H18" s="328">
        <f t="shared" si="0"/>
        <v>0</v>
      </c>
      <c r="I18" s="327"/>
    </row>
    <row r="19" spans="1:9" ht="15" customHeight="1">
      <c r="A19" s="819"/>
      <c r="B19" s="820"/>
      <c r="C19" s="320"/>
      <c r="D19" s="327"/>
      <c r="E19" s="327"/>
      <c r="F19" s="320"/>
      <c r="G19" s="327"/>
      <c r="H19" s="328">
        <f t="shared" si="0"/>
        <v>0</v>
      </c>
      <c r="I19" s="327"/>
    </row>
    <row r="20" spans="1:9" ht="15" customHeight="1">
      <c r="A20" s="819"/>
      <c r="B20" s="820"/>
      <c r="C20" s="320"/>
      <c r="D20" s="327"/>
      <c r="E20" s="327"/>
      <c r="F20" s="320"/>
      <c r="G20" s="327"/>
      <c r="H20" s="328">
        <f t="shared" si="0"/>
        <v>0</v>
      </c>
      <c r="I20" s="327"/>
    </row>
    <row r="21" spans="1:9" ht="15" customHeight="1">
      <c r="A21" s="819"/>
      <c r="B21" s="820"/>
      <c r="C21" s="320"/>
      <c r="D21" s="327"/>
      <c r="E21" s="327"/>
      <c r="F21" s="320"/>
      <c r="G21" s="327"/>
      <c r="H21" s="328">
        <f t="shared" si="0"/>
        <v>0</v>
      </c>
      <c r="I21" s="327"/>
    </row>
    <row r="22" spans="1:9" ht="15" customHeight="1">
      <c r="A22" s="819"/>
      <c r="B22" s="820"/>
      <c r="C22" s="320"/>
      <c r="D22" s="327"/>
      <c r="E22" s="327"/>
      <c r="F22" s="320"/>
      <c r="G22" s="327"/>
      <c r="H22" s="328">
        <f t="shared" si="0"/>
        <v>0</v>
      </c>
      <c r="I22" s="327"/>
    </row>
    <row r="23" spans="1:9" ht="15" customHeight="1">
      <c r="A23" s="819"/>
      <c r="B23" s="820"/>
      <c r="C23" s="320"/>
      <c r="D23" s="327"/>
      <c r="E23" s="327"/>
      <c r="F23" s="320"/>
      <c r="G23" s="327"/>
      <c r="H23" s="328">
        <f t="shared" si="0"/>
        <v>0</v>
      </c>
      <c r="I23" s="327"/>
    </row>
    <row r="24" spans="1:9" ht="15" customHeight="1">
      <c r="A24" s="819"/>
      <c r="B24" s="820"/>
      <c r="C24" s="320"/>
      <c r="D24" s="327"/>
      <c r="E24" s="327"/>
      <c r="F24" s="320"/>
      <c r="G24" s="327"/>
      <c r="H24" s="328">
        <f t="shared" si="0"/>
        <v>0</v>
      </c>
      <c r="I24" s="327"/>
    </row>
    <row r="25" spans="1:9" ht="15" customHeight="1">
      <c r="A25" s="819"/>
      <c r="B25" s="820"/>
      <c r="C25" s="320"/>
      <c r="D25" s="327"/>
      <c r="E25" s="327"/>
      <c r="F25" s="320"/>
      <c r="G25" s="327"/>
      <c r="H25" s="328">
        <f t="shared" si="0"/>
        <v>0</v>
      </c>
      <c r="I25" s="327"/>
    </row>
    <row r="26" spans="1:9" ht="15" customHeight="1">
      <c r="A26" s="819"/>
      <c r="B26" s="820"/>
      <c r="C26" s="320"/>
      <c r="D26" s="327"/>
      <c r="E26" s="327"/>
      <c r="F26" s="320"/>
      <c r="G26" s="327"/>
      <c r="H26" s="328">
        <f t="shared" si="0"/>
        <v>0</v>
      </c>
      <c r="I26" s="327"/>
    </row>
    <row r="27" spans="1:9" ht="15" customHeight="1">
      <c r="A27" s="819"/>
      <c r="B27" s="820"/>
      <c r="C27" s="320"/>
      <c r="D27" s="327"/>
      <c r="E27" s="327"/>
      <c r="F27" s="320"/>
      <c r="G27" s="327"/>
      <c r="H27" s="328">
        <f t="shared" si="0"/>
        <v>0</v>
      </c>
      <c r="I27" s="327"/>
    </row>
    <row r="28" spans="1:9" ht="15" customHeight="1">
      <c r="A28" s="819"/>
      <c r="B28" s="820"/>
      <c r="C28" s="320"/>
      <c r="D28" s="327"/>
      <c r="E28" s="327"/>
      <c r="F28" s="320"/>
      <c r="G28" s="327"/>
      <c r="H28" s="328">
        <f t="shared" si="0"/>
        <v>0</v>
      </c>
      <c r="I28" s="327"/>
    </row>
    <row r="29" spans="1:9" ht="15" customHeight="1">
      <c r="A29" s="819"/>
      <c r="B29" s="820"/>
      <c r="C29" s="320"/>
      <c r="D29" s="327"/>
      <c r="E29" s="327"/>
      <c r="F29" s="320"/>
      <c r="G29" s="327"/>
      <c r="H29" s="328">
        <f t="shared" si="0"/>
        <v>0</v>
      </c>
      <c r="I29" s="327"/>
    </row>
    <row r="30" spans="1:9" ht="15" customHeight="1">
      <c r="A30" s="819"/>
      <c r="B30" s="820"/>
      <c r="C30" s="320"/>
      <c r="D30" s="327"/>
      <c r="E30" s="327"/>
      <c r="F30" s="320"/>
      <c r="G30" s="327"/>
      <c r="H30" s="328">
        <f t="shared" si="0"/>
        <v>0</v>
      </c>
      <c r="I30" s="327"/>
    </row>
    <row r="31" spans="1:9" ht="15" customHeight="1">
      <c r="A31" s="811" t="s">
        <v>867</v>
      </c>
      <c r="B31" s="812"/>
      <c r="C31" s="328">
        <f>SUM(C13:C30)</f>
        <v>0</v>
      </c>
      <c r="D31" s="327"/>
      <c r="E31" s="327"/>
      <c r="F31" s="328">
        <f>SUM(F13:F30)</f>
        <v>0</v>
      </c>
      <c r="G31" s="327"/>
      <c r="H31" s="328">
        <f>SUM(H13:H30)</f>
        <v>0</v>
      </c>
      <c r="I31" s="327"/>
    </row>
    <row r="32" spans="1:9" ht="15" customHeight="1">
      <c r="A32" s="20" t="s">
        <v>508</v>
      </c>
      <c r="B32" s="329"/>
      <c r="C32" s="59"/>
      <c r="D32" s="59"/>
      <c r="E32" s="59"/>
      <c r="F32" s="59"/>
      <c r="G32" s="59"/>
      <c r="H32" s="59"/>
      <c r="I32" s="59"/>
    </row>
    <row r="33" spans="1:1" ht="15" customHeight="1">
      <c r="A33" s="20"/>
    </row>
    <row r="34" spans="1:1" ht="15" customHeight="1">
      <c r="A34" s="20"/>
    </row>
    <row r="35" spans="1:1" ht="15" customHeight="1">
      <c r="A35" s="48" t="s">
        <v>509</v>
      </c>
    </row>
    <row r="36" spans="1:1" ht="15" customHeight="1">
      <c r="A36" s="48"/>
    </row>
    <row r="37" spans="1:1" ht="15" customHeight="1">
      <c r="A37" s="48"/>
    </row>
  </sheetData>
  <mergeCells count="26">
    <mergeCell ref="A26:B26"/>
    <mergeCell ref="A27:B27"/>
    <mergeCell ref="A28:B28"/>
    <mergeCell ref="A29:B29"/>
    <mergeCell ref="A30:B30"/>
    <mergeCell ref="A21:B21"/>
    <mergeCell ref="A22:B22"/>
    <mergeCell ref="A23:B23"/>
    <mergeCell ref="A24:B24"/>
    <mergeCell ref="A25:B25"/>
    <mergeCell ref="A31:B31"/>
    <mergeCell ref="A1:I1"/>
    <mergeCell ref="A2:I2"/>
    <mergeCell ref="C11:C12"/>
    <mergeCell ref="D11:D12"/>
    <mergeCell ref="H11:H12"/>
    <mergeCell ref="I11:I12"/>
    <mergeCell ref="A11:B12"/>
    <mergeCell ref="A13:B13"/>
    <mergeCell ref="A14:B14"/>
    <mergeCell ref="A15:B15"/>
    <mergeCell ref="A16:B16"/>
    <mergeCell ref="A17:B17"/>
    <mergeCell ref="A18:B18"/>
    <mergeCell ref="A19:B19"/>
    <mergeCell ref="A20:B20"/>
  </mergeCells>
  <phoneticPr fontId="43" type="noConversion"/>
  <hyperlinks>
    <hyperlink ref="I3" location="底稿目录!A1" display="J1-11"/>
  </hyperlinks>
  <pageMargins left="0.70866141732283472" right="0.70866141732283472" top="0.74803149606299213" bottom="0.74803149606299213" header="0.31496062992125984" footer="0.31496062992125984"/>
  <pageSetup paperSize="9" orientation="portrait" r:id="rId1"/>
  <headerFooter>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FF0000"/>
  </sheetPr>
  <dimension ref="A1:I53"/>
  <sheetViews>
    <sheetView view="pageBreakPreview" zoomScaleNormal="100" zoomScaleSheetLayoutView="100" workbookViewId="0">
      <selection activeCell="L41" sqref="L41"/>
    </sheetView>
  </sheetViews>
  <sheetFormatPr defaultColWidth="9" defaultRowHeight="15" customHeight="1"/>
  <cols>
    <col min="1" max="1" width="14.33203125" style="96" customWidth="1"/>
    <col min="2" max="2" width="16.6640625" style="96" customWidth="1"/>
    <col min="3" max="3" width="12.77734375" style="96" customWidth="1"/>
    <col min="4" max="5" width="9" style="96"/>
    <col min="6" max="6" width="7.88671875" style="96" customWidth="1"/>
    <col min="7" max="8" width="6.44140625" style="96" customWidth="1"/>
    <col min="9" max="16384" width="9" style="96"/>
  </cols>
  <sheetData>
    <row r="1" spans="1:9" ht="15" customHeight="1">
      <c r="A1" s="670" t="s">
        <v>97</v>
      </c>
      <c r="B1" s="670"/>
      <c r="C1" s="670"/>
      <c r="D1" s="670"/>
      <c r="E1" s="670"/>
      <c r="F1" s="670"/>
      <c r="G1" s="670"/>
    </row>
    <row r="2" spans="1:9" s="194" customFormat="1" ht="15" customHeight="1">
      <c r="A2" s="671" t="s">
        <v>483</v>
      </c>
      <c r="B2" s="671"/>
      <c r="C2" s="671"/>
      <c r="D2" s="671"/>
      <c r="E2" s="671"/>
      <c r="F2" s="671"/>
      <c r="G2" s="671"/>
      <c r="I2" s="194" t="s">
        <v>1198</v>
      </c>
    </row>
    <row r="3" spans="1:9" ht="15" customHeight="1">
      <c r="A3" s="13" t="str">
        <f>底稿目录!A2</f>
        <v>被审计单位：</v>
      </c>
      <c r="B3" s="16"/>
      <c r="C3" s="13" t="str">
        <f>底稿目录!A4</f>
        <v>编制人：</v>
      </c>
      <c r="D3" s="12"/>
      <c r="E3" s="110" t="str">
        <f>底稿目录!A5</f>
        <v>编制日期：</v>
      </c>
      <c r="F3" s="110"/>
      <c r="G3" s="110" t="s">
        <v>99</v>
      </c>
      <c r="H3" s="291" t="s">
        <v>94</v>
      </c>
    </row>
    <row r="4" spans="1:9" ht="15" customHeight="1">
      <c r="A4" s="13" t="str">
        <f>底稿目录!A3</f>
        <v>截止日：202X年12月31日</v>
      </c>
      <c r="B4" s="16"/>
      <c r="C4" s="13" t="str">
        <f>底稿目录!A6</f>
        <v>复核人：</v>
      </c>
      <c r="D4" s="12"/>
      <c r="E4" s="110" t="str">
        <f>底稿目录!A7</f>
        <v>复核日期：</v>
      </c>
      <c r="F4" s="110"/>
      <c r="G4" s="110" t="s">
        <v>484</v>
      </c>
      <c r="H4" s="13"/>
    </row>
    <row r="5" spans="1:9" ht="15" customHeight="1">
      <c r="A5" s="61" t="s">
        <v>485</v>
      </c>
      <c r="B5" s="128"/>
      <c r="C5" s="13"/>
      <c r="D5" s="13"/>
      <c r="E5" s="13"/>
      <c r="F5" s="13"/>
      <c r="G5" s="13"/>
    </row>
    <row r="6" spans="1:9" ht="15" customHeight="1">
      <c r="A6" s="263" t="s">
        <v>486</v>
      </c>
      <c r="B6" s="13"/>
      <c r="C6" s="13"/>
      <c r="D6" s="13"/>
      <c r="E6" s="13"/>
      <c r="F6" s="13"/>
      <c r="G6" s="13"/>
    </row>
    <row r="7" spans="1:9" ht="15" customHeight="1">
      <c r="A7" s="263" t="s">
        <v>487</v>
      </c>
      <c r="B7" s="13"/>
      <c r="C7" s="13"/>
      <c r="D7" s="13"/>
      <c r="E7" s="13"/>
      <c r="F7" s="13"/>
      <c r="G7" s="13"/>
    </row>
    <row r="9" spans="1:9" ht="15" customHeight="1">
      <c r="A9" s="61" t="s">
        <v>488</v>
      </c>
      <c r="B9" s="128"/>
      <c r="C9" s="13"/>
      <c r="D9" s="13"/>
      <c r="E9" s="13"/>
      <c r="F9" s="13"/>
      <c r="G9" s="13"/>
    </row>
    <row r="10" spans="1:9" ht="15" customHeight="1">
      <c r="A10" s="822" t="s">
        <v>489</v>
      </c>
      <c r="B10" s="822"/>
      <c r="C10" s="822"/>
      <c r="D10" s="822"/>
      <c r="E10" s="822"/>
      <c r="F10" s="822"/>
      <c r="G10" s="822"/>
    </row>
    <row r="11" spans="1:9" ht="26.25" customHeight="1">
      <c r="A11" s="822" t="s">
        <v>490</v>
      </c>
      <c r="B11" s="822"/>
      <c r="C11" s="822"/>
      <c r="D11" s="822"/>
      <c r="E11" s="822"/>
      <c r="F11" s="822"/>
      <c r="G11" s="822"/>
    </row>
    <row r="12" spans="1:9" ht="26.25" customHeight="1">
      <c r="A12" s="822" t="s">
        <v>491</v>
      </c>
      <c r="B12" s="822"/>
      <c r="C12" s="822"/>
      <c r="D12" s="822"/>
      <c r="E12" s="822"/>
      <c r="F12" s="822"/>
      <c r="G12" s="822"/>
    </row>
    <row r="13" spans="1:9" ht="15" customHeight="1">
      <c r="A13" s="822" t="s">
        <v>492</v>
      </c>
      <c r="B13" s="822"/>
      <c r="C13" s="822"/>
      <c r="D13" s="822"/>
      <c r="E13" s="822"/>
      <c r="F13" s="822"/>
      <c r="G13" s="822"/>
    </row>
    <row r="14" spans="1:9" ht="26.25" customHeight="1">
      <c r="A14" s="822" t="s">
        <v>493</v>
      </c>
      <c r="B14" s="822"/>
      <c r="C14" s="822"/>
      <c r="D14" s="822"/>
      <c r="E14" s="822"/>
      <c r="F14" s="822"/>
      <c r="G14" s="822"/>
    </row>
    <row r="15" spans="1:9" ht="26.25" customHeight="1">
      <c r="A15" s="822" t="s">
        <v>494</v>
      </c>
      <c r="B15" s="822"/>
      <c r="C15" s="822"/>
      <c r="D15" s="822"/>
      <c r="E15" s="822"/>
      <c r="F15" s="822"/>
      <c r="G15" s="822"/>
    </row>
    <row r="16" spans="1:9" ht="15" customHeight="1">
      <c r="A16" s="822" t="s">
        <v>495</v>
      </c>
      <c r="B16" s="822"/>
      <c r="C16" s="822"/>
      <c r="D16" s="822"/>
      <c r="E16" s="822"/>
      <c r="F16" s="822"/>
      <c r="G16" s="822"/>
    </row>
    <row r="17" spans="1:8" ht="15" customHeight="1">
      <c r="A17" s="822" t="s">
        <v>496</v>
      </c>
      <c r="B17" s="822"/>
      <c r="C17" s="822"/>
      <c r="D17" s="822"/>
      <c r="E17" s="822"/>
      <c r="F17" s="822"/>
      <c r="G17" s="822"/>
    </row>
    <row r="18" spans="1:8" ht="15" customHeight="1">
      <c r="A18" s="822" t="s">
        <v>497</v>
      </c>
      <c r="B18" s="822"/>
      <c r="C18" s="822"/>
      <c r="D18" s="822"/>
      <c r="E18" s="822"/>
      <c r="F18" s="822"/>
      <c r="G18" s="822"/>
    </row>
    <row r="19" spans="1:8" ht="15" customHeight="1">
      <c r="A19" s="821" t="s">
        <v>793</v>
      </c>
      <c r="B19" s="821"/>
      <c r="C19" s="821"/>
      <c r="D19" s="821"/>
      <c r="E19" s="821"/>
      <c r="F19" s="821"/>
      <c r="G19" s="821"/>
      <c r="H19" s="292"/>
    </row>
    <row r="20" spans="1:8" ht="15" customHeight="1">
      <c r="A20" s="290"/>
      <c r="B20" s="290"/>
      <c r="C20" s="290"/>
      <c r="D20" s="290"/>
      <c r="E20" s="290"/>
      <c r="F20" s="290"/>
      <c r="G20" s="290"/>
      <c r="H20" s="292"/>
    </row>
    <row r="21" spans="1:8" ht="15" customHeight="1">
      <c r="A21" s="821" t="s">
        <v>794</v>
      </c>
      <c r="B21" s="821"/>
      <c r="C21" s="821"/>
      <c r="D21" s="821"/>
      <c r="E21" s="821"/>
      <c r="F21" s="821"/>
      <c r="G21" s="821"/>
      <c r="H21" s="292"/>
    </row>
    <row r="22" spans="1:8" ht="15" customHeight="1">
      <c r="A22" s="290"/>
      <c r="B22" s="290"/>
      <c r="C22" s="290"/>
      <c r="D22" s="290"/>
      <c r="E22" s="290"/>
      <c r="F22" s="290"/>
      <c r="G22" s="290"/>
      <c r="H22" s="292"/>
    </row>
    <row r="23" spans="1:8" ht="15" customHeight="1">
      <c r="A23" s="821" t="s">
        <v>795</v>
      </c>
      <c r="B23" s="821"/>
      <c r="C23" s="821"/>
      <c r="D23" s="821"/>
      <c r="E23" s="821"/>
      <c r="F23" s="821"/>
      <c r="G23" s="821"/>
      <c r="H23" s="292"/>
    </row>
    <row r="24" spans="1:8" ht="15" customHeight="1">
      <c r="A24" s="290"/>
      <c r="B24" s="290"/>
      <c r="C24" s="290"/>
      <c r="D24" s="290"/>
      <c r="E24" s="290"/>
      <c r="F24" s="290"/>
      <c r="G24" s="290"/>
      <c r="H24" s="292"/>
    </row>
    <row r="25" spans="1:8" ht="15" customHeight="1">
      <c r="A25" s="821" t="s">
        <v>796</v>
      </c>
      <c r="B25" s="821"/>
      <c r="C25" s="821"/>
      <c r="D25" s="821"/>
      <c r="E25" s="821"/>
      <c r="F25" s="821"/>
      <c r="G25" s="821"/>
      <c r="H25" s="292"/>
    </row>
    <row r="26" spans="1:8" ht="26.25" customHeight="1">
      <c r="A26" s="293" t="s">
        <v>602</v>
      </c>
      <c r="B26" s="293" t="s">
        <v>797</v>
      </c>
      <c r="C26" s="293" t="s">
        <v>798</v>
      </c>
      <c r="D26" s="293" t="s">
        <v>799</v>
      </c>
      <c r="E26" s="293" t="s">
        <v>800</v>
      </c>
      <c r="F26" s="824" t="s">
        <v>801</v>
      </c>
      <c r="G26" s="824"/>
      <c r="H26" s="824"/>
    </row>
    <row r="27" spans="1:8" ht="15" customHeight="1">
      <c r="A27" s="294"/>
      <c r="B27" s="295"/>
      <c r="C27" s="296"/>
      <c r="D27" s="297"/>
      <c r="E27" s="295"/>
      <c r="F27" s="823"/>
      <c r="G27" s="823"/>
      <c r="H27" s="823"/>
    </row>
    <row r="28" spans="1:8" ht="15" customHeight="1">
      <c r="A28" s="294"/>
      <c r="B28" s="295"/>
      <c r="C28" s="296"/>
      <c r="D28" s="297"/>
      <c r="E28" s="295"/>
      <c r="F28" s="823"/>
      <c r="G28" s="823"/>
      <c r="H28" s="823"/>
    </row>
    <row r="29" spans="1:8" ht="15" customHeight="1">
      <c r="A29" s="294"/>
      <c r="B29" s="295"/>
      <c r="C29" s="296"/>
      <c r="D29" s="297"/>
      <c r="E29" s="295"/>
      <c r="F29" s="823"/>
      <c r="G29" s="823"/>
      <c r="H29" s="823"/>
    </row>
    <row r="30" spans="1:8" ht="15" customHeight="1">
      <c r="A30" s="294"/>
      <c r="B30" s="295"/>
      <c r="C30" s="296"/>
      <c r="D30" s="297"/>
      <c r="E30" s="295"/>
      <c r="F30" s="823"/>
      <c r="G30" s="823"/>
      <c r="H30" s="823"/>
    </row>
    <row r="31" spans="1:8" ht="15" customHeight="1">
      <c r="A31" s="294"/>
      <c r="B31" s="295"/>
      <c r="C31" s="296"/>
      <c r="D31" s="297"/>
      <c r="E31" s="295"/>
      <c r="F31" s="823"/>
      <c r="G31" s="823"/>
      <c r="H31" s="823"/>
    </row>
    <row r="32" spans="1:8" ht="15" customHeight="1">
      <c r="A32" s="294"/>
      <c r="B32" s="295"/>
      <c r="C32" s="296"/>
      <c r="D32" s="297"/>
      <c r="E32" s="295"/>
      <c r="F32" s="823"/>
      <c r="G32" s="823"/>
      <c r="H32" s="823"/>
    </row>
    <row r="33" spans="1:8" ht="15" customHeight="1">
      <c r="A33" s="294"/>
      <c r="B33" s="295"/>
      <c r="C33" s="296"/>
      <c r="D33" s="297"/>
      <c r="E33" s="295"/>
      <c r="F33" s="823"/>
      <c r="G33" s="823"/>
      <c r="H33" s="823"/>
    </row>
    <row r="34" spans="1:8" ht="15" customHeight="1">
      <c r="A34" s="298"/>
      <c r="B34" s="298"/>
      <c r="C34" s="298"/>
      <c r="D34" s="298"/>
      <c r="E34" s="298"/>
      <c r="F34" s="823"/>
      <c r="G34" s="823"/>
      <c r="H34" s="823"/>
    </row>
    <row r="35" spans="1:8" ht="15" customHeight="1">
      <c r="A35" s="821" t="s">
        <v>802</v>
      </c>
      <c r="B35" s="821"/>
      <c r="C35" s="821"/>
      <c r="D35" s="821"/>
      <c r="E35" s="821"/>
      <c r="F35" s="821"/>
      <c r="G35" s="821"/>
      <c r="H35" s="821"/>
    </row>
    <row r="36" spans="1:8" ht="26.25" customHeight="1">
      <c r="A36" s="293" t="s">
        <v>602</v>
      </c>
      <c r="B36" s="293" t="s">
        <v>803</v>
      </c>
      <c r="C36" s="293" t="s">
        <v>798</v>
      </c>
      <c r="D36" s="293" t="s">
        <v>799</v>
      </c>
      <c r="E36" s="293" t="s">
        <v>804</v>
      </c>
      <c r="F36" s="824" t="s">
        <v>801</v>
      </c>
      <c r="G36" s="824"/>
      <c r="H36" s="824"/>
    </row>
    <row r="37" spans="1:8" ht="15" customHeight="1">
      <c r="A37" s="299"/>
      <c r="B37" s="300"/>
      <c r="C37" s="296"/>
      <c r="D37" s="301"/>
      <c r="E37" s="300"/>
      <c r="F37" s="825"/>
      <c r="G37" s="825"/>
      <c r="H37" s="825"/>
    </row>
    <row r="38" spans="1:8" ht="15" customHeight="1">
      <c r="A38" s="299"/>
      <c r="B38" s="300"/>
      <c r="C38" s="296"/>
      <c r="D38" s="301"/>
      <c r="E38" s="300"/>
      <c r="F38" s="825"/>
      <c r="G38" s="825"/>
      <c r="H38" s="825"/>
    </row>
    <row r="40" spans="1:8" ht="15" customHeight="1">
      <c r="A40" s="821" t="s">
        <v>789</v>
      </c>
      <c r="B40" s="821"/>
      <c r="C40" s="821"/>
      <c r="D40" s="821"/>
      <c r="E40" s="821"/>
      <c r="F40" s="821"/>
      <c r="G40" s="821"/>
      <c r="H40" s="821"/>
    </row>
    <row r="41" spans="1:8" ht="15" customHeight="1">
      <c r="A41" s="61" t="s">
        <v>498</v>
      </c>
      <c r="B41" s="128"/>
    </row>
    <row r="42" spans="1:8" ht="15" customHeight="1">
      <c r="A42" s="61"/>
      <c r="B42" s="128"/>
    </row>
    <row r="43" spans="1:8" ht="15" customHeight="1">
      <c r="A43" s="61" t="s">
        <v>499</v>
      </c>
      <c r="B43" s="128"/>
    </row>
    <row r="44" spans="1:8" ht="15" customHeight="1">
      <c r="A44" s="128" t="s">
        <v>790</v>
      </c>
      <c r="B44" s="128"/>
    </row>
    <row r="45" spans="1:8" ht="15" customHeight="1">
      <c r="A45" s="128"/>
      <c r="B45" s="128"/>
    </row>
    <row r="46" spans="1:8" ht="15" customHeight="1">
      <c r="A46" s="128" t="s">
        <v>791</v>
      </c>
      <c r="B46" s="128"/>
    </row>
    <row r="47" spans="1:8" ht="15" customHeight="1">
      <c r="A47" s="128"/>
      <c r="B47" s="128"/>
    </row>
    <row r="48" spans="1:8" ht="15" customHeight="1">
      <c r="A48" s="13"/>
      <c r="B48" s="13"/>
    </row>
    <row r="49" spans="1:2" ht="15" customHeight="1">
      <c r="A49" s="13" t="s">
        <v>792</v>
      </c>
      <c r="B49" s="13"/>
    </row>
    <row r="51" spans="1:2" ht="15" customHeight="1">
      <c r="A51" s="15" t="s">
        <v>500</v>
      </c>
    </row>
    <row r="52" spans="1:2" ht="15" customHeight="1">
      <c r="A52" s="13"/>
    </row>
    <row r="53" spans="1:2" ht="15" customHeight="1">
      <c r="A53" s="15" t="s">
        <v>501</v>
      </c>
    </row>
  </sheetData>
  <mergeCells count="29">
    <mergeCell ref="F37:H37"/>
    <mergeCell ref="F38:H38"/>
    <mergeCell ref="A1:G1"/>
    <mergeCell ref="A2:G2"/>
    <mergeCell ref="F27:H27"/>
    <mergeCell ref="A13:G13"/>
    <mergeCell ref="A14:G14"/>
    <mergeCell ref="A15:G15"/>
    <mergeCell ref="F32:H32"/>
    <mergeCell ref="F34:H34"/>
    <mergeCell ref="A16:G16"/>
    <mergeCell ref="A17:G17"/>
    <mergeCell ref="A18:G18"/>
    <mergeCell ref="A40:H40"/>
    <mergeCell ref="A10:G10"/>
    <mergeCell ref="A11:G11"/>
    <mergeCell ref="A12:G12"/>
    <mergeCell ref="F28:H28"/>
    <mergeCell ref="F29:H29"/>
    <mergeCell ref="F30:H30"/>
    <mergeCell ref="F31:H31"/>
    <mergeCell ref="F33:H33"/>
    <mergeCell ref="A35:H35"/>
    <mergeCell ref="A19:G19"/>
    <mergeCell ref="A21:G21"/>
    <mergeCell ref="A23:G23"/>
    <mergeCell ref="A25:G25"/>
    <mergeCell ref="F26:H26"/>
    <mergeCell ref="F36:H36"/>
  </mergeCells>
  <phoneticPr fontId="43" type="noConversion"/>
  <hyperlinks>
    <hyperlink ref="H3" location="底稿目录!A1" display="J1-12"/>
  </hyperlinks>
  <pageMargins left="0.70866141732283472" right="0.70866141732283472" top="0.74803149606299213" bottom="0.74803149606299213" header="0.31496062992125984" footer="0.31496062992125984"/>
  <pageSetup paperSize="9" orientation="portrait" r:id="rId1"/>
  <headerFooter>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92D050"/>
    <pageSetUpPr fitToPage="1"/>
  </sheetPr>
  <dimension ref="A1:A111"/>
  <sheetViews>
    <sheetView showGridLines="0" showZeros="0" view="pageBreakPreview" zoomScaleNormal="100" workbookViewId="0">
      <selection activeCell="C16" sqref="C16"/>
    </sheetView>
  </sheetViews>
  <sheetFormatPr defaultColWidth="9" defaultRowHeight="15.6"/>
  <cols>
    <col min="1" max="1" width="113.6640625" style="132" customWidth="1"/>
    <col min="2" max="2" width="13" style="133" customWidth="1"/>
    <col min="3" max="3" width="13.21875" style="133" customWidth="1"/>
    <col min="4" max="4" width="12.109375" style="133" customWidth="1"/>
    <col min="5" max="5" width="9.77734375" style="133" customWidth="1"/>
    <col min="6" max="6" width="9" style="133"/>
    <col min="7" max="7" width="7.44140625" style="133" customWidth="1"/>
    <col min="8" max="8" width="12.33203125" style="133" customWidth="1"/>
    <col min="9" max="16384" width="9" style="133"/>
  </cols>
  <sheetData>
    <row r="1" spans="1:1" s="129" customFormat="1">
      <c r="A1" s="131"/>
    </row>
    <row r="2" spans="1:1" s="129" customFormat="1">
      <c r="A2" s="261" t="s">
        <v>367</v>
      </c>
    </row>
    <row r="3" spans="1:1" s="129" customFormat="1" ht="39" customHeight="1">
      <c r="A3" s="130" t="s">
        <v>368</v>
      </c>
    </row>
    <row r="4" spans="1:1" s="129" customFormat="1">
      <c r="A4" s="130"/>
    </row>
    <row r="5" spans="1:1" s="129" customFormat="1" ht="28.8">
      <c r="A5" s="130" t="s">
        <v>369</v>
      </c>
    </row>
    <row r="6" spans="1:1" s="129" customFormat="1">
      <c r="A6" s="130" t="s">
        <v>370</v>
      </c>
    </row>
    <row r="7" spans="1:1" s="129" customFormat="1">
      <c r="A7" s="261" t="s">
        <v>371</v>
      </c>
    </row>
    <row r="8" spans="1:1" s="129" customFormat="1" ht="28.8">
      <c r="A8" s="130" t="s">
        <v>372</v>
      </c>
    </row>
    <row r="9" spans="1:1" s="129" customFormat="1">
      <c r="A9" s="130" t="s">
        <v>373</v>
      </c>
    </row>
    <row r="10" spans="1:1" s="129" customFormat="1">
      <c r="A10" s="130" t="s">
        <v>374</v>
      </c>
    </row>
    <row r="11" spans="1:1" s="129" customFormat="1">
      <c r="A11" s="130" t="s">
        <v>375</v>
      </c>
    </row>
    <row r="12" spans="1:1" s="129" customFormat="1">
      <c r="A12" s="130" t="s">
        <v>376</v>
      </c>
    </row>
    <row r="13" spans="1:1" s="129" customFormat="1" ht="28.8">
      <c r="A13" s="130" t="s">
        <v>377</v>
      </c>
    </row>
    <row r="14" spans="1:1" s="129" customFormat="1" ht="28.5" customHeight="1">
      <c r="A14" s="130" t="s">
        <v>378</v>
      </c>
    </row>
    <row r="15" spans="1:1" s="129" customFormat="1">
      <c r="A15" s="261" t="s">
        <v>379</v>
      </c>
    </row>
    <row r="16" spans="1:1" s="129" customFormat="1">
      <c r="A16" s="130" t="s">
        <v>380</v>
      </c>
    </row>
    <row r="17" spans="1:1" s="129" customFormat="1">
      <c r="A17" s="261" t="s">
        <v>381</v>
      </c>
    </row>
    <row r="18" spans="1:1" s="129" customFormat="1" ht="43.2">
      <c r="A18" s="130" t="s">
        <v>382</v>
      </c>
    </row>
    <row r="19" spans="1:1" s="129" customFormat="1">
      <c r="A19" s="261" t="s">
        <v>383</v>
      </c>
    </row>
    <row r="20" spans="1:1" s="129" customFormat="1">
      <c r="A20" s="130" t="s">
        <v>384</v>
      </c>
    </row>
    <row r="21" spans="1:1" s="129" customFormat="1">
      <c r="A21" s="130" t="s">
        <v>385</v>
      </c>
    </row>
    <row r="22" spans="1:1" s="129" customFormat="1">
      <c r="A22" s="130" t="s">
        <v>386</v>
      </c>
    </row>
    <row r="23" spans="1:1" s="129" customFormat="1">
      <c r="A23" s="261" t="s">
        <v>387</v>
      </c>
    </row>
    <row r="24" spans="1:1" s="129" customFormat="1" ht="43.2">
      <c r="A24" s="130" t="s">
        <v>388</v>
      </c>
    </row>
    <row r="25" spans="1:1" s="129" customFormat="1">
      <c r="A25" s="261" t="s">
        <v>389</v>
      </c>
    </row>
    <row r="26" spans="1:1" s="129" customFormat="1">
      <c r="A26" s="130" t="s">
        <v>390</v>
      </c>
    </row>
    <row r="27" spans="1:1" s="129" customFormat="1">
      <c r="A27" s="130" t="s">
        <v>391</v>
      </c>
    </row>
    <row r="28" spans="1:1" s="129" customFormat="1">
      <c r="A28" s="130" t="s">
        <v>392</v>
      </c>
    </row>
    <row r="29" spans="1:1" s="129" customFormat="1">
      <c r="A29" s="261" t="s">
        <v>393</v>
      </c>
    </row>
    <row r="30" spans="1:1" s="129" customFormat="1" ht="28.8">
      <c r="A30" s="130" t="s">
        <v>394</v>
      </c>
    </row>
    <row r="31" spans="1:1" s="129" customFormat="1" ht="28.8">
      <c r="A31" s="261" t="s">
        <v>395</v>
      </c>
    </row>
    <row r="32" spans="1:1" s="129" customFormat="1" ht="28.8">
      <c r="A32" s="130" t="s">
        <v>396</v>
      </c>
    </row>
    <row r="33" spans="1:1" s="129" customFormat="1">
      <c r="A33" s="130" t="s">
        <v>397</v>
      </c>
    </row>
    <row r="34" spans="1:1" s="129" customFormat="1">
      <c r="A34" s="130" t="s">
        <v>398</v>
      </c>
    </row>
    <row r="35" spans="1:1" s="129" customFormat="1">
      <c r="A35" s="261" t="s">
        <v>399</v>
      </c>
    </row>
    <row r="36" spans="1:1" s="129" customFormat="1" ht="28.8">
      <c r="A36" s="130" t="s">
        <v>400</v>
      </c>
    </row>
    <row r="37" spans="1:1" s="129" customFormat="1" ht="28.8">
      <c r="A37" s="261" t="s">
        <v>401</v>
      </c>
    </row>
    <row r="38" spans="1:1" s="129" customFormat="1" ht="28.8">
      <c r="A38" s="130" t="s">
        <v>402</v>
      </c>
    </row>
    <row r="39" spans="1:1" s="129" customFormat="1" ht="28.8">
      <c r="A39" s="130" t="s">
        <v>403</v>
      </c>
    </row>
    <row r="40" spans="1:1" s="129" customFormat="1">
      <c r="A40" s="130" t="s">
        <v>404</v>
      </c>
    </row>
    <row r="41" spans="1:1" s="129" customFormat="1">
      <c r="A41" s="261" t="s">
        <v>405</v>
      </c>
    </row>
    <row r="42" spans="1:1" s="129" customFormat="1" ht="28.8">
      <c r="A42" s="130" t="s">
        <v>406</v>
      </c>
    </row>
    <row r="43" spans="1:1" s="129" customFormat="1" ht="28.8">
      <c r="A43" s="261" t="s">
        <v>407</v>
      </c>
    </row>
    <row r="44" spans="1:1" s="129" customFormat="1" ht="28.8">
      <c r="A44" s="130" t="s">
        <v>408</v>
      </c>
    </row>
    <row r="45" spans="1:1" s="129" customFormat="1">
      <c r="A45" s="130" t="s">
        <v>409</v>
      </c>
    </row>
    <row r="46" spans="1:1" s="129" customFormat="1">
      <c r="A46" s="261" t="s">
        <v>410</v>
      </c>
    </row>
    <row r="47" spans="1:1" s="129" customFormat="1" ht="28.8">
      <c r="A47" s="130" t="s">
        <v>411</v>
      </c>
    </row>
    <row r="48" spans="1:1" s="129" customFormat="1">
      <c r="A48" s="130" t="s">
        <v>412</v>
      </c>
    </row>
    <row r="49" spans="1:1" s="129" customFormat="1">
      <c r="A49" s="130" t="s">
        <v>413</v>
      </c>
    </row>
    <row r="50" spans="1:1" s="129" customFormat="1" ht="28.8">
      <c r="A50" s="130" t="s">
        <v>414</v>
      </c>
    </row>
    <row r="51" spans="1:1" s="129" customFormat="1">
      <c r="A51" s="130" t="s">
        <v>415</v>
      </c>
    </row>
    <row r="52" spans="1:1" s="129" customFormat="1">
      <c r="A52" s="130" t="s">
        <v>416</v>
      </c>
    </row>
    <row r="53" spans="1:1" s="129" customFormat="1" ht="28.8">
      <c r="A53" s="130" t="s">
        <v>417</v>
      </c>
    </row>
    <row r="54" spans="1:1" s="129" customFormat="1" ht="28.8">
      <c r="A54" s="130" t="s">
        <v>418</v>
      </c>
    </row>
    <row r="55" spans="1:1" s="129" customFormat="1">
      <c r="A55" s="130" t="s">
        <v>419</v>
      </c>
    </row>
    <row r="56" spans="1:1" s="129" customFormat="1">
      <c r="A56" s="130" t="s">
        <v>420</v>
      </c>
    </row>
    <row r="57" spans="1:1" s="129" customFormat="1">
      <c r="A57" s="130" t="s">
        <v>421</v>
      </c>
    </row>
    <row r="58" spans="1:1" s="129" customFormat="1">
      <c r="A58" s="130" t="s">
        <v>422</v>
      </c>
    </row>
    <row r="59" spans="1:1" s="129" customFormat="1">
      <c r="A59" s="130" t="s">
        <v>423</v>
      </c>
    </row>
    <row r="60" spans="1:1" s="129" customFormat="1">
      <c r="A60" s="130" t="s">
        <v>424</v>
      </c>
    </row>
    <row r="61" spans="1:1" s="129" customFormat="1">
      <c r="A61" s="130" t="s">
        <v>425</v>
      </c>
    </row>
    <row r="62" spans="1:1" s="129" customFormat="1">
      <c r="A62" s="130" t="s">
        <v>426</v>
      </c>
    </row>
    <row r="63" spans="1:1" s="129" customFormat="1">
      <c r="A63" s="130" t="s">
        <v>427</v>
      </c>
    </row>
    <row r="64" spans="1:1" s="129" customFormat="1">
      <c r="A64" s="130" t="s">
        <v>428</v>
      </c>
    </row>
    <row r="65" spans="1:1" s="129" customFormat="1" ht="28.8">
      <c r="A65" s="130" t="s">
        <v>429</v>
      </c>
    </row>
    <row r="66" spans="1:1" s="129" customFormat="1">
      <c r="A66" s="130" t="s">
        <v>430</v>
      </c>
    </row>
    <row r="67" spans="1:1" s="129" customFormat="1">
      <c r="A67" s="130" t="s">
        <v>431</v>
      </c>
    </row>
    <row r="68" spans="1:1" s="129" customFormat="1">
      <c r="A68" s="130" t="s">
        <v>432</v>
      </c>
    </row>
    <row r="69" spans="1:1" s="129" customFormat="1">
      <c r="A69" s="130" t="s">
        <v>433</v>
      </c>
    </row>
    <row r="70" spans="1:1" s="129" customFormat="1">
      <c r="A70" s="130" t="s">
        <v>434</v>
      </c>
    </row>
    <row r="71" spans="1:1" s="129" customFormat="1" ht="28.8">
      <c r="A71" s="130" t="s">
        <v>435</v>
      </c>
    </row>
    <row r="72" spans="1:1" s="129" customFormat="1">
      <c r="A72" s="130" t="s">
        <v>436</v>
      </c>
    </row>
    <row r="73" spans="1:1" s="129" customFormat="1" ht="28.8">
      <c r="A73" s="130" t="s">
        <v>437</v>
      </c>
    </row>
    <row r="74" spans="1:1" s="129" customFormat="1">
      <c r="A74" s="261" t="s">
        <v>438</v>
      </c>
    </row>
    <row r="75" spans="1:1" s="129" customFormat="1">
      <c r="A75" s="130" t="s">
        <v>439</v>
      </c>
    </row>
    <row r="76" spans="1:1" s="129" customFormat="1">
      <c r="A76" s="130" t="s">
        <v>440</v>
      </c>
    </row>
    <row r="77" spans="1:1" s="129" customFormat="1">
      <c r="A77" s="130" t="s">
        <v>441</v>
      </c>
    </row>
    <row r="78" spans="1:1" s="129" customFormat="1">
      <c r="A78" s="130" t="s">
        <v>442</v>
      </c>
    </row>
    <row r="79" spans="1:1" s="129" customFormat="1">
      <c r="A79" s="130" t="s">
        <v>443</v>
      </c>
    </row>
    <row r="80" spans="1:1" s="129" customFormat="1">
      <c r="A80" s="130" t="s">
        <v>444</v>
      </c>
    </row>
    <row r="81" spans="1:1" s="129" customFormat="1" ht="28.8">
      <c r="A81" s="130" t="s">
        <v>445</v>
      </c>
    </row>
    <row r="82" spans="1:1" s="129" customFormat="1">
      <c r="A82" s="130" t="s">
        <v>446</v>
      </c>
    </row>
    <row r="83" spans="1:1" s="129" customFormat="1" ht="28.8">
      <c r="A83" s="130" t="s">
        <v>447</v>
      </c>
    </row>
    <row r="84" spans="1:1" s="129" customFormat="1">
      <c r="A84" s="261" t="s">
        <v>448</v>
      </c>
    </row>
    <row r="85" spans="1:1" s="129" customFormat="1" ht="28.8">
      <c r="A85" s="130" t="s">
        <v>449</v>
      </c>
    </row>
    <row r="86" spans="1:1" s="129" customFormat="1">
      <c r="A86" s="261" t="s">
        <v>450</v>
      </c>
    </row>
    <row r="87" spans="1:1" s="129" customFormat="1" ht="28.8">
      <c r="A87" s="130" t="s">
        <v>451</v>
      </c>
    </row>
    <row r="88" spans="1:1" s="129" customFormat="1">
      <c r="A88" s="130" t="s">
        <v>452</v>
      </c>
    </row>
    <row r="89" spans="1:1" s="129" customFormat="1">
      <c r="A89" s="130" t="s">
        <v>453</v>
      </c>
    </row>
    <row r="90" spans="1:1" s="129" customFormat="1" ht="28.8">
      <c r="A90" s="130" t="s">
        <v>454</v>
      </c>
    </row>
    <row r="91" spans="1:1" s="129" customFormat="1">
      <c r="A91" s="130" t="s">
        <v>455</v>
      </c>
    </row>
    <row r="92" spans="1:1" s="129" customFormat="1" ht="43.2">
      <c r="A92" s="130" t="s">
        <v>456</v>
      </c>
    </row>
    <row r="93" spans="1:1" s="129" customFormat="1">
      <c r="A93" s="130" t="s">
        <v>457</v>
      </c>
    </row>
    <row r="94" spans="1:1" s="129" customFormat="1">
      <c r="A94" s="130" t="s">
        <v>458</v>
      </c>
    </row>
    <row r="95" spans="1:1" s="129" customFormat="1">
      <c r="A95" s="130" t="s">
        <v>459</v>
      </c>
    </row>
    <row r="96" spans="1:1" s="129" customFormat="1">
      <c r="A96" s="130" t="s">
        <v>460</v>
      </c>
    </row>
    <row r="97" spans="1:1" s="129" customFormat="1" ht="28.8">
      <c r="A97" s="130" t="s">
        <v>461</v>
      </c>
    </row>
    <row r="98" spans="1:1" s="129" customFormat="1">
      <c r="A98" s="130" t="s">
        <v>462</v>
      </c>
    </row>
    <row r="99" spans="1:1" s="129" customFormat="1">
      <c r="A99" s="130" t="s">
        <v>463</v>
      </c>
    </row>
    <row r="100" spans="1:1" s="129" customFormat="1">
      <c r="A100" s="130" t="s">
        <v>464</v>
      </c>
    </row>
    <row r="101" spans="1:1" s="129" customFormat="1">
      <c r="A101" s="130" t="s">
        <v>465</v>
      </c>
    </row>
    <row r="102" spans="1:1" s="129" customFormat="1">
      <c r="A102" s="130" t="s">
        <v>466</v>
      </c>
    </row>
    <row r="103" spans="1:1" s="129" customFormat="1" ht="28.8">
      <c r="A103" s="130" t="s">
        <v>467</v>
      </c>
    </row>
    <row r="104" spans="1:1" s="129" customFormat="1">
      <c r="A104" s="130" t="s">
        <v>468</v>
      </c>
    </row>
    <row r="105" spans="1:1" s="129" customFormat="1">
      <c r="A105" s="130" t="s">
        <v>469</v>
      </c>
    </row>
    <row r="106" spans="1:1" s="129" customFormat="1">
      <c r="A106" s="130" t="s">
        <v>470</v>
      </c>
    </row>
    <row r="107" spans="1:1" s="129" customFormat="1">
      <c r="A107" s="130" t="s">
        <v>471</v>
      </c>
    </row>
    <row r="108" spans="1:1" s="129" customFormat="1">
      <c r="A108" s="130" t="s">
        <v>472</v>
      </c>
    </row>
    <row r="109" spans="1:1" s="129" customFormat="1" ht="31.5" customHeight="1">
      <c r="A109" s="130" t="s">
        <v>473</v>
      </c>
    </row>
    <row r="110" spans="1:1" s="129" customFormat="1">
      <c r="A110" s="131"/>
    </row>
    <row r="111" spans="1:1" s="129" customFormat="1">
      <c r="A111" s="131"/>
    </row>
  </sheetData>
  <phoneticPr fontId="43" type="noConversion"/>
  <pageMargins left="0.75" right="0.75" top="1" bottom="1" header="0.5" footer="0.5"/>
  <pageSetup paperSize="9" scale="34"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0000"/>
  </sheetPr>
  <dimension ref="A1:Q40"/>
  <sheetViews>
    <sheetView showGridLines="0" view="pageBreakPreview" zoomScaleNormal="100" zoomScaleSheetLayoutView="100" workbookViewId="0">
      <selection activeCell="R11" sqref="R11"/>
    </sheetView>
  </sheetViews>
  <sheetFormatPr defaultColWidth="9" defaultRowHeight="15.6"/>
  <cols>
    <col min="1" max="16384" width="9" style="138"/>
  </cols>
  <sheetData>
    <row r="1" spans="1:17" ht="32.25" customHeight="1">
      <c r="A1" s="827" t="s">
        <v>327</v>
      </c>
      <c r="B1" s="827"/>
      <c r="C1" s="827"/>
      <c r="D1" s="827"/>
      <c r="E1" s="827"/>
      <c r="F1" s="827"/>
      <c r="G1" s="827"/>
      <c r="H1" s="827"/>
      <c r="I1" s="827"/>
      <c r="J1" s="827"/>
      <c r="K1" s="827"/>
      <c r="L1" s="827"/>
      <c r="M1" s="827"/>
      <c r="N1" s="827"/>
      <c r="O1" s="827"/>
      <c r="P1" s="827"/>
      <c r="Q1" s="462" t="s">
        <v>1201</v>
      </c>
    </row>
    <row r="2" spans="1:17">
      <c r="A2" s="828" t="s">
        <v>328</v>
      </c>
      <c r="B2" s="828"/>
      <c r="C2" s="828"/>
      <c r="D2" s="828"/>
      <c r="E2" s="828"/>
      <c r="F2" s="828"/>
      <c r="G2" s="828"/>
      <c r="H2" s="828"/>
      <c r="I2" s="828"/>
      <c r="J2" s="828"/>
      <c r="K2" s="828"/>
      <c r="L2" s="828"/>
      <c r="M2" s="828"/>
      <c r="N2" s="828"/>
      <c r="O2" s="828"/>
      <c r="P2" s="828"/>
    </row>
    <row r="3" spans="1:17" s="139" customFormat="1" ht="42" customHeight="1">
      <c r="A3" s="829" t="s">
        <v>329</v>
      </c>
      <c r="B3" s="829"/>
      <c r="C3" s="829"/>
      <c r="D3" s="829"/>
      <c r="E3" s="829"/>
      <c r="F3" s="829"/>
      <c r="G3" s="829"/>
      <c r="H3" s="829"/>
      <c r="I3" s="829"/>
      <c r="J3" s="829"/>
      <c r="K3" s="829"/>
      <c r="L3" s="829"/>
      <c r="M3" s="829"/>
      <c r="N3" s="829"/>
      <c r="O3" s="829"/>
      <c r="P3" s="829"/>
    </row>
    <row r="4" spans="1:17">
      <c r="A4" s="140" t="s">
        <v>330</v>
      </c>
    </row>
    <row r="5" spans="1:17">
      <c r="A5" s="140" t="s">
        <v>331</v>
      </c>
    </row>
    <row r="6" spans="1:17" ht="55.5" customHeight="1">
      <c r="A6" s="829" t="s">
        <v>332</v>
      </c>
      <c r="B6" s="829"/>
      <c r="C6" s="829"/>
      <c r="D6" s="829"/>
      <c r="E6" s="829"/>
      <c r="F6" s="829"/>
      <c r="G6" s="829"/>
      <c r="H6" s="829"/>
      <c r="I6" s="829"/>
      <c r="J6" s="829"/>
      <c r="K6" s="829"/>
      <c r="L6" s="829"/>
      <c r="M6" s="829"/>
      <c r="N6" s="829"/>
      <c r="O6" s="829"/>
      <c r="P6" s="829"/>
    </row>
    <row r="7" spans="1:17">
      <c r="A7" s="140" t="s">
        <v>333</v>
      </c>
    </row>
    <row r="8" spans="1:17" ht="71.25" customHeight="1">
      <c r="A8" s="829" t="s">
        <v>334</v>
      </c>
      <c r="B8" s="829"/>
      <c r="C8" s="829"/>
      <c r="D8" s="829"/>
      <c r="E8" s="829"/>
      <c r="F8" s="829"/>
      <c r="G8" s="829"/>
      <c r="H8" s="829"/>
      <c r="I8" s="829"/>
      <c r="J8" s="829"/>
      <c r="K8" s="829"/>
      <c r="L8" s="829"/>
      <c r="M8" s="829"/>
      <c r="N8" s="829"/>
      <c r="O8" s="829"/>
      <c r="P8" s="829"/>
    </row>
    <row r="9" spans="1:17">
      <c r="A9" s="140" t="s">
        <v>335</v>
      </c>
    </row>
    <row r="10" spans="1:17" ht="57.75" customHeight="1">
      <c r="A10" s="829" t="s">
        <v>336</v>
      </c>
      <c r="B10" s="829"/>
      <c r="C10" s="829"/>
      <c r="D10" s="829"/>
      <c r="E10" s="829"/>
      <c r="F10" s="829"/>
      <c r="G10" s="829"/>
      <c r="H10" s="829"/>
      <c r="I10" s="829"/>
      <c r="J10" s="829"/>
      <c r="K10" s="829"/>
      <c r="L10" s="829"/>
      <c r="M10" s="829"/>
      <c r="N10" s="829"/>
      <c r="O10" s="829"/>
      <c r="P10" s="829"/>
    </row>
    <row r="11" spans="1:17" ht="50.25" customHeight="1">
      <c r="A11" s="829" t="s">
        <v>337</v>
      </c>
      <c r="B11" s="829"/>
      <c r="C11" s="829"/>
      <c r="D11" s="829"/>
      <c r="E11" s="829"/>
      <c r="F11" s="829"/>
      <c r="G11" s="829"/>
      <c r="H11" s="829"/>
      <c r="I11" s="829"/>
      <c r="J11" s="829"/>
      <c r="K11" s="829"/>
      <c r="L11" s="829"/>
      <c r="M11" s="829"/>
      <c r="N11" s="829"/>
      <c r="O11" s="829"/>
      <c r="P11" s="829"/>
    </row>
    <row r="12" spans="1:17">
      <c r="A12" s="140" t="s">
        <v>338</v>
      </c>
    </row>
    <row r="13" spans="1:17">
      <c r="A13" s="140" t="s">
        <v>339</v>
      </c>
    </row>
    <row r="14" spans="1:17" ht="35.25" customHeight="1">
      <c r="A14" s="829" t="s">
        <v>340</v>
      </c>
      <c r="B14" s="829"/>
      <c r="C14" s="829"/>
      <c r="D14" s="829"/>
      <c r="E14" s="829"/>
      <c r="F14" s="829"/>
      <c r="G14" s="829"/>
      <c r="H14" s="829"/>
      <c r="I14" s="829"/>
      <c r="J14" s="829"/>
      <c r="K14" s="829"/>
      <c r="L14" s="829"/>
      <c r="M14" s="829"/>
      <c r="N14" s="829"/>
      <c r="O14" s="829"/>
      <c r="P14" s="829"/>
    </row>
    <row r="15" spans="1:17">
      <c r="A15" s="140" t="s">
        <v>341</v>
      </c>
    </row>
    <row r="16" spans="1:17" ht="39" customHeight="1">
      <c r="A16" s="829" t="s">
        <v>342</v>
      </c>
      <c r="B16" s="829"/>
      <c r="C16" s="829"/>
      <c r="D16" s="829"/>
      <c r="E16" s="829"/>
      <c r="F16" s="829"/>
      <c r="G16" s="829"/>
      <c r="H16" s="829"/>
      <c r="I16" s="829"/>
      <c r="J16" s="829"/>
      <c r="K16" s="829"/>
      <c r="L16" s="829"/>
      <c r="M16" s="829"/>
      <c r="N16" s="829"/>
      <c r="O16" s="829"/>
      <c r="P16" s="829"/>
    </row>
    <row r="17" spans="1:16">
      <c r="A17" s="140" t="s">
        <v>343</v>
      </c>
    </row>
    <row r="18" spans="1:16">
      <c r="A18" s="140" t="s">
        <v>344</v>
      </c>
    </row>
    <row r="19" spans="1:16" ht="54.75" customHeight="1">
      <c r="A19" s="829" t="s">
        <v>345</v>
      </c>
      <c r="B19" s="829"/>
      <c r="C19" s="829"/>
      <c r="D19" s="829"/>
      <c r="E19" s="829"/>
      <c r="F19" s="829"/>
      <c r="G19" s="829"/>
      <c r="H19" s="829"/>
      <c r="I19" s="829"/>
      <c r="J19" s="829"/>
      <c r="K19" s="829"/>
      <c r="L19" s="829"/>
      <c r="M19" s="829"/>
      <c r="N19" s="829"/>
      <c r="O19" s="829"/>
      <c r="P19" s="829"/>
    </row>
    <row r="20" spans="1:16">
      <c r="A20" s="829" t="s">
        <v>346</v>
      </c>
      <c r="B20" s="829"/>
      <c r="C20" s="829"/>
      <c r="D20" s="829"/>
      <c r="E20" s="829"/>
      <c r="F20" s="829"/>
      <c r="G20" s="829"/>
      <c r="H20" s="829"/>
      <c r="I20" s="829"/>
      <c r="J20" s="829"/>
      <c r="K20" s="829"/>
      <c r="L20" s="829"/>
      <c r="M20" s="829"/>
      <c r="N20" s="829"/>
      <c r="O20" s="829"/>
      <c r="P20" s="829"/>
    </row>
    <row r="21" spans="1:16">
      <c r="A21" s="826" t="s">
        <v>347</v>
      </c>
      <c r="B21" s="826"/>
      <c r="C21" s="826"/>
      <c r="D21" s="826"/>
      <c r="E21" s="826"/>
      <c r="F21" s="826"/>
      <c r="G21" s="826"/>
      <c r="H21" s="826"/>
      <c r="I21" s="826"/>
      <c r="J21" s="826"/>
      <c r="K21" s="826"/>
      <c r="L21" s="826"/>
      <c r="M21" s="826"/>
      <c r="N21" s="826"/>
      <c r="O21" s="826"/>
    </row>
    <row r="22" spans="1:16">
      <c r="A22" s="140" t="s">
        <v>348</v>
      </c>
    </row>
    <row r="23" spans="1:16">
      <c r="A23" s="140" t="s">
        <v>349</v>
      </c>
    </row>
    <row r="24" spans="1:16" ht="42" customHeight="1">
      <c r="A24" s="829" t="s">
        <v>350</v>
      </c>
      <c r="B24" s="829"/>
      <c r="C24" s="829"/>
      <c r="D24" s="829"/>
      <c r="E24" s="829"/>
      <c r="F24" s="829"/>
      <c r="G24" s="829"/>
      <c r="H24" s="829"/>
      <c r="I24" s="829"/>
      <c r="J24" s="829"/>
      <c r="K24" s="829"/>
      <c r="L24" s="829"/>
      <c r="M24" s="829"/>
      <c r="N24" s="829"/>
      <c r="O24" s="829"/>
      <c r="P24" s="829"/>
    </row>
    <row r="25" spans="1:16">
      <c r="A25" s="140" t="s">
        <v>351</v>
      </c>
    </row>
    <row r="26" spans="1:16">
      <c r="A26" s="140" t="s">
        <v>352</v>
      </c>
    </row>
    <row r="27" spans="1:16">
      <c r="A27" s="140" t="s">
        <v>353</v>
      </c>
    </row>
    <row r="28" spans="1:16">
      <c r="A28" s="140" t="s">
        <v>354</v>
      </c>
    </row>
    <row r="29" spans="1:16" ht="73.5" customHeight="1">
      <c r="A29" s="829" t="s">
        <v>355</v>
      </c>
      <c r="B29" s="829"/>
      <c r="C29" s="829"/>
      <c r="D29" s="829"/>
      <c r="E29" s="829"/>
      <c r="F29" s="829"/>
      <c r="G29" s="829"/>
      <c r="H29" s="829"/>
      <c r="I29" s="829"/>
      <c r="J29" s="829"/>
      <c r="K29" s="829"/>
      <c r="L29" s="829"/>
      <c r="M29" s="829"/>
      <c r="N29" s="829"/>
      <c r="O29" s="829"/>
      <c r="P29" s="829"/>
    </row>
    <row r="30" spans="1:16" ht="52.5" customHeight="1">
      <c r="A30" s="829" t="s">
        <v>356</v>
      </c>
      <c r="B30" s="829"/>
      <c r="C30" s="829"/>
      <c r="D30" s="829"/>
      <c r="E30" s="829"/>
      <c r="F30" s="829"/>
      <c r="G30" s="829"/>
      <c r="H30" s="829"/>
      <c r="I30" s="829"/>
      <c r="J30" s="829"/>
      <c r="K30" s="829"/>
      <c r="L30" s="829"/>
      <c r="M30" s="829"/>
      <c r="N30" s="829"/>
      <c r="O30" s="829"/>
      <c r="P30" s="829"/>
    </row>
    <row r="31" spans="1:16" ht="41.25" customHeight="1">
      <c r="A31" s="829" t="s">
        <v>357</v>
      </c>
      <c r="B31" s="829"/>
      <c r="C31" s="829"/>
      <c r="D31" s="829"/>
      <c r="E31" s="829"/>
      <c r="F31" s="829"/>
      <c r="G31" s="829"/>
      <c r="H31" s="829"/>
      <c r="I31" s="829"/>
      <c r="J31" s="829"/>
      <c r="K31" s="829"/>
      <c r="L31" s="829"/>
      <c r="M31" s="829"/>
      <c r="N31" s="829"/>
      <c r="O31" s="829"/>
      <c r="P31" s="829"/>
    </row>
    <row r="32" spans="1:16">
      <c r="A32" s="140" t="s">
        <v>358</v>
      </c>
    </row>
    <row r="33" spans="1:16">
      <c r="A33" s="140" t="s">
        <v>359</v>
      </c>
    </row>
    <row r="34" spans="1:16" ht="48.75" customHeight="1">
      <c r="A34" s="829" t="s">
        <v>360</v>
      </c>
      <c r="B34" s="829"/>
      <c r="C34" s="829"/>
      <c r="D34" s="829"/>
      <c r="E34" s="829"/>
      <c r="F34" s="829"/>
      <c r="G34" s="829"/>
      <c r="H34" s="829"/>
      <c r="I34" s="829"/>
      <c r="J34" s="829"/>
      <c r="K34" s="829"/>
      <c r="L34" s="829"/>
      <c r="M34" s="829"/>
      <c r="N34" s="829"/>
      <c r="O34" s="829"/>
      <c r="P34" s="829"/>
    </row>
    <row r="35" spans="1:16" ht="65.25" customHeight="1">
      <c r="A35" s="830" t="s">
        <v>361</v>
      </c>
      <c r="B35" s="830"/>
      <c r="C35" s="830"/>
      <c r="D35" s="830"/>
      <c r="E35" s="830"/>
      <c r="F35" s="830"/>
      <c r="G35" s="830"/>
      <c r="H35" s="830"/>
      <c r="I35" s="830"/>
      <c r="J35" s="830"/>
      <c r="K35" s="830"/>
      <c r="L35" s="830"/>
      <c r="M35" s="830"/>
      <c r="N35" s="830"/>
      <c r="O35" s="830"/>
      <c r="P35" s="830"/>
    </row>
    <row r="36" spans="1:16" ht="104.25" customHeight="1">
      <c r="A36" s="829" t="s">
        <v>362</v>
      </c>
      <c r="B36" s="829"/>
      <c r="C36" s="829"/>
      <c r="D36" s="829"/>
      <c r="E36" s="829"/>
      <c r="F36" s="829"/>
      <c r="G36" s="829"/>
      <c r="H36" s="829"/>
      <c r="I36" s="829"/>
      <c r="J36" s="829"/>
      <c r="K36" s="829"/>
      <c r="L36" s="829"/>
      <c r="M36" s="829"/>
      <c r="N36" s="829"/>
      <c r="O36" s="829"/>
      <c r="P36" s="829"/>
    </row>
    <row r="37" spans="1:16">
      <c r="A37" s="829" t="s">
        <v>363</v>
      </c>
      <c r="B37" s="829"/>
      <c r="C37" s="829"/>
      <c r="D37" s="829"/>
      <c r="E37" s="829"/>
      <c r="F37" s="829"/>
      <c r="G37" s="829"/>
      <c r="H37" s="829"/>
      <c r="I37" s="829"/>
      <c r="J37" s="829"/>
      <c r="K37" s="829"/>
      <c r="L37" s="829"/>
      <c r="M37" s="829"/>
      <c r="N37" s="829"/>
      <c r="O37" s="829"/>
      <c r="P37" s="829"/>
    </row>
    <row r="38" spans="1:16">
      <c r="A38" s="140" t="s">
        <v>364</v>
      </c>
    </row>
    <row r="39" spans="1:16" ht="59.25" customHeight="1">
      <c r="A39" s="830" t="s">
        <v>365</v>
      </c>
      <c r="B39" s="830"/>
      <c r="C39" s="830"/>
      <c r="D39" s="830"/>
      <c r="E39" s="830"/>
      <c r="F39" s="830"/>
      <c r="G39" s="830"/>
      <c r="H39" s="830"/>
      <c r="I39" s="830"/>
      <c r="J39" s="830"/>
      <c r="K39" s="830"/>
      <c r="L39" s="830"/>
      <c r="M39" s="830"/>
      <c r="N39" s="830"/>
      <c r="O39" s="830"/>
      <c r="P39" s="830"/>
    </row>
    <row r="40" spans="1:16" ht="98.25" customHeight="1">
      <c r="A40" s="829" t="s">
        <v>366</v>
      </c>
      <c r="B40" s="829"/>
      <c r="C40" s="829"/>
      <c r="D40" s="829"/>
      <c r="E40" s="829"/>
      <c r="F40" s="829"/>
      <c r="G40" s="829"/>
      <c r="H40" s="829"/>
      <c r="I40" s="829"/>
      <c r="J40" s="829"/>
      <c r="K40" s="829"/>
      <c r="L40" s="829"/>
      <c r="M40" s="829"/>
      <c r="N40" s="829"/>
      <c r="O40" s="829"/>
      <c r="P40" s="829"/>
    </row>
  </sheetData>
  <mergeCells count="22">
    <mergeCell ref="A36:P36"/>
    <mergeCell ref="A37:P37"/>
    <mergeCell ref="A39:P39"/>
    <mergeCell ref="A40:P40"/>
    <mergeCell ref="A24:P24"/>
    <mergeCell ref="A29:P29"/>
    <mergeCell ref="A30:P30"/>
    <mergeCell ref="A31:P31"/>
    <mergeCell ref="A34:P34"/>
    <mergeCell ref="A35:P35"/>
    <mergeCell ref="A21:O21"/>
    <mergeCell ref="A1:P1"/>
    <mergeCell ref="A2:P2"/>
    <mergeCell ref="A3:P3"/>
    <mergeCell ref="A6:P6"/>
    <mergeCell ref="A8:P8"/>
    <mergeCell ref="A10:P10"/>
    <mergeCell ref="A11:P11"/>
    <mergeCell ref="A14:P14"/>
    <mergeCell ref="A16:P16"/>
    <mergeCell ref="A19:P19"/>
    <mergeCell ref="A20:P20"/>
  </mergeCells>
  <phoneticPr fontId="43" type="noConversion"/>
  <pageMargins left="0.7" right="0.7" top="0.75" bottom="0.75" header="0.3" footer="0.3"/>
  <pageSetup paperSize="9" scale="62"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FF0000"/>
  </sheetPr>
  <dimension ref="A1:B14"/>
  <sheetViews>
    <sheetView view="pageBreakPreview" zoomScale="85" zoomScaleNormal="100" zoomScaleSheetLayoutView="85" workbookViewId="0">
      <selection activeCell="E14" sqref="E14"/>
    </sheetView>
  </sheetViews>
  <sheetFormatPr defaultColWidth="9" defaultRowHeight="12.9" customHeight="1"/>
  <cols>
    <col min="1" max="1" width="139.33203125" style="96" customWidth="1"/>
    <col min="2" max="16384" width="9" style="96"/>
  </cols>
  <sheetData>
    <row r="1" spans="1:2" ht="27" customHeight="1">
      <c r="A1" s="259" t="s">
        <v>313</v>
      </c>
    </row>
    <row r="2" spans="1:2" ht="12.9" customHeight="1">
      <c r="A2" s="260" t="s">
        <v>314</v>
      </c>
    </row>
    <row r="3" spans="1:2" ht="69.75" customHeight="1">
      <c r="A3" s="141" t="s">
        <v>315</v>
      </c>
      <c r="B3" s="462" t="s">
        <v>1201</v>
      </c>
    </row>
    <row r="4" spans="1:2" ht="29.25" customHeight="1">
      <c r="A4" s="141" t="s">
        <v>316</v>
      </c>
    </row>
    <row r="5" spans="1:2" ht="20.25" customHeight="1">
      <c r="A5" s="141" t="s">
        <v>317</v>
      </c>
    </row>
    <row r="6" spans="1:2" ht="43.5" customHeight="1">
      <c r="A6" s="141" t="s">
        <v>318</v>
      </c>
    </row>
    <row r="7" spans="1:2" ht="32.25" customHeight="1">
      <c r="A7" s="141" t="s">
        <v>319</v>
      </c>
    </row>
    <row r="8" spans="1:2" ht="56.25" customHeight="1">
      <c r="A8" s="141" t="s">
        <v>320</v>
      </c>
    </row>
    <row r="9" spans="1:2" ht="27" customHeight="1">
      <c r="A9" s="141" t="s">
        <v>321</v>
      </c>
    </row>
    <row r="10" spans="1:2" ht="49.5" customHeight="1">
      <c r="A10" s="141" t="s">
        <v>322</v>
      </c>
    </row>
    <row r="11" spans="1:2" ht="12.9" customHeight="1">
      <c r="A11" s="141" t="s">
        <v>323</v>
      </c>
    </row>
    <row r="12" spans="1:2" ht="37.5" customHeight="1">
      <c r="A12" s="141" t="s">
        <v>324</v>
      </c>
    </row>
    <row r="13" spans="1:2" ht="12.9" customHeight="1">
      <c r="A13" s="141" t="s">
        <v>325</v>
      </c>
    </row>
    <row r="14" spans="1:2" ht="69.75" customHeight="1">
      <c r="A14" s="141" t="s">
        <v>326</v>
      </c>
    </row>
  </sheetData>
  <phoneticPr fontId="43"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B8"/>
  <sheetViews>
    <sheetView workbookViewId="0"/>
  </sheetViews>
  <sheetFormatPr defaultRowHeight="14.4"/>
  <sheetData>
    <row r="1" spans="1:2">
      <c r="A1" s="190" t="s">
        <v>1</v>
      </c>
      <c r="B1" s="190" t="s">
        <v>2</v>
      </c>
    </row>
    <row r="2" spans="1:2">
      <c r="A2" s="190" t="s">
        <v>3</v>
      </c>
      <c r="B2" s="190" t="s">
        <v>4</v>
      </c>
    </row>
    <row r="3" spans="1:2">
      <c r="A3" s="190" t="s">
        <v>5</v>
      </c>
      <c r="B3" s="190" t="s">
        <v>6</v>
      </c>
    </row>
    <row r="4" spans="1:2">
      <c r="A4" s="190" t="s">
        <v>7</v>
      </c>
      <c r="B4" s="190" t="s">
        <v>8</v>
      </c>
    </row>
    <row r="5" spans="1:2">
      <c r="A5" s="190" t="s">
        <v>9</v>
      </c>
      <c r="B5" s="190" t="s">
        <v>10</v>
      </c>
    </row>
    <row r="6" spans="1:2">
      <c r="A6" s="190" t="s">
        <v>11</v>
      </c>
      <c r="B6" s="190" t="s">
        <v>12</v>
      </c>
    </row>
    <row r="7" spans="1:2">
      <c r="A7" s="190" t="s">
        <v>13</v>
      </c>
      <c r="B7" s="190" t="s">
        <v>14</v>
      </c>
    </row>
    <row r="8" spans="1:2">
      <c r="A8" s="190" t="s">
        <v>15</v>
      </c>
      <c r="B8" s="190" t="s">
        <v>16</v>
      </c>
    </row>
  </sheetData>
  <phoneticPr fontId="4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命名范围</vt:lpstr>
      </vt:variant>
      <vt:variant>
        <vt:i4>27</vt:i4>
      </vt:variant>
    </vt:vector>
  </HeadingPairs>
  <TitlesOfParts>
    <vt:vector size="50" baseType="lpstr">
      <vt:lpstr>底稿目录</vt:lpstr>
      <vt:lpstr>应付职工薪酬实质性程序表 J1A</vt:lpstr>
      <vt:lpstr>应付职工薪酬实质性程序表 J1A-原版</vt:lpstr>
      <vt:lpstr>应付职工薪酬实质性程序表 L1A-原</vt:lpstr>
      <vt:lpstr>审定表J1-1 </vt:lpstr>
      <vt:lpstr>附注披露信息（上市公司）</vt:lpstr>
      <vt:lpstr>附注披露信息（国有企业）</vt:lpstr>
      <vt:lpstr>明细表J1-2 </vt:lpstr>
      <vt:lpstr>调整分录汇总表J1-3</vt:lpstr>
      <vt:lpstr>月度分析表J1-4</vt:lpstr>
      <vt:lpstr>与同行业对比分析表J1-5</vt:lpstr>
      <vt:lpstr>计提情况检查表J1-6</vt:lpstr>
      <vt:lpstr>分配情况检查表J1-7</vt:lpstr>
      <vt:lpstr>检查表J1-8</vt:lpstr>
      <vt:lpstr>非货币性福利检查表J1-9</vt:lpstr>
      <vt:lpstr>辞退福利检查表J1-10</vt:lpstr>
      <vt:lpstr>股份支付检查表J1-10-删除</vt:lpstr>
      <vt:lpstr>应付职工薪酬余额及期后事项检查表J1-11-删除</vt:lpstr>
      <vt:lpstr>职工薪酬政策统计表J1-12-删除</vt:lpstr>
      <vt:lpstr>IPO企业薪酬审计提示</vt:lpstr>
      <vt:lpstr>IPO企业股权激励工具关注的审计重点-删除</vt:lpstr>
      <vt:lpstr>首发业务解答二-删除</vt:lpstr>
      <vt:lpstr>GT_Custom</vt:lpstr>
      <vt:lpstr>'应付职工薪酬实质性程序表 J1A'!_FilterDatabase</vt:lpstr>
      <vt:lpstr>'应付职工薪酬实质性程序表 J1A-原版'!_FilterDatabase</vt:lpstr>
      <vt:lpstr>'应付职工薪酬实质性程序表 L1A-原'!_FilterDatabase</vt:lpstr>
      <vt:lpstr>'首发业务解答二-删除'!_Toc12834</vt:lpstr>
      <vt:lpstr>'首发业务解答二-删除'!_Toc2639</vt:lpstr>
      <vt:lpstr>'IPO企业股权激励工具关注的审计重点-删除'!Print_Area</vt:lpstr>
      <vt:lpstr>'辞退福利检查表J1-10'!Print_Area</vt:lpstr>
      <vt:lpstr>'调整分录汇总表J1-3'!Print_Area</vt:lpstr>
      <vt:lpstr>'非货币性福利检查表J1-9'!Print_Area</vt:lpstr>
      <vt:lpstr>'分配情况检查表J1-7'!Print_Area</vt:lpstr>
      <vt:lpstr>'附注披露信息（国有企业）'!Print_Area</vt:lpstr>
      <vt:lpstr>'股份支付检查表J1-10-删除'!Print_Area</vt:lpstr>
      <vt:lpstr>'计提情况检查表J1-6'!Print_Area</vt:lpstr>
      <vt:lpstr>'检查表J1-8'!Print_Area</vt:lpstr>
      <vt:lpstr>'明细表J1-2 '!Print_Area</vt:lpstr>
      <vt:lpstr>'审定表J1-1 '!Print_Area</vt:lpstr>
      <vt:lpstr>'首发业务解答二-删除'!Print_Area</vt:lpstr>
      <vt:lpstr>'应付职工薪酬实质性程序表 J1A'!Print_Area</vt:lpstr>
      <vt:lpstr>'应付职工薪酬实质性程序表 J1A-原版'!Print_Area</vt:lpstr>
      <vt:lpstr>'应付职工薪酬实质性程序表 L1A-原'!Print_Area</vt:lpstr>
      <vt:lpstr>'应付职工薪酬余额及期后事项检查表J1-11-删除'!Print_Area</vt:lpstr>
      <vt:lpstr>'与同行业对比分析表J1-5'!Print_Area</vt:lpstr>
      <vt:lpstr>'月度分析表J1-4'!Print_Area</vt:lpstr>
      <vt:lpstr>'职工薪酬政策统计表J1-12-删除'!Print_Area</vt:lpstr>
      <vt:lpstr>'应付职工薪酬实质性程序表 J1A'!Print_Titles</vt:lpstr>
      <vt:lpstr>'应付职工薪酬实质性程序表 J1A-原版'!Print_Titles</vt:lpstr>
      <vt:lpstr>'应付职工薪酬实质性程序表 L1A-原'!Print_Titles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2025-11-05T06:50:24Z</dcterms:modified>
</cp:coreProperties>
</file>