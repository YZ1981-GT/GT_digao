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5.底稿模板\2025年底稿修订\1.已修订底稿\2025年底稿模板-10.31\J 职工薪酬循环\"/>
    </mc:Choice>
  </mc:AlternateContent>
  <bookViews>
    <workbookView xWindow="-120" yWindow="-120" windowWidth="29040" windowHeight="15528" tabRatio="775" activeTab="1"/>
  </bookViews>
  <sheets>
    <sheet name="底稿目录" sheetId="6" r:id="rId1"/>
    <sheet name="长期应付职工薪酬实质性程序表 J2A" sheetId="7" r:id="rId2"/>
    <sheet name="长期应付职工薪酬实质性程序表 L2A" sheetId="9" state="hidden" r:id="rId3"/>
    <sheet name="审定表J2-1" sheetId="1" r:id="rId4"/>
    <sheet name="附注披露信息（上市公司）" sheetId="2" r:id="rId5"/>
    <sheet name="附注披露信息（国有企业）" sheetId="3" r:id="rId6"/>
    <sheet name="明细表J2-2" sheetId="4" r:id="rId7"/>
    <sheet name="调整分录汇总表J2-3" sheetId="8" r:id="rId8"/>
    <sheet name="计提情况检查表J2-4" sheetId="5" r:id="rId9"/>
  </sheets>
  <externalReferences>
    <externalReference r:id="rId10"/>
    <externalReference r:id="rId11"/>
    <externalReference r:id="rId12"/>
    <externalReference r:id="rId13"/>
  </externalReferences>
  <definedNames>
    <definedName name="_xlnm._FilterDatabase" localSheetId="1" hidden="1">'长期应付职工薪酬实质性程序表 J2A'!$A$15:$L$26</definedName>
    <definedName name="_xlnm._FilterDatabase" localSheetId="2" hidden="1">'长期应付职工薪酬实质性程序表 L2A'!$A$16:$O$65</definedName>
    <definedName name="AFV" localSheetId="2" hidden="1">#REF!</definedName>
    <definedName name="AFV" hidden="1">#REF!</definedName>
    <definedName name="AS2DocOpenMode" hidden="1">"AS2DocumentEdit"</definedName>
    <definedName name="bs" localSheetId="2" hidden="1">{#N/A,#N/A,FALSE,"BBPREP"}</definedName>
    <definedName name="bs" hidden="1">{#N/A,#N/A,FALSE,"BBPREP"}</definedName>
    <definedName name="bs_1" localSheetId="2" hidden="1">{#N/A,#N/A,FALSE,"BBPREP"}</definedName>
    <definedName name="bs_1" hidden="1">{#N/A,#N/A,FALSE,"BBPREP"}</definedName>
    <definedName name="CCD" localSheetId="2" hidden="1">#REF!</definedName>
    <definedName name="CCD" hidden="1">#REF!</definedName>
    <definedName name="CDE" localSheetId="2" hidden="1">#REF!</definedName>
    <definedName name="CDE" hidden="1">#REF!</definedName>
    <definedName name="DEX" localSheetId="2" hidden="1">#REF!</definedName>
    <definedName name="DEX" hidden="1">#REF!</definedName>
    <definedName name="EDC" localSheetId="2" hidden="1">#REF!</definedName>
    <definedName name="EDC" hidden="1">#REF!</definedName>
    <definedName name="FAD" localSheetId="2" hidden="1">[1]Breakdown!#REF!</definedName>
    <definedName name="FAD" hidden="1">#REF!</definedName>
    <definedName name="FASD" localSheetId="2" hidden="1">#REF!</definedName>
    <definedName name="FASD" hidden="1">#REF!</definedName>
    <definedName name="FEDC" localSheetId="2" hidden="1">'[2]2004'!#REF!</definedName>
    <definedName name="FEDC" hidden="1">#REF!</definedName>
    <definedName name="_xlnm.Print_Area" localSheetId="7">'调整分录汇总表J2-3'!$A$1:$J$20</definedName>
    <definedName name="_xlnm.Print_Area" localSheetId="8">'计提情况检查表J2-4'!$A$1:$F$48</definedName>
    <definedName name="_xlnm.Print_Area" localSheetId="6">'明细表J2-2'!$A$1:$N$82</definedName>
    <definedName name="_xlnm.Print_Area" localSheetId="3">'审定表J2-1'!$A$1:$L$76</definedName>
    <definedName name="_xlnm.Print_Area" localSheetId="1">'长期应付职工薪酬实质性程序表 J2A'!$A$1:$I$26</definedName>
    <definedName name="_xlnm.Print_Area" localSheetId="2">'长期应付职工薪酬实质性程序表 L2A'!$A$1:$L$65</definedName>
    <definedName name="_xlnm.Print_Titles" localSheetId="1">'长期应付职工薪酬实质性程序表 J2A'!$15:$16</definedName>
    <definedName name="_xlnm.Print_Titles" localSheetId="2">'长期应付职工薪酬实质性程序表 L2A'!$16:$16</definedName>
    <definedName name="RDES" localSheetId="2" hidden="1">#REF!</definedName>
    <definedName name="RDES" hidden="1">#REF!</definedName>
    <definedName name="TextRefCopyRangeCount" hidden="1">136</definedName>
    <definedName name="VFE" localSheetId="2" hidden="1">#REF!</definedName>
    <definedName name="VFE" hidden="1">#REF!</definedName>
    <definedName name="XAP" localSheetId="2" hidden="1">#REF!</definedName>
    <definedName name="XAP" hidden="1">#REF!</definedName>
    <definedName name="XAQ" localSheetId="2" hidden="1">#REF!</definedName>
    <definedName name="XAQ" hidden="1">#REF!</definedName>
    <definedName name="XCD" localSheetId="2" hidden="1">#REF!</definedName>
    <definedName name="XCD" hidden="1">#REF!</definedName>
    <definedName name="XREF_COLUMN_1" localSheetId="1" hidden="1">#REF!</definedName>
    <definedName name="XREF_COLUMN_1" localSheetId="2" hidden="1">#REF!</definedName>
    <definedName name="XREF_COLUMN_1" hidden="1">#REF!</definedName>
    <definedName name="XREF_COLUMN_2" localSheetId="1" hidden="1">#REF!</definedName>
    <definedName name="XREF_COLUMN_2" localSheetId="2" hidden="1">[1]Breakdown!#REF!</definedName>
    <definedName name="XREF_COLUMN_2" hidden="1">#REF!</definedName>
    <definedName name="XREF_COLUMN_3" localSheetId="1" hidden="1">#REF!</definedName>
    <definedName name="XREF_COLUMN_3" localSheetId="2" hidden="1">#REF!</definedName>
    <definedName name="XREF_COLUMN_3" hidden="1">#REF!</definedName>
    <definedName name="XREF_COLUMN_5" localSheetId="1" hidden="1">#REF!</definedName>
    <definedName name="XREF_COLUMN_5" localSheetId="2" hidden="1">'[2]2004'!#REF!</definedName>
    <definedName name="XREF_COLUMN_5" hidden="1">#REF!</definedName>
    <definedName name="XRefActiveRow" localSheetId="1" hidden="1">#REF!</definedName>
    <definedName name="XRefActiveRow" localSheetId="2" hidden="1">#REF!</definedName>
    <definedName name="XRefActiveRow" hidden="1">#REF!</definedName>
    <definedName name="XRefColumnsCount" hidden="1">2</definedName>
    <definedName name="XRefCopy1" localSheetId="1" hidden="1">#REF!</definedName>
    <definedName name="XRefCopy1" localSheetId="2" hidden="1">#REF!</definedName>
    <definedName name="XRefCopy1" hidden="1">#REF!</definedName>
    <definedName name="XRefCopy1Row" localSheetId="1" hidden="1">#REF!</definedName>
    <definedName name="XRefCopy1Row" localSheetId="2" hidden="1">#REF!</definedName>
    <definedName name="XRefCopy1Row" hidden="1">#REF!</definedName>
    <definedName name="XRefCopy2Row" localSheetId="1" hidden="1">#REF!</definedName>
    <definedName name="XRefCopy2Row" localSheetId="2" hidden="1">#REF!</definedName>
    <definedName name="XRefCopy2Row" hidden="1">#REF!</definedName>
    <definedName name="XRefCopyRangeCount" hidden="1">2</definedName>
    <definedName name="XRefPaste1" localSheetId="1" hidden="1">#REF!</definedName>
    <definedName name="XRefPaste1" localSheetId="2" hidden="1">#REF!</definedName>
    <definedName name="XRefPaste1" hidden="1">#REF!</definedName>
    <definedName name="XRefPaste1Row" localSheetId="1" hidden="1">#REF!</definedName>
    <definedName name="XRefPaste1Row" localSheetId="2" hidden="1">#REF!</definedName>
    <definedName name="XRefPaste1Row" hidden="1">#REF!</definedName>
    <definedName name="XRefPaste2" localSheetId="1" hidden="1">#REF!</definedName>
    <definedName name="XRefPaste2" localSheetId="2" hidden="1">#REF!</definedName>
    <definedName name="XRefPaste2" hidden="1">#REF!</definedName>
    <definedName name="XRefPaste2Row" localSheetId="1" hidden="1">#REF!</definedName>
    <definedName name="XRefPaste2Row" localSheetId="2" hidden="1">#REF!</definedName>
    <definedName name="XRefPaste2Row" hidden="1">#REF!</definedName>
    <definedName name="XRefPaste3" localSheetId="1" hidden="1">#REF!</definedName>
    <definedName name="XRefPaste3" localSheetId="2" hidden="1">#REF!</definedName>
    <definedName name="XRefPaste3" hidden="1">#REF!</definedName>
    <definedName name="XRefPaste3Row" localSheetId="1" hidden="1">#REF!</definedName>
    <definedName name="XRefPaste3Row" localSheetId="2" hidden="1">#REF!</definedName>
    <definedName name="XRefPaste3Row" hidden="1">#REF!</definedName>
    <definedName name="XRefPasteRangeCount" hidden="1">2</definedName>
    <definedName name="本循环科目" localSheetId="1" hidden="1">#REF!</definedName>
    <definedName name="本循环科目" localSheetId="2" hidden="1">[3]索引!$D$15:$D$76</definedName>
    <definedName name="本循环科目" hidden="1">#REF!</definedName>
    <definedName name="底稿目录" localSheetId="2" hidden="1">#REF!</definedName>
    <definedName name="底稿目录" hidden="1">#REF!</definedName>
    <definedName name="新目录" localSheetId="2"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 l="1"/>
  <c r="J3" i="8"/>
  <c r="N3" i="4"/>
  <c r="L3" i="1"/>
  <c r="I3" i="7"/>
  <c r="L14" i="4"/>
  <c r="K14" i="4"/>
  <c r="J14" i="4"/>
  <c r="E4" i="9" l="1"/>
  <c r="C4" i="9"/>
  <c r="A4" i="9"/>
  <c r="E3" i="9"/>
  <c r="C3" i="9"/>
  <c r="A3" i="9"/>
  <c r="D4" i="5" l="1"/>
  <c r="C4" i="5"/>
  <c r="A4" i="5"/>
  <c r="D3" i="5"/>
  <c r="C3" i="5"/>
  <c r="A3" i="5"/>
  <c r="G4" i="8"/>
  <c r="D4" i="8"/>
  <c r="A4" i="8"/>
  <c r="G3" i="8"/>
  <c r="D3" i="8"/>
  <c r="A3" i="8"/>
  <c r="C61" i="4"/>
  <c r="L60" i="4"/>
  <c r="K60" i="4"/>
  <c r="J60" i="4"/>
  <c r="M60" i="4" s="1"/>
  <c r="F60" i="4"/>
  <c r="L59" i="4"/>
  <c r="K59" i="4"/>
  <c r="K56" i="4" s="1"/>
  <c r="K61" i="4" s="1"/>
  <c r="J59" i="4"/>
  <c r="M59" i="4" s="1"/>
  <c r="F59" i="4"/>
  <c r="L58" i="4"/>
  <c r="K58" i="4"/>
  <c r="J58" i="4"/>
  <c r="M58" i="4" s="1"/>
  <c r="F58" i="4"/>
  <c r="M57" i="4"/>
  <c r="L57" i="4"/>
  <c r="K57" i="4"/>
  <c r="J57" i="4"/>
  <c r="F57" i="4"/>
  <c r="L56" i="4"/>
  <c r="J56" i="4"/>
  <c r="I56" i="4"/>
  <c r="H56" i="4"/>
  <c r="G56" i="4"/>
  <c r="F56" i="4"/>
  <c r="E56" i="4"/>
  <c r="D56" i="4"/>
  <c r="C56" i="4"/>
  <c r="M55" i="4"/>
  <c r="L55" i="4"/>
  <c r="K55" i="4"/>
  <c r="J55" i="4"/>
  <c r="F55" i="4"/>
  <c r="L54" i="4"/>
  <c r="K54" i="4"/>
  <c r="J54" i="4"/>
  <c r="J52" i="4" s="1"/>
  <c r="F54" i="4"/>
  <c r="M53" i="4"/>
  <c r="L53" i="4"/>
  <c r="K53" i="4"/>
  <c r="J53" i="4"/>
  <c r="F53" i="4"/>
  <c r="L52" i="4"/>
  <c r="K52" i="4"/>
  <c r="I52" i="4"/>
  <c r="I61" i="4" s="1"/>
  <c r="H52" i="4"/>
  <c r="H61" i="4" s="1"/>
  <c r="G52" i="4"/>
  <c r="G61" i="4" s="1"/>
  <c r="F52" i="4"/>
  <c r="E52" i="4"/>
  <c r="E61" i="4" s="1"/>
  <c r="D52" i="4"/>
  <c r="D61" i="4" s="1"/>
  <c r="C52" i="4"/>
  <c r="M51" i="4"/>
  <c r="L51" i="4"/>
  <c r="L61" i="4" s="1"/>
  <c r="K51" i="4"/>
  <c r="J51" i="4"/>
  <c r="F51" i="4"/>
  <c r="F61" i="4" s="1"/>
  <c r="I46" i="4"/>
  <c r="E46" i="4"/>
  <c r="I45" i="4"/>
  <c r="E45" i="4"/>
  <c r="I44" i="4"/>
  <c r="E44" i="4"/>
  <c r="J43" i="4"/>
  <c r="I43" i="4"/>
  <c r="H43" i="4"/>
  <c r="G43" i="4"/>
  <c r="F43" i="4"/>
  <c r="D43" i="4"/>
  <c r="C43" i="4"/>
  <c r="E43" i="4" s="1"/>
  <c r="I42" i="4"/>
  <c r="E42" i="4"/>
  <c r="I41" i="4"/>
  <c r="I39" i="4" s="1"/>
  <c r="I38" i="4" s="1"/>
  <c r="E41" i="4"/>
  <c r="E39" i="4" s="1"/>
  <c r="E38" i="4" s="1"/>
  <c r="I40" i="4"/>
  <c r="E40" i="4"/>
  <c r="J39" i="4"/>
  <c r="H39" i="4"/>
  <c r="G39" i="4"/>
  <c r="F39" i="4"/>
  <c r="D39" i="4"/>
  <c r="C39" i="4"/>
  <c r="J38" i="4"/>
  <c r="H38" i="4"/>
  <c r="G38" i="4"/>
  <c r="F38" i="4"/>
  <c r="D38" i="4"/>
  <c r="C38" i="4"/>
  <c r="I37" i="4"/>
  <c r="E37" i="4"/>
  <c r="I36" i="4"/>
  <c r="E36" i="4"/>
  <c r="I35" i="4"/>
  <c r="E35" i="4"/>
  <c r="E33" i="4" s="1"/>
  <c r="I34" i="4"/>
  <c r="E34" i="4"/>
  <c r="J33" i="4"/>
  <c r="J47" i="4" s="1"/>
  <c r="I33" i="4"/>
  <c r="H33" i="4"/>
  <c r="H47" i="4" s="1"/>
  <c r="G33" i="4"/>
  <c r="F33" i="4"/>
  <c r="F47" i="4" s="1"/>
  <c r="D33" i="4"/>
  <c r="D47" i="4" s="1"/>
  <c r="C33" i="4"/>
  <c r="C47" i="4" s="1"/>
  <c r="E32" i="4"/>
  <c r="I27" i="4"/>
  <c r="H27" i="4"/>
  <c r="G27" i="4"/>
  <c r="E27" i="4"/>
  <c r="D27" i="4"/>
  <c r="K27" i="4" s="1"/>
  <c r="C27" i="4"/>
  <c r="L26" i="4"/>
  <c r="K26" i="4"/>
  <c r="J26" i="4"/>
  <c r="M26" i="4" s="1"/>
  <c r="F26" i="4"/>
  <c r="L25" i="4"/>
  <c r="K25" i="4"/>
  <c r="M25" i="4" s="1"/>
  <c r="B18" i="1" s="1"/>
  <c r="B41" i="3" s="1"/>
  <c r="J25" i="4"/>
  <c r="F25" i="4"/>
  <c r="L24" i="4"/>
  <c r="K24" i="4"/>
  <c r="J24" i="4"/>
  <c r="M24" i="4" s="1"/>
  <c r="B17" i="1" s="1"/>
  <c r="B40" i="3" s="1"/>
  <c r="F24" i="4"/>
  <c r="M23" i="4"/>
  <c r="B16" i="1" s="1"/>
  <c r="B60" i="2" s="1"/>
  <c r="L23" i="4"/>
  <c r="K23" i="4"/>
  <c r="J23" i="4"/>
  <c r="F23" i="4"/>
  <c r="L22" i="4"/>
  <c r="K22" i="4"/>
  <c r="J22" i="4"/>
  <c r="F22" i="4"/>
  <c r="F27" i="4" s="1"/>
  <c r="L17" i="4"/>
  <c r="K17" i="4"/>
  <c r="J17" i="4"/>
  <c r="M17" i="4" s="1"/>
  <c r="F17" i="4"/>
  <c r="L16" i="4"/>
  <c r="K16" i="4"/>
  <c r="J16" i="4"/>
  <c r="M16" i="4" s="1"/>
  <c r="F16" i="4"/>
  <c r="L15" i="4"/>
  <c r="D8" i="3" s="1"/>
  <c r="K15" i="4"/>
  <c r="J15" i="4"/>
  <c r="M15" i="4" s="1"/>
  <c r="F15" i="4"/>
  <c r="L13" i="4"/>
  <c r="L18" i="4" s="1"/>
  <c r="K13" i="4"/>
  <c r="K18" i="4" s="1"/>
  <c r="F14" i="4"/>
  <c r="F13" i="4" s="1"/>
  <c r="F18" i="4" s="1"/>
  <c r="I13" i="4"/>
  <c r="I18" i="4" s="1"/>
  <c r="H13" i="4"/>
  <c r="H18" i="4" s="1"/>
  <c r="G13" i="4"/>
  <c r="G18" i="4" s="1"/>
  <c r="E13" i="4"/>
  <c r="E18" i="4" s="1"/>
  <c r="D13" i="4"/>
  <c r="D18" i="4" s="1"/>
  <c r="C13" i="4"/>
  <c r="C18" i="4" s="1"/>
  <c r="J4" i="4"/>
  <c r="E4" i="4"/>
  <c r="A4" i="4"/>
  <c r="J3" i="4"/>
  <c r="E3" i="4"/>
  <c r="A3" i="4"/>
  <c r="C66" i="3"/>
  <c r="B66" i="3"/>
  <c r="D9" i="3"/>
  <c r="C9" i="3"/>
  <c r="C8" i="3"/>
  <c r="C7" i="3"/>
  <c r="C10" i="3" s="1"/>
  <c r="D4" i="3"/>
  <c r="B4" i="3"/>
  <c r="A4" i="3"/>
  <c r="D3" i="3"/>
  <c r="B3" i="3"/>
  <c r="A3" i="3"/>
  <c r="C87" i="2"/>
  <c r="B87" i="2"/>
  <c r="C4" i="2"/>
  <c r="B4" i="2"/>
  <c r="A4" i="2"/>
  <c r="C3" i="2"/>
  <c r="B3" i="2"/>
  <c r="A3" i="2"/>
  <c r="D67" i="1"/>
  <c r="D74" i="3" s="1"/>
  <c r="C67" i="1"/>
  <c r="C74" i="3" s="1"/>
  <c r="B67" i="1"/>
  <c r="B74" i="3" s="1"/>
  <c r="D66" i="1"/>
  <c r="D94" i="2" s="1"/>
  <c r="C66" i="1"/>
  <c r="C94" i="2" s="1"/>
  <c r="B66" i="1"/>
  <c r="B94" i="2" s="1"/>
  <c r="D65" i="1"/>
  <c r="D93" i="2" s="1"/>
  <c r="C65" i="1"/>
  <c r="C72" i="3" s="1"/>
  <c r="B65" i="1"/>
  <c r="B72" i="3" s="1"/>
  <c r="D64" i="1"/>
  <c r="D71" i="3" s="1"/>
  <c r="C64" i="1"/>
  <c r="C71" i="3" s="1"/>
  <c r="B64" i="1"/>
  <c r="B92" i="2" s="1"/>
  <c r="D63" i="1"/>
  <c r="D91" i="2" s="1"/>
  <c r="C63" i="1"/>
  <c r="C91" i="2" s="1"/>
  <c r="B63" i="1"/>
  <c r="B91" i="2" s="1"/>
  <c r="C59" i="1"/>
  <c r="C65" i="3" s="1"/>
  <c r="B59" i="1"/>
  <c r="B65" i="3" s="1"/>
  <c r="C58" i="1"/>
  <c r="C85" i="2" s="1"/>
  <c r="B58" i="1"/>
  <c r="B85" i="2" s="1"/>
  <c r="C57" i="1"/>
  <c r="C84" i="2" s="1"/>
  <c r="B57" i="1"/>
  <c r="B84" i="2" s="1"/>
  <c r="C56" i="1"/>
  <c r="C62" i="3" s="1"/>
  <c r="B56" i="1"/>
  <c r="B62" i="3" s="1"/>
  <c r="C55" i="1"/>
  <c r="C61" i="3" s="1"/>
  <c r="B55" i="1"/>
  <c r="B61" i="3" s="1"/>
  <c r="E51" i="1"/>
  <c r="C76" i="2" s="1"/>
  <c r="C51" i="1"/>
  <c r="B51" i="1"/>
  <c r="D51" i="1" s="1"/>
  <c r="E50" i="1"/>
  <c r="C54" i="3" s="1"/>
  <c r="C50" i="1"/>
  <c r="B50" i="1"/>
  <c r="E49" i="1"/>
  <c r="C53" i="3" s="1"/>
  <c r="C49" i="1"/>
  <c r="B49" i="1"/>
  <c r="E48" i="1"/>
  <c r="C73" i="2" s="1"/>
  <c r="C48" i="1"/>
  <c r="B48" i="1"/>
  <c r="E47" i="1"/>
  <c r="C51" i="3" s="1"/>
  <c r="E46" i="1"/>
  <c r="C50" i="3" s="1"/>
  <c r="C46" i="1"/>
  <c r="B46" i="1"/>
  <c r="D46" i="1" s="1"/>
  <c r="C45" i="1"/>
  <c r="B45" i="1"/>
  <c r="E44" i="1"/>
  <c r="C69" i="2" s="1"/>
  <c r="C44" i="1"/>
  <c r="C43" i="1" s="1"/>
  <c r="B44" i="1"/>
  <c r="E42" i="1"/>
  <c r="C46" i="3" s="1"/>
  <c r="C42" i="1"/>
  <c r="B42" i="1"/>
  <c r="I37" i="1"/>
  <c r="G30" i="3" s="1"/>
  <c r="G37" i="1"/>
  <c r="E30" i="3" s="1"/>
  <c r="F37" i="1"/>
  <c r="D30" i="3" s="1"/>
  <c r="E37" i="1"/>
  <c r="C30" i="3" s="1"/>
  <c r="C37" i="1"/>
  <c r="B37" i="1"/>
  <c r="I36" i="1"/>
  <c r="G29" i="3" s="1"/>
  <c r="G36" i="1"/>
  <c r="E29" i="3" s="1"/>
  <c r="F36" i="1"/>
  <c r="D29" i="3" s="1"/>
  <c r="E36" i="1"/>
  <c r="C32" i="2" s="1"/>
  <c r="C36" i="1"/>
  <c r="B36" i="1"/>
  <c r="I35" i="1"/>
  <c r="G28" i="3" s="1"/>
  <c r="G35" i="1"/>
  <c r="E28" i="3" s="1"/>
  <c r="F35" i="1"/>
  <c r="D28" i="3" s="1"/>
  <c r="E35" i="1"/>
  <c r="C31" i="2" s="1"/>
  <c r="C35" i="1"/>
  <c r="B35" i="1"/>
  <c r="I33" i="1"/>
  <c r="G26" i="3" s="1"/>
  <c r="G33" i="1"/>
  <c r="C42" i="2" s="1"/>
  <c r="F33" i="1"/>
  <c r="D26" i="3" s="1"/>
  <c r="E33" i="1"/>
  <c r="C26" i="3" s="1"/>
  <c r="C33" i="1"/>
  <c r="B33" i="1"/>
  <c r="H33" i="1" s="1"/>
  <c r="F26" i="3" s="1"/>
  <c r="I32" i="1"/>
  <c r="G25" i="3" s="1"/>
  <c r="G32" i="1"/>
  <c r="C41" i="2" s="1"/>
  <c r="F32" i="1"/>
  <c r="F30" i="1" s="1"/>
  <c r="F29" i="1" s="1"/>
  <c r="B40" i="2" s="1"/>
  <c r="E32" i="1"/>
  <c r="C28" i="2" s="1"/>
  <c r="C32" i="1"/>
  <c r="B32" i="1"/>
  <c r="I31" i="1"/>
  <c r="G24" i="3" s="1"/>
  <c r="E31" i="1"/>
  <c r="C27" i="2" s="1"/>
  <c r="C31" i="1"/>
  <c r="B31" i="1"/>
  <c r="H31" i="1" s="1"/>
  <c r="G30" i="1"/>
  <c r="G29" i="1" s="1"/>
  <c r="C40" i="2" s="1"/>
  <c r="I28" i="1"/>
  <c r="G21" i="3" s="1"/>
  <c r="G28" i="1"/>
  <c r="E21" i="3" s="1"/>
  <c r="E17" i="3" s="1"/>
  <c r="F28" i="1"/>
  <c r="D21" i="3" s="1"/>
  <c r="D17" i="3" s="1"/>
  <c r="E28" i="1"/>
  <c r="C21" i="3" s="1"/>
  <c r="C28" i="1"/>
  <c r="D28" i="1" s="1"/>
  <c r="B28" i="1"/>
  <c r="H28" i="1" s="1"/>
  <c r="F21" i="3" s="1"/>
  <c r="I27" i="1"/>
  <c r="G20" i="3" s="1"/>
  <c r="E27" i="1"/>
  <c r="C23" i="2" s="1"/>
  <c r="C27" i="1"/>
  <c r="B27" i="1"/>
  <c r="H27" i="1" s="1"/>
  <c r="F20" i="3" s="1"/>
  <c r="I26" i="1"/>
  <c r="G19" i="3" s="1"/>
  <c r="E26" i="1"/>
  <c r="C22" i="2" s="1"/>
  <c r="C26" i="1"/>
  <c r="B26" i="1"/>
  <c r="H26" i="1" s="1"/>
  <c r="F19" i="3" s="1"/>
  <c r="I25" i="1"/>
  <c r="G18" i="3" s="1"/>
  <c r="E25" i="1"/>
  <c r="C18" i="3" s="1"/>
  <c r="C25" i="1"/>
  <c r="B25" i="1"/>
  <c r="H25" i="1" s="1"/>
  <c r="F24" i="1"/>
  <c r="I23" i="1"/>
  <c r="G16" i="3" s="1"/>
  <c r="G23" i="1"/>
  <c r="C36" i="2" s="1"/>
  <c r="E23" i="1"/>
  <c r="C19" i="2" s="1"/>
  <c r="C23" i="1"/>
  <c r="B23" i="1"/>
  <c r="F11" i="1"/>
  <c r="G11" i="1" s="1"/>
  <c r="E11" i="1"/>
  <c r="C11" i="1"/>
  <c r="B11" i="1"/>
  <c r="F10" i="1"/>
  <c r="E10" i="1"/>
  <c r="C10" i="1"/>
  <c r="B10" i="1"/>
  <c r="F9" i="1"/>
  <c r="G9" i="1" s="1"/>
  <c r="E9" i="1"/>
  <c r="C9" i="1"/>
  <c r="B9" i="1"/>
  <c r="F8" i="1"/>
  <c r="C8" i="1"/>
  <c r="B8" i="1"/>
  <c r="I4" i="1"/>
  <c r="C4" i="1"/>
  <c r="A4" i="1"/>
  <c r="I3" i="1"/>
  <c r="C3" i="1"/>
  <c r="A3" i="1"/>
  <c r="E4" i="7"/>
  <c r="C4" i="7"/>
  <c r="A4" i="7"/>
  <c r="E3" i="7"/>
  <c r="C3" i="7"/>
  <c r="A3" i="7"/>
  <c r="L27" i="4" l="1"/>
  <c r="J27" i="4"/>
  <c r="M22" i="4"/>
  <c r="B15" i="1" s="1"/>
  <c r="B59" i="2" s="1"/>
  <c r="D7" i="3"/>
  <c r="D10" i="3" s="1"/>
  <c r="M14" i="4"/>
  <c r="M13" i="4" s="1"/>
  <c r="M18" i="4" s="1"/>
  <c r="J13" i="4"/>
  <c r="J18" i="4" s="1"/>
  <c r="E47" i="4"/>
  <c r="J61" i="4"/>
  <c r="G32" i="4" s="1"/>
  <c r="M56" i="4"/>
  <c r="E8" i="1"/>
  <c r="G8" i="1" s="1"/>
  <c r="E45" i="1"/>
  <c r="C49" i="3" s="1"/>
  <c r="D49" i="1"/>
  <c r="D9" i="1"/>
  <c r="H37" i="1"/>
  <c r="F30" i="3" s="1"/>
  <c r="E30" i="1"/>
  <c r="M54" i="4"/>
  <c r="M52" i="4" s="1"/>
  <c r="M61" i="4" s="1"/>
  <c r="I30" i="1"/>
  <c r="G23" i="3" s="1"/>
  <c r="D45" i="1"/>
  <c r="B49" i="3" s="1"/>
  <c r="C7" i="1"/>
  <c r="C12" i="1" s="1"/>
  <c r="C34" i="1"/>
  <c r="C24" i="1"/>
  <c r="D50" i="1"/>
  <c r="B24" i="1"/>
  <c r="G34" i="1"/>
  <c r="C43" i="2" s="1"/>
  <c r="D31" i="1"/>
  <c r="H9" i="1"/>
  <c r="H10" i="1"/>
  <c r="E34" i="1"/>
  <c r="C30" i="2" s="1"/>
  <c r="C47" i="1"/>
  <c r="I11" i="1"/>
  <c r="D26" i="1"/>
  <c r="F34" i="1"/>
  <c r="B43" i="2" s="1"/>
  <c r="E43" i="1"/>
  <c r="C47" i="3" s="1"/>
  <c r="B7" i="1"/>
  <c r="B12" i="1" s="1"/>
  <c r="G24" i="1"/>
  <c r="I29" i="1"/>
  <c r="G22" i="3" s="1"/>
  <c r="H32" i="1"/>
  <c r="F25" i="3" s="1"/>
  <c r="H36" i="1"/>
  <c r="F29" i="3" s="1"/>
  <c r="B43" i="1"/>
  <c r="I24" i="1"/>
  <c r="C50" i="2" s="1"/>
  <c r="C30" i="1"/>
  <c r="C29" i="1" s="1"/>
  <c r="C38" i="1" s="1"/>
  <c r="I34" i="1"/>
  <c r="C52" i="2" s="1"/>
  <c r="I10" i="1"/>
  <c r="D27" i="1"/>
  <c r="B23" i="2" s="1"/>
  <c r="H35" i="1"/>
  <c r="H34" i="1" s="1"/>
  <c r="B47" i="1"/>
  <c r="B52" i="1" s="1"/>
  <c r="D10" i="1"/>
  <c r="C8" i="2" s="1"/>
  <c r="B34" i="1"/>
  <c r="E27" i="3"/>
  <c r="B50" i="3"/>
  <c r="B71" i="2"/>
  <c r="B22" i="2"/>
  <c r="B19" i="3"/>
  <c r="B9" i="2"/>
  <c r="J9" i="1"/>
  <c r="B54" i="3"/>
  <c r="B75" i="2"/>
  <c r="B12" i="2"/>
  <c r="F18" i="3"/>
  <c r="H24" i="1"/>
  <c r="B20" i="3"/>
  <c r="F28" i="3"/>
  <c r="B76" i="2"/>
  <c r="B55" i="3"/>
  <c r="B21" i="3"/>
  <c r="B24" i="2"/>
  <c r="H30" i="1"/>
  <c r="F24" i="3"/>
  <c r="C9" i="2"/>
  <c r="B8" i="3"/>
  <c r="E8" i="3" s="1"/>
  <c r="K9" i="1"/>
  <c r="B27" i="2"/>
  <c r="B24" i="3"/>
  <c r="D27" i="3"/>
  <c r="C52" i="1"/>
  <c r="B53" i="3"/>
  <c r="B74" i="2"/>
  <c r="D11" i="1"/>
  <c r="B38" i="2"/>
  <c r="B37" i="2" s="1"/>
  <c r="B61" i="2"/>
  <c r="B82" i="2"/>
  <c r="B86" i="2"/>
  <c r="C92" i="2"/>
  <c r="B95" i="2"/>
  <c r="C25" i="3"/>
  <c r="E26" i="3"/>
  <c r="C29" i="3"/>
  <c r="B63" i="3"/>
  <c r="B70" i="3"/>
  <c r="D72" i="3"/>
  <c r="I9" i="1"/>
  <c r="G10" i="1"/>
  <c r="D23" i="1"/>
  <c r="D25" i="1"/>
  <c r="B30" i="1"/>
  <c r="D32" i="1"/>
  <c r="D33" i="1"/>
  <c r="D35" i="1"/>
  <c r="D36" i="1"/>
  <c r="D37" i="1"/>
  <c r="D42" i="1"/>
  <c r="D44" i="1"/>
  <c r="D48" i="1"/>
  <c r="C24" i="2"/>
  <c r="C38" i="2"/>
  <c r="C37" i="2" s="1"/>
  <c r="C45" i="2" s="1"/>
  <c r="B62" i="2"/>
  <c r="C74" i="2"/>
  <c r="C82" i="2"/>
  <c r="C86" i="2"/>
  <c r="D92" i="2"/>
  <c r="C95" i="2"/>
  <c r="D25" i="3"/>
  <c r="D23" i="3" s="1"/>
  <c r="D22" i="3" s="1"/>
  <c r="C55" i="3"/>
  <c r="C63" i="3"/>
  <c r="C70" i="3"/>
  <c r="B73" i="3"/>
  <c r="D8" i="1"/>
  <c r="E24" i="1"/>
  <c r="C20" i="2" s="1"/>
  <c r="E52" i="1"/>
  <c r="F23" i="1" s="1"/>
  <c r="B83" i="2"/>
  <c r="B93" i="2"/>
  <c r="D95" i="2"/>
  <c r="C16" i="3"/>
  <c r="C19" i="3"/>
  <c r="E25" i="3"/>
  <c r="C28" i="3"/>
  <c r="B39" i="3"/>
  <c r="B64" i="3"/>
  <c r="D70" i="3"/>
  <c r="C73" i="3"/>
  <c r="F7" i="1"/>
  <c r="F12" i="1" s="1"/>
  <c r="C21" i="2"/>
  <c r="C29" i="2"/>
  <c r="C67" i="2"/>
  <c r="C71" i="2"/>
  <c r="C75" i="2"/>
  <c r="C83" i="2"/>
  <c r="C93" i="2"/>
  <c r="C48" i="3"/>
  <c r="C52" i="3"/>
  <c r="C64" i="3"/>
  <c r="B71" i="3"/>
  <c r="D73" i="3"/>
  <c r="H11" i="1"/>
  <c r="B41" i="2"/>
  <c r="E16" i="3"/>
  <c r="C24" i="3"/>
  <c r="C23" i="3" s="1"/>
  <c r="C22" i="3" s="1"/>
  <c r="C49" i="2"/>
  <c r="B42" i="2"/>
  <c r="C20" i="3"/>
  <c r="M27" i="4" l="1"/>
  <c r="B19" i="1"/>
  <c r="B38" i="3"/>
  <c r="H8" i="1"/>
  <c r="H7" i="1" s="1"/>
  <c r="H12" i="1" s="1"/>
  <c r="E7" i="1"/>
  <c r="E12" i="1" s="1"/>
  <c r="B7" i="2"/>
  <c r="G7" i="1"/>
  <c r="G12" i="1" s="1"/>
  <c r="C26" i="2"/>
  <c r="E29" i="1"/>
  <c r="C25" i="2" s="1"/>
  <c r="G17" i="3"/>
  <c r="G31" i="3" s="1"/>
  <c r="B70" i="2"/>
  <c r="G47" i="4"/>
  <c r="I32" i="4"/>
  <c r="I47" i="4" s="1"/>
  <c r="C56" i="3"/>
  <c r="C70" i="2"/>
  <c r="C68" i="2" s="1"/>
  <c r="G38" i="1"/>
  <c r="G27" i="3"/>
  <c r="I38" i="1"/>
  <c r="C53" i="2" s="1"/>
  <c r="K10" i="1"/>
  <c r="B9" i="3"/>
  <c r="E9" i="3" s="1"/>
  <c r="C51" i="2"/>
  <c r="C72" i="2"/>
  <c r="C27" i="3"/>
  <c r="C17" i="3"/>
  <c r="E23" i="3"/>
  <c r="E22" i="3" s="1"/>
  <c r="E31" i="3"/>
  <c r="B36" i="2"/>
  <c r="B45" i="2" s="1"/>
  <c r="D16" i="3"/>
  <c r="D31" i="3" s="1"/>
  <c r="F38" i="1"/>
  <c r="B42" i="3"/>
  <c r="B30" i="3"/>
  <c r="B33" i="2"/>
  <c r="B8" i="2"/>
  <c r="B11" i="2" s="1"/>
  <c r="B13" i="2" s="1"/>
  <c r="J10" i="1"/>
  <c r="C7" i="2"/>
  <c r="C11" i="2" s="1"/>
  <c r="B7" i="3"/>
  <c r="K8" i="1"/>
  <c r="D7" i="1"/>
  <c r="H23" i="1"/>
  <c r="E38" i="1"/>
  <c r="C33" i="2" s="1"/>
  <c r="B29" i="3"/>
  <c r="B32" i="2"/>
  <c r="K11" i="1"/>
  <c r="C12" i="2"/>
  <c r="B31" i="2"/>
  <c r="B28" i="3"/>
  <c r="D34" i="1"/>
  <c r="B30" i="2" s="1"/>
  <c r="J11" i="1"/>
  <c r="I7" i="1"/>
  <c r="B26" i="3"/>
  <c r="B29" i="2"/>
  <c r="F27" i="3"/>
  <c r="B52" i="2"/>
  <c r="J8" i="1"/>
  <c r="J7" i="1" s="1"/>
  <c r="B73" i="2"/>
  <c r="B72" i="2" s="1"/>
  <c r="D47" i="1"/>
  <c r="B51" i="3" s="1"/>
  <c r="B52" i="3"/>
  <c r="D30" i="1"/>
  <c r="B29" i="1"/>
  <c r="B38" i="1" s="1"/>
  <c r="B69" i="2"/>
  <c r="B68" i="2" s="1"/>
  <c r="D43" i="1"/>
  <c r="B47" i="3" s="1"/>
  <c r="B48" i="3"/>
  <c r="B18" i="3"/>
  <c r="B17" i="3" s="1"/>
  <c r="B21" i="2"/>
  <c r="D24" i="1"/>
  <c r="B20" i="2" s="1"/>
  <c r="B25" i="3"/>
  <c r="B28" i="2"/>
  <c r="B46" i="3"/>
  <c r="B67" i="2"/>
  <c r="B19" i="2"/>
  <c r="B16" i="3"/>
  <c r="H29" i="1"/>
  <c r="F23" i="3"/>
  <c r="B50" i="2"/>
  <c r="F17" i="3"/>
  <c r="I12" i="1" l="1"/>
  <c r="I8" i="1"/>
  <c r="B23" i="3"/>
  <c r="B22" i="3" s="1"/>
  <c r="C77" i="2"/>
  <c r="J12" i="1"/>
  <c r="C31" i="3"/>
  <c r="B56" i="3"/>
  <c r="F16" i="3"/>
  <c r="H38" i="1"/>
  <c r="B53" i="2" s="1"/>
  <c r="B49" i="2"/>
  <c r="B27" i="3"/>
  <c r="B31" i="3" s="1"/>
  <c r="K7" i="1"/>
  <c r="D12" i="1"/>
  <c r="K12" i="1" s="1"/>
  <c r="B10" i="3"/>
  <c r="E7" i="3"/>
  <c r="E10" i="3" s="1"/>
  <c r="C13" i="2"/>
  <c r="F22" i="3"/>
  <c r="B51" i="2"/>
  <c r="B26" i="2"/>
  <c r="D29" i="1"/>
  <c r="D52" i="1"/>
  <c r="B77" i="2"/>
  <c r="B25" i="2" l="1"/>
  <c r="D38" i="1"/>
  <c r="F31" i="3"/>
</calcChain>
</file>

<file path=xl/comments1.xml><?xml version="1.0" encoding="utf-8"?>
<comments xmlns="http://schemas.openxmlformats.org/spreadsheetml/2006/main">
  <authors>
    <author>作者</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<sst xmlns="http://schemas.openxmlformats.org/spreadsheetml/2006/main" count="1015" uniqueCount="570">
  <si>
    <t>致同会计师事务所</t>
  </si>
  <si>
    <r>
      <rPr>
        <sz val="10"/>
        <rFont val="宋体"/>
        <family val="3"/>
        <charset val="134"/>
      </rPr>
      <t>索引号：</t>
    </r>
  </si>
  <si>
    <t>合计</t>
  </si>
  <si>
    <r>
      <rPr>
        <b/>
        <sz val="10"/>
        <color theme="1"/>
        <rFont val="宋体"/>
        <family val="3"/>
        <charset val="134"/>
      </rPr>
      <t>期初数</t>
    </r>
  </si>
  <si>
    <r>
      <rPr>
        <b/>
        <sz val="10"/>
        <color theme="1"/>
        <rFont val="宋体"/>
        <family val="3"/>
        <charset val="134"/>
      </rPr>
      <t>期末数</t>
    </r>
  </si>
  <si>
    <r>
      <rPr>
        <sz val="10"/>
        <color indexed="8"/>
        <rFont val="宋体"/>
        <family val="3"/>
        <charset val="134"/>
      </rPr>
      <t>其中：</t>
    </r>
    <r>
      <rPr>
        <sz val="10"/>
        <color indexed="8"/>
        <rFont val="Arial Narrow"/>
        <family val="2"/>
      </rPr>
      <t>1</t>
    </r>
    <r>
      <rPr>
        <sz val="10"/>
        <color indexed="8"/>
        <rFont val="宋体"/>
        <family val="3"/>
        <charset val="134"/>
      </rPr>
      <t>、离职后福利</t>
    </r>
    <phoneticPr fontId="7" type="noConversion"/>
  </si>
  <si>
    <t>……</t>
  </si>
  <si>
    <r>
      <rPr>
        <b/>
        <sz val="10"/>
        <rFont val="宋体"/>
        <family val="3"/>
        <charset val="134"/>
      </rPr>
      <t>项目名称</t>
    </r>
    <phoneticPr fontId="12" type="noConversion"/>
  </si>
  <si>
    <r>
      <rPr>
        <sz val="10"/>
        <color indexed="8"/>
        <rFont val="宋体"/>
        <family val="3"/>
        <charset val="134"/>
      </rPr>
      <t>设定受益计划</t>
    </r>
    <phoneticPr fontId="7" type="noConversion"/>
  </si>
  <si>
    <r>
      <rPr>
        <sz val="10"/>
        <color indexed="8"/>
        <rFont val="宋体"/>
        <family val="3"/>
        <charset val="134"/>
      </rPr>
      <t>辞退福利</t>
    </r>
    <phoneticPr fontId="7" type="noConversion"/>
  </si>
  <si>
    <r>
      <rPr>
        <sz val="10"/>
        <color indexed="8"/>
        <rFont val="宋体"/>
        <family val="3"/>
        <charset val="134"/>
      </rPr>
      <t>减：一年内支付的辞退福利</t>
    </r>
    <phoneticPr fontId="7" type="noConversion"/>
  </si>
  <si>
    <r>
      <t>2</t>
    </r>
    <r>
      <rPr>
        <b/>
        <sz val="10"/>
        <rFont val="宋体"/>
        <family val="3"/>
        <charset val="134"/>
      </rPr>
      <t>、审计结论</t>
    </r>
    <r>
      <rPr>
        <sz val="10"/>
        <color indexed="12"/>
        <rFont val="宋体"/>
        <family val="3"/>
        <charset val="134"/>
      </rPr>
      <t/>
    </r>
    <phoneticPr fontId="12" type="noConversion"/>
  </si>
  <si>
    <r>
      <t> </t>
    </r>
    <r>
      <rPr>
        <b/>
        <sz val="10"/>
        <color rgb="FF000000"/>
        <rFont val="宋体"/>
        <family val="3"/>
        <charset val="134"/>
      </rPr>
      <t>项</t>
    </r>
    <r>
      <rPr>
        <b/>
        <sz val="10"/>
        <color rgb="FF000000"/>
        <rFont val="Arial Narrow"/>
        <family val="2"/>
      </rPr>
      <t xml:space="preserve"> </t>
    </r>
    <r>
      <rPr>
        <b/>
        <sz val="10"/>
        <color rgb="FF000000"/>
        <rFont val="宋体"/>
        <family val="3"/>
        <charset val="134"/>
      </rPr>
      <t>目</t>
    </r>
  </si>
  <si>
    <r>
      <rPr>
        <b/>
        <sz val="10"/>
        <color rgb="FF000000"/>
        <rFont val="宋体"/>
        <family val="3"/>
        <charset val="134"/>
      </rPr>
      <t>计划资产的公允价值</t>
    </r>
  </si>
  <si>
    <r>
      <rPr>
        <b/>
        <sz val="10"/>
        <color rgb="FF000000"/>
        <rFont val="宋体"/>
        <family val="3"/>
        <charset val="134"/>
      </rPr>
      <t>本期金额</t>
    </r>
  </si>
  <si>
    <r>
      <rPr>
        <b/>
        <sz val="10"/>
        <color rgb="FF000000"/>
        <rFont val="宋体"/>
        <family val="3"/>
        <charset val="134"/>
      </rPr>
      <t>上期金额</t>
    </r>
  </si>
  <si>
    <r>
      <t>1</t>
    </r>
    <r>
      <rPr>
        <sz val="10"/>
        <color rgb="FF000000"/>
        <rFont val="宋体"/>
        <family val="3"/>
        <charset val="134"/>
      </rPr>
      <t>．当期服务成本</t>
    </r>
  </si>
  <si>
    <r>
      <t>2</t>
    </r>
    <r>
      <rPr>
        <sz val="10"/>
        <color rgb="FF000000"/>
        <rFont val="宋体"/>
        <family val="3"/>
        <charset val="134"/>
      </rPr>
      <t>．过去服务成本</t>
    </r>
  </si>
  <si>
    <r>
      <t>3</t>
    </r>
    <r>
      <rPr>
        <sz val="10"/>
        <color rgb="FF000000"/>
        <rFont val="宋体"/>
        <family val="3"/>
        <charset val="134"/>
      </rPr>
      <t>．结算利得（损失以</t>
    </r>
    <r>
      <rPr>
        <sz val="10"/>
        <color rgb="FF000000"/>
        <rFont val="Arial Narrow"/>
        <family val="2"/>
      </rPr>
      <t>“-”</t>
    </r>
    <r>
      <rPr>
        <sz val="10"/>
        <color rgb="FF000000"/>
        <rFont val="宋体"/>
        <family val="3"/>
        <charset val="134"/>
      </rPr>
      <t>表示）</t>
    </r>
  </si>
  <si>
    <r>
      <t>4</t>
    </r>
    <r>
      <rPr>
        <sz val="10"/>
        <color rgb="FF000000"/>
        <rFont val="宋体"/>
        <family val="3"/>
        <charset val="134"/>
      </rPr>
      <t>．利息净额</t>
    </r>
  </si>
  <si>
    <r>
      <rPr>
        <sz val="10"/>
        <color rgb="FF000000"/>
        <rFont val="宋体"/>
        <family val="3"/>
        <charset val="134"/>
      </rPr>
      <t>设定受益计划净负债（净资产）的重新计量</t>
    </r>
  </si>
  <si>
    <r>
      <t>1</t>
    </r>
    <r>
      <rPr>
        <sz val="10"/>
        <color rgb="FF000000"/>
        <rFont val="宋体"/>
        <family val="3"/>
        <charset val="134"/>
      </rPr>
      <t>．精算利得（损失以</t>
    </r>
    <r>
      <rPr>
        <sz val="10"/>
        <color rgb="FF000000"/>
        <rFont val="Arial Narrow"/>
        <family val="2"/>
      </rPr>
      <t>“-”</t>
    </r>
    <r>
      <rPr>
        <sz val="10"/>
        <color rgb="FF000000"/>
        <rFont val="宋体"/>
        <family val="3"/>
        <charset val="134"/>
      </rPr>
      <t>表示）</t>
    </r>
  </si>
  <si>
    <r>
      <t>2</t>
    </r>
    <r>
      <rPr>
        <sz val="10"/>
        <color rgb="FF000000"/>
        <rFont val="宋体"/>
        <family val="3"/>
        <charset val="134"/>
      </rPr>
      <t>．计划资产的回报（计入利息净额的除外）</t>
    </r>
  </si>
  <si>
    <r>
      <t>3</t>
    </r>
    <r>
      <rPr>
        <sz val="10"/>
        <color rgb="FF000000"/>
        <rFont val="宋体"/>
        <family val="3"/>
        <charset val="134"/>
      </rPr>
      <t>．资产上限影响的变动（计入利息净额的除外）</t>
    </r>
    <r>
      <rPr>
        <sz val="10"/>
        <color theme="1"/>
        <rFont val="Arial Narrow"/>
        <family val="2"/>
      </rPr>
      <t> </t>
    </r>
  </si>
  <si>
    <r>
      <t>1</t>
    </r>
    <r>
      <rPr>
        <sz val="10"/>
        <color rgb="FF000000"/>
        <rFont val="宋体"/>
        <family val="3"/>
        <charset val="134"/>
      </rPr>
      <t>．结算时消除的负债</t>
    </r>
  </si>
  <si>
    <r>
      <t>2</t>
    </r>
    <r>
      <rPr>
        <sz val="10"/>
        <color rgb="FF000000"/>
        <rFont val="宋体"/>
        <family val="3"/>
        <charset val="134"/>
      </rPr>
      <t>．已支付的福利</t>
    </r>
  </si>
  <si>
    <r>
      <rPr>
        <b/>
        <sz val="10"/>
        <color rgb="FF000000"/>
        <rFont val="宋体"/>
        <family val="3"/>
        <charset val="134"/>
      </rPr>
      <t>五、期末余额</t>
    </r>
  </si>
  <si>
    <t>期末数</t>
  </si>
  <si>
    <t>期初数</t>
  </si>
  <si>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</si>
  <si>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b/>
        <sz val="10"/>
        <color theme="1"/>
        <rFont val="宋体"/>
        <family val="3"/>
        <charset val="134"/>
      </rPr>
      <t>计划资产的公允价值</t>
    </r>
  </si>
  <si>
    <r>
      <t>1</t>
    </r>
    <r>
      <rPr>
        <sz val="10"/>
        <color theme="1"/>
        <rFont val="宋体"/>
        <family val="3"/>
        <charset val="134"/>
      </rPr>
      <t>、</t>
    </r>
    <r>
      <rPr>
        <sz val="10"/>
        <color theme="1"/>
        <rFont val="Arial Narrow"/>
        <family val="2"/>
      </rPr>
      <t>……</t>
    </r>
  </si>
  <si>
    <r>
      <t>2</t>
    </r>
    <r>
      <rPr>
        <sz val="10"/>
        <color theme="1"/>
        <rFont val="宋体"/>
        <family val="3"/>
        <charset val="134"/>
      </rPr>
      <t>、</t>
    </r>
    <r>
      <rPr>
        <sz val="10"/>
        <color theme="1"/>
        <rFont val="Arial Narrow"/>
        <family val="2"/>
      </rPr>
      <t>……</t>
    </r>
  </si>
  <si>
    <r>
      <rPr>
        <b/>
        <sz val="10"/>
        <color theme="1"/>
        <rFont val="宋体"/>
        <family val="3"/>
        <charset val="134"/>
      </rPr>
      <t>合</t>
    </r>
    <r>
      <rPr>
        <b/>
        <sz val="10"/>
        <color theme="1"/>
        <rFont val="Arial Narrow"/>
        <family val="2"/>
      </rPr>
      <t xml:space="preserve">  </t>
    </r>
    <r>
      <rPr>
        <b/>
        <sz val="10"/>
        <color theme="1"/>
        <rFont val="宋体"/>
        <family val="3"/>
        <charset val="134"/>
      </rPr>
      <t>计</t>
    </r>
  </si>
  <si>
    <t>折现率</t>
  </si>
  <si>
    <t>死亡率</t>
  </si>
  <si>
    <t>薪酬的预期增长率</t>
  </si>
  <si>
    <r>
      <rPr>
        <b/>
        <sz val="10"/>
        <color theme="1"/>
        <rFont val="宋体"/>
        <family val="3"/>
        <charset val="134"/>
      </rPr>
      <t>项</t>
    </r>
    <r>
      <rPr>
        <b/>
        <sz val="10"/>
        <color theme="1"/>
        <rFont val="Arial Narrow"/>
        <family val="2"/>
      </rPr>
      <t xml:space="preserve"> </t>
    </r>
    <r>
      <rPr>
        <b/>
        <sz val="10"/>
        <color theme="1"/>
        <rFont val="宋体"/>
        <family val="3"/>
        <charset val="134"/>
      </rPr>
      <t>目</t>
    </r>
    <phoneticPr fontId="7" type="noConversion"/>
  </si>
  <si>
    <t>应当关注以下事项：</t>
    <phoneticPr fontId="7" type="noConversion"/>
  </si>
  <si>
    <t>--</t>
    <phoneticPr fontId="7" type="noConversion"/>
  </si>
  <si>
    <r>
      <rPr>
        <b/>
        <sz val="10"/>
        <color rgb="FF000000"/>
        <rFont val="宋体"/>
        <family val="3"/>
        <charset val="134"/>
      </rPr>
      <t>四、其他变动</t>
    </r>
  </si>
  <si>
    <r>
      <rPr>
        <b/>
        <sz val="10"/>
        <color rgb="FF000000"/>
        <rFont val="宋体"/>
        <family val="3"/>
        <charset val="134"/>
      </rPr>
      <t>三、计入其他综合收益的设定受益成本</t>
    </r>
  </si>
  <si>
    <r>
      <rPr>
        <b/>
        <sz val="10"/>
        <color rgb="FF000000"/>
        <rFont val="宋体"/>
        <family val="3"/>
        <charset val="134"/>
      </rPr>
      <t>二、计入当期损益的设定受益成本</t>
    </r>
  </si>
  <si>
    <r>
      <rPr>
        <b/>
        <sz val="10"/>
        <color theme="1"/>
        <rFont val="宋体"/>
        <family val="3"/>
        <charset val="134"/>
      </rPr>
      <t>其他</t>
    </r>
  </si>
  <si>
    <r>
      <rPr>
        <b/>
        <sz val="10"/>
        <color theme="1"/>
        <rFont val="宋体"/>
        <family val="3"/>
        <charset val="134"/>
      </rPr>
      <t>债务工具投资</t>
    </r>
  </si>
  <si>
    <r>
      <rPr>
        <b/>
        <sz val="10"/>
        <color theme="1"/>
        <rFont val="宋体"/>
        <family val="3"/>
        <charset val="134"/>
      </rPr>
      <t>现金和现金等价物</t>
    </r>
  </si>
  <si>
    <r>
      <rPr>
        <b/>
        <sz val="10"/>
        <color theme="1"/>
        <rFont val="宋体"/>
        <family val="3"/>
        <charset val="134"/>
      </rPr>
      <t>权益工具投资</t>
    </r>
    <r>
      <rPr>
        <b/>
        <sz val="10"/>
        <color theme="1"/>
        <rFont val="Arial Narrow"/>
        <family val="2"/>
      </rPr>
      <t xml:space="preserve"> </t>
    </r>
  </si>
  <si>
    <t xml:space="preserve"> 一到两年</t>
    <phoneticPr fontId="7" type="noConversion"/>
  </si>
  <si>
    <t xml:space="preserve"> 五年以上</t>
    <phoneticPr fontId="7" type="noConversion"/>
  </si>
  <si>
    <t>合  计</t>
    <phoneticPr fontId="7" type="noConversion"/>
  </si>
  <si>
    <t xml:space="preserve"> 一年以内</t>
    <phoneticPr fontId="7" type="noConversion"/>
  </si>
  <si>
    <t xml:space="preserve"> 二到五年</t>
    <phoneticPr fontId="7" type="noConversion"/>
  </si>
  <si>
    <t>项  目</t>
    <phoneticPr fontId="7" type="noConversion"/>
  </si>
  <si>
    <t>金额</t>
    <phoneticPr fontId="7" type="noConversion"/>
  </si>
  <si>
    <t>索引号：</t>
    <phoneticPr fontId="12" type="noConversion"/>
  </si>
  <si>
    <t>页次：</t>
    <phoneticPr fontId="12" type="noConversion"/>
  </si>
  <si>
    <t>设定受益计划</t>
  </si>
  <si>
    <t>--</t>
  </si>
  <si>
    <t>设定受益计划净负债（净资产）的重新计量</t>
  </si>
  <si>
    <r>
      <rPr>
        <b/>
        <sz val="10"/>
        <color indexed="8"/>
        <rFont val="宋体"/>
        <family val="3"/>
        <charset val="134"/>
      </rPr>
      <t>序号</t>
    </r>
    <phoneticPr fontId="12" type="noConversion"/>
  </si>
  <si>
    <r>
      <rPr>
        <b/>
        <sz val="10"/>
        <color indexed="8"/>
        <rFont val="宋体"/>
        <family val="3"/>
        <charset val="134"/>
      </rPr>
      <t>项目名称</t>
    </r>
    <phoneticPr fontId="12" type="noConversion"/>
  </si>
  <si>
    <r>
      <rPr>
        <b/>
        <sz val="10"/>
        <color indexed="8"/>
        <rFont val="宋体"/>
        <family val="3"/>
        <charset val="134"/>
      </rPr>
      <t>期初数</t>
    </r>
    <phoneticPr fontId="12" type="noConversion"/>
  </si>
  <si>
    <r>
      <rPr>
        <b/>
        <sz val="10"/>
        <color indexed="8"/>
        <rFont val="宋体"/>
        <family val="3"/>
        <charset val="134"/>
      </rPr>
      <t>本期增加</t>
    </r>
    <phoneticPr fontId="12" type="noConversion"/>
  </si>
  <si>
    <r>
      <rPr>
        <b/>
        <sz val="10"/>
        <color indexed="8"/>
        <rFont val="宋体"/>
        <family val="3"/>
        <charset val="134"/>
      </rPr>
      <t>本期减少</t>
    </r>
    <phoneticPr fontId="12" type="noConversion"/>
  </si>
  <si>
    <r>
      <rPr>
        <b/>
        <sz val="10"/>
        <color indexed="8"/>
        <rFont val="宋体"/>
        <family val="3"/>
        <charset val="134"/>
      </rPr>
      <t>期末数</t>
    </r>
    <phoneticPr fontId="12" type="noConversion"/>
  </si>
  <si>
    <r>
      <rPr>
        <b/>
        <sz val="10"/>
        <color indexed="8"/>
        <rFont val="宋体"/>
        <family val="3"/>
        <charset val="134"/>
      </rPr>
      <t>备注</t>
    </r>
    <phoneticPr fontId="12" type="noConversion"/>
  </si>
  <si>
    <t>减：一年内支付的辞退福利</t>
  </si>
  <si>
    <t xml:space="preserve"> 一年以内</t>
  </si>
  <si>
    <t xml:space="preserve"> 一到两年</t>
  </si>
  <si>
    <t xml:space="preserve"> 二到五年</t>
  </si>
  <si>
    <t xml:space="preserve"> 五年以上</t>
  </si>
  <si>
    <t>……</t>
    <phoneticPr fontId="7" type="noConversion"/>
  </si>
  <si>
    <r>
      <t>1</t>
    </r>
    <r>
      <rPr>
        <sz val="10"/>
        <color rgb="FF0000FF"/>
        <rFont val="宋体"/>
        <family val="3"/>
        <charset val="134"/>
      </rPr>
      <t>、设定受益计划义务现值测试</t>
    </r>
    <phoneticPr fontId="12" type="noConversion"/>
  </si>
  <si>
    <r>
      <rPr>
        <sz val="10"/>
        <color rgb="FF0000FF"/>
        <rFont val="宋体"/>
        <family val="3"/>
        <charset val="134"/>
      </rPr>
      <t>考虑因素：（</t>
    </r>
    <r>
      <rPr>
        <sz val="10"/>
        <color rgb="FF0000FF"/>
        <rFont val="Arial Narrow"/>
        <family val="2"/>
      </rPr>
      <t>1</t>
    </r>
    <r>
      <rPr>
        <sz val="10"/>
        <color rgb="FF0000FF"/>
        <rFont val="宋体"/>
        <family val="3"/>
        <charset val="134"/>
      </rPr>
      <t>）设定受益计划义务；（</t>
    </r>
    <r>
      <rPr>
        <sz val="10"/>
        <color rgb="FF0000FF"/>
        <rFont val="Arial Narrow"/>
        <family val="2"/>
      </rPr>
      <t>2</t>
    </r>
    <r>
      <rPr>
        <sz val="10"/>
        <color rgb="FF0000FF"/>
        <rFont val="宋体"/>
        <family val="3"/>
        <charset val="134"/>
      </rPr>
      <t>）折现率的选取</t>
    </r>
    <phoneticPr fontId="12" type="noConversion"/>
  </si>
  <si>
    <r>
      <t>2</t>
    </r>
    <r>
      <rPr>
        <sz val="10"/>
        <color rgb="FF0000FF"/>
        <rFont val="宋体"/>
        <family val="3"/>
        <charset val="134"/>
      </rPr>
      <t>、设定受益计划资产测试</t>
    </r>
    <phoneticPr fontId="12" type="noConversion"/>
  </si>
  <si>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</si>
  <si>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</si>
  <si>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</si>
  <si>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</si>
  <si>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 xml:space="preserve"> </t>
  </si>
  <si>
    <t>预计平均寿命</t>
  </si>
  <si>
    <t>职工的离职率</t>
  </si>
  <si>
    <r>
      <t xml:space="preserve">            2</t>
    </r>
    <r>
      <rPr>
        <sz val="10"/>
        <color indexed="8"/>
        <rFont val="宋体"/>
        <family val="3"/>
        <charset val="134"/>
      </rPr>
      <t>、其他长期职工福利</t>
    </r>
    <phoneticPr fontId="7" type="noConversion"/>
  </si>
  <si>
    <r>
      <rPr>
        <b/>
        <sz val="10"/>
        <color indexed="8"/>
        <rFont val="宋体"/>
        <family val="3"/>
        <charset val="134"/>
      </rPr>
      <t>未审数</t>
    </r>
    <phoneticPr fontId="12" type="noConversion"/>
  </si>
  <si>
    <r>
      <rPr>
        <b/>
        <sz val="10"/>
        <color indexed="8"/>
        <rFont val="宋体"/>
        <family val="3"/>
        <charset val="134"/>
      </rPr>
      <t>期初调整</t>
    </r>
    <phoneticPr fontId="44" type="noConversion"/>
  </si>
  <si>
    <r>
      <rPr>
        <sz val="10"/>
        <color indexed="8"/>
        <rFont val="宋体"/>
        <family val="3"/>
        <charset val="134"/>
      </rPr>
      <t>一、</t>
    </r>
  </si>
  <si>
    <r>
      <rPr>
        <sz val="10"/>
        <color indexed="8"/>
        <rFont val="宋体"/>
        <family val="3"/>
        <charset val="134"/>
      </rPr>
      <t>二、</t>
    </r>
  </si>
  <si>
    <r>
      <rPr>
        <sz val="10"/>
        <color indexed="8"/>
        <rFont val="宋体"/>
        <family val="3"/>
        <charset val="134"/>
      </rPr>
      <t>三、</t>
    </r>
  </si>
  <si>
    <r>
      <rPr>
        <sz val="10"/>
        <rFont val="宋体"/>
        <family val="3"/>
        <charset val="134"/>
      </rPr>
      <t>四、</t>
    </r>
  </si>
  <si>
    <r>
      <rPr>
        <b/>
        <sz val="10"/>
        <color rgb="FF000000"/>
        <rFont val="宋体"/>
        <family val="3"/>
        <charset val="134"/>
      </rPr>
      <t>项目</t>
    </r>
  </si>
  <si>
    <r>
      <t xml:space="preserve"> </t>
    </r>
    <r>
      <rPr>
        <b/>
        <sz val="10"/>
        <color rgb="FF000000"/>
        <rFont val="宋体"/>
        <family val="3"/>
        <charset val="134"/>
      </rPr>
      <t>假设的变动幅度</t>
    </r>
  </si>
  <si>
    <r>
      <rPr>
        <b/>
        <sz val="10"/>
        <color rgb="FF000000"/>
        <rFont val="宋体"/>
        <family val="3"/>
        <charset val="134"/>
      </rPr>
      <t>对设定受益义务现值的影响</t>
    </r>
  </si>
  <si>
    <r>
      <rPr>
        <b/>
        <sz val="10"/>
        <color rgb="FF000000"/>
        <rFont val="宋体"/>
        <family val="3"/>
        <charset val="134"/>
      </rPr>
      <t>计划负债减小</t>
    </r>
  </si>
  <si>
    <r>
      <rPr>
        <sz val="10"/>
        <color theme="1"/>
        <rFont val="宋体"/>
        <family val="3"/>
        <charset val="134"/>
      </rPr>
      <t>现金和现金等价物</t>
    </r>
  </si>
  <si>
    <r>
      <rPr>
        <sz val="10"/>
        <color theme="1"/>
        <rFont val="宋体"/>
        <family val="3"/>
        <charset val="134"/>
      </rPr>
      <t>权益工具投资</t>
    </r>
    <r>
      <rPr>
        <sz val="10"/>
        <color theme="1"/>
        <rFont val="Arial Narrow"/>
        <family val="2"/>
      </rPr>
      <t xml:space="preserve"> </t>
    </r>
  </si>
  <si>
    <r>
      <t>1</t>
    </r>
    <r>
      <rPr>
        <sz val="10"/>
        <rFont val="宋体"/>
        <family val="3"/>
        <charset val="134"/>
      </rPr>
      <t>、</t>
    </r>
  </si>
  <si>
    <r>
      <t>2</t>
    </r>
    <r>
      <rPr>
        <sz val="10"/>
        <rFont val="宋体"/>
        <family val="3"/>
        <charset val="134"/>
      </rPr>
      <t>、</t>
    </r>
  </si>
  <si>
    <r>
      <rPr>
        <sz val="10"/>
        <color theme="1"/>
        <rFont val="宋体"/>
        <family val="3"/>
        <charset val="134"/>
      </rPr>
      <t>债务工具投资</t>
    </r>
  </si>
  <si>
    <r>
      <rPr>
        <sz val="10"/>
        <color theme="1"/>
        <rFont val="宋体"/>
        <family val="3"/>
        <charset val="134"/>
      </rPr>
      <t>其他</t>
    </r>
  </si>
  <si>
    <r>
      <t>4</t>
    </r>
    <r>
      <rPr>
        <b/>
        <sz val="10"/>
        <color indexed="8"/>
        <rFont val="宋体"/>
        <family val="3"/>
        <charset val="134"/>
      </rPr>
      <t>、精算假设</t>
    </r>
    <phoneticPr fontId="7" type="noConversion"/>
  </si>
  <si>
    <r>
      <rPr>
        <b/>
        <sz val="12"/>
        <color indexed="8"/>
        <rFont val="宋体"/>
        <family val="3"/>
        <charset val="134"/>
      </rPr>
      <t>长期应付职工薪酬</t>
    </r>
    <r>
      <rPr>
        <b/>
        <sz val="12"/>
        <color indexed="8"/>
        <rFont val="Arial Narrow"/>
        <family val="2"/>
      </rPr>
      <t>//</t>
    </r>
    <r>
      <rPr>
        <b/>
        <sz val="12"/>
        <color indexed="8"/>
        <rFont val="宋体"/>
        <family val="3"/>
        <charset val="134"/>
      </rPr>
      <t>设定受益计划净资产附注披露信息（上市公司）</t>
    </r>
    <phoneticPr fontId="12" type="noConversion"/>
  </si>
  <si>
    <r>
      <rPr>
        <sz val="10"/>
        <color indexed="8"/>
        <rFont val="宋体"/>
        <family val="3"/>
        <charset val="134"/>
      </rPr>
      <t>页次：</t>
    </r>
    <phoneticPr fontId="12" type="noConversion"/>
  </si>
  <si>
    <t>……</t>
    <phoneticPr fontId="7" type="noConversion"/>
  </si>
  <si>
    <r>
      <rPr>
        <b/>
        <sz val="10"/>
        <rFont val="宋体"/>
        <family val="3"/>
        <charset val="134"/>
      </rPr>
      <t>致同会计师事务所</t>
    </r>
  </si>
  <si>
    <r>
      <rPr>
        <b/>
        <sz val="10"/>
        <color indexed="8"/>
        <rFont val="宋体"/>
        <family val="3"/>
        <charset val="134"/>
      </rPr>
      <t>一、审计目标</t>
    </r>
    <r>
      <rPr>
        <b/>
        <sz val="10"/>
        <color indexed="8"/>
        <rFont val="Arial Narrow"/>
        <family val="2"/>
      </rPr>
      <t>:</t>
    </r>
    <phoneticPr fontId="21" type="noConversion"/>
  </si>
  <si>
    <r>
      <rPr>
        <b/>
        <sz val="10"/>
        <rFont val="宋体"/>
        <family val="3"/>
        <charset val="134"/>
      </rPr>
      <t>二、审计过程：</t>
    </r>
    <phoneticPr fontId="12" type="noConversion"/>
  </si>
  <si>
    <r>
      <rPr>
        <b/>
        <sz val="10"/>
        <rFont val="宋体"/>
        <family val="3"/>
        <charset val="134"/>
      </rPr>
      <t>（一）判断为设定受益计划的理由</t>
    </r>
    <phoneticPr fontId="12" type="noConversion"/>
  </si>
  <si>
    <r>
      <rPr>
        <b/>
        <sz val="10"/>
        <rFont val="宋体"/>
        <family val="3"/>
        <charset val="134"/>
      </rPr>
      <t>序号</t>
    </r>
    <phoneticPr fontId="12" type="noConversion"/>
  </si>
  <si>
    <r>
      <rPr>
        <b/>
        <sz val="10"/>
        <rFont val="宋体"/>
        <family val="3"/>
        <charset val="134"/>
      </rPr>
      <t>判断项目</t>
    </r>
    <phoneticPr fontId="12" type="noConversion"/>
  </si>
  <si>
    <r>
      <rPr>
        <b/>
        <sz val="10"/>
        <rFont val="宋体"/>
        <family val="3"/>
        <charset val="134"/>
      </rPr>
      <t>对应的设定受益计划主要条款</t>
    </r>
    <phoneticPr fontId="12" type="noConversion"/>
  </si>
  <si>
    <r>
      <rPr>
        <b/>
        <sz val="10"/>
        <rFont val="宋体"/>
        <family val="3"/>
        <charset val="134"/>
      </rPr>
      <t>判断理由</t>
    </r>
    <phoneticPr fontId="12" type="noConversion"/>
  </si>
  <si>
    <r>
      <rPr>
        <b/>
        <sz val="10"/>
        <rFont val="宋体"/>
        <family val="3"/>
        <charset val="134"/>
      </rPr>
      <t>判断结论（是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12" type="noConversion"/>
  </si>
  <si>
    <r>
      <rPr>
        <sz val="10"/>
        <rFont val="宋体"/>
        <family val="3"/>
        <charset val="134"/>
      </rPr>
      <t>计划福利公式不仅仅与提存金金额相关，且要求企业在资产不足以满足该公式的福利时提供进一步的提存金</t>
    </r>
    <phoneticPr fontId="12" type="noConversion"/>
  </si>
  <si>
    <r>
      <rPr>
        <sz val="10"/>
        <rFont val="宋体"/>
        <family val="3"/>
        <charset val="134"/>
      </rPr>
      <t>通过计划间接地或直接地对提存金的特定回报作出担保</t>
    </r>
    <phoneticPr fontId="12" type="noConversion"/>
  </si>
  <si>
    <r>
      <rPr>
        <sz val="10"/>
        <rFont val="宋体"/>
        <family val="3"/>
        <charset val="134"/>
      </rPr>
      <t>企业给予补偿的事项是职工在职时提供的服务而不是退休本身</t>
    </r>
    <phoneticPr fontId="12" type="noConversion"/>
  </si>
  <si>
    <r>
      <rPr>
        <sz val="10"/>
        <rFont val="宋体"/>
        <family val="3"/>
        <charset val="134"/>
      </rPr>
      <t>精算风险和投资风险由企业来承担</t>
    </r>
    <phoneticPr fontId="12" type="noConversion"/>
  </si>
  <si>
    <r>
      <rPr>
        <b/>
        <sz val="10"/>
        <rFont val="宋体"/>
        <family val="3"/>
        <charset val="134"/>
      </rPr>
      <t>项目</t>
    </r>
    <phoneticPr fontId="12" type="noConversion"/>
  </si>
  <si>
    <r>
      <rPr>
        <b/>
        <sz val="10"/>
        <rFont val="宋体"/>
        <family val="3"/>
        <charset val="134"/>
      </rPr>
      <t>索引号</t>
    </r>
    <phoneticPr fontId="12" type="noConversion"/>
  </si>
  <si>
    <r>
      <rPr>
        <b/>
        <sz val="10"/>
        <rFont val="宋体"/>
        <family val="3"/>
        <charset val="134"/>
      </rPr>
      <t>（三）精算假设完整性测试</t>
    </r>
    <phoneticPr fontId="12" type="noConversion"/>
  </si>
  <si>
    <r>
      <rPr>
        <b/>
        <sz val="10"/>
        <rFont val="宋体"/>
        <family val="3"/>
        <charset val="134"/>
      </rPr>
      <t>涉及精算假设的设定受益计划主要条款</t>
    </r>
    <phoneticPr fontId="12" type="noConversion"/>
  </si>
  <si>
    <r>
      <rPr>
        <b/>
        <sz val="10"/>
        <rFont val="宋体"/>
        <family val="3"/>
        <charset val="134"/>
      </rPr>
      <t>该精算假设是否在精算师的精算报告中</t>
    </r>
    <phoneticPr fontId="12" type="noConversion"/>
  </si>
  <si>
    <r>
      <rPr>
        <b/>
        <sz val="10"/>
        <rFont val="宋体"/>
        <family val="3"/>
        <charset val="134"/>
      </rPr>
      <t>精算报告中的精算假设</t>
    </r>
    <phoneticPr fontId="12" type="noConversion"/>
  </si>
  <si>
    <r>
      <rPr>
        <b/>
        <sz val="10"/>
        <rFont val="宋体"/>
        <family val="3"/>
        <charset val="134"/>
      </rPr>
      <t>（四）计量准确性测试</t>
    </r>
    <phoneticPr fontId="12" type="noConversion"/>
  </si>
  <si>
    <r>
      <rPr>
        <sz val="10"/>
        <color rgb="FF0000FF"/>
        <rFont val="宋体"/>
        <family val="3"/>
        <charset val="134"/>
      </rPr>
      <t>考虑因素：（</t>
    </r>
    <r>
      <rPr>
        <sz val="10"/>
        <color rgb="FF0000FF"/>
        <rFont val="Arial Narrow"/>
        <family val="2"/>
      </rPr>
      <t>1</t>
    </r>
    <r>
      <rPr>
        <sz val="10"/>
        <color rgb="FF0000FF"/>
        <rFont val="宋体"/>
        <family val="3"/>
        <charset val="134"/>
      </rPr>
      <t>）设定受益资产原值；（</t>
    </r>
    <r>
      <rPr>
        <sz val="10"/>
        <color rgb="FF0000FF"/>
        <rFont val="Arial Narrow"/>
        <family val="2"/>
      </rPr>
      <t>2</t>
    </r>
    <r>
      <rPr>
        <sz val="10"/>
        <color rgb="FF0000FF"/>
        <rFont val="宋体"/>
        <family val="3"/>
        <charset val="134"/>
      </rPr>
      <t>）设定受益资产公允价值的变动；（</t>
    </r>
    <r>
      <rPr>
        <sz val="10"/>
        <color rgb="FF0000FF"/>
        <rFont val="Arial Narrow"/>
        <family val="2"/>
      </rPr>
      <t>3</t>
    </r>
    <r>
      <rPr>
        <sz val="10"/>
        <color rgb="FF0000FF"/>
        <rFont val="宋体"/>
        <family val="3"/>
        <charset val="134"/>
      </rPr>
      <t>）设定受益资产上限</t>
    </r>
    <phoneticPr fontId="12" type="noConversion"/>
  </si>
  <si>
    <r>
      <t>3</t>
    </r>
    <r>
      <rPr>
        <sz val="10"/>
        <color rgb="FF0000FF"/>
        <rFont val="宋体"/>
        <family val="3"/>
        <charset val="134"/>
      </rPr>
      <t>、计入当期损益金额测试</t>
    </r>
    <phoneticPr fontId="12" type="noConversion"/>
  </si>
  <si>
    <r>
      <rPr>
        <sz val="10"/>
        <color rgb="FF0000FF"/>
        <rFont val="宋体"/>
        <family val="3"/>
        <charset val="134"/>
      </rPr>
      <t>考虑因素：（</t>
    </r>
    <r>
      <rPr>
        <sz val="10"/>
        <color rgb="FF0000FF"/>
        <rFont val="Arial Narrow"/>
        <family val="2"/>
      </rPr>
      <t>1</t>
    </r>
    <r>
      <rPr>
        <sz val="10"/>
        <color rgb="FF0000FF"/>
        <rFont val="宋体"/>
        <family val="3"/>
        <charset val="134"/>
      </rPr>
      <t>）当期服务成本；（</t>
    </r>
    <r>
      <rPr>
        <sz val="10"/>
        <color rgb="FF0000FF"/>
        <rFont val="Arial Narrow"/>
        <family val="2"/>
      </rPr>
      <t>2</t>
    </r>
    <r>
      <rPr>
        <sz val="10"/>
        <color rgb="FF0000FF"/>
        <rFont val="宋体"/>
        <family val="3"/>
        <charset val="134"/>
      </rPr>
      <t>）过去服务成本；（</t>
    </r>
    <r>
      <rPr>
        <sz val="10"/>
        <color rgb="FF0000FF"/>
        <rFont val="Arial Narrow"/>
        <family val="2"/>
      </rPr>
      <t>3</t>
    </r>
    <r>
      <rPr>
        <sz val="10"/>
        <color rgb="FF0000FF"/>
        <rFont val="宋体"/>
        <family val="3"/>
        <charset val="134"/>
      </rPr>
      <t>）结算利得和损失</t>
    </r>
    <phoneticPr fontId="12" type="noConversion"/>
  </si>
  <si>
    <r>
      <t>4</t>
    </r>
    <r>
      <rPr>
        <sz val="10"/>
        <color rgb="FF0000FF"/>
        <rFont val="宋体"/>
        <family val="3"/>
        <charset val="134"/>
      </rPr>
      <t>、计入其他综合收益金额测试</t>
    </r>
    <phoneticPr fontId="12" type="noConversion"/>
  </si>
  <si>
    <r>
      <rPr>
        <sz val="10"/>
        <color rgb="FF0000FF"/>
        <rFont val="宋体"/>
        <family val="3"/>
        <charset val="134"/>
      </rPr>
      <t>考虑因素：（</t>
    </r>
    <r>
      <rPr>
        <sz val="10"/>
        <color rgb="FF0000FF"/>
        <rFont val="Arial Narrow"/>
        <family val="2"/>
      </rPr>
      <t>1</t>
    </r>
    <r>
      <rPr>
        <sz val="10"/>
        <color rgb="FF0000FF"/>
        <rFont val="宋体"/>
        <family val="3"/>
        <charset val="134"/>
      </rPr>
      <t>）精算利得或损失；（</t>
    </r>
    <r>
      <rPr>
        <sz val="10"/>
        <color rgb="FF0000FF"/>
        <rFont val="Arial Narrow"/>
        <family val="2"/>
      </rPr>
      <t>2</t>
    </r>
    <r>
      <rPr>
        <sz val="10"/>
        <color rgb="FF0000FF"/>
        <rFont val="宋体"/>
        <family val="3"/>
        <charset val="134"/>
      </rPr>
      <t>）计划资产回报；（</t>
    </r>
    <r>
      <rPr>
        <sz val="10"/>
        <color rgb="FF0000FF"/>
        <rFont val="Arial Narrow"/>
        <family val="2"/>
      </rPr>
      <t>3</t>
    </r>
    <r>
      <rPr>
        <sz val="10"/>
        <color rgb="FF0000FF"/>
        <rFont val="宋体"/>
        <family val="3"/>
        <charset val="134"/>
      </rPr>
      <t>）资产上限影响的变动</t>
    </r>
    <phoneticPr fontId="12" type="noConversion"/>
  </si>
  <si>
    <r>
      <t>5</t>
    </r>
    <r>
      <rPr>
        <sz val="10"/>
        <color rgb="FF0000FF"/>
        <rFont val="宋体"/>
        <family val="3"/>
        <charset val="134"/>
      </rPr>
      <t>、其他测试</t>
    </r>
    <phoneticPr fontId="12" type="noConversion"/>
  </si>
  <si>
    <r>
      <rPr>
        <sz val="10"/>
        <color rgb="FF0000FF"/>
        <rFont val="宋体"/>
        <family val="3"/>
        <charset val="134"/>
      </rPr>
      <t>考虑因素：（</t>
    </r>
    <r>
      <rPr>
        <sz val="10"/>
        <color rgb="FF0000FF"/>
        <rFont val="Arial Narrow"/>
        <family val="2"/>
      </rPr>
      <t>1</t>
    </r>
    <r>
      <rPr>
        <sz val="10"/>
        <color rgb="FF0000FF"/>
        <rFont val="宋体"/>
        <family val="3"/>
        <charset val="134"/>
      </rPr>
      <t>）本期结算时消除的负债；（</t>
    </r>
    <r>
      <rPr>
        <sz val="10"/>
        <color rgb="FF0000FF"/>
        <rFont val="Arial Narrow"/>
        <family val="2"/>
      </rPr>
      <t>2</t>
    </r>
    <r>
      <rPr>
        <sz val="10"/>
        <color rgb="FF0000FF"/>
        <rFont val="宋体"/>
        <family val="3"/>
        <charset val="134"/>
      </rPr>
      <t>）已支付的福利</t>
    </r>
    <phoneticPr fontId="12" type="noConversion"/>
  </si>
  <si>
    <r>
      <rPr>
        <sz val="10"/>
        <rFont val="宋体"/>
        <family val="3"/>
        <charset val="134"/>
      </rPr>
      <t>测试过程如下：</t>
    </r>
    <phoneticPr fontId="12" type="noConversion"/>
  </si>
  <si>
    <r>
      <rPr>
        <b/>
        <sz val="10"/>
        <rFont val="宋体"/>
        <family val="3"/>
        <charset val="134"/>
      </rPr>
      <t>三、审计说明：</t>
    </r>
    <phoneticPr fontId="12" type="noConversion"/>
  </si>
  <si>
    <r>
      <rPr>
        <b/>
        <sz val="10"/>
        <rFont val="宋体"/>
        <family val="3"/>
        <charset val="134"/>
      </rPr>
      <t>四、审计结论：</t>
    </r>
    <phoneticPr fontId="12" type="noConversion"/>
  </si>
  <si>
    <r>
      <rPr>
        <sz val="10"/>
        <rFont val="宋体"/>
        <family val="3"/>
        <charset val="134"/>
      </rPr>
      <t>索引号：</t>
    </r>
    <phoneticPr fontId="12" type="noConversion"/>
  </si>
  <si>
    <r>
      <rPr>
        <b/>
        <sz val="10"/>
        <color indexed="8"/>
        <rFont val="宋体"/>
        <family val="3"/>
        <charset val="134"/>
      </rPr>
      <t>账项调整</t>
    </r>
    <phoneticPr fontId="44" type="noConversion"/>
  </si>
  <si>
    <r>
      <rPr>
        <b/>
        <sz val="10"/>
        <color indexed="8"/>
        <rFont val="宋体"/>
        <family val="3"/>
        <charset val="134"/>
      </rPr>
      <t>审定数</t>
    </r>
    <phoneticPr fontId="44" type="noConversion"/>
  </si>
  <si>
    <r>
      <rPr>
        <b/>
        <sz val="10"/>
        <color indexed="8"/>
        <rFont val="宋体"/>
        <family val="3"/>
        <charset val="134"/>
      </rPr>
      <t>账项调整</t>
    </r>
    <phoneticPr fontId="12" type="noConversion"/>
  </si>
  <si>
    <r>
      <rPr>
        <sz val="10"/>
        <color indexed="8"/>
        <rFont val="宋体"/>
        <family val="3"/>
        <charset val="134"/>
      </rPr>
      <t>一</t>
    </r>
    <phoneticPr fontId="12" type="noConversion"/>
  </si>
  <si>
    <r>
      <rPr>
        <sz val="10"/>
        <color indexed="8"/>
        <rFont val="宋体"/>
        <family val="3"/>
        <charset val="134"/>
      </rPr>
      <t>二</t>
    </r>
    <phoneticPr fontId="7" type="noConversion"/>
  </si>
  <si>
    <r>
      <t>1</t>
    </r>
    <r>
      <rPr>
        <b/>
        <sz val="10"/>
        <rFont val="宋体"/>
        <family val="3"/>
        <charset val="134"/>
      </rPr>
      <t>、未折现的离职后福利预计到期分析</t>
    </r>
    <phoneticPr fontId="44" type="noConversion"/>
  </si>
  <si>
    <r>
      <t>2</t>
    </r>
    <r>
      <rPr>
        <b/>
        <sz val="10"/>
        <rFont val="宋体"/>
        <family val="3"/>
        <charset val="134"/>
      </rPr>
      <t>、设定受益计划情况</t>
    </r>
    <phoneticPr fontId="44" type="noConversion"/>
  </si>
  <si>
    <r>
      <rPr>
        <b/>
        <sz val="10"/>
        <color indexed="8"/>
        <rFont val="宋体"/>
        <family val="3"/>
        <charset val="134"/>
      </rPr>
      <t>设定受益计划义务现值</t>
    </r>
    <phoneticPr fontId="12" type="noConversion"/>
  </si>
  <si>
    <r>
      <rPr>
        <b/>
        <sz val="10"/>
        <color rgb="FF000000"/>
        <rFont val="宋体"/>
        <family val="3"/>
        <charset val="134"/>
      </rPr>
      <t>设定受益计划净负债（净资产）</t>
    </r>
    <phoneticPr fontId="7" type="noConversion"/>
  </si>
  <si>
    <r>
      <rPr>
        <b/>
        <sz val="10"/>
        <color indexed="8"/>
        <rFont val="宋体"/>
        <family val="3"/>
        <charset val="134"/>
      </rPr>
      <t>本期未审金额</t>
    </r>
    <phoneticPr fontId="7" type="noConversion"/>
  </si>
  <si>
    <r>
      <rPr>
        <b/>
        <sz val="10"/>
        <color indexed="8"/>
        <rFont val="宋体"/>
        <family val="3"/>
        <charset val="134"/>
      </rPr>
      <t>期末审定金额</t>
    </r>
    <phoneticPr fontId="44" type="noConversion"/>
  </si>
  <si>
    <r>
      <rPr>
        <b/>
        <sz val="10"/>
        <color indexed="8"/>
        <rFont val="宋体"/>
        <family val="3"/>
        <charset val="134"/>
      </rPr>
      <t>上期金额</t>
    </r>
    <phoneticPr fontId="7" type="noConversion"/>
  </si>
  <si>
    <r>
      <t>3</t>
    </r>
    <r>
      <rPr>
        <b/>
        <sz val="10"/>
        <rFont val="宋体"/>
        <family val="3"/>
        <charset val="134"/>
      </rPr>
      <t>、计划资产</t>
    </r>
    <phoneticPr fontId="7" type="noConversion"/>
  </si>
  <si>
    <r>
      <rPr>
        <sz val="10"/>
        <rFont val="宋体"/>
        <family val="3"/>
        <charset val="134"/>
      </rPr>
      <t>一、</t>
    </r>
    <phoneticPr fontId="7" type="noConversion"/>
  </si>
  <si>
    <r>
      <rPr>
        <sz val="10"/>
        <rFont val="宋体"/>
        <family val="3"/>
        <charset val="134"/>
      </rPr>
      <t>二、</t>
    </r>
    <phoneticPr fontId="7" type="noConversion"/>
  </si>
  <si>
    <r>
      <rPr>
        <sz val="10"/>
        <rFont val="宋体"/>
        <family val="3"/>
        <charset val="134"/>
      </rPr>
      <t>三、</t>
    </r>
    <phoneticPr fontId="7" type="noConversion"/>
  </si>
  <si>
    <r>
      <rPr>
        <sz val="10"/>
        <rFont val="宋体"/>
        <family val="3"/>
        <charset val="134"/>
      </rPr>
      <t>四、</t>
    </r>
    <phoneticPr fontId="7" type="noConversion"/>
  </si>
  <si>
    <r>
      <rPr>
        <sz val="10"/>
        <rFont val="宋体"/>
        <family val="3"/>
        <charset val="134"/>
      </rPr>
      <t>五、</t>
    </r>
    <phoneticPr fontId="7" type="noConversion"/>
  </si>
  <si>
    <r>
      <rPr>
        <b/>
        <sz val="10"/>
        <rFont val="宋体"/>
        <family val="3"/>
        <charset val="134"/>
      </rPr>
      <t>序号</t>
    </r>
    <phoneticPr fontId="7" type="noConversion"/>
  </si>
  <si>
    <r>
      <rPr>
        <sz val="10"/>
        <rFont val="宋体"/>
        <family val="3"/>
        <charset val="134"/>
      </rPr>
      <t>六、</t>
    </r>
    <phoneticPr fontId="7" type="noConversion"/>
  </si>
  <si>
    <r>
      <t>5</t>
    </r>
    <r>
      <rPr>
        <b/>
        <sz val="10"/>
        <color indexed="8"/>
        <rFont val="宋体"/>
        <family val="3"/>
        <charset val="134"/>
      </rPr>
      <t>、敏感性分析</t>
    </r>
    <phoneticPr fontId="7" type="noConversion"/>
  </si>
  <si>
    <r>
      <rPr>
        <b/>
        <sz val="10"/>
        <color rgb="FF000000"/>
        <rFont val="宋体"/>
        <family val="3"/>
        <charset val="134"/>
      </rPr>
      <t>序号</t>
    </r>
    <phoneticPr fontId="7" type="noConversion"/>
  </si>
  <si>
    <r>
      <t xml:space="preserve"> </t>
    </r>
    <r>
      <rPr>
        <b/>
        <sz val="10"/>
        <color rgb="FF000000"/>
        <rFont val="宋体"/>
        <family val="3"/>
        <charset val="134"/>
      </rPr>
      <t>计划负债增加</t>
    </r>
    <phoneticPr fontId="7" type="noConversion"/>
  </si>
  <si>
    <r>
      <rPr>
        <b/>
        <sz val="10"/>
        <rFont val="宋体"/>
        <family val="3"/>
        <charset val="134"/>
      </rPr>
      <t>一、</t>
    </r>
    <phoneticPr fontId="7" type="noConversion"/>
  </si>
  <si>
    <r>
      <rPr>
        <b/>
        <sz val="10"/>
        <rFont val="宋体"/>
        <family val="3"/>
        <charset val="134"/>
      </rPr>
      <t>二、</t>
    </r>
    <phoneticPr fontId="7" type="noConversion"/>
  </si>
  <si>
    <r>
      <rPr>
        <b/>
        <sz val="10"/>
        <rFont val="宋体"/>
        <family val="3"/>
        <charset val="134"/>
      </rPr>
      <t>三、</t>
    </r>
    <phoneticPr fontId="7" type="noConversion"/>
  </si>
  <si>
    <r>
      <rPr>
        <b/>
        <sz val="10"/>
        <rFont val="宋体"/>
        <family val="3"/>
        <charset val="134"/>
      </rPr>
      <t>四、审计结论</t>
    </r>
    <phoneticPr fontId="44" type="noConversion"/>
  </si>
  <si>
    <r>
      <rPr>
        <i/>
        <sz val="10"/>
        <color indexed="12"/>
        <rFont val="宋体"/>
        <family val="3"/>
        <charset val="134"/>
      </rPr>
      <t>编制说明：</t>
    </r>
    <phoneticPr fontId="12" type="noConversion"/>
  </si>
  <si>
    <r>
      <rPr>
        <sz val="10"/>
        <color rgb="FF0000FF"/>
        <rFont val="宋体"/>
        <family val="3"/>
        <charset val="134"/>
      </rPr>
      <t>（</t>
    </r>
    <r>
      <rPr>
        <sz val="10"/>
        <color rgb="FF0000FF"/>
        <rFont val="Arial Narrow"/>
        <family val="2"/>
      </rPr>
      <t>1</t>
    </r>
    <r>
      <rPr>
        <sz val="10"/>
        <color rgb="FF0000FF"/>
        <rFont val="宋体"/>
        <family val="3"/>
        <charset val="134"/>
      </rPr>
      <t>）设定受益计划形成的原因、特征及与之相关的风险</t>
    </r>
    <r>
      <rPr>
        <sz val="10"/>
        <color theme="1"/>
        <rFont val="Arial Narrow"/>
        <family val="2"/>
      </rPr>
      <t> </t>
    </r>
    <r>
      <rPr>
        <sz val="10"/>
        <color rgb="FF0000FF"/>
        <rFont val="宋体"/>
        <family val="3"/>
        <charset val="134"/>
      </rPr>
      <t>；</t>
    </r>
    <phoneticPr fontId="7" type="noConversion"/>
  </si>
  <si>
    <r>
      <rPr>
        <sz val="10"/>
        <color rgb="FF0000FF"/>
        <rFont val="宋体"/>
        <family val="3"/>
        <charset val="134"/>
      </rPr>
      <t>（</t>
    </r>
    <r>
      <rPr>
        <sz val="10"/>
        <color rgb="FF0000FF"/>
        <rFont val="Arial Narrow"/>
        <family val="2"/>
      </rPr>
      <t>2</t>
    </r>
    <r>
      <rPr>
        <sz val="10"/>
        <color rgb="FF0000FF"/>
        <rFont val="宋体"/>
        <family val="3"/>
        <charset val="134"/>
      </rPr>
      <t>）如有对计划的修改或结算的，还应当考虑修改或结算计划的有关情况；</t>
    </r>
    <phoneticPr fontId="7" type="noConversion"/>
  </si>
  <si>
    <r>
      <rPr>
        <sz val="10"/>
        <color rgb="FF0000FF"/>
        <rFont val="宋体"/>
        <family val="3"/>
        <charset val="134"/>
      </rPr>
      <t>（</t>
    </r>
    <r>
      <rPr>
        <sz val="10"/>
        <color rgb="FF0000FF"/>
        <rFont val="Arial Narrow"/>
        <family val="2"/>
      </rPr>
      <t>3</t>
    </r>
    <r>
      <rPr>
        <sz val="10"/>
        <color rgb="FF0000FF"/>
        <rFont val="宋体"/>
        <family val="3"/>
        <charset val="134"/>
      </rPr>
      <t>）影响设定受益计划未来缴存金额的有关筹资政策和计划、下一会计年度预期将缴存的金额，设定受益义务有关到期情况的信息，如设定受益义务的加权平均期间、对有关福利支付的到期日分析等</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</si>
  <si>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</si>
  <si>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r>
      <rPr>
        <b/>
        <sz val="10"/>
        <rFont val="宋体"/>
        <family val="3"/>
        <charset val="134"/>
      </rPr>
      <t>一、本循环涉及的报表账户</t>
    </r>
  </si>
  <si>
    <r>
      <rPr>
        <b/>
        <sz val="10"/>
        <rFont val="宋体"/>
        <family val="3"/>
        <charset val="134"/>
      </rPr>
      <t>审计程序</t>
    </r>
  </si>
  <si>
    <t>3</t>
  </si>
  <si>
    <t>4</t>
  </si>
  <si>
    <t>5</t>
  </si>
  <si>
    <t>6</t>
  </si>
  <si>
    <t>7</t>
  </si>
  <si>
    <t>8</t>
  </si>
  <si>
    <t>9</t>
  </si>
  <si>
    <t>……</t>
    <phoneticPr fontId="12" type="noConversion"/>
  </si>
  <si>
    <t>J2A</t>
  </si>
  <si>
    <t>J2-2</t>
  </si>
  <si>
    <t>J2-3</t>
    <phoneticPr fontId="44" type="noConversion"/>
  </si>
  <si>
    <t>J2-4</t>
    <phoneticPr fontId="44" type="noConversion"/>
  </si>
  <si>
    <t>J2-1</t>
    <phoneticPr fontId="44" type="noConversion"/>
  </si>
  <si>
    <r>
      <t>A 1-1</t>
    </r>
    <r>
      <rPr>
        <sz val="10"/>
        <color rgb="FFFF0000"/>
        <rFont val="Arial Narrow"/>
        <family val="2"/>
      </rPr>
      <t>/A1-15 /A1-16</t>
    </r>
    <phoneticPr fontId="58" type="noConversion"/>
  </si>
  <si>
    <r>
      <rPr>
        <sz val="10"/>
        <color indexed="8"/>
        <rFont val="宋体"/>
        <family val="3"/>
        <charset val="134"/>
      </rPr>
      <t>无需打印</t>
    </r>
    <phoneticPr fontId="44" type="noConversion"/>
  </si>
  <si>
    <r>
      <rPr>
        <b/>
        <sz val="12"/>
        <color indexed="8"/>
        <rFont val="宋体"/>
        <family val="3"/>
        <charset val="134"/>
      </rPr>
      <t>长期应付职工薪酬</t>
    </r>
    <r>
      <rPr>
        <b/>
        <sz val="12"/>
        <color indexed="8"/>
        <rFont val="Arial Narrow"/>
        <family val="2"/>
      </rPr>
      <t>//</t>
    </r>
    <r>
      <rPr>
        <b/>
        <sz val="12"/>
        <color indexed="8"/>
        <rFont val="宋体"/>
        <family val="3"/>
        <charset val="134"/>
      </rPr>
      <t>设定受益计划净资产附注披露信息（国有企业）</t>
    </r>
    <phoneticPr fontId="12" type="noConversion"/>
  </si>
  <si>
    <r>
      <rPr>
        <sz val="10"/>
        <color indexed="8"/>
        <rFont val="宋体"/>
        <family val="3"/>
        <charset val="134"/>
      </rPr>
      <t>索引号：</t>
    </r>
    <phoneticPr fontId="12" type="noConversion"/>
  </si>
  <si>
    <r>
      <rPr>
        <b/>
        <sz val="10"/>
        <rFont val="宋体"/>
        <family val="3"/>
        <charset val="134"/>
      </rPr>
      <t>期初数</t>
    </r>
    <phoneticPr fontId="12" type="noConversion"/>
  </si>
  <si>
    <r>
      <rPr>
        <b/>
        <sz val="10"/>
        <rFont val="宋体"/>
        <family val="3"/>
        <charset val="134"/>
      </rPr>
      <t>期末数</t>
    </r>
    <phoneticPr fontId="12" type="noConversion"/>
  </si>
  <si>
    <r>
      <rPr>
        <b/>
        <sz val="10"/>
        <color indexed="8"/>
        <rFont val="宋体"/>
        <family val="3"/>
        <charset val="134"/>
      </rPr>
      <t>本期未审数与上期
审定数的比较</t>
    </r>
    <phoneticPr fontId="12" type="noConversion"/>
  </si>
  <si>
    <r>
      <rPr>
        <b/>
        <sz val="10"/>
        <color indexed="8"/>
        <rFont val="宋体"/>
        <family val="3"/>
        <charset val="134"/>
      </rPr>
      <t>本期审定数与上期
审定数的比较</t>
    </r>
    <phoneticPr fontId="12" type="noConversion"/>
  </si>
  <si>
    <r>
      <rPr>
        <b/>
        <sz val="10"/>
        <rFont val="宋体"/>
        <family val="3"/>
        <charset val="134"/>
      </rPr>
      <t>原因分析</t>
    </r>
    <phoneticPr fontId="44" type="noConversion"/>
  </si>
  <si>
    <r>
      <rPr>
        <b/>
        <sz val="10"/>
        <rFont val="宋体"/>
        <family val="3"/>
        <charset val="134"/>
      </rPr>
      <t>未审数</t>
    </r>
    <phoneticPr fontId="12" type="noConversion"/>
  </si>
  <si>
    <r>
      <rPr>
        <b/>
        <sz val="10"/>
        <rFont val="宋体"/>
        <family val="3"/>
        <charset val="134"/>
      </rPr>
      <t>账项调整</t>
    </r>
    <phoneticPr fontId="12" type="noConversion"/>
  </si>
  <si>
    <r>
      <rPr>
        <b/>
        <sz val="10"/>
        <rFont val="宋体"/>
        <family val="3"/>
        <charset val="134"/>
      </rPr>
      <t>审定数</t>
    </r>
    <phoneticPr fontId="12" type="noConversion"/>
  </si>
  <si>
    <r>
      <rPr>
        <b/>
        <sz val="10"/>
        <rFont val="宋体"/>
        <family val="3"/>
        <charset val="134"/>
      </rPr>
      <t>变动额</t>
    </r>
  </si>
  <si>
    <r>
      <rPr>
        <b/>
        <sz val="10"/>
        <rFont val="宋体"/>
        <family val="3"/>
        <charset val="134"/>
      </rPr>
      <t>变动率</t>
    </r>
    <phoneticPr fontId="12" type="noConversion"/>
  </si>
  <si>
    <r>
      <rPr>
        <b/>
        <sz val="10"/>
        <rFont val="宋体"/>
        <family val="3"/>
        <charset val="134"/>
      </rPr>
      <t>变动额</t>
    </r>
    <phoneticPr fontId="12" type="noConversion"/>
  </si>
  <si>
    <r>
      <rPr>
        <b/>
        <sz val="10"/>
        <color indexed="8"/>
        <rFont val="宋体"/>
        <family val="3"/>
        <charset val="134"/>
      </rPr>
      <t>变动率</t>
    </r>
    <phoneticPr fontId="12" type="noConversion"/>
  </si>
  <si>
    <r>
      <rPr>
        <sz val="10"/>
        <rFont val="宋体"/>
        <family val="3"/>
        <charset val="134"/>
      </rPr>
      <t>未折现的离职后福利预计到期分析：</t>
    </r>
    <phoneticPr fontId="7" type="noConversion"/>
  </si>
  <si>
    <r>
      <rPr>
        <b/>
        <sz val="10"/>
        <color rgb="FF000000"/>
        <rFont val="宋体"/>
        <family val="3"/>
        <charset val="134"/>
      </rPr>
      <t>设定受益计划义务现值</t>
    </r>
    <phoneticPr fontId="7" type="noConversion"/>
  </si>
  <si>
    <r>
      <rPr>
        <b/>
        <sz val="10"/>
        <color rgb="FF000000"/>
        <rFont val="宋体"/>
        <family val="3"/>
        <charset val="134"/>
      </rPr>
      <t>设定受益计划净负债</t>
    </r>
    <phoneticPr fontId="7" type="noConversion"/>
  </si>
  <si>
    <r>
      <rPr>
        <b/>
        <sz val="10"/>
        <color rgb="FF000000"/>
        <rFont val="宋体"/>
        <family val="3"/>
        <charset val="134"/>
      </rPr>
      <t>一、期初余额</t>
    </r>
    <phoneticPr fontId="7" type="noConversion"/>
  </si>
  <si>
    <r>
      <rPr>
        <b/>
        <sz val="10"/>
        <color theme="1"/>
        <rFont val="宋体"/>
        <family val="3"/>
        <charset val="134"/>
      </rPr>
      <t>未审数</t>
    </r>
    <phoneticPr fontId="7" type="noConversion"/>
  </si>
  <si>
    <r>
      <rPr>
        <b/>
        <sz val="10"/>
        <color theme="1"/>
        <rFont val="宋体"/>
        <family val="3"/>
        <charset val="134"/>
      </rPr>
      <t>账项调整</t>
    </r>
    <phoneticPr fontId="7" type="noConversion"/>
  </si>
  <si>
    <r>
      <rPr>
        <b/>
        <sz val="10"/>
        <rFont val="宋体"/>
        <family val="3"/>
        <charset val="134"/>
      </rPr>
      <t>试算平衡表数</t>
    </r>
    <phoneticPr fontId="12" type="noConversion"/>
  </si>
  <si>
    <r>
      <rPr>
        <b/>
        <sz val="10"/>
        <rFont val="宋体"/>
        <family val="3"/>
        <charset val="134"/>
      </rPr>
      <t>差异数</t>
    </r>
    <phoneticPr fontId="12" type="noConversion"/>
  </si>
  <si>
    <r>
      <t>1</t>
    </r>
    <r>
      <rPr>
        <sz val="10"/>
        <color rgb="FF0000FF"/>
        <rFont val="宋体"/>
        <family val="3"/>
        <charset val="134"/>
      </rPr>
      <t>、设定受益计划形成的原因、特征及与之相关的风险</t>
    </r>
    <r>
      <rPr>
        <sz val="10"/>
        <color theme="1"/>
        <rFont val="Arial Narrow"/>
        <family val="2"/>
      </rPr>
      <t> </t>
    </r>
    <r>
      <rPr>
        <sz val="10"/>
        <color rgb="FF0000FF"/>
        <rFont val="宋体"/>
        <family val="3"/>
        <charset val="134"/>
      </rPr>
      <t>；</t>
    </r>
  </si>
  <si>
    <r>
      <t>2</t>
    </r>
    <r>
      <rPr>
        <sz val="10"/>
        <color rgb="FF0000FF"/>
        <rFont val="宋体"/>
        <family val="3"/>
        <charset val="134"/>
      </rPr>
      <t>、如有对计划的修改或结算的，还应当考虑修改或结算计划的有关情况；</t>
    </r>
    <phoneticPr fontId="7" type="noConversion"/>
  </si>
  <si>
    <r>
      <t>3</t>
    </r>
    <r>
      <rPr>
        <sz val="10"/>
        <color rgb="FF0000FF"/>
        <rFont val="宋体"/>
        <family val="3"/>
        <charset val="134"/>
      </rPr>
      <t>、影响设定受益计划未来缴存金额的有关筹资政策和计划、下一会计年度预期将缴存的金额，设定受益义务有关到期情况的信息，如设定受益义务的加权平均期间、对有关福利支付的到期日分析等</t>
    </r>
  </si>
  <si>
    <r>
      <rPr>
        <b/>
        <sz val="12"/>
        <rFont val="宋体"/>
        <family val="3"/>
        <charset val="134"/>
      </rPr>
      <t>长期应付职工薪酬实质性程序</t>
    </r>
    <phoneticPr fontId="12" type="noConversion"/>
  </si>
  <si>
    <r>
      <rPr>
        <sz val="10"/>
        <color theme="1"/>
        <rFont val="宋体"/>
        <family val="3"/>
        <charset val="134"/>
      </rPr>
      <t>常规★</t>
    </r>
    <phoneticPr fontId="58" type="noConversion"/>
  </si>
  <si>
    <r>
      <rPr>
        <sz val="10"/>
        <rFont val="宋体"/>
        <family val="3"/>
        <charset val="134"/>
      </rPr>
      <t>√</t>
    </r>
    <phoneticPr fontId="58" type="noConversion"/>
  </si>
  <si>
    <r>
      <rPr>
        <sz val="10"/>
        <color theme="1"/>
        <rFont val="宋体"/>
        <family val="3"/>
        <charset val="134"/>
      </rPr>
      <t>备选</t>
    </r>
    <phoneticPr fontId="58" type="noConversion"/>
  </si>
  <si>
    <t>提示：</t>
    <phoneticPr fontId="7" type="noConversion"/>
  </si>
  <si>
    <r>
      <rPr>
        <sz val="10"/>
        <color indexed="12"/>
        <rFont val="仿宋_GB2312"/>
        <family val="3"/>
        <charset val="134"/>
      </rPr>
      <t>【注：本底稿适用于调整分录较多、较复杂的项目，且仅列示与本报表项目相关的审计调整。项目组可根据项目实际情况选择是否使用该底稿。】</t>
    </r>
    <phoneticPr fontId="12" type="noConversion"/>
  </si>
  <si>
    <t>职工的离职率 </t>
  </si>
  <si>
    <r>
      <rPr>
        <sz val="10"/>
        <color theme="1"/>
        <rFont val="仿宋_GB2312"/>
        <family val="3"/>
        <charset val="134"/>
      </rPr>
      <t>长期应付职工薪酬</t>
    </r>
    <r>
      <rPr>
        <sz val="10"/>
        <color rgb="FF0000FF"/>
        <rFont val="仿宋_GB2312"/>
        <family val="3"/>
        <charset val="134"/>
      </rPr>
      <t>（不适用的删除）</t>
    </r>
  </si>
  <si>
    <r>
      <rPr>
        <b/>
        <sz val="10"/>
        <color theme="1"/>
        <rFont val="仿宋_GB2312"/>
        <family val="3"/>
        <charset val="134"/>
      </rPr>
      <t>项</t>
    </r>
    <r>
      <rPr>
        <b/>
        <sz val="10"/>
        <color theme="1"/>
        <rFont val="Arial Narrow"/>
        <family val="2"/>
      </rPr>
      <t xml:space="preserve">  </t>
    </r>
    <r>
      <rPr>
        <b/>
        <sz val="10"/>
        <color theme="1"/>
        <rFont val="仿宋_GB2312"/>
        <family val="3"/>
        <charset val="134"/>
      </rPr>
      <t>目</t>
    </r>
  </si>
  <si>
    <r>
      <rPr>
        <b/>
        <sz val="10"/>
        <color theme="1"/>
        <rFont val="仿宋_GB2312"/>
        <family val="3"/>
        <charset val="134"/>
      </rPr>
      <t>期初数</t>
    </r>
  </si>
  <si>
    <r>
      <rPr>
        <b/>
        <sz val="10"/>
        <color theme="1"/>
        <rFont val="仿宋_GB2312"/>
        <family val="3"/>
        <charset val="134"/>
      </rPr>
      <t>本期增加</t>
    </r>
  </si>
  <si>
    <r>
      <rPr>
        <b/>
        <sz val="10"/>
        <color theme="1"/>
        <rFont val="仿宋_GB2312"/>
        <family val="3"/>
        <charset val="134"/>
      </rPr>
      <t>本期减少</t>
    </r>
  </si>
  <si>
    <r>
      <rPr>
        <b/>
        <sz val="10"/>
        <color theme="1"/>
        <rFont val="仿宋_GB2312"/>
        <family val="3"/>
        <charset val="134"/>
      </rPr>
      <t>期末数</t>
    </r>
  </si>
  <si>
    <r>
      <rPr>
        <sz val="10"/>
        <color theme="1"/>
        <rFont val="仿宋_GB2312"/>
        <family val="3"/>
        <charset val="134"/>
      </rPr>
      <t>设定受益计划净负债</t>
    </r>
  </si>
  <si>
    <r>
      <rPr>
        <sz val="10"/>
        <color theme="1"/>
        <rFont val="仿宋_GB2312"/>
        <family val="3"/>
        <charset val="134"/>
      </rPr>
      <t>符合设定受益计划条件的其他长期职工福利的净负债（不适用删除）</t>
    </r>
  </si>
  <si>
    <r>
      <rPr>
        <sz val="10"/>
        <color theme="1"/>
        <rFont val="仿宋_GB2312"/>
        <family val="3"/>
        <charset val="134"/>
      </rPr>
      <t>一年后支付的辞退福利</t>
    </r>
  </si>
  <si>
    <r>
      <rPr>
        <b/>
        <sz val="10"/>
        <color theme="1"/>
        <rFont val="仿宋_GB2312"/>
        <family val="3"/>
        <charset val="134"/>
      </rPr>
      <t>合</t>
    </r>
    <r>
      <rPr>
        <b/>
        <sz val="10"/>
        <color theme="1"/>
        <rFont val="Arial Narrow"/>
        <family val="2"/>
      </rPr>
      <t xml:space="preserve"> </t>
    </r>
    <r>
      <rPr>
        <b/>
        <sz val="10"/>
        <color theme="1"/>
        <rFont val="仿宋_GB2312"/>
        <family val="3"/>
        <charset val="134"/>
      </rPr>
      <t>计</t>
    </r>
    <phoneticPr fontId="44" type="noConversion"/>
  </si>
  <si>
    <r>
      <rPr>
        <sz val="10"/>
        <color theme="1"/>
        <rFont val="仿宋_GB2312"/>
        <family val="3"/>
        <charset val="134"/>
      </rPr>
      <t>说明：</t>
    </r>
    <r>
      <rPr>
        <sz val="10"/>
        <color rgb="FF0000FF"/>
        <rFont val="仿宋_GB2312"/>
        <family val="3"/>
        <charset val="134"/>
      </rPr>
      <t>（</t>
    </r>
    <r>
      <rPr>
        <sz val="10"/>
        <color rgb="FF0000FF"/>
        <rFont val="Arial Narrow"/>
        <family val="2"/>
      </rPr>
      <t>1</t>
    </r>
    <r>
      <rPr>
        <sz val="10"/>
        <color rgb="FF0000FF"/>
        <rFont val="仿宋_GB2312"/>
        <family val="3"/>
        <charset val="134"/>
      </rPr>
      <t>、辞退福利的性质、内容及计算依据详见附注八、</t>
    </r>
    <r>
      <rPr>
        <sz val="10"/>
        <color rgb="FF0000FF"/>
        <rFont val="Arial Narrow"/>
        <family val="2"/>
      </rPr>
      <t>35</t>
    </r>
    <r>
      <rPr>
        <sz val="10"/>
        <color rgb="FF0000FF"/>
        <rFont val="仿宋_GB2312"/>
        <family val="3"/>
        <charset val="134"/>
      </rPr>
      <t>；</t>
    </r>
    <r>
      <rPr>
        <sz val="10"/>
        <color rgb="FF0000FF"/>
        <rFont val="Arial Narrow"/>
        <family val="2"/>
      </rPr>
      <t>2</t>
    </r>
    <r>
      <rPr>
        <sz val="10"/>
        <color rgb="FF0000FF"/>
        <rFont val="仿宋_GB2312"/>
        <family val="3"/>
        <charset val="134"/>
      </rPr>
      <t>、其他长期职工福利的性质及计算依据）</t>
    </r>
  </si>
  <si>
    <r>
      <rPr>
        <sz val="10"/>
        <color theme="1"/>
        <rFont val="仿宋_GB2312"/>
        <family val="3"/>
        <charset val="134"/>
      </rPr>
      <t>设定受益计划情况：</t>
    </r>
  </si>
  <si>
    <r>
      <t> </t>
    </r>
    <r>
      <rPr>
        <b/>
        <sz val="10"/>
        <color rgb="FF000000"/>
        <rFont val="仿宋_GB2312"/>
        <family val="3"/>
        <charset val="134"/>
      </rPr>
      <t>项</t>
    </r>
    <r>
      <rPr>
        <b/>
        <sz val="10"/>
        <color rgb="FF000000"/>
        <rFont val="Arial Narrow"/>
        <family val="2"/>
      </rPr>
      <t xml:space="preserve"> </t>
    </r>
    <r>
      <rPr>
        <b/>
        <sz val="10"/>
        <color rgb="FF000000"/>
        <rFont val="仿宋_GB2312"/>
        <family val="3"/>
        <charset val="134"/>
      </rPr>
      <t>目</t>
    </r>
  </si>
  <si>
    <r>
      <rPr>
        <b/>
        <sz val="10"/>
        <color rgb="FF000000"/>
        <rFont val="仿宋_GB2312"/>
        <family val="3"/>
        <charset val="134"/>
      </rPr>
      <t>设定受益计划义务现值</t>
    </r>
  </si>
  <si>
    <r>
      <rPr>
        <b/>
        <sz val="10"/>
        <color rgb="FF000000"/>
        <rFont val="仿宋_GB2312"/>
        <family val="3"/>
        <charset val="134"/>
      </rPr>
      <t>计划资产的公允价值</t>
    </r>
  </si>
  <si>
    <r>
      <rPr>
        <b/>
        <sz val="10"/>
        <color rgb="FF000000"/>
        <rFont val="仿宋_GB2312"/>
        <family val="3"/>
        <charset val="134"/>
      </rPr>
      <t>设定受益计划净负债</t>
    </r>
  </si>
  <si>
    <r>
      <rPr>
        <b/>
        <sz val="10"/>
        <color rgb="FF000000"/>
        <rFont val="仿宋_GB2312"/>
        <family val="3"/>
        <charset val="134"/>
      </rPr>
      <t>（不适用删除）</t>
    </r>
  </si>
  <si>
    <r>
      <rPr>
        <b/>
        <sz val="10"/>
        <color rgb="FF000000"/>
        <rFont val="仿宋_GB2312"/>
        <family val="3"/>
        <charset val="134"/>
      </rPr>
      <t>（净资产）</t>
    </r>
  </si>
  <si>
    <r>
      <rPr>
        <b/>
        <sz val="10"/>
        <color rgb="FF000000"/>
        <rFont val="仿宋_GB2312"/>
        <family val="3"/>
        <charset val="134"/>
      </rPr>
      <t>本期金额</t>
    </r>
  </si>
  <si>
    <r>
      <rPr>
        <b/>
        <sz val="10"/>
        <color rgb="FF000000"/>
        <rFont val="仿宋_GB2312"/>
        <family val="3"/>
        <charset val="134"/>
      </rPr>
      <t>上期金额</t>
    </r>
  </si>
  <si>
    <r>
      <rPr>
        <sz val="10"/>
        <color rgb="FF000000"/>
        <rFont val="仿宋_GB2312"/>
        <family val="3"/>
        <charset val="134"/>
      </rPr>
      <t>一、期初余额</t>
    </r>
  </si>
  <si>
    <r>
      <rPr>
        <sz val="10"/>
        <color rgb="FF000000"/>
        <rFont val="仿宋_GB2312"/>
        <family val="3"/>
        <charset val="134"/>
      </rPr>
      <t>二、计入当期损益的设定受益成本</t>
    </r>
  </si>
  <si>
    <r>
      <t>1</t>
    </r>
    <r>
      <rPr>
        <sz val="10"/>
        <color rgb="FF000000"/>
        <rFont val="仿宋_GB2312"/>
        <family val="3"/>
        <charset val="134"/>
      </rPr>
      <t>．当期服务成本</t>
    </r>
  </si>
  <si>
    <r>
      <t>2</t>
    </r>
    <r>
      <rPr>
        <sz val="10"/>
        <color rgb="FF000000"/>
        <rFont val="仿宋_GB2312"/>
        <family val="3"/>
        <charset val="134"/>
      </rPr>
      <t>．过去服务成本</t>
    </r>
  </si>
  <si>
    <r>
      <t>3</t>
    </r>
    <r>
      <rPr>
        <sz val="10"/>
        <color rgb="FF000000"/>
        <rFont val="仿宋_GB2312"/>
        <family val="3"/>
        <charset val="134"/>
      </rPr>
      <t>．结算利得（损失以</t>
    </r>
    <r>
      <rPr>
        <sz val="10"/>
        <color rgb="FF000000"/>
        <rFont val="Arial Narrow"/>
        <family val="2"/>
      </rPr>
      <t>“-”</t>
    </r>
    <r>
      <rPr>
        <sz val="10"/>
        <color rgb="FF000000"/>
        <rFont val="仿宋_GB2312"/>
        <family val="3"/>
        <charset val="134"/>
      </rPr>
      <t>表示）</t>
    </r>
  </si>
  <si>
    <r>
      <t>4</t>
    </r>
    <r>
      <rPr>
        <sz val="10"/>
        <color rgb="FF000000"/>
        <rFont val="仿宋_GB2312"/>
        <family val="3"/>
        <charset val="134"/>
      </rPr>
      <t>．利息净额</t>
    </r>
  </si>
  <si>
    <r>
      <rPr>
        <sz val="10"/>
        <color rgb="FF000000"/>
        <rFont val="仿宋_GB2312"/>
        <family val="3"/>
        <charset val="134"/>
      </rPr>
      <t>三、计入其他综合收益的设定受益成本</t>
    </r>
  </si>
  <si>
    <r>
      <rPr>
        <sz val="10"/>
        <color rgb="FF000000"/>
        <rFont val="仿宋_GB2312"/>
        <family val="3"/>
        <charset val="134"/>
      </rPr>
      <t>设定受益计划净负债（净资产）的重新计量</t>
    </r>
  </si>
  <si>
    <r>
      <t>1</t>
    </r>
    <r>
      <rPr>
        <sz val="10"/>
        <color rgb="FF000000"/>
        <rFont val="仿宋_GB2312"/>
        <family val="3"/>
        <charset val="134"/>
      </rPr>
      <t>．精算利得（损失以</t>
    </r>
    <r>
      <rPr>
        <sz val="10"/>
        <color rgb="FF000000"/>
        <rFont val="Arial Narrow"/>
        <family val="2"/>
      </rPr>
      <t>“-”</t>
    </r>
    <r>
      <rPr>
        <sz val="10"/>
        <color rgb="FF000000"/>
        <rFont val="仿宋_GB2312"/>
        <family val="3"/>
        <charset val="134"/>
      </rPr>
      <t>表示）</t>
    </r>
  </si>
  <si>
    <r>
      <t>2</t>
    </r>
    <r>
      <rPr>
        <sz val="10"/>
        <color rgb="FF000000"/>
        <rFont val="仿宋_GB2312"/>
        <family val="3"/>
        <charset val="134"/>
      </rPr>
      <t>．计划资产的回报（计入利息净额的除外）</t>
    </r>
  </si>
  <si>
    <r>
      <t>3</t>
    </r>
    <r>
      <rPr>
        <sz val="10"/>
        <color rgb="FF000000"/>
        <rFont val="仿宋_GB2312"/>
        <family val="3"/>
        <charset val="134"/>
      </rPr>
      <t>．资产上限影响的变动（计入利息净额的除外）</t>
    </r>
  </si>
  <si>
    <r>
      <rPr>
        <sz val="10"/>
        <color rgb="FF000000"/>
        <rFont val="仿宋_GB2312"/>
        <family val="3"/>
        <charset val="134"/>
      </rPr>
      <t>四、其他变动</t>
    </r>
  </si>
  <si>
    <r>
      <t>1</t>
    </r>
    <r>
      <rPr>
        <sz val="10"/>
        <color rgb="FF000000"/>
        <rFont val="仿宋_GB2312"/>
        <family val="3"/>
        <charset val="134"/>
      </rPr>
      <t>．结算时消除的负债</t>
    </r>
  </si>
  <si>
    <r>
      <t>2</t>
    </r>
    <r>
      <rPr>
        <sz val="10"/>
        <color rgb="FF000000"/>
        <rFont val="仿宋_GB2312"/>
        <family val="3"/>
        <charset val="134"/>
      </rPr>
      <t>．已支付的福利</t>
    </r>
  </si>
  <si>
    <r>
      <rPr>
        <b/>
        <sz val="10"/>
        <color rgb="FF000000"/>
        <rFont val="仿宋_GB2312"/>
        <family val="3"/>
        <charset val="134"/>
      </rPr>
      <t>五、期末余额</t>
    </r>
  </si>
  <si>
    <r>
      <rPr>
        <sz val="10"/>
        <color rgb="FF0000FF"/>
        <rFont val="仿宋_GB2312"/>
        <family val="3"/>
        <charset val="134"/>
      </rPr>
      <t>【提示：设定受益计划存在资产的，企业应当将设定受益计划义务现值减去设定受益计划资产公允价值所形成的赤字或盈余确认为一项设定受益计划净负债或净资产。】</t>
    </r>
  </si>
  <si>
    <r>
      <rPr>
        <sz val="10"/>
        <color theme="1"/>
        <rFont val="仿宋_GB2312"/>
        <family val="3"/>
        <charset val="134"/>
      </rPr>
      <t>说明：</t>
    </r>
    <r>
      <rPr>
        <sz val="10"/>
        <color rgb="FF0000FF"/>
        <rFont val="仿宋_GB2312"/>
        <family val="3"/>
        <charset val="134"/>
      </rPr>
      <t>（</t>
    </r>
    <r>
      <rPr>
        <sz val="10"/>
        <color rgb="FF0000FF"/>
        <rFont val="Arial Narrow"/>
        <family val="2"/>
      </rPr>
      <t>1</t>
    </r>
    <r>
      <rPr>
        <sz val="10"/>
        <color rgb="FF0000FF"/>
        <rFont val="仿宋_GB2312"/>
        <family val="3"/>
        <charset val="134"/>
      </rPr>
      <t>、设定受益计划形成的原因、特征及与之相关的风险；</t>
    </r>
  </si>
  <si>
    <r>
      <t>2</t>
    </r>
    <r>
      <rPr>
        <sz val="10"/>
        <color rgb="FF0000FF"/>
        <rFont val="仿宋_GB2312"/>
        <family val="3"/>
        <charset val="134"/>
      </rPr>
      <t>、如有对计划的修改或结算的，还应当披露修改或结算计划的有关情况；</t>
    </r>
  </si>
  <si>
    <r>
      <t>3</t>
    </r>
    <r>
      <rPr>
        <sz val="10"/>
        <color rgb="FF0000FF"/>
        <rFont val="仿宋_GB2312"/>
        <family val="3"/>
        <charset val="134"/>
      </rPr>
      <t>、影响设定受益计划未来缴存金额的有关筹资政策和计划、下一会计年度预期将缴存的金额，设定受益义务有关到期情况的信息，如设定受益义务的加权平均期间、对有关福利支付的到期日分析等）</t>
    </r>
  </si>
  <si>
    <r>
      <rPr>
        <sz val="10"/>
        <color theme="1"/>
        <rFont val="仿宋_GB2312"/>
        <family val="3"/>
        <charset val="134"/>
      </rPr>
      <t>未折现的离职后福利预计到期分析：</t>
    </r>
  </si>
  <si>
    <r>
      <rPr>
        <b/>
        <sz val="10"/>
        <color rgb="FF000000"/>
        <rFont val="仿宋_GB2312"/>
        <family val="3"/>
        <charset val="134"/>
      </rPr>
      <t>项</t>
    </r>
    <r>
      <rPr>
        <b/>
        <sz val="10"/>
        <color rgb="FF000000"/>
        <rFont val="Arial Narrow"/>
        <family val="2"/>
      </rPr>
      <t xml:space="preserve">  </t>
    </r>
    <r>
      <rPr>
        <b/>
        <sz val="10"/>
        <color rgb="FF000000"/>
        <rFont val="仿宋_GB2312"/>
        <family val="3"/>
        <charset val="134"/>
      </rPr>
      <t>目</t>
    </r>
  </si>
  <si>
    <r>
      <rPr>
        <b/>
        <sz val="10"/>
        <color rgb="FF000000"/>
        <rFont val="仿宋_GB2312"/>
        <family val="3"/>
        <charset val="134"/>
      </rPr>
      <t>金额</t>
    </r>
  </si>
  <si>
    <r>
      <t xml:space="preserve"> </t>
    </r>
    <r>
      <rPr>
        <sz val="10"/>
        <color rgb="FF000000"/>
        <rFont val="仿宋_GB2312"/>
        <family val="3"/>
        <charset val="134"/>
      </rPr>
      <t>一年以内</t>
    </r>
  </si>
  <si>
    <r>
      <t xml:space="preserve"> </t>
    </r>
    <r>
      <rPr>
        <sz val="10"/>
        <color rgb="FF000000"/>
        <rFont val="仿宋_GB2312"/>
        <family val="3"/>
        <charset val="134"/>
      </rPr>
      <t>一到两年</t>
    </r>
  </si>
  <si>
    <r>
      <t xml:space="preserve"> </t>
    </r>
    <r>
      <rPr>
        <sz val="10"/>
        <color rgb="FF000000"/>
        <rFont val="仿宋_GB2312"/>
        <family val="3"/>
        <charset val="134"/>
      </rPr>
      <t>二到五年</t>
    </r>
  </si>
  <si>
    <r>
      <t xml:space="preserve"> </t>
    </r>
    <r>
      <rPr>
        <sz val="10"/>
        <color rgb="FF000000"/>
        <rFont val="仿宋_GB2312"/>
        <family val="3"/>
        <charset val="134"/>
      </rPr>
      <t>五年以上</t>
    </r>
  </si>
  <si>
    <r>
      <rPr>
        <b/>
        <sz val="10"/>
        <color rgb="FF000000"/>
        <rFont val="仿宋_GB2312"/>
        <family val="3"/>
        <charset val="134"/>
      </rPr>
      <t>合</t>
    </r>
    <r>
      <rPr>
        <b/>
        <sz val="10"/>
        <color rgb="FF000000"/>
        <rFont val="Arial Narrow"/>
        <family val="2"/>
      </rPr>
      <t xml:space="preserve">  </t>
    </r>
    <r>
      <rPr>
        <b/>
        <sz val="10"/>
        <color rgb="FF000000"/>
        <rFont val="仿宋_GB2312"/>
        <family val="3"/>
        <charset val="134"/>
      </rPr>
      <t>计</t>
    </r>
  </si>
  <si>
    <r>
      <rPr>
        <sz val="10"/>
        <color theme="1"/>
        <rFont val="仿宋_GB2312"/>
        <family val="3"/>
        <charset val="134"/>
      </rPr>
      <t>（</t>
    </r>
    <r>
      <rPr>
        <sz val="10"/>
        <color theme="1"/>
        <rFont val="Arial Narrow"/>
        <family val="2"/>
      </rPr>
      <t>1</t>
    </r>
    <r>
      <rPr>
        <sz val="10"/>
        <color theme="1"/>
        <rFont val="仿宋_GB2312"/>
        <family val="3"/>
        <charset val="134"/>
      </rPr>
      <t>）计划资产</t>
    </r>
  </si>
  <si>
    <r>
      <rPr>
        <b/>
        <sz val="10"/>
        <color theme="1"/>
        <rFont val="仿宋_GB2312"/>
        <family val="3"/>
        <charset val="134"/>
      </rPr>
      <t>计划资产的公允价值</t>
    </r>
  </si>
  <si>
    <r>
      <rPr>
        <sz val="10"/>
        <color theme="1"/>
        <rFont val="仿宋_GB2312"/>
        <family val="3"/>
        <charset val="134"/>
      </rPr>
      <t>现金和现金等价物</t>
    </r>
  </si>
  <si>
    <r>
      <rPr>
        <sz val="10"/>
        <color theme="1"/>
        <rFont val="仿宋_GB2312"/>
        <family val="3"/>
        <charset val="134"/>
      </rPr>
      <t>权益工具投资</t>
    </r>
    <r>
      <rPr>
        <sz val="10"/>
        <color theme="1"/>
        <rFont val="Arial Narrow"/>
        <family val="2"/>
      </rPr>
      <t xml:space="preserve"> </t>
    </r>
  </si>
  <si>
    <r>
      <t>1</t>
    </r>
    <r>
      <rPr>
        <sz val="10"/>
        <color theme="1"/>
        <rFont val="仿宋_GB2312"/>
        <family val="3"/>
        <charset val="134"/>
      </rPr>
      <t>、</t>
    </r>
    <r>
      <rPr>
        <sz val="10"/>
        <color theme="1"/>
        <rFont val="Arial Narrow"/>
        <family val="2"/>
      </rPr>
      <t>……</t>
    </r>
  </si>
  <si>
    <r>
      <t>2</t>
    </r>
    <r>
      <rPr>
        <sz val="10"/>
        <color theme="1"/>
        <rFont val="仿宋_GB2312"/>
        <family val="3"/>
        <charset val="134"/>
      </rPr>
      <t>、</t>
    </r>
    <r>
      <rPr>
        <sz val="10"/>
        <color theme="1"/>
        <rFont val="Arial Narrow"/>
        <family val="2"/>
      </rPr>
      <t>……</t>
    </r>
  </si>
  <si>
    <r>
      <rPr>
        <sz val="10"/>
        <color theme="1"/>
        <rFont val="仿宋_GB2312"/>
        <family val="3"/>
        <charset val="134"/>
      </rPr>
      <t>债务工具投资</t>
    </r>
  </si>
  <si>
    <r>
      <rPr>
        <sz val="10"/>
        <color theme="1"/>
        <rFont val="仿宋_GB2312"/>
        <family val="3"/>
        <charset val="134"/>
      </rPr>
      <t>其他</t>
    </r>
  </si>
  <si>
    <r>
      <rPr>
        <b/>
        <sz val="10"/>
        <color theme="1"/>
        <rFont val="仿宋_GB2312"/>
        <family val="3"/>
        <charset val="134"/>
      </rPr>
      <t>合</t>
    </r>
    <r>
      <rPr>
        <b/>
        <sz val="10"/>
        <color theme="1"/>
        <rFont val="Arial Narrow"/>
        <family val="2"/>
      </rPr>
      <t xml:space="preserve">  </t>
    </r>
    <r>
      <rPr>
        <b/>
        <sz val="10"/>
        <color theme="1"/>
        <rFont val="仿宋_GB2312"/>
        <family val="3"/>
        <charset val="134"/>
      </rPr>
      <t>计</t>
    </r>
  </si>
  <si>
    <r>
      <rPr>
        <sz val="10"/>
        <color rgb="FF0000FF"/>
        <rFont val="仿宋_GB2312"/>
        <family val="3"/>
        <charset val="134"/>
      </rPr>
      <t>【提示：</t>
    </r>
    <r>
      <rPr>
        <sz val="10"/>
        <color rgb="FF0000FF"/>
        <rFont val="Arial Narrow"/>
        <family val="2"/>
      </rPr>
      <t>1</t>
    </r>
    <r>
      <rPr>
        <sz val="10"/>
        <color rgb="FF0000FF"/>
        <rFont val="仿宋_GB2312"/>
        <family val="3"/>
        <charset val="134"/>
      </rPr>
      <t>、权益工具投资按行业类型或公司规模或地域等分类；</t>
    </r>
  </si>
  <si>
    <r>
      <t>2</t>
    </r>
    <r>
      <rPr>
        <sz val="10"/>
        <color rgb="FF0000FF"/>
        <rFont val="仿宋_GB2312"/>
        <family val="3"/>
        <charset val="134"/>
      </rPr>
      <t>、债务工具投资按债务工具发行人类型或信用评级或地域等分类。】</t>
    </r>
  </si>
  <si>
    <r>
      <rPr>
        <sz val="10"/>
        <color theme="1"/>
        <rFont val="仿宋_GB2312"/>
        <family val="3"/>
        <charset val="134"/>
      </rPr>
      <t>（</t>
    </r>
    <r>
      <rPr>
        <sz val="10"/>
        <color theme="1"/>
        <rFont val="Arial Narrow"/>
        <family val="2"/>
      </rPr>
      <t>2</t>
    </r>
    <r>
      <rPr>
        <sz val="10"/>
        <color theme="1"/>
        <rFont val="仿宋_GB2312"/>
        <family val="3"/>
        <charset val="134"/>
      </rPr>
      <t>）精算假设</t>
    </r>
  </si>
  <si>
    <r>
      <rPr>
        <b/>
        <sz val="10"/>
        <color rgb="FF000000"/>
        <rFont val="仿宋_GB2312"/>
        <family val="3"/>
        <charset val="134"/>
      </rPr>
      <t>期末数</t>
    </r>
  </si>
  <si>
    <r>
      <rPr>
        <b/>
        <sz val="10"/>
        <color rgb="FF000000"/>
        <rFont val="仿宋_GB2312"/>
        <family val="3"/>
        <charset val="134"/>
      </rPr>
      <t>期初数</t>
    </r>
  </si>
  <si>
    <r>
      <rPr>
        <sz val="10"/>
        <color theme="1"/>
        <rFont val="仿宋_GB2312"/>
        <family val="3"/>
        <charset val="134"/>
      </rPr>
      <t>折现率</t>
    </r>
  </si>
  <si>
    <r>
      <rPr>
        <sz val="10"/>
        <color theme="1"/>
        <rFont val="仿宋_GB2312"/>
        <family val="3"/>
        <charset val="134"/>
      </rPr>
      <t>死亡率</t>
    </r>
  </si>
  <si>
    <r>
      <rPr>
        <sz val="10"/>
        <color theme="1"/>
        <rFont val="仿宋_GB2312"/>
        <family val="3"/>
        <charset val="134"/>
      </rPr>
      <t>预计平均寿命</t>
    </r>
  </si>
  <si>
    <r>
      <rPr>
        <sz val="10"/>
        <color theme="1"/>
        <rFont val="仿宋_GB2312"/>
        <family val="3"/>
        <charset val="134"/>
      </rPr>
      <t>职工的离职率</t>
    </r>
  </si>
  <si>
    <r>
      <rPr>
        <sz val="10"/>
        <color theme="1"/>
        <rFont val="仿宋_GB2312"/>
        <family val="3"/>
        <charset val="134"/>
      </rPr>
      <t>薪酬的预期增长率</t>
    </r>
  </si>
  <si>
    <r>
      <rPr>
        <sz val="10"/>
        <color theme="1"/>
        <rFont val="仿宋_GB2312"/>
        <family val="3"/>
        <charset val="134"/>
      </rPr>
      <t>（</t>
    </r>
    <r>
      <rPr>
        <sz val="10"/>
        <color theme="1"/>
        <rFont val="Arial Narrow"/>
        <family val="2"/>
      </rPr>
      <t>3</t>
    </r>
    <r>
      <rPr>
        <sz val="10"/>
        <color theme="1"/>
        <rFont val="仿宋_GB2312"/>
        <family val="3"/>
        <charset val="134"/>
      </rPr>
      <t>）敏感性分析</t>
    </r>
  </si>
  <si>
    <r>
      <rPr>
        <b/>
        <sz val="10"/>
        <color rgb="FF000000"/>
        <rFont val="仿宋_GB2312"/>
        <family val="3"/>
        <charset val="134"/>
      </rPr>
      <t>项目</t>
    </r>
  </si>
  <si>
    <r>
      <t xml:space="preserve"> </t>
    </r>
    <r>
      <rPr>
        <b/>
        <sz val="10"/>
        <color rgb="FF000000"/>
        <rFont val="仿宋_GB2312"/>
        <family val="3"/>
        <charset val="134"/>
      </rPr>
      <t>假设的变动幅度</t>
    </r>
  </si>
  <si>
    <r>
      <rPr>
        <b/>
        <sz val="10"/>
        <color rgb="FF000000"/>
        <rFont val="仿宋_GB2312"/>
        <family val="3"/>
        <charset val="134"/>
      </rPr>
      <t>对设定受益义务现值的影响</t>
    </r>
  </si>
  <si>
    <r>
      <t xml:space="preserve"> </t>
    </r>
    <r>
      <rPr>
        <b/>
        <sz val="10"/>
        <color rgb="FF000000"/>
        <rFont val="仿宋_GB2312"/>
        <family val="3"/>
        <charset val="134"/>
      </rPr>
      <t>计划负债增加</t>
    </r>
  </si>
  <si>
    <r>
      <rPr>
        <b/>
        <sz val="10"/>
        <color rgb="FF000000"/>
        <rFont val="仿宋_GB2312"/>
        <family val="3"/>
        <charset val="134"/>
      </rPr>
      <t>计划负债减小</t>
    </r>
  </si>
  <si>
    <r>
      <rPr>
        <sz val="10"/>
        <color rgb="FF000000"/>
        <rFont val="仿宋_GB2312"/>
        <family val="3"/>
        <charset val="134"/>
      </rPr>
      <t>折现率</t>
    </r>
  </si>
  <si>
    <r>
      <rPr>
        <sz val="10"/>
        <color rgb="FF000000"/>
        <rFont val="仿宋_GB2312"/>
        <family val="3"/>
        <charset val="134"/>
      </rPr>
      <t>死亡率</t>
    </r>
  </si>
  <si>
    <r>
      <rPr>
        <sz val="10"/>
        <color rgb="FF000000"/>
        <rFont val="仿宋_GB2312"/>
        <family val="3"/>
        <charset val="134"/>
      </rPr>
      <t>职工的离职率</t>
    </r>
  </si>
  <si>
    <r>
      <rPr>
        <sz val="10"/>
        <color rgb="FF000000"/>
        <rFont val="仿宋_GB2312"/>
        <family val="3"/>
        <charset val="134"/>
      </rPr>
      <t>薪酬的预期增长率</t>
    </r>
  </si>
  <si>
    <r>
      <rPr>
        <sz val="10"/>
        <color rgb="FF000000"/>
        <rFont val="仿宋_GB2312"/>
        <family val="3"/>
        <charset val="134"/>
      </rPr>
      <t>说明：</t>
    </r>
  </si>
  <si>
    <r>
      <rPr>
        <sz val="10"/>
        <color rgb="FF0000FF"/>
        <rFont val="仿宋_GB2312"/>
        <family val="3"/>
        <charset val="134"/>
      </rPr>
      <t>上述敏感性分析是基于一个假设发生变动而其他假设均保持不变，但实际上各种假设通常是相互关联的。上述敏感性分析在计算设定受益义务现值时也同样采用累积福利单位法。</t>
    </r>
  </si>
  <si>
    <r>
      <rPr>
        <sz val="10"/>
        <color rgb="FF0000FF"/>
        <rFont val="仿宋_GB2312"/>
        <family val="3"/>
        <charset val="134"/>
      </rPr>
      <t>进行敏感度分析所采用的重大假设的方法和类型与以前年度比较未发生变动。</t>
    </r>
  </si>
  <si>
    <r>
      <rPr>
        <sz val="10"/>
        <color rgb="FF0000FF"/>
        <rFont val="仿宋_GB2312"/>
        <family val="3"/>
        <charset val="134"/>
      </rPr>
      <t>（如发生变动，应进一步说明发生的具体变动及原因。）</t>
    </r>
  </si>
  <si>
    <r>
      <rPr>
        <sz val="10"/>
        <color theme="1"/>
        <rFont val="仿宋_GB2312"/>
        <family val="3"/>
        <charset val="134"/>
      </rPr>
      <t>辞退福利</t>
    </r>
  </si>
  <si>
    <r>
      <rPr>
        <sz val="10"/>
        <color theme="1"/>
        <rFont val="仿宋_GB2312"/>
        <family val="3"/>
        <charset val="134"/>
      </rPr>
      <t>符合设定受益计划条件的其他长期职工福利的净负债</t>
    </r>
    <r>
      <rPr>
        <sz val="10"/>
        <color rgb="FF0000FF"/>
        <rFont val="仿宋_GB2312"/>
        <family val="3"/>
        <charset val="134"/>
      </rPr>
      <t>（不适用删除）</t>
    </r>
  </si>
  <si>
    <r>
      <rPr>
        <sz val="10"/>
        <color theme="1"/>
        <rFont val="仿宋_GB2312"/>
        <family val="3"/>
        <charset val="134"/>
      </rPr>
      <t>其他长期福利</t>
    </r>
  </si>
  <si>
    <r>
      <rPr>
        <b/>
        <sz val="10"/>
        <color theme="1"/>
        <rFont val="仿宋_GB2312"/>
        <family val="3"/>
        <charset val="134"/>
      </rPr>
      <t>小</t>
    </r>
    <r>
      <rPr>
        <b/>
        <sz val="10"/>
        <color theme="1"/>
        <rFont val="Arial Narrow"/>
        <family val="2"/>
      </rPr>
      <t xml:space="preserve">  </t>
    </r>
    <r>
      <rPr>
        <b/>
        <sz val="10"/>
        <color theme="1"/>
        <rFont val="仿宋_GB2312"/>
        <family val="3"/>
        <charset val="134"/>
      </rPr>
      <t>计</t>
    </r>
  </si>
  <si>
    <r>
      <rPr>
        <sz val="10"/>
        <color theme="1"/>
        <rFont val="仿宋_GB2312"/>
        <family val="3"/>
        <charset val="134"/>
      </rPr>
      <t>减：一年内到期的长期应付职工薪酬</t>
    </r>
  </si>
  <si>
    <r>
      <rPr>
        <sz val="10"/>
        <color theme="1"/>
        <rFont val="仿宋_GB2312"/>
        <family val="3"/>
        <charset val="134"/>
      </rPr>
      <t>说明：</t>
    </r>
    <r>
      <rPr>
        <sz val="10"/>
        <color rgb="FF0000FF"/>
        <rFont val="Arial Narrow"/>
        <family val="2"/>
      </rPr>
      <t>1</t>
    </r>
    <r>
      <rPr>
        <sz val="10"/>
        <color rgb="FF0000FF"/>
        <rFont val="仿宋_GB2312"/>
        <family val="3"/>
        <charset val="134"/>
      </rPr>
      <t>、辞退福利的性质、内容及计算依据详见</t>
    </r>
    <r>
      <rPr>
        <sz val="10"/>
        <color rgb="FFFF0000"/>
        <rFont val="仿宋_GB2312"/>
        <family val="3"/>
        <charset val="134"/>
      </rPr>
      <t>附注五、</t>
    </r>
    <r>
      <rPr>
        <sz val="10"/>
        <color rgb="FFFF0000"/>
        <rFont val="Arial Narrow"/>
        <family val="2"/>
      </rPr>
      <t>35</t>
    </r>
    <r>
      <rPr>
        <sz val="10"/>
        <color rgb="FF0000FF"/>
        <rFont val="仿宋_GB2312"/>
        <family val="3"/>
        <charset val="134"/>
      </rPr>
      <t>；</t>
    </r>
  </si>
  <si>
    <r>
      <t>2</t>
    </r>
    <r>
      <rPr>
        <sz val="10"/>
        <color rgb="FF0000FF"/>
        <rFont val="仿宋_GB2312"/>
        <family val="3"/>
        <charset val="134"/>
      </rPr>
      <t>、其他长期职工福利的性质及计算依据。</t>
    </r>
  </si>
  <si>
    <r>
      <rPr>
        <sz val="10"/>
        <color theme="1"/>
        <rFont val="仿宋_GB2312"/>
        <family val="3"/>
        <charset val="134"/>
      </rPr>
      <t>（</t>
    </r>
    <r>
      <rPr>
        <sz val="10"/>
        <color theme="1"/>
        <rFont val="Arial Narrow"/>
        <family val="2"/>
      </rPr>
      <t>1</t>
    </r>
    <r>
      <rPr>
        <sz val="10"/>
        <color theme="1"/>
        <rFont val="仿宋_GB2312"/>
        <family val="3"/>
        <charset val="134"/>
      </rPr>
      <t>）设定受益计划变动情况</t>
    </r>
  </si>
  <si>
    <r>
      <rPr>
        <sz val="10"/>
        <color theme="1"/>
        <rFont val="仿宋_GB2312"/>
        <family val="3"/>
        <charset val="134"/>
      </rPr>
      <t>设定受益计划义务现值：</t>
    </r>
  </si>
  <si>
    <r>
      <t>2</t>
    </r>
    <r>
      <rPr>
        <sz val="10"/>
        <color theme="1"/>
        <rFont val="仿宋_GB2312"/>
        <family val="3"/>
        <charset val="134"/>
      </rPr>
      <t>．计划资产的回报（计入利息净额的除外）</t>
    </r>
  </si>
  <si>
    <r>
      <t>3</t>
    </r>
    <r>
      <rPr>
        <sz val="10"/>
        <color theme="1"/>
        <rFont val="仿宋_GB2312"/>
        <family val="3"/>
        <charset val="134"/>
      </rPr>
      <t>．资产上限影响的变动（计入利息净额的除外）</t>
    </r>
    <r>
      <rPr>
        <sz val="10"/>
        <color theme="1"/>
        <rFont val="Arial Narrow"/>
        <family val="2"/>
      </rPr>
      <t> </t>
    </r>
  </si>
  <si>
    <r>
      <rPr>
        <sz val="10"/>
        <color theme="1"/>
        <rFont val="仿宋_GB2312"/>
        <family val="3"/>
        <charset val="134"/>
      </rPr>
      <t>计划资产：</t>
    </r>
  </si>
  <si>
    <r>
      <t>1</t>
    </r>
    <r>
      <rPr>
        <sz val="10"/>
        <color rgb="FF000000"/>
        <rFont val="仿宋_GB2312"/>
        <family val="3"/>
        <charset val="134"/>
      </rPr>
      <t>．利息净额</t>
    </r>
  </si>
  <si>
    <r>
      <t>1</t>
    </r>
    <r>
      <rPr>
        <sz val="10"/>
        <color rgb="FF000000"/>
        <rFont val="仿宋_GB2312"/>
        <family val="3"/>
        <charset val="134"/>
      </rPr>
      <t>．计划资产的回报（计入利息净额的除外）</t>
    </r>
  </si>
  <si>
    <r>
      <t>2</t>
    </r>
    <r>
      <rPr>
        <sz val="10"/>
        <color rgb="FF000000"/>
        <rFont val="仿宋_GB2312"/>
        <family val="3"/>
        <charset val="134"/>
      </rPr>
      <t>．资产上限影响的变动（计入利息净额的除外）</t>
    </r>
  </si>
  <si>
    <r>
      <rPr>
        <sz val="10"/>
        <color rgb="FF000000"/>
        <rFont val="仿宋_GB2312"/>
        <family val="3"/>
        <charset val="134"/>
      </rPr>
      <t>设定受益计划净负债（净资产）：</t>
    </r>
  </si>
  <si>
    <r>
      <rPr>
        <sz val="10"/>
        <color theme="1"/>
        <rFont val="仿宋_GB2312"/>
        <family val="3"/>
        <charset val="134"/>
      </rPr>
      <t>说明：</t>
    </r>
    <r>
      <rPr>
        <sz val="10"/>
        <color rgb="FF0000FF"/>
        <rFont val="仿宋_GB2312"/>
        <family val="3"/>
        <charset val="134"/>
      </rPr>
      <t>（</t>
    </r>
    <r>
      <rPr>
        <sz val="10"/>
        <color rgb="FF0000FF"/>
        <rFont val="Arial Narrow"/>
        <family val="2"/>
      </rPr>
      <t>1</t>
    </r>
    <r>
      <rPr>
        <sz val="10"/>
        <color rgb="FF0000FF"/>
        <rFont val="仿宋_GB2312"/>
        <family val="3"/>
        <charset val="134"/>
      </rPr>
      <t>、设定受益计划的内容、形成的原因、特征及与之相关的风险；</t>
    </r>
  </si>
  <si>
    <r>
      <rPr>
        <sz val="10"/>
        <color rgb="FF0000FF"/>
        <rFont val="仿宋_GB2312"/>
        <family val="3"/>
        <charset val="134"/>
      </rPr>
      <t>如有对计划的修改或结算的，还应当披露修改或结算计划的有关情况；</t>
    </r>
  </si>
  <si>
    <r>
      <t>2</t>
    </r>
    <r>
      <rPr>
        <sz val="10"/>
        <color rgb="FF0000FF"/>
        <rFont val="仿宋_GB2312"/>
        <family val="3"/>
        <charset val="134"/>
      </rPr>
      <t>、设定受益计划对公司未来现金流量的金额、时间和不确定性的影响。披露影响设定受益计划未来缴存金额的有关筹资政策和计划、下一会计年度预期将缴存的金额，设定受益义务有关到期情况的信息，如设定受益义务的加权平均期间、对有关福利支付的到期日分析等）</t>
    </r>
  </si>
  <si>
    <r>
      <rPr>
        <sz val="10"/>
        <color theme="1"/>
        <rFont val="仿宋_GB2312"/>
        <family val="3"/>
        <charset val="134"/>
      </rPr>
      <t>（</t>
    </r>
    <r>
      <rPr>
        <sz val="10"/>
        <color theme="1"/>
        <rFont val="Arial Narrow"/>
        <family val="2"/>
      </rPr>
      <t>2</t>
    </r>
    <r>
      <rPr>
        <sz val="10"/>
        <color theme="1"/>
        <rFont val="仿宋_GB2312"/>
        <family val="3"/>
        <charset val="134"/>
      </rPr>
      <t>）计划资产</t>
    </r>
  </si>
  <si>
    <r>
      <rPr>
        <sz val="10"/>
        <color theme="1"/>
        <rFont val="仿宋_GB2312"/>
        <family val="3"/>
        <charset val="134"/>
      </rPr>
      <t>（</t>
    </r>
    <r>
      <rPr>
        <sz val="10"/>
        <color theme="1"/>
        <rFont val="Arial Narrow"/>
        <family val="2"/>
      </rPr>
      <t>3</t>
    </r>
    <r>
      <rPr>
        <sz val="10"/>
        <color theme="1"/>
        <rFont val="仿宋_GB2312"/>
        <family val="3"/>
        <charset val="134"/>
      </rPr>
      <t>）精算假设</t>
    </r>
  </si>
  <si>
    <r>
      <rPr>
        <sz val="10"/>
        <color theme="1"/>
        <rFont val="仿宋_GB2312"/>
        <family val="3"/>
        <charset val="134"/>
      </rPr>
      <t>（</t>
    </r>
    <r>
      <rPr>
        <sz val="10"/>
        <color theme="1"/>
        <rFont val="Arial Narrow"/>
        <family val="2"/>
      </rPr>
      <t>4</t>
    </r>
    <r>
      <rPr>
        <sz val="10"/>
        <color theme="1"/>
        <rFont val="仿宋_GB2312"/>
        <family val="3"/>
        <charset val="134"/>
      </rPr>
      <t>）敏感性分析</t>
    </r>
  </si>
  <si>
    <r>
      <rPr>
        <b/>
        <sz val="10"/>
        <color rgb="FF000000"/>
        <rFont val="仿宋_GB2312"/>
        <family val="3"/>
        <charset val="134"/>
      </rPr>
      <t>计划负债减少</t>
    </r>
  </si>
  <si>
    <r>
      <rPr>
        <b/>
        <sz val="10"/>
        <rFont val="宋体"/>
        <family val="3"/>
        <charset val="134"/>
      </rPr>
      <t>底稿开列时，可先在以下单元格填写有关内容，以便其他底稿引用有关数据：</t>
    </r>
    <phoneticPr fontId="12" type="noConversion"/>
  </si>
  <si>
    <t>长期应付职工薪酬实质性程序</t>
    <phoneticPr fontId="12" type="noConversion"/>
  </si>
  <si>
    <t>L2A</t>
    <phoneticPr fontId="12"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</si>
  <si>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</si>
  <si>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t>长期应付职工薪酬</t>
    <phoneticPr fontId="7" type="noConversion"/>
  </si>
  <si>
    <r>
      <rPr>
        <b/>
        <sz val="10"/>
        <rFont val="宋体"/>
        <family val="3"/>
        <charset val="134"/>
      </rPr>
      <t>二、重大错报风险需从实质性程序获取的保证程度</t>
    </r>
    <phoneticPr fontId="12" type="noConversion"/>
  </si>
  <si>
    <r>
      <rPr>
        <b/>
        <sz val="10"/>
        <rFont val="宋体"/>
        <family val="3"/>
        <charset val="134"/>
      </rPr>
      <t>根据风险评估和内控测试的结果按下列顺序作出判断：</t>
    </r>
    <phoneticPr fontId="12" type="noConversion"/>
  </si>
  <si>
    <r>
      <rPr>
        <b/>
        <sz val="10"/>
        <rFont val="宋体"/>
        <family val="3"/>
        <charset val="134"/>
      </rPr>
      <t>财务报表的认定　</t>
    </r>
  </si>
  <si>
    <r>
      <rPr>
        <b/>
        <sz val="10"/>
        <rFont val="宋体"/>
        <family val="3"/>
        <charset val="134"/>
      </rPr>
      <t>说明</t>
    </r>
    <phoneticPr fontId="12" type="noConversion"/>
  </si>
  <si>
    <r>
      <rPr>
        <b/>
        <sz val="10"/>
        <rFont val="宋体"/>
        <family val="3"/>
        <charset val="134"/>
      </rPr>
      <t>索引号</t>
    </r>
    <phoneticPr fontId="12" type="noConversion"/>
  </si>
  <si>
    <t>存在</t>
  </si>
  <si>
    <t>完整性</t>
  </si>
  <si>
    <t>权利和义务</t>
  </si>
  <si>
    <t>计价和分摊</t>
  </si>
  <si>
    <t>列报与披露</t>
  </si>
  <si>
    <r>
      <t>A</t>
    </r>
    <r>
      <rPr>
        <sz val="10"/>
        <rFont val="宋体"/>
        <family val="3"/>
        <charset val="134"/>
      </rPr>
      <t>资产负债表中记录的应付职工薪酬是存在的。</t>
    </r>
    <phoneticPr fontId="12" type="noConversion"/>
  </si>
  <si>
    <t>√</t>
  </si>
  <si>
    <r>
      <t>B</t>
    </r>
    <r>
      <rPr>
        <sz val="10"/>
        <rFont val="宋体"/>
        <family val="3"/>
        <charset val="134"/>
      </rPr>
      <t>所有应当记录的应付职工薪酬均已记录。</t>
    </r>
    <phoneticPr fontId="12" type="noConversion"/>
  </si>
  <si>
    <r>
      <t>C</t>
    </r>
    <r>
      <rPr>
        <sz val="10"/>
        <rFont val="宋体"/>
        <family val="3"/>
        <charset val="134"/>
      </rPr>
      <t>记录的应付职工薪酬是被审计单位应当履行的现时义务。</t>
    </r>
    <phoneticPr fontId="12" type="noConversion"/>
  </si>
  <si>
    <r>
      <t>D</t>
    </r>
    <r>
      <rPr>
        <sz val="10"/>
        <rFont val="宋体"/>
        <family val="3"/>
        <charset val="134"/>
      </rPr>
      <t>应付职工薪酬以恰当的金额包括在财务报表中，与之相关的计价调整已恰当记录。</t>
    </r>
    <phoneticPr fontId="58" type="noConversion"/>
  </si>
  <si>
    <r>
      <t>E</t>
    </r>
    <r>
      <rPr>
        <sz val="10"/>
        <rFont val="宋体"/>
        <family val="3"/>
        <charset val="134"/>
      </rPr>
      <t>应付职工薪酬已按照企业会计准则的规定在财务报表中作出恰当列报和披露。</t>
    </r>
    <phoneticPr fontId="58" type="noConversion"/>
  </si>
  <si>
    <r>
      <rPr>
        <b/>
        <sz val="10"/>
        <rFont val="宋体"/>
        <family val="3"/>
        <charset val="134"/>
      </rPr>
      <t>三、计划实施的实质性程序</t>
    </r>
    <phoneticPr fontId="12" type="noConversion"/>
  </si>
  <si>
    <r>
      <rPr>
        <b/>
        <sz val="10"/>
        <rFont val="宋体"/>
        <family val="3"/>
        <charset val="134"/>
      </rPr>
      <t>序号</t>
    </r>
    <phoneticPr fontId="12" type="noConversion"/>
  </si>
  <si>
    <r>
      <rPr>
        <b/>
        <sz val="10"/>
        <rFont val="宋体"/>
        <family val="3"/>
        <charset val="134"/>
      </rPr>
      <t>程序分类</t>
    </r>
    <phoneticPr fontId="12" type="noConversion"/>
  </si>
  <si>
    <t>审计目标</t>
    <phoneticPr fontId="12" type="noConversion"/>
  </si>
  <si>
    <r>
      <rPr>
        <b/>
        <sz val="10"/>
        <rFont val="宋体"/>
        <family val="3"/>
        <charset val="134"/>
      </rPr>
      <t>执行情况说明
（含底稿索引）</t>
    </r>
    <phoneticPr fontId="12" type="noConversion"/>
  </si>
  <si>
    <t>一</t>
    <phoneticPr fontId="7" type="noConversion"/>
  </si>
  <si>
    <r>
      <rPr>
        <b/>
        <sz val="10"/>
        <rFont val="宋体"/>
        <family val="3"/>
        <charset val="134"/>
      </rPr>
      <t>检查应付职工薪酬的确认，与生产成本、制造费用、在建工程等相关账项进行核对：</t>
    </r>
    <phoneticPr fontId="7" type="noConversion"/>
  </si>
  <si>
    <t>常规★</t>
    <phoneticPr fontId="58" type="noConversion"/>
  </si>
  <si>
    <t>ABD</t>
    <phoneticPr fontId="58" type="noConversion"/>
  </si>
  <si>
    <t>L2-2</t>
    <phoneticPr fontId="58" type="noConversion"/>
  </si>
  <si>
    <t>1</t>
    <phoneticPr fontId="7" type="noConversion"/>
  </si>
  <si>
    <r>
      <rPr>
        <b/>
        <sz val="10"/>
        <rFont val="宋体"/>
        <family val="3"/>
        <charset val="134"/>
      </rPr>
      <t>确定会计处理是否符合企业会计准则的规定。</t>
    </r>
    <phoneticPr fontId="7" type="noConversion"/>
  </si>
  <si>
    <t>长期应付职工薪酬</t>
    <phoneticPr fontId="7" type="noConversion"/>
  </si>
  <si>
    <t>2</t>
    <phoneticPr fontId="7" type="noConversion"/>
  </si>
  <si>
    <r>
      <rPr>
        <sz val="10"/>
        <rFont val="宋体"/>
        <family val="3"/>
        <charset val="134"/>
      </rPr>
      <t>分析计入成本、费用的工资薪金，关注构成是否异常变化、各月之间波动有无异常，如果异常降低，关注是否存在其他方（如关联方）代付工资的情况；</t>
    </r>
    <phoneticPr fontId="7" type="noConversion"/>
  </si>
  <si>
    <t>IPO/上市公司</t>
    <phoneticPr fontId="58" type="noConversion"/>
  </si>
  <si>
    <t>长期应付职工薪酬</t>
  </si>
  <si>
    <t>二</t>
    <phoneticPr fontId="7" type="noConversion"/>
  </si>
  <si>
    <t>取得辞退福利的明细表</t>
    <phoneticPr fontId="7" type="noConversion"/>
  </si>
  <si>
    <r>
      <rPr>
        <sz val="10"/>
        <color theme="1"/>
        <rFont val="宋体"/>
        <family val="3"/>
        <charset val="134"/>
      </rPr>
      <t>备选</t>
    </r>
    <phoneticPr fontId="58" type="noConversion"/>
  </si>
  <si>
    <t>ABD</t>
    <phoneticPr fontId="58" type="noConversion"/>
  </si>
  <si>
    <t>确定计算的准确性。</t>
    <phoneticPr fontId="7" type="noConversion"/>
  </si>
  <si>
    <r>
      <rPr>
        <sz val="10"/>
        <color theme="1"/>
        <rFont val="宋体"/>
        <family val="3"/>
        <charset val="134"/>
      </rPr>
      <t>备选</t>
    </r>
    <phoneticPr fontId="58" type="noConversion"/>
  </si>
  <si>
    <t>与总账核对一致。</t>
    <phoneticPr fontId="7" type="noConversion"/>
  </si>
  <si>
    <t>确定该福利是否满足确认为负债的标准。</t>
    <phoneticPr fontId="58" type="noConversion"/>
  </si>
  <si>
    <r>
      <rPr>
        <sz val="10"/>
        <color theme="1"/>
        <rFont val="宋体"/>
        <family val="3"/>
        <charset val="134"/>
      </rPr>
      <t>备选</t>
    </r>
    <phoneticPr fontId="58" type="noConversion"/>
  </si>
  <si>
    <t>确定负债的计算是否合理。</t>
    <phoneticPr fontId="7" type="noConversion"/>
  </si>
  <si>
    <r>
      <rPr>
        <sz val="10"/>
        <rFont val="宋体"/>
        <family val="3"/>
        <charset val="134"/>
      </rPr>
      <t>对于职工没有选择权的辞退计划，检查按辞退职工数量、辞退补偿标准计提辞退福利负债金额是否正确</t>
    </r>
    <phoneticPr fontId="7" type="noConversion"/>
  </si>
  <si>
    <r>
      <rPr>
        <sz val="10"/>
        <rFont val="宋体"/>
        <family val="3"/>
        <charset val="134"/>
      </rPr>
      <t>对于自愿接受裁减的建议，检查按接受裁减建议的预计职工数量、辞退补偿标准（该标准确定）等计提辞退福利负债金额是否正确</t>
    </r>
    <phoneticPr fontId="7" type="noConversion"/>
  </si>
  <si>
    <r>
      <rPr>
        <sz val="10"/>
        <color theme="1"/>
        <rFont val="宋体"/>
        <family val="3"/>
        <charset val="134"/>
      </rPr>
      <t>长期应付职工薪酬</t>
    </r>
    <phoneticPr fontId="7" type="noConversion"/>
  </si>
  <si>
    <r>
      <rPr>
        <sz val="10"/>
        <rFont val="Times New Roman"/>
        <family val="1"/>
      </rPr>
      <t>识别辞退福利中是否包含未予辞退的员工；检查其工资薪酬是否已经恰当计入相关费用。</t>
    </r>
    <phoneticPr fontId="58" type="noConversion"/>
  </si>
  <si>
    <r>
      <rPr>
        <sz val="10"/>
        <rFont val="宋体"/>
        <family val="3"/>
        <charset val="134"/>
      </rPr>
      <t>检查辞退福利支付凭证是否真实正确</t>
    </r>
    <phoneticPr fontId="7" type="noConversion"/>
  </si>
  <si>
    <r>
      <rPr>
        <b/>
        <sz val="10"/>
        <rFont val="宋体"/>
        <family val="3"/>
        <charset val="134"/>
      </rPr>
      <t>三</t>
    </r>
    <phoneticPr fontId="12" type="noConversion"/>
  </si>
  <si>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phoneticPr fontId="7" type="noConversion"/>
  </si>
  <si>
    <r>
      <rPr>
        <b/>
        <sz val="10"/>
        <color theme="1"/>
        <rFont val="宋体"/>
        <family val="3"/>
        <charset val="134"/>
      </rPr>
      <t>常规★</t>
    </r>
    <phoneticPr fontId="7" type="noConversion"/>
  </si>
  <si>
    <t>B</t>
    <phoneticPr fontId="58" type="noConversion"/>
  </si>
  <si>
    <t>T1</t>
    <phoneticPr fontId="58" type="noConversion"/>
  </si>
  <si>
    <t>1</t>
    <phoneticPr fontId="12" type="noConversion"/>
  </si>
  <si>
    <t>获取有关信息准确性和完整性的审计证据。</t>
    <phoneticPr fontId="7" type="noConversion"/>
  </si>
  <si>
    <t>2</t>
    <phoneticPr fontId="12" type="noConversion"/>
  </si>
  <si>
    <r>
      <rPr>
        <sz val="10"/>
        <rFont val="宋体"/>
        <family val="3"/>
        <charset val="134"/>
      </rPr>
      <t>评价信息对实现审计目的是否足够准确和详细。</t>
    </r>
    <phoneticPr fontId="7" type="noConversion"/>
  </si>
  <si>
    <t>四</t>
    <phoneticPr fontId="7" type="noConversion"/>
  </si>
  <si>
    <t>对于带薪休假：</t>
    <phoneticPr fontId="7" type="noConversion"/>
  </si>
  <si>
    <t>L2-3</t>
    <phoneticPr fontId="58" type="noConversion"/>
  </si>
  <si>
    <t>1</t>
    <phoneticPr fontId="7" type="noConversion"/>
  </si>
  <si>
    <t>确定所有员工均包含在列表中。</t>
    <phoneticPr fontId="7" type="noConversion"/>
  </si>
  <si>
    <t>2</t>
    <phoneticPr fontId="7" type="noConversion"/>
  </si>
  <si>
    <r>
      <rPr>
        <sz val="10"/>
        <rFont val="宋体"/>
        <family val="3"/>
        <charset val="134"/>
      </rPr>
      <t>确定企业确认带薪休假的方法是否正确。</t>
    </r>
    <r>
      <rPr>
        <sz val="10"/>
        <rFont val="Arial Narrow"/>
        <family val="2"/>
      </rPr>
      <t xml:space="preserve"> </t>
    </r>
    <phoneticPr fontId="7" type="noConversion"/>
  </si>
  <si>
    <t>识别总体中的关键项目。</t>
    <phoneticPr fontId="7" type="noConversion"/>
  </si>
  <si>
    <t>使用样本计算器从剩余的总体中，设计样本以确定需测试项目的数量。</t>
    <phoneticPr fontId="7" type="noConversion"/>
  </si>
  <si>
    <r>
      <rPr>
        <sz val="10"/>
        <rFont val="宋体"/>
        <family val="3"/>
        <charset val="134"/>
      </rPr>
      <t>采用适当选样方法选取</t>
    </r>
    <r>
      <rPr>
        <sz val="10"/>
        <rFont val="Arial Narrow"/>
        <family val="2"/>
      </rPr>
      <t>%S</t>
    </r>
    <r>
      <rPr>
        <sz val="10"/>
        <rFont val="宋体"/>
        <family val="3"/>
        <charset val="134"/>
      </rPr>
      <t>的项目。</t>
    </r>
    <phoneticPr fontId="7" type="noConversion"/>
  </si>
  <si>
    <r>
      <rPr>
        <sz val="10"/>
        <rFont val="宋体"/>
        <family val="3"/>
        <charset val="134"/>
      </rPr>
      <t>将小时工资费用率与相关的记录核对。</t>
    </r>
    <r>
      <rPr>
        <sz val="10"/>
        <rFont val="Arial Narrow"/>
        <family val="2"/>
      </rPr>
      <t xml:space="preserve"> </t>
    </r>
    <phoneticPr fontId="7" type="noConversion"/>
  </si>
  <si>
    <t>向适当的人员报告未解决的差异。</t>
    <phoneticPr fontId="7" type="noConversion"/>
  </si>
  <si>
    <t>使用样本评价工具，将错报推断到总体。</t>
    <phoneticPr fontId="7" type="noConversion"/>
  </si>
  <si>
    <t>（1）</t>
    <phoneticPr fontId="7" type="noConversion"/>
  </si>
  <si>
    <t>确定样本所达到的精准程度是否能为此程序提供预期程度的保证。</t>
    <phoneticPr fontId="7" type="noConversion"/>
  </si>
  <si>
    <t>（2）</t>
  </si>
  <si>
    <t>确定是否需要追加程序，包括是否需要重新确定总体。</t>
    <phoneticPr fontId="7" type="noConversion"/>
  </si>
  <si>
    <t>（3）</t>
  </si>
  <si>
    <t>在未更正错报汇总表中记录推断的总体错报。</t>
    <phoneticPr fontId="7" type="noConversion"/>
  </si>
  <si>
    <t>五</t>
    <phoneticPr fontId="7" type="noConversion"/>
  </si>
  <si>
    <t>养老金设定受益计划</t>
    <phoneticPr fontId="7" type="noConversion"/>
  </si>
  <si>
    <t>ABCD</t>
    <phoneticPr fontId="58" type="noConversion"/>
  </si>
  <si>
    <r>
      <rPr>
        <sz val="10"/>
        <rFont val="宋体"/>
        <family val="3"/>
        <charset val="134"/>
      </rPr>
      <t>检查协议，以确定：</t>
    </r>
    <r>
      <rPr>
        <sz val="10"/>
        <rFont val="Arial Narrow"/>
        <family val="2"/>
      </rPr>
      <t xml:space="preserve"> </t>
    </r>
    <phoneticPr fontId="7" type="noConversion"/>
  </si>
  <si>
    <t>指定该计划为设定受益计划是恰当的。</t>
    <phoneticPr fontId="7" type="noConversion"/>
  </si>
  <si>
    <r>
      <rPr>
        <sz val="10"/>
        <rFont val="宋体"/>
        <family val="3"/>
        <charset val="134"/>
      </rPr>
      <t>协议中的条款，已适当的反映在精算假设中。</t>
    </r>
    <r>
      <rPr>
        <sz val="10"/>
        <rFont val="Arial Narrow"/>
        <family val="2"/>
      </rPr>
      <t xml:space="preserve"> </t>
    </r>
    <phoneticPr fontId="7" type="noConversion"/>
  </si>
  <si>
    <r>
      <rPr>
        <sz val="10"/>
        <color theme="1"/>
        <rFont val="宋体"/>
        <family val="3"/>
        <charset val="134"/>
      </rPr>
      <t>长期应付职工薪酬</t>
    </r>
    <phoneticPr fontId="7" type="noConversion"/>
  </si>
  <si>
    <t>2</t>
    <phoneticPr fontId="7" type="noConversion"/>
  </si>
  <si>
    <r>
      <rPr>
        <sz val="10"/>
        <rFont val="宋体"/>
        <family val="3"/>
        <charset val="134"/>
      </rPr>
      <t>完成</t>
    </r>
    <r>
      <rPr>
        <sz val="10"/>
        <rFont val="宋体"/>
        <family val="2"/>
        <charset val="134"/>
      </rPr>
      <t>“</t>
    </r>
    <r>
      <rPr>
        <sz val="10"/>
        <rFont val="宋体"/>
        <family val="3"/>
        <charset val="134"/>
      </rPr>
      <t>专家资质</t>
    </r>
    <r>
      <rPr>
        <sz val="10"/>
        <rFont val="宋体"/>
        <family val="2"/>
        <charset val="134"/>
      </rPr>
      <t>”</t>
    </r>
    <r>
      <rPr>
        <sz val="10"/>
        <rFont val="宋体"/>
        <family val="3"/>
        <charset val="134"/>
      </rPr>
      <t>和</t>
    </r>
    <r>
      <rPr>
        <sz val="10"/>
        <rFont val="宋体"/>
        <family val="2"/>
        <charset val="134"/>
      </rPr>
      <t>“</t>
    </r>
    <r>
      <rPr>
        <sz val="10"/>
        <rFont val="宋体"/>
        <family val="3"/>
        <charset val="134"/>
      </rPr>
      <t>专家工作</t>
    </r>
    <r>
      <rPr>
        <sz val="10"/>
        <rFont val="宋体"/>
        <family val="2"/>
        <charset val="134"/>
      </rPr>
      <t>”</t>
    </r>
    <r>
      <rPr>
        <sz val="10"/>
        <rFont val="宋体"/>
        <family val="3"/>
        <charset val="134"/>
      </rPr>
      <t>的审计程序，以评估每位精算师（无论其是第三方还是内部员工）的资质及其工作。</t>
    </r>
    <phoneticPr fontId="7" type="noConversion"/>
  </si>
  <si>
    <t>3</t>
    <phoneticPr fontId="7" type="noConversion"/>
  </si>
  <si>
    <r>
      <rPr>
        <sz val="10"/>
        <rFont val="宋体"/>
        <family val="3"/>
        <charset val="134"/>
      </rPr>
      <t>获取精算报告。</t>
    </r>
    <r>
      <rPr>
        <sz val="10"/>
        <rFont val="Arial Narrow"/>
        <family val="2"/>
      </rPr>
      <t xml:space="preserve"> </t>
    </r>
    <phoneticPr fontId="7" type="noConversion"/>
  </si>
  <si>
    <t>4</t>
    <phoneticPr fontId="7" type="noConversion"/>
  </si>
  <si>
    <t>确定以下事项：</t>
    <phoneticPr fontId="7" type="noConversion"/>
  </si>
  <si>
    <t>（1）</t>
    <phoneticPr fontId="7" type="noConversion"/>
  </si>
  <si>
    <t>精算中使用的估计，是否与公认会计原则（企业会计准则）相符。</t>
    <phoneticPr fontId="7" type="noConversion"/>
  </si>
  <si>
    <r>
      <rPr>
        <sz val="10"/>
        <rFont val="宋体"/>
        <family val="3"/>
        <charset val="134"/>
      </rPr>
      <t>精算采用的日期是否与公认会计原则（企业会计准则）一致且适当。</t>
    </r>
    <r>
      <rPr>
        <sz val="10"/>
        <rFont val="Arial Narrow"/>
        <family val="2"/>
      </rPr>
      <t xml:space="preserve"> </t>
    </r>
    <phoneticPr fontId="7" type="noConversion"/>
  </si>
  <si>
    <t>5</t>
    <phoneticPr fontId="7" type="noConversion"/>
  </si>
  <si>
    <t>与总账的金额核对（包括当期和前期）。</t>
    <phoneticPr fontId="7" type="noConversion"/>
  </si>
  <si>
    <t>六</t>
    <phoneticPr fontId="7" type="noConversion"/>
  </si>
  <si>
    <t>对于其他长期职工福利：</t>
    <phoneticPr fontId="7" type="noConversion"/>
  </si>
  <si>
    <t>ABCD</t>
    <phoneticPr fontId="58" type="noConversion"/>
  </si>
  <si>
    <t>1</t>
    <phoneticPr fontId="7" type="noConversion"/>
  </si>
  <si>
    <r>
      <rPr>
        <sz val="10"/>
        <rFont val="宋体"/>
        <family val="3"/>
        <charset val="134"/>
      </rPr>
      <t>检查协议，确定协议中的条款是否已适当的反映在精算假设中。</t>
    </r>
    <r>
      <rPr>
        <sz val="10"/>
        <rFont val="Arial Narrow"/>
        <family val="2"/>
      </rPr>
      <t xml:space="preserve"> </t>
    </r>
    <phoneticPr fontId="7" type="noConversion"/>
  </si>
  <si>
    <t>精算中使用的估计，是否与公认会计原则（企业会计准则）相符。</t>
    <phoneticPr fontId="7" type="noConversion"/>
  </si>
  <si>
    <t>精算采用的日期是否与公认会计原则（企业会计准则）一致且适当。</t>
    <phoneticPr fontId="7" type="noConversion"/>
  </si>
  <si>
    <t>与总账的金额核对（包括当期和前期）。</t>
    <phoneticPr fontId="7" type="noConversion"/>
  </si>
  <si>
    <t>七</t>
    <phoneticPr fontId="7" type="noConversion"/>
  </si>
  <si>
    <t>确定执行以上程序的结果或本期的相关活动是否意味着管理层对于以前年度的判断和使用的假设是不合理的。如果是，记录本期管理层如何作出更准确的估计。</t>
    <phoneticPr fontId="7" type="noConversion"/>
  </si>
  <si>
    <t>八</t>
    <phoneticPr fontId="58" type="noConversion"/>
  </si>
  <si>
    <r>
      <rPr>
        <sz val="10"/>
        <rFont val="宋体"/>
        <family val="3"/>
        <charset val="134"/>
      </rPr>
      <t>针对识别的其他舞弊风险等因素增加的审计程序。</t>
    </r>
    <phoneticPr fontId="58" type="noConversion"/>
  </si>
  <si>
    <t>ABD</t>
    <phoneticPr fontId="58" type="noConversion"/>
  </si>
  <si>
    <t>九</t>
    <phoneticPr fontId="58" type="noConversion"/>
  </si>
  <si>
    <t>确定需在财务报表中单独披露的信息已被记录。</t>
    <phoneticPr fontId="7" type="noConversion"/>
  </si>
  <si>
    <t>E</t>
    <phoneticPr fontId="7" type="noConversion"/>
  </si>
  <si>
    <t>L2-1</t>
    <phoneticPr fontId="58" type="noConversion"/>
  </si>
  <si>
    <t>提示：</t>
    <phoneticPr fontId="12" type="noConversion"/>
  </si>
  <si>
    <t>根据具体情况，按下述5条所述流程，执行分析程序：</t>
    <phoneticPr fontId="12" type="noConversion"/>
  </si>
  <si>
    <r>
      <rPr>
        <sz val="10"/>
        <rFont val="宋体"/>
        <family val="3"/>
        <charset val="134"/>
      </rPr>
      <t>证实分析性程序中使用的基础性数据是正确的。</t>
    </r>
    <r>
      <rPr>
        <sz val="10"/>
        <rFont val="Arial Narrow"/>
        <family val="2"/>
      </rPr>
      <t xml:space="preserve"> Verify that the underlying data used in the analytics is valid.</t>
    </r>
  </si>
  <si>
    <t>与可比前期（预期）结果相比较。 Compare results to comparable prior periods (expectations).</t>
    <phoneticPr fontId="7" type="noConversion"/>
  </si>
  <si>
    <t>与适当客户人员讨论重大的非预期的差异。 Discuss significant unexpected differences with appropriate client personnel.</t>
    <phoneticPr fontId="7" type="noConversion"/>
  </si>
  <si>
    <t>考虑可信度，并在适当情况下进行证实。 Consider plausibility of responses and corroborate as appropriate.</t>
    <phoneticPr fontId="7" type="noConversion"/>
  </si>
  <si>
    <t>确定执行上述程序的结果是否表明需要补充必要的审计程序，如果是，执行适当的应对程序。 Determine whether results identify areas where additional procedures are required and if so, tailor an appropriate response.</t>
    <phoneticPr fontId="7" type="noConversion"/>
  </si>
  <si>
    <t>二、审计目标与认定的对应关系</t>
    <phoneticPr fontId="12" type="noConversion"/>
  </si>
  <si>
    <t>审计目标</t>
    <phoneticPr fontId="12" type="noConversion"/>
  </si>
  <si>
    <r>
      <rPr>
        <b/>
        <sz val="10"/>
        <rFont val="宋体"/>
        <family val="3"/>
        <charset val="134"/>
      </rPr>
      <t>序号</t>
    </r>
    <phoneticPr fontId="12" type="noConversion"/>
  </si>
  <si>
    <r>
      <rPr>
        <b/>
        <sz val="10"/>
        <rFont val="宋体"/>
        <family val="3"/>
        <charset val="134"/>
      </rPr>
      <t>程序分类</t>
    </r>
    <phoneticPr fontId="12" type="noConversion"/>
  </si>
  <si>
    <t>财务报表的认定</t>
    <phoneticPr fontId="12" type="noConversion"/>
  </si>
  <si>
    <r>
      <rPr>
        <b/>
        <sz val="10"/>
        <rFont val="宋体"/>
        <family val="3"/>
        <charset val="134"/>
      </rPr>
      <t>底稿索引号</t>
    </r>
    <phoneticPr fontId="12" type="noConversion"/>
  </si>
  <si>
    <r>
      <rPr>
        <b/>
        <sz val="10"/>
        <rFont val="宋体"/>
        <family val="3"/>
        <charset val="134"/>
      </rPr>
      <t>存在</t>
    </r>
    <phoneticPr fontId="12" type="noConversion"/>
  </si>
  <si>
    <r>
      <rPr>
        <b/>
        <sz val="10"/>
        <rFont val="宋体"/>
        <family val="3"/>
        <charset val="134"/>
      </rPr>
      <t>完整性</t>
    </r>
    <phoneticPr fontId="12" type="noConversion"/>
  </si>
  <si>
    <r>
      <rPr>
        <b/>
        <sz val="10"/>
        <rFont val="宋体"/>
        <family val="3"/>
        <charset val="134"/>
      </rPr>
      <t>权利和
义务</t>
    </r>
    <phoneticPr fontId="12" type="noConversion"/>
  </si>
  <si>
    <r>
      <rPr>
        <b/>
        <sz val="10"/>
        <rFont val="宋体"/>
        <family val="3"/>
        <charset val="134"/>
      </rPr>
      <t>准确性、计价和分摊</t>
    </r>
    <phoneticPr fontId="7" type="noConversion"/>
  </si>
  <si>
    <r>
      <rPr>
        <b/>
        <sz val="10"/>
        <rFont val="宋体"/>
        <family val="3"/>
        <charset val="134"/>
      </rPr>
      <t>列报</t>
    </r>
    <phoneticPr fontId="12" type="noConversion"/>
  </si>
  <si>
    <t>长期应付职工薪酬</t>
    <phoneticPr fontId="7" type="noConversion"/>
  </si>
  <si>
    <t>一、本循环涉及的报表账户</t>
  </si>
  <si>
    <t>财务报表的认定　</t>
  </si>
  <si>
    <t>三、计划实施的实质性程序</t>
    <phoneticPr fontId="12" type="noConversion"/>
  </si>
  <si>
    <r>
      <t xml:space="preserve">A. </t>
    </r>
    <r>
      <rPr>
        <sz val="10"/>
        <rFont val="宋体"/>
        <family val="3"/>
        <charset val="134"/>
      </rPr>
      <t>资产负债表中记录的长期应付职工薪酬是存在的，且已经记录在恰当的账户中</t>
    </r>
    <phoneticPr fontId="12"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</si>
  <si>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7" type="noConversion"/>
  </si>
  <si>
    <t>√</t>
    <phoneticPr fontId="12" type="noConversion"/>
  </si>
  <si>
    <t>√</t>
    <phoneticPr fontId="12" type="noConversion"/>
  </si>
  <si>
    <t>√</t>
    <phoneticPr fontId="12" type="noConversion"/>
  </si>
  <si>
    <t>√</t>
    <phoneticPr fontId="12" type="noConversion"/>
  </si>
  <si>
    <t>√</t>
    <phoneticPr fontId="12" type="noConversion"/>
  </si>
  <si>
    <t>获取或编制长期应付职工薪酬明细表，复核加计是否正确，并与报表数、总账数和明细账合计数核对是否相符。</t>
    <phoneticPr fontId="58" type="noConversion"/>
  </si>
  <si>
    <r>
      <t>对期初余额的审计，取得长期应付职工薪酬期初余额明细表复核加计是否正确，与总账、明细账合计数是否相符，检查上期长期应付职工薪酬在本期支付情况，检查重大长期薪酬计提支持性文件以及其他必要追加的审计程序。</t>
    </r>
    <r>
      <rPr>
        <sz val="10"/>
        <color rgb="FFFF0000"/>
        <rFont val="宋体"/>
        <family val="3"/>
        <charset val="134"/>
      </rPr>
      <t>（适用于首次承接）</t>
    </r>
    <phoneticPr fontId="7" type="noConversion"/>
  </si>
  <si>
    <t>√</t>
    <phoneticPr fontId="12" type="noConversion"/>
  </si>
  <si>
    <t>√</t>
    <phoneticPr fontId="12" type="noConversion"/>
  </si>
  <si>
    <t>整合</t>
    <phoneticPr fontId="44" type="noConversion"/>
  </si>
  <si>
    <t>检查养老金等离职后福利设定受益计划；
（1）取得相关协议，确定指定该计划为设定受益计划是恰当的；
（2）复核设定受益计划义务现值、计划资产的公允价值及设定受益计划净负债（净资产）的增减变动情况；
（3）复核计划资产的构成及其公允价值，复核设定受益计划预期缴存金额及资金来源及预计到期情况；
（4）利用精算专家工作，取得精算报告，复核设定受益义务现值精算估计所采用的重大假设，确定假设是否合理、计算是否正确、会计处理是否恰当。</t>
    <phoneticPr fontId="58" type="noConversion"/>
  </si>
  <si>
    <t>整合</t>
    <phoneticPr fontId="44" type="noConversion"/>
  </si>
  <si>
    <r>
      <rPr>
        <sz val="10"/>
        <rFont val="宋体"/>
        <family val="3"/>
        <charset val="134"/>
      </rPr>
      <t>检查实质性辞退工作在一年内完成</t>
    </r>
    <r>
      <rPr>
        <sz val="10"/>
        <rFont val="Arial Narrow"/>
        <family val="2"/>
      </rPr>
      <t>,</t>
    </r>
    <r>
      <rPr>
        <sz val="10"/>
        <rFont val="宋体"/>
        <family val="3"/>
        <charset val="134"/>
      </rPr>
      <t>但付款时间超过一年的辞退福利，是否按折现后的金额计量，折现率的选择是否合理</t>
    </r>
    <phoneticPr fontId="7" type="noConversion"/>
  </si>
  <si>
    <t>如果存在辞退福利，取得相关辞退文件、协议：
（1）对于职工没有选择权的辞退计划，检查按辞退职工数量、辞退补偿标准计提辞退福利负债金额是否正确；
（2）对于自愿接受裁减的建议，检查按接受裁减建议的预计职工数量、辞退补偿标准（该标准确定）等计提辞退福利负债金额是否正确；
（3）检查实质性辞退工作在一年内完成,但付款时间超过一年的辞退福利，是否按折现后的金额计量，折现率的选择是否合理；
（3）识别辞退福利中是否包含未予辞退的员工；
检查辞退福利相关的工资薪酬是否已经恰当计入相关费用、会计处理是否正确。</t>
    <phoneticPr fontId="7" type="noConversion"/>
  </si>
  <si>
    <t>如果存在长期带薪缺勤：
(1)检查计提长期带薪缺勤负债的会计处理是否正确，是否将计提金额计入当期损益或相关资产成本
(2)检查付款时间超过一年的长期带薪缺勤，是否按折现后的金额计量，折现率的选择是否合理
(3)检查长期带薪缺勤支付凭证是否真实正确</t>
    <phoneticPr fontId="58" type="noConversion"/>
  </si>
  <si>
    <t>修改为长期带薪缺勤</t>
    <phoneticPr fontId="44" type="noConversion"/>
  </si>
  <si>
    <t>如果存在辞退福利，取得相关辞退文件、协议：
（1）对于职工没有选择权的辞退计划，检查按辞退职工数量、辞退补偿标准计提辞退福利负债金额是否正确；
（2）对于自愿接受裁减的建议，检查按接受裁减建议的预计职工数量、辞退补偿标准（该标准确定）等计提辞退福利负债金额是否正确；
（3）检查实质性辞退工作在一年内完成,但付款时间超过一年的辞退福利，是否按折现后的金额计量，折现率的选择是否合理；
（3）识别辞退福利中是否包含未予辞退的员工；
检查辞退福利相关的工资薪酬是否已经恰当计入相关费用、会计处理是否正确。</t>
    <phoneticPr fontId="7" type="noConversion"/>
  </si>
  <si>
    <t>如果存在其他长期职工福利,取得相关文件、协议：
(1)检查文件、协议，确定分类为长期应付职工薪酬是恰当的，确定协议中的条款是否已适当的反映在精算假设中；
（2）完成“利用专家工作”底稿，取得精算报告，复核精算估计所采用的重大假设、日期，确定假设是否合理、计算是否正确、会计处理是否恰当。</t>
    <phoneticPr fontId="58" type="noConversion"/>
  </si>
  <si>
    <t>如果存在养老金等离职后福利设定受益计划；
（1）取得相关协议，确定指定该计划为设定受益计划是恰当的；
（2）复核设定受益计划义务现值、计划资产的公允价值及设定受益计划净负债（净资产）的增减变动情况；
（3）复核计划资产的构成及其公允价值，复核设定受益计划预期缴存金额及资金来源及预计到期情况；
（4）完成“利用专家工作”底稿，取得精算报告，复核设定受益义务现值精算估计所采用的重大假设、日期，确定假设是否合理、计算是否正确、会计处理是否恰当。</t>
    <phoneticPr fontId="58" type="noConversion"/>
  </si>
  <si>
    <t>对本期长期应付职工薪酬的减少，检查支持性文件，确定会计处理是否正确</t>
    <phoneticPr fontId="58" type="noConversion"/>
  </si>
  <si>
    <t>删除，会计处理已在每项长期薪酬中体现</t>
    <phoneticPr fontId="44" type="noConversion"/>
  </si>
  <si>
    <t>删除，长期应付职工薪酬无需分析月波动</t>
    <phoneticPr fontId="44" type="noConversion"/>
  </si>
  <si>
    <t>删除，作为提示</t>
    <phoneticPr fontId="44" type="noConversion"/>
  </si>
  <si>
    <r>
      <rPr>
        <sz val="10"/>
        <color theme="1"/>
        <rFont val="宋体"/>
        <family val="3"/>
        <charset val="134"/>
      </rPr>
      <t>针对识别的其他舞弊风险等因素增加的审计程序。</t>
    </r>
  </si>
  <si>
    <t>暴露</t>
    <phoneticPr fontId="44" type="noConversion"/>
  </si>
  <si>
    <t>修改</t>
    <phoneticPr fontId="44" type="noConversion"/>
  </si>
  <si>
    <t>检查长期应付职工薪酬是否已按企业会计准则或其他适用的规定在财务报表中做出恰当列报和披露。</t>
    <phoneticPr fontId="7" type="noConversion"/>
  </si>
  <si>
    <t>1</t>
    <phoneticPr fontId="58" type="noConversion"/>
  </si>
  <si>
    <t>2</t>
    <phoneticPr fontId="58" type="noConversion"/>
  </si>
  <si>
    <t>10</t>
  </si>
  <si>
    <t>如果存在其他长期职工福利,取得相关文件、协议：
(1)检查文件、协议，确定分类为长期应付职工薪酬是恰当的，确定协议中的条款是否已适当的反映在精算假设中；
（2）考虑完成“利用专家工作”底稿，取得精算报告，复核精算估计所采用的重大假设、日期，确定假设是否合理、计算是否正确、会计处理是否恰当。</t>
    <phoneticPr fontId="58" type="noConversion"/>
  </si>
  <si>
    <t>长期应付职工薪酬/设定受益计划净资产审定表</t>
    <phoneticPr fontId="7" type="noConversion"/>
  </si>
  <si>
    <r>
      <t>1</t>
    </r>
    <r>
      <rPr>
        <b/>
        <sz val="10"/>
        <rFont val="宋体"/>
        <family val="3"/>
        <charset val="134"/>
      </rPr>
      <t>、审计说明</t>
    </r>
    <phoneticPr fontId="12" type="noConversion"/>
  </si>
  <si>
    <t>其中：（1）设定受益计划情况</t>
    <phoneticPr fontId="7" type="noConversion"/>
  </si>
  <si>
    <r>
      <rPr>
        <b/>
        <sz val="10"/>
        <color indexed="8"/>
        <rFont val="宋体"/>
        <family val="3"/>
        <charset val="134"/>
      </rPr>
      <t>（</t>
    </r>
    <r>
      <rPr>
        <b/>
        <sz val="10"/>
        <color indexed="8"/>
        <rFont val="Arial Narrow"/>
        <family val="2"/>
      </rPr>
      <t>2</t>
    </r>
    <r>
      <rPr>
        <b/>
        <sz val="10"/>
        <color indexed="8"/>
        <rFont val="宋体"/>
        <family val="3"/>
        <charset val="134"/>
      </rPr>
      <t>）计划资产</t>
    </r>
    <phoneticPr fontId="7" type="noConversion"/>
  </si>
  <si>
    <r>
      <rPr>
        <b/>
        <sz val="10"/>
        <color indexed="8"/>
        <rFont val="宋体"/>
        <family val="3"/>
        <charset val="134"/>
      </rPr>
      <t>（</t>
    </r>
    <r>
      <rPr>
        <b/>
        <sz val="10"/>
        <color indexed="8"/>
        <rFont val="Arial Narrow"/>
        <family val="2"/>
      </rPr>
      <t>3</t>
    </r>
    <r>
      <rPr>
        <b/>
        <sz val="10"/>
        <color indexed="8"/>
        <rFont val="宋体"/>
        <family val="3"/>
        <charset val="134"/>
      </rPr>
      <t>）精算假设</t>
    </r>
    <phoneticPr fontId="7" type="noConversion"/>
  </si>
  <si>
    <r>
      <rPr>
        <b/>
        <sz val="10"/>
        <color indexed="8"/>
        <rFont val="宋体"/>
        <family val="3"/>
        <charset val="134"/>
      </rPr>
      <t>（</t>
    </r>
    <r>
      <rPr>
        <b/>
        <sz val="10"/>
        <color indexed="8"/>
        <rFont val="Arial Narrow"/>
        <family val="2"/>
      </rPr>
      <t>4</t>
    </r>
    <r>
      <rPr>
        <b/>
        <sz val="10"/>
        <color indexed="8"/>
        <rFont val="宋体"/>
        <family val="3"/>
        <charset val="134"/>
      </rPr>
      <t>）敏感性分析</t>
    </r>
    <phoneticPr fontId="7" type="noConversion"/>
  </si>
  <si>
    <r>
      <t>2.</t>
    </r>
    <r>
      <rPr>
        <sz val="10"/>
        <rFont val="宋体"/>
        <family val="3"/>
        <charset val="134"/>
      </rPr>
      <t>所有应记录的长期应付职工薪酬均已记录，所有应当包括在财务报表中的相关披露均已包括</t>
    </r>
    <phoneticPr fontId="7" type="noConversion"/>
  </si>
  <si>
    <r>
      <t>3.</t>
    </r>
    <r>
      <rPr>
        <sz val="10"/>
        <rFont val="宋体"/>
        <family val="3"/>
        <charset val="134"/>
      </rPr>
      <t>记录的长期应付职工薪酬由被审计单位拥有或控制</t>
    </r>
    <phoneticPr fontId="7" type="noConversion"/>
  </si>
  <si>
    <r>
      <t>1.</t>
    </r>
    <r>
      <rPr>
        <sz val="10"/>
        <rFont val="宋体"/>
        <family val="3"/>
        <charset val="134"/>
      </rPr>
      <t>资产负债表中记录的长期应付职工薪酬是存在的，且已经记录在恰当的账户中</t>
    </r>
    <phoneticPr fontId="7" type="noConversion"/>
  </si>
  <si>
    <r>
      <t>4.</t>
    </r>
    <r>
      <rPr>
        <sz val="10"/>
        <rFont val="宋体"/>
        <family val="3"/>
        <charset val="134"/>
      </rPr>
      <t>长期应付职工薪酬以恰当的金额包括在财务报表中，与之相关的计价或分摊调整已恰当记录，相关披露已得到恰当计量和描述</t>
    </r>
    <r>
      <rPr>
        <sz val="10"/>
        <rFont val="Arial Narrow"/>
        <family val="2"/>
      </rPr>
      <t xml:space="preserve"> </t>
    </r>
    <phoneticPr fontId="7" type="noConversion"/>
  </si>
  <si>
    <t>长期应付职工薪酬/设定受益计划净资产明细表</t>
    <phoneticPr fontId="12" type="noConversion"/>
  </si>
  <si>
    <t>辞退福利</t>
    <phoneticPr fontId="7" type="noConversion"/>
  </si>
  <si>
    <r>
      <t xml:space="preserve">     2</t>
    </r>
    <r>
      <rPr>
        <sz val="10"/>
        <rFont val="宋体"/>
        <family val="3"/>
        <charset val="134"/>
      </rPr>
      <t>、其他长期职工福利</t>
    </r>
    <phoneticPr fontId="7" type="noConversion"/>
  </si>
  <si>
    <r>
      <rPr>
        <sz val="10"/>
        <rFont val="宋体"/>
        <family val="3"/>
        <charset val="134"/>
      </rPr>
      <t>其中：</t>
    </r>
    <r>
      <rPr>
        <sz val="10"/>
        <rFont val="Arial Narrow"/>
        <family val="2"/>
      </rPr>
      <t>1</t>
    </r>
    <r>
      <rPr>
        <sz val="10"/>
        <rFont val="宋体"/>
        <family val="3"/>
        <charset val="134"/>
      </rPr>
      <t>、离职后福利</t>
    </r>
    <phoneticPr fontId="7" type="noConversion"/>
  </si>
  <si>
    <t>期初余额</t>
    <phoneticPr fontId="7" type="noConversion"/>
  </si>
  <si>
    <t>过去服务成本</t>
    <phoneticPr fontId="7" type="noConversion"/>
  </si>
  <si>
    <t>结算利得（损失以“-”表示）</t>
    <phoneticPr fontId="7" type="noConversion"/>
  </si>
  <si>
    <t>精算利得（损失以“-”表示）</t>
    <phoneticPr fontId="7" type="noConversion"/>
  </si>
  <si>
    <t>其他变动</t>
    <phoneticPr fontId="7" type="noConversion"/>
  </si>
  <si>
    <t>已支付的福利</t>
    <phoneticPr fontId="7" type="noConversion"/>
  </si>
  <si>
    <t>资产上限影响的变动（计入利息净额的除外） </t>
    <phoneticPr fontId="7" type="noConversion"/>
  </si>
  <si>
    <t>计入其他综合收益的设定受益成本</t>
    <phoneticPr fontId="7" type="noConversion"/>
  </si>
  <si>
    <t>计入当期损益的设定受益成本</t>
    <phoneticPr fontId="7" type="noConversion"/>
  </si>
  <si>
    <t>当期服务成本</t>
    <phoneticPr fontId="7" type="noConversion"/>
  </si>
  <si>
    <t>利息净额</t>
    <phoneticPr fontId="7" type="noConversion"/>
  </si>
  <si>
    <t>计划资产的回报（计入利息净额的除外）</t>
    <phoneticPr fontId="7" type="noConversion"/>
  </si>
  <si>
    <t>结算时消除的负债</t>
    <phoneticPr fontId="7" type="noConversion"/>
  </si>
  <si>
    <r>
      <rPr>
        <b/>
        <sz val="10"/>
        <rFont val="宋体"/>
        <family val="3"/>
        <charset val="134"/>
      </rPr>
      <t>五、</t>
    </r>
  </si>
  <si>
    <r>
      <rPr>
        <b/>
        <sz val="10"/>
        <color indexed="8"/>
        <rFont val="宋体"/>
        <family val="3"/>
        <charset val="134"/>
      </rPr>
      <t>期末余额</t>
    </r>
    <phoneticPr fontId="7" type="noConversion"/>
  </si>
  <si>
    <r>
      <t>1.</t>
    </r>
    <r>
      <rPr>
        <sz val="10"/>
        <color indexed="12"/>
        <rFont val="宋体"/>
        <family val="3"/>
        <charset val="134"/>
      </rPr>
      <t>本科目列示辞退福利中将于资产负债表日起十二个月之后支付的部分、离职后福利中设定受益计划净负债、其他长期职工福利中符合设定受益计划条件的净负债。</t>
    </r>
    <phoneticPr fontId="12" type="noConversion"/>
  </si>
  <si>
    <r>
      <t>2.</t>
    </r>
    <r>
      <rPr>
        <sz val="10"/>
        <color rgb="FF0000FF"/>
        <rFont val="宋体"/>
        <family val="3"/>
        <charset val="134"/>
      </rPr>
      <t>对于设定受益计划还应关注以下事项：</t>
    </r>
    <phoneticPr fontId="12" type="noConversion"/>
  </si>
  <si>
    <r>
      <t>3.</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2" type="noConversion"/>
  </si>
  <si>
    <r>
      <t>4.</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2" type="noConversion"/>
  </si>
  <si>
    <r>
      <rPr>
        <b/>
        <sz val="10"/>
        <color indexed="8"/>
        <rFont val="宋体"/>
        <family val="3"/>
        <charset val="134"/>
      </rPr>
      <t>调整事项说明</t>
    </r>
    <phoneticPr fontId="12" type="noConversion"/>
  </si>
  <si>
    <t>报表项目</t>
    <phoneticPr fontId="12" type="noConversion"/>
  </si>
  <si>
    <t>科目名称</t>
    <phoneticPr fontId="12" type="noConversion"/>
  </si>
  <si>
    <r>
      <rPr>
        <b/>
        <sz val="10"/>
        <rFont val="宋体"/>
        <family val="3"/>
        <charset val="134"/>
      </rPr>
      <t>索引</t>
    </r>
    <phoneticPr fontId="12" type="noConversion"/>
  </si>
  <si>
    <r>
      <rPr>
        <b/>
        <sz val="10"/>
        <rFont val="宋体"/>
        <family val="3"/>
        <charset val="134"/>
      </rPr>
      <t>备注</t>
    </r>
    <phoneticPr fontId="12" type="noConversion"/>
  </si>
  <si>
    <t>长期应付职工薪酬/设定受益计划净资产检查表</t>
    <phoneticPr fontId="12" type="noConversion"/>
  </si>
  <si>
    <t>S12A</t>
    <phoneticPr fontId="12" type="noConversion"/>
  </si>
  <si>
    <t>利用专家的工作</t>
    <phoneticPr fontId="12" type="noConversion"/>
  </si>
  <si>
    <t>评估专家工作</t>
    <phoneticPr fontId="12" type="noConversion"/>
  </si>
  <si>
    <t>S12</t>
    <phoneticPr fontId="12" type="noConversion"/>
  </si>
  <si>
    <t>T1/</t>
    <phoneticPr fontId="7" type="noConversion"/>
  </si>
  <si>
    <t>J2-1
/J2-2</t>
    <phoneticPr fontId="7" type="noConversion"/>
  </si>
  <si>
    <t>J2-4</t>
    <phoneticPr fontId="58" type="noConversion"/>
  </si>
  <si>
    <t>长期应付职工薪酬-设定受益计划净资产审定表</t>
    <phoneticPr fontId="44" type="noConversion"/>
  </si>
  <si>
    <t>长期应付职工薪酬-设定受益计划净资产附注披露信息（上市公司）</t>
    <phoneticPr fontId="44" type="noConversion"/>
  </si>
  <si>
    <t>长期应付职工薪酬-设定受益计划净资产附注披露信息（国有企业）</t>
    <phoneticPr fontId="44" type="noConversion"/>
  </si>
  <si>
    <t>长期应付职工薪酬-设定受益计划净资产明细表</t>
  </si>
  <si>
    <t>长期应付职工薪酬-设定受益计划净资产检查表</t>
  </si>
  <si>
    <t>长期应付职工薪酬实质性程序表</t>
    <phoneticPr fontId="44" type="noConversion"/>
  </si>
  <si>
    <t>调整分录汇总表</t>
    <phoneticPr fontId="44"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</si>
  <si>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</si>
  <si>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</si>
  <si>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r>
      <rPr>
        <sz val="10"/>
        <rFont val="宋体"/>
        <family val="3"/>
        <charset val="134"/>
      </rPr>
      <t>页</t>
    </r>
    <r>
      <rPr>
        <sz val="10"/>
        <rFont val="Arial Narrow"/>
        <family val="2"/>
      </rPr>
      <t xml:space="preserve">   </t>
    </r>
    <r>
      <rPr>
        <sz val="10"/>
        <rFont val="宋体"/>
        <family val="3"/>
        <charset val="134"/>
      </rPr>
      <t>次：</t>
    </r>
    <phoneticPr fontId="44" type="noConversion"/>
  </si>
  <si>
    <t>页  次：</t>
    <phoneticPr fontId="44" type="noConversion"/>
  </si>
  <si>
    <t>如果存在长期带薪缺勤：
(1)根据职工薪酬相关制度分析是否存在长期带薪缺勤、累计带薪缺勤与非累计带薪缺勤分类是否恰当；
（2）检查计提长期带薪缺勤负债的会计处理是否正确，是否将计提金额计入当期损益或相关资产成本；
(3)检查付款时间超过一年的长期带薪缺勤，是否按折现后的金额计量，折现率的选择是否合理。</t>
    <phoneticPr fontId="58" type="noConversion"/>
  </si>
  <si>
    <t>（二）了解精算师资质及利用精算师的工作</t>
    <phoneticPr fontId="12" type="noConversion"/>
  </si>
  <si>
    <t>IPO/上市/新三板/重组/舞弊应对</t>
    <phoneticPr fontId="7" type="noConversion"/>
  </si>
  <si>
    <t>被审计单位：</t>
    <phoneticPr fontId="12" type="noConversion"/>
  </si>
  <si>
    <t>截止日：</t>
    <phoneticPr fontId="12" type="noConversion"/>
  </si>
  <si>
    <t>编制人：</t>
    <phoneticPr fontId="12" type="noConversion"/>
  </si>
  <si>
    <r>
      <t>编制</t>
    </r>
    <r>
      <rPr>
        <sz val="10"/>
        <color indexed="8"/>
        <rFont val="宋体"/>
        <family val="3"/>
        <charset val="134"/>
      </rPr>
      <t>日期：</t>
    </r>
    <phoneticPr fontId="12" type="noConversion"/>
  </si>
  <si>
    <t>复核人：</t>
    <phoneticPr fontId="12" type="noConversion"/>
  </si>
  <si>
    <t>复核日期：</t>
    <phoneticPr fontId="12"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</si>
  <si>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12" type="noConversion"/>
  </si>
  <si>
    <r>
      <rPr>
        <b/>
        <sz val="10"/>
        <rFont val="宋体"/>
        <family val="3"/>
        <charset val="134"/>
      </rPr>
      <t>附注项目</t>
    </r>
    <phoneticPr fontId="12" type="noConversion"/>
  </si>
  <si>
    <r>
      <rPr>
        <b/>
        <sz val="10"/>
        <rFont val="宋体"/>
        <family val="3"/>
        <charset val="134"/>
      </rPr>
      <t>借方调整金额</t>
    </r>
    <phoneticPr fontId="12" type="noConversion"/>
  </si>
  <si>
    <r>
      <rPr>
        <b/>
        <sz val="10"/>
        <rFont val="宋体"/>
        <family val="3"/>
        <charset val="134"/>
      </rPr>
      <t>贷方调整金额</t>
    </r>
    <phoneticPr fontId="12" type="noConversion"/>
  </si>
  <si>
    <r>
      <t xml:space="preserve">B. </t>
    </r>
    <r>
      <rPr>
        <sz val="10"/>
        <rFont val="宋体"/>
        <family val="3"/>
        <charset val="134"/>
      </rPr>
      <t>所有应记录的长期应付职工薪酬均已记录，所有应当包括在财务报表中的相关披露均已包括</t>
    </r>
    <phoneticPr fontId="12" type="noConversion"/>
  </si>
  <si>
    <r>
      <t xml:space="preserve">C. </t>
    </r>
    <r>
      <rPr>
        <sz val="10"/>
        <rFont val="宋体"/>
        <family val="3"/>
        <charset val="134"/>
      </rPr>
      <t>记录的长期应付职工薪酬由被审计单位拥有或控制</t>
    </r>
    <phoneticPr fontId="12" type="noConversion"/>
  </si>
  <si>
    <r>
      <t xml:space="preserve">D. </t>
    </r>
    <r>
      <rPr>
        <sz val="10"/>
        <rFont val="宋体"/>
        <family val="3"/>
        <charset val="134"/>
      </rPr>
      <t>长期应付职工薪酬以恰当的金额包括在财务报表中，与之相关的计价或分摊调整已恰当记录，相关披露已得到恰当计量和描述</t>
    </r>
    <r>
      <rPr>
        <sz val="10"/>
        <rFont val="Arial Narrow"/>
        <family val="2"/>
      </rPr>
      <t xml:space="preserve"> </t>
    </r>
    <phoneticPr fontId="12" type="noConversion"/>
  </si>
  <si>
    <r>
      <t xml:space="preserve">E. </t>
    </r>
    <r>
      <rPr>
        <sz val="10"/>
        <rFont val="宋体"/>
        <family val="3"/>
        <charset val="134"/>
      </rPr>
      <t>长期应付职工薪酬已被恰当地汇总或分解且表述清楚，相关披露在按照企业会计准则的编制基础下是相关的、可理解的</t>
    </r>
    <phoneticPr fontId="12" type="noConversion"/>
  </si>
  <si>
    <t>根据被审计单位实际情况和风险评估情况裁剪、修改或增加审计程序</t>
    <phoneticPr fontId="12" type="noConversion"/>
  </si>
  <si>
    <t>审计程序</t>
    <phoneticPr fontId="7" type="noConversion"/>
  </si>
  <si>
    <t>关于工作底稿与审计程序索引号对应的说明</t>
    <phoneticPr fontId="12"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</si>
  <si>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</si>
  <si>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12"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</si>
  <si>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12" type="noConversion"/>
  </si>
  <si>
    <t>长期应付职工薪酬调整分录汇总表</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</si>
</sst>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_(* #,##0_);_(* \(#,##0\);_(* &quot;-&quot;_);_(@_)"/>
    <numFmt numFmtId="195" formatCode="_(* #,##0.00_);_(* \(#,##0.00\);_(* &quot;-&quot;??_);_(@_)"/>
  </numFmts>
  <fonts count="94">
    <font>
      <sz val="11"/>
      <color theme="1"/>
      <name val="宋体"/>
      <family val="3"/>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scheme val="minor"/>
    </font>
    <font>
      <sz val="12"/>
      <name val="宋体"/>
      <family val="3"/>
      <charset val="134"/>
    </font>
    <font>
      <b/>
      <sz val="10"/>
      <name val="Arial Narrow"/>
      <family val="2"/>
    </font>
    <font>
      <sz val="9"/>
      <name val="宋体"/>
      <family val="2"/>
      <charset val="134"/>
      <scheme val="minor"/>
    </font>
    <font>
      <b/>
      <sz val="12"/>
      <name val="Arial Narrow"/>
      <family val="2"/>
    </font>
    <font>
      <b/>
      <sz val="12"/>
      <name val="宋体"/>
      <family val="3"/>
      <charset val="134"/>
    </font>
    <font>
      <sz val="10"/>
      <name val="Arial Narrow"/>
      <family val="2"/>
    </font>
    <font>
      <sz val="10"/>
      <name val="宋体"/>
      <family val="3"/>
      <charset val="134"/>
    </font>
    <font>
      <sz val="9"/>
      <name val="宋体"/>
      <family val="3"/>
      <charset val="134"/>
    </font>
    <font>
      <sz val="10"/>
      <color indexed="8"/>
      <name val="Arial Narrow"/>
      <family val="2"/>
    </font>
    <font>
      <sz val="10"/>
      <color indexed="8"/>
      <name val="宋体"/>
      <family val="3"/>
      <charset val="134"/>
    </font>
    <font>
      <b/>
      <sz val="10"/>
      <color indexed="10"/>
      <name val="Arial Narrow"/>
      <family val="2"/>
    </font>
    <font>
      <b/>
      <sz val="10"/>
      <name val="宋体"/>
      <family val="3"/>
      <charset val="134"/>
    </font>
    <font>
      <sz val="11"/>
      <color indexed="8"/>
      <name val="宋体"/>
      <family val="3"/>
      <charset val="134"/>
    </font>
    <font>
      <b/>
      <sz val="10"/>
      <color indexed="8"/>
      <name val="Arial Narrow"/>
      <family val="2"/>
    </font>
    <font>
      <sz val="10"/>
      <color indexed="12"/>
      <name val="宋体"/>
      <family val="3"/>
      <charset val="134"/>
    </font>
    <font>
      <sz val="10"/>
      <color indexed="12"/>
      <name val="Arial Narrow"/>
      <family val="2"/>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theme="1"/>
      <name val="Arial Narrow"/>
      <family val="2"/>
    </font>
    <font>
      <b/>
      <sz val="10"/>
      <color theme="1"/>
      <name val="宋体"/>
      <family val="3"/>
      <charset val="134"/>
    </font>
    <font>
      <sz val="10"/>
      <color theme="1"/>
      <name val="Arial Narrow"/>
      <family val="2"/>
    </font>
    <font>
      <sz val="10"/>
      <color theme="1"/>
      <name val="宋体"/>
      <family val="3"/>
      <charset val="134"/>
    </font>
    <font>
      <b/>
      <sz val="10"/>
      <color indexed="8"/>
      <name val="宋体"/>
      <family val="3"/>
      <charset val="134"/>
    </font>
    <font>
      <b/>
      <sz val="10"/>
      <color rgb="FF000000"/>
      <name val="Arial Narrow"/>
      <family val="2"/>
    </font>
    <font>
      <b/>
      <sz val="10"/>
      <color rgb="FF000000"/>
      <name val="宋体"/>
      <family val="3"/>
      <charset val="134"/>
    </font>
    <font>
      <sz val="10"/>
      <color rgb="FF000000"/>
      <name val="Arial Narrow"/>
      <family val="2"/>
    </font>
    <font>
      <sz val="10"/>
      <color rgb="FF000000"/>
      <name val="宋体"/>
      <family val="3"/>
      <charset val="134"/>
    </font>
    <font>
      <sz val="9"/>
      <name val="宋体"/>
      <family val="3"/>
      <charset val="134"/>
      <scheme val="minor"/>
    </font>
    <font>
      <b/>
      <sz val="12"/>
      <color indexed="8"/>
      <name val="宋体"/>
      <family val="3"/>
      <charset val="134"/>
    </font>
    <font>
      <b/>
      <sz val="12"/>
      <color indexed="8"/>
      <name val="Arial Narrow"/>
      <family val="2"/>
    </font>
    <font>
      <i/>
      <sz val="10"/>
      <color indexed="12"/>
      <name val="Arial Narrow"/>
      <family val="2"/>
    </font>
    <font>
      <i/>
      <sz val="10"/>
      <color indexed="12"/>
      <name val="宋体"/>
      <family val="3"/>
      <charset val="134"/>
    </font>
    <font>
      <sz val="10"/>
      <color rgb="FF0000FF"/>
      <name val="Arial Narrow"/>
      <family val="2"/>
    </font>
    <font>
      <sz val="10"/>
      <color rgb="FF0000FF"/>
      <name val="宋体"/>
      <family val="3"/>
      <charset val="134"/>
    </font>
    <font>
      <u/>
      <sz val="11"/>
      <color theme="10"/>
      <name val="宋体"/>
      <family val="3"/>
      <charset val="134"/>
    </font>
    <font>
      <sz val="11"/>
      <color theme="1"/>
      <name val="宋体"/>
      <family val="3"/>
      <charset val="134"/>
      <scheme val="minor"/>
    </font>
    <font>
      <b/>
      <u/>
      <sz val="10"/>
      <color indexed="10"/>
      <name val="Arial Narrow"/>
      <family val="2"/>
    </font>
    <font>
      <sz val="12"/>
      <color theme="1"/>
      <name val="Arial Narrow"/>
      <family val="2"/>
    </font>
    <font>
      <sz val="11"/>
      <color theme="1"/>
      <name val="宋体"/>
      <family val="2"/>
      <charset val="134"/>
      <scheme val="minor"/>
    </font>
    <font>
      <sz val="10"/>
      <color rgb="FF000000"/>
      <name val="微软雅黑"/>
      <family val="3"/>
      <charset val="134"/>
    </font>
    <font>
      <sz val="10"/>
      <color rgb="FF0070C0"/>
      <name val="Arial Narrow"/>
      <family val="2"/>
    </font>
    <font>
      <sz val="9"/>
      <name val="Arial Narrow"/>
      <family val="2"/>
      <charset val="134"/>
    </font>
    <font>
      <sz val="10"/>
      <color theme="1"/>
      <name val="宋体"/>
      <family val="2"/>
      <charset val="134"/>
      <scheme val="minor"/>
    </font>
    <font>
      <sz val="10"/>
      <name val="宋体"/>
      <family val="2"/>
      <charset val="134"/>
    </font>
    <font>
      <sz val="10"/>
      <color theme="1"/>
      <name val="宋体"/>
      <family val="2"/>
      <charset val="134"/>
    </font>
    <font>
      <u/>
      <sz val="12"/>
      <color indexed="12"/>
      <name val="宋体"/>
      <family val="3"/>
      <charset val="134"/>
    </font>
    <font>
      <i/>
      <u/>
      <sz val="10"/>
      <color indexed="12"/>
      <name val="Arial Narrow"/>
      <family val="2"/>
    </font>
    <font>
      <sz val="12"/>
      <name val="Times New Roman"/>
      <family val="1"/>
    </font>
    <font>
      <sz val="10"/>
      <color rgb="FFFF0000"/>
      <name val="Arial Narrow"/>
      <family val="2"/>
    </font>
    <font>
      <u/>
      <sz val="10"/>
      <color theme="10"/>
      <name val="Arial Narrow"/>
      <family val="2"/>
    </font>
    <font>
      <sz val="10"/>
      <color indexed="12"/>
      <name val="仿宋_GB2312"/>
      <family val="3"/>
      <charset val="134"/>
    </font>
    <font>
      <sz val="10"/>
      <color theme="1"/>
      <name val="仿宋_GB2312"/>
      <family val="3"/>
      <charset val="134"/>
    </font>
    <font>
      <sz val="10"/>
      <color rgb="FF0000FF"/>
      <name val="仿宋_GB2312"/>
      <family val="3"/>
      <charset val="134"/>
    </font>
    <font>
      <b/>
      <sz val="10"/>
      <color theme="1"/>
      <name val="仿宋_GB2312"/>
      <family val="3"/>
      <charset val="134"/>
    </font>
    <font>
      <b/>
      <sz val="10"/>
      <color rgb="FF000000"/>
      <name val="仿宋_GB2312"/>
      <family val="3"/>
      <charset val="134"/>
    </font>
    <font>
      <sz val="10"/>
      <color rgb="FF000000"/>
      <name val="仿宋_GB2312"/>
      <family val="3"/>
      <charset val="134"/>
    </font>
    <font>
      <sz val="10"/>
      <color rgb="FFFF0000"/>
      <name val="仿宋_GB2312"/>
      <family val="3"/>
      <charset val="134"/>
    </font>
    <font>
      <b/>
      <sz val="10"/>
      <color rgb="FF0000FF"/>
      <name val="等线"/>
      <family val="3"/>
      <charset val="134"/>
    </font>
    <font>
      <sz val="11"/>
      <color theme="1"/>
      <name val="Arial Narrow"/>
      <family val="2"/>
    </font>
    <font>
      <b/>
      <sz val="12"/>
      <name val="宋体"/>
      <family val="3"/>
      <charset val="134"/>
      <scheme val="minor"/>
    </font>
    <font>
      <sz val="10"/>
      <color rgb="FF0070C0"/>
      <name val="宋体"/>
      <family val="3"/>
      <charset val="134"/>
    </font>
    <font>
      <b/>
      <sz val="11"/>
      <color theme="1"/>
      <name val="Arial Narrow"/>
      <family val="2"/>
    </font>
    <font>
      <b/>
      <sz val="10"/>
      <name val="Arial"/>
      <family val="2"/>
    </font>
    <font>
      <b/>
      <sz val="10"/>
      <color theme="1"/>
      <name val="Arial"/>
      <family val="2"/>
    </font>
    <font>
      <sz val="10"/>
      <name val="Arial Narrow"/>
      <family val="3"/>
      <charset val="134"/>
    </font>
    <font>
      <sz val="10"/>
      <name val="微软雅黑"/>
      <family val="2"/>
      <charset val="134"/>
    </font>
    <font>
      <b/>
      <sz val="10"/>
      <name val="宋体"/>
      <family val="2"/>
      <charset val="134"/>
    </font>
    <font>
      <b/>
      <sz val="10"/>
      <color theme="1"/>
      <name val="宋体"/>
      <family val="2"/>
      <charset val="134"/>
    </font>
    <font>
      <b/>
      <sz val="12"/>
      <color rgb="FF0000FF"/>
      <name val="Arial Narrow"/>
      <family val="2"/>
    </font>
    <font>
      <b/>
      <sz val="12"/>
      <color rgb="FF0000FF"/>
      <name val="宋体"/>
      <family val="3"/>
      <charset val="134"/>
    </font>
    <font>
      <sz val="10"/>
      <color rgb="FFFF0000"/>
      <name val="宋体"/>
      <family val="3"/>
      <charset val="134"/>
    </font>
    <font>
      <b/>
      <sz val="14"/>
      <name val="宋体"/>
      <family val="3"/>
      <charset val="134"/>
    </font>
    <font>
      <sz val="11"/>
      <color rgb="FF0000FF"/>
      <name val="宋体"/>
      <family val="3"/>
      <charset val="134"/>
    </font>
    <font>
      <sz val="10"/>
      <color theme="10"/>
      <name val="Arial Narrow"/>
      <family val="2"/>
    </font>
    <font>
      <b/>
      <sz val="9"/>
      <color indexed="81"/>
      <name val="宋体"/>
      <family val="3"/>
      <charset val="134"/>
    </font>
    <font>
      <sz val="9"/>
      <color indexed="81"/>
      <name val="宋体"/>
      <family val="3"/>
      <charset val="134"/>
    </font>
    <font>
      <sz val="12"/>
      <name val="Arial Narrow"/>
      <family val="2"/>
    </font>
  </fonts>
  <fills count="7">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theme="7" tint="0.79998168889431442"/>
        <bgColor indexed="64"/>
      </patternFill>
    </fill>
    <fill>
      <patternFill patternType="solid">
        <fgColor indexed="14"/>
        <bgColor indexed="64"/>
      </patternFill>
    </fill>
  </fills>
  <borders count="17">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style="hair">
        <color indexed="64"/>
      </right>
      <top style="hair">
        <color indexed="64"/>
      </top>
      <bottom/>
      <diagonal/>
    </border>
    <border>
      <left/>
      <right style="hair">
        <color indexed="64"/>
      </right>
      <top/>
      <bottom style="hair">
        <color indexed="64"/>
      </bottom>
      <diagonal/>
    </border>
    <border>
      <left/>
      <right/>
      <top/>
      <bottom style="hair">
        <color indexed="64"/>
      </bottom>
      <diagonal/>
    </border>
    <border>
      <left/>
      <right/>
      <top style="hair">
        <color indexed="64"/>
      </top>
      <bottom/>
      <diagonal/>
    </border>
    <border>
      <left style="hair">
        <color indexed="64"/>
      </left>
      <right/>
      <top/>
      <bottom/>
      <diagonal/>
    </border>
  </borders>
  <cellStyleXfs count="68">
    <xf numFmtId="0" fontId="0" fillId="0" borderId="0">
      <alignment vertical="center"/>
    </xf>
    <xf numFmtId="43" fontId="1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pplyFill="0" applyBorder="0"/>
    <xf numFmtId="49" fontId="21" fillId="0" borderId="0" applyProtection="0">
      <alignment horizontal="left"/>
    </xf>
    <xf numFmtId="176" fontId="21" fillId="0" borderId="0" applyFill="0" applyBorder="0" applyProtection="0">
      <alignment horizontal="right"/>
    </xf>
    <xf numFmtId="177" fontId="21" fillId="0" borderId="0" applyFill="0" applyBorder="0" applyProtection="0">
      <alignment horizontal="right"/>
    </xf>
    <xf numFmtId="178" fontId="22" fillId="0" borderId="0" applyFill="0" applyBorder="0" applyProtection="0">
      <alignment horizontal="center"/>
    </xf>
    <xf numFmtId="179" fontId="22" fillId="0" borderId="0" applyFill="0" applyBorder="0" applyProtection="0">
      <alignment horizontal="center"/>
    </xf>
    <xf numFmtId="180" fontId="23" fillId="0" borderId="0" applyFill="0" applyBorder="0" applyProtection="0">
      <alignment horizontal="right"/>
    </xf>
    <xf numFmtId="181" fontId="21" fillId="0" borderId="0" applyFill="0" applyBorder="0" applyProtection="0">
      <alignment horizontal="right"/>
    </xf>
    <xf numFmtId="182" fontId="21" fillId="0" borderId="0" applyFill="0" applyBorder="0" applyProtection="0">
      <alignment horizontal="right"/>
    </xf>
    <xf numFmtId="183" fontId="21" fillId="0" borderId="0" applyFill="0" applyBorder="0" applyProtection="0">
      <alignment horizontal="right"/>
    </xf>
    <xf numFmtId="184" fontId="21" fillId="0" borderId="0" applyFill="0" applyBorder="0" applyProtection="0">
      <alignment horizontal="right"/>
    </xf>
    <xf numFmtId="3" fontId="24" fillId="0" borderId="0"/>
    <xf numFmtId="185" fontId="25" fillId="0" borderId="5" applyAlignment="0" applyProtection="0"/>
    <xf numFmtId="186" fontId="26" fillId="0" borderId="0" applyFont="0" applyFill="0" applyBorder="0" applyAlignment="0" applyProtection="0"/>
    <xf numFmtId="187" fontId="26" fillId="0" borderId="0" applyFont="0" applyFill="0" applyBorder="0" applyAlignment="0" applyProtection="0"/>
    <xf numFmtId="188" fontId="26" fillId="0" borderId="0" applyFont="0" applyFill="0" applyBorder="0" applyAlignment="0" applyProtection="0"/>
    <xf numFmtId="189" fontId="26" fillId="0" borderId="0" applyFont="0" applyFill="0" applyBorder="0" applyAlignment="0" applyProtection="0"/>
    <xf numFmtId="41" fontId="26" fillId="0" borderId="0" applyFont="0" applyFill="0" applyBorder="0" applyAlignment="0" applyProtection="0"/>
    <xf numFmtId="43" fontId="26" fillId="0" borderId="0" applyFont="0" applyFill="0" applyBorder="0" applyAlignment="0" applyProtection="0"/>
    <xf numFmtId="190" fontId="21" fillId="0" borderId="0" applyFont="0" applyFill="0" applyBorder="0" applyAlignment="0" applyProtection="0"/>
    <xf numFmtId="0" fontId="27" fillId="0" borderId="0" applyNumberFormat="0" applyFill="0" applyBorder="0" applyAlignment="0" applyProtection="0">
      <alignment vertical="top"/>
      <protection locked="0"/>
    </xf>
    <xf numFmtId="38" fontId="28" fillId="2" borderId="0" applyNumberFormat="0" applyBorder="0" applyAlignment="0" applyProtection="0"/>
    <xf numFmtId="0" fontId="29" fillId="0" borderId="0" applyNumberFormat="0" applyFill="0" applyBorder="0" applyAlignment="0" applyProtection="0">
      <alignment vertical="top"/>
      <protection locked="0"/>
    </xf>
    <xf numFmtId="10" fontId="28" fillId="3" borderId="6" applyNumberFormat="0" applyBorder="0" applyAlignment="0" applyProtection="0"/>
    <xf numFmtId="191" fontId="5" fillId="0" borderId="0" applyFont="0" applyFill="0" applyBorder="0" applyAlignment="0" applyProtection="0"/>
    <xf numFmtId="192" fontId="5" fillId="0" borderId="0" applyFont="0" applyFill="0" applyBorder="0" applyAlignment="0" applyProtection="0"/>
    <xf numFmtId="0" fontId="30" fillId="0" borderId="0"/>
    <xf numFmtId="193" fontId="5" fillId="0" borderId="0"/>
    <xf numFmtId="0" fontId="31" fillId="0" borderId="0"/>
    <xf numFmtId="10" fontId="26" fillId="0" borderId="0" applyFont="0" applyFill="0" applyBorder="0" applyAlignment="0" applyProtection="0"/>
    <xf numFmtId="3" fontId="32" fillId="0" borderId="0"/>
    <xf numFmtId="9" fontId="5" fillId="0" borderId="0" applyFont="0" applyFill="0" applyBorder="0" applyAlignment="0" applyProtection="0"/>
    <xf numFmtId="0" fontId="5" fillId="0" borderId="0">
      <protection locked="0"/>
    </xf>
    <xf numFmtId="0" fontId="5" fillId="0" borderId="0"/>
    <xf numFmtId="0" fontId="33" fillId="0" borderId="0"/>
    <xf numFmtId="194" fontId="5" fillId="0" borderId="0" applyFont="0" applyFill="0" applyBorder="0" applyAlignment="0" applyProtection="0"/>
    <xf numFmtId="195" fontId="5"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43" fontId="5" fillId="0" borderId="0" applyFont="0" applyFill="0" applyBorder="0" applyAlignment="0" applyProtection="0"/>
    <xf numFmtId="0" fontId="5" fillId="0" borderId="0">
      <alignment vertical="center"/>
    </xf>
    <xf numFmtId="0" fontId="5" fillId="0" borderId="0">
      <alignment vertical="center"/>
    </xf>
    <xf numFmtId="0" fontId="51" fillId="0" borderId="0" applyNumberFormat="0" applyFill="0" applyBorder="0" applyAlignment="0" applyProtection="0">
      <alignment vertical="top"/>
      <protection locked="0"/>
    </xf>
    <xf numFmtId="9" fontId="52" fillId="0" borderId="0" applyFont="0" applyFill="0" applyBorder="0" applyAlignment="0" applyProtection="0">
      <alignment vertical="center"/>
    </xf>
    <xf numFmtId="190" fontId="52" fillId="0" borderId="0">
      <alignment vertical="center"/>
    </xf>
    <xf numFmtId="0" fontId="5" fillId="0" borderId="0">
      <alignment vertical="center"/>
    </xf>
    <xf numFmtId="0" fontId="5" fillId="0" borderId="0">
      <protection locked="0"/>
    </xf>
    <xf numFmtId="190" fontId="5" fillId="0" borderId="0">
      <alignment vertical="center"/>
    </xf>
    <xf numFmtId="190" fontId="55" fillId="0" borderId="0">
      <alignment vertical="center"/>
    </xf>
    <xf numFmtId="0" fontId="5" fillId="0" borderId="0">
      <protection locked="0"/>
    </xf>
    <xf numFmtId="0" fontId="55" fillId="0" borderId="0">
      <alignment vertical="center"/>
    </xf>
    <xf numFmtId="0" fontId="59" fillId="0" borderId="0">
      <alignment vertical="center"/>
    </xf>
    <xf numFmtId="0" fontId="4" fillId="0" borderId="0"/>
    <xf numFmtId="0" fontId="5" fillId="0" borderId="0">
      <protection locked="0"/>
    </xf>
    <xf numFmtId="0" fontId="5" fillId="0" borderId="0">
      <protection locked="0"/>
    </xf>
    <xf numFmtId="190" fontId="5" fillId="0" borderId="0"/>
    <xf numFmtId="0" fontId="62" fillId="0" borderId="0" applyNumberFormat="0" applyFill="0" applyBorder="0" applyAlignment="0" applyProtection="0">
      <alignment vertical="top"/>
      <protection locked="0"/>
    </xf>
    <xf numFmtId="0" fontId="64" fillId="0" borderId="0"/>
    <xf numFmtId="9" fontId="5" fillId="0" borderId="0" applyFont="0" applyFill="0" applyBorder="0" applyAlignment="0" applyProtection="0"/>
    <xf numFmtId="190" fontId="3" fillId="0" borderId="0">
      <alignment vertical="center"/>
    </xf>
    <xf numFmtId="0" fontId="5" fillId="0" borderId="0">
      <alignment vertical="center"/>
    </xf>
    <xf numFmtId="190" fontId="2" fillId="0" borderId="0">
      <alignment vertical="center"/>
    </xf>
    <xf numFmtId="0" fontId="2" fillId="0" borderId="0">
      <alignment vertical="center"/>
    </xf>
    <xf numFmtId="190" fontId="1" fillId="0" borderId="0">
      <alignment vertical="center"/>
    </xf>
  </cellStyleXfs>
  <cellXfs count="429">
    <xf numFmtId="0" fontId="0" fillId="0" borderId="0" xfId="0">
      <alignment vertical="center"/>
    </xf>
    <xf numFmtId="0" fontId="6" fillId="0" borderId="0" xfId="2" applyFont="1" applyAlignment="1">
      <alignment vertical="center" wrapText="1"/>
    </xf>
    <xf numFmtId="0" fontId="8" fillId="0" borderId="0" xfId="2" applyFont="1" applyAlignment="1">
      <alignment vertical="center" wrapText="1"/>
    </xf>
    <xf numFmtId="0" fontId="10" fillId="0" borderId="0" xfId="0" applyFont="1" applyProtection="1">
      <alignment vertical="center"/>
      <protection locked="0"/>
    </xf>
    <xf numFmtId="0" fontId="10" fillId="0" borderId="0" xfId="0" applyFont="1" applyAlignment="1" applyProtection="1">
      <alignment vertical="center" wrapText="1"/>
      <protection locked="0"/>
    </xf>
    <xf numFmtId="0" fontId="13" fillId="0" borderId="0" xfId="0" applyFont="1">
      <alignment vertical="center"/>
    </xf>
    <xf numFmtId="0" fontId="6" fillId="0" borderId="0" xfId="3" applyFont="1" applyAlignment="1">
      <alignment vertical="center" wrapText="1"/>
    </xf>
    <xf numFmtId="0" fontId="10" fillId="0" borderId="0" xfId="3" applyFont="1" applyAlignment="1">
      <alignment vertical="center" wrapText="1"/>
    </xf>
    <xf numFmtId="43" fontId="20" fillId="0" borderId="0" xfId="4" applyNumberFormat="1" applyFont="1" applyBorder="1" applyAlignment="1">
      <alignment vertical="center"/>
    </xf>
    <xf numFmtId="0" fontId="10" fillId="0" borderId="1" xfId="0" applyFont="1" applyBorder="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0" xfId="0" applyFont="1" applyAlignment="1" applyProtection="1">
      <alignment vertical="center" wrapText="1"/>
      <protection locked="0"/>
    </xf>
    <xf numFmtId="0" fontId="37" fillId="0" borderId="0" xfId="0" applyFont="1" applyAlignment="1">
      <alignment vertical="center" wrapText="1"/>
    </xf>
    <xf numFmtId="43" fontId="20" fillId="0" borderId="0" xfId="4" applyNumberFormat="1" applyFont="1" applyBorder="1" applyAlignment="1">
      <alignment horizontal="right" vertical="center"/>
    </xf>
    <xf numFmtId="0" fontId="13" fillId="0" borderId="0" xfId="0" applyFont="1" applyAlignment="1" applyProtection="1">
      <alignment horizontal="left" vertical="center" wrapText="1" indent="1"/>
      <protection locked="0"/>
    </xf>
    <xf numFmtId="0" fontId="6" fillId="0" borderId="0" xfId="0" applyFont="1" applyProtection="1">
      <alignment vertical="center"/>
      <protection locked="0"/>
    </xf>
    <xf numFmtId="0" fontId="6" fillId="0" borderId="0" xfId="3" applyFont="1" applyAlignment="1">
      <alignment horizontal="left" vertical="center" wrapText="1"/>
    </xf>
    <xf numFmtId="0" fontId="35" fillId="0" borderId="0" xfId="0" applyFont="1" applyAlignment="1">
      <alignment horizontal="right" vertical="center" wrapText="1"/>
    </xf>
    <xf numFmtId="0" fontId="42" fillId="0" borderId="1" xfId="0" applyFont="1" applyBorder="1" applyAlignment="1">
      <alignment horizontal="right" vertical="center" wrapText="1"/>
    </xf>
    <xf numFmtId="0" fontId="35" fillId="0" borderId="0" xfId="0" applyFont="1" applyAlignment="1">
      <alignment horizontal="center" vertical="center" wrapText="1"/>
    </xf>
    <xf numFmtId="0" fontId="6" fillId="0" borderId="0" xfId="0" applyFont="1" applyAlignment="1" applyProtection="1">
      <alignment horizontal="center" vertical="center" wrapText="1"/>
      <protection locked="0"/>
    </xf>
    <xf numFmtId="43" fontId="42" fillId="0" borderId="1" xfId="1" applyFont="1" applyBorder="1" applyAlignment="1">
      <alignment horizontal="right" vertical="center" wrapText="1"/>
    </xf>
    <xf numFmtId="0" fontId="13" fillId="0" borderId="0" xfId="0" applyFont="1" applyAlignment="1">
      <alignment horizontal="center" vertical="center"/>
    </xf>
    <xf numFmtId="0" fontId="6" fillId="0" borderId="0" xfId="2" applyFont="1">
      <alignment vertical="center"/>
    </xf>
    <xf numFmtId="0" fontId="8" fillId="0" borderId="0" xfId="2" applyFont="1">
      <alignment vertical="center"/>
    </xf>
    <xf numFmtId="0" fontId="10" fillId="0" borderId="0" xfId="44" applyFont="1">
      <alignment vertical="center"/>
    </xf>
    <xf numFmtId="0" fontId="10" fillId="0" borderId="0" xfId="0" applyFont="1" applyAlignment="1" applyProtection="1">
      <alignment horizontal="justify" vertical="center" wrapText="1"/>
      <protection locked="0"/>
    </xf>
    <xf numFmtId="0" fontId="10" fillId="0" borderId="0" xfId="0" applyFont="1" applyAlignment="1" applyProtection="1">
      <protection locked="0"/>
    </xf>
    <xf numFmtId="0" fontId="6" fillId="0" borderId="1" xfId="0" applyFont="1" applyBorder="1" applyAlignment="1" applyProtection="1">
      <alignment horizontal="center" vertical="center"/>
      <protection locked="0"/>
    </xf>
    <xf numFmtId="43" fontId="13" fillId="4" borderId="1" xfId="1" applyFont="1" applyFill="1" applyBorder="1" applyAlignment="1">
      <alignment horizontal="right" vertical="center"/>
    </xf>
    <xf numFmtId="0" fontId="18" fillId="4" borderId="0" xfId="0" applyFont="1" applyFill="1" applyAlignment="1" applyProtection="1">
      <alignment horizontal="centerContinuous" vertical="center"/>
      <protection locked="0"/>
    </xf>
    <xf numFmtId="43" fontId="6" fillId="0" borderId="0" xfId="1" applyFont="1" applyFill="1" applyBorder="1" applyAlignment="1">
      <alignment vertical="center"/>
    </xf>
    <xf numFmtId="0" fontId="6" fillId="0" borderId="0" xfId="0" applyFont="1" applyAlignment="1" applyProtection="1">
      <alignment horizontal="center" vertical="center"/>
      <protection locked="0"/>
    </xf>
    <xf numFmtId="0" fontId="18" fillId="0" borderId="0" xfId="0" applyFont="1" applyAlignment="1" applyProtection="1">
      <alignment horizontal="centerContinuous" vertical="center"/>
      <protection locked="0"/>
    </xf>
    <xf numFmtId="43" fontId="13" fillId="0" borderId="1" xfId="1" applyFont="1" applyFill="1" applyBorder="1" applyAlignment="1">
      <alignment horizontal="right" vertical="center"/>
    </xf>
    <xf numFmtId="43" fontId="40" fillId="0" borderId="0" xfId="1" applyFont="1" applyBorder="1" applyAlignment="1">
      <alignment horizontal="right" vertical="center" wrapText="1"/>
    </xf>
    <xf numFmtId="0" fontId="47" fillId="0" borderId="0" xfId="0" applyFont="1" applyAlignment="1" applyProtection="1">
      <protection locked="0"/>
    </xf>
    <xf numFmtId="0" fontId="20" fillId="0" borderId="0" xfId="0" applyFont="1" applyAlignment="1" applyProtection="1">
      <protection locked="0"/>
    </xf>
    <xf numFmtId="0" fontId="49" fillId="0" borderId="0" xfId="0" applyFont="1" applyAlignment="1" applyProtection="1">
      <protection locked="0"/>
    </xf>
    <xf numFmtId="0" fontId="6" fillId="0" borderId="0" xfId="45" applyFont="1">
      <alignment vertical="center"/>
    </xf>
    <xf numFmtId="0" fontId="8" fillId="0" borderId="0" xfId="45" applyFont="1">
      <alignment vertical="center"/>
    </xf>
    <xf numFmtId="0" fontId="10" fillId="0" borderId="0" xfId="36" applyFont="1" applyAlignment="1">
      <alignment vertical="center"/>
      <protection locked="0"/>
    </xf>
    <xf numFmtId="0" fontId="15" fillId="0" borderId="0" xfId="36" applyFont="1" applyAlignment="1">
      <alignment vertical="center"/>
      <protection locked="0"/>
    </xf>
    <xf numFmtId="0" fontId="10" fillId="0" borderId="0" xfId="36" applyFont="1" applyAlignment="1">
      <alignment horizontal="justify" vertical="center" wrapText="1"/>
      <protection locked="0"/>
    </xf>
    <xf numFmtId="0" fontId="10" fillId="0" borderId="0" xfId="36" applyFont="1" applyAlignment="1">
      <alignment horizontal="center" vertical="center"/>
      <protection locked="0"/>
    </xf>
    <xf numFmtId="0" fontId="10" fillId="0" borderId="0" xfId="36" applyFont="1" applyAlignment="1">
      <alignment horizontal="center" vertical="center" wrapText="1"/>
      <protection locked="0"/>
    </xf>
    <xf numFmtId="0" fontId="10" fillId="0" borderId="1" xfId="36" applyFont="1" applyBorder="1" applyAlignment="1">
      <alignment vertical="center"/>
      <protection locked="0"/>
    </xf>
    <xf numFmtId="0" fontId="6" fillId="0" borderId="0" xfId="36" applyFont="1" applyAlignment="1">
      <alignment horizontal="center" vertical="center"/>
      <protection locked="0"/>
    </xf>
    <xf numFmtId="0" fontId="6" fillId="0" borderId="0" xfId="36" applyFont="1" applyAlignment="1">
      <alignment horizontal="center" vertical="center" wrapText="1"/>
      <protection locked="0"/>
    </xf>
    <xf numFmtId="0" fontId="49" fillId="0" borderId="0" xfId="36" applyFont="1" applyAlignment="1">
      <alignment vertical="center"/>
      <protection locked="0"/>
    </xf>
    <xf numFmtId="0" fontId="49" fillId="0" borderId="0" xfId="36" applyFont="1">
      <protection locked="0"/>
    </xf>
    <xf numFmtId="0" fontId="10" fillId="0" borderId="0" xfId="36" applyFont="1">
      <protection locked="0"/>
    </xf>
    <xf numFmtId="0" fontId="18" fillId="0" borderId="0" xfId="0" applyFont="1" applyAlignment="1">
      <alignment horizontal="center" vertical="center"/>
    </xf>
    <xf numFmtId="0" fontId="18" fillId="0" borderId="6" xfId="0" applyFont="1" applyBorder="1" applyAlignment="1">
      <alignment horizontal="center" vertical="center"/>
    </xf>
    <xf numFmtId="0" fontId="13" fillId="0" borderId="6" xfId="0" applyFont="1" applyBorder="1" applyAlignment="1">
      <alignment horizontal="center" vertical="center"/>
    </xf>
    <xf numFmtId="0" fontId="49" fillId="0" borderId="0" xfId="0" applyFont="1" applyAlignment="1">
      <alignment horizontal="left" vertical="center"/>
    </xf>
    <xf numFmtId="190" fontId="18" fillId="5" borderId="1" xfId="48" applyFont="1" applyFill="1" applyBorder="1" applyAlignment="1" applyProtection="1">
      <alignment horizontal="center" vertical="center"/>
      <protection locked="0"/>
    </xf>
    <xf numFmtId="0" fontId="10" fillId="0" borderId="1" xfId="0" applyFont="1" applyBorder="1" applyAlignment="1" applyProtection="1">
      <protection locked="0"/>
    </xf>
    <xf numFmtId="190" fontId="18" fillId="5" borderId="2" xfId="48" applyFont="1" applyFill="1" applyBorder="1" applyAlignment="1" applyProtection="1">
      <alignment horizontal="center" vertical="center"/>
      <protection locked="0"/>
    </xf>
    <xf numFmtId="0" fontId="13" fillId="0" borderId="0" xfId="0" applyFont="1" applyAlignment="1" applyProtection="1">
      <alignment vertical="center" wrapText="1"/>
      <protection locked="0"/>
    </xf>
    <xf numFmtId="0" fontId="6" fillId="0" borderId="0" xfId="0" applyFont="1" applyAlignment="1" applyProtection="1">
      <alignment horizontal="left" vertical="center"/>
      <protection locked="0"/>
    </xf>
    <xf numFmtId="0" fontId="18" fillId="0" borderId="0" xfId="0" applyFont="1" applyAlignment="1" applyProtection="1">
      <alignment horizontal="left" vertical="center"/>
      <protection locked="0"/>
    </xf>
    <xf numFmtId="0" fontId="18" fillId="5" borderId="1" xfId="0" applyFont="1" applyFill="1" applyBorder="1" applyAlignment="1" applyProtection="1">
      <alignment horizontal="centerContinuous" vertical="center"/>
      <protection locked="0"/>
    </xf>
    <xf numFmtId="0" fontId="18" fillId="0" borderId="0" xfId="36" applyFont="1" applyAlignment="1" applyProtection="1">
      <alignment vertical="center"/>
    </xf>
    <xf numFmtId="0" fontId="53" fillId="0" borderId="0" xfId="36" applyFont="1" applyAlignment="1" applyProtection="1">
      <alignment horizontal="center"/>
    </xf>
    <xf numFmtId="0" fontId="6" fillId="0" borderId="0" xfId="36" applyFont="1" applyAlignment="1" applyProtection="1">
      <alignment horizontal="left" vertical="center"/>
    </xf>
    <xf numFmtId="0" fontId="10" fillId="0" borderId="0" xfId="36" applyFont="1" applyAlignment="1" applyProtection="1">
      <alignment vertical="center"/>
    </xf>
    <xf numFmtId="0" fontId="18" fillId="5" borderId="1" xfId="0" applyFont="1" applyFill="1" applyBorder="1" applyAlignment="1" applyProtection="1">
      <alignment horizontal="center" vertical="center"/>
      <protection locked="0"/>
    </xf>
    <xf numFmtId="0" fontId="18" fillId="5" borderId="1" xfId="0" applyFont="1" applyFill="1" applyBorder="1" applyAlignment="1" applyProtection="1">
      <alignment horizontal="center" vertical="center" wrapText="1"/>
      <protection locked="0"/>
    </xf>
    <xf numFmtId="0" fontId="40" fillId="5" borderId="1" xfId="0" applyFont="1" applyFill="1" applyBorder="1" applyAlignment="1">
      <alignment horizontal="center" vertical="center" wrapText="1"/>
    </xf>
    <xf numFmtId="0" fontId="10" fillId="5" borderId="1" xfId="0" applyFont="1" applyFill="1" applyBorder="1" applyAlignment="1" applyProtection="1">
      <alignment horizontal="center" vertical="center"/>
      <protection locked="0"/>
    </xf>
    <xf numFmtId="0" fontId="42" fillId="0" borderId="1" xfId="0" quotePrefix="1" applyFont="1" applyBorder="1" applyAlignment="1">
      <alignment horizontal="right" vertical="center" wrapText="1"/>
    </xf>
    <xf numFmtId="0" fontId="6" fillId="5" borderId="1" xfId="0" applyFont="1" applyFill="1" applyBorder="1" applyAlignment="1" applyProtection="1">
      <alignment horizontal="center" vertical="center"/>
      <protection locked="0"/>
    </xf>
    <xf numFmtId="0" fontId="35" fillId="5" borderId="1" xfId="0" applyFont="1" applyFill="1" applyBorder="1" applyAlignment="1">
      <alignment horizontal="center" vertical="center" wrapText="1"/>
    </xf>
    <xf numFmtId="0" fontId="40" fillId="5" borderId="1" xfId="0" applyFont="1" applyFill="1" applyBorder="1" applyAlignment="1">
      <alignment horizontal="center" vertical="center"/>
    </xf>
    <xf numFmtId="0" fontId="13" fillId="5" borderId="1" xfId="0" applyFont="1" applyFill="1" applyBorder="1" applyAlignment="1" applyProtection="1">
      <alignment horizontal="left" vertical="center" wrapText="1" indent="1"/>
      <protection locked="0"/>
    </xf>
    <xf numFmtId="0" fontId="6" fillId="5" borderId="1" xfId="0" applyFont="1" applyFill="1" applyBorder="1" applyAlignment="1" applyProtection="1">
      <alignment horizontal="center" vertical="center" wrapText="1"/>
      <protection locked="0"/>
    </xf>
    <xf numFmtId="0" fontId="10" fillId="0" borderId="0" xfId="49" applyFont="1">
      <alignment vertical="center"/>
    </xf>
    <xf numFmtId="0" fontId="35" fillId="0" borderId="14" xfId="0" applyFont="1" applyBorder="1" applyAlignment="1">
      <alignment horizontal="center" vertical="center" wrapText="1"/>
    </xf>
    <xf numFmtId="0" fontId="6" fillId="0" borderId="14" xfId="0" applyFont="1" applyBorder="1" applyAlignment="1" applyProtection="1">
      <alignment horizontal="center" vertical="center" wrapText="1"/>
      <protection locked="0"/>
    </xf>
    <xf numFmtId="0" fontId="10" fillId="0" borderId="0" xfId="36" applyFont="1" applyAlignment="1">
      <alignment horizontal="right" vertical="center"/>
      <protection locked="0"/>
    </xf>
    <xf numFmtId="0" fontId="6" fillId="0" borderId="0" xfId="36" applyFont="1" applyAlignment="1">
      <alignment vertical="center"/>
      <protection locked="0"/>
    </xf>
    <xf numFmtId="0" fontId="6" fillId="5" borderId="1" xfId="36" applyFont="1" applyFill="1" applyBorder="1" applyAlignment="1">
      <alignment horizontal="center" vertical="center"/>
      <protection locked="0"/>
    </xf>
    <xf numFmtId="0" fontId="6" fillId="5" borderId="1" xfId="36" applyFont="1" applyFill="1" applyBorder="1" applyAlignment="1">
      <alignment horizontal="center" vertical="center" wrapText="1"/>
      <protection locked="0"/>
    </xf>
    <xf numFmtId="0" fontId="6" fillId="0" borderId="1" xfId="36" applyFont="1" applyBorder="1" applyAlignment="1">
      <alignment horizontal="center" vertical="center" wrapText="1"/>
      <protection locked="0"/>
    </xf>
    <xf numFmtId="190" fontId="6" fillId="0" borderId="0" xfId="48" applyFont="1" applyProtection="1">
      <alignment vertical="center"/>
      <protection locked="0"/>
    </xf>
    <xf numFmtId="0" fontId="10" fillId="0" borderId="1" xfId="36" applyFont="1" applyBorder="1" applyAlignment="1">
      <alignment horizontal="center" vertical="center"/>
      <protection locked="0"/>
    </xf>
    <xf numFmtId="43" fontId="10" fillId="0" borderId="1" xfId="1" applyFont="1" applyBorder="1" applyAlignment="1" applyProtection="1">
      <protection locked="0"/>
    </xf>
    <xf numFmtId="43" fontId="6" fillId="0" borderId="1" xfId="1" applyFont="1" applyBorder="1" applyAlignment="1" applyProtection="1">
      <alignment horizontal="center" vertical="center"/>
      <protection locked="0"/>
    </xf>
    <xf numFmtId="0" fontId="37" fillId="0" borderId="1" xfId="0" applyFont="1" applyBorder="1" applyAlignment="1">
      <alignment horizontal="right" vertical="center" wrapText="1"/>
    </xf>
    <xf numFmtId="0" fontId="35" fillId="0" borderId="1" xfId="0" applyFont="1" applyBorder="1" applyAlignment="1">
      <alignment horizontal="right" vertical="center" wrapText="1"/>
    </xf>
    <xf numFmtId="9" fontId="37" fillId="0" borderId="1" xfId="0" applyNumberFormat="1" applyFont="1" applyBorder="1" applyAlignment="1">
      <alignment horizontal="right" vertical="center" wrapText="1"/>
    </xf>
    <xf numFmtId="9" fontId="35" fillId="0" borderId="1" xfId="0" applyNumberFormat="1" applyFont="1" applyBorder="1" applyAlignment="1">
      <alignment horizontal="right" vertical="center" wrapText="1"/>
    </xf>
    <xf numFmtId="0" fontId="37" fillId="0" borderId="8" xfId="0" applyFont="1" applyBorder="1" applyAlignment="1">
      <alignment horizontal="right" vertical="center" wrapText="1"/>
    </xf>
    <xf numFmtId="43" fontId="37" fillId="0" borderId="8" xfId="1" applyFont="1" applyBorder="1" applyAlignment="1">
      <alignment horizontal="right" vertical="center" wrapText="1"/>
    </xf>
    <xf numFmtId="43" fontId="37" fillId="0" borderId="1" xfId="1" applyFont="1" applyBorder="1" applyAlignment="1">
      <alignment horizontal="right" vertical="center" wrapText="1"/>
    </xf>
    <xf numFmtId="43" fontId="42" fillId="0" borderId="1" xfId="1" applyFont="1" applyFill="1" applyBorder="1" applyAlignment="1">
      <alignment horizontal="right" vertical="center" wrapText="1"/>
    </xf>
    <xf numFmtId="0" fontId="13" fillId="0" borderId="1" xfId="0" applyFont="1" applyBorder="1" applyAlignment="1" applyProtection="1">
      <alignment vertical="center" wrapText="1"/>
      <protection locked="0"/>
    </xf>
    <xf numFmtId="0" fontId="13" fillId="0" borderId="1" xfId="0" applyFont="1" applyBorder="1" applyAlignment="1" applyProtection="1">
      <alignment horizontal="left" vertical="center" wrapText="1" indent="1"/>
      <protection locked="0"/>
    </xf>
    <xf numFmtId="0" fontId="40" fillId="0" borderId="1" xfId="0" applyFont="1" applyBorder="1" applyAlignment="1">
      <alignment horizontal="left" vertical="center"/>
    </xf>
    <xf numFmtId="0" fontId="42" fillId="0" borderId="1" xfId="0" applyFont="1" applyBorder="1" applyAlignment="1">
      <alignment horizontal="left" vertical="center"/>
    </xf>
    <xf numFmtId="0" fontId="40" fillId="0" borderId="1" xfId="0" applyFont="1" applyBorder="1" applyAlignment="1">
      <alignment horizontal="justify" vertical="center" wrapText="1"/>
    </xf>
    <xf numFmtId="0" fontId="35" fillId="0" borderId="1" xfId="0" applyFont="1" applyBorder="1" applyAlignment="1">
      <alignment horizontal="justify" vertical="center" wrapText="1"/>
    </xf>
    <xf numFmtId="0" fontId="37" fillId="0" borderId="1" xfId="0" applyFont="1" applyBorder="1" applyAlignment="1">
      <alignment horizontal="justify" vertical="center" wrapText="1"/>
    </xf>
    <xf numFmtId="0" fontId="37" fillId="0" borderId="8" xfId="0" applyFont="1" applyBorder="1" applyAlignment="1">
      <alignment horizontal="justify" vertical="center" wrapText="1"/>
    </xf>
    <xf numFmtId="14" fontId="10" fillId="0" borderId="0" xfId="0" applyNumberFormat="1" applyFont="1" applyProtection="1">
      <alignment vertical="center"/>
      <protection locked="0"/>
    </xf>
    <xf numFmtId="14" fontId="13" fillId="0" borderId="0" xfId="0" applyNumberFormat="1" applyFont="1">
      <alignment vertical="center"/>
    </xf>
    <xf numFmtId="0" fontId="18" fillId="0" borderId="0" xfId="0" applyFont="1">
      <alignment vertical="center"/>
    </xf>
    <xf numFmtId="0" fontId="46" fillId="0" borderId="0" xfId="0" applyFont="1">
      <alignment vertical="center"/>
    </xf>
    <xf numFmtId="0" fontId="13" fillId="0" borderId="0" xfId="0" applyFont="1" applyAlignment="1">
      <alignment horizontal="left" vertical="center"/>
    </xf>
    <xf numFmtId="0" fontId="15" fillId="0" borderId="0" xfId="0" applyFont="1">
      <alignment vertical="center"/>
    </xf>
    <xf numFmtId="0" fontId="13" fillId="0" borderId="1" xfId="0" applyFont="1" applyBorder="1" applyAlignment="1" applyProtection="1">
      <alignment horizontal="center" vertical="center"/>
      <protection locked="0"/>
    </xf>
    <xf numFmtId="0" fontId="10" fillId="0" borderId="1" xfId="0" applyFont="1" applyBorder="1" applyProtection="1">
      <alignment vertical="center"/>
      <protection locked="0"/>
    </xf>
    <xf numFmtId="0" fontId="10" fillId="0" borderId="1" xfId="0" applyFont="1" applyBorder="1" applyAlignment="1" applyProtection="1">
      <alignment horizontal="left" vertical="center" indent="1"/>
      <protection locked="0"/>
    </xf>
    <xf numFmtId="0" fontId="10" fillId="0" borderId="1" xfId="0" applyFont="1" applyBorder="1" applyAlignment="1" applyProtection="1">
      <alignment horizontal="center" vertical="center"/>
      <protection locked="0"/>
    </xf>
    <xf numFmtId="190" fontId="37" fillId="0" borderId="0" xfId="52" applyFont="1">
      <alignment vertical="center"/>
    </xf>
    <xf numFmtId="190" fontId="10" fillId="0" borderId="0" xfId="52" applyFont="1" applyProtection="1">
      <alignment vertical="center"/>
      <protection locked="0"/>
    </xf>
    <xf numFmtId="0" fontId="10" fillId="0" borderId="0" xfId="53" applyFont="1" applyAlignment="1">
      <alignment horizontal="left" vertical="center"/>
      <protection locked="0"/>
    </xf>
    <xf numFmtId="14" fontId="10" fillId="0" borderId="0" xfId="52" applyNumberFormat="1" applyFont="1" applyProtection="1">
      <alignment vertical="center"/>
      <protection locked="0"/>
    </xf>
    <xf numFmtId="190" fontId="10" fillId="0" borderId="0" xfId="52" applyFont="1" applyAlignment="1" applyProtection="1">
      <alignment vertical="center" wrapText="1"/>
      <protection locked="0"/>
    </xf>
    <xf numFmtId="190" fontId="35" fillId="0" borderId="0" xfId="52" applyFont="1" applyAlignment="1" applyProtection="1">
      <alignment horizontal="center" vertical="center"/>
      <protection locked="0"/>
    </xf>
    <xf numFmtId="190" fontId="37" fillId="0" borderId="0" xfId="52" applyFont="1" applyAlignment="1" applyProtection="1">
      <alignment horizontal="center" vertical="center"/>
      <protection locked="0"/>
    </xf>
    <xf numFmtId="43" fontId="10" fillId="0" borderId="0" xfId="4" applyNumberFormat="1" applyFont="1" applyBorder="1" applyAlignment="1">
      <alignment vertical="center"/>
    </xf>
    <xf numFmtId="43" fontId="10" fillId="0" borderId="0" xfId="4" applyNumberFormat="1" applyFont="1" applyBorder="1" applyAlignment="1">
      <alignment horizontal="left" vertical="center"/>
    </xf>
    <xf numFmtId="0" fontId="18" fillId="0" borderId="1" xfId="58" applyFont="1" applyBorder="1" applyAlignment="1" applyProtection="1">
      <alignment horizontal="center" vertical="center"/>
    </xf>
    <xf numFmtId="43" fontId="6" fillId="0" borderId="15" xfId="4" applyNumberFormat="1" applyFont="1" applyBorder="1" applyAlignment="1">
      <alignment horizontal="left" vertical="center"/>
    </xf>
    <xf numFmtId="43" fontId="10" fillId="0" borderId="15" xfId="4" applyNumberFormat="1" applyFont="1" applyBorder="1" applyAlignment="1">
      <alignment horizontal="left" vertical="center"/>
    </xf>
    <xf numFmtId="43" fontId="63" fillId="0" borderId="15" xfId="60" applyNumberFormat="1" applyFont="1" applyBorder="1" applyAlignment="1" applyProtection="1">
      <alignment horizontal="center" vertical="center"/>
    </xf>
    <xf numFmtId="0" fontId="6" fillId="0" borderId="0" xfId="61" applyFont="1" applyAlignment="1">
      <alignment vertical="center"/>
    </xf>
    <xf numFmtId="10" fontId="37" fillId="0" borderId="0" xfId="47" applyNumberFormat="1" applyFont="1" applyFill="1" applyBorder="1" applyAlignment="1">
      <alignment horizontal="right" vertical="center" wrapText="1"/>
    </xf>
    <xf numFmtId="43" fontId="37" fillId="0" borderId="0" xfId="1" applyFont="1" applyFill="1" applyBorder="1" applyAlignment="1">
      <alignment horizontal="justify" vertical="center" wrapText="1"/>
    </xf>
    <xf numFmtId="190" fontId="57" fillId="0" borderId="0" xfId="52" applyFont="1" applyAlignment="1" applyProtection="1">
      <alignment horizontal="center" vertical="center" wrapText="1"/>
      <protection locked="0"/>
    </xf>
    <xf numFmtId="190" fontId="10" fillId="0" borderId="0" xfId="52" applyFont="1" applyAlignment="1" applyProtection="1">
      <alignment horizontal="center" vertical="center" wrapText="1"/>
      <protection locked="0"/>
    </xf>
    <xf numFmtId="190" fontId="37" fillId="0" borderId="1" xfId="52" applyFont="1" applyBorder="1" applyAlignment="1">
      <alignment vertical="center" wrapText="1"/>
    </xf>
    <xf numFmtId="190" fontId="37" fillId="0" borderId="1" xfId="52" applyFont="1" applyBorder="1" applyAlignment="1">
      <alignment horizontal="center" vertical="center" wrapText="1"/>
    </xf>
    <xf numFmtId="0" fontId="18" fillId="5" borderId="1" xfId="58" applyFont="1" applyFill="1" applyBorder="1" applyAlignment="1" applyProtection="1">
      <alignment horizontal="center" vertical="center"/>
    </xf>
    <xf numFmtId="190" fontId="6" fillId="5" borderId="1" xfId="59" applyFont="1" applyFill="1" applyBorder="1" applyAlignment="1" applyProtection="1">
      <alignment horizontal="center" vertical="center" wrapText="1"/>
      <protection locked="0"/>
    </xf>
    <xf numFmtId="0" fontId="13" fillId="0" borderId="1" xfId="58" applyFont="1" applyBorder="1" applyAlignment="1" applyProtection="1">
      <alignment vertical="center"/>
    </xf>
    <xf numFmtId="0" fontId="10" fillId="0" borderId="1" xfId="58" applyFont="1" applyBorder="1" applyAlignment="1" applyProtection="1">
      <alignment vertical="center"/>
    </xf>
    <xf numFmtId="0" fontId="65" fillId="0" borderId="1" xfId="58" applyFont="1" applyBorder="1" applyAlignment="1" applyProtection="1">
      <alignment horizontal="left" vertical="center" indent="1"/>
    </xf>
    <xf numFmtId="0" fontId="54" fillId="0" borderId="0" xfId="0" applyFont="1">
      <alignment vertical="center"/>
    </xf>
    <xf numFmtId="190" fontId="18" fillId="5" borderId="1" xfId="37" applyNumberFormat="1" applyFont="1" applyFill="1" applyBorder="1" applyAlignment="1" applyProtection="1">
      <alignment horizontal="center" vertical="center" wrapText="1"/>
      <protection locked="0"/>
    </xf>
    <xf numFmtId="190" fontId="6" fillId="5" borderId="1" xfId="48" applyFont="1" applyFill="1" applyBorder="1" applyAlignment="1" applyProtection="1">
      <alignment horizontal="center" vertical="center" wrapText="1"/>
      <protection locked="0"/>
    </xf>
    <xf numFmtId="190" fontId="6" fillId="5" borderId="1" xfId="37" applyNumberFormat="1" applyFont="1" applyFill="1" applyBorder="1" applyAlignment="1" applyProtection="1">
      <alignment horizontal="center" vertical="center"/>
      <protection locked="0"/>
    </xf>
    <xf numFmtId="0" fontId="6" fillId="5" borderId="1" xfId="37" applyFont="1" applyFill="1" applyBorder="1" applyAlignment="1" applyProtection="1">
      <alignment horizontal="center" vertical="center"/>
      <protection locked="0"/>
    </xf>
    <xf numFmtId="0" fontId="10" fillId="0" borderId="0" xfId="0" applyFont="1" applyAlignment="1" applyProtection="1">
      <alignment horizontal="left" vertical="center"/>
      <protection locked="0"/>
    </xf>
    <xf numFmtId="43" fontId="6" fillId="0" borderId="0" xfId="4" applyNumberFormat="1" applyFont="1" applyFill="1" applyBorder="1" applyAlignment="1">
      <alignment vertical="center"/>
    </xf>
    <xf numFmtId="0" fontId="6" fillId="5" borderId="1" xfId="64" applyFont="1" applyFill="1" applyBorder="1" applyAlignment="1" applyProtection="1">
      <alignment horizontal="center" vertical="center"/>
      <protection locked="0"/>
    </xf>
    <xf numFmtId="0" fontId="6" fillId="5" borderId="1" xfId="64" applyFont="1" applyFill="1" applyBorder="1" applyAlignment="1" applyProtection="1">
      <alignment horizontal="center" vertical="center" wrapText="1"/>
      <protection locked="0"/>
    </xf>
    <xf numFmtId="49" fontId="10" fillId="0" borderId="1" xfId="55" applyNumberFormat="1" applyFont="1" applyBorder="1" applyAlignment="1">
      <alignment horizontal="center" vertical="center" shrinkToFit="1"/>
    </xf>
    <xf numFmtId="0" fontId="10" fillId="0" borderId="1" xfId="64" applyFont="1" applyBorder="1" applyAlignment="1" applyProtection="1">
      <alignment horizontal="center" vertical="center"/>
      <protection locked="0"/>
    </xf>
    <xf numFmtId="0" fontId="10" fillId="0" borderId="1" xfId="64" applyFont="1" applyBorder="1" applyAlignment="1" applyProtection="1">
      <alignment horizontal="center" vertical="center" wrapText="1"/>
      <protection locked="0"/>
    </xf>
    <xf numFmtId="0" fontId="50" fillId="0" borderId="0" xfId="0" applyFont="1" applyAlignment="1" applyProtection="1">
      <alignment vertical="center" wrapText="1"/>
      <protection locked="0"/>
    </xf>
    <xf numFmtId="190" fontId="66" fillId="0" borderId="0" xfId="46" applyNumberFormat="1" applyFont="1" applyAlignment="1" applyProtection="1">
      <alignment vertical="center" wrapText="1"/>
      <protection locked="0"/>
    </xf>
    <xf numFmtId="190" fontId="35" fillId="0" borderId="0" xfId="52" applyFont="1" applyAlignment="1">
      <alignment horizontal="center" vertical="center"/>
    </xf>
    <xf numFmtId="0" fontId="37" fillId="0" borderId="0" xfId="0" applyFont="1">
      <alignment vertical="center"/>
    </xf>
    <xf numFmtId="0" fontId="10" fillId="0" borderId="0" xfId="58" applyFont="1">
      <protection locked="0"/>
    </xf>
    <xf numFmtId="0" fontId="37" fillId="0" borderId="0" xfId="0" applyFont="1" applyAlignment="1">
      <alignment horizontal="justify" vertical="center"/>
    </xf>
    <xf numFmtId="0" fontId="35" fillId="0" borderId="11" xfId="0" applyFont="1" applyBorder="1" applyAlignment="1">
      <alignment horizontal="justify" vertical="center" wrapText="1"/>
    </xf>
    <xf numFmtId="0" fontId="35" fillId="0" borderId="11" xfId="0" applyFont="1" applyBorder="1" applyAlignment="1">
      <alignment horizontal="right" vertical="center" wrapText="1"/>
    </xf>
    <xf numFmtId="0" fontId="37" fillId="0" borderId="0" xfId="0" applyFont="1" applyAlignment="1">
      <alignment horizontal="justify" vertical="center" wrapText="1"/>
    </xf>
    <xf numFmtId="43" fontId="37" fillId="0" borderId="0" xfId="0" applyNumberFormat="1" applyFont="1" applyAlignment="1">
      <alignment vertical="center" wrapText="1"/>
    </xf>
    <xf numFmtId="43" fontId="37" fillId="0" borderId="0" xfId="0" applyNumberFormat="1" applyFont="1" applyAlignment="1">
      <alignment horizontal="right" vertical="center" wrapText="1"/>
    </xf>
    <xf numFmtId="43" fontId="37" fillId="0" borderId="11" xfId="1" applyFont="1" applyBorder="1" applyAlignment="1">
      <alignment vertical="center" wrapText="1"/>
    </xf>
    <xf numFmtId="0" fontId="37" fillId="0" borderId="0" xfId="0" applyFont="1" applyAlignment="1">
      <alignment horizontal="left" vertical="center"/>
    </xf>
    <xf numFmtId="0" fontId="40" fillId="0" borderId="11" xfId="0" applyFont="1" applyBorder="1" applyAlignment="1">
      <alignment horizontal="center" vertical="top" wrapText="1"/>
    </xf>
    <xf numFmtId="0" fontId="42" fillId="0" borderId="0" xfId="0" applyFont="1" applyAlignment="1">
      <alignment horizontal="justify" vertical="center" wrapText="1"/>
    </xf>
    <xf numFmtId="43" fontId="42" fillId="0" borderId="0" xfId="0" applyNumberFormat="1" applyFont="1" applyAlignment="1">
      <alignment horizontal="right" vertical="top" wrapText="1"/>
    </xf>
    <xf numFmtId="0" fontId="42" fillId="0" borderId="0" xfId="0" applyFont="1" applyAlignment="1">
      <alignment horizontal="right" vertical="top" wrapText="1"/>
    </xf>
    <xf numFmtId="43" fontId="42" fillId="0" borderId="0" xfId="1" applyFont="1" applyBorder="1" applyAlignment="1">
      <alignment horizontal="right" vertical="top" wrapText="1"/>
    </xf>
    <xf numFmtId="0" fontId="40" fillId="0" borderId="10" xfId="0" applyFont="1" applyBorder="1" applyAlignment="1">
      <alignment horizontal="justify" vertical="center" wrapText="1"/>
    </xf>
    <xf numFmtId="43" fontId="40" fillId="0" borderId="10" xfId="0" applyNumberFormat="1" applyFont="1" applyBorder="1" applyAlignment="1">
      <alignment horizontal="right" vertical="top" wrapText="1"/>
    </xf>
    <xf numFmtId="0" fontId="40" fillId="0" borderId="11" xfId="0" applyFont="1" applyBorder="1" applyAlignment="1">
      <alignment horizontal="left" vertical="center"/>
    </xf>
    <xf numFmtId="0" fontId="40" fillId="0" borderId="11" xfId="0" applyFont="1" applyBorder="1" applyAlignment="1">
      <alignment horizontal="right" vertical="center"/>
    </xf>
    <xf numFmtId="0" fontId="42" fillId="0" borderId="0" xfId="0" applyFont="1" applyAlignment="1">
      <alignment horizontal="left" vertical="center"/>
    </xf>
    <xf numFmtId="43" fontId="37" fillId="0" borderId="0" xfId="0" applyNumberFormat="1" applyFont="1">
      <alignment vertical="center"/>
    </xf>
    <xf numFmtId="43" fontId="42" fillId="0" borderId="11" xfId="0" applyNumberFormat="1" applyFont="1" applyBorder="1" applyAlignment="1">
      <alignment horizontal="right" vertical="center"/>
    </xf>
    <xf numFmtId="0" fontId="35" fillId="0" borderId="11" xfId="0" applyFont="1" applyBorder="1" applyAlignment="1">
      <alignment horizontal="center" vertical="top" wrapText="1"/>
    </xf>
    <xf numFmtId="0" fontId="37" fillId="0" borderId="0" xfId="0" applyFont="1" applyAlignment="1">
      <alignment horizontal="justify" vertical="top" wrapText="1"/>
    </xf>
    <xf numFmtId="43" fontId="37" fillId="0" borderId="0" xfId="0" applyNumberFormat="1" applyFont="1" applyAlignment="1">
      <alignment horizontal="justify" vertical="top" wrapText="1"/>
    </xf>
    <xf numFmtId="43" fontId="35" fillId="0" borderId="0" xfId="0" applyNumberFormat="1" applyFont="1" applyAlignment="1">
      <alignment horizontal="justify" vertical="top" wrapText="1"/>
    </xf>
    <xf numFmtId="0" fontId="35" fillId="0" borderId="11" xfId="0" applyFont="1" applyBorder="1" applyAlignment="1">
      <alignment horizontal="justify" vertical="top" wrapText="1"/>
    </xf>
    <xf numFmtId="43" fontId="35" fillId="0" borderId="11" xfId="0" applyNumberFormat="1" applyFont="1" applyBorder="1" applyAlignment="1">
      <alignment horizontal="justify" vertical="top" wrapText="1"/>
    </xf>
    <xf numFmtId="0" fontId="40" fillId="0" borderId="11" xfId="0" applyFont="1" applyBorder="1" applyAlignment="1">
      <alignment horizontal="left" vertical="top" wrapText="1"/>
    </xf>
    <xf numFmtId="0" fontId="40" fillId="0" borderId="11" xfId="0" applyFont="1" applyBorder="1" applyAlignment="1">
      <alignment horizontal="right" vertical="center" wrapText="1"/>
    </xf>
    <xf numFmtId="10" fontId="37" fillId="0" borderId="0" xfId="0" applyNumberFormat="1" applyFont="1" applyAlignment="1">
      <alignment vertical="center" wrapText="1"/>
    </xf>
    <xf numFmtId="0" fontId="37" fillId="0" borderId="10" xfId="0" applyFont="1" applyBorder="1" applyAlignment="1">
      <alignment horizontal="justify" vertical="center" wrapText="1"/>
    </xf>
    <xf numFmtId="10" fontId="37" fillId="0" borderId="10" xfId="0" applyNumberFormat="1" applyFont="1" applyBorder="1" applyAlignment="1">
      <alignment vertical="center" wrapText="1"/>
    </xf>
    <xf numFmtId="10" fontId="37" fillId="0" borderId="0" xfId="0" applyNumberFormat="1" applyFont="1">
      <alignment vertical="center"/>
    </xf>
    <xf numFmtId="0" fontId="42" fillId="0" borderId="10" xfId="0" applyFont="1" applyBorder="1" applyAlignment="1">
      <alignment horizontal="left" vertical="center"/>
    </xf>
    <xf numFmtId="10" fontId="37" fillId="0" borderId="10" xfId="0" applyNumberFormat="1" applyFont="1" applyBorder="1">
      <alignment vertical="center"/>
    </xf>
    <xf numFmtId="43" fontId="37" fillId="0" borderId="10" xfId="0" applyNumberFormat="1" applyFont="1" applyBorder="1">
      <alignment vertical="center"/>
    </xf>
    <xf numFmtId="0" fontId="42" fillId="0" borderId="0" xfId="0" applyFont="1" applyAlignment="1">
      <alignment horizontal="justify" vertical="center"/>
    </xf>
    <xf numFmtId="43" fontId="37" fillId="0" borderId="11" xfId="0" applyNumberFormat="1" applyFont="1" applyBorder="1" applyAlignment="1">
      <alignment vertical="center" wrapText="1"/>
    </xf>
    <xf numFmtId="0" fontId="40" fillId="0" borderId="11" xfId="0" applyFont="1" applyBorder="1" applyAlignment="1">
      <alignment horizontal="left" vertical="center" wrapText="1"/>
    </xf>
    <xf numFmtId="43" fontId="42" fillId="0" borderId="0" xfId="0" applyNumberFormat="1" applyFont="1" applyAlignment="1">
      <alignment horizontal="right" vertical="center" wrapText="1"/>
    </xf>
    <xf numFmtId="0" fontId="40" fillId="0" borderId="11" xfId="0" applyFont="1" applyBorder="1" applyAlignment="1">
      <alignment horizontal="justify" vertical="center" wrapText="1"/>
    </xf>
    <xf numFmtId="43" fontId="42" fillId="0" borderId="11" xfId="0" applyNumberFormat="1" applyFont="1" applyBorder="1" applyAlignment="1">
      <alignment horizontal="right" vertical="center" wrapText="1"/>
    </xf>
    <xf numFmtId="43" fontId="40" fillId="0" borderId="11" xfId="0" applyNumberFormat="1" applyFont="1" applyBorder="1" applyAlignment="1">
      <alignment horizontal="right" vertical="center" wrapText="1"/>
    </xf>
    <xf numFmtId="0" fontId="42" fillId="0" borderId="0" xfId="0" applyFont="1" applyAlignment="1">
      <alignment horizontal="right" vertical="center" wrapText="1"/>
    </xf>
    <xf numFmtId="0" fontId="42" fillId="0" borderId="11" xfId="0" applyFont="1" applyBorder="1" applyAlignment="1">
      <alignment horizontal="right" vertical="center"/>
    </xf>
    <xf numFmtId="43" fontId="37" fillId="0" borderId="0" xfId="1" applyFont="1" applyBorder="1" applyAlignment="1">
      <alignment horizontal="justify" vertical="top" wrapText="1"/>
    </xf>
    <xf numFmtId="10" fontId="37" fillId="0" borderId="0" xfId="47" applyNumberFormat="1" applyFont="1" applyBorder="1" applyAlignment="1">
      <alignment horizontal="right" vertical="top" wrapText="1"/>
    </xf>
    <xf numFmtId="43" fontId="37" fillId="0" borderId="0" xfId="1" applyFont="1" applyBorder="1">
      <alignment vertical="center"/>
    </xf>
    <xf numFmtId="43" fontId="37" fillId="0" borderId="10" xfId="1" applyFont="1" applyBorder="1">
      <alignment vertical="center"/>
    </xf>
    <xf numFmtId="0" fontId="74" fillId="0" borderId="0" xfId="0" applyFont="1" applyAlignment="1" applyProtection="1">
      <alignment vertical="center" wrapText="1"/>
      <protection locked="0"/>
    </xf>
    <xf numFmtId="190" fontId="54" fillId="0" borderId="0" xfId="52" applyFont="1">
      <alignment vertical="center"/>
    </xf>
    <xf numFmtId="0" fontId="6" fillId="0" borderId="0" xfId="50" applyFont="1" applyAlignment="1">
      <alignment vertical="center"/>
      <protection locked="0"/>
    </xf>
    <xf numFmtId="0" fontId="11" fillId="6" borderId="0" xfId="50" applyFont="1" applyFill="1" applyAlignment="1">
      <alignment horizontal="justify" vertical="center" wrapText="1"/>
      <protection locked="0"/>
    </xf>
    <xf numFmtId="0" fontId="14" fillId="6" borderId="0" xfId="50" applyFont="1" applyFill="1" applyAlignment="1">
      <alignment horizontal="justify" vertical="center" wrapText="1"/>
      <protection locked="0"/>
    </xf>
    <xf numFmtId="190" fontId="37" fillId="0" borderId="0" xfId="65" applyFont="1">
      <alignment vertical="center"/>
    </xf>
    <xf numFmtId="190" fontId="75" fillId="0" borderId="0" xfId="65" applyFont="1">
      <alignment vertical="center"/>
    </xf>
    <xf numFmtId="190" fontId="10" fillId="0" borderId="0" xfId="65" applyFont="1" applyProtection="1">
      <alignment vertical="center"/>
      <protection locked="0"/>
    </xf>
    <xf numFmtId="14" fontId="10" fillId="0" borderId="0" xfId="65" applyNumberFormat="1" applyFont="1" applyProtection="1">
      <alignment vertical="center"/>
      <protection locked="0"/>
    </xf>
    <xf numFmtId="190" fontId="10" fillId="0" borderId="0" xfId="65" applyFont="1" applyAlignment="1" applyProtection="1">
      <alignment vertical="center" wrapText="1"/>
      <protection locked="0"/>
    </xf>
    <xf numFmtId="190" fontId="11" fillId="0" borderId="0" xfId="65" applyFont="1" applyProtection="1">
      <alignment vertical="center"/>
      <protection locked="0"/>
    </xf>
    <xf numFmtId="0" fontId="11" fillId="0" borderId="0" xfId="53" applyFont="1" applyAlignment="1">
      <alignment horizontal="left" vertical="center"/>
      <protection locked="0"/>
    </xf>
    <xf numFmtId="190" fontId="6" fillId="0" borderId="0" xfId="65" applyFont="1" applyProtection="1">
      <alignment vertical="center"/>
      <protection locked="0"/>
    </xf>
    <xf numFmtId="190" fontId="56" fillId="0" borderId="0" xfId="65" applyFont="1">
      <alignment vertical="center"/>
    </xf>
    <xf numFmtId="49" fontId="6" fillId="0" borderId="0" xfId="65" applyNumberFormat="1" applyFont="1" applyAlignment="1" applyProtection="1">
      <alignment horizontal="left" vertical="center"/>
      <protection locked="0"/>
    </xf>
    <xf numFmtId="190" fontId="6" fillId="0" borderId="0" xfId="65" applyFont="1" applyAlignment="1" applyProtection="1">
      <alignment horizontal="justify" vertical="center"/>
      <protection locked="0"/>
    </xf>
    <xf numFmtId="190" fontId="35" fillId="0" borderId="0" xfId="65" applyFont="1" applyAlignment="1" applyProtection="1">
      <alignment horizontal="center" vertical="center"/>
      <protection locked="0"/>
    </xf>
    <xf numFmtId="0" fontId="10" fillId="0" borderId="1" xfId="66" applyFont="1" applyBorder="1" applyAlignment="1" applyProtection="1">
      <alignment horizontal="center" vertical="center" wrapText="1"/>
      <protection locked="0"/>
    </xf>
    <xf numFmtId="190" fontId="77" fillId="0" borderId="1" xfId="65" applyFont="1" applyBorder="1" applyAlignment="1" applyProtection="1">
      <alignment horizontal="center" vertical="center" wrapText="1"/>
      <protection locked="0"/>
    </xf>
    <xf numFmtId="190" fontId="57" fillId="0" borderId="1" xfId="65" applyFont="1" applyBorder="1" applyAlignment="1" applyProtection="1">
      <alignment horizontal="center" vertical="center" wrapText="1"/>
      <protection locked="0"/>
    </xf>
    <xf numFmtId="190" fontId="10" fillId="0" borderId="1" xfId="65" applyFont="1" applyBorder="1" applyAlignment="1" applyProtection="1">
      <alignment horizontal="center" vertical="center" wrapText="1"/>
      <protection locked="0"/>
    </xf>
    <xf numFmtId="190" fontId="65" fillId="0" borderId="1" xfId="65" applyFont="1" applyBorder="1" applyAlignment="1" applyProtection="1">
      <alignment horizontal="center" vertical="center" wrapText="1"/>
      <protection locked="0"/>
    </xf>
    <xf numFmtId="49" fontId="6" fillId="5" borderId="1" xfId="65" applyNumberFormat="1" applyFont="1" applyFill="1" applyBorder="1" applyAlignment="1" applyProtection="1">
      <alignment horizontal="center" vertical="center"/>
      <protection locked="0"/>
    </xf>
    <xf numFmtId="190" fontId="78" fillId="0" borderId="0" xfId="65" applyFont="1" applyAlignment="1">
      <alignment horizontal="center" vertical="center"/>
    </xf>
    <xf numFmtId="49" fontId="60" fillId="5" borderId="1" xfId="55" applyNumberFormat="1" applyFont="1" applyFill="1" applyBorder="1" applyAlignment="1">
      <alignment horizontal="left" vertical="center" shrinkToFit="1"/>
    </xf>
    <xf numFmtId="190" fontId="37" fillId="0" borderId="0" xfId="65" applyFont="1" applyAlignment="1" applyProtection="1">
      <alignment horizontal="center" vertical="center"/>
      <protection locked="0"/>
    </xf>
    <xf numFmtId="49" fontId="10" fillId="0" borderId="1" xfId="55" quotePrefix="1" applyNumberFormat="1" applyFont="1" applyBorder="1" applyAlignment="1">
      <alignment horizontal="left" vertical="center" indent="1" shrinkToFit="1"/>
    </xf>
    <xf numFmtId="49" fontId="10" fillId="0" borderId="1" xfId="55" quotePrefix="1" applyNumberFormat="1" applyFont="1" applyBorder="1" applyAlignment="1">
      <alignment horizontal="left" vertical="center" indent="1"/>
    </xf>
    <xf numFmtId="49" fontId="10" fillId="0" borderId="1" xfId="55" applyNumberFormat="1" applyFont="1" applyBorder="1" applyAlignment="1">
      <alignment horizontal="left" vertical="center" indent="1" shrinkToFit="1"/>
    </xf>
    <xf numFmtId="49" fontId="16" fillId="5" borderId="1" xfId="44" applyNumberFormat="1" applyFont="1" applyFill="1" applyBorder="1" applyAlignment="1">
      <alignment horizontal="left" vertical="center"/>
    </xf>
    <xf numFmtId="0" fontId="80" fillId="5" borderId="2" xfId="56" applyFont="1" applyFill="1" applyBorder="1" applyAlignment="1">
      <alignment horizontal="center" vertical="center" wrapText="1"/>
    </xf>
    <xf numFmtId="0" fontId="80" fillId="5" borderId="4" xfId="56" applyFont="1" applyFill="1" applyBorder="1" applyAlignment="1">
      <alignment horizontal="center" vertical="center" wrapText="1"/>
    </xf>
    <xf numFmtId="0" fontId="79" fillId="0" borderId="0" xfId="44" applyFont="1">
      <alignment vertical="center"/>
    </xf>
    <xf numFmtId="49" fontId="79" fillId="0" borderId="1" xfId="44" applyNumberFormat="1" applyFont="1" applyBorder="1" applyAlignment="1">
      <alignment horizontal="left" vertical="center" indent="1"/>
    </xf>
    <xf numFmtId="0" fontId="26" fillId="0" borderId="0" xfId="44" applyFont="1">
      <alignment vertical="center"/>
    </xf>
    <xf numFmtId="49" fontId="60" fillId="0" borderId="1" xfId="55" applyNumberFormat="1" applyFont="1" applyBorder="1" applyAlignment="1">
      <alignment horizontal="left" vertical="center" indent="1" shrinkToFit="1"/>
    </xf>
    <xf numFmtId="49" fontId="83" fillId="5" borderId="1" xfId="55" applyNumberFormat="1" applyFont="1" applyFill="1" applyBorder="1" applyAlignment="1">
      <alignment horizontal="left" vertical="center" wrapText="1"/>
    </xf>
    <xf numFmtId="190" fontId="75" fillId="0" borderId="0" xfId="65" applyFont="1" applyAlignment="1">
      <alignment vertical="center" wrapText="1"/>
    </xf>
    <xf numFmtId="0" fontId="85" fillId="0" borderId="0" xfId="44" applyFont="1">
      <alignment vertical="center"/>
    </xf>
    <xf numFmtId="0" fontId="86" fillId="0" borderId="0" xfId="44" applyFont="1">
      <alignment vertical="center"/>
    </xf>
    <xf numFmtId="49" fontId="16" fillId="0" borderId="0" xfId="64" applyNumberFormat="1" applyFont="1" applyFill="1" applyAlignment="1" applyProtection="1">
      <alignment horizontal="left" vertical="center"/>
      <protection locked="0"/>
    </xf>
    <xf numFmtId="190" fontId="43" fillId="0" borderId="0" xfId="52" applyFont="1">
      <alignment vertical="center"/>
    </xf>
    <xf numFmtId="190" fontId="16" fillId="0" borderId="0" xfId="52" applyFont="1" applyProtection="1">
      <alignment vertical="center"/>
      <protection locked="0"/>
    </xf>
    <xf numFmtId="190" fontId="11" fillId="0" borderId="0" xfId="52" applyFont="1" applyProtection="1">
      <alignment vertical="center"/>
      <protection locked="0"/>
    </xf>
    <xf numFmtId="190" fontId="16" fillId="0" borderId="0" xfId="52" applyFont="1" applyAlignment="1" applyProtection="1">
      <alignment horizontal="justify" vertical="center"/>
      <protection locked="0"/>
    </xf>
    <xf numFmtId="49" fontId="16" fillId="0" borderId="0" xfId="63" applyNumberFormat="1" applyFont="1" applyAlignment="1" applyProtection="1">
      <alignment horizontal="left" vertical="center"/>
      <protection locked="0"/>
    </xf>
    <xf numFmtId="190" fontId="38" fillId="0" borderId="0" xfId="52" applyFont="1">
      <alignment vertical="center"/>
    </xf>
    <xf numFmtId="190" fontId="77" fillId="0" borderId="16" xfId="52" applyFont="1" applyBorder="1" applyAlignment="1" applyProtection="1">
      <alignment horizontal="center" vertical="center" wrapText="1"/>
      <protection locked="0"/>
    </xf>
    <xf numFmtId="190" fontId="77" fillId="0" borderId="0" xfId="52" applyFont="1" applyAlignment="1" applyProtection="1">
      <alignment horizontal="center" vertical="center" wrapText="1"/>
      <protection locked="0"/>
    </xf>
    <xf numFmtId="0" fontId="11" fillId="0" borderId="1" xfId="55" applyFont="1" applyBorder="1" applyAlignment="1">
      <alignment horizontal="left" vertical="center" wrapText="1"/>
    </xf>
    <xf numFmtId="190" fontId="38" fillId="0" borderId="1" xfId="63" applyFont="1" applyBorder="1" applyAlignment="1">
      <alignment horizontal="left" vertical="center" wrapText="1"/>
    </xf>
    <xf numFmtId="0" fontId="38" fillId="0" borderId="1" xfId="64" applyFont="1" applyFill="1" applyBorder="1" applyAlignment="1">
      <alignment horizontal="center" vertical="center" wrapText="1"/>
    </xf>
    <xf numFmtId="0" fontId="37" fillId="0" borderId="1" xfId="64" applyFont="1" applyFill="1" applyBorder="1" applyAlignment="1">
      <alignment horizontal="center" vertical="center" wrapText="1"/>
    </xf>
    <xf numFmtId="0" fontId="36" fillId="0" borderId="1" xfId="64" applyFont="1" applyFill="1" applyBorder="1" applyAlignment="1">
      <alignment horizontal="center" vertical="center" wrapText="1"/>
    </xf>
    <xf numFmtId="0" fontId="16" fillId="0" borderId="0" xfId="44" applyFont="1">
      <alignment vertical="center"/>
    </xf>
    <xf numFmtId="190" fontId="38" fillId="0" borderId="0" xfId="65" applyFont="1" applyAlignment="1" applyProtection="1">
      <alignment horizontal="center" vertical="center"/>
      <protection locked="0"/>
    </xf>
    <xf numFmtId="0" fontId="11" fillId="0" borderId="1" xfId="49" applyFont="1" applyFill="1" applyBorder="1" applyAlignment="1" applyProtection="1">
      <alignment vertical="center" wrapText="1"/>
    </xf>
    <xf numFmtId="190" fontId="38" fillId="0" borderId="0" xfId="52" applyFont="1" applyAlignment="1" applyProtection="1">
      <alignment horizontal="left" vertical="center"/>
      <protection locked="0"/>
    </xf>
    <xf numFmtId="190" fontId="38" fillId="0" borderId="0" xfId="65" applyFont="1" applyAlignment="1" applyProtection="1">
      <alignment horizontal="left" vertical="center"/>
      <protection locked="0"/>
    </xf>
    <xf numFmtId="190" fontId="87" fillId="0" borderId="0" xfId="65" applyFont="1" applyAlignment="1" applyProtection="1">
      <alignment horizontal="left" vertical="center"/>
      <protection locked="0"/>
    </xf>
    <xf numFmtId="190" fontId="37" fillId="0" borderId="1" xfId="63" applyFont="1" applyBorder="1" applyAlignment="1">
      <alignment horizontal="left" vertical="center" wrapText="1"/>
    </xf>
    <xf numFmtId="0" fontId="61" fillId="0" borderId="1" xfId="55" applyFont="1" applyBorder="1" applyAlignment="1">
      <alignment horizontal="left" vertical="center" wrapText="1"/>
    </xf>
    <xf numFmtId="0" fontId="49" fillId="0" borderId="0" xfId="3" applyFont="1" applyAlignment="1">
      <alignment vertical="center" wrapText="1"/>
    </xf>
    <xf numFmtId="0" fontId="6" fillId="0" borderId="0" xfId="3" applyFont="1" applyFill="1" applyAlignment="1">
      <alignment horizontal="left" vertical="center" wrapText="1"/>
    </xf>
    <xf numFmtId="49" fontId="10" fillId="0" borderId="0" xfId="43" applyNumberFormat="1" applyFont="1" applyFill="1" applyAlignment="1" applyProtection="1">
      <alignment horizontal="left" vertical="center"/>
    </xf>
    <xf numFmtId="0" fontId="14" fillId="0" borderId="1" xfId="0" applyFont="1" applyBorder="1" applyProtection="1">
      <alignment vertical="center"/>
      <protection locked="0"/>
    </xf>
    <xf numFmtId="0" fontId="11" fillId="0" borderId="1" xfId="0" applyFont="1" applyBorder="1" applyAlignment="1" applyProtection="1">
      <alignment horizontal="left" vertical="center" indent="1"/>
      <protection locked="0"/>
    </xf>
    <xf numFmtId="43" fontId="13" fillId="5" borderId="1" xfId="1" applyFont="1" applyFill="1" applyBorder="1" applyAlignment="1">
      <alignment horizontal="right" vertical="center"/>
    </xf>
    <xf numFmtId="43" fontId="6" fillId="5" borderId="1" xfId="1" applyFont="1" applyFill="1" applyBorder="1" applyAlignment="1">
      <alignment vertical="center"/>
    </xf>
    <xf numFmtId="0" fontId="14" fillId="0" borderId="1" xfId="0" applyFont="1" applyBorder="1" applyAlignment="1" applyProtection="1">
      <alignment vertical="center" wrapText="1"/>
      <protection locked="0"/>
    </xf>
    <xf numFmtId="43" fontId="42" fillId="5" borderId="1" xfId="0" applyNumberFormat="1" applyFont="1" applyFill="1" applyBorder="1" applyAlignment="1">
      <alignment horizontal="right" vertical="center" wrapText="1"/>
    </xf>
    <xf numFmtId="0" fontId="42" fillId="5" borderId="1" xfId="0" quotePrefix="1" applyFont="1" applyFill="1" applyBorder="1" applyAlignment="1">
      <alignment horizontal="right" vertical="center" wrapText="1"/>
    </xf>
    <xf numFmtId="43" fontId="42" fillId="5" borderId="1" xfId="1" applyFont="1" applyFill="1" applyBorder="1" applyAlignment="1">
      <alignment horizontal="right" vertical="center" wrapText="1"/>
    </xf>
    <xf numFmtId="0" fontId="18" fillId="5" borderId="1" xfId="0" applyFont="1" applyFill="1" applyBorder="1" applyAlignment="1" applyProtection="1">
      <alignment vertical="center" wrapText="1"/>
      <protection locked="0"/>
    </xf>
    <xf numFmtId="43" fontId="40" fillId="5" borderId="1" xfId="1" applyFont="1" applyFill="1" applyBorder="1" applyAlignment="1">
      <alignment horizontal="right" vertical="center" wrapText="1"/>
    </xf>
    <xf numFmtId="0" fontId="38" fillId="0" borderId="1" xfId="0" applyFont="1" applyBorder="1" applyAlignment="1">
      <alignment horizontal="justify" vertical="center" wrapText="1"/>
    </xf>
    <xf numFmtId="0" fontId="38" fillId="0" borderId="8" xfId="0" applyFont="1" applyBorder="1" applyAlignment="1">
      <alignment horizontal="justify" vertical="center" wrapText="1"/>
    </xf>
    <xf numFmtId="0" fontId="20" fillId="0" borderId="0" xfId="0" applyFont="1" applyAlignment="1" applyProtection="1">
      <alignment vertical="center"/>
      <protection locked="0"/>
    </xf>
    <xf numFmtId="0" fontId="11" fillId="0" borderId="1" xfId="36" applyFont="1" applyBorder="1" applyAlignment="1">
      <alignment vertical="center"/>
      <protection locked="0"/>
    </xf>
    <xf numFmtId="190" fontId="37" fillId="0" borderId="1" xfId="63" applyFont="1" applyBorder="1" applyAlignment="1">
      <alignment horizontal="center" vertical="center" wrapText="1"/>
    </xf>
    <xf numFmtId="0" fontId="50" fillId="0" borderId="6" xfId="46" applyFont="1" applyBorder="1" applyAlignment="1" applyProtection="1">
      <alignment vertical="center"/>
    </xf>
    <xf numFmtId="0" fontId="89" fillId="0" borderId="6" xfId="46" applyFont="1" applyBorder="1" applyAlignment="1" applyProtection="1">
      <alignment vertical="center"/>
    </xf>
    <xf numFmtId="0" fontId="90" fillId="0" borderId="0" xfId="46" applyFont="1" applyAlignment="1">
      <alignment vertical="center"/>
      <protection locked="0"/>
    </xf>
    <xf numFmtId="0" fontId="90" fillId="0" borderId="0" xfId="46" applyFont="1" applyAlignment="1" applyProtection="1">
      <alignment vertical="center"/>
      <protection locked="0"/>
    </xf>
    <xf numFmtId="43" fontId="90" fillId="0" borderId="0" xfId="46" applyNumberFormat="1" applyFont="1" applyBorder="1" applyAlignment="1" applyProtection="1">
      <alignment horizontal="left" vertical="center"/>
    </xf>
    <xf numFmtId="0" fontId="10" fillId="0" borderId="0" xfId="0" applyFont="1" applyAlignment="1" applyProtection="1">
      <alignment horizontal="right" vertical="center"/>
      <protection locked="0"/>
    </xf>
    <xf numFmtId="43" fontId="10" fillId="0" borderId="0" xfId="4" applyNumberFormat="1" applyFont="1" applyBorder="1" applyAlignment="1">
      <alignment horizontal="right" vertical="center"/>
    </xf>
    <xf numFmtId="0" fontId="11" fillId="0" borderId="0" xfId="36" applyFont="1" applyAlignment="1">
      <alignment horizontal="right" vertical="center"/>
      <protection locked="0"/>
    </xf>
    <xf numFmtId="43" fontId="10" fillId="5" borderId="1" xfId="1" applyFont="1" applyFill="1" applyBorder="1" applyAlignment="1">
      <alignment horizontal="right" vertical="center" wrapText="1"/>
    </xf>
    <xf numFmtId="10" fontId="10" fillId="5" borderId="1" xfId="47" applyNumberFormat="1" applyFont="1" applyFill="1" applyBorder="1" applyAlignment="1">
      <alignment horizontal="right" vertical="center" wrapText="1"/>
    </xf>
    <xf numFmtId="10" fontId="6" fillId="5" borderId="1" xfId="47" applyNumberFormat="1" applyFont="1" applyFill="1" applyBorder="1" applyAlignment="1">
      <alignment horizontal="right" vertical="center" wrapText="1"/>
    </xf>
    <xf numFmtId="43" fontId="13" fillId="5" borderId="1" xfId="0" applyNumberFormat="1" applyFont="1" applyFill="1" applyBorder="1" applyAlignment="1" applyProtection="1">
      <alignment horizontal="left" vertical="center" wrapText="1" indent="1"/>
      <protection locked="0"/>
    </xf>
    <xf numFmtId="43" fontId="35" fillId="5" borderId="1" xfId="0" applyNumberFormat="1" applyFont="1" applyFill="1" applyBorder="1" applyAlignment="1">
      <alignment horizontal="justify" vertical="center" wrapText="1"/>
    </xf>
    <xf numFmtId="43" fontId="37" fillId="5" borderId="1" xfId="1" applyFont="1" applyFill="1" applyBorder="1" applyAlignment="1">
      <alignment horizontal="justify" vertical="center" wrapText="1"/>
    </xf>
    <xf numFmtId="43" fontId="37" fillId="5" borderId="1" xfId="0" applyNumberFormat="1" applyFont="1" applyFill="1" applyBorder="1" applyAlignment="1">
      <alignment horizontal="justify" vertical="center" wrapText="1"/>
    </xf>
    <xf numFmtId="10" fontId="37" fillId="5" borderId="1" xfId="47" applyNumberFormat="1" applyFont="1" applyFill="1" applyBorder="1" applyAlignment="1">
      <alignment horizontal="right" vertical="center" wrapText="1"/>
    </xf>
    <xf numFmtId="10" fontId="37" fillId="5" borderId="8" xfId="47" applyNumberFormat="1" applyFont="1" applyFill="1" applyBorder="1" applyAlignment="1">
      <alignment horizontal="right" vertical="center" wrapText="1"/>
    </xf>
    <xf numFmtId="43" fontId="37" fillId="5" borderId="8" xfId="1" applyFont="1" applyFill="1" applyBorder="1" applyAlignment="1">
      <alignment horizontal="justify" vertical="center" wrapText="1"/>
    </xf>
    <xf numFmtId="0" fontId="16" fillId="0" borderId="0" xfId="36" applyFont="1" applyAlignment="1">
      <alignment vertical="center"/>
      <protection locked="0"/>
    </xf>
    <xf numFmtId="190" fontId="65" fillId="0" borderId="1" xfId="63" applyFont="1" applyBorder="1" applyAlignment="1">
      <alignment horizontal="center" vertical="center" wrapText="1"/>
    </xf>
    <xf numFmtId="0" fontId="16" fillId="0" borderId="14" xfId="0" applyFont="1" applyFill="1" applyBorder="1" applyAlignment="1" applyProtection="1">
      <alignment horizontal="left" vertical="center" wrapText="1"/>
      <protection locked="0"/>
    </xf>
    <xf numFmtId="0" fontId="18" fillId="0" borderId="0" xfId="0" applyFont="1" applyFill="1" applyAlignment="1" applyProtection="1">
      <alignment vertical="center" wrapText="1"/>
      <protection locked="0"/>
    </xf>
    <xf numFmtId="0" fontId="6" fillId="0" borderId="0" xfId="3" applyFont="1" applyFill="1" applyAlignment="1">
      <alignment vertical="center" wrapText="1"/>
    </xf>
    <xf numFmtId="0" fontId="6" fillId="5" borderId="1" xfId="58" applyFont="1" applyFill="1" applyBorder="1" applyAlignment="1" applyProtection="1">
      <alignment horizontal="center" vertical="center" wrapText="1"/>
    </xf>
    <xf numFmtId="0" fontId="16" fillId="5" borderId="1" xfId="58" applyFont="1" applyFill="1" applyBorder="1" applyAlignment="1" applyProtection="1">
      <alignment horizontal="center" vertical="center"/>
    </xf>
    <xf numFmtId="190" fontId="16" fillId="5" borderId="1" xfId="59" applyFont="1" applyFill="1" applyBorder="1" applyAlignment="1" applyProtection="1">
      <alignment horizontal="center" vertical="center" wrapText="1"/>
      <protection locked="0"/>
    </xf>
    <xf numFmtId="0" fontId="10" fillId="0" borderId="1" xfId="36" applyFont="1" applyFill="1" applyBorder="1" applyAlignment="1">
      <alignment horizontal="center" vertical="center"/>
      <protection locked="0"/>
    </xf>
    <xf numFmtId="0" fontId="18" fillId="0" borderId="0" xfId="0" applyFont="1" applyAlignment="1">
      <alignment horizontal="center" vertical="center"/>
    </xf>
    <xf numFmtId="0" fontId="16" fillId="5" borderId="1" xfId="64" applyFont="1" applyFill="1" applyBorder="1" applyAlignment="1" applyProtection="1">
      <alignment horizontal="center" vertical="center" wrapText="1"/>
      <protection locked="0"/>
    </xf>
    <xf numFmtId="190" fontId="11" fillId="0" borderId="1" xfId="63" applyFont="1" applyBorder="1" applyAlignment="1" applyProtection="1">
      <alignment horizontal="center" vertical="center" wrapText="1"/>
      <protection locked="0"/>
    </xf>
    <xf numFmtId="0" fontId="10" fillId="0" borderId="1" xfId="64" applyFont="1" applyFill="1" applyBorder="1" applyAlignment="1" applyProtection="1">
      <alignment horizontal="left" vertical="center" wrapText="1"/>
      <protection locked="0"/>
    </xf>
    <xf numFmtId="190" fontId="6" fillId="0" borderId="0" xfId="51" applyFont="1" applyAlignment="1">
      <alignment horizontal="center" vertical="center"/>
    </xf>
    <xf numFmtId="190" fontId="8" fillId="0" borderId="0" xfId="51" applyFont="1" applyAlignment="1">
      <alignment horizontal="center" vertical="center"/>
    </xf>
    <xf numFmtId="49" fontId="6" fillId="5" borderId="1" xfId="63" applyNumberFormat="1" applyFont="1" applyFill="1" applyBorder="1" applyAlignment="1" applyProtection="1">
      <alignment horizontal="center" vertical="center"/>
      <protection locked="0"/>
    </xf>
    <xf numFmtId="190" fontId="6" fillId="5" borderId="1" xfId="63" applyFont="1" applyFill="1" applyBorder="1" applyAlignment="1" applyProtection="1">
      <alignment horizontal="center" vertical="center" wrapText="1"/>
      <protection locked="0"/>
    </xf>
    <xf numFmtId="0" fontId="10" fillId="0" borderId="0" xfId="54" applyFont="1" applyAlignment="1" applyProtection="1">
      <alignment horizontal="center" vertical="center" wrapText="1"/>
      <protection locked="0"/>
    </xf>
    <xf numFmtId="0" fontId="16" fillId="5" borderId="1" xfId="64" applyFont="1" applyFill="1" applyBorder="1" applyAlignment="1" applyProtection="1">
      <alignment horizontal="center" vertical="center"/>
      <protection locked="0"/>
    </xf>
    <xf numFmtId="0" fontId="6" fillId="5" borderId="1" xfId="64" applyFont="1" applyFill="1" applyBorder="1" applyAlignment="1" applyProtection="1">
      <alignment horizontal="center" vertical="center"/>
      <protection locked="0"/>
    </xf>
    <xf numFmtId="190" fontId="76" fillId="0" borderId="0" xfId="51" applyFont="1" applyAlignment="1">
      <alignment horizontal="center" vertical="center"/>
    </xf>
    <xf numFmtId="190" fontId="6" fillId="0" borderId="1" xfId="65" applyFont="1" applyBorder="1" applyAlignment="1" applyProtection="1">
      <alignment horizontal="center" vertical="center" wrapText="1"/>
      <protection locked="0"/>
    </xf>
    <xf numFmtId="190" fontId="6" fillId="0" borderId="1" xfId="65" applyFont="1" applyBorder="1" applyAlignment="1" applyProtection="1">
      <alignment horizontal="center" vertical="center"/>
      <protection locked="0"/>
    </xf>
    <xf numFmtId="0" fontId="10" fillId="0" borderId="2" xfId="66" applyFont="1" applyBorder="1" applyAlignment="1" applyProtection="1">
      <alignment horizontal="center" vertical="center" wrapText="1"/>
      <protection locked="0"/>
    </xf>
    <xf numFmtId="0" fontId="10" fillId="0" borderId="3" xfId="66" applyFont="1" applyBorder="1" applyAlignment="1" applyProtection="1">
      <alignment horizontal="center" vertical="center" wrapText="1"/>
      <protection locked="0"/>
    </xf>
    <xf numFmtId="0" fontId="10" fillId="0" borderId="4" xfId="66" applyFont="1" applyBorder="1" applyAlignment="1" applyProtection="1">
      <alignment horizontal="center" vertical="center" wrapText="1"/>
      <protection locked="0"/>
    </xf>
    <xf numFmtId="190" fontId="10" fillId="0" borderId="15" xfId="65" applyFont="1" applyBorder="1" applyAlignment="1" applyProtection="1">
      <alignment horizontal="left" vertical="center" wrapText="1"/>
      <protection locked="0"/>
    </xf>
    <xf numFmtId="190" fontId="6" fillId="5" borderId="1" xfId="65" applyFont="1" applyFill="1" applyBorder="1" applyAlignment="1" applyProtection="1">
      <alignment horizontal="center" vertical="center" wrapText="1"/>
      <protection locked="0"/>
    </xf>
    <xf numFmtId="190" fontId="6" fillId="5" borderId="2" xfId="65" applyFont="1" applyFill="1" applyBorder="1" applyAlignment="1" applyProtection="1">
      <alignment horizontal="center" vertical="center" wrapText="1"/>
      <protection locked="0"/>
    </xf>
    <xf numFmtId="190" fontId="6" fillId="5" borderId="4" xfId="65" applyFont="1" applyFill="1" applyBorder="1" applyAlignment="1" applyProtection="1">
      <alignment horizontal="center" vertical="center" wrapText="1"/>
      <protection locked="0"/>
    </xf>
    <xf numFmtId="190" fontId="6" fillId="5" borderId="1" xfId="65" applyFont="1" applyFill="1" applyBorder="1" applyAlignment="1" applyProtection="1">
      <alignment horizontal="center" vertical="center"/>
      <protection locked="0"/>
    </xf>
    <xf numFmtId="190" fontId="10" fillId="0" borderId="1" xfId="65" applyFont="1" applyBorder="1" applyAlignment="1" applyProtection="1">
      <alignment horizontal="left" vertical="center" wrapText="1"/>
      <protection locked="0"/>
    </xf>
    <xf numFmtId="0" fontId="6" fillId="5" borderId="1" xfId="55" applyFont="1" applyFill="1" applyBorder="1" applyAlignment="1">
      <alignment horizontal="left" vertical="center" wrapText="1"/>
    </xf>
    <xf numFmtId="190" fontId="38" fillId="5" borderId="2" xfId="65" applyFont="1" applyFill="1" applyBorder="1" applyAlignment="1">
      <alignment horizontal="center" vertical="center" wrapText="1"/>
    </xf>
    <xf numFmtId="190" fontId="38" fillId="5" borderId="4" xfId="65" applyFont="1" applyFill="1" applyBorder="1" applyAlignment="1">
      <alignment horizontal="center" vertical="center" wrapText="1"/>
    </xf>
    <xf numFmtId="190" fontId="37" fillId="5" borderId="1" xfId="65" applyFont="1" applyFill="1" applyBorder="1" applyAlignment="1">
      <alignment horizontal="center" vertical="center" wrapText="1"/>
    </xf>
    <xf numFmtId="0" fontId="6" fillId="0" borderId="1" xfId="55" applyFont="1" applyBorder="1" applyAlignment="1">
      <alignment horizontal="left" vertical="center" wrapText="1"/>
    </xf>
    <xf numFmtId="190" fontId="38" fillId="0" borderId="2" xfId="65" applyFont="1" applyBorder="1" applyAlignment="1">
      <alignment horizontal="center" vertical="center" wrapText="1"/>
    </xf>
    <xf numFmtId="190" fontId="38" fillId="0" borderId="4" xfId="65" applyFont="1" applyBorder="1" applyAlignment="1">
      <alignment horizontal="center" vertical="center" wrapText="1"/>
    </xf>
    <xf numFmtId="190" fontId="37" fillId="0" borderId="1" xfId="65" applyFont="1" applyBorder="1" applyAlignment="1">
      <alignment horizontal="center" vertical="center" wrapText="1"/>
    </xf>
    <xf numFmtId="0" fontId="11" fillId="0" borderId="1" xfId="55" applyFont="1" applyBorder="1" applyAlignment="1">
      <alignment horizontal="left" vertical="center" wrapText="1"/>
    </xf>
    <xf numFmtId="0" fontId="10" fillId="0" borderId="1" xfId="55" applyFont="1" applyBorder="1" applyAlignment="1">
      <alignment horizontal="left" vertical="center" wrapText="1"/>
    </xf>
    <xf numFmtId="0" fontId="11" fillId="5" borderId="1" xfId="55" applyFont="1" applyFill="1" applyBorder="1" applyAlignment="1">
      <alignment horizontal="left" vertical="center" wrapText="1"/>
    </xf>
    <xf numFmtId="0" fontId="10" fillId="5" borderId="1" xfId="55" applyFont="1" applyFill="1" applyBorder="1" applyAlignment="1">
      <alignment horizontal="left" vertical="center" wrapText="1"/>
    </xf>
    <xf numFmtId="0" fontId="81" fillId="0" borderId="1" xfId="55" applyFont="1" applyBorder="1" applyAlignment="1">
      <alignment horizontal="left" vertical="center" wrapText="1"/>
    </xf>
    <xf numFmtId="0" fontId="82" fillId="0" borderId="1" xfId="55" applyFont="1" applyBorder="1" applyAlignment="1">
      <alignment horizontal="left" vertical="center" wrapText="1"/>
    </xf>
    <xf numFmtId="190" fontId="38" fillId="0" borderId="15" xfId="63" applyFont="1" applyBorder="1" applyAlignment="1">
      <alignment horizontal="left" vertical="center" wrapText="1"/>
    </xf>
    <xf numFmtId="190" fontId="38" fillId="0" borderId="0" xfId="63" applyFont="1" applyBorder="1" applyAlignment="1">
      <alignment horizontal="left" vertical="center" wrapText="1"/>
    </xf>
    <xf numFmtId="0" fontId="11" fillId="0" borderId="15" xfId="49" applyFont="1" applyFill="1" applyBorder="1" applyAlignment="1" applyProtection="1">
      <alignment horizontal="left" vertical="center" wrapText="1"/>
    </xf>
    <xf numFmtId="0" fontId="11" fillId="0" borderId="0" xfId="49" applyFont="1" applyFill="1" applyBorder="1" applyAlignment="1" applyProtection="1">
      <alignment horizontal="left" vertical="center" wrapText="1"/>
    </xf>
    <xf numFmtId="0" fontId="11" fillId="0" borderId="14" xfId="49" applyFont="1" applyFill="1" applyBorder="1" applyAlignment="1" applyProtection="1">
      <alignment horizontal="left" vertical="center" wrapText="1"/>
    </xf>
    <xf numFmtId="0" fontId="87" fillId="0" borderId="15" xfId="49" applyFont="1" applyFill="1" applyBorder="1" applyAlignment="1" applyProtection="1">
      <alignment horizontal="left" vertical="center" wrapText="1"/>
    </xf>
    <xf numFmtId="0" fontId="87" fillId="0" borderId="0" xfId="49" applyFont="1" applyFill="1" applyBorder="1" applyAlignment="1" applyProtection="1">
      <alignment horizontal="left" vertical="center" wrapText="1"/>
    </xf>
    <xf numFmtId="0" fontId="87" fillId="0" borderId="14" xfId="49" applyFont="1" applyFill="1" applyBorder="1" applyAlignment="1" applyProtection="1">
      <alignment horizontal="left" vertical="center" wrapText="1"/>
    </xf>
    <xf numFmtId="0" fontId="84" fillId="5" borderId="1" xfId="55" applyFont="1" applyFill="1" applyBorder="1" applyAlignment="1">
      <alignment horizontal="left" vertical="center" wrapText="1"/>
    </xf>
    <xf numFmtId="0" fontId="61" fillId="5" borderId="1" xfId="55" applyFont="1" applyFill="1" applyBorder="1" applyAlignment="1">
      <alignment horizontal="left" vertical="center" wrapText="1"/>
    </xf>
    <xf numFmtId="0" fontId="9" fillId="0" borderId="0" xfId="2" applyFont="1" applyAlignment="1">
      <alignment horizontal="center" vertical="center" wrapText="1"/>
    </xf>
    <xf numFmtId="0" fontId="88" fillId="0" borderId="0" xfId="2" applyFont="1" applyAlignment="1">
      <alignment horizontal="center" vertical="center" wrapText="1"/>
    </xf>
    <xf numFmtId="0" fontId="40" fillId="5" borderId="7" xfId="0" applyFont="1" applyFill="1" applyBorder="1" applyAlignment="1">
      <alignment horizontal="center" vertical="center" wrapText="1"/>
    </xf>
    <xf numFmtId="0" fontId="40" fillId="5" borderId="8" xfId="0" applyFont="1" applyFill="1" applyBorder="1" applyAlignment="1">
      <alignment horizontal="center" vertical="center" wrapText="1"/>
    </xf>
    <xf numFmtId="0" fontId="40" fillId="5" borderId="2" xfId="0" applyFont="1" applyFill="1" applyBorder="1" applyAlignment="1">
      <alignment horizontal="center" vertical="center" wrapText="1"/>
    </xf>
    <xf numFmtId="0" fontId="40" fillId="5" borderId="4" xfId="0" applyFont="1" applyFill="1" applyBorder="1" applyAlignment="1">
      <alignment horizontal="center" vertical="center" wrapText="1"/>
    </xf>
    <xf numFmtId="0" fontId="6" fillId="5" borderId="1" xfId="0" applyFont="1" applyFill="1" applyBorder="1" applyAlignment="1" applyProtection="1">
      <alignment horizontal="center" vertical="center" wrapText="1"/>
      <protection locked="0"/>
    </xf>
    <xf numFmtId="190" fontId="18" fillId="5" borderId="2" xfId="37" applyNumberFormat="1" applyFont="1" applyFill="1" applyBorder="1" applyAlignment="1" applyProtection="1">
      <alignment horizontal="center" vertical="center" wrapText="1"/>
      <protection locked="0"/>
    </xf>
    <xf numFmtId="190" fontId="18" fillId="5" borderId="4" xfId="37" applyNumberFormat="1" applyFont="1" applyFill="1" applyBorder="1" applyAlignment="1" applyProtection="1">
      <alignment horizontal="center" vertical="center" wrapText="1"/>
      <protection locked="0"/>
    </xf>
    <xf numFmtId="190" fontId="18" fillId="5" borderId="1" xfId="37" applyNumberFormat="1" applyFont="1" applyFill="1" applyBorder="1" applyAlignment="1" applyProtection="1">
      <alignment horizontal="center" vertical="center" wrapText="1"/>
      <protection locked="0"/>
    </xf>
    <xf numFmtId="0" fontId="6" fillId="5" borderId="1" xfId="37" applyFont="1" applyFill="1" applyBorder="1" applyAlignment="1" applyProtection="1">
      <alignment horizontal="center" vertical="center" wrapText="1"/>
      <protection locked="0"/>
    </xf>
    <xf numFmtId="190" fontId="6" fillId="5" borderId="12" xfId="48" applyFont="1" applyFill="1" applyBorder="1" applyAlignment="1" applyProtection="1">
      <alignment horizontal="center" vertical="center" wrapText="1"/>
      <protection locked="0"/>
    </xf>
    <xf numFmtId="190" fontId="6" fillId="5" borderId="13" xfId="48" applyFont="1" applyFill="1" applyBorder="1" applyAlignment="1" applyProtection="1">
      <alignment horizontal="center" vertical="center" wrapText="1"/>
      <protection locked="0"/>
    </xf>
    <xf numFmtId="190" fontId="6" fillId="5" borderId="2" xfId="48" applyFont="1" applyFill="1" applyBorder="1" applyAlignment="1" applyProtection="1">
      <alignment horizontal="center" vertical="center" wrapText="1"/>
      <protection locked="0"/>
    </xf>
    <xf numFmtId="190" fontId="6" fillId="5" borderId="3" xfId="48" applyFont="1" applyFill="1" applyBorder="1" applyAlignment="1" applyProtection="1">
      <alignment horizontal="center" vertical="center" wrapText="1"/>
      <protection locked="0"/>
    </xf>
    <xf numFmtId="190" fontId="6" fillId="5" borderId="4" xfId="48" applyFont="1" applyFill="1" applyBorder="1" applyAlignment="1" applyProtection="1">
      <alignment horizontal="center" vertical="center" wrapText="1"/>
      <protection locked="0"/>
    </xf>
    <xf numFmtId="0" fontId="40" fillId="5" borderId="7" xfId="0" applyFont="1" applyFill="1" applyBorder="1" applyAlignment="1">
      <alignment horizontal="center" vertical="center"/>
    </xf>
    <xf numFmtId="0" fontId="40" fillId="5" borderId="8" xfId="0" applyFont="1" applyFill="1" applyBorder="1" applyAlignment="1">
      <alignment horizontal="center" vertical="center"/>
    </xf>
    <xf numFmtId="0" fontId="40" fillId="5" borderId="7" xfId="0" applyFont="1" applyFill="1" applyBorder="1">
      <alignment vertical="center"/>
    </xf>
    <xf numFmtId="0" fontId="40" fillId="5" borderId="8" xfId="0" applyFont="1" applyFill="1" applyBorder="1">
      <alignment vertical="center"/>
    </xf>
    <xf numFmtId="0" fontId="40" fillId="5" borderId="2" xfId="0" applyFont="1" applyFill="1" applyBorder="1" applyAlignment="1">
      <alignment horizontal="center" vertical="center"/>
    </xf>
    <xf numFmtId="0" fontId="40" fillId="5" borderId="4" xfId="0" applyFont="1" applyFill="1" applyBorder="1" applyAlignment="1">
      <alignment horizontal="center" vertical="center"/>
    </xf>
    <xf numFmtId="0" fontId="35" fillId="5" borderId="7" xfId="0" applyFont="1" applyFill="1" applyBorder="1" applyAlignment="1">
      <alignment horizontal="center" vertical="center" wrapText="1"/>
    </xf>
    <xf numFmtId="0" fontId="35" fillId="5" borderId="8" xfId="0" applyFont="1" applyFill="1" applyBorder="1" applyAlignment="1">
      <alignment horizontal="center" vertical="center" wrapText="1"/>
    </xf>
    <xf numFmtId="0" fontId="40" fillId="5" borderId="3" xfId="0" applyFont="1" applyFill="1" applyBorder="1" applyAlignment="1">
      <alignment horizontal="center" vertical="center" wrapText="1"/>
    </xf>
    <xf numFmtId="0" fontId="35" fillId="5" borderId="2" xfId="0" applyFont="1" applyFill="1" applyBorder="1" applyAlignment="1">
      <alignment horizontal="center" vertical="center" wrapText="1"/>
    </xf>
    <xf numFmtId="0" fontId="35" fillId="5" borderId="3" xfId="0" applyFont="1" applyFill="1" applyBorder="1" applyAlignment="1">
      <alignment horizontal="center" vertical="center" wrapText="1"/>
    </xf>
    <xf numFmtId="0" fontId="35" fillId="5" borderId="4" xfId="0" applyFont="1" applyFill="1" applyBorder="1" applyAlignment="1">
      <alignment horizontal="center" vertical="center" wrapText="1"/>
    </xf>
    <xf numFmtId="0" fontId="46" fillId="0" borderId="0" xfId="0" applyFont="1" applyAlignment="1">
      <alignment horizontal="center" vertical="center"/>
    </xf>
    <xf numFmtId="0" fontId="49" fillId="0" borderId="0" xfId="0" applyFont="1" applyAlignment="1">
      <alignment horizontal="left" vertical="center" wrapText="1"/>
    </xf>
    <xf numFmtId="0" fontId="37" fillId="0" borderId="0" xfId="0" applyFont="1" applyAlignment="1">
      <alignment horizontal="left" vertical="center" wrapText="1"/>
    </xf>
    <xf numFmtId="0" fontId="49" fillId="0" borderId="0" xfId="0" applyFont="1" applyAlignment="1">
      <alignment horizontal="left" vertical="center"/>
    </xf>
    <xf numFmtId="0" fontId="35" fillId="0" borderId="9" xfId="0" applyFont="1" applyBorder="1" applyAlignment="1">
      <alignment horizontal="left" vertical="center" wrapText="1"/>
    </xf>
    <xf numFmtId="0" fontId="35" fillId="0" borderId="10" xfId="0" applyFont="1" applyBorder="1" applyAlignment="1">
      <alignment horizontal="left" vertical="center" wrapText="1"/>
    </xf>
    <xf numFmtId="0" fontId="35" fillId="0" borderId="11" xfId="0" applyFont="1" applyBorder="1" applyAlignment="1">
      <alignment horizontal="center" vertical="center" wrapText="1"/>
    </xf>
    <xf numFmtId="0" fontId="40" fillId="0" borderId="11" xfId="0" applyFont="1" applyBorder="1" applyAlignment="1">
      <alignment horizontal="left" vertical="center"/>
    </xf>
    <xf numFmtId="0" fontId="40" fillId="0" borderId="11" xfId="0" applyFont="1" applyBorder="1" applyAlignment="1">
      <alignment horizontal="right" vertical="center"/>
    </xf>
    <xf numFmtId="0" fontId="40" fillId="0" borderId="9" xfId="0" applyFont="1" applyBorder="1" applyAlignment="1">
      <alignment horizontal="center" vertical="top" wrapText="1"/>
    </xf>
    <xf numFmtId="0" fontId="40" fillId="0" borderId="10" xfId="0" applyFont="1" applyBorder="1" applyAlignment="1">
      <alignment horizontal="center" vertical="top" wrapText="1"/>
    </xf>
    <xf numFmtId="0" fontId="40" fillId="0" borderId="11" xfId="0" applyFont="1" applyBorder="1" applyAlignment="1">
      <alignment horizontal="justify" vertical="center" wrapText="1"/>
    </xf>
    <xf numFmtId="0" fontId="37" fillId="0" borderId="0" xfId="0" applyFont="1" applyAlignment="1">
      <alignment horizontal="left" vertical="center"/>
    </xf>
    <xf numFmtId="0" fontId="35" fillId="0" borderId="11" xfId="0" applyFont="1" applyBorder="1" applyAlignment="1">
      <alignment horizontal="left" vertical="center" wrapText="1"/>
    </xf>
    <xf numFmtId="0" fontId="40" fillId="0" borderId="11" xfId="0" applyFont="1" applyBorder="1" applyAlignment="1">
      <alignment horizontal="center" vertical="center"/>
    </xf>
    <xf numFmtId="0" fontId="9" fillId="0" borderId="0" xfId="2" applyFont="1" applyAlignment="1">
      <alignment horizontal="center" vertical="center"/>
    </xf>
    <xf numFmtId="0" fontId="88" fillId="0" borderId="0" xfId="2" applyFont="1" applyAlignment="1">
      <alignment horizontal="center" vertical="center"/>
    </xf>
    <xf numFmtId="0" fontId="18" fillId="5" borderId="7" xfId="0" applyFont="1" applyFill="1" applyBorder="1" applyAlignment="1" applyProtection="1">
      <alignment horizontal="center" vertical="center"/>
      <protection locked="0"/>
    </xf>
    <xf numFmtId="0" fontId="18" fillId="5" borderId="8" xfId="0" applyFont="1" applyFill="1" applyBorder="1" applyAlignment="1" applyProtection="1">
      <alignment horizontal="center" vertical="center"/>
      <protection locked="0"/>
    </xf>
    <xf numFmtId="0" fontId="18" fillId="5" borderId="2" xfId="0" applyFont="1" applyFill="1" applyBorder="1" applyAlignment="1" applyProtection="1">
      <alignment horizontal="center" vertical="center" wrapText="1"/>
      <protection locked="0"/>
    </xf>
    <xf numFmtId="0" fontId="18" fillId="5" borderId="3" xfId="0" applyFont="1" applyFill="1" applyBorder="1" applyAlignment="1" applyProtection="1">
      <alignment horizontal="center" vertical="center" wrapText="1"/>
      <protection locked="0"/>
    </xf>
    <xf numFmtId="0" fontId="18" fillId="5" borderId="4" xfId="0" applyFont="1" applyFill="1" applyBorder="1" applyAlignment="1" applyProtection="1">
      <alignment horizontal="center" vertical="center" wrapText="1"/>
      <protection locked="0"/>
    </xf>
    <xf numFmtId="190" fontId="18" fillId="5" borderId="2" xfId="48" applyFont="1" applyFill="1" applyBorder="1" applyAlignment="1" applyProtection="1">
      <alignment horizontal="center" vertical="center"/>
      <protection locked="0"/>
    </xf>
    <xf numFmtId="190" fontId="18" fillId="5" borderId="3" xfId="48" applyFont="1" applyFill="1" applyBorder="1" applyAlignment="1" applyProtection="1">
      <alignment horizontal="center" vertical="center"/>
      <protection locked="0"/>
    </xf>
    <xf numFmtId="190" fontId="18" fillId="5" borderId="4" xfId="48" applyFont="1" applyFill="1" applyBorder="1" applyAlignment="1" applyProtection="1">
      <alignment horizontal="center" vertical="center"/>
      <protection locked="0"/>
    </xf>
    <xf numFmtId="190" fontId="18" fillId="5" borderId="7" xfId="48" applyFont="1" applyFill="1" applyBorder="1" applyAlignment="1" applyProtection="1">
      <alignment horizontal="center" vertical="center"/>
      <protection locked="0"/>
    </xf>
    <xf numFmtId="190" fontId="18" fillId="5" borderId="8" xfId="48" applyFont="1" applyFill="1" applyBorder="1" applyAlignment="1" applyProtection="1">
      <alignment horizontal="center" vertical="center"/>
      <protection locked="0"/>
    </xf>
    <xf numFmtId="190" fontId="18" fillId="5" borderId="1" xfId="48" applyFont="1" applyFill="1" applyBorder="1" applyAlignment="1" applyProtection="1">
      <alignment horizontal="center" vertical="center"/>
      <protection locked="0"/>
    </xf>
    <xf numFmtId="0" fontId="18" fillId="5" borderId="1" xfId="0" applyFont="1" applyFill="1" applyBorder="1" applyAlignment="1" applyProtection="1">
      <alignment horizontal="center" vertical="center"/>
      <protection locked="0"/>
    </xf>
    <xf numFmtId="0" fontId="20" fillId="0" borderId="0" xfId="58" applyFont="1" applyAlignment="1">
      <alignment horizontal="left" vertical="center" wrapText="1"/>
      <protection locked="0"/>
    </xf>
    <xf numFmtId="0" fontId="10" fillId="0" borderId="0" xfId="58" applyFont="1" applyAlignment="1">
      <alignment horizontal="left" vertical="center" wrapText="1"/>
      <protection locked="0"/>
    </xf>
    <xf numFmtId="0" fontId="10" fillId="0" borderId="1" xfId="36" applyFont="1" applyBorder="1" applyAlignment="1">
      <alignment horizontal="left" vertical="center" wrapText="1"/>
      <protection locked="0"/>
    </xf>
    <xf numFmtId="0" fontId="9" fillId="0" borderId="0" xfId="45" applyFont="1" applyAlignment="1">
      <alignment horizontal="center" vertical="center"/>
    </xf>
    <xf numFmtId="0" fontId="88" fillId="0" borderId="0" xfId="45" applyFont="1" applyAlignment="1">
      <alignment horizontal="center" vertical="center"/>
    </xf>
    <xf numFmtId="0" fontId="6" fillId="5" borderId="1" xfId="36" applyFont="1" applyFill="1" applyBorder="1" applyAlignment="1">
      <alignment horizontal="center" vertical="center"/>
      <protection locked="0"/>
    </xf>
    <xf numFmtId="190" fontId="50" fillId="0" borderId="0" xfId="67" applyFont="1" applyFill="1" applyAlignment="1">
      <alignment horizontal="left" vertical="center"/>
    </xf>
    <xf numFmtId="0" fontId="88" fillId="0" borderId="0" xfId="0" applyFont="1" applyAlignment="1" applyProtection="1">
      <alignment horizontal="center" vertical="center"/>
      <protection locked="0"/>
    </xf>
    <xf numFmtId="0" fontId="8" fillId="0" borderId="0" xfId="0" applyFont="1" applyAlignment="1" applyProtection="1">
      <alignment horizontal="left" vertical="center" wrapText="1"/>
      <protection locked="0"/>
    </xf>
    <xf numFmtId="0" fontId="93" fillId="0" borderId="0" xfId="0" applyFont="1" applyAlignment="1" applyProtection="1">
      <alignment horizontal="left" vertical="center" wrapText="1"/>
      <protection locked="0"/>
    </xf>
    <xf numFmtId="43" fontId="9" fillId="0" borderId="0" xfId="4" applyNumberFormat="1" applyFont="1" applyBorder="1" applyAlignment="1">
      <alignment horizontal="center" vertical="center"/>
    </xf>
    <xf numFmtId="43" fontId="88" fillId="0" borderId="0" xfId="4" applyNumberFormat="1" applyFont="1" applyBorder="1" applyAlignment="1">
      <alignment horizontal="center" vertical="center"/>
    </xf>
  </cellXfs>
  <cellStyles count="68">
    <cellStyle name="@_text" xfId="5"/>
    <cellStyle name="{Comma [0]}" xfId="6"/>
    <cellStyle name="{Comma}" xfId="7"/>
    <cellStyle name="{Date}" xfId="8"/>
    <cellStyle name="{Month}" xfId="9"/>
    <cellStyle name="{Percent}" xfId="10"/>
    <cellStyle name="{Thousand [0]}" xfId="11"/>
    <cellStyle name="{Thousand}" xfId="12"/>
    <cellStyle name="{Z'0000(1 dec)}" xfId="13"/>
    <cellStyle name="{Z'0000(4 dec)}" xfId="14"/>
    <cellStyle name="Black" xfId="15"/>
    <cellStyle name="Border" xfId="16"/>
    <cellStyle name="Comma [0]_1995" xfId="17"/>
    <cellStyle name="Comma_1995" xfId="18"/>
    <cellStyle name="Currency [0]_1995" xfId="19"/>
    <cellStyle name="Currency_1995" xfId="20"/>
    <cellStyle name="Dezimal [0]_laroux" xfId="21"/>
    <cellStyle name="Dezimal_laroux" xfId="22"/>
    <cellStyle name="Euro" xfId="23"/>
    <cellStyle name="Followed Hyperlink_AheadBehind.xls Chart 23" xfId="24"/>
    <cellStyle name="Grey" xfId="25"/>
    <cellStyle name="Hyperlink_AheadBehind.xls Chart 23" xfId="26"/>
    <cellStyle name="Input [yellow]" xfId="27"/>
    <cellStyle name="Milliers [0]_laroux" xfId="28"/>
    <cellStyle name="Milliers_laroux" xfId="29"/>
    <cellStyle name="Non défini" xfId="30"/>
    <cellStyle name="Normal - Style1" xfId="31"/>
    <cellStyle name="Normal_22-Jun EUS Forecasts" xfId="32"/>
    <cellStyle name="Percent [2]" xfId="33"/>
    <cellStyle name="Red" xfId="34"/>
    <cellStyle name="百分比" xfId="47" builtinId="5"/>
    <cellStyle name="百分比 2" xfId="35"/>
    <cellStyle name="百分比 2 2" xfId="62"/>
    <cellStyle name="常规" xfId="0" builtinId="0"/>
    <cellStyle name="常规 11 5" xfId="67"/>
    <cellStyle name="常规 12" xfId="55"/>
    <cellStyle name="常规 13" xfId="52"/>
    <cellStyle name="常规 13 2" xfId="65"/>
    <cellStyle name="常规 13 3" xfId="63"/>
    <cellStyle name="常规 2" xfId="36"/>
    <cellStyle name="常规 2 2" xfId="58"/>
    <cellStyle name="常规 2 3" xfId="56"/>
    <cellStyle name="常规 2 8" xfId="57"/>
    <cellStyle name="常规 3" xfId="37"/>
    <cellStyle name="常规 3 2" xfId="53"/>
    <cellStyle name="常规 4" xfId="48"/>
    <cellStyle name="常规 4 2" xfId="59"/>
    <cellStyle name="常规 5" xfId="49"/>
    <cellStyle name="常规 6" xfId="54"/>
    <cellStyle name="常规 6 2" xfId="66"/>
    <cellStyle name="常规 7" xfId="64"/>
    <cellStyle name="常规_2-1项目审定表－模板" xfId="3"/>
    <cellStyle name="常规_Book1" xfId="2"/>
    <cellStyle name="常规_Book1 2" xfId="45"/>
    <cellStyle name="常规_Book1 3" xfId="51"/>
    <cellStyle name="常规_c-资产类" xfId="61"/>
    <cellStyle name="常规_D1货币资金" xfId="50"/>
    <cellStyle name="常规_新审定表" xfId="4"/>
    <cellStyle name="常规_制造费用" xfId="44"/>
    <cellStyle name="超链接" xfId="46" builtinId="8"/>
    <cellStyle name="超链接 2" xfId="60"/>
    <cellStyle name="普通_ 外G9(3)" xfId="38"/>
    <cellStyle name="千分位[0]_宁波" xfId="39"/>
    <cellStyle name="千分位_宁波" xfId="40"/>
    <cellStyle name="千位[0]_laroux" xfId="41"/>
    <cellStyle name="千位_laroux" xfId="42"/>
    <cellStyle name="千位分隔" xfId="1" builtinId="3"/>
    <cellStyle name="千位分隔 2" xfId="43"/>
  </cellStyles>
  <dxfs count="0"/>
  <tableStyles count="0" defaultTableStyle="TableStyleMedium9" defaultPivotStyle="PivotStyleLight16"/>
  <colors>
    <mruColors>
      <color rgb="FF0000FF"/>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24213;&#31295;&#27169;&#26495;/2024&#24180;&#24213;&#31295;&#12289;&#25253;&#21578;&#27169;&#26495;/1.&#33268;&#21516;&#23457;&#35745;&#31243;&#24207;&#21450;&#24213;&#31295;&#27169;&#26495;&#65288;2024&#24180;&#65289;/4.&#39118;&#38505;&#24212;&#23545;-&#23454;&#36136;&#24615;&#31243;&#24207;&#65288;D-Q&#65289;/L%20&#32844;&#24037;&#34218;&#37228;&#24490;&#29615;/L2%20&#38271;&#26399;&#24212;&#20184;&#32844;&#24037;&#34218;&#37228;-&#35774;&#23450;&#21463;&#30410;&#35745;&#21010;&#20928;&#36164;&#201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长期应付职工薪酬实质性程序表 L2A"/>
      <sheetName val="审定表L2"/>
      <sheetName val="附注披露信息（上市公司）L2-1"/>
      <sheetName val="附注披露信息L2-1（国有企业）"/>
      <sheetName val="明细表L2-2"/>
      <sheetName val="调整分录汇总表L2-2-1"/>
      <sheetName val="计提情况检查表L2-3"/>
    </sheetNames>
    <sheetDataSet>
      <sheetData sheetId="0">
        <row r="2">
          <cell r="A2" t="str">
            <v>客户名称：</v>
          </cell>
        </row>
        <row r="3">
          <cell r="A3" t="str">
            <v>截止日：202X年12月31日</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heetViews>
  <sheetFormatPr defaultColWidth="9" defaultRowHeight="15" customHeight="1"/>
  <cols>
    <col min="1" max="1" width="71.77734375" style="5" customWidth="1"/>
    <col min="2" max="2" width="9" style="23"/>
    <col min="3" max="3" width="62" style="5" bestFit="1" customWidth="1"/>
    <col min="4" max="4" width="9" style="5"/>
    <col min="5" max="5" width="9.109375" style="5" customWidth="1"/>
    <col min="6" max="16384" width="9" style="5"/>
  </cols>
  <sheetData>
    <row r="1" spans="1:5" s="53" customFormat="1" ht="19.95" customHeight="1">
      <c r="A1" s="208" t="s">
        <v>318</v>
      </c>
      <c r="B1" s="313"/>
      <c r="C1" s="313"/>
      <c r="D1" s="313"/>
      <c r="E1" s="313"/>
    </row>
    <row r="2" spans="1:5" ht="19.95" customHeight="1">
      <c r="A2" s="210" t="s">
        <v>549</v>
      </c>
      <c r="B2" s="53" t="s">
        <v>75</v>
      </c>
      <c r="C2" s="53" t="s">
        <v>76</v>
      </c>
      <c r="D2" s="53" t="s">
        <v>77</v>
      </c>
      <c r="E2" s="53" t="s">
        <v>78</v>
      </c>
    </row>
    <row r="3" spans="1:5" ht="19.95" customHeight="1">
      <c r="A3" s="209" t="s">
        <v>550</v>
      </c>
      <c r="B3" s="55"/>
      <c r="C3" s="286" t="s">
        <v>540</v>
      </c>
      <c r="D3" s="55" t="s">
        <v>176</v>
      </c>
    </row>
    <row r="4" spans="1:5" ht="19.95" customHeight="1">
      <c r="A4" s="210" t="s">
        <v>551</v>
      </c>
      <c r="B4" s="54">
        <v>1</v>
      </c>
      <c r="C4" s="287" t="s">
        <v>535</v>
      </c>
      <c r="D4" s="55" t="s">
        <v>180</v>
      </c>
      <c r="E4" s="108"/>
    </row>
    <row r="5" spans="1:5" ht="19.95" customHeight="1">
      <c r="A5" s="209" t="s">
        <v>552</v>
      </c>
      <c r="B5" s="54">
        <v>2</v>
      </c>
      <c r="C5" s="287" t="s">
        <v>536</v>
      </c>
      <c r="D5" s="55"/>
      <c r="E5" s="5" t="s">
        <v>182</v>
      </c>
    </row>
    <row r="6" spans="1:5" ht="19.95" customHeight="1">
      <c r="A6" s="209" t="s">
        <v>553</v>
      </c>
      <c r="B6" s="54">
        <v>3</v>
      </c>
      <c r="C6" s="287" t="s">
        <v>537</v>
      </c>
      <c r="D6" s="55"/>
      <c r="E6" s="5" t="s">
        <v>182</v>
      </c>
    </row>
    <row r="7" spans="1:5" ht="19.95" customHeight="1">
      <c r="A7" s="209" t="s">
        <v>554</v>
      </c>
      <c r="B7" s="54">
        <v>4</v>
      </c>
      <c r="C7" s="286" t="s">
        <v>538</v>
      </c>
      <c r="D7" s="55" t="s">
        <v>177</v>
      </c>
    </row>
    <row r="8" spans="1:5" ht="19.95" customHeight="1">
      <c r="B8" s="54">
        <v>5</v>
      </c>
      <c r="C8" s="286" t="s">
        <v>541</v>
      </c>
      <c r="D8" s="55" t="s">
        <v>178</v>
      </c>
    </row>
    <row r="9" spans="1:5" ht="19.95" customHeight="1">
      <c r="A9" s="424" t="s">
        <v>565</v>
      </c>
      <c r="B9" s="54">
        <v>6</v>
      </c>
      <c r="C9" s="286" t="s">
        <v>539</v>
      </c>
      <c r="D9" s="55" t="s">
        <v>179</v>
      </c>
    </row>
    <row r="10" spans="1:5" ht="19.95" customHeight="1">
      <c r="A10" s="425" t="s">
        <v>566</v>
      </c>
    </row>
    <row r="11" spans="1:5" ht="19.95" customHeight="1">
      <c r="A11" s="425"/>
    </row>
    <row r="12" spans="1:5" ht="19.95" customHeight="1">
      <c r="A12" s="425"/>
    </row>
    <row r="13" spans="1:5" ht="19.95" customHeight="1">
      <c r="A13" s="425"/>
    </row>
    <row r="14" spans="1:5" ht="19.95" customHeight="1">
      <c r="A14" s="425" t="s">
        <v>567</v>
      </c>
    </row>
    <row r="15" spans="1:5" ht="19.95" customHeight="1">
      <c r="A15" s="425"/>
    </row>
    <row r="16" spans="1:5" ht="15" customHeight="1">
      <c r="A16" s="425"/>
    </row>
    <row r="17" spans="1:1" ht="15" customHeight="1">
      <c r="A17" s="426" t="s">
        <v>568</v>
      </c>
    </row>
    <row r="18" spans="1:1" ht="15" customHeight="1">
      <c r="A18" s="426"/>
    </row>
    <row r="19" spans="1:1" ht="15" customHeight="1">
      <c r="A19" s="426"/>
    </row>
  </sheetData>
  <mergeCells count="4">
    <mergeCell ref="B1:E1"/>
    <mergeCell ref="A10:A13"/>
    <mergeCell ref="A14:A16"/>
    <mergeCell ref="A17:A19"/>
  </mergeCells>
  <phoneticPr fontId="44" type="noConversion"/>
  <hyperlinks>
    <hyperlink ref="C4" location="'审定表J2-1'!A1" display="长期应付职工薪酬-设定受益计划净资产审定表"/>
    <hyperlink ref="C5" location="'附注披露信息（上市公司）'!A1" display="长期应付职工薪酬-设定受益计划净资产附注披露信息（上市公司）"/>
    <hyperlink ref="C6" location="'附注披露信息（国有企业）'!A1" display="长期应付职工薪酬-设定受益计划净资产附注披露信息（国有企业）"/>
    <hyperlink ref="C7" location="'明细表J2-2'!A1" display="长期应付职工薪酬-设定受益计划净资产明细表"/>
    <hyperlink ref="C9" location="'计提情况检查表J2-4'!A1" display="长期应付职工薪酬-设定受益计划净资产检查表"/>
    <hyperlink ref="C3" location="'长期应付职工薪酬实质性程序表 J2A'!A1" display="长期应付职工薪酬实质性程序表"/>
    <hyperlink ref="C8" location="'调整分录汇总表J2-3'!A1" display="调整分录汇总表"/>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34"/>
  <sheetViews>
    <sheetView tabSelected="1" view="pageBreakPreview" zoomScaleNormal="120" zoomScaleSheetLayoutView="100" workbookViewId="0">
      <selection sqref="A1:I1"/>
    </sheetView>
  </sheetViews>
  <sheetFormatPr defaultColWidth="9" defaultRowHeight="15" customHeight="1"/>
  <cols>
    <col min="1" max="1" width="7.33203125" style="116" customWidth="1"/>
    <col min="2" max="2" width="72.109375" style="116" customWidth="1"/>
    <col min="3" max="3" width="9.44140625" style="116" customWidth="1"/>
    <col min="4" max="4" width="6" style="116" customWidth="1"/>
    <col min="5" max="5" width="7.109375" style="116" customWidth="1"/>
    <col min="6" max="6" width="7.33203125" style="116" customWidth="1"/>
    <col min="7" max="7" width="8" style="116" customWidth="1"/>
    <col min="8" max="8" width="5.77734375" style="116" customWidth="1"/>
    <col min="9" max="9" width="7" style="116" customWidth="1"/>
    <col min="10" max="10" width="13.109375" style="116" customWidth="1"/>
    <col min="11" max="11" width="14.77734375" style="116" customWidth="1"/>
    <col min="12" max="12" width="17.44140625" style="116" customWidth="1"/>
    <col min="13" max="16384" width="9" style="116"/>
  </cols>
  <sheetData>
    <row r="1" spans="1:12" ht="19.95" customHeight="1">
      <c r="A1" s="317" t="s">
        <v>103</v>
      </c>
      <c r="B1" s="317"/>
      <c r="C1" s="317"/>
      <c r="D1" s="317"/>
      <c r="E1" s="317"/>
      <c r="F1" s="317"/>
      <c r="G1" s="317"/>
      <c r="H1" s="317"/>
      <c r="I1" s="317"/>
    </row>
    <row r="2" spans="1:12" s="207" customFormat="1" ht="19.95" customHeight="1">
      <c r="A2" s="318" t="s">
        <v>208</v>
      </c>
      <c r="B2" s="318"/>
      <c r="C2" s="318"/>
      <c r="D2" s="318"/>
      <c r="E2" s="318"/>
      <c r="F2" s="318"/>
      <c r="G2" s="318"/>
      <c r="H2" s="318"/>
      <c r="I2" s="318"/>
    </row>
    <row r="3" spans="1:12" ht="19.95" customHeight="1">
      <c r="A3" s="117" t="str">
        <f>底稿目录!A2</f>
        <v>被审计单位：</v>
      </c>
      <c r="B3" s="117"/>
      <c r="C3" s="118" t="str">
        <f>底稿目录!A4</f>
        <v>编制人：</v>
      </c>
      <c r="D3" s="119"/>
      <c r="E3" s="119" t="str">
        <f>底稿目录!A5</f>
        <v>编制日期：</v>
      </c>
      <c r="F3" s="117"/>
      <c r="G3" s="117"/>
      <c r="H3" s="117" t="s">
        <v>1</v>
      </c>
      <c r="I3" s="154" t="str">
        <f>底稿目录!D3</f>
        <v>J2A</v>
      </c>
    </row>
    <row r="4" spans="1:12" ht="19.95" customHeight="1">
      <c r="A4" s="117" t="str">
        <f>底稿目录!A3</f>
        <v>截止日：</v>
      </c>
      <c r="B4" s="117"/>
      <c r="C4" s="118" t="str">
        <f>底稿目录!A6</f>
        <v>复核人：</v>
      </c>
      <c r="D4" s="119"/>
      <c r="E4" s="119" t="str">
        <f>底稿目录!A7</f>
        <v>复核日期：</v>
      </c>
      <c r="F4" s="117"/>
      <c r="G4" s="117"/>
      <c r="H4" s="117" t="s">
        <v>165</v>
      </c>
      <c r="I4" s="120"/>
    </row>
    <row r="5" spans="1:12" ht="19.95" customHeight="1">
      <c r="A5" s="248" t="s">
        <v>453</v>
      </c>
      <c r="B5" s="249"/>
      <c r="C5" s="249"/>
      <c r="D5" s="249"/>
      <c r="E5" s="117"/>
      <c r="F5" s="117"/>
      <c r="G5" s="117"/>
      <c r="H5" s="117"/>
      <c r="I5" s="117"/>
    </row>
    <row r="6" spans="1:12" ht="19.95" customHeight="1">
      <c r="A6" s="247" t="s">
        <v>452</v>
      </c>
      <c r="B6" s="249"/>
      <c r="C6" s="249"/>
      <c r="D6" s="249"/>
      <c r="E6" s="117"/>
      <c r="F6" s="117"/>
      <c r="G6" s="117"/>
      <c r="H6" s="117"/>
      <c r="I6" s="117"/>
    </row>
    <row r="7" spans="1:12" ht="19.95" customHeight="1">
      <c r="A7" s="246" t="s">
        <v>441</v>
      </c>
      <c r="B7" s="250"/>
      <c r="C7" s="249"/>
      <c r="D7" s="249"/>
      <c r="E7" s="117"/>
      <c r="F7" s="117"/>
      <c r="G7" s="117"/>
      <c r="H7" s="117"/>
      <c r="I7" s="117"/>
      <c r="J7" s="121"/>
      <c r="K7" s="121"/>
    </row>
    <row r="8" spans="1:12" ht="19.95" customHeight="1">
      <c r="A8" s="314" t="s">
        <v>442</v>
      </c>
      <c r="B8" s="314"/>
      <c r="C8" s="314"/>
      <c r="D8" s="314"/>
      <c r="E8" s="314"/>
      <c r="F8" s="314"/>
      <c r="G8" s="314" t="s">
        <v>454</v>
      </c>
      <c r="H8" s="314"/>
      <c r="I8" s="314"/>
      <c r="J8" s="121"/>
      <c r="K8" s="121"/>
    </row>
    <row r="9" spans="1:12" ht="19.95" customHeight="1">
      <c r="A9" s="316" t="s">
        <v>456</v>
      </c>
      <c r="B9" s="316"/>
      <c r="C9" s="316"/>
      <c r="D9" s="316"/>
      <c r="E9" s="316"/>
      <c r="F9" s="316"/>
      <c r="G9" s="315" t="s">
        <v>328</v>
      </c>
      <c r="H9" s="315"/>
      <c r="I9" s="315"/>
      <c r="J9" s="121"/>
      <c r="K9" s="121"/>
    </row>
    <row r="10" spans="1:12" ht="19.95" customHeight="1">
      <c r="A10" s="316" t="s">
        <v>559</v>
      </c>
      <c r="B10" s="316"/>
      <c r="C10" s="316"/>
      <c r="D10" s="316"/>
      <c r="E10" s="316"/>
      <c r="F10" s="316"/>
      <c r="G10" s="315" t="s">
        <v>329</v>
      </c>
      <c r="H10" s="315"/>
      <c r="I10" s="315"/>
      <c r="J10" s="121"/>
      <c r="K10" s="121"/>
    </row>
    <row r="11" spans="1:12" ht="19.95" customHeight="1">
      <c r="A11" s="316" t="s">
        <v>560</v>
      </c>
      <c r="B11" s="316"/>
      <c r="C11" s="316"/>
      <c r="D11" s="316"/>
      <c r="E11" s="316"/>
      <c r="F11" s="316"/>
      <c r="G11" s="315" t="s">
        <v>330</v>
      </c>
      <c r="H11" s="315"/>
      <c r="I11" s="315"/>
      <c r="J11" s="121"/>
      <c r="K11" s="121"/>
    </row>
    <row r="12" spans="1:12" ht="19.95" customHeight="1">
      <c r="A12" s="316" t="s">
        <v>561</v>
      </c>
      <c r="B12" s="316"/>
      <c r="C12" s="316"/>
      <c r="D12" s="316"/>
      <c r="E12" s="316"/>
      <c r="F12" s="316"/>
      <c r="G12" s="315" t="s">
        <v>331</v>
      </c>
      <c r="H12" s="315"/>
      <c r="I12" s="315"/>
      <c r="J12" s="121"/>
      <c r="K12" s="121"/>
    </row>
    <row r="13" spans="1:12" ht="19.95" customHeight="1">
      <c r="A13" s="316" t="s">
        <v>562</v>
      </c>
      <c r="B13" s="316"/>
      <c r="C13" s="316"/>
      <c r="D13" s="316"/>
      <c r="E13" s="316"/>
      <c r="F13" s="316"/>
      <c r="G13" s="315" t="s">
        <v>332</v>
      </c>
      <c r="H13" s="315"/>
      <c r="I13" s="315"/>
      <c r="J13" s="121"/>
      <c r="K13" s="121"/>
    </row>
    <row r="14" spans="1:12" ht="19.95" customHeight="1">
      <c r="A14" s="251" t="s">
        <v>455</v>
      </c>
      <c r="B14" s="252"/>
      <c r="C14" s="253"/>
      <c r="D14" s="254"/>
      <c r="E14" s="132"/>
      <c r="F14" s="321"/>
      <c r="G14" s="321"/>
      <c r="H14" s="321"/>
      <c r="I14" s="133"/>
      <c r="J14" s="121"/>
      <c r="K14" s="121"/>
    </row>
    <row r="15" spans="1:12" ht="22.8" customHeight="1">
      <c r="A15" s="319" t="s">
        <v>443</v>
      </c>
      <c r="B15" s="314" t="s">
        <v>564</v>
      </c>
      <c r="C15" s="320" t="s">
        <v>444</v>
      </c>
      <c r="D15" s="322" t="s">
        <v>445</v>
      </c>
      <c r="E15" s="323"/>
      <c r="F15" s="323"/>
      <c r="G15" s="323"/>
      <c r="H15" s="323"/>
      <c r="I15" s="320" t="s">
        <v>446</v>
      </c>
      <c r="J15" s="121"/>
      <c r="K15" s="121"/>
      <c r="L15" s="155"/>
    </row>
    <row r="16" spans="1:12" ht="34.799999999999997" customHeight="1">
      <c r="A16" s="319"/>
      <c r="B16" s="314"/>
      <c r="C16" s="320"/>
      <c r="D16" s="148" t="s">
        <v>447</v>
      </c>
      <c r="E16" s="148" t="s">
        <v>448</v>
      </c>
      <c r="F16" s="149" t="s">
        <v>449</v>
      </c>
      <c r="G16" s="149" t="s">
        <v>450</v>
      </c>
      <c r="H16" s="149" t="s">
        <v>451</v>
      </c>
      <c r="I16" s="320"/>
      <c r="J16" s="423" t="s">
        <v>563</v>
      </c>
      <c r="K16" s="121"/>
      <c r="L16" s="155"/>
    </row>
    <row r="17" spans="1:11" ht="27" customHeight="1">
      <c r="A17" s="150" t="s">
        <v>485</v>
      </c>
      <c r="B17" s="255" t="s">
        <v>463</v>
      </c>
      <c r="C17" s="135" t="s">
        <v>209</v>
      </c>
      <c r="D17" s="257" t="s">
        <v>458</v>
      </c>
      <c r="E17" s="257" t="s">
        <v>459</v>
      </c>
      <c r="F17" s="258"/>
      <c r="G17" s="259" t="s">
        <v>460</v>
      </c>
      <c r="H17" s="152"/>
      <c r="I17" s="285" t="s">
        <v>533</v>
      </c>
      <c r="J17" s="122"/>
      <c r="K17" s="122"/>
    </row>
    <row r="18" spans="1:11" ht="46.8" customHeight="1">
      <c r="A18" s="150" t="s">
        <v>486</v>
      </c>
      <c r="B18" s="256" t="s">
        <v>457</v>
      </c>
      <c r="C18" s="135" t="s">
        <v>209</v>
      </c>
      <c r="D18" s="258"/>
      <c r="E18" s="259" t="s">
        <v>461</v>
      </c>
      <c r="F18" s="258"/>
      <c r="G18" s="257" t="s">
        <v>462</v>
      </c>
      <c r="H18" s="152"/>
      <c r="I18" s="305" t="s">
        <v>532</v>
      </c>
      <c r="J18" s="122"/>
      <c r="K18" s="122"/>
    </row>
    <row r="19" spans="1:11" ht="44.4" customHeight="1">
      <c r="A19" s="150" t="s">
        <v>168</v>
      </c>
      <c r="B19" s="256" t="s">
        <v>464</v>
      </c>
      <c r="C19" s="135" t="s">
        <v>211</v>
      </c>
      <c r="D19" s="257" t="s">
        <v>465</v>
      </c>
      <c r="E19" s="259" t="s">
        <v>466</v>
      </c>
      <c r="F19" s="257" t="s">
        <v>465</v>
      </c>
      <c r="G19" s="257" t="s">
        <v>465</v>
      </c>
      <c r="H19" s="152"/>
      <c r="I19" s="135"/>
      <c r="J19" s="122"/>
      <c r="K19" s="122"/>
    </row>
    <row r="20" spans="1:11" ht="108" customHeight="1">
      <c r="A20" s="150" t="s">
        <v>169</v>
      </c>
      <c r="B20" s="256" t="s">
        <v>476</v>
      </c>
      <c r="C20" s="135" t="s">
        <v>211</v>
      </c>
      <c r="D20" s="257" t="s">
        <v>465</v>
      </c>
      <c r="E20" s="259" t="s">
        <v>465</v>
      </c>
      <c r="F20" s="259" t="s">
        <v>465</v>
      </c>
      <c r="G20" s="259" t="s">
        <v>465</v>
      </c>
      <c r="H20" s="152"/>
      <c r="I20" s="135" t="s">
        <v>534</v>
      </c>
      <c r="J20" s="122"/>
      <c r="K20" s="122"/>
    </row>
    <row r="21" spans="1:11" ht="118.8" customHeight="1">
      <c r="A21" s="150" t="s">
        <v>170</v>
      </c>
      <c r="B21" s="262" t="s">
        <v>474</v>
      </c>
      <c r="C21" s="135" t="s">
        <v>211</v>
      </c>
      <c r="D21" s="257" t="s">
        <v>465</v>
      </c>
      <c r="E21" s="259" t="s">
        <v>465</v>
      </c>
      <c r="F21" s="257" t="s">
        <v>465</v>
      </c>
      <c r="G21" s="259" t="s">
        <v>465</v>
      </c>
      <c r="H21" s="152"/>
      <c r="I21" s="135"/>
      <c r="J21" s="122"/>
      <c r="K21" s="122"/>
    </row>
    <row r="22" spans="1:11" ht="85.2" customHeight="1">
      <c r="A22" s="150" t="s">
        <v>171</v>
      </c>
      <c r="B22" s="262" t="s">
        <v>546</v>
      </c>
      <c r="C22" s="135" t="s">
        <v>211</v>
      </c>
      <c r="D22" s="257" t="s">
        <v>465</v>
      </c>
      <c r="E22" s="259" t="s">
        <v>465</v>
      </c>
      <c r="F22" s="257" t="s">
        <v>465</v>
      </c>
      <c r="G22" s="259" t="s">
        <v>465</v>
      </c>
      <c r="H22" s="152"/>
      <c r="I22" s="135"/>
      <c r="J22" s="263"/>
      <c r="K22" s="122"/>
    </row>
    <row r="23" spans="1:11" ht="63" customHeight="1">
      <c r="A23" s="150" t="s">
        <v>172</v>
      </c>
      <c r="B23" s="262" t="s">
        <v>488</v>
      </c>
      <c r="C23" s="135" t="s">
        <v>211</v>
      </c>
      <c r="D23" s="257" t="s">
        <v>465</v>
      </c>
      <c r="E23" s="259" t="s">
        <v>465</v>
      </c>
      <c r="F23" s="257" t="s">
        <v>465</v>
      </c>
      <c r="G23" s="259" t="s">
        <v>465</v>
      </c>
      <c r="H23" s="152"/>
      <c r="I23" s="135"/>
      <c r="J23" s="122"/>
      <c r="K23" s="122"/>
    </row>
    <row r="24" spans="1:11" ht="24.6" customHeight="1">
      <c r="A24" s="150" t="s">
        <v>173</v>
      </c>
      <c r="B24" s="262" t="s">
        <v>477</v>
      </c>
      <c r="C24" s="135" t="s">
        <v>209</v>
      </c>
      <c r="D24" s="259" t="s">
        <v>466</v>
      </c>
      <c r="E24" s="257" t="s">
        <v>466</v>
      </c>
      <c r="F24" s="257" t="s">
        <v>465</v>
      </c>
      <c r="G24" s="259"/>
      <c r="H24" s="152"/>
      <c r="I24" s="135"/>
      <c r="J24" s="122"/>
      <c r="K24" s="122"/>
    </row>
    <row r="25" spans="1:11" ht="45.6" customHeight="1">
      <c r="A25" s="150" t="s">
        <v>174</v>
      </c>
      <c r="B25" s="266" t="s">
        <v>481</v>
      </c>
      <c r="C25" s="257" t="s">
        <v>548</v>
      </c>
      <c r="D25" s="257"/>
      <c r="E25" s="259"/>
      <c r="F25" s="257"/>
      <c r="G25" s="257"/>
      <c r="H25" s="152"/>
      <c r="I25" s="135"/>
      <c r="J25" s="122"/>
      <c r="K25" s="122"/>
    </row>
    <row r="26" spans="1:11" ht="41.4">
      <c r="A26" s="150" t="s">
        <v>487</v>
      </c>
      <c r="B26" s="267" t="s">
        <v>484</v>
      </c>
      <c r="C26" s="135" t="s">
        <v>209</v>
      </c>
      <c r="D26" s="134"/>
      <c r="E26" s="134"/>
      <c r="F26" s="134"/>
      <c r="G26" s="134"/>
      <c r="H26" s="151" t="s">
        <v>210</v>
      </c>
      <c r="I26" s="135" t="s">
        <v>181</v>
      </c>
      <c r="J26" s="122"/>
      <c r="K26" s="122"/>
    </row>
    <row r="28" spans="1:11" ht="15" customHeight="1">
      <c r="C28" s="122"/>
      <c r="D28" s="122"/>
      <c r="E28" s="122"/>
      <c r="F28" s="122"/>
      <c r="G28" s="122"/>
      <c r="H28" s="122"/>
      <c r="I28" s="122"/>
    </row>
    <row r="29" spans="1:11" ht="15" customHeight="1">
      <c r="C29" s="122"/>
      <c r="D29" s="122"/>
      <c r="E29" s="122"/>
      <c r="F29" s="122"/>
      <c r="G29" s="122"/>
      <c r="H29" s="122"/>
      <c r="I29" s="122"/>
    </row>
    <row r="30" spans="1:11" ht="15" customHeight="1">
      <c r="C30" s="122"/>
      <c r="D30" s="122"/>
      <c r="E30" s="122"/>
      <c r="F30" s="122"/>
      <c r="G30" s="122"/>
      <c r="H30" s="122"/>
      <c r="I30" s="122"/>
    </row>
    <row r="31" spans="1:11" ht="15" customHeight="1">
      <c r="C31" s="122"/>
      <c r="D31" s="122"/>
      <c r="E31" s="122"/>
      <c r="F31" s="122"/>
      <c r="G31" s="122"/>
      <c r="H31" s="122"/>
      <c r="I31" s="122"/>
    </row>
    <row r="32" spans="1:11" ht="15" customHeight="1">
      <c r="C32" s="122"/>
      <c r="D32" s="122"/>
      <c r="E32" s="122"/>
      <c r="F32" s="122"/>
      <c r="G32" s="122"/>
      <c r="H32" s="122"/>
      <c r="I32" s="122"/>
    </row>
    <row r="33" spans="3:9" ht="15" customHeight="1">
      <c r="C33" s="122"/>
      <c r="D33" s="122"/>
      <c r="E33" s="122"/>
      <c r="F33" s="122"/>
      <c r="G33" s="122"/>
      <c r="H33" s="122"/>
      <c r="I33" s="122"/>
    </row>
    <row r="34" spans="3:9" ht="15" customHeight="1">
      <c r="C34" s="122"/>
      <c r="D34" s="122"/>
      <c r="E34" s="122"/>
      <c r="F34" s="122"/>
      <c r="G34" s="122"/>
      <c r="H34" s="122"/>
      <c r="I34" s="122"/>
    </row>
  </sheetData>
  <mergeCells count="20">
    <mergeCell ref="A1:I1"/>
    <mergeCell ref="A2:I2"/>
    <mergeCell ref="A15:A16"/>
    <mergeCell ref="B15:B16"/>
    <mergeCell ref="C15:C16"/>
    <mergeCell ref="I15:I16"/>
    <mergeCell ref="F14:H14"/>
    <mergeCell ref="D15:H15"/>
    <mergeCell ref="G12:I12"/>
    <mergeCell ref="G13:I13"/>
    <mergeCell ref="A9:F9"/>
    <mergeCell ref="A10:F10"/>
    <mergeCell ref="A11:F11"/>
    <mergeCell ref="A12:F12"/>
    <mergeCell ref="A13:F13"/>
    <mergeCell ref="A8:F8"/>
    <mergeCell ref="G8:I8"/>
    <mergeCell ref="G9:I9"/>
    <mergeCell ref="G10:I10"/>
    <mergeCell ref="G11:I11"/>
  </mergeCells>
  <phoneticPr fontId="58" type="noConversion"/>
  <hyperlinks>
    <hyperlink ref="I3" location="底稿目录!A1" display="J2A"/>
  </hyperlinks>
  <printOptions horizontalCentered="1"/>
  <pageMargins left="0.47244094488188981" right="0.31496062992125984" top="0.55118110236220474" bottom="0.35433070866141736" header="0.51181102362204722" footer="0.19685039370078741"/>
  <pageSetup paperSize="9" scale="74" fitToHeight="50" orientation="portrait" blackAndWhite="1" cellComments="atEnd"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O88"/>
  <sheetViews>
    <sheetView view="pageBreakPreview" topLeftCell="A22" zoomScale="110" zoomScaleNormal="120" zoomScaleSheetLayoutView="110" workbookViewId="0">
      <selection activeCell="B17" sqref="B17:C65"/>
    </sheetView>
  </sheetViews>
  <sheetFormatPr defaultColWidth="9" defaultRowHeight="13.8" outlineLevelRow="1"/>
  <cols>
    <col min="1" max="1" width="7.33203125" style="212" customWidth="1"/>
    <col min="2" max="2" width="42.88671875" style="212" customWidth="1"/>
    <col min="3" max="3" width="34.6640625" style="212" customWidth="1"/>
    <col min="4" max="4" width="5.33203125" style="212" customWidth="1"/>
    <col min="5" max="5" width="7.33203125" style="212" customWidth="1"/>
    <col min="6" max="11" width="2.88671875" style="212" customWidth="1"/>
    <col min="12" max="12" width="2.88671875" style="243" customWidth="1"/>
    <col min="13" max="13" width="6.109375" style="211" customWidth="1"/>
    <col min="14" max="14" width="55.77734375" style="211" customWidth="1"/>
    <col min="15" max="15" width="17.44140625" style="212" customWidth="1"/>
    <col min="16" max="16384" width="9" style="212"/>
  </cols>
  <sheetData>
    <row r="1" spans="1:15" ht="20.100000000000001" customHeight="1">
      <c r="A1" s="317" t="s">
        <v>103</v>
      </c>
      <c r="B1" s="317"/>
      <c r="C1" s="317"/>
      <c r="D1" s="317"/>
      <c r="E1" s="317"/>
      <c r="F1" s="317"/>
      <c r="G1" s="317"/>
      <c r="H1" s="317"/>
      <c r="I1" s="317"/>
      <c r="J1" s="317"/>
      <c r="K1" s="317"/>
      <c r="L1" s="317"/>
    </row>
    <row r="2" spans="1:15" ht="24.9" customHeight="1">
      <c r="A2" s="324" t="s">
        <v>319</v>
      </c>
      <c r="B2" s="318"/>
      <c r="C2" s="318"/>
      <c r="D2" s="318"/>
      <c r="E2" s="318"/>
      <c r="F2" s="318"/>
      <c r="G2" s="318"/>
      <c r="H2" s="318"/>
      <c r="I2" s="318"/>
      <c r="J2" s="318"/>
      <c r="K2" s="318"/>
      <c r="L2" s="318"/>
    </row>
    <row r="3" spans="1:15" ht="20.100000000000001" customHeight="1">
      <c r="A3" s="213" t="str">
        <f>[4]底稿目录!A2</f>
        <v>客户名称：</v>
      </c>
      <c r="B3" s="213"/>
      <c r="C3" s="118" t="str">
        <f>[4]底稿目录!A4</f>
        <v>编制人：</v>
      </c>
      <c r="D3" s="213"/>
      <c r="E3" s="214" t="str">
        <f>[4]底稿目录!A5</f>
        <v>编制日期：</v>
      </c>
      <c r="F3" s="214"/>
      <c r="G3" s="213"/>
      <c r="H3" s="213"/>
      <c r="I3" s="213"/>
      <c r="J3" s="213"/>
      <c r="K3" s="213" t="s">
        <v>1</v>
      </c>
      <c r="L3" s="215" t="s">
        <v>320</v>
      </c>
    </row>
    <row r="4" spans="1:15" ht="20.100000000000001" customHeight="1">
      <c r="A4" s="216" t="str">
        <f>[4]底稿目录!A3</f>
        <v>截止日：202X年12月31日</v>
      </c>
      <c r="B4" s="213"/>
      <c r="C4" s="217" t="str">
        <f>[4]底稿目录!A6</f>
        <v>复核人：</v>
      </c>
      <c r="D4" s="213"/>
      <c r="E4" s="214" t="str">
        <f>[4]底稿目录!A7</f>
        <v>复核日期：</v>
      </c>
      <c r="F4" s="214"/>
      <c r="G4" s="213"/>
      <c r="H4" s="213"/>
      <c r="I4" s="213"/>
      <c r="J4" s="213"/>
      <c r="K4" s="213" t="s">
        <v>321</v>
      </c>
      <c r="L4" s="215"/>
    </row>
    <row r="5" spans="1:15" ht="20.100000000000001" customHeight="1">
      <c r="A5" s="218" t="s">
        <v>166</v>
      </c>
      <c r="B5" s="213"/>
      <c r="C5" s="213"/>
      <c r="D5" s="213"/>
      <c r="E5" s="213"/>
      <c r="F5" s="213"/>
      <c r="G5" s="213"/>
      <c r="H5" s="213"/>
      <c r="I5" s="213"/>
      <c r="J5" s="213"/>
      <c r="K5" s="213"/>
      <c r="L5" s="215"/>
    </row>
    <row r="6" spans="1:15" ht="20.100000000000001" customHeight="1">
      <c r="A6" s="219" t="s">
        <v>322</v>
      </c>
      <c r="B6" s="213"/>
      <c r="C6" s="213"/>
      <c r="D6" s="213"/>
      <c r="E6" s="213"/>
      <c r="F6" s="213"/>
      <c r="G6" s="213"/>
      <c r="H6" s="213"/>
      <c r="I6" s="213"/>
      <c r="J6" s="213"/>
      <c r="K6" s="213"/>
      <c r="L6" s="215"/>
    </row>
    <row r="7" spans="1:15" ht="20.100000000000001" customHeight="1">
      <c r="A7" s="220" t="s">
        <v>323</v>
      </c>
      <c r="B7" s="221"/>
      <c r="C7" s="221"/>
      <c r="D7" s="213"/>
      <c r="E7" s="213"/>
      <c r="F7" s="213"/>
      <c r="G7" s="213"/>
      <c r="H7" s="213"/>
      <c r="I7" s="213"/>
      <c r="J7" s="213"/>
      <c r="K7" s="213"/>
      <c r="L7" s="215"/>
      <c r="M7" s="222"/>
      <c r="N7" s="222"/>
    </row>
    <row r="8" spans="1:15" ht="20.100000000000001" customHeight="1">
      <c r="A8" s="325" t="s">
        <v>324</v>
      </c>
      <c r="B8" s="325"/>
      <c r="C8" s="325"/>
      <c r="D8" s="326" t="s">
        <v>325</v>
      </c>
      <c r="E8" s="326"/>
      <c r="F8" s="326"/>
      <c r="G8" s="326"/>
      <c r="H8" s="326"/>
      <c r="I8" s="326"/>
      <c r="J8" s="326"/>
      <c r="K8" s="325" t="s">
        <v>326</v>
      </c>
      <c r="L8" s="325" t="s">
        <v>327</v>
      </c>
      <c r="M8" s="222"/>
      <c r="N8" s="222"/>
    </row>
    <row r="9" spans="1:15" ht="30.75" customHeight="1">
      <c r="A9" s="325"/>
      <c r="B9" s="325"/>
      <c r="C9" s="325"/>
      <c r="D9" s="223" t="s">
        <v>328</v>
      </c>
      <c r="E9" s="223" t="s">
        <v>329</v>
      </c>
      <c r="F9" s="223" t="s">
        <v>330</v>
      </c>
      <c r="G9" s="223" t="s">
        <v>331</v>
      </c>
      <c r="H9" s="327" t="s">
        <v>332</v>
      </c>
      <c r="I9" s="328"/>
      <c r="J9" s="329"/>
      <c r="K9" s="325"/>
      <c r="L9" s="325"/>
      <c r="M9" s="222"/>
      <c r="N9" s="222"/>
    </row>
    <row r="10" spans="1:15" ht="27" customHeight="1">
      <c r="A10" s="335" t="s">
        <v>333</v>
      </c>
      <c r="B10" s="335"/>
      <c r="C10" s="335"/>
      <c r="D10" s="224" t="s">
        <v>334</v>
      </c>
      <c r="E10" s="225"/>
      <c r="F10" s="225"/>
      <c r="G10" s="225"/>
      <c r="H10" s="327"/>
      <c r="I10" s="328"/>
      <c r="J10" s="329"/>
      <c r="K10" s="226"/>
      <c r="L10" s="227"/>
      <c r="M10" s="222"/>
      <c r="N10" s="222"/>
    </row>
    <row r="11" spans="1:15" ht="27" customHeight="1">
      <c r="A11" s="335" t="s">
        <v>335</v>
      </c>
      <c r="B11" s="335"/>
      <c r="C11" s="335"/>
      <c r="D11" s="225"/>
      <c r="E11" s="224" t="s">
        <v>334</v>
      </c>
      <c r="F11" s="225"/>
      <c r="G11" s="225"/>
      <c r="H11" s="327"/>
      <c r="I11" s="328"/>
      <c r="J11" s="329"/>
      <c r="K11" s="226"/>
      <c r="L11" s="227"/>
      <c r="M11" s="222"/>
      <c r="N11" s="222"/>
    </row>
    <row r="12" spans="1:15" ht="25.5" customHeight="1">
      <c r="A12" s="335" t="s">
        <v>336</v>
      </c>
      <c r="B12" s="335"/>
      <c r="C12" s="335"/>
      <c r="D12" s="225"/>
      <c r="E12" s="225"/>
      <c r="F12" s="224" t="s">
        <v>334</v>
      </c>
      <c r="G12" s="225"/>
      <c r="H12" s="327"/>
      <c r="I12" s="328"/>
      <c r="J12" s="329"/>
      <c r="K12" s="226"/>
      <c r="L12" s="227"/>
      <c r="M12" s="222"/>
      <c r="N12" s="222"/>
    </row>
    <row r="13" spans="1:15" ht="25.5" customHeight="1">
      <c r="A13" s="330" t="s">
        <v>337</v>
      </c>
      <c r="B13" s="330"/>
      <c r="C13" s="330"/>
      <c r="D13" s="225"/>
      <c r="E13" s="225"/>
      <c r="F13" s="225"/>
      <c r="G13" s="224" t="s">
        <v>334</v>
      </c>
      <c r="H13" s="327"/>
      <c r="I13" s="328"/>
      <c r="J13" s="329"/>
      <c r="K13" s="226"/>
      <c r="L13" s="227"/>
      <c r="M13" s="222"/>
      <c r="N13" s="222"/>
    </row>
    <row r="14" spans="1:15" ht="25.5" customHeight="1">
      <c r="A14" s="330" t="s">
        <v>338</v>
      </c>
      <c r="B14" s="330"/>
      <c r="C14" s="330"/>
      <c r="D14" s="225"/>
      <c r="E14" s="225"/>
      <c r="F14" s="225"/>
      <c r="G14" s="225"/>
      <c r="H14" s="327" t="s">
        <v>334</v>
      </c>
      <c r="I14" s="328"/>
      <c r="J14" s="329"/>
      <c r="K14" s="226"/>
      <c r="L14" s="227"/>
      <c r="M14" s="222"/>
      <c r="N14" s="222"/>
    </row>
    <row r="15" spans="1:15" ht="20.100000000000001" customHeight="1">
      <c r="A15" s="220" t="s">
        <v>339</v>
      </c>
      <c r="D15" s="225"/>
      <c r="E15" s="225"/>
      <c r="F15" s="225"/>
      <c r="G15" s="225"/>
      <c r="H15" s="327"/>
      <c r="I15" s="328"/>
      <c r="J15" s="329"/>
      <c r="K15" s="226"/>
      <c r="L15" s="227"/>
      <c r="M15" s="222"/>
      <c r="N15" s="222"/>
    </row>
    <row r="16" spans="1:15" ht="19.95" customHeight="1">
      <c r="A16" s="228" t="s">
        <v>340</v>
      </c>
      <c r="B16" s="331" t="s">
        <v>167</v>
      </c>
      <c r="C16" s="331"/>
      <c r="D16" s="332" t="s">
        <v>341</v>
      </c>
      <c r="E16" s="333"/>
      <c r="F16" s="334" t="s">
        <v>342</v>
      </c>
      <c r="G16" s="334"/>
      <c r="H16" s="334"/>
      <c r="I16" s="334"/>
      <c r="J16" s="334"/>
      <c r="K16" s="331" t="s">
        <v>343</v>
      </c>
      <c r="L16" s="331"/>
      <c r="M16" s="222"/>
      <c r="N16" s="222"/>
      <c r="O16" s="229"/>
    </row>
    <row r="17" spans="1:14" ht="19.95" customHeight="1">
      <c r="A17" s="230" t="s">
        <v>344</v>
      </c>
      <c r="B17" s="336" t="s">
        <v>345</v>
      </c>
      <c r="C17" s="336"/>
      <c r="D17" s="337" t="s">
        <v>346</v>
      </c>
      <c r="E17" s="338"/>
      <c r="F17" s="339" t="s">
        <v>347</v>
      </c>
      <c r="G17" s="339"/>
      <c r="H17" s="339"/>
      <c r="I17" s="339"/>
      <c r="J17" s="339"/>
      <c r="K17" s="339" t="s">
        <v>348</v>
      </c>
      <c r="L17" s="339"/>
      <c r="M17" s="231"/>
      <c r="N17" s="231"/>
    </row>
    <row r="18" spans="1:14" ht="19.95" customHeight="1" outlineLevel="1">
      <c r="A18" s="232" t="s">
        <v>349</v>
      </c>
      <c r="B18" s="340" t="s">
        <v>350</v>
      </c>
      <c r="C18" s="340"/>
      <c r="D18" s="341" t="s">
        <v>346</v>
      </c>
      <c r="E18" s="342" t="s">
        <v>351</v>
      </c>
      <c r="F18" s="343"/>
      <c r="G18" s="343"/>
      <c r="H18" s="343"/>
      <c r="I18" s="343"/>
      <c r="J18" s="343"/>
      <c r="K18" s="343"/>
      <c r="L18" s="343"/>
      <c r="M18" s="265" t="s">
        <v>478</v>
      </c>
      <c r="N18" s="231"/>
    </row>
    <row r="19" spans="1:14" ht="30.6" customHeight="1" outlineLevel="1">
      <c r="A19" s="233" t="s">
        <v>352</v>
      </c>
      <c r="B19" s="345" t="s">
        <v>353</v>
      </c>
      <c r="C19" s="345"/>
      <c r="D19" s="341" t="s">
        <v>354</v>
      </c>
      <c r="E19" s="342" t="s">
        <v>355</v>
      </c>
      <c r="F19" s="343"/>
      <c r="G19" s="343"/>
      <c r="H19" s="343"/>
      <c r="I19" s="343"/>
      <c r="J19" s="343"/>
      <c r="K19" s="343"/>
      <c r="L19" s="343"/>
      <c r="M19" s="265" t="s">
        <v>479</v>
      </c>
      <c r="N19" s="231"/>
    </row>
    <row r="20" spans="1:14" ht="19.95" customHeight="1">
      <c r="A20" s="230" t="s">
        <v>356</v>
      </c>
      <c r="B20" s="346" t="s">
        <v>357</v>
      </c>
      <c r="C20" s="347"/>
      <c r="D20" s="337" t="s">
        <v>358</v>
      </c>
      <c r="E20" s="338" t="s">
        <v>355</v>
      </c>
      <c r="F20" s="339" t="s">
        <v>359</v>
      </c>
      <c r="G20" s="339"/>
      <c r="H20" s="339"/>
      <c r="I20" s="339"/>
      <c r="J20" s="339"/>
      <c r="K20" s="339" t="s">
        <v>348</v>
      </c>
      <c r="L20" s="339"/>
      <c r="M20" s="260" t="s">
        <v>467</v>
      </c>
      <c r="N20" s="352" t="s">
        <v>471</v>
      </c>
    </row>
    <row r="21" spans="1:14" ht="19.95" customHeight="1" outlineLevel="1">
      <c r="A21" s="234" t="s">
        <v>349</v>
      </c>
      <c r="B21" s="344" t="s">
        <v>360</v>
      </c>
      <c r="C21" s="345"/>
      <c r="D21" s="341" t="s">
        <v>361</v>
      </c>
      <c r="E21" s="342" t="s">
        <v>355</v>
      </c>
      <c r="F21" s="343"/>
      <c r="G21" s="343"/>
      <c r="H21" s="343"/>
      <c r="I21" s="343"/>
      <c r="J21" s="343"/>
      <c r="K21" s="343"/>
      <c r="L21" s="343"/>
      <c r="M21" s="260" t="s">
        <v>467</v>
      </c>
      <c r="N21" s="353"/>
    </row>
    <row r="22" spans="1:14" ht="19.95" customHeight="1" outlineLevel="1">
      <c r="A22" s="234" t="s">
        <v>352</v>
      </c>
      <c r="B22" s="344" t="s">
        <v>362</v>
      </c>
      <c r="C22" s="345"/>
      <c r="D22" s="341" t="s">
        <v>361</v>
      </c>
      <c r="E22" s="342" t="s">
        <v>355</v>
      </c>
      <c r="F22" s="343"/>
      <c r="G22" s="343"/>
      <c r="H22" s="343"/>
      <c r="I22" s="343"/>
      <c r="J22" s="343"/>
      <c r="K22" s="343"/>
      <c r="L22" s="343"/>
      <c r="M22" s="260" t="s">
        <v>467</v>
      </c>
      <c r="N22" s="353"/>
    </row>
    <row r="23" spans="1:14" ht="19.95" customHeight="1" outlineLevel="1">
      <c r="A23" s="234" t="s">
        <v>168</v>
      </c>
      <c r="B23" s="344" t="s">
        <v>363</v>
      </c>
      <c r="C23" s="345"/>
      <c r="D23" s="341" t="s">
        <v>364</v>
      </c>
      <c r="E23" s="342" t="s">
        <v>355</v>
      </c>
      <c r="F23" s="343"/>
      <c r="G23" s="343"/>
      <c r="H23" s="343"/>
      <c r="I23" s="343"/>
      <c r="J23" s="343"/>
      <c r="K23" s="343"/>
      <c r="L23" s="343"/>
      <c r="M23" s="260" t="s">
        <v>467</v>
      </c>
      <c r="N23" s="353"/>
    </row>
    <row r="24" spans="1:14" ht="19.95" customHeight="1" outlineLevel="1">
      <c r="A24" s="234" t="s">
        <v>169</v>
      </c>
      <c r="B24" s="344" t="s">
        <v>365</v>
      </c>
      <c r="C24" s="345"/>
      <c r="D24" s="341" t="s">
        <v>364</v>
      </c>
      <c r="E24" s="342" t="s">
        <v>355</v>
      </c>
      <c r="F24" s="343"/>
      <c r="G24" s="343"/>
      <c r="H24" s="343"/>
      <c r="I24" s="343"/>
      <c r="J24" s="343"/>
      <c r="K24" s="343"/>
      <c r="L24" s="343"/>
      <c r="M24" s="260" t="s">
        <v>467</v>
      </c>
      <c r="N24" s="353"/>
    </row>
    <row r="25" spans="1:14" ht="19.95" customHeight="1" outlineLevel="1">
      <c r="A25" s="234" t="s">
        <v>170</v>
      </c>
      <c r="B25" s="345" t="s">
        <v>366</v>
      </c>
      <c r="C25" s="345"/>
      <c r="D25" s="341" t="s">
        <v>358</v>
      </c>
      <c r="E25" s="342" t="s">
        <v>355</v>
      </c>
      <c r="F25" s="343"/>
      <c r="G25" s="343"/>
      <c r="H25" s="343"/>
      <c r="I25" s="343"/>
      <c r="J25" s="343"/>
      <c r="K25" s="343"/>
      <c r="L25" s="343"/>
      <c r="M25" s="260" t="s">
        <v>467</v>
      </c>
      <c r="N25" s="353"/>
    </row>
    <row r="26" spans="1:14" ht="27.6" customHeight="1" outlineLevel="1">
      <c r="A26" s="234" t="s">
        <v>171</v>
      </c>
      <c r="B26" s="345" t="s">
        <v>367</v>
      </c>
      <c r="C26" s="345"/>
      <c r="D26" s="341" t="s">
        <v>364</v>
      </c>
      <c r="E26" s="342" t="s">
        <v>355</v>
      </c>
      <c r="F26" s="343"/>
      <c r="G26" s="343"/>
      <c r="H26" s="343"/>
      <c r="I26" s="343"/>
      <c r="J26" s="343"/>
      <c r="K26" s="343"/>
      <c r="L26" s="343"/>
      <c r="M26" s="260" t="s">
        <v>467</v>
      </c>
      <c r="N26" s="353"/>
    </row>
    <row r="27" spans="1:14" ht="19.95" customHeight="1" outlineLevel="1">
      <c r="A27" s="234" t="s">
        <v>172</v>
      </c>
      <c r="B27" s="345" t="s">
        <v>470</v>
      </c>
      <c r="C27" s="345"/>
      <c r="D27" s="341" t="s">
        <v>364</v>
      </c>
      <c r="E27" s="342" t="s">
        <v>368</v>
      </c>
      <c r="F27" s="343"/>
      <c r="G27" s="343"/>
      <c r="H27" s="343"/>
      <c r="I27" s="343"/>
      <c r="J27" s="343"/>
      <c r="K27" s="343"/>
      <c r="L27" s="343"/>
      <c r="M27" s="260" t="s">
        <v>467</v>
      </c>
      <c r="N27" s="353"/>
    </row>
    <row r="28" spans="1:14" ht="19.95" customHeight="1" outlineLevel="1">
      <c r="A28" s="234" t="s">
        <v>173</v>
      </c>
      <c r="B28" s="345" t="s">
        <v>369</v>
      </c>
      <c r="C28" s="345"/>
      <c r="D28" s="341" t="s">
        <v>364</v>
      </c>
      <c r="E28" s="342" t="s">
        <v>355</v>
      </c>
      <c r="F28" s="343"/>
      <c r="G28" s="343"/>
      <c r="H28" s="343"/>
      <c r="I28" s="343"/>
      <c r="J28" s="343"/>
      <c r="K28" s="343"/>
      <c r="L28" s="343"/>
      <c r="M28" s="260" t="s">
        <v>467</v>
      </c>
      <c r="N28" s="353"/>
    </row>
    <row r="29" spans="1:14" ht="19.95" customHeight="1" outlineLevel="1">
      <c r="A29" s="234" t="s">
        <v>174</v>
      </c>
      <c r="B29" s="345" t="s">
        <v>370</v>
      </c>
      <c r="C29" s="345"/>
      <c r="D29" s="341" t="s">
        <v>364</v>
      </c>
      <c r="E29" s="342" t="s">
        <v>355</v>
      </c>
      <c r="F29" s="343"/>
      <c r="G29" s="343"/>
      <c r="H29" s="343"/>
      <c r="I29" s="343"/>
      <c r="J29" s="343"/>
      <c r="K29" s="343"/>
      <c r="L29" s="343"/>
      <c r="M29" s="260" t="s">
        <v>467</v>
      </c>
      <c r="N29" s="354"/>
    </row>
    <row r="30" spans="1:14" s="238" customFormat="1" ht="19.95" customHeight="1">
      <c r="A30" s="235" t="s">
        <v>371</v>
      </c>
      <c r="B30" s="346" t="s">
        <v>372</v>
      </c>
      <c r="C30" s="347"/>
      <c r="D30" s="236" t="s">
        <v>373</v>
      </c>
      <c r="E30" s="237"/>
      <c r="F30" s="339" t="s">
        <v>374</v>
      </c>
      <c r="G30" s="339"/>
      <c r="H30" s="339"/>
      <c r="I30" s="339"/>
      <c r="J30" s="339"/>
      <c r="K30" s="339" t="s">
        <v>375</v>
      </c>
      <c r="L30" s="339"/>
      <c r="M30" s="260" t="s">
        <v>467</v>
      </c>
      <c r="N30" s="350" t="s">
        <v>457</v>
      </c>
    </row>
    <row r="31" spans="1:14" s="240" customFormat="1" ht="19.95" customHeight="1" outlineLevel="1">
      <c r="A31" s="239" t="s">
        <v>376</v>
      </c>
      <c r="B31" s="345" t="s">
        <v>377</v>
      </c>
      <c r="C31" s="345"/>
      <c r="D31" s="341"/>
      <c r="E31" s="342"/>
      <c r="F31" s="343"/>
      <c r="G31" s="343"/>
      <c r="H31" s="343"/>
      <c r="I31" s="343"/>
      <c r="J31" s="343"/>
      <c r="K31" s="343"/>
      <c r="L31" s="343"/>
      <c r="M31" s="260" t="s">
        <v>467</v>
      </c>
      <c r="N31" s="351"/>
    </row>
    <row r="32" spans="1:14" s="240" customFormat="1" ht="19.95" customHeight="1" outlineLevel="1">
      <c r="A32" s="239" t="s">
        <v>378</v>
      </c>
      <c r="B32" s="345" t="s">
        <v>379</v>
      </c>
      <c r="C32" s="345"/>
      <c r="D32" s="341"/>
      <c r="E32" s="342"/>
      <c r="F32" s="343"/>
      <c r="G32" s="343"/>
      <c r="H32" s="343"/>
      <c r="I32" s="343"/>
      <c r="J32" s="343"/>
      <c r="K32" s="343"/>
      <c r="L32" s="343"/>
      <c r="M32" s="260" t="s">
        <v>467</v>
      </c>
      <c r="N32" s="351"/>
    </row>
    <row r="33" spans="1:14" ht="19.95" customHeight="1">
      <c r="A33" s="230" t="s">
        <v>380</v>
      </c>
      <c r="B33" s="346" t="s">
        <v>381</v>
      </c>
      <c r="C33" s="347"/>
      <c r="D33" s="337" t="s">
        <v>361</v>
      </c>
      <c r="E33" s="338" t="s">
        <v>355</v>
      </c>
      <c r="F33" s="339" t="s">
        <v>347</v>
      </c>
      <c r="G33" s="339"/>
      <c r="H33" s="339"/>
      <c r="I33" s="339"/>
      <c r="J33" s="339"/>
      <c r="K33" s="339" t="s">
        <v>382</v>
      </c>
      <c r="L33" s="339"/>
      <c r="M33" s="264" t="s">
        <v>473</v>
      </c>
      <c r="N33" s="355" t="s">
        <v>472</v>
      </c>
    </row>
    <row r="34" spans="1:14" ht="19.95" customHeight="1" outlineLevel="1">
      <c r="A34" s="234" t="s">
        <v>383</v>
      </c>
      <c r="B34" s="344" t="s">
        <v>384</v>
      </c>
      <c r="C34" s="345"/>
      <c r="D34" s="341" t="s">
        <v>361</v>
      </c>
      <c r="E34" s="342" t="s">
        <v>355</v>
      </c>
      <c r="F34" s="343"/>
      <c r="G34" s="343"/>
      <c r="H34" s="343"/>
      <c r="I34" s="343"/>
      <c r="J34" s="343"/>
      <c r="K34" s="343"/>
      <c r="L34" s="343"/>
      <c r="M34" s="264" t="s">
        <v>473</v>
      </c>
      <c r="N34" s="356"/>
    </row>
    <row r="35" spans="1:14" ht="19.95" customHeight="1" outlineLevel="1">
      <c r="A35" s="234" t="s">
        <v>385</v>
      </c>
      <c r="B35" s="348" t="s">
        <v>386</v>
      </c>
      <c r="C35" s="345"/>
      <c r="D35" s="341" t="s">
        <v>361</v>
      </c>
      <c r="E35" s="342" t="s">
        <v>355</v>
      </c>
      <c r="F35" s="343"/>
      <c r="G35" s="343"/>
      <c r="H35" s="343"/>
      <c r="I35" s="343"/>
      <c r="J35" s="343"/>
      <c r="K35" s="343"/>
      <c r="L35" s="343"/>
      <c r="M35" s="264" t="s">
        <v>473</v>
      </c>
      <c r="N35" s="356"/>
    </row>
    <row r="36" spans="1:14" ht="19.95" customHeight="1" outlineLevel="1">
      <c r="A36" s="234" t="s">
        <v>168</v>
      </c>
      <c r="B36" s="344" t="s">
        <v>387</v>
      </c>
      <c r="C36" s="345"/>
      <c r="D36" s="341" t="s">
        <v>361</v>
      </c>
      <c r="E36" s="342" t="s">
        <v>355</v>
      </c>
      <c r="F36" s="343"/>
      <c r="G36" s="343"/>
      <c r="H36" s="343"/>
      <c r="I36" s="343"/>
      <c r="J36" s="343"/>
      <c r="K36" s="343"/>
      <c r="L36" s="343"/>
      <c r="M36" s="264" t="s">
        <v>473</v>
      </c>
      <c r="N36" s="356"/>
    </row>
    <row r="37" spans="1:14" ht="19.95" customHeight="1" outlineLevel="1">
      <c r="A37" s="234" t="s">
        <v>169</v>
      </c>
      <c r="B37" s="344" t="s">
        <v>388</v>
      </c>
      <c r="C37" s="345"/>
      <c r="D37" s="341" t="s">
        <v>364</v>
      </c>
      <c r="E37" s="342" t="s">
        <v>355</v>
      </c>
      <c r="F37" s="343"/>
      <c r="G37" s="343"/>
      <c r="H37" s="343"/>
      <c r="I37" s="343"/>
      <c r="J37" s="343"/>
      <c r="K37" s="343"/>
      <c r="L37" s="343"/>
      <c r="M37" s="264" t="s">
        <v>473</v>
      </c>
      <c r="N37" s="356"/>
    </row>
    <row r="38" spans="1:14" ht="19.95" customHeight="1" outlineLevel="1">
      <c r="A38" s="234" t="s">
        <v>170</v>
      </c>
      <c r="B38" s="348" t="s">
        <v>389</v>
      </c>
      <c r="C38" s="345"/>
      <c r="D38" s="341" t="s">
        <v>364</v>
      </c>
      <c r="E38" s="342" t="s">
        <v>355</v>
      </c>
      <c r="F38" s="343"/>
      <c r="G38" s="343"/>
      <c r="H38" s="343"/>
      <c r="I38" s="343"/>
      <c r="J38" s="343"/>
      <c r="K38" s="343"/>
      <c r="L38" s="343"/>
      <c r="M38" s="264" t="s">
        <v>473</v>
      </c>
      <c r="N38" s="356"/>
    </row>
    <row r="39" spans="1:14" ht="19.95" customHeight="1" outlineLevel="1">
      <c r="A39" s="234" t="s">
        <v>171</v>
      </c>
      <c r="B39" s="348" t="s">
        <v>390</v>
      </c>
      <c r="C39" s="345"/>
      <c r="D39" s="341" t="s">
        <v>364</v>
      </c>
      <c r="E39" s="342" t="s">
        <v>355</v>
      </c>
      <c r="F39" s="343"/>
      <c r="G39" s="343"/>
      <c r="H39" s="343"/>
      <c r="I39" s="343"/>
      <c r="J39" s="343"/>
      <c r="K39" s="343"/>
      <c r="L39" s="343"/>
      <c r="M39" s="264" t="s">
        <v>473</v>
      </c>
      <c r="N39" s="356"/>
    </row>
    <row r="40" spans="1:14" ht="19.95" customHeight="1" outlineLevel="1">
      <c r="A40" s="234" t="s">
        <v>172</v>
      </c>
      <c r="B40" s="344" t="s">
        <v>391</v>
      </c>
      <c r="C40" s="345"/>
      <c r="D40" s="341" t="s">
        <v>364</v>
      </c>
      <c r="E40" s="342" t="s">
        <v>355</v>
      </c>
      <c r="F40" s="343"/>
      <c r="G40" s="343"/>
      <c r="H40" s="343"/>
      <c r="I40" s="343"/>
      <c r="J40" s="343"/>
      <c r="K40" s="343"/>
      <c r="L40" s="343"/>
      <c r="M40" s="264" t="s">
        <v>473</v>
      </c>
      <c r="N40" s="356"/>
    </row>
    <row r="41" spans="1:14" ht="19.95" customHeight="1" outlineLevel="1">
      <c r="A41" s="234" t="s">
        <v>173</v>
      </c>
      <c r="B41" s="344" t="s">
        <v>392</v>
      </c>
      <c r="C41" s="345"/>
      <c r="D41" s="341" t="s">
        <v>364</v>
      </c>
      <c r="E41" s="342" t="s">
        <v>355</v>
      </c>
      <c r="F41" s="343"/>
      <c r="G41" s="343"/>
      <c r="H41" s="343"/>
      <c r="I41" s="343"/>
      <c r="J41" s="343"/>
      <c r="K41" s="343"/>
      <c r="L41" s="343"/>
      <c r="M41" s="264" t="s">
        <v>473</v>
      </c>
      <c r="N41" s="356"/>
    </row>
    <row r="42" spans="1:14" ht="19.95" customHeight="1" outlineLevel="1">
      <c r="A42" s="241" t="s">
        <v>393</v>
      </c>
      <c r="B42" s="344" t="s">
        <v>394</v>
      </c>
      <c r="C42" s="345"/>
      <c r="D42" s="341" t="s">
        <v>364</v>
      </c>
      <c r="E42" s="342" t="s">
        <v>355</v>
      </c>
      <c r="F42" s="343"/>
      <c r="G42" s="343"/>
      <c r="H42" s="343"/>
      <c r="I42" s="343"/>
      <c r="J42" s="343"/>
      <c r="K42" s="343"/>
      <c r="L42" s="343"/>
      <c r="M42" s="264" t="s">
        <v>473</v>
      </c>
      <c r="N42" s="356"/>
    </row>
    <row r="43" spans="1:14" ht="19.95" customHeight="1" outlineLevel="1">
      <c r="A43" s="241" t="s">
        <v>395</v>
      </c>
      <c r="B43" s="344" t="s">
        <v>396</v>
      </c>
      <c r="C43" s="345"/>
      <c r="D43" s="341" t="s">
        <v>364</v>
      </c>
      <c r="E43" s="342" t="s">
        <v>355</v>
      </c>
      <c r="F43" s="343"/>
      <c r="G43" s="343"/>
      <c r="H43" s="343"/>
      <c r="I43" s="343"/>
      <c r="J43" s="343"/>
      <c r="K43" s="343"/>
      <c r="L43" s="343"/>
      <c r="M43" s="264" t="s">
        <v>473</v>
      </c>
      <c r="N43" s="356"/>
    </row>
    <row r="44" spans="1:14" ht="19.95" customHeight="1" outlineLevel="1">
      <c r="A44" s="241" t="s">
        <v>397</v>
      </c>
      <c r="B44" s="349" t="s">
        <v>398</v>
      </c>
      <c r="C44" s="345"/>
      <c r="D44" s="341" t="s">
        <v>364</v>
      </c>
      <c r="E44" s="342" t="s">
        <v>355</v>
      </c>
      <c r="F44" s="343"/>
      <c r="G44" s="343"/>
      <c r="H44" s="343"/>
      <c r="I44" s="343"/>
      <c r="J44" s="343"/>
      <c r="K44" s="343"/>
      <c r="L44" s="343"/>
      <c r="M44" s="264" t="s">
        <v>473</v>
      </c>
      <c r="N44" s="357"/>
    </row>
    <row r="45" spans="1:14" ht="19.95" customHeight="1">
      <c r="A45" s="230" t="s">
        <v>399</v>
      </c>
      <c r="B45" s="346" t="s">
        <v>400</v>
      </c>
      <c r="C45" s="347"/>
      <c r="D45" s="337" t="s">
        <v>361</v>
      </c>
      <c r="E45" s="338" t="s">
        <v>368</v>
      </c>
      <c r="F45" s="339" t="s">
        <v>401</v>
      </c>
      <c r="G45" s="339"/>
      <c r="H45" s="339"/>
      <c r="I45" s="339"/>
      <c r="J45" s="339"/>
      <c r="K45" s="339" t="s">
        <v>382</v>
      </c>
      <c r="L45" s="339"/>
      <c r="M45" s="261" t="s">
        <v>469</v>
      </c>
      <c r="N45" s="350" t="s">
        <v>468</v>
      </c>
    </row>
    <row r="46" spans="1:14" ht="19.95" customHeight="1" outlineLevel="1">
      <c r="A46" s="234" t="s">
        <v>383</v>
      </c>
      <c r="B46" s="348" t="s">
        <v>402</v>
      </c>
      <c r="C46" s="345"/>
      <c r="D46" s="341" t="s">
        <v>361</v>
      </c>
      <c r="E46" s="342" t="s">
        <v>368</v>
      </c>
      <c r="F46" s="343"/>
      <c r="G46" s="343"/>
      <c r="H46" s="343"/>
      <c r="I46" s="343"/>
      <c r="J46" s="343"/>
      <c r="K46" s="343"/>
      <c r="L46" s="343"/>
      <c r="M46" s="261" t="s">
        <v>469</v>
      </c>
      <c r="N46" s="351"/>
    </row>
    <row r="47" spans="1:14" ht="19.95" customHeight="1" outlineLevel="1">
      <c r="A47" s="241" t="s">
        <v>393</v>
      </c>
      <c r="B47" s="344" t="s">
        <v>403</v>
      </c>
      <c r="C47" s="345"/>
      <c r="D47" s="341" t="s">
        <v>361</v>
      </c>
      <c r="E47" s="342" t="s">
        <v>368</v>
      </c>
      <c r="F47" s="343"/>
      <c r="G47" s="343"/>
      <c r="H47" s="343"/>
      <c r="I47" s="343"/>
      <c r="J47" s="343"/>
      <c r="K47" s="343"/>
      <c r="L47" s="343"/>
      <c r="M47" s="261" t="s">
        <v>469</v>
      </c>
      <c r="N47" s="351"/>
    </row>
    <row r="48" spans="1:14" ht="19.95" customHeight="1" outlineLevel="1">
      <c r="A48" s="241" t="s">
        <v>395</v>
      </c>
      <c r="B48" s="348" t="s">
        <v>404</v>
      </c>
      <c r="C48" s="345"/>
      <c r="D48" s="341" t="s">
        <v>361</v>
      </c>
      <c r="E48" s="342" t="s">
        <v>405</v>
      </c>
      <c r="F48" s="343"/>
      <c r="G48" s="343"/>
      <c r="H48" s="343"/>
      <c r="I48" s="343"/>
      <c r="J48" s="343"/>
      <c r="K48" s="343"/>
      <c r="L48" s="343"/>
      <c r="M48" s="261" t="s">
        <v>469</v>
      </c>
      <c r="N48" s="351"/>
    </row>
    <row r="49" spans="1:14" ht="19.95" customHeight="1" outlineLevel="1">
      <c r="A49" s="234" t="s">
        <v>406</v>
      </c>
      <c r="B49" s="344" t="s">
        <v>407</v>
      </c>
      <c r="C49" s="345"/>
      <c r="D49" s="341" t="s">
        <v>361</v>
      </c>
      <c r="E49" s="342" t="s">
        <v>405</v>
      </c>
      <c r="F49" s="343"/>
      <c r="G49" s="343"/>
      <c r="H49" s="343"/>
      <c r="I49" s="343"/>
      <c r="J49" s="343"/>
      <c r="K49" s="343"/>
      <c r="L49" s="343"/>
      <c r="M49" s="261" t="s">
        <v>469</v>
      </c>
      <c r="N49" s="351"/>
    </row>
    <row r="50" spans="1:14" ht="19.95" customHeight="1" outlineLevel="1">
      <c r="A50" s="234" t="s">
        <v>408</v>
      </c>
      <c r="B50" s="348" t="s">
        <v>409</v>
      </c>
      <c r="C50" s="345"/>
      <c r="D50" s="341" t="s">
        <v>361</v>
      </c>
      <c r="E50" s="342" t="s">
        <v>405</v>
      </c>
      <c r="F50" s="343"/>
      <c r="G50" s="343"/>
      <c r="H50" s="343"/>
      <c r="I50" s="343"/>
      <c r="J50" s="343"/>
      <c r="K50" s="343"/>
      <c r="L50" s="343"/>
      <c r="M50" s="261" t="s">
        <v>469</v>
      </c>
      <c r="N50" s="351"/>
    </row>
    <row r="51" spans="1:14" ht="19.95" customHeight="1" outlineLevel="1">
      <c r="A51" s="234" t="s">
        <v>410</v>
      </c>
      <c r="B51" s="344" t="s">
        <v>411</v>
      </c>
      <c r="C51" s="345"/>
      <c r="D51" s="341" t="s">
        <v>361</v>
      </c>
      <c r="E51" s="342" t="s">
        <v>405</v>
      </c>
      <c r="F51" s="343"/>
      <c r="G51" s="343"/>
      <c r="H51" s="343"/>
      <c r="I51" s="343"/>
      <c r="J51" s="343"/>
      <c r="K51" s="343"/>
      <c r="L51" s="343"/>
      <c r="M51" s="261" t="s">
        <v>469</v>
      </c>
      <c r="N51" s="351"/>
    </row>
    <row r="52" spans="1:14" ht="19.95" customHeight="1" outlineLevel="1">
      <c r="A52" s="241" t="s">
        <v>412</v>
      </c>
      <c r="B52" s="344" t="s">
        <v>413</v>
      </c>
      <c r="C52" s="345"/>
      <c r="D52" s="341" t="s">
        <v>361</v>
      </c>
      <c r="E52" s="342" t="s">
        <v>368</v>
      </c>
      <c r="F52" s="343"/>
      <c r="G52" s="343"/>
      <c r="H52" s="343"/>
      <c r="I52" s="343"/>
      <c r="J52" s="343"/>
      <c r="K52" s="343"/>
      <c r="L52" s="343"/>
      <c r="M52" s="261" t="s">
        <v>469</v>
      </c>
      <c r="N52" s="351"/>
    </row>
    <row r="53" spans="1:14" ht="19.95" customHeight="1" outlineLevel="1">
      <c r="A53" s="241" t="s">
        <v>395</v>
      </c>
      <c r="B53" s="348" t="s">
        <v>414</v>
      </c>
      <c r="C53" s="345"/>
      <c r="D53" s="341" t="s">
        <v>364</v>
      </c>
      <c r="E53" s="342" t="s">
        <v>368</v>
      </c>
      <c r="F53" s="343"/>
      <c r="G53" s="343"/>
      <c r="H53" s="343"/>
      <c r="I53" s="343"/>
      <c r="J53" s="343"/>
      <c r="K53" s="343"/>
      <c r="L53" s="343"/>
      <c r="M53" s="261" t="s">
        <v>469</v>
      </c>
      <c r="N53" s="351"/>
    </row>
    <row r="54" spans="1:14" ht="19.95" customHeight="1" outlineLevel="1">
      <c r="A54" s="234" t="s">
        <v>415</v>
      </c>
      <c r="B54" s="344" t="s">
        <v>416</v>
      </c>
      <c r="C54" s="345"/>
      <c r="D54" s="341" t="s">
        <v>364</v>
      </c>
      <c r="E54" s="342" t="s">
        <v>405</v>
      </c>
      <c r="F54" s="343"/>
      <c r="G54" s="343"/>
      <c r="H54" s="343"/>
      <c r="I54" s="343"/>
      <c r="J54" s="343"/>
      <c r="K54" s="343"/>
      <c r="L54" s="343"/>
      <c r="M54" s="261" t="s">
        <v>469</v>
      </c>
      <c r="N54" s="351"/>
    </row>
    <row r="55" spans="1:14" ht="19.95" customHeight="1">
      <c r="A55" s="230" t="s">
        <v>417</v>
      </c>
      <c r="B55" s="346" t="s">
        <v>418</v>
      </c>
      <c r="C55" s="347"/>
      <c r="D55" s="337" t="s">
        <v>361</v>
      </c>
      <c r="E55" s="338" t="s">
        <v>405</v>
      </c>
      <c r="F55" s="339" t="s">
        <v>419</v>
      </c>
      <c r="G55" s="339"/>
      <c r="H55" s="339"/>
      <c r="I55" s="339"/>
      <c r="J55" s="339"/>
      <c r="K55" s="339" t="s">
        <v>382</v>
      </c>
      <c r="L55" s="339"/>
      <c r="M55" s="261" t="s">
        <v>469</v>
      </c>
      <c r="N55" s="353" t="s">
        <v>475</v>
      </c>
    </row>
    <row r="56" spans="1:14" ht="19.95" customHeight="1" outlineLevel="1">
      <c r="A56" s="234" t="s">
        <v>420</v>
      </c>
      <c r="B56" s="348" t="s">
        <v>421</v>
      </c>
      <c r="C56" s="345"/>
      <c r="D56" s="341" t="s">
        <v>364</v>
      </c>
      <c r="E56" s="342" t="s">
        <v>368</v>
      </c>
      <c r="F56" s="343"/>
      <c r="G56" s="343"/>
      <c r="H56" s="343"/>
      <c r="I56" s="343"/>
      <c r="J56" s="343"/>
      <c r="K56" s="343"/>
      <c r="L56" s="343"/>
      <c r="M56" s="261" t="s">
        <v>469</v>
      </c>
      <c r="N56" s="353"/>
    </row>
    <row r="57" spans="1:14" ht="19.95" customHeight="1" outlineLevel="1">
      <c r="A57" s="234" t="s">
        <v>406</v>
      </c>
      <c r="B57" s="344" t="s">
        <v>407</v>
      </c>
      <c r="C57" s="345"/>
      <c r="D57" s="341" t="s">
        <v>361</v>
      </c>
      <c r="E57" s="342" t="s">
        <v>405</v>
      </c>
      <c r="F57" s="343"/>
      <c r="G57" s="343"/>
      <c r="H57" s="343"/>
      <c r="I57" s="343"/>
      <c r="J57" s="343"/>
      <c r="K57" s="343"/>
      <c r="L57" s="343"/>
      <c r="M57" s="261" t="s">
        <v>469</v>
      </c>
      <c r="N57" s="353"/>
    </row>
    <row r="58" spans="1:14" ht="19.95" customHeight="1" outlineLevel="1">
      <c r="A58" s="234" t="s">
        <v>408</v>
      </c>
      <c r="B58" s="348" t="s">
        <v>409</v>
      </c>
      <c r="C58" s="345"/>
      <c r="D58" s="341" t="s">
        <v>361</v>
      </c>
      <c r="E58" s="342" t="s">
        <v>405</v>
      </c>
      <c r="F58" s="343"/>
      <c r="G58" s="343"/>
      <c r="H58" s="343"/>
      <c r="I58" s="343"/>
      <c r="J58" s="343"/>
      <c r="K58" s="343"/>
      <c r="L58" s="343"/>
      <c r="M58" s="261" t="s">
        <v>469</v>
      </c>
      <c r="N58" s="353"/>
    </row>
    <row r="59" spans="1:14" ht="19.95" customHeight="1" outlineLevel="1">
      <c r="A59" s="234" t="s">
        <v>410</v>
      </c>
      <c r="B59" s="344" t="s">
        <v>411</v>
      </c>
      <c r="C59" s="345"/>
      <c r="D59" s="341" t="s">
        <v>361</v>
      </c>
      <c r="E59" s="342" t="s">
        <v>405</v>
      </c>
      <c r="F59" s="343"/>
      <c r="G59" s="343"/>
      <c r="H59" s="343"/>
      <c r="I59" s="343"/>
      <c r="J59" s="343"/>
      <c r="K59" s="343"/>
      <c r="L59" s="343"/>
      <c r="M59" s="261" t="s">
        <v>469</v>
      </c>
      <c r="N59" s="353"/>
    </row>
    <row r="60" spans="1:14" ht="19.95" customHeight="1" outlineLevel="1">
      <c r="A60" s="241" t="s">
        <v>393</v>
      </c>
      <c r="B60" s="344" t="s">
        <v>422</v>
      </c>
      <c r="C60" s="345"/>
      <c r="D60" s="341" t="s">
        <v>364</v>
      </c>
      <c r="E60" s="342" t="s">
        <v>368</v>
      </c>
      <c r="F60" s="343"/>
      <c r="G60" s="343"/>
      <c r="H60" s="343"/>
      <c r="I60" s="343"/>
      <c r="J60" s="343"/>
      <c r="K60" s="343"/>
      <c r="L60" s="343"/>
      <c r="M60" s="261" t="s">
        <v>469</v>
      </c>
      <c r="N60" s="353"/>
    </row>
    <row r="61" spans="1:14" ht="19.95" customHeight="1" outlineLevel="1">
      <c r="A61" s="241" t="s">
        <v>395</v>
      </c>
      <c r="B61" s="344" t="s">
        <v>423</v>
      </c>
      <c r="C61" s="345"/>
      <c r="D61" s="341" t="s">
        <v>364</v>
      </c>
      <c r="E61" s="342" t="s">
        <v>368</v>
      </c>
      <c r="F61" s="343"/>
      <c r="G61" s="343"/>
      <c r="H61" s="343"/>
      <c r="I61" s="343"/>
      <c r="J61" s="343"/>
      <c r="K61" s="343"/>
      <c r="L61" s="343"/>
      <c r="M61" s="261" t="s">
        <v>469</v>
      </c>
      <c r="N61" s="353"/>
    </row>
    <row r="62" spans="1:14" ht="19.95" customHeight="1" outlineLevel="1">
      <c r="A62" s="234" t="s">
        <v>415</v>
      </c>
      <c r="B62" s="344" t="s">
        <v>424</v>
      </c>
      <c r="C62" s="345"/>
      <c r="D62" s="341" t="s">
        <v>361</v>
      </c>
      <c r="E62" s="342" t="s">
        <v>405</v>
      </c>
      <c r="F62" s="343"/>
      <c r="G62" s="343"/>
      <c r="H62" s="343"/>
      <c r="I62" s="343"/>
      <c r="J62" s="343"/>
      <c r="K62" s="343"/>
      <c r="L62" s="343"/>
      <c r="M62" s="261" t="s">
        <v>469</v>
      </c>
      <c r="N62" s="353"/>
    </row>
    <row r="63" spans="1:14" ht="19.95" customHeight="1">
      <c r="A63" s="230" t="s">
        <v>425</v>
      </c>
      <c r="B63" s="359" t="s">
        <v>426</v>
      </c>
      <c r="C63" s="347"/>
      <c r="D63" s="337" t="s">
        <v>361</v>
      </c>
      <c r="E63" s="338" t="s">
        <v>368</v>
      </c>
      <c r="F63" s="339" t="s">
        <v>419</v>
      </c>
      <c r="G63" s="339"/>
      <c r="H63" s="339"/>
      <c r="I63" s="339"/>
      <c r="J63" s="339"/>
      <c r="K63" s="339"/>
      <c r="L63" s="339"/>
      <c r="M63" s="265" t="s">
        <v>480</v>
      </c>
      <c r="N63" s="231"/>
    </row>
    <row r="64" spans="1:14" ht="19.95" customHeight="1">
      <c r="A64" s="230" t="s">
        <v>427</v>
      </c>
      <c r="B64" s="347" t="s">
        <v>428</v>
      </c>
      <c r="C64" s="347"/>
      <c r="D64" s="337" t="s">
        <v>361</v>
      </c>
      <c r="E64" s="338" t="s">
        <v>355</v>
      </c>
      <c r="F64" s="339" t="s">
        <v>429</v>
      </c>
      <c r="G64" s="339"/>
      <c r="H64" s="339"/>
      <c r="I64" s="339"/>
      <c r="J64" s="339"/>
      <c r="K64" s="339"/>
      <c r="L64" s="339"/>
      <c r="M64" s="261" t="s">
        <v>482</v>
      </c>
      <c r="N64" s="231"/>
    </row>
    <row r="65" spans="1:14" ht="19.95" customHeight="1">
      <c r="A65" s="242" t="s">
        <v>430</v>
      </c>
      <c r="B65" s="358" t="s">
        <v>431</v>
      </c>
      <c r="C65" s="336"/>
      <c r="D65" s="337" t="s">
        <v>346</v>
      </c>
      <c r="E65" s="338" t="s">
        <v>355</v>
      </c>
      <c r="F65" s="339" t="s">
        <v>432</v>
      </c>
      <c r="G65" s="339"/>
      <c r="H65" s="339"/>
      <c r="I65" s="339"/>
      <c r="J65" s="339"/>
      <c r="K65" s="339" t="s">
        <v>433</v>
      </c>
      <c r="L65" s="339"/>
      <c r="M65" s="261" t="s">
        <v>483</v>
      </c>
      <c r="N65" s="267" t="s">
        <v>484</v>
      </c>
    </row>
    <row r="66" spans="1:14" ht="22.5" customHeight="1"/>
    <row r="67" spans="1:14" ht="22.5" customHeight="1">
      <c r="B67" s="244" t="s">
        <v>434</v>
      </c>
    </row>
    <row r="68" spans="1:14" ht="22.5" customHeight="1">
      <c r="A68" s="231"/>
      <c r="B68" s="245" t="s">
        <v>435</v>
      </c>
    </row>
    <row r="69" spans="1:14" ht="33.75" customHeight="1">
      <c r="A69" s="231"/>
      <c r="B69" s="345" t="s">
        <v>436</v>
      </c>
      <c r="C69" s="345"/>
      <c r="D69" s="231"/>
      <c r="E69" s="231"/>
      <c r="F69" s="231"/>
      <c r="G69" s="231"/>
      <c r="H69" s="231"/>
      <c r="I69" s="231"/>
      <c r="J69" s="231"/>
      <c r="K69" s="231"/>
      <c r="L69" s="231"/>
      <c r="M69" s="231"/>
      <c r="N69" s="231"/>
    </row>
    <row r="70" spans="1:14" ht="33.75" customHeight="1">
      <c r="A70" s="231"/>
      <c r="B70" s="345" t="s">
        <v>437</v>
      </c>
      <c r="C70" s="345"/>
      <c r="D70" s="231"/>
      <c r="E70" s="231"/>
      <c r="F70" s="231"/>
      <c r="G70" s="231"/>
      <c r="H70" s="231"/>
      <c r="I70" s="231"/>
      <c r="J70" s="231"/>
      <c r="K70" s="231"/>
      <c r="L70" s="231"/>
      <c r="M70" s="231"/>
      <c r="N70" s="231"/>
    </row>
    <row r="71" spans="1:14" ht="33.75" customHeight="1">
      <c r="A71" s="231"/>
      <c r="B71" s="345" t="s">
        <v>438</v>
      </c>
      <c r="C71" s="345"/>
      <c r="D71" s="231"/>
      <c r="E71" s="231"/>
      <c r="F71" s="231"/>
      <c r="G71" s="231"/>
      <c r="H71" s="231"/>
      <c r="I71" s="231"/>
      <c r="J71" s="231"/>
      <c r="K71" s="231"/>
      <c r="L71" s="231"/>
      <c r="M71" s="231"/>
      <c r="N71" s="231"/>
    </row>
    <row r="72" spans="1:14" ht="33.75" customHeight="1">
      <c r="A72" s="231"/>
      <c r="B72" s="345" t="s">
        <v>439</v>
      </c>
      <c r="C72" s="345"/>
      <c r="D72" s="231"/>
      <c r="E72" s="231"/>
      <c r="F72" s="231"/>
      <c r="G72" s="231"/>
      <c r="H72" s="231"/>
      <c r="I72" s="231"/>
      <c r="J72" s="231"/>
      <c r="K72" s="231"/>
      <c r="L72" s="231"/>
      <c r="M72" s="231"/>
      <c r="N72" s="231"/>
    </row>
    <row r="73" spans="1:14" ht="43.5" customHeight="1">
      <c r="A73" s="231"/>
      <c r="B73" s="345" t="s">
        <v>440</v>
      </c>
      <c r="C73" s="345"/>
      <c r="D73" s="231"/>
      <c r="E73" s="231"/>
      <c r="F73" s="231"/>
      <c r="G73" s="231"/>
      <c r="H73" s="231"/>
      <c r="I73" s="231"/>
      <c r="J73" s="231"/>
      <c r="K73" s="231"/>
      <c r="L73" s="231"/>
      <c r="M73" s="231"/>
      <c r="N73" s="231"/>
    </row>
    <row r="74" spans="1:14">
      <c r="A74" s="231"/>
      <c r="D74" s="231"/>
      <c r="E74" s="231"/>
      <c r="F74" s="231"/>
      <c r="G74" s="231"/>
      <c r="H74" s="231"/>
      <c r="I74" s="231"/>
      <c r="J74" s="231"/>
      <c r="K74" s="231"/>
      <c r="L74" s="231"/>
    </row>
    <row r="75" spans="1:14">
      <c r="A75" s="231"/>
      <c r="D75" s="231"/>
      <c r="E75" s="231"/>
      <c r="F75" s="231"/>
      <c r="G75" s="231"/>
      <c r="H75" s="231"/>
      <c r="I75" s="231"/>
      <c r="J75" s="231"/>
      <c r="K75" s="231"/>
      <c r="L75" s="231"/>
    </row>
    <row r="76" spans="1:14">
      <c r="A76" s="231"/>
      <c r="D76" s="231"/>
      <c r="E76" s="231"/>
      <c r="F76" s="231"/>
      <c r="G76" s="231"/>
      <c r="H76" s="231"/>
      <c r="I76" s="231"/>
      <c r="J76" s="231"/>
      <c r="K76" s="231"/>
      <c r="L76" s="231"/>
    </row>
    <row r="77" spans="1:14">
      <c r="D77" s="231"/>
      <c r="E77" s="231"/>
      <c r="F77" s="231"/>
      <c r="G77" s="231"/>
      <c r="H77" s="231"/>
      <c r="I77" s="231"/>
      <c r="J77" s="231"/>
      <c r="K77" s="231"/>
      <c r="L77" s="231"/>
    </row>
    <row r="78" spans="1:14">
      <c r="D78" s="231"/>
      <c r="E78" s="231"/>
      <c r="F78" s="231"/>
      <c r="G78" s="231"/>
      <c r="H78" s="231"/>
      <c r="I78" s="231"/>
      <c r="J78" s="231"/>
      <c r="K78" s="231"/>
      <c r="L78" s="231"/>
    </row>
    <row r="79" spans="1:14">
      <c r="D79" s="231"/>
      <c r="E79" s="231"/>
      <c r="F79" s="231"/>
      <c r="G79" s="231"/>
      <c r="H79" s="231"/>
      <c r="I79" s="231"/>
      <c r="J79" s="231"/>
      <c r="K79" s="231"/>
      <c r="L79" s="231"/>
    </row>
    <row r="80" spans="1:14">
      <c r="D80" s="231"/>
      <c r="E80" s="231"/>
      <c r="F80" s="231"/>
      <c r="G80" s="231"/>
      <c r="H80" s="231"/>
      <c r="I80" s="231"/>
      <c r="J80" s="231"/>
      <c r="K80" s="231"/>
      <c r="L80" s="231"/>
    </row>
    <row r="81" spans="1:15">
      <c r="D81" s="231"/>
      <c r="E81" s="231"/>
      <c r="F81" s="231"/>
      <c r="G81" s="231"/>
      <c r="H81" s="231"/>
      <c r="I81" s="231"/>
      <c r="J81" s="231"/>
      <c r="K81" s="231"/>
      <c r="L81" s="231"/>
    </row>
    <row r="82" spans="1:15">
      <c r="D82" s="231"/>
      <c r="E82" s="231"/>
      <c r="F82" s="231"/>
      <c r="G82" s="231"/>
      <c r="H82" s="231"/>
      <c r="I82" s="231"/>
      <c r="J82" s="231"/>
      <c r="K82" s="231"/>
      <c r="L82" s="231"/>
    </row>
    <row r="83" spans="1:15">
      <c r="D83" s="231"/>
      <c r="E83" s="231"/>
      <c r="F83" s="231"/>
      <c r="G83" s="231"/>
      <c r="H83" s="231"/>
      <c r="I83" s="231"/>
      <c r="J83" s="231"/>
      <c r="K83" s="231"/>
      <c r="L83" s="231"/>
    </row>
    <row r="84" spans="1:15">
      <c r="D84" s="231"/>
      <c r="E84" s="231"/>
      <c r="F84" s="231"/>
      <c r="G84" s="231"/>
      <c r="H84" s="231"/>
      <c r="I84" s="231"/>
      <c r="J84" s="231"/>
      <c r="K84" s="231"/>
      <c r="L84" s="231"/>
    </row>
    <row r="85" spans="1:15">
      <c r="D85" s="231"/>
      <c r="E85" s="231"/>
      <c r="F85" s="231"/>
      <c r="G85" s="231"/>
      <c r="H85" s="231"/>
      <c r="I85" s="231"/>
      <c r="J85" s="231"/>
      <c r="K85" s="231"/>
      <c r="L85" s="231"/>
    </row>
    <row r="86" spans="1:15">
      <c r="D86" s="231"/>
      <c r="E86" s="231"/>
      <c r="F86" s="231"/>
      <c r="G86" s="231"/>
      <c r="H86" s="231"/>
      <c r="I86" s="231"/>
      <c r="J86" s="231"/>
      <c r="K86" s="231"/>
      <c r="L86" s="231"/>
    </row>
    <row r="87" spans="1:15">
      <c r="D87" s="231"/>
      <c r="E87" s="231"/>
      <c r="F87" s="231"/>
      <c r="G87" s="231"/>
      <c r="H87" s="231"/>
      <c r="I87" s="231"/>
      <c r="J87" s="231"/>
      <c r="K87" s="231"/>
      <c r="L87" s="231"/>
    </row>
    <row r="88" spans="1:15" s="211" customFormat="1">
      <c r="A88" s="212"/>
      <c r="B88" s="212"/>
      <c r="C88" s="212"/>
      <c r="D88" s="231"/>
      <c r="E88" s="231"/>
      <c r="F88" s="231"/>
      <c r="G88" s="231"/>
      <c r="H88" s="231"/>
      <c r="I88" s="231"/>
      <c r="J88" s="231"/>
      <c r="K88" s="231"/>
      <c r="L88" s="231"/>
      <c r="O88" s="212"/>
    </row>
  </sheetData>
  <autoFilter ref="A16:O65">
    <filterColumn colId="1" showButton="0"/>
    <filterColumn colId="5" showButton="0"/>
    <filterColumn colId="6" showButton="0"/>
    <filterColumn colId="7" showButton="0"/>
    <filterColumn colId="8" showButton="0"/>
    <filterColumn colId="10" showButton="0"/>
  </autoFilter>
  <mergeCells count="227">
    <mergeCell ref="B71:C71"/>
    <mergeCell ref="B72:C72"/>
    <mergeCell ref="B73:C73"/>
    <mergeCell ref="N30:N32"/>
    <mergeCell ref="N45:N54"/>
    <mergeCell ref="N20:N29"/>
    <mergeCell ref="N33:N44"/>
    <mergeCell ref="N55:N62"/>
    <mergeCell ref="B65:C65"/>
    <mergeCell ref="D65:E65"/>
    <mergeCell ref="F65:J65"/>
    <mergeCell ref="K65:L65"/>
    <mergeCell ref="B69:C69"/>
    <mergeCell ref="B70:C70"/>
    <mergeCell ref="B63:C63"/>
    <mergeCell ref="D63:E63"/>
    <mergeCell ref="F63:J63"/>
    <mergeCell ref="K63:L63"/>
    <mergeCell ref="B64:C64"/>
    <mergeCell ref="D64:E64"/>
    <mergeCell ref="F64:J64"/>
    <mergeCell ref="K64:L64"/>
    <mergeCell ref="B61:C61"/>
    <mergeCell ref="D61:E61"/>
    <mergeCell ref="F61:J61"/>
    <mergeCell ref="K61:L61"/>
    <mergeCell ref="B62:C62"/>
    <mergeCell ref="D62:E62"/>
    <mergeCell ref="F62:J62"/>
    <mergeCell ref="K62:L62"/>
    <mergeCell ref="B59:C59"/>
    <mergeCell ref="D59:E59"/>
    <mergeCell ref="F59:J59"/>
    <mergeCell ref="K59:L59"/>
    <mergeCell ref="B60:C60"/>
    <mergeCell ref="D60:E60"/>
    <mergeCell ref="F60:J60"/>
    <mergeCell ref="K60:L60"/>
    <mergeCell ref="B57:C57"/>
    <mergeCell ref="D57:E57"/>
    <mergeCell ref="F57:J57"/>
    <mergeCell ref="K57:L57"/>
    <mergeCell ref="B58:C58"/>
    <mergeCell ref="D58:E58"/>
    <mergeCell ref="F58:J58"/>
    <mergeCell ref="K58:L58"/>
    <mergeCell ref="B55:C55"/>
    <mergeCell ref="D55:E55"/>
    <mergeCell ref="F55:J55"/>
    <mergeCell ref="K55:L55"/>
    <mergeCell ref="B56:C56"/>
    <mergeCell ref="D56:E56"/>
    <mergeCell ref="F56:J56"/>
    <mergeCell ref="K56:L56"/>
    <mergeCell ref="B53:C53"/>
    <mergeCell ref="D53:E53"/>
    <mergeCell ref="F53:J53"/>
    <mergeCell ref="K53:L53"/>
    <mergeCell ref="B54:C54"/>
    <mergeCell ref="D54:E54"/>
    <mergeCell ref="F54:J54"/>
    <mergeCell ref="K54:L54"/>
    <mergeCell ref="B51:C51"/>
    <mergeCell ref="D51:E51"/>
    <mergeCell ref="F51:J51"/>
    <mergeCell ref="K51:L51"/>
    <mergeCell ref="B52:C52"/>
    <mergeCell ref="D52:E52"/>
    <mergeCell ref="F52:J52"/>
    <mergeCell ref="K52:L52"/>
    <mergeCell ref="B49:C49"/>
    <mergeCell ref="D49:E49"/>
    <mergeCell ref="F49:J49"/>
    <mergeCell ref="K49:L49"/>
    <mergeCell ref="B50:C50"/>
    <mergeCell ref="D50:E50"/>
    <mergeCell ref="F50:J50"/>
    <mergeCell ref="K50:L50"/>
    <mergeCell ref="B47:C47"/>
    <mergeCell ref="D47:E47"/>
    <mergeCell ref="F47:J47"/>
    <mergeCell ref="K47:L47"/>
    <mergeCell ref="B48:C48"/>
    <mergeCell ref="D48:E48"/>
    <mergeCell ref="F48:J48"/>
    <mergeCell ref="K48:L48"/>
    <mergeCell ref="B45:C45"/>
    <mergeCell ref="D45:E45"/>
    <mergeCell ref="F45:J45"/>
    <mergeCell ref="K45:L45"/>
    <mergeCell ref="B46:C46"/>
    <mergeCell ref="D46:E46"/>
    <mergeCell ref="F46:J46"/>
    <mergeCell ref="K46:L46"/>
    <mergeCell ref="B43:C43"/>
    <mergeCell ref="D43:E43"/>
    <mergeCell ref="F43:J43"/>
    <mergeCell ref="K43:L43"/>
    <mergeCell ref="B44:C44"/>
    <mergeCell ref="D44:E44"/>
    <mergeCell ref="F44:J44"/>
    <mergeCell ref="K44:L44"/>
    <mergeCell ref="B41:C41"/>
    <mergeCell ref="D41:E41"/>
    <mergeCell ref="F41:J41"/>
    <mergeCell ref="K41:L41"/>
    <mergeCell ref="B42:C42"/>
    <mergeCell ref="D42:E42"/>
    <mergeCell ref="F42:J42"/>
    <mergeCell ref="K42:L42"/>
    <mergeCell ref="B39:C39"/>
    <mergeCell ref="D39:E39"/>
    <mergeCell ref="F39:J39"/>
    <mergeCell ref="K39:L39"/>
    <mergeCell ref="B40:C40"/>
    <mergeCell ref="D40:E40"/>
    <mergeCell ref="F40:J40"/>
    <mergeCell ref="K40:L40"/>
    <mergeCell ref="B37:C37"/>
    <mergeCell ref="D37:E37"/>
    <mergeCell ref="F37:J37"/>
    <mergeCell ref="K37:L37"/>
    <mergeCell ref="B38:C38"/>
    <mergeCell ref="D38:E38"/>
    <mergeCell ref="F38:J38"/>
    <mergeCell ref="K38:L38"/>
    <mergeCell ref="B35:C35"/>
    <mergeCell ref="D35:E35"/>
    <mergeCell ref="F35:J35"/>
    <mergeCell ref="K35:L35"/>
    <mergeCell ref="B36:C36"/>
    <mergeCell ref="D36:E36"/>
    <mergeCell ref="F36:J36"/>
    <mergeCell ref="K36:L36"/>
    <mergeCell ref="B33:C33"/>
    <mergeCell ref="D33:E33"/>
    <mergeCell ref="F33:J33"/>
    <mergeCell ref="K33:L33"/>
    <mergeCell ref="B34:C34"/>
    <mergeCell ref="D34:E34"/>
    <mergeCell ref="F34:J34"/>
    <mergeCell ref="K34:L34"/>
    <mergeCell ref="B31:C31"/>
    <mergeCell ref="D31:E31"/>
    <mergeCell ref="F31:J31"/>
    <mergeCell ref="K31:L31"/>
    <mergeCell ref="B32:C32"/>
    <mergeCell ref="D32:E32"/>
    <mergeCell ref="F32:J32"/>
    <mergeCell ref="K32:L32"/>
    <mergeCell ref="B29:C29"/>
    <mergeCell ref="D29:E29"/>
    <mergeCell ref="F29:J29"/>
    <mergeCell ref="K29:L29"/>
    <mergeCell ref="B30:C30"/>
    <mergeCell ref="F30:J30"/>
    <mergeCell ref="K30:L30"/>
    <mergeCell ref="B27:C27"/>
    <mergeCell ref="D27:E27"/>
    <mergeCell ref="F27:J27"/>
    <mergeCell ref="K27:L27"/>
    <mergeCell ref="B28:C28"/>
    <mergeCell ref="D28:E28"/>
    <mergeCell ref="F28:J28"/>
    <mergeCell ref="K28:L28"/>
    <mergeCell ref="B25:C25"/>
    <mergeCell ref="D25:E25"/>
    <mergeCell ref="F25:J25"/>
    <mergeCell ref="K25:L25"/>
    <mergeCell ref="B26:C26"/>
    <mergeCell ref="D26:E26"/>
    <mergeCell ref="F26:J26"/>
    <mergeCell ref="K26:L26"/>
    <mergeCell ref="B23:C23"/>
    <mergeCell ref="D23:E23"/>
    <mergeCell ref="F23:J23"/>
    <mergeCell ref="K23:L23"/>
    <mergeCell ref="B24:C24"/>
    <mergeCell ref="D24:E24"/>
    <mergeCell ref="F24:J24"/>
    <mergeCell ref="K24:L24"/>
    <mergeCell ref="B21:C21"/>
    <mergeCell ref="D21:E21"/>
    <mergeCell ref="F21:J21"/>
    <mergeCell ref="K21:L21"/>
    <mergeCell ref="B22:C22"/>
    <mergeCell ref="D22:E22"/>
    <mergeCell ref="F22:J22"/>
    <mergeCell ref="K22:L22"/>
    <mergeCell ref="B19:C19"/>
    <mergeCell ref="D19:E19"/>
    <mergeCell ref="F19:J19"/>
    <mergeCell ref="K19:L19"/>
    <mergeCell ref="B20:C20"/>
    <mergeCell ref="D20:E20"/>
    <mergeCell ref="F20:J20"/>
    <mergeCell ref="K20:L20"/>
    <mergeCell ref="K16:L16"/>
    <mergeCell ref="B17:C17"/>
    <mergeCell ref="D17:E17"/>
    <mergeCell ref="F17:J17"/>
    <mergeCell ref="K17:L17"/>
    <mergeCell ref="B18:C18"/>
    <mergeCell ref="D18:E18"/>
    <mergeCell ref="F18:J18"/>
    <mergeCell ref="K18:L18"/>
    <mergeCell ref="A14:C14"/>
    <mergeCell ref="H14:J14"/>
    <mergeCell ref="H15:J15"/>
    <mergeCell ref="B16:C16"/>
    <mergeCell ref="D16:E16"/>
    <mergeCell ref="F16:J16"/>
    <mergeCell ref="A10:C10"/>
    <mergeCell ref="H10:J10"/>
    <mergeCell ref="A11:C11"/>
    <mergeCell ref="H11:J11"/>
    <mergeCell ref="A12:C12"/>
    <mergeCell ref="H12:J12"/>
    <mergeCell ref="A1:L1"/>
    <mergeCell ref="A2:L2"/>
    <mergeCell ref="A8:C9"/>
    <mergeCell ref="D8:J8"/>
    <mergeCell ref="K8:K9"/>
    <mergeCell ref="L8:L9"/>
    <mergeCell ref="H9:J9"/>
    <mergeCell ref="A13:C13"/>
    <mergeCell ref="H13:J13"/>
  </mergeCells>
  <phoneticPr fontId="44" type="noConversion"/>
  <printOptions horizontalCentered="1"/>
  <pageMargins left="0.47244094488188981" right="0.31496062992125984" top="0.54" bottom="0.35" header="0.51181102362204722" footer="0.21"/>
  <pageSetup paperSize="9" fitToHeight="50" orientation="landscape" blackAndWhite="1" cellComments="atEnd"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81"/>
  <sheetViews>
    <sheetView view="pageBreakPreview" zoomScale="88" zoomScaleNormal="70" zoomScaleSheetLayoutView="88" workbookViewId="0">
      <selection sqref="A1:L1"/>
    </sheetView>
  </sheetViews>
  <sheetFormatPr defaultColWidth="9" defaultRowHeight="15" customHeight="1"/>
  <cols>
    <col min="1" max="1" width="37.21875" style="4" customWidth="1"/>
    <col min="2" max="2" width="14.77734375" style="4" customWidth="1"/>
    <col min="3" max="19" width="14.6640625" style="4" customWidth="1"/>
    <col min="20" max="16384" width="9" style="4"/>
  </cols>
  <sheetData>
    <row r="1" spans="1:13" s="1" customFormat="1" ht="18" customHeight="1">
      <c r="A1" s="360" t="s">
        <v>0</v>
      </c>
      <c r="B1" s="360"/>
      <c r="C1" s="360"/>
      <c r="D1" s="360"/>
      <c r="E1" s="360"/>
      <c r="F1" s="360"/>
      <c r="G1" s="360"/>
      <c r="H1" s="360"/>
      <c r="I1" s="360"/>
      <c r="J1" s="360"/>
      <c r="K1" s="360"/>
      <c r="L1" s="360"/>
    </row>
    <row r="2" spans="1:13" s="2" customFormat="1" ht="18" customHeight="1">
      <c r="A2" s="361" t="s">
        <v>489</v>
      </c>
      <c r="B2" s="361"/>
      <c r="C2" s="361"/>
      <c r="D2" s="361"/>
      <c r="E2" s="361"/>
      <c r="F2" s="361"/>
      <c r="G2" s="361"/>
      <c r="H2" s="361"/>
      <c r="I2" s="361"/>
      <c r="J2" s="361"/>
      <c r="K2" s="361"/>
      <c r="L2" s="361"/>
    </row>
    <row r="3" spans="1:13" ht="18" customHeight="1">
      <c r="A3" s="3" t="str">
        <f>底稿目录!A2</f>
        <v>被审计单位：</v>
      </c>
      <c r="B3" s="3"/>
      <c r="C3" s="3" t="str">
        <f>底稿目录!A4</f>
        <v>编制人：</v>
      </c>
      <c r="E3" s="3"/>
      <c r="H3" s="3"/>
      <c r="I3" s="107" t="str">
        <f>底稿目录!A5</f>
        <v>编制日期：</v>
      </c>
      <c r="J3" s="106"/>
      <c r="K3" s="291" t="s">
        <v>1</v>
      </c>
      <c r="L3" s="289" t="str">
        <f>底稿目录!D4</f>
        <v>J2-1</v>
      </c>
    </row>
    <row r="4" spans="1:13" ht="18" customHeight="1">
      <c r="A4" s="3" t="str">
        <f>底稿目录!A3</f>
        <v>截止日：</v>
      </c>
      <c r="B4" s="3"/>
      <c r="C4" s="3" t="str">
        <f>底稿目录!A6</f>
        <v>复核人：</v>
      </c>
      <c r="E4" s="3"/>
      <c r="H4" s="3"/>
      <c r="I4" s="106" t="str">
        <f>底稿目录!A7</f>
        <v>复核日期：</v>
      </c>
      <c r="J4" s="106"/>
      <c r="K4" s="291" t="s">
        <v>542</v>
      </c>
      <c r="L4" s="3"/>
    </row>
    <row r="5" spans="1:13" ht="25.8" customHeight="1">
      <c r="A5" s="366" t="s">
        <v>7</v>
      </c>
      <c r="B5" s="373" t="s">
        <v>185</v>
      </c>
      <c r="C5" s="374"/>
      <c r="D5" s="375"/>
      <c r="E5" s="373" t="s">
        <v>186</v>
      </c>
      <c r="F5" s="374"/>
      <c r="G5" s="375"/>
      <c r="H5" s="367" t="s">
        <v>187</v>
      </c>
      <c r="I5" s="368"/>
      <c r="J5" s="369" t="s">
        <v>188</v>
      </c>
      <c r="K5" s="370"/>
      <c r="L5" s="371" t="s">
        <v>189</v>
      </c>
    </row>
    <row r="6" spans="1:13" ht="18" customHeight="1">
      <c r="A6" s="366"/>
      <c r="B6" s="143" t="s">
        <v>190</v>
      </c>
      <c r="C6" s="143" t="s">
        <v>191</v>
      </c>
      <c r="D6" s="143" t="s">
        <v>192</v>
      </c>
      <c r="E6" s="143" t="s">
        <v>190</v>
      </c>
      <c r="F6" s="143" t="s">
        <v>191</v>
      </c>
      <c r="G6" s="143" t="s">
        <v>192</v>
      </c>
      <c r="H6" s="144" t="s">
        <v>193</v>
      </c>
      <c r="I6" s="145" t="s">
        <v>194</v>
      </c>
      <c r="J6" s="144" t="s">
        <v>195</v>
      </c>
      <c r="K6" s="142" t="s">
        <v>196</v>
      </c>
      <c r="L6" s="372"/>
    </row>
    <row r="7" spans="1:13" ht="18" customHeight="1">
      <c r="A7" s="98" t="s">
        <v>8</v>
      </c>
      <c r="B7" s="294">
        <f>B8+B9</f>
        <v>0</v>
      </c>
      <c r="C7" s="294">
        <f t="shared" ref="C7:J7" si="0">C8+C9</f>
        <v>0</v>
      </c>
      <c r="D7" s="294">
        <f t="shared" si="0"/>
        <v>0</v>
      </c>
      <c r="E7" s="294">
        <f t="shared" si="0"/>
        <v>0</v>
      </c>
      <c r="F7" s="294">
        <f t="shared" si="0"/>
        <v>0</v>
      </c>
      <c r="G7" s="294">
        <f t="shared" si="0"/>
        <v>0</v>
      </c>
      <c r="H7" s="294">
        <f t="shared" si="0"/>
        <v>0</v>
      </c>
      <c r="I7" s="295">
        <f t="shared" ref="I7:I12" si="1">IF(AND(B7=0,E7=0),0,IF(AND(B7=0,E7&gt;0),1,H7/B7))</f>
        <v>0</v>
      </c>
      <c r="J7" s="294">
        <f t="shared" si="0"/>
        <v>0</v>
      </c>
      <c r="K7" s="295">
        <f t="shared" ref="K7:K12" si="2">IF(AND(D7=0,G7=0),0,IF(AND(D7=0,G7&gt;0),1,J7/D7))</f>
        <v>0</v>
      </c>
      <c r="L7" s="9"/>
    </row>
    <row r="8" spans="1:13" ht="18" customHeight="1">
      <c r="A8" s="98" t="s">
        <v>5</v>
      </c>
      <c r="B8" s="294">
        <f>'明细表J2-2'!C14</f>
        <v>0</v>
      </c>
      <c r="C8" s="294">
        <f>'明细表J2-2'!G14</f>
        <v>0</v>
      </c>
      <c r="D8" s="294">
        <f>B8+C8</f>
        <v>0</v>
      </c>
      <c r="E8" s="294">
        <f>'明细表J2-2'!F14</f>
        <v>0</v>
      </c>
      <c r="F8" s="294">
        <f>'明细表J2-2'!G14+'明细表J2-2'!H14-'明细表J2-2'!I14</f>
        <v>0</v>
      </c>
      <c r="G8" s="294">
        <f>E8+F8</f>
        <v>0</v>
      </c>
      <c r="H8" s="294">
        <f>E8-B8</f>
        <v>0</v>
      </c>
      <c r="I8" s="295">
        <f t="shared" si="1"/>
        <v>0</v>
      </c>
      <c r="J8" s="294">
        <f>G8-D8</f>
        <v>0</v>
      </c>
      <c r="K8" s="295">
        <f t="shared" si="2"/>
        <v>0</v>
      </c>
      <c r="L8" s="9"/>
    </row>
    <row r="9" spans="1:13" ht="18" customHeight="1">
      <c r="A9" s="98" t="s">
        <v>82</v>
      </c>
      <c r="B9" s="294">
        <f>'明细表J2-2'!C15</f>
        <v>0</v>
      </c>
      <c r="C9" s="294">
        <f>'明细表J2-2'!G15</f>
        <v>0</v>
      </c>
      <c r="D9" s="294">
        <f>B9+C9</f>
        <v>0</v>
      </c>
      <c r="E9" s="294">
        <f>'明细表J2-2'!F15</f>
        <v>0</v>
      </c>
      <c r="F9" s="294">
        <f>'明细表J2-2'!G15+'明细表J2-2'!H15-'明细表J2-2'!I15</f>
        <v>0</v>
      </c>
      <c r="G9" s="294">
        <f>E9+F9</f>
        <v>0</v>
      </c>
      <c r="H9" s="294">
        <f>E9-B9</f>
        <v>0</v>
      </c>
      <c r="I9" s="295">
        <f t="shared" si="1"/>
        <v>0</v>
      </c>
      <c r="J9" s="294">
        <f>G9-D9</f>
        <v>0</v>
      </c>
      <c r="K9" s="295">
        <f t="shared" si="2"/>
        <v>0</v>
      </c>
      <c r="L9" s="9"/>
    </row>
    <row r="10" spans="1:13" ht="18" customHeight="1">
      <c r="A10" s="98" t="s">
        <v>9</v>
      </c>
      <c r="B10" s="294">
        <f>'明细表J2-2'!C16</f>
        <v>0</v>
      </c>
      <c r="C10" s="294">
        <f>'明细表J2-2'!G16</f>
        <v>0</v>
      </c>
      <c r="D10" s="294">
        <f>B10+C10</f>
        <v>0</v>
      </c>
      <c r="E10" s="294">
        <f>'明细表J2-2'!F16</f>
        <v>0</v>
      </c>
      <c r="F10" s="294">
        <f>'明细表J2-2'!G16+'明细表J2-2'!H16-'明细表J2-2'!I16</f>
        <v>0</v>
      </c>
      <c r="G10" s="294">
        <f>E10+F10</f>
        <v>0</v>
      </c>
      <c r="H10" s="294">
        <f>E10-B10</f>
        <v>0</v>
      </c>
      <c r="I10" s="295">
        <f t="shared" si="1"/>
        <v>0</v>
      </c>
      <c r="J10" s="294">
        <f>G10-D10</f>
        <v>0</v>
      </c>
      <c r="K10" s="295">
        <f t="shared" si="2"/>
        <v>0</v>
      </c>
      <c r="L10" s="9"/>
    </row>
    <row r="11" spans="1:13" ht="18" customHeight="1">
      <c r="A11" s="99" t="s">
        <v>10</v>
      </c>
      <c r="B11" s="294">
        <f>'明细表J2-2'!C17</f>
        <v>0</v>
      </c>
      <c r="C11" s="294">
        <f>'明细表J2-2'!G17</f>
        <v>0</v>
      </c>
      <c r="D11" s="294">
        <f>B11+C11</f>
        <v>0</v>
      </c>
      <c r="E11" s="294">
        <f>'明细表J2-2'!F17</f>
        <v>0</v>
      </c>
      <c r="F11" s="294">
        <f>'明细表J2-2'!G17+'明细表J2-2'!H17-'明细表J2-2'!I17</f>
        <v>0</v>
      </c>
      <c r="G11" s="294">
        <f>E11+F11</f>
        <v>0</v>
      </c>
      <c r="H11" s="294">
        <f>E11-B11</f>
        <v>0</v>
      </c>
      <c r="I11" s="295">
        <f t="shared" si="1"/>
        <v>0</v>
      </c>
      <c r="J11" s="294">
        <f>G11-D11</f>
        <v>0</v>
      </c>
      <c r="K11" s="295">
        <f t="shared" si="2"/>
        <v>0</v>
      </c>
      <c r="L11" s="9"/>
    </row>
    <row r="12" spans="1:13" s="12" customFormat="1" ht="18" customHeight="1">
      <c r="A12" s="77" t="s">
        <v>2</v>
      </c>
      <c r="B12" s="274">
        <f t="shared" ref="B12:H12" si="3">B7+B10-B11</f>
        <v>0</v>
      </c>
      <c r="C12" s="274">
        <f t="shared" si="3"/>
        <v>0</v>
      </c>
      <c r="D12" s="274">
        <f t="shared" si="3"/>
        <v>0</v>
      </c>
      <c r="E12" s="274">
        <f t="shared" si="3"/>
        <v>0</v>
      </c>
      <c r="F12" s="274">
        <f t="shared" si="3"/>
        <v>0</v>
      </c>
      <c r="G12" s="274">
        <f t="shared" si="3"/>
        <v>0</v>
      </c>
      <c r="H12" s="274">
        <f t="shared" si="3"/>
        <v>0</v>
      </c>
      <c r="I12" s="296">
        <f t="shared" si="1"/>
        <v>0</v>
      </c>
      <c r="J12" s="274">
        <f>J7+J10-J11</f>
        <v>0</v>
      </c>
      <c r="K12" s="296">
        <f t="shared" si="2"/>
        <v>0</v>
      </c>
      <c r="L12" s="10"/>
      <c r="M12" s="11"/>
    </row>
    <row r="13" spans="1:13" ht="18" customHeight="1">
      <c r="A13" s="146" t="s">
        <v>197</v>
      </c>
    </row>
    <row r="14" spans="1:13" ht="18" customHeight="1">
      <c r="A14" s="69" t="s">
        <v>52</v>
      </c>
      <c r="B14" s="69" t="s">
        <v>53</v>
      </c>
    </row>
    <row r="15" spans="1:13" ht="18" customHeight="1">
      <c r="A15" s="98" t="s">
        <v>50</v>
      </c>
      <c r="B15" s="297">
        <f>'明细表J2-2'!M22</f>
        <v>0</v>
      </c>
    </row>
    <row r="16" spans="1:13" ht="18" customHeight="1">
      <c r="A16" s="98" t="s">
        <v>47</v>
      </c>
      <c r="B16" s="297">
        <f>'明细表J2-2'!M23</f>
        <v>0</v>
      </c>
    </row>
    <row r="17" spans="1:9" ht="18" customHeight="1">
      <c r="A17" s="98" t="s">
        <v>51</v>
      </c>
      <c r="B17" s="297">
        <f>'明细表J2-2'!M24</f>
        <v>0</v>
      </c>
    </row>
    <row r="18" spans="1:9" ht="18" customHeight="1">
      <c r="A18" s="98" t="s">
        <v>48</v>
      </c>
      <c r="B18" s="297">
        <f>'明细表J2-2'!M25</f>
        <v>0</v>
      </c>
    </row>
    <row r="19" spans="1:9" ht="18" customHeight="1">
      <c r="A19" s="76" t="s">
        <v>49</v>
      </c>
      <c r="B19" s="297">
        <f>SUM(B15:B18)</f>
        <v>0</v>
      </c>
    </row>
    <row r="20" spans="1:9" ht="18" customHeight="1">
      <c r="A20" s="306" t="s">
        <v>491</v>
      </c>
      <c r="B20" s="79"/>
      <c r="C20" s="79"/>
      <c r="D20" s="79"/>
      <c r="E20" s="79"/>
      <c r="F20" s="80"/>
      <c r="G20" s="80"/>
      <c r="H20" s="80"/>
      <c r="I20" s="80"/>
    </row>
    <row r="21" spans="1:9" ht="18" customHeight="1">
      <c r="A21" s="362" t="s">
        <v>12</v>
      </c>
      <c r="B21" s="364" t="s">
        <v>198</v>
      </c>
      <c r="C21" s="384"/>
      <c r="D21" s="384"/>
      <c r="E21" s="365"/>
      <c r="F21" s="364" t="s">
        <v>13</v>
      </c>
      <c r="G21" s="365"/>
      <c r="H21" s="364" t="s">
        <v>199</v>
      </c>
      <c r="I21" s="365"/>
    </row>
    <row r="22" spans="1:9" ht="18" customHeight="1">
      <c r="A22" s="363"/>
      <c r="B22" s="69" t="s">
        <v>143</v>
      </c>
      <c r="C22" s="69" t="s">
        <v>134</v>
      </c>
      <c r="D22" s="69" t="s">
        <v>144</v>
      </c>
      <c r="E22" s="70" t="s">
        <v>15</v>
      </c>
      <c r="F22" s="70" t="s">
        <v>14</v>
      </c>
      <c r="G22" s="70" t="s">
        <v>15</v>
      </c>
      <c r="H22" s="70" t="s">
        <v>14</v>
      </c>
      <c r="I22" s="70" t="s">
        <v>15</v>
      </c>
    </row>
    <row r="23" spans="1:9" ht="18" customHeight="1">
      <c r="A23" s="100" t="s">
        <v>200</v>
      </c>
      <c r="B23" s="273">
        <f>'明细表J2-2'!C32</f>
        <v>0</v>
      </c>
      <c r="C23" s="273">
        <f>'明细表J2-2'!D32</f>
        <v>0</v>
      </c>
      <c r="D23" s="273">
        <f>B23+C23</f>
        <v>0</v>
      </c>
      <c r="E23" s="273">
        <f>'明细表J2-2'!F32</f>
        <v>0</v>
      </c>
      <c r="F23" s="276">
        <f>E52</f>
        <v>0</v>
      </c>
      <c r="G23" s="278">
        <f>'明细表J2-2'!H32</f>
        <v>0</v>
      </c>
      <c r="H23" s="278">
        <f>B23-F23</f>
        <v>0</v>
      </c>
      <c r="I23" s="278">
        <f>'明细表J2-2'!J32</f>
        <v>0</v>
      </c>
    </row>
    <row r="24" spans="1:9" ht="18" customHeight="1">
      <c r="A24" s="100" t="s">
        <v>42</v>
      </c>
      <c r="B24" s="273">
        <f>B25+B26+B27+B28</f>
        <v>0</v>
      </c>
      <c r="C24" s="273">
        <f>C25+C26+C27+C28</f>
        <v>0</v>
      </c>
      <c r="D24" s="273">
        <f>D25+D26+D27+D28</f>
        <v>0</v>
      </c>
      <c r="E24" s="273">
        <f>E25+E26+E27+E28</f>
        <v>0</v>
      </c>
      <c r="F24" s="273">
        <f>F28</f>
        <v>0</v>
      </c>
      <c r="G24" s="273">
        <f>G28</f>
        <v>0</v>
      </c>
      <c r="H24" s="273">
        <f>H25+H26+H27+H28</f>
        <v>0</v>
      </c>
      <c r="I24" s="273">
        <f>I25+I26+I27+I28</f>
        <v>0</v>
      </c>
    </row>
    <row r="25" spans="1:9" ht="18" customHeight="1">
      <c r="A25" s="101" t="s">
        <v>16</v>
      </c>
      <c r="B25" s="273">
        <f>'明细表J2-2'!C34</f>
        <v>0</v>
      </c>
      <c r="C25" s="273">
        <f>'明细表J2-2'!D34</f>
        <v>0</v>
      </c>
      <c r="D25" s="273">
        <f>B25+C25</f>
        <v>0</v>
      </c>
      <c r="E25" s="273">
        <f>'明细表J2-2'!F34</f>
        <v>0</v>
      </c>
      <c r="F25" s="277" t="s">
        <v>39</v>
      </c>
      <c r="G25" s="277" t="s">
        <v>39</v>
      </c>
      <c r="H25" s="278">
        <f>B25</f>
        <v>0</v>
      </c>
      <c r="I25" s="278">
        <f>'明细表J2-2'!J34</f>
        <v>0</v>
      </c>
    </row>
    <row r="26" spans="1:9" ht="18" customHeight="1">
      <c r="A26" s="101" t="s">
        <v>17</v>
      </c>
      <c r="B26" s="273">
        <f>'明细表J2-2'!C35</f>
        <v>0</v>
      </c>
      <c r="C26" s="273">
        <f>'明细表J2-2'!D35</f>
        <v>0</v>
      </c>
      <c r="D26" s="273">
        <f>B26+C26</f>
        <v>0</v>
      </c>
      <c r="E26" s="273">
        <f>'明细表J2-2'!F35</f>
        <v>0</v>
      </c>
      <c r="F26" s="277" t="s">
        <v>39</v>
      </c>
      <c r="G26" s="277" t="s">
        <v>39</v>
      </c>
      <c r="H26" s="278">
        <f>B26</f>
        <v>0</v>
      </c>
      <c r="I26" s="278">
        <f>'明细表J2-2'!J35</f>
        <v>0</v>
      </c>
    </row>
    <row r="27" spans="1:9" ht="18" customHeight="1">
      <c r="A27" s="101" t="s">
        <v>18</v>
      </c>
      <c r="B27" s="273">
        <f>'明细表J2-2'!C36</f>
        <v>0</v>
      </c>
      <c r="C27" s="273">
        <f>'明细表J2-2'!D36</f>
        <v>0</v>
      </c>
      <c r="D27" s="273">
        <f>B27+C27</f>
        <v>0</v>
      </c>
      <c r="E27" s="273">
        <f>'明细表J2-2'!F36</f>
        <v>0</v>
      </c>
      <c r="F27" s="277" t="s">
        <v>39</v>
      </c>
      <c r="G27" s="277" t="s">
        <v>39</v>
      </c>
      <c r="H27" s="278">
        <f>B27</f>
        <v>0</v>
      </c>
      <c r="I27" s="278">
        <f>'明细表J2-2'!J36</f>
        <v>0</v>
      </c>
    </row>
    <row r="28" spans="1:9" ht="18" customHeight="1">
      <c r="A28" s="101" t="s">
        <v>19</v>
      </c>
      <c r="B28" s="273">
        <f>'明细表J2-2'!C37</f>
        <v>0</v>
      </c>
      <c r="C28" s="273">
        <f>'明细表J2-2'!D37</f>
        <v>0</v>
      </c>
      <c r="D28" s="273">
        <f>B28+C28</f>
        <v>0</v>
      </c>
      <c r="E28" s="273">
        <f>'明细表J2-2'!F37</f>
        <v>0</v>
      </c>
      <c r="F28" s="273">
        <f>'明细表J2-2'!G37</f>
        <v>0</v>
      </c>
      <c r="G28" s="273">
        <f>'明细表J2-2'!H37</f>
        <v>0</v>
      </c>
      <c r="H28" s="278">
        <f>B28-F28</f>
        <v>0</v>
      </c>
      <c r="I28" s="278">
        <f>'明细表J2-2'!J37</f>
        <v>0</v>
      </c>
    </row>
    <row r="29" spans="1:9" ht="18" customHeight="1">
      <c r="A29" s="100" t="s">
        <v>41</v>
      </c>
      <c r="B29" s="273">
        <f>B30</f>
        <v>0</v>
      </c>
      <c r="C29" s="273">
        <f t="shared" ref="C29:I29" si="4">C30</f>
        <v>0</v>
      </c>
      <c r="D29" s="273">
        <f t="shared" si="4"/>
        <v>0</v>
      </c>
      <c r="E29" s="273">
        <f t="shared" si="4"/>
        <v>0</v>
      </c>
      <c r="F29" s="273">
        <f t="shared" si="4"/>
        <v>0</v>
      </c>
      <c r="G29" s="273">
        <f t="shared" si="4"/>
        <v>0</v>
      </c>
      <c r="H29" s="273">
        <f t="shared" si="4"/>
        <v>0</v>
      </c>
      <c r="I29" s="273">
        <f t="shared" si="4"/>
        <v>0</v>
      </c>
    </row>
    <row r="30" spans="1:9" ht="18" customHeight="1">
      <c r="A30" s="101" t="s">
        <v>20</v>
      </c>
      <c r="B30" s="273">
        <f>SUM(B31:B33)</f>
        <v>0</v>
      </c>
      <c r="C30" s="273">
        <f t="shared" ref="C30:I30" si="5">SUM(C31:C33)</f>
        <v>0</v>
      </c>
      <c r="D30" s="273">
        <f>B30+C30</f>
        <v>0</v>
      </c>
      <c r="E30" s="273">
        <f t="shared" si="5"/>
        <v>0</v>
      </c>
      <c r="F30" s="273">
        <f t="shared" si="5"/>
        <v>0</v>
      </c>
      <c r="G30" s="273">
        <f t="shared" si="5"/>
        <v>0</v>
      </c>
      <c r="H30" s="273">
        <f t="shared" si="5"/>
        <v>0</v>
      </c>
      <c r="I30" s="273">
        <f t="shared" si="5"/>
        <v>0</v>
      </c>
    </row>
    <row r="31" spans="1:9" ht="18" customHeight="1">
      <c r="A31" s="101" t="s">
        <v>21</v>
      </c>
      <c r="B31" s="273">
        <f>'明细表J2-2'!C40</f>
        <v>0</v>
      </c>
      <c r="C31" s="273">
        <f>'明细表J2-2'!D40</f>
        <v>0</v>
      </c>
      <c r="D31" s="273">
        <f>B31+C31</f>
        <v>0</v>
      </c>
      <c r="E31" s="273">
        <f>'明细表J2-2'!F40</f>
        <v>0</v>
      </c>
      <c r="F31" s="277" t="s">
        <v>39</v>
      </c>
      <c r="G31" s="277" t="s">
        <v>39</v>
      </c>
      <c r="H31" s="278">
        <f>B31</f>
        <v>0</v>
      </c>
      <c r="I31" s="278">
        <f>'明细表J2-2'!J40</f>
        <v>0</v>
      </c>
    </row>
    <row r="32" spans="1:9" ht="18" customHeight="1">
      <c r="A32" s="101" t="s">
        <v>22</v>
      </c>
      <c r="B32" s="273">
        <f>'明细表J2-2'!C41</f>
        <v>0</v>
      </c>
      <c r="C32" s="273">
        <f>'明细表J2-2'!D41</f>
        <v>0</v>
      </c>
      <c r="D32" s="273">
        <f>B32+C32</f>
        <v>0</v>
      </c>
      <c r="E32" s="273">
        <f>'明细表J2-2'!F41</f>
        <v>0</v>
      </c>
      <c r="F32" s="273">
        <f>'明细表J2-2'!G41</f>
        <v>0</v>
      </c>
      <c r="G32" s="273">
        <f>'明细表J2-2'!H41</f>
        <v>0</v>
      </c>
      <c r="H32" s="278">
        <f>B32-F32</f>
        <v>0</v>
      </c>
      <c r="I32" s="278">
        <f>'明细表J2-2'!J41</f>
        <v>0</v>
      </c>
    </row>
    <row r="33" spans="1:9" ht="18" customHeight="1">
      <c r="A33" s="101" t="s">
        <v>23</v>
      </c>
      <c r="B33" s="273">
        <f>'明细表J2-2'!C42</f>
        <v>0</v>
      </c>
      <c r="C33" s="273">
        <f>'明细表J2-2'!D42</f>
        <v>0</v>
      </c>
      <c r="D33" s="273">
        <f>B33+C33</f>
        <v>0</v>
      </c>
      <c r="E33" s="273">
        <f>'明细表J2-2'!F42</f>
        <v>0</v>
      </c>
      <c r="F33" s="273">
        <f>'明细表J2-2'!G42</f>
        <v>0</v>
      </c>
      <c r="G33" s="273">
        <f>'明细表J2-2'!H42</f>
        <v>0</v>
      </c>
      <c r="H33" s="278">
        <f>B33-F33</f>
        <v>0</v>
      </c>
      <c r="I33" s="278">
        <f>'明细表J2-2'!J42</f>
        <v>0</v>
      </c>
    </row>
    <row r="34" spans="1:9" ht="18" customHeight="1">
      <c r="A34" s="100" t="s">
        <v>40</v>
      </c>
      <c r="B34" s="273">
        <f>SUM(B35:B37)</f>
        <v>0</v>
      </c>
      <c r="C34" s="273">
        <f t="shared" ref="C34:I34" si="6">SUM(C35:C37)</f>
        <v>0</v>
      </c>
      <c r="D34" s="273">
        <f t="shared" si="6"/>
        <v>0</v>
      </c>
      <c r="E34" s="273">
        <f t="shared" si="6"/>
        <v>0</v>
      </c>
      <c r="F34" s="273">
        <f t="shared" si="6"/>
        <v>0</v>
      </c>
      <c r="G34" s="273">
        <f t="shared" si="6"/>
        <v>0</v>
      </c>
      <c r="H34" s="273">
        <f t="shared" si="6"/>
        <v>0</v>
      </c>
      <c r="I34" s="273">
        <f t="shared" si="6"/>
        <v>0</v>
      </c>
    </row>
    <row r="35" spans="1:9" ht="18" customHeight="1">
      <c r="A35" s="101" t="s">
        <v>24</v>
      </c>
      <c r="B35" s="273">
        <f>'明细表J2-2'!C44</f>
        <v>0</v>
      </c>
      <c r="C35" s="273">
        <f>'明细表J2-2'!D44</f>
        <v>0</v>
      </c>
      <c r="D35" s="273">
        <f>B35+C35</f>
        <v>0</v>
      </c>
      <c r="E35" s="273">
        <f>'明细表J2-2'!F44</f>
        <v>0</v>
      </c>
      <c r="F35" s="273">
        <f>'明细表J2-2'!G44</f>
        <v>0</v>
      </c>
      <c r="G35" s="273">
        <f>'明细表J2-2'!H44</f>
        <v>0</v>
      </c>
      <c r="H35" s="278">
        <f>B35-F35</f>
        <v>0</v>
      </c>
      <c r="I35" s="278">
        <f>'明细表J2-2'!J44</f>
        <v>0</v>
      </c>
    </row>
    <row r="36" spans="1:9" ht="18" customHeight="1">
      <c r="A36" s="101" t="s">
        <v>25</v>
      </c>
      <c r="B36" s="273">
        <f>'明细表J2-2'!C45</f>
        <v>0</v>
      </c>
      <c r="C36" s="273">
        <f>'明细表J2-2'!D45</f>
        <v>0</v>
      </c>
      <c r="D36" s="273">
        <f>B36+C36</f>
        <v>0</v>
      </c>
      <c r="E36" s="273">
        <f>'明细表J2-2'!F45</f>
        <v>0</v>
      </c>
      <c r="F36" s="273">
        <f>'明细表J2-2'!G45</f>
        <v>0</v>
      </c>
      <c r="G36" s="273">
        <f>'明细表J2-2'!H45</f>
        <v>0</v>
      </c>
      <c r="H36" s="278">
        <f>B36-F36</f>
        <v>0</v>
      </c>
      <c r="I36" s="278">
        <f>'明细表J2-2'!J45</f>
        <v>0</v>
      </c>
    </row>
    <row r="37" spans="1:9" ht="18" customHeight="1">
      <c r="A37" s="101" t="s">
        <v>6</v>
      </c>
      <c r="B37" s="273">
        <f>'明细表J2-2'!C46</f>
        <v>0</v>
      </c>
      <c r="C37" s="273">
        <f>'明细表J2-2'!D46</f>
        <v>0</v>
      </c>
      <c r="D37" s="273">
        <f>B37+C37</f>
        <v>0</v>
      </c>
      <c r="E37" s="273">
        <f>'明细表J2-2'!F46</f>
        <v>0</v>
      </c>
      <c r="F37" s="273">
        <f>'明细表J2-2'!G46</f>
        <v>0</v>
      </c>
      <c r="G37" s="273">
        <f>'明细表J2-2'!H46</f>
        <v>0</v>
      </c>
      <c r="H37" s="278">
        <f>B37-F37</f>
        <v>0</v>
      </c>
      <c r="I37" s="278">
        <f>'明细表J2-2'!J46</f>
        <v>0</v>
      </c>
    </row>
    <row r="38" spans="1:9" ht="18" customHeight="1">
      <c r="A38" s="102" t="s">
        <v>26</v>
      </c>
      <c r="B38" s="274">
        <f>B23+B24+B29-B34</f>
        <v>0</v>
      </c>
      <c r="C38" s="274">
        <f t="shared" ref="C38:I38" si="7">C23+C24+C29-C34</f>
        <v>0</v>
      </c>
      <c r="D38" s="274">
        <f t="shared" si="7"/>
        <v>0</v>
      </c>
      <c r="E38" s="274">
        <f t="shared" si="7"/>
        <v>0</v>
      </c>
      <c r="F38" s="274">
        <f t="shared" si="7"/>
        <v>0</v>
      </c>
      <c r="G38" s="274">
        <f t="shared" si="7"/>
        <v>0</v>
      </c>
      <c r="H38" s="274">
        <f>H23+H24+H29-H34</f>
        <v>0</v>
      </c>
      <c r="I38" s="274">
        <f t="shared" si="7"/>
        <v>0</v>
      </c>
    </row>
    <row r="39" spans="1:9" ht="18" customHeight="1">
      <c r="A39" s="307" t="s">
        <v>492</v>
      </c>
      <c r="B39" s="15"/>
      <c r="C39" s="18"/>
      <c r="D39" s="18"/>
      <c r="E39" s="13"/>
    </row>
    <row r="40" spans="1:9" ht="18" customHeight="1">
      <c r="A40" s="382" t="s">
        <v>29</v>
      </c>
      <c r="B40" s="385" t="s">
        <v>30</v>
      </c>
      <c r="C40" s="386"/>
      <c r="D40" s="386"/>
      <c r="E40" s="387"/>
      <c r="F40" s="18"/>
      <c r="G40" s="13"/>
    </row>
    <row r="41" spans="1:9" ht="18" customHeight="1">
      <c r="A41" s="383"/>
      <c r="B41" s="74" t="s">
        <v>201</v>
      </c>
      <c r="C41" s="74" t="s">
        <v>202</v>
      </c>
      <c r="D41" s="74" t="s">
        <v>4</v>
      </c>
      <c r="E41" s="74" t="s">
        <v>3</v>
      </c>
      <c r="F41" s="18"/>
      <c r="G41" s="13"/>
    </row>
    <row r="42" spans="1:9" ht="18" customHeight="1">
      <c r="A42" s="103" t="s">
        <v>45</v>
      </c>
      <c r="B42" s="298">
        <f>'明细表J2-2'!F51</f>
        <v>0</v>
      </c>
      <c r="C42" s="298">
        <f>'明细表J2-2'!G51+'明细表J2-2'!H51-'明细表J2-2'!I51</f>
        <v>0</v>
      </c>
      <c r="D42" s="299">
        <f>B42+C42</f>
        <v>0</v>
      </c>
      <c r="E42" s="298">
        <f>'明细表J2-2'!J51</f>
        <v>0</v>
      </c>
      <c r="F42" s="18"/>
      <c r="G42" s="13"/>
    </row>
    <row r="43" spans="1:9" ht="18" customHeight="1">
      <c r="A43" s="103" t="s">
        <v>46</v>
      </c>
      <c r="B43" s="273">
        <f>SUM(B44:B46)</f>
        <v>0</v>
      </c>
      <c r="C43" s="273">
        <f>SUM(C44:C46)</f>
        <v>0</v>
      </c>
      <c r="D43" s="273">
        <f>SUM(D44:D46)</f>
        <v>0</v>
      </c>
      <c r="E43" s="273">
        <f>SUM(E44:E46)</f>
        <v>0</v>
      </c>
      <c r="F43" s="18"/>
      <c r="G43" s="13"/>
    </row>
    <row r="44" spans="1:9" ht="18" customHeight="1">
      <c r="A44" s="104" t="s">
        <v>31</v>
      </c>
      <c r="B44" s="298">
        <f>'明细表J2-2'!F53</f>
        <v>0</v>
      </c>
      <c r="C44" s="298">
        <f>'明细表J2-2'!G53+'明细表J2-2'!H53-'明细表J2-2'!I53</f>
        <v>0</v>
      </c>
      <c r="D44" s="299">
        <f>B44+C44</f>
        <v>0</v>
      </c>
      <c r="E44" s="298">
        <f>'明细表J2-2'!J53</f>
        <v>0</v>
      </c>
      <c r="F44" s="18"/>
      <c r="G44" s="13"/>
    </row>
    <row r="45" spans="1:9" ht="18" customHeight="1">
      <c r="A45" s="104" t="s">
        <v>32</v>
      </c>
      <c r="B45" s="300">
        <f>'明细表J2-2'!F54</f>
        <v>0</v>
      </c>
      <c r="C45" s="300">
        <f>'明细表J2-2'!G54+'明细表J2-2'!H54-'明细表J2-2'!I54</f>
        <v>0</v>
      </c>
      <c r="D45" s="299">
        <f>B45+C45</f>
        <v>0</v>
      </c>
      <c r="E45" s="300">
        <f>'明细表J2-2'!J54</f>
        <v>0</v>
      </c>
      <c r="F45" s="18"/>
      <c r="G45" s="13"/>
    </row>
    <row r="46" spans="1:9" ht="18" customHeight="1">
      <c r="A46" s="104" t="s">
        <v>6</v>
      </c>
      <c r="B46" s="298">
        <f>'明细表J2-2'!F55</f>
        <v>0</v>
      </c>
      <c r="C46" s="298">
        <f>'明细表J2-2'!G55+'明细表J2-2'!H55-'明细表J2-2'!I55</f>
        <v>0</v>
      </c>
      <c r="D46" s="299">
        <f>B46+C46</f>
        <v>0</v>
      </c>
      <c r="E46" s="298">
        <f>'明细表J2-2'!J55</f>
        <v>0</v>
      </c>
      <c r="F46" s="18"/>
      <c r="G46" s="13"/>
    </row>
    <row r="47" spans="1:9" ht="18" customHeight="1">
      <c r="A47" s="103" t="s">
        <v>44</v>
      </c>
      <c r="B47" s="273">
        <f>SUM(B48:B50)</f>
        <v>0</v>
      </c>
      <c r="C47" s="273">
        <f>SUM(C48:C50)</f>
        <v>0</v>
      </c>
      <c r="D47" s="273">
        <f>SUM(D48:D50)</f>
        <v>0</v>
      </c>
      <c r="E47" s="273">
        <f>SUM(E48:E50)</f>
        <v>0</v>
      </c>
      <c r="F47" s="18"/>
      <c r="G47" s="13"/>
    </row>
    <row r="48" spans="1:9" ht="18" customHeight="1">
      <c r="A48" s="104" t="s">
        <v>31</v>
      </c>
      <c r="B48" s="298">
        <f>'明细表J2-2'!F57</f>
        <v>0</v>
      </c>
      <c r="C48" s="298">
        <f>'明细表J2-2'!G57+'明细表J2-2'!H57-'明细表J2-2'!I57</f>
        <v>0</v>
      </c>
      <c r="D48" s="299">
        <f>B48+C48</f>
        <v>0</v>
      </c>
      <c r="E48" s="298">
        <f>'明细表J2-2'!J57</f>
        <v>0</v>
      </c>
      <c r="F48" s="18"/>
      <c r="G48" s="13"/>
    </row>
    <row r="49" spans="1:7" ht="18" customHeight="1">
      <c r="A49" s="104" t="s">
        <v>32</v>
      </c>
      <c r="B49" s="300">
        <f>'明细表J2-2'!F58</f>
        <v>0</v>
      </c>
      <c r="C49" s="300">
        <f>'明细表J2-2'!G58+'明细表J2-2'!H58-'明细表J2-2'!I58</f>
        <v>0</v>
      </c>
      <c r="D49" s="299">
        <f>B49+C49</f>
        <v>0</v>
      </c>
      <c r="E49" s="300">
        <f>'明细表J2-2'!J58</f>
        <v>0</v>
      </c>
      <c r="F49" s="18"/>
      <c r="G49" s="13"/>
    </row>
    <row r="50" spans="1:7" ht="18" customHeight="1">
      <c r="A50" s="104" t="s">
        <v>6</v>
      </c>
      <c r="B50" s="298">
        <f>'明细表J2-2'!F59</f>
        <v>0</v>
      </c>
      <c r="C50" s="298">
        <f>'明细表J2-2'!G59+'明细表J2-2'!H59-'明细表J2-2'!I59</f>
        <v>0</v>
      </c>
      <c r="D50" s="299">
        <f>B50+C50</f>
        <v>0</v>
      </c>
      <c r="E50" s="298">
        <f>'明细表J2-2'!J59</f>
        <v>0</v>
      </c>
      <c r="F50" s="18"/>
      <c r="G50" s="13"/>
    </row>
    <row r="51" spans="1:7" ht="18" customHeight="1">
      <c r="A51" s="103" t="s">
        <v>43</v>
      </c>
      <c r="B51" s="298">
        <f>'明细表J2-2'!F60</f>
        <v>0</v>
      </c>
      <c r="C51" s="298">
        <f>'明细表J2-2'!G60+'明细表J2-2'!H60-'明细表J2-2'!I60</f>
        <v>0</v>
      </c>
      <c r="D51" s="299">
        <f>B51+C51</f>
        <v>0</v>
      </c>
      <c r="E51" s="298">
        <f>'明细表J2-2'!J60</f>
        <v>0</v>
      </c>
      <c r="F51" s="18"/>
      <c r="G51" s="13"/>
    </row>
    <row r="52" spans="1:7" ht="18" customHeight="1">
      <c r="A52" s="103" t="s">
        <v>33</v>
      </c>
      <c r="B52" s="280">
        <f>B42+B43+B47+B51</f>
        <v>0</v>
      </c>
      <c r="C52" s="280">
        <f>C42+C43+C47+C51</f>
        <v>0</v>
      </c>
      <c r="D52" s="280">
        <f>D42+D43+D47+D51</f>
        <v>0</v>
      </c>
      <c r="E52" s="280">
        <f>E42+E43+E47+E51</f>
        <v>0</v>
      </c>
      <c r="F52" s="18"/>
      <c r="G52" s="13"/>
    </row>
    <row r="53" spans="1:7" ht="18" customHeight="1">
      <c r="A53" s="307" t="s">
        <v>493</v>
      </c>
      <c r="B53" s="15"/>
      <c r="C53" s="18"/>
      <c r="D53" s="18"/>
      <c r="E53" s="13"/>
    </row>
    <row r="54" spans="1:7" s="21" customFormat="1" ht="18" customHeight="1">
      <c r="A54" s="74" t="s">
        <v>37</v>
      </c>
      <c r="B54" s="74" t="s">
        <v>27</v>
      </c>
      <c r="C54" s="74" t="s">
        <v>28</v>
      </c>
      <c r="D54" s="20"/>
      <c r="E54" s="20"/>
    </row>
    <row r="55" spans="1:7" ht="18" customHeight="1">
      <c r="A55" s="104" t="s">
        <v>34</v>
      </c>
      <c r="B55" s="301">
        <f>'明细表J2-2'!C64</f>
        <v>0</v>
      </c>
      <c r="C55" s="301">
        <f>'明细表J2-2'!D64</f>
        <v>0</v>
      </c>
      <c r="D55" s="18"/>
      <c r="E55" s="13"/>
    </row>
    <row r="56" spans="1:7" ht="18" customHeight="1">
      <c r="A56" s="104" t="s">
        <v>35</v>
      </c>
      <c r="B56" s="301">
        <f>'明细表J2-2'!C65</f>
        <v>0</v>
      </c>
      <c r="C56" s="301">
        <f>'明细表J2-2'!D65</f>
        <v>0</v>
      </c>
      <c r="D56" s="18"/>
      <c r="E56" s="13"/>
    </row>
    <row r="57" spans="1:7" ht="18" customHeight="1">
      <c r="A57" s="104" t="s">
        <v>80</v>
      </c>
      <c r="B57" s="301">
        <f>'明细表J2-2'!C66</f>
        <v>0</v>
      </c>
      <c r="C57" s="301">
        <f>'明细表J2-2'!D66</f>
        <v>0</v>
      </c>
      <c r="D57" s="18"/>
      <c r="E57" s="13"/>
    </row>
    <row r="58" spans="1:7" ht="18" customHeight="1">
      <c r="A58" s="104" t="s">
        <v>81</v>
      </c>
      <c r="B58" s="301">
        <f>'明细表J2-2'!C67</f>
        <v>0</v>
      </c>
      <c r="C58" s="301">
        <f>'明细表J2-2'!D67</f>
        <v>0</v>
      </c>
      <c r="D58" s="18"/>
      <c r="E58" s="13"/>
    </row>
    <row r="59" spans="1:7" ht="18" customHeight="1">
      <c r="A59" s="104" t="s">
        <v>36</v>
      </c>
      <c r="B59" s="301">
        <f>'明细表J2-2'!C68</f>
        <v>0</v>
      </c>
      <c r="C59" s="301">
        <f>'明细表J2-2'!D68</f>
        <v>0</v>
      </c>
      <c r="D59" s="18"/>
      <c r="E59" s="13"/>
    </row>
    <row r="60" spans="1:7" ht="18" customHeight="1">
      <c r="A60" s="307" t="s">
        <v>494</v>
      </c>
      <c r="B60" s="156"/>
      <c r="C60" s="156"/>
      <c r="D60" s="18"/>
      <c r="E60" s="13"/>
    </row>
    <row r="61" spans="1:7" ht="18" customHeight="1">
      <c r="A61" s="376" t="s">
        <v>89</v>
      </c>
      <c r="B61" s="378" t="s">
        <v>90</v>
      </c>
      <c r="C61" s="380" t="s">
        <v>91</v>
      </c>
      <c r="D61" s="381"/>
      <c r="E61" s="13"/>
    </row>
    <row r="62" spans="1:7" ht="18" customHeight="1">
      <c r="A62" s="377"/>
      <c r="B62" s="379"/>
      <c r="C62" s="75" t="s">
        <v>156</v>
      </c>
      <c r="D62" s="75" t="s">
        <v>92</v>
      </c>
      <c r="E62" s="13"/>
    </row>
    <row r="63" spans="1:7" ht="18" customHeight="1">
      <c r="A63" s="105" t="s">
        <v>34</v>
      </c>
      <c r="B63" s="302">
        <f>'明细表J2-2'!C73</f>
        <v>0</v>
      </c>
      <c r="C63" s="303">
        <f>'明细表J2-2'!D73</f>
        <v>0</v>
      </c>
      <c r="D63" s="303">
        <f>'明细表J2-2'!E73</f>
        <v>0</v>
      </c>
      <c r="E63" s="13"/>
    </row>
    <row r="64" spans="1:7" ht="18" customHeight="1">
      <c r="A64" s="104" t="s">
        <v>35</v>
      </c>
      <c r="B64" s="302">
        <f>'明细表J2-2'!C74</f>
        <v>0</v>
      </c>
      <c r="C64" s="303">
        <f>'明细表J2-2'!D74</f>
        <v>0</v>
      </c>
      <c r="D64" s="303">
        <f>'明细表J2-2'!E74</f>
        <v>0</v>
      </c>
      <c r="E64" s="13"/>
    </row>
    <row r="65" spans="1:14" ht="18" customHeight="1">
      <c r="A65" s="104" t="s">
        <v>80</v>
      </c>
      <c r="B65" s="302">
        <f>'明细表J2-2'!C75</f>
        <v>0</v>
      </c>
      <c r="C65" s="303">
        <f>'明细表J2-2'!D75</f>
        <v>0</v>
      </c>
      <c r="D65" s="303">
        <f>'明细表J2-2'!E75</f>
        <v>0</v>
      </c>
      <c r="E65" s="13"/>
    </row>
    <row r="66" spans="1:14" ht="18" customHeight="1">
      <c r="A66" s="104" t="s">
        <v>214</v>
      </c>
      <c r="B66" s="302">
        <f>'明细表J2-2'!C76</f>
        <v>0</v>
      </c>
      <c r="C66" s="303">
        <f>'明细表J2-2'!D76</f>
        <v>0</v>
      </c>
      <c r="D66" s="303">
        <f>'明细表J2-2'!E76</f>
        <v>0</v>
      </c>
      <c r="E66" s="13"/>
    </row>
    <row r="67" spans="1:14" ht="18" customHeight="1">
      <c r="A67" s="104" t="s">
        <v>36</v>
      </c>
      <c r="B67" s="302">
        <f>'明细表J2-2'!C77</f>
        <v>0</v>
      </c>
      <c r="C67" s="303">
        <f>'明细表J2-2'!D77</f>
        <v>0</v>
      </c>
      <c r="D67" s="303">
        <f>'明细表J2-2'!E77</f>
        <v>0</v>
      </c>
      <c r="E67" s="13"/>
    </row>
    <row r="68" spans="1:14" ht="18" customHeight="1">
      <c r="A68" s="147" t="s">
        <v>203</v>
      </c>
      <c r="B68" s="130"/>
      <c r="C68" s="131"/>
      <c r="D68" s="131"/>
      <c r="E68" s="13"/>
    </row>
    <row r="69" spans="1:14" ht="18" customHeight="1">
      <c r="A69" s="147" t="s">
        <v>204</v>
      </c>
      <c r="B69" s="130"/>
      <c r="C69" s="131"/>
      <c r="D69" s="131"/>
      <c r="E69" s="13"/>
    </row>
    <row r="70" spans="1:14" s="6" customFormat="1" ht="18" customHeight="1">
      <c r="A70" s="308" t="s">
        <v>490</v>
      </c>
    </row>
    <row r="71" spans="1:14" s="7" customFormat="1" ht="18" customHeight="1">
      <c r="A71" s="268"/>
      <c r="B71" s="268"/>
      <c r="C71" s="268"/>
      <c r="D71" s="268"/>
      <c r="E71" s="268"/>
      <c r="F71" s="268"/>
      <c r="G71" s="268"/>
      <c r="H71" s="268"/>
      <c r="I71" s="268"/>
      <c r="J71" s="268"/>
      <c r="K71" s="268"/>
      <c r="L71" s="268"/>
      <c r="M71" s="268"/>
      <c r="N71" s="268"/>
    </row>
    <row r="72" spans="1:14" s="7" customFormat="1" ht="18" customHeight="1">
      <c r="A72" s="268"/>
      <c r="B72" s="268"/>
      <c r="C72" s="268"/>
      <c r="D72" s="268"/>
      <c r="E72" s="268"/>
      <c r="F72" s="268"/>
      <c r="G72" s="268"/>
      <c r="H72" s="268"/>
      <c r="I72" s="268"/>
      <c r="J72" s="268"/>
      <c r="K72" s="268"/>
      <c r="L72" s="268"/>
      <c r="M72" s="268"/>
      <c r="N72" s="268"/>
    </row>
    <row r="73" spans="1:14" ht="18" customHeight="1">
      <c r="A73" s="17" t="s">
        <v>11</v>
      </c>
      <c r="B73" s="269"/>
    </row>
    <row r="74" spans="1:14" ht="18" customHeight="1">
      <c r="A74" s="14"/>
      <c r="B74" s="8"/>
    </row>
    <row r="75" spans="1:14" ht="18" customHeight="1">
      <c r="A75" s="14"/>
      <c r="B75" s="8"/>
    </row>
    <row r="76" spans="1:14" ht="18" customHeight="1">
      <c r="A76" s="14"/>
      <c r="B76" s="8"/>
    </row>
    <row r="77" spans="1:14" ht="15" customHeight="1">
      <c r="A77" s="206" t="s">
        <v>212</v>
      </c>
    </row>
    <row r="78" spans="1:14" ht="15" customHeight="1">
      <c r="A78" s="153" t="s">
        <v>38</v>
      </c>
    </row>
    <row r="79" spans="1:14" ht="15" customHeight="1">
      <c r="A79" s="56" t="s">
        <v>205</v>
      </c>
    </row>
    <row r="80" spans="1:14" ht="15" customHeight="1">
      <c r="A80" s="56" t="s">
        <v>206</v>
      </c>
    </row>
    <row r="81" spans="1:1" ht="15" customHeight="1">
      <c r="A81" s="56" t="s">
        <v>207</v>
      </c>
    </row>
  </sheetData>
  <mergeCells count="17">
    <mergeCell ref="A61:A62"/>
    <mergeCell ref="B61:B62"/>
    <mergeCell ref="C61:D61"/>
    <mergeCell ref="A40:A41"/>
    <mergeCell ref="B21:E21"/>
    <mergeCell ref="B40:E40"/>
    <mergeCell ref="A1:L1"/>
    <mergeCell ref="A2:L2"/>
    <mergeCell ref="A21:A22"/>
    <mergeCell ref="H21:I21"/>
    <mergeCell ref="F21:G21"/>
    <mergeCell ref="A5:A6"/>
    <mergeCell ref="H5:I5"/>
    <mergeCell ref="J5:K5"/>
    <mergeCell ref="L5:L6"/>
    <mergeCell ref="B5:D5"/>
    <mergeCell ref="E5:G5"/>
  </mergeCells>
  <phoneticPr fontId="7" type="noConversion"/>
  <dataValidations count="1">
    <dataValidation type="list" allowBlank="1" showInputMessage="1" showErrorMessage="1" sqref="B101">
      <formula1>$B$135:$B$137</formula1>
    </dataValidation>
  </dataValidations>
  <hyperlinks>
    <hyperlink ref="L3" location="底稿目录!A1" display="J2-1"/>
  </hyperlinks>
  <printOptions horizontalCentered="1"/>
  <pageMargins left="0.74803149606299213" right="0.55118110236220474" top="0.98425196850393704" bottom="0.23622047244094491" header="0.51181102362204722" footer="0.19685039370078741"/>
  <pageSetup paperSize="9" scale="68" fitToHeight="100" orientation="landscape"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9"/>
  <sheetViews>
    <sheetView view="pageBreakPreview" topLeftCell="A82" zoomScaleSheetLayoutView="100" workbookViewId="0">
      <selection activeCell="G13" sqref="G13"/>
    </sheetView>
  </sheetViews>
  <sheetFormatPr defaultColWidth="9" defaultRowHeight="15" customHeight="1"/>
  <cols>
    <col min="1" max="1" width="67.6640625" style="5" customWidth="1"/>
    <col min="2" max="4" width="20.109375" style="5" customWidth="1"/>
    <col min="5" max="16384" width="9" style="5"/>
  </cols>
  <sheetData>
    <row r="1" spans="1:4" s="108" customFormat="1" ht="15" customHeight="1">
      <c r="A1" s="313" t="s">
        <v>0</v>
      </c>
      <c r="B1" s="313"/>
      <c r="C1" s="313"/>
      <c r="D1" s="313"/>
    </row>
    <row r="2" spans="1:4" s="109" customFormat="1" ht="15" customHeight="1">
      <c r="A2" s="388" t="s">
        <v>100</v>
      </c>
      <c r="B2" s="388"/>
      <c r="C2" s="388"/>
      <c r="D2" s="388"/>
    </row>
    <row r="3" spans="1:4" ht="15" customHeight="1">
      <c r="A3" s="3" t="str">
        <f>底稿目录!A2</f>
        <v>被审计单位：</v>
      </c>
      <c r="B3" s="3" t="str">
        <f>底稿目录!A4</f>
        <v>编制人：</v>
      </c>
      <c r="C3" s="107" t="str">
        <f>底稿目录!A5</f>
        <v>编制日期：</v>
      </c>
      <c r="D3" s="110" t="s">
        <v>184</v>
      </c>
    </row>
    <row r="4" spans="1:4" ht="15" customHeight="1">
      <c r="A4" s="3" t="str">
        <f>底稿目录!A3</f>
        <v>截止日：</v>
      </c>
      <c r="B4" s="3" t="str">
        <f>底稿目录!A6</f>
        <v>复核人：</v>
      </c>
      <c r="C4" s="107" t="str">
        <f>底稿目录!A7</f>
        <v>复核日期：</v>
      </c>
      <c r="D4" s="110" t="s">
        <v>101</v>
      </c>
    </row>
    <row r="5" spans="1:4" ht="15" customHeight="1" thickBot="1">
      <c r="A5" s="158" t="s">
        <v>215</v>
      </c>
      <c r="B5" s="156"/>
      <c r="C5" s="156"/>
      <c r="D5" s="156"/>
    </row>
    <row r="6" spans="1:4" ht="15" customHeight="1" thickBot="1">
      <c r="A6" s="159" t="s">
        <v>216</v>
      </c>
      <c r="B6" s="160" t="s">
        <v>220</v>
      </c>
      <c r="C6" s="160" t="s">
        <v>217</v>
      </c>
      <c r="D6" s="156"/>
    </row>
    <row r="7" spans="1:4" ht="15" customHeight="1">
      <c r="A7" s="161" t="s">
        <v>221</v>
      </c>
      <c r="B7" s="162">
        <f>'审定表J2-1'!G8</f>
        <v>0</v>
      </c>
      <c r="C7" s="162">
        <f>'审定表J2-1'!D8</f>
        <v>0</v>
      </c>
      <c r="D7" s="156"/>
    </row>
    <row r="8" spans="1:4" ht="15" customHeight="1">
      <c r="A8" s="161" t="s">
        <v>295</v>
      </c>
      <c r="B8" s="162">
        <f>'审定表J2-1'!G10</f>
        <v>0</v>
      </c>
      <c r="C8" s="162">
        <f>'审定表J2-1'!D10</f>
        <v>0</v>
      </c>
      <c r="D8" s="156"/>
    </row>
    <row r="9" spans="1:4" ht="15" customHeight="1">
      <c r="A9" s="161" t="s">
        <v>296</v>
      </c>
      <c r="B9" s="162">
        <f>'审定表J2-1'!G9</f>
        <v>0</v>
      </c>
      <c r="C9" s="162">
        <f>'审定表J2-1'!D9</f>
        <v>0</v>
      </c>
      <c r="D9" s="156"/>
    </row>
    <row r="10" spans="1:4" ht="15" customHeight="1" thickBot="1">
      <c r="A10" s="161" t="s">
        <v>297</v>
      </c>
      <c r="B10" s="162"/>
      <c r="C10" s="13"/>
      <c r="D10" s="156"/>
    </row>
    <row r="11" spans="1:4" ht="15" customHeight="1" thickBot="1">
      <c r="A11" s="159" t="s">
        <v>298</v>
      </c>
      <c r="B11" s="194">
        <f>SUM(B7:B10)</f>
        <v>0</v>
      </c>
      <c r="C11" s="194">
        <f>SUM(C7:C10)</f>
        <v>0</v>
      </c>
      <c r="D11" s="156"/>
    </row>
    <row r="12" spans="1:4" ht="15" customHeight="1" thickBot="1">
      <c r="A12" s="161" t="s">
        <v>299</v>
      </c>
      <c r="B12" s="162">
        <f>'审定表J2-1'!G11</f>
        <v>0</v>
      </c>
      <c r="C12" s="162">
        <f>'审定表J2-1'!D11</f>
        <v>0</v>
      </c>
      <c r="D12" s="156"/>
    </row>
    <row r="13" spans="1:4" ht="15" customHeight="1" thickBot="1">
      <c r="A13" s="159" t="s">
        <v>270</v>
      </c>
      <c r="B13" s="194">
        <f>B11-B12</f>
        <v>0</v>
      </c>
      <c r="C13" s="194">
        <f>C11-C12</f>
        <v>0</v>
      </c>
      <c r="D13" s="156"/>
    </row>
    <row r="14" spans="1:4" ht="15" customHeight="1">
      <c r="A14" s="165" t="s">
        <v>300</v>
      </c>
      <c r="B14" s="156"/>
      <c r="C14" s="156"/>
      <c r="D14" s="156"/>
    </row>
    <row r="15" spans="1:4" ht="15" customHeight="1">
      <c r="A15" s="56" t="s">
        <v>301</v>
      </c>
      <c r="B15" s="156"/>
      <c r="C15" s="156"/>
      <c r="D15" s="156"/>
    </row>
    <row r="16" spans="1:4" ht="15" customHeight="1">
      <c r="A16" s="158" t="s">
        <v>302</v>
      </c>
      <c r="B16" s="156"/>
      <c r="C16" s="156"/>
      <c r="D16" s="156"/>
    </row>
    <row r="17" spans="1:4" ht="15" customHeight="1" thickBot="1">
      <c r="A17" s="158" t="s">
        <v>303</v>
      </c>
      <c r="B17" s="156"/>
      <c r="C17" s="156"/>
      <c r="D17" s="156"/>
    </row>
    <row r="18" spans="1:4" ht="15" customHeight="1" thickBot="1">
      <c r="A18" s="195" t="s">
        <v>227</v>
      </c>
      <c r="B18" s="185" t="s">
        <v>233</v>
      </c>
      <c r="C18" s="185" t="s">
        <v>234</v>
      </c>
      <c r="D18" s="156"/>
    </row>
    <row r="19" spans="1:4" ht="15" customHeight="1">
      <c r="A19" s="167" t="s">
        <v>235</v>
      </c>
      <c r="B19" s="196">
        <f>'审定表J2-1'!D23</f>
        <v>0</v>
      </c>
      <c r="C19" s="196">
        <f>'审定表J2-1'!E23</f>
        <v>0</v>
      </c>
      <c r="D19" s="156"/>
    </row>
    <row r="20" spans="1:4" ht="15" customHeight="1">
      <c r="A20" s="167" t="s">
        <v>236</v>
      </c>
      <c r="B20" s="196">
        <f>'审定表J2-1'!D24</f>
        <v>0</v>
      </c>
      <c r="C20" s="196">
        <f>'审定表J2-1'!E24</f>
        <v>0</v>
      </c>
      <c r="D20" s="156"/>
    </row>
    <row r="21" spans="1:4" ht="15" customHeight="1">
      <c r="A21" s="167" t="s">
        <v>237</v>
      </c>
      <c r="B21" s="196">
        <f>'审定表J2-1'!D25</f>
        <v>0</v>
      </c>
      <c r="C21" s="196">
        <f>'审定表J2-1'!E25</f>
        <v>0</v>
      </c>
      <c r="D21" s="156"/>
    </row>
    <row r="22" spans="1:4" ht="15" customHeight="1">
      <c r="A22" s="167" t="s">
        <v>238</v>
      </c>
      <c r="B22" s="196">
        <f>'审定表J2-1'!D26</f>
        <v>0</v>
      </c>
      <c r="C22" s="196">
        <f>'审定表J2-1'!E26</f>
        <v>0</v>
      </c>
      <c r="D22" s="156"/>
    </row>
    <row r="23" spans="1:4" ht="15" customHeight="1">
      <c r="A23" s="167" t="s">
        <v>239</v>
      </c>
      <c r="B23" s="196">
        <f>'审定表J2-1'!D27</f>
        <v>0</v>
      </c>
      <c r="C23" s="196">
        <f>'审定表J2-1'!E27</f>
        <v>0</v>
      </c>
      <c r="D23" s="156"/>
    </row>
    <row r="24" spans="1:4" ht="15" customHeight="1">
      <c r="A24" s="167" t="s">
        <v>240</v>
      </c>
      <c r="B24" s="196">
        <f>'审定表J2-1'!D28</f>
        <v>0</v>
      </c>
      <c r="C24" s="196">
        <f>'审定表J2-1'!E28</f>
        <v>0</v>
      </c>
      <c r="D24" s="156"/>
    </row>
    <row r="25" spans="1:4" ht="15" customHeight="1">
      <c r="A25" s="167" t="s">
        <v>241</v>
      </c>
      <c r="B25" s="196">
        <f>'审定表J2-1'!D29</f>
        <v>0</v>
      </c>
      <c r="C25" s="196">
        <f>'审定表J2-1'!E29</f>
        <v>0</v>
      </c>
      <c r="D25" s="156"/>
    </row>
    <row r="26" spans="1:4" ht="15" customHeight="1">
      <c r="A26" s="167" t="s">
        <v>243</v>
      </c>
      <c r="B26" s="196">
        <f>'审定表J2-1'!D30</f>
        <v>0</v>
      </c>
      <c r="C26" s="196">
        <f>'审定表J2-1'!E30</f>
        <v>0</v>
      </c>
      <c r="D26" s="156"/>
    </row>
    <row r="27" spans="1:4" ht="15" customHeight="1">
      <c r="A27" s="156" t="s">
        <v>304</v>
      </c>
      <c r="B27" s="196">
        <f>'审定表J2-1'!D31</f>
        <v>0</v>
      </c>
      <c r="C27" s="196">
        <f>'审定表J2-1'!E31</f>
        <v>0</v>
      </c>
      <c r="D27" s="156"/>
    </row>
    <row r="28" spans="1:4" ht="15" customHeight="1">
      <c r="A28" s="156" t="s">
        <v>305</v>
      </c>
      <c r="B28" s="196">
        <f>'审定表J2-1'!D32</f>
        <v>0</v>
      </c>
      <c r="C28" s="196">
        <f>'审定表J2-1'!E32</f>
        <v>0</v>
      </c>
      <c r="D28" s="156"/>
    </row>
    <row r="29" spans="1:4" ht="15" customHeight="1">
      <c r="A29" s="167" t="s">
        <v>246</v>
      </c>
      <c r="B29" s="196">
        <f>'审定表J2-1'!D33</f>
        <v>0</v>
      </c>
      <c r="C29" s="196">
        <f>'审定表J2-1'!E33</f>
        <v>0</v>
      </c>
      <c r="D29" s="156"/>
    </row>
    <row r="30" spans="1:4" ht="15" customHeight="1">
      <c r="A30" s="167" t="s">
        <v>247</v>
      </c>
      <c r="B30" s="196">
        <f>'审定表J2-1'!D34</f>
        <v>0</v>
      </c>
      <c r="C30" s="196">
        <f>'审定表J2-1'!E34</f>
        <v>0</v>
      </c>
      <c r="D30" s="156"/>
    </row>
    <row r="31" spans="1:4" ht="15" customHeight="1">
      <c r="A31" s="167" t="s">
        <v>248</v>
      </c>
      <c r="B31" s="196">
        <f>'审定表J2-1'!D35</f>
        <v>0</v>
      </c>
      <c r="C31" s="196">
        <f>'审定表J2-1'!E35</f>
        <v>0</v>
      </c>
      <c r="D31" s="156"/>
    </row>
    <row r="32" spans="1:4" ht="15" customHeight="1" thickBot="1">
      <c r="A32" s="167" t="s">
        <v>6</v>
      </c>
      <c r="B32" s="196">
        <f>'审定表J2-1'!D36</f>
        <v>0</v>
      </c>
      <c r="C32" s="196">
        <f>'审定表J2-1'!E36</f>
        <v>0</v>
      </c>
      <c r="D32" s="156"/>
    </row>
    <row r="33" spans="1:4" ht="15" customHeight="1" thickBot="1">
      <c r="A33" s="197" t="s">
        <v>249</v>
      </c>
      <c r="B33" s="198">
        <f>'审定表J2-1'!D37</f>
        <v>0</v>
      </c>
      <c r="C33" s="199">
        <f>'审定表J2-1'!E38</f>
        <v>0</v>
      </c>
      <c r="D33" s="156"/>
    </row>
    <row r="34" spans="1:4" ht="15" customHeight="1" thickBot="1">
      <c r="A34" s="158" t="s">
        <v>306</v>
      </c>
      <c r="B34" s="156"/>
      <c r="C34" s="156"/>
      <c r="D34" s="156"/>
    </row>
    <row r="35" spans="1:4" ht="15" customHeight="1" thickBot="1">
      <c r="A35" s="195" t="s">
        <v>227</v>
      </c>
      <c r="B35" s="185" t="s">
        <v>233</v>
      </c>
      <c r="C35" s="185" t="s">
        <v>234</v>
      </c>
      <c r="D35" s="156"/>
    </row>
    <row r="36" spans="1:4" ht="15" customHeight="1">
      <c r="A36" s="167" t="s">
        <v>235</v>
      </c>
      <c r="B36" s="196">
        <f>'审定表J2-1'!F23</f>
        <v>0</v>
      </c>
      <c r="C36" s="196">
        <f>'审定表J2-1'!G23</f>
        <v>0</v>
      </c>
      <c r="D36" s="156"/>
    </row>
    <row r="37" spans="1:4" ht="15" customHeight="1">
      <c r="A37" s="167" t="s">
        <v>236</v>
      </c>
      <c r="B37" s="196">
        <f>SUM(B38:B39)</f>
        <v>0</v>
      </c>
      <c r="C37" s="196">
        <f>SUM(C38:C39)</f>
        <v>0</v>
      </c>
      <c r="D37" s="156"/>
    </row>
    <row r="38" spans="1:4" ht="15" customHeight="1">
      <c r="A38" s="167" t="s">
        <v>307</v>
      </c>
      <c r="B38" s="196">
        <f>'审定表J2-1'!F28</f>
        <v>0</v>
      </c>
      <c r="C38" s="196">
        <f>'审定表J2-1'!G28</f>
        <v>0</v>
      </c>
      <c r="D38" s="156"/>
    </row>
    <row r="39" spans="1:4" ht="15" customHeight="1">
      <c r="A39" s="167" t="s">
        <v>79</v>
      </c>
      <c r="B39" s="200"/>
      <c r="C39" s="200"/>
      <c r="D39" s="156"/>
    </row>
    <row r="40" spans="1:4" ht="15" customHeight="1">
      <c r="A40" s="167" t="s">
        <v>241</v>
      </c>
      <c r="B40" s="196">
        <f>'审定表J2-1'!F29</f>
        <v>0</v>
      </c>
      <c r="C40" s="196">
        <f>'审定表J2-1'!G29</f>
        <v>0</v>
      </c>
      <c r="D40" s="156"/>
    </row>
    <row r="41" spans="1:4" ht="15" customHeight="1">
      <c r="A41" s="175" t="s">
        <v>308</v>
      </c>
      <c r="B41" s="196">
        <f>'审定表J2-1'!F32</f>
        <v>0</v>
      </c>
      <c r="C41" s="196">
        <f>'审定表J2-1'!G32</f>
        <v>0</v>
      </c>
      <c r="D41" s="156"/>
    </row>
    <row r="42" spans="1:4" ht="15" customHeight="1">
      <c r="A42" s="175" t="s">
        <v>309</v>
      </c>
      <c r="B42" s="196">
        <f>'审定表J2-1'!F33</f>
        <v>0</v>
      </c>
      <c r="C42" s="196">
        <f>'审定表J2-1'!G33</f>
        <v>0</v>
      </c>
      <c r="D42" s="156"/>
    </row>
    <row r="43" spans="1:4" ht="15" customHeight="1">
      <c r="A43" s="167" t="s">
        <v>246</v>
      </c>
      <c r="B43" s="196">
        <f>'审定表J2-1'!F34</f>
        <v>0</v>
      </c>
      <c r="C43" s="196">
        <f>'审定表J2-1'!G34</f>
        <v>0</v>
      </c>
      <c r="D43" s="156"/>
    </row>
    <row r="44" spans="1:4" ht="15" customHeight="1" thickBot="1">
      <c r="A44" s="167" t="s">
        <v>6</v>
      </c>
      <c r="B44" s="200"/>
      <c r="C44" s="200"/>
      <c r="D44" s="156"/>
    </row>
    <row r="45" spans="1:4" ht="15" customHeight="1" thickBot="1">
      <c r="A45" s="197" t="s">
        <v>249</v>
      </c>
      <c r="B45" s="199">
        <f>B36+B37+B40+B43</f>
        <v>0</v>
      </c>
      <c r="C45" s="199">
        <f>C36+C37+C40+C43</f>
        <v>0</v>
      </c>
      <c r="D45" s="156"/>
    </row>
    <row r="46" spans="1:4" ht="26.25" customHeight="1">
      <c r="A46" s="389" t="s">
        <v>250</v>
      </c>
      <c r="B46" s="389"/>
      <c r="C46" s="389"/>
      <c r="D46" s="156"/>
    </row>
    <row r="47" spans="1:4" ht="15" customHeight="1" thickBot="1">
      <c r="A47" s="193" t="s">
        <v>310</v>
      </c>
      <c r="B47" s="156"/>
      <c r="C47" s="156"/>
      <c r="D47" s="156"/>
    </row>
    <row r="48" spans="1:4" ht="15" customHeight="1" thickBot="1">
      <c r="A48" s="195" t="s">
        <v>227</v>
      </c>
      <c r="B48" s="185" t="s">
        <v>233</v>
      </c>
      <c r="C48" s="185" t="s">
        <v>234</v>
      </c>
      <c r="D48" s="156"/>
    </row>
    <row r="49" spans="1:4" ht="15" customHeight="1">
      <c r="A49" s="167" t="s">
        <v>235</v>
      </c>
      <c r="B49" s="196">
        <f>'审定表J2-1'!H23</f>
        <v>0</v>
      </c>
      <c r="C49" s="196">
        <f>'审定表J2-1'!I23</f>
        <v>0</v>
      </c>
      <c r="D49" s="156"/>
    </row>
    <row r="50" spans="1:4" ht="15" customHeight="1">
      <c r="A50" s="167" t="s">
        <v>236</v>
      </c>
      <c r="B50" s="196">
        <f>'审定表J2-1'!H24</f>
        <v>0</v>
      </c>
      <c r="C50" s="196">
        <f>'审定表J2-1'!I24</f>
        <v>0</v>
      </c>
      <c r="D50" s="156"/>
    </row>
    <row r="51" spans="1:4" ht="15" customHeight="1">
      <c r="A51" s="167" t="s">
        <v>241</v>
      </c>
      <c r="B51" s="196">
        <f>'审定表J2-1'!H29</f>
        <v>0</v>
      </c>
      <c r="C51" s="196">
        <f>'审定表J2-1'!I29</f>
        <v>0</v>
      </c>
      <c r="D51" s="156"/>
    </row>
    <row r="52" spans="1:4" ht="15" customHeight="1" thickBot="1">
      <c r="A52" s="167" t="s">
        <v>246</v>
      </c>
      <c r="B52" s="196">
        <f>'审定表J2-1'!H34</f>
        <v>0</v>
      </c>
      <c r="C52" s="196">
        <f>'审定表J2-1'!I34</f>
        <v>0</v>
      </c>
      <c r="D52" s="156"/>
    </row>
    <row r="53" spans="1:4" ht="15" customHeight="1" thickBot="1">
      <c r="A53" s="197" t="s">
        <v>249</v>
      </c>
      <c r="B53" s="199">
        <f>'审定表J2-1'!H38</f>
        <v>0</v>
      </c>
      <c r="C53" s="199">
        <f>'审定表J2-1'!I38</f>
        <v>0</v>
      </c>
      <c r="D53" s="156"/>
    </row>
    <row r="54" spans="1:4" ht="15" customHeight="1">
      <c r="A54" s="390" t="s">
        <v>311</v>
      </c>
      <c r="B54" s="390"/>
      <c r="C54" s="390"/>
      <c r="D54" s="156"/>
    </row>
    <row r="55" spans="1:4" ht="15" customHeight="1">
      <c r="A55" s="391" t="s">
        <v>312</v>
      </c>
      <c r="B55" s="391"/>
      <c r="C55" s="391"/>
      <c r="D55" s="156"/>
    </row>
    <row r="56" spans="1:4" ht="26.25" customHeight="1">
      <c r="A56" s="389" t="s">
        <v>313</v>
      </c>
      <c r="B56" s="389"/>
      <c r="C56" s="389"/>
      <c r="D56" s="156"/>
    </row>
    <row r="57" spans="1:4" ht="15" customHeight="1" thickBot="1">
      <c r="A57" s="158" t="s">
        <v>254</v>
      </c>
      <c r="B57" s="156"/>
      <c r="C57" s="156"/>
      <c r="D57" s="156"/>
    </row>
    <row r="58" spans="1:4" ht="15" customHeight="1" thickBot="1">
      <c r="A58" s="173" t="s">
        <v>255</v>
      </c>
      <c r="B58" s="174" t="s">
        <v>256</v>
      </c>
      <c r="C58" s="156"/>
      <c r="D58" s="156"/>
    </row>
    <row r="59" spans="1:4" ht="15" customHeight="1">
      <c r="A59" s="175" t="s">
        <v>257</v>
      </c>
      <c r="B59" s="176">
        <f>'审定表J2-1'!B15</f>
        <v>0</v>
      </c>
      <c r="C59" s="156"/>
      <c r="D59" s="156"/>
    </row>
    <row r="60" spans="1:4" ht="15" customHeight="1">
      <c r="A60" s="175" t="s">
        <v>258</v>
      </c>
      <c r="B60" s="176">
        <f>'审定表J2-1'!B16</f>
        <v>0</v>
      </c>
      <c r="C60" s="156"/>
      <c r="D60" s="156"/>
    </row>
    <row r="61" spans="1:4" ht="15" customHeight="1">
      <c r="A61" s="175" t="s">
        <v>259</v>
      </c>
      <c r="B61" s="176">
        <f>'审定表J2-1'!B17</f>
        <v>0</v>
      </c>
      <c r="C61" s="156"/>
      <c r="D61" s="156"/>
    </row>
    <row r="62" spans="1:4" ht="15" customHeight="1" thickBot="1">
      <c r="A62" s="175" t="s">
        <v>260</v>
      </c>
      <c r="B62" s="176">
        <f>'审定表J2-1'!B18</f>
        <v>0</v>
      </c>
      <c r="C62" s="156"/>
      <c r="D62" s="156"/>
    </row>
    <row r="63" spans="1:4" ht="15" customHeight="1" thickBot="1">
      <c r="A63" s="173" t="s">
        <v>261</v>
      </c>
      <c r="B63" s="201"/>
      <c r="C63" s="156"/>
      <c r="D63" s="156"/>
    </row>
    <row r="64" spans="1:4" ht="15" customHeight="1" thickBot="1">
      <c r="A64" s="158" t="s">
        <v>314</v>
      </c>
      <c r="B64" s="156"/>
      <c r="C64" s="156"/>
      <c r="D64" s="156"/>
    </row>
    <row r="65" spans="1:4" ht="15" customHeight="1" thickBot="1">
      <c r="A65" s="392" t="s">
        <v>216</v>
      </c>
      <c r="B65" s="394" t="s">
        <v>263</v>
      </c>
      <c r="C65" s="394"/>
      <c r="D65" s="156"/>
    </row>
    <row r="66" spans="1:4" ht="15" customHeight="1" thickBot="1">
      <c r="A66" s="393"/>
      <c r="B66" s="178" t="s">
        <v>220</v>
      </c>
      <c r="C66" s="178" t="s">
        <v>217</v>
      </c>
      <c r="D66" s="156"/>
    </row>
    <row r="67" spans="1:4" ht="15" customHeight="1">
      <c r="A67" s="179" t="s">
        <v>264</v>
      </c>
      <c r="B67" s="180">
        <f>'审定表J2-1'!D42</f>
        <v>0</v>
      </c>
      <c r="C67" s="180">
        <f>'审定表J2-1'!E42</f>
        <v>0</v>
      </c>
      <c r="D67" s="156"/>
    </row>
    <row r="68" spans="1:4" ht="15" customHeight="1">
      <c r="A68" s="179" t="s">
        <v>265</v>
      </c>
      <c r="B68" s="202">
        <f>SUM(B69:B71)</f>
        <v>0</v>
      </c>
      <c r="C68" s="202">
        <f>SUM(C69:C71)</f>
        <v>0</v>
      </c>
      <c r="D68" s="156"/>
    </row>
    <row r="69" spans="1:4" ht="15" customHeight="1">
      <c r="A69" s="179" t="s">
        <v>266</v>
      </c>
      <c r="B69" s="180">
        <f>'审定表J2-1'!D44</f>
        <v>0</v>
      </c>
      <c r="C69" s="181">
        <f>'审定表J2-1'!E44</f>
        <v>0</v>
      </c>
      <c r="D69" s="156"/>
    </row>
    <row r="70" spans="1:4" ht="15" customHeight="1">
      <c r="A70" s="179" t="s">
        <v>267</v>
      </c>
      <c r="B70" s="180">
        <f>'审定表J2-1'!D45</f>
        <v>0</v>
      </c>
      <c r="C70" s="181">
        <f>'审定表J2-1'!E45</f>
        <v>0</v>
      </c>
      <c r="D70" s="156"/>
    </row>
    <row r="71" spans="1:4" ht="15" customHeight="1">
      <c r="A71" s="179" t="s">
        <v>6</v>
      </c>
      <c r="B71" s="180">
        <f>'审定表J2-1'!D46</f>
        <v>0</v>
      </c>
      <c r="C71" s="181">
        <f>'审定表J2-1'!E46</f>
        <v>0</v>
      </c>
      <c r="D71" s="156"/>
    </row>
    <row r="72" spans="1:4" ht="15" customHeight="1">
      <c r="A72" s="179" t="s">
        <v>268</v>
      </c>
      <c r="B72" s="202">
        <f>SUM(B73:B75)</f>
        <v>0</v>
      </c>
      <c r="C72" s="202">
        <f>SUM(C73:C75)</f>
        <v>0</v>
      </c>
      <c r="D72" s="156"/>
    </row>
    <row r="73" spans="1:4" ht="15" customHeight="1">
      <c r="A73" s="179" t="s">
        <v>266</v>
      </c>
      <c r="B73" s="180">
        <f>'审定表J2-1'!D48</f>
        <v>0</v>
      </c>
      <c r="C73" s="180">
        <f>'审定表J2-1'!E48</f>
        <v>0</v>
      </c>
      <c r="D73" s="156"/>
    </row>
    <row r="74" spans="1:4" ht="15" customHeight="1">
      <c r="A74" s="179" t="s">
        <v>267</v>
      </c>
      <c r="B74" s="180">
        <f>'审定表J2-1'!D49</f>
        <v>0</v>
      </c>
      <c r="C74" s="180">
        <f>'审定表J2-1'!E49</f>
        <v>0</v>
      </c>
      <c r="D74" s="156"/>
    </row>
    <row r="75" spans="1:4" ht="15" customHeight="1">
      <c r="A75" s="179" t="s">
        <v>6</v>
      </c>
      <c r="B75" s="180">
        <f>'审定表J2-1'!D50</f>
        <v>0</v>
      </c>
      <c r="C75" s="180">
        <f>'审定表J2-1'!E50</f>
        <v>0</v>
      </c>
      <c r="D75" s="156"/>
    </row>
    <row r="76" spans="1:4" ht="15" customHeight="1" thickBot="1">
      <c r="A76" s="179" t="s">
        <v>269</v>
      </c>
      <c r="B76" s="180">
        <f>'审定表J2-1'!D51</f>
        <v>0</v>
      </c>
      <c r="C76" s="180">
        <f>'审定表J2-1'!E51</f>
        <v>0</v>
      </c>
      <c r="D76" s="156"/>
    </row>
    <row r="77" spans="1:4" ht="15" customHeight="1" thickBot="1">
      <c r="A77" s="182" t="s">
        <v>270</v>
      </c>
      <c r="B77" s="183">
        <f>B67+B68+B72+B76</f>
        <v>0</v>
      </c>
      <c r="C77" s="183">
        <f>C67+C68+C72+C76</f>
        <v>0</v>
      </c>
      <c r="D77" s="156"/>
    </row>
    <row r="78" spans="1:4" ht="15" customHeight="1">
      <c r="A78" s="391" t="s">
        <v>271</v>
      </c>
      <c r="B78" s="391"/>
      <c r="C78" s="391"/>
      <c r="D78" s="156"/>
    </row>
    <row r="79" spans="1:4" ht="15" customHeight="1">
      <c r="A79" s="391" t="s">
        <v>272</v>
      </c>
      <c r="B79" s="391"/>
      <c r="C79" s="391"/>
      <c r="D79" s="156"/>
    </row>
    <row r="80" spans="1:4" ht="15" customHeight="1" thickBot="1">
      <c r="A80" s="158" t="s">
        <v>315</v>
      </c>
      <c r="B80" s="156"/>
      <c r="C80" s="156"/>
      <c r="D80" s="156"/>
    </row>
    <row r="81" spans="1:4" ht="15" customHeight="1" thickBot="1">
      <c r="A81" s="184" t="s">
        <v>255</v>
      </c>
      <c r="B81" s="185" t="s">
        <v>274</v>
      </c>
      <c r="C81" s="185" t="s">
        <v>275</v>
      </c>
      <c r="D81" s="156"/>
    </row>
    <row r="82" spans="1:4" ht="15" customHeight="1">
      <c r="A82" s="179" t="s">
        <v>276</v>
      </c>
      <c r="B82" s="186">
        <f>'审定表J2-1'!B55</f>
        <v>0</v>
      </c>
      <c r="C82" s="186">
        <f>'审定表J2-1'!C55</f>
        <v>0</v>
      </c>
      <c r="D82" s="156"/>
    </row>
    <row r="83" spans="1:4" ht="15" customHeight="1">
      <c r="A83" s="179" t="s">
        <v>277</v>
      </c>
      <c r="B83" s="186">
        <f>'审定表J2-1'!B56</f>
        <v>0</v>
      </c>
      <c r="C83" s="186">
        <f>'审定表J2-1'!C56</f>
        <v>0</v>
      </c>
      <c r="D83" s="156"/>
    </row>
    <row r="84" spans="1:4" ht="15" customHeight="1">
      <c r="A84" s="179" t="s">
        <v>278</v>
      </c>
      <c r="B84" s="186">
        <f>'审定表J2-1'!B57</f>
        <v>0</v>
      </c>
      <c r="C84" s="186">
        <f>'审定表J2-1'!C57</f>
        <v>0</v>
      </c>
      <c r="D84" s="156"/>
    </row>
    <row r="85" spans="1:4" ht="15" customHeight="1">
      <c r="A85" s="179" t="s">
        <v>279</v>
      </c>
      <c r="B85" s="186">
        <f>'审定表J2-1'!B58</f>
        <v>0</v>
      </c>
      <c r="C85" s="186">
        <f>'审定表J2-1'!C58</f>
        <v>0</v>
      </c>
      <c r="D85" s="156"/>
    </row>
    <row r="86" spans="1:4" ht="15" customHeight="1">
      <c r="A86" s="179" t="s">
        <v>280</v>
      </c>
      <c r="B86" s="186">
        <f>'审定表J2-1'!B59</f>
        <v>0</v>
      </c>
      <c r="C86" s="186">
        <f>'审定表J2-1'!C59</f>
        <v>0</v>
      </c>
      <c r="D86" s="156"/>
    </row>
    <row r="87" spans="1:4" ht="15" customHeight="1">
      <c r="A87" s="179" t="s">
        <v>6</v>
      </c>
      <c r="B87" s="203" t="e">
        <f>'审定表J2-1'!#REF!</f>
        <v>#REF!</v>
      </c>
      <c r="C87" s="203" t="e">
        <f>'审定表J2-1'!#REF!</f>
        <v>#REF!</v>
      </c>
      <c r="D87" s="156"/>
    </row>
    <row r="88" spans="1:4" ht="15" customHeight="1" thickBot="1">
      <c r="A88" s="158" t="s">
        <v>316</v>
      </c>
      <c r="B88" s="156"/>
      <c r="C88" s="156"/>
      <c r="D88" s="156"/>
    </row>
    <row r="89" spans="1:4" ht="15" customHeight="1" thickBot="1">
      <c r="A89" s="395" t="s">
        <v>282</v>
      </c>
      <c r="B89" s="396" t="s">
        <v>283</v>
      </c>
      <c r="C89" s="396" t="s">
        <v>284</v>
      </c>
      <c r="D89" s="396"/>
    </row>
    <row r="90" spans="1:4" ht="15" customHeight="1" thickBot="1">
      <c r="A90" s="395"/>
      <c r="B90" s="396"/>
      <c r="C90" s="174" t="s">
        <v>285</v>
      </c>
      <c r="D90" s="174" t="s">
        <v>317</v>
      </c>
    </row>
    <row r="91" spans="1:4" ht="15" customHeight="1">
      <c r="A91" s="175" t="s">
        <v>287</v>
      </c>
      <c r="B91" s="204">
        <f>'审定表J2-1'!B63</f>
        <v>0</v>
      </c>
      <c r="C91" s="204">
        <f>'审定表J2-1'!C63</f>
        <v>0</v>
      </c>
      <c r="D91" s="204">
        <f>'审定表J2-1'!D63</f>
        <v>0</v>
      </c>
    </row>
    <row r="92" spans="1:4" ht="15" customHeight="1">
      <c r="A92" s="175" t="s">
        <v>288</v>
      </c>
      <c r="B92" s="204">
        <f>'审定表J2-1'!B64</f>
        <v>0</v>
      </c>
      <c r="C92" s="204">
        <f>'审定表J2-1'!C64</f>
        <v>0</v>
      </c>
      <c r="D92" s="204">
        <f>'审定表J2-1'!D64</f>
        <v>0</v>
      </c>
    </row>
    <row r="93" spans="1:4" ht="15" customHeight="1">
      <c r="A93" s="165" t="s">
        <v>278</v>
      </c>
      <c r="B93" s="204">
        <f>'审定表J2-1'!B65</f>
        <v>0</v>
      </c>
      <c r="C93" s="204">
        <f>'审定表J2-1'!C65</f>
        <v>0</v>
      </c>
      <c r="D93" s="204">
        <f>'审定表J2-1'!D65</f>
        <v>0</v>
      </c>
    </row>
    <row r="94" spans="1:4" ht="15" customHeight="1">
      <c r="A94" s="175" t="s">
        <v>289</v>
      </c>
      <c r="B94" s="204">
        <f>'审定表J2-1'!B66</f>
        <v>0</v>
      </c>
      <c r="C94" s="204">
        <f>'审定表J2-1'!C66</f>
        <v>0</v>
      </c>
      <c r="D94" s="204">
        <f>'审定表J2-1'!D66</f>
        <v>0</v>
      </c>
    </row>
    <row r="95" spans="1:4" ht="15" customHeight="1" thickBot="1">
      <c r="A95" s="190" t="s">
        <v>290</v>
      </c>
      <c r="B95" s="205">
        <f>'审定表J2-1'!B67</f>
        <v>0</v>
      </c>
      <c r="C95" s="205">
        <f>'审定表J2-1'!C67</f>
        <v>0</v>
      </c>
      <c r="D95" s="205">
        <f>'审定表J2-1'!D67</f>
        <v>0</v>
      </c>
    </row>
    <row r="96" spans="1:4" ht="15" customHeight="1">
      <c r="A96" s="193" t="s">
        <v>291</v>
      </c>
      <c r="B96" s="156"/>
      <c r="C96" s="156"/>
      <c r="D96" s="156"/>
    </row>
    <row r="97" spans="1:4" ht="15" customHeight="1">
      <c r="A97" s="389" t="s">
        <v>292</v>
      </c>
      <c r="B97" s="389"/>
      <c r="C97" s="389"/>
      <c r="D97" s="389"/>
    </row>
    <row r="98" spans="1:4" ht="15" customHeight="1">
      <c r="A98" s="389" t="s">
        <v>293</v>
      </c>
      <c r="B98" s="389"/>
      <c r="C98" s="389"/>
      <c r="D98" s="389"/>
    </row>
    <row r="99" spans="1:4" ht="15" customHeight="1">
      <c r="A99" s="391" t="s">
        <v>294</v>
      </c>
      <c r="B99" s="391"/>
      <c r="C99" s="391"/>
      <c r="D99" s="391"/>
    </row>
  </sheetData>
  <mergeCells count="16">
    <mergeCell ref="A99:D99"/>
    <mergeCell ref="A78:C78"/>
    <mergeCell ref="A79:C79"/>
    <mergeCell ref="A89:A90"/>
    <mergeCell ref="B89:B90"/>
    <mergeCell ref="C89:D89"/>
    <mergeCell ref="A56:C56"/>
    <mergeCell ref="A65:A66"/>
    <mergeCell ref="B65:C65"/>
    <mergeCell ref="A97:D97"/>
    <mergeCell ref="A98:D98"/>
    <mergeCell ref="A1:D1"/>
    <mergeCell ref="A2:D2"/>
    <mergeCell ref="A46:C46"/>
    <mergeCell ref="A54:C54"/>
    <mergeCell ref="A55:C55"/>
  </mergeCells>
  <phoneticPr fontId="44" type="noConversion"/>
  <printOptions horizontalCentered="1"/>
  <pageMargins left="0.98425196850393704" right="0.74803149606299213" top="0.98425196850393704" bottom="0.98425196850393704" header="0.51181102362204722" footer="0.51181102362204722"/>
  <pageSetup paperSize="9" scale="62"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8"/>
  <sheetViews>
    <sheetView view="pageBreakPreview" zoomScaleSheetLayoutView="100" workbookViewId="0">
      <selection sqref="A1:G1"/>
    </sheetView>
  </sheetViews>
  <sheetFormatPr defaultColWidth="9" defaultRowHeight="15" customHeight="1"/>
  <cols>
    <col min="1" max="1" width="30.6640625" style="5" customWidth="1"/>
    <col min="2" max="5" width="15.6640625" style="5" customWidth="1"/>
    <col min="6" max="6" width="11" style="5" customWidth="1"/>
    <col min="7" max="16384" width="9" style="5"/>
  </cols>
  <sheetData>
    <row r="1" spans="1:7" s="108" customFormat="1" ht="15" customHeight="1">
      <c r="A1" s="313" t="s">
        <v>0</v>
      </c>
      <c r="B1" s="313"/>
      <c r="C1" s="313"/>
      <c r="D1" s="313"/>
      <c r="E1" s="313"/>
      <c r="F1" s="313"/>
      <c r="G1" s="313"/>
    </row>
    <row r="2" spans="1:7" s="109" customFormat="1" ht="15" customHeight="1">
      <c r="A2" s="388" t="s">
        <v>183</v>
      </c>
      <c r="B2" s="388"/>
      <c r="C2" s="388"/>
      <c r="D2" s="388"/>
      <c r="E2" s="388"/>
      <c r="F2" s="388"/>
      <c r="G2" s="388"/>
    </row>
    <row r="3" spans="1:7" ht="15" customHeight="1">
      <c r="A3" s="3" t="str">
        <f>底稿目录!A2</f>
        <v>被审计单位：</v>
      </c>
      <c r="B3" s="3" t="str">
        <f>底稿目录!A4</f>
        <v>编制人：</v>
      </c>
      <c r="D3" s="107" t="str">
        <f>底稿目录!A5</f>
        <v>编制日期：</v>
      </c>
      <c r="E3" s="107"/>
      <c r="F3" s="3" t="s">
        <v>54</v>
      </c>
      <c r="G3" s="111"/>
    </row>
    <row r="4" spans="1:7" ht="15" customHeight="1">
      <c r="A4" s="3" t="str">
        <f>底稿目录!A3</f>
        <v>截止日：</v>
      </c>
      <c r="B4" s="3" t="str">
        <f>底稿目录!A6</f>
        <v>复核人：</v>
      </c>
      <c r="D4" s="107" t="str">
        <f>底稿目录!A7</f>
        <v>复核日期：</v>
      </c>
      <c r="E4" s="107"/>
      <c r="F4" s="3" t="s">
        <v>55</v>
      </c>
      <c r="G4" s="111"/>
    </row>
    <row r="5" spans="1:7" ht="15" customHeight="1" thickBot="1">
      <c r="A5" s="158" t="s">
        <v>215</v>
      </c>
      <c r="B5" s="156"/>
      <c r="C5" s="156"/>
      <c r="D5" s="156"/>
      <c r="E5" s="156"/>
      <c r="F5" s="156"/>
      <c r="G5" s="156"/>
    </row>
    <row r="6" spans="1:7" ht="15" customHeight="1" thickBot="1">
      <c r="A6" s="159" t="s">
        <v>216</v>
      </c>
      <c r="B6" s="160" t="s">
        <v>217</v>
      </c>
      <c r="C6" s="160" t="s">
        <v>218</v>
      </c>
      <c r="D6" s="160" t="s">
        <v>219</v>
      </c>
      <c r="E6" s="160" t="s">
        <v>220</v>
      </c>
      <c r="F6" s="156"/>
      <c r="G6" s="156"/>
    </row>
    <row r="7" spans="1:7" ht="15" customHeight="1">
      <c r="A7" s="161" t="s">
        <v>221</v>
      </c>
      <c r="B7" s="162">
        <f>'审定表J2-1'!D8</f>
        <v>0</v>
      </c>
      <c r="C7" s="163">
        <f>'明细表J2-2'!K14</f>
        <v>0</v>
      </c>
      <c r="D7" s="163">
        <f>'明细表J2-2'!L14</f>
        <v>0</v>
      </c>
      <c r="E7" s="162">
        <f>B7+C7-D7</f>
        <v>0</v>
      </c>
      <c r="F7" s="156"/>
      <c r="G7" s="156"/>
    </row>
    <row r="8" spans="1:7" ht="26.25" customHeight="1">
      <c r="A8" s="161" t="s">
        <v>222</v>
      </c>
      <c r="B8" s="162">
        <f>'审定表J2-1'!D9</f>
        <v>0</v>
      </c>
      <c r="C8" s="163">
        <f>'明细表J2-2'!K15</f>
        <v>0</v>
      </c>
      <c r="D8" s="163">
        <f>'明细表J2-2'!L15</f>
        <v>0</v>
      </c>
      <c r="E8" s="162">
        <f>B8+C8-D8</f>
        <v>0</v>
      </c>
      <c r="F8" s="156"/>
      <c r="G8" s="156"/>
    </row>
    <row r="9" spans="1:7" ht="15" customHeight="1" thickBot="1">
      <c r="A9" s="161" t="s">
        <v>223</v>
      </c>
      <c r="B9" s="162">
        <f>'审定表J2-1'!D10-'审定表J2-1'!D11</f>
        <v>0</v>
      </c>
      <c r="C9" s="163">
        <f>'明细表J2-2'!K16-'明细表J2-2'!K17</f>
        <v>0</v>
      </c>
      <c r="D9" s="163">
        <f>'明细表J2-2'!L16-'明细表J2-2'!L17</f>
        <v>0</v>
      </c>
      <c r="E9" s="162">
        <f>B9+C9-D9</f>
        <v>0</v>
      </c>
      <c r="F9" s="156"/>
      <c r="G9" s="156"/>
    </row>
    <row r="10" spans="1:7" ht="15" customHeight="1" thickBot="1">
      <c r="A10" s="159" t="s">
        <v>224</v>
      </c>
      <c r="B10" s="164">
        <f>SUM(B7:B9)</f>
        <v>0</v>
      </c>
      <c r="C10" s="164">
        <f>SUM(C7:C9)</f>
        <v>0</v>
      </c>
      <c r="D10" s="164">
        <f>SUM(D7:D9)</f>
        <v>0</v>
      </c>
      <c r="E10" s="164">
        <f>SUM(E7:E9)</f>
        <v>0</v>
      </c>
      <c r="F10" s="156"/>
      <c r="G10" s="156"/>
    </row>
    <row r="11" spans="1:7" ht="15" customHeight="1">
      <c r="A11" s="165" t="s">
        <v>225</v>
      </c>
      <c r="B11" s="156"/>
      <c r="C11" s="156"/>
      <c r="D11" s="156"/>
      <c r="E11" s="156"/>
      <c r="F11" s="156"/>
      <c r="G11" s="156"/>
    </row>
    <row r="12" spans="1:7" ht="15" customHeight="1" thickBot="1">
      <c r="A12" s="158" t="s">
        <v>226</v>
      </c>
      <c r="B12" s="156"/>
      <c r="C12" s="156"/>
      <c r="D12" s="156"/>
      <c r="E12" s="156"/>
      <c r="F12" s="156"/>
      <c r="G12" s="156"/>
    </row>
    <row r="13" spans="1:7" ht="15" customHeight="1" thickBot="1">
      <c r="A13" s="399" t="s">
        <v>227</v>
      </c>
      <c r="B13" s="397" t="s">
        <v>228</v>
      </c>
      <c r="C13" s="397"/>
      <c r="D13" s="397" t="s">
        <v>229</v>
      </c>
      <c r="E13" s="397"/>
      <c r="F13" s="397" t="s">
        <v>230</v>
      </c>
      <c r="G13" s="397"/>
    </row>
    <row r="14" spans="1:7" ht="15" customHeight="1" thickBot="1">
      <c r="A14" s="399"/>
      <c r="B14" s="398" t="s">
        <v>231</v>
      </c>
      <c r="C14" s="398"/>
      <c r="D14" s="398" t="s">
        <v>231</v>
      </c>
      <c r="E14" s="398"/>
      <c r="F14" s="398" t="s">
        <v>232</v>
      </c>
      <c r="G14" s="398"/>
    </row>
    <row r="15" spans="1:7" ht="15" customHeight="1" thickBot="1">
      <c r="A15" s="399"/>
      <c r="B15" s="166" t="s">
        <v>233</v>
      </c>
      <c r="C15" s="166" t="s">
        <v>234</v>
      </c>
      <c r="D15" s="166" t="s">
        <v>233</v>
      </c>
      <c r="E15" s="166" t="s">
        <v>234</v>
      </c>
      <c r="F15" s="166" t="s">
        <v>233</v>
      </c>
      <c r="G15" s="166" t="s">
        <v>234</v>
      </c>
    </row>
    <row r="16" spans="1:7" ht="15" customHeight="1">
      <c r="A16" s="167" t="s">
        <v>235</v>
      </c>
      <c r="B16" s="168">
        <f>'审定表J2-1'!D23</f>
        <v>0</v>
      </c>
      <c r="C16" s="168">
        <f>'审定表J2-1'!E23</f>
        <v>0</v>
      </c>
      <c r="D16" s="168">
        <f>'审定表J2-1'!F23</f>
        <v>0</v>
      </c>
      <c r="E16" s="168">
        <f>'审定表J2-1'!G23</f>
        <v>0</v>
      </c>
      <c r="F16" s="168">
        <f>'审定表J2-1'!H23</f>
        <v>0</v>
      </c>
      <c r="G16" s="168">
        <f>'审定表J2-1'!I23</f>
        <v>0</v>
      </c>
    </row>
    <row r="17" spans="1:7" ht="15" customHeight="1">
      <c r="A17" s="167" t="s">
        <v>236</v>
      </c>
      <c r="B17" s="168">
        <f>SUM(B18:B21)</f>
        <v>0</v>
      </c>
      <c r="C17" s="168">
        <f>SUM(C18:C21)</f>
        <v>0</v>
      </c>
      <c r="D17" s="168">
        <f>D21</f>
        <v>0</v>
      </c>
      <c r="E17" s="168">
        <f>E21</f>
        <v>0</v>
      </c>
      <c r="F17" s="168">
        <f>'审定表J2-1'!H24</f>
        <v>0</v>
      </c>
      <c r="G17" s="168">
        <f>'审定表J2-1'!I24</f>
        <v>0</v>
      </c>
    </row>
    <row r="18" spans="1:7" ht="15" customHeight="1">
      <c r="A18" s="167" t="s">
        <v>237</v>
      </c>
      <c r="B18" s="168">
        <f>'审定表J2-1'!D25</f>
        <v>0</v>
      </c>
      <c r="C18" s="168">
        <f>'审定表J2-1'!E25</f>
        <v>0</v>
      </c>
      <c r="D18" s="169" t="s">
        <v>57</v>
      </c>
      <c r="E18" s="169" t="s">
        <v>57</v>
      </c>
      <c r="F18" s="168">
        <f>'审定表J2-1'!H25</f>
        <v>0</v>
      </c>
      <c r="G18" s="168">
        <f>'审定表J2-1'!I25</f>
        <v>0</v>
      </c>
    </row>
    <row r="19" spans="1:7" ht="15" customHeight="1">
      <c r="A19" s="167" t="s">
        <v>238</v>
      </c>
      <c r="B19" s="168">
        <f>'审定表J2-1'!D26</f>
        <v>0</v>
      </c>
      <c r="C19" s="168">
        <f>'审定表J2-1'!E26</f>
        <v>0</v>
      </c>
      <c r="D19" s="169" t="s">
        <v>57</v>
      </c>
      <c r="E19" s="169" t="s">
        <v>57</v>
      </c>
      <c r="F19" s="168">
        <f>'审定表J2-1'!H26</f>
        <v>0</v>
      </c>
      <c r="G19" s="168">
        <f>'审定表J2-1'!I26</f>
        <v>0</v>
      </c>
    </row>
    <row r="20" spans="1:7" ht="15" customHeight="1">
      <c r="A20" s="167" t="s">
        <v>239</v>
      </c>
      <c r="B20" s="168">
        <f>'审定表J2-1'!D27</f>
        <v>0</v>
      </c>
      <c r="C20" s="168">
        <f>'审定表J2-1'!E27</f>
        <v>0</v>
      </c>
      <c r="D20" s="169" t="s">
        <v>57</v>
      </c>
      <c r="E20" s="169" t="s">
        <v>57</v>
      </c>
      <c r="F20" s="168">
        <f>'审定表J2-1'!H27</f>
        <v>0</v>
      </c>
      <c r="G20" s="168">
        <f>'审定表J2-1'!I27</f>
        <v>0</v>
      </c>
    </row>
    <row r="21" spans="1:7" ht="15" customHeight="1">
      <c r="A21" s="167" t="s">
        <v>240</v>
      </c>
      <c r="B21" s="168">
        <f>'审定表J2-1'!D28</f>
        <v>0</v>
      </c>
      <c r="C21" s="168">
        <f>'审定表J2-1'!E28</f>
        <v>0</v>
      </c>
      <c r="D21" s="168">
        <f>'审定表J2-1'!F28</f>
        <v>0</v>
      </c>
      <c r="E21" s="168">
        <f>'审定表J2-1'!G28</f>
        <v>0</v>
      </c>
      <c r="F21" s="168">
        <f>'审定表J2-1'!H28</f>
        <v>0</v>
      </c>
      <c r="G21" s="168">
        <f>'审定表J2-1'!I28</f>
        <v>0</v>
      </c>
    </row>
    <row r="22" spans="1:7" ht="15" customHeight="1">
      <c r="A22" s="167" t="s">
        <v>241</v>
      </c>
      <c r="B22" s="168">
        <f>B23</f>
        <v>0</v>
      </c>
      <c r="C22" s="168">
        <f>C23</f>
        <v>0</v>
      </c>
      <c r="D22" s="168">
        <f>D23</f>
        <v>0</v>
      </c>
      <c r="E22" s="168">
        <f>E23</f>
        <v>0</v>
      </c>
      <c r="F22" s="168">
        <f>'审定表J2-1'!H29</f>
        <v>0</v>
      </c>
      <c r="G22" s="168">
        <f>'审定表J2-1'!I29</f>
        <v>0</v>
      </c>
    </row>
    <row r="23" spans="1:7" ht="26.25" customHeight="1">
      <c r="A23" s="167" t="s">
        <v>242</v>
      </c>
      <c r="B23" s="168">
        <f>SUM(B24:B26)</f>
        <v>0</v>
      </c>
      <c r="C23" s="168">
        <f>SUM(C24:C26)</f>
        <v>0</v>
      </c>
      <c r="D23" s="170">
        <f>D25+D26</f>
        <v>0</v>
      </c>
      <c r="E23" s="170">
        <f>E25+E26</f>
        <v>0</v>
      </c>
      <c r="F23" s="168">
        <f>'审定表J2-1'!H30</f>
        <v>0</v>
      </c>
      <c r="G23" s="168">
        <f>'审定表J2-1'!I30</f>
        <v>0</v>
      </c>
    </row>
    <row r="24" spans="1:7" ht="15" customHeight="1">
      <c r="A24" s="167" t="s">
        <v>243</v>
      </c>
      <c r="B24" s="168">
        <f>'审定表J2-1'!D31</f>
        <v>0</v>
      </c>
      <c r="C24" s="168">
        <f>'审定表J2-1'!E31</f>
        <v>0</v>
      </c>
      <c r="D24" s="169" t="s">
        <v>57</v>
      </c>
      <c r="E24" s="169" t="s">
        <v>57</v>
      </c>
      <c r="F24" s="168">
        <f>'审定表J2-1'!H31</f>
        <v>0</v>
      </c>
      <c r="G24" s="168">
        <f>'审定表J2-1'!I31</f>
        <v>0</v>
      </c>
    </row>
    <row r="25" spans="1:7" ht="26.25" customHeight="1">
      <c r="A25" s="167" t="s">
        <v>244</v>
      </c>
      <c r="B25" s="168">
        <f>'审定表J2-1'!D32</f>
        <v>0</v>
      </c>
      <c r="C25" s="168">
        <f>'审定表J2-1'!E32</f>
        <v>0</v>
      </c>
      <c r="D25" s="168">
        <f>'审定表J2-1'!F32</f>
        <v>0</v>
      </c>
      <c r="E25" s="168">
        <f>'审定表J2-1'!G32</f>
        <v>0</v>
      </c>
      <c r="F25" s="168">
        <f>'审定表J2-1'!H32</f>
        <v>0</v>
      </c>
      <c r="G25" s="168">
        <f>'审定表J2-1'!I32</f>
        <v>0</v>
      </c>
    </row>
    <row r="26" spans="1:7" ht="26.25" customHeight="1">
      <c r="A26" s="167" t="s">
        <v>245</v>
      </c>
      <c r="B26" s="168">
        <f>'审定表J2-1'!D33</f>
        <v>0</v>
      </c>
      <c r="C26" s="168">
        <f>'审定表J2-1'!E33</f>
        <v>0</v>
      </c>
      <c r="D26" s="168">
        <f>'审定表J2-1'!F33</f>
        <v>0</v>
      </c>
      <c r="E26" s="168">
        <f>'审定表J2-1'!G33</f>
        <v>0</v>
      </c>
      <c r="F26" s="168">
        <f>'审定表J2-1'!H33</f>
        <v>0</v>
      </c>
      <c r="G26" s="168">
        <f>'审定表J2-1'!I33</f>
        <v>0</v>
      </c>
    </row>
    <row r="27" spans="1:7" ht="15" customHeight="1">
      <c r="A27" s="167" t="s">
        <v>246</v>
      </c>
      <c r="B27" s="168">
        <f>SUM(B28:B30)</f>
        <v>0</v>
      </c>
      <c r="C27" s="168">
        <f>SUM(C28:C30)</f>
        <v>0</v>
      </c>
      <c r="D27" s="168">
        <f>SUM(D28:D30)</f>
        <v>0</v>
      </c>
      <c r="E27" s="168">
        <f>SUM(E28:E30)</f>
        <v>0</v>
      </c>
      <c r="F27" s="168">
        <f>'审定表J2-1'!H34</f>
        <v>0</v>
      </c>
      <c r="G27" s="168">
        <f>'审定表J2-1'!I34</f>
        <v>0</v>
      </c>
    </row>
    <row r="28" spans="1:7" ht="15" customHeight="1">
      <c r="A28" s="167" t="s">
        <v>247</v>
      </c>
      <c r="B28" s="168">
        <f>'审定表J2-1'!D35</f>
        <v>0</v>
      </c>
      <c r="C28" s="168">
        <f>'审定表J2-1'!E35</f>
        <v>0</v>
      </c>
      <c r="D28" s="168">
        <f>'审定表J2-1'!F35</f>
        <v>0</v>
      </c>
      <c r="E28" s="168">
        <f>'审定表J2-1'!G35</f>
        <v>0</v>
      </c>
      <c r="F28" s="168">
        <f>'审定表J2-1'!H35</f>
        <v>0</v>
      </c>
      <c r="G28" s="168">
        <f>'审定表J2-1'!I35</f>
        <v>0</v>
      </c>
    </row>
    <row r="29" spans="1:7" ht="15" customHeight="1">
      <c r="A29" s="167" t="s">
        <v>248</v>
      </c>
      <c r="B29" s="168">
        <f>'审定表J2-1'!D36</f>
        <v>0</v>
      </c>
      <c r="C29" s="168">
        <f>'审定表J2-1'!E36</f>
        <v>0</v>
      </c>
      <c r="D29" s="168">
        <f>'审定表J2-1'!F36</f>
        <v>0</v>
      </c>
      <c r="E29" s="168">
        <f>'审定表J2-1'!G36</f>
        <v>0</v>
      </c>
      <c r="F29" s="168">
        <f>'审定表J2-1'!H36</f>
        <v>0</v>
      </c>
      <c r="G29" s="168">
        <f>'审定表J2-1'!I36</f>
        <v>0</v>
      </c>
    </row>
    <row r="30" spans="1:7" ht="15" customHeight="1">
      <c r="A30" s="167" t="s">
        <v>6</v>
      </c>
      <c r="B30" s="170">
        <f>'审定表J2-1'!D37</f>
        <v>0</v>
      </c>
      <c r="C30" s="168">
        <f>'审定表J2-1'!E37</f>
        <v>0</v>
      </c>
      <c r="D30" s="168">
        <f>'审定表J2-1'!F37</f>
        <v>0</v>
      </c>
      <c r="E30" s="168">
        <f>'审定表J2-1'!G37</f>
        <v>0</v>
      </c>
      <c r="F30" s="168">
        <f>'审定表J2-1'!H37</f>
        <v>0</v>
      </c>
      <c r="G30" s="168">
        <f>'审定表J2-1'!I37</f>
        <v>0</v>
      </c>
    </row>
    <row r="31" spans="1:7" ht="15" customHeight="1" thickBot="1">
      <c r="A31" s="171" t="s">
        <v>249</v>
      </c>
      <c r="B31" s="172">
        <f t="shared" ref="B31:G31" si="0">B16+B17+B22+B27</f>
        <v>0</v>
      </c>
      <c r="C31" s="172">
        <f t="shared" si="0"/>
        <v>0</v>
      </c>
      <c r="D31" s="172">
        <f t="shared" si="0"/>
        <v>0</v>
      </c>
      <c r="E31" s="172">
        <f t="shared" si="0"/>
        <v>0</v>
      </c>
      <c r="F31" s="172">
        <f t="shared" si="0"/>
        <v>0</v>
      </c>
      <c r="G31" s="172">
        <f t="shared" si="0"/>
        <v>0</v>
      </c>
    </row>
    <row r="32" spans="1:7" ht="26.25" customHeight="1">
      <c r="A32" s="389" t="s">
        <v>250</v>
      </c>
      <c r="B32" s="389"/>
      <c r="C32" s="389"/>
      <c r="D32" s="389"/>
      <c r="E32" s="389"/>
      <c r="F32" s="389"/>
      <c r="G32" s="389"/>
    </row>
    <row r="33" spans="1:7" ht="15" customHeight="1">
      <c r="A33" s="400" t="s">
        <v>251</v>
      </c>
      <c r="B33" s="400"/>
      <c r="C33" s="400"/>
      <c r="D33" s="400"/>
      <c r="E33" s="400"/>
      <c r="F33" s="400"/>
      <c r="G33" s="400"/>
    </row>
    <row r="34" spans="1:7" ht="15" customHeight="1">
      <c r="A34" s="391" t="s">
        <v>252</v>
      </c>
      <c r="B34" s="391"/>
      <c r="C34" s="391"/>
      <c r="D34" s="391"/>
      <c r="E34" s="391"/>
      <c r="F34" s="391"/>
      <c r="G34" s="391"/>
    </row>
    <row r="35" spans="1:7" ht="26.25" customHeight="1">
      <c r="A35" s="389" t="s">
        <v>253</v>
      </c>
      <c r="B35" s="389"/>
      <c r="C35" s="389"/>
      <c r="D35" s="389"/>
      <c r="E35" s="389"/>
      <c r="F35" s="389"/>
      <c r="G35" s="389"/>
    </row>
    <row r="36" spans="1:7" ht="15" customHeight="1" thickBot="1">
      <c r="A36" s="158" t="s">
        <v>254</v>
      </c>
      <c r="B36" s="156"/>
      <c r="C36" s="156"/>
      <c r="D36" s="156"/>
      <c r="E36" s="156"/>
      <c r="F36" s="156"/>
      <c r="G36" s="156"/>
    </row>
    <row r="37" spans="1:7" ht="15" customHeight="1" thickBot="1">
      <c r="A37" s="173" t="s">
        <v>255</v>
      </c>
      <c r="B37" s="174" t="s">
        <v>256</v>
      </c>
      <c r="C37" s="156"/>
      <c r="D37" s="156"/>
      <c r="E37" s="156"/>
      <c r="F37" s="156"/>
      <c r="G37" s="156"/>
    </row>
    <row r="38" spans="1:7" ht="15" customHeight="1">
      <c r="A38" s="175" t="s">
        <v>257</v>
      </c>
      <c r="B38" s="176">
        <f>'审定表J2-1'!B15</f>
        <v>0</v>
      </c>
      <c r="C38" s="156"/>
      <c r="D38" s="156"/>
      <c r="E38" s="156"/>
      <c r="F38" s="156"/>
      <c r="G38" s="156"/>
    </row>
    <row r="39" spans="1:7" ht="15" customHeight="1">
      <c r="A39" s="175" t="s">
        <v>258</v>
      </c>
      <c r="B39" s="176">
        <f>'审定表J2-1'!B16</f>
        <v>0</v>
      </c>
      <c r="C39" s="156"/>
      <c r="D39" s="156"/>
      <c r="E39" s="156"/>
      <c r="F39" s="156"/>
      <c r="G39" s="156"/>
    </row>
    <row r="40" spans="1:7" ht="15" customHeight="1">
      <c r="A40" s="175" t="s">
        <v>259</v>
      </c>
      <c r="B40" s="176">
        <f>'审定表J2-1'!B17</f>
        <v>0</v>
      </c>
      <c r="C40" s="156"/>
      <c r="D40" s="156"/>
      <c r="E40" s="156"/>
      <c r="F40" s="156"/>
      <c r="G40" s="156"/>
    </row>
    <row r="41" spans="1:7" ht="15" customHeight="1" thickBot="1">
      <c r="A41" s="175" t="s">
        <v>260</v>
      </c>
      <c r="B41" s="176">
        <f>'审定表J2-1'!B18</f>
        <v>0</v>
      </c>
      <c r="C41" s="156"/>
      <c r="D41" s="156"/>
      <c r="E41" s="156"/>
      <c r="F41" s="156"/>
      <c r="G41" s="156"/>
    </row>
    <row r="42" spans="1:7" ht="15" customHeight="1" thickBot="1">
      <c r="A42" s="173" t="s">
        <v>261</v>
      </c>
      <c r="B42" s="177">
        <f>SUM(B38:B41)</f>
        <v>0</v>
      </c>
      <c r="C42" s="156"/>
      <c r="D42" s="156"/>
      <c r="E42" s="156"/>
      <c r="F42" s="156"/>
      <c r="G42" s="156"/>
    </row>
    <row r="43" spans="1:7" ht="15" customHeight="1" thickBot="1">
      <c r="A43" s="158" t="s">
        <v>262</v>
      </c>
      <c r="B43" s="156"/>
      <c r="C43" s="156"/>
      <c r="D43" s="156"/>
      <c r="E43" s="156"/>
      <c r="F43" s="156"/>
      <c r="G43" s="156"/>
    </row>
    <row r="44" spans="1:7" ht="15" customHeight="1" thickBot="1">
      <c r="A44" s="401" t="s">
        <v>216</v>
      </c>
      <c r="B44" s="394" t="s">
        <v>263</v>
      </c>
      <c r="C44" s="394"/>
      <c r="D44" s="156"/>
      <c r="E44" s="156"/>
      <c r="F44" s="156"/>
      <c r="G44" s="156"/>
    </row>
    <row r="45" spans="1:7" ht="15" customHeight="1" thickBot="1">
      <c r="A45" s="401"/>
      <c r="B45" s="178" t="s">
        <v>220</v>
      </c>
      <c r="C45" s="178" t="s">
        <v>217</v>
      </c>
      <c r="D45" s="156"/>
      <c r="E45" s="156"/>
      <c r="F45" s="156"/>
      <c r="G45" s="156"/>
    </row>
    <row r="46" spans="1:7" ht="15" customHeight="1">
      <c r="A46" s="179" t="s">
        <v>264</v>
      </c>
      <c r="B46" s="180">
        <f>'审定表J2-1'!D42</f>
        <v>0</v>
      </c>
      <c r="C46" s="181">
        <f>'审定表J2-1'!E42</f>
        <v>0</v>
      </c>
      <c r="D46" s="156"/>
      <c r="E46" s="156"/>
      <c r="F46" s="156"/>
      <c r="G46" s="156"/>
    </row>
    <row r="47" spans="1:7" ht="15" customHeight="1">
      <c r="A47" s="179" t="s">
        <v>265</v>
      </c>
      <c r="B47" s="180">
        <f>'审定表J2-1'!D43</f>
        <v>0</v>
      </c>
      <c r="C47" s="180">
        <f>'审定表J2-1'!E43</f>
        <v>0</v>
      </c>
      <c r="D47" s="156"/>
      <c r="E47" s="156"/>
      <c r="F47" s="156"/>
      <c r="G47" s="156"/>
    </row>
    <row r="48" spans="1:7" ht="15" customHeight="1">
      <c r="A48" s="179" t="s">
        <v>266</v>
      </c>
      <c r="B48" s="180">
        <f>'审定表J2-1'!D44</f>
        <v>0</v>
      </c>
      <c r="C48" s="180">
        <f>'审定表J2-1'!E44</f>
        <v>0</v>
      </c>
      <c r="D48" s="156"/>
      <c r="E48" s="156"/>
      <c r="F48" s="156"/>
      <c r="G48" s="156"/>
    </row>
    <row r="49" spans="1:7" ht="15" customHeight="1">
      <c r="A49" s="179" t="s">
        <v>267</v>
      </c>
      <c r="B49" s="180">
        <f>'审定表J2-1'!D45</f>
        <v>0</v>
      </c>
      <c r="C49" s="180">
        <f>'审定表J2-1'!E45</f>
        <v>0</v>
      </c>
      <c r="D49" s="156"/>
      <c r="E49" s="156"/>
      <c r="F49" s="156"/>
      <c r="G49" s="156"/>
    </row>
    <row r="50" spans="1:7" ht="15" customHeight="1">
      <c r="A50" s="179" t="s">
        <v>6</v>
      </c>
      <c r="B50" s="180">
        <f>'审定表J2-1'!D46</f>
        <v>0</v>
      </c>
      <c r="C50" s="180">
        <f>'审定表J2-1'!E46</f>
        <v>0</v>
      </c>
      <c r="D50" s="156"/>
      <c r="E50" s="156"/>
      <c r="F50" s="156"/>
      <c r="G50" s="156"/>
    </row>
    <row r="51" spans="1:7" ht="15" customHeight="1">
      <c r="A51" s="179" t="s">
        <v>268</v>
      </c>
      <c r="B51" s="180">
        <f>'审定表J2-1'!D47</f>
        <v>0</v>
      </c>
      <c r="C51" s="180">
        <f>'审定表J2-1'!E47</f>
        <v>0</v>
      </c>
      <c r="D51" s="156"/>
      <c r="E51" s="156"/>
      <c r="F51" s="156"/>
      <c r="G51" s="156"/>
    </row>
    <row r="52" spans="1:7" ht="15" customHeight="1">
      <c r="A52" s="179" t="s">
        <v>266</v>
      </c>
      <c r="B52" s="180">
        <f>'审定表J2-1'!D48</f>
        <v>0</v>
      </c>
      <c r="C52" s="180">
        <f>'审定表J2-1'!E48</f>
        <v>0</v>
      </c>
      <c r="D52" s="156"/>
      <c r="E52" s="156"/>
      <c r="F52" s="156"/>
      <c r="G52" s="156"/>
    </row>
    <row r="53" spans="1:7" ht="15" customHeight="1">
      <c r="A53" s="179" t="s">
        <v>267</v>
      </c>
      <c r="B53" s="180">
        <f>'审定表J2-1'!D49</f>
        <v>0</v>
      </c>
      <c r="C53" s="180">
        <f>'审定表J2-1'!E49</f>
        <v>0</v>
      </c>
      <c r="D53" s="156"/>
      <c r="E53" s="156"/>
      <c r="F53" s="156"/>
      <c r="G53" s="156"/>
    </row>
    <row r="54" spans="1:7" ht="15" customHeight="1">
      <c r="A54" s="179" t="s">
        <v>6</v>
      </c>
      <c r="B54" s="180">
        <f>'审定表J2-1'!D50</f>
        <v>0</v>
      </c>
      <c r="C54" s="180">
        <f>'审定表J2-1'!E50</f>
        <v>0</v>
      </c>
      <c r="D54" s="156"/>
      <c r="E54" s="156"/>
      <c r="F54" s="156"/>
      <c r="G54" s="156"/>
    </row>
    <row r="55" spans="1:7" ht="15" customHeight="1" thickBot="1">
      <c r="A55" s="179" t="s">
        <v>269</v>
      </c>
      <c r="B55" s="180">
        <f>'审定表J2-1'!D51</f>
        <v>0</v>
      </c>
      <c r="C55" s="180">
        <f>'审定表J2-1'!E51</f>
        <v>0</v>
      </c>
      <c r="D55" s="156"/>
      <c r="E55" s="156"/>
      <c r="F55" s="156"/>
      <c r="G55" s="156"/>
    </row>
    <row r="56" spans="1:7" ht="15" customHeight="1" thickBot="1">
      <c r="A56" s="182" t="s">
        <v>270</v>
      </c>
      <c r="B56" s="183">
        <f>B46+B47+B51+B55</f>
        <v>0</v>
      </c>
      <c r="C56" s="183">
        <f>C46+C47+C51+C55</f>
        <v>0</v>
      </c>
      <c r="D56" s="156"/>
      <c r="E56" s="156"/>
      <c r="F56" s="156"/>
      <c r="G56" s="156"/>
    </row>
    <row r="57" spans="1:7" ht="15" customHeight="1">
      <c r="A57" s="389" t="s">
        <v>271</v>
      </c>
      <c r="B57" s="389"/>
      <c r="C57" s="389"/>
      <c r="D57" s="156"/>
      <c r="E57" s="156"/>
      <c r="F57" s="156"/>
      <c r="G57" s="156"/>
    </row>
    <row r="58" spans="1:7" ht="15" customHeight="1">
      <c r="A58" s="389" t="s">
        <v>272</v>
      </c>
      <c r="B58" s="389"/>
      <c r="C58" s="389"/>
      <c r="D58" s="156"/>
      <c r="E58" s="156"/>
      <c r="F58" s="156"/>
      <c r="G58" s="156"/>
    </row>
    <row r="59" spans="1:7" ht="15" customHeight="1" thickBot="1">
      <c r="A59" s="158" t="s">
        <v>273</v>
      </c>
      <c r="B59" s="156"/>
      <c r="C59" s="156"/>
      <c r="D59" s="156"/>
      <c r="E59" s="156"/>
      <c r="F59" s="156"/>
      <c r="G59" s="156"/>
    </row>
    <row r="60" spans="1:7" ht="15" customHeight="1" thickBot="1">
      <c r="A60" s="184" t="s">
        <v>255</v>
      </c>
      <c r="B60" s="185" t="s">
        <v>274</v>
      </c>
      <c r="C60" s="185" t="s">
        <v>275</v>
      </c>
      <c r="D60" s="156"/>
      <c r="E60" s="156"/>
      <c r="F60" s="156"/>
      <c r="G60" s="156"/>
    </row>
    <row r="61" spans="1:7" ht="15" customHeight="1">
      <c r="A61" s="161" t="s">
        <v>276</v>
      </c>
      <c r="B61" s="186">
        <f>'审定表J2-1'!B55</f>
        <v>0</v>
      </c>
      <c r="C61" s="186">
        <f>'审定表J2-1'!C55</f>
        <v>0</v>
      </c>
      <c r="D61" s="156"/>
      <c r="E61" s="156"/>
      <c r="F61" s="156"/>
      <c r="G61" s="156"/>
    </row>
    <row r="62" spans="1:7" ht="15" customHeight="1">
      <c r="A62" s="161" t="s">
        <v>277</v>
      </c>
      <c r="B62" s="186">
        <f>'审定表J2-1'!B56</f>
        <v>0</v>
      </c>
      <c r="C62" s="186">
        <f>'审定表J2-1'!C56</f>
        <v>0</v>
      </c>
      <c r="D62" s="156"/>
      <c r="E62" s="156"/>
      <c r="F62" s="156"/>
      <c r="G62" s="156"/>
    </row>
    <row r="63" spans="1:7" ht="15" customHeight="1">
      <c r="A63" s="161" t="s">
        <v>278</v>
      </c>
      <c r="B63" s="186">
        <f>'审定表J2-1'!B57</f>
        <v>0</v>
      </c>
      <c r="C63" s="186">
        <f>'审定表J2-1'!C57</f>
        <v>0</v>
      </c>
      <c r="D63" s="156"/>
      <c r="E63" s="156"/>
      <c r="F63" s="156"/>
      <c r="G63" s="156"/>
    </row>
    <row r="64" spans="1:7" ht="15" customHeight="1">
      <c r="A64" s="161" t="s">
        <v>279</v>
      </c>
      <c r="B64" s="186">
        <f>'审定表J2-1'!B58</f>
        <v>0</v>
      </c>
      <c r="C64" s="186">
        <f>'审定表J2-1'!C58</f>
        <v>0</v>
      </c>
      <c r="D64" s="156"/>
      <c r="E64" s="156"/>
      <c r="F64" s="156"/>
      <c r="G64" s="156"/>
    </row>
    <row r="65" spans="1:7" ht="15" customHeight="1">
      <c r="A65" s="161" t="s">
        <v>280</v>
      </c>
      <c r="B65" s="186">
        <f>'审定表J2-1'!B59</f>
        <v>0</v>
      </c>
      <c r="C65" s="186">
        <f>'审定表J2-1'!C59</f>
        <v>0</v>
      </c>
      <c r="D65" s="156"/>
      <c r="E65" s="156"/>
      <c r="F65" s="156"/>
      <c r="G65" s="156"/>
    </row>
    <row r="66" spans="1:7" ht="15" customHeight="1" thickBot="1">
      <c r="A66" s="187" t="s">
        <v>6</v>
      </c>
      <c r="B66" s="188">
        <f>'审定表J2-1'!B60</f>
        <v>0</v>
      </c>
      <c r="C66" s="188">
        <f>'审定表J2-1'!C60</f>
        <v>0</v>
      </c>
      <c r="D66" s="156"/>
      <c r="E66" s="156"/>
      <c r="F66" s="156"/>
      <c r="G66" s="156"/>
    </row>
    <row r="67" spans="1:7" ht="15" customHeight="1" thickBot="1">
      <c r="A67" s="158" t="s">
        <v>281</v>
      </c>
      <c r="B67" s="156"/>
      <c r="C67" s="156"/>
      <c r="D67" s="156"/>
      <c r="E67" s="156"/>
      <c r="F67" s="156"/>
      <c r="G67" s="156"/>
    </row>
    <row r="68" spans="1:7" ht="15" customHeight="1" thickBot="1">
      <c r="A68" s="395" t="s">
        <v>282</v>
      </c>
      <c r="B68" s="396" t="s">
        <v>283</v>
      </c>
      <c r="C68" s="402" t="s">
        <v>284</v>
      </c>
      <c r="D68" s="402"/>
      <c r="E68" s="156"/>
      <c r="F68" s="156"/>
      <c r="G68" s="156"/>
    </row>
    <row r="69" spans="1:7" ht="15" customHeight="1" thickBot="1">
      <c r="A69" s="395"/>
      <c r="B69" s="396"/>
      <c r="C69" s="174" t="s">
        <v>285</v>
      </c>
      <c r="D69" s="174" t="s">
        <v>286</v>
      </c>
      <c r="E69" s="156"/>
      <c r="F69" s="156"/>
      <c r="G69" s="156"/>
    </row>
    <row r="70" spans="1:7" ht="15" customHeight="1">
      <c r="A70" s="175" t="s">
        <v>287</v>
      </c>
      <c r="B70" s="189">
        <f>'审定表J2-1'!B63</f>
        <v>0</v>
      </c>
      <c r="C70" s="176">
        <f>'审定表J2-1'!C63</f>
        <v>0</v>
      </c>
      <c r="D70" s="176">
        <f>'审定表J2-1'!D63</f>
        <v>0</v>
      </c>
      <c r="E70" s="156"/>
      <c r="F70" s="156"/>
      <c r="G70" s="156"/>
    </row>
    <row r="71" spans="1:7" ht="15" customHeight="1">
      <c r="A71" s="175" t="s">
        <v>288</v>
      </c>
      <c r="B71" s="189">
        <f>'审定表J2-1'!B64</f>
        <v>0</v>
      </c>
      <c r="C71" s="176">
        <f>'审定表J2-1'!C64</f>
        <v>0</v>
      </c>
      <c r="D71" s="176">
        <f>'审定表J2-1'!D64</f>
        <v>0</v>
      </c>
      <c r="E71" s="156"/>
      <c r="F71" s="156"/>
      <c r="G71" s="156"/>
    </row>
    <row r="72" spans="1:7" ht="15" customHeight="1">
      <c r="A72" s="165" t="s">
        <v>278</v>
      </c>
      <c r="B72" s="189">
        <f>'审定表J2-1'!B65</f>
        <v>0</v>
      </c>
      <c r="C72" s="176">
        <f>'审定表J2-1'!C65</f>
        <v>0</v>
      </c>
      <c r="D72" s="176">
        <f>'审定表J2-1'!D65</f>
        <v>0</v>
      </c>
      <c r="E72" s="156"/>
      <c r="F72" s="156"/>
      <c r="G72" s="156"/>
    </row>
    <row r="73" spans="1:7" ht="15" customHeight="1">
      <c r="A73" s="175" t="s">
        <v>289</v>
      </c>
      <c r="B73" s="189">
        <f>'审定表J2-1'!B66</f>
        <v>0</v>
      </c>
      <c r="C73" s="176">
        <f>'审定表J2-1'!C66</f>
        <v>0</v>
      </c>
      <c r="D73" s="176">
        <f>'审定表J2-1'!D66</f>
        <v>0</v>
      </c>
      <c r="E73" s="156"/>
      <c r="F73" s="156"/>
      <c r="G73" s="156"/>
    </row>
    <row r="74" spans="1:7" ht="15" customHeight="1" thickBot="1">
      <c r="A74" s="190" t="s">
        <v>290</v>
      </c>
      <c r="B74" s="191">
        <f>'审定表J2-1'!B67</f>
        <v>0</v>
      </c>
      <c r="C74" s="192">
        <f>'审定表J2-1'!C67</f>
        <v>0</v>
      </c>
      <c r="D74" s="192">
        <f>'审定表J2-1'!D67</f>
        <v>0</v>
      </c>
      <c r="E74" s="156"/>
      <c r="F74" s="156"/>
      <c r="G74" s="156"/>
    </row>
    <row r="75" spans="1:7" ht="15" customHeight="1">
      <c r="A75" s="193" t="s">
        <v>291</v>
      </c>
      <c r="B75" s="156"/>
      <c r="C75" s="156"/>
      <c r="D75" s="156"/>
      <c r="E75" s="156"/>
      <c r="F75" s="156"/>
      <c r="G75" s="156"/>
    </row>
    <row r="76" spans="1:7" ht="26.25" customHeight="1">
      <c r="A76" s="389" t="s">
        <v>292</v>
      </c>
      <c r="B76" s="389"/>
      <c r="C76" s="389"/>
      <c r="D76" s="389"/>
      <c r="E76" s="156"/>
      <c r="F76" s="156"/>
      <c r="G76" s="156"/>
    </row>
    <row r="77" spans="1:7" ht="15" customHeight="1">
      <c r="A77" s="391" t="s">
        <v>293</v>
      </c>
      <c r="B77" s="391"/>
      <c r="C77" s="391"/>
      <c r="D77" s="391"/>
      <c r="E77" s="156"/>
      <c r="F77" s="156"/>
      <c r="G77" s="156"/>
    </row>
    <row r="78" spans="1:7" ht="15" customHeight="1">
      <c r="A78" s="391" t="s">
        <v>294</v>
      </c>
      <c r="B78" s="391"/>
      <c r="C78" s="391"/>
      <c r="D78" s="391"/>
      <c r="E78" s="156"/>
      <c r="F78" s="156"/>
      <c r="G78" s="156"/>
    </row>
  </sheetData>
  <mergeCells count="23">
    <mergeCell ref="A1:G1"/>
    <mergeCell ref="A2:G2"/>
    <mergeCell ref="A76:D76"/>
    <mergeCell ref="A77:D77"/>
    <mergeCell ref="A78:D78"/>
    <mergeCell ref="A32:G32"/>
    <mergeCell ref="A33:G33"/>
    <mergeCell ref="A34:G34"/>
    <mergeCell ref="A35:G35"/>
    <mergeCell ref="A57:C57"/>
    <mergeCell ref="A44:A45"/>
    <mergeCell ref="B44:C44"/>
    <mergeCell ref="A58:C58"/>
    <mergeCell ref="A68:A69"/>
    <mergeCell ref="B68:B69"/>
    <mergeCell ref="C68:D68"/>
    <mergeCell ref="F13:G13"/>
    <mergeCell ref="B14:C14"/>
    <mergeCell ref="D14:E14"/>
    <mergeCell ref="F14:G14"/>
    <mergeCell ref="A13:A15"/>
    <mergeCell ref="B13:C13"/>
    <mergeCell ref="D13:E13"/>
  </mergeCells>
  <phoneticPr fontId="44" type="noConversion"/>
  <printOptions horizontalCentered="1"/>
  <pageMargins left="0.98425196850393704" right="0.74803149606299213" top="0.98425196850393704" bottom="0.98425196850393704" header="0.51181102362204722" footer="0.51181102362204722"/>
  <pageSetup paperSize="9" scale="75" fitToHeight="100" orientation="portrait" blackAndWhite="1" cellComments="atEnd"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0"/>
  <sheetViews>
    <sheetView view="pageBreakPreview" zoomScaleSheetLayoutView="100" workbookViewId="0">
      <selection sqref="A1:N1"/>
    </sheetView>
  </sheetViews>
  <sheetFormatPr defaultColWidth="9" defaultRowHeight="15" customHeight="1"/>
  <cols>
    <col min="1" max="1" width="4.77734375" style="28" customWidth="1"/>
    <col min="2" max="2" width="34.33203125" style="28" customWidth="1"/>
    <col min="3" max="3" width="11.33203125" style="28" customWidth="1"/>
    <col min="4" max="4" width="12.21875" style="28" customWidth="1"/>
    <col min="5" max="5" width="13.44140625" style="28" customWidth="1"/>
    <col min="6" max="6" width="12.33203125" style="28" customWidth="1"/>
    <col min="7" max="7" width="11.44140625" style="28" customWidth="1"/>
    <col min="8" max="9" width="11.6640625" style="28" customWidth="1"/>
    <col min="10" max="10" width="12.88671875" style="28" customWidth="1"/>
    <col min="11" max="22" width="12.6640625" style="28" customWidth="1"/>
    <col min="23" max="16384" width="9" style="28"/>
  </cols>
  <sheetData>
    <row r="1" spans="1:14" s="24" customFormat="1" ht="15" customHeight="1">
      <c r="A1" s="403" t="s">
        <v>0</v>
      </c>
      <c r="B1" s="403"/>
      <c r="C1" s="403"/>
      <c r="D1" s="403"/>
      <c r="E1" s="403"/>
      <c r="F1" s="403"/>
      <c r="G1" s="403"/>
      <c r="H1" s="403"/>
      <c r="I1" s="403"/>
      <c r="J1" s="403"/>
      <c r="K1" s="403"/>
      <c r="L1" s="403"/>
      <c r="M1" s="403"/>
      <c r="N1" s="403"/>
    </row>
    <row r="2" spans="1:14" s="25" customFormat="1" ht="15" customHeight="1">
      <c r="A2" s="404" t="s">
        <v>499</v>
      </c>
      <c r="B2" s="404"/>
      <c r="C2" s="404"/>
      <c r="D2" s="404"/>
      <c r="E2" s="404"/>
      <c r="F2" s="404"/>
      <c r="G2" s="404"/>
      <c r="H2" s="404"/>
      <c r="I2" s="404"/>
      <c r="J2" s="404"/>
      <c r="K2" s="404"/>
      <c r="L2" s="404"/>
      <c r="M2" s="404"/>
      <c r="N2" s="404"/>
    </row>
    <row r="3" spans="1:14" s="3" customFormat="1" ht="15" customHeight="1">
      <c r="A3" s="3" t="str">
        <f>底稿目录!A2</f>
        <v>被审计单位：</v>
      </c>
      <c r="E3" s="3" t="str">
        <f>底稿目录!A4</f>
        <v>编制人：</v>
      </c>
      <c r="J3" s="107" t="str">
        <f>底稿目录!A5</f>
        <v>编制日期：</v>
      </c>
      <c r="L3" s="106"/>
      <c r="M3" s="291" t="s">
        <v>133</v>
      </c>
      <c r="N3" s="289" t="str">
        <f>底稿目录!D7</f>
        <v>J2-2</v>
      </c>
    </row>
    <row r="4" spans="1:14" s="3" customFormat="1" ht="15" customHeight="1">
      <c r="A4" s="3" t="str">
        <f>底稿目录!A3</f>
        <v>截止日：</v>
      </c>
      <c r="E4" s="3" t="str">
        <f>底稿目录!A6</f>
        <v>复核人：</v>
      </c>
      <c r="J4" s="107" t="str">
        <f>底稿目录!A7</f>
        <v>复核日期：</v>
      </c>
      <c r="L4" s="106"/>
      <c r="M4" s="291" t="s">
        <v>543</v>
      </c>
    </row>
    <row r="5" spans="1:14" s="3" customFormat="1" ht="15" customHeight="1">
      <c r="A5" s="64" t="s">
        <v>104</v>
      </c>
      <c r="B5" s="65"/>
      <c r="D5" s="26"/>
      <c r="E5" s="26"/>
      <c r="K5" s="27"/>
    </row>
    <row r="6" spans="1:14" s="3" customFormat="1" ht="15" customHeight="1">
      <c r="A6" s="270" t="s">
        <v>497</v>
      </c>
      <c r="B6" s="67"/>
      <c r="D6" s="26"/>
      <c r="E6" s="26"/>
      <c r="K6" s="27"/>
    </row>
    <row r="7" spans="1:14" s="3" customFormat="1" ht="15" customHeight="1">
      <c r="A7" s="270" t="s">
        <v>495</v>
      </c>
      <c r="B7" s="67"/>
      <c r="D7" s="26"/>
      <c r="E7" s="26"/>
      <c r="K7" s="27"/>
    </row>
    <row r="8" spans="1:14" s="3" customFormat="1" ht="15" customHeight="1">
      <c r="A8" s="270" t="s">
        <v>496</v>
      </c>
      <c r="B8" s="67"/>
      <c r="D8" s="26"/>
      <c r="E8" s="26"/>
      <c r="K8" s="27"/>
    </row>
    <row r="9" spans="1:14" s="3" customFormat="1" ht="15" customHeight="1">
      <c r="A9" s="270" t="s">
        <v>498</v>
      </c>
      <c r="B9" s="67"/>
      <c r="D9" s="26"/>
      <c r="E9" s="26"/>
      <c r="K9" s="27"/>
    </row>
    <row r="10" spans="1:14" s="3" customFormat="1" ht="15" customHeight="1">
      <c r="A10" s="66" t="s">
        <v>105</v>
      </c>
      <c r="B10" s="42"/>
      <c r="D10" s="26"/>
      <c r="E10" s="26"/>
      <c r="K10" s="27"/>
    </row>
    <row r="11" spans="1:14" ht="15" customHeight="1">
      <c r="A11" s="413" t="s">
        <v>59</v>
      </c>
      <c r="B11" s="413" t="s">
        <v>60</v>
      </c>
      <c r="C11" s="410" t="s">
        <v>83</v>
      </c>
      <c r="D11" s="411"/>
      <c r="E11" s="411"/>
      <c r="F11" s="412"/>
      <c r="G11" s="57" t="s">
        <v>84</v>
      </c>
      <c r="H11" s="415" t="s">
        <v>134</v>
      </c>
      <c r="I11" s="415"/>
      <c r="J11" s="410" t="s">
        <v>135</v>
      </c>
      <c r="K11" s="411"/>
      <c r="L11" s="411"/>
      <c r="M11" s="412"/>
      <c r="N11" s="413" t="s">
        <v>65</v>
      </c>
    </row>
    <row r="12" spans="1:14" ht="15" customHeight="1">
      <c r="A12" s="414"/>
      <c r="B12" s="414"/>
      <c r="C12" s="57" t="s">
        <v>61</v>
      </c>
      <c r="D12" s="59" t="s">
        <v>62</v>
      </c>
      <c r="E12" s="59" t="s">
        <v>63</v>
      </c>
      <c r="F12" s="57" t="s">
        <v>64</v>
      </c>
      <c r="G12" s="57" t="s">
        <v>136</v>
      </c>
      <c r="H12" s="57" t="s">
        <v>62</v>
      </c>
      <c r="I12" s="57" t="s">
        <v>63</v>
      </c>
      <c r="J12" s="57" t="s">
        <v>61</v>
      </c>
      <c r="K12" s="59" t="s">
        <v>62</v>
      </c>
      <c r="L12" s="59" t="s">
        <v>63</v>
      </c>
      <c r="M12" s="57" t="s">
        <v>64</v>
      </c>
      <c r="N12" s="414"/>
    </row>
    <row r="13" spans="1:14" ht="15" customHeight="1">
      <c r="A13" s="112" t="s">
        <v>137</v>
      </c>
      <c r="B13" s="271" t="s">
        <v>56</v>
      </c>
      <c r="C13" s="273">
        <f>C14+C15</f>
        <v>0</v>
      </c>
      <c r="D13" s="273">
        <f t="shared" ref="D13:M13" si="0">D14+D15</f>
        <v>0</v>
      </c>
      <c r="E13" s="273">
        <f t="shared" si="0"/>
        <v>0</v>
      </c>
      <c r="F13" s="273">
        <f t="shared" si="0"/>
        <v>0</v>
      </c>
      <c r="G13" s="273">
        <f t="shared" si="0"/>
        <v>0</v>
      </c>
      <c r="H13" s="273">
        <f t="shared" si="0"/>
        <v>0</v>
      </c>
      <c r="I13" s="273">
        <f t="shared" si="0"/>
        <v>0</v>
      </c>
      <c r="J13" s="273">
        <f>J14+J15</f>
        <v>0</v>
      </c>
      <c r="K13" s="273">
        <f t="shared" si="0"/>
        <v>0</v>
      </c>
      <c r="L13" s="273">
        <f t="shared" si="0"/>
        <v>0</v>
      </c>
      <c r="M13" s="273">
        <f t="shared" si="0"/>
        <v>0</v>
      </c>
      <c r="N13" s="58"/>
    </row>
    <row r="14" spans="1:14" ht="15" customHeight="1">
      <c r="A14" s="112"/>
      <c r="B14" s="113" t="s">
        <v>502</v>
      </c>
      <c r="C14" s="35"/>
      <c r="D14" s="35"/>
      <c r="E14" s="35"/>
      <c r="F14" s="273">
        <f>C14+D14-E14</f>
        <v>0</v>
      </c>
      <c r="G14" s="35"/>
      <c r="H14" s="35"/>
      <c r="I14" s="35"/>
      <c r="J14" s="273">
        <f>C14+G14</f>
        <v>0</v>
      </c>
      <c r="K14" s="273">
        <f>D14+H14</f>
        <v>0</v>
      </c>
      <c r="L14" s="273">
        <f>E14+I14</f>
        <v>0</v>
      </c>
      <c r="M14" s="273">
        <f>J14+K14-L14</f>
        <v>0</v>
      </c>
      <c r="N14" s="58"/>
    </row>
    <row r="15" spans="1:14" ht="15" customHeight="1">
      <c r="A15" s="112"/>
      <c r="B15" s="114" t="s">
        <v>501</v>
      </c>
      <c r="C15" s="35"/>
      <c r="D15" s="35"/>
      <c r="E15" s="35"/>
      <c r="F15" s="273">
        <f>C15+D15-E15</f>
        <v>0</v>
      </c>
      <c r="G15" s="35"/>
      <c r="H15" s="35"/>
      <c r="I15" s="35"/>
      <c r="J15" s="273">
        <f t="shared" ref="J15:L17" si="1">C15+G15</f>
        <v>0</v>
      </c>
      <c r="K15" s="273">
        <f t="shared" si="1"/>
        <v>0</v>
      </c>
      <c r="L15" s="273">
        <f t="shared" si="1"/>
        <v>0</v>
      </c>
      <c r="M15" s="273">
        <f>J15+K15-L15</f>
        <v>0</v>
      </c>
      <c r="N15" s="58"/>
    </row>
    <row r="16" spans="1:14" ht="15" customHeight="1">
      <c r="A16" s="112" t="s">
        <v>138</v>
      </c>
      <c r="B16" s="271" t="s">
        <v>500</v>
      </c>
      <c r="C16" s="35"/>
      <c r="D16" s="35"/>
      <c r="E16" s="35"/>
      <c r="F16" s="273">
        <f>C16+D16-E16</f>
        <v>0</v>
      </c>
      <c r="G16" s="35"/>
      <c r="H16" s="35"/>
      <c r="I16" s="35"/>
      <c r="J16" s="273">
        <f t="shared" si="1"/>
        <v>0</v>
      </c>
      <c r="K16" s="273">
        <f t="shared" si="1"/>
        <v>0</v>
      </c>
      <c r="L16" s="273">
        <f t="shared" si="1"/>
        <v>0</v>
      </c>
      <c r="M16" s="273">
        <f>J16+K16-L16</f>
        <v>0</v>
      </c>
      <c r="N16" s="58"/>
    </row>
    <row r="17" spans="1:14" ht="15" customHeight="1">
      <c r="A17" s="112"/>
      <c r="B17" s="272" t="s">
        <v>66</v>
      </c>
      <c r="C17" s="35"/>
      <c r="D17" s="35"/>
      <c r="E17" s="35"/>
      <c r="F17" s="273">
        <f>C17+D17-E17</f>
        <v>0</v>
      </c>
      <c r="G17" s="35"/>
      <c r="H17" s="29"/>
      <c r="I17" s="58"/>
      <c r="J17" s="273">
        <f t="shared" si="1"/>
        <v>0</v>
      </c>
      <c r="K17" s="273">
        <f t="shared" si="1"/>
        <v>0</v>
      </c>
      <c r="L17" s="273">
        <f t="shared" si="1"/>
        <v>0</v>
      </c>
      <c r="M17" s="273">
        <f>J17+K17-L17</f>
        <v>0</v>
      </c>
      <c r="N17" s="58"/>
    </row>
    <row r="18" spans="1:14" ht="15" customHeight="1">
      <c r="A18" s="63" t="s">
        <v>2</v>
      </c>
      <c r="B18" s="63"/>
      <c r="C18" s="273">
        <f>C13+C16-C17</f>
        <v>0</v>
      </c>
      <c r="D18" s="273">
        <f t="shared" ref="D18:L18" si="2">D13+D16-D17</f>
        <v>0</v>
      </c>
      <c r="E18" s="273">
        <f t="shared" si="2"/>
        <v>0</v>
      </c>
      <c r="F18" s="273">
        <f t="shared" si="2"/>
        <v>0</v>
      </c>
      <c r="G18" s="273">
        <f t="shared" si="2"/>
        <v>0</v>
      </c>
      <c r="H18" s="273">
        <f t="shared" si="2"/>
        <v>0</v>
      </c>
      <c r="I18" s="273">
        <f t="shared" si="2"/>
        <v>0</v>
      </c>
      <c r="J18" s="273">
        <f t="shared" si="2"/>
        <v>0</v>
      </c>
      <c r="K18" s="273">
        <f t="shared" si="2"/>
        <v>0</v>
      </c>
      <c r="L18" s="273">
        <f t="shared" si="2"/>
        <v>0</v>
      </c>
      <c r="M18" s="273">
        <f>M13+M16-M17</f>
        <v>0</v>
      </c>
      <c r="N18" s="58"/>
    </row>
    <row r="19" spans="1:14" ht="15" customHeight="1">
      <c r="A19" s="16" t="s">
        <v>139</v>
      </c>
      <c r="B19" s="31"/>
      <c r="C19" s="32"/>
      <c r="D19" s="32"/>
      <c r="E19" s="32"/>
      <c r="F19" s="32"/>
      <c r="G19" s="32"/>
      <c r="H19" s="32"/>
      <c r="I19" s="33"/>
    </row>
    <row r="20" spans="1:14" ht="15" customHeight="1">
      <c r="A20" s="413" t="s">
        <v>59</v>
      </c>
      <c r="B20" s="413" t="s">
        <v>60</v>
      </c>
      <c r="C20" s="410" t="s">
        <v>83</v>
      </c>
      <c r="D20" s="411"/>
      <c r="E20" s="411"/>
      <c r="F20" s="412"/>
      <c r="G20" s="57" t="s">
        <v>84</v>
      </c>
      <c r="H20" s="415" t="s">
        <v>134</v>
      </c>
      <c r="I20" s="415"/>
      <c r="J20" s="410" t="s">
        <v>135</v>
      </c>
      <c r="K20" s="411"/>
      <c r="L20" s="411"/>
      <c r="M20" s="412"/>
      <c r="N20" s="413" t="s">
        <v>65</v>
      </c>
    </row>
    <row r="21" spans="1:14" ht="15" customHeight="1">
      <c r="A21" s="414"/>
      <c r="B21" s="414"/>
      <c r="C21" s="57" t="s">
        <v>61</v>
      </c>
      <c r="D21" s="59" t="s">
        <v>62</v>
      </c>
      <c r="E21" s="59" t="s">
        <v>63</v>
      </c>
      <c r="F21" s="57" t="s">
        <v>64</v>
      </c>
      <c r="G21" s="57" t="s">
        <v>136</v>
      </c>
      <c r="H21" s="57" t="s">
        <v>62</v>
      </c>
      <c r="I21" s="57" t="s">
        <v>63</v>
      </c>
      <c r="J21" s="57" t="s">
        <v>61</v>
      </c>
      <c r="K21" s="59" t="s">
        <v>62</v>
      </c>
      <c r="L21" s="59" t="s">
        <v>63</v>
      </c>
      <c r="M21" s="57" t="s">
        <v>64</v>
      </c>
      <c r="N21" s="414"/>
    </row>
    <row r="22" spans="1:14" ht="15" customHeight="1">
      <c r="A22" s="112">
        <v>1</v>
      </c>
      <c r="B22" s="275" t="s">
        <v>67</v>
      </c>
      <c r="C22" s="35"/>
      <c r="D22" s="35"/>
      <c r="E22" s="35"/>
      <c r="F22" s="273">
        <f>C22+D22-E22</f>
        <v>0</v>
      </c>
      <c r="G22" s="35"/>
      <c r="H22" s="35"/>
      <c r="I22" s="35"/>
      <c r="J22" s="273">
        <f t="shared" ref="J22:L27" si="3">C22+G22</f>
        <v>0</v>
      </c>
      <c r="K22" s="273">
        <f t="shared" si="3"/>
        <v>0</v>
      </c>
      <c r="L22" s="273">
        <f t="shared" si="3"/>
        <v>0</v>
      </c>
      <c r="M22" s="273">
        <f t="shared" ref="M22:M27" si="4">J22+K22-L22</f>
        <v>0</v>
      </c>
      <c r="N22" s="58"/>
    </row>
    <row r="23" spans="1:14" ht="15" customHeight="1">
      <c r="A23" s="112">
        <v>2</v>
      </c>
      <c r="B23" s="275" t="s">
        <v>68</v>
      </c>
      <c r="C23" s="35"/>
      <c r="D23" s="35"/>
      <c r="E23" s="35"/>
      <c r="F23" s="273">
        <f>C23+D23-E23</f>
        <v>0</v>
      </c>
      <c r="G23" s="35"/>
      <c r="H23" s="35"/>
      <c r="I23" s="35"/>
      <c r="J23" s="273">
        <f t="shared" si="3"/>
        <v>0</v>
      </c>
      <c r="K23" s="273">
        <f t="shared" si="3"/>
        <v>0</v>
      </c>
      <c r="L23" s="273">
        <f t="shared" si="3"/>
        <v>0</v>
      </c>
      <c r="M23" s="273">
        <f t="shared" si="4"/>
        <v>0</v>
      </c>
      <c r="N23" s="58"/>
    </row>
    <row r="24" spans="1:14" ht="15" customHeight="1">
      <c r="A24" s="112">
        <v>3</v>
      </c>
      <c r="B24" s="275" t="s">
        <v>69</v>
      </c>
      <c r="C24" s="35"/>
      <c r="D24" s="35"/>
      <c r="E24" s="35"/>
      <c r="F24" s="273">
        <f>C24+D24-E24</f>
        <v>0</v>
      </c>
      <c r="G24" s="35"/>
      <c r="H24" s="35"/>
      <c r="I24" s="35"/>
      <c r="J24" s="273">
        <f t="shared" si="3"/>
        <v>0</v>
      </c>
      <c r="K24" s="273">
        <f t="shared" si="3"/>
        <v>0</v>
      </c>
      <c r="L24" s="273">
        <f t="shared" si="3"/>
        <v>0</v>
      </c>
      <c r="M24" s="273">
        <f t="shared" si="4"/>
        <v>0</v>
      </c>
      <c r="N24" s="58"/>
    </row>
    <row r="25" spans="1:14" ht="15" customHeight="1">
      <c r="A25" s="112">
        <v>4</v>
      </c>
      <c r="B25" s="275" t="s">
        <v>70</v>
      </c>
      <c r="C25" s="35"/>
      <c r="D25" s="35"/>
      <c r="E25" s="35"/>
      <c r="F25" s="273">
        <f>C25+D25-E25</f>
        <v>0</v>
      </c>
      <c r="G25" s="35"/>
      <c r="H25" s="29"/>
      <c r="I25" s="58"/>
      <c r="J25" s="273">
        <f t="shared" si="3"/>
        <v>0</v>
      </c>
      <c r="K25" s="273">
        <f t="shared" si="3"/>
        <v>0</v>
      </c>
      <c r="L25" s="273">
        <f t="shared" si="3"/>
        <v>0</v>
      </c>
      <c r="M25" s="273">
        <f t="shared" si="4"/>
        <v>0</v>
      </c>
      <c r="N25" s="58"/>
    </row>
    <row r="26" spans="1:14" ht="15" customHeight="1">
      <c r="A26" s="112"/>
      <c r="B26" s="98"/>
      <c r="C26" s="30"/>
      <c r="D26" s="30"/>
      <c r="E26" s="30"/>
      <c r="F26" s="273">
        <f>C26+D26-E26</f>
        <v>0</v>
      </c>
      <c r="G26" s="35"/>
      <c r="H26" s="29"/>
      <c r="I26" s="58"/>
      <c r="J26" s="273">
        <f t="shared" si="3"/>
        <v>0</v>
      </c>
      <c r="K26" s="273">
        <f t="shared" si="3"/>
        <v>0</v>
      </c>
      <c r="L26" s="273">
        <f t="shared" si="3"/>
        <v>0</v>
      </c>
      <c r="M26" s="273">
        <f t="shared" si="4"/>
        <v>0</v>
      </c>
      <c r="N26" s="58"/>
    </row>
    <row r="27" spans="1:14" ht="15" customHeight="1">
      <c r="A27" s="63" t="s">
        <v>2</v>
      </c>
      <c r="B27" s="63"/>
      <c r="C27" s="274">
        <f>SUM(C22:C26)</f>
        <v>0</v>
      </c>
      <c r="D27" s="274">
        <f t="shared" ref="D27:I27" si="5">SUM(D22:D26)</f>
        <v>0</v>
      </c>
      <c r="E27" s="274">
        <f t="shared" si="5"/>
        <v>0</v>
      </c>
      <c r="F27" s="274">
        <f t="shared" si="5"/>
        <v>0</v>
      </c>
      <c r="G27" s="274">
        <f t="shared" si="5"/>
        <v>0</v>
      </c>
      <c r="H27" s="274">
        <f t="shared" si="5"/>
        <v>0</v>
      </c>
      <c r="I27" s="274">
        <f t="shared" si="5"/>
        <v>0</v>
      </c>
      <c r="J27" s="273">
        <f t="shared" si="3"/>
        <v>0</v>
      </c>
      <c r="K27" s="273">
        <f t="shared" si="3"/>
        <v>0</v>
      </c>
      <c r="L27" s="273">
        <f t="shared" si="3"/>
        <v>0</v>
      </c>
      <c r="M27" s="273">
        <f t="shared" si="4"/>
        <v>0</v>
      </c>
      <c r="N27" s="58"/>
    </row>
    <row r="28" spans="1:14" ht="15" customHeight="1">
      <c r="A28" s="34"/>
      <c r="B28" s="34"/>
      <c r="C28" s="32"/>
      <c r="D28" s="32"/>
      <c r="E28" s="32"/>
      <c r="F28" s="32"/>
      <c r="G28" s="32"/>
      <c r="H28" s="32"/>
      <c r="I28" s="33"/>
    </row>
    <row r="29" spans="1:14" ht="15" customHeight="1">
      <c r="A29" s="16" t="s">
        <v>140</v>
      </c>
      <c r="B29" s="34"/>
      <c r="C29" s="32"/>
      <c r="D29" s="32"/>
      <c r="E29" s="32"/>
      <c r="F29" s="32"/>
      <c r="G29" s="32"/>
      <c r="H29" s="32"/>
      <c r="I29" s="33"/>
    </row>
    <row r="30" spans="1:14" ht="15" customHeight="1">
      <c r="A30" s="416" t="s">
        <v>59</v>
      </c>
      <c r="B30" s="416" t="s">
        <v>60</v>
      </c>
      <c r="C30" s="407" t="s">
        <v>141</v>
      </c>
      <c r="D30" s="408"/>
      <c r="E30" s="408"/>
      <c r="F30" s="409"/>
      <c r="G30" s="364" t="s">
        <v>13</v>
      </c>
      <c r="H30" s="365"/>
      <c r="I30" s="364" t="s">
        <v>142</v>
      </c>
      <c r="J30" s="365"/>
      <c r="K30" s="405" t="s">
        <v>65</v>
      </c>
    </row>
    <row r="31" spans="1:14" ht="15" customHeight="1">
      <c r="A31" s="416"/>
      <c r="B31" s="416"/>
      <c r="C31" s="69" t="s">
        <v>143</v>
      </c>
      <c r="D31" s="69" t="s">
        <v>134</v>
      </c>
      <c r="E31" s="69" t="s">
        <v>144</v>
      </c>
      <c r="F31" s="68" t="s">
        <v>145</v>
      </c>
      <c r="G31" s="70" t="s">
        <v>14</v>
      </c>
      <c r="H31" s="70" t="s">
        <v>15</v>
      </c>
      <c r="I31" s="70" t="s">
        <v>14</v>
      </c>
      <c r="J31" s="70" t="s">
        <v>15</v>
      </c>
      <c r="K31" s="406"/>
    </row>
    <row r="32" spans="1:14" ht="15" customHeight="1">
      <c r="A32" s="112" t="s">
        <v>85</v>
      </c>
      <c r="B32" s="275" t="s">
        <v>503</v>
      </c>
      <c r="C32" s="30"/>
      <c r="D32" s="30"/>
      <c r="E32" s="273">
        <f>C32+D32</f>
        <v>0</v>
      </c>
      <c r="F32" s="30"/>
      <c r="G32" s="276">
        <f>J61</f>
        <v>0</v>
      </c>
      <c r="H32" s="19"/>
      <c r="I32" s="278">
        <f>C32-G32</f>
        <v>0</v>
      </c>
      <c r="J32" s="22"/>
      <c r="K32" s="29"/>
    </row>
    <row r="33" spans="1:11" ht="15" customHeight="1">
      <c r="A33" s="112" t="s">
        <v>86</v>
      </c>
      <c r="B33" s="275" t="s">
        <v>511</v>
      </c>
      <c r="C33" s="273">
        <f>C34+C35+C36+C37</f>
        <v>0</v>
      </c>
      <c r="D33" s="273">
        <f t="shared" ref="D33:I33" si="6">D34+D35+D36+D37</f>
        <v>0</v>
      </c>
      <c r="E33" s="273">
        <f t="shared" si="6"/>
        <v>0</v>
      </c>
      <c r="F33" s="273">
        <f t="shared" si="6"/>
        <v>0</v>
      </c>
      <c r="G33" s="273">
        <f>G37</f>
        <v>0</v>
      </c>
      <c r="H33" s="273">
        <f>H37</f>
        <v>0</v>
      </c>
      <c r="I33" s="273">
        <f t="shared" si="6"/>
        <v>0</v>
      </c>
      <c r="J33" s="273">
        <f>J34+J35+J36+J37</f>
        <v>0</v>
      </c>
      <c r="K33" s="29"/>
    </row>
    <row r="34" spans="1:11" ht="15" customHeight="1">
      <c r="A34" s="112">
        <v>1</v>
      </c>
      <c r="B34" s="275" t="s">
        <v>512</v>
      </c>
      <c r="C34" s="30"/>
      <c r="D34" s="30"/>
      <c r="E34" s="273">
        <f>C34+D34</f>
        <v>0</v>
      </c>
      <c r="F34" s="30"/>
      <c r="G34" s="277" t="s">
        <v>39</v>
      </c>
      <c r="H34" s="277" t="s">
        <v>39</v>
      </c>
      <c r="I34" s="278">
        <f>C34</f>
        <v>0</v>
      </c>
      <c r="J34" s="22"/>
      <c r="K34" s="29"/>
    </row>
    <row r="35" spans="1:11" ht="15" customHeight="1">
      <c r="A35" s="112">
        <v>2</v>
      </c>
      <c r="B35" s="275" t="s">
        <v>504</v>
      </c>
      <c r="C35" s="30"/>
      <c r="D35" s="30"/>
      <c r="E35" s="273">
        <f>C35+D35</f>
        <v>0</v>
      </c>
      <c r="F35" s="30"/>
      <c r="G35" s="277" t="s">
        <v>39</v>
      </c>
      <c r="H35" s="277" t="s">
        <v>39</v>
      </c>
      <c r="I35" s="278">
        <f>C35</f>
        <v>0</v>
      </c>
      <c r="J35" s="22"/>
      <c r="K35" s="29"/>
    </row>
    <row r="36" spans="1:11" ht="15" customHeight="1">
      <c r="A36" s="112">
        <v>3</v>
      </c>
      <c r="B36" s="275" t="s">
        <v>505</v>
      </c>
      <c r="C36" s="30"/>
      <c r="D36" s="30"/>
      <c r="E36" s="273">
        <f>C36+D36</f>
        <v>0</v>
      </c>
      <c r="F36" s="30"/>
      <c r="G36" s="277" t="s">
        <v>39</v>
      </c>
      <c r="H36" s="277" t="s">
        <v>39</v>
      </c>
      <c r="I36" s="278">
        <f>C36</f>
        <v>0</v>
      </c>
      <c r="J36" s="22"/>
      <c r="K36" s="29"/>
    </row>
    <row r="37" spans="1:11" ht="15" customHeight="1">
      <c r="A37" s="112">
        <v>4</v>
      </c>
      <c r="B37" s="275" t="s">
        <v>513</v>
      </c>
      <c r="C37" s="30"/>
      <c r="D37" s="30"/>
      <c r="E37" s="273">
        <f>C37+D37</f>
        <v>0</v>
      </c>
      <c r="F37" s="30"/>
      <c r="G37" s="97"/>
      <c r="H37" s="97"/>
      <c r="I37" s="278">
        <f>C37-G37</f>
        <v>0</v>
      </c>
      <c r="J37" s="22"/>
      <c r="K37" s="29"/>
    </row>
    <row r="38" spans="1:11" ht="15" customHeight="1">
      <c r="A38" s="112" t="s">
        <v>87</v>
      </c>
      <c r="B38" s="271" t="s">
        <v>510</v>
      </c>
      <c r="C38" s="273">
        <f>C39</f>
        <v>0</v>
      </c>
      <c r="D38" s="273">
        <f t="shared" ref="D38:J38" si="7">D39</f>
        <v>0</v>
      </c>
      <c r="E38" s="273">
        <f t="shared" si="7"/>
        <v>0</v>
      </c>
      <c r="F38" s="273">
        <f t="shared" si="7"/>
        <v>0</v>
      </c>
      <c r="G38" s="273">
        <f t="shared" si="7"/>
        <v>0</v>
      </c>
      <c r="H38" s="273">
        <f t="shared" si="7"/>
        <v>0</v>
      </c>
      <c r="I38" s="273">
        <f t="shared" si="7"/>
        <v>0</v>
      </c>
      <c r="J38" s="273">
        <f t="shared" si="7"/>
        <v>0</v>
      </c>
      <c r="K38" s="29"/>
    </row>
    <row r="39" spans="1:11" ht="15" customHeight="1">
      <c r="A39" s="112"/>
      <c r="B39" s="271" t="s">
        <v>58</v>
      </c>
      <c r="C39" s="273">
        <f>SUM(C40:C42)</f>
        <v>0</v>
      </c>
      <c r="D39" s="273">
        <f t="shared" ref="D39:J39" si="8">SUM(D40:D42)</f>
        <v>0</v>
      </c>
      <c r="E39" s="273">
        <f t="shared" si="8"/>
        <v>0</v>
      </c>
      <c r="F39" s="273">
        <f t="shared" si="8"/>
        <v>0</v>
      </c>
      <c r="G39" s="273">
        <f t="shared" si="8"/>
        <v>0</v>
      </c>
      <c r="H39" s="273">
        <f t="shared" si="8"/>
        <v>0</v>
      </c>
      <c r="I39" s="273">
        <f t="shared" si="8"/>
        <v>0</v>
      </c>
      <c r="J39" s="273">
        <f t="shared" si="8"/>
        <v>0</v>
      </c>
      <c r="K39" s="29"/>
    </row>
    <row r="40" spans="1:11" ht="15" customHeight="1">
      <c r="A40" s="112">
        <v>1</v>
      </c>
      <c r="B40" s="271" t="s">
        <v>506</v>
      </c>
      <c r="C40" s="30"/>
      <c r="D40" s="30"/>
      <c r="E40" s="273">
        <f t="shared" ref="E40:E46" si="9">C40+D40</f>
        <v>0</v>
      </c>
      <c r="F40" s="30"/>
      <c r="G40" s="72" t="s">
        <v>39</v>
      </c>
      <c r="H40" s="72" t="s">
        <v>39</v>
      </c>
      <c r="I40" s="278">
        <f>C40</f>
        <v>0</v>
      </c>
      <c r="J40" s="22"/>
      <c r="K40" s="29"/>
    </row>
    <row r="41" spans="1:11" ht="15" customHeight="1">
      <c r="A41" s="112">
        <v>2</v>
      </c>
      <c r="B41" s="271" t="s">
        <v>514</v>
      </c>
      <c r="C41" s="30"/>
      <c r="D41" s="30"/>
      <c r="E41" s="273">
        <f t="shared" si="9"/>
        <v>0</v>
      </c>
      <c r="F41" s="30"/>
      <c r="G41" s="97"/>
      <c r="H41" s="97"/>
      <c r="I41" s="278">
        <f>C41-G41</f>
        <v>0</v>
      </c>
      <c r="J41" s="22"/>
      <c r="K41" s="29"/>
    </row>
    <row r="42" spans="1:11" ht="15" customHeight="1">
      <c r="A42" s="115">
        <v>3</v>
      </c>
      <c r="B42" s="271" t="s">
        <v>509</v>
      </c>
      <c r="C42" s="35"/>
      <c r="D42" s="35"/>
      <c r="E42" s="273">
        <f t="shared" si="9"/>
        <v>0</v>
      </c>
      <c r="F42" s="35"/>
      <c r="G42" s="97"/>
      <c r="H42" s="97"/>
      <c r="I42" s="278">
        <f>C42-G42</f>
        <v>0</v>
      </c>
      <c r="J42" s="22"/>
      <c r="K42" s="29"/>
    </row>
    <row r="43" spans="1:11" ht="15" customHeight="1">
      <c r="A43" s="115" t="s">
        <v>88</v>
      </c>
      <c r="B43" s="275" t="s">
        <v>507</v>
      </c>
      <c r="C43" s="273">
        <f>SUM(C44:C46)</f>
        <v>0</v>
      </c>
      <c r="D43" s="273">
        <f t="shared" ref="D43:J43" si="10">SUM(D44:D46)</f>
        <v>0</v>
      </c>
      <c r="E43" s="273">
        <f t="shared" si="9"/>
        <v>0</v>
      </c>
      <c r="F43" s="273">
        <f t="shared" si="10"/>
        <v>0</v>
      </c>
      <c r="G43" s="273">
        <f t="shared" si="10"/>
        <v>0</v>
      </c>
      <c r="H43" s="273">
        <f t="shared" si="10"/>
        <v>0</v>
      </c>
      <c r="I43" s="273">
        <f>SUM(I44:I46)</f>
        <v>0</v>
      </c>
      <c r="J43" s="273">
        <f t="shared" si="10"/>
        <v>0</v>
      </c>
      <c r="K43" s="29"/>
    </row>
    <row r="44" spans="1:11" ht="15" customHeight="1">
      <c r="A44" s="115">
        <v>1</v>
      </c>
      <c r="B44" s="275" t="s">
        <v>515</v>
      </c>
      <c r="C44" s="35"/>
      <c r="D44" s="35"/>
      <c r="E44" s="273">
        <f t="shared" si="9"/>
        <v>0</v>
      </c>
      <c r="F44" s="35"/>
      <c r="G44" s="22"/>
      <c r="H44" s="22"/>
      <c r="I44" s="278">
        <f>C44-G44</f>
        <v>0</v>
      </c>
      <c r="J44" s="22"/>
      <c r="K44" s="29"/>
    </row>
    <row r="45" spans="1:11" ht="15" customHeight="1">
      <c r="A45" s="115">
        <v>2</v>
      </c>
      <c r="B45" s="275" t="s">
        <v>508</v>
      </c>
      <c r="C45" s="35"/>
      <c r="D45" s="35"/>
      <c r="E45" s="273">
        <f t="shared" si="9"/>
        <v>0</v>
      </c>
      <c r="F45" s="35"/>
      <c r="G45" s="22"/>
      <c r="H45" s="22"/>
      <c r="I45" s="278">
        <f>C45-G45</f>
        <v>0</v>
      </c>
      <c r="J45" s="22"/>
      <c r="K45" s="29"/>
    </row>
    <row r="46" spans="1:11" ht="15" customHeight="1">
      <c r="A46" s="115"/>
      <c r="B46" s="98" t="s">
        <v>6</v>
      </c>
      <c r="C46" s="35"/>
      <c r="D46" s="35"/>
      <c r="E46" s="273">
        <f t="shared" si="9"/>
        <v>0</v>
      </c>
      <c r="F46" s="35"/>
      <c r="G46" s="22"/>
      <c r="H46" s="22"/>
      <c r="I46" s="278">
        <f>C46-G46</f>
        <v>0</v>
      </c>
      <c r="J46" s="22"/>
      <c r="K46" s="29"/>
    </row>
    <row r="47" spans="1:11" ht="15" customHeight="1">
      <c r="A47" s="73" t="s">
        <v>516</v>
      </c>
      <c r="B47" s="279" t="s">
        <v>517</v>
      </c>
      <c r="C47" s="274">
        <f t="shared" ref="C47:J47" si="11">C32+C33+C38-C43</f>
        <v>0</v>
      </c>
      <c r="D47" s="274">
        <f t="shared" si="11"/>
        <v>0</v>
      </c>
      <c r="E47" s="274">
        <f t="shared" si="11"/>
        <v>0</v>
      </c>
      <c r="F47" s="274">
        <f t="shared" si="11"/>
        <v>0</v>
      </c>
      <c r="G47" s="274">
        <f t="shared" si="11"/>
        <v>0</v>
      </c>
      <c r="H47" s="274">
        <f t="shared" si="11"/>
        <v>0</v>
      </c>
      <c r="I47" s="274">
        <f t="shared" si="11"/>
        <v>0</v>
      </c>
      <c r="J47" s="274">
        <f t="shared" si="11"/>
        <v>0</v>
      </c>
      <c r="K47" s="29"/>
    </row>
    <row r="48" spans="1:11" ht="15" customHeight="1">
      <c r="A48" s="61" t="s">
        <v>146</v>
      </c>
      <c r="B48" s="60"/>
      <c r="C48" s="36"/>
      <c r="D48" s="36"/>
      <c r="E48" s="36"/>
      <c r="F48" s="36"/>
      <c r="G48" s="36"/>
      <c r="H48" s="36"/>
      <c r="I48" s="33"/>
    </row>
    <row r="49" spans="1:14" ht="15" customHeight="1">
      <c r="A49" s="413" t="s">
        <v>59</v>
      </c>
      <c r="B49" s="413" t="s">
        <v>60</v>
      </c>
      <c r="C49" s="410" t="s">
        <v>83</v>
      </c>
      <c r="D49" s="411"/>
      <c r="E49" s="411"/>
      <c r="F49" s="412"/>
      <c r="G49" s="57" t="s">
        <v>84</v>
      </c>
      <c r="H49" s="415" t="s">
        <v>134</v>
      </c>
      <c r="I49" s="415"/>
      <c r="J49" s="410" t="s">
        <v>135</v>
      </c>
      <c r="K49" s="411"/>
      <c r="L49" s="411"/>
      <c r="M49" s="412"/>
      <c r="N49" s="413" t="s">
        <v>65</v>
      </c>
    </row>
    <row r="50" spans="1:14" ht="15" customHeight="1">
      <c r="A50" s="414"/>
      <c r="B50" s="414"/>
      <c r="C50" s="57" t="s">
        <v>61</v>
      </c>
      <c r="D50" s="59" t="s">
        <v>62</v>
      </c>
      <c r="E50" s="59" t="s">
        <v>63</v>
      </c>
      <c r="F50" s="57" t="s">
        <v>64</v>
      </c>
      <c r="G50" s="57" t="s">
        <v>136</v>
      </c>
      <c r="H50" s="57" t="s">
        <v>62</v>
      </c>
      <c r="I50" s="57" t="s">
        <v>63</v>
      </c>
      <c r="J50" s="57" t="s">
        <v>61</v>
      </c>
      <c r="K50" s="59" t="s">
        <v>62</v>
      </c>
      <c r="L50" s="59" t="s">
        <v>63</v>
      </c>
      <c r="M50" s="57" t="s">
        <v>64</v>
      </c>
      <c r="N50" s="414"/>
    </row>
    <row r="51" spans="1:14" ht="15" customHeight="1">
      <c r="A51" s="115" t="s">
        <v>147</v>
      </c>
      <c r="B51" s="104" t="s">
        <v>93</v>
      </c>
      <c r="C51" s="35"/>
      <c r="D51" s="35"/>
      <c r="E51" s="35"/>
      <c r="F51" s="273">
        <f>C51+D51-E51</f>
        <v>0</v>
      </c>
      <c r="G51" s="35"/>
      <c r="H51" s="35"/>
      <c r="I51" s="35"/>
      <c r="J51" s="273">
        <f>C51+G51</f>
        <v>0</v>
      </c>
      <c r="K51" s="273">
        <f>D51+H51</f>
        <v>0</v>
      </c>
      <c r="L51" s="273">
        <f>E51+I51</f>
        <v>0</v>
      </c>
      <c r="M51" s="273">
        <f>J51+K51-L51</f>
        <v>0</v>
      </c>
      <c r="N51" s="58"/>
    </row>
    <row r="52" spans="1:14" ht="15" customHeight="1">
      <c r="A52" s="115" t="s">
        <v>148</v>
      </c>
      <c r="B52" s="104" t="s">
        <v>94</v>
      </c>
      <c r="C52" s="273">
        <f t="shared" ref="C52:M52" si="12">SUM(C53:C55)</f>
        <v>0</v>
      </c>
      <c r="D52" s="273">
        <f t="shared" si="12"/>
        <v>0</v>
      </c>
      <c r="E52" s="273">
        <f t="shared" si="12"/>
        <v>0</v>
      </c>
      <c r="F52" s="273">
        <f t="shared" si="12"/>
        <v>0</v>
      </c>
      <c r="G52" s="273">
        <f t="shared" si="12"/>
        <v>0</v>
      </c>
      <c r="H52" s="273">
        <f t="shared" si="12"/>
        <v>0</v>
      </c>
      <c r="I52" s="273">
        <f t="shared" si="12"/>
        <v>0</v>
      </c>
      <c r="J52" s="273">
        <f t="shared" si="12"/>
        <v>0</v>
      </c>
      <c r="K52" s="273">
        <f t="shared" si="12"/>
        <v>0</v>
      </c>
      <c r="L52" s="273">
        <f t="shared" si="12"/>
        <v>0</v>
      </c>
      <c r="M52" s="273">
        <f t="shared" si="12"/>
        <v>0</v>
      </c>
      <c r="N52" s="58"/>
    </row>
    <row r="53" spans="1:14" ht="15" customHeight="1">
      <c r="A53" s="115" t="s">
        <v>95</v>
      </c>
      <c r="B53" s="104" t="s">
        <v>71</v>
      </c>
      <c r="C53" s="35"/>
      <c r="D53" s="35"/>
      <c r="E53" s="35"/>
      <c r="F53" s="273">
        <f>C53+D53-E53</f>
        <v>0</v>
      </c>
      <c r="G53" s="35"/>
      <c r="H53" s="35"/>
      <c r="I53" s="35"/>
      <c r="J53" s="273">
        <f t="shared" ref="J53:L55" si="13">C53+G53</f>
        <v>0</v>
      </c>
      <c r="K53" s="273">
        <f t="shared" si="13"/>
        <v>0</v>
      </c>
      <c r="L53" s="273">
        <f t="shared" si="13"/>
        <v>0</v>
      </c>
      <c r="M53" s="273">
        <f>J53+K53-L53</f>
        <v>0</v>
      </c>
      <c r="N53" s="58"/>
    </row>
    <row r="54" spans="1:14" ht="15" customHeight="1">
      <c r="A54" s="115" t="s">
        <v>96</v>
      </c>
      <c r="B54" s="104" t="s">
        <v>71</v>
      </c>
      <c r="C54" s="35"/>
      <c r="D54" s="35"/>
      <c r="E54" s="35"/>
      <c r="F54" s="273">
        <f>C54+D54-E54</f>
        <v>0</v>
      </c>
      <c r="G54" s="35"/>
      <c r="H54" s="89"/>
      <c r="I54" s="88"/>
      <c r="J54" s="273">
        <f t="shared" si="13"/>
        <v>0</v>
      </c>
      <c r="K54" s="273">
        <f t="shared" si="13"/>
        <v>0</v>
      </c>
      <c r="L54" s="273">
        <f t="shared" si="13"/>
        <v>0</v>
      </c>
      <c r="M54" s="273">
        <f>J54+K54-L54</f>
        <v>0</v>
      </c>
      <c r="N54" s="58"/>
    </row>
    <row r="55" spans="1:14" ht="15" customHeight="1">
      <c r="A55" s="115"/>
      <c r="B55" s="104" t="s">
        <v>6</v>
      </c>
      <c r="C55" s="30"/>
      <c r="D55" s="30"/>
      <c r="E55" s="30"/>
      <c r="F55" s="273">
        <f>C55+D55-E55</f>
        <v>0</v>
      </c>
      <c r="G55" s="35"/>
      <c r="H55" s="89"/>
      <c r="I55" s="88"/>
      <c r="J55" s="273">
        <f t="shared" si="13"/>
        <v>0</v>
      </c>
      <c r="K55" s="273">
        <f t="shared" si="13"/>
        <v>0</v>
      </c>
      <c r="L55" s="273">
        <f t="shared" si="13"/>
        <v>0</v>
      </c>
      <c r="M55" s="273">
        <f>J55+K55-L55</f>
        <v>0</v>
      </c>
      <c r="N55" s="58"/>
    </row>
    <row r="56" spans="1:14" ht="15" customHeight="1">
      <c r="A56" s="115" t="s">
        <v>149</v>
      </c>
      <c r="B56" s="104" t="s">
        <v>97</v>
      </c>
      <c r="C56" s="273">
        <f>SUM(C57:C59)</f>
        <v>0</v>
      </c>
      <c r="D56" s="273">
        <f t="shared" ref="D56:M56" si="14">SUM(D57:D59)</f>
        <v>0</v>
      </c>
      <c r="E56" s="273">
        <f t="shared" si="14"/>
        <v>0</v>
      </c>
      <c r="F56" s="273">
        <f t="shared" si="14"/>
        <v>0</v>
      </c>
      <c r="G56" s="273">
        <f t="shared" si="14"/>
        <v>0</v>
      </c>
      <c r="H56" s="273">
        <f t="shared" si="14"/>
        <v>0</v>
      </c>
      <c r="I56" s="273">
        <f t="shared" si="14"/>
        <v>0</v>
      </c>
      <c r="J56" s="273">
        <f t="shared" si="14"/>
        <v>0</v>
      </c>
      <c r="K56" s="273">
        <f t="shared" si="14"/>
        <v>0</v>
      </c>
      <c r="L56" s="273">
        <f t="shared" si="14"/>
        <v>0</v>
      </c>
      <c r="M56" s="273">
        <f t="shared" si="14"/>
        <v>0</v>
      </c>
      <c r="N56" s="58"/>
    </row>
    <row r="57" spans="1:14" ht="15" customHeight="1">
      <c r="A57" s="115" t="s">
        <v>95</v>
      </c>
      <c r="B57" s="104" t="s">
        <v>71</v>
      </c>
      <c r="C57" s="35"/>
      <c r="D57" s="35"/>
      <c r="E57" s="35"/>
      <c r="F57" s="273">
        <f>C57+D57-E57</f>
        <v>0</v>
      </c>
      <c r="G57" s="35"/>
      <c r="H57" s="35"/>
      <c r="I57" s="35"/>
      <c r="J57" s="273">
        <f t="shared" ref="J57:L60" si="15">C57+G57</f>
        <v>0</v>
      </c>
      <c r="K57" s="273">
        <f t="shared" si="15"/>
        <v>0</v>
      </c>
      <c r="L57" s="273">
        <f t="shared" si="15"/>
        <v>0</v>
      </c>
      <c r="M57" s="273">
        <f>J57+K57-L57</f>
        <v>0</v>
      </c>
      <c r="N57" s="58"/>
    </row>
    <row r="58" spans="1:14" ht="15" customHeight="1">
      <c r="A58" s="115" t="s">
        <v>96</v>
      </c>
      <c r="B58" s="104" t="s">
        <v>71</v>
      </c>
      <c r="C58" s="35"/>
      <c r="D58" s="35"/>
      <c r="E58" s="35"/>
      <c r="F58" s="273">
        <f>C58+D58-E58</f>
        <v>0</v>
      </c>
      <c r="G58" s="35"/>
      <c r="H58" s="35"/>
      <c r="I58" s="35"/>
      <c r="J58" s="273">
        <f t="shared" si="15"/>
        <v>0</v>
      </c>
      <c r="K58" s="273">
        <f t="shared" si="15"/>
        <v>0</v>
      </c>
      <c r="L58" s="273">
        <f t="shared" si="15"/>
        <v>0</v>
      </c>
      <c r="M58" s="273">
        <f>J58+K58-L58</f>
        <v>0</v>
      </c>
      <c r="N58" s="58"/>
    </row>
    <row r="59" spans="1:14" ht="15" customHeight="1">
      <c r="A59" s="115"/>
      <c r="B59" s="104" t="s">
        <v>6</v>
      </c>
      <c r="C59" s="35"/>
      <c r="D59" s="35"/>
      <c r="E59" s="35"/>
      <c r="F59" s="273">
        <f>C59+D59-E59</f>
        <v>0</v>
      </c>
      <c r="G59" s="35"/>
      <c r="H59" s="89"/>
      <c r="I59" s="88"/>
      <c r="J59" s="273">
        <f t="shared" si="15"/>
        <v>0</v>
      </c>
      <c r="K59" s="273">
        <f t="shared" si="15"/>
        <v>0</v>
      </c>
      <c r="L59" s="273">
        <f t="shared" si="15"/>
        <v>0</v>
      </c>
      <c r="M59" s="273">
        <f>J59+K59-L59</f>
        <v>0</v>
      </c>
      <c r="N59" s="58"/>
    </row>
    <row r="60" spans="1:14" ht="15" customHeight="1">
      <c r="A60" s="115" t="s">
        <v>150</v>
      </c>
      <c r="B60" s="104" t="s">
        <v>98</v>
      </c>
      <c r="C60" s="30"/>
      <c r="D60" s="30"/>
      <c r="E60" s="30"/>
      <c r="F60" s="273">
        <f>C60+D60-E60</f>
        <v>0</v>
      </c>
      <c r="G60" s="35"/>
      <c r="H60" s="89"/>
      <c r="I60" s="88"/>
      <c r="J60" s="273">
        <f t="shared" si="15"/>
        <v>0</v>
      </c>
      <c r="K60" s="273">
        <f t="shared" si="15"/>
        <v>0</v>
      </c>
      <c r="L60" s="273">
        <f t="shared" si="15"/>
        <v>0</v>
      </c>
      <c r="M60" s="273">
        <f>J60+K60-L60</f>
        <v>0</v>
      </c>
      <c r="N60" s="58"/>
    </row>
    <row r="61" spans="1:14" ht="15" customHeight="1">
      <c r="A61" s="71" t="s">
        <v>151</v>
      </c>
      <c r="B61" s="74" t="s">
        <v>33</v>
      </c>
      <c r="C61" s="280">
        <f>C51+C52+C56+C60</f>
        <v>0</v>
      </c>
      <c r="D61" s="280">
        <f t="shared" ref="D61:M61" si="16">D51+D52+D56+D60</f>
        <v>0</v>
      </c>
      <c r="E61" s="280">
        <f t="shared" si="16"/>
        <v>0</v>
      </c>
      <c r="F61" s="280">
        <f t="shared" si="16"/>
        <v>0</v>
      </c>
      <c r="G61" s="280">
        <f t="shared" si="16"/>
        <v>0</v>
      </c>
      <c r="H61" s="280">
        <f t="shared" si="16"/>
        <v>0</v>
      </c>
      <c r="I61" s="280">
        <f t="shared" si="16"/>
        <v>0</v>
      </c>
      <c r="J61" s="280">
        <f t="shared" si="16"/>
        <v>0</v>
      </c>
      <c r="K61" s="280">
        <f t="shared" si="16"/>
        <v>0</v>
      </c>
      <c r="L61" s="280">
        <f t="shared" si="16"/>
        <v>0</v>
      </c>
      <c r="M61" s="280">
        <f t="shared" si="16"/>
        <v>0</v>
      </c>
      <c r="N61" s="58"/>
    </row>
    <row r="62" spans="1:14" ht="15" customHeight="1">
      <c r="A62" s="62" t="s">
        <v>99</v>
      </c>
      <c r="B62" s="15"/>
      <c r="C62" s="18"/>
      <c r="D62" s="18"/>
      <c r="E62" s="36"/>
      <c r="F62" s="36"/>
      <c r="G62" s="36"/>
      <c r="H62" s="36"/>
      <c r="I62" s="33"/>
    </row>
    <row r="63" spans="1:14" ht="15" customHeight="1">
      <c r="A63" s="73" t="s">
        <v>152</v>
      </c>
      <c r="B63" s="74" t="s">
        <v>37</v>
      </c>
      <c r="C63" s="74" t="s">
        <v>27</v>
      </c>
      <c r="D63" s="74" t="s">
        <v>28</v>
      </c>
      <c r="E63" s="36"/>
      <c r="F63" s="36"/>
      <c r="G63" s="36"/>
      <c r="H63" s="36"/>
      <c r="I63" s="33"/>
    </row>
    <row r="64" spans="1:14" ht="15" customHeight="1">
      <c r="A64" s="115" t="s">
        <v>147</v>
      </c>
      <c r="B64" s="281" t="s">
        <v>34</v>
      </c>
      <c r="C64" s="90"/>
      <c r="D64" s="91"/>
      <c r="E64" s="36"/>
      <c r="F64" s="36"/>
      <c r="G64" s="36"/>
      <c r="H64" s="36"/>
      <c r="I64" s="33"/>
    </row>
    <row r="65" spans="1:9" ht="15" customHeight="1">
      <c r="A65" s="115" t="s">
        <v>148</v>
      </c>
      <c r="B65" s="281" t="s">
        <v>35</v>
      </c>
      <c r="C65" s="90"/>
      <c r="D65" s="91"/>
      <c r="E65" s="36"/>
      <c r="F65" s="36"/>
      <c r="G65" s="36"/>
      <c r="H65" s="36"/>
      <c r="I65" s="33"/>
    </row>
    <row r="66" spans="1:9" ht="15" customHeight="1">
      <c r="A66" s="115" t="s">
        <v>149</v>
      </c>
      <c r="B66" s="281" t="s">
        <v>80</v>
      </c>
      <c r="C66" s="92"/>
      <c r="D66" s="93"/>
      <c r="E66" s="36"/>
      <c r="F66" s="36"/>
      <c r="G66" s="36"/>
      <c r="H66" s="36"/>
      <c r="I66" s="33"/>
    </row>
    <row r="67" spans="1:9" ht="15" customHeight="1">
      <c r="A67" s="115" t="s">
        <v>150</v>
      </c>
      <c r="B67" s="281" t="s">
        <v>81</v>
      </c>
      <c r="C67" s="90"/>
      <c r="D67" s="91"/>
      <c r="E67" s="36"/>
      <c r="F67" s="36"/>
      <c r="G67" s="36"/>
      <c r="H67" s="36"/>
      <c r="I67" s="33"/>
    </row>
    <row r="68" spans="1:9" ht="15" customHeight="1">
      <c r="A68" s="115" t="s">
        <v>151</v>
      </c>
      <c r="B68" s="281" t="s">
        <v>36</v>
      </c>
      <c r="C68" s="90"/>
      <c r="D68" s="91"/>
      <c r="E68" s="36"/>
      <c r="F68" s="36"/>
      <c r="G68" s="36"/>
      <c r="H68" s="36"/>
      <c r="I68" s="33"/>
    </row>
    <row r="69" spans="1:9" ht="15" customHeight="1">
      <c r="A69" s="115" t="s">
        <v>153</v>
      </c>
      <c r="B69" s="281" t="s">
        <v>102</v>
      </c>
      <c r="C69" s="90"/>
      <c r="D69" s="91"/>
      <c r="E69" s="36"/>
      <c r="F69" s="36"/>
      <c r="G69" s="36"/>
      <c r="H69" s="36"/>
      <c r="I69" s="33"/>
    </row>
    <row r="70" spans="1:9" ht="15" customHeight="1">
      <c r="A70" s="62" t="s">
        <v>154</v>
      </c>
      <c r="B70" s="156"/>
      <c r="C70" s="156"/>
      <c r="D70" s="18"/>
      <c r="E70" s="36"/>
      <c r="F70" s="36"/>
      <c r="G70" s="36"/>
      <c r="H70" s="36"/>
      <c r="I70" s="33"/>
    </row>
    <row r="71" spans="1:9" ht="15" customHeight="1">
      <c r="A71" s="376" t="s">
        <v>155</v>
      </c>
      <c r="B71" s="376" t="s">
        <v>89</v>
      </c>
      <c r="C71" s="362" t="s">
        <v>90</v>
      </c>
      <c r="D71" s="380" t="s">
        <v>91</v>
      </c>
      <c r="E71" s="381"/>
      <c r="F71" s="36"/>
      <c r="G71" s="36"/>
      <c r="H71" s="36"/>
      <c r="I71" s="33"/>
    </row>
    <row r="72" spans="1:9" ht="15" customHeight="1">
      <c r="A72" s="377"/>
      <c r="B72" s="377"/>
      <c r="C72" s="363"/>
      <c r="D72" s="75" t="s">
        <v>156</v>
      </c>
      <c r="E72" s="75" t="s">
        <v>92</v>
      </c>
      <c r="F72" s="36"/>
      <c r="G72" s="36"/>
      <c r="H72" s="36"/>
      <c r="I72" s="33"/>
    </row>
    <row r="73" spans="1:9" ht="15" customHeight="1">
      <c r="A73" s="29" t="s">
        <v>157</v>
      </c>
      <c r="B73" s="282" t="s">
        <v>34</v>
      </c>
      <c r="C73" s="94"/>
      <c r="D73" s="95"/>
      <c r="E73" s="95"/>
      <c r="F73" s="36"/>
      <c r="G73" s="36"/>
      <c r="H73" s="36"/>
      <c r="I73" s="33"/>
    </row>
    <row r="74" spans="1:9" ht="15" customHeight="1">
      <c r="A74" s="29" t="s">
        <v>158</v>
      </c>
      <c r="B74" s="281" t="s">
        <v>35</v>
      </c>
      <c r="C74" s="90"/>
      <c r="D74" s="96"/>
      <c r="E74" s="96"/>
      <c r="F74" s="36"/>
      <c r="G74" s="36"/>
      <c r="H74" s="36"/>
      <c r="I74" s="33"/>
    </row>
    <row r="75" spans="1:9" ht="15" customHeight="1">
      <c r="A75" s="29" t="s">
        <v>159</v>
      </c>
      <c r="B75" s="281" t="s">
        <v>80</v>
      </c>
      <c r="C75" s="92"/>
      <c r="D75" s="96"/>
      <c r="E75" s="96"/>
      <c r="F75" s="36"/>
      <c r="G75" s="36"/>
      <c r="H75" s="36"/>
      <c r="I75" s="33"/>
    </row>
    <row r="76" spans="1:9" ht="15" customHeight="1">
      <c r="A76" s="115" t="s">
        <v>150</v>
      </c>
      <c r="B76" s="281" t="s">
        <v>214</v>
      </c>
      <c r="C76" s="90"/>
      <c r="D76" s="96"/>
      <c r="E76" s="96"/>
      <c r="F76" s="36"/>
      <c r="G76" s="36"/>
      <c r="H76" s="36"/>
      <c r="I76" s="33"/>
    </row>
    <row r="77" spans="1:9" ht="15" customHeight="1">
      <c r="A77" s="115" t="s">
        <v>151</v>
      </c>
      <c r="B77" s="281" t="s">
        <v>36</v>
      </c>
      <c r="C77" s="90"/>
      <c r="D77" s="96"/>
      <c r="E77" s="96"/>
      <c r="F77" s="36"/>
      <c r="G77" s="36"/>
      <c r="H77" s="36"/>
      <c r="I77" s="33"/>
    </row>
    <row r="78" spans="1:9" ht="15" customHeight="1">
      <c r="A78" s="115" t="s">
        <v>153</v>
      </c>
      <c r="B78" s="281" t="s">
        <v>71</v>
      </c>
      <c r="C78" s="90"/>
      <c r="D78" s="96"/>
      <c r="E78" s="96"/>
      <c r="F78" s="36"/>
      <c r="G78" s="36"/>
      <c r="H78" s="36"/>
      <c r="I78" s="33"/>
    </row>
    <row r="79" spans="1:9" ht="15" customHeight="1">
      <c r="A79" s="16" t="s">
        <v>131</v>
      </c>
      <c r="B79" s="3"/>
      <c r="C79" s="3"/>
      <c r="D79" s="3"/>
      <c r="E79" s="3"/>
      <c r="F79" s="3"/>
      <c r="G79" s="3"/>
      <c r="H79" s="3"/>
      <c r="I79" s="3"/>
    </row>
    <row r="80" spans="1:9" ht="15" customHeight="1">
      <c r="A80" s="16"/>
      <c r="B80" s="3"/>
      <c r="C80" s="3"/>
      <c r="D80" s="3"/>
      <c r="E80" s="3"/>
      <c r="F80" s="3"/>
      <c r="G80" s="3"/>
      <c r="H80" s="3"/>
      <c r="I80" s="3"/>
    </row>
    <row r="81" spans="1:9" ht="15" customHeight="1">
      <c r="A81" s="16" t="s">
        <v>160</v>
      </c>
      <c r="B81" s="3"/>
      <c r="C81" s="3"/>
      <c r="D81" s="3"/>
      <c r="E81" s="3"/>
      <c r="F81" s="3"/>
      <c r="G81" s="3"/>
      <c r="H81" s="3"/>
      <c r="I81" s="3"/>
    </row>
    <row r="82" spans="1:9" ht="15" customHeight="1">
      <c r="A82" s="16"/>
      <c r="B82" s="3"/>
      <c r="C82" s="3"/>
      <c r="D82" s="3"/>
      <c r="E82" s="3"/>
      <c r="F82" s="3"/>
      <c r="G82" s="3"/>
      <c r="H82" s="3"/>
      <c r="I82" s="3"/>
    </row>
    <row r="83" spans="1:9" ht="15" customHeight="1">
      <c r="A83" s="37" t="s">
        <v>161</v>
      </c>
      <c r="B83" s="38"/>
    </row>
    <row r="84" spans="1:9" ht="15" customHeight="1">
      <c r="A84" s="38" t="s">
        <v>518</v>
      </c>
      <c r="B84" s="38"/>
    </row>
    <row r="85" spans="1:9" ht="15" customHeight="1">
      <c r="A85" s="39" t="s">
        <v>519</v>
      </c>
    </row>
    <row r="86" spans="1:9" ht="15" customHeight="1">
      <c r="A86" s="56" t="s">
        <v>162</v>
      </c>
    </row>
    <row r="87" spans="1:9" ht="15" customHeight="1">
      <c r="A87" s="56" t="s">
        <v>163</v>
      </c>
    </row>
    <row r="88" spans="1:9" ht="15" customHeight="1">
      <c r="A88" s="56" t="s">
        <v>164</v>
      </c>
    </row>
    <row r="89" spans="1:9" ht="15" customHeight="1">
      <c r="A89" s="283" t="s">
        <v>520</v>
      </c>
    </row>
    <row r="90" spans="1:9" ht="15" customHeight="1">
      <c r="A90" s="283" t="s">
        <v>521</v>
      </c>
    </row>
  </sheetData>
  <mergeCells count="30">
    <mergeCell ref="A71:A72"/>
    <mergeCell ref="B71:B72"/>
    <mergeCell ref="C71:C72"/>
    <mergeCell ref="D71:E71"/>
    <mergeCell ref="A30:A31"/>
    <mergeCell ref="B30:B31"/>
    <mergeCell ref="J49:M49"/>
    <mergeCell ref="N49:N50"/>
    <mergeCell ref="A20:A21"/>
    <mergeCell ref="B20:B21"/>
    <mergeCell ref="C20:F20"/>
    <mergeCell ref="A49:A50"/>
    <mergeCell ref="B49:B50"/>
    <mergeCell ref="C49:F49"/>
    <mergeCell ref="G30:H30"/>
    <mergeCell ref="H49:I49"/>
    <mergeCell ref="H20:I20"/>
    <mergeCell ref="J20:M20"/>
    <mergeCell ref="N20:N21"/>
    <mergeCell ref="I30:J30"/>
    <mergeCell ref="A1:N1"/>
    <mergeCell ref="A2:N2"/>
    <mergeCell ref="K30:K31"/>
    <mergeCell ref="C30:F30"/>
    <mergeCell ref="J11:M11"/>
    <mergeCell ref="N11:N12"/>
    <mergeCell ref="A11:A12"/>
    <mergeCell ref="B11:B12"/>
    <mergeCell ref="C11:F11"/>
    <mergeCell ref="H11:I11"/>
  </mergeCells>
  <phoneticPr fontId="7" type="noConversion"/>
  <hyperlinks>
    <hyperlink ref="N3" location="底稿目录!A1" display="J2-2"/>
  </hyperlinks>
  <printOptions horizontalCentered="1"/>
  <pageMargins left="0.55118110236220474" right="0.35433070866141736" top="0.98425196850393704" bottom="0.23622047244094491" header="0.51181102362204722" footer="0.19685039370078741"/>
  <pageSetup paperSize="9" scale="65" fitToHeight="100" orientation="landscape" blackAndWhite="1" cellComments="atEnd" r:id="rId1"/>
  <headerFooter alignWithMargins="0">
    <oddFooter>&amp;C&amp;P/&amp;N</oddFooter>
  </headerFooter>
  <rowBreaks count="1" manualBreakCount="1">
    <brk id="47" max="1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view="pageBreakPreview" zoomScaleNormal="100" zoomScaleSheetLayoutView="100" workbookViewId="0">
      <selection activeCell="M9" sqref="M9"/>
    </sheetView>
  </sheetViews>
  <sheetFormatPr defaultColWidth="9" defaultRowHeight="15" customHeight="1"/>
  <cols>
    <col min="1" max="1" width="20.88671875" style="156" customWidth="1"/>
    <col min="2" max="2" width="18.44140625" style="156" customWidth="1"/>
    <col min="3" max="3" width="16" style="156" customWidth="1"/>
    <col min="4" max="4" width="14.109375" style="156" customWidth="1"/>
    <col min="5" max="5" width="12.5546875" style="156" customWidth="1"/>
    <col min="6" max="6" width="9" style="156"/>
    <col min="7" max="7" width="10.5546875" style="156" customWidth="1"/>
    <col min="8" max="8" width="10.88671875" style="156" customWidth="1"/>
    <col min="9" max="16384" width="9" style="156"/>
  </cols>
  <sheetData>
    <row r="1" spans="1:10" ht="19.95" customHeight="1">
      <c r="A1" s="427" t="s">
        <v>0</v>
      </c>
      <c r="B1" s="427"/>
      <c r="C1" s="427"/>
      <c r="D1" s="427"/>
      <c r="E1" s="427"/>
      <c r="F1" s="427"/>
      <c r="G1" s="427"/>
      <c r="H1" s="427"/>
      <c r="I1" s="427"/>
      <c r="J1" s="427"/>
    </row>
    <row r="2" spans="1:10" s="141" customFormat="1" ht="19.95" customHeight="1">
      <c r="A2" s="428" t="s">
        <v>569</v>
      </c>
      <c r="B2" s="428"/>
      <c r="C2" s="428"/>
      <c r="D2" s="428"/>
      <c r="E2" s="428"/>
      <c r="F2" s="428"/>
      <c r="G2" s="428"/>
      <c r="H2" s="428"/>
      <c r="I2" s="428"/>
      <c r="J2" s="428"/>
    </row>
    <row r="3" spans="1:10" ht="19.95" customHeight="1">
      <c r="A3" s="123" t="str">
        <f>底稿目录!A2</f>
        <v>被审计单位：</v>
      </c>
      <c r="B3" s="123"/>
      <c r="D3" s="123" t="str">
        <f>底稿目录!A4</f>
        <v>编制人：</v>
      </c>
      <c r="E3" s="123"/>
      <c r="F3" s="124"/>
      <c r="G3" s="123" t="str">
        <f>底稿目录!A5</f>
        <v>编制日期：</v>
      </c>
      <c r="H3" s="123"/>
      <c r="I3" s="292" t="s">
        <v>133</v>
      </c>
      <c r="J3" s="290" t="str">
        <f>底稿目录!D8</f>
        <v>J2-3</v>
      </c>
    </row>
    <row r="4" spans="1:10" ht="19.95" customHeight="1">
      <c r="A4" s="123" t="str">
        <f>底稿目录!A3</f>
        <v>截止日：</v>
      </c>
      <c r="B4" s="123"/>
      <c r="D4" s="123" t="str">
        <f>底稿目录!A6</f>
        <v>复核人：</v>
      </c>
      <c r="E4" s="123"/>
      <c r="F4" s="124"/>
      <c r="G4" s="123" t="str">
        <f>底稿目录!A7</f>
        <v>复核日期：</v>
      </c>
      <c r="H4" s="123"/>
      <c r="I4" s="292" t="s">
        <v>544</v>
      </c>
      <c r="J4" s="124"/>
    </row>
    <row r="5" spans="1:10" ht="26.4" customHeight="1">
      <c r="A5" s="136" t="s">
        <v>522</v>
      </c>
      <c r="B5" s="309" t="s">
        <v>555</v>
      </c>
      <c r="C5" s="310" t="s">
        <v>523</v>
      </c>
      <c r="D5" s="311" t="s">
        <v>524</v>
      </c>
      <c r="E5" s="137" t="s">
        <v>556</v>
      </c>
      <c r="F5" s="137" t="s">
        <v>175</v>
      </c>
      <c r="G5" s="137" t="s">
        <v>557</v>
      </c>
      <c r="H5" s="137" t="s">
        <v>558</v>
      </c>
      <c r="I5" s="137" t="s">
        <v>525</v>
      </c>
      <c r="J5" s="137" t="s">
        <v>526</v>
      </c>
    </row>
    <row r="6" spans="1:10" ht="19.95" customHeight="1">
      <c r="A6" s="138"/>
      <c r="B6" s="138"/>
      <c r="C6" s="138"/>
      <c r="D6" s="138"/>
      <c r="E6" s="138"/>
      <c r="F6" s="138"/>
      <c r="G6" s="138"/>
      <c r="H6" s="138"/>
      <c r="I6" s="138"/>
      <c r="J6" s="138"/>
    </row>
    <row r="7" spans="1:10" ht="19.95" customHeight="1">
      <c r="A7" s="139"/>
      <c r="B7" s="138"/>
      <c r="C7" s="138"/>
      <c r="D7" s="138"/>
      <c r="E7" s="138"/>
      <c r="F7" s="138"/>
      <c r="G7" s="138"/>
      <c r="H7" s="138"/>
      <c r="I7" s="138"/>
      <c r="J7" s="138"/>
    </row>
    <row r="8" spans="1:10" ht="19.95" customHeight="1">
      <c r="A8" s="140"/>
      <c r="B8" s="138"/>
      <c r="C8" s="138"/>
      <c r="D8" s="138"/>
      <c r="E8" s="138"/>
      <c r="F8" s="138"/>
      <c r="G8" s="138"/>
      <c r="H8" s="138"/>
      <c r="I8" s="138"/>
      <c r="J8" s="138"/>
    </row>
    <row r="9" spans="1:10" ht="19.95" customHeight="1">
      <c r="A9" s="140"/>
      <c r="B9" s="138"/>
      <c r="C9" s="138"/>
      <c r="D9" s="138"/>
      <c r="E9" s="138"/>
      <c r="F9" s="138"/>
      <c r="G9" s="138"/>
      <c r="H9" s="138"/>
      <c r="I9" s="138"/>
      <c r="J9" s="138"/>
    </row>
    <row r="10" spans="1:10" ht="19.95" customHeight="1">
      <c r="A10" s="140"/>
      <c r="B10" s="138"/>
      <c r="C10" s="138"/>
      <c r="D10" s="138"/>
      <c r="E10" s="138"/>
      <c r="F10" s="138"/>
      <c r="G10" s="138"/>
      <c r="H10" s="138"/>
      <c r="I10" s="138"/>
      <c r="J10" s="138"/>
    </row>
    <row r="11" spans="1:10" ht="19.95" customHeight="1">
      <c r="A11" s="125"/>
      <c r="B11" s="138"/>
      <c r="C11" s="138"/>
      <c r="D11" s="138"/>
      <c r="E11" s="138"/>
      <c r="F11" s="138"/>
      <c r="G11" s="138"/>
      <c r="H11" s="138"/>
      <c r="I11" s="138"/>
      <c r="J11" s="138"/>
    </row>
    <row r="12" spans="1:10" ht="19.95" customHeight="1">
      <c r="A12" s="140"/>
      <c r="B12" s="138"/>
      <c r="C12" s="138"/>
      <c r="D12" s="138"/>
      <c r="E12" s="138"/>
      <c r="F12" s="138"/>
      <c r="G12" s="138"/>
      <c r="H12" s="138"/>
      <c r="I12" s="138"/>
      <c r="J12" s="138"/>
    </row>
    <row r="13" spans="1:10" ht="19.95" customHeight="1">
      <c r="A13" s="140"/>
      <c r="B13" s="138"/>
      <c r="C13" s="138"/>
      <c r="D13" s="138"/>
      <c r="E13" s="138"/>
      <c r="F13" s="138"/>
      <c r="G13" s="138"/>
      <c r="H13" s="138"/>
      <c r="I13" s="138"/>
      <c r="J13" s="138"/>
    </row>
    <row r="14" spans="1:10" ht="19.95" customHeight="1">
      <c r="A14" s="140"/>
      <c r="B14" s="138"/>
      <c r="C14" s="138"/>
      <c r="D14" s="138"/>
      <c r="E14" s="138"/>
      <c r="F14" s="138"/>
      <c r="G14" s="138"/>
      <c r="H14" s="138"/>
      <c r="I14" s="138"/>
      <c r="J14" s="138"/>
    </row>
    <row r="15" spans="1:10" ht="19.95" customHeight="1">
      <c r="A15" s="140"/>
      <c r="B15" s="138"/>
      <c r="C15" s="138"/>
      <c r="D15" s="138"/>
      <c r="E15" s="138"/>
      <c r="F15" s="138"/>
      <c r="G15" s="138"/>
      <c r="H15" s="138"/>
      <c r="I15" s="138"/>
      <c r="J15" s="138"/>
    </row>
    <row r="16" spans="1:10" ht="19.95" customHeight="1">
      <c r="A16" s="140"/>
      <c r="B16" s="138"/>
      <c r="C16" s="138"/>
      <c r="D16" s="138"/>
      <c r="E16" s="138"/>
      <c r="F16" s="138"/>
      <c r="G16" s="138"/>
      <c r="H16" s="138"/>
      <c r="I16" s="138"/>
      <c r="J16" s="138"/>
    </row>
    <row r="17" spans="1:10" ht="19.95" customHeight="1">
      <c r="A17" s="140"/>
      <c r="B17" s="138"/>
      <c r="C17" s="138"/>
      <c r="D17" s="138"/>
      <c r="E17" s="138"/>
      <c r="F17" s="138"/>
      <c r="G17" s="138"/>
      <c r="H17" s="138"/>
      <c r="I17" s="138"/>
      <c r="J17" s="138"/>
    </row>
    <row r="18" spans="1:10" ht="19.95" customHeight="1">
      <c r="A18" s="140"/>
      <c r="B18" s="138"/>
      <c r="C18" s="138"/>
      <c r="D18" s="138"/>
      <c r="E18" s="138"/>
      <c r="F18" s="138"/>
      <c r="G18" s="138"/>
      <c r="H18" s="138"/>
      <c r="I18" s="138"/>
      <c r="J18" s="138"/>
    </row>
    <row r="19" spans="1:10" ht="19.95" customHeight="1">
      <c r="A19" s="140"/>
      <c r="B19" s="138"/>
      <c r="C19" s="138"/>
      <c r="D19" s="138"/>
      <c r="E19" s="138"/>
      <c r="F19" s="138"/>
      <c r="G19" s="138"/>
      <c r="H19" s="138"/>
      <c r="I19" s="138"/>
      <c r="J19" s="138"/>
    </row>
    <row r="20" spans="1:10" ht="19.95" customHeight="1">
      <c r="A20" s="140"/>
      <c r="B20" s="138"/>
      <c r="C20" s="138"/>
      <c r="D20" s="138"/>
      <c r="E20" s="138"/>
      <c r="F20" s="138"/>
      <c r="G20" s="138"/>
      <c r="H20" s="138"/>
      <c r="I20" s="138"/>
      <c r="J20" s="138"/>
    </row>
    <row r="21" spans="1:10" ht="15" customHeight="1">
      <c r="A21" s="126"/>
      <c r="B21" s="126"/>
      <c r="C21" s="127"/>
      <c r="D21" s="127"/>
      <c r="E21" s="127"/>
      <c r="F21" s="127"/>
      <c r="G21" s="128"/>
      <c r="H21" s="128"/>
      <c r="I21" s="127"/>
      <c r="J21" s="129"/>
    </row>
    <row r="22" spans="1:10" ht="15" customHeight="1">
      <c r="A22" s="417" t="s">
        <v>213</v>
      </c>
      <c r="B22" s="418"/>
      <c r="C22" s="418"/>
      <c r="D22" s="418"/>
      <c r="E22" s="418"/>
      <c r="F22" s="418"/>
      <c r="G22" s="418"/>
      <c r="H22" s="418"/>
      <c r="I22" s="418"/>
      <c r="J22" s="418"/>
    </row>
    <row r="23" spans="1:10" ht="15" customHeight="1">
      <c r="A23" s="417"/>
      <c r="B23" s="418"/>
      <c r="C23" s="418"/>
      <c r="D23" s="418"/>
      <c r="E23" s="418"/>
      <c r="F23" s="418"/>
      <c r="G23" s="418"/>
      <c r="H23" s="418"/>
      <c r="I23" s="418"/>
      <c r="J23" s="418"/>
    </row>
    <row r="24" spans="1:10" ht="15" customHeight="1">
      <c r="A24" s="157"/>
      <c r="B24" s="157"/>
      <c r="C24" s="157"/>
      <c r="D24" s="157"/>
      <c r="E24" s="157"/>
      <c r="F24" s="157"/>
      <c r="G24" s="157"/>
      <c r="H24" s="157"/>
      <c r="I24" s="157"/>
      <c r="J24" s="157"/>
    </row>
    <row r="25" spans="1:10" ht="15" customHeight="1">
      <c r="A25" s="157"/>
      <c r="B25" s="157"/>
      <c r="C25" s="157"/>
      <c r="D25" s="157"/>
      <c r="E25" s="157"/>
      <c r="F25" s="157"/>
      <c r="G25" s="157"/>
      <c r="H25" s="157"/>
      <c r="I25" s="157"/>
      <c r="J25" s="157"/>
    </row>
  </sheetData>
  <mergeCells count="4">
    <mergeCell ref="A1:J1"/>
    <mergeCell ref="A2:J2"/>
    <mergeCell ref="A23:J23"/>
    <mergeCell ref="A22:J22"/>
  </mergeCells>
  <phoneticPr fontId="44" type="noConversion"/>
  <dataValidations count="1">
    <dataValidation type="list" allowBlank="1" showInputMessage="1" showErrorMessage="1" sqref="B6:B20">
      <formula1>"账项调整,报表调整,其他"</formula1>
    </dataValidation>
  </dataValidations>
  <hyperlinks>
    <hyperlink ref="J3" location="底稿目录!A1" display="J2-3"/>
  </hyperlinks>
  <pageMargins left="0.70866141732283472" right="0.70866141732283472" top="0.74803149606299213" bottom="0.74803149606299213" header="0.31496062992125984" footer="0.31496062992125984"/>
  <pageSetup paperSize="9" scale="97"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8"/>
  <sheetViews>
    <sheetView view="pageBreakPreview" zoomScaleSheetLayoutView="100" workbookViewId="0">
      <selection activeCell="F3" sqref="F3"/>
    </sheetView>
  </sheetViews>
  <sheetFormatPr defaultColWidth="9" defaultRowHeight="15" customHeight="1"/>
  <cols>
    <col min="1" max="1" width="6.6640625" style="52" customWidth="1"/>
    <col min="2" max="2" width="28.88671875" style="52" customWidth="1"/>
    <col min="3" max="3" width="18.88671875" style="52" customWidth="1"/>
    <col min="4" max="4" width="16.21875" style="52" customWidth="1"/>
    <col min="5" max="5" width="18.88671875" style="52" customWidth="1"/>
    <col min="6" max="6" width="18.44140625" style="52" customWidth="1"/>
    <col min="7" max="7" width="10.21875" style="52" customWidth="1"/>
    <col min="8" max="8" width="10" style="52" customWidth="1"/>
    <col min="9" max="16384" width="9" style="52"/>
  </cols>
  <sheetData>
    <row r="1" spans="1:8" s="40" customFormat="1" ht="18" customHeight="1">
      <c r="A1" s="420" t="s">
        <v>0</v>
      </c>
      <c r="B1" s="420"/>
      <c r="C1" s="420"/>
      <c r="D1" s="420"/>
      <c r="E1" s="420"/>
      <c r="F1" s="420"/>
    </row>
    <row r="2" spans="1:8" s="41" customFormat="1" ht="18" customHeight="1">
      <c r="A2" s="421" t="s">
        <v>527</v>
      </c>
      <c r="B2" s="421"/>
      <c r="C2" s="421"/>
      <c r="D2" s="421"/>
      <c r="E2" s="421"/>
      <c r="F2" s="421"/>
    </row>
    <row r="3" spans="1:8" s="42" customFormat="1" ht="18" customHeight="1">
      <c r="A3" s="3" t="str">
        <f>底稿目录!A2</f>
        <v>被审计单位：</v>
      </c>
      <c r="C3" s="3" t="str">
        <f>底稿目录!A4</f>
        <v>编制人：</v>
      </c>
      <c r="D3" s="107" t="str">
        <f>底稿目录!A5</f>
        <v>编制日期：</v>
      </c>
      <c r="E3" s="81" t="s">
        <v>1</v>
      </c>
      <c r="F3" s="288" t="str">
        <f>底稿目录!D9</f>
        <v>J2-4</v>
      </c>
    </row>
    <row r="4" spans="1:8" s="42" customFormat="1" ht="18" customHeight="1">
      <c r="A4" s="3" t="str">
        <f>底稿目录!A3</f>
        <v>截止日：</v>
      </c>
      <c r="C4" s="3" t="str">
        <f>底稿目录!A6</f>
        <v>复核人：</v>
      </c>
      <c r="D4" s="107" t="str">
        <f>底稿目录!A7</f>
        <v>复核日期：</v>
      </c>
      <c r="E4" s="293" t="s">
        <v>545</v>
      </c>
      <c r="F4" s="43"/>
      <c r="H4" s="44"/>
    </row>
    <row r="5" spans="1:8" s="42" customFormat="1" ht="18" customHeight="1">
      <c r="A5" s="64" t="s">
        <v>104</v>
      </c>
      <c r="B5" s="65"/>
      <c r="C5" s="3"/>
      <c r="D5" s="5"/>
      <c r="E5" s="81"/>
      <c r="F5" s="43"/>
      <c r="H5" s="44"/>
    </row>
    <row r="6" spans="1:8" s="42" customFormat="1" ht="18" customHeight="1">
      <c r="A6" s="270" t="s">
        <v>497</v>
      </c>
      <c r="B6" s="67"/>
      <c r="C6" s="3"/>
      <c r="D6" s="5"/>
      <c r="E6" s="81"/>
      <c r="F6" s="43"/>
      <c r="H6" s="44"/>
    </row>
    <row r="7" spans="1:8" s="42" customFormat="1" ht="18" customHeight="1">
      <c r="A7" s="270" t="s">
        <v>495</v>
      </c>
      <c r="B7" s="67"/>
      <c r="C7" s="3"/>
      <c r="D7" s="5"/>
      <c r="E7" s="81"/>
      <c r="F7" s="43"/>
      <c r="H7" s="44"/>
    </row>
    <row r="8" spans="1:8" s="42" customFormat="1" ht="18" customHeight="1">
      <c r="A8" s="270" t="s">
        <v>496</v>
      </c>
      <c r="B8" s="67"/>
      <c r="C8" s="3"/>
      <c r="D8" s="5"/>
      <c r="E8" s="81"/>
      <c r="F8" s="43"/>
      <c r="H8" s="44"/>
    </row>
    <row r="9" spans="1:8" s="42" customFormat="1" ht="18" customHeight="1">
      <c r="A9" s="270" t="s">
        <v>498</v>
      </c>
      <c r="B9" s="67"/>
      <c r="C9" s="3"/>
      <c r="D9" s="5"/>
      <c r="E9" s="81"/>
      <c r="F9" s="43"/>
      <c r="H9" s="44"/>
    </row>
    <row r="10" spans="1:8" s="42" customFormat="1" ht="18" customHeight="1">
      <c r="A10" s="66" t="s">
        <v>105</v>
      </c>
      <c r="B10" s="78"/>
      <c r="C10" s="3"/>
      <c r="D10" s="5"/>
      <c r="E10" s="81"/>
      <c r="F10" s="43"/>
      <c r="H10" s="44"/>
    </row>
    <row r="11" spans="1:8" s="42" customFormat="1" ht="18" customHeight="1">
      <c r="A11" s="82" t="s">
        <v>106</v>
      </c>
      <c r="H11" s="44"/>
    </row>
    <row r="12" spans="1:8" s="45" customFormat="1" ht="29.4" customHeight="1">
      <c r="A12" s="83" t="s">
        <v>107</v>
      </c>
      <c r="B12" s="422" t="s">
        <v>108</v>
      </c>
      <c r="C12" s="422"/>
      <c r="D12" s="84" t="s">
        <v>109</v>
      </c>
      <c r="E12" s="83" t="s">
        <v>110</v>
      </c>
      <c r="F12" s="84" t="s">
        <v>111</v>
      </c>
      <c r="H12" s="46"/>
    </row>
    <row r="13" spans="1:8" s="42" customFormat="1" ht="29.4" customHeight="1">
      <c r="A13" s="87">
        <v>1</v>
      </c>
      <c r="B13" s="419" t="s">
        <v>112</v>
      </c>
      <c r="C13" s="419"/>
      <c r="D13" s="47"/>
      <c r="E13" s="47"/>
      <c r="F13" s="47"/>
      <c r="H13" s="44"/>
    </row>
    <row r="14" spans="1:8" s="42" customFormat="1" ht="18" customHeight="1">
      <c r="A14" s="87">
        <v>2</v>
      </c>
      <c r="B14" s="419" t="s">
        <v>113</v>
      </c>
      <c r="C14" s="419"/>
      <c r="D14" s="47"/>
      <c r="E14" s="47"/>
      <c r="F14" s="47"/>
      <c r="H14" s="44"/>
    </row>
    <row r="15" spans="1:8" s="42" customFormat="1" ht="27" customHeight="1">
      <c r="A15" s="87">
        <v>3</v>
      </c>
      <c r="B15" s="419" t="s">
        <v>114</v>
      </c>
      <c r="C15" s="419"/>
      <c r="D15" s="47"/>
      <c r="E15" s="47"/>
      <c r="F15" s="47"/>
      <c r="H15" s="44"/>
    </row>
    <row r="16" spans="1:8" s="42" customFormat="1" ht="18" customHeight="1">
      <c r="A16" s="87">
        <v>4</v>
      </c>
      <c r="B16" s="419" t="s">
        <v>115</v>
      </c>
      <c r="C16" s="419"/>
      <c r="D16" s="47"/>
      <c r="E16" s="47"/>
      <c r="F16" s="47"/>
      <c r="H16" s="44"/>
    </row>
    <row r="17" spans="1:8" s="42" customFormat="1" ht="18" customHeight="1">
      <c r="A17" s="304" t="s">
        <v>547</v>
      </c>
      <c r="H17" s="44"/>
    </row>
    <row r="18" spans="1:8" s="48" customFormat="1" ht="18" customHeight="1">
      <c r="A18" s="83" t="s">
        <v>107</v>
      </c>
      <c r="B18" s="83" t="s">
        <v>116</v>
      </c>
      <c r="C18" s="83" t="s">
        <v>117</v>
      </c>
      <c r="H18" s="49"/>
    </row>
    <row r="19" spans="1:8" s="42" customFormat="1" ht="18" customHeight="1">
      <c r="A19" s="87">
        <v>1</v>
      </c>
      <c r="B19" s="284" t="s">
        <v>529</v>
      </c>
      <c r="C19" s="312" t="s">
        <v>531</v>
      </c>
      <c r="H19" s="44"/>
    </row>
    <row r="20" spans="1:8" s="42" customFormat="1" ht="18" customHeight="1">
      <c r="A20" s="87">
        <v>2</v>
      </c>
      <c r="B20" s="284" t="s">
        <v>530</v>
      </c>
      <c r="C20" s="312" t="s">
        <v>528</v>
      </c>
      <c r="H20" s="44"/>
    </row>
    <row r="21" spans="1:8" s="42" customFormat="1" ht="18" customHeight="1">
      <c r="A21" s="82" t="s">
        <v>118</v>
      </c>
      <c r="H21" s="44"/>
    </row>
    <row r="22" spans="1:8" s="48" customFormat="1" ht="25.8" customHeight="1">
      <c r="A22" s="83" t="s">
        <v>107</v>
      </c>
      <c r="B22" s="84" t="s">
        <v>119</v>
      </c>
      <c r="C22" s="84" t="s">
        <v>120</v>
      </c>
      <c r="D22" s="84" t="s">
        <v>121</v>
      </c>
      <c r="H22" s="49"/>
    </row>
    <row r="23" spans="1:8" s="42" customFormat="1" ht="18" customHeight="1">
      <c r="A23" s="47"/>
      <c r="B23" s="47"/>
      <c r="C23" s="47"/>
      <c r="D23" s="85"/>
      <c r="H23" s="44"/>
    </row>
    <row r="24" spans="1:8" s="42" customFormat="1" ht="18" customHeight="1">
      <c r="A24" s="47"/>
      <c r="B24" s="47"/>
      <c r="C24" s="47"/>
      <c r="D24" s="85"/>
      <c r="H24" s="44"/>
    </row>
    <row r="25" spans="1:8" s="42" customFormat="1" ht="18" customHeight="1">
      <c r="A25" s="47"/>
      <c r="B25" s="47"/>
      <c r="C25" s="47"/>
      <c r="D25" s="85"/>
      <c r="H25" s="44"/>
    </row>
    <row r="26" spans="1:8" s="42" customFormat="1" ht="18" customHeight="1">
      <c r="A26" s="47"/>
      <c r="B26" s="47"/>
      <c r="C26" s="47"/>
      <c r="D26" s="85"/>
      <c r="H26" s="44"/>
    </row>
    <row r="27" spans="1:8" s="42" customFormat="1" ht="18" customHeight="1">
      <c r="A27" s="47"/>
      <c r="B27" s="47"/>
      <c r="C27" s="47"/>
      <c r="D27" s="85"/>
      <c r="H27" s="44"/>
    </row>
    <row r="28" spans="1:8" s="42" customFormat="1" ht="18" customHeight="1">
      <c r="A28" s="82" t="s">
        <v>122</v>
      </c>
      <c r="H28" s="44"/>
    </row>
    <row r="29" spans="1:8" ht="18" customHeight="1">
      <c r="A29" s="50" t="s">
        <v>72</v>
      </c>
      <c r="B29" s="51"/>
    </row>
    <row r="30" spans="1:8" ht="18" customHeight="1">
      <c r="A30" s="51" t="s">
        <v>73</v>
      </c>
      <c r="B30" s="51"/>
    </row>
    <row r="31" spans="1:8" s="42" customFormat="1" ht="18" customHeight="1">
      <c r="A31" s="50" t="s">
        <v>74</v>
      </c>
      <c r="B31" s="50"/>
      <c r="H31" s="44"/>
    </row>
    <row r="32" spans="1:8" s="42" customFormat="1" ht="18" customHeight="1">
      <c r="A32" s="50" t="s">
        <v>123</v>
      </c>
      <c r="B32" s="50"/>
      <c r="H32" s="44"/>
    </row>
    <row r="33" spans="1:8" s="42" customFormat="1" ht="18" customHeight="1">
      <c r="A33" s="50" t="s">
        <v>124</v>
      </c>
      <c r="B33" s="50"/>
      <c r="H33" s="44"/>
    </row>
    <row r="34" spans="1:8" s="42" customFormat="1" ht="18" customHeight="1">
      <c r="A34" s="50" t="s">
        <v>125</v>
      </c>
      <c r="B34" s="50"/>
      <c r="H34" s="44"/>
    </row>
    <row r="35" spans="1:8" s="42" customFormat="1" ht="18" customHeight="1">
      <c r="A35" s="50" t="s">
        <v>126</v>
      </c>
      <c r="B35" s="50"/>
      <c r="H35" s="44"/>
    </row>
    <row r="36" spans="1:8" s="42" customFormat="1" ht="18" customHeight="1">
      <c r="A36" s="50" t="s">
        <v>127</v>
      </c>
      <c r="B36" s="50"/>
      <c r="H36" s="44"/>
    </row>
    <row r="37" spans="1:8" s="42" customFormat="1" ht="18" customHeight="1">
      <c r="A37" s="50" t="s">
        <v>128</v>
      </c>
      <c r="B37" s="50"/>
      <c r="H37" s="44"/>
    </row>
    <row r="38" spans="1:8" s="42" customFormat="1" ht="18" customHeight="1">
      <c r="A38" s="50" t="s">
        <v>129</v>
      </c>
      <c r="B38" s="50"/>
      <c r="H38" s="44"/>
    </row>
    <row r="39" spans="1:8" s="42" customFormat="1" ht="18" customHeight="1">
      <c r="A39" s="42" t="s">
        <v>130</v>
      </c>
      <c r="H39" s="44"/>
    </row>
    <row r="40" spans="1:8" s="42" customFormat="1" ht="18" customHeight="1">
      <c r="H40" s="44"/>
    </row>
    <row r="41" spans="1:8" ht="18" customHeight="1">
      <c r="A41" s="82" t="s">
        <v>131</v>
      </c>
      <c r="B41" s="42"/>
      <c r="C41" s="42"/>
      <c r="D41" s="42"/>
      <c r="E41" s="42"/>
      <c r="F41" s="42"/>
    </row>
    <row r="42" spans="1:8" ht="18" customHeight="1">
      <c r="A42" s="42"/>
      <c r="B42" s="42"/>
      <c r="C42" s="42"/>
      <c r="D42" s="42"/>
      <c r="E42" s="42"/>
      <c r="F42" s="42"/>
    </row>
    <row r="43" spans="1:8" ht="18" customHeight="1">
      <c r="A43" s="42"/>
      <c r="B43" s="42"/>
      <c r="C43" s="42"/>
      <c r="D43" s="42"/>
      <c r="E43" s="42"/>
      <c r="F43" s="42"/>
    </row>
    <row r="44" spans="1:8" ht="18" customHeight="1">
      <c r="A44" s="42"/>
      <c r="B44" s="42"/>
      <c r="C44" s="42"/>
      <c r="D44" s="42"/>
      <c r="E44" s="42"/>
      <c r="F44" s="42"/>
    </row>
    <row r="45" spans="1:8" ht="18" customHeight="1">
      <c r="A45" s="86" t="s">
        <v>132</v>
      </c>
      <c r="B45" s="42"/>
      <c r="C45" s="42"/>
      <c r="D45" s="42"/>
      <c r="E45" s="42"/>
      <c r="F45" s="42"/>
    </row>
    <row r="46" spans="1:8" ht="18" customHeight="1">
      <c r="A46" s="42"/>
      <c r="B46" s="42"/>
      <c r="C46" s="42"/>
      <c r="D46" s="42"/>
      <c r="E46" s="42"/>
      <c r="F46" s="42"/>
    </row>
    <row r="47" spans="1:8" ht="18" customHeight="1">
      <c r="A47" s="42"/>
      <c r="B47" s="42"/>
      <c r="C47" s="42"/>
      <c r="D47" s="42"/>
      <c r="E47" s="42"/>
      <c r="F47" s="42"/>
    </row>
    <row r="48" spans="1:8" ht="18" customHeight="1">
      <c r="A48" s="42"/>
      <c r="B48" s="42"/>
      <c r="C48" s="42"/>
      <c r="D48" s="42"/>
      <c r="E48" s="42"/>
      <c r="F48" s="42"/>
    </row>
  </sheetData>
  <mergeCells count="7">
    <mergeCell ref="B16:C16"/>
    <mergeCell ref="A1:F1"/>
    <mergeCell ref="A2:F2"/>
    <mergeCell ref="B12:C12"/>
    <mergeCell ref="B13:C13"/>
    <mergeCell ref="B14:C14"/>
    <mergeCell ref="B15:C15"/>
  </mergeCells>
  <phoneticPr fontId="44" type="noConversion"/>
  <hyperlinks>
    <hyperlink ref="F3" location="底稿目录!A1" display="J2-4"/>
  </hyperlinks>
  <printOptions horizontalCentered="1"/>
  <pageMargins left="0.59055118110236227" right="0.59055118110236227" top="0.78740157480314965" bottom="0.39370078740157483" header="0.51181102362204722" footer="0.31496062992125984"/>
  <pageSetup paperSize="9" scale="85" fitToHeight="0" orientation="portrait"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8</vt:i4>
      </vt:variant>
    </vt:vector>
  </HeadingPairs>
  <TitlesOfParts>
    <vt:vector size="17" baseType="lpstr">
      <vt:lpstr>底稿目录</vt:lpstr>
      <vt:lpstr>长期应付职工薪酬实质性程序表 J2A</vt:lpstr>
      <vt:lpstr>长期应付职工薪酬实质性程序表 L2A</vt:lpstr>
      <vt:lpstr>审定表J2-1</vt:lpstr>
      <vt:lpstr>附注披露信息（上市公司）</vt:lpstr>
      <vt:lpstr>附注披露信息（国有企业）</vt:lpstr>
      <vt:lpstr>明细表J2-2</vt:lpstr>
      <vt:lpstr>调整分录汇总表J2-3</vt:lpstr>
      <vt:lpstr>计提情况检查表J2-4</vt:lpstr>
      <vt:lpstr>'调整分录汇总表J2-3'!Print_Area</vt:lpstr>
      <vt:lpstr>'计提情况检查表J2-4'!Print_Area</vt:lpstr>
      <vt:lpstr>'明细表J2-2'!Print_Area</vt:lpstr>
      <vt:lpstr>'审定表J2-1'!Print_Area</vt:lpstr>
      <vt:lpstr>'长期应付职工薪酬实质性程序表 J2A'!Print_Area</vt:lpstr>
      <vt:lpstr>'长期应付职工薪酬实质性程序表 L2A'!Print_Area</vt:lpstr>
      <vt:lpstr>'长期应付职工薪酬实质性程序表 J2A'!Print_Titles</vt:lpstr>
      <vt:lpstr>'长期应付职工薪酬实质性程序表 L2A'!Print_Titles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何先琴</cp:lastModifiedBy>
  <cp:lastPrinted>2025-09-02T09:32:27Z</cp:lastPrinted>
  <dcterms:created xsi:type="dcterms:W3CDTF">2013-12-10T06:04:57Z</dcterms:created>
  <dcterms:modified xsi:type="dcterms:W3CDTF">2025-11-05T06:52:11Z</dcterms:modified>
</cp:coreProperties>
</file>