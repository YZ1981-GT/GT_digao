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codeName="ThisWorkbook" defaultThemeVersion="164011"/>
  <bookViews>
    <workbookView xWindow="0" yWindow="0" windowWidth="22260" windowHeight="12648" tabRatio="889"/>
  </bookViews>
  <sheets>
    <sheet name="底稿目录" sheetId="8" r:id="rId1"/>
    <sheet name="合同履约成本实质性程序表F2-55A" sheetId="9" r:id="rId2"/>
    <sheet name="合同履约成本构成明细表F2-55" sheetId="2" r:id="rId3"/>
    <sheet name="合同履约成本检查表F2-56" sheetId="3" r:id="rId4"/>
    <sheet name="合同履约成本减值准备测算表F2-57" sheetId="5" r:id="rId5"/>
    <sheet name="亏损合同预计损失测算表F2-58" sheetId="6" r:id="rId6"/>
    <sheet name="合同履约成本测试（示例）" sheetId="4" r:id="rId7"/>
  </sheets>
  <externalReferences>
    <externalReference r:id="rId8"/>
    <externalReference r:id="rId9"/>
    <externalReference r:id="rId10"/>
    <externalReference r:id="rId11"/>
  </externalReferences>
  <definedNames>
    <definedName name="_xlnm._FilterDatabase" localSheetId="1">'合同履约成本实质性程序表F2-55A'!$A$15:$I$27</definedName>
    <definedName name="_xlnm._FilterDatabase" localSheetId="5" hidden="1">'亏损合同预计损失测算表F2-58'!$A$5:$H$21</definedName>
    <definedName name="AFV" hidden="1">#REF!</definedName>
    <definedName name="AS2DocOpenMode" hidden="1">"AS2DocumentEdit"</definedName>
    <definedName name="bs" hidden="1">{#N/A,#N/A,FALSE,"BBPREP"}</definedName>
    <definedName name="bs_1" hidden="1">{#N/A,#N/A,FALSE,"BBPREP"}</definedName>
    <definedName name="CCD" hidden="1">#REF!</definedName>
    <definedName name="CDE" hidden="1">#REF!</definedName>
    <definedName name="DEX" hidden="1">#REF!</definedName>
    <definedName name="EDC" hidden="1">#REF!</definedName>
    <definedName name="FAD" hidden="1">[1]Breakdown!#REF!</definedName>
    <definedName name="FASD" hidden="1">#REF!</definedName>
    <definedName name="FEDC" hidden="1">'[2]2004'!#REF!</definedName>
    <definedName name="_xlnm.Print_Area" localSheetId="6">'合同履约成本测试（示例）'!$A$1:$K$32</definedName>
    <definedName name="_xlnm.Print_Area" localSheetId="2">'合同履约成本构成明细表F2-55'!$A$1:$AK$30</definedName>
    <definedName name="_xlnm.Print_Area" localSheetId="3">'合同履约成本检查表F2-56'!$A$1:$W$39</definedName>
    <definedName name="_xlnm.Print_Area" localSheetId="4">'合同履约成本减值准备测算表F2-57'!$A$1:$L$24</definedName>
    <definedName name="_xlnm.Print_Area" localSheetId="1">'合同履约成本实质性程序表F2-55A'!$A$1:$I$27</definedName>
    <definedName name="_xlnm.Print_Area" localSheetId="5">'亏损合同预计损失测算表F2-58'!$A$1:$K$26</definedName>
    <definedName name="_xlnm.Print_Titles" localSheetId="4">'合同履约成本减值准备测算表F2-57'!$5:$5</definedName>
    <definedName name="_xlnm.Print_Titles" localSheetId="1">'合同履约成本实质性程序表F2-55A'!$15:$15</definedName>
    <definedName name="_xlnm.Print_Titles" localSheetId="5">'亏损合同预计损失测算表F2-58'!$1:$5</definedName>
    <definedName name="RDES" hidden="1">#REF!</definedName>
    <definedName name="SAPBEXrevision" hidden="1">1</definedName>
    <definedName name="SAPBEXsysID" hidden="1">"PE4"</definedName>
    <definedName name="SAPBEXwbID" hidden="1">"3Q4R7W3VD66V3CXTGQHGIRCBE"</definedName>
    <definedName name="TextRefCopyRangeCount" localSheetId="1" hidden="1">136</definedName>
    <definedName name="TextRefCopyRangeCount" hidden="1">4</definedName>
    <definedName name="VFE" hidden="1">#REF!</definedName>
    <definedName name="XAP" hidden="1">#REF!</definedName>
    <definedName name="XAQ" hidden="1">#REF!</definedName>
    <definedName name="XCD" hidden="1">#REF!</definedName>
    <definedName name="XREF_COLUMN_1" hidden="1">#REF!</definedName>
    <definedName name="XREF_COLUMN_2" hidden="1">[1]Breakdown!#REF!</definedName>
    <definedName name="XREF_COLUMN_3" hidden="1">#REF!</definedName>
    <definedName name="XREF_COLUMN_5" hidden="1">'[2]2004'!#REF!</definedName>
    <definedName name="XRefActiveRow" hidden="1">#REF!</definedName>
    <definedName name="XRefColumnsCount" hidden="1">2</definedName>
    <definedName name="XRefCopy1" hidden="1">#REF!</definedName>
    <definedName name="XRefCopy1Row" hidden="1">#REF!</definedName>
    <definedName name="XRefCopy2Row" hidden="1">#REF!</definedName>
    <definedName name="XRefCopyRangeCount" hidden="1">2</definedName>
    <definedName name="XRefPaste1" hidden="1">#REF!</definedName>
    <definedName name="XRefPaste1Row" hidden="1">#REF!</definedName>
    <definedName name="XRefPaste2" hidden="1">#REF!</definedName>
    <definedName name="XRefPaste2Row" hidden="1">#REF!</definedName>
    <definedName name="XRefPaste3" hidden="1">#REF!</definedName>
    <definedName name="XRefPaste3Row" hidden="1">#REF!</definedName>
    <definedName name="XRefPasteRangeCount" hidden="1">2</definedName>
    <definedName name="本循环科目" hidden="1">[3]索引!$D$15:$D$76</definedName>
    <definedName name="底稿目录" hidden="1">#REF!</definedName>
    <definedName name="新目录" hidden="1">#REF!</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J6" i="5" l="1"/>
  <c r="D35" i="3"/>
  <c r="G32" i="3"/>
  <c r="K3" i="6" l="1"/>
  <c r="H4" i="6"/>
  <c r="H3" i="6"/>
  <c r="E4" i="6"/>
  <c r="E3" i="6"/>
  <c r="A4" i="6"/>
  <c r="A3" i="6"/>
  <c r="L3" i="5"/>
  <c r="H4" i="5"/>
  <c r="H3" i="5"/>
  <c r="F4" i="5"/>
  <c r="F3" i="5"/>
  <c r="A4" i="5"/>
  <c r="A3" i="5"/>
  <c r="V3" i="3"/>
  <c r="P4" i="3"/>
  <c r="P3" i="3"/>
  <c r="I4" i="3"/>
  <c r="I3" i="3"/>
  <c r="A4" i="3"/>
  <c r="A3" i="3"/>
  <c r="AK3" i="2"/>
  <c r="I3" i="9"/>
  <c r="G7" i="6"/>
  <c r="H7" i="6" s="1"/>
  <c r="F7" i="6"/>
  <c r="H6" i="5"/>
  <c r="K18" i="5"/>
  <c r="D18" i="5"/>
  <c r="E18" i="5" s="1"/>
  <c r="C18" i="5"/>
  <c r="S32" i="3"/>
  <c r="K32" i="3"/>
  <c r="E35" i="3"/>
  <c r="F35" i="3" s="1"/>
  <c r="W4" i="2" l="1"/>
  <c r="W3" i="2"/>
  <c r="J4" i="2"/>
  <c r="J3" i="2"/>
  <c r="A4" i="2"/>
  <c r="A3" i="2"/>
  <c r="E4" i="9" l="1"/>
  <c r="E3" i="9"/>
  <c r="C4" i="9"/>
  <c r="C3" i="9"/>
  <c r="A4" i="9"/>
  <c r="A3" i="9"/>
  <c r="E21" i="6" l="1"/>
  <c r="D21" i="6"/>
  <c r="F20" i="6"/>
  <c r="F19" i="6"/>
  <c r="G19" i="6" s="1"/>
  <c r="F18" i="6"/>
  <c r="F17" i="6"/>
  <c r="F16" i="6"/>
  <c r="F15" i="6"/>
  <c r="F14" i="6"/>
  <c r="F13" i="6"/>
  <c r="G13" i="6" s="1"/>
  <c r="F12" i="6"/>
  <c r="F11" i="6"/>
  <c r="F10" i="6"/>
  <c r="F9" i="6"/>
  <c r="F8" i="6"/>
  <c r="G18" i="5"/>
  <c r="F18" i="5"/>
  <c r="H17" i="5"/>
  <c r="J17" i="5" s="1"/>
  <c r="L17" i="5" s="1"/>
  <c r="E17" i="5"/>
  <c r="H16" i="5"/>
  <c r="J16" i="5" s="1"/>
  <c r="L16" i="5" s="1"/>
  <c r="E16" i="5"/>
  <c r="I16" i="5" s="1"/>
  <c r="J15" i="5"/>
  <c r="L15" i="5" s="1"/>
  <c r="I15" i="5"/>
  <c r="H15" i="5"/>
  <c r="E15" i="5"/>
  <c r="H14" i="5"/>
  <c r="E14" i="5"/>
  <c r="J14" i="5" s="1"/>
  <c r="L14" i="5" s="1"/>
  <c r="H13" i="5"/>
  <c r="J13" i="5" s="1"/>
  <c r="L13" i="5" s="1"/>
  <c r="E13" i="5"/>
  <c r="I13" i="5" s="1"/>
  <c r="H12" i="5"/>
  <c r="J12" i="5" s="1"/>
  <c r="L12" i="5" s="1"/>
  <c r="E12" i="5"/>
  <c r="I11" i="5"/>
  <c r="H11" i="5"/>
  <c r="J11" i="5" s="1"/>
  <c r="L11" i="5" s="1"/>
  <c r="E11" i="5"/>
  <c r="J10" i="5"/>
  <c r="L10" i="5" s="1"/>
  <c r="H10" i="5"/>
  <c r="E10" i="5"/>
  <c r="I10" i="5" s="1"/>
  <c r="H9" i="5"/>
  <c r="J9" i="5" s="1"/>
  <c r="L9" i="5" s="1"/>
  <c r="E9" i="5"/>
  <c r="I9" i="5" s="1"/>
  <c r="H8" i="5"/>
  <c r="J8" i="5" s="1"/>
  <c r="L8" i="5" s="1"/>
  <c r="E8" i="5"/>
  <c r="I8" i="5" s="1"/>
  <c r="H7" i="5"/>
  <c r="H18" i="5" s="1"/>
  <c r="E7" i="5"/>
  <c r="E6" i="5"/>
  <c r="J7" i="5" l="1"/>
  <c r="L7" i="5" s="1"/>
  <c r="I7" i="5"/>
  <c r="I6" i="5"/>
  <c r="H18" i="6"/>
  <c r="J18" i="6" s="1"/>
  <c r="H16" i="6"/>
  <c r="J16" i="6" s="1"/>
  <c r="H9" i="6"/>
  <c r="J9" i="6" s="1"/>
  <c r="H14" i="6"/>
  <c r="J14" i="6" s="1"/>
  <c r="G11" i="6"/>
  <c r="H11" i="6" s="1"/>
  <c r="J11" i="6" s="1"/>
  <c r="F21" i="6"/>
  <c r="G9" i="6"/>
  <c r="G15" i="6"/>
  <c r="H15" i="6" s="1"/>
  <c r="J15" i="6" s="1"/>
  <c r="G17" i="6"/>
  <c r="H17" i="6" s="1"/>
  <c r="J17" i="6" s="1"/>
  <c r="J7" i="6"/>
  <c r="H13" i="6"/>
  <c r="J13" i="6" s="1"/>
  <c r="H19" i="6"/>
  <c r="J19" i="6" s="1"/>
  <c r="G8" i="6"/>
  <c r="G21" i="6" s="1"/>
  <c r="H21" i="6" s="1"/>
  <c r="G10" i="6"/>
  <c r="H10" i="6" s="1"/>
  <c r="J10" i="6" s="1"/>
  <c r="G12" i="6"/>
  <c r="H12" i="6" s="1"/>
  <c r="J12" i="6" s="1"/>
  <c r="G14" i="6"/>
  <c r="G16" i="6"/>
  <c r="G18" i="6"/>
  <c r="G20" i="6"/>
  <c r="H20" i="6" s="1"/>
  <c r="J20" i="6" s="1"/>
  <c r="I12" i="5"/>
  <c r="I17" i="5"/>
  <c r="I14" i="5"/>
  <c r="J18" i="5" l="1"/>
  <c r="L6" i="5"/>
  <c r="L18" i="5" s="1"/>
  <c r="H8" i="6"/>
  <c r="J8" i="6" s="1"/>
  <c r="I21" i="6"/>
  <c r="J21" i="6" s="1"/>
  <c r="J27" i="4" l="1"/>
  <c r="G27" i="4"/>
  <c r="K23" i="4"/>
  <c r="F23" i="4"/>
  <c r="H23" i="4" s="1"/>
  <c r="E23" i="4"/>
  <c r="B23" i="4"/>
  <c r="B27" i="4" s="1"/>
  <c r="E22" i="4"/>
  <c r="I22" i="4" s="1"/>
  <c r="B18" i="4"/>
  <c r="F4" i="4"/>
  <c r="C4" i="4"/>
  <c r="A4" i="4"/>
  <c r="F3" i="4"/>
  <c r="C3" i="4"/>
  <c r="A3" i="4"/>
  <c r="AD25" i="2"/>
  <c r="AC25" i="2"/>
  <c r="AB25" i="2"/>
  <c r="AA25" i="2"/>
  <c r="Z25" i="2"/>
  <c r="Y25" i="2"/>
  <c r="R25" i="2"/>
  <c r="Q25" i="2"/>
  <c r="P25" i="2"/>
  <c r="O25" i="2"/>
  <c r="M25" i="2"/>
  <c r="L25" i="2"/>
  <c r="K25" i="2"/>
  <c r="J25" i="2"/>
  <c r="H25" i="2"/>
  <c r="G25" i="2"/>
  <c r="F25" i="2"/>
  <c r="E25" i="2"/>
  <c r="D25" i="2"/>
  <c r="AG24" i="2"/>
  <c r="AE24" i="2"/>
  <c r="X24" i="2"/>
  <c r="W24" i="2"/>
  <c r="AI24" i="2" s="1"/>
  <c r="V24" i="2"/>
  <c r="AH24" i="2" s="1"/>
  <c r="U24" i="2"/>
  <c r="T24" i="2"/>
  <c r="AF24" i="2" s="1"/>
  <c r="S24" i="2"/>
  <c r="N24" i="2"/>
  <c r="I24" i="2"/>
  <c r="AI23" i="2"/>
  <c r="AE23" i="2"/>
  <c r="W23" i="2"/>
  <c r="V23" i="2"/>
  <c r="AH23" i="2" s="1"/>
  <c r="U23" i="2"/>
  <c r="AG23" i="2" s="1"/>
  <c r="T23" i="2"/>
  <c r="AF23" i="2" s="1"/>
  <c r="S23" i="2"/>
  <c r="N23" i="2"/>
  <c r="I23" i="2"/>
  <c r="AH22" i="2"/>
  <c r="AG22" i="2"/>
  <c r="AE22" i="2"/>
  <c r="W22" i="2"/>
  <c r="AI22" i="2" s="1"/>
  <c r="V22" i="2"/>
  <c r="U22" i="2"/>
  <c r="T22" i="2"/>
  <c r="AF22" i="2" s="1"/>
  <c r="AJ22" i="2" s="1"/>
  <c r="S22" i="2"/>
  <c r="N22" i="2"/>
  <c r="I22" i="2"/>
  <c r="AI21" i="2"/>
  <c r="AF21" i="2"/>
  <c r="AE21" i="2"/>
  <c r="W21" i="2"/>
  <c r="V21" i="2"/>
  <c r="AH21" i="2" s="1"/>
  <c r="U21" i="2"/>
  <c r="X21" i="2" s="1"/>
  <c r="T21" i="2"/>
  <c r="S21" i="2"/>
  <c r="N21" i="2"/>
  <c r="I21" i="2"/>
  <c r="AG20" i="2"/>
  <c r="AE20" i="2"/>
  <c r="X20" i="2"/>
  <c r="W20" i="2"/>
  <c r="AI20" i="2" s="1"/>
  <c r="V20" i="2"/>
  <c r="AH20" i="2" s="1"/>
  <c r="U20" i="2"/>
  <c r="T20" i="2"/>
  <c r="AF20" i="2" s="1"/>
  <c r="S20" i="2"/>
  <c r="N20" i="2"/>
  <c r="I20" i="2"/>
  <c r="AI19" i="2"/>
  <c r="AE19" i="2"/>
  <c r="W19" i="2"/>
  <c r="V19" i="2"/>
  <c r="AH19" i="2" s="1"/>
  <c r="U19" i="2"/>
  <c r="AG19" i="2" s="1"/>
  <c r="T19" i="2"/>
  <c r="AF19" i="2" s="1"/>
  <c r="AJ19" i="2" s="1"/>
  <c r="S19" i="2"/>
  <c r="N19" i="2"/>
  <c r="I19" i="2"/>
  <c r="AH18" i="2"/>
  <c r="AG18" i="2"/>
  <c r="AE18" i="2"/>
  <c r="W18" i="2"/>
  <c r="AI18" i="2" s="1"/>
  <c r="V18" i="2"/>
  <c r="U18" i="2"/>
  <c r="T18" i="2"/>
  <c r="AF18" i="2" s="1"/>
  <c r="AJ18" i="2" s="1"/>
  <c r="S18" i="2"/>
  <c r="N18" i="2"/>
  <c r="I18" i="2"/>
  <c r="AI17" i="2"/>
  <c r="AF17" i="2"/>
  <c r="AE17" i="2"/>
  <c r="W17" i="2"/>
  <c r="V17" i="2"/>
  <c r="AH17" i="2" s="1"/>
  <c r="U17" i="2"/>
  <c r="X17" i="2" s="1"/>
  <c r="T17" i="2"/>
  <c r="S17" i="2"/>
  <c r="N17" i="2"/>
  <c r="I17" i="2"/>
  <c r="AG16" i="2"/>
  <c r="AE16" i="2"/>
  <c r="X16" i="2"/>
  <c r="W16" i="2"/>
  <c r="AI16" i="2" s="1"/>
  <c r="V16" i="2"/>
  <c r="AH16" i="2" s="1"/>
  <c r="U16" i="2"/>
  <c r="T16" i="2"/>
  <c r="AF16" i="2" s="1"/>
  <c r="S16" i="2"/>
  <c r="N16" i="2"/>
  <c r="I16" i="2"/>
  <c r="AI15" i="2"/>
  <c r="AE15" i="2"/>
  <c r="W15" i="2"/>
  <c r="V15" i="2"/>
  <c r="AH15" i="2" s="1"/>
  <c r="U15" i="2"/>
  <c r="AG15" i="2" s="1"/>
  <c r="T15" i="2"/>
  <c r="AF15" i="2" s="1"/>
  <c r="S15" i="2"/>
  <c r="N15" i="2"/>
  <c r="I15" i="2"/>
  <c r="AH14" i="2"/>
  <c r="AE14" i="2"/>
  <c r="W14" i="2"/>
  <c r="AI14" i="2" s="1"/>
  <c r="V14" i="2"/>
  <c r="U14" i="2"/>
  <c r="AG14" i="2" s="1"/>
  <c r="T14" i="2"/>
  <c r="AF14" i="2" s="1"/>
  <c r="S14" i="2"/>
  <c r="N14" i="2"/>
  <c r="I14" i="2"/>
  <c r="AI13" i="2"/>
  <c r="AF13" i="2"/>
  <c r="AJ13" i="2" s="1"/>
  <c r="AE13" i="2"/>
  <c r="W13" i="2"/>
  <c r="V13" i="2"/>
  <c r="AH13" i="2" s="1"/>
  <c r="U13" i="2"/>
  <c r="AG13" i="2" s="1"/>
  <c r="T13" i="2"/>
  <c r="X13" i="2" s="1"/>
  <c r="S13" i="2"/>
  <c r="N13" i="2"/>
  <c r="I13" i="2"/>
  <c r="AG12" i="2"/>
  <c r="AE12" i="2"/>
  <c r="X12" i="2"/>
  <c r="W12" i="2"/>
  <c r="AI12" i="2" s="1"/>
  <c r="V12" i="2"/>
  <c r="AH12" i="2" s="1"/>
  <c r="U12" i="2"/>
  <c r="T12" i="2"/>
  <c r="AF12" i="2" s="1"/>
  <c r="AJ12" i="2" s="1"/>
  <c r="S12" i="2"/>
  <c r="N12" i="2"/>
  <c r="I12" i="2"/>
  <c r="AI11" i="2"/>
  <c r="AE11" i="2"/>
  <c r="W11" i="2"/>
  <c r="V11" i="2"/>
  <c r="AH11" i="2" s="1"/>
  <c r="U11" i="2"/>
  <c r="AG11" i="2" s="1"/>
  <c r="T11" i="2"/>
  <c r="AF11" i="2" s="1"/>
  <c r="AJ11" i="2" s="1"/>
  <c r="S11" i="2"/>
  <c r="N11" i="2"/>
  <c r="I11" i="2"/>
  <c r="AH10" i="2"/>
  <c r="AG10" i="2"/>
  <c r="AE10" i="2"/>
  <c r="W10" i="2"/>
  <c r="AI10" i="2" s="1"/>
  <c r="V10" i="2"/>
  <c r="U10" i="2"/>
  <c r="T10" i="2"/>
  <c r="AF10" i="2" s="1"/>
  <c r="S10" i="2"/>
  <c r="N10" i="2"/>
  <c r="I10" i="2"/>
  <c r="AI9" i="2"/>
  <c r="AF9" i="2"/>
  <c r="AJ9" i="2" s="1"/>
  <c r="AE9" i="2"/>
  <c r="W9" i="2"/>
  <c r="V9" i="2"/>
  <c r="AH9" i="2" s="1"/>
  <c r="U9" i="2"/>
  <c r="AG9" i="2" s="1"/>
  <c r="T9" i="2"/>
  <c r="X9" i="2" s="1"/>
  <c r="S9" i="2"/>
  <c r="N9" i="2"/>
  <c r="I9" i="2"/>
  <c r="AG8" i="2"/>
  <c r="AE8" i="2"/>
  <c r="X8" i="2"/>
  <c r="W8" i="2"/>
  <c r="AI8" i="2" s="1"/>
  <c r="V8" i="2"/>
  <c r="AH8" i="2" s="1"/>
  <c r="U8" i="2"/>
  <c r="T8" i="2"/>
  <c r="AF8" i="2" s="1"/>
  <c r="AJ8" i="2" s="1"/>
  <c r="S8" i="2"/>
  <c r="N8" i="2"/>
  <c r="I8" i="2"/>
  <c r="AE7" i="2"/>
  <c r="AE25" i="2" s="1"/>
  <c r="W7" i="2"/>
  <c r="AI7" i="2" s="1"/>
  <c r="V7" i="2"/>
  <c r="AH7" i="2" s="1"/>
  <c r="U7" i="2"/>
  <c r="AG7" i="2" s="1"/>
  <c r="T7" i="2"/>
  <c r="S7" i="2"/>
  <c r="S25" i="2" s="1"/>
  <c r="N7" i="2"/>
  <c r="N25" i="2" s="1"/>
  <c r="I7" i="2"/>
  <c r="I25" i="2" s="1"/>
  <c r="U25" i="2" l="1"/>
  <c r="T25" i="2"/>
  <c r="AF7" i="2"/>
  <c r="I27" i="4"/>
  <c r="K22" i="4"/>
  <c r="K27" i="4" s="1"/>
  <c r="F22" i="4"/>
  <c r="AH25" i="2"/>
  <c r="AJ23" i="2"/>
  <c r="AJ14" i="2"/>
  <c r="AJ24" i="2"/>
  <c r="AJ10" i="2"/>
  <c r="AJ15" i="2"/>
  <c r="AJ20" i="2"/>
  <c r="AI25" i="2"/>
  <c r="AJ16" i="2"/>
  <c r="AG17" i="2"/>
  <c r="AJ17" i="2" s="1"/>
  <c r="AG21" i="2"/>
  <c r="AJ21" i="2" s="1"/>
  <c r="V25" i="2"/>
  <c r="X7" i="2"/>
  <c r="X25" i="2" s="1"/>
  <c r="X11" i="2"/>
  <c r="X15" i="2"/>
  <c r="X19" i="2"/>
  <c r="X23" i="2"/>
  <c r="W25" i="2"/>
  <c r="X10" i="2"/>
  <c r="X14" i="2"/>
  <c r="X18" i="2"/>
  <c r="X22" i="2"/>
  <c r="F27" i="4" l="1"/>
  <c r="H22" i="4"/>
  <c r="H27" i="4" s="1"/>
  <c r="AJ7" i="2"/>
  <c r="AJ25" i="2" s="1"/>
  <c r="AF25" i="2"/>
  <c r="AG25" i="2"/>
</calcChain>
</file>

<file path=xl/comments1.xml><?xml version="1.0" encoding="utf-8"?>
<comments xmlns="http://schemas.openxmlformats.org/spreadsheetml/2006/main">
  <authors>
    <author>作者</author>
  </authors>
  <commentList>
    <comment ref="B15" authorId="0" shapeId="0">
      <text>
        <r>
          <rPr>
            <b/>
            <sz val="9"/>
            <color indexed="81"/>
            <rFont val="宋体"/>
            <family val="3"/>
            <charset val="134"/>
          </rPr>
          <t>专业技术部:</t>
        </r>
        <r>
          <rPr>
            <sz val="9"/>
            <color indexed="81"/>
            <rFont val="宋体"/>
            <family val="3"/>
            <charset val="134"/>
          </rPr>
          <t xml:space="preserve">
根据被审计单位实际情况和风险评估情况裁剪、修改或增加审计程序</t>
        </r>
      </text>
    </comment>
  </commentList>
</comments>
</file>

<file path=xl/comments2.xml><?xml version="1.0" encoding="utf-8"?>
<comments xmlns="http://schemas.openxmlformats.org/spreadsheetml/2006/main">
  <authors>
    <author>作者</author>
  </authors>
  <commentList>
    <comment ref="O5" authorId="0" shapeId="0">
      <text>
        <r>
          <rPr>
            <b/>
            <sz val="9"/>
            <color indexed="81"/>
            <rFont val="宋体"/>
            <family val="3"/>
            <charset val="134"/>
          </rPr>
          <t>作者:</t>
        </r>
        <r>
          <rPr>
            <sz val="9"/>
            <color indexed="81"/>
            <rFont val="宋体"/>
            <family val="3"/>
            <charset val="134"/>
          </rPr>
          <t xml:space="preserve">
采用成本法确认收入的业务如工程施工项目，可删除本期减少金额，将期末余额修改为累计金额</t>
        </r>
      </text>
    </comment>
    <comment ref="E6" authorId="0" shapeId="0">
      <text>
        <r>
          <rPr>
            <b/>
            <sz val="9"/>
            <color indexed="81"/>
            <rFont val="宋体"/>
            <family val="3"/>
            <charset val="134"/>
          </rPr>
          <t>作者:</t>
        </r>
        <r>
          <rPr>
            <sz val="9"/>
            <color indexed="81"/>
            <rFont val="宋体"/>
            <family val="3"/>
            <charset val="134"/>
          </rPr>
          <t xml:space="preserve">
可根据企业情况设置不同的明细项目</t>
        </r>
      </text>
    </comment>
    <comment ref="J6" authorId="0" shapeId="0">
      <text>
        <r>
          <rPr>
            <b/>
            <sz val="9"/>
            <color indexed="81"/>
            <rFont val="宋体"/>
            <family val="3"/>
            <charset val="134"/>
          </rPr>
          <t>作者:</t>
        </r>
        <r>
          <rPr>
            <sz val="9"/>
            <color indexed="81"/>
            <rFont val="宋体"/>
            <family val="3"/>
            <charset val="134"/>
          </rPr>
          <t xml:space="preserve">
可根据企业情况设置不同的明细项目</t>
        </r>
      </text>
    </comment>
    <comment ref="O6" authorId="0" shapeId="0">
      <text>
        <r>
          <rPr>
            <b/>
            <sz val="9"/>
            <color indexed="81"/>
            <rFont val="宋体"/>
            <family val="3"/>
            <charset val="134"/>
          </rPr>
          <t>作者:</t>
        </r>
        <r>
          <rPr>
            <sz val="9"/>
            <color indexed="81"/>
            <rFont val="宋体"/>
            <family val="3"/>
            <charset val="134"/>
          </rPr>
          <t xml:space="preserve">
可根据企业情况设置不同的明细项目</t>
        </r>
      </text>
    </comment>
    <comment ref="T6" authorId="0" shapeId="0">
      <text>
        <r>
          <rPr>
            <b/>
            <sz val="9"/>
            <color indexed="81"/>
            <rFont val="宋体"/>
            <family val="3"/>
            <charset val="134"/>
          </rPr>
          <t>作者:</t>
        </r>
        <r>
          <rPr>
            <sz val="9"/>
            <color indexed="81"/>
            <rFont val="宋体"/>
            <family val="3"/>
            <charset val="134"/>
          </rPr>
          <t xml:space="preserve">
可根据企业情况设置不同的明细项目</t>
        </r>
      </text>
    </comment>
    <comment ref="AA6" authorId="0" shapeId="0">
      <text>
        <r>
          <rPr>
            <b/>
            <sz val="9"/>
            <color indexed="81"/>
            <rFont val="宋体"/>
            <family val="3"/>
            <charset val="134"/>
          </rPr>
          <t>作者:</t>
        </r>
        <r>
          <rPr>
            <sz val="9"/>
            <color indexed="81"/>
            <rFont val="宋体"/>
            <family val="3"/>
            <charset val="134"/>
          </rPr>
          <t xml:space="preserve">
可根据企业情况设置不同的明细项目</t>
        </r>
      </text>
    </comment>
    <comment ref="AF6" authorId="0" shapeId="0">
      <text>
        <r>
          <rPr>
            <b/>
            <sz val="9"/>
            <color indexed="81"/>
            <rFont val="宋体"/>
            <family val="3"/>
            <charset val="134"/>
          </rPr>
          <t>作者:</t>
        </r>
        <r>
          <rPr>
            <sz val="9"/>
            <color indexed="81"/>
            <rFont val="宋体"/>
            <family val="3"/>
            <charset val="134"/>
          </rPr>
          <t xml:space="preserve">
可根据企业情况设置不同的明细项目</t>
        </r>
      </text>
    </comment>
  </commentList>
</comments>
</file>

<file path=xl/sharedStrings.xml><?xml version="1.0" encoding="utf-8"?>
<sst xmlns="http://schemas.openxmlformats.org/spreadsheetml/2006/main" count="328" uniqueCount="269">
  <si>
    <t>致同会计师事务所</t>
  </si>
  <si>
    <t>索引号：</t>
    <phoneticPr fontId="10" type="noConversion"/>
  </si>
  <si>
    <t>页次：</t>
  </si>
  <si>
    <t>项目编码</t>
    <phoneticPr fontId="10" type="noConversion"/>
  </si>
  <si>
    <t>项目名称</t>
    <phoneticPr fontId="10" type="noConversion"/>
  </si>
  <si>
    <t>收入合同名称</t>
    <phoneticPr fontId="10" type="noConversion"/>
  </si>
  <si>
    <t>收入合同金额</t>
    <phoneticPr fontId="10" type="noConversion"/>
  </si>
  <si>
    <t>账面期初余额</t>
    <phoneticPr fontId="10" type="noConversion"/>
  </si>
  <si>
    <t>账面本期增加金额</t>
    <phoneticPr fontId="10" type="noConversion"/>
  </si>
  <si>
    <t>账面本期减少金额</t>
    <phoneticPr fontId="10" type="noConversion"/>
  </si>
  <si>
    <t>账面期末余额</t>
    <phoneticPr fontId="10" type="noConversion"/>
  </si>
  <si>
    <t>是否与合同直接相关</t>
    <phoneticPr fontId="10" type="noConversion"/>
  </si>
  <si>
    <t>是否预期能够收回</t>
    <phoneticPr fontId="10" type="noConversion"/>
  </si>
  <si>
    <t>审计调整</t>
    <phoneticPr fontId="10" type="noConversion"/>
  </si>
  <si>
    <t>期末审定金额</t>
    <phoneticPr fontId="10" type="noConversion"/>
  </si>
  <si>
    <r>
      <rPr>
        <b/>
        <sz val="9"/>
        <rFont val="宋体"/>
        <family val="3"/>
        <charset val="134"/>
      </rPr>
      <t>备注</t>
    </r>
    <phoneticPr fontId="10" type="noConversion"/>
  </si>
  <si>
    <t>设备/材料成本</t>
    <phoneticPr fontId="10" type="noConversion"/>
  </si>
  <si>
    <t>建安及分包成本</t>
    <phoneticPr fontId="10" type="noConversion"/>
  </si>
  <si>
    <t>人工费用</t>
    <phoneticPr fontId="10" type="noConversion"/>
  </si>
  <si>
    <t>其他费用</t>
    <phoneticPr fontId="10" type="noConversion"/>
  </si>
  <si>
    <t>小计</t>
    <phoneticPr fontId="10" type="noConversion"/>
  </si>
  <si>
    <t>小计</t>
    <phoneticPr fontId="10" type="noConversion"/>
  </si>
  <si>
    <t>提示1：计入合同履约成本须同时满足的条件：：</t>
    <phoneticPr fontId="10" type="noConversion"/>
  </si>
  <si>
    <t>（1）不属于其他企业会计准则规范范围，例如，《企业会计准则第1号——存货》《企业会计准则第4号——固定资产》以及《企业会计准则第6号——无形资产》等；</t>
    <phoneticPr fontId="10" type="noConversion"/>
  </si>
  <si>
    <t>（2）该成本与一份当前或预期取得的合同直接相关；包括直接人工、直接材料、制造费用（或类似费用）、明确由客户承担的成本以及仅因该合同而发生的其他成本；预期取得的合同应当是企业能够明确识别的合同，例如，现有合同续约后的合同、尚未获得批准的特定合同等。</t>
    <phoneticPr fontId="10" type="noConversion"/>
  </si>
  <si>
    <t>（3）该成本增加了企业未来用于履行履约义务的资源；（主体应当采用无形资产准则核算为履行与客户的合同而发生的培训费用，在为履行与客户的合同而发生的培训费用时确认为费用）</t>
    <phoneticPr fontId="10" type="noConversion"/>
  </si>
  <si>
    <t>（4）该成本预期能够收回。</t>
    <phoneticPr fontId="10" type="noConversion"/>
  </si>
  <si>
    <t>提示2：</t>
    <phoneticPr fontId="10" type="noConversion"/>
  </si>
  <si>
    <t>（1）确认为资产的合同履约成本，初始确认时摊销期限不超过一年或一个正常营业周期的，在资产负债表中计入“存货”项目；</t>
    <phoneticPr fontId="10" type="noConversion"/>
  </si>
  <si>
    <t>（2）初始确认时摊销期限在一年或一个正常营业周期以上的，在资产负债表中计入“其他非流动资产”项目。</t>
    <phoneticPr fontId="10" type="noConversion"/>
  </si>
  <si>
    <t>提示3：</t>
    <phoneticPr fontId="10" type="noConversion"/>
  </si>
  <si>
    <t>“与合同成本有关的资产”（合同履约成本）应当采用与该资产相关的商品收入确认相同的基础进行摊销，计入当期损益（营业成本）。</t>
  </si>
  <si>
    <r>
      <rPr>
        <sz val="10"/>
        <rFont val="宋体"/>
        <family val="3"/>
        <charset val="134"/>
      </rPr>
      <t>索引号：</t>
    </r>
  </si>
  <si>
    <r>
      <rPr>
        <sz val="10"/>
        <rFont val="宋体"/>
        <family val="3"/>
        <charset val="134"/>
      </rPr>
      <t>页</t>
    </r>
    <r>
      <rPr>
        <sz val="10"/>
        <rFont val="Arial Narrow"/>
        <family val="2"/>
      </rPr>
      <t xml:space="preserve">  </t>
    </r>
    <r>
      <rPr>
        <sz val="10"/>
        <rFont val="宋体"/>
        <family val="3"/>
        <charset val="134"/>
      </rPr>
      <t>次：</t>
    </r>
    <phoneticPr fontId="10" type="noConversion"/>
  </si>
  <si>
    <t>一、审计目标：</t>
    <phoneticPr fontId="26" type="noConversion"/>
  </si>
  <si>
    <t>二、样本选取标准与规模：</t>
    <phoneticPr fontId="26" type="noConversion"/>
  </si>
  <si>
    <t>测试总体：</t>
    <phoneticPr fontId="10" type="noConversion"/>
  </si>
  <si>
    <t>特定样本：</t>
    <phoneticPr fontId="10" type="noConversion"/>
  </si>
  <si>
    <t>抽样总体：</t>
    <phoneticPr fontId="10" type="noConversion"/>
  </si>
  <si>
    <t>抽样方法：</t>
    <phoneticPr fontId="10" type="noConversion"/>
  </si>
  <si>
    <t>三、测试：</t>
    <phoneticPr fontId="26" type="noConversion"/>
  </si>
  <si>
    <t>项目名称</t>
    <phoneticPr fontId="10" type="noConversion"/>
  </si>
  <si>
    <t>合同履约成本构成明细</t>
    <phoneticPr fontId="10" type="noConversion"/>
  </si>
  <si>
    <r>
      <rPr>
        <b/>
        <sz val="9"/>
        <rFont val="宋体"/>
        <family val="3"/>
        <charset val="134"/>
      </rPr>
      <t>记账凭证</t>
    </r>
    <phoneticPr fontId="27" type="noConversion"/>
  </si>
  <si>
    <t>合同/协议</t>
    <phoneticPr fontId="10" type="noConversion"/>
  </si>
  <si>
    <t>到货验收单</t>
    <phoneticPr fontId="10" type="noConversion"/>
  </si>
  <si>
    <r>
      <rPr>
        <b/>
        <sz val="10"/>
        <color rgb="FFFF0000"/>
        <rFont val="宋体"/>
        <family val="3"/>
        <charset val="134"/>
      </rPr>
      <t>物流单（运输单）</t>
    </r>
    <phoneticPr fontId="10" type="noConversion"/>
  </si>
  <si>
    <t>费用分配表/计算表</t>
    <phoneticPr fontId="10" type="noConversion"/>
  </si>
  <si>
    <t>……</t>
    <phoneticPr fontId="10" type="noConversion"/>
  </si>
  <si>
    <r>
      <rPr>
        <b/>
        <sz val="9"/>
        <rFont val="宋体"/>
        <family val="3"/>
        <charset val="134"/>
      </rPr>
      <t>索引号</t>
    </r>
    <phoneticPr fontId="10" type="noConversion"/>
  </si>
  <si>
    <r>
      <rPr>
        <b/>
        <sz val="10"/>
        <rFont val="宋体"/>
        <family val="3"/>
        <charset val="134"/>
      </rPr>
      <t>是否异常</t>
    </r>
    <phoneticPr fontId="10" type="noConversion"/>
  </si>
  <si>
    <r>
      <rPr>
        <b/>
        <sz val="10"/>
        <rFont val="宋体"/>
        <family val="3"/>
        <charset val="134"/>
      </rPr>
      <t>凭证编号</t>
    </r>
  </si>
  <si>
    <r>
      <rPr>
        <b/>
        <sz val="10"/>
        <rFont val="宋体"/>
        <family val="3"/>
        <charset val="134"/>
      </rPr>
      <t>业务内容</t>
    </r>
    <phoneticPr fontId="10" type="noConversion"/>
  </si>
  <si>
    <r>
      <rPr>
        <b/>
        <sz val="10"/>
        <rFont val="宋体"/>
        <family val="3"/>
        <charset val="134"/>
      </rPr>
      <t>对方科目</t>
    </r>
    <phoneticPr fontId="10" type="noConversion"/>
  </si>
  <si>
    <r>
      <rPr>
        <b/>
        <sz val="10"/>
        <rFont val="宋体"/>
        <family val="3"/>
        <charset val="134"/>
      </rPr>
      <t>对方明细科目</t>
    </r>
    <phoneticPr fontId="10" type="noConversion"/>
  </si>
  <si>
    <r>
      <rPr>
        <b/>
        <sz val="10"/>
        <rFont val="宋体"/>
        <family val="3"/>
        <charset val="134"/>
      </rPr>
      <t>借方金额</t>
    </r>
    <phoneticPr fontId="10" type="noConversion"/>
  </si>
  <si>
    <r>
      <rPr>
        <b/>
        <sz val="10"/>
        <color rgb="FFFF0000"/>
        <rFont val="宋体"/>
        <family val="3"/>
        <charset val="134"/>
      </rPr>
      <t>日期</t>
    </r>
    <r>
      <rPr>
        <b/>
        <sz val="10"/>
        <color rgb="FFFF0000"/>
        <rFont val="Arial Narrow"/>
        <family val="2"/>
      </rPr>
      <t>/</t>
    </r>
    <r>
      <rPr>
        <b/>
        <sz val="10"/>
        <color rgb="FFFF0000"/>
        <rFont val="宋体"/>
        <family val="3"/>
        <charset val="134"/>
      </rPr>
      <t>编号</t>
    </r>
    <phoneticPr fontId="10" type="noConversion"/>
  </si>
  <si>
    <t>供应商名称</t>
    <phoneticPr fontId="10" type="noConversion"/>
  </si>
  <si>
    <r>
      <rPr>
        <b/>
        <sz val="10"/>
        <color rgb="FFFF0000"/>
        <rFont val="宋体"/>
        <family val="3"/>
        <charset val="134"/>
      </rPr>
      <t>品名</t>
    </r>
    <phoneticPr fontId="10" type="noConversion"/>
  </si>
  <si>
    <t>金额</t>
    <phoneticPr fontId="10" type="noConversion"/>
  </si>
  <si>
    <r>
      <rPr>
        <b/>
        <sz val="10"/>
        <color rgb="FFFF0000"/>
        <rFont val="宋体"/>
        <family val="3"/>
        <charset val="134"/>
      </rPr>
      <t>日期</t>
    </r>
    <r>
      <rPr>
        <b/>
        <sz val="10"/>
        <color rgb="FFFF0000"/>
        <rFont val="Arial Narrow"/>
        <family val="2"/>
      </rPr>
      <t>/</t>
    </r>
    <r>
      <rPr>
        <b/>
        <sz val="10"/>
        <color rgb="FFFF0000"/>
        <rFont val="宋体"/>
        <family val="3"/>
        <charset val="134"/>
      </rPr>
      <t>编号</t>
    </r>
    <phoneticPr fontId="10" type="noConversion"/>
  </si>
  <si>
    <r>
      <rPr>
        <b/>
        <sz val="10"/>
        <color rgb="FFFF0000"/>
        <rFont val="宋体"/>
        <family val="3"/>
        <charset val="134"/>
      </rPr>
      <t>品名</t>
    </r>
    <phoneticPr fontId="10" type="noConversion"/>
  </si>
  <si>
    <t>数量</t>
    <phoneticPr fontId="10" type="noConversion"/>
  </si>
  <si>
    <r>
      <rPr>
        <b/>
        <sz val="10"/>
        <color rgb="FFFF0000"/>
        <rFont val="宋体"/>
        <family val="3"/>
        <charset val="134"/>
      </rPr>
      <t>物流单位</t>
    </r>
    <phoneticPr fontId="10" type="noConversion"/>
  </si>
  <si>
    <r>
      <rPr>
        <b/>
        <sz val="10"/>
        <color rgb="FFFF0000"/>
        <rFont val="宋体"/>
        <family val="3"/>
        <charset val="134"/>
      </rPr>
      <t>数量</t>
    </r>
  </si>
  <si>
    <t>月份</t>
    <phoneticPr fontId="10" type="noConversion"/>
  </si>
  <si>
    <t>分配依据</t>
    <phoneticPr fontId="10" type="noConversion"/>
  </si>
  <si>
    <r>
      <rPr>
        <b/>
        <sz val="9"/>
        <rFont val="宋体"/>
        <family val="3"/>
        <charset val="134"/>
      </rPr>
      <t>合计</t>
    </r>
    <phoneticPr fontId="10" type="noConversion"/>
  </si>
  <si>
    <t>四、审计说明：</t>
    <phoneticPr fontId="26" type="noConversion"/>
  </si>
  <si>
    <t>五、审计结论：</t>
    <phoneticPr fontId="10" type="noConversion"/>
  </si>
  <si>
    <t>合同履约成本测试表</t>
    <phoneticPr fontId="10" type="noConversion"/>
  </si>
  <si>
    <t>索引号：</t>
    <phoneticPr fontId="10" type="noConversion"/>
  </si>
  <si>
    <t>一、审计目标：</t>
    <phoneticPr fontId="37" type="noConversion"/>
  </si>
  <si>
    <t>判断履约成本是否符合资本化的要求及摊销的准确性。</t>
    <phoneticPr fontId="10" type="noConversion"/>
  </si>
  <si>
    <r>
      <rPr>
        <b/>
        <sz val="10"/>
        <rFont val="宋体"/>
        <family val="3"/>
        <charset val="134"/>
      </rPr>
      <t>二、审计过程：</t>
    </r>
    <phoneticPr fontId="10" type="noConversion"/>
  </si>
  <si>
    <t>甲公司与乙公司签订合同，为乙公司信息中心提供管理服务，合同期限为5 年。在向乙公司提供服务之前，甲公司设计并搭建了一个信息技术平台供其内部使用，该信息技术平台由相关的硬件和软件组成。甲公司需要提供设计方案，将该信息技术平台与乙公司现有的信息系统对接，并进行相关测试。该平台并不会转让给乙公司，但是，将用于向乙公司提供服务。甲公司为该平台的设计、购买硬件和软件以及信息中心的测试发生了成本。除此之外，甲公司专门指派两名员工负责向乙公司提供服务。</t>
    <phoneticPr fontId="10" type="noConversion"/>
  </si>
  <si>
    <t>（一）履约成本资本化判断</t>
    <phoneticPr fontId="7" type="noConversion"/>
  </si>
  <si>
    <t>取得客户的合同，对合同中的成本构成进行列示、分析。</t>
    <phoneticPr fontId="10" type="noConversion"/>
  </si>
  <si>
    <t>构建技术平台发生的初始成本如下：</t>
    <phoneticPr fontId="10" type="noConversion"/>
  </si>
  <si>
    <t>合同初始成本构成</t>
    <phoneticPr fontId="10" type="noConversion"/>
  </si>
  <si>
    <t>合同初始成本金额</t>
    <phoneticPr fontId="10" type="noConversion"/>
  </si>
  <si>
    <t>是否按照履约成本资本化</t>
    <phoneticPr fontId="10" type="noConversion"/>
  </si>
  <si>
    <t>索引</t>
    <phoneticPr fontId="10" type="noConversion"/>
  </si>
  <si>
    <t>设计服务</t>
    <phoneticPr fontId="10" type="noConversion"/>
  </si>
  <si>
    <t>是</t>
    <phoneticPr fontId="10" type="noConversion"/>
  </si>
  <si>
    <t>硬件</t>
    <phoneticPr fontId="10" type="noConversion"/>
  </si>
  <si>
    <t>否</t>
    <phoneticPr fontId="10" type="noConversion"/>
  </si>
  <si>
    <t>软件</t>
    <phoneticPr fontId="10" type="noConversion"/>
  </si>
  <si>
    <t>数据中心的测试</t>
    <phoneticPr fontId="10" type="noConversion"/>
  </si>
  <si>
    <t>合计</t>
  </si>
  <si>
    <t>（二）摊销测算</t>
    <phoneticPr fontId="10" type="noConversion"/>
  </si>
  <si>
    <t>将履约成本采用与该资产相关的商品收入确认相同的基础进行摊销</t>
    <phoneticPr fontId="10" type="noConversion"/>
  </si>
  <si>
    <t>合同履约成本的构成</t>
    <phoneticPr fontId="10" type="noConversion"/>
  </si>
  <si>
    <t>合同履约初始成本金额</t>
    <phoneticPr fontId="10" type="noConversion"/>
  </si>
  <si>
    <t>本期履约进度或摊销月份</t>
  </si>
  <si>
    <t>累计履约进度或摊销月份</t>
  </si>
  <si>
    <t>摊销期限</t>
    <phoneticPr fontId="7" type="noConversion"/>
  </si>
  <si>
    <t>测算本期摊销额</t>
    <phoneticPr fontId="7" type="noConversion"/>
  </si>
  <si>
    <t>账面本期摊销金额</t>
    <phoneticPr fontId="7" type="noConversion"/>
  </si>
  <si>
    <t>本期摊销额差异</t>
    <phoneticPr fontId="7" type="noConversion"/>
  </si>
  <si>
    <t>累计应摊销额</t>
    <phoneticPr fontId="7" type="noConversion"/>
  </si>
  <si>
    <t>账面累计摊销额</t>
    <phoneticPr fontId="7" type="noConversion"/>
  </si>
  <si>
    <t>累计摊销额差异</t>
    <phoneticPr fontId="7" type="noConversion"/>
  </si>
  <si>
    <r>
      <rPr>
        <sz val="10"/>
        <color rgb="FFFF0000"/>
        <rFont val="宋体"/>
        <family val="3"/>
        <charset val="134"/>
      </rPr>
      <t>数据中心的测试</t>
    </r>
    <phoneticPr fontId="10" type="noConversion"/>
  </si>
  <si>
    <r>
      <rPr>
        <sz val="10"/>
        <color rgb="FFFF0000"/>
        <rFont val="宋体"/>
        <family val="3"/>
        <charset val="134"/>
      </rPr>
      <t>设计服务</t>
    </r>
    <phoneticPr fontId="10" type="noConversion"/>
  </si>
  <si>
    <r>
      <rPr>
        <b/>
        <sz val="10"/>
        <rFont val="宋体"/>
        <family val="3"/>
        <charset val="134"/>
      </rPr>
      <t>合计</t>
    </r>
  </si>
  <si>
    <t>三、审计说明：</t>
    <phoneticPr fontId="10" type="noConversion"/>
  </si>
  <si>
    <t>四、审计结论：</t>
    <phoneticPr fontId="10" type="noConversion"/>
  </si>
  <si>
    <t>项目编码</t>
    <phoneticPr fontId="27" type="noConversion"/>
  </si>
  <si>
    <t>项目名称</t>
    <phoneticPr fontId="10" type="noConversion"/>
  </si>
  <si>
    <t>账面余额</t>
    <phoneticPr fontId="10" type="noConversion"/>
  </si>
  <si>
    <t>已计提减值准备</t>
    <phoneticPr fontId="10" type="noConversion"/>
  </si>
  <si>
    <t>账面价值</t>
    <phoneticPr fontId="10" type="noConversion"/>
  </si>
  <si>
    <t>转让与该资产相关的商品预期能够取得的剩余对价</t>
    <phoneticPr fontId="27" type="noConversion"/>
  </si>
  <si>
    <t>转让该相关商品估计将要发生的成本</t>
    <phoneticPr fontId="27" type="noConversion"/>
  </si>
  <si>
    <t>预期取得转让对价净额</t>
    <phoneticPr fontId="27" type="noConversion"/>
  </si>
  <si>
    <t>是否发生减值</t>
    <phoneticPr fontId="27" type="noConversion"/>
  </si>
  <si>
    <t>测算减值准备计提或转回金额</t>
    <phoneticPr fontId="27" type="noConversion"/>
  </si>
  <si>
    <t>企业账面记录的减值准备金额</t>
    <phoneticPr fontId="27" type="noConversion"/>
  </si>
  <si>
    <t>差异金额</t>
    <phoneticPr fontId="27" type="noConversion"/>
  </si>
  <si>
    <t>合计</t>
    <phoneticPr fontId="27" type="noConversion"/>
  </si>
  <si>
    <r>
      <rPr>
        <b/>
        <sz val="10"/>
        <rFont val="宋体"/>
        <family val="3"/>
        <charset val="134"/>
      </rPr>
      <t>项目编码</t>
    </r>
    <phoneticPr fontId="10" type="noConversion"/>
  </si>
  <si>
    <r>
      <rPr>
        <b/>
        <sz val="10"/>
        <rFont val="宋体"/>
        <family val="3"/>
        <charset val="134"/>
      </rPr>
      <t>项目名称</t>
    </r>
    <phoneticPr fontId="10" type="noConversion"/>
  </si>
  <si>
    <r>
      <rPr>
        <b/>
        <sz val="10"/>
        <rFont val="宋体"/>
        <family val="3"/>
        <charset val="134"/>
      </rPr>
      <t>完工进度</t>
    </r>
    <phoneticPr fontId="10" type="noConversion"/>
  </si>
  <si>
    <r>
      <rPr>
        <b/>
        <sz val="10"/>
        <rFont val="宋体"/>
        <family val="3"/>
        <charset val="134"/>
      </rPr>
      <t>预计总收入</t>
    </r>
    <phoneticPr fontId="10" type="noConversion"/>
  </si>
  <si>
    <r>
      <rPr>
        <b/>
        <sz val="10"/>
        <rFont val="宋体"/>
        <family val="3"/>
        <charset val="134"/>
      </rPr>
      <t>预计总成本</t>
    </r>
    <phoneticPr fontId="10" type="noConversion"/>
  </si>
  <si>
    <r>
      <rPr>
        <b/>
        <sz val="10"/>
        <rFont val="宋体"/>
        <family val="3"/>
        <charset val="134"/>
      </rPr>
      <t>合同预计损失金额</t>
    </r>
    <phoneticPr fontId="10" type="noConversion"/>
  </si>
  <si>
    <r>
      <rPr>
        <b/>
        <sz val="10"/>
        <rFont val="宋体"/>
        <family val="3"/>
        <charset val="134"/>
      </rPr>
      <t>已在损益反映的亏损</t>
    </r>
    <phoneticPr fontId="10" type="noConversion"/>
  </si>
  <si>
    <r>
      <rPr>
        <b/>
        <sz val="10"/>
        <rFont val="宋体"/>
        <family val="3"/>
        <charset val="134"/>
      </rPr>
      <t>本期应确认合同亏损金额</t>
    </r>
    <phoneticPr fontId="10" type="noConversion"/>
  </si>
  <si>
    <r>
      <rPr>
        <b/>
        <sz val="10"/>
        <rFont val="宋体"/>
        <family val="3"/>
        <charset val="134"/>
      </rPr>
      <t>本期账面已确认合同亏损金额</t>
    </r>
    <phoneticPr fontId="10" type="noConversion"/>
  </si>
  <si>
    <r>
      <rPr>
        <b/>
        <sz val="10"/>
        <rFont val="宋体"/>
        <family val="3"/>
        <charset val="134"/>
      </rPr>
      <t>差异</t>
    </r>
    <phoneticPr fontId="10" type="noConversion"/>
  </si>
  <si>
    <r>
      <rPr>
        <b/>
        <sz val="10"/>
        <rFont val="宋体"/>
        <family val="3"/>
        <charset val="134"/>
      </rPr>
      <t>备注</t>
    </r>
    <phoneticPr fontId="10" type="noConversion"/>
  </si>
  <si>
    <r>
      <rPr>
        <sz val="10"/>
        <rFont val="宋体"/>
        <family val="3"/>
        <charset val="134"/>
      </rPr>
      <t>①</t>
    </r>
    <phoneticPr fontId="10" type="noConversion"/>
  </si>
  <si>
    <r>
      <rPr>
        <sz val="10"/>
        <rFont val="宋体"/>
        <family val="3"/>
        <charset val="134"/>
      </rPr>
      <t>②</t>
    </r>
    <phoneticPr fontId="10" type="noConversion"/>
  </si>
  <si>
    <r>
      <rPr>
        <sz val="10"/>
        <rFont val="宋体"/>
        <family val="3"/>
        <charset val="134"/>
      </rPr>
      <t>③</t>
    </r>
    <phoneticPr fontId="10" type="noConversion"/>
  </si>
  <si>
    <r>
      <rPr>
        <sz val="10"/>
        <rFont val="宋体"/>
        <family val="3"/>
        <charset val="134"/>
      </rPr>
      <t>④</t>
    </r>
    <r>
      <rPr>
        <sz val="10"/>
        <rFont val="Arial Narrow"/>
        <family val="2"/>
      </rPr>
      <t>=</t>
    </r>
    <r>
      <rPr>
        <sz val="10"/>
        <rFont val="宋体"/>
        <family val="3"/>
        <charset val="134"/>
      </rPr>
      <t>③</t>
    </r>
    <r>
      <rPr>
        <sz val="10"/>
        <rFont val="Arial Narrow"/>
        <family val="2"/>
      </rPr>
      <t>-</t>
    </r>
    <r>
      <rPr>
        <sz val="10"/>
        <rFont val="宋体"/>
        <family val="3"/>
        <charset val="134"/>
      </rPr>
      <t>②</t>
    </r>
    <phoneticPr fontId="10" type="noConversion"/>
  </si>
  <si>
    <r>
      <rPr>
        <sz val="10"/>
        <rFont val="宋体"/>
        <family val="3"/>
        <charset val="134"/>
      </rPr>
      <t>⑤</t>
    </r>
    <r>
      <rPr>
        <sz val="10"/>
        <rFont val="Arial Narrow"/>
        <family val="2"/>
      </rPr>
      <t>=</t>
    </r>
    <r>
      <rPr>
        <sz val="10"/>
        <rFont val="宋体"/>
        <family val="3"/>
        <charset val="134"/>
      </rPr>
      <t>④</t>
    </r>
    <r>
      <rPr>
        <sz val="10"/>
        <rFont val="Arial Narrow"/>
        <family val="2"/>
      </rPr>
      <t>*</t>
    </r>
    <r>
      <rPr>
        <sz val="10"/>
        <rFont val="宋体"/>
        <family val="3"/>
        <charset val="134"/>
      </rPr>
      <t>①</t>
    </r>
    <phoneticPr fontId="10" type="noConversion"/>
  </si>
  <si>
    <r>
      <rPr>
        <sz val="10"/>
        <rFont val="宋体"/>
        <family val="3"/>
        <charset val="134"/>
      </rPr>
      <t>⑥</t>
    </r>
    <r>
      <rPr>
        <sz val="10"/>
        <rFont val="Arial Narrow"/>
        <family val="2"/>
      </rPr>
      <t>=</t>
    </r>
    <r>
      <rPr>
        <sz val="10"/>
        <rFont val="宋体"/>
        <family val="3"/>
        <charset val="134"/>
      </rPr>
      <t>④</t>
    </r>
    <r>
      <rPr>
        <sz val="10"/>
        <rFont val="Arial Narrow"/>
        <family val="2"/>
      </rPr>
      <t>-</t>
    </r>
    <r>
      <rPr>
        <sz val="10"/>
        <rFont val="宋体"/>
        <family val="3"/>
        <charset val="134"/>
      </rPr>
      <t>⑤</t>
    </r>
    <phoneticPr fontId="10" type="noConversion"/>
  </si>
  <si>
    <r>
      <rPr>
        <sz val="10"/>
        <rFont val="宋体"/>
        <family val="3"/>
        <charset val="134"/>
      </rPr>
      <t>⑦</t>
    </r>
    <phoneticPr fontId="10" type="noConversion"/>
  </si>
  <si>
    <r>
      <rPr>
        <sz val="10"/>
        <rFont val="宋体"/>
        <family val="3"/>
        <charset val="134"/>
      </rPr>
      <t>⑧</t>
    </r>
    <r>
      <rPr>
        <sz val="10"/>
        <rFont val="Arial Narrow"/>
        <family val="2"/>
      </rPr>
      <t>=</t>
    </r>
    <r>
      <rPr>
        <sz val="10"/>
        <rFont val="宋体"/>
        <family val="3"/>
        <charset val="134"/>
      </rPr>
      <t>⑥</t>
    </r>
    <r>
      <rPr>
        <sz val="10"/>
        <rFont val="Arial Narrow"/>
        <family val="2"/>
      </rPr>
      <t>-</t>
    </r>
    <r>
      <rPr>
        <sz val="10"/>
        <rFont val="宋体"/>
        <family val="3"/>
        <charset val="134"/>
      </rPr>
      <t>⑦</t>
    </r>
    <phoneticPr fontId="10" type="noConversion"/>
  </si>
  <si>
    <r>
      <rPr>
        <b/>
        <sz val="10"/>
        <rFont val="宋体"/>
        <family val="3"/>
        <charset val="134"/>
      </rPr>
      <t>合计</t>
    </r>
    <phoneticPr fontId="10" type="noConversion"/>
  </si>
  <si>
    <t>底稿开列时，可先在以下单元格填写有关内容，以便其他底稿引用有关数据：</t>
    <phoneticPr fontId="10" type="noConversion"/>
  </si>
  <si>
    <t>序号</t>
    <phoneticPr fontId="10" type="noConversion"/>
  </si>
  <si>
    <t>内容</t>
    <phoneticPr fontId="10" type="noConversion"/>
  </si>
  <si>
    <t>索引号</t>
    <phoneticPr fontId="10" type="noConversion"/>
  </si>
  <si>
    <r>
      <rPr>
        <sz val="10"/>
        <rFont val="宋体"/>
        <family val="3"/>
        <charset val="134"/>
      </rPr>
      <t>页</t>
    </r>
    <r>
      <rPr>
        <sz val="10"/>
        <rFont val="Arial Narrow"/>
        <family val="2"/>
      </rPr>
      <t xml:space="preserve">  </t>
    </r>
    <r>
      <rPr>
        <sz val="10"/>
        <rFont val="宋体"/>
        <family val="3"/>
        <charset val="134"/>
      </rPr>
      <t>次：</t>
    </r>
    <phoneticPr fontId="27" type="noConversion"/>
  </si>
  <si>
    <t>一、本账户涉及的科目</t>
    <phoneticPr fontId="27" type="noConversion"/>
  </si>
  <si>
    <t>二、审计目标与认定的对应关系</t>
    <phoneticPr fontId="10" type="noConversion"/>
  </si>
  <si>
    <t>审计目标</t>
    <phoneticPr fontId="10" type="noConversion"/>
  </si>
  <si>
    <r>
      <rPr>
        <b/>
        <sz val="10"/>
        <rFont val="宋体"/>
        <family val="3"/>
        <charset val="134"/>
      </rPr>
      <t>财务报表的认定　</t>
    </r>
  </si>
  <si>
    <t>存在</t>
    <phoneticPr fontId="10" type="noConversion"/>
  </si>
  <si>
    <t>完整性</t>
    <phoneticPr fontId="10" type="noConversion"/>
  </si>
  <si>
    <t>序号</t>
    <phoneticPr fontId="10" type="noConversion"/>
  </si>
  <si>
    <t>审计程序</t>
    <phoneticPr fontId="27" type="noConversion"/>
  </si>
  <si>
    <t>程序分类</t>
    <phoneticPr fontId="10" type="noConversion"/>
  </si>
  <si>
    <t>财务报表的认定</t>
    <phoneticPr fontId="10" type="noConversion"/>
  </si>
  <si>
    <t>底稿索引号</t>
    <phoneticPr fontId="10" type="noConversion"/>
  </si>
  <si>
    <t>完整性</t>
    <phoneticPr fontId="10" type="noConversion"/>
  </si>
  <si>
    <t>权利和
义务</t>
    <phoneticPr fontId="10" type="noConversion"/>
  </si>
  <si>
    <t>准确性、计价和分摊</t>
  </si>
  <si>
    <t>列报</t>
    <phoneticPr fontId="10" type="noConversion"/>
  </si>
  <si>
    <t>1</t>
    <phoneticPr fontId="27" type="noConversion"/>
  </si>
  <si>
    <t>常规★</t>
    <phoneticPr fontId="27" type="noConversion"/>
  </si>
  <si>
    <t>√</t>
    <phoneticPr fontId="10" type="noConversion"/>
  </si>
  <si>
    <t>√</t>
    <phoneticPr fontId="10" type="noConversion"/>
  </si>
  <si>
    <t>√</t>
    <phoneticPr fontId="10" type="noConversion"/>
  </si>
  <si>
    <t>2</t>
    <phoneticPr fontId="27" type="noConversion"/>
  </si>
  <si>
    <r>
      <t>常规</t>
    </r>
    <r>
      <rPr>
        <b/>
        <sz val="10"/>
        <color theme="1"/>
        <rFont val="宋体"/>
        <family val="3"/>
        <charset val="134"/>
      </rPr>
      <t>★</t>
    </r>
    <phoneticPr fontId="27" type="noConversion"/>
  </si>
  <si>
    <t>√</t>
    <phoneticPr fontId="10" type="noConversion"/>
  </si>
  <si>
    <t>√</t>
    <phoneticPr fontId="10" type="noConversion"/>
  </si>
  <si>
    <t>3</t>
  </si>
  <si>
    <t>√</t>
    <phoneticPr fontId="10" type="noConversion"/>
  </si>
  <si>
    <t>4</t>
  </si>
  <si>
    <t>5</t>
  </si>
  <si>
    <t>6</t>
  </si>
  <si>
    <t>常规★</t>
    <phoneticPr fontId="27" type="noConversion"/>
  </si>
  <si>
    <t>7</t>
  </si>
  <si>
    <t>常规★</t>
    <phoneticPr fontId="27" type="noConversion"/>
  </si>
  <si>
    <t>F0</t>
  </si>
  <si>
    <t>8</t>
  </si>
  <si>
    <t>10</t>
  </si>
  <si>
    <t>√</t>
  </si>
  <si>
    <t>11</t>
  </si>
  <si>
    <t>根据评估的舞弊风险等因素增加的审计程序。</t>
    <phoneticPr fontId="10" type="noConversion"/>
  </si>
  <si>
    <r>
      <t>A1-1/</t>
    </r>
    <r>
      <rPr>
        <sz val="10"/>
        <color rgb="FFFF0000"/>
        <rFont val="Arial Narrow"/>
        <family val="2"/>
      </rPr>
      <t>A1-15 /A1-16</t>
    </r>
    <phoneticPr fontId="27" type="noConversion"/>
  </si>
  <si>
    <t>合同履约成本实质性程序</t>
    <phoneticPr fontId="10" type="noConversion"/>
  </si>
  <si>
    <r>
      <t xml:space="preserve">A. </t>
    </r>
    <r>
      <rPr>
        <sz val="10"/>
        <rFont val="宋体"/>
        <family val="3"/>
        <charset val="134"/>
      </rPr>
      <t>资产负债表中记录的合同履约成本是存在的，且已经记录在恰当的账户中</t>
    </r>
    <phoneticPr fontId="10" type="noConversion"/>
  </si>
  <si>
    <t>F2-12</t>
    <phoneticPr fontId="7" type="noConversion"/>
  </si>
  <si>
    <t>合同履约成本实质性程序表</t>
    <phoneticPr fontId="7" type="noConversion"/>
  </si>
  <si>
    <t>F2-55</t>
    <phoneticPr fontId="7" type="noConversion"/>
  </si>
  <si>
    <r>
      <rPr>
        <sz val="10"/>
        <color indexed="8"/>
        <rFont val="宋体"/>
        <family val="3"/>
        <charset val="134"/>
      </rPr>
      <t>页</t>
    </r>
    <r>
      <rPr>
        <sz val="10"/>
        <color indexed="8"/>
        <rFont val="Arial Narrow"/>
        <family val="2"/>
      </rPr>
      <t xml:space="preserve">    </t>
    </r>
    <r>
      <rPr>
        <sz val="10"/>
        <color indexed="8"/>
        <rFont val="宋体"/>
        <family val="3"/>
        <charset val="134"/>
      </rPr>
      <t>次：</t>
    </r>
    <phoneticPr fontId="7" type="noConversion"/>
  </si>
  <si>
    <t>1、审计说明：</t>
    <phoneticPr fontId="10" type="noConversion"/>
  </si>
  <si>
    <t>2、审计结论：</t>
    <phoneticPr fontId="10" type="noConversion"/>
  </si>
  <si>
    <r>
      <rPr>
        <b/>
        <sz val="9"/>
        <rFont val="宋体"/>
        <family val="3"/>
        <charset val="134"/>
      </rPr>
      <t>合计</t>
    </r>
    <r>
      <rPr>
        <b/>
        <sz val="9"/>
        <rFont val="Arial Narrow"/>
        <family val="2"/>
      </rPr>
      <t xml:space="preserve"> </t>
    </r>
    <phoneticPr fontId="10" type="noConversion"/>
  </si>
  <si>
    <r>
      <t>1.</t>
    </r>
    <r>
      <rPr>
        <sz val="10"/>
        <rFont val="宋体"/>
        <family val="3"/>
        <charset val="134"/>
      </rPr>
      <t>资产负债表中记录的合同履约成本是存在的，且已经记录在恰当的账户中</t>
    </r>
    <phoneticPr fontId="10" type="noConversion"/>
  </si>
  <si>
    <r>
      <t>2.</t>
    </r>
    <r>
      <rPr>
        <sz val="10"/>
        <rFont val="宋体"/>
        <family val="3"/>
        <charset val="134"/>
      </rPr>
      <t>记录的合同履约成本由被审计单位拥有或控制</t>
    </r>
    <phoneticPr fontId="10" type="noConversion"/>
  </si>
  <si>
    <r>
      <t>3.</t>
    </r>
    <r>
      <rPr>
        <sz val="10"/>
        <rFont val="宋体"/>
        <family val="3"/>
        <charset val="134"/>
      </rPr>
      <t>合同履约成本以恰当的金额包括在财务报表中，与之相关的计价或分摊调整已恰当记录，相关披露已得到恰当计量和描述</t>
    </r>
    <r>
      <rPr>
        <sz val="10"/>
        <rFont val="Arial Narrow"/>
        <family val="2"/>
      </rPr>
      <t xml:space="preserve"> </t>
    </r>
    <phoneticPr fontId="10" type="noConversion"/>
  </si>
  <si>
    <t>针对舞弊风险较大的供应商，考虑对采购额、合同条款、是否存在关联方关系及是否存在补充协议等实施函证程序。</t>
    <phoneticPr fontId="27" type="noConversion"/>
  </si>
  <si>
    <t>必要时对合同履约成本执行截止测试。</t>
    <phoneticPr fontId="27" type="noConversion"/>
  </si>
  <si>
    <t>取或编制合同履约成本明细表，复核加计是否正确，并与总账数、明细账合计数核对是否相符，关注是否存在异常或负数余额项目，关注项目进度，是否存在停工、停滞项目。</t>
    <phoneticPr fontId="7" type="noConversion"/>
  </si>
  <si>
    <t>取得项目合同履约成本构成明细，关注是否满足计入合同履约成本构成条件，是否预期能够收回，合同履约成本构成明细的合理性和一惯性，关注其是否利用会计政策和会计估计及其变更操纵利润。</t>
    <phoneticPr fontId="27" type="noConversion"/>
  </si>
  <si>
    <t>如果存在实地实施周期较长的项目，选取合同履约成本进行实地勘察，关注项目现场是否正常进行，进度是否与账面进度一致，存放项目的存货是否与账面一致等。</t>
    <phoneticPr fontId="7" type="noConversion"/>
  </si>
  <si>
    <t>备选</t>
    <phoneticPr fontId="27" type="noConversion"/>
  </si>
  <si>
    <t>√</t>
    <phoneticPr fontId="10" type="noConversion"/>
  </si>
  <si>
    <t>F2-21A</t>
    <phoneticPr fontId="7" type="noConversion"/>
  </si>
  <si>
    <t>关注是否存在亏损合同，检查亏损合同预计损失的计算和会计处理是否正确；</t>
    <phoneticPr fontId="7" type="noConversion"/>
  </si>
  <si>
    <t>检查合同履约成本是否已按企业会计准则或其他适用的规定在财务报表中做出恰当列报和披露。</t>
    <phoneticPr fontId="27" type="noConversion"/>
  </si>
  <si>
    <t>9</t>
  </si>
  <si>
    <t>所有合同履约成本项目共XX个，记账凭证共XX笔，金额XX</t>
    <phoneticPr fontId="10" type="noConversion"/>
  </si>
  <si>
    <t>确定的抽样样本量：</t>
    <phoneticPr fontId="10" type="noConversion"/>
  </si>
  <si>
    <t>（如果使用了样本计算器计算样本量，样本量计算过程见&lt;XX&gt;底稿）</t>
    <phoneticPr fontId="10" type="noConversion"/>
  </si>
  <si>
    <t>测试范围扣除特定样本以外的样本，共XX个项目、XX笔记账凭证</t>
    <phoneticPr fontId="10" type="noConversion"/>
  </si>
  <si>
    <t>XX个项目、XX笔记账凭证</t>
    <phoneticPr fontId="10" type="noConversion"/>
  </si>
  <si>
    <t>抽样过程：</t>
    <phoneticPr fontId="10" type="noConversion"/>
  </si>
  <si>
    <t>使用IDEA（XX抽样工具）选择XX数量、金额XX的样本进行测试，抽样工具中的样本选择过程和结果见&lt;XX&gt;底稿</t>
    <phoneticPr fontId="10" type="noConversion"/>
  </si>
  <si>
    <t>XX金额以上（大额）、关联方/关联交易形成的项目、XX异常项目全部测试；</t>
    <phoneticPr fontId="10" type="noConversion"/>
  </si>
  <si>
    <t>履约进度审核见&lt;&gt;</t>
    <phoneticPr fontId="10" type="noConversion"/>
  </si>
  <si>
    <t>提示：</t>
    <phoneticPr fontId="7" type="noConversion"/>
  </si>
  <si>
    <t>合同履约成本减值准备：
（1）关注合同履约成本减值准备计提情形、依据、方法是否合理，前后各期是否一致，是否符合会计准则的规定，会计处理是否正确；
（2）选取样本重新计算期末合同履约成本减值准备的金额；
（3）检查合同履约成本减值准备的转回是否合理，转回金额、会计处理是否正确。</t>
    <phoneticPr fontId="7" type="noConversion"/>
  </si>
  <si>
    <t>F2-56</t>
    <phoneticPr fontId="7" type="noConversion"/>
  </si>
  <si>
    <t>F2-57</t>
  </si>
  <si>
    <t>F2-57</t>
    <phoneticPr fontId="7" type="noConversion"/>
  </si>
  <si>
    <t>如果存在合同履约成本的摊销，检查摊销方法是否符合会计准则的规定，会计处理是否正确，选择样本重新计算摊销金额是否正确。</t>
    <phoneticPr fontId="7" type="noConversion"/>
  </si>
  <si>
    <t>1.与合同成本有关的资产，其账面价值高于下列第一项减去第二项的差额的，超出部分应当计提减值准备，并确认为资产减值损失：一是企业因转让与该资产相关的商品预期能够取得的剩余对价；二是为转让该相关商品估计将要发生的成本。</t>
    <phoneticPr fontId="7" type="noConversion"/>
  </si>
  <si>
    <t>2.企业应当按照确定交易价格的原则(关于可变对价估计的限制要求除外)预计其能够取得的剩余对价。估计将要发生的成本主要包括直接人工、直接材料、制造费用(或类似费用)、明确由客户承担的成本以及仅因该合同而发生的其他成本等。以前期间减值的因素之后发生变化，使得企业上述第一项减去第二项后的差额高于该资产账面价值的，应当转回原已计提的资产减值准备，并计入当期损益，但转回后的资产账面价值不应超过假定不计提减值准备情况下该资产在转回日的账面价值。</t>
    <phoneticPr fontId="7" type="noConversion"/>
  </si>
  <si>
    <t>2、审计结论：</t>
    <phoneticPr fontId="10" type="noConversion"/>
  </si>
  <si>
    <t>合同履约成本构成明细表</t>
    <phoneticPr fontId="10" type="noConversion"/>
  </si>
  <si>
    <t>合同履约成本构成明细表</t>
    <phoneticPr fontId="7" type="noConversion"/>
  </si>
  <si>
    <t>合同履约成本检查表</t>
    <phoneticPr fontId="10" type="noConversion"/>
  </si>
  <si>
    <t>合同履约成本检查表</t>
    <phoneticPr fontId="7" type="noConversion"/>
  </si>
  <si>
    <t>合同履约成本减值准备测算表</t>
    <phoneticPr fontId="26" type="noConversion"/>
  </si>
  <si>
    <t>合同履约成本减值准备测算表</t>
    <phoneticPr fontId="7" type="noConversion"/>
  </si>
  <si>
    <t>亏损合同预计损失测算表</t>
    <phoneticPr fontId="10" type="noConversion"/>
  </si>
  <si>
    <t>亏损合同预计损失测算表</t>
    <phoneticPr fontId="7" type="noConversion"/>
  </si>
  <si>
    <t>F2-55</t>
    <phoneticPr fontId="7" type="noConversion"/>
  </si>
  <si>
    <t>F2-58</t>
  </si>
  <si>
    <r>
      <rPr>
        <sz val="9"/>
        <rFont val="宋体"/>
        <family val="3"/>
        <charset val="134"/>
      </rPr>
      <t>索引号：</t>
    </r>
    <phoneticPr fontId="10" type="noConversion"/>
  </si>
  <si>
    <r>
      <rPr>
        <sz val="9"/>
        <rFont val="宋体"/>
        <family val="3"/>
        <charset val="134"/>
      </rPr>
      <t>页</t>
    </r>
    <r>
      <rPr>
        <sz val="9"/>
        <rFont val="Arial Narrow"/>
        <family val="2"/>
      </rPr>
      <t xml:space="preserve">  </t>
    </r>
    <r>
      <rPr>
        <sz val="9"/>
        <rFont val="宋体"/>
        <family val="3"/>
        <charset val="134"/>
      </rPr>
      <t>次：</t>
    </r>
    <phoneticPr fontId="10" type="noConversion"/>
  </si>
  <si>
    <r>
      <rPr>
        <sz val="10"/>
        <rFont val="等线"/>
        <family val="3"/>
        <charset val="134"/>
      </rPr>
      <t>索引号：</t>
    </r>
    <phoneticPr fontId="10" type="noConversion"/>
  </si>
  <si>
    <r>
      <rPr>
        <sz val="10"/>
        <rFont val="等线"/>
        <family val="3"/>
        <charset val="134"/>
      </rPr>
      <t>页</t>
    </r>
    <r>
      <rPr>
        <sz val="10"/>
        <rFont val="Arial Narrow"/>
        <family val="2"/>
      </rPr>
      <t xml:space="preserve">  </t>
    </r>
    <r>
      <rPr>
        <sz val="10"/>
        <rFont val="等线"/>
        <family val="3"/>
        <charset val="134"/>
      </rPr>
      <t>次：</t>
    </r>
    <phoneticPr fontId="10" type="noConversion"/>
  </si>
  <si>
    <t>结合营业收入合同毛利分析等，选取项目检查相关记账凭证和支持性证据，会计处理是否正确。</t>
    <phoneticPr fontId="7" type="noConversion"/>
  </si>
  <si>
    <t>F2-55A</t>
    <phoneticPr fontId="7" type="noConversion"/>
  </si>
  <si>
    <t>存货及跌价准备</t>
  </si>
  <si>
    <t>三、计划实施的实质性程序</t>
    <phoneticPr fontId="10" type="noConversion"/>
  </si>
  <si>
    <t>IPO/上市/新三板/重组/舞弊应对</t>
    <phoneticPr fontId="27" type="noConversion"/>
  </si>
  <si>
    <t>IPO/上市/新三板/重组/舞弊应对</t>
    <phoneticPr fontId="27" type="noConversion"/>
  </si>
  <si>
    <t>被审计单位：</t>
    <phoneticPr fontId="10" type="noConversion"/>
  </si>
  <si>
    <r>
      <rPr>
        <sz val="10"/>
        <rFont val="宋体"/>
        <family val="3"/>
        <charset val="134"/>
      </rPr>
      <t>截止日：</t>
    </r>
    <r>
      <rPr>
        <sz val="10"/>
        <rFont val="Arial Narrow"/>
        <family val="2"/>
      </rPr>
      <t/>
    </r>
    <phoneticPr fontId="10" type="noConversion"/>
  </si>
  <si>
    <t>编制人：</t>
    <phoneticPr fontId="10" type="noConversion"/>
  </si>
  <si>
    <t>编制日期：</t>
    <phoneticPr fontId="10" type="noConversion"/>
  </si>
  <si>
    <t>复核人：</t>
    <phoneticPr fontId="10" type="noConversion"/>
  </si>
  <si>
    <t>复核日期：</t>
    <phoneticPr fontId="10" type="noConversion"/>
  </si>
  <si>
    <r>
      <rPr>
        <b/>
        <sz val="10"/>
        <color rgb="FFFF0000"/>
        <rFont val="宋体"/>
        <family val="3"/>
        <charset val="134"/>
      </rPr>
      <t>测试内容说明：</t>
    </r>
    <r>
      <rPr>
        <sz val="10"/>
        <color rgb="FFFF0000"/>
        <rFont val="Arial Narrow"/>
        <family val="2"/>
      </rPr>
      <t>1.</t>
    </r>
    <r>
      <rPr>
        <sz val="10"/>
        <color rgb="FFFF0000"/>
        <rFont val="宋体"/>
        <family val="3"/>
        <charset val="134"/>
      </rPr>
      <t>原始凭证是否齐全；</t>
    </r>
    <r>
      <rPr>
        <sz val="10"/>
        <color rgb="FFFF0000"/>
        <rFont val="Arial Narrow"/>
        <family val="2"/>
      </rPr>
      <t xml:space="preserve"> 2.</t>
    </r>
    <r>
      <rPr>
        <sz val="10"/>
        <color rgb="FFFF0000"/>
        <rFont val="宋体"/>
        <family val="3"/>
        <charset val="134"/>
      </rPr>
      <t>记账凭证与原始凭证是否相符；</t>
    </r>
    <r>
      <rPr>
        <sz val="10"/>
        <color rgb="FFFF0000"/>
        <rFont val="Arial Narrow"/>
        <family val="2"/>
      </rPr>
      <t>3.</t>
    </r>
    <r>
      <rPr>
        <sz val="10"/>
        <color rgb="FFFF0000"/>
        <rFont val="宋体"/>
        <family val="3"/>
        <charset val="134"/>
      </rPr>
      <t>账务处理是否正确；</t>
    </r>
    <r>
      <rPr>
        <sz val="10"/>
        <color rgb="FFFF0000"/>
        <rFont val="Arial Narrow"/>
        <family val="2"/>
      </rPr>
      <t>4.</t>
    </r>
    <r>
      <rPr>
        <sz val="10"/>
        <color rgb="FFFF0000"/>
        <rFont val="宋体"/>
        <family val="3"/>
        <charset val="134"/>
      </rPr>
      <t>是否记录于恰当的会计期间；</t>
    </r>
    <r>
      <rPr>
        <sz val="10"/>
        <color rgb="FFFF0000"/>
        <rFont val="Arial Narrow"/>
        <family val="2"/>
      </rPr>
      <t>5.……</t>
    </r>
    <phoneticPr fontId="10" type="noConversion"/>
  </si>
  <si>
    <t>权利和义务</t>
    <phoneticPr fontId="10" type="noConversion"/>
  </si>
  <si>
    <t>准确性、计价和分摊</t>
    <phoneticPr fontId="10" type="noConversion"/>
  </si>
  <si>
    <t>列报</t>
    <phoneticPr fontId="10" type="noConversion"/>
  </si>
  <si>
    <r>
      <t xml:space="preserve">B. </t>
    </r>
    <r>
      <rPr>
        <sz val="10"/>
        <rFont val="宋体"/>
        <family val="3"/>
        <charset val="134"/>
      </rPr>
      <t>所有应记录的合同履约成本均已记录，所有应当包括在财务报表中的相关披露均已包括</t>
    </r>
    <phoneticPr fontId="10" type="noConversion"/>
  </si>
  <si>
    <r>
      <t xml:space="preserve">C. </t>
    </r>
    <r>
      <rPr>
        <sz val="10"/>
        <rFont val="宋体"/>
        <family val="3"/>
        <charset val="134"/>
      </rPr>
      <t>记录的合同履约成本由被审计单位拥有或控制</t>
    </r>
    <phoneticPr fontId="10" type="noConversion"/>
  </si>
  <si>
    <r>
      <t xml:space="preserve">D. </t>
    </r>
    <r>
      <rPr>
        <sz val="10"/>
        <rFont val="宋体"/>
        <family val="3"/>
        <charset val="134"/>
      </rPr>
      <t>合同履约成本以恰当的金额包括在财务报表中，与之相关的计价或分摊调整已恰当记录，相关披露已得到恰当计量和描述</t>
    </r>
    <r>
      <rPr>
        <sz val="10"/>
        <rFont val="Arial"/>
        <family val="2"/>
      </rPr>
      <t xml:space="preserve"> </t>
    </r>
    <phoneticPr fontId="10" type="noConversion"/>
  </si>
  <si>
    <r>
      <t xml:space="preserve">E. </t>
    </r>
    <r>
      <rPr>
        <sz val="10"/>
        <rFont val="宋体"/>
        <family val="3"/>
        <charset val="134"/>
      </rPr>
      <t>合同履约成本已被恰当地汇总或分解且表述清楚，相关披露在按照企业会计准则的编制基础下是相关的、可理解的</t>
    </r>
    <phoneticPr fontId="10" type="noConversion"/>
  </si>
  <si>
    <t>根据被审计单位实际情况和风险评估情况裁剪、修改或增加审计程序</t>
    <phoneticPr fontId="10" type="noConversion"/>
  </si>
  <si>
    <t>随机选样/系统选样/货币单元抽样/随意选样（非统计抽样适用）</t>
    <phoneticPr fontId="10" type="noConversion"/>
  </si>
  <si>
    <r>
      <t>1.</t>
    </r>
    <r>
      <rPr>
        <sz val="10"/>
        <rFont val="宋体"/>
        <family val="3"/>
        <charset val="134"/>
      </rPr>
      <t>本期借方金额检查比例：</t>
    </r>
    <phoneticPr fontId="7" type="noConversion"/>
  </si>
  <si>
    <t>账面金额</t>
    <phoneticPr fontId="7" type="noConversion"/>
  </si>
  <si>
    <t>检查金额</t>
    <phoneticPr fontId="7" type="noConversion"/>
  </si>
  <si>
    <t>检查比例</t>
    <phoneticPr fontId="7" type="noConversion"/>
  </si>
  <si>
    <t>项目</t>
    <phoneticPr fontId="7" type="noConversion"/>
  </si>
  <si>
    <t>本期借方</t>
    <phoneticPr fontId="7" type="noConversion"/>
  </si>
  <si>
    <t>如果检查比例较低请扩大检查样本量或说明原因</t>
    <phoneticPr fontId="10"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</si>
</sst>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43" formatCode="_ * #,##0.00_ ;_ * \-#,##0.00_ ;_ * &quot;-&quot;??_ ;_ @_ "/>
    <numFmt numFmtId="176" formatCode="#,##0.00_ "/>
    <numFmt numFmtId="177" formatCode="_([$€-2]* #,##0.00_);_([$€-2]* \(#,##0.00\);_([$€-2]* &quot;-&quot;??_)"/>
  </numFmts>
  <fonts count="67">
    <font>
      <sz val="11"/>
      <color theme="1"/>
      <name val="等线"/>
      <family val="2"/>
      <scheme val="minor"/>
    </font>
    <font>
      <sz val="11"/>
      <color theme="1"/>
      <name val="等线"/>
      <family val="2"/>
      <charset val="134"/>
      <scheme val="minor"/>
    </font>
    <font>
      <sz val="11"/>
      <color theme="1"/>
      <name val="等线"/>
      <family val="2"/>
      <charset val="134"/>
      <scheme val="minor"/>
    </font>
    <font>
      <sz val="11"/>
      <color theme="1"/>
      <name val="等线"/>
      <family val="2"/>
      <charset val="134"/>
      <scheme val="minor"/>
    </font>
    <font>
      <sz val="11"/>
      <color theme="1"/>
      <name val="等线"/>
      <family val="2"/>
      <scheme val="minor"/>
    </font>
    <font>
      <sz val="11"/>
      <color theme="1"/>
      <name val="等线"/>
      <family val="3"/>
      <charset val="134"/>
      <scheme val="minor"/>
    </font>
    <font>
      <b/>
      <sz val="10"/>
      <color indexed="8"/>
      <name val="Arial Narrow"/>
      <family val="2"/>
    </font>
    <font>
      <sz val="9"/>
      <name val="等线"/>
      <family val="3"/>
      <charset val="134"/>
      <scheme val="minor"/>
    </font>
    <font>
      <sz val="12"/>
      <name val="宋体"/>
      <family val="3"/>
      <charset val="134"/>
    </font>
    <font>
      <b/>
      <sz val="12"/>
      <color indexed="8"/>
      <name val="宋体"/>
      <family val="3"/>
      <charset val="134"/>
    </font>
    <font>
      <sz val="9"/>
      <name val="宋体"/>
      <family val="3"/>
      <charset val="134"/>
    </font>
    <font>
      <sz val="10"/>
      <color indexed="8"/>
      <name val="Arial Narrow"/>
      <family val="2"/>
    </font>
    <font>
      <sz val="10"/>
      <color indexed="8"/>
      <name val="宋体"/>
      <family val="3"/>
      <charset val="134"/>
    </font>
    <font>
      <sz val="10"/>
      <name val="宋体"/>
      <family val="3"/>
      <charset val="134"/>
    </font>
    <font>
      <b/>
      <sz val="9"/>
      <name val="宋体"/>
      <family val="3"/>
      <charset val="134"/>
    </font>
    <font>
      <b/>
      <sz val="9"/>
      <name val="Arial"/>
      <family val="2"/>
    </font>
    <font>
      <b/>
      <sz val="9"/>
      <color rgb="FFFF0000"/>
      <name val="宋体"/>
      <family val="3"/>
      <charset val="134"/>
    </font>
    <font>
      <sz val="9"/>
      <name val="Arial Narrow"/>
      <family val="2"/>
    </font>
    <font>
      <sz val="12"/>
      <name val="Arial Narrow"/>
      <family val="2"/>
    </font>
    <font>
      <b/>
      <sz val="9"/>
      <name val="Arial Narrow"/>
      <family val="2"/>
    </font>
    <font>
      <b/>
      <sz val="10"/>
      <name val="宋体"/>
      <family val="3"/>
      <charset val="134"/>
    </font>
    <font>
      <sz val="10"/>
      <color rgb="FF0000FF"/>
      <name val="宋体"/>
      <family val="3"/>
      <charset val="134"/>
    </font>
    <font>
      <b/>
      <sz val="9"/>
      <color indexed="81"/>
      <name val="宋体"/>
      <family val="3"/>
      <charset val="134"/>
    </font>
    <font>
      <sz val="9"/>
      <color indexed="81"/>
      <name val="宋体"/>
      <family val="3"/>
      <charset val="134"/>
    </font>
    <font>
      <b/>
      <sz val="12"/>
      <name val="宋体"/>
      <family val="3"/>
      <charset val="134"/>
    </font>
    <font>
      <sz val="10"/>
      <name val="Arial Narrow"/>
      <family val="2"/>
    </font>
    <font>
      <sz val="18"/>
      <color indexed="48"/>
      <name val="魏碑"/>
      <family val="3"/>
      <charset val="134"/>
    </font>
    <font>
      <sz val="9"/>
      <name val="等线"/>
      <family val="2"/>
      <charset val="134"/>
      <scheme val="minor"/>
    </font>
    <font>
      <b/>
      <sz val="10"/>
      <color rgb="FFFF0000"/>
      <name val="宋体"/>
      <family val="3"/>
      <charset val="134"/>
    </font>
    <font>
      <b/>
      <sz val="10"/>
      <color rgb="FFFF0000"/>
      <name val="Arial Narrow"/>
      <family val="2"/>
    </font>
    <font>
      <b/>
      <sz val="9"/>
      <color rgb="FFFF0000"/>
      <name val="Arial Narrow"/>
      <family val="2"/>
    </font>
    <font>
      <b/>
      <sz val="10"/>
      <name val="Arial Narrow"/>
      <family val="2"/>
    </font>
    <font>
      <b/>
      <sz val="12"/>
      <name val="Arial Narrow"/>
      <family val="2"/>
    </font>
    <font>
      <sz val="10"/>
      <name val="等线"/>
      <family val="3"/>
      <charset val="134"/>
      <scheme val="minor"/>
    </font>
    <font>
      <b/>
      <sz val="12"/>
      <color indexed="8"/>
      <name val="Arial Narrow"/>
      <family val="2"/>
    </font>
    <font>
      <b/>
      <sz val="10"/>
      <color indexed="10"/>
      <name val="Arial Narrow"/>
      <family val="2"/>
    </font>
    <font>
      <b/>
      <sz val="10"/>
      <color indexed="8"/>
      <name val="宋体"/>
      <family val="3"/>
      <charset val="134"/>
    </font>
    <font>
      <sz val="10"/>
      <name val="Times New Roman"/>
      <family val="1"/>
    </font>
    <font>
      <sz val="11"/>
      <color indexed="8"/>
      <name val="宋体"/>
      <family val="3"/>
      <charset val="134"/>
    </font>
    <font>
      <sz val="10"/>
      <color rgb="FFFF0000"/>
      <name val="宋体"/>
      <family val="3"/>
      <charset val="134"/>
    </font>
    <font>
      <b/>
      <sz val="10"/>
      <color theme="1"/>
      <name val="宋体"/>
      <family val="3"/>
      <charset val="134"/>
    </font>
    <font>
      <sz val="10"/>
      <color theme="1"/>
      <name val="宋体"/>
      <family val="3"/>
      <charset val="134"/>
    </font>
    <font>
      <sz val="10"/>
      <color rgb="FFFF0000"/>
      <name val="Arial Narrow"/>
      <family val="2"/>
    </font>
    <font>
      <sz val="12"/>
      <name val="Arial"/>
      <family val="2"/>
    </font>
    <font>
      <sz val="10.5"/>
      <name val="Arial"/>
      <family val="2"/>
    </font>
    <font>
      <sz val="10"/>
      <name val="Arial"/>
      <family val="2"/>
    </font>
    <font>
      <u/>
      <sz val="12"/>
      <color indexed="12"/>
      <name val="宋体"/>
      <family val="3"/>
      <charset val="134"/>
    </font>
    <font>
      <sz val="10"/>
      <color theme="1"/>
      <name val="Arial Narrow"/>
      <family val="2"/>
    </font>
    <font>
      <sz val="11"/>
      <color theme="1"/>
      <name val="Arial Narrow"/>
      <family val="2"/>
    </font>
    <font>
      <b/>
      <sz val="14"/>
      <name val="宋体"/>
      <family val="3"/>
      <charset val="134"/>
    </font>
    <font>
      <b/>
      <sz val="14"/>
      <name val="Arial Narrow"/>
      <family val="2"/>
    </font>
    <font>
      <sz val="10"/>
      <color indexed="12"/>
      <name val="Arial Narrow"/>
      <family val="2"/>
    </font>
    <font>
      <sz val="10"/>
      <color rgb="FF000000"/>
      <name val="宋体"/>
      <family val="3"/>
      <charset val="134"/>
    </font>
    <font>
      <b/>
      <sz val="10"/>
      <name val="Arial"/>
      <family val="2"/>
    </font>
    <font>
      <b/>
      <sz val="10"/>
      <color theme="0" tint="-0.499984740745262"/>
      <name val="Arial Narrow"/>
      <family val="2"/>
    </font>
    <font>
      <sz val="10"/>
      <color rgb="FF0000FF"/>
      <name val="Arial Narrow"/>
      <family val="2"/>
    </font>
    <font>
      <sz val="9"/>
      <color rgb="FF0000FF"/>
      <name val="Arial Narrow"/>
      <family val="2"/>
    </font>
    <font>
      <b/>
      <sz val="11"/>
      <color theme="1"/>
      <name val="Arial Narrow"/>
      <family val="2"/>
    </font>
    <font>
      <b/>
      <sz val="10"/>
      <color rgb="FF0000FF"/>
      <name val="Arial Narrow"/>
      <family val="2"/>
    </font>
    <font>
      <b/>
      <sz val="14"/>
      <color indexed="8"/>
      <name val="宋体"/>
      <family val="3"/>
      <charset val="134"/>
    </font>
    <font>
      <sz val="10"/>
      <color rgb="FF0000FF"/>
      <name val="等线"/>
      <family val="3"/>
      <charset val="134"/>
      <scheme val="minor"/>
    </font>
    <font>
      <sz val="12"/>
      <color rgb="FF0000FF"/>
      <name val="宋体"/>
      <family val="3"/>
      <charset val="134"/>
    </font>
    <font>
      <b/>
      <sz val="10"/>
      <color theme="1"/>
      <name val="等线"/>
      <family val="3"/>
      <charset val="134"/>
      <scheme val="minor"/>
    </font>
    <font>
      <b/>
      <sz val="10"/>
      <color theme="1"/>
      <name val="Arial Narrow"/>
      <family val="2"/>
    </font>
    <font>
      <b/>
      <sz val="10"/>
      <color rgb="FF0000FF"/>
      <name val="宋体"/>
      <family val="3"/>
      <charset val="134"/>
    </font>
    <font>
      <sz val="10"/>
      <name val="等线"/>
      <family val="3"/>
      <charset val="134"/>
    </font>
    <font>
      <u/>
      <sz val="12"/>
      <color rgb="FF3333FF"/>
      <name val="宋体"/>
      <family val="3"/>
      <charset val="134"/>
    </font>
  </fonts>
  <fills count="7">
    <fill>
      <patternFill patternType="none"/>
    </fill>
    <fill>
      <patternFill patternType="gray125"/>
    </fill>
    <fill>
      <patternFill patternType="solid">
        <fgColor rgb="FFE4DFEC"/>
        <bgColor rgb="FFB7DEE8"/>
      </patternFill>
    </fill>
    <fill>
      <patternFill patternType="solid">
        <fgColor indexed="22"/>
        <bgColor indexed="64"/>
      </patternFill>
    </fill>
    <fill>
      <patternFill patternType="solid">
        <fgColor rgb="FFE4DFEC"/>
        <bgColor indexed="64"/>
      </patternFill>
    </fill>
    <fill>
      <patternFill patternType="solid">
        <fgColor indexed="14"/>
        <bgColor indexed="64"/>
      </patternFill>
    </fill>
    <fill>
      <patternFill patternType="solid">
        <fgColor theme="0" tint="-0.14999847407452621"/>
        <bgColor indexed="64"/>
      </patternFill>
    </fill>
  </fills>
  <borders count="11">
    <border>
      <left/>
      <right/>
      <top/>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style="hair">
        <color indexed="64"/>
      </left>
      <right style="hair">
        <color indexed="64"/>
      </right>
      <top/>
      <bottom style="hair">
        <color indexed="64"/>
      </bottom>
      <diagonal/>
    </border>
    <border>
      <left style="hair">
        <color indexed="64"/>
      </left>
      <right/>
      <top/>
      <bottom style="hair">
        <color indexed="64"/>
      </bottom>
      <diagonal/>
    </border>
    <border>
      <left style="thin">
        <color indexed="64"/>
      </left>
      <right style="thin">
        <color indexed="64"/>
      </right>
      <top style="thin">
        <color indexed="64"/>
      </top>
      <bottom style="thin">
        <color indexed="64"/>
      </bottom>
      <diagonal/>
    </border>
    <border>
      <left/>
      <right/>
      <top/>
      <bottom style="hair">
        <color indexed="64"/>
      </bottom>
      <diagonal/>
    </border>
  </borders>
  <cellStyleXfs count="27">
    <xf numFmtId="0" fontId="0" fillId="0" borderId="0"/>
    <xf numFmtId="0" fontId="5" fillId="0" borderId="0">
      <alignment vertical="center"/>
    </xf>
    <xf numFmtId="0" fontId="8" fillId="0" borderId="0">
      <protection locked="0"/>
    </xf>
    <xf numFmtId="0" fontId="13" fillId="0" borderId="0"/>
    <xf numFmtId="0" fontId="8" fillId="0" borderId="0">
      <alignment vertical="center"/>
    </xf>
    <xf numFmtId="43" fontId="8" fillId="0" borderId="0" applyFont="0" applyFill="0" applyBorder="0" applyAlignment="0" applyProtection="0"/>
    <xf numFmtId="0" fontId="8" fillId="0" borderId="0">
      <alignment vertical="center"/>
    </xf>
    <xf numFmtId="0" fontId="8" fillId="0" borderId="0">
      <alignment vertical="center"/>
    </xf>
    <xf numFmtId="0" fontId="8" fillId="0" borderId="0"/>
    <xf numFmtId="0" fontId="8" fillId="0" borderId="0">
      <alignment vertical="center"/>
    </xf>
    <xf numFmtId="0" fontId="8" fillId="0" borderId="0">
      <protection locked="0"/>
    </xf>
    <xf numFmtId="0" fontId="8" fillId="0" borderId="0">
      <alignment vertical="center"/>
    </xf>
    <xf numFmtId="43" fontId="38" fillId="0" borderId="0" applyFont="0" applyFill="0" applyBorder="0" applyAlignment="0" applyProtection="0">
      <alignment vertical="center"/>
    </xf>
    <xf numFmtId="0" fontId="8" fillId="0" borderId="0"/>
    <xf numFmtId="0" fontId="3" fillId="0" borderId="0">
      <alignment vertical="center"/>
    </xf>
    <xf numFmtId="43" fontId="4" fillId="0" borderId="0" applyFont="0" applyFill="0" applyBorder="0" applyAlignment="0" applyProtection="0">
      <alignment vertical="center"/>
    </xf>
    <xf numFmtId="43" fontId="8" fillId="0" borderId="0" applyFont="0" applyFill="0" applyBorder="0" applyAlignment="0" applyProtection="0"/>
    <xf numFmtId="43" fontId="8" fillId="0" borderId="0" applyFont="0" applyFill="0" applyBorder="0" applyAlignment="0" applyProtection="0">
      <alignment vertical="center"/>
    </xf>
    <xf numFmtId="0" fontId="8" fillId="0" borderId="0">
      <alignment vertical="center"/>
    </xf>
    <xf numFmtId="43" fontId="4" fillId="0" borderId="0" applyFont="0" applyFill="0" applyBorder="0" applyAlignment="0" applyProtection="0">
      <alignment vertical="center"/>
    </xf>
    <xf numFmtId="0" fontId="46" fillId="0" borderId="0" applyNumberFormat="0" applyFill="0" applyBorder="0" applyAlignment="0" applyProtection="0">
      <alignment vertical="top"/>
      <protection locked="0"/>
    </xf>
    <xf numFmtId="177" fontId="8" fillId="0" borderId="0">
      <alignment vertical="center"/>
    </xf>
    <xf numFmtId="177" fontId="2" fillId="0" borderId="0">
      <alignment vertical="center"/>
    </xf>
    <xf numFmtId="0" fontId="8" fillId="0" borderId="0">
      <protection locked="0"/>
    </xf>
    <xf numFmtId="0" fontId="8" fillId="0" borderId="0">
      <alignment vertical="center"/>
      <protection locked="0"/>
    </xf>
    <xf numFmtId="9" fontId="4" fillId="0" borderId="0" applyFont="0" applyFill="0" applyBorder="0" applyAlignment="0" applyProtection="0">
      <alignment vertical="center"/>
    </xf>
    <xf numFmtId="177" fontId="1" fillId="0" borderId="0">
      <alignment vertical="center"/>
    </xf>
  </cellStyleXfs>
  <cellXfs count="263">
    <xf numFmtId="0" fontId="0" fillId="0" borderId="0" xfId="0"/>
    <xf numFmtId="0" fontId="8" fillId="0" borderId="0" xfId="2">
      <protection locked="0"/>
    </xf>
    <xf numFmtId="0" fontId="11" fillId="0" borderId="0" xfId="1" applyFont="1">
      <alignment vertical="center"/>
    </xf>
    <xf numFmtId="14" fontId="11" fillId="0" borderId="0" xfId="1" applyNumberFormat="1" applyFont="1">
      <alignment vertical="center"/>
    </xf>
    <xf numFmtId="14" fontId="12" fillId="0" borderId="0" xfId="1" applyNumberFormat="1" applyFont="1">
      <alignment vertical="center"/>
    </xf>
    <xf numFmtId="0" fontId="8" fillId="0" borderId="0" xfId="2" applyAlignment="1">
      <alignment wrapText="1"/>
      <protection locked="0"/>
    </xf>
    <xf numFmtId="0" fontId="17" fillId="0" borderId="1" xfId="4" applyFont="1" applyBorder="1" applyAlignment="1" applyProtection="1">
      <alignment horizontal="left" vertical="center"/>
      <protection locked="0"/>
    </xf>
    <xf numFmtId="0" fontId="17" fillId="0" borderId="1" xfId="4" applyFont="1" applyBorder="1" applyAlignment="1" applyProtection="1">
      <alignment vertical="center"/>
      <protection locked="0"/>
    </xf>
    <xf numFmtId="43" fontId="17" fillId="0" borderId="1" xfId="5" applyFont="1" applyBorder="1" applyAlignment="1" applyProtection="1">
      <alignment vertical="center"/>
      <protection locked="0"/>
    </xf>
    <xf numFmtId="176" fontId="17" fillId="0" borderId="1" xfId="4" applyNumberFormat="1" applyFont="1" applyBorder="1" applyAlignment="1" applyProtection="1">
      <alignment vertical="center"/>
      <protection locked="0"/>
    </xf>
    <xf numFmtId="0" fontId="18" fillId="0" borderId="0" xfId="2" applyFont="1">
      <protection locked="0"/>
    </xf>
    <xf numFmtId="0" fontId="17" fillId="0" borderId="1" xfId="4" applyFont="1" applyFill="1" applyBorder="1" applyAlignment="1" applyProtection="1">
      <alignment horizontal="left" vertical="center" shrinkToFit="1"/>
      <protection locked="0"/>
    </xf>
    <xf numFmtId="0" fontId="17" fillId="0" borderId="1" xfId="4" applyFont="1" applyFill="1" applyBorder="1" applyAlignment="1" applyProtection="1">
      <alignment vertical="center" shrinkToFit="1"/>
      <protection locked="0"/>
    </xf>
    <xf numFmtId="43" fontId="17" fillId="0" borderId="1" xfId="5" applyFont="1" applyFill="1" applyBorder="1" applyAlignment="1" applyProtection="1">
      <alignment vertical="center" shrinkToFit="1"/>
      <protection locked="0"/>
    </xf>
    <xf numFmtId="176" fontId="17" fillId="0" borderId="1" xfId="4" applyNumberFormat="1" applyFont="1" applyFill="1" applyBorder="1" applyAlignment="1" applyProtection="1">
      <alignment vertical="center" shrinkToFit="1"/>
      <protection locked="0"/>
    </xf>
    <xf numFmtId="0" fontId="20" fillId="0" borderId="0" xfId="1" applyFont="1" applyBorder="1" applyAlignment="1" applyProtection="1">
      <alignment vertical="center"/>
      <protection locked="0"/>
    </xf>
    <xf numFmtId="0" fontId="21" fillId="0" borderId="0" xfId="2" applyFont="1">
      <protection locked="0"/>
    </xf>
    <xf numFmtId="0" fontId="21" fillId="0" borderId="0" xfId="2" applyFont="1" applyFill="1" applyBorder="1">
      <protection locked="0"/>
    </xf>
    <xf numFmtId="0" fontId="25" fillId="0" borderId="0" xfId="2" applyFont="1" applyBorder="1" applyAlignment="1">
      <alignment vertical="center"/>
      <protection locked="0"/>
    </xf>
    <xf numFmtId="0" fontId="25" fillId="0" borderId="0" xfId="2" applyFont="1" applyBorder="1" applyAlignment="1">
      <alignment vertical="center" wrapText="1"/>
      <protection locked="0"/>
    </xf>
    <xf numFmtId="0" fontId="25" fillId="0" borderId="0" xfId="7" applyFont="1" applyBorder="1" applyAlignment="1">
      <alignment vertical="center"/>
    </xf>
    <xf numFmtId="0" fontId="20" fillId="0" borderId="0" xfId="8" applyFont="1" applyAlignment="1">
      <alignment vertical="center"/>
    </xf>
    <xf numFmtId="0" fontId="13" fillId="0" borderId="0" xfId="2" applyFont="1" applyBorder="1" applyAlignment="1">
      <alignment vertical="center"/>
      <protection locked="0"/>
    </xf>
    <xf numFmtId="0" fontId="25" fillId="0" borderId="0" xfId="8" applyFont="1" applyAlignment="1">
      <alignment vertical="center"/>
    </xf>
    <xf numFmtId="0" fontId="20" fillId="0" borderId="0" xfId="8" applyFont="1" applyAlignment="1">
      <alignment horizontal="left" vertical="center"/>
    </xf>
    <xf numFmtId="0" fontId="13" fillId="0" borderId="0" xfId="8" applyFont="1" applyAlignment="1">
      <alignment horizontal="left" vertical="center"/>
    </xf>
    <xf numFmtId="0" fontId="21" fillId="0" borderId="0" xfId="8" applyFont="1" applyAlignment="1">
      <alignment horizontal="left" vertical="center"/>
    </xf>
    <xf numFmtId="0" fontId="20" fillId="0" borderId="0" xfId="8" applyFont="1" applyBorder="1" applyAlignment="1">
      <alignment vertical="center"/>
    </xf>
    <xf numFmtId="0" fontId="18" fillId="0" borderId="0" xfId="2" applyFont="1" applyAlignment="1">
      <alignment horizontal="center"/>
      <protection locked="0"/>
    </xf>
    <xf numFmtId="0" fontId="29" fillId="2" borderId="1" xfId="2" applyNumberFormat="1" applyFont="1" applyFill="1" applyBorder="1" applyAlignment="1" applyProtection="1">
      <alignment horizontal="center" vertical="center" wrapText="1"/>
    </xf>
    <xf numFmtId="0" fontId="16" fillId="2" borderId="1" xfId="2" applyNumberFormat="1" applyFont="1" applyFill="1" applyBorder="1" applyAlignment="1" applyProtection="1">
      <alignment horizontal="center" vertical="center"/>
    </xf>
    <xf numFmtId="0" fontId="28" fillId="2" borderId="1" xfId="2" applyNumberFormat="1" applyFont="1" applyFill="1" applyBorder="1" applyAlignment="1" applyProtection="1">
      <alignment horizontal="center" vertical="center" wrapText="1"/>
    </xf>
    <xf numFmtId="0" fontId="28" fillId="2" borderId="5" xfId="2" applyNumberFormat="1" applyFont="1" applyFill="1" applyBorder="1" applyAlignment="1" applyProtection="1">
      <alignment horizontal="center" vertical="center" wrapText="1"/>
    </xf>
    <xf numFmtId="0" fontId="28" fillId="2" borderId="1" xfId="2" applyNumberFormat="1" applyFont="1" applyFill="1" applyBorder="1" applyAlignment="1" applyProtection="1">
      <alignment horizontal="center" vertical="center"/>
    </xf>
    <xf numFmtId="0" fontId="17" fillId="0" borderId="1" xfId="9" applyNumberFormat="1" applyFont="1" applyFill="1" applyBorder="1" applyAlignment="1" applyProtection="1">
      <alignment horizontal="left" vertical="center" wrapText="1"/>
    </xf>
    <xf numFmtId="0" fontId="10" fillId="0" borderId="1" xfId="9" applyNumberFormat="1" applyFont="1" applyFill="1" applyBorder="1" applyAlignment="1" applyProtection="1">
      <alignment horizontal="left" vertical="center" wrapText="1"/>
    </xf>
    <xf numFmtId="49" fontId="17" fillId="0" borderId="1" xfId="9" applyNumberFormat="1" applyFont="1" applyFill="1" applyBorder="1" applyAlignment="1" applyProtection="1">
      <alignment horizontal="left" vertical="center" wrapText="1"/>
    </xf>
    <xf numFmtId="0" fontId="17" fillId="0" borderId="1" xfId="9" applyNumberFormat="1" applyFont="1" applyFill="1" applyBorder="1" applyAlignment="1" applyProtection="1">
      <alignment horizontal="center" vertical="center" wrapText="1"/>
    </xf>
    <xf numFmtId="0" fontId="10" fillId="0" borderId="1" xfId="9" applyNumberFormat="1" applyFont="1" applyFill="1" applyBorder="1" applyAlignment="1" applyProtection="1">
      <alignment horizontal="center" vertical="center" wrapText="1"/>
    </xf>
    <xf numFmtId="43" fontId="17" fillId="0" borderId="1" xfId="9" applyNumberFormat="1" applyFont="1" applyFill="1" applyBorder="1" applyAlignment="1" applyProtection="1">
      <alignment horizontal="center" vertical="center" wrapText="1" shrinkToFit="1"/>
    </xf>
    <xf numFmtId="43" fontId="17" fillId="0" borderId="1" xfId="5" applyFont="1" applyFill="1" applyBorder="1" applyAlignment="1" applyProtection="1">
      <alignment horizontal="center" vertical="center" wrapText="1" shrinkToFit="1"/>
    </xf>
    <xf numFmtId="0" fontId="10" fillId="0" borderId="1" xfId="9" applyNumberFormat="1" applyFont="1" applyFill="1" applyBorder="1" applyAlignment="1" applyProtection="1">
      <alignment horizontal="center" vertical="center" wrapText="1" shrinkToFit="1"/>
    </xf>
    <xf numFmtId="43" fontId="17" fillId="0" borderId="1" xfId="5" applyFont="1" applyFill="1" applyBorder="1" applyAlignment="1" applyProtection="1">
      <alignment horizontal="center" vertical="center" wrapText="1"/>
    </xf>
    <xf numFmtId="43" fontId="17" fillId="0" borderId="5" xfId="5" applyFont="1" applyFill="1" applyBorder="1" applyAlignment="1" applyProtection="1">
      <alignment horizontal="center" vertical="center" wrapText="1"/>
    </xf>
    <xf numFmtId="0" fontId="17" fillId="0" borderId="1" xfId="9" applyNumberFormat="1" applyFont="1" applyFill="1" applyBorder="1" applyAlignment="1" applyProtection="1">
      <alignment horizontal="center" vertical="center" shrinkToFit="1"/>
    </xf>
    <xf numFmtId="49" fontId="17" fillId="0" borderId="1" xfId="9" applyNumberFormat="1" applyFont="1" applyFill="1" applyBorder="1" applyAlignment="1" applyProtection="1">
      <alignment horizontal="center" vertical="center" wrapText="1"/>
    </xf>
    <xf numFmtId="0" fontId="18" fillId="0" borderId="0" xfId="2" applyFont="1" applyFill="1">
      <protection locked="0"/>
    </xf>
    <xf numFmtId="43" fontId="17" fillId="0" borderId="1" xfId="9" applyNumberFormat="1" applyFont="1" applyFill="1" applyBorder="1" applyAlignment="1" applyProtection="1">
      <alignment horizontal="right" vertical="center" wrapText="1" shrinkToFit="1"/>
    </xf>
    <xf numFmtId="0" fontId="17" fillId="0" borderId="1" xfId="9" applyNumberFormat="1" applyFont="1" applyFill="1" applyBorder="1" applyAlignment="1" applyProtection="1">
      <alignment horizontal="right" vertical="center" wrapText="1" shrinkToFit="1"/>
    </xf>
    <xf numFmtId="43" fontId="17" fillId="0" borderId="1" xfId="5" applyFont="1" applyFill="1" applyBorder="1" applyAlignment="1" applyProtection="1">
      <alignment horizontal="right" vertical="center" wrapText="1" shrinkToFit="1"/>
    </xf>
    <xf numFmtId="43" fontId="17" fillId="0" borderId="1" xfId="9" applyNumberFormat="1" applyFont="1" applyFill="1" applyBorder="1" applyAlignment="1" applyProtection="1">
      <alignment horizontal="right" vertical="center" shrinkToFit="1"/>
    </xf>
    <xf numFmtId="0" fontId="32" fillId="0" borderId="0" xfId="2" applyFont="1">
      <protection locked="0"/>
    </xf>
    <xf numFmtId="0" fontId="20" fillId="0" borderId="0" xfId="2" applyFont="1" applyBorder="1" applyAlignment="1">
      <alignment vertical="center"/>
      <protection locked="0"/>
    </xf>
    <xf numFmtId="0" fontId="25" fillId="0" borderId="0" xfId="2" applyFont="1" applyAlignment="1">
      <alignment vertical="center"/>
      <protection locked="0"/>
    </xf>
    <xf numFmtId="0" fontId="31" fillId="0" borderId="0" xfId="2" applyFont="1" applyAlignment="1">
      <alignment vertical="center"/>
      <protection locked="0"/>
    </xf>
    <xf numFmtId="0" fontId="20" fillId="0" borderId="0" xfId="2" applyFont="1" applyAlignment="1">
      <alignment vertical="center"/>
      <protection locked="0"/>
    </xf>
    <xf numFmtId="0" fontId="6" fillId="0" borderId="0" xfId="1" applyFont="1">
      <alignment vertical="center"/>
    </xf>
    <xf numFmtId="0" fontId="9" fillId="0" borderId="0" xfId="1" applyFont="1">
      <alignment vertical="center"/>
    </xf>
    <xf numFmtId="0" fontId="34" fillId="0" borderId="0" xfId="1" applyFont="1">
      <alignment vertical="center"/>
    </xf>
    <xf numFmtId="0" fontId="35" fillId="0" borderId="0" xfId="1" applyFont="1">
      <alignment vertical="center"/>
    </xf>
    <xf numFmtId="0" fontId="36" fillId="0" borderId="0" xfId="10" applyFont="1" applyFill="1" applyAlignment="1" applyProtection="1">
      <alignment vertical="center"/>
    </xf>
    <xf numFmtId="0" fontId="25" fillId="0" borderId="0" xfId="1" applyFont="1" applyAlignment="1" applyProtection="1">
      <alignment vertical="center"/>
      <protection locked="0"/>
    </xf>
    <xf numFmtId="0" fontId="6" fillId="0" borderId="0" xfId="10" applyFont="1" applyFill="1" applyAlignment="1" applyProtection="1">
      <alignment vertical="center"/>
    </xf>
    <xf numFmtId="0" fontId="25" fillId="0" borderId="0" xfId="7" applyFont="1" applyAlignment="1">
      <alignment vertical="center"/>
    </xf>
    <xf numFmtId="0" fontId="13" fillId="0" borderId="0" xfId="1" applyFont="1" applyBorder="1" applyAlignment="1" applyProtection="1">
      <alignment vertical="center"/>
      <protection locked="0"/>
    </xf>
    <xf numFmtId="0" fontId="25" fillId="0" borderId="0" xfId="1" applyFont="1" applyBorder="1" applyAlignment="1" applyProtection="1">
      <alignment vertical="center"/>
      <protection locked="0"/>
    </xf>
    <xf numFmtId="0" fontId="13" fillId="0" borderId="0" xfId="1" applyFont="1" applyBorder="1" applyAlignment="1" applyProtection="1">
      <alignment horizontal="right" vertical="center"/>
      <protection locked="0"/>
    </xf>
    <xf numFmtId="0" fontId="10" fillId="0" borderId="0" xfId="11" applyNumberFormat="1" applyFont="1" applyFill="1" applyBorder="1" applyAlignment="1" applyProtection="1">
      <alignment horizontal="left" vertical="center"/>
    </xf>
    <xf numFmtId="49" fontId="31" fillId="0" borderId="0" xfId="12" applyNumberFormat="1" applyFont="1" applyFill="1" applyAlignment="1" applyProtection="1">
      <alignment horizontal="right" vertical="center" shrinkToFit="1"/>
    </xf>
    <xf numFmtId="0" fontId="13" fillId="0" borderId="0" xfId="10" applyFont="1" applyFill="1" applyAlignment="1" applyProtection="1">
      <alignment vertical="center"/>
    </xf>
    <xf numFmtId="0" fontId="31" fillId="0" borderId="0" xfId="10" applyFont="1" applyFill="1" applyAlignment="1" applyProtection="1">
      <alignment horizontal="left" vertical="center"/>
    </xf>
    <xf numFmtId="0" fontId="25" fillId="0" borderId="0" xfId="10" applyFont="1" applyBorder="1" applyAlignment="1">
      <alignment vertical="center"/>
      <protection locked="0"/>
    </xf>
    <xf numFmtId="0" fontId="25" fillId="0" borderId="0" xfId="10" applyFont="1" applyBorder="1" applyAlignment="1">
      <alignment horizontal="right" vertical="center"/>
      <protection locked="0"/>
    </xf>
    <xf numFmtId="0" fontId="25" fillId="0" borderId="0" xfId="10" applyFont="1" applyBorder="1" applyAlignment="1">
      <alignment horizontal="justify" vertical="center" wrapText="1"/>
      <protection locked="0"/>
    </xf>
    <xf numFmtId="0" fontId="25" fillId="0" borderId="0" xfId="10" applyFont="1" applyAlignment="1">
      <alignment vertical="center"/>
      <protection locked="0"/>
    </xf>
    <xf numFmtId="0" fontId="40" fillId="0" borderId="0" xfId="10" applyFont="1" applyFill="1" applyAlignment="1" applyProtection="1">
      <alignment vertical="center"/>
    </xf>
    <xf numFmtId="0" fontId="41" fillId="0" borderId="0" xfId="10" applyFont="1" applyFill="1" applyAlignment="1" applyProtection="1">
      <alignment vertical="center"/>
    </xf>
    <xf numFmtId="0" fontId="6" fillId="0" borderId="0" xfId="1" applyFont="1" applyAlignment="1">
      <alignment horizontal="center" vertical="center"/>
    </xf>
    <xf numFmtId="0" fontId="39" fillId="0" borderId="3" xfId="1" applyFont="1" applyFill="1" applyBorder="1">
      <alignment vertical="center"/>
    </xf>
    <xf numFmtId="43" fontId="11" fillId="0" borderId="1" xfId="12" applyFont="1" applyFill="1" applyBorder="1">
      <alignment vertical="center"/>
    </xf>
    <xf numFmtId="43" fontId="12" fillId="0" borderId="1" xfId="12" applyFont="1" applyFill="1" applyBorder="1" applyAlignment="1">
      <alignment horizontal="center" vertical="center"/>
    </xf>
    <xf numFmtId="43" fontId="11" fillId="0" borderId="1" xfId="12" applyFont="1" applyFill="1" applyBorder="1" applyAlignment="1">
      <alignment horizontal="center" vertical="center"/>
    </xf>
    <xf numFmtId="0" fontId="10" fillId="0" borderId="1" xfId="13" applyFont="1" applyFill="1" applyBorder="1" applyAlignment="1" applyProtection="1">
      <alignment horizontal="center"/>
      <protection locked="0"/>
    </xf>
    <xf numFmtId="0" fontId="31" fillId="0" borderId="0" xfId="1" applyFont="1" applyBorder="1" applyAlignment="1" applyProtection="1">
      <alignment vertical="center"/>
      <protection locked="0"/>
    </xf>
    <xf numFmtId="0" fontId="12" fillId="0" borderId="0" xfId="1" applyFont="1">
      <alignment vertical="center"/>
    </xf>
    <xf numFmtId="0" fontId="42" fillId="0" borderId="3" xfId="1" applyFont="1" applyFill="1" applyBorder="1">
      <alignment vertical="center"/>
    </xf>
    <xf numFmtId="0" fontId="33" fillId="3" borderId="0" xfId="13" applyFont="1" applyFill="1" applyAlignment="1">
      <alignment vertical="center"/>
    </xf>
    <xf numFmtId="0" fontId="33" fillId="3" borderId="0" xfId="13" applyFont="1" applyFill="1" applyAlignment="1">
      <alignment horizontal="left" vertical="center"/>
    </xf>
    <xf numFmtId="0" fontId="25" fillId="0" borderId="0" xfId="2" applyFont="1" applyFill="1" applyBorder="1" applyAlignment="1">
      <alignment vertical="center"/>
      <protection locked="0"/>
    </xf>
    <xf numFmtId="0" fontId="31" fillId="0" borderId="0" xfId="8" applyFont="1" applyBorder="1" applyAlignment="1">
      <alignment vertical="center"/>
    </xf>
    <xf numFmtId="0" fontId="25" fillId="0" borderId="0" xfId="3" applyFont="1" applyFill="1"/>
    <xf numFmtId="0" fontId="25" fillId="0" borderId="0" xfId="3" applyFont="1" applyFill="1" applyAlignment="1">
      <alignment horizontal="center" vertical="center"/>
    </xf>
    <xf numFmtId="0" fontId="25" fillId="0" borderId="1" xfId="3" applyFont="1" applyFill="1" applyBorder="1" applyAlignment="1">
      <alignment horizontal="left"/>
    </xf>
    <xf numFmtId="0" fontId="13" fillId="0" borderId="1" xfId="3" applyFont="1" applyFill="1" applyBorder="1"/>
    <xf numFmtId="9" fontId="25" fillId="0" borderId="1" xfId="3" applyNumberFormat="1" applyFont="1" applyFill="1" applyBorder="1" applyAlignment="1">
      <alignment horizontal="center"/>
    </xf>
    <xf numFmtId="43" fontId="25" fillId="0" borderId="1" xfId="17" applyFont="1" applyFill="1" applyBorder="1" applyAlignment="1"/>
    <xf numFmtId="0" fontId="25" fillId="0" borderId="1" xfId="3" applyFont="1" applyFill="1" applyBorder="1"/>
    <xf numFmtId="43" fontId="25" fillId="0" borderId="1" xfId="16" applyFont="1" applyFill="1" applyBorder="1"/>
    <xf numFmtId="0" fontId="20" fillId="0" borderId="0" xfId="18" applyFont="1">
      <alignment vertical="center"/>
    </xf>
    <xf numFmtId="0" fontId="25" fillId="0" borderId="0" xfId="18" applyFont="1">
      <alignment vertical="center"/>
    </xf>
    <xf numFmtId="0" fontId="16" fillId="4" borderId="1" xfId="4" applyFont="1" applyFill="1" applyBorder="1" applyAlignment="1" applyProtection="1">
      <alignment horizontal="center" vertical="center" wrapText="1"/>
      <protection locked="0"/>
    </xf>
    <xf numFmtId="0" fontId="31" fillId="4" borderId="1" xfId="2" applyFont="1" applyFill="1" applyBorder="1" applyAlignment="1">
      <alignment horizontal="center" vertical="center"/>
      <protection locked="0"/>
    </xf>
    <xf numFmtId="0" fontId="31" fillId="4" borderId="1" xfId="2" applyFont="1" applyFill="1" applyBorder="1" applyAlignment="1">
      <alignment horizontal="center" vertical="center" wrapText="1"/>
      <protection locked="0"/>
    </xf>
    <xf numFmtId="0" fontId="19" fillId="4" borderId="1" xfId="9" applyNumberFormat="1" applyFont="1" applyFill="1" applyBorder="1" applyAlignment="1" applyProtection="1">
      <alignment horizontal="center" vertical="center" wrapText="1"/>
    </xf>
    <xf numFmtId="49" fontId="19" fillId="4" borderId="1" xfId="9" applyNumberFormat="1" applyFont="1" applyFill="1" applyBorder="1" applyAlignment="1" applyProtection="1">
      <alignment horizontal="left" vertical="center" wrapText="1"/>
    </xf>
    <xf numFmtId="43" fontId="19" fillId="4" borderId="1" xfId="5" applyFont="1" applyFill="1" applyBorder="1" applyAlignment="1" applyProtection="1">
      <alignment horizontal="left" vertical="center" wrapText="1"/>
    </xf>
    <xf numFmtId="43" fontId="19" fillId="4" borderId="1" xfId="9" applyNumberFormat="1" applyFont="1" applyFill="1" applyBorder="1" applyAlignment="1" applyProtection="1">
      <alignment horizontal="right" vertical="center" shrinkToFit="1"/>
    </xf>
    <xf numFmtId="49" fontId="19" fillId="4" borderId="1" xfId="9" applyNumberFormat="1" applyFont="1" applyFill="1" applyBorder="1" applyAlignment="1" applyProtection="1">
      <alignment horizontal="center" vertical="center" wrapText="1"/>
    </xf>
    <xf numFmtId="43" fontId="19" fillId="4" borderId="1" xfId="5" applyFont="1" applyFill="1" applyBorder="1" applyAlignment="1">
      <alignment horizontal="center" vertical="center" shrinkToFit="1"/>
    </xf>
    <xf numFmtId="43" fontId="19" fillId="4" borderId="1" xfId="5" applyFont="1" applyFill="1" applyBorder="1" applyAlignment="1">
      <alignment vertical="center" shrinkToFit="1"/>
    </xf>
    <xf numFmtId="0" fontId="14" fillId="4" borderId="1" xfId="13" applyFont="1" applyFill="1" applyBorder="1" applyAlignment="1" applyProtection="1">
      <alignment horizontal="center" vertical="center"/>
      <protection locked="0"/>
    </xf>
    <xf numFmtId="0" fontId="14" fillId="4" borderId="1" xfId="13" applyFont="1" applyFill="1" applyBorder="1" applyAlignment="1" applyProtection="1">
      <alignment horizontal="center" vertical="center" wrapText="1"/>
      <protection locked="0"/>
    </xf>
    <xf numFmtId="0" fontId="20" fillId="4" borderId="1" xfId="13" applyFont="1" applyFill="1" applyBorder="1" applyAlignment="1" applyProtection="1">
      <alignment horizontal="center" vertical="center"/>
      <protection locked="0"/>
    </xf>
    <xf numFmtId="43" fontId="11" fillId="4" borderId="1" xfId="12" applyFont="1" applyFill="1" applyBorder="1" applyAlignment="1">
      <alignment horizontal="right" vertical="center"/>
    </xf>
    <xf numFmtId="0" fontId="36" fillId="4" borderId="1" xfId="2" applyFont="1" applyFill="1" applyBorder="1" applyAlignment="1" applyProtection="1">
      <alignment horizontal="center" vertical="center" wrapText="1"/>
    </xf>
    <xf numFmtId="0" fontId="36" fillId="4" borderId="1" xfId="1" applyFont="1" applyFill="1" applyBorder="1" applyAlignment="1">
      <alignment horizontal="center" vertical="center" wrapText="1"/>
    </xf>
    <xf numFmtId="0" fontId="31" fillId="4" borderId="1" xfId="13" applyFont="1" applyFill="1" applyBorder="1" applyAlignment="1" applyProtection="1">
      <alignment horizontal="center" vertical="center"/>
      <protection locked="0"/>
    </xf>
    <xf numFmtId="0" fontId="31" fillId="4" borderId="1" xfId="3" applyNumberFormat="1" applyFont="1" applyFill="1" applyBorder="1" applyAlignment="1">
      <alignment horizontal="center" vertical="center"/>
    </xf>
    <xf numFmtId="0" fontId="31" fillId="4" borderId="1" xfId="3" applyNumberFormat="1" applyFont="1" applyFill="1" applyBorder="1" applyAlignment="1">
      <alignment horizontal="center" vertical="center" wrapText="1"/>
    </xf>
    <xf numFmtId="0" fontId="25" fillId="4" borderId="1" xfId="3" applyFont="1" applyFill="1" applyBorder="1" applyAlignment="1">
      <alignment horizontal="center" vertical="center"/>
    </xf>
    <xf numFmtId="43" fontId="25" fillId="4" borderId="1" xfId="16" applyFont="1" applyFill="1" applyBorder="1" applyAlignment="1">
      <alignment horizontal="center" vertical="center"/>
    </xf>
    <xf numFmtId="43" fontId="25" fillId="4" borderId="1" xfId="3" applyNumberFormat="1" applyFont="1" applyFill="1" applyBorder="1" applyAlignment="1">
      <alignment horizontal="center" vertical="center"/>
    </xf>
    <xf numFmtId="43" fontId="25" fillId="4" borderId="1" xfId="16" applyFont="1" applyFill="1" applyBorder="1"/>
    <xf numFmtId="43" fontId="25" fillId="4" borderId="1" xfId="3" applyNumberFormat="1" applyFont="1" applyFill="1" applyBorder="1"/>
    <xf numFmtId="0" fontId="31" fillId="4" borderId="1" xfId="3" applyFont="1" applyFill="1" applyBorder="1" applyAlignment="1">
      <alignment horizontal="center" vertical="center"/>
    </xf>
    <xf numFmtId="0" fontId="31" fillId="4" borderId="1" xfId="3" applyFont="1" applyFill="1" applyBorder="1"/>
    <xf numFmtId="43" fontId="31" fillId="4" borderId="1" xfId="3" applyNumberFormat="1" applyFont="1" applyFill="1" applyBorder="1"/>
    <xf numFmtId="0" fontId="24" fillId="0" borderId="0" xfId="2" applyFont="1" applyAlignment="1">
      <alignment vertical="center"/>
      <protection locked="0"/>
    </xf>
    <xf numFmtId="0" fontId="43" fillId="0" borderId="0" xfId="2" applyFont="1" applyAlignment="1">
      <alignment vertical="center"/>
      <protection locked="0"/>
    </xf>
    <xf numFmtId="0" fontId="13" fillId="5" borderId="0" xfId="2" applyFont="1" applyFill="1" applyBorder="1" applyAlignment="1">
      <alignment horizontal="justify" vertical="center" wrapText="1"/>
      <protection locked="0"/>
    </xf>
    <xf numFmtId="0" fontId="44" fillId="0" borderId="0" xfId="2" applyFont="1" applyBorder="1" applyAlignment="1">
      <alignment horizontal="justify" wrapText="1"/>
      <protection locked="0"/>
    </xf>
    <xf numFmtId="0" fontId="8" fillId="0" borderId="0" xfId="2" applyFont="1" applyAlignment="1">
      <alignment horizontal="center"/>
      <protection locked="0"/>
    </xf>
    <xf numFmtId="0" fontId="43" fillId="0" borderId="0" xfId="2" applyFont="1">
      <protection locked="0"/>
    </xf>
    <xf numFmtId="0" fontId="25" fillId="5" borderId="0" xfId="2" applyFont="1" applyFill="1" applyBorder="1" applyAlignment="1">
      <alignment horizontal="justify" vertical="center" wrapText="1"/>
      <protection locked="0"/>
    </xf>
    <xf numFmtId="0" fontId="45" fillId="0" borderId="9" xfId="2" applyFont="1" applyBorder="1" applyAlignment="1">
      <alignment horizontal="center" vertical="center"/>
      <protection locked="0"/>
    </xf>
    <xf numFmtId="0" fontId="25" fillId="0" borderId="9" xfId="2" applyFont="1" applyBorder="1" applyAlignment="1">
      <alignment horizontal="center" vertical="center"/>
      <protection locked="0"/>
    </xf>
    <xf numFmtId="0" fontId="13" fillId="5" borderId="0" xfId="2" applyFont="1" applyFill="1" applyBorder="1" applyAlignment="1" applyProtection="1">
      <alignment horizontal="justify" vertical="center" wrapText="1"/>
      <protection locked="0"/>
    </xf>
    <xf numFmtId="0" fontId="43" fillId="0" borderId="0" xfId="2" applyFont="1" applyBorder="1">
      <protection locked="0"/>
    </xf>
    <xf numFmtId="0" fontId="8" fillId="0" borderId="0" xfId="2" applyFont="1" applyAlignment="1">
      <alignment wrapText="1"/>
      <protection locked="0"/>
    </xf>
    <xf numFmtId="177" fontId="47" fillId="0" borderId="0" xfId="22" applyFont="1" applyFill="1" applyAlignment="1">
      <alignment horizontal="left" vertical="center"/>
    </xf>
    <xf numFmtId="177" fontId="47" fillId="0" borderId="0" xfId="22" applyFont="1" applyFill="1">
      <alignment vertical="center"/>
    </xf>
    <xf numFmtId="177" fontId="48" fillId="0" borderId="0" xfId="22" applyFont="1" applyFill="1">
      <alignment vertical="center"/>
    </xf>
    <xf numFmtId="177" fontId="46" fillId="0" borderId="0" xfId="20" applyNumberFormat="1" applyFill="1" applyAlignment="1" applyProtection="1">
      <alignment vertical="center"/>
    </xf>
    <xf numFmtId="177" fontId="25" fillId="0" borderId="0" xfId="22" applyFont="1" applyFill="1" applyBorder="1" applyAlignment="1" applyProtection="1">
      <alignment vertical="center"/>
      <protection locked="0"/>
    </xf>
    <xf numFmtId="0" fontId="25" fillId="0" borderId="0" xfId="23" applyFont="1" applyFill="1" applyBorder="1" applyAlignment="1">
      <alignment horizontal="left" vertical="center"/>
      <protection locked="0"/>
    </xf>
    <xf numFmtId="177" fontId="51" fillId="0" borderId="0" xfId="20" applyNumberFormat="1" applyFont="1" applyFill="1" applyBorder="1" applyAlignment="1" applyProtection="1">
      <alignment vertical="center" wrapText="1"/>
      <protection locked="0"/>
    </xf>
    <xf numFmtId="177" fontId="25" fillId="0" borderId="0" xfId="22" applyFont="1" applyFill="1" applyBorder="1" applyAlignment="1" applyProtection="1">
      <alignment vertical="center" wrapText="1"/>
      <protection locked="0"/>
    </xf>
    <xf numFmtId="0" fontId="20" fillId="0" borderId="0" xfId="2" applyFont="1" applyFill="1" applyBorder="1" applyAlignment="1" applyProtection="1">
      <alignment vertical="center"/>
      <protection locked="0"/>
    </xf>
    <xf numFmtId="177" fontId="25" fillId="0" borderId="0" xfId="22" applyFont="1" applyFill="1" applyAlignment="1" applyProtection="1">
      <alignment vertical="center"/>
      <protection locked="0"/>
    </xf>
    <xf numFmtId="177" fontId="52" fillId="0" borderId="0" xfId="22" applyFont="1">
      <alignment vertical="center"/>
    </xf>
    <xf numFmtId="49" fontId="20" fillId="0" borderId="0" xfId="22" applyNumberFormat="1" applyFont="1" applyFill="1" applyAlignment="1" applyProtection="1">
      <alignment horizontal="left" vertical="center"/>
      <protection locked="0"/>
    </xf>
    <xf numFmtId="177" fontId="31" fillId="0" borderId="0" xfId="22" applyFont="1" applyFill="1" applyAlignment="1" applyProtection="1">
      <alignment horizontal="justify" vertical="center"/>
      <protection locked="0"/>
    </xf>
    <xf numFmtId="177" fontId="29" fillId="0" borderId="0" xfId="22" applyFont="1" applyFill="1" applyAlignment="1" applyProtection="1">
      <alignment horizontal="left" vertical="center"/>
      <protection locked="0"/>
    </xf>
    <xf numFmtId="177" fontId="29" fillId="0" borderId="0" xfId="22" applyFont="1" applyFill="1" applyAlignment="1" applyProtection="1">
      <alignment horizontal="center" vertical="center"/>
      <protection locked="0"/>
    </xf>
    <xf numFmtId="177" fontId="45" fillId="0" borderId="0" xfId="22" applyFont="1" applyFill="1" applyBorder="1" applyAlignment="1" applyProtection="1">
      <alignment horizontal="center" vertical="center" wrapText="1"/>
      <protection locked="0"/>
    </xf>
    <xf numFmtId="177" fontId="45" fillId="0" borderId="0" xfId="22" applyFont="1" applyFill="1" applyAlignment="1" applyProtection="1">
      <alignment horizontal="left" vertical="center"/>
      <protection locked="0"/>
    </xf>
    <xf numFmtId="177" fontId="45" fillId="0" borderId="0" xfId="22" applyFont="1" applyFill="1" applyAlignment="1" applyProtection="1">
      <alignment vertical="center"/>
      <protection locked="0"/>
    </xf>
    <xf numFmtId="177" fontId="54" fillId="6" borderId="0" xfId="22" applyFont="1" applyFill="1" applyAlignment="1" applyProtection="1">
      <alignment horizontal="center" vertical="center"/>
      <protection locked="0"/>
    </xf>
    <xf numFmtId="49" fontId="25" fillId="0" borderId="1" xfId="22" applyNumberFormat="1" applyFont="1" applyFill="1" applyBorder="1" applyAlignment="1" applyProtection="1">
      <alignment horizontal="center" vertical="center"/>
      <protection locked="0"/>
    </xf>
    <xf numFmtId="177" fontId="41" fillId="0" borderId="1" xfId="22" applyFont="1" applyFill="1" applyBorder="1" applyAlignment="1">
      <alignment horizontal="center" vertical="center" wrapText="1"/>
    </xf>
    <xf numFmtId="177" fontId="47" fillId="0" borderId="1" xfId="22" applyFont="1" applyFill="1" applyBorder="1" applyAlignment="1">
      <alignment horizontal="center" vertical="center" wrapText="1"/>
    </xf>
    <xf numFmtId="177" fontId="40" fillId="0" borderId="1" xfId="22" applyFont="1" applyFill="1" applyBorder="1" applyAlignment="1">
      <alignment horizontal="center" vertical="center" wrapText="1"/>
    </xf>
    <xf numFmtId="177" fontId="25" fillId="0" borderId="1" xfId="22" applyFont="1" applyFill="1" applyBorder="1" applyAlignment="1">
      <alignment horizontal="center" vertical="center" wrapText="1"/>
    </xf>
    <xf numFmtId="177" fontId="54" fillId="6" borderId="0" xfId="22" applyFont="1" applyFill="1" applyAlignment="1" applyProtection="1">
      <alignment horizontal="left" vertical="center"/>
      <protection locked="0"/>
    </xf>
    <xf numFmtId="177" fontId="41" fillId="0" borderId="1" xfId="22" applyFont="1" applyFill="1" applyBorder="1" applyAlignment="1">
      <alignment vertical="center" wrapText="1"/>
    </xf>
    <xf numFmtId="177" fontId="55" fillId="6" borderId="0" xfId="22" applyFont="1" applyFill="1" applyAlignment="1" applyProtection="1">
      <alignment horizontal="left" vertical="center" wrapText="1"/>
      <protection locked="0"/>
    </xf>
    <xf numFmtId="177" fontId="56" fillId="6" borderId="0" xfId="22" applyFont="1" applyFill="1" applyAlignment="1" applyProtection="1">
      <alignment horizontal="left" vertical="center" wrapText="1"/>
      <protection locked="0"/>
    </xf>
    <xf numFmtId="177" fontId="57" fillId="0" borderId="0" xfId="22" applyFont="1" applyFill="1">
      <alignment vertical="center"/>
    </xf>
    <xf numFmtId="177" fontId="58" fillId="0" borderId="0" xfId="22" applyFont="1" applyFill="1" applyAlignment="1" applyProtection="1">
      <alignment horizontal="left" vertical="center"/>
      <protection locked="0"/>
    </xf>
    <xf numFmtId="177" fontId="28" fillId="6" borderId="0" xfId="22" applyFont="1" applyFill="1" applyAlignment="1" applyProtection="1">
      <alignment horizontal="left" vertical="center"/>
      <protection locked="0"/>
    </xf>
    <xf numFmtId="177" fontId="25" fillId="0" borderId="0" xfId="22" applyFont="1" applyFill="1" applyAlignment="1" applyProtection="1">
      <alignment horizontal="left" vertical="center" wrapText="1"/>
      <protection locked="0"/>
    </xf>
    <xf numFmtId="43" fontId="17" fillId="4" borderId="1" xfId="5" applyFont="1" applyFill="1" applyBorder="1" applyAlignment="1" applyProtection="1">
      <alignment vertical="center"/>
      <protection locked="0"/>
    </xf>
    <xf numFmtId="0" fontId="60" fillId="0" borderId="0" xfId="2" applyFont="1">
      <protection locked="0"/>
    </xf>
    <xf numFmtId="0" fontId="61" fillId="0" borderId="0" xfId="2" applyFont="1">
      <protection locked="0"/>
    </xf>
    <xf numFmtId="177" fontId="20" fillId="4" borderId="1" xfId="22" applyFont="1" applyFill="1" applyBorder="1" applyAlignment="1" applyProtection="1">
      <alignment horizontal="center" vertical="center"/>
      <protection locked="0"/>
    </xf>
    <xf numFmtId="177" fontId="20" fillId="4" borderId="1" xfId="22" applyFont="1" applyFill="1" applyBorder="1" applyAlignment="1" applyProtection="1">
      <alignment horizontal="center" vertical="center" wrapText="1"/>
      <protection locked="0"/>
    </xf>
    <xf numFmtId="0" fontId="0" fillId="0" borderId="0" xfId="0" applyProtection="1">
      <protection locked="0"/>
    </xf>
    <xf numFmtId="0" fontId="24" fillId="0" borderId="0" xfId="8" applyFont="1" applyBorder="1" applyAlignment="1">
      <alignment vertical="center"/>
    </xf>
    <xf numFmtId="0" fontId="49" fillId="0" borderId="0" xfId="8" applyFont="1" applyBorder="1" applyAlignment="1">
      <alignment vertical="center"/>
    </xf>
    <xf numFmtId="0" fontId="41" fillId="0" borderId="1" xfId="14" applyFont="1" applyBorder="1">
      <alignment vertical="center"/>
    </xf>
    <xf numFmtId="0" fontId="13" fillId="0" borderId="0" xfId="2" applyFont="1">
      <protection locked="0"/>
    </xf>
    <xf numFmtId="0" fontId="47" fillId="0" borderId="1" xfId="14" applyFont="1" applyBorder="1" applyAlignment="1">
      <alignment horizontal="left" vertical="center"/>
    </xf>
    <xf numFmtId="43" fontId="13" fillId="0" borderId="0" xfId="2" applyNumberFormat="1" applyFont="1">
      <protection locked="0"/>
    </xf>
    <xf numFmtId="0" fontId="20" fillId="0" borderId="0" xfId="2" applyFont="1">
      <protection locked="0"/>
    </xf>
    <xf numFmtId="43" fontId="47" fillId="0" borderId="1" xfId="19" applyFont="1" applyBorder="1">
      <alignment vertical="center"/>
    </xf>
    <xf numFmtId="43" fontId="47" fillId="4" borderId="1" xfId="19" applyFont="1" applyFill="1" applyBorder="1">
      <alignment vertical="center"/>
    </xf>
    <xf numFmtId="43" fontId="63" fillId="4" borderId="1" xfId="19" applyFont="1" applyFill="1" applyBorder="1">
      <alignment vertical="center"/>
    </xf>
    <xf numFmtId="0" fontId="41" fillId="4" borderId="1" xfId="14" applyFont="1" applyFill="1" applyBorder="1" applyAlignment="1">
      <alignment horizontal="center" vertical="center"/>
    </xf>
    <xf numFmtId="43" fontId="40" fillId="4" borderId="1" xfId="15" applyFont="1" applyFill="1" applyBorder="1">
      <alignment vertical="center"/>
    </xf>
    <xf numFmtId="0" fontId="64" fillId="0" borderId="0" xfId="2" applyFont="1" applyAlignment="1">
      <alignment vertical="center"/>
      <protection locked="0"/>
    </xf>
    <xf numFmtId="0" fontId="17" fillId="0" borderId="0" xfId="3" applyNumberFormat="1" applyFont="1" applyFill="1" applyAlignment="1">
      <alignment vertical="center"/>
    </xf>
    <xf numFmtId="0" fontId="17" fillId="0" borderId="0" xfId="3" applyNumberFormat="1" applyFont="1" applyFill="1" applyBorder="1" applyAlignment="1">
      <alignment vertical="center"/>
    </xf>
    <xf numFmtId="0" fontId="25" fillId="0" borderId="0" xfId="3" applyNumberFormat="1" applyFont="1" applyFill="1" applyBorder="1" applyAlignment="1" applyProtection="1">
      <alignment vertical="center"/>
    </xf>
    <xf numFmtId="0" fontId="25" fillId="0" borderId="0" xfId="14" applyNumberFormat="1" applyFont="1" applyFill="1" applyBorder="1" applyAlignment="1" applyProtection="1">
      <alignment horizontal="center" vertical="center"/>
    </xf>
    <xf numFmtId="0" fontId="25" fillId="0" borderId="0" xfId="3" applyNumberFormat="1" applyFont="1" applyFill="1" applyBorder="1" applyAlignment="1">
      <alignment vertical="center"/>
    </xf>
    <xf numFmtId="0" fontId="25" fillId="0" borderId="0" xfId="2" applyFont="1" applyFill="1">
      <protection locked="0"/>
    </xf>
    <xf numFmtId="0" fontId="25" fillId="0" borderId="0" xfId="14" applyNumberFormat="1" applyFont="1" applyFill="1" applyBorder="1" applyAlignment="1">
      <alignment vertical="center"/>
    </xf>
    <xf numFmtId="0" fontId="66" fillId="0" borderId="9" xfId="20" applyFont="1" applyBorder="1" applyAlignment="1">
      <alignment vertical="center"/>
      <protection locked="0"/>
    </xf>
    <xf numFmtId="0" fontId="42" fillId="0" borderId="0" xfId="0" applyFont="1" applyFill="1" applyBorder="1" applyAlignment="1" applyProtection="1">
      <alignment horizontal="left" vertical="center"/>
      <protection locked="0"/>
    </xf>
    <xf numFmtId="177" fontId="45" fillId="0" borderId="1" xfId="22" applyFont="1" applyFill="1" applyBorder="1" applyAlignment="1" applyProtection="1">
      <alignment horizontal="left" vertical="center" wrapText="1"/>
      <protection locked="0"/>
    </xf>
    <xf numFmtId="177" fontId="24" fillId="0" borderId="0" xfId="21" applyFont="1" applyFill="1" applyAlignment="1">
      <alignment horizontal="center" vertical="center"/>
    </xf>
    <xf numFmtId="177" fontId="49" fillId="0" borderId="0" xfId="21" applyFont="1" applyFill="1" applyAlignment="1">
      <alignment horizontal="center" vertical="center"/>
    </xf>
    <xf numFmtId="177" fontId="50" fillId="0" borderId="0" xfId="21" applyFont="1" applyFill="1" applyAlignment="1">
      <alignment horizontal="center" vertical="center"/>
    </xf>
    <xf numFmtId="177" fontId="20" fillId="4" borderId="1" xfId="22" applyFont="1" applyFill="1" applyBorder="1" applyAlignment="1" applyProtection="1">
      <alignment horizontal="center" vertical="center" wrapText="1"/>
      <protection locked="0"/>
    </xf>
    <xf numFmtId="177" fontId="13" fillId="0" borderId="1" xfId="22" applyFont="1" applyFill="1" applyBorder="1" applyAlignment="1" applyProtection="1">
      <alignment horizontal="center" vertical="center" wrapText="1"/>
      <protection locked="0"/>
    </xf>
    <xf numFmtId="177" fontId="31" fillId="4" borderId="1" xfId="22" applyFont="1" applyFill="1" applyBorder="1" applyAlignment="1" applyProtection="1">
      <alignment horizontal="center" vertical="center" wrapText="1"/>
      <protection locked="0"/>
    </xf>
    <xf numFmtId="177" fontId="20" fillId="0" borderId="10" xfId="22" applyFont="1" applyFill="1" applyBorder="1" applyAlignment="1" applyProtection="1">
      <alignment horizontal="left" vertical="center" wrapText="1"/>
      <protection locked="0"/>
    </xf>
    <xf numFmtId="49" fontId="20" fillId="4" borderId="1" xfId="22" applyNumberFormat="1" applyFont="1" applyFill="1" applyBorder="1" applyAlignment="1" applyProtection="1">
      <alignment horizontal="center" vertical="center"/>
      <protection locked="0"/>
    </xf>
    <xf numFmtId="177" fontId="20" fillId="4" borderId="1" xfId="22" applyFont="1" applyFill="1" applyBorder="1" applyAlignment="1" applyProtection="1">
      <alignment horizontal="center" vertical="center"/>
      <protection locked="0"/>
    </xf>
    <xf numFmtId="177" fontId="31" fillId="4" borderId="1" xfId="22" applyFont="1" applyFill="1" applyBorder="1" applyAlignment="1" applyProtection="1">
      <alignment horizontal="center" vertical="center"/>
      <protection locked="0"/>
    </xf>
    <xf numFmtId="177" fontId="53" fillId="4" borderId="1" xfId="22" applyFont="1" applyFill="1" applyBorder="1" applyAlignment="1" applyProtection="1">
      <alignment horizontal="center" vertical="center" wrapText="1"/>
      <protection locked="0"/>
    </xf>
    <xf numFmtId="0" fontId="19" fillId="4" borderId="3" xfId="4" applyFont="1" applyFill="1" applyBorder="1" applyAlignment="1">
      <alignment horizontal="center" vertical="center" shrinkToFit="1"/>
    </xf>
    <xf numFmtId="0" fontId="19" fillId="4" borderId="4" xfId="4" applyFont="1" applyFill="1" applyBorder="1" applyAlignment="1">
      <alignment horizontal="center" vertical="center" shrinkToFit="1"/>
    </xf>
    <xf numFmtId="0" fontId="19" fillId="4" borderId="5" xfId="4" applyFont="1" applyFill="1" applyBorder="1" applyAlignment="1">
      <alignment horizontal="center" vertical="center" shrinkToFit="1"/>
    </xf>
    <xf numFmtId="0" fontId="9" fillId="0" borderId="0" xfId="1" applyFont="1" applyAlignment="1">
      <alignment horizontal="center" vertical="center"/>
    </xf>
    <xf numFmtId="0" fontId="59" fillId="0" borderId="0" xfId="1" applyFont="1" applyAlignment="1">
      <alignment horizontal="center" vertical="center"/>
    </xf>
    <xf numFmtId="0" fontId="14" fillId="4" borderId="1" xfId="4" applyFont="1" applyFill="1" applyBorder="1" applyAlignment="1">
      <alignment horizontal="center" vertical="center" shrinkToFit="1"/>
    </xf>
    <xf numFmtId="0" fontId="15" fillId="4" borderId="1" xfId="4" applyFont="1" applyFill="1" applyBorder="1" applyAlignment="1">
      <alignment horizontal="center" vertical="center" shrinkToFit="1"/>
    </xf>
    <xf numFmtId="0" fontId="14" fillId="4" borderId="2" xfId="4" applyFont="1" applyFill="1" applyBorder="1" applyAlignment="1">
      <alignment horizontal="center" vertical="center" wrapText="1" shrinkToFit="1"/>
    </xf>
    <xf numFmtId="0" fontId="14" fillId="4" borderId="7" xfId="4" applyFont="1" applyFill="1" applyBorder="1" applyAlignment="1">
      <alignment horizontal="center" vertical="center" wrapText="1" shrinkToFit="1"/>
    </xf>
    <xf numFmtId="43" fontId="14" fillId="4" borderId="3" xfId="5" applyFont="1" applyFill="1" applyBorder="1" applyAlignment="1">
      <alignment horizontal="center" vertical="center" shrinkToFit="1"/>
    </xf>
    <xf numFmtId="43" fontId="14" fillId="4" borderId="4" xfId="5" applyFont="1" applyFill="1" applyBorder="1" applyAlignment="1">
      <alignment horizontal="center" vertical="center" shrinkToFit="1"/>
    </xf>
    <xf numFmtId="43" fontId="14" fillId="4" borderId="5" xfId="5" applyFont="1" applyFill="1" applyBorder="1" applyAlignment="1">
      <alignment horizontal="center" vertical="center" shrinkToFit="1"/>
    </xf>
    <xf numFmtId="43" fontId="14" fillId="4" borderId="6" xfId="5" applyFont="1" applyFill="1" applyBorder="1" applyAlignment="1">
      <alignment horizontal="center" vertical="center" wrapText="1" shrinkToFit="1"/>
    </xf>
    <xf numFmtId="43" fontId="14" fillId="4" borderId="8" xfId="5" applyFont="1" applyFill="1" applyBorder="1" applyAlignment="1">
      <alignment horizontal="center" vertical="center" wrapText="1" shrinkToFit="1"/>
    </xf>
    <xf numFmtId="0" fontId="14" fillId="4" borderId="3" xfId="4" applyFont="1" applyFill="1" applyBorder="1" applyAlignment="1">
      <alignment horizontal="center" vertical="center" wrapText="1" shrinkToFit="1"/>
    </xf>
    <xf numFmtId="0" fontId="14" fillId="4" borderId="4" xfId="4" applyFont="1" applyFill="1" applyBorder="1" applyAlignment="1">
      <alignment horizontal="center" vertical="center" wrapText="1" shrinkToFit="1"/>
    </xf>
    <xf numFmtId="0" fontId="14" fillId="4" borderId="5" xfId="4" applyFont="1" applyFill="1" applyBorder="1" applyAlignment="1">
      <alignment horizontal="center" vertical="center" wrapText="1" shrinkToFit="1"/>
    </xf>
    <xf numFmtId="43" fontId="15" fillId="4" borderId="1" xfId="5" applyFont="1" applyFill="1" applyBorder="1" applyAlignment="1">
      <alignment horizontal="center" vertical="center" shrinkToFit="1"/>
    </xf>
    <xf numFmtId="0" fontId="19" fillId="4" borderId="1" xfId="9" applyNumberFormat="1" applyFont="1" applyFill="1" applyBorder="1" applyAlignment="1" applyProtection="1">
      <alignment horizontal="center" vertical="center" wrapText="1"/>
    </xf>
    <xf numFmtId="0" fontId="31" fillId="2" borderId="1" xfId="2" applyNumberFormat="1" applyFont="1" applyFill="1" applyBorder="1" applyAlignment="1" applyProtection="1">
      <alignment horizontal="center" vertical="center" wrapText="1"/>
    </xf>
    <xf numFmtId="0" fontId="24" fillId="0" borderId="0" xfId="6" applyFont="1" applyBorder="1" applyAlignment="1">
      <alignment horizontal="center" vertical="center"/>
    </xf>
    <xf numFmtId="0" fontId="49" fillId="0" borderId="0" xfId="6" applyFont="1" applyBorder="1" applyAlignment="1">
      <alignment horizontal="center" vertical="center" wrapText="1"/>
    </xf>
    <xf numFmtId="0" fontId="14" fillId="4" borderId="1" xfId="9" applyNumberFormat="1" applyFont="1" applyFill="1" applyBorder="1" applyAlignment="1" applyProtection="1">
      <alignment horizontal="center" vertical="center" wrapText="1"/>
    </xf>
    <xf numFmtId="0" fontId="19" fillId="4" borderId="3" xfId="9" applyNumberFormat="1" applyFont="1" applyFill="1" applyBorder="1" applyAlignment="1" applyProtection="1">
      <alignment horizontal="center" vertical="center" wrapText="1"/>
    </xf>
    <xf numFmtId="0" fontId="19" fillId="4" borderId="4" xfId="9" applyNumberFormat="1" applyFont="1" applyFill="1" applyBorder="1" applyAlignment="1" applyProtection="1">
      <alignment horizontal="center" vertical="center" wrapText="1"/>
    </xf>
    <xf numFmtId="0" fontId="19" fillId="4" borderId="5" xfId="9" applyNumberFormat="1" applyFont="1" applyFill="1" applyBorder="1" applyAlignment="1" applyProtection="1">
      <alignment horizontal="center" vertical="center" wrapText="1"/>
    </xf>
    <xf numFmtId="0" fontId="28" fillId="2" borderId="3" xfId="2" applyNumberFormat="1" applyFont="1" applyFill="1" applyBorder="1" applyAlignment="1" applyProtection="1">
      <alignment horizontal="center" vertical="center" wrapText="1"/>
    </xf>
    <xf numFmtId="0" fontId="28" fillId="2" borderId="4" xfId="2" applyNumberFormat="1" applyFont="1" applyFill="1" applyBorder="1" applyAlignment="1" applyProtection="1">
      <alignment horizontal="center" vertical="center" wrapText="1"/>
    </xf>
    <xf numFmtId="0" fontId="28" fillId="2" borderId="5" xfId="2" applyNumberFormat="1" applyFont="1" applyFill="1" applyBorder="1" applyAlignment="1" applyProtection="1">
      <alignment horizontal="center" vertical="center" wrapText="1"/>
    </xf>
    <xf numFmtId="0" fontId="29" fillId="2" borderId="1" xfId="2" applyNumberFormat="1" applyFont="1" applyFill="1" applyBorder="1" applyAlignment="1" applyProtection="1">
      <alignment horizontal="center" vertical="center" wrapText="1"/>
    </xf>
    <xf numFmtId="0" fontId="30" fillId="4" borderId="1" xfId="9" applyNumberFormat="1" applyFont="1" applyFill="1" applyBorder="1" applyAlignment="1" applyProtection="1">
      <alignment horizontal="center" vertical="center" wrapText="1"/>
    </xf>
    <xf numFmtId="0" fontId="21" fillId="0" borderId="0" xfId="2" applyFont="1" applyAlignment="1">
      <alignment horizontal="left" wrapText="1"/>
      <protection locked="0"/>
    </xf>
    <xf numFmtId="0" fontId="24" fillId="0" borderId="0" xfId="8" applyFont="1" applyBorder="1" applyAlignment="1">
      <alignment horizontal="center" vertical="center"/>
    </xf>
    <xf numFmtId="0" fontId="49" fillId="0" borderId="0" xfId="8" applyFont="1" applyBorder="1" applyAlignment="1">
      <alignment horizontal="center" vertical="center"/>
    </xf>
    <xf numFmtId="0" fontId="21" fillId="0" borderId="0" xfId="2" applyFont="1" applyAlignment="1">
      <alignment horizontal="left" vertical="center" wrapText="1"/>
      <protection locked="0"/>
    </xf>
    <xf numFmtId="0" fontId="49" fillId="0" borderId="0" xfId="9" applyNumberFormat="1" applyFont="1" applyFill="1" applyBorder="1" applyAlignment="1" applyProtection="1">
      <alignment horizontal="center" vertical="center" wrapText="1"/>
    </xf>
    <xf numFmtId="0" fontId="6" fillId="0" borderId="0" xfId="1" applyFont="1" applyAlignment="1">
      <alignment horizontal="center" vertical="center"/>
    </xf>
    <xf numFmtId="0" fontId="39" fillId="0" borderId="0" xfId="10" applyFont="1" applyFill="1" applyAlignment="1" applyProtection="1">
      <alignment horizontal="left" vertical="center" wrapText="1"/>
    </xf>
    <xf numFmtId="177" fontId="20" fillId="4" borderId="2" xfId="22" applyFont="1" applyFill="1" applyBorder="1" applyAlignment="1" applyProtection="1">
      <alignment horizontal="center" vertical="center" wrapText="1"/>
      <protection locked="0"/>
    </xf>
    <xf numFmtId="177" fontId="20" fillId="4" borderId="7" xfId="22" applyFont="1" applyFill="1" applyBorder="1" applyAlignment="1" applyProtection="1">
      <alignment horizontal="center" vertical="center" wrapText="1"/>
      <protection locked="0"/>
    </xf>
    <xf numFmtId="177" fontId="21" fillId="0" borderId="0" xfId="26" applyFont="1" applyFill="1" applyAlignment="1">
      <alignment horizontal="left" vertical="center"/>
    </xf>
    <xf numFmtId="0" fontId="13" fillId="0" borderId="1" xfId="2" applyFont="1" applyBorder="1" applyAlignment="1">
      <alignment horizontal="center"/>
      <protection locked="0"/>
    </xf>
    <xf numFmtId="10" fontId="25" fillId="0" borderId="1" xfId="25" applyNumberFormat="1" applyFont="1" applyBorder="1" applyAlignment="1" applyProtection="1">
      <alignment horizontal="center"/>
      <protection locked="0"/>
    </xf>
    <xf numFmtId="43" fontId="25" fillId="0" borderId="1" xfId="19" applyFont="1" applyBorder="1" applyAlignment="1" applyProtection="1">
      <alignment horizontal="center"/>
      <protection locked="0"/>
    </xf>
    <xf numFmtId="43" fontId="17" fillId="0" borderId="1" xfId="19" applyFont="1" applyFill="1" applyBorder="1" applyAlignment="1" applyProtection="1">
      <alignment horizontal="left" vertical="center" wrapText="1"/>
    </xf>
    <xf numFmtId="43" fontId="17" fillId="0" borderId="1" xfId="19" applyFont="1" applyFill="1" applyBorder="1" applyAlignment="1" applyProtection="1">
      <alignment horizontal="right" vertical="center" shrinkToFit="1"/>
    </xf>
    <xf numFmtId="0" fontId="39" fillId="0" borderId="0" xfId="2" applyFont="1" applyAlignment="1">
      <alignment vertical="center"/>
      <protection locked="0"/>
    </xf>
    <xf numFmtId="0" fontId="20" fillId="4" borderId="1" xfId="14" applyFont="1" applyFill="1" applyBorder="1" applyAlignment="1">
      <alignment horizontal="center" vertical="center" wrapText="1"/>
    </xf>
    <xf numFmtId="43" fontId="20" fillId="4" borderId="1" xfId="15" applyFont="1" applyFill="1" applyBorder="1" applyAlignment="1">
      <alignment horizontal="center" vertical="center" wrapText="1"/>
    </xf>
    <xf numFmtId="0" fontId="40" fillId="4" borderId="1" xfId="14" applyFont="1" applyFill="1" applyBorder="1" applyAlignment="1">
      <alignment horizontal="center" vertical="center" wrapText="1"/>
    </xf>
    <xf numFmtId="43" fontId="62" fillId="4" borderId="3" xfId="15" applyFont="1" applyFill="1" applyBorder="1" applyAlignment="1">
      <alignment horizontal="center" vertical="center"/>
    </xf>
    <xf numFmtId="43" fontId="62" fillId="4" borderId="5" xfId="15" applyFont="1" applyFill="1" applyBorder="1" applyAlignment="1">
      <alignment horizontal="center" vertical="center"/>
    </xf>
  </cellXfs>
  <cellStyles count="27">
    <cellStyle name="百分比" xfId="25" builtinId="5"/>
    <cellStyle name="常规" xfId="0" builtinId="0"/>
    <cellStyle name="常规 10" xfId="1"/>
    <cellStyle name="常规 104" xfId="3"/>
    <cellStyle name="常规 11 4" xfId="4"/>
    <cellStyle name="常规 11 5" xfId="26"/>
    <cellStyle name="常规 124" xfId="14"/>
    <cellStyle name="常规 2" xfId="2"/>
    <cellStyle name="常规 2 2 3" xfId="10"/>
    <cellStyle name="常规 2 3" xfId="18"/>
    <cellStyle name="常规 3" xfId="23"/>
    <cellStyle name="常规 5" xfId="24"/>
    <cellStyle name="常规 7" xfId="22"/>
    <cellStyle name="常规_Book1" xfId="6"/>
    <cellStyle name="常规_Book1 2" xfId="21"/>
    <cellStyle name="常规_进一步审计程序--销售与收款循环" xfId="8"/>
    <cellStyle name="常规_立信2007年10月版(资产类)-－丁文娟" xfId="13"/>
    <cellStyle name="常规_模板 2" xfId="9"/>
    <cellStyle name="常规_样本" xfId="11"/>
    <cellStyle name="常规_制造费用" xfId="7"/>
    <cellStyle name="超链接" xfId="20" builtinId="8"/>
    <cellStyle name="千位分隔" xfId="19" builtinId="3"/>
    <cellStyle name="千位分隔 10 2" xfId="16"/>
    <cellStyle name="千位分隔 12" xfId="12"/>
    <cellStyle name="千位分隔 2" xfId="17"/>
    <cellStyle name="千位分隔 2 4" xfId="5"/>
    <cellStyle name="千位分隔 25" xfId="15"/>
  </cellStyles>
  <dxfs count="0"/>
  <tableStyles count="0" defaultTableStyle="TableStyleMedium2" defaultPivotStyle="PivotStyleLight16"/>
  <colors>
    <mruColors>
      <color rgb="FFE4DFEC"/>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4.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3.xml"/><Relationship Id="rId4" Type="http://schemas.openxmlformats.org/officeDocument/2006/relationships/worksheet" Target="worksheets/sheet4.xml"/><Relationship Id="rId9" Type="http://schemas.openxmlformats.org/officeDocument/2006/relationships/externalLink" Target="externalLinks/externalLink2.xml"/><Relationship Id="rId14"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1" Type="http://schemas.microsoft.com/office/2006/relationships/xlExternalLinkPath/xlPathMissing" Target="Worksheet%20in%205440%20Inventory"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Worksheet%20in%208240%20COS%20breakdown"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E:\Documents%20and%20Settings\bjcpauser\Local%20Settings\Temporary%20Internet%20Files\Content.IE5\MRI7UXIB\Documents%20and%20Settings\Administrator\&#26700;&#38754;\to&#65293;&#20869;&#37096;&#25511;&#21046;&#32452;\&#20854;&#20182;&#25152;\&#22825;&#24314;\&#22269;&#36152;_2005_&#38543;&#20415;.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5.&#24213;&#31295;&#27169;&#26495;\2025&#24180;&#24213;&#31295;&#20462;&#35746;\1.&#24050;&#20462;&#35746;&#24213;&#31295;\G%20&#23384;&#36135;&#24490;&#29615;\G2&#23384;&#36135;\G2-7%20G2-11%20G2-12%20G2-13%20&#23384;&#36135;&#21450;&#36300;&#20215;&#20934;&#22791;%20-&#26816;&#26597;&#31867;&#65288;Leap&#24212;&#23545;&#25514;&#26045;-&#26816;&#26597;&#65289;.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reakdown"/>
      <sheetName val="徐淮分部"/>
      <sheetName val="Stock turnover"/>
      <sheetName val="Prov-Mvmt"/>
      <sheetName val="Obsolete Stock List"/>
      <sheetName val="Negative sales"/>
      <sheetName val="XREF"/>
      <sheetName val="Tickmarks"/>
      <sheetName val="B"/>
      <sheetName val="2009年受限统计表"/>
      <sheetName val="银行存款"/>
      <sheetName val="04"/>
      <sheetName val="03"/>
      <sheetName val="表头"/>
      <sheetName val="其他应收个人"/>
      <sheetName val="Summary"/>
      <sheetName val="35.1租赁明细"/>
      <sheetName val="1"/>
      <sheetName val="2"/>
      <sheetName val="3"/>
      <sheetName val="4"/>
      <sheetName val="5"/>
      <sheetName val="6"/>
      <sheetName val="7"/>
      <sheetName val="8"/>
      <sheetName val="9"/>
      <sheetName val="10"/>
      <sheetName val="11"/>
      <sheetName val="12"/>
      <sheetName val="1-12"/>
      <sheetName val="3 (2)"/>
      <sheetName val="4 (2)"/>
      <sheetName val="5 (2)"/>
      <sheetName val="6 (2)"/>
      <sheetName val="7 (2)"/>
      <sheetName val="8 (2)"/>
      <sheetName val="9 (2)"/>
      <sheetName val="10 (2)"/>
      <sheetName val="11 (2)"/>
      <sheetName val="12 (2)"/>
      <sheetName val="1 (2)"/>
      <sheetName val="2 (2)"/>
      <sheetName val="5月"/>
      <sheetName val="6月"/>
      <sheetName val="1-10月明细表"/>
      <sheetName val="索引"/>
      <sheetName val="Investment Property"/>
      <sheetName val="대외공문"/>
      <sheetName val="2004"/>
      <sheetName val="资产负债表"/>
      <sheetName val="营业费用测试"/>
      <sheetName val="利润及分配表"/>
      <sheetName val="资产方"/>
      <sheetName val="减值准备表"/>
      <sheetName val="负债方"/>
      <sheetName val="系统参数设置"/>
      <sheetName val="固定资产清单"/>
      <sheetName val="#REF!"/>
      <sheetName val="预收帐款明细"/>
      <sheetName val="项目成本-制作成本明细G1-6"/>
      <sheetName val="固定资产明细"/>
      <sheetName val="kmmc"/>
      <sheetName val="科目表"/>
      <sheetName val="现金明细（勿删）"/>
      <sheetName val="审计调整"/>
      <sheetName val="选择键"/>
      <sheetName val="&lt;原报&gt;资产负债表"/>
      <sheetName val="W"/>
      <sheetName val="其他应收款－个人借款明细"/>
      <sheetName val="无正式发票的支出"/>
      <sheetName val="E1020"/>
      <sheetName val="UFPrn20080707101342"/>
      <sheetName val="PER SALES ORG"/>
      <sheetName val="eqpmad2"/>
      <sheetName val="本期报表"/>
      <sheetName val="Repayment Summary"/>
      <sheetName val="Breakdown-本部"/>
      <sheetName val="DATA"/>
      <sheetName val="UFPrn20061113135115"/>
      <sheetName val="KM"/>
      <sheetName val="inventory list index"/>
      <sheetName val="costing"/>
      <sheetName val="差异分摊计算表"/>
      <sheetName val="表头（请先填写）"/>
      <sheetName val="目錄"/>
      <sheetName val="生产成本"/>
      <sheetName val="完"/>
      <sheetName val="企业表一"/>
      <sheetName val="M-5C"/>
      <sheetName val="M-5A"/>
      <sheetName val="200)年受限统计表"/>
      <sheetName val="35.1租赁明滆"/>
      <sheetName val="库龄"/>
      <sheetName val="Audit Sampling Table"/>
      <sheetName val="For Ref"/>
      <sheetName val="Inventory"/>
      <sheetName val="PFS"/>
      <sheetName val="土地"/>
      <sheetName val="建筑工程"/>
      <sheetName val="装潢工程"/>
      <sheetName val="间接费用"/>
      <sheetName val="利息资本化"/>
      <sheetName val="配套工程"/>
      <sheetName val="机电工程"/>
      <sheetName val="Payment test"/>
      <sheetName val="RM"/>
      <sheetName val="在途物资"/>
      <sheetName val="WIP"/>
      <sheetName val="FG"/>
      <sheetName val="跌价准备"/>
      <sheetName val="跌价准备清单"/>
      <sheetName val="Sample Design"/>
      <sheetName val="税金汇总"/>
      <sheetName val="1-6yue"/>
      <sheetName val="原材料余额表"/>
      <sheetName val="For Report"/>
      <sheetName val="BKD"/>
      <sheetName val="商品明細"/>
      <sheetName val="PFD"/>
      <sheetName val="开发产品-三期"/>
      <sheetName val="PFS SAR"/>
      <sheetName val="Property For Rental"/>
      <sheetName val="开发成本汇总表-南块"/>
      <sheetName val="南块会所成本调整及PFS"/>
      <sheetName val="开发成本汇总表-北块"/>
      <sheetName val="北块PFS"/>
      <sheetName val="会所"/>
      <sheetName val="PUD"/>
      <sheetName val="开发成本汇总表"/>
      <sheetName val="项目 Summary"/>
      <sheetName val="Confirmation Control"/>
      <sheetName val="Payment Detail"/>
      <sheetName val="项目"/>
      <sheetName val="2006"/>
      <sheetName val="建筑"/>
      <sheetName val="机电"/>
      <sheetName val="装潢"/>
      <sheetName val="在途存货清单及测试"/>
      <sheetName val="lookup"/>
      <sheetName val="Unit Information"/>
      <sheetName val="Company Information"/>
      <sheetName val="基础数据"/>
      <sheetName val="主营业务税金及附加Dy"/>
      <sheetName val="应收账款Dy"/>
      <sheetName val="YS02-02"/>
      <sheetName val="Appendix"/>
      <sheetName val="3mon-1Year"/>
      <sheetName val="per mgt"/>
      <sheetName val="above5y"/>
      <sheetName val="1-3MON"/>
      <sheetName val="1year-5year"/>
      <sheetName val="个人借款明细"/>
      <sheetName val="POWER ASSUMPTIONS"/>
      <sheetName val="21710103"/>
      <sheetName val="2171010501"/>
      <sheetName val="2171010502"/>
      <sheetName val="217102"/>
      <sheetName val="cover"/>
      <sheetName val="Toolbox"/>
      <sheetName val="PTC"/>
      <sheetName val="Worksheet in 8240 COS breakdown"/>
      <sheetName val="余额表"/>
      <sheetName val="内部销售明细表"/>
      <sheetName val="预付账款Dy"/>
      <sheetName val="STATPARA"/>
      <sheetName val="Lead"/>
      <sheetName val="CF"/>
      <sheetName val="preBS"/>
      <sheetName val="preCF"/>
      <sheetName val="preIS"/>
      <sheetName val="preCE"/>
      <sheetName val="TB"/>
      <sheetName val="主营业务成本Dy"/>
      <sheetName val="分录"/>
      <sheetName val="存货_包装物"/>
      <sheetName val="存货_库存商品mx"/>
      <sheetName val="存货_生产成本mx1"/>
      <sheetName val="存货_委托加工物资mx"/>
      <sheetName val="存货_制造费用Mx"/>
      <sheetName val="坏账准备_其他应收款Dy"/>
      <sheetName val="营业外收入Dy"/>
      <sheetName val="固定资产Dy"/>
      <sheetName val="累计折旧Dy"/>
      <sheetName val="界面"/>
      <sheetName val="Payroll"/>
      <sheetName val="递延税款Dy"/>
      <sheetName val="资本公积Dy"/>
      <sheetName val="盈余公积Dy"/>
      <sheetName val="未分配利润Dy"/>
      <sheetName val="补贴收入Dy"/>
      <sheetName val="所得税Dy"/>
      <sheetName val="坏账准备_应收账款Dy"/>
      <sheetName val="预收账款Dy"/>
      <sheetName val="应交税金Dy"/>
      <sheetName val="其他应交款Dy"/>
      <sheetName val="主营业务收入Dy"/>
      <sheetName val="坏账准备_应收账款Mx"/>
      <sheetName val="专项应付款Dy"/>
      <sheetName val="Ðì»´·Ö²¿"/>
      <sheetName val="工作表目录"/>
      <sheetName val="明细表"/>
      <sheetName val="固定资产(原表)"/>
      <sheetName val="Worksheet in 5440 Inventory"/>
      <sheetName val="XL4Poppy"/>
      <sheetName val="09差异分摊计算表"/>
      <sheetName val="08差异分摊计算表"/>
      <sheetName val="7-11销售"/>
      <sheetName val="FA-2"/>
      <sheetName val="BALANCE SHEET"/>
      <sheetName val="制造费用"/>
      <sheetName val="关联交易-存款"/>
      <sheetName val="报表科目"/>
      <sheetName val="Stock turnove_x0002_"/>
      <sheetName val="凤县折旧测算"/>
      <sheetName val="附注汇总"/>
      <sheetName val="应收账款贷方余额表"/>
      <sheetName val="应收账款借方余额表"/>
      <sheetName val="应收账款余额表"/>
      <sheetName val="试算"/>
      <sheetName val="科目名称表"/>
      <sheetName val="表头信息"/>
      <sheetName val="国内CP2产品收入明细"/>
      <sheetName val="Sheet1"/>
      <sheetName val="original"/>
      <sheetName val="账面外销"/>
      <sheetName val="调整分录汇总"/>
      <sheetName val="收入明细－按客户"/>
      <sheetName val="折旧测试2007"/>
      <sheetName val="剥离前"/>
      <sheetName val="Stock turnove_x005f_x0002_"/>
      <sheetName val="中山低值"/>
      <sheetName val="C_301"/>
      <sheetName val="C_311"/>
      <sheetName val="C_318"/>
      <sheetName val="内部往来"/>
      <sheetName val="材料采购-入库"/>
      <sheetName val="原材料－其他"/>
      <sheetName val="材料成本差异－运费等"/>
      <sheetName val="_______"/>
      <sheetName val="核算项目余额表"/>
      <sheetName val="应交税金"/>
      <sheetName val="G.1R-Shou COP Gf"/>
      <sheetName val="成本调整明细表"/>
      <sheetName val="Control"/>
      <sheetName val="Pre-operating Exp"/>
      <sheetName val="Miscellaneous Exp."/>
      <sheetName val="Rental 2002"/>
      <sheetName val="Rental 2001"/>
      <sheetName val="成本倒扎"/>
      <sheetName val="IMPORT"/>
      <sheetName val="账龄4"/>
      <sheetName val="披露表(标准)"/>
      <sheetName val="披露表(国资)"/>
      <sheetName val="邻酮定乙酚发出测试"/>
      <sheetName val="材料采购－原材料（购价）"/>
      <sheetName val="房屋及建筑物"/>
      <sheetName val="委托加工材料"/>
      <sheetName val="上期试算"/>
      <sheetName val="累计产销存"/>
      <sheetName val="营业外收支明细"/>
      <sheetName val="PL Statement_CN_WK"/>
      <sheetName val="三兴2"/>
      <sheetName val="附注披露信息(上市公司)G4-1"/>
      <sheetName val="Aging 06-03-2002"/>
      <sheetName val="DI-ESTI"/>
      <sheetName val="Ctinh 10kV"/>
      <sheetName val="Source"/>
      <sheetName val="dxnsjtempsheet"/>
      <sheetName val="试算号"/>
      <sheetName val="2-试算"/>
      <sheetName val="1-平衡表"/>
      <sheetName val="工程结算明细账1-6月"/>
      <sheetName val="低值易耗品"/>
      <sheetName val="劳务费"/>
      <sheetName val="折旧"/>
      <sheetName val="工资"/>
      <sheetName val="福利费"/>
      <sheetName val="水电费"/>
      <sheetName val="办公费"/>
      <sheetName val="业务招待费"/>
      <sheetName val="差"/>
      <sheetName val="机"/>
      <sheetName val="劳保"/>
      <sheetName val="通迅费"/>
      <sheetName val="修"/>
      <sheetName val="Sheet9"/>
      <sheetName val="05大桥分卡片"/>
      <sheetName val="KKKKKKKK"/>
      <sheetName val="试算16"/>
      <sheetName val="试算17"/>
      <sheetName val="Stock turnove_x005f_x005f_x005f_x0002_"/>
      <sheetName val="2.대외공문"/>
      <sheetName val="US Codes"/>
      <sheetName val="消费税率"/>
      <sheetName val="N1"/>
      <sheetName val="Reconciliation连云港"/>
      <sheetName val="Ex Diff"/>
      <sheetName val="银行"/>
      <sheetName val="1月"/>
      <sheetName val="至10月末全成本汇总表（动态）"/>
      <sheetName val="Stock turnove_x005f_x005f_x005f_x005f_x005f"/>
      <sheetName val="FS"/>
      <sheetName val="gl"/>
      <sheetName val="Adm"/>
      <sheetName val="sell"/>
      <sheetName val="Fin"/>
      <sheetName val="Calendar"/>
      <sheetName val="Disclosure"/>
      <sheetName val="Segment info"/>
      <sheetName val="Adjustment"/>
      <sheetName val="Count Diff"/>
      <sheetName val="General Instruction"/>
      <sheetName val="Sample"/>
      <sheetName val="InventoryList"/>
      <sheetName val="Stock List"/>
      <sheetName val="Trina Breakdown"/>
      <sheetName val="2007 Q3"/>
      <sheetName val="Breakdown-Trina"/>
      <sheetName val="Breakdown-TEI"/>
      <sheetName val="Note"/>
      <sheetName val="Audit Procedure"/>
      <sheetName val="Turnover"/>
      <sheetName val="FG Mov"/>
      <sheetName val="#REF"/>
      <sheetName val="For disclosure"/>
      <sheetName val="CZ AJE summary"/>
      <sheetName val="折旧测算"/>
      <sheetName val="12月份品种酒生产月报表"/>
      <sheetName val="物料收发汇总表"/>
      <sheetName val="应收账款"/>
      <sheetName val="营业外支出Dy"/>
      <sheetName val="应付账款Dy"/>
      <sheetName val="应付账款mx"/>
      <sheetName val="待摊费用mx"/>
      <sheetName val="固定资产减值准备mx"/>
      <sheetName val="累计折旧mx"/>
      <sheetName val="应付福利费mx"/>
      <sheetName val="应付工资mx"/>
      <sheetName val="预提费用mx"/>
      <sheetName val="在建工程mx"/>
      <sheetName val="制造费用mx"/>
      <sheetName val="2008年"/>
      <sheetName val="余额表10-12"/>
      <sheetName val="Macro1"/>
      <sheetName val="XL4Test5"/>
      <sheetName val="多级销售汇总表（备用）"/>
      <sheetName val="上期报表"/>
      <sheetName val="BJ Expenses"/>
      <sheetName val="Sample Rev"/>
      <sheetName val="Sample IS"/>
      <sheetName val="Probability View"/>
      <sheetName val="FY04ExpDetail"/>
      <sheetName val="VODAC"/>
      <sheetName val="sumdepn01"/>
      <sheetName val="降低额统计(会签)"/>
      <sheetName val="附件25.2-销售收入"/>
      <sheetName val="高层领导支持计划"/>
      <sheetName val="8月乘用车分公司期间费用统计表"/>
      <sheetName val="소상 &quot;1&quot;"/>
      <sheetName val="Sheet2"/>
      <sheetName val="培训执行汇总"/>
      <sheetName val="외주현황.wq1"/>
      <sheetName val="薪酬表"/>
      <sheetName val="收入明细账"/>
      <sheetName val="PRC-BS-SZ"/>
      <sheetName val="名称"/>
      <sheetName val="A3-1合并汇总报表"/>
      <sheetName val="参数"/>
      <sheetName val="序时账"/>
      <sheetName val="所得税明细表"/>
      <sheetName val="other lia"/>
      <sheetName val="prepayment"/>
      <sheetName val="related co"/>
      <sheetName val="sel"/>
      <sheetName val="AR"/>
      <sheetName val="15287贵阳市乌当区天网工程"/>
      <sheetName val="Coach Chassis (inventory)"/>
      <sheetName val="10年12月差异分摊计算表"/>
      <sheetName val="管理费用审定表"/>
      <sheetName val="基本信息输入"/>
      <sheetName val="分录汇总表"/>
      <sheetName val="Sheet1 (11)"/>
      <sheetName val="封面"/>
      <sheetName val="Inventory list provison"/>
      <sheetName val="NRV test"/>
      <sheetName val="FG Aging provision"/>
      <sheetName val="Breakdown "/>
      <sheetName val="Detail list 0512"/>
      <sheetName val="Detail list 0510"/>
      <sheetName val="Obsolete provision"/>
      <sheetName val="备品配件 低值易耗品清单"/>
      <sheetName val="break down"/>
      <sheetName val="openning balance "/>
      <sheetName val="2005.4.30 inventory list"/>
      <sheetName val="Obsolelte provision"/>
      <sheetName val="provision reversal list"/>
      <sheetName val="Detail list 0611"/>
      <sheetName val="工时统计"/>
      <sheetName val="06费用化明细"/>
      <sheetName val="明细科目余额表"/>
      <sheetName val="A3"/>
      <sheetName val="外地"/>
      <sheetName val="坯布"/>
      <sheetName val="材料"/>
      <sheetName val="外销"/>
      <sheetName val="清单12.31"/>
      <sheetName val="科目余额表"/>
      <sheetName val="Title"/>
      <sheetName val="인사현황(부서)"/>
      <sheetName val="主营业务明细表"/>
      <sheetName val="会计科目"/>
      <sheetName val="材料差异"/>
      <sheetName val="Stock turnove_x005f_x005f_x005f"/>
      <sheetName val="B-S"/>
      <sheetName val="Income Statement"/>
      <sheetName val="M3 - BS"/>
      <sheetName val="M3 - PL"/>
      <sheetName val="Erection"/>
      <sheetName val="P12 TB SZ"/>
      <sheetName val="Validation"/>
      <sheetName val="审定表D3"/>
      <sheetName val="明细分类账"/>
      <sheetName val="报表层次重要性水平"/>
      <sheetName val="所有者权益（股东权益）变动表(未审)"/>
      <sheetName val="TB0212"/>
      <sheetName val="个所税"/>
      <sheetName val="企业所得税"/>
      <sheetName val="4-2长投债券"/>
      <sheetName val="3流资汇总"/>
      <sheetName val="存货跌价准备Dy"/>
      <sheetName val="基本生产成本"/>
      <sheetName val="预提费用"/>
      <sheetName val="长期应付款Dy"/>
      <sheetName val="逾龄"/>
      <sheetName val="役龄"/>
      <sheetName val="福州路仓库(3)"/>
      <sheetName val="物资采购-1"/>
      <sheetName val="物资采购-2"/>
      <sheetName val="祁连山路仓库(5)"/>
      <sheetName val="特种储备物资"/>
      <sheetName val="张江库"/>
      <sheetName val="amended"/>
      <sheetName val="原材料"/>
      <sheetName val="SP"/>
      <sheetName val="基本情况表"/>
      <sheetName val="分产品销售收入、成本分析表"/>
      <sheetName val="合并2"/>
      <sheetName val="短期借款汇总表"/>
      <sheetName val="长期借款汇总表"/>
      <sheetName val="UFPrn20031203195053"/>
      <sheetName val="SW-TEO"/>
      <sheetName val="其他货币资金.dbf"/>
      <sheetName val="银行存款.dbf"/>
      <sheetName val="银行存款Dy"/>
      <sheetName val="应收利息Dy"/>
      <sheetName val="短期投资Dy"/>
      <sheetName val="货币资金Dy"/>
      <sheetName val="标本-资产"/>
      <sheetName val="cs"/>
      <sheetName val="Procedure"/>
      <sheetName val="存货跌价准备清单"/>
      <sheetName val="期末关联方库存"/>
      <sheetName val=" Breakdown"/>
      <sheetName val="warehouse"/>
      <sheetName val="Provision mov't"/>
      <sheetName val="05.10存货估价"/>
      <sheetName val="Aging test"/>
      <sheetName val="仓库分部"/>
      <sheetName val="存货明细汇总"/>
      <sheetName val="Inventory list"/>
      <sheetName val="NRV &amp;Valuation Test"/>
      <sheetName val="Qty test"/>
      <sheetName val="Inventory provision"/>
      <sheetName val="200912减值准备清单"/>
      <sheetName val="2008年减值未销售"/>
      <sheetName val="201006减值准备清单"/>
      <sheetName val="存货分布"/>
      <sheetName val="FG Adj"/>
      <sheetName val="报表项目"/>
      <sheetName val="A02"/>
      <sheetName val="CJE"/>
      <sheetName val="Intercompany balance"/>
      <sheetName val="BS"/>
      <sheetName val="吴江评估增值摊销"/>
      <sheetName val="青岛泰信评估增值摊销"/>
      <sheetName val="石油设备评估增值摊销"/>
      <sheetName val="未实现毛利"/>
      <sheetName val="Equity Movement"/>
      <sheetName val="非经常性损益"/>
      <sheetName val="MI"/>
      <sheetName val="NFC TB"/>
      <sheetName val="订单"/>
      <sheetName val="A16C"/>
      <sheetName val="Main"/>
      <sheetName val="应付账款明细BS.09 "/>
      <sheetName val="4-货币资金-现金"/>
      <sheetName val="CF附注"/>
      <sheetName val="试算平衡表"/>
      <sheetName val="调整分录"/>
      <sheetName val="数量金额总账"/>
      <sheetName val="细节测试审计抽样"/>
      <sheetName val="其他应付款科目余额2005.12.31"/>
      <sheetName val="固定资产及累计折旧凭证抽查表"/>
      <sheetName val="固定资产增加检查表"/>
      <sheetName val="固定资产审定表"/>
      <sheetName val="固定资产减少检查表"/>
      <sheetName val="固定资产盘点检查情况表"/>
      <sheetName val="审定表"/>
      <sheetName val="折旧计算检查表"/>
      <sheetName val="83套公房"/>
      <sheetName val="损益"/>
      <sheetName val="投资收益Dy"/>
      <sheetName val="한계원가"/>
      <sheetName val="Sheet4"/>
      <sheetName val="Sheet6"/>
      <sheetName val="Sheet5"/>
      <sheetName val="Sheet3"/>
      <sheetName val="折旧表2006年1-6月"/>
      <sheetName val="Oct"/>
      <sheetName val="base"/>
      <sheetName val="存货月度明细"/>
      <sheetName val="OS test"/>
      <sheetName val="US test"/>
      <sheetName val="调整汇总说明"/>
      <sheetName val="SALES-ADJ"/>
      <sheetName val="F.G Adj"/>
      <sheetName val="存货汇总表"/>
      <sheetName val="存货-自制半成品"/>
      <sheetName val="存货-产成品"/>
      <sheetName val="存货-原材料"/>
      <sheetName val="存货-包装物"/>
      <sheetName val="存货-低值易耗品"/>
      <sheetName val="长期股权投资Dy"/>
      <sheetName val="其他应收款Dy"/>
      <sheetName val="商誉Dy"/>
      <sheetName val="04收发存汇总表"/>
      <sheetName val="其他应付款Dy"/>
      <sheetName val="差异调整97"/>
      <sheetName val="流资汇总"/>
      <sheetName val="收入"/>
      <sheetName val="说明"/>
      <sheetName val="差异调整95"/>
      <sheetName val="差异调整96"/>
      <sheetName val="NFMSDLQJ"/>
      <sheetName val="应收账款明细表"/>
      <sheetName val="期初帐龄辅助表MT"/>
      <sheetName val="坏账准备辅助表MT"/>
      <sheetName val="UFPrn20021130165512"/>
      <sheetName val="财务费用"/>
      <sheetName val="管理费用"/>
      <sheetName val="UFPrn20031114182129"/>
      <sheetName val="2006年TB"/>
      <sheetName val="27-7"/>
      <sheetName val="UFPrn20200302102412"/>
      <sheetName val="SysRefTables"/>
      <sheetName val="数量对比"/>
      <sheetName val="存货外购单价分析表-年度G2-3-1-1"/>
      <sheetName val="存货总体分析表G2-3"/>
      <sheetName val="二级明细"/>
      <sheetName val="其他应收-导出"/>
      <sheetName val="营业外支出"/>
      <sheetName val="UFPrn20040104084034"/>
      <sheetName val="BNWXVLNN"/>
      <sheetName val="利润分析"/>
      <sheetName val="资产负债分析"/>
      <sheetName val="Economic evaluation - FY98 base"/>
      <sheetName val="基础信息"/>
      <sheetName val="隐藏页"/>
      <sheetName val="loan database"/>
      <sheetName val="货币资金审定表"/>
      <sheetName val="Administration"/>
      <sheetName val="08.8"/>
      <sheetName val="库存商品库龄分析G2-3-3"/>
      <sheetName val="发出计价汇总－库存商品"/>
      <sheetName val="预计负债Dy"/>
      <sheetName val="选择报表"/>
      <sheetName val="2019年研发费用按项目汇总M8-6"/>
      <sheetName val="param"/>
      <sheetName val="Traduction"/>
      <sheetName val="2550"/>
      <sheetName val="2552"/>
      <sheetName val="_2562"/>
      <sheetName val="_2565"/>
      <sheetName val="_8004"/>
      <sheetName val="_8025"/>
      <sheetName val="3331"/>
      <sheetName val="3334"/>
      <sheetName val="3388"/>
      <sheetName val="3389"/>
      <sheetName val="4213"/>
      <sheetName val="5357"/>
      <sheetName val="8066"/>
      <sheetName val="下拉菜单"/>
      <sheetName val="Adj. spreadsheet for June"/>
      <sheetName val="TT04"/>
      <sheetName val="Catalogo Roca 1Oct'01"/>
      <sheetName val="附表"/>
      <sheetName val="SENSITIVITY"/>
      <sheetName val="Parameters"/>
      <sheetName val="PIT"/>
      <sheetName val="Movement"/>
      <sheetName val="成品"/>
      <sheetName val="短期投资股票投资.dbf"/>
      <sheetName val="短期投资国债投资.dbf"/>
      <sheetName val="股票投资收益.dbf"/>
      <sheetName val="其他货币海通.dbf"/>
      <sheetName val="其他货币零领路.dbf"/>
      <sheetName val="投资收益债券.dbf"/>
      <sheetName val="存货审定表G2"/>
      <sheetName val="跌价准备测试表G2-2-4-1"/>
      <sheetName val="参数表"/>
      <sheetName val="原材料收发"/>
      <sheetName val="A140-00"/>
      <sheetName val="A141-20"/>
      <sheetName val="A142-50"/>
      <sheetName val="A141-60"/>
      <sheetName val="CAS"/>
      <sheetName val="A141-10"/>
      <sheetName val="短期借款Dy"/>
      <sheetName val="Input_Hide"/>
      <sheetName val="FX"/>
      <sheetName val="06"/>
      <sheetName val="List"/>
      <sheetName val="广州库"/>
      <sheetName val="制费-分月"/>
      <sheetName val="应付账款 (2)"/>
      <sheetName val="Index"/>
      <sheetName val="2008年1月"/>
      <sheetName val="2007年12月  "/>
      <sheetName val="2008年2月"/>
      <sheetName val="1999TL"/>
      <sheetName val="入库分类"/>
      <sheetName val="外销涤布"/>
      <sheetName val="原TB表"/>
      <sheetName val="主菜单"/>
      <sheetName val="其他应收款分录表"/>
      <sheetName val="MasterList"/>
      <sheetName val="信息"/>
      <sheetName val="Part_Datum"/>
      <sheetName val="FU-OTHER"/>
      <sheetName val="管理费用Dy"/>
      <sheetName val="财务费用mx"/>
      <sheetName val="其他应收款Mx"/>
      <sheetName val="其他应付款Mx"/>
      <sheetName val="营业外支出Mx"/>
      <sheetName val="披露表(上市)"/>
      <sheetName val="程序表原始数据"/>
      <sheetName val="其他应交款mx"/>
      <sheetName val="应交税金mx1"/>
      <sheetName val="应收票据Mx"/>
      <sheetName val="预收账款Mx"/>
      <sheetName val="生产成本mx"/>
      <sheetName val="明细汇总表（见附件）G2-2"/>
      <sheetName val="生产成本分配G2-8-6"/>
      <sheetName val="科目名称"/>
      <sheetName val="蓝谷全层级"/>
      <sheetName val="Confirmation"/>
      <sheetName val="statement 1998"/>
      <sheetName val="c_data"/>
      <sheetName val="co_code"/>
      <sheetName val="Register"/>
      <sheetName val="K31X"/>
      <sheetName val="XVIa(i) - average price (2)"/>
      <sheetName val="153541"/>
      <sheetName val="PLAC"/>
      <sheetName val="June 2004 13%&amp;17% details"/>
      <sheetName val="June 2004 7% details"/>
      <sheetName val="财务费用Dy"/>
      <sheetName val="2002 DTT mgt ac"/>
      <sheetName val="Actual (n)"/>
      <sheetName val="2002-2004产销率"/>
      <sheetName val="J300"/>
      <sheetName val="HEADER"/>
      <sheetName val="版权方2004年度频道分布汇总表"/>
      <sheetName val="项目信息"/>
      <sheetName val="Input"/>
      <sheetName val="D3"/>
      <sheetName val="Conversion to EUR"/>
      <sheetName val="报表项目列表"/>
      <sheetName val="jhcyl"/>
      <sheetName val="FA-LISTING"/>
      <sheetName val="Sample Design(季报不适用)"/>
      <sheetName val="Provision"/>
      <sheetName val="5-1.存货明细-原物料"/>
      <sheetName val="5-1.存货明细-WIP"/>
      <sheetName val="5-1.存货明细-FG"/>
      <sheetName val="5-2.原物料報廢倉明細"/>
      <sheetName val="原物料報廢倉明細"/>
      <sheetName val="Sample size design"/>
      <sheetName val="存货清单"/>
      <sheetName val="IV1209"/>
      <sheetName val="制成品-产品"/>
      <sheetName val="在制品-产品"/>
      <sheetName val="原料"/>
      <sheetName val="物料"/>
      <sheetName val="2010.12.31"/>
      <sheetName val="WIP LCM"/>
      <sheetName val="FG LCM"/>
      <sheetName val="5-3.存货明细-WIP"/>
      <sheetName val="5-4.存货明细-FG"/>
      <sheetName val="原材料+物料存貨明細表"/>
      <sheetName val="WIP存貨明細表"/>
      <sheetName val="製成品存貨明細表"/>
      <sheetName val="原料報廢倉明細"/>
      <sheetName val="预付账款汇总表"/>
      <sheetName val="Chart of Acct"/>
      <sheetName val="This year-Budget-20092010"/>
      <sheetName val="Basic information"/>
      <sheetName val="9200"/>
      <sheetName val="总公司2002.12.31"/>
      <sheetName val="应付账款明细表"/>
      <sheetName val="固定资产"/>
      <sheetName val="I151-10"/>
      <sheetName val="Lease adjustment"/>
      <sheetName val="17应付票据明细表"/>
      <sheetName val="10-12"/>
      <sheetName val="ws9"/>
      <sheetName val="Rate"/>
      <sheetName val="附表6"/>
      <sheetName val="A.R 01"/>
      <sheetName val="公司代码"/>
      <sheetName val="UFPrn20190109164420"/>
      <sheetName val="销售6.13"/>
      <sheetName val="K420"/>
      <sheetName val="Vendor"/>
      <sheetName val="Consol FS"/>
      <sheetName val="J&amp;Q"/>
      <sheetName val="ARP"/>
      <sheetName val="审定表P6"/>
      <sheetName val="原材料发出计价测试-OK"/>
      <sheetName val="Group1"/>
      <sheetName val="差旅费"/>
      <sheetName val="PPE"/>
      <sheetName val="9月结存固定资产清单"/>
      <sheetName val="填表说明"/>
      <sheetName val="实收资本Dy"/>
      <sheetName val="1_12月"/>
      <sheetName val="11月"/>
      <sheetName val="12月"/>
      <sheetName val="56271-2"/>
      <sheetName val="５８D"/>
      <sheetName val="1_10月"/>
      <sheetName val="UFPrn20071013211250"/>
      <sheetName val="物资采购含税转出"/>
      <sheetName val="1-11基础信息"/>
      <sheetName val="3-03-01固资折旧"/>
      <sheetName val="TB表"/>
      <sheetName val="明细表K7-2"/>
      <sheetName val="UFPrn20030305081341"/>
      <sheetName val="税费动力"/>
      <sheetName val="报表20130630信威永胜"/>
      <sheetName val="A6"/>
      <sheetName val="pos. descr."/>
      <sheetName val="广告费和业务宣传费表"/>
      <sheetName val="资产减值准备表"/>
      <sheetName val="工资薪金表"/>
      <sheetName val="投资收益表"/>
      <sheetName val="附件(excel）"/>
      <sheetName val="业务招待费表"/>
      <sheetName val="成本日报(4-10)"/>
      <sheetName val="Canada"/>
      <sheetName val="填写参数"/>
      <sheetName val="存货审核表"/>
      <sheetName val="资产减值损失"/>
      <sheetName val="01 Bid Price summary"/>
      <sheetName val="GiaVL"/>
      <sheetName val="Thuc thanh"/>
      <sheetName val="DTCT"/>
      <sheetName val="基本参数"/>
      <sheetName val="Liabrary"/>
      <sheetName val="靶材分配比例"/>
      <sheetName val="Set-up"/>
      <sheetName val="E15-AFL"/>
      <sheetName val="基本信息"/>
      <sheetName val="BalanceSheet"/>
      <sheetName val="TB-2018"/>
      <sheetName val="GL-2018"/>
      <sheetName val="PPD Schedule"/>
      <sheetName val="目录"/>
      <sheetName val="ITEM"/>
      <sheetName val="SAR"/>
      <sheetName val="报表科目明细"/>
      <sheetName val="专项应付款Mx"/>
      <sheetName val="DONVIBAN"/>
      <sheetName val="NGUON"/>
      <sheetName val="设定"/>
      <sheetName val="01成品"/>
      <sheetName val="应付"/>
      <sheetName val="UFPrn20120201171347"/>
      <sheetName val="UFPrn20120201171700"/>
      <sheetName val="公司清单"/>
      <sheetName val="公司名单"/>
      <sheetName val="合并范围清单"/>
      <sheetName val="管理费用表分析-1"/>
      <sheetName val="利息支出分类表"/>
      <sheetName val="0605"/>
      <sheetName val="未安排订单（集团）"/>
      <sheetName val="2.1.CM6150(导入)"/>
      <sheetName val="Financ. Overview"/>
      <sheetName val="Category"/>
      <sheetName val="Variables"/>
      <sheetName val="安盛其他应收款-坏账"/>
      <sheetName val="1月固定资产清单"/>
      <sheetName val="期后回款情况 D2-4"/>
      <sheetName val="审计说明"/>
      <sheetName val="分项目明细 D2-M"/>
      <sheetName val="分客户预收明细表 D3-2"/>
      <sheetName val="#511BkRec"/>
      <sheetName val="#511-DEC97"/>
      <sheetName val="主要规划指标"/>
      <sheetName val="凭证核对内容"/>
      <sheetName val="Stock turnove_x005f"/>
      <sheetName val="12-坏账计提表"/>
      <sheetName val="Stock_turnove_x005f_x005f_x005f_x005f_x00_2"/>
      <sheetName val="公允价值变动损益Dy"/>
      <sheetName val="工程物资Dy"/>
      <sheetName val="Non-Statistical Sampling Master"/>
      <sheetName val="期后回款测试"/>
      <sheetName val="选择选项"/>
      <sheetName val="99.12"/>
      <sheetName val="evaluate资金回收"/>
      <sheetName val="库存商品"/>
      <sheetName val="1(分品种)"/>
      <sheetName val="xbase"/>
      <sheetName val="现金流量表"/>
      <sheetName val="收入明细表"/>
      <sheetName val="A430"/>
      <sheetName val="2013调整分录"/>
      <sheetName val="2012调整分录"/>
      <sheetName val="项目索引"/>
      <sheetName val="2009调整分录"/>
      <sheetName val="Menu"/>
      <sheetName val="3-11待摊"/>
      <sheetName val="6-1土地"/>
      <sheetName val="TB98"/>
      <sheetName val="应收账款Mx"/>
      <sheetName val="conWP"/>
      <sheetName val="p.5, bank int income"/>
      <sheetName val="税审调整分录汇总表"/>
      <sheetName val="利息测算表"/>
      <sheetName val="视同销售收入"/>
      <sheetName val="审计调整分录汇总表"/>
      <sheetName val="调整类型"/>
      <sheetName val="税审调整底稿"/>
      <sheetName val="营业收入"/>
      <sheetName val="报表格式"/>
      <sheetName val="视同销售成本"/>
      <sheetName val="营业成本"/>
      <sheetName val="YA-1-1"/>
      <sheetName val="关键控制测试表"/>
      <sheetName val="所有者权益(股东权益)变动表(未审)"/>
      <sheetName val="役"/>
      <sheetName val="3.现金流量表"/>
      <sheetName val="暂估"/>
      <sheetName val="06 六类公摊"/>
      <sheetName val="财务成本"/>
      <sheetName val="核算现金流量表"/>
      <sheetName val="生产成本账"/>
      <sheetName val="销售预测表"/>
      <sheetName val="信息说明"/>
      <sheetName val="2004电器设备"/>
      <sheetName val="2004电子设备"/>
      <sheetName val="2004房屋建筑物"/>
      <sheetName val="2004家具"/>
      <sheetName val="2004通用设备"/>
      <sheetName val="2004土地"/>
      <sheetName val="2004仪器仪表"/>
      <sheetName val="2004运输设备"/>
      <sheetName val="2004专用设备"/>
      <sheetName val="一区"/>
      <sheetName val="二区"/>
      <sheetName val="三区"/>
      <sheetName val="四区"/>
      <sheetName val="五区"/>
      <sheetName val="六区"/>
      <sheetName val="七区"/>
      <sheetName val="幼儿园小学"/>
      <sheetName val="进度"/>
      <sheetName val="项目规划指标"/>
      <sheetName val="现金流一区"/>
      <sheetName val="现金流(二区)"/>
      <sheetName val="现金流(三区)"/>
      <sheetName val="现金流(四区)"/>
      <sheetName val="现金流(五区)"/>
      <sheetName val="现金流(六区)"/>
      <sheetName val="现金流(七区)"/>
      <sheetName val="现金流(幼儿园小学)"/>
      <sheetName val="使用说明"/>
      <sheetName val="累计销售"/>
      <sheetName val="销售出库序时簿"/>
      <sheetName val="预收明细表"/>
      <sheetName val="预付明细"/>
      <sheetName val="分期收款发出12月"/>
      <sheetName val="应收市内"/>
      <sheetName val="应收外埠"/>
      <sheetName val="T  B"/>
      <sheetName val="损益推导"/>
      <sheetName val="项目利润表(PS)"/>
      <sheetName val="应付账款审定表"/>
      <sheetName val="master"/>
      <sheetName val="tot"/>
      <sheetName val=" "/>
      <sheetName val="Mp-team 1"/>
      <sheetName val="银行借款询证"/>
      <sheetName val="维简及井巷"/>
      <sheetName val="产销存"/>
      <sheetName val="1-6累计销售"/>
      <sheetName val="收入个月"/>
      <sheetName val="12进销存"/>
      <sheetName val="_x0000__x0000__x0000__x0000__x0000__x0000__x0000__x0000_"/>
      <sheetName val="名称（勿删）"/>
      <sheetName val="3480總表"/>
      <sheetName val="现金"/>
      <sheetName val="列表"/>
      <sheetName val="工资表"/>
      <sheetName val="年终奖合并"/>
      <sheetName val="个人所得税表"/>
      <sheetName val="薪酬标准"/>
      <sheetName val="人员信息表"/>
      <sheetName val="员工银行账号明细表"/>
      <sheetName val="内部公司清单"/>
      <sheetName val="ARP-U501"/>
      <sheetName val="g101"/>
      <sheetName val="E101"/>
      <sheetName val="ARP-U201"/>
      <sheetName val="K204"/>
      <sheetName val="机器设备"/>
      <sheetName val="低保五保电费支出"/>
      <sheetName val="Stock_turnove_x005f_x005f_x00_2"/>
      <sheetName val="13-坏账计提表"/>
      <sheetName val="上报资产负债表"/>
      <sheetName val="上报损益表"/>
      <sheetName val="现金流量表（月报）"/>
      <sheetName val="补充表"/>
      <sheetName val="Word附注"/>
      <sheetName val="Lifetable 80 percent Mortality"/>
      <sheetName val="FSM"/>
      <sheetName val="表1.5"/>
      <sheetName val="xj"/>
      <sheetName val="1.公司概况"/>
      <sheetName val="production cost"/>
      <sheetName val="General Data"/>
      <sheetName val="Sch PR-2"/>
      <sheetName val="Sch PR-3"/>
      <sheetName val="科目索引"/>
      <sheetName val="GT_Custom"/>
      <sheetName val="UFPrn20070303114642"/>
      <sheetName val="合并试算表"/>
      <sheetName val="2005"/>
      <sheetName val="可供出售金融资产Dy"/>
      <sheetName val="清单1"/>
      <sheetName val="主表"/>
      <sheetName val="附表三"/>
      <sheetName val="改造后数据表"/>
      <sheetName val="华房01"/>
      <sheetName val="健翔01"/>
      <sheetName val="京通01"/>
      <sheetName val="应付利息Dy"/>
      <sheetName val="VV"/>
      <sheetName val="YH1"/>
      <sheetName val="#511-SEPT97"/>
      <sheetName val="#511-OCT97"/>
      <sheetName val="#511-NOV97"/>
      <sheetName val="现调整"/>
      <sheetName val="附表2关联交易"/>
      <sheetName val="重要性水平"/>
      <sheetName val="关联方清单"/>
      <sheetName val="J411"/>
      <sheetName val="J412"/>
      <sheetName val="FY02"/>
      <sheetName val="Notes"/>
      <sheetName val="Inventory list "/>
      <sheetName val="存货材料成本差异"/>
      <sheetName val="北京"/>
      <sheetName val="北京原材料明细表"/>
      <sheetName val="深圳"/>
      <sheetName val="广州"/>
      <sheetName val="期末存货中关联方采购金额"/>
      <sheetName val="科目代码"/>
      <sheetName val="表二十九1（01）"/>
      <sheetName val="明细表2016"/>
      <sheetName val="会计科目表"/>
      <sheetName val="银行存款核对表"/>
      <sheetName val="Top22(GER)"/>
      <sheetName val="Rental PIT"/>
      <sheetName val="Sample test"/>
      <sheetName val="Business tax PIT"/>
      <sheetName val="Professional fee"/>
      <sheetName val="十一、消耗性生物资产G2-2-11"/>
      <sheetName val="管理费用明细表(2001年)"/>
      <sheetName val="出库"/>
      <sheetName val="入库"/>
      <sheetName val="TB资产"/>
      <sheetName val="其他应收款-2019.12.31"/>
      <sheetName val="其他应付款"/>
      <sheetName val="选项清单列表（不归档）"/>
      <sheetName val="UFPrn20050930091710"/>
      <sheetName val="UFPrn20050930204109"/>
      <sheetName val="关联方"/>
      <sheetName val="2021.10"/>
      <sheetName val="B1-1001"/>
      <sheetName val="明细表（账龄）M1-2"/>
      <sheetName val="明细表M9-2"/>
      <sheetName val="AFEMAI"/>
      <sheetName val="Detail Loan Move. &amp; Listing"/>
      <sheetName val="CAUDIT"/>
      <sheetName val="风险分类"/>
      <sheetName val="O101"/>
      <sheetName val="J8-9使用权资产负债确认汇总表2020年1月1日的租赁合同）"/>
      <sheetName val="KEY"/>
      <sheetName val="起"/>
      <sheetName val="末"/>
      <sheetName val="补贴收入明细表"/>
      <sheetName val="以前年度损益调整Dy"/>
      <sheetName val="dongia (2)"/>
      <sheetName val="销售收入"/>
      <sheetName val="代码"/>
      <sheetName val="06汇总"/>
      <sheetName val="主数据(车型)"/>
      <sheetName val="2月修改"/>
      <sheetName val="项目成本明细表"/>
      <sheetName val="收入毛利分析D4-3-1-分析"/>
      <sheetName val="D4-12-1销售退回核查-分析"/>
      <sheetName val="自定义名称"/>
      <sheetName val="Stock_turnove_x00_2"/>
      <sheetName val="抵销科目"/>
      <sheetName val="增值税测算表O1-4 -2019年"/>
      <sheetName val="科目设置"/>
      <sheetName val="产品名称.勿删"/>
      <sheetName val="Collateral"/>
      <sheetName val="Disposition"/>
      <sheetName val="BAS"/>
      <sheetName val="BUDGET"/>
      <sheetName val="Input-Act"/>
      <sheetName val="A股IPO审计程序汇总"/>
      <sheetName val="General"/>
      <sheetName val="待售物业"/>
      <sheetName val="发展中物业"/>
      <sheetName val="发展中物业明细"/>
      <sheetName val="其他存货"/>
      <sheetName val="Valuation of PFS"/>
      <sheetName val="Valuation of PUD"/>
      <sheetName val="Detail test"/>
      <sheetName val="Cut-off"/>
      <sheetName val="Detailed test"/>
      <sheetName val="PUD Breakdown"/>
      <sheetName val="Adjustment on 一期成本"/>
      <sheetName val="Initialize"/>
      <sheetName val="提足折旧"/>
      <sheetName val="G1-3b月度销售分析"/>
      <sheetName val="Setting"/>
      <sheetName val="BlsFinAss"/>
      <sheetName val="BlsFinTdp"/>
      <sheetName val="BlsGdw"/>
      <sheetName val="BlsOia"/>
      <sheetName val="BlsDch"/>
      <sheetName val="BlsOla"/>
      <sheetName val="BlsPrvPrp"/>
      <sheetName val="BlsPrvSre"/>
      <sheetName val="BlsPrvLit"/>
      <sheetName val="BlsPrvPrs"/>
      <sheetName val="BlsPrvSpb"/>
      <sheetName val="BlsPrvLst"/>
      <sheetName val="BlsPrvCbc"/>
      <sheetName val="BlsPrvOpv"/>
      <sheetName val="SysNavigation"/>
      <sheetName val="SysCompanyCodes"/>
      <sheetName val="SysOpcoCompanyCodes"/>
      <sheetName val="CafOpa"/>
      <sheetName val="O5 Lead-其他应付-Consol"/>
      <sheetName val="G2 Lead"/>
      <sheetName val="O5-4  Lead"/>
      <sheetName val="Bloomberg"/>
      <sheetName val="Summary (Wuhan)"/>
      <sheetName val="其他应收款明细表"/>
      <sheetName val="0_Menu"/>
      <sheetName val="Version"/>
      <sheetName val="Rates"/>
      <sheetName val="Summary_retrieve"/>
      <sheetName val="Malasia"/>
      <sheetName val="存货差异分析表"/>
      <sheetName val="B-3"/>
      <sheetName val="B-4"/>
      <sheetName val="表2&lt;销售出库单&gt;"/>
      <sheetName val="A300"/>
      <sheetName val="6月末SP库存"/>
      <sheetName val="Customize Your Loan Manager"/>
      <sheetName val="CE"/>
      <sheetName val="IS"/>
      <sheetName val="内销收人"/>
      <sheetName val="折旧测算表"/>
      <sheetName val="Final"/>
      <sheetName val="dm"/>
      <sheetName val="JA#1"/>
      <sheetName val="JA#2&amp;5"/>
      <sheetName val="清冊"/>
      <sheetName val="12月开票明细"/>
      <sheetName val="Income tax reconciliation"/>
      <sheetName val="账户汇总表_2017年1月至12月_"/>
      <sheetName val="2013.10-2014.9原材料外购入库序时簿"/>
      <sheetName val="未实现毛利及收入成本抵消"/>
      <sheetName val="Dis."/>
      <sheetName val="合并TB-19年"/>
      <sheetName val="采购订单3名"/>
      <sheetName val="校验"/>
      <sheetName val="原报表"/>
      <sheetName val="上年审前调整"/>
      <sheetName val="上年审前试算表"/>
      <sheetName val="本年审前调整"/>
      <sheetName val="本年审前试算表"/>
      <sheetName val="审前报表"/>
      <sheetName val="初始设定"/>
      <sheetName val="profit2 (2)"/>
      <sheetName val="351B发出商品明细-不打印"/>
      <sheetName val="351A发出商品测试"/>
      <sheetName val="3402存货导引表"/>
      <sheetName val="3月生产成本凭证"/>
      <sheetName val="能耗计算 OK "/>
      <sheetName val="2019收入成本（未审）"/>
      <sheetName val="2019年6月-2020年5月项目收入成本一览"/>
      <sheetName val="院级设计"/>
      <sheetName val="银行存款明细表"/>
      <sheetName val="人员支出"/>
      <sheetName val="农业用地"/>
      <sheetName val="2002年一般预算收入"/>
      <sheetName val="截止测试-入库G2-7-1"/>
      <sheetName val="TB-公证天业"/>
      <sheetName val="BKD-氢能"/>
      <sheetName val="2045020001"/>
      <sheetName val="schedule"/>
      <sheetName val="2008 SPL"/>
      <sheetName val="TargetReports"/>
      <sheetName val="KIINAS"/>
      <sheetName val="BW_FAELI"/>
      <sheetName val="（27）实收资本"/>
      <sheetName val="USD Data input"/>
      <sheetName val="附表2"/>
      <sheetName val="在制"/>
      <sheetName val="科目代码表"/>
      <sheetName val="BW系统 原稿"/>
      <sheetName val="UFPrn20200514122159"/>
      <sheetName val="accode"/>
      <sheetName val="NBCF"/>
      <sheetName val="2019年6月其他应付款明细表M4-2  "/>
      <sheetName val="关联方应收款"/>
      <sheetName val="长期借款 (2)"/>
      <sheetName val="短期借款"/>
      <sheetName val="存货Dy"/>
      <sheetName val="收入和成本对应表"/>
      <sheetName val="调整分录 "/>
      <sheetName val="营业费用截止"/>
      <sheetName val="2017_6_30记6号"/>
      <sheetName val="1_主营业务收入"/>
      <sheetName val="工程汇总表 2020新收入准则"/>
      <sheetName val="799"/>
      <sheetName val="A3 &amp; U 09-01"/>
      <sheetName val="6.6-存货-制造费用明细表"/>
      <sheetName val="核算项目组合表"/>
      <sheetName val="全部预算"/>
      <sheetName val="公司名称一览表"/>
      <sheetName val="UFPrn20210115161842"/>
      <sheetName val="单位往来"/>
      <sheetName val="投资保证金"/>
      <sheetName val="2019—库存商品库龄"/>
      <sheetName val="A180-10"/>
      <sheetName val="填制说明"/>
      <sheetName val="科目2015"/>
      <sheetName val="2018"/>
      <sheetName val="2018年报表"/>
      <sheetName val="预期信用损失的计量测试D2-14（20201231）"/>
      <sheetName val="应交税费审定表"/>
      <sheetName val="合并"/>
      <sheetName val="审计程序D29"/>
      <sheetName val="合并起点"/>
      <sheetName val="母公司汇总"/>
      <sheetName val="九、开发成本G2-2-9"/>
      <sheetName val="八、开发产品G2-2-8"/>
      <sheetName val="一、原材料明细表G2-2-1"/>
      <sheetName val="二、材料采购、在途物资明细表G2-2-2"/>
      <sheetName val="三、周转材料、低值易耗品，包装物明细表G2-2-3"/>
      <sheetName val="四、自制半成品明细表G2-2-4"/>
      <sheetName val="六、库存商品明细表G2-2-6"/>
      <sheetName val="七、发出商品G2-2-7"/>
      <sheetName val="画底稿使用"/>
      <sheetName val="调整后报表"/>
      <sheetName val="D4-3-2"/>
      <sheetName val="AP"/>
      <sheetName val="NPBOC"/>
      <sheetName val="NPIC"/>
      <sheetName val="会企01表"/>
      <sheetName val="会企02表"/>
      <sheetName val="G2-5生产成本审定表"/>
      <sheetName val="款项性质明细"/>
      <sheetName val="审计调整汇总G1-0-1"/>
      <sheetName val="房租物业余额G1-3"/>
      <sheetName val="HL"/>
      <sheetName val="Provision list"/>
      <sheetName val="原材料&amp;存货跌价 list"/>
      <sheetName val="生产成本list"/>
      <sheetName val="2009.12.31日完工比例"/>
      <sheetName val="2011.12.31完工比例"/>
      <sheetName val="2010.06.30完工比例"/>
      <sheetName val="库存明细2011"/>
      <sheetName val="在途"/>
      <sheetName val="固定资产2001年折旧"/>
      <sheetName val="所得税凭证抽查"/>
      <sheetName val="W3"/>
      <sheetName val="数字视频并帐"/>
      <sheetName val="P1"/>
      <sheetName val="Listen"/>
      <sheetName val="(6413)销售费用"/>
      <sheetName val="管理"/>
      <sheetName val="主营成本"/>
      <sheetName val="其他应付款 "/>
      <sheetName val="UFPrn20050217103510"/>
      <sheetName val="应付账款"/>
      <sheetName val="6113应收账款"/>
      <sheetName val="Start"/>
      <sheetName val="cov"/>
      <sheetName val="046 Fixed Ass. mov."/>
      <sheetName val="Open"/>
      <sheetName val="获签学生登记表-直客"/>
      <sheetName val="TPM"/>
      <sheetName val="UFPrn20010510092817"/>
      <sheetName val="UFPrn20010510092918"/>
      <sheetName val="F01-A (2)"/>
      <sheetName val="固定资产、累计折旧、减值准备明细表"/>
      <sheetName val="现金流量1-10月"/>
      <sheetName val="2011调整分录"/>
      <sheetName val="10月"/>
      <sheetName val="2月"/>
      <sheetName val="3月"/>
      <sheetName val="4月"/>
      <sheetName val="7月"/>
      <sheetName val="8月"/>
      <sheetName val="9月"/>
      <sheetName val="敏感参数"/>
      <sheetName val="1 项目情况"/>
      <sheetName val="1 项目利润表(PS)"/>
      <sheetName val="3 损益推导"/>
      <sheetName val="鼎信诺字典表"/>
      <sheetName val="现金流量表(未审)"/>
      <sheetName val="偿债力分析"/>
      <sheetName val="应收帐款询证函"/>
      <sheetName val="Stock_turnove_x005f_x005f_x005f_x005f_x005f"/>
      <sheetName val="订"/>
      <sheetName val="l&gt;y"/>
      <sheetName val="inventories aging"/>
      <sheetName val="原材料 (y.e.)"/>
      <sheetName val="不合格原材料 (y.e.)"/>
      <sheetName val="产成品 (y.e.)"/>
      <sheetName val="Aging"/>
      <sheetName val="产成品"/>
      <sheetName val="不合格原材料"/>
      <sheetName val="委外加工"/>
      <sheetName val="Aging Summary（2005.6）"/>
      <sheetName val="Aging-材料"/>
      <sheetName val="Aging-产品"/>
      <sheetName val="Aging-特别"/>
      <sheetName val="Summary 06.9"/>
      <sheetName val="Inventory Breakdown"/>
      <sheetName val="Tickmark"/>
      <sheetName val="2006TB"/>
      <sheetName val="银行列表"/>
      <sheetName val="报表11"/>
      <sheetName val="母公司TB"/>
      <sheetName val="Chart of Account"/>
      <sheetName val="清单"/>
      <sheetName val="关联方_物流集团"/>
      <sheetName val="存货_生产成本Dy"/>
      <sheetName val="主营业务成本mx"/>
      <sheetName val="注释补充表1"/>
      <sheetName val="1－5月余额表"/>
      <sheetName val="1－10月余额表"/>
      <sheetName val="数量金额明细账"/>
      <sheetName val="B7-2-1应付账款余额表"/>
      <sheetName val="Jumei"/>
      <sheetName val="SW"/>
      <sheetName val="JDMCode"/>
      <sheetName val="PanelInfo"/>
      <sheetName val="2.1 PS估值分析-上市公司"/>
      <sheetName val="3111"/>
      <sheetName val="3113"/>
      <sheetName val="_8013"/>
      <sheetName val="序时帐"/>
      <sheetName val="Common Assumptions"/>
      <sheetName val="4528"/>
      <sheetName val="设备部房屋"/>
      <sheetName val="表六 "/>
      <sheetName val="披露表（上市）"/>
      <sheetName val="有效性"/>
      <sheetName val="Bid_Details"/>
      <sheetName val="产能统计（2014）"/>
      <sheetName val="审定_资产负债表"/>
      <sheetName val="未审_资产负债表"/>
      <sheetName val="C1"/>
      <sheetName val="China"/>
      <sheetName val="inventories list by amount"/>
      <sheetName val="Sheet841"/>
      <sheetName val="BKD-库存材料"/>
      <sheetName val="BKD-周转材料"/>
      <sheetName val="存货周转率测试"/>
      <sheetName val="周转材料摊销"/>
      <sheetName val="Purchase Test"/>
      <sheetName val="定义"/>
      <sheetName val="枚举字典"/>
      <sheetName val="营业费用02"/>
      <sheetName val="mvt"/>
      <sheetName val="支出项目对应现金流项目"/>
      <sheetName val="UFPrn2003其他"/>
      <sheetName val="sales"/>
      <sheetName val="数据源"/>
      <sheetName val="审计工作底稿目录"/>
      <sheetName val="面料"/>
      <sheetName val="辅料"/>
      <sheetName val="燃料"/>
      <sheetName val="预收帐款"/>
      <sheetName val="福利费1"/>
      <sheetName val="毛利分析图"/>
      <sheetName val="_"/>
      <sheetName val="控制测试样本量"/>
      <sheetName val="01"/>
      <sheetName val="010"/>
      <sheetName val="011"/>
      <sheetName val="012"/>
      <sheetName val="02"/>
      <sheetName val="05"/>
      <sheetName val="07"/>
      <sheetName val="08"/>
      <sheetName val="09"/>
      <sheetName val="37.租赁明细"/>
      <sheetName val="正式"/>
      <sheetName val="D2-7本期应收结算单查验"/>
      <sheetName val="预算假设-项目状态"/>
      <sheetName val="23"/>
      <sheetName val="研发项目"/>
      <sheetName val="资金计划项目说明"/>
      <sheetName val="database"/>
      <sheetName val="원단위"/>
      <sheetName val="往来"/>
      <sheetName val="类型设置"/>
      <sheetName val="分析报告 "/>
      <sheetName val="Master Data"/>
      <sheetName val="detail"/>
      <sheetName val="汇总"/>
      <sheetName val="税后工资测算"/>
      <sheetName val="UFPrn20050405152516"/>
      <sheetName val="Net Sales (Monthly) Projection"/>
      <sheetName val="销售明细-2021"/>
      <sheetName val="存货收发存-2021"/>
      <sheetName val="明细表D4-20"/>
      <sheetName val="应收-全"/>
      <sheetName val="二月"/>
      <sheetName val="其他业务利润"/>
      <sheetName val="其他材料收入重复"/>
      <sheetName val="其他材料收入账"/>
      <sheetName val="预收"/>
      <sheetName val="销售费用"/>
      <sheetName val="资产"/>
      <sheetName val="租赁计算表19"/>
      <sheetName val="租赁计算表30"/>
      <sheetName val="租赁计算表37"/>
      <sheetName val="租赁计算表26"/>
      <sheetName val="租赁计算表42"/>
      <sheetName val="租赁计算表49"/>
      <sheetName val="租赁计算表48"/>
      <sheetName val="租赁计算表47"/>
      <sheetName val="租赁计算表59"/>
      <sheetName val="租赁计算表73"/>
      <sheetName val="租赁计算表76"/>
      <sheetName val="租赁计算表107"/>
      <sheetName val="租赁计算表111"/>
      <sheetName val="租赁计算表120"/>
      <sheetName val="租赁计算表89"/>
      <sheetName val="租赁计算表52"/>
      <sheetName val="租赁计算表69"/>
      <sheetName val="租赁计算表86"/>
      <sheetName val="租赁计算表127"/>
      <sheetName val="租赁计算表132"/>
      <sheetName val="明细汇总表"/>
      <sheetName val="租赁计算表133"/>
      <sheetName val="租赁计算表134"/>
      <sheetName val="租赁计算表135"/>
      <sheetName val="租赁计算表137"/>
      <sheetName val="租赁计算表138"/>
      <sheetName val="租赁计算表100"/>
      <sheetName val="租赁计算表16"/>
      <sheetName val="担保"/>
      <sheetName val="CRITERIA1"/>
      <sheetName val="CRITERIA2"/>
      <sheetName val="1461（12.6）"/>
      <sheetName val="销售毛利润汇总表"/>
      <sheetName val="A子公司"/>
      <sheetName val="98调整分录表"/>
      <sheetName val="FA-06-不看"/>
      <sheetName val="FA-05-不看"/>
      <sheetName val="mapping"/>
      <sheetName val="产品销售毛利表"/>
      <sheetName val="资产负债表-母"/>
      <sheetName val="01 Balance Sheet资产负债表"/>
      <sheetName val="PY-pp"/>
      <sheetName val="Sheet761"/>
      <sheetName val="A41-2折旧测试"/>
      <sheetName val="TB试算表_本年"/>
      <sheetName val="RYRPADTN"/>
      <sheetName val="面积指标"/>
      <sheetName val="P-7 CF Fed"/>
      <sheetName val="一级"/>
      <sheetName val="2003本部资产负债试算表"/>
      <sheetName val="2003本部利润及利润分配表试算表"/>
      <sheetName val="tra-vat-lieu"/>
      <sheetName val="威海汉邦"/>
      <sheetName val="dtct cong"/>
      <sheetName val="数据源-勿动"/>
      <sheetName val="BPR"/>
      <sheetName val="2015PPE"/>
      <sheetName val="Sheet668"/>
      <sheetName val="22"/>
      <sheetName val="M 67"/>
      <sheetName val="整理"/>
      <sheetName val="RawData"/>
      <sheetName val="F1"/>
      <sheetName val="现金流分录汇总"/>
      <sheetName val="F.T"/>
      <sheetName val="CONSOL"/>
      <sheetName val="待摊费用明细表"/>
      <sheetName val="资产评估结果分类汇总表 (2)"/>
      <sheetName val="调整汇总19"/>
      <sheetName val="调整汇总16"/>
      <sheetName val="调整汇总18"/>
      <sheetName val="调整汇总17"/>
      <sheetName val="母公司调整汇总17"/>
      <sheetName val="项目名称"/>
      <sheetName val="参考1-项目明细"/>
      <sheetName val="期別全体表"/>
      <sheetName val="2017年开发支出余额"/>
      <sheetName val="分析表L1-3-1"/>
      <sheetName val="2004年试算表"/>
      <sheetName val="BKD天津瑞贝"/>
      <sheetName val="BKD瑞奇北京"/>
      <sheetName val="BKD上海华外"/>
      <sheetName val="BKD瑞奇中国"/>
      <sheetName val="DEP PIT-SH"/>
      <sheetName val="DEP PIT -GZ"/>
      <sheetName val="库存商品余额表.dbf"/>
      <sheetName val="销售单价公允性"/>
      <sheetName val="工作底稿扉页"/>
      <sheetName val="Y3-1一般会计制度附注"/>
      <sheetName val="PAF"/>
      <sheetName val="營業成本表"/>
      <sheetName val="94"/>
      <sheetName val="Adm97"/>
      <sheetName val="2005-5"/>
      <sheetName val="TB2005"/>
      <sheetName val="SCH 2 - Highlights_2"/>
      <sheetName val="dentaltable"/>
      <sheetName val="Products"/>
      <sheetName val="Flow"/>
      <sheetName val="G2 存货"/>
      <sheetName val="G5 主营业务成本"/>
      <sheetName val="TB2017"/>
      <sheetName val="TB2018"/>
      <sheetName val="GL2018"/>
      <sheetName val="JE JX "/>
      <sheetName val="JE SH"/>
      <sheetName val="TB2021"/>
      <sheetName val="JE2021"/>
      <sheetName val="Excel版财务报表附注"/>
      <sheetName val="Sheet481"/>
      <sheetName val="20年出库"/>
      <sheetName val="无形资产"/>
      <sheetName val="利润表项目"/>
      <sheetName val="INVDAYS"/>
      <sheetName val="表三甲"/>
      <sheetName val="11-1"/>
      <sheetName val="数据汇总表"/>
      <sheetName val="A2-1试算"/>
      <sheetName val="Sheet929"/>
      <sheetName val="管理费用(集团董事会)"/>
      <sheetName val="收发存汇总表"/>
      <sheetName val="折旧计算表"/>
      <sheetName val="Currency"/>
      <sheetName val="DropDown"/>
      <sheetName val="Non-Statistical Sampling"/>
      <sheetName val="基础条件"/>
      <sheetName val="数据库表"/>
      <sheetName val="销售明细账审计后"/>
      <sheetName val="08现金流量底稿"/>
      <sheetName val="09现金流量底稿"/>
      <sheetName val="Major"/>
      <sheetName val="阳光365人员情况表（截至2005.9.30）"/>
      <sheetName val="TAX COM"/>
      <sheetName val="其它业务收入分类"/>
      <sheetName val="B15 重要性计算表"/>
      <sheetName val="集团关联方清单"/>
      <sheetName val="数据有效性"/>
      <sheetName val="conBS"/>
      <sheetName val="conCE"/>
      <sheetName val="conCF"/>
      <sheetName val="conIS"/>
      <sheetName val="N__其他应收款"/>
      <sheetName val="N__应收账款"/>
      <sheetName val="N__营业收入及营业成本"/>
      <sheetName val="源"/>
      <sheetName val="Marco"/>
      <sheetName val="应收账款明细分类账2019"/>
      <sheetName val="20年销售出库"/>
      <sheetName val="2-R1619"/>
      <sheetName val="递延所得税资产Dy"/>
      <sheetName val="FIN48 TP Doc"/>
      <sheetName val="应付帐款余额表"/>
      <sheetName val="或有事项"/>
      <sheetName val="关联方交易"/>
      <sheetName val="其他综合收益"/>
      <sheetName val="审定表M4"/>
      <sheetName val="Sheet751"/>
      <sheetName val="银行未达账项明细表"/>
      <sheetName val="资产负债表（新）"/>
      <sheetName val="Sheet910"/>
      <sheetName val="制造费用明细表"/>
      <sheetName val="生产成本检查表"/>
      <sheetName val="销售费用截止测试"/>
      <sheetName val="附注披露信息（上市公司）L1-1"/>
      <sheetName val="Sheet447"/>
      <sheetName val="销项税"/>
      <sheetName val="SCH H"/>
      <sheetName val="Planning"/>
      <sheetName val="Planning Extension"/>
      <sheetName val="Audit Results Ext"/>
      <sheetName val="Audit Results Upper Stratum Ext"/>
      <sheetName val="Population Characteristics"/>
      <sheetName val="Individually Significant Items"/>
      <sheetName val="Projection Extended Sample"/>
      <sheetName val="Projection"/>
      <sheetName val="D2-1 应收账款Leadsheet"/>
      <sheetName val="存货明细表"/>
      <sheetName val="收入检查表（是否全部开票及船舶离港时间1-10）D4-3-1"/>
      <sheetName val="No.305"/>
      <sheetName val="No.404"/>
      <sheetName val="Contents"/>
      <sheetName val="市场比较法"/>
      <sheetName val="基础资料"/>
      <sheetName val="账项调整"/>
      <sheetName val="索引表"/>
      <sheetName val="申报表封面"/>
      <sheetName val="全年折旧"/>
      <sheetName val="固定资产清理"/>
      <sheetName val="Basic_Information"/>
      <sheetName val="FORM14_2"/>
      <sheetName val="新城资金明细"/>
      <sheetName val="申鑫大厦租金明细"/>
      <sheetName val="三林明细"/>
      <sheetName val="东陆明细"/>
      <sheetName val="在建工程"/>
      <sheetName val="函证结果汇总表M1-5"/>
      <sheetName val="集团关联单位"/>
      <sheetName val="个人备用金账龄"/>
      <sheetName val="审定表M1 "/>
      <sheetName val="预期信用损失的计量测试M1-7-1"/>
      <sheetName val="发货单列表"/>
      <sheetName val="Sheet829"/>
      <sheetName val="Sheet703"/>
      <sheetName val="披露表-国企报告"/>
      <sheetName val="披露表-上市公司报告"/>
      <sheetName val="Sheet748"/>
      <sheetName val="投资"/>
      <sheetName val="筹资"/>
      <sheetName val="首页"/>
      <sheetName val="绝对估值"/>
      <sheetName val="销售输入表"/>
      <sheetName val="C101"/>
      <sheetName val="管理费用检查表"/>
      <sheetName val="营业外收入检查情况表"/>
      <sheetName val="营业费用检查表"/>
      <sheetName val="A105010"/>
      <sheetName val="nada"/>
      <sheetName val="dropdowns"/>
      <sheetName val="通用设备折旧复核"/>
      <sheetName val="专用设备折旧复核"/>
      <sheetName val="运输设备折旧复核"/>
      <sheetName val="电子设备折旧复核"/>
      <sheetName val="其他设备折旧"/>
      <sheetName val="Sheet794"/>
      <sheetName val="白玻综合成本"/>
      <sheetName val="综合成本"/>
      <sheetName val="LF"/>
      <sheetName val="MB51"/>
      <sheetName val="Nov,01"/>
      <sheetName val="存货收发存汇总表"/>
      <sheetName val="CE_P"/>
      <sheetName val="ADJ Sum(console)"/>
      <sheetName val="利润中心"/>
      <sheetName val="折旧表"/>
      <sheetName val="固定资产卡片"/>
      <sheetName val="2009投资明细表"/>
      <sheetName val="a"/>
      <sheetName val="L1-1"/>
      <sheetName val="97년"/>
      <sheetName val="LADJ Recon "/>
      <sheetName val="For report Disclosure"/>
      <sheetName val="Turnover days analysis"/>
      <sheetName val="5442(ref)"/>
      <sheetName val="5443(ref)"/>
      <sheetName val="For PACKAGE"/>
      <sheetName val="本部"/>
      <sheetName val="西安"/>
      <sheetName val="重庆"/>
      <sheetName val="成都"/>
      <sheetName val="哈尔滨"/>
      <sheetName val="大连"/>
      <sheetName val="沈阳"/>
      <sheetName val="秦皇岛"/>
      <sheetName val="武汉"/>
      <sheetName val="郑州"/>
      <sheetName val="天津"/>
      <sheetName val="烟台"/>
      <sheetName val="青岛"/>
      <sheetName val="济南"/>
      <sheetName val="南昌"/>
      <sheetName val="合肥"/>
      <sheetName val="嘉兴"/>
      <sheetName val="温州"/>
      <sheetName val="台州"/>
      <sheetName val="宁波"/>
      <sheetName val="杭州"/>
      <sheetName val="扬州"/>
      <sheetName val="南通"/>
      <sheetName val="常州"/>
      <sheetName val="南京"/>
      <sheetName val="张家港"/>
      <sheetName val="江阴"/>
      <sheetName val="无锡"/>
      <sheetName val="昆山"/>
      <sheetName val="苏州"/>
      <sheetName val="嘉定"/>
      <sheetName val="松江"/>
      <sheetName val="长沙"/>
      <sheetName val="福州"/>
      <sheetName val="泉州"/>
      <sheetName val="厦门"/>
      <sheetName val="惠州"/>
      <sheetName val="汕头"/>
      <sheetName val="花都"/>
      <sheetName val="番禺"/>
      <sheetName val="莞城"/>
      <sheetName val="塘厦"/>
      <sheetName val="长安"/>
      <sheetName val="佛山"/>
      <sheetName val="顺德"/>
      <sheetName val="中山"/>
      <sheetName val="龙岗"/>
      <sheetName val="漳州"/>
      <sheetName val="浦东"/>
      <sheetName val="绍兴"/>
      <sheetName val="石家庄"/>
      <sheetName val="存货--12.31"/>
      <sheetName val="存货库龄分析"/>
      <sheetName val="存货跌价2013.1.4"/>
      <sheetName val="6月生产成本"/>
      <sheetName val="3-1-1现金"/>
      <sheetName val="股本Dy"/>
      <sheetName val="应收出口退税mx"/>
      <sheetName val="payroll "/>
      <sheetName val="2003年预付账款明细账"/>
      <sheetName val="其他业务利润Dy"/>
      <sheetName val="营业费用Dy"/>
      <sheetName val="应收票据Dy"/>
      <sheetName val="LinkData"/>
      <sheetName val="30.06.03"/>
      <sheetName val="主营业务收入mx"/>
      <sheetName val="余额表（终稿）"/>
      <sheetName val="5-1-3管沟"/>
      <sheetName val="5-3工程物资"/>
      <sheetName val="5-4-2在建安装"/>
      <sheetName val="5-5固定清理"/>
      <sheetName val="5-6待处理固定损失"/>
      <sheetName val="丁字帐户"/>
      <sheetName val="KLHT"/>
      <sheetName val="每月資料"/>
      <sheetName val="无形资产Dy"/>
      <sheetName val="无形资产减值准备Dy"/>
      <sheetName val="应收补贴款Dy"/>
      <sheetName val="其他流动资产Dy"/>
      <sheetName val="内部往来Dy"/>
      <sheetName val="长期待摊费用Dy"/>
      <sheetName val="管理费用mx"/>
      <sheetName val="存货Cx"/>
      <sheetName val="按客户"/>
      <sheetName val="FLdeleted"/>
      <sheetName val="存货_库存商品Dy"/>
      <sheetName val="应付工资Dy"/>
      <sheetName val="应付福利费Dy"/>
      <sheetName val="预提费用Dy"/>
      <sheetName val="长期股权投资Mx"/>
      <sheetName val="Final sample listing"/>
      <sheetName val="UFPrn20200921194626"/>
      <sheetName val="余额表200606"/>
      <sheetName val="200611"/>
      <sheetName val="200612"/>
      <sheetName val="Segment"/>
      <sheetName val="list of LC"/>
      <sheetName val="冻品入库"/>
      <sheetName val="鸡油车间"/>
      <sheetName val="conWP1"/>
      <sheetName val="外销收入明细表"/>
      <sheetName val="UFPrn20060111164230"/>
      <sheetName val="07年1-9月"/>
      <sheetName val="dep08"/>
      <sheetName val="成本计提模板"/>
      <sheetName val="信用证分银行"/>
      <sheetName val="商承分银行"/>
      <sheetName val="基本情况"/>
      <sheetName val="商保"/>
      <sheetName val="投资收益Mx"/>
      <sheetName val="三分厂04年1-12月销售价 "/>
      <sheetName val="05年1月销售价"/>
      <sheetName val="04年12月销售价"/>
      <sheetName val="大额未达"/>
      <sheetName val="校对"/>
      <sheetName val="抵消信息表"/>
      <sheetName val="以前年度损益调整"/>
      <sheetName val="已审CF"/>
      <sheetName val="Khoan cong truong Tan De"/>
      <sheetName val="成本"/>
      <sheetName val="MG1"/>
      <sheetName val="USCV3"/>
      <sheetName val="879099"/>
      <sheetName val="资产负债表(本部原报)"/>
      <sheetName val="_Profile"/>
      <sheetName val="附件3-1 穿行待补-展升"/>
      <sheetName val="待摊费用Dy"/>
      <sheetName val="固定资产折旧报表"/>
      <sheetName val="在建工程Dy"/>
      <sheetName val="Accounts"/>
      <sheetName val="生产成本Dy"/>
      <sheetName val="ACTINV"/>
      <sheetName val="H增"/>
      <sheetName val="Net Trans Sum"/>
      <sheetName val="A_Gen"/>
      <sheetName val="Sens"/>
      <sheetName val="20071-10月原材料发出计价测试(不打)"/>
      <sheetName val="200712"/>
      <sheetName val="自制半成品1-12计价测试"/>
      <sheetName val="产成品收发存余额表1-12"/>
      <sheetName val="预付账款Mx"/>
      <sheetName val="帐上"/>
      <sheetName val="$TB 1"/>
      <sheetName val="$TB"/>
      <sheetName val="Devices"/>
      <sheetName val="3. Textile"/>
      <sheetName val="7. NN staff turnover report"/>
      <sheetName val="帐套"/>
      <sheetName val="明细"/>
      <sheetName val="生产领料序时簿"/>
      <sheetName val="新的工作表"/>
      <sheetName val="合并试算平衡表"/>
      <sheetName val="综合成本分析01.01-0205"/>
      <sheetName val="武平流水"/>
      <sheetName val="销售收入底稿"/>
      <sheetName val="混料"/>
      <sheetName val="基本信息_百鑫"/>
      <sheetName val="To tied 2001 opening RE"/>
      <sheetName val="T.B."/>
      <sheetName val="Sheet697"/>
      <sheetName val="Sheet912"/>
      <sheetName val="预收分期表"/>
      <sheetName val="预收账款明细表D3-2"/>
      <sheetName val="轨道一厂在产品盘点倒轧表G2-6-5"/>
      <sheetName val="重分类错报表"/>
      <sheetName val="裕华城"/>
      <sheetName val="收入毛利分析D4-21"/>
      <sheetName val="海外客户提单检查"/>
      <sheetName val="U8数据"/>
      <sheetName val="Competition ¥"/>
      <sheetName val="表头及目录"/>
      <sheetName val="B15 重要性计算表(审计前）"/>
      <sheetName val="N__财务费用"/>
      <sheetName val="N__持有至到期投资"/>
      <sheetName val="N__存货"/>
      <sheetName val="N__递延所得税资产和递延所得税负债"/>
      <sheetName val="N__短期借款"/>
      <sheetName val="所合并"/>
      <sheetName val="资合并"/>
      <sheetName val="N__工程物资"/>
      <sheetName val="N__公允价值变动收益"/>
      <sheetName val="N__股本"/>
      <sheetName val="N__固定资产"/>
      <sheetName val="N__固定资产清理"/>
      <sheetName val="N__管理费用"/>
      <sheetName val="N__货币资金"/>
      <sheetName val="N__交易性金融负债"/>
      <sheetName val="N__交易性金融资产"/>
      <sheetName val="N__开发支出"/>
      <sheetName val="N__可供出售金融资产"/>
      <sheetName val="N__库存股"/>
      <sheetName val="利合并"/>
      <sheetName val="N__每股收益"/>
      <sheetName val="N__其他非流动负债"/>
      <sheetName val="N__其他非流动资产"/>
      <sheetName val="N__其他流动负债"/>
      <sheetName val="N__其他应付款"/>
      <sheetName val="N__其他综合收益"/>
      <sheetName val="N__其他流动资产"/>
      <sheetName val="N__商誉"/>
      <sheetName val="N__生产性生物资产"/>
      <sheetName val="N__所得税费用"/>
      <sheetName val="N__投资收益"/>
      <sheetName val="N__投资性房地产"/>
      <sheetName val="N__未分配利润"/>
      <sheetName val="N__无形资产"/>
      <sheetName val="N__现金流量表附注"/>
      <sheetName val="现合并"/>
      <sheetName val="N__销售费用"/>
      <sheetName val="N__一年内到期的非流动负债"/>
      <sheetName val="N__一年内到期的非流动资产"/>
      <sheetName val="N__盈余公积"/>
      <sheetName val="N__税金及附加"/>
      <sheetName val="N__营业外收入"/>
      <sheetName val="N__营业外支出"/>
      <sheetName val="N__应付股利"/>
      <sheetName val="N__应付利息"/>
      <sheetName val="N__应付票据"/>
      <sheetName val="N__应付债券"/>
      <sheetName val="N__应付账款"/>
      <sheetName val="N__应付职工薪酬"/>
      <sheetName val="N__应交税费"/>
      <sheetName val="N__应收股利"/>
      <sheetName val="N__应收利息"/>
      <sheetName val="N__应收票据"/>
      <sheetName val="N__油气资产"/>
      <sheetName val="N__预付款项"/>
      <sheetName val="N__预计负债"/>
      <sheetName val="N__预收账款"/>
      <sheetName val="N__在建工程"/>
      <sheetName val="N__长期待摊费用"/>
      <sheetName val="N__长期借款"/>
      <sheetName val="N__长期应付款"/>
      <sheetName val="N__长期应收款"/>
      <sheetName val="N__专项储备"/>
      <sheetName val="N__专项应付款"/>
      <sheetName val="N__资本公积"/>
      <sheetName val="N__资产减值损失"/>
      <sheetName val="N__资产减值准备"/>
      <sheetName val="Sheet_Serial"/>
      <sheetName val="FA MVT"/>
      <sheetName val="Physical Description"/>
      <sheetName val="DEF"/>
      <sheetName val="社員リスト"/>
      <sheetName val="固定资产借贷方分析J1-3"/>
      <sheetName val="折旧测算表（不含减值）-直线法J1-8-1-页数多，仅打印头尾"/>
      <sheetName val="明细表J1-2"/>
      <sheetName val="累计折旧重新测算（不含减值）J1-8-2-仅打印头尾"/>
      <sheetName val="标准UPPH"/>
      <sheetName val="28"/>
      <sheetName val="14"/>
      <sheetName val="36"/>
      <sheetName val="13"/>
      <sheetName val="16-1"/>
      <sheetName val="16-2"/>
      <sheetName val="16-3"/>
      <sheetName val="Group"/>
      <sheetName val="FK Ma"/>
      <sheetName val="MetaData"/>
      <sheetName val="現金流量"/>
      <sheetName val="固清"/>
      <sheetName val="Wacc"/>
      <sheetName val="5440彙總表"/>
      <sheetName val="PopCache_Sheet1"/>
      <sheetName val="IPO"/>
      <sheetName val="总账"/>
      <sheetName val="yszk200412.dbf"/>
      <sheetName val="U321"/>
      <sheetName val="dd"/>
      <sheetName val="维简费"/>
      <sheetName val="维简费返还"/>
      <sheetName val="Threshold Table"/>
      <sheetName val="Translation FRF"/>
      <sheetName val="凭证汇总"/>
      <sheetName val="Sales by customer- details"/>
      <sheetName val="&lt;FF&gt; Tax Payable"/>
      <sheetName val="基础设置"/>
      <sheetName val="期末应付账款明细表G4-2"/>
      <sheetName val="C - Cash and Bank"/>
      <sheetName val="8-1"/>
      <sheetName val="大额运费分析表G4-4-4"/>
      <sheetName val="科目设定"/>
      <sheetName val="销售发票专用序时簿"/>
      <sheetName val="PRC 15"/>
      <sheetName val="本期调整分录"/>
      <sheetName val="上期调整分录"/>
      <sheetName val="现流本期编制分录"/>
      <sheetName val="现流上期编制分录"/>
      <sheetName val="资产负债表、利润表、现金流量表"/>
      <sheetName val="销售发票序时簿"/>
      <sheetName val="PRC 13"/>
      <sheetName val="May"/>
      <sheetName val="33230"/>
      <sheetName val="hidesheet"/>
      <sheetName val="函证结果汇总表D4-34"/>
      <sheetName val="财企01表_南宁轨道交通集团有限责任公司（集团合并）期末数"/>
      <sheetName val="2021年TB"/>
      <sheetName val="凭证汇总1"/>
      <sheetName val="Cash Flows"/>
      <sheetName val="人事明细"/>
      <sheetName val="半成品slje"/>
      <sheetName val="9-12月"/>
      <sheetName val="附注索引"/>
      <sheetName val="汇总核对表"/>
      <sheetName val="2005余额表"/>
      <sheetName val="委托贷款Dy"/>
      <sheetName val="坏账准备_预付账款Dy"/>
      <sheetName val="基础"/>
      <sheetName val="累计折旧_2"/>
      <sheetName val="Header Data"/>
      <sheetName val="项目编号列表"/>
      <sheetName val="单位"/>
      <sheetName val="L1-1资产负债表"/>
      <sheetName val="Y3-2 06企业会计制度附注"/>
      <sheetName val="Y0-1报告准备表（无需打印）"/>
      <sheetName val="销售费用Dy"/>
      <sheetName val="主数据"/>
      <sheetName val="VM"/>
      <sheetName val="天合与太阳时代的往来余额(天合账面)"/>
      <sheetName val="181231科技&amp;凯博-其他应付"/>
      <sheetName val="2021应收账面数"/>
      <sheetName val="2021工程账面数"/>
      <sheetName val="评估结论"/>
      <sheetName val="FIRE Parameters"/>
      <sheetName val="G2TempSheet"/>
      <sheetName val="损益表"/>
      <sheetName val="_810余额表"/>
      <sheetName val="qtr local"/>
      <sheetName val="A_1"/>
      <sheetName val="备注"/>
      <sheetName val="工程量"/>
      <sheetName val="服务"/>
      <sheetName val="1梁家5-1-1房建"/>
      <sheetName val="1梁家5-1-2构筑"/>
      <sheetName val="p &amp; lx"/>
      <sheetName val="3-9其他应收"/>
      <sheetName val="9-3应付帐款"/>
      <sheetName val="Director"/>
      <sheetName val="3-1-2银存"/>
      <sheetName val="3-1-3其他货币"/>
      <sheetName val="10-1长借"/>
      <sheetName val="10-2应付债券"/>
      <sheetName val="10-3长期应付款"/>
      <sheetName val="10-4住房周转金"/>
      <sheetName val="10-5其他长期负债"/>
      <sheetName val="10-6递延税款贷项"/>
      <sheetName val="3-10存货汇总"/>
      <sheetName val="3-12待处理流损"/>
      <sheetName val="3-13一年长债"/>
      <sheetName val="3-14其他流资"/>
      <sheetName val="3-2短投汇总"/>
      <sheetName val="3-5应收股利"/>
      <sheetName val="3-6应收利息"/>
      <sheetName val="3-7预付帐款"/>
      <sheetName val="3-8应收补贴"/>
      <sheetName val="长投汇总"/>
      <sheetName val="6-2其他无形"/>
      <sheetName val="7-1开办费"/>
      <sheetName val="7-2长期待摊"/>
      <sheetName val="8-1其他长期"/>
      <sheetName val="8-2递税借项"/>
      <sheetName val="9-1短期借款"/>
      <sheetName val="9-10应付利润"/>
      <sheetName val="9-11其他应交"/>
      <sheetName val="9-12预提"/>
      <sheetName val="9-13一年内长债"/>
      <sheetName val="9-14其他流负"/>
      <sheetName val="9-2应付票据"/>
      <sheetName val="9-4预收帐款"/>
      <sheetName val="9-5代销商品款"/>
      <sheetName val="9-6其他应付款"/>
      <sheetName val="9-7应付工资"/>
      <sheetName val="9-8应付福利费"/>
      <sheetName val="9-9应交税金"/>
      <sheetName val="梁家5-1-1房建"/>
      <sheetName val="XLR_NoRangeSheet"/>
      <sheetName val="累计折旧测算表"/>
      <sheetName val="Alternative"/>
      <sheetName val="统计"/>
      <sheetName val="长期股权投资审定表"/>
      <sheetName val="10K4"/>
      <sheetName val="工企资产负债表"/>
      <sheetName val="出租开发产品明细"/>
      <sheetName val="预付款项Dy"/>
      <sheetName val="预收款项Dy"/>
      <sheetName val="Sales for 2001"/>
      <sheetName val="IPQC-9 二次烧结"/>
      <sheetName val="上缴管理费明细"/>
      <sheetName val="服务部待报废"/>
      <sheetName val="VAS TB"/>
      <sheetName val="frm销售合同-Sub"/>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sheetData sheetId="1516" refreshError="1"/>
      <sheetData sheetId="1517" refreshError="1"/>
      <sheetData sheetId="1518"/>
      <sheetData sheetId="1519" refreshError="1"/>
      <sheetData sheetId="1520" refreshError="1"/>
      <sheetData sheetId="1521" refreshError="1"/>
      <sheetData sheetId="1522" refreshError="1"/>
      <sheetData sheetId="1523"/>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sheetData sheetId="1561"/>
      <sheetData sheetId="1562" refreshError="1"/>
      <sheetData sheetId="1563" refreshError="1"/>
      <sheetData sheetId="1564"/>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sheetData sheetId="1764"/>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reakdown"/>
      <sheetName val="2004"/>
      <sheetName val="test on帐面补差"/>
      <sheetName val="XREF"/>
      <sheetName val="Tickmarks"/>
      <sheetName val="企业表一"/>
      <sheetName val="M-5C"/>
      <sheetName val="M-5A"/>
      <sheetName val="科目表"/>
      <sheetName val="机关财务营业费用"/>
      <sheetName val="存栏2"/>
      <sheetName val="索引"/>
      <sheetName val="生产成本账"/>
      <sheetName val="系统参数设置"/>
      <sheetName val="固定资产清单"/>
      <sheetName val="示范99tzfl"/>
      <sheetName val="#REF!"/>
      <sheetName val="明细科目余额表"/>
      <sheetName val="现金明细（勿删）"/>
      <sheetName val="本期报表"/>
      <sheetName val="35.1租赁明细"/>
      <sheetName val="XL4Poppy"/>
      <sheetName val="Investment Property"/>
      <sheetName val="1"/>
      <sheetName val="2"/>
      <sheetName val="3"/>
      <sheetName val="4"/>
      <sheetName val="5"/>
      <sheetName val="6"/>
      <sheetName val="7"/>
      <sheetName val="8"/>
      <sheetName val="9"/>
      <sheetName val="10"/>
      <sheetName val="11"/>
      <sheetName val="12"/>
      <sheetName val="1-12"/>
      <sheetName val="3 (2)"/>
      <sheetName val="4 (2)"/>
      <sheetName val="5 (2)"/>
      <sheetName val="6 (2)"/>
      <sheetName val="7 (2)"/>
      <sheetName val="8 (2)"/>
      <sheetName val="9 (2)"/>
      <sheetName val="10 (2)"/>
      <sheetName val="11 (2)"/>
      <sheetName val="12 (2)"/>
      <sheetName val="1 (2)"/>
      <sheetName val="2 (2)"/>
      <sheetName val="Raw materials"/>
      <sheetName val="KKKKKKKK"/>
      <sheetName val="PER SALES ORG"/>
      <sheetName val="Bilanz Aktiva"/>
      <sheetName val="Bil.Zu-Abgang"/>
      <sheetName val="Cash Flow"/>
      <sheetName val="GuV"/>
      <sheetName val="Bilanz Passiva"/>
      <sheetName val="差异调整97"/>
      <sheetName val="差异调整95"/>
      <sheetName val="差异调整96"/>
      <sheetName val="1－5月余额表"/>
      <sheetName val="1－10月余额表"/>
      <sheetName val="预付账款Dy"/>
      <sheetName val="Source"/>
      <sheetName val="Bal Sheet"/>
      <sheetName val="DATA"/>
      <sheetName val="UFPrn20061113135115"/>
      <sheetName val="基本信息"/>
      <sheetName val="&lt;原报&gt;资产负债表"/>
      <sheetName val="W"/>
      <sheetName val="生产成本"/>
      <sheetName val="三兴2"/>
      <sheetName val="coding"/>
      <sheetName val="基础数据"/>
      <sheetName val="基本参数"/>
      <sheetName val="表头"/>
      <sheetName val="Toolbox"/>
      <sheetName val="Appendix"/>
      <sheetName val="PRC BS"/>
      <sheetName val="完"/>
      <sheetName val="인사현황(부서)"/>
      <sheetName val="Cover"/>
      <sheetName val="营业费用测试"/>
      <sheetName val="PTC"/>
      <sheetName val="表头（请先填写+核心提示）"/>
      <sheetName val="STATPARA"/>
      <sheetName val="Lead"/>
      <sheetName val="CF"/>
      <sheetName val="preBS"/>
      <sheetName val="preCF"/>
      <sheetName val="preIS"/>
      <sheetName val="preCE"/>
      <sheetName val="TB"/>
      <sheetName val="标本-资产"/>
      <sheetName val="主营业务成本Dy"/>
      <sheetName val="分录"/>
      <sheetName val="存货_包装物"/>
      <sheetName val="存货_库存商品mx"/>
      <sheetName val="存货_生产成本mx1"/>
      <sheetName val="存货_委托加工物资mx"/>
      <sheetName val="存货_制造费用Mx"/>
      <sheetName val="应收账款"/>
      <sheetName val="制造成本表"/>
      <sheetName val="Summary"/>
      <sheetName val="9000"/>
      <sheetName val="9747"/>
      <sheetName val="9577"/>
      <sheetName val="COS breakdown"/>
      <sheetName val="B"/>
      <sheetName val="应收账款余额表"/>
      <sheetName val="所得税明细表"/>
      <sheetName val="账面外销"/>
      <sheetName val="BALANCE SHEET"/>
      <sheetName val="产销存"/>
      <sheetName val="1-6累计销售"/>
      <sheetName val="收入个月"/>
      <sheetName val="累计产销存"/>
      <sheetName val="AGRO-DATA"/>
      <sheetName val="报表科目"/>
      <sheetName val="应收账款贷方余额表"/>
      <sheetName val="应收账款借方余额表"/>
      <sheetName val=""/>
      <sheetName val="5月"/>
      <sheetName val="6月"/>
      <sheetName val="上期报表"/>
      <sheetName val="表头信息"/>
      <sheetName val="2-1主营业务收入查证表1"/>
      <sheetName val="审计说明"/>
      <sheetName val="FA-2"/>
      <sheetName val="目錄"/>
      <sheetName val="P12 TB SZ"/>
      <sheetName val="短期投资股票投资.dbf"/>
      <sheetName val="短期投资国债投资.dbf"/>
      <sheetName val="股票投资收益.dbf"/>
      <sheetName val="其他货币海通.dbf"/>
      <sheetName val="其他货币零领路.dbf"/>
      <sheetName val="投资收益债券.dbf"/>
      <sheetName val="资产负债表"/>
      <sheetName val="YS02-02"/>
      <sheetName val="管理费用(集团董事会)"/>
      <sheetName val="C_301"/>
      <sheetName val="C_311"/>
      <sheetName val="C_318"/>
      <sheetName val="委托加工材料"/>
      <sheetName val="材料采购－原材料（购价）"/>
      <sheetName val="核算项目余额表"/>
      <sheetName val="应付账款"/>
      <sheetName val="预提费用"/>
      <sheetName val="清单12.31"/>
      <sheetName val="材料采购-入库"/>
      <sheetName val="原材料－其他"/>
      <sheetName val="材料成本差异－运费等"/>
      <sheetName val="数量对比"/>
      <sheetName val="选择键"/>
      <sheetName val="有效性"/>
      <sheetName val="总成本"/>
      <sheetName val="UFPrn20030731121657"/>
      <sheetName val="合并清单"/>
      <sheetName val="Ex Diff"/>
      <sheetName val="导引表"/>
      <sheetName val="Control"/>
      <sheetName val="长投测试"/>
      <sheetName val="E1020"/>
      <sheetName val="AR"/>
      <sheetName val="福州路仓库(3)"/>
      <sheetName val="物资采购-1"/>
      <sheetName val="物资采购-2"/>
      <sheetName val="祁连山路仓库(5)"/>
      <sheetName val="特种储备物资"/>
      <sheetName val="张江库"/>
      <sheetName val="other lia"/>
      <sheetName val="prepayment"/>
      <sheetName val="related co"/>
      <sheetName val="adm"/>
      <sheetName val="sel"/>
      <sheetName val="基本情况表"/>
      <sheetName val="POWER ASSUMPTIONS"/>
      <sheetName val="eqpmad2"/>
      <sheetName val="1月"/>
      <sheetName val="收入"/>
      <sheetName val="说明"/>
      <sheetName val="_x005f_x0000__x005f_x0000__x005f_x0000__x005f_x0000__x0"/>
      <sheetName val="名称（勿删）"/>
      <sheetName val="营业外收支明细"/>
      <sheetName val="7-11销售"/>
      <sheetName val="gvl"/>
      <sheetName val="Title"/>
      <sheetName val="Understand the client"/>
      <sheetName val="Bokslutsprocessen"/>
      <sheetName val="Indata"/>
      <sheetName val="CRA"/>
      <sheetName val="Sheet1"/>
      <sheetName val="材差5月份结转"/>
      <sheetName val="生产成本6月份结转"/>
      <sheetName val="库存商品项目账"/>
      <sheetName val="Worksheet in 8240 COS breakdown"/>
      <sheetName val="12进销存"/>
      <sheetName val="工程物资Dy"/>
      <sheetName val="索引表"/>
      <sheetName val="表头（请先填写）"/>
      <sheetName val="US Codes"/>
      <sheetName val="M3 - BS"/>
      <sheetName val="M3 - PL"/>
      <sheetName val="B-S"/>
      <sheetName val="3库存"/>
      <sheetName val="3收入"/>
      <sheetName val="3成本"/>
      <sheetName val="委托加工物资明细"/>
      <sheetName val="专项买的固定资产"/>
      <sheetName val="#REF"/>
      <sheetName val="项目调整"/>
      <sheetName val="剥离前"/>
      <sheetName val="成本调整明细表"/>
      <sheetName val="_x005f_x005f_x005f_x0000__x005f_x005f_x005f_x0000__x005"/>
      <sheetName val="original"/>
      <sheetName val="Erection"/>
      <sheetName val="劳务费"/>
      <sheetName val="折旧"/>
      <sheetName val="工资"/>
      <sheetName val="福利费"/>
      <sheetName val="水电费"/>
      <sheetName val="办公费"/>
      <sheetName val="业务招待费"/>
      <sheetName val="差"/>
      <sheetName val="机"/>
      <sheetName val="劳保"/>
      <sheetName val="通迅费"/>
      <sheetName val="修"/>
      <sheetName val="营业外收入Dy"/>
      <sheetName val="固定资产Dy"/>
      <sheetName val="累计折旧Dy"/>
      <sheetName val="银行存款Dy"/>
      <sheetName val="应收利息Dy"/>
      <sheetName val="短期投资Dy"/>
      <sheetName val="货币资金Dy"/>
      <sheetName val="参数"/>
      <sheetName val="无形资产年末数构成"/>
      <sheetName val="营业外支出"/>
      <sheetName val="Currency"/>
      <sheetName val="DropDown"/>
      <sheetName val="Non-Statistical Sampling"/>
      <sheetName val="现金"/>
      <sheetName val="多级销售汇总表（备用）"/>
      <sheetName val="Financ. Overview"/>
      <sheetName val="China"/>
      <sheetName val="Absol"/>
      <sheetName val="降低额统计(会签)"/>
      <sheetName val="2.대외공문"/>
      <sheetName val="RD제품개발투자비(매가)"/>
      <sheetName val="培训执行汇总"/>
      <sheetName val="02考勤"/>
      <sheetName val="项目"/>
      <sheetName val="06汇总"/>
      <sheetName val="8月乘用车分公司期间费用统计表"/>
      <sheetName val="分产品销售收入、成本分析表"/>
      <sheetName val="Sheet3"/>
      <sheetName val="PRC-BS-SZ"/>
      <sheetName val="Main"/>
      <sheetName val="Income Statement"/>
      <sheetName val="试算平衡表"/>
      <sheetName val="其他应付款科目余额2005.12.31"/>
      <sheetName val="订单"/>
      <sheetName val="内部往来"/>
      <sheetName val="中山低值"/>
      <sheetName val="Sales Jul 99"/>
      <sheetName val="RESULT"/>
      <sheetName val="基本信息输入"/>
      <sheetName val="审计分工配置表"/>
      <sheetName val="UFPrn2003其他"/>
      <sheetName val="COS SAR"/>
      <sheetName val="Excess Calc"/>
      <sheetName val="2005"/>
      <sheetName val="2003"/>
      <sheetName val="2002"/>
      <sheetName val="2001"/>
      <sheetName val="Summary-返利"/>
      <sheetName val="返利收入青岛"/>
      <sheetName val="返利收入-淄博"/>
      <sheetName val="COS"/>
      <sheetName val="SAR"/>
      <sheetName val="PIT-cost"/>
      <sheetName val="Major FG analysis"/>
      <sheetName val="GP ratio"/>
      <sheetName val="GP ratio Analysis"/>
      <sheetName val="Consolidation"/>
      <sheetName val="申友"/>
      <sheetName val="Printing cost breakdown"/>
      <sheetName val="Purchase"/>
      <sheetName val="Excess Calc for ref"/>
      <sheetName val="Breakdown 2005.12"/>
      <sheetName val="累计销售"/>
      <sheetName val="银行借款询证"/>
      <sheetName val="基础信息"/>
      <sheetName val="D4-封面"/>
      <sheetName val="D41-封面"/>
      <sheetName val="收入和成本对应表"/>
      <sheetName val="主营业务明细表"/>
      <sheetName val="_x005f_x0000__x005f_x0000__x005"/>
      <sheetName val="工时统计"/>
      <sheetName val="21710103"/>
      <sheetName val="2171010501"/>
      <sheetName val="2171010502"/>
      <sheetName val="217102"/>
      <sheetName val="流资汇总"/>
      <sheetName val="披露表(国资)"/>
      <sheetName val="sell"/>
      <sheetName val="fin"/>
      <sheetName val="Validation"/>
      <sheetName val="_x005f_x005f_x005f_x005f_x005f_x005f_x005f_x0000__x005f"/>
      <sheetName val="Plan"/>
      <sheetName val="A"/>
      <sheetName val="递延税款Dy"/>
      <sheetName val="所得税Dy"/>
      <sheetName val="股本Dy"/>
      <sheetName val="资本公积Dy"/>
      <sheetName val="盈余公积Dy"/>
      <sheetName val="投资收益Dy"/>
      <sheetName val="长期股权投资Dy"/>
      <sheetName val="Payroll"/>
      <sheetName val="逾龄"/>
      <sheetName val="役龄"/>
      <sheetName val="原材料"/>
      <sheetName val="封面"/>
      <sheetName val="院级设计"/>
      <sheetName val="BS"/>
      <sheetName val="CE"/>
      <sheetName val="IS"/>
      <sheetName val="FS"/>
      <sheetName val="gl"/>
      <sheetName val="C01-1"/>
      <sheetName val="审计工作底稿目录"/>
      <sheetName val="P1012001"/>
      <sheetName val="cs"/>
      <sheetName val="科目名称表"/>
      <sheetName val="_x005f_x005f_x005f_x0000__x005f"/>
      <sheetName val="A430"/>
      <sheetName val="dep08"/>
      <sheetName val="利润分析"/>
      <sheetName val="资产负债分析"/>
      <sheetName val="4-货币资金-现金"/>
      <sheetName val="2006年TB"/>
      <sheetName val="其他应收款明细表"/>
      <sheetName val="补充信息"/>
      <sheetName val="明细表D4-2-1（行业）"/>
      <sheetName val="应交税费审定表"/>
      <sheetName val="dxnsjtempsheet"/>
      <sheetName val="销售6.13"/>
      <sheetName val="役"/>
      <sheetName val="应付账款明细BS.09 "/>
      <sheetName val="CF附注"/>
      <sheetName val="其他应付款Dy"/>
      <sheetName val="附注汇总"/>
      <sheetName val="细节测试审计抽样"/>
      <sheetName val="长期借款Dy"/>
      <sheetName val="原TB表"/>
      <sheetName val="其他应收款Dy"/>
      <sheetName val="货币资金审定表"/>
      <sheetName val="试算"/>
      <sheetName val="财务费用Dy"/>
      <sheetName val="FX"/>
      <sheetName val="Input_Hide"/>
      <sheetName val="Oct"/>
      <sheetName val="界面"/>
      <sheetName val="1999TL"/>
      <sheetName val="PL配賦明細"/>
      <sheetName val="折旧表2006年1-6月"/>
      <sheetName val="Spreadsheet"/>
      <sheetName val="每月資料"/>
      <sheetName val="T.B."/>
      <sheetName val="Inhalt"/>
      <sheetName val="2008.02T.B."/>
      <sheetName val="whw5r"/>
      <sheetName val="06"/>
      <sheetName val="2008年2月"/>
      <sheetName val="Index"/>
      <sheetName val="MasterList"/>
      <sheetName val="管理费用Dy"/>
      <sheetName val="坏账准备_其他应收款Dy"/>
      <sheetName val="其他应收款Mx"/>
      <sheetName val="10-12"/>
      <sheetName val="附表6"/>
      <sheetName val="其他应收款分录表"/>
      <sheetName val="Pre-operating Exp"/>
      <sheetName val="Miscellaneous Exp."/>
      <sheetName val="Rental 2002"/>
      <sheetName val="Rental 2001"/>
      <sheetName val="base"/>
      <sheetName val="J&amp;Q"/>
      <sheetName val="2005余额表"/>
      <sheetName val="Mp-team 1"/>
      <sheetName val="天合与太阳时代的往来余额(天合账面)"/>
      <sheetName val="关联交易-存款"/>
      <sheetName val="param"/>
      <sheetName val="cov"/>
      <sheetName val="ZI-1存货余额表 "/>
      <sheetName val="ZI封面"/>
      <sheetName val="ZI-0调整分录 "/>
      <sheetName val="应付账款Dy"/>
      <sheetName val="应付账款mx"/>
      <sheetName val="待摊费用mx"/>
      <sheetName val="固定资产减值准备mx"/>
      <sheetName val="累计折旧mx"/>
      <sheetName val="应付福利费mx"/>
      <sheetName val="应付工资mx"/>
      <sheetName val="预提费用mx"/>
      <sheetName val="在建工程mx"/>
      <sheetName val="制造费用mx"/>
      <sheetName val="主营业务成本mx"/>
      <sheetName val="应收账款Dy"/>
      <sheetName val="UFPrn20080707101342"/>
      <sheetName val="预付款项"/>
      <sheetName val="其他应付款"/>
      <sheetName val="其他应收款"/>
      <sheetName val="报表格式"/>
      <sheetName val="Consolidation TB"/>
      <sheetName val="应收帐款"/>
      <sheetName val="83套公房"/>
      <sheetName val="固定资产审定表"/>
      <sheetName val="固定资产减少检查表"/>
      <sheetName val="固定资产盘点检查情况表"/>
      <sheetName val="固定资产增加检查表"/>
      <sheetName val="审定表"/>
      <sheetName val="折旧计算检查表"/>
      <sheetName val="长期股权投资明细表"/>
      <sheetName val="无形资产凭证抽查表"/>
      <sheetName val="枚举字典"/>
      <sheetName val="吴江评估增值摊销"/>
      <sheetName val="青岛泰信评估增值摊销"/>
      <sheetName val="石油设备评估增值摊销"/>
      <sheetName val="未实现毛利"/>
      <sheetName val="Equity Movement"/>
      <sheetName val="非经常性损益"/>
      <sheetName val="MI"/>
      <sheetName val="NFC TB"/>
      <sheetName val="其他货币资金.dbf"/>
      <sheetName val="银行存款.dbf"/>
      <sheetName val="吴江"/>
      <sheetName val="UFPrn20031203195053"/>
      <sheetName val="_x0000__x0000__x0000__x0000__x0"/>
      <sheetName val="提足折旧"/>
      <sheetName val="_x005f_x005f_x005f_x005f_x005f_x005f_x005f_x005f_x005f_x005f_"/>
      <sheetName val="_x005f_x005f_x005f_x005f_"/>
      <sheetName val="财务成本"/>
      <sheetName val="SysNavigation"/>
      <sheetName val="BlsPrvOpv"/>
      <sheetName val="其他应付款 "/>
      <sheetName val="项目信息"/>
      <sheetName val="生产成本及销售成本倒轧表"/>
      <sheetName val="低值易耗品"/>
      <sheetName val="loan database"/>
      <sheetName val="试算2019"/>
      <sheetName val="邻酮定乙酚发出测试"/>
      <sheetName val="ACCOUNT LIST"/>
      <sheetName val="HEADER"/>
      <sheetName val="E1"/>
      <sheetName val="Parameters"/>
      <sheetName val="E-15"/>
      <sheetName val="Ex. rate"/>
      <sheetName val="Conversion to EUR"/>
      <sheetName val="J300"/>
      <sheetName val="mf-f"/>
      <sheetName val="版权方2004年度频道分布总表"/>
      <sheetName val="Input"/>
      <sheetName val="TYPE"/>
      <sheetName val="Actual (n)"/>
      <sheetName val="报表项目列表"/>
      <sheetName val="D3"/>
      <sheetName val="报表项目"/>
      <sheetName val="披露表(上市)"/>
      <sheetName val="总公司2002.12.31"/>
      <sheetName val="固定资产2006"/>
      <sheetName val="Chart of Account"/>
      <sheetName val="应付帐款"/>
      <sheetName val="Workings"/>
      <sheetName val="BDbilling"/>
      <sheetName val="目录"/>
      <sheetName val="库存商品"/>
      <sheetName val="名称"/>
      <sheetName val="存货Dy"/>
      <sheetName val="BNWXVLNN"/>
      <sheetName val="敏感参数"/>
      <sheetName val="_x005f_x0000__x005f"/>
      <sheetName val="广州库"/>
      <sheetName val="_x005f_x005f_x005f_x0000__x005f_x005f_x005f_x0000__x0_2"/>
      <sheetName val="Sheet2"/>
      <sheetName val="4-2长投债券"/>
      <sheetName val="3流资汇总"/>
      <sheetName val="M2"/>
      <sheetName val="专项应付款Dy"/>
      <sheetName val="营业外支出Dy"/>
      <sheetName val="应收账款Mx"/>
      <sheetName val="Director"/>
      <sheetName val="p.5, bank int income"/>
      <sheetName val="Menu"/>
      <sheetName val="conWP"/>
      <sheetName val="conBS"/>
      <sheetName val="conCE"/>
      <sheetName val="conCF"/>
      <sheetName val="conIS"/>
      <sheetName val="母公司TB"/>
      <sheetName val="_"/>
      <sheetName val="主菜单"/>
      <sheetName val="校对"/>
      <sheetName val="AJE23#"/>
      <sheetName val="FLdeleted"/>
      <sheetName val="存货_库存商品Dy"/>
      <sheetName val="长期股权投资Mx"/>
      <sheetName val="应付福利费Dy"/>
      <sheetName val="UFPrn20040104084034"/>
      <sheetName val="_x005f_x0000__x005f_x0000__x005f_x0000__x005f_x0000___2"/>
      <sheetName val="关键控制测试表"/>
      <sheetName val="科目余额表"/>
      <sheetName val="房屋类"/>
      <sheetName val="合并"/>
      <sheetName val="UFPrn20031114182129"/>
      <sheetName val="27-7"/>
      <sheetName val="管理费用明细表(2001年)"/>
      <sheetName val="帐务资料"/>
      <sheetName val="电子"/>
      <sheetName val="未安排订单（集团）"/>
      <sheetName val="工企资产负债表"/>
      <sheetName val="暂估"/>
      <sheetName val="凭证核对内容"/>
      <sheetName val="_x0000__x0000__x005"/>
      <sheetName val="PRC 13"/>
      <sheetName val="二级明细"/>
      <sheetName val="其他应收-导出"/>
      <sheetName val="隐藏页"/>
      <sheetName val="发出计价汇总－库存商品"/>
      <sheetName val="Administration"/>
      <sheetName val="master"/>
      <sheetName val="房屋及建筑物"/>
      <sheetName val="Traduction"/>
      <sheetName val="Catalogo Roca 1Oct'01"/>
      <sheetName val="_5081"/>
      <sheetName val="企业编码"/>
      <sheetName val="Open"/>
      <sheetName val="R&amp;P"/>
      <sheetName val="Energy Variance"/>
      <sheetName val="Section"/>
      <sheetName val="TT04"/>
      <sheetName val="Profit and Loss"/>
      <sheetName val="申报表封面"/>
      <sheetName val="基础条件"/>
      <sheetName val="ENT"/>
      <sheetName val="FTHL"/>
      <sheetName val="GX"/>
      <sheetName val="IN"/>
      <sheetName val="ITCD"/>
      <sheetName val="LVLT"/>
      <sheetName val="MFNX"/>
      <sheetName val="NOPT"/>
      <sheetName val="TCM"/>
      <sheetName val="TSIX"/>
      <sheetName val="WCG"/>
      <sheetName val="Added Detail List"/>
      <sheetName val="1_12月"/>
      <sheetName val="11月"/>
      <sheetName val="12月"/>
      <sheetName val="PS"/>
      <sheetName val="01"/>
      <sheetName val="010"/>
      <sheetName val="011"/>
      <sheetName val="012"/>
      <sheetName val="02"/>
      <sheetName val="03"/>
      <sheetName val="04"/>
      <sheetName val="05"/>
      <sheetName val="07"/>
      <sheetName val="08"/>
      <sheetName val="09"/>
      <sheetName val="总账余额"/>
      <sheetName val="调整分录"/>
      <sheetName val="调整分录汇总"/>
      <sheetName val="F101"/>
      <sheetName val="I151-10"/>
      <sheetName val="TB2005"/>
      <sheetName val="A.R 01"/>
      <sheetName val="17应付票据明细表"/>
      <sheetName val="列表"/>
      <sheetName val="科目名称"/>
      <sheetName val="应付账款明细表"/>
      <sheetName val="List"/>
      <sheetName val="Ref"/>
      <sheetName val="This year-Budget-20092010"/>
      <sheetName val="FA"/>
      <sheetName val="GZ4-1审定表"/>
      <sheetName val="BT 03"/>
      <sheetName val="BT 02"/>
      <sheetName val="BT 01"/>
      <sheetName val="FF-6"/>
      <sheetName val="EJE-PRC"/>
      <sheetName val="EJE-HK"/>
      <sheetName val="明细台帐"/>
      <sheetName val="固定资产(原表)"/>
      <sheetName val="Economic evaluation - FY98 base"/>
      <sheetName val="AFEMAI"/>
      <sheetName val="Detail Loan Move. &amp; Listing"/>
      <sheetName val="原材料发出计价测试-OK"/>
      <sheetName val="审定表L2"/>
      <sheetName val="选择报表"/>
      <sheetName val="KEY"/>
      <sheetName val="ES Table"/>
      <sheetName val="材料"/>
      <sheetName val="外销"/>
      <sheetName val="AP"/>
      <sheetName val="NPBOC"/>
      <sheetName val="NPIC"/>
      <sheetName val="余额表"/>
      <sheetName val="PPE"/>
      <sheetName val="Labor cost"/>
      <sheetName val="04收发存汇总表"/>
      <sheetName val="应收帐龄OK"/>
      <sheetName val="外销涤布"/>
      <sheetName val="业务登记表"/>
      <sheetName val="Pfile"/>
      <sheetName val="备忘录"/>
      <sheetName val="05.7工资分析"/>
      <sheetName val="2019财务收发存"/>
      <sheetName val="2019库存收发存"/>
      <sheetName val="_formula_"/>
      <sheetName val="明细分类账"/>
      <sheetName val="关联方—创斯达"/>
      <sheetName val="关联方—东风汽车"/>
      <sheetName val="1月固定资产清单"/>
      <sheetName val="库存商品余额表.dbf"/>
      <sheetName val="08现金流量底稿"/>
      <sheetName val="09现金流量底稿"/>
      <sheetName val="Collateral"/>
      <sheetName val="Disposition"/>
      <sheetName val="控制测试样本量"/>
      <sheetName val="广告费和业务宣传费表"/>
      <sheetName val="资产减值准备表"/>
      <sheetName val="工资薪金表"/>
      <sheetName val="投资收益表"/>
      <sheetName val="附件(excel）"/>
      <sheetName val="业务招待费表"/>
      <sheetName val="利润及分配表"/>
      <sheetName val="资产方"/>
      <sheetName val="减值准备表"/>
      <sheetName val="负债方"/>
      <sheetName val="表2.1_自查情况汇总表（按税种）"/>
      <sheetName val="2003本部资产负债试算表"/>
      <sheetName val="2003本部利润及利润分配表试算表"/>
      <sheetName val="301主营收入 "/>
      <sheetName val="307销售费用"/>
      <sheetName val="316营外收入"/>
      <sheetName val="306税金附加"/>
      <sheetName val="DTCT"/>
      <sheetName val="GiaVL"/>
      <sheetName val="Thuc thanh"/>
      <sheetName val="财务费用表"/>
      <sheetName val="营业外支出表"/>
      <sheetName val="视同销售成本表"/>
      <sheetName val="管理费用表"/>
      <sheetName val="利息支出表"/>
      <sheetName val="其他业务支出表"/>
      <sheetName val="生产成本表"/>
      <sheetName val="成本费用表"/>
      <sheetName val="制造费用表"/>
      <sheetName val="G.1R-Shou COP Gf"/>
      <sheetName val="原材料收发"/>
      <sheetName val="分录汇总表"/>
      <sheetName val="#511BkRec"/>
      <sheetName val="#511-SEPT97"/>
      <sheetName val="#511-OCT97"/>
      <sheetName val="#511-NOV97"/>
      <sheetName val="#511-DEC97"/>
      <sheetName val="NRV2"/>
      <sheetName val="dentaltable"/>
      <sheetName val="E15-AFL"/>
      <sheetName val="CODE"/>
      <sheetName val="BKD"/>
      <sheetName val="dm"/>
      <sheetName val="MB51"/>
      <sheetName val="nada"/>
      <sheetName val="Nov,01"/>
      <sheetName val="Category"/>
      <sheetName val="明细表"/>
      <sheetName val="08.8"/>
      <sheetName val="TB表"/>
      <sheetName val="科目余额表1"/>
      <sheetName val="xbase"/>
      <sheetName val="现金流量表"/>
      <sheetName val="Dept"/>
      <sheetName val="JA#1"/>
      <sheetName val="JA#2&amp;5"/>
      <sheetName val="A3"/>
      <sheetName val="选择选项"/>
      <sheetName val="Holidays"/>
      <sheetName val="C4-"/>
      <sheetName val="工程汇总表"/>
      <sheetName val="Non-Statistical Sampling Master"/>
      <sheetName val="2013年合并试算"/>
      <sheetName val="销售预测表"/>
      <sheetName val="信息说明"/>
      <sheetName val="4.科目余额表（末级）"/>
      <sheetName val="其他业务利润"/>
      <sheetName val="其他材料收入重复"/>
      <sheetName val="其他材料收入账"/>
      <sheetName val="预收"/>
      <sheetName val="A投资指标"/>
      <sheetName val="Z控制表"/>
      <sheetName val="K流量表过渡"/>
      <sheetName val="O售价敏感分析"/>
      <sheetName val="给排水工程量计算书"/>
      <sheetName val="2004电器设备"/>
      <sheetName val="2004电子设备"/>
      <sheetName val="2004房屋建筑物"/>
      <sheetName val="2004家具"/>
      <sheetName val="2004通用设备"/>
      <sheetName val="2004土地"/>
      <sheetName val="2004仪器仪表"/>
      <sheetName val="2004运输设备"/>
      <sheetName val="2004专用设备"/>
      <sheetName val="存货跌价准备Dy"/>
      <sheetName val="基本生产成本"/>
      <sheetName val="销售出库序时簿"/>
      <sheetName val="F1"/>
      <sheetName val="应收款项审定表"/>
      <sheetName val="T  B"/>
      <sheetName val="信息"/>
      <sheetName val="坏账准备计算表"/>
      <sheetName val="功能范围"/>
      <sheetName val="2.1.CM6150(导入)"/>
      <sheetName val="tot"/>
      <sheetName val=" "/>
      <sheetName val="Sheet9"/>
      <sheetName val="上报资产负债表"/>
      <sheetName val="上报损益表"/>
      <sheetName val="现金流量表（月报）"/>
      <sheetName val="补充表"/>
      <sheetName val="2013调整分录"/>
      <sheetName val="2012调整分录"/>
      <sheetName val="项目索引"/>
      <sheetName val="2009调整分录"/>
      <sheetName val="Macro1"/>
      <sheetName val="외주현황.wq1"/>
      <sheetName val="생산"/>
      <sheetName val="진도현황"/>
      <sheetName val="自定义名称"/>
      <sheetName val="ARP-U501"/>
      <sheetName val="Sales for 2001"/>
      <sheetName val="ws9"/>
      <sheetName val="INVDAYS"/>
      <sheetName val="_x005f_x0000__x005f_x0000__x0_2"/>
      <sheetName val="Within"/>
      <sheetName val="accounting"/>
      <sheetName val="非保稅"/>
      <sheetName val="工资表"/>
      <sheetName val="个人所得税表"/>
      <sheetName val="薪酬标准"/>
      <sheetName val="人员信息表"/>
      <sheetName val="员工银行账号明细表"/>
      <sheetName val="Logic"/>
      <sheetName val="入库分类"/>
      <sheetName val="其他应收款坏账准备"/>
      <sheetName val="全年折旧"/>
      <sheetName val="SP"/>
      <sheetName val="合并2"/>
      <sheetName val="GT_Custom"/>
      <sheetName val="CONSOL"/>
      <sheetName val="序时账"/>
      <sheetName val="开发成本审核表"/>
      <sheetName val="固定资产及折旧审核表"/>
      <sheetName val="坏帐准备金审核表"/>
      <sheetName val="长期待摊费用摊销审核表"/>
      <sheetName val="无形资产摊销审核表"/>
      <sheetName val="投资审核表"/>
      <sheetName val="Links"/>
      <sheetName val="库存股Dy"/>
      <sheetName val="时间设置"/>
      <sheetName val="成本日报(4-10)"/>
      <sheetName val="凤一"/>
      <sheetName val="交易性金融资产Dy"/>
      <sheetName val="应付票据Dy"/>
      <sheetName val="VV"/>
      <sheetName val="YH1"/>
      <sheetName val="1461（12.6）"/>
      <sheetName val="选项清单列表（不归档）"/>
      <sheetName val="9200"/>
      <sheetName val="起"/>
      <sheetName val="止"/>
      <sheetName val="合并试算表"/>
      <sheetName val="dklx"/>
      <sheetName val="应付职工薪酬14"/>
      <sheetName val="应交税费15"/>
      <sheetName val="Part_Datum"/>
      <sheetName val="CAUDIT"/>
      <sheetName val="ARP"/>
      <sheetName val="风险分类"/>
      <sheetName val="表头和填表说明"/>
      <sheetName val="关联方"/>
      <sheetName val="K1 Tax computation"/>
      <sheetName val="外地"/>
      <sheetName val="坯布"/>
      <sheetName val="表二十九1（01）"/>
      <sheetName val="UFPrn20050217103510"/>
      <sheetName val="明细表2017"/>
      <sheetName val="_x005f_x005f_x005f_x005f_x005f_x005f_x005f_x005f_"/>
      <sheetName val="余额表李"/>
      <sheetName val="科目代码"/>
      <sheetName val="银行存款核对表"/>
      <sheetName val="Sheet1 (11)"/>
      <sheetName val="科目清单"/>
      <sheetName val="固定资产折旧表"/>
      <sheetName val="会计科目表"/>
      <sheetName val="审计标识"/>
      <sheetName val="ｻﾌﾟﾗｲﾔｰﾘｽﾄ"/>
      <sheetName val="Rental PIT"/>
      <sheetName val="Sample test"/>
      <sheetName val="Business tax PIT"/>
      <sheetName val="Professional fee"/>
      <sheetName val="九、开发成本G2-2-9"/>
      <sheetName val="八、开发产品G2-2-8"/>
      <sheetName val="四、自制半成品明细表G2-2-4"/>
      <sheetName val="七、发出商品G2-2-7"/>
      <sheetName val="一、原材料明细表G2-2-1"/>
      <sheetName val="二、材料采购、在途物资明细表G2-2-2"/>
      <sheetName val="三、周转材料、低值易耗品，包装物明细表G2-2-3"/>
      <sheetName val="六、库存商品明细表G2-2-6"/>
      <sheetName val="福利费1"/>
      <sheetName val="营业费用02"/>
      <sheetName val="799"/>
      <sheetName val="存货明细汇总表"/>
      <sheetName val="G2-2存货明细汇总表"/>
      <sheetName val="上年PL审定"/>
      <sheetName val="补贴收入明细表"/>
      <sheetName val="A2-1试算"/>
      <sheetName val="待摊费用明细表"/>
      <sheetName val="长期借款明细表1"/>
      <sheetName val="末"/>
      <sheetName val="截至2004年10月31日存货材料清单"/>
      <sheetName val="TONGKE-HT"/>
      <sheetName val="代码"/>
      <sheetName val="dropdowns"/>
      <sheetName val="_x005f_x005f_"/>
      <sheetName val="MUS"/>
      <sheetName val="报表项目名称"/>
      <sheetName val="move"/>
      <sheetName val="General"/>
      <sheetName val="Planning"/>
      <sheetName val="Individually Significant Items"/>
      <sheetName val="Summary (Quanzhou)"/>
      <sheetName val="Summary (Shenyang standalone) "/>
      <sheetName val="首页"/>
      <sheetName val="参数维护"/>
      <sheetName val="N2720 当期非经常性损益明细表"/>
      <sheetName val="Summary (Wuhan)"/>
      <sheetName val="Setting"/>
      <sheetName val="General "/>
      <sheetName val="Lists"/>
      <sheetName val="Elements"/>
      <sheetName val="30.09.2017"/>
      <sheetName val="SW-TEO"/>
      <sheetName val="Malasia"/>
      <sheetName val="103105"/>
      <sheetName val="HR"/>
      <sheetName val="利润表验证表"/>
      <sheetName val="Prepaid expenses-Wendy"/>
      <sheetName val="TB 1999-2000"/>
      <sheetName val="Sheet4"/>
      <sheetName val="研发项目"/>
      <sheetName val="资金计划项目说明"/>
      <sheetName val="生产入库04"/>
      <sheetName val="현금경비중역"/>
      <sheetName val="TCalc"/>
      <sheetName val="Threshold Cal"/>
      <sheetName val="작성양식"/>
      <sheetName val="_x0000__x005f"/>
      <sheetName val="_x0000__x0000__x0000__x0000___2"/>
      <sheetName val="_x0000__x0000__x0_2"/>
      <sheetName val="重要性水平"/>
      <sheetName val="银行列表"/>
      <sheetName val="收入明细－按客户"/>
      <sheetName val="数量金额总账"/>
      <sheetName val="销售费用Dy"/>
      <sheetName val="J411"/>
      <sheetName val="J412"/>
      <sheetName val="Customize Your Loan Manager"/>
      <sheetName val="Marco"/>
      <sheetName val="C - Cash and Bank"/>
      <sheetName val="A300"/>
      <sheetName val="Group"/>
      <sheetName val="07TB"/>
      <sheetName val="AR Breakdown&amp;Aging"/>
      <sheetName val="AP Breakdown &amp; Aging"/>
      <sheetName val="测算表"/>
      <sheetName val="坏账准备_预付账款Dy"/>
      <sheetName val="清冊"/>
      <sheetName val="JA"/>
      <sheetName val="Dis."/>
      <sheetName val="账户汇总表_2017年1月至12月_"/>
      <sheetName val="应收账款明细表"/>
      <sheetName val="Income tax reconciliation"/>
      <sheetName val="销项税"/>
      <sheetName val="能耗计算 OK "/>
      <sheetName val="BKD-氢能"/>
      <sheetName val="for disclosure"/>
      <sheetName val="Final"/>
      <sheetName val="2008 SPL"/>
      <sheetName val="OB97LST"/>
      <sheetName val="WIP(For Nick)"/>
      <sheetName val="Admin"/>
      <sheetName val="WO CONV"/>
      <sheetName val="ACTINV"/>
      <sheetName val="无形资产"/>
      <sheetName val="长期待摊费用"/>
      <sheetName val="应交税金"/>
      <sheetName val="Detail P&amp;L"/>
      <sheetName val="CAPEX-KEuro"/>
      <sheetName val="code_note"/>
      <sheetName val="数据模板1"/>
      <sheetName val="1_主营业务收入"/>
      <sheetName val="其他应收"/>
      <sheetName val="应收"/>
      <sheetName val="预付"/>
      <sheetName val="其他非流动资产合并抵消明细"/>
      <sheetName val="其他应收款－个人借款明细"/>
      <sheetName val="2017_6_30记6号"/>
      <sheetName val="Cashbook"/>
      <sheetName val="期初应付帐款明细表G4-2 "/>
      <sheetName val="科目"/>
      <sheetName val="资产负债表利润及利润分配表"/>
      <sheetName val="操作页"/>
      <sheetName val="核算项目组合表"/>
      <sheetName val="公司名称一览表"/>
      <sheetName val="A140-10"/>
      <sheetName val="其他应付款明细表M4-2 21"/>
      <sheetName val="其他应付款明细表M4-2 20"/>
      <sheetName val="2020年调整分录"/>
      <sheetName val="2019年调整分录 "/>
      <sheetName val="数据源"/>
      <sheetName val="十一、消耗性生物资产G2-2-11"/>
      <sheetName val="画底稿使用"/>
      <sheetName val="原报表"/>
      <sheetName val="调整后报表"/>
      <sheetName val="收入成本审定表D4试剂"/>
      <sheetName val="审计说明M4-0"/>
      <sheetName val="库存商品库龄分析G2-3-3"/>
      <sheetName val="Listen"/>
      <sheetName val="Breakdown-本部"/>
      <sheetName val="预付账款汇总表"/>
      <sheetName val="审计调整"/>
      <sheetName val="银行存款明细表"/>
      <sheetName val="管理"/>
      <sheetName val="P1"/>
      <sheetName val="Bilanz"/>
      <sheetName val="Personal"/>
      <sheetName val="commentary"/>
      <sheetName val="Cash of Company"/>
      <sheetName val="tax payable"/>
      <sheetName val="209zt"/>
      <sheetName val="115zt"/>
      <sheetName val="11901zt"/>
      <sheetName val="EXP"/>
      <sheetName val="B7-2-1应付账款余额表"/>
      <sheetName val="主营成本"/>
      <sheetName val="Start"/>
      <sheetName val="初始设定"/>
      <sheetName val="固定资产、累计折旧、减值准备明细表"/>
      <sheetName val="现金流量1-10月"/>
      <sheetName val="基础资料（B）"/>
      <sheetName val="投资性房地产Dy"/>
      <sheetName val="表5_2_3固定资产—电子设备"/>
      <sheetName val="0609"/>
      <sheetName val="发出商品替代"/>
      <sheetName val="2007.11PPR管件单件测算"/>
      <sheetName val="应付账款 (2)"/>
      <sheetName val="Sheet140"/>
      <sheetName val="预收账款明细表D3-2"/>
      <sheetName val="J"/>
      <sheetName val="应付股利Dy"/>
      <sheetName val="预提费用Dy"/>
      <sheetName val="2008年1月"/>
      <sheetName val="2007年12月  "/>
      <sheetName val="商保"/>
      <sheetName val="现流表（附表）黄"/>
      <sheetName val="3. Textile"/>
      <sheetName val="6200B-32应付职工薪酬勾稽表T"/>
      <sheetName val="冻品入库"/>
      <sheetName val="鸡油车间"/>
      <sheetName val="应交税金Dy"/>
      <sheetName val="应收出口退税mx"/>
      <sheetName val="其他应交款Dy"/>
      <sheetName val="主营业务收入Dy"/>
      <sheetName val="유통망계획"/>
      <sheetName val="财务费用mx"/>
      <sheetName val="其他应付款Mx"/>
      <sheetName val="营业外支出Mx"/>
      <sheetName val="未分配利润Dy"/>
      <sheetName val="补贴收入Dy"/>
      <sheetName val="坏账准备_应收账款Dy"/>
      <sheetName val="预收账款Dy"/>
      <sheetName val="坏账准备_应收账款Mx"/>
      <sheetName val="Company"/>
      <sheetName val="主营业务税金及附加Dy"/>
      <sheetName val="其他业务利润Dy"/>
      <sheetName val="营业费用Dy"/>
      <sheetName val="应收票据Dy"/>
      <sheetName val="程序表原始数据"/>
      <sheetName val="个所税"/>
      <sheetName val="企业所得税"/>
      <sheetName val="票7)"/>
      <sheetName val="无形资产Dy"/>
      <sheetName val="无形资产减值准备Dy"/>
      <sheetName val="应收补贴款Dy"/>
      <sheetName val="其他流动资产Dy"/>
      <sheetName val="内部往来Dy"/>
      <sheetName val="长期待摊费用Dy"/>
      <sheetName val="管理费用mx"/>
      <sheetName val="6200B-8社保缴交人数核对"/>
      <sheetName val="payroll "/>
      <sheetName val="发生额 (2)"/>
      <sheetName val="主营业务收入mx"/>
      <sheetName val="TB98"/>
      <sheetName val="FA3-5"/>
      <sheetName val="FA3-4"/>
      <sheetName val="TB MAR2004"/>
      <sheetName val="生产成本Dy"/>
      <sheetName val="原报调整分录"/>
      <sheetName val="审计调整分录"/>
      <sheetName val="已审CF"/>
      <sheetName val="基础"/>
      <sheetName val="conWP1"/>
      <sheetName val="20071-10月原材料发出计价测试(不打)"/>
      <sheetName val="投资收益Mx"/>
      <sheetName val="200712"/>
      <sheetName val="注释汇总"/>
      <sheetName val="设备部房屋"/>
      <sheetName val="definition"/>
      <sheetName val="SW"/>
      <sheetName val="JDMCode"/>
      <sheetName val="PanelInfo"/>
      <sheetName val="00 FG breakdown"/>
      <sheetName val="01 FG breakdown"/>
      <sheetName val="99 FG breakdown"/>
      <sheetName val="电动车间"/>
      <sheetName val="5132"/>
      <sheetName val="披露表（上市）"/>
      <sheetName val="科目余额表正式"/>
      <sheetName val="Namelist"/>
      <sheetName val="会计科目"/>
      <sheetName val="审定_资产负债表"/>
      <sheetName val="未审_资产负债表"/>
      <sheetName val="Tfc&amp;toll asmptns"/>
      <sheetName val="G1-1-1a AR-85A"/>
      <sheetName val="浙江道之-机器设备"/>
      <sheetName val="Dates"/>
      <sheetName val="Sheet113"/>
      <sheetName val="合并TB-19年"/>
      <sheetName val="审计程序"/>
      <sheetName val="披露表(上市)-2016"/>
      <sheetName val="替代结果汇总表"/>
      <sheetName val="固定资产"/>
      <sheetName val="专项应付款Mx"/>
      <sheetName val="应付工资Dy"/>
      <sheetName val="UFPrn20071013211250"/>
      <sheetName val="D4-1营业收入审定表"/>
      <sheetName val="函证汇总表 G4-4-1"/>
      <sheetName val="发货单列表"/>
      <sheetName val="凭证测试（固硫）"/>
      <sheetName val="应收(帐面数)"/>
      <sheetName val="出租开发产品明细"/>
      <sheetName val="Sheet132"/>
      <sheetName val="Sheet555"/>
      <sheetName val="Sheet659"/>
      <sheetName val="Sheet703"/>
      <sheetName val="補充資料-10030 asset list"/>
      <sheetName val="新城资金明细"/>
      <sheetName val="申鑫大厦租金明细"/>
      <sheetName val="三林明细"/>
      <sheetName val="东陆明细"/>
      <sheetName val="D2-7本期应收结算单查验"/>
      <sheetName val="2021明细表D2-2 "/>
      <sheetName val="销售单价公允性"/>
      <sheetName val="预收帐款"/>
      <sheetName val="面积指标"/>
      <sheetName val="酒店"/>
      <sheetName val="P&amp;L Summary Page"/>
      <sheetName val="应付(单位)关注"/>
      <sheetName val="日照"/>
      <sheetName val="德州"/>
      <sheetName val="滨州"/>
      <sheetName val="淄博"/>
      <sheetName val="大鲁"/>
      <sheetName val="威海"/>
      <sheetName val="山东省互联网传媒集团应收账款（账龄统计）统计数据"/>
      <sheetName val="张淑东"/>
      <sheetName val="Master Data"/>
      <sheetName val="含量"/>
      <sheetName val="Sheet137"/>
      <sheetName val="Sheet367"/>
      <sheetName val="UFPrn20200415105500"/>
      <sheetName val="ITEM"/>
      <sheetName val="明细表J8-1"/>
      <sheetName val="11、对外开证"/>
      <sheetName val="财务费用"/>
      <sheetName val="投资收益"/>
      <sheetName val="B1-1001"/>
      <sheetName val="资债比较原"/>
      <sheetName val="Dropdown Category"/>
      <sheetName val="98调整分录表"/>
      <sheetName val="大楼分录"/>
      <sheetName val="凤县折旧测算"/>
      <sheetName val="Table"/>
      <sheetName val="产品销售毛利表"/>
      <sheetName val="苏州天山 - 待摊费用余额表明细"/>
      <sheetName val="支出原材料"/>
      <sheetName val="收入原料"/>
      <sheetName val="tax comp"/>
      <sheetName val="PY-pp"/>
      <sheetName val="PRC 15"/>
      <sheetName val="Sheet152"/>
      <sheetName val="Sheet136"/>
      <sheetName val="Word附注"/>
      <sheetName val="2004年度应收账款分析"/>
      <sheetName val="2020年"/>
      <sheetName val="主营业务收入明细帐"/>
      <sheetName val="五矿收入明细帐"/>
      <sheetName val="现金流量表所需提供的资料"/>
      <sheetName val="负债试算表"/>
      <sheetName val="利润及利润分配表试算表"/>
      <sheetName val="资产试算表"/>
      <sheetName val="N3 PBT"/>
      <sheetName val="固资明细"/>
      <sheetName val="一级"/>
      <sheetName val="办公设备"/>
      <sheetName val="会计分录序时簿_2"/>
      <sheetName val="表1.5"/>
      <sheetName val="Sheet116"/>
      <sheetName val="dtct cong"/>
      <sheetName val="Book 1 Summary"/>
      <sheetName val="P&amp;L"/>
      <sheetName val="损益表"/>
      <sheetName val="番禺管理"/>
      <sheetName val="通力管理"/>
      <sheetName val="股份销售费用"/>
      <sheetName val="股份管理"/>
      <sheetName val="安福管理"/>
      <sheetName val="通力销售费用"/>
      <sheetName val="Sheet112"/>
      <sheetName val="Sheet615"/>
      <sheetName val="Sheet616"/>
      <sheetName val="22"/>
      <sheetName val="M 67"/>
      <sheetName val="THEME CODE"/>
      <sheetName val="CR CODE"/>
      <sheetName val="부서CODE"/>
      <sheetName val="系统附加值表"/>
      <sheetName val="员工工资"/>
      <sheetName val="Permit"/>
      <sheetName val="递延所得税负债Dy"/>
      <sheetName val="主营业务收入审定表D4"/>
      <sheetName val="明细表D4-2-2(品种）"/>
      <sheetName val="明细表D4-2-3(地区）"/>
      <sheetName val="收入毛利分析D4-3-1"/>
      <sheetName val="月度毛利分析D4-3-2"/>
      <sheetName val="重要产品毛利分析D4-3-3"/>
      <sheetName val="重要指标分析D4-3-4"/>
      <sheetName val="重要客户结构分析D4-3-5"/>
      <sheetName val="重要客户收入情况分析D4-3-6"/>
      <sheetName val="产品价格分析D4-3-7"/>
      <sheetName val="收入确认政策检查D4-4"/>
      <sheetName val="核实被函证单位信息D4-5-2"/>
      <sheetName val="函证过程控制D4-5-3"/>
      <sheetName val="主营业务收入差异调节表检查表D4-5-4"/>
      <sheetName val="回函核对记录D4-5-5"/>
      <sheetName val="替代程序表D4-5-6"/>
      <sheetName val="营业收入完整性测试表D4-7"/>
      <sheetName val="合同形式检查表D4-8-1"/>
      <sheetName val="合同履行检查表D4-8-2"/>
      <sheetName val="明细表D4-2-2(品种）(废)"/>
      <sheetName val="函证结果汇总表D4-5"/>
      <sheetName val="营业收入真实性测试表D4-6"/>
      <sheetName val="绿化养护收入截止测试D4-9"/>
      <sheetName val="识别未披露的关联方D4-10"/>
      <sheetName val="姓名汇总D4-10-1"/>
      <sheetName val="公司高管亲属名单D4-10-2"/>
      <sheetName val="职工花名册D4-10-3"/>
      <sheetName val="经销商负责人名单D4-10-4"/>
      <sheetName val="关联方销售情况及价格公允性检查D4-11"/>
      <sheetName val="D4-12-1销售退回核查"/>
      <sheetName val="D14-12-2销售折扣与折让核查"/>
      <sheetName val="D4-13客户核查清单"/>
      <sheetName val="D4-13-1电话访谈示例"/>
      <sheetName val="D4-13-2互联网查询示例"/>
      <sheetName val="D4-13-3客户走访模板1"/>
      <sheetName val="D4-13-3客户走访模板2"/>
      <sheetName val="针对环保局合同及收款核对检查表D4-16 (原,废)"/>
      <sheetName val="建造合同核查D4-14"/>
      <sheetName val="工程结算检查表(原D4-9-2)D4-15"/>
      <sheetName val="绿化养护_环保局项目检查表D4-16-1"/>
      <sheetName val="绿化养护_其他项目检查表D4-16-2"/>
      <sheetName val="建造合同核查D4-17(未设公式)"/>
      <sheetName val="预计总成本、验工计价检查测试 (2017)0305版"/>
      <sheetName val="预计总成本、验工计价检查测试 (2017)D4-17"/>
      <sheetName val="工程施工抽盘汇总表D4-18"/>
      <sheetName val="绿化养护收入情况检查表D4-15"/>
      <sheetName val="建造合同核查表 "/>
      <sheetName val="预计总成本、结算项目检查测试"/>
      <sheetName val="填写参数"/>
      <sheetName val="Movement "/>
      <sheetName val="存货汇总表10"/>
      <sheetName val="销售毛利润汇总表（原始）"/>
      <sheetName val="制造费用多栏明细账"/>
      <sheetName val="数量金额明细账"/>
      <sheetName val="Capital Spending"/>
      <sheetName val="Sales Analysis"/>
      <sheetName val="1-資本租賃條件試算"/>
      <sheetName val="e13100"/>
      <sheetName val="CNY"/>
      <sheetName val="USD"/>
      <sheetName val="x504明细"/>
      <sheetName val="ACT Cashflow"/>
      <sheetName val="Program Controls"/>
      <sheetName val="BS Heading"/>
      <sheetName val="A104000期间费用明细表"/>
      <sheetName val="累计1"/>
      <sheetName val="Sheet91"/>
      <sheetName val="수리결과"/>
      <sheetName val="减少资产"/>
      <sheetName val="6602"/>
      <sheetName val="2701"/>
      <sheetName val="Sheet98"/>
      <sheetName val="NBCF"/>
      <sheetName val="M Schedules"/>
      <sheetName val="CCTL"/>
      <sheetName val="WIP"/>
      <sheetName val="D2-2-1风险分类"/>
      <sheetName val="Sheet160"/>
      <sheetName val="原材料抽查表"/>
      <sheetName val="试制收入"/>
      <sheetName val="12月销售成本表(原表)"/>
      <sheetName val="6125应付职工薪酬"/>
      <sheetName val="6126-1-2固定资产折旧明细 "/>
      <sheetName val="Sheet523"/>
      <sheetName val="Sheet524"/>
      <sheetName val="报表层次重要性水平"/>
      <sheetName val="所有者权益(股东权益)变动表(未审)"/>
      <sheetName val="订单418"/>
      <sheetName val="I151-40"/>
      <sheetName val="TB-I"/>
      <sheetName val="TB-基"/>
      <sheetName val="税金 "/>
      <sheetName val="产品入库序时簿"/>
      <sheetName val="Sheet6"/>
      <sheetName val="Sheet7"/>
      <sheetName val="Sheet115"/>
      <sheetName val="Sheet438"/>
      <sheetName val="Sheet120"/>
      <sheetName val="报表11"/>
      <sheetName val="其它业务收入分类"/>
      <sheetName val="壓摸穿燈"/>
      <sheetName val="Rate"/>
      <sheetName val="校验"/>
      <sheetName val="上年审前调整"/>
      <sheetName val="上年审前试算表"/>
      <sheetName val="本年审前调整"/>
      <sheetName val="本年审前试算表"/>
      <sheetName val="审前报表"/>
      <sheetName val="B15 重要性计算表"/>
      <sheetName val="N__其他应收款"/>
      <sheetName val="N__应收账款"/>
      <sheetName val="N__营业收入及营业成本"/>
      <sheetName val="附表2关联交易"/>
      <sheetName val="集团关联方清单"/>
      <sheetName val="数据有效性"/>
      <sheetName val="Sheet1 (2)"/>
      <sheetName val="进料加工汇总信息查询"/>
      <sheetName val="现调整"/>
      <sheetName val="（附表2）固定资产处理情况表"/>
      <sheetName val="科余表"/>
      <sheetName val="FIRE Parameters"/>
      <sheetName val="瓶差"/>
      <sheetName val="本期毛利"/>
      <sheetName val="余额表数量"/>
      <sheetName val="_Profile"/>
      <sheetName val="Acc1"/>
      <sheetName val="accode"/>
      <sheetName val="基本情况"/>
      <sheetName val="上市1"/>
      <sheetName val="上市2"/>
      <sheetName val="上市3"/>
      <sheetName val="上市4"/>
      <sheetName val="上市5"/>
      <sheetName val="上市6"/>
      <sheetName val="上市7"/>
      <sheetName val="上市8"/>
      <sheetName val="上市9"/>
      <sheetName val="合同检查表"/>
      <sheetName val="银行未达账项明细表"/>
      <sheetName val="银行存款"/>
      <sheetName val="Sheet106"/>
      <sheetName val="合并TB"/>
      <sheetName val="制造费用明细表"/>
      <sheetName val="生产成本检查表"/>
      <sheetName val="销售费用明细表"/>
      <sheetName val="应收票据明细账"/>
      <sheetName val="20应收余额"/>
      <sheetName val="UFPrn20210723144007"/>
      <sheetName val="Audit Results"/>
      <sheetName val="Audit Results Upper Stratum"/>
      <sheetName val="Population Characteristics"/>
      <sheetName val="2002.1-6管理费用"/>
      <sheetName val="G2-5生产成本审定表"/>
      <sheetName val="FIN48 TP Doc"/>
      <sheetName val="No.305"/>
      <sheetName val="No.404"/>
      <sheetName val="Contents"/>
      <sheetName val="市场比较法"/>
      <sheetName val="短期借款汇总表"/>
      <sheetName val="20年销售出库"/>
      <sheetName val="固定资产清理"/>
      <sheetName val="在建工程"/>
      <sheetName val="Sheet134"/>
      <sheetName val="Sheet181"/>
      <sheetName val="Sheet537"/>
      <sheetName val="Sheet145"/>
      <sheetName val="SFS(ACTUAL)"/>
      <sheetName val="Sheet146"/>
      <sheetName val="Sheet157"/>
      <sheetName val="Sheet508"/>
      <sheetName val="Sheet606"/>
      <sheetName val="Sheet607"/>
      <sheetName val="Sheet608"/>
      <sheetName val="New Dept-IX"/>
      <sheetName val="L105"/>
      <sheetName val="R221"/>
      <sheetName val="销售输入表"/>
      <sheetName val="evaluate资金回收"/>
      <sheetName val="To tied 2001 opening RE"/>
      <sheetName val="资产评估结果分类汇总表 (2)"/>
      <sheetName val="2001年运使费相抵"/>
      <sheetName val="RESUMEN"/>
      <sheetName val="通用设备折旧复核"/>
      <sheetName val="专用设备折旧复核"/>
      <sheetName val="运输设备折旧复核"/>
      <sheetName val="电子设备折旧复核"/>
      <sheetName val="其他设备折旧"/>
      <sheetName val="Sheet148"/>
      <sheetName val="管理费用"/>
      <sheetName val="综合成本"/>
      <sheetName val="存货收发存汇总表"/>
      <sheetName val="利润中心"/>
      <sheetName val="profit2 (2)"/>
      <sheetName val="218"/>
      <sheetName val="固定资产卡片"/>
      <sheetName val="科目代码表"/>
      <sheetName val="折旧表"/>
      <sheetName val="0012"/>
      <sheetName val="ADJ Sum(console)"/>
      <sheetName val="L1-1"/>
      <sheetName val="变动"/>
      <sheetName val="QoA"/>
      <sheetName val="QofE"/>
      <sheetName val="QofA"/>
      <sheetName val="2-试算"/>
      <sheetName val="CalcOutPut"/>
      <sheetName val="披露表-上市公司报告"/>
      <sheetName val="CODES"/>
      <sheetName val="在建工程Dy"/>
      <sheetName val="存货Cx"/>
      <sheetName val="M"/>
      <sheetName val="损益表 &lt; P1 &gt; "/>
      <sheetName val="披露表(国企)"/>
      <sheetName val="销售收入底稿"/>
      <sheetName val="FO1"/>
      <sheetName val="应付利息Dy"/>
      <sheetName val="以前年度损益调整"/>
      <sheetName val="Khoan cong truong Tan De"/>
      <sheetName val="5200D-5其他应收款审定明细表1"/>
      <sheetName val="营业费用趋势分析"/>
      <sheetName val="3-11待摊"/>
      <sheetName val="6-1土地"/>
      <sheetName val="Base Info"/>
      <sheetName val="費用"/>
      <sheetName val="資本支出"/>
      <sheetName val="人力"/>
      <sheetName val="編製說明"/>
      <sheetName val="한계원가"/>
      <sheetName val="2020云汉芯城"/>
      <sheetName val="内销收人"/>
      <sheetName val="待摊费用Dy"/>
      <sheetName val="工程项目"/>
      <sheetName val="预付账款Mx"/>
      <sheetName val="预付账款Mx1"/>
      <sheetName val="应付账款Mx1"/>
      <sheetName val="原材料Mx1"/>
      <sheetName val="营业成本Dy"/>
      <sheetName val="A_1"/>
      <sheetName val="累计折旧_2"/>
      <sheetName val="余额表（终稿）"/>
      <sheetName val="2008年"/>
      <sheetName val="生产成本mx"/>
      <sheetName val="qtr local"/>
      <sheetName val="营业费用截止"/>
      <sheetName val="递延收益Dy"/>
      <sheetName val="372D-1 2012年折旧测算"/>
      <sheetName val="Sheet798"/>
      <sheetName val="Sheet545"/>
      <sheetName val="Sheet151"/>
      <sheetName val="May"/>
      <sheetName val="Sheet257"/>
      <sheetName val="Sheet426"/>
      <sheetName val="Sheet593"/>
      <sheetName val="CQFMA"/>
      <sheetName val="Segment"/>
      <sheetName val="list of LC"/>
      <sheetName val="04利息支出"/>
      <sheetName val="利息收入"/>
      <sheetName val="预提工行贷"/>
      <sheetName val="查验底稿"/>
      <sheetName val="Sheet611"/>
      <sheetName val="Sheet832"/>
      <sheetName val="Sheet836"/>
      <sheetName val="56271-2"/>
      <sheetName val="2021年收入汇总"/>
      <sheetName val="U8数据"/>
      <sheetName val="pe"/>
      <sheetName val="28"/>
      <sheetName val="14"/>
      <sheetName val="36"/>
      <sheetName val="13"/>
      <sheetName val="16-1"/>
      <sheetName val="16-2"/>
      <sheetName val="16-3"/>
      <sheetName val="Competition ¥"/>
      <sheetName val="630科目余额表"/>
      <sheetName val="ZA-DY"/>
      <sheetName val="FY02"/>
      <sheetName val="审计差异汇总"/>
      <sheetName val="B15 重要性计算表(审计前）"/>
      <sheetName val="CE_P"/>
      <sheetName val="表头及目录"/>
      <sheetName val="N__财务费用"/>
      <sheetName val="N__持有至到期投资"/>
      <sheetName val="N__存货"/>
      <sheetName val="N__递延所得税资产和递延所得税负债"/>
      <sheetName val="N__短期借款"/>
      <sheetName val="所合并"/>
      <sheetName val="资合并"/>
      <sheetName val="N__工程物资"/>
      <sheetName val="N__公允价值变动收益"/>
      <sheetName val="N__股本"/>
      <sheetName val="N__固定资产"/>
      <sheetName val="N__固定资产清理"/>
      <sheetName val="N__管理费用"/>
      <sheetName val="N__货币资金"/>
      <sheetName val="N__交易性金融负债"/>
      <sheetName val="N__交易性金融资产"/>
      <sheetName val="N__开发支出"/>
      <sheetName val="N__可供出售金融资产"/>
      <sheetName val="N__库存股"/>
      <sheetName val="利合并"/>
      <sheetName val="N__每股收益"/>
      <sheetName val="N__其他非流动负债"/>
      <sheetName val="N__其他非流动资产"/>
      <sheetName val="N__其他流动负债"/>
      <sheetName val="N__其他应付款"/>
      <sheetName val="N__其他综合收益"/>
      <sheetName val="N__其他流动资产"/>
      <sheetName val="N__商誉"/>
      <sheetName val="N__生产性生物资产"/>
      <sheetName val="N__所得税费用"/>
      <sheetName val="N__投资收益"/>
      <sheetName val="N__投资性房地产"/>
      <sheetName val="N__未分配利润"/>
      <sheetName val="N__无形资产"/>
      <sheetName val="N__现金流量表附注"/>
      <sheetName val="现合并"/>
      <sheetName val="N__销售费用"/>
      <sheetName val="N__一年内到期的非流动负债"/>
      <sheetName val="N__一年内到期的非流动资产"/>
      <sheetName val="N__应付股利"/>
      <sheetName val="N__应付利息"/>
      <sheetName val="N__应付票据"/>
      <sheetName val="N__应付债券"/>
      <sheetName val="N__应付账款"/>
      <sheetName val="N__应付职工薪酬"/>
      <sheetName val="N__应交税费"/>
      <sheetName val="N__应收股利"/>
      <sheetName val="N__应收利息"/>
      <sheetName val="N__应收票据"/>
      <sheetName val="N__盈余公积"/>
      <sheetName val="N__税金及附加"/>
      <sheetName val="N__营业外收入"/>
      <sheetName val="N__营业外支出"/>
      <sheetName val="N__油气资产"/>
      <sheetName val="N__预付款项"/>
      <sheetName val="N__预计负债"/>
      <sheetName val="N__预收账款"/>
      <sheetName val="N__在建工程"/>
      <sheetName val="N__长期待摊费用"/>
      <sheetName val="N__长期借款"/>
      <sheetName val="N__长期应付款"/>
      <sheetName val="N__长期应收款"/>
      <sheetName val="N__专项储备"/>
      <sheetName val="N__专项应付款"/>
      <sheetName val="N__资本公积"/>
      <sheetName val="N__资产减值损失"/>
      <sheetName val="N__资产减值准备"/>
      <sheetName val="Variables"/>
      <sheetName val="维护表"/>
      <sheetName val="enums"/>
      <sheetName val="原材料采购价格检查G4-7"/>
      <sheetName val="Basic_Setting"/>
      <sheetName val="A1-4 Failure Impact "/>
      <sheetName val="SMAEU-3"/>
      <sheetName val="FK Ma"/>
      <sheetName val="特殊部门按部门分类"/>
      <sheetName val="技术人员分位值(不含PM&amp;SLS）"/>
      <sheetName val="DEF"/>
      <sheetName val="Sheet166"/>
      <sheetName val="U321"/>
      <sheetName val="現金流量"/>
      <sheetName val="固清"/>
      <sheetName val="PopCache_Sheet1"/>
      <sheetName val="MetaData"/>
      <sheetName val="Threshold Table"/>
      <sheetName val="dd"/>
      <sheetName val="凭证汇总"/>
      <sheetName val="维简费"/>
      <sheetName val="维简费返还"/>
      <sheetName val="韓国"/>
      <sheetName val="yszk200412.dbf"/>
      <sheetName val="5440彙總表"/>
      <sheetName val="IPO"/>
      <sheetName val="Summary Page"/>
      <sheetName val="NR-2006"/>
      <sheetName val="AR-2006"/>
      <sheetName val="NR-2005"/>
      <sheetName val="AR-2005"/>
      <sheetName val="AR-2004"/>
      <sheetName val="Q4"/>
      <sheetName val="Sheet1.1"/>
      <sheetName val="10 销货成本表"/>
      <sheetName val="AATI "/>
      <sheetName val="NECsoic8(bvi)"/>
      <sheetName val="Anpec(bvi)"/>
      <sheetName val="Apec(bvi)"/>
      <sheetName val="ATU"/>
      <sheetName val="FSC"/>
      <sheetName val="IR"/>
      <sheetName val="ITOCHU_Sanyo"/>
      <sheetName val="Melco"/>
      <sheetName val="NECtssop8(bvi)"/>
      <sheetName val="NIKO(bvi)"/>
      <sheetName val="O2Micro"/>
      <sheetName val="PAN JIT"/>
      <sheetName val="Richtek (bvi)"/>
      <sheetName val="Semiwell"/>
      <sheetName val="Supertek"/>
      <sheetName val="3D"/>
      <sheetName val="CF-8&quot;-y2"/>
      <sheetName val="PL-monthly"/>
      <sheetName val="Wacc"/>
      <sheetName val="IC3A"/>
      <sheetName val="'IC4'A"/>
      <sheetName val="'IO7"/>
      <sheetName val="'IO8"/>
      <sheetName val="PL"/>
      <sheetName val="列表选择表"/>
      <sheetName val="JPN Chl"/>
      <sheetName val="科目索引"/>
      <sheetName val="7-1 2008管理费用-办公费"/>
      <sheetName val="7-5 2008年管理费用-试验检验费"/>
      <sheetName val="7-1 2009年管理费用-办公费"/>
      <sheetName val="7-5 2009年管理费用-试验检验费"/>
      <sheetName val="7-1 2010年管理费用-办公费"/>
      <sheetName val="7-5 2010年管理费用-试验检验费"/>
      <sheetName val="财企01表_南宁轨道交通集团有限责任公司（集团合并）期末数"/>
      <sheetName val="销售毛利润表"/>
      <sheetName val="PLGROUPCPY"/>
      <sheetName val="销售发票专用序时簿"/>
      <sheetName val="DEP"/>
      <sheetName val="制造费用"/>
      <sheetName val="11908发生额"/>
      <sheetName val="帐上"/>
      <sheetName val="5500A-4固定资产检查"/>
      <sheetName val="6200B-4应付职工薪酬检查"/>
      <sheetName val="6200B-5应付职工薪酬勾稽检查"/>
      <sheetName val="勿删-各公司按部门汇总工资"/>
      <sheetName val="6200B-6.1应付职工薪酬检查-工资"/>
      <sheetName val="6200B-3应付职工薪酬披露核对表"/>
      <sheetName val="YA-1-1"/>
      <sheetName val="外销收入明细表"/>
      <sheetName val="内部销售明细表"/>
      <sheetName val="actbgtbyM"/>
      <sheetName val="Inputs"/>
      <sheetName val="DR Summary Margin"/>
      <sheetName val="DR Summary Margin - Fcst"/>
      <sheetName val="Prior Week Funnel"/>
      <sheetName val="DR Summary Revenue"/>
      <sheetName val="DR Summary Revenue - Fcst"/>
      <sheetName val="DR Summary Units"/>
      <sheetName val="DR Summary Units - Fcst"/>
      <sheetName val="3-9其他应收"/>
      <sheetName val="9-3应付帐款"/>
      <sheetName val="按客户"/>
      <sheetName val="Prg"/>
      <sheetName val="Profile"/>
      <sheetName val="项目编号列表"/>
      <sheetName val="使用说明"/>
      <sheetName val="Income Stm"/>
      <sheetName val="（27）实收资本"/>
      <sheetName val="5200A-5应收账款函证汇总表"/>
      <sheetName val="2、生产成本月际分析"/>
      <sheetName val="预付账款Mx12"/>
      <sheetName val="NGUON"/>
      <sheetName val="自制半成品1-12计价测试"/>
      <sheetName val="Breakdown G&amp;A"/>
      <sheetName val="Bad debt provison&amp;aging analysi"/>
      <sheetName val="alternative"/>
      <sheetName val="自制半成品 (2)"/>
      <sheetName val="产成品明细"/>
      <sheetName val="主营业务成本 (2)"/>
      <sheetName val="Drop List References"/>
      <sheetName val="Bank"/>
      <sheetName val="工程量计算"/>
      <sheetName val="Expense Summary-M"/>
      <sheetName val="Production"/>
      <sheetName val="上缴管理费明细"/>
      <sheetName val="出库"/>
      <sheetName val="入库"/>
      <sheetName val="3-1-1现金"/>
      <sheetName val="3-1-2银存"/>
      <sheetName val="3-1-3其他货币"/>
      <sheetName val="10-1长借"/>
      <sheetName val="10-2应付债券"/>
      <sheetName val="10-3长期应付款"/>
      <sheetName val="10-4住房周转金"/>
      <sheetName val="10-5其他长期负债"/>
      <sheetName val="10-6递延税款贷项"/>
      <sheetName val="3-10存货汇总"/>
      <sheetName val="3-12待处理流损"/>
      <sheetName val="3-13一年长债"/>
      <sheetName val="3-14其他流资"/>
      <sheetName val="3-2短投汇总"/>
      <sheetName val="3-5应收股利"/>
      <sheetName val="3-6应收利息"/>
      <sheetName val="3-7预付帐款"/>
      <sheetName val="3-8应收补贴"/>
      <sheetName val="长投汇总"/>
      <sheetName val="6-2其他无形"/>
      <sheetName val="7-1开办费"/>
      <sheetName val="7-2长期待摊"/>
      <sheetName val="8-1其他长期"/>
      <sheetName val="8-2递税借项"/>
      <sheetName val="9-1短期借款"/>
      <sheetName val="9-10应付利润"/>
      <sheetName val="9-11其他应交"/>
      <sheetName val="9-12预提"/>
      <sheetName val="9-13一年内长债"/>
      <sheetName val="9-14其他流负"/>
      <sheetName val="9-2应付票据"/>
      <sheetName val="9-4预收帐款"/>
      <sheetName val="9-5代销商品款"/>
      <sheetName val="9-6其他应付款"/>
      <sheetName val="9-7应付工资"/>
      <sheetName val="9-8应付福利费"/>
      <sheetName val="9-9应交税金"/>
      <sheetName val="Notes"/>
      <sheetName val="折旧测算表"/>
      <sheetName val="5-3工程物资"/>
      <sheetName val="5-4-2在建安装"/>
      <sheetName val="5-5固定清理"/>
      <sheetName val="5-6待处理固定损失"/>
      <sheetName val="十价"/>
      <sheetName val="KLHT"/>
      <sheetName val="IC-5保理费用核查"/>
      <sheetName val="10-3-1工作量确认单核查 --OK"/>
      <sheetName val="收入成本大表"/>
      <sheetName val="check是否取回"/>
      <sheetName val="变更前的成本大表"/>
      <sheetName val="2017年表"/>
      <sheetName val="关联方抵消"/>
      <sheetName val="10-3-2回复"/>
      <sheetName val="Basic information"/>
      <sheetName val="Basic_Information"/>
      <sheetName val="FORM14_2"/>
      <sheetName val="L1-1资产负债表"/>
      <sheetName val="工程量"/>
      <sheetName val="工作底稿扉页"/>
      <sheetName val="Y3-1一般会计制度附注"/>
      <sheetName val="Y3-2 06企业会计制度附注"/>
      <sheetName val="Y0-1报告准备表（无需打印）"/>
      <sheetName val="5-1-3管沟"/>
      <sheetName val="梁家5-1-1房建"/>
      <sheetName val="5-4-1在建土建"/>
      <sheetName val="$TB 1"/>
      <sheetName val="$TB"/>
      <sheetName val="建发股份关联方清单"/>
      <sheetName val="评估结论"/>
      <sheetName val="HKBUD"/>
      <sheetName val="I-COA"/>
      <sheetName val="合并范围"/>
      <sheetName val="长期应付款Dy"/>
      <sheetName val="Acct"/>
      <sheetName val="template"/>
      <sheetName val="JP Report"/>
      <sheetName val="1-000-1"/>
      <sheetName val="1-000-3"/>
      <sheetName val="10K4"/>
      <sheetName val="Sheet12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sheetData sheetId="109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sheetData sheetId="1113"/>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sheetData sheetId="1141"/>
      <sheetData sheetId="1142"/>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sheetData sheetId="1219" refreshError="1"/>
      <sheetData sheetId="1220" refreshError="1"/>
      <sheetData sheetId="1221" refreshError="1"/>
      <sheetData sheetId="1222" refreshError="1"/>
      <sheetData sheetId="1223"/>
      <sheetData sheetId="1224" refreshError="1"/>
      <sheetData sheetId="1225" refreshError="1"/>
      <sheetData sheetId="1226" refreshError="1"/>
      <sheetData sheetId="1227" refreshError="1"/>
      <sheetData sheetId="1228" refreshError="1"/>
      <sheetData sheetId="1229"/>
      <sheetData sheetId="1230" refreshError="1"/>
      <sheetData sheetId="1231" refreshError="1"/>
      <sheetData sheetId="1232" refreshError="1"/>
      <sheetData sheetId="1233" refreshError="1"/>
      <sheetData sheetId="1234" refreshError="1"/>
      <sheetData sheetId="1235"/>
      <sheetData sheetId="1236"/>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sheetData sheetId="1315"/>
      <sheetData sheetId="1316"/>
      <sheetData sheetId="1317"/>
      <sheetData sheetId="1318" refreshError="1"/>
      <sheetData sheetId="1319"/>
      <sheetData sheetId="1320"/>
      <sheetData sheetId="1321"/>
      <sheetData sheetId="1322"/>
      <sheetData sheetId="1323"/>
      <sheetData sheetId="1324"/>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sheetData sheetId="1386"/>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sheetData sheetId="1399"/>
      <sheetData sheetId="1400"/>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sheetData sheetId="1413"/>
      <sheetData sheetId="1414"/>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索引"/>
      <sheetName val="货币资金Cx"/>
      <sheetName val="货币资金Mx"/>
      <sheetName val="分录"/>
      <sheetName val="标本-资产"/>
      <sheetName val="2004"/>
      <sheetName val="1月固定资产清单"/>
      <sheetName val="企业表一"/>
      <sheetName val="M-5C"/>
      <sheetName val="M-5A"/>
      <sheetName val="关联方—创斯达"/>
      <sheetName val="关联方—东风汽车"/>
      <sheetName val="ZH1-4其他应收款个别认定"/>
      <sheetName val="ZH1-3应收账款个别认定"/>
      <sheetName val="各单位目标指标"/>
      <sheetName val="表头"/>
      <sheetName val="完"/>
      <sheetName val="breakdown"/>
      <sheetName val="资产负债表"/>
      <sheetName val="新城资金明细"/>
      <sheetName val="申鑫大厦租金明细"/>
      <sheetName val="三林明细"/>
      <sheetName val="东陆明细"/>
      <sheetName val="4-货币资金-现金"/>
      <sheetName val="基础信息"/>
      <sheetName val="XREF"/>
      <sheetName val="A430"/>
      <sheetName val="货币资金审定表"/>
      <sheetName val="B"/>
      <sheetName val="balance"/>
      <sheetName val="W"/>
      <sheetName val="PRC-BS-SZ"/>
      <sheetName val="A1"/>
      <sheetName val="eqpmad2"/>
      <sheetName val="本期报表"/>
      <sheetName val="账面外销"/>
      <sheetName val="销售费用Dy"/>
      <sheetName val="细节测试审计抽样"/>
      <sheetName val="YS02-02"/>
      <sheetName val="短期借款Dy"/>
      <sheetName val="采购订单3名"/>
      <sheetName val="Sheet1"/>
      <sheetName val="P12 TB SZ"/>
      <sheetName val="选择报表"/>
      <sheetName val="CF附注"/>
      <sheetName val="试算平衡表"/>
      <sheetName val="XL4Poppy"/>
      <sheetName val="原TB表"/>
      <sheetName val="工资"/>
      <sheetName val="27-7"/>
      <sheetName val="dxnsjtempsheet"/>
      <sheetName val="５８D"/>
      <sheetName val="存货明细表"/>
      <sheetName val="清单12.31"/>
      <sheetName val="短期投资股票投资.dbf"/>
      <sheetName val="短期投资国债投资.dbf"/>
      <sheetName val="股票投资收益.dbf"/>
      <sheetName val="其他货币海通.dbf"/>
      <sheetName val="其他货币零领路.dbf"/>
      <sheetName val="投资收益债券.dbf"/>
      <sheetName val="营业费用测试"/>
      <sheetName val="邻酮定乙酚发出测试"/>
      <sheetName val="科目余额表"/>
      <sheetName val="凭证抽查表 "/>
      <sheetName val="资产减值损失审核表"/>
      <sheetName val="E1020"/>
      <sheetName val="坯布"/>
      <sheetName val="材料"/>
      <sheetName val="外销"/>
      <sheetName val="Summary"/>
      <sheetName val="dghn"/>
      <sheetName val="报表项目"/>
      <sheetName val="02"/>
      <sheetName val="03"/>
      <sheetName val="04"/>
      <sheetName val="05"/>
      <sheetName val="06"/>
      <sheetName val="01"/>
      <sheetName val="07"/>
      <sheetName val="08"/>
      <sheetName val="09"/>
      <sheetName val="010"/>
      <sheetName val="011"/>
      <sheetName val="012"/>
      <sheetName val="表头（请先填写）"/>
      <sheetName val="调整分录汇总表"/>
      <sheetName val="明细表（账龄）D2-2"/>
      <sheetName val="其他应付款科目余额2005.12.31"/>
      <sheetName val="期末应付帐款明细表"/>
      <sheetName val="期初应付帐款明细表"/>
      <sheetName val="数量金额总账"/>
      <sheetName val="设备部房屋"/>
      <sheetName val="核算项目余额表"/>
      <sheetName val="PER SALES ORG"/>
      <sheetName val="1月"/>
      <sheetName val="SW-TEO"/>
      <sheetName val="Detailed Testing"/>
      <sheetName val="银行借款询证"/>
      <sheetName val="余额表"/>
      <sheetName val="盈余公积 （合并)"/>
      <sheetName val="Toolbox"/>
      <sheetName val="提足折旧"/>
      <sheetName val="DATA"/>
      <sheetName val="委托加工材料"/>
      <sheetName val="材料采购-入库"/>
      <sheetName val="原材料－其他"/>
      <sheetName val="材料成本差异－运费等"/>
      <sheetName val="管理费用(集团董事会)"/>
      <sheetName val="FS"/>
      <sheetName val="gl"/>
      <sheetName val="Adm"/>
      <sheetName val="sell"/>
      <sheetName val="Fin"/>
      <sheetName val="Erection"/>
      <sheetName val="剥离前"/>
      <sheetName val="10"/>
      <sheetName val="UFPrn20031114182129"/>
      <sheetName val="订单418"/>
      <sheetName val="Collateral"/>
      <sheetName val="Disposition"/>
      <sheetName val="Validation"/>
      <sheetName val="35.1租赁明细"/>
      <sheetName val="中山低值"/>
      <sheetName val="分产品销售收入、成本分析表"/>
      <sheetName val="其他应收款－个人借款明细"/>
      <sheetName val="生产成本"/>
    </sheetNames>
    <sheetDataSet>
      <sheetData sheetId="0">
        <row r="15">
          <cell r="D15" t="str">
            <v>货币资金</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底稿目录"/>
      <sheetName val="GT_Custom"/>
      <sheetName val="截止测试-入库（记账凭证至原始凭证）G2-7-1"/>
      <sheetName val="截止测试-入库（原始凭证至记账凭证）G2-7-1 "/>
      <sheetName val="截止测试-出库（记账凭证至原始凭证）G2-7-2"/>
      <sheetName val="截止测试-出库（原始凭证至记账凭证）G2-7-2"/>
      <sheetName val="截止测试-制造费用-新增"/>
      <sheetName val="存货采购检查表-新增"/>
      <sheetName val="材料领用检查表-新增"/>
      <sheetName val="委托加工物资核查表G2-12"/>
      <sheetName val="合同履约成本测试（示例）-删除"/>
      <sheetName val="截止测试-入库（记账凭证至原始凭证）F2-29"/>
      <sheetName val="截止测试-入库（原始凭证至记账凭证）F2-30"/>
      <sheetName val="截止测试-出库（记账凭证至原始凭证）F2-31"/>
      <sheetName val="截止测试-出库（原始凭证至记账凭证）F2-32"/>
      <sheetName val="存货采购入库检查表F2-33-新增"/>
      <sheetName val="材料领用检查表F2-34-新增"/>
      <sheetName val="委托加工物资核查表F2-35"/>
      <sheetName val="合同履约成本测试（示例）-移至合同履约成本"/>
    </sheetNames>
    <sheetDataSet>
      <sheetData sheetId="0">
        <row r="2">
          <cell r="A2" t="str">
            <v>被审计单位：ABC公司</v>
          </cell>
        </row>
        <row r="3">
          <cell r="A3" t="str">
            <v>截止日：202X年12月31日</v>
          </cell>
        </row>
        <row r="4">
          <cell r="A4" t="str">
            <v>编制人：张XX</v>
          </cell>
        </row>
        <row r="5">
          <cell r="A5" t="str">
            <v>编制日期：2024-4-1</v>
          </cell>
        </row>
        <row r="6">
          <cell r="A6" t="str">
            <v>复核人：李XX</v>
          </cell>
        </row>
        <row r="7">
          <cell r="A7" t="str">
            <v>复核日期：2024-5-1</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F13"/>
  <sheetViews>
    <sheetView tabSelected="1" workbookViewId="0">
      <selection activeCell="A10" sqref="A10"/>
    </sheetView>
  </sheetViews>
  <sheetFormatPr defaultColWidth="10" defaultRowHeight="18" customHeight="1"/>
  <cols>
    <col min="1" max="1" width="85.77734375" style="132" customWidth="1"/>
    <col min="2" max="2" width="2.21875" style="132" customWidth="1"/>
    <col min="3" max="3" width="2.33203125" style="132" customWidth="1"/>
    <col min="4" max="4" width="7.33203125" style="132" customWidth="1"/>
    <col min="5" max="5" width="54.77734375" style="132" bestFit="1" customWidth="1"/>
    <col min="6" max="16384" width="10" style="132"/>
  </cols>
  <sheetData>
    <row r="1" spans="1:6" s="128" customFormat="1" ht="18" customHeight="1">
      <c r="A1" s="127" t="s">
        <v>141</v>
      </c>
    </row>
    <row r="2" spans="1:6" ht="19.5" customHeight="1">
      <c r="A2" s="129" t="s">
        <v>246</v>
      </c>
      <c r="B2" s="130"/>
      <c r="C2" s="130"/>
      <c r="D2" s="131" t="s">
        <v>142</v>
      </c>
      <c r="E2" s="131" t="s">
        <v>143</v>
      </c>
      <c r="F2" s="131" t="s">
        <v>144</v>
      </c>
    </row>
    <row r="3" spans="1:6" ht="19.5" customHeight="1">
      <c r="A3" s="133" t="s">
        <v>247</v>
      </c>
      <c r="B3" s="130"/>
      <c r="C3" s="130"/>
      <c r="D3" s="134">
        <v>1</v>
      </c>
      <c r="E3" s="197" t="s">
        <v>188</v>
      </c>
      <c r="F3" s="135" t="s">
        <v>241</v>
      </c>
    </row>
    <row r="4" spans="1:6" ht="19.5" customHeight="1">
      <c r="A4" s="136" t="s">
        <v>248</v>
      </c>
      <c r="B4" s="137"/>
      <c r="C4" s="137"/>
      <c r="D4" s="134">
        <v>2</v>
      </c>
      <c r="E4" s="197" t="s">
        <v>227</v>
      </c>
      <c r="F4" s="135" t="s">
        <v>234</v>
      </c>
    </row>
    <row r="5" spans="1:6" ht="19.5" customHeight="1">
      <c r="A5" s="136" t="s">
        <v>249</v>
      </c>
      <c r="D5" s="134">
        <v>3</v>
      </c>
      <c r="E5" s="197" t="s">
        <v>229</v>
      </c>
      <c r="F5" s="135" t="s">
        <v>219</v>
      </c>
    </row>
    <row r="6" spans="1:6" ht="19.5" customHeight="1">
      <c r="A6" s="136" t="s">
        <v>250</v>
      </c>
      <c r="D6" s="134">
        <v>4</v>
      </c>
      <c r="E6" s="197" t="s">
        <v>231</v>
      </c>
      <c r="F6" s="135" t="s">
        <v>220</v>
      </c>
    </row>
    <row r="7" spans="1:6" ht="19.5" customHeight="1">
      <c r="A7" s="136" t="s">
        <v>251</v>
      </c>
      <c r="D7" s="134">
        <v>5</v>
      </c>
      <c r="E7" s="197" t="s">
        <v>233</v>
      </c>
      <c r="F7" s="135" t="s">
        <v>235</v>
      </c>
    </row>
    <row r="13" spans="1:6" ht="19.2" customHeight="1">
      <c r="A13" s="138"/>
    </row>
  </sheetData>
  <phoneticPr fontId="7" type="noConversion"/>
  <hyperlinks>
    <hyperlink ref="E3" location="'合同履约成本实质性程序表F2-55A-新增'!A1" display="合同履约成本实质性程序表"/>
    <hyperlink ref="E4" location="'合同履约成本构成明细表F2-55-新增'!A1" display="合同履约成本构成明细表"/>
    <hyperlink ref="E5" location="'合同履约成本检查表F2-56-新增'!A1" display="合同履约成本检查表"/>
    <hyperlink ref="E6" location="'合同履约成本减值准备测算表F2-57-新增'!A1" display="合同履约成本减值准备测算表"/>
    <hyperlink ref="E7" location="'亏损合同预计损失测算表F2-58-新增'!A1" display="亏损合同预计损失测算表"/>
  </hyperlinks>
  <pageMargins left="0.75" right="0.75" top="1" bottom="1" header="0.5" footer="0.5"/>
  <pageSetup paperSize="9" orientation="portrait" horizontalDpi="1200" verticalDpi="1200" r:id="rId1"/>
  <headerFooter alignWithMargins="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
  <dimension ref="A1:M30"/>
  <sheetViews>
    <sheetView view="pageBreakPreview" zoomScaleNormal="115" zoomScaleSheetLayoutView="100" workbookViewId="0">
      <selection activeCell="J17" sqref="J17"/>
    </sheetView>
  </sheetViews>
  <sheetFormatPr defaultColWidth="10" defaultRowHeight="13.8"/>
  <cols>
    <col min="1" max="1" width="5.77734375" style="141" customWidth="1"/>
    <col min="2" max="2" width="70" style="141" customWidth="1"/>
    <col min="3" max="3" width="10.6640625" style="141" customWidth="1"/>
    <col min="4" max="4" width="5.88671875" style="141" customWidth="1"/>
    <col min="5" max="5" width="6.6640625" style="141" customWidth="1"/>
    <col min="6" max="6" width="7.6640625" style="141" customWidth="1"/>
    <col min="7" max="7" width="11.33203125" style="141" customWidth="1"/>
    <col min="8" max="8" width="6.44140625" style="141" customWidth="1"/>
    <col min="9" max="9" width="8" style="141" customWidth="1"/>
    <col min="10" max="10" width="79.5546875" style="139" customWidth="1"/>
    <col min="11" max="11" width="77.77734375" style="140" customWidth="1"/>
    <col min="12" max="16384" width="10" style="141"/>
  </cols>
  <sheetData>
    <row r="1" spans="1:13" ht="22.05" customHeight="1">
      <c r="A1" s="200" t="s">
        <v>0</v>
      </c>
      <c r="B1" s="200"/>
      <c r="C1" s="200"/>
      <c r="D1" s="200"/>
      <c r="E1" s="200"/>
      <c r="F1" s="200"/>
      <c r="G1" s="200"/>
      <c r="H1" s="200"/>
      <c r="I1" s="200"/>
    </row>
    <row r="2" spans="1:13" ht="22.05" customHeight="1">
      <c r="A2" s="201" t="s">
        <v>185</v>
      </c>
      <c r="B2" s="202"/>
      <c r="C2" s="202"/>
      <c r="D2" s="202"/>
      <c r="E2" s="202"/>
      <c r="F2" s="202"/>
      <c r="G2" s="202"/>
      <c r="H2" s="202"/>
      <c r="I2" s="202"/>
      <c r="K2" s="142"/>
    </row>
    <row r="3" spans="1:13" ht="22.05" customHeight="1">
      <c r="A3" s="143" t="str">
        <f>底稿目录!A2</f>
        <v>被审计单位：</v>
      </c>
      <c r="B3" s="143"/>
      <c r="C3" s="144" t="str">
        <f>底稿目录!A4</f>
        <v>编制人：</v>
      </c>
      <c r="E3" s="143" t="str">
        <f>底稿目录!A5</f>
        <v>编制日期：</v>
      </c>
      <c r="F3" s="143"/>
      <c r="G3" s="143"/>
      <c r="H3" s="143" t="s">
        <v>32</v>
      </c>
      <c r="I3" s="145" t="str">
        <f>底稿目录!F3</f>
        <v>F2-55A</v>
      </c>
    </row>
    <row r="4" spans="1:13" ht="22.05" customHeight="1">
      <c r="A4" s="143" t="str">
        <f>底稿目录!A3</f>
        <v>截止日：</v>
      </c>
      <c r="B4" s="143"/>
      <c r="C4" s="144" t="str">
        <f>底稿目录!A6</f>
        <v>复核人：</v>
      </c>
      <c r="E4" s="143" t="str">
        <f>底稿目录!A7</f>
        <v>复核日期：</v>
      </c>
      <c r="F4" s="143"/>
      <c r="G4" s="143"/>
      <c r="H4" s="143" t="s">
        <v>145</v>
      </c>
      <c r="I4" s="146"/>
    </row>
    <row r="5" spans="1:13" ht="22.05" customHeight="1">
      <c r="A5" s="147" t="s">
        <v>146</v>
      </c>
      <c r="B5" s="143"/>
      <c r="C5" s="148"/>
      <c r="D5" s="143"/>
      <c r="E5" s="143"/>
      <c r="F5" s="143"/>
      <c r="G5" s="143"/>
      <c r="H5" s="148"/>
      <c r="I5" s="143"/>
    </row>
    <row r="6" spans="1:13" ht="22.05" customHeight="1">
      <c r="A6" s="149" t="s">
        <v>242</v>
      </c>
      <c r="B6" s="143"/>
      <c r="C6" s="148"/>
      <c r="D6" s="143"/>
      <c r="E6" s="143"/>
      <c r="F6" s="143"/>
      <c r="G6" s="143"/>
      <c r="H6" s="148"/>
      <c r="I6" s="143"/>
    </row>
    <row r="7" spans="1:13" ht="22.05" customHeight="1">
      <c r="A7" s="150" t="s">
        <v>147</v>
      </c>
      <c r="B7" s="151"/>
      <c r="C7" s="148"/>
      <c r="D7" s="148"/>
      <c r="E7" s="148"/>
      <c r="F7" s="148"/>
      <c r="G7" s="148"/>
      <c r="H7" s="148"/>
      <c r="I7" s="148"/>
      <c r="J7" s="152"/>
      <c r="K7" s="153"/>
    </row>
    <row r="8" spans="1:13" s="156" customFormat="1" ht="19.95" customHeight="1">
      <c r="A8" s="203" t="s">
        <v>148</v>
      </c>
      <c r="B8" s="203"/>
      <c r="C8" s="203"/>
      <c r="D8" s="203"/>
      <c r="E8" s="203"/>
      <c r="F8" s="203"/>
      <c r="G8" s="210" t="s">
        <v>149</v>
      </c>
      <c r="H8" s="210"/>
      <c r="I8" s="210"/>
      <c r="J8" s="155"/>
    </row>
    <row r="9" spans="1:13" s="156" customFormat="1" ht="19.95" customHeight="1">
      <c r="A9" s="199" t="s">
        <v>186</v>
      </c>
      <c r="B9" s="199"/>
      <c r="C9" s="199"/>
      <c r="D9" s="199"/>
      <c r="E9" s="199"/>
      <c r="F9" s="199"/>
      <c r="G9" s="204" t="s">
        <v>150</v>
      </c>
      <c r="H9" s="204"/>
      <c r="I9" s="204"/>
      <c r="J9" s="155"/>
    </row>
    <row r="10" spans="1:13" s="156" customFormat="1" ht="19.95" customHeight="1">
      <c r="A10" s="199" t="s">
        <v>256</v>
      </c>
      <c r="B10" s="199"/>
      <c r="C10" s="199"/>
      <c r="D10" s="199"/>
      <c r="E10" s="199"/>
      <c r="F10" s="199"/>
      <c r="G10" s="204" t="s">
        <v>151</v>
      </c>
      <c r="H10" s="204"/>
      <c r="I10" s="204"/>
      <c r="J10" s="155"/>
    </row>
    <row r="11" spans="1:13" s="156" customFormat="1" ht="19.95" customHeight="1">
      <c r="A11" s="199" t="s">
        <v>257</v>
      </c>
      <c r="B11" s="199"/>
      <c r="C11" s="199"/>
      <c r="D11" s="199"/>
      <c r="E11" s="199"/>
      <c r="F11" s="199"/>
      <c r="G11" s="204" t="s">
        <v>253</v>
      </c>
      <c r="H11" s="204"/>
      <c r="I11" s="204"/>
      <c r="J11" s="155"/>
    </row>
    <row r="12" spans="1:13" s="156" customFormat="1" ht="19.95" customHeight="1">
      <c r="A12" s="199" t="s">
        <v>258</v>
      </c>
      <c r="B12" s="199"/>
      <c r="C12" s="199"/>
      <c r="D12" s="199"/>
      <c r="E12" s="199"/>
      <c r="F12" s="199"/>
      <c r="G12" s="204" t="s">
        <v>254</v>
      </c>
      <c r="H12" s="204"/>
      <c r="I12" s="204"/>
      <c r="J12" s="155"/>
    </row>
    <row r="13" spans="1:13" s="156" customFormat="1" ht="19.95" customHeight="1">
      <c r="A13" s="199" t="s">
        <v>259</v>
      </c>
      <c r="B13" s="199"/>
      <c r="C13" s="199"/>
      <c r="D13" s="199"/>
      <c r="E13" s="199"/>
      <c r="F13" s="199"/>
      <c r="G13" s="204" t="s">
        <v>255</v>
      </c>
      <c r="H13" s="204"/>
      <c r="I13" s="204"/>
      <c r="J13" s="155"/>
    </row>
    <row r="14" spans="1:13" s="156" customFormat="1" ht="22.05" customHeight="1">
      <c r="A14" s="206" t="s">
        <v>243</v>
      </c>
      <c r="B14" s="206"/>
      <c r="C14" s="154"/>
      <c r="D14" s="154"/>
      <c r="E14" s="154"/>
      <c r="F14" s="154"/>
      <c r="G14" s="154"/>
      <c r="H14" s="154"/>
      <c r="I14" s="154"/>
      <c r="J14" s="155"/>
    </row>
    <row r="15" spans="1:13" ht="22.05" customHeight="1">
      <c r="A15" s="207" t="s">
        <v>152</v>
      </c>
      <c r="B15" s="249" t="s">
        <v>153</v>
      </c>
      <c r="C15" s="203" t="s">
        <v>154</v>
      </c>
      <c r="D15" s="208" t="s">
        <v>155</v>
      </c>
      <c r="E15" s="209"/>
      <c r="F15" s="209"/>
      <c r="G15" s="209"/>
      <c r="H15" s="209"/>
      <c r="I15" s="203" t="s">
        <v>156</v>
      </c>
      <c r="J15" s="152"/>
      <c r="K15" s="157"/>
      <c r="L15" s="157"/>
      <c r="M15" s="157"/>
    </row>
    <row r="16" spans="1:13" ht="28.8" customHeight="1">
      <c r="A16" s="207"/>
      <c r="B16" s="250"/>
      <c r="C16" s="203"/>
      <c r="D16" s="174" t="s">
        <v>150</v>
      </c>
      <c r="E16" s="174" t="s">
        <v>157</v>
      </c>
      <c r="F16" s="175" t="s">
        <v>158</v>
      </c>
      <c r="G16" s="175" t="s">
        <v>159</v>
      </c>
      <c r="H16" s="175" t="s">
        <v>160</v>
      </c>
      <c r="I16" s="205"/>
      <c r="J16" s="251" t="s">
        <v>260</v>
      </c>
      <c r="K16" s="157"/>
      <c r="L16" s="157"/>
      <c r="M16" s="157"/>
    </row>
    <row r="17" spans="1:13" ht="46.8" customHeight="1">
      <c r="A17" s="158" t="s">
        <v>161</v>
      </c>
      <c r="B17" s="164" t="s">
        <v>199</v>
      </c>
      <c r="C17" s="159" t="s">
        <v>162</v>
      </c>
      <c r="D17" s="159" t="s">
        <v>163</v>
      </c>
      <c r="E17" s="159" t="s">
        <v>164</v>
      </c>
      <c r="F17" s="160"/>
      <c r="G17" s="161" t="s">
        <v>165</v>
      </c>
      <c r="H17" s="160"/>
      <c r="I17" s="162" t="s">
        <v>187</v>
      </c>
      <c r="J17" s="170"/>
      <c r="K17" s="163"/>
      <c r="L17" s="157"/>
      <c r="M17" s="157"/>
    </row>
    <row r="18" spans="1:13" ht="50.4" customHeight="1">
      <c r="A18" s="158" t="s">
        <v>166</v>
      </c>
      <c r="B18" s="164" t="s">
        <v>200</v>
      </c>
      <c r="C18" s="159" t="s">
        <v>167</v>
      </c>
      <c r="D18" s="161" t="s">
        <v>165</v>
      </c>
      <c r="E18" s="159" t="s">
        <v>164</v>
      </c>
      <c r="F18" s="160"/>
      <c r="G18" s="159"/>
      <c r="H18" s="160"/>
      <c r="I18" s="162" t="s">
        <v>189</v>
      </c>
      <c r="J18" s="165"/>
      <c r="K18" s="166"/>
      <c r="L18" s="157"/>
      <c r="M18" s="157"/>
    </row>
    <row r="19" spans="1:13" ht="33" customHeight="1">
      <c r="A19" s="158" t="s">
        <v>170</v>
      </c>
      <c r="B19" s="164" t="s">
        <v>240</v>
      </c>
      <c r="C19" s="159" t="s">
        <v>167</v>
      </c>
      <c r="D19" s="161" t="s">
        <v>169</v>
      </c>
      <c r="E19" s="159"/>
      <c r="F19" s="161" t="s">
        <v>171</v>
      </c>
      <c r="G19" s="159" t="s">
        <v>168</v>
      </c>
      <c r="H19" s="160"/>
      <c r="I19" s="162" t="s">
        <v>219</v>
      </c>
      <c r="J19" s="165"/>
      <c r="K19" s="166"/>
      <c r="L19" s="157"/>
      <c r="M19" s="157"/>
    </row>
    <row r="20" spans="1:13" ht="33" customHeight="1">
      <c r="A20" s="158" t="s">
        <v>172</v>
      </c>
      <c r="B20" s="164" t="s">
        <v>222</v>
      </c>
      <c r="C20" s="159" t="s">
        <v>202</v>
      </c>
      <c r="D20" s="161"/>
      <c r="E20" s="159"/>
      <c r="F20" s="161"/>
      <c r="G20" s="161" t="s">
        <v>163</v>
      </c>
      <c r="H20" s="160"/>
      <c r="I20" s="162"/>
      <c r="J20" s="165"/>
      <c r="K20" s="166"/>
      <c r="L20" s="157"/>
      <c r="M20" s="157"/>
    </row>
    <row r="21" spans="1:13" ht="34.200000000000003" customHeight="1">
      <c r="A21" s="158" t="s">
        <v>173</v>
      </c>
      <c r="B21" s="164" t="s">
        <v>201</v>
      </c>
      <c r="C21" s="159" t="s">
        <v>202</v>
      </c>
      <c r="D21" s="161" t="s">
        <v>203</v>
      </c>
      <c r="E21" s="159" t="s">
        <v>203</v>
      </c>
      <c r="F21" s="159" t="s">
        <v>203</v>
      </c>
      <c r="G21" s="159" t="s">
        <v>163</v>
      </c>
      <c r="H21" s="160"/>
      <c r="I21" s="162" t="s">
        <v>204</v>
      </c>
      <c r="J21" s="152"/>
      <c r="K21" s="163"/>
      <c r="L21" s="157"/>
      <c r="M21" s="157"/>
    </row>
    <row r="22" spans="1:13" ht="68.400000000000006" customHeight="1">
      <c r="A22" s="158" t="s">
        <v>174</v>
      </c>
      <c r="B22" s="164" t="s">
        <v>218</v>
      </c>
      <c r="C22" s="159" t="s">
        <v>175</v>
      </c>
      <c r="D22" s="161"/>
      <c r="E22" s="159"/>
      <c r="F22" s="160"/>
      <c r="G22" s="161" t="s">
        <v>203</v>
      </c>
      <c r="H22" s="160"/>
      <c r="I22" s="162" t="s">
        <v>221</v>
      </c>
      <c r="J22" s="152"/>
      <c r="K22" s="163"/>
      <c r="L22" s="157"/>
      <c r="M22" s="157"/>
    </row>
    <row r="23" spans="1:13" s="167" customFormat="1" ht="27" customHeight="1">
      <c r="A23" s="158" t="s">
        <v>176</v>
      </c>
      <c r="B23" s="164" t="s">
        <v>205</v>
      </c>
      <c r="C23" s="159" t="s">
        <v>177</v>
      </c>
      <c r="D23" s="161"/>
      <c r="E23" s="159" t="s">
        <v>203</v>
      </c>
      <c r="F23" s="161" t="s">
        <v>203</v>
      </c>
      <c r="G23" s="161"/>
      <c r="H23" s="161"/>
      <c r="I23" s="162" t="s">
        <v>235</v>
      </c>
      <c r="J23" s="170"/>
      <c r="K23" s="163"/>
      <c r="L23" s="157"/>
      <c r="M23" s="157"/>
    </row>
    <row r="24" spans="1:13" ht="51" customHeight="1">
      <c r="A24" s="158" t="s">
        <v>179</v>
      </c>
      <c r="B24" s="164" t="s">
        <v>197</v>
      </c>
      <c r="C24" s="159" t="s">
        <v>244</v>
      </c>
      <c r="D24" s="161" t="s">
        <v>168</v>
      </c>
      <c r="E24" s="159" t="s">
        <v>163</v>
      </c>
      <c r="F24" s="161" t="s">
        <v>168</v>
      </c>
      <c r="G24" s="159" t="s">
        <v>168</v>
      </c>
      <c r="H24" s="160"/>
      <c r="I24" s="162" t="s">
        <v>178</v>
      </c>
      <c r="J24" s="168"/>
      <c r="K24" s="163"/>
      <c r="L24" s="157"/>
      <c r="M24" s="157"/>
    </row>
    <row r="25" spans="1:13" ht="21.6" customHeight="1">
      <c r="A25" s="158" t="s">
        <v>207</v>
      </c>
      <c r="B25" s="164" t="s">
        <v>198</v>
      </c>
      <c r="C25" s="159" t="s">
        <v>202</v>
      </c>
      <c r="D25" s="161" t="s">
        <v>168</v>
      </c>
      <c r="E25" s="161" t="s">
        <v>168</v>
      </c>
      <c r="F25" s="160"/>
      <c r="G25" s="161"/>
      <c r="H25" s="160"/>
      <c r="I25" s="162"/>
      <c r="J25" s="152"/>
      <c r="K25" s="163"/>
      <c r="L25" s="157"/>
      <c r="M25" s="157"/>
    </row>
    <row r="26" spans="1:13" ht="51.6" customHeight="1">
      <c r="A26" s="158" t="s">
        <v>180</v>
      </c>
      <c r="B26" s="164" t="s">
        <v>183</v>
      </c>
      <c r="C26" s="159" t="s">
        <v>245</v>
      </c>
      <c r="D26" s="160"/>
      <c r="E26" s="160"/>
      <c r="F26" s="160"/>
      <c r="G26" s="160"/>
      <c r="H26" s="160"/>
      <c r="I26" s="162"/>
      <c r="J26" s="168"/>
      <c r="K26" s="169"/>
      <c r="L26" s="157"/>
      <c r="M26" s="157"/>
    </row>
    <row r="27" spans="1:13" ht="36" customHeight="1">
      <c r="A27" s="158" t="s">
        <v>182</v>
      </c>
      <c r="B27" s="164" t="s">
        <v>206</v>
      </c>
      <c r="C27" s="159" t="s">
        <v>177</v>
      </c>
      <c r="D27" s="160"/>
      <c r="E27" s="160"/>
      <c r="F27" s="160"/>
      <c r="G27" s="160"/>
      <c r="H27" s="161" t="s">
        <v>181</v>
      </c>
      <c r="I27" s="162" t="s">
        <v>184</v>
      </c>
      <c r="J27" s="152"/>
      <c r="K27" s="163"/>
      <c r="L27" s="157"/>
      <c r="M27" s="157"/>
    </row>
    <row r="28" spans="1:13" ht="22.05" customHeight="1">
      <c r="A28" s="158"/>
      <c r="B28" s="164"/>
      <c r="C28" s="159"/>
      <c r="D28" s="160"/>
      <c r="E28" s="160"/>
      <c r="F28" s="160"/>
      <c r="G28" s="160"/>
      <c r="H28" s="161"/>
      <c r="I28" s="162"/>
      <c r="J28" s="152"/>
      <c r="K28" s="163"/>
      <c r="L28" s="157"/>
      <c r="M28" s="157"/>
    </row>
    <row r="30" spans="1:13">
      <c r="A30" s="163"/>
    </row>
  </sheetData>
  <mergeCells count="20">
    <mergeCell ref="G13:I13"/>
    <mergeCell ref="I15:I16"/>
    <mergeCell ref="A14:B14"/>
    <mergeCell ref="A15:A16"/>
    <mergeCell ref="B15:B16"/>
    <mergeCell ref="C15:C16"/>
    <mergeCell ref="D15:H15"/>
    <mergeCell ref="A13:F13"/>
    <mergeCell ref="A10:F10"/>
    <mergeCell ref="A11:F11"/>
    <mergeCell ref="A12:F12"/>
    <mergeCell ref="A1:I1"/>
    <mergeCell ref="A2:I2"/>
    <mergeCell ref="A8:F8"/>
    <mergeCell ref="A9:F9"/>
    <mergeCell ref="G8:I8"/>
    <mergeCell ref="G9:I9"/>
    <mergeCell ref="G10:I10"/>
    <mergeCell ref="G11:I11"/>
    <mergeCell ref="G12:I12"/>
  </mergeCells>
  <phoneticPr fontId="7" type="noConversion"/>
  <hyperlinks>
    <hyperlink ref="I3" location="底稿目录!A1" display="底稿目录!A1"/>
  </hyperlinks>
  <printOptions horizontalCentered="1"/>
  <pageMargins left="0.47244094488188981" right="0.31496062992125984" top="0.51181102362204722" bottom="0.39370078740157483" header="0.47244094488188981" footer="0.23622047244094491"/>
  <pageSetup paperSize="9" scale="70" fitToHeight="100" orientation="portrait" blackAndWhite="1" cellComments="atEnd" r:id="rId1"/>
  <headerFooter alignWithMargins="0">
    <oddFooter>&amp;C&amp;P/&amp;N</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3"/>
  <dimension ref="A1:AK40"/>
  <sheetViews>
    <sheetView view="pageBreakPreview" zoomScale="98" zoomScaleNormal="100" zoomScaleSheetLayoutView="98" workbookViewId="0">
      <selection sqref="A1:AK1"/>
    </sheetView>
  </sheetViews>
  <sheetFormatPr defaultRowHeight="15.6"/>
  <cols>
    <col min="1" max="1" width="8.21875" style="1" customWidth="1"/>
    <col min="2" max="2" width="12.109375" style="1" customWidth="1"/>
    <col min="3" max="3" width="9.21875" style="1" customWidth="1"/>
    <col min="4" max="4" width="8.44140625" style="1" customWidth="1"/>
    <col min="5" max="28" width="8.88671875" style="1" customWidth="1"/>
    <col min="29" max="36" width="8.77734375" style="1" customWidth="1"/>
    <col min="37" max="37" width="8.5546875" style="1" customWidth="1"/>
    <col min="38" max="16384" width="8.88671875" style="1"/>
  </cols>
  <sheetData>
    <row r="1" spans="1:37" ht="19.95" customHeight="1">
      <c r="A1" s="214" t="s">
        <v>0</v>
      </c>
      <c r="B1" s="214"/>
      <c r="C1" s="214"/>
      <c r="D1" s="214"/>
      <c r="E1" s="214"/>
      <c r="F1" s="214"/>
      <c r="G1" s="214"/>
      <c r="H1" s="214"/>
      <c r="I1" s="214"/>
      <c r="J1" s="214"/>
      <c r="K1" s="214"/>
      <c r="L1" s="214"/>
      <c r="M1" s="214"/>
      <c r="N1" s="214"/>
      <c r="O1" s="214"/>
      <c r="P1" s="214"/>
      <c r="Q1" s="214"/>
      <c r="R1" s="214"/>
      <c r="S1" s="214"/>
      <c r="T1" s="214"/>
      <c r="U1" s="214"/>
      <c r="V1" s="214"/>
      <c r="W1" s="214"/>
      <c r="X1" s="214"/>
      <c r="Y1" s="214"/>
      <c r="Z1" s="214"/>
      <c r="AA1" s="214"/>
      <c r="AB1" s="214"/>
      <c r="AC1" s="214"/>
      <c r="AD1" s="214"/>
      <c r="AE1" s="214"/>
      <c r="AF1" s="214"/>
      <c r="AG1" s="214"/>
      <c r="AH1" s="214"/>
      <c r="AI1" s="214"/>
      <c r="AJ1" s="214"/>
      <c r="AK1" s="214"/>
    </row>
    <row r="2" spans="1:37" ht="19.95" customHeight="1">
      <c r="A2" s="215" t="s">
        <v>226</v>
      </c>
      <c r="B2" s="215"/>
      <c r="C2" s="215"/>
      <c r="D2" s="215"/>
      <c r="E2" s="215"/>
      <c r="F2" s="215"/>
      <c r="G2" s="215"/>
      <c r="H2" s="215"/>
      <c r="I2" s="215"/>
      <c r="J2" s="215"/>
      <c r="K2" s="215"/>
      <c r="L2" s="215"/>
      <c r="M2" s="215"/>
      <c r="N2" s="215"/>
      <c r="O2" s="215"/>
      <c r="P2" s="215"/>
      <c r="Q2" s="215"/>
      <c r="R2" s="215"/>
      <c r="S2" s="215"/>
      <c r="T2" s="215"/>
      <c r="U2" s="215"/>
      <c r="V2" s="215"/>
      <c r="W2" s="215"/>
      <c r="X2" s="215"/>
      <c r="Y2" s="215"/>
      <c r="Z2" s="215"/>
      <c r="AA2" s="215"/>
      <c r="AB2" s="215"/>
      <c r="AC2" s="215"/>
      <c r="AD2" s="215"/>
      <c r="AE2" s="215"/>
      <c r="AF2" s="215"/>
      <c r="AG2" s="215"/>
      <c r="AH2" s="215"/>
      <c r="AI2" s="215"/>
      <c r="AJ2" s="215"/>
      <c r="AK2" s="215"/>
    </row>
    <row r="3" spans="1:37" ht="19.95" customHeight="1">
      <c r="A3" s="2" t="str">
        <f>底稿目录!A2</f>
        <v>被审计单位：</v>
      </c>
      <c r="B3" s="2"/>
      <c r="C3" s="2"/>
      <c r="D3" s="2"/>
      <c r="E3" s="2"/>
      <c r="F3" s="2"/>
      <c r="G3" s="2"/>
      <c r="H3" s="2"/>
      <c r="I3" s="2"/>
      <c r="J3" s="2" t="str">
        <f>底稿目录!A4</f>
        <v>编制人：</v>
      </c>
      <c r="K3" s="2"/>
      <c r="L3" s="2"/>
      <c r="N3" s="3"/>
      <c r="O3" s="3"/>
      <c r="P3" s="3"/>
      <c r="Q3" s="3"/>
      <c r="R3" s="3"/>
      <c r="T3" s="3"/>
      <c r="U3" s="3"/>
      <c r="V3" s="3"/>
      <c r="W3" s="3" t="str">
        <f>底稿目录!A5</f>
        <v>编制日期：</v>
      </c>
      <c r="X3" s="3"/>
      <c r="Y3" s="3"/>
      <c r="Z3" s="3"/>
      <c r="AA3" s="2"/>
      <c r="AB3" s="2"/>
      <c r="AC3" s="2"/>
      <c r="AD3" s="2"/>
      <c r="AE3" s="2"/>
      <c r="AF3" s="2"/>
      <c r="AG3" s="2"/>
      <c r="AJ3" s="4" t="s">
        <v>1</v>
      </c>
      <c r="AK3" s="145" t="str">
        <f>底稿目录!F4</f>
        <v>F2-55</v>
      </c>
    </row>
    <row r="4" spans="1:37" ht="19.95" customHeight="1">
      <c r="A4" s="2" t="str">
        <f>底稿目录!A3</f>
        <v>截止日：</v>
      </c>
      <c r="B4" s="2"/>
      <c r="C4" s="2"/>
      <c r="D4" s="2"/>
      <c r="E4" s="2"/>
      <c r="F4" s="2"/>
      <c r="G4" s="2"/>
      <c r="H4" s="2"/>
      <c r="I4" s="2"/>
      <c r="J4" s="2" t="str">
        <f>底稿目录!A6</f>
        <v>复核人：</v>
      </c>
      <c r="K4" s="2"/>
      <c r="L4" s="2"/>
      <c r="N4" s="2"/>
      <c r="O4" s="2"/>
      <c r="P4" s="2"/>
      <c r="Q4" s="2"/>
      <c r="R4" s="2"/>
      <c r="T4" s="2"/>
      <c r="U4" s="2"/>
      <c r="V4" s="2"/>
      <c r="W4" s="2" t="str">
        <f>底稿目录!A7</f>
        <v>复核日期：</v>
      </c>
      <c r="X4" s="2"/>
      <c r="Y4" s="2"/>
      <c r="Z4" s="2"/>
      <c r="AA4" s="2"/>
      <c r="AB4" s="2"/>
      <c r="AC4" s="2"/>
      <c r="AD4" s="2"/>
      <c r="AE4" s="2"/>
      <c r="AF4" s="2"/>
      <c r="AG4" s="2"/>
      <c r="AJ4" s="2" t="s">
        <v>190</v>
      </c>
      <c r="AK4" s="3"/>
    </row>
    <row r="5" spans="1:37" ht="19.95" customHeight="1">
      <c r="A5" s="216" t="s">
        <v>3</v>
      </c>
      <c r="B5" s="216" t="s">
        <v>4</v>
      </c>
      <c r="C5" s="218" t="s">
        <v>5</v>
      </c>
      <c r="D5" s="218" t="s">
        <v>6</v>
      </c>
      <c r="E5" s="220" t="s">
        <v>7</v>
      </c>
      <c r="F5" s="221"/>
      <c r="G5" s="221"/>
      <c r="H5" s="221"/>
      <c r="I5" s="222"/>
      <c r="J5" s="220" t="s">
        <v>8</v>
      </c>
      <c r="K5" s="221"/>
      <c r="L5" s="221"/>
      <c r="M5" s="221"/>
      <c r="N5" s="222"/>
      <c r="O5" s="220" t="s">
        <v>9</v>
      </c>
      <c r="P5" s="221"/>
      <c r="Q5" s="221"/>
      <c r="R5" s="221"/>
      <c r="S5" s="222"/>
      <c r="T5" s="220" t="s">
        <v>10</v>
      </c>
      <c r="U5" s="221"/>
      <c r="V5" s="221"/>
      <c r="W5" s="221"/>
      <c r="X5" s="222"/>
      <c r="Y5" s="223" t="s">
        <v>11</v>
      </c>
      <c r="Z5" s="223" t="s">
        <v>12</v>
      </c>
      <c r="AA5" s="225" t="s">
        <v>13</v>
      </c>
      <c r="AB5" s="226"/>
      <c r="AC5" s="226"/>
      <c r="AD5" s="226"/>
      <c r="AE5" s="227"/>
      <c r="AF5" s="225" t="s">
        <v>14</v>
      </c>
      <c r="AG5" s="226"/>
      <c r="AH5" s="226"/>
      <c r="AI5" s="226"/>
      <c r="AJ5" s="227"/>
      <c r="AK5" s="228" t="s">
        <v>15</v>
      </c>
    </row>
    <row r="6" spans="1:37" s="5" customFormat="1" ht="19.95" customHeight="1">
      <c r="A6" s="217"/>
      <c r="B6" s="216"/>
      <c r="C6" s="219"/>
      <c r="D6" s="219"/>
      <c r="E6" s="100" t="s">
        <v>16</v>
      </c>
      <c r="F6" s="100" t="s">
        <v>17</v>
      </c>
      <c r="G6" s="100" t="s">
        <v>18</v>
      </c>
      <c r="H6" s="100" t="s">
        <v>19</v>
      </c>
      <c r="I6" s="100" t="s">
        <v>20</v>
      </c>
      <c r="J6" s="100" t="s">
        <v>16</v>
      </c>
      <c r="K6" s="100" t="s">
        <v>17</v>
      </c>
      <c r="L6" s="100" t="s">
        <v>18</v>
      </c>
      <c r="M6" s="100" t="s">
        <v>19</v>
      </c>
      <c r="N6" s="100" t="s">
        <v>21</v>
      </c>
      <c r="O6" s="100" t="s">
        <v>16</v>
      </c>
      <c r="P6" s="100" t="s">
        <v>17</v>
      </c>
      <c r="Q6" s="100" t="s">
        <v>18</v>
      </c>
      <c r="R6" s="100" t="s">
        <v>19</v>
      </c>
      <c r="S6" s="100" t="s">
        <v>21</v>
      </c>
      <c r="T6" s="100" t="s">
        <v>16</v>
      </c>
      <c r="U6" s="100" t="s">
        <v>17</v>
      </c>
      <c r="V6" s="100" t="s">
        <v>18</v>
      </c>
      <c r="W6" s="100" t="s">
        <v>19</v>
      </c>
      <c r="X6" s="100" t="s">
        <v>21</v>
      </c>
      <c r="Y6" s="224"/>
      <c r="Z6" s="224"/>
      <c r="AA6" s="100" t="s">
        <v>16</v>
      </c>
      <c r="AB6" s="100" t="s">
        <v>17</v>
      </c>
      <c r="AC6" s="100" t="s">
        <v>18</v>
      </c>
      <c r="AD6" s="100" t="s">
        <v>19</v>
      </c>
      <c r="AE6" s="100" t="s">
        <v>21</v>
      </c>
      <c r="AF6" s="100" t="s">
        <v>16</v>
      </c>
      <c r="AG6" s="100" t="s">
        <v>17</v>
      </c>
      <c r="AH6" s="100" t="s">
        <v>18</v>
      </c>
      <c r="AI6" s="100" t="s">
        <v>19</v>
      </c>
      <c r="AJ6" s="100" t="s">
        <v>21</v>
      </c>
      <c r="AK6" s="228"/>
    </row>
    <row r="7" spans="1:37" s="10" customFormat="1" ht="19.95" customHeight="1">
      <c r="A7" s="6"/>
      <c r="B7" s="7"/>
      <c r="C7" s="7"/>
      <c r="D7" s="8"/>
      <c r="E7" s="8"/>
      <c r="F7" s="8"/>
      <c r="G7" s="8"/>
      <c r="H7" s="8"/>
      <c r="I7" s="171">
        <f>SUM(E7:H7)</f>
        <v>0</v>
      </c>
      <c r="J7" s="8"/>
      <c r="K7" s="8"/>
      <c r="L7" s="8"/>
      <c r="M7" s="8"/>
      <c r="N7" s="171">
        <f>SUM(J7:M7)</f>
        <v>0</v>
      </c>
      <c r="O7" s="8"/>
      <c r="P7" s="8"/>
      <c r="Q7" s="8"/>
      <c r="R7" s="8"/>
      <c r="S7" s="171">
        <f>SUM(O7:R7)</f>
        <v>0</v>
      </c>
      <c r="T7" s="171">
        <f>E7+J7-O7</f>
        <v>0</v>
      </c>
      <c r="U7" s="171">
        <f t="shared" ref="U7:W22" si="0">F7+K7-P7</f>
        <v>0</v>
      </c>
      <c r="V7" s="171">
        <f t="shared" si="0"/>
        <v>0</v>
      </c>
      <c r="W7" s="171">
        <f t="shared" si="0"/>
        <v>0</v>
      </c>
      <c r="X7" s="171">
        <f>SUM(T7:W7)</f>
        <v>0</v>
      </c>
      <c r="Y7" s="8"/>
      <c r="Z7" s="8"/>
      <c r="AA7" s="8"/>
      <c r="AB7" s="8"/>
      <c r="AC7" s="8"/>
      <c r="AD7" s="8"/>
      <c r="AE7" s="171">
        <f>SUM(AA7:AD7)</f>
        <v>0</v>
      </c>
      <c r="AF7" s="171">
        <f>T7+AA7</f>
        <v>0</v>
      </c>
      <c r="AG7" s="171">
        <f>U7+AB7</f>
        <v>0</v>
      </c>
      <c r="AH7" s="171">
        <f t="shared" ref="AG7:AI22" si="1">V7+AC7</f>
        <v>0</v>
      </c>
      <c r="AI7" s="171">
        <f>W7+AD7</f>
        <v>0</v>
      </c>
      <c r="AJ7" s="171">
        <f>SUM(AF7:AI7)</f>
        <v>0</v>
      </c>
      <c r="AK7" s="9"/>
    </row>
    <row r="8" spans="1:37" s="10" customFormat="1" ht="19.95" customHeight="1">
      <c r="A8" s="6"/>
      <c r="B8" s="7"/>
      <c r="C8" s="7"/>
      <c r="D8" s="8"/>
      <c r="E8" s="8"/>
      <c r="F8" s="8"/>
      <c r="G8" s="8"/>
      <c r="H8" s="8"/>
      <c r="I8" s="171">
        <f t="shared" ref="I8:I24" si="2">SUM(E8:H8)</f>
        <v>0</v>
      </c>
      <c r="J8" s="8"/>
      <c r="K8" s="8"/>
      <c r="L8" s="8"/>
      <c r="M8" s="8"/>
      <c r="N8" s="171">
        <f t="shared" ref="N8:N24" si="3">SUM(J8:M8)</f>
        <v>0</v>
      </c>
      <c r="O8" s="8"/>
      <c r="P8" s="8"/>
      <c r="Q8" s="8"/>
      <c r="R8" s="8"/>
      <c r="S8" s="171">
        <f t="shared" ref="S8:S24" si="4">SUM(O8:R8)</f>
        <v>0</v>
      </c>
      <c r="T8" s="171">
        <f t="shared" ref="T8:W24" si="5">E8+J8-O8</f>
        <v>0</v>
      </c>
      <c r="U8" s="171">
        <f t="shared" si="0"/>
        <v>0</v>
      </c>
      <c r="V8" s="171">
        <f t="shared" si="0"/>
        <v>0</v>
      </c>
      <c r="W8" s="171">
        <f t="shared" si="0"/>
        <v>0</v>
      </c>
      <c r="X8" s="171">
        <f t="shared" ref="X8:X24" si="6">SUM(T8:W8)</f>
        <v>0</v>
      </c>
      <c r="Y8" s="8"/>
      <c r="Z8" s="8"/>
      <c r="AA8" s="8"/>
      <c r="AB8" s="8"/>
      <c r="AC8" s="8"/>
      <c r="AD8" s="8"/>
      <c r="AE8" s="171">
        <f t="shared" ref="AE8:AE24" si="7">SUM(AA8:AD8)</f>
        <v>0</v>
      </c>
      <c r="AF8" s="171">
        <f t="shared" ref="AF8:AI24" si="8">T8+AA8</f>
        <v>0</v>
      </c>
      <c r="AG8" s="171">
        <f t="shared" si="1"/>
        <v>0</v>
      </c>
      <c r="AH8" s="171">
        <f t="shared" si="1"/>
        <v>0</v>
      </c>
      <c r="AI8" s="171">
        <f t="shared" si="1"/>
        <v>0</v>
      </c>
      <c r="AJ8" s="171">
        <f t="shared" ref="AJ8:AJ24" si="9">SUM(AF8:AI8)</f>
        <v>0</v>
      </c>
      <c r="AK8" s="9"/>
    </row>
    <row r="9" spans="1:37" s="10" customFormat="1" ht="19.95" customHeight="1">
      <c r="A9" s="6"/>
      <c r="B9" s="7"/>
      <c r="C9" s="7"/>
      <c r="D9" s="8"/>
      <c r="E9" s="8"/>
      <c r="F9" s="8"/>
      <c r="G9" s="8"/>
      <c r="H9" s="8"/>
      <c r="I9" s="171">
        <f t="shared" si="2"/>
        <v>0</v>
      </c>
      <c r="J9" s="8"/>
      <c r="K9" s="8"/>
      <c r="L9" s="8"/>
      <c r="M9" s="8"/>
      <c r="N9" s="171">
        <f t="shared" si="3"/>
        <v>0</v>
      </c>
      <c r="O9" s="8"/>
      <c r="P9" s="8"/>
      <c r="Q9" s="8"/>
      <c r="R9" s="8"/>
      <c r="S9" s="171">
        <f t="shared" si="4"/>
        <v>0</v>
      </c>
      <c r="T9" s="171">
        <f t="shared" si="5"/>
        <v>0</v>
      </c>
      <c r="U9" s="171">
        <f t="shared" si="0"/>
        <v>0</v>
      </c>
      <c r="V9" s="171">
        <f t="shared" si="0"/>
        <v>0</v>
      </c>
      <c r="W9" s="171">
        <f t="shared" si="0"/>
        <v>0</v>
      </c>
      <c r="X9" s="171">
        <f t="shared" si="6"/>
        <v>0</v>
      </c>
      <c r="Y9" s="8"/>
      <c r="Z9" s="8"/>
      <c r="AA9" s="8"/>
      <c r="AB9" s="8"/>
      <c r="AC9" s="8"/>
      <c r="AD9" s="8"/>
      <c r="AE9" s="171">
        <f t="shared" si="7"/>
        <v>0</v>
      </c>
      <c r="AF9" s="171">
        <f t="shared" si="8"/>
        <v>0</v>
      </c>
      <c r="AG9" s="171">
        <f t="shared" si="1"/>
        <v>0</v>
      </c>
      <c r="AH9" s="171">
        <f t="shared" si="1"/>
        <v>0</v>
      </c>
      <c r="AI9" s="171">
        <f t="shared" si="1"/>
        <v>0</v>
      </c>
      <c r="AJ9" s="171">
        <f t="shared" si="9"/>
        <v>0</v>
      </c>
      <c r="AK9" s="9"/>
    </row>
    <row r="10" spans="1:37" s="10" customFormat="1" ht="19.95" customHeight="1">
      <c r="A10" s="6"/>
      <c r="B10" s="7"/>
      <c r="C10" s="7"/>
      <c r="D10" s="8"/>
      <c r="E10" s="8"/>
      <c r="F10" s="8"/>
      <c r="G10" s="8"/>
      <c r="H10" s="8"/>
      <c r="I10" s="171">
        <f t="shared" si="2"/>
        <v>0</v>
      </c>
      <c r="J10" s="8"/>
      <c r="K10" s="8"/>
      <c r="L10" s="8"/>
      <c r="M10" s="8"/>
      <c r="N10" s="171">
        <f t="shared" si="3"/>
        <v>0</v>
      </c>
      <c r="O10" s="8"/>
      <c r="P10" s="8"/>
      <c r="Q10" s="8"/>
      <c r="R10" s="8"/>
      <c r="S10" s="171">
        <f t="shared" si="4"/>
        <v>0</v>
      </c>
      <c r="T10" s="171">
        <f t="shared" si="5"/>
        <v>0</v>
      </c>
      <c r="U10" s="171">
        <f t="shared" si="0"/>
        <v>0</v>
      </c>
      <c r="V10" s="171">
        <f t="shared" si="0"/>
        <v>0</v>
      </c>
      <c r="W10" s="171">
        <f t="shared" si="0"/>
        <v>0</v>
      </c>
      <c r="X10" s="171">
        <f t="shared" si="6"/>
        <v>0</v>
      </c>
      <c r="Y10" s="8"/>
      <c r="Z10" s="8"/>
      <c r="AA10" s="8"/>
      <c r="AB10" s="8"/>
      <c r="AC10" s="8"/>
      <c r="AD10" s="8"/>
      <c r="AE10" s="171">
        <f t="shared" si="7"/>
        <v>0</v>
      </c>
      <c r="AF10" s="171">
        <f t="shared" si="8"/>
        <v>0</v>
      </c>
      <c r="AG10" s="171">
        <f t="shared" si="1"/>
        <v>0</v>
      </c>
      <c r="AH10" s="171">
        <f t="shared" si="1"/>
        <v>0</v>
      </c>
      <c r="AI10" s="171">
        <f t="shared" si="1"/>
        <v>0</v>
      </c>
      <c r="AJ10" s="171">
        <f t="shared" si="9"/>
        <v>0</v>
      </c>
      <c r="AK10" s="9"/>
    </row>
    <row r="11" spans="1:37" s="10" customFormat="1" ht="19.95" customHeight="1">
      <c r="A11" s="6"/>
      <c r="B11" s="7"/>
      <c r="C11" s="7"/>
      <c r="D11" s="8"/>
      <c r="E11" s="8"/>
      <c r="F11" s="8"/>
      <c r="G11" s="8"/>
      <c r="H11" s="8"/>
      <c r="I11" s="171">
        <f t="shared" si="2"/>
        <v>0</v>
      </c>
      <c r="J11" s="8"/>
      <c r="K11" s="8"/>
      <c r="L11" s="8"/>
      <c r="M11" s="8"/>
      <c r="N11" s="171">
        <f t="shared" si="3"/>
        <v>0</v>
      </c>
      <c r="O11" s="8"/>
      <c r="P11" s="8"/>
      <c r="Q11" s="8"/>
      <c r="R11" s="8"/>
      <c r="S11" s="171">
        <f t="shared" si="4"/>
        <v>0</v>
      </c>
      <c r="T11" s="171">
        <f t="shared" si="5"/>
        <v>0</v>
      </c>
      <c r="U11" s="171">
        <f t="shared" si="0"/>
        <v>0</v>
      </c>
      <c r="V11" s="171">
        <f t="shared" si="0"/>
        <v>0</v>
      </c>
      <c r="W11" s="171">
        <f t="shared" si="0"/>
        <v>0</v>
      </c>
      <c r="X11" s="171">
        <f t="shared" si="6"/>
        <v>0</v>
      </c>
      <c r="Y11" s="8"/>
      <c r="Z11" s="8"/>
      <c r="AA11" s="8"/>
      <c r="AB11" s="8"/>
      <c r="AC11" s="8"/>
      <c r="AD11" s="8"/>
      <c r="AE11" s="171">
        <f t="shared" si="7"/>
        <v>0</v>
      </c>
      <c r="AF11" s="171">
        <f t="shared" si="8"/>
        <v>0</v>
      </c>
      <c r="AG11" s="171">
        <f t="shared" si="1"/>
        <v>0</v>
      </c>
      <c r="AH11" s="171">
        <f t="shared" si="1"/>
        <v>0</v>
      </c>
      <c r="AI11" s="171">
        <f t="shared" si="1"/>
        <v>0</v>
      </c>
      <c r="AJ11" s="171">
        <f t="shared" si="9"/>
        <v>0</v>
      </c>
      <c r="AK11" s="9"/>
    </row>
    <row r="12" spans="1:37" s="10" customFormat="1" ht="19.95" customHeight="1">
      <c r="A12" s="6"/>
      <c r="B12" s="7"/>
      <c r="C12" s="7"/>
      <c r="D12" s="8"/>
      <c r="E12" s="8"/>
      <c r="F12" s="8"/>
      <c r="G12" s="8"/>
      <c r="H12" s="8"/>
      <c r="I12" s="171">
        <f t="shared" si="2"/>
        <v>0</v>
      </c>
      <c r="J12" s="8"/>
      <c r="K12" s="8"/>
      <c r="L12" s="8"/>
      <c r="M12" s="8"/>
      <c r="N12" s="171">
        <f t="shared" si="3"/>
        <v>0</v>
      </c>
      <c r="O12" s="8"/>
      <c r="P12" s="8"/>
      <c r="Q12" s="8"/>
      <c r="R12" s="8"/>
      <c r="S12" s="171">
        <f t="shared" si="4"/>
        <v>0</v>
      </c>
      <c r="T12" s="171">
        <f t="shared" si="5"/>
        <v>0</v>
      </c>
      <c r="U12" s="171">
        <f t="shared" si="0"/>
        <v>0</v>
      </c>
      <c r="V12" s="171">
        <f t="shared" si="0"/>
        <v>0</v>
      </c>
      <c r="W12" s="171">
        <f t="shared" si="0"/>
        <v>0</v>
      </c>
      <c r="X12" s="171">
        <f t="shared" si="6"/>
        <v>0</v>
      </c>
      <c r="Y12" s="8"/>
      <c r="Z12" s="8"/>
      <c r="AA12" s="8"/>
      <c r="AB12" s="8"/>
      <c r="AC12" s="8"/>
      <c r="AD12" s="8"/>
      <c r="AE12" s="171">
        <f t="shared" si="7"/>
        <v>0</v>
      </c>
      <c r="AF12" s="171">
        <f t="shared" si="8"/>
        <v>0</v>
      </c>
      <c r="AG12" s="171">
        <f t="shared" si="1"/>
        <v>0</v>
      </c>
      <c r="AH12" s="171">
        <f t="shared" si="1"/>
        <v>0</v>
      </c>
      <c r="AI12" s="171">
        <f t="shared" si="1"/>
        <v>0</v>
      </c>
      <c r="AJ12" s="171">
        <f t="shared" si="9"/>
        <v>0</v>
      </c>
      <c r="AK12" s="9"/>
    </row>
    <row r="13" spans="1:37" s="10" customFormat="1" ht="19.95" customHeight="1">
      <c r="A13" s="6"/>
      <c r="B13" s="7"/>
      <c r="C13" s="7"/>
      <c r="D13" s="8"/>
      <c r="E13" s="8"/>
      <c r="F13" s="8"/>
      <c r="G13" s="8"/>
      <c r="H13" s="8"/>
      <c r="I13" s="171">
        <f t="shared" si="2"/>
        <v>0</v>
      </c>
      <c r="J13" s="8"/>
      <c r="K13" s="8"/>
      <c r="L13" s="8"/>
      <c r="M13" s="8"/>
      <c r="N13" s="171">
        <f t="shared" si="3"/>
        <v>0</v>
      </c>
      <c r="O13" s="8"/>
      <c r="P13" s="8"/>
      <c r="Q13" s="8"/>
      <c r="R13" s="8"/>
      <c r="S13" s="171">
        <f t="shared" si="4"/>
        <v>0</v>
      </c>
      <c r="T13" s="171">
        <f t="shared" si="5"/>
        <v>0</v>
      </c>
      <c r="U13" s="171">
        <f t="shared" si="0"/>
        <v>0</v>
      </c>
      <c r="V13" s="171">
        <f t="shared" si="0"/>
        <v>0</v>
      </c>
      <c r="W13" s="171">
        <f t="shared" si="0"/>
        <v>0</v>
      </c>
      <c r="X13" s="171">
        <f t="shared" si="6"/>
        <v>0</v>
      </c>
      <c r="Y13" s="8"/>
      <c r="Z13" s="8"/>
      <c r="AA13" s="8"/>
      <c r="AB13" s="8"/>
      <c r="AC13" s="8"/>
      <c r="AD13" s="8"/>
      <c r="AE13" s="171">
        <f t="shared" si="7"/>
        <v>0</v>
      </c>
      <c r="AF13" s="171">
        <f t="shared" si="8"/>
        <v>0</v>
      </c>
      <c r="AG13" s="171">
        <f t="shared" si="1"/>
        <v>0</v>
      </c>
      <c r="AH13" s="171">
        <f t="shared" si="1"/>
        <v>0</v>
      </c>
      <c r="AI13" s="171">
        <f t="shared" si="1"/>
        <v>0</v>
      </c>
      <c r="AJ13" s="171">
        <f t="shared" si="9"/>
        <v>0</v>
      </c>
      <c r="AK13" s="9"/>
    </row>
    <row r="14" spans="1:37" s="10" customFormat="1" ht="19.95" customHeight="1">
      <c r="A14" s="6"/>
      <c r="B14" s="7"/>
      <c r="C14" s="7"/>
      <c r="D14" s="8"/>
      <c r="E14" s="8"/>
      <c r="F14" s="8"/>
      <c r="G14" s="8"/>
      <c r="H14" s="8"/>
      <c r="I14" s="171">
        <f t="shared" si="2"/>
        <v>0</v>
      </c>
      <c r="J14" s="8"/>
      <c r="K14" s="8"/>
      <c r="L14" s="8"/>
      <c r="M14" s="8"/>
      <c r="N14" s="171">
        <f t="shared" si="3"/>
        <v>0</v>
      </c>
      <c r="O14" s="8"/>
      <c r="P14" s="8"/>
      <c r="Q14" s="8"/>
      <c r="R14" s="8"/>
      <c r="S14" s="171">
        <f t="shared" si="4"/>
        <v>0</v>
      </c>
      <c r="T14" s="171">
        <f t="shared" si="5"/>
        <v>0</v>
      </c>
      <c r="U14" s="171">
        <f t="shared" si="0"/>
        <v>0</v>
      </c>
      <c r="V14" s="171">
        <f t="shared" si="0"/>
        <v>0</v>
      </c>
      <c r="W14" s="171">
        <f t="shared" si="0"/>
        <v>0</v>
      </c>
      <c r="X14" s="171">
        <f t="shared" si="6"/>
        <v>0</v>
      </c>
      <c r="Y14" s="8"/>
      <c r="Z14" s="8"/>
      <c r="AA14" s="8"/>
      <c r="AB14" s="8"/>
      <c r="AC14" s="8"/>
      <c r="AD14" s="8"/>
      <c r="AE14" s="171">
        <f t="shared" si="7"/>
        <v>0</v>
      </c>
      <c r="AF14" s="171">
        <f t="shared" si="8"/>
        <v>0</v>
      </c>
      <c r="AG14" s="171">
        <f t="shared" si="1"/>
        <v>0</v>
      </c>
      <c r="AH14" s="171">
        <f t="shared" si="1"/>
        <v>0</v>
      </c>
      <c r="AI14" s="171">
        <f t="shared" si="1"/>
        <v>0</v>
      </c>
      <c r="AJ14" s="171">
        <f t="shared" si="9"/>
        <v>0</v>
      </c>
      <c r="AK14" s="9"/>
    </row>
    <row r="15" spans="1:37" s="10" customFormat="1" ht="19.95" customHeight="1">
      <c r="A15" s="6"/>
      <c r="B15" s="7"/>
      <c r="C15" s="7"/>
      <c r="D15" s="8"/>
      <c r="E15" s="8"/>
      <c r="F15" s="8"/>
      <c r="G15" s="8"/>
      <c r="H15" s="8"/>
      <c r="I15" s="171">
        <f t="shared" si="2"/>
        <v>0</v>
      </c>
      <c r="J15" s="8"/>
      <c r="K15" s="8"/>
      <c r="L15" s="8"/>
      <c r="M15" s="8"/>
      <c r="N15" s="171">
        <f t="shared" si="3"/>
        <v>0</v>
      </c>
      <c r="O15" s="8"/>
      <c r="P15" s="8"/>
      <c r="Q15" s="8"/>
      <c r="R15" s="8"/>
      <c r="S15" s="171">
        <f t="shared" si="4"/>
        <v>0</v>
      </c>
      <c r="T15" s="171">
        <f t="shared" si="5"/>
        <v>0</v>
      </c>
      <c r="U15" s="171">
        <f t="shared" si="0"/>
        <v>0</v>
      </c>
      <c r="V15" s="171">
        <f t="shared" si="0"/>
        <v>0</v>
      </c>
      <c r="W15" s="171">
        <f t="shared" si="0"/>
        <v>0</v>
      </c>
      <c r="X15" s="171">
        <f t="shared" si="6"/>
        <v>0</v>
      </c>
      <c r="Y15" s="8"/>
      <c r="Z15" s="8"/>
      <c r="AA15" s="8"/>
      <c r="AB15" s="8"/>
      <c r="AC15" s="8"/>
      <c r="AD15" s="8"/>
      <c r="AE15" s="171">
        <f t="shared" si="7"/>
        <v>0</v>
      </c>
      <c r="AF15" s="171">
        <f t="shared" si="8"/>
        <v>0</v>
      </c>
      <c r="AG15" s="171">
        <f t="shared" si="1"/>
        <v>0</v>
      </c>
      <c r="AH15" s="171">
        <f t="shared" si="1"/>
        <v>0</v>
      </c>
      <c r="AI15" s="171">
        <f t="shared" si="1"/>
        <v>0</v>
      </c>
      <c r="AJ15" s="171">
        <f t="shared" si="9"/>
        <v>0</v>
      </c>
      <c r="AK15" s="9"/>
    </row>
    <row r="16" spans="1:37" s="10" customFormat="1" ht="19.95" customHeight="1">
      <c r="A16" s="6"/>
      <c r="B16" s="7"/>
      <c r="C16" s="7"/>
      <c r="D16" s="8"/>
      <c r="E16" s="8"/>
      <c r="F16" s="8"/>
      <c r="G16" s="8"/>
      <c r="H16" s="8"/>
      <c r="I16" s="171">
        <f t="shared" si="2"/>
        <v>0</v>
      </c>
      <c r="J16" s="8"/>
      <c r="K16" s="8"/>
      <c r="L16" s="8"/>
      <c r="M16" s="8"/>
      <c r="N16" s="171">
        <f t="shared" si="3"/>
        <v>0</v>
      </c>
      <c r="O16" s="8"/>
      <c r="P16" s="8"/>
      <c r="Q16" s="8"/>
      <c r="R16" s="8"/>
      <c r="S16" s="171">
        <f t="shared" si="4"/>
        <v>0</v>
      </c>
      <c r="T16" s="171">
        <f t="shared" si="5"/>
        <v>0</v>
      </c>
      <c r="U16" s="171">
        <f t="shared" si="0"/>
        <v>0</v>
      </c>
      <c r="V16" s="171">
        <f t="shared" si="0"/>
        <v>0</v>
      </c>
      <c r="W16" s="171">
        <f t="shared" si="0"/>
        <v>0</v>
      </c>
      <c r="X16" s="171">
        <f t="shared" si="6"/>
        <v>0</v>
      </c>
      <c r="Y16" s="8"/>
      <c r="Z16" s="8"/>
      <c r="AA16" s="8"/>
      <c r="AB16" s="8"/>
      <c r="AC16" s="8"/>
      <c r="AD16" s="8"/>
      <c r="AE16" s="171">
        <f t="shared" si="7"/>
        <v>0</v>
      </c>
      <c r="AF16" s="171">
        <f t="shared" si="8"/>
        <v>0</v>
      </c>
      <c r="AG16" s="171">
        <f t="shared" si="1"/>
        <v>0</v>
      </c>
      <c r="AH16" s="171">
        <f t="shared" si="1"/>
        <v>0</v>
      </c>
      <c r="AI16" s="171">
        <f t="shared" si="1"/>
        <v>0</v>
      </c>
      <c r="AJ16" s="171">
        <f t="shared" si="9"/>
        <v>0</v>
      </c>
      <c r="AK16" s="9"/>
    </row>
    <row r="17" spans="1:37" s="10" customFormat="1" ht="19.95" customHeight="1">
      <c r="A17" s="6"/>
      <c r="B17" s="7"/>
      <c r="C17" s="7"/>
      <c r="D17" s="8"/>
      <c r="E17" s="8"/>
      <c r="F17" s="8"/>
      <c r="G17" s="8"/>
      <c r="H17" s="8"/>
      <c r="I17" s="171">
        <f t="shared" si="2"/>
        <v>0</v>
      </c>
      <c r="J17" s="8"/>
      <c r="K17" s="8"/>
      <c r="L17" s="8"/>
      <c r="M17" s="8"/>
      <c r="N17" s="171">
        <f t="shared" si="3"/>
        <v>0</v>
      </c>
      <c r="O17" s="8"/>
      <c r="P17" s="8"/>
      <c r="Q17" s="8"/>
      <c r="R17" s="8"/>
      <c r="S17" s="171">
        <f t="shared" si="4"/>
        <v>0</v>
      </c>
      <c r="T17" s="171">
        <f t="shared" si="5"/>
        <v>0</v>
      </c>
      <c r="U17" s="171">
        <f t="shared" si="0"/>
        <v>0</v>
      </c>
      <c r="V17" s="171">
        <f t="shared" si="0"/>
        <v>0</v>
      </c>
      <c r="W17" s="171">
        <f t="shared" si="0"/>
        <v>0</v>
      </c>
      <c r="X17" s="171">
        <f t="shared" si="6"/>
        <v>0</v>
      </c>
      <c r="Y17" s="8"/>
      <c r="Z17" s="8"/>
      <c r="AA17" s="8"/>
      <c r="AB17" s="8"/>
      <c r="AC17" s="8"/>
      <c r="AD17" s="8"/>
      <c r="AE17" s="171">
        <f t="shared" si="7"/>
        <v>0</v>
      </c>
      <c r="AF17" s="171">
        <f t="shared" si="8"/>
        <v>0</v>
      </c>
      <c r="AG17" s="171">
        <f t="shared" si="1"/>
        <v>0</v>
      </c>
      <c r="AH17" s="171">
        <f t="shared" si="1"/>
        <v>0</v>
      </c>
      <c r="AI17" s="171">
        <f t="shared" si="1"/>
        <v>0</v>
      </c>
      <c r="AJ17" s="171">
        <f t="shared" si="9"/>
        <v>0</v>
      </c>
      <c r="AK17" s="9"/>
    </row>
    <row r="18" spans="1:37" s="10" customFormat="1" ht="19.95" customHeight="1">
      <c r="A18" s="6"/>
      <c r="B18" s="7"/>
      <c r="C18" s="7"/>
      <c r="D18" s="8"/>
      <c r="E18" s="8"/>
      <c r="F18" s="8"/>
      <c r="G18" s="8"/>
      <c r="H18" s="8"/>
      <c r="I18" s="171">
        <f t="shared" si="2"/>
        <v>0</v>
      </c>
      <c r="J18" s="8"/>
      <c r="K18" s="8"/>
      <c r="L18" s="8"/>
      <c r="M18" s="8"/>
      <c r="N18" s="171">
        <f t="shared" si="3"/>
        <v>0</v>
      </c>
      <c r="O18" s="8"/>
      <c r="P18" s="8"/>
      <c r="Q18" s="8"/>
      <c r="R18" s="8"/>
      <c r="S18" s="171">
        <f t="shared" si="4"/>
        <v>0</v>
      </c>
      <c r="T18" s="171">
        <f t="shared" si="5"/>
        <v>0</v>
      </c>
      <c r="U18" s="171">
        <f t="shared" si="0"/>
        <v>0</v>
      </c>
      <c r="V18" s="171">
        <f t="shared" si="0"/>
        <v>0</v>
      </c>
      <c r="W18" s="171">
        <f t="shared" si="0"/>
        <v>0</v>
      </c>
      <c r="X18" s="171">
        <f t="shared" si="6"/>
        <v>0</v>
      </c>
      <c r="Y18" s="8"/>
      <c r="Z18" s="8"/>
      <c r="AA18" s="8"/>
      <c r="AB18" s="8"/>
      <c r="AC18" s="8"/>
      <c r="AD18" s="8"/>
      <c r="AE18" s="171">
        <f t="shared" si="7"/>
        <v>0</v>
      </c>
      <c r="AF18" s="171">
        <f t="shared" si="8"/>
        <v>0</v>
      </c>
      <c r="AG18" s="171">
        <f t="shared" si="1"/>
        <v>0</v>
      </c>
      <c r="AH18" s="171">
        <f t="shared" si="1"/>
        <v>0</v>
      </c>
      <c r="AI18" s="171">
        <f t="shared" si="1"/>
        <v>0</v>
      </c>
      <c r="AJ18" s="171">
        <f t="shared" si="9"/>
        <v>0</v>
      </c>
      <c r="AK18" s="9"/>
    </row>
    <row r="19" spans="1:37" s="10" customFormat="1" ht="19.95" customHeight="1">
      <c r="A19" s="6"/>
      <c r="B19" s="7"/>
      <c r="C19" s="7"/>
      <c r="D19" s="8"/>
      <c r="E19" s="8"/>
      <c r="F19" s="8"/>
      <c r="G19" s="8"/>
      <c r="H19" s="8"/>
      <c r="I19" s="171">
        <f t="shared" si="2"/>
        <v>0</v>
      </c>
      <c r="J19" s="8"/>
      <c r="K19" s="8"/>
      <c r="L19" s="8"/>
      <c r="M19" s="8"/>
      <c r="N19" s="171">
        <f t="shared" si="3"/>
        <v>0</v>
      </c>
      <c r="O19" s="8"/>
      <c r="P19" s="8"/>
      <c r="Q19" s="8"/>
      <c r="R19" s="8"/>
      <c r="S19" s="171">
        <f t="shared" si="4"/>
        <v>0</v>
      </c>
      <c r="T19" s="171">
        <f t="shared" si="5"/>
        <v>0</v>
      </c>
      <c r="U19" s="171">
        <f t="shared" si="0"/>
        <v>0</v>
      </c>
      <c r="V19" s="171">
        <f t="shared" si="0"/>
        <v>0</v>
      </c>
      <c r="W19" s="171">
        <f t="shared" si="0"/>
        <v>0</v>
      </c>
      <c r="X19" s="171">
        <f t="shared" si="6"/>
        <v>0</v>
      </c>
      <c r="Y19" s="8"/>
      <c r="Z19" s="8"/>
      <c r="AA19" s="8"/>
      <c r="AB19" s="8"/>
      <c r="AC19" s="8"/>
      <c r="AD19" s="8"/>
      <c r="AE19" s="171">
        <f t="shared" si="7"/>
        <v>0</v>
      </c>
      <c r="AF19" s="171">
        <f t="shared" si="8"/>
        <v>0</v>
      </c>
      <c r="AG19" s="171">
        <f t="shared" si="1"/>
        <v>0</v>
      </c>
      <c r="AH19" s="171">
        <f t="shared" si="1"/>
        <v>0</v>
      </c>
      <c r="AI19" s="171">
        <f t="shared" si="1"/>
        <v>0</v>
      </c>
      <c r="AJ19" s="171">
        <f t="shared" si="9"/>
        <v>0</v>
      </c>
      <c r="AK19" s="9"/>
    </row>
    <row r="20" spans="1:37" s="10" customFormat="1" ht="19.95" customHeight="1">
      <c r="A20" s="6"/>
      <c r="B20" s="7"/>
      <c r="C20" s="7"/>
      <c r="D20" s="8"/>
      <c r="E20" s="8"/>
      <c r="F20" s="8"/>
      <c r="G20" s="8"/>
      <c r="H20" s="8"/>
      <c r="I20" s="171">
        <f t="shared" si="2"/>
        <v>0</v>
      </c>
      <c r="J20" s="8"/>
      <c r="K20" s="8"/>
      <c r="L20" s="8"/>
      <c r="M20" s="8"/>
      <c r="N20" s="171">
        <f t="shared" si="3"/>
        <v>0</v>
      </c>
      <c r="O20" s="8"/>
      <c r="P20" s="8"/>
      <c r="Q20" s="8"/>
      <c r="R20" s="8"/>
      <c r="S20" s="171">
        <f t="shared" si="4"/>
        <v>0</v>
      </c>
      <c r="T20" s="171">
        <f t="shared" si="5"/>
        <v>0</v>
      </c>
      <c r="U20" s="171">
        <f t="shared" si="0"/>
        <v>0</v>
      </c>
      <c r="V20" s="171">
        <f t="shared" si="0"/>
        <v>0</v>
      </c>
      <c r="W20" s="171">
        <f t="shared" si="0"/>
        <v>0</v>
      </c>
      <c r="X20" s="171">
        <f t="shared" si="6"/>
        <v>0</v>
      </c>
      <c r="Y20" s="8"/>
      <c r="Z20" s="8"/>
      <c r="AA20" s="8"/>
      <c r="AB20" s="8"/>
      <c r="AC20" s="8"/>
      <c r="AD20" s="8"/>
      <c r="AE20" s="171">
        <f t="shared" si="7"/>
        <v>0</v>
      </c>
      <c r="AF20" s="171">
        <f t="shared" si="8"/>
        <v>0</v>
      </c>
      <c r="AG20" s="171">
        <f t="shared" si="1"/>
        <v>0</v>
      </c>
      <c r="AH20" s="171">
        <f t="shared" si="1"/>
        <v>0</v>
      </c>
      <c r="AI20" s="171">
        <f t="shared" si="1"/>
        <v>0</v>
      </c>
      <c r="AJ20" s="171">
        <f t="shared" si="9"/>
        <v>0</v>
      </c>
      <c r="AK20" s="9"/>
    </row>
    <row r="21" spans="1:37" s="10" customFormat="1" ht="19.95" customHeight="1">
      <c r="A21" s="6"/>
      <c r="B21" s="7"/>
      <c r="C21" s="7"/>
      <c r="D21" s="8"/>
      <c r="E21" s="8"/>
      <c r="F21" s="8"/>
      <c r="G21" s="8"/>
      <c r="H21" s="8"/>
      <c r="I21" s="171">
        <f t="shared" si="2"/>
        <v>0</v>
      </c>
      <c r="J21" s="8"/>
      <c r="K21" s="8"/>
      <c r="L21" s="8"/>
      <c r="M21" s="8"/>
      <c r="N21" s="171">
        <f t="shared" si="3"/>
        <v>0</v>
      </c>
      <c r="O21" s="8"/>
      <c r="P21" s="8"/>
      <c r="Q21" s="8"/>
      <c r="R21" s="8"/>
      <c r="S21" s="171">
        <f t="shared" si="4"/>
        <v>0</v>
      </c>
      <c r="T21" s="171">
        <f t="shared" si="5"/>
        <v>0</v>
      </c>
      <c r="U21" s="171">
        <f t="shared" si="0"/>
        <v>0</v>
      </c>
      <c r="V21" s="171">
        <f t="shared" si="0"/>
        <v>0</v>
      </c>
      <c r="W21" s="171">
        <f t="shared" si="0"/>
        <v>0</v>
      </c>
      <c r="X21" s="171">
        <f t="shared" si="6"/>
        <v>0</v>
      </c>
      <c r="Y21" s="8"/>
      <c r="Z21" s="8"/>
      <c r="AA21" s="8"/>
      <c r="AB21" s="8"/>
      <c r="AC21" s="8"/>
      <c r="AD21" s="8"/>
      <c r="AE21" s="171">
        <f t="shared" si="7"/>
        <v>0</v>
      </c>
      <c r="AF21" s="171">
        <f t="shared" si="8"/>
        <v>0</v>
      </c>
      <c r="AG21" s="171">
        <f t="shared" si="1"/>
        <v>0</v>
      </c>
      <c r="AH21" s="171">
        <f t="shared" si="1"/>
        <v>0</v>
      </c>
      <c r="AI21" s="171">
        <f t="shared" si="1"/>
        <v>0</v>
      </c>
      <c r="AJ21" s="171">
        <f t="shared" si="9"/>
        <v>0</v>
      </c>
      <c r="AK21" s="9"/>
    </row>
    <row r="22" spans="1:37" s="10" customFormat="1" ht="19.95" customHeight="1">
      <c r="A22" s="6"/>
      <c r="B22" s="7"/>
      <c r="C22" s="7"/>
      <c r="D22" s="8"/>
      <c r="E22" s="8"/>
      <c r="F22" s="8"/>
      <c r="G22" s="8"/>
      <c r="H22" s="8"/>
      <c r="I22" s="171">
        <f t="shared" si="2"/>
        <v>0</v>
      </c>
      <c r="J22" s="8"/>
      <c r="K22" s="8"/>
      <c r="L22" s="8"/>
      <c r="M22" s="8"/>
      <c r="N22" s="171">
        <f t="shared" si="3"/>
        <v>0</v>
      </c>
      <c r="O22" s="8"/>
      <c r="P22" s="8"/>
      <c r="Q22" s="8"/>
      <c r="R22" s="8"/>
      <c r="S22" s="171">
        <f t="shared" si="4"/>
        <v>0</v>
      </c>
      <c r="T22" s="171">
        <f t="shared" si="5"/>
        <v>0</v>
      </c>
      <c r="U22" s="171">
        <f t="shared" si="0"/>
        <v>0</v>
      </c>
      <c r="V22" s="171">
        <f t="shared" si="0"/>
        <v>0</v>
      </c>
      <c r="W22" s="171">
        <f t="shared" si="0"/>
        <v>0</v>
      </c>
      <c r="X22" s="171">
        <f t="shared" si="6"/>
        <v>0</v>
      </c>
      <c r="Y22" s="8"/>
      <c r="Z22" s="8"/>
      <c r="AA22" s="8"/>
      <c r="AB22" s="8"/>
      <c r="AC22" s="8"/>
      <c r="AD22" s="8"/>
      <c r="AE22" s="171">
        <f t="shared" si="7"/>
        <v>0</v>
      </c>
      <c r="AF22" s="171">
        <f t="shared" si="8"/>
        <v>0</v>
      </c>
      <c r="AG22" s="171">
        <f t="shared" si="1"/>
        <v>0</v>
      </c>
      <c r="AH22" s="171">
        <f t="shared" si="1"/>
        <v>0</v>
      </c>
      <c r="AI22" s="171">
        <f t="shared" si="1"/>
        <v>0</v>
      </c>
      <c r="AJ22" s="171">
        <f t="shared" si="9"/>
        <v>0</v>
      </c>
      <c r="AK22" s="9"/>
    </row>
    <row r="23" spans="1:37" s="10" customFormat="1" ht="19.95" customHeight="1">
      <c r="A23" s="11"/>
      <c r="B23" s="12"/>
      <c r="C23" s="12"/>
      <c r="D23" s="13"/>
      <c r="E23" s="13"/>
      <c r="F23" s="13"/>
      <c r="G23" s="13"/>
      <c r="H23" s="13"/>
      <c r="I23" s="171">
        <f t="shared" si="2"/>
        <v>0</v>
      </c>
      <c r="J23" s="13"/>
      <c r="K23" s="13"/>
      <c r="L23" s="13"/>
      <c r="M23" s="13"/>
      <c r="N23" s="171">
        <f t="shared" si="3"/>
        <v>0</v>
      </c>
      <c r="O23" s="13"/>
      <c r="P23" s="13"/>
      <c r="Q23" s="13"/>
      <c r="R23" s="13"/>
      <c r="S23" s="171">
        <f t="shared" si="4"/>
        <v>0</v>
      </c>
      <c r="T23" s="171">
        <f t="shared" si="5"/>
        <v>0</v>
      </c>
      <c r="U23" s="171">
        <f t="shared" si="5"/>
        <v>0</v>
      </c>
      <c r="V23" s="171">
        <f t="shared" si="5"/>
        <v>0</v>
      </c>
      <c r="W23" s="171">
        <f t="shared" si="5"/>
        <v>0</v>
      </c>
      <c r="X23" s="171">
        <f t="shared" si="6"/>
        <v>0</v>
      </c>
      <c r="Y23" s="8"/>
      <c r="Z23" s="8"/>
      <c r="AA23" s="13"/>
      <c r="AB23" s="13"/>
      <c r="AC23" s="13"/>
      <c r="AD23" s="13"/>
      <c r="AE23" s="171">
        <f t="shared" si="7"/>
        <v>0</v>
      </c>
      <c r="AF23" s="171">
        <f t="shared" si="8"/>
        <v>0</v>
      </c>
      <c r="AG23" s="171">
        <f t="shared" si="8"/>
        <v>0</v>
      </c>
      <c r="AH23" s="171">
        <f t="shared" si="8"/>
        <v>0</v>
      </c>
      <c r="AI23" s="171">
        <f t="shared" si="8"/>
        <v>0</v>
      </c>
      <c r="AJ23" s="171">
        <f t="shared" si="9"/>
        <v>0</v>
      </c>
      <c r="AK23" s="14"/>
    </row>
    <row r="24" spans="1:37" s="10" customFormat="1" ht="19.95" customHeight="1">
      <c r="A24" s="11"/>
      <c r="B24" s="12"/>
      <c r="C24" s="12"/>
      <c r="D24" s="13"/>
      <c r="E24" s="13"/>
      <c r="F24" s="13"/>
      <c r="G24" s="13"/>
      <c r="H24" s="13"/>
      <c r="I24" s="171">
        <f t="shared" si="2"/>
        <v>0</v>
      </c>
      <c r="J24" s="13"/>
      <c r="K24" s="13"/>
      <c r="L24" s="13"/>
      <c r="M24" s="13"/>
      <c r="N24" s="171">
        <f t="shared" si="3"/>
        <v>0</v>
      </c>
      <c r="O24" s="13"/>
      <c r="P24" s="13"/>
      <c r="Q24" s="13"/>
      <c r="R24" s="13"/>
      <c r="S24" s="171">
        <f t="shared" si="4"/>
        <v>0</v>
      </c>
      <c r="T24" s="171">
        <f t="shared" si="5"/>
        <v>0</v>
      </c>
      <c r="U24" s="171">
        <f t="shared" si="5"/>
        <v>0</v>
      </c>
      <c r="V24" s="171">
        <f t="shared" si="5"/>
        <v>0</v>
      </c>
      <c r="W24" s="171">
        <f t="shared" si="5"/>
        <v>0</v>
      </c>
      <c r="X24" s="171">
        <f t="shared" si="6"/>
        <v>0</v>
      </c>
      <c r="Y24" s="8"/>
      <c r="Z24" s="8"/>
      <c r="AA24" s="13"/>
      <c r="AB24" s="13"/>
      <c r="AC24" s="13"/>
      <c r="AD24" s="13"/>
      <c r="AE24" s="171">
        <f t="shared" si="7"/>
        <v>0</v>
      </c>
      <c r="AF24" s="171">
        <f t="shared" si="8"/>
        <v>0</v>
      </c>
      <c r="AG24" s="171">
        <f t="shared" si="8"/>
        <v>0</v>
      </c>
      <c r="AH24" s="171">
        <f t="shared" si="8"/>
        <v>0</v>
      </c>
      <c r="AI24" s="171">
        <f t="shared" si="8"/>
        <v>0</v>
      </c>
      <c r="AJ24" s="171">
        <f t="shared" si="9"/>
        <v>0</v>
      </c>
      <c r="AK24" s="14"/>
    </row>
    <row r="25" spans="1:37" s="10" customFormat="1" ht="19.95" customHeight="1">
      <c r="A25" s="211" t="s">
        <v>193</v>
      </c>
      <c r="B25" s="212"/>
      <c r="C25" s="213"/>
      <c r="D25" s="108">
        <f t="shared" ref="D25:I25" si="10">SUM(D6:D24)</f>
        <v>0</v>
      </c>
      <c r="E25" s="108">
        <f t="shared" si="10"/>
        <v>0</v>
      </c>
      <c r="F25" s="108">
        <f t="shared" si="10"/>
        <v>0</v>
      </c>
      <c r="G25" s="108">
        <f t="shared" si="10"/>
        <v>0</v>
      </c>
      <c r="H25" s="108">
        <f t="shared" si="10"/>
        <v>0</v>
      </c>
      <c r="I25" s="108">
        <f t="shared" si="10"/>
        <v>0</v>
      </c>
      <c r="J25" s="108">
        <f t="shared" ref="J25:AJ25" si="11">SUM(J6:J24)</f>
        <v>0</v>
      </c>
      <c r="K25" s="108">
        <f t="shared" si="11"/>
        <v>0</v>
      </c>
      <c r="L25" s="108">
        <f t="shared" si="11"/>
        <v>0</v>
      </c>
      <c r="M25" s="108">
        <f t="shared" si="11"/>
        <v>0</v>
      </c>
      <c r="N25" s="108">
        <f t="shared" si="11"/>
        <v>0</v>
      </c>
      <c r="O25" s="108">
        <f t="shared" si="11"/>
        <v>0</v>
      </c>
      <c r="P25" s="108">
        <f t="shared" si="11"/>
        <v>0</v>
      </c>
      <c r="Q25" s="108">
        <f t="shared" si="11"/>
        <v>0</v>
      </c>
      <c r="R25" s="108">
        <f t="shared" si="11"/>
        <v>0</v>
      </c>
      <c r="S25" s="108">
        <f t="shared" si="11"/>
        <v>0</v>
      </c>
      <c r="T25" s="108">
        <f t="shared" si="11"/>
        <v>0</v>
      </c>
      <c r="U25" s="108">
        <f t="shared" si="11"/>
        <v>0</v>
      </c>
      <c r="V25" s="108">
        <f t="shared" si="11"/>
        <v>0</v>
      </c>
      <c r="W25" s="108">
        <f t="shared" si="11"/>
        <v>0</v>
      </c>
      <c r="X25" s="108">
        <f t="shared" si="11"/>
        <v>0</v>
      </c>
      <c r="Y25" s="108">
        <f t="shared" si="11"/>
        <v>0</v>
      </c>
      <c r="Z25" s="108">
        <f t="shared" si="11"/>
        <v>0</v>
      </c>
      <c r="AA25" s="108">
        <f t="shared" si="11"/>
        <v>0</v>
      </c>
      <c r="AB25" s="108">
        <f t="shared" si="11"/>
        <v>0</v>
      </c>
      <c r="AC25" s="108">
        <f t="shared" si="11"/>
        <v>0</v>
      </c>
      <c r="AD25" s="108">
        <f t="shared" si="11"/>
        <v>0</v>
      </c>
      <c r="AE25" s="108">
        <f t="shared" si="11"/>
        <v>0</v>
      </c>
      <c r="AF25" s="108">
        <f t="shared" si="11"/>
        <v>0</v>
      </c>
      <c r="AG25" s="108">
        <f t="shared" si="11"/>
        <v>0</v>
      </c>
      <c r="AH25" s="108">
        <f t="shared" si="11"/>
        <v>0</v>
      </c>
      <c r="AI25" s="108">
        <f t="shared" si="11"/>
        <v>0</v>
      </c>
      <c r="AJ25" s="108">
        <f t="shared" si="11"/>
        <v>0</v>
      </c>
      <c r="AK25" s="109"/>
    </row>
    <row r="26" spans="1:37" ht="19.95" customHeight="1"/>
    <row r="27" spans="1:37" ht="19.95" customHeight="1">
      <c r="A27" s="15" t="s">
        <v>191</v>
      </c>
      <c r="O27" s="15" t="s">
        <v>192</v>
      </c>
    </row>
    <row r="28" spans="1:37" ht="19.95" customHeight="1"/>
    <row r="29" spans="1:37" ht="19.95" customHeight="1">
      <c r="A29" s="15"/>
    </row>
    <row r="30" spans="1:37" ht="19.95" customHeight="1"/>
    <row r="31" spans="1:37" ht="19.95" customHeight="1">
      <c r="A31" s="16" t="s">
        <v>22</v>
      </c>
    </row>
    <row r="32" spans="1:37" ht="19.95" customHeight="1">
      <c r="A32" s="16" t="s">
        <v>23</v>
      </c>
    </row>
    <row r="33" spans="1:1" ht="19.95" customHeight="1">
      <c r="A33" s="17" t="s">
        <v>24</v>
      </c>
    </row>
    <row r="34" spans="1:1" ht="19.95" customHeight="1">
      <c r="A34" s="17" t="s">
        <v>25</v>
      </c>
    </row>
    <row r="35" spans="1:1" ht="19.95" customHeight="1">
      <c r="A35" s="17" t="s">
        <v>26</v>
      </c>
    </row>
    <row r="36" spans="1:1">
      <c r="A36" s="17" t="s">
        <v>27</v>
      </c>
    </row>
    <row r="37" spans="1:1">
      <c r="A37" s="17" t="s">
        <v>28</v>
      </c>
    </row>
    <row r="38" spans="1:1">
      <c r="A38" s="16" t="s">
        <v>29</v>
      </c>
    </row>
    <row r="39" spans="1:1">
      <c r="A39" s="16" t="s">
        <v>30</v>
      </c>
    </row>
    <row r="40" spans="1:1">
      <c r="A40" s="16" t="s">
        <v>31</v>
      </c>
    </row>
  </sheetData>
  <mergeCells count="16">
    <mergeCell ref="A25:C25"/>
    <mergeCell ref="A1:AK1"/>
    <mergeCell ref="A2:AK2"/>
    <mergeCell ref="A5:A6"/>
    <mergeCell ref="B5:B6"/>
    <mergeCell ref="C5:C6"/>
    <mergeCell ref="D5:D6"/>
    <mergeCell ref="E5:I5"/>
    <mergeCell ref="J5:N5"/>
    <mergeCell ref="O5:S5"/>
    <mergeCell ref="T5:X5"/>
    <mergeCell ref="Y5:Y6"/>
    <mergeCell ref="Z5:Z6"/>
    <mergeCell ref="AA5:AE5"/>
    <mergeCell ref="AF5:AJ5"/>
    <mergeCell ref="AK5:AK6"/>
  </mergeCells>
  <phoneticPr fontId="7" type="noConversion"/>
  <hyperlinks>
    <hyperlink ref="AK3" location="底稿目录!A1" display="底稿目录!A1"/>
  </hyperlinks>
  <pageMargins left="0.70866141732283472" right="0.70866141732283472" top="0.74803149606299213" bottom="0.74803149606299213" header="0.31496062992125984" footer="0.31496062992125984"/>
  <pageSetup paperSize="9" scale="38" orientation="landscape" blackAndWhite="1" r:id="rId1"/>
  <headerFooter>
    <oddFooter>&amp;C&amp;P/&amp;N</oddFooter>
  </headerFooter>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W37"/>
  <sheetViews>
    <sheetView view="pageBreakPreview" zoomScaleNormal="100" zoomScaleSheetLayoutView="100" workbookViewId="0">
      <selection activeCell="I37" sqref="I37"/>
    </sheetView>
  </sheetViews>
  <sheetFormatPr defaultRowHeight="15.6"/>
  <cols>
    <col min="1" max="1" width="13" style="1" customWidth="1"/>
    <col min="2" max="2" width="10.33203125" style="1" customWidth="1"/>
    <col min="3" max="3" width="9.77734375" style="1" customWidth="1"/>
    <col min="4" max="4" width="11.88671875" style="1" customWidth="1"/>
    <col min="5" max="5" width="11.109375" style="1" customWidth="1"/>
    <col min="6" max="6" width="13.109375" style="1" customWidth="1"/>
    <col min="7" max="7" width="10.109375" style="1" customWidth="1"/>
    <col min="8" max="8" width="9.44140625" style="1" customWidth="1"/>
    <col min="9" max="9" width="11" style="1" customWidth="1"/>
    <col min="10" max="10" width="11.5546875" style="1" customWidth="1"/>
    <col min="11" max="13" width="11.21875" style="1" customWidth="1"/>
    <col min="14" max="14" width="6.5546875" style="1" customWidth="1"/>
    <col min="15" max="15" width="11.88671875" style="1" customWidth="1"/>
    <col min="16" max="16" width="11.109375" style="1" customWidth="1"/>
    <col min="17" max="17" width="6.44140625" style="1" customWidth="1"/>
    <col min="18" max="18" width="7.109375" style="1" customWidth="1"/>
    <col min="19" max="19" width="9.44140625" style="1" customWidth="1"/>
    <col min="20" max="20" width="11" style="1" customWidth="1"/>
    <col min="21" max="21" width="7.6640625" style="1" customWidth="1"/>
    <col min="22" max="22" width="8.6640625" style="1" customWidth="1"/>
    <col min="23" max="23" width="5.88671875" style="1" customWidth="1"/>
    <col min="24" max="16384" width="8.88671875" style="1"/>
  </cols>
  <sheetData>
    <row r="1" spans="1:23" ht="19.95" customHeight="1">
      <c r="A1" s="231" t="s">
        <v>0</v>
      </c>
      <c r="B1" s="231"/>
      <c r="C1" s="231"/>
      <c r="D1" s="231"/>
      <c r="E1" s="231"/>
      <c r="F1" s="231"/>
      <c r="G1" s="231"/>
      <c r="H1" s="231"/>
      <c r="I1" s="231"/>
      <c r="J1" s="231"/>
      <c r="K1" s="231"/>
      <c r="L1" s="231"/>
      <c r="M1" s="231"/>
      <c r="N1" s="231"/>
      <c r="O1" s="231"/>
      <c r="P1" s="231"/>
      <c r="Q1" s="231"/>
      <c r="R1" s="231"/>
      <c r="S1" s="231"/>
      <c r="T1" s="231"/>
      <c r="U1" s="231"/>
      <c r="V1" s="231"/>
      <c r="W1" s="231"/>
    </row>
    <row r="2" spans="1:23" ht="19.95" customHeight="1">
      <c r="A2" s="232" t="s">
        <v>228</v>
      </c>
      <c r="B2" s="232"/>
      <c r="C2" s="232"/>
      <c r="D2" s="232"/>
      <c r="E2" s="232"/>
      <c r="F2" s="232"/>
      <c r="G2" s="232"/>
      <c r="H2" s="232"/>
      <c r="I2" s="232"/>
      <c r="J2" s="232"/>
      <c r="K2" s="232"/>
      <c r="L2" s="232"/>
      <c r="M2" s="232"/>
      <c r="N2" s="232"/>
      <c r="O2" s="232"/>
      <c r="P2" s="232"/>
      <c r="Q2" s="232"/>
      <c r="R2" s="232"/>
      <c r="S2" s="232"/>
      <c r="T2" s="232"/>
      <c r="U2" s="232"/>
      <c r="V2" s="232"/>
      <c r="W2" s="232"/>
    </row>
    <row r="3" spans="1:23" ht="19.95" customHeight="1">
      <c r="A3" s="18" t="str">
        <f>底稿目录!A2</f>
        <v>被审计单位：</v>
      </c>
      <c r="B3" s="18"/>
      <c r="C3" s="19"/>
      <c r="D3" s="18"/>
      <c r="E3" s="18"/>
      <c r="G3" s="18"/>
      <c r="I3" s="18" t="str">
        <f>底稿目录!A4</f>
        <v>编制人：</v>
      </c>
      <c r="J3" s="20"/>
      <c r="K3" s="20"/>
      <c r="L3" s="20"/>
      <c r="M3" s="20"/>
      <c r="N3" s="20"/>
      <c r="P3" s="18" t="str">
        <f>底稿目录!A5</f>
        <v>编制日期：</v>
      </c>
      <c r="Q3" s="18"/>
      <c r="R3" s="18"/>
      <c r="S3" s="18"/>
      <c r="U3" s="18" t="s">
        <v>32</v>
      </c>
      <c r="V3" s="145" t="str">
        <f>底稿目录!F5</f>
        <v>F2-56</v>
      </c>
    </row>
    <row r="4" spans="1:23" ht="19.95" customHeight="1">
      <c r="A4" s="18" t="str">
        <f>底稿目录!A3</f>
        <v>截止日：</v>
      </c>
      <c r="B4" s="18"/>
      <c r="C4" s="19"/>
      <c r="D4" s="18"/>
      <c r="E4" s="18"/>
      <c r="G4" s="18"/>
      <c r="I4" s="18" t="str">
        <f>底稿目录!A6</f>
        <v>复核人：</v>
      </c>
      <c r="J4" s="20"/>
      <c r="K4" s="20"/>
      <c r="L4" s="20"/>
      <c r="M4" s="20"/>
      <c r="N4" s="20"/>
      <c r="P4" s="18" t="str">
        <f>底稿目录!A7</f>
        <v>复核日期：</v>
      </c>
      <c r="Q4" s="18"/>
      <c r="R4" s="18"/>
      <c r="S4" s="18"/>
      <c r="U4" s="18" t="s">
        <v>33</v>
      </c>
    </row>
    <row r="5" spans="1:23" ht="19.95" customHeight="1">
      <c r="A5" s="21" t="s">
        <v>34</v>
      </c>
      <c r="B5" s="21"/>
      <c r="C5" s="19"/>
      <c r="D5" s="18"/>
      <c r="E5" s="18"/>
      <c r="F5" s="18"/>
      <c r="G5" s="18"/>
      <c r="H5" s="18"/>
      <c r="I5" s="18"/>
      <c r="J5" s="20"/>
      <c r="K5" s="20"/>
      <c r="L5" s="20"/>
      <c r="M5" s="20"/>
      <c r="N5" s="20"/>
      <c r="O5" s="18"/>
      <c r="P5" s="18"/>
      <c r="Q5" s="18"/>
      <c r="R5" s="18"/>
      <c r="S5" s="18"/>
      <c r="T5" s="22"/>
      <c r="U5" s="18"/>
    </row>
    <row r="6" spans="1:23" ht="19.95" customHeight="1">
      <c r="A6" s="23" t="s">
        <v>194</v>
      </c>
      <c r="B6" s="23"/>
      <c r="C6" s="19"/>
      <c r="D6" s="18"/>
      <c r="E6" s="18"/>
      <c r="F6" s="18"/>
      <c r="G6" s="18"/>
      <c r="H6" s="18"/>
      <c r="I6" s="18"/>
      <c r="J6" s="20"/>
      <c r="K6" s="20"/>
      <c r="L6" s="20"/>
      <c r="M6" s="20"/>
      <c r="N6" s="20"/>
      <c r="O6" s="18"/>
      <c r="P6" s="18"/>
      <c r="Q6" s="18"/>
      <c r="R6" s="18"/>
      <c r="S6" s="18"/>
      <c r="T6" s="22"/>
      <c r="U6" s="18"/>
    </row>
    <row r="7" spans="1:23" ht="19.95" customHeight="1">
      <c r="A7" s="23" t="s">
        <v>195</v>
      </c>
      <c r="B7" s="23"/>
      <c r="C7" s="19"/>
      <c r="D7" s="18"/>
      <c r="E7" s="18"/>
      <c r="F7" s="18"/>
      <c r="G7" s="18"/>
      <c r="H7" s="18"/>
      <c r="I7" s="18"/>
      <c r="J7" s="20"/>
      <c r="K7" s="20"/>
      <c r="L7" s="20"/>
      <c r="M7" s="20"/>
      <c r="N7" s="20"/>
      <c r="O7" s="18"/>
      <c r="P7" s="18"/>
      <c r="Q7" s="18"/>
      <c r="R7" s="18"/>
      <c r="S7" s="18"/>
      <c r="T7" s="22"/>
      <c r="U7" s="18"/>
    </row>
    <row r="8" spans="1:23" ht="19.95" customHeight="1">
      <c r="A8" s="23" t="s">
        <v>196</v>
      </c>
      <c r="B8" s="23"/>
      <c r="C8" s="19"/>
      <c r="D8" s="18"/>
      <c r="E8" s="18"/>
      <c r="F8" s="18"/>
      <c r="G8" s="18"/>
      <c r="H8" s="18"/>
      <c r="I8" s="18"/>
      <c r="J8" s="20"/>
      <c r="K8" s="20"/>
      <c r="L8" s="20"/>
      <c r="M8" s="20"/>
      <c r="N8" s="20"/>
      <c r="O8" s="18"/>
      <c r="P8" s="18"/>
      <c r="Q8" s="18"/>
      <c r="R8" s="18"/>
      <c r="S8" s="18"/>
      <c r="T8" s="22"/>
      <c r="U8" s="18"/>
    </row>
    <row r="9" spans="1:23" ht="19.95" customHeight="1">
      <c r="A9" s="24" t="s">
        <v>35</v>
      </c>
      <c r="B9" s="24"/>
    </row>
    <row r="10" spans="1:23" ht="19.95" customHeight="1">
      <c r="A10" s="25" t="s">
        <v>36</v>
      </c>
      <c r="B10" s="26" t="s">
        <v>208</v>
      </c>
      <c r="C10" s="26"/>
      <c r="H10" s="25"/>
      <c r="I10" s="25"/>
      <c r="J10" s="25" t="s">
        <v>37</v>
      </c>
      <c r="K10" s="26" t="s">
        <v>215</v>
      </c>
      <c r="L10" s="26"/>
      <c r="M10" s="26"/>
      <c r="N10" s="26"/>
      <c r="P10" s="25"/>
      <c r="Q10" s="25"/>
      <c r="R10" s="25"/>
    </row>
    <row r="11" spans="1:23" ht="19.95" customHeight="1">
      <c r="A11" s="25" t="s">
        <v>38</v>
      </c>
      <c r="B11" s="26" t="s">
        <v>211</v>
      </c>
      <c r="C11" s="26"/>
      <c r="H11" s="25"/>
      <c r="I11" s="25"/>
      <c r="J11" s="25" t="s">
        <v>209</v>
      </c>
      <c r="K11" s="26"/>
      <c r="L11" s="26" t="s">
        <v>212</v>
      </c>
      <c r="N11" s="26" t="s">
        <v>210</v>
      </c>
      <c r="O11" s="26"/>
      <c r="P11" s="26"/>
      <c r="Q11" s="25"/>
      <c r="R11" s="25"/>
      <c r="W11" s="25"/>
    </row>
    <row r="12" spans="1:23" ht="19.95" customHeight="1">
      <c r="A12" s="25" t="s">
        <v>39</v>
      </c>
      <c r="B12" s="26" t="s">
        <v>261</v>
      </c>
      <c r="C12" s="26"/>
      <c r="H12" s="25"/>
      <c r="I12" s="25"/>
      <c r="J12" s="25" t="s">
        <v>213</v>
      </c>
      <c r="K12" s="26" t="s">
        <v>214</v>
      </c>
      <c r="L12" s="176"/>
      <c r="O12" s="25"/>
      <c r="P12" s="25"/>
      <c r="Q12" s="25"/>
      <c r="R12" s="25"/>
      <c r="S12" s="26"/>
      <c r="W12" s="25"/>
    </row>
    <row r="13" spans="1:23" ht="19.8" customHeight="1">
      <c r="A13" s="27" t="s">
        <v>40</v>
      </c>
      <c r="B13" s="27"/>
      <c r="C13" s="19"/>
      <c r="D13" s="18"/>
      <c r="E13" s="18"/>
      <c r="F13" s="18"/>
      <c r="G13" s="18"/>
      <c r="H13" s="18"/>
      <c r="I13" s="18"/>
      <c r="J13" s="20"/>
      <c r="K13" s="20"/>
      <c r="L13" s="20"/>
      <c r="M13" s="20"/>
      <c r="N13" s="20"/>
      <c r="O13" s="18"/>
      <c r="P13" s="18"/>
      <c r="Q13" s="18"/>
      <c r="R13" s="18"/>
      <c r="S13" s="18"/>
      <c r="T13" s="22"/>
      <c r="U13" s="18"/>
    </row>
    <row r="14" spans="1:23" ht="19.8" customHeight="1">
      <c r="A14" s="198" t="s">
        <v>252</v>
      </c>
      <c r="B14" s="27"/>
      <c r="C14" s="19"/>
      <c r="D14" s="18"/>
      <c r="E14" s="18"/>
      <c r="F14" s="18"/>
      <c r="G14" s="18"/>
      <c r="H14" s="18"/>
      <c r="I14" s="18"/>
      <c r="J14" s="20"/>
      <c r="K14" s="20"/>
      <c r="L14" s="20"/>
      <c r="M14" s="20"/>
      <c r="N14" s="20"/>
      <c r="O14" s="18"/>
      <c r="P14" s="18"/>
      <c r="Q14" s="18"/>
      <c r="R14" s="18"/>
      <c r="S14" s="18"/>
      <c r="T14" s="22"/>
      <c r="U14" s="18"/>
    </row>
    <row r="15" spans="1:23" s="28" customFormat="1" ht="19.95" customHeight="1">
      <c r="A15" s="233" t="s">
        <v>41</v>
      </c>
      <c r="B15" s="233" t="s">
        <v>42</v>
      </c>
      <c r="C15" s="234" t="s">
        <v>43</v>
      </c>
      <c r="D15" s="235"/>
      <c r="E15" s="235"/>
      <c r="F15" s="235"/>
      <c r="G15" s="236"/>
      <c r="H15" s="237" t="s">
        <v>44</v>
      </c>
      <c r="I15" s="238"/>
      <c r="J15" s="238"/>
      <c r="K15" s="239"/>
      <c r="L15" s="237" t="s">
        <v>45</v>
      </c>
      <c r="M15" s="238"/>
      <c r="N15" s="239"/>
      <c r="O15" s="240" t="s">
        <v>46</v>
      </c>
      <c r="P15" s="240"/>
      <c r="Q15" s="240"/>
      <c r="R15" s="237" t="s">
        <v>47</v>
      </c>
      <c r="S15" s="238"/>
      <c r="T15" s="239"/>
      <c r="U15" s="241" t="s">
        <v>48</v>
      </c>
      <c r="V15" s="229" t="s">
        <v>49</v>
      </c>
      <c r="W15" s="230" t="s">
        <v>50</v>
      </c>
    </row>
    <row r="16" spans="1:23" s="10" customFormat="1" ht="19.95" customHeight="1">
      <c r="A16" s="229"/>
      <c r="B16" s="229"/>
      <c r="C16" s="101" t="s">
        <v>51</v>
      </c>
      <c r="D16" s="101" t="s">
        <v>52</v>
      </c>
      <c r="E16" s="101" t="s">
        <v>53</v>
      </c>
      <c r="F16" s="101" t="s">
        <v>54</v>
      </c>
      <c r="G16" s="102" t="s">
        <v>55</v>
      </c>
      <c r="H16" s="29" t="s">
        <v>56</v>
      </c>
      <c r="I16" s="30" t="s">
        <v>57</v>
      </c>
      <c r="J16" s="29" t="s">
        <v>58</v>
      </c>
      <c r="K16" s="31" t="s">
        <v>59</v>
      </c>
      <c r="L16" s="29" t="s">
        <v>60</v>
      </c>
      <c r="M16" s="29" t="s">
        <v>61</v>
      </c>
      <c r="N16" s="31" t="s">
        <v>62</v>
      </c>
      <c r="O16" s="29" t="s">
        <v>56</v>
      </c>
      <c r="P16" s="29" t="s">
        <v>63</v>
      </c>
      <c r="Q16" s="29" t="s">
        <v>64</v>
      </c>
      <c r="R16" s="32" t="s">
        <v>65</v>
      </c>
      <c r="S16" s="33" t="s">
        <v>59</v>
      </c>
      <c r="T16" s="33" t="s">
        <v>66</v>
      </c>
      <c r="U16" s="241"/>
      <c r="V16" s="229"/>
      <c r="W16" s="230"/>
    </row>
    <row r="17" spans="1:23" s="46" customFormat="1" ht="19.95" customHeight="1">
      <c r="A17" s="34"/>
      <c r="B17" s="35"/>
      <c r="C17" s="34"/>
      <c r="D17" s="36"/>
      <c r="E17" s="36"/>
      <c r="F17" s="36"/>
      <c r="G17" s="256"/>
      <c r="H17" s="37"/>
      <c r="I17" s="38"/>
      <c r="J17" s="39"/>
      <c r="K17" s="40"/>
      <c r="L17" s="37"/>
      <c r="M17" s="41"/>
      <c r="N17" s="40"/>
      <c r="O17" s="37"/>
      <c r="P17" s="37"/>
      <c r="Q17" s="42"/>
      <c r="R17" s="43"/>
      <c r="S17" s="42"/>
      <c r="T17" s="37"/>
      <c r="U17" s="42"/>
      <c r="V17" s="44"/>
      <c r="W17" s="45"/>
    </row>
    <row r="18" spans="1:23" s="46" customFormat="1" ht="19.95" customHeight="1">
      <c r="A18" s="34"/>
      <c r="B18" s="35"/>
      <c r="C18" s="34"/>
      <c r="D18" s="36"/>
      <c r="E18" s="36"/>
      <c r="F18" s="36"/>
      <c r="G18" s="256"/>
      <c r="H18" s="37"/>
      <c r="I18" s="38"/>
      <c r="J18" s="39"/>
      <c r="K18" s="40"/>
      <c r="L18" s="37"/>
      <c r="M18" s="41"/>
      <c r="N18" s="40"/>
      <c r="O18" s="37"/>
      <c r="P18" s="37"/>
      <c r="Q18" s="42"/>
      <c r="R18" s="43"/>
      <c r="S18" s="42"/>
      <c r="T18" s="37"/>
      <c r="U18" s="42"/>
      <c r="V18" s="44"/>
      <c r="W18" s="45"/>
    </row>
    <row r="19" spans="1:23" s="46" customFormat="1" ht="19.95" customHeight="1">
      <c r="A19" s="34"/>
      <c r="B19" s="35"/>
      <c r="C19" s="34"/>
      <c r="D19" s="36"/>
      <c r="E19" s="36"/>
      <c r="F19" s="36"/>
      <c r="G19" s="256"/>
      <c r="H19" s="37"/>
      <c r="I19" s="38"/>
      <c r="J19" s="39"/>
      <c r="K19" s="40"/>
      <c r="L19" s="37"/>
      <c r="M19" s="41"/>
      <c r="N19" s="40"/>
      <c r="O19" s="37"/>
      <c r="P19" s="37"/>
      <c r="Q19" s="42"/>
      <c r="R19" s="43"/>
      <c r="S19" s="42"/>
      <c r="T19" s="37"/>
      <c r="U19" s="42"/>
      <c r="V19" s="44"/>
      <c r="W19" s="45"/>
    </row>
    <row r="20" spans="1:23" s="46" customFormat="1" ht="19.95" customHeight="1">
      <c r="A20" s="34"/>
      <c r="B20" s="35"/>
      <c r="C20" s="34"/>
      <c r="D20" s="36"/>
      <c r="E20" s="36"/>
      <c r="F20" s="36"/>
      <c r="G20" s="256"/>
      <c r="H20" s="37"/>
      <c r="I20" s="38"/>
      <c r="J20" s="39"/>
      <c r="K20" s="40"/>
      <c r="L20" s="37"/>
      <c r="M20" s="41"/>
      <c r="N20" s="40"/>
      <c r="O20" s="37"/>
      <c r="P20" s="37"/>
      <c r="Q20" s="42"/>
      <c r="R20" s="43"/>
      <c r="S20" s="42"/>
      <c r="T20" s="37"/>
      <c r="U20" s="42"/>
      <c r="V20" s="44"/>
      <c r="W20" s="45"/>
    </row>
    <row r="21" spans="1:23" s="46" customFormat="1" ht="19.95" customHeight="1">
      <c r="A21" s="34"/>
      <c r="B21" s="35"/>
      <c r="C21" s="34"/>
      <c r="D21" s="36"/>
      <c r="E21" s="36"/>
      <c r="F21" s="36"/>
      <c r="G21" s="256"/>
      <c r="H21" s="37"/>
      <c r="I21" s="38"/>
      <c r="J21" s="39"/>
      <c r="K21" s="40"/>
      <c r="L21" s="37"/>
      <c r="M21" s="41"/>
      <c r="N21" s="40"/>
      <c r="O21" s="37"/>
      <c r="P21" s="37"/>
      <c r="Q21" s="42"/>
      <c r="R21" s="43"/>
      <c r="S21" s="42"/>
      <c r="T21" s="37"/>
      <c r="U21" s="42"/>
      <c r="V21" s="44"/>
      <c r="W21" s="45"/>
    </row>
    <row r="22" spans="1:23" s="46" customFormat="1" ht="19.95" customHeight="1">
      <c r="A22" s="34"/>
      <c r="B22" s="35"/>
      <c r="C22" s="34"/>
      <c r="D22" s="36"/>
      <c r="E22" s="36"/>
      <c r="F22" s="36"/>
      <c r="G22" s="256"/>
      <c r="H22" s="37"/>
      <c r="I22" s="38"/>
      <c r="J22" s="39"/>
      <c r="K22" s="40"/>
      <c r="L22" s="37"/>
      <c r="M22" s="41"/>
      <c r="N22" s="40"/>
      <c r="O22" s="37"/>
      <c r="P22" s="37"/>
      <c r="Q22" s="42"/>
      <c r="R22" s="43"/>
      <c r="S22" s="42"/>
      <c r="T22" s="37"/>
      <c r="U22" s="42"/>
      <c r="V22" s="44"/>
      <c r="W22" s="45"/>
    </row>
    <row r="23" spans="1:23" s="46" customFormat="1" ht="19.95" customHeight="1">
      <c r="A23" s="34"/>
      <c r="B23" s="35"/>
      <c r="C23" s="34"/>
      <c r="D23" s="36"/>
      <c r="E23" s="36"/>
      <c r="F23" s="36"/>
      <c r="G23" s="256"/>
      <c r="H23" s="37"/>
      <c r="I23" s="38"/>
      <c r="J23" s="39"/>
      <c r="K23" s="40"/>
      <c r="L23" s="37"/>
      <c r="M23" s="41"/>
      <c r="N23" s="40"/>
      <c r="O23" s="37"/>
      <c r="P23" s="37"/>
      <c r="Q23" s="42"/>
      <c r="R23" s="43"/>
      <c r="S23" s="42"/>
      <c r="T23" s="37"/>
      <c r="U23" s="42"/>
      <c r="V23" s="44"/>
      <c r="W23" s="45"/>
    </row>
    <row r="24" spans="1:23" s="46" customFormat="1" ht="19.95" customHeight="1">
      <c r="A24" s="34"/>
      <c r="B24" s="35"/>
      <c r="C24" s="34"/>
      <c r="D24" s="36"/>
      <c r="E24" s="36"/>
      <c r="F24" s="36"/>
      <c r="G24" s="256"/>
      <c r="H24" s="37"/>
      <c r="I24" s="38"/>
      <c r="J24" s="39"/>
      <c r="K24" s="40"/>
      <c r="L24" s="37"/>
      <c r="M24" s="41"/>
      <c r="N24" s="40"/>
      <c r="O24" s="37"/>
      <c r="P24" s="37"/>
      <c r="Q24" s="42"/>
      <c r="R24" s="43"/>
      <c r="S24" s="42"/>
      <c r="T24" s="37"/>
      <c r="U24" s="42"/>
      <c r="V24" s="44"/>
      <c r="W24" s="45"/>
    </row>
    <row r="25" spans="1:23" s="46" customFormat="1" ht="19.95" customHeight="1">
      <c r="A25" s="34"/>
      <c r="B25" s="35"/>
      <c r="C25" s="34"/>
      <c r="D25" s="36"/>
      <c r="E25" s="36"/>
      <c r="F25" s="36"/>
      <c r="G25" s="256"/>
      <c r="H25" s="37"/>
      <c r="I25" s="38"/>
      <c r="J25" s="39"/>
      <c r="K25" s="40"/>
      <c r="L25" s="37"/>
      <c r="M25" s="41"/>
      <c r="N25" s="40"/>
      <c r="O25" s="37"/>
      <c r="P25" s="37"/>
      <c r="Q25" s="42"/>
      <c r="R25" s="43"/>
      <c r="S25" s="42"/>
      <c r="T25" s="37"/>
      <c r="U25" s="42"/>
      <c r="V25" s="44"/>
      <c r="W25" s="45"/>
    </row>
    <row r="26" spans="1:23" s="46" customFormat="1" ht="19.95" customHeight="1">
      <c r="A26" s="34"/>
      <c r="B26" s="34"/>
      <c r="C26" s="34"/>
      <c r="D26" s="36"/>
      <c r="E26" s="36"/>
      <c r="F26" s="36"/>
      <c r="G26" s="255"/>
      <c r="H26" s="34"/>
      <c r="I26" s="34"/>
      <c r="J26" s="47"/>
      <c r="K26" s="48"/>
      <c r="L26" s="48"/>
      <c r="M26" s="48"/>
      <c r="N26" s="49"/>
      <c r="O26" s="37"/>
      <c r="P26" s="37"/>
      <c r="Q26" s="37"/>
      <c r="R26" s="37"/>
      <c r="S26" s="42"/>
      <c r="T26" s="37"/>
      <c r="U26" s="37"/>
      <c r="V26" s="50"/>
      <c r="W26" s="45"/>
    </row>
    <row r="27" spans="1:23" s="46" customFormat="1" ht="19.95" customHeight="1">
      <c r="A27" s="34"/>
      <c r="B27" s="34"/>
      <c r="C27" s="34"/>
      <c r="D27" s="36"/>
      <c r="E27" s="36"/>
      <c r="F27" s="36"/>
      <c r="G27" s="255"/>
      <c r="H27" s="34"/>
      <c r="I27" s="34"/>
      <c r="J27" s="47"/>
      <c r="K27" s="48"/>
      <c r="L27" s="48"/>
      <c r="M27" s="48"/>
      <c r="N27" s="49"/>
      <c r="O27" s="37"/>
      <c r="P27" s="37"/>
      <c r="Q27" s="37"/>
      <c r="R27" s="37"/>
      <c r="S27" s="42"/>
      <c r="T27" s="37"/>
      <c r="U27" s="37"/>
      <c r="V27" s="50"/>
      <c r="W27" s="45"/>
    </row>
    <row r="28" spans="1:23" s="46" customFormat="1" ht="19.95" customHeight="1">
      <c r="A28" s="34"/>
      <c r="B28" s="34"/>
      <c r="C28" s="34"/>
      <c r="D28" s="36"/>
      <c r="E28" s="36"/>
      <c r="F28" s="36"/>
      <c r="G28" s="255"/>
      <c r="H28" s="34"/>
      <c r="I28" s="34"/>
      <c r="J28" s="47"/>
      <c r="K28" s="48"/>
      <c r="L28" s="48"/>
      <c r="M28" s="48"/>
      <c r="N28" s="49"/>
      <c r="O28" s="37"/>
      <c r="P28" s="37"/>
      <c r="Q28" s="37"/>
      <c r="R28" s="37"/>
      <c r="S28" s="42"/>
      <c r="T28" s="37"/>
      <c r="U28" s="37"/>
      <c r="V28" s="50"/>
      <c r="W28" s="45"/>
    </row>
    <row r="29" spans="1:23" s="46" customFormat="1" ht="19.95" customHeight="1">
      <c r="A29" s="34"/>
      <c r="B29" s="34"/>
      <c r="C29" s="34"/>
      <c r="D29" s="36"/>
      <c r="E29" s="36"/>
      <c r="F29" s="36"/>
      <c r="G29" s="255"/>
      <c r="H29" s="36"/>
      <c r="I29" s="36"/>
      <c r="J29" s="47"/>
      <c r="K29" s="48"/>
      <c r="L29" s="48"/>
      <c r="M29" s="48"/>
      <c r="N29" s="49"/>
      <c r="O29" s="37"/>
      <c r="P29" s="37"/>
      <c r="Q29" s="37"/>
      <c r="R29" s="37"/>
      <c r="S29" s="42"/>
      <c r="T29" s="37"/>
      <c r="U29" s="37"/>
      <c r="V29" s="50"/>
      <c r="W29" s="45"/>
    </row>
    <row r="30" spans="1:23" s="46" customFormat="1" ht="19.95" customHeight="1">
      <c r="A30" s="34"/>
      <c r="B30" s="34"/>
      <c r="C30" s="34"/>
      <c r="D30" s="36"/>
      <c r="E30" s="36"/>
      <c r="F30" s="36"/>
      <c r="G30" s="255"/>
      <c r="H30" s="36"/>
      <c r="I30" s="36"/>
      <c r="J30" s="47"/>
      <c r="K30" s="48"/>
      <c r="L30" s="48"/>
      <c r="M30" s="48"/>
      <c r="N30" s="49"/>
      <c r="O30" s="37"/>
      <c r="P30" s="37"/>
      <c r="Q30" s="37"/>
      <c r="R30" s="37"/>
      <c r="S30" s="42"/>
      <c r="T30" s="37"/>
      <c r="U30" s="37"/>
      <c r="V30" s="50"/>
      <c r="W30" s="45"/>
    </row>
    <row r="31" spans="1:23" s="46" customFormat="1" ht="19.95" customHeight="1">
      <c r="A31" s="34"/>
      <c r="B31" s="34"/>
      <c r="C31" s="34"/>
      <c r="D31" s="36"/>
      <c r="E31" s="36"/>
      <c r="F31" s="36"/>
      <c r="G31" s="255"/>
      <c r="H31" s="36"/>
      <c r="I31" s="36"/>
      <c r="J31" s="47"/>
      <c r="K31" s="48"/>
      <c r="L31" s="48"/>
      <c r="M31" s="48"/>
      <c r="N31" s="49"/>
      <c r="O31" s="37"/>
      <c r="P31" s="37"/>
      <c r="Q31" s="37"/>
      <c r="R31" s="37"/>
      <c r="S31" s="42"/>
      <c r="T31" s="37"/>
      <c r="U31" s="37"/>
      <c r="V31" s="50"/>
      <c r="W31" s="45"/>
    </row>
    <row r="32" spans="1:23" s="51" customFormat="1" ht="19.95" customHeight="1">
      <c r="A32" s="103" t="s">
        <v>67</v>
      </c>
      <c r="B32" s="103"/>
      <c r="C32" s="103"/>
      <c r="D32" s="104"/>
      <c r="E32" s="104"/>
      <c r="F32" s="104"/>
      <c r="G32" s="105">
        <f>SUM(G17:G31)</f>
        <v>0</v>
      </c>
      <c r="H32" s="106"/>
      <c r="I32" s="106"/>
      <c r="J32" s="106"/>
      <c r="K32" s="105">
        <f>SUM(K17:K31)</f>
        <v>0</v>
      </c>
      <c r="L32" s="106"/>
      <c r="M32" s="106"/>
      <c r="N32" s="106"/>
      <c r="O32" s="106"/>
      <c r="P32" s="106"/>
      <c r="Q32" s="106"/>
      <c r="R32" s="106"/>
      <c r="S32" s="105">
        <f>SUM(S17:S31)</f>
        <v>0</v>
      </c>
      <c r="T32" s="106"/>
      <c r="U32" s="106"/>
      <c r="V32" s="106"/>
      <c r="W32" s="107"/>
    </row>
    <row r="33" spans="1:18">
      <c r="A33" s="27" t="s">
        <v>68</v>
      </c>
      <c r="B33" s="27"/>
      <c r="J33" s="52"/>
      <c r="M33" s="52"/>
      <c r="O33" s="172"/>
      <c r="P33" s="173"/>
      <c r="Q33" s="172"/>
      <c r="R33" s="173"/>
    </row>
    <row r="34" spans="1:18">
      <c r="A34" s="53" t="s">
        <v>262</v>
      </c>
      <c r="B34" s="53"/>
      <c r="C34" s="252" t="s">
        <v>266</v>
      </c>
      <c r="D34" s="252" t="s">
        <v>263</v>
      </c>
      <c r="E34" s="252" t="s">
        <v>264</v>
      </c>
      <c r="F34" s="252" t="s">
        <v>265</v>
      </c>
      <c r="G34" s="257" t="s">
        <v>268</v>
      </c>
      <c r="O34" s="172"/>
      <c r="P34" s="173"/>
      <c r="Q34" s="172"/>
      <c r="R34" s="173"/>
    </row>
    <row r="35" spans="1:18" ht="16.2">
      <c r="A35" s="53"/>
      <c r="B35" s="53"/>
      <c r="C35" s="252" t="s">
        <v>267</v>
      </c>
      <c r="D35" s="254">
        <f>'合同履约成本构成明细表F2-55'!N25</f>
        <v>0</v>
      </c>
      <c r="E35" s="254">
        <f>G32</f>
        <v>0</v>
      </c>
      <c r="F35" s="253" t="e">
        <f>E35/D35</f>
        <v>#DIV/0!</v>
      </c>
      <c r="O35" s="172"/>
      <c r="P35" s="173"/>
      <c r="Q35" s="172"/>
      <c r="R35" s="173"/>
    </row>
    <row r="36" spans="1:18">
      <c r="A36" s="54"/>
      <c r="B36" s="54"/>
      <c r="O36" s="172"/>
      <c r="P36" s="173"/>
      <c r="Q36" s="173"/>
      <c r="R36" s="173"/>
    </row>
    <row r="37" spans="1:18">
      <c r="A37" s="55" t="s">
        <v>69</v>
      </c>
      <c r="B37" s="55"/>
    </row>
  </sheetData>
  <mergeCells count="12">
    <mergeCell ref="V15:V16"/>
    <mergeCell ref="W15:W16"/>
    <mergeCell ref="A1:W1"/>
    <mergeCell ref="A2:W2"/>
    <mergeCell ref="A15:A16"/>
    <mergeCell ref="B15:B16"/>
    <mergeCell ref="C15:G15"/>
    <mergeCell ref="H15:K15"/>
    <mergeCell ref="L15:N15"/>
    <mergeCell ref="O15:Q15"/>
    <mergeCell ref="R15:T15"/>
    <mergeCell ref="U15:U16"/>
  </mergeCells>
  <phoneticPr fontId="7" type="noConversion"/>
  <hyperlinks>
    <hyperlink ref="V3" location="底稿目录!A1" display="底稿目录!A1"/>
  </hyperlinks>
  <pageMargins left="0.70866141732283472" right="0.70866141732283472" top="0.74803149606299213" bottom="0.74803149606299213" header="0.31496062992125984" footer="0.31496062992125984"/>
  <pageSetup paperSize="9" scale="55" orientation="landscape" blackAndWhite="1" r:id="rId1"/>
  <headerFooter>
    <oddFooter>&amp;C&amp;P/&amp;N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N30"/>
  <sheetViews>
    <sheetView view="pageBreakPreview" topLeftCell="A13" zoomScaleNormal="100" zoomScaleSheetLayoutView="100" workbookViewId="0">
      <selection activeCell="A26" sqref="A26:L26"/>
    </sheetView>
  </sheetViews>
  <sheetFormatPr defaultRowHeight="15.6"/>
  <cols>
    <col min="1" max="1" width="11.109375" style="1" customWidth="1"/>
    <col min="2" max="2" width="15.77734375" style="1" customWidth="1"/>
    <col min="3" max="5" width="8.88671875" style="1"/>
    <col min="6" max="6" width="17.33203125" style="1" customWidth="1"/>
    <col min="7" max="7" width="13.44140625" style="1" customWidth="1"/>
    <col min="8" max="8" width="11.33203125" style="1" customWidth="1"/>
    <col min="9" max="9" width="8.44140625" style="1" customWidth="1"/>
    <col min="10" max="10" width="13.33203125" style="1" customWidth="1"/>
    <col min="11" max="11" width="11.33203125" style="1" customWidth="1"/>
    <col min="12" max="16384" width="8.88671875" style="1"/>
  </cols>
  <sheetData>
    <row r="1" spans="1:14" ht="19.95" customHeight="1">
      <c r="A1" s="243" t="s">
        <v>0</v>
      </c>
      <c r="B1" s="243"/>
      <c r="C1" s="243"/>
      <c r="D1" s="243"/>
      <c r="E1" s="243"/>
      <c r="F1" s="243"/>
      <c r="G1" s="243"/>
      <c r="H1" s="243"/>
      <c r="I1" s="243"/>
      <c r="J1" s="243"/>
      <c r="K1" s="243"/>
      <c r="L1" s="243"/>
      <c r="M1" s="177"/>
      <c r="N1" s="177"/>
    </row>
    <row r="2" spans="1:14" ht="19.95" customHeight="1">
      <c r="A2" s="244" t="s">
        <v>230</v>
      </c>
      <c r="B2" s="244"/>
      <c r="C2" s="244"/>
      <c r="D2" s="244"/>
      <c r="E2" s="244"/>
      <c r="F2" s="244"/>
      <c r="G2" s="244"/>
      <c r="H2" s="244"/>
      <c r="I2" s="244"/>
      <c r="J2" s="244"/>
      <c r="K2" s="244"/>
      <c r="L2" s="244"/>
      <c r="M2" s="178"/>
      <c r="N2" s="178"/>
    </row>
    <row r="3" spans="1:14" s="195" customFormat="1" ht="19.95" customHeight="1">
      <c r="A3" s="88" t="str">
        <f>底稿目录!A2</f>
        <v>被审计单位：</v>
      </c>
      <c r="B3" s="192"/>
      <c r="C3" s="193"/>
      <c r="D3" s="193"/>
      <c r="E3" s="193"/>
      <c r="F3" s="18" t="str">
        <f>底稿目录!A4</f>
        <v>编制人：</v>
      </c>
      <c r="G3" s="194"/>
      <c r="H3" s="18" t="str">
        <f>底稿目录!A5</f>
        <v>编制日期：</v>
      </c>
      <c r="J3" s="193"/>
      <c r="K3" s="193" t="s">
        <v>238</v>
      </c>
      <c r="L3" s="145" t="str">
        <f>底稿目录!F6</f>
        <v>F2-57</v>
      </c>
    </row>
    <row r="4" spans="1:14" s="195" customFormat="1" ht="19.95" customHeight="1">
      <c r="A4" s="88" t="str">
        <f>底稿目录!A3</f>
        <v>截止日：</v>
      </c>
      <c r="B4" s="192"/>
      <c r="C4" s="193"/>
      <c r="D4" s="193"/>
      <c r="E4" s="193"/>
      <c r="F4" s="18" t="str">
        <f>底稿目录!A6</f>
        <v>复核人：</v>
      </c>
      <c r="G4" s="194"/>
      <c r="H4" s="18" t="str">
        <f>底稿目录!A7</f>
        <v>复核日期：</v>
      </c>
      <c r="J4" s="193"/>
      <c r="K4" s="193" t="s">
        <v>239</v>
      </c>
      <c r="L4" s="196"/>
    </row>
    <row r="5" spans="1:14" s="180" customFormat="1" ht="39" customHeight="1">
      <c r="A5" s="258" t="s">
        <v>108</v>
      </c>
      <c r="B5" s="258" t="s">
        <v>109</v>
      </c>
      <c r="C5" s="258" t="s">
        <v>110</v>
      </c>
      <c r="D5" s="258" t="s">
        <v>111</v>
      </c>
      <c r="E5" s="259" t="s">
        <v>112</v>
      </c>
      <c r="F5" s="258" t="s">
        <v>113</v>
      </c>
      <c r="G5" s="258" t="s">
        <v>114</v>
      </c>
      <c r="H5" s="258" t="s">
        <v>115</v>
      </c>
      <c r="I5" s="258" t="s">
        <v>116</v>
      </c>
      <c r="J5" s="260" t="s">
        <v>117</v>
      </c>
      <c r="K5" s="260" t="s">
        <v>118</v>
      </c>
      <c r="L5" s="258" t="s">
        <v>119</v>
      </c>
    </row>
    <row r="6" spans="1:14" s="180" customFormat="1" ht="19.95" customHeight="1">
      <c r="A6" s="181"/>
      <c r="B6" s="179"/>
      <c r="C6" s="184"/>
      <c r="D6" s="184"/>
      <c r="E6" s="185">
        <f t="shared" ref="E6:E17" si="0">C6-D6</f>
        <v>0</v>
      </c>
      <c r="F6" s="184"/>
      <c r="G6" s="184"/>
      <c r="H6" s="185">
        <f>F6-G6</f>
        <v>0</v>
      </c>
      <c r="I6" s="187" t="str">
        <f>IF(E6&gt;H6,"是","否")</f>
        <v>否</v>
      </c>
      <c r="J6" s="185">
        <f>IF(H6&gt;E6,IF((H6-E6)&gt;D6,-D6,-(H6-E6)),E6-H6)</f>
        <v>0</v>
      </c>
      <c r="K6" s="184"/>
      <c r="L6" s="185">
        <f>J6-K6</f>
        <v>0</v>
      </c>
    </row>
    <row r="7" spans="1:14" s="180" customFormat="1" ht="19.95" customHeight="1">
      <c r="A7" s="181"/>
      <c r="B7" s="179"/>
      <c r="C7" s="184"/>
      <c r="D7" s="184"/>
      <c r="E7" s="185">
        <f t="shared" si="0"/>
        <v>0</v>
      </c>
      <c r="F7" s="184"/>
      <c r="G7" s="184"/>
      <c r="H7" s="185">
        <f>F7-G7</f>
        <v>0</v>
      </c>
      <c r="I7" s="187" t="str">
        <f t="shared" ref="I7:I17" si="1">IF(E7&gt;H7,"是","否")</f>
        <v>否</v>
      </c>
      <c r="J7" s="185">
        <f t="shared" ref="J7:J17" si="2">IF(H7&gt;E7,IF((H7-E7)&gt;D7,-D7,-(H7-E7)),E7-H7)</f>
        <v>0</v>
      </c>
      <c r="K7" s="184"/>
      <c r="L7" s="185">
        <f>J7-K7</f>
        <v>0</v>
      </c>
    </row>
    <row r="8" spans="1:14" s="180" customFormat="1" ht="19.95" customHeight="1">
      <c r="A8" s="181"/>
      <c r="B8" s="179"/>
      <c r="C8" s="184"/>
      <c r="D8" s="184"/>
      <c r="E8" s="185">
        <f t="shared" si="0"/>
        <v>0</v>
      </c>
      <c r="F8" s="184"/>
      <c r="G8" s="184"/>
      <c r="H8" s="185">
        <f t="shared" ref="H8:H17" si="3">F8-G8</f>
        <v>0</v>
      </c>
      <c r="I8" s="187" t="str">
        <f t="shared" si="1"/>
        <v>否</v>
      </c>
      <c r="J8" s="185">
        <f t="shared" si="2"/>
        <v>0</v>
      </c>
      <c r="K8" s="184"/>
      <c r="L8" s="185">
        <f t="shared" ref="L8:L17" si="4">J8-K8</f>
        <v>0</v>
      </c>
    </row>
    <row r="9" spans="1:14" s="180" customFormat="1" ht="19.95" customHeight="1">
      <c r="A9" s="181"/>
      <c r="B9" s="179"/>
      <c r="C9" s="184"/>
      <c r="D9" s="184"/>
      <c r="E9" s="185">
        <f t="shared" si="0"/>
        <v>0</v>
      </c>
      <c r="F9" s="184"/>
      <c r="G9" s="184"/>
      <c r="H9" s="185">
        <f t="shared" si="3"/>
        <v>0</v>
      </c>
      <c r="I9" s="187" t="str">
        <f t="shared" si="1"/>
        <v>否</v>
      </c>
      <c r="J9" s="185">
        <f t="shared" si="2"/>
        <v>0</v>
      </c>
      <c r="K9" s="184"/>
      <c r="L9" s="185">
        <f t="shared" si="4"/>
        <v>0</v>
      </c>
    </row>
    <row r="10" spans="1:14" s="180" customFormat="1" ht="19.95" customHeight="1">
      <c r="A10" s="181"/>
      <c r="B10" s="179"/>
      <c r="C10" s="184"/>
      <c r="D10" s="184"/>
      <c r="E10" s="185">
        <f t="shared" si="0"/>
        <v>0</v>
      </c>
      <c r="F10" s="184"/>
      <c r="G10" s="184"/>
      <c r="H10" s="185">
        <f t="shared" si="3"/>
        <v>0</v>
      </c>
      <c r="I10" s="187" t="str">
        <f t="shared" si="1"/>
        <v>否</v>
      </c>
      <c r="J10" s="185">
        <f t="shared" si="2"/>
        <v>0</v>
      </c>
      <c r="K10" s="184"/>
      <c r="L10" s="185">
        <f t="shared" si="4"/>
        <v>0</v>
      </c>
    </row>
    <row r="11" spans="1:14" s="180" customFormat="1" ht="19.95" customHeight="1">
      <c r="A11" s="181"/>
      <c r="B11" s="179"/>
      <c r="C11" s="184"/>
      <c r="D11" s="184"/>
      <c r="E11" s="185">
        <f t="shared" si="0"/>
        <v>0</v>
      </c>
      <c r="F11" s="184"/>
      <c r="G11" s="184"/>
      <c r="H11" s="185">
        <f t="shared" si="3"/>
        <v>0</v>
      </c>
      <c r="I11" s="187" t="str">
        <f t="shared" si="1"/>
        <v>否</v>
      </c>
      <c r="J11" s="185">
        <f t="shared" si="2"/>
        <v>0</v>
      </c>
      <c r="K11" s="184"/>
      <c r="L11" s="185">
        <f t="shared" si="4"/>
        <v>0</v>
      </c>
    </row>
    <row r="12" spans="1:14" s="180" customFormat="1" ht="19.95" customHeight="1">
      <c r="A12" s="181"/>
      <c r="B12" s="179"/>
      <c r="C12" s="184"/>
      <c r="D12" s="184"/>
      <c r="E12" s="185">
        <f t="shared" si="0"/>
        <v>0</v>
      </c>
      <c r="F12" s="184"/>
      <c r="G12" s="184"/>
      <c r="H12" s="185">
        <f t="shared" si="3"/>
        <v>0</v>
      </c>
      <c r="I12" s="187" t="str">
        <f t="shared" si="1"/>
        <v>否</v>
      </c>
      <c r="J12" s="185">
        <f t="shared" si="2"/>
        <v>0</v>
      </c>
      <c r="K12" s="184"/>
      <c r="L12" s="185">
        <f t="shared" si="4"/>
        <v>0</v>
      </c>
    </row>
    <row r="13" spans="1:14" s="180" customFormat="1" ht="19.95" customHeight="1">
      <c r="A13" s="181"/>
      <c r="B13" s="179"/>
      <c r="C13" s="184"/>
      <c r="D13" s="184"/>
      <c r="E13" s="185">
        <f t="shared" si="0"/>
        <v>0</v>
      </c>
      <c r="F13" s="184"/>
      <c r="G13" s="184"/>
      <c r="H13" s="185">
        <f t="shared" si="3"/>
        <v>0</v>
      </c>
      <c r="I13" s="187" t="str">
        <f t="shared" si="1"/>
        <v>否</v>
      </c>
      <c r="J13" s="185">
        <f t="shared" si="2"/>
        <v>0</v>
      </c>
      <c r="K13" s="184"/>
      <c r="L13" s="185">
        <f t="shared" si="4"/>
        <v>0</v>
      </c>
    </row>
    <row r="14" spans="1:14" s="180" customFormat="1" ht="19.95" customHeight="1">
      <c r="A14" s="181"/>
      <c r="B14" s="179"/>
      <c r="C14" s="184"/>
      <c r="D14" s="184"/>
      <c r="E14" s="185">
        <f t="shared" si="0"/>
        <v>0</v>
      </c>
      <c r="F14" s="184"/>
      <c r="G14" s="184"/>
      <c r="H14" s="185">
        <f t="shared" si="3"/>
        <v>0</v>
      </c>
      <c r="I14" s="187" t="str">
        <f t="shared" si="1"/>
        <v>否</v>
      </c>
      <c r="J14" s="185">
        <f t="shared" si="2"/>
        <v>0</v>
      </c>
      <c r="K14" s="184"/>
      <c r="L14" s="185">
        <f t="shared" si="4"/>
        <v>0</v>
      </c>
    </row>
    <row r="15" spans="1:14" s="180" customFormat="1" ht="19.95" customHeight="1">
      <c r="A15" s="181"/>
      <c r="B15" s="179"/>
      <c r="C15" s="184"/>
      <c r="D15" s="184"/>
      <c r="E15" s="185">
        <f t="shared" si="0"/>
        <v>0</v>
      </c>
      <c r="F15" s="184"/>
      <c r="G15" s="184"/>
      <c r="H15" s="185">
        <f t="shared" si="3"/>
        <v>0</v>
      </c>
      <c r="I15" s="187" t="str">
        <f t="shared" si="1"/>
        <v>否</v>
      </c>
      <c r="J15" s="185">
        <f t="shared" si="2"/>
        <v>0</v>
      </c>
      <c r="K15" s="184"/>
      <c r="L15" s="185">
        <f t="shared" si="4"/>
        <v>0</v>
      </c>
    </row>
    <row r="16" spans="1:14" s="180" customFormat="1" ht="19.95" customHeight="1">
      <c r="A16" s="181"/>
      <c r="B16" s="179"/>
      <c r="C16" s="184"/>
      <c r="D16" s="184"/>
      <c r="E16" s="185">
        <f t="shared" si="0"/>
        <v>0</v>
      </c>
      <c r="F16" s="184"/>
      <c r="G16" s="184"/>
      <c r="H16" s="185">
        <f t="shared" si="3"/>
        <v>0</v>
      </c>
      <c r="I16" s="187" t="str">
        <f t="shared" si="1"/>
        <v>否</v>
      </c>
      <c r="J16" s="185">
        <f t="shared" si="2"/>
        <v>0</v>
      </c>
      <c r="K16" s="184"/>
      <c r="L16" s="185">
        <f t="shared" si="4"/>
        <v>0</v>
      </c>
    </row>
    <row r="17" spans="1:12" s="180" customFormat="1" ht="19.95" customHeight="1">
      <c r="A17" s="181"/>
      <c r="B17" s="179"/>
      <c r="C17" s="184"/>
      <c r="D17" s="184"/>
      <c r="E17" s="185">
        <f t="shared" si="0"/>
        <v>0</v>
      </c>
      <c r="F17" s="184"/>
      <c r="G17" s="184"/>
      <c r="H17" s="185">
        <f t="shared" si="3"/>
        <v>0</v>
      </c>
      <c r="I17" s="187" t="str">
        <f t="shared" si="1"/>
        <v>否</v>
      </c>
      <c r="J17" s="185">
        <f t="shared" si="2"/>
        <v>0</v>
      </c>
      <c r="K17" s="184"/>
      <c r="L17" s="185">
        <f t="shared" si="4"/>
        <v>0</v>
      </c>
    </row>
    <row r="18" spans="1:12" s="183" customFormat="1" ht="19.95" customHeight="1">
      <c r="A18" s="261" t="s">
        <v>120</v>
      </c>
      <c r="B18" s="262"/>
      <c r="C18" s="186">
        <f t="shared" ref="C18" si="5">SUM(C6:C17)</f>
        <v>0</v>
      </c>
      <c r="D18" s="186">
        <f t="shared" ref="D18:K18" si="6">SUM(D6:D17)</f>
        <v>0</v>
      </c>
      <c r="E18" s="186">
        <f>C18-D18</f>
        <v>0</v>
      </c>
      <c r="F18" s="186">
        <f t="shared" si="6"/>
        <v>0</v>
      </c>
      <c r="G18" s="186">
        <f t="shared" si="6"/>
        <v>0</v>
      </c>
      <c r="H18" s="186">
        <f t="shared" si="6"/>
        <v>0</v>
      </c>
      <c r="I18" s="188"/>
      <c r="J18" s="186">
        <f t="shared" si="6"/>
        <v>0</v>
      </c>
      <c r="K18" s="186">
        <f t="shared" si="6"/>
        <v>0</v>
      </c>
      <c r="L18" s="186">
        <f>SUM(L6:L17)</f>
        <v>0</v>
      </c>
    </row>
    <row r="19" spans="1:12" s="180" customFormat="1" ht="19.95" customHeight="1">
      <c r="A19" s="15" t="s">
        <v>191</v>
      </c>
    </row>
    <row r="20" spans="1:12" s="180" customFormat="1" ht="19.95" customHeight="1">
      <c r="A20" s="15"/>
      <c r="H20" s="182"/>
      <c r="J20" s="182"/>
    </row>
    <row r="21" spans="1:12" s="180" customFormat="1" ht="19.95" customHeight="1"/>
    <row r="22" spans="1:12" s="180" customFormat="1" ht="19.95" customHeight="1">
      <c r="A22" s="15" t="s">
        <v>192</v>
      </c>
    </row>
    <row r="23" spans="1:12" s="180" customFormat="1" ht="19.95" customHeight="1"/>
    <row r="24" spans="1:12" s="180" customFormat="1" ht="19.95" customHeight="1"/>
    <row r="25" spans="1:12" ht="19.95" customHeight="1">
      <c r="A25" s="189" t="s">
        <v>217</v>
      </c>
    </row>
    <row r="26" spans="1:12" ht="31.8" customHeight="1">
      <c r="A26" s="245" t="s">
        <v>223</v>
      </c>
      <c r="B26" s="245"/>
      <c r="C26" s="245"/>
      <c r="D26" s="245"/>
      <c r="E26" s="245"/>
      <c r="F26" s="245"/>
      <c r="G26" s="245"/>
      <c r="H26" s="245"/>
      <c r="I26" s="245"/>
      <c r="J26" s="245"/>
      <c r="K26" s="245"/>
      <c r="L26" s="245"/>
    </row>
    <row r="27" spans="1:12" ht="53.4" customHeight="1">
      <c r="A27" s="242" t="s">
        <v>224</v>
      </c>
      <c r="B27" s="242"/>
      <c r="C27" s="242"/>
      <c r="D27" s="242"/>
      <c r="E27" s="242"/>
      <c r="F27" s="242"/>
      <c r="G27" s="242"/>
      <c r="H27" s="242"/>
      <c r="I27" s="242"/>
      <c r="J27" s="242"/>
      <c r="K27" s="242"/>
      <c r="L27" s="242"/>
    </row>
    <row r="28" spans="1:12" ht="19.95" customHeight="1"/>
    <row r="29" spans="1:12" ht="19.95" customHeight="1"/>
    <row r="30" spans="1:12" ht="19.95" customHeight="1"/>
  </sheetData>
  <mergeCells count="5">
    <mergeCell ref="A27:L27"/>
    <mergeCell ref="A1:L1"/>
    <mergeCell ref="A2:L2"/>
    <mergeCell ref="A26:L26"/>
    <mergeCell ref="A18:B18"/>
  </mergeCells>
  <phoneticPr fontId="7" type="noConversion"/>
  <hyperlinks>
    <hyperlink ref="L3" location="底稿目录!A1" display="底稿目录!A1"/>
  </hyperlinks>
  <pageMargins left="0.70866141732283472" right="0.70866141732283472" top="0.74803149606299213" bottom="0.74803149606299213" header="0.31496062992125984" footer="0.31496062992125984"/>
  <pageSetup paperSize="9" scale="90" orientation="landscape" blackAndWhite="1" r:id="rId1"/>
  <headerFooter>
    <oddFooter>&amp;C&amp;P/&amp;N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A1:O26"/>
  <sheetViews>
    <sheetView view="pageBreakPreview" zoomScaleNormal="100" zoomScaleSheetLayoutView="100" workbookViewId="0">
      <selection activeCell="I7" sqref="I7"/>
    </sheetView>
  </sheetViews>
  <sheetFormatPr defaultColWidth="20.109375" defaultRowHeight="13.8"/>
  <cols>
    <col min="1" max="1" width="12.6640625" style="90" customWidth="1"/>
    <col min="2" max="2" width="20.6640625" style="90" customWidth="1"/>
    <col min="3" max="3" width="6.77734375" style="90" customWidth="1"/>
    <col min="4" max="4" width="11.109375" style="90" customWidth="1"/>
    <col min="5" max="5" width="12.77734375" style="90" customWidth="1"/>
    <col min="6" max="6" width="11.21875" style="90" customWidth="1"/>
    <col min="7" max="7" width="11.88671875" style="90" customWidth="1"/>
    <col min="8" max="8" width="12.77734375" style="90" customWidth="1"/>
    <col min="9" max="9" width="12.21875" style="90" customWidth="1"/>
    <col min="10" max="10" width="10.44140625" style="90" customWidth="1"/>
    <col min="11" max="11" width="9.6640625" style="90" customWidth="1"/>
    <col min="12" max="16384" width="20.109375" style="90"/>
  </cols>
  <sheetData>
    <row r="1" spans="1:15" ht="19.95" customHeight="1">
      <c r="A1" s="243" t="s">
        <v>0</v>
      </c>
      <c r="B1" s="243"/>
      <c r="C1" s="243"/>
      <c r="D1" s="243"/>
      <c r="E1" s="243"/>
      <c r="F1" s="243"/>
      <c r="G1" s="243"/>
      <c r="H1" s="243"/>
      <c r="I1" s="243"/>
      <c r="J1" s="243"/>
      <c r="K1" s="243"/>
      <c r="L1" s="89"/>
      <c r="M1" s="89"/>
      <c r="N1" s="89"/>
      <c r="O1" s="89"/>
    </row>
    <row r="2" spans="1:15" ht="19.95" customHeight="1">
      <c r="A2" s="246" t="s">
        <v>232</v>
      </c>
      <c r="B2" s="246"/>
      <c r="C2" s="246"/>
      <c r="D2" s="246"/>
      <c r="E2" s="246"/>
      <c r="F2" s="246"/>
      <c r="G2" s="246"/>
      <c r="H2" s="246"/>
      <c r="I2" s="246"/>
      <c r="J2" s="246"/>
      <c r="K2" s="246"/>
    </row>
    <row r="3" spans="1:15" ht="19.95" customHeight="1">
      <c r="A3" s="88" t="str">
        <f>底稿目录!A2</f>
        <v>被审计单位：</v>
      </c>
      <c r="B3" s="190"/>
      <c r="C3" s="190"/>
      <c r="D3" s="88"/>
      <c r="E3" s="190" t="str">
        <f>底稿目录!A4</f>
        <v>编制人：</v>
      </c>
      <c r="F3" s="190"/>
      <c r="G3" s="191"/>
      <c r="H3" s="190" t="str">
        <f>底稿目录!A5</f>
        <v>编制日期：</v>
      </c>
      <c r="I3" s="190"/>
      <c r="J3" s="190" t="s">
        <v>236</v>
      </c>
      <c r="K3" s="145" t="str">
        <f>底稿目录!F7</f>
        <v>F2-58</v>
      </c>
    </row>
    <row r="4" spans="1:15" ht="19.95" customHeight="1">
      <c r="A4" s="88" t="str">
        <f>底稿目录!A3</f>
        <v>截止日：</v>
      </c>
      <c r="B4" s="190"/>
      <c r="C4" s="190"/>
      <c r="D4" s="88"/>
      <c r="E4" s="190" t="str">
        <f>底稿目录!A6</f>
        <v>复核人：</v>
      </c>
      <c r="F4" s="190"/>
      <c r="G4" s="191"/>
      <c r="H4" s="190" t="str">
        <f>底稿目录!A7</f>
        <v>复核日期：</v>
      </c>
      <c r="I4" s="190"/>
      <c r="J4" s="190" t="s">
        <v>237</v>
      </c>
      <c r="K4" s="190"/>
    </row>
    <row r="5" spans="1:15" ht="36.6" customHeight="1">
      <c r="A5" s="117" t="s">
        <v>121</v>
      </c>
      <c r="B5" s="117" t="s">
        <v>122</v>
      </c>
      <c r="C5" s="118" t="s">
        <v>123</v>
      </c>
      <c r="D5" s="117" t="s">
        <v>124</v>
      </c>
      <c r="E5" s="117" t="s">
        <v>125</v>
      </c>
      <c r="F5" s="118" t="s">
        <v>126</v>
      </c>
      <c r="G5" s="118" t="s">
        <v>127</v>
      </c>
      <c r="H5" s="118" t="s">
        <v>128</v>
      </c>
      <c r="I5" s="118" t="s">
        <v>129</v>
      </c>
      <c r="J5" s="118" t="s">
        <v>130</v>
      </c>
      <c r="K5" s="117" t="s">
        <v>131</v>
      </c>
    </row>
    <row r="6" spans="1:15" s="91" customFormat="1" ht="19.95" customHeight="1">
      <c r="A6" s="119"/>
      <c r="B6" s="119"/>
      <c r="C6" s="120" t="s">
        <v>132</v>
      </c>
      <c r="D6" s="120" t="s">
        <v>133</v>
      </c>
      <c r="E6" s="120" t="s">
        <v>134</v>
      </c>
      <c r="F6" s="120" t="s">
        <v>135</v>
      </c>
      <c r="G6" s="120" t="s">
        <v>136</v>
      </c>
      <c r="H6" s="121" t="s">
        <v>137</v>
      </c>
      <c r="I6" s="120" t="s">
        <v>138</v>
      </c>
      <c r="J6" s="121" t="s">
        <v>139</v>
      </c>
      <c r="K6" s="119"/>
    </row>
    <row r="7" spans="1:15" ht="19.95" customHeight="1">
      <c r="A7" s="92"/>
      <c r="B7" s="93"/>
      <c r="C7" s="94"/>
      <c r="D7" s="95"/>
      <c r="E7" s="95"/>
      <c r="F7" s="122">
        <f>E7-D7</f>
        <v>0</v>
      </c>
      <c r="G7" s="122">
        <f>C7*F7</f>
        <v>0</v>
      </c>
      <c r="H7" s="123">
        <f>F7-G7</f>
        <v>0</v>
      </c>
      <c r="I7" s="95"/>
      <c r="J7" s="123">
        <f t="shared" ref="J7:J20" si="0">H7-I7</f>
        <v>0</v>
      </c>
      <c r="K7" s="96"/>
    </row>
    <row r="8" spans="1:15" ht="19.95" customHeight="1">
      <c r="A8" s="96"/>
      <c r="B8" s="96"/>
      <c r="C8" s="96"/>
      <c r="D8" s="97"/>
      <c r="E8" s="97"/>
      <c r="F8" s="122">
        <f t="shared" ref="F8:F20" si="1">E8-D8</f>
        <v>0</v>
      </c>
      <c r="G8" s="122">
        <f t="shared" ref="G8:G20" si="2">C8*F8</f>
        <v>0</v>
      </c>
      <c r="H8" s="123">
        <f t="shared" ref="H8:H20" si="3">F8-G8</f>
        <v>0</v>
      </c>
      <c r="I8" s="97"/>
      <c r="J8" s="123">
        <f t="shared" si="0"/>
        <v>0</v>
      </c>
      <c r="K8" s="96"/>
    </row>
    <row r="9" spans="1:15" ht="19.95" customHeight="1">
      <c r="A9" s="96"/>
      <c r="B9" s="96"/>
      <c r="C9" s="96"/>
      <c r="D9" s="97"/>
      <c r="E9" s="97"/>
      <c r="F9" s="122">
        <f t="shared" si="1"/>
        <v>0</v>
      </c>
      <c r="G9" s="122">
        <f t="shared" si="2"/>
        <v>0</v>
      </c>
      <c r="H9" s="123">
        <f t="shared" si="3"/>
        <v>0</v>
      </c>
      <c r="I9" s="97"/>
      <c r="J9" s="123">
        <f t="shared" si="0"/>
        <v>0</v>
      </c>
      <c r="K9" s="96"/>
    </row>
    <row r="10" spans="1:15" ht="19.95" customHeight="1">
      <c r="A10" s="96"/>
      <c r="B10" s="96"/>
      <c r="C10" s="96"/>
      <c r="D10" s="97"/>
      <c r="E10" s="97"/>
      <c r="F10" s="122">
        <f t="shared" si="1"/>
        <v>0</v>
      </c>
      <c r="G10" s="122">
        <f t="shared" si="2"/>
        <v>0</v>
      </c>
      <c r="H10" s="123">
        <f t="shared" si="3"/>
        <v>0</v>
      </c>
      <c r="I10" s="97"/>
      <c r="J10" s="123">
        <f t="shared" si="0"/>
        <v>0</v>
      </c>
      <c r="K10" s="96"/>
    </row>
    <row r="11" spans="1:15" ht="19.95" customHeight="1">
      <c r="A11" s="96"/>
      <c r="B11" s="96"/>
      <c r="C11" s="96"/>
      <c r="D11" s="97"/>
      <c r="E11" s="97"/>
      <c r="F11" s="122">
        <f t="shared" si="1"/>
        <v>0</v>
      </c>
      <c r="G11" s="122">
        <f t="shared" si="2"/>
        <v>0</v>
      </c>
      <c r="H11" s="123">
        <f t="shared" si="3"/>
        <v>0</v>
      </c>
      <c r="I11" s="97"/>
      <c r="J11" s="123">
        <f t="shared" si="0"/>
        <v>0</v>
      </c>
      <c r="K11" s="96"/>
    </row>
    <row r="12" spans="1:15" ht="19.95" customHeight="1">
      <c r="A12" s="96"/>
      <c r="B12" s="96"/>
      <c r="C12" s="96"/>
      <c r="D12" s="97"/>
      <c r="E12" s="97"/>
      <c r="F12" s="122">
        <f t="shared" si="1"/>
        <v>0</v>
      </c>
      <c r="G12" s="122">
        <f t="shared" si="2"/>
        <v>0</v>
      </c>
      <c r="H12" s="123">
        <f t="shared" si="3"/>
        <v>0</v>
      </c>
      <c r="I12" s="97"/>
      <c r="J12" s="123">
        <f t="shared" si="0"/>
        <v>0</v>
      </c>
      <c r="K12" s="96"/>
    </row>
    <row r="13" spans="1:15" ht="19.95" customHeight="1">
      <c r="A13" s="96"/>
      <c r="B13" s="96"/>
      <c r="C13" s="96"/>
      <c r="D13" s="97"/>
      <c r="E13" s="97"/>
      <c r="F13" s="122">
        <f t="shared" si="1"/>
        <v>0</v>
      </c>
      <c r="G13" s="122">
        <f t="shared" si="2"/>
        <v>0</v>
      </c>
      <c r="H13" s="123">
        <f t="shared" si="3"/>
        <v>0</v>
      </c>
      <c r="I13" s="97"/>
      <c r="J13" s="123">
        <f t="shared" si="0"/>
        <v>0</v>
      </c>
      <c r="K13" s="96"/>
    </row>
    <row r="14" spans="1:15" ht="19.95" customHeight="1">
      <c r="A14" s="96"/>
      <c r="B14" s="96"/>
      <c r="C14" s="96"/>
      <c r="D14" s="97"/>
      <c r="E14" s="97"/>
      <c r="F14" s="122">
        <f t="shared" si="1"/>
        <v>0</v>
      </c>
      <c r="G14" s="122">
        <f t="shared" si="2"/>
        <v>0</v>
      </c>
      <c r="H14" s="123">
        <f t="shared" si="3"/>
        <v>0</v>
      </c>
      <c r="I14" s="97"/>
      <c r="J14" s="123">
        <f t="shared" si="0"/>
        <v>0</v>
      </c>
      <c r="K14" s="96"/>
    </row>
    <row r="15" spans="1:15" ht="19.95" customHeight="1">
      <c r="A15" s="96"/>
      <c r="B15" s="96"/>
      <c r="C15" s="96"/>
      <c r="D15" s="97"/>
      <c r="E15" s="97"/>
      <c r="F15" s="122">
        <f t="shared" si="1"/>
        <v>0</v>
      </c>
      <c r="G15" s="122">
        <f t="shared" si="2"/>
        <v>0</v>
      </c>
      <c r="H15" s="123">
        <f t="shared" si="3"/>
        <v>0</v>
      </c>
      <c r="I15" s="97"/>
      <c r="J15" s="123">
        <f t="shared" si="0"/>
        <v>0</v>
      </c>
      <c r="K15" s="96"/>
    </row>
    <row r="16" spans="1:15" ht="19.95" customHeight="1">
      <c r="A16" s="96"/>
      <c r="B16" s="96"/>
      <c r="C16" s="96"/>
      <c r="D16" s="97"/>
      <c r="E16" s="97"/>
      <c r="F16" s="122">
        <f t="shared" si="1"/>
        <v>0</v>
      </c>
      <c r="G16" s="122">
        <f t="shared" si="2"/>
        <v>0</v>
      </c>
      <c r="H16" s="123">
        <f t="shared" si="3"/>
        <v>0</v>
      </c>
      <c r="I16" s="97"/>
      <c r="J16" s="123">
        <f t="shared" si="0"/>
        <v>0</v>
      </c>
      <c r="K16" s="96"/>
    </row>
    <row r="17" spans="1:11" ht="19.95" customHeight="1">
      <c r="A17" s="96"/>
      <c r="B17" s="96"/>
      <c r="C17" s="96"/>
      <c r="D17" s="97"/>
      <c r="E17" s="97"/>
      <c r="F17" s="122">
        <f t="shared" si="1"/>
        <v>0</v>
      </c>
      <c r="G17" s="122">
        <f t="shared" si="2"/>
        <v>0</v>
      </c>
      <c r="H17" s="123">
        <f t="shared" si="3"/>
        <v>0</v>
      </c>
      <c r="I17" s="97"/>
      <c r="J17" s="123">
        <f t="shared" si="0"/>
        <v>0</v>
      </c>
      <c r="K17" s="96"/>
    </row>
    <row r="18" spans="1:11" ht="19.95" customHeight="1">
      <c r="A18" s="96"/>
      <c r="B18" s="96"/>
      <c r="C18" s="96"/>
      <c r="D18" s="97"/>
      <c r="E18" s="97"/>
      <c r="F18" s="122">
        <f t="shared" si="1"/>
        <v>0</v>
      </c>
      <c r="G18" s="122">
        <f t="shared" si="2"/>
        <v>0</v>
      </c>
      <c r="H18" s="123">
        <f t="shared" si="3"/>
        <v>0</v>
      </c>
      <c r="I18" s="97"/>
      <c r="J18" s="123">
        <f t="shared" si="0"/>
        <v>0</v>
      </c>
      <c r="K18" s="96"/>
    </row>
    <row r="19" spans="1:11" ht="19.95" customHeight="1">
      <c r="A19" s="96"/>
      <c r="B19" s="96"/>
      <c r="C19" s="96"/>
      <c r="D19" s="97"/>
      <c r="E19" s="97"/>
      <c r="F19" s="122">
        <f t="shared" si="1"/>
        <v>0</v>
      </c>
      <c r="G19" s="122">
        <f t="shared" si="2"/>
        <v>0</v>
      </c>
      <c r="H19" s="123">
        <f t="shared" si="3"/>
        <v>0</v>
      </c>
      <c r="I19" s="97"/>
      <c r="J19" s="123">
        <f t="shared" si="0"/>
        <v>0</v>
      </c>
      <c r="K19" s="96"/>
    </row>
    <row r="20" spans="1:11" ht="19.95" customHeight="1">
      <c r="A20" s="96"/>
      <c r="B20" s="96"/>
      <c r="C20" s="96"/>
      <c r="D20" s="97"/>
      <c r="E20" s="97"/>
      <c r="F20" s="122">
        <f t="shared" si="1"/>
        <v>0</v>
      </c>
      <c r="G20" s="122">
        <f t="shared" si="2"/>
        <v>0</v>
      </c>
      <c r="H20" s="123">
        <f t="shared" si="3"/>
        <v>0</v>
      </c>
      <c r="I20" s="97"/>
      <c r="J20" s="123">
        <f t="shared" si="0"/>
        <v>0</v>
      </c>
      <c r="K20" s="96"/>
    </row>
    <row r="21" spans="1:11" ht="19.95" customHeight="1">
      <c r="A21" s="124" t="s">
        <v>140</v>
      </c>
      <c r="B21" s="125"/>
      <c r="C21" s="125"/>
      <c r="D21" s="126">
        <f>ROUND(SUM(D6:D20),2)</f>
        <v>0</v>
      </c>
      <c r="E21" s="126">
        <f>ROUND(SUM(E6:E20),2)</f>
        <v>0</v>
      </c>
      <c r="F21" s="126">
        <f>ROUND(SUM(F6:F20),2)</f>
        <v>0</v>
      </c>
      <c r="G21" s="126">
        <f>SUM(G6:G20)</f>
        <v>0</v>
      </c>
      <c r="H21" s="126">
        <f>D21+E21-G21</f>
        <v>0</v>
      </c>
      <c r="I21" s="126">
        <f t="shared" ref="I21:J21" si="4">E21+F21-H21</f>
        <v>0</v>
      </c>
      <c r="J21" s="126">
        <f t="shared" si="4"/>
        <v>0</v>
      </c>
      <c r="K21" s="125"/>
    </row>
    <row r="22" spans="1:11" ht="19.95" customHeight="1"/>
    <row r="23" spans="1:11" ht="19.95" customHeight="1">
      <c r="A23" s="98" t="s">
        <v>191</v>
      </c>
    </row>
    <row r="24" spans="1:11" ht="19.95" customHeight="1">
      <c r="A24" s="99"/>
    </row>
    <row r="25" spans="1:11" ht="19.95" customHeight="1">
      <c r="A25" s="98" t="s">
        <v>225</v>
      </c>
    </row>
    <row r="26" spans="1:11" ht="19.95" customHeight="1"/>
  </sheetData>
  <mergeCells count="2">
    <mergeCell ref="A1:K1"/>
    <mergeCell ref="A2:K2"/>
  </mergeCells>
  <phoneticPr fontId="7" type="noConversion"/>
  <hyperlinks>
    <hyperlink ref="K3" location="底稿目录!A1" display="底稿目录!A1"/>
  </hyperlinks>
  <pageMargins left="0.70866141732283472" right="0.70866141732283472" top="0.74803149606299213" bottom="0.74803149606299213" header="0.31496062992125984" footer="0.31496062992125984"/>
  <pageSetup paperSize="9" scale="95" orientation="landscape" blackAndWhite="1" r:id="rId1"/>
  <headerFooter>
    <oddFooter>&amp;C&amp;P/&amp;N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tabColor rgb="FF99FF99"/>
  </sheetPr>
  <dimension ref="A1:AX47"/>
  <sheetViews>
    <sheetView view="pageBreakPreview" topLeftCell="A16" zoomScaleSheetLayoutView="100" workbookViewId="0">
      <selection activeCell="M19" sqref="M19"/>
    </sheetView>
  </sheetViews>
  <sheetFormatPr defaultColWidth="10" defaultRowHeight="13.8"/>
  <cols>
    <col min="1" max="2" width="26.6640625" style="2" customWidth="1"/>
    <col min="3" max="3" width="14.21875" style="2" customWidth="1"/>
    <col min="4" max="4" width="14.77734375" style="2" customWidth="1"/>
    <col min="5" max="5" width="8.44140625" style="2" customWidth="1"/>
    <col min="6" max="10" width="12.44140625" style="2" bestFit="1" customWidth="1"/>
    <col min="11" max="11" width="12" style="2" customWidth="1"/>
    <col min="12" max="16384" width="10" style="2"/>
  </cols>
  <sheetData>
    <row r="1" spans="1:50" s="56" customFormat="1" ht="20.100000000000001" customHeight="1">
      <c r="A1" s="247" t="s">
        <v>0</v>
      </c>
      <c r="B1" s="247"/>
      <c r="C1" s="247"/>
      <c r="D1" s="247"/>
      <c r="E1" s="247"/>
      <c r="F1" s="247"/>
      <c r="G1" s="247"/>
      <c r="H1" s="247"/>
      <c r="I1" s="247"/>
      <c r="J1" s="247"/>
      <c r="K1" s="247"/>
    </row>
    <row r="2" spans="1:50" s="58" customFormat="1" ht="25.05" customHeight="1">
      <c r="A2" s="214" t="s">
        <v>70</v>
      </c>
      <c r="B2" s="214"/>
      <c r="C2" s="214"/>
      <c r="D2" s="214"/>
      <c r="E2" s="214"/>
      <c r="F2" s="214"/>
      <c r="G2" s="214"/>
      <c r="H2" s="214"/>
      <c r="I2" s="214"/>
      <c r="J2" s="214"/>
      <c r="K2" s="214"/>
      <c r="L2" s="57"/>
    </row>
    <row r="3" spans="1:50" ht="20.100000000000001" customHeight="1">
      <c r="A3" s="2" t="str">
        <f>[4]底稿目录!A2</f>
        <v>被审计单位：ABC公司</v>
      </c>
      <c r="C3" s="2" t="str">
        <f>[4]底稿目录!A4</f>
        <v>编制人：张XX</v>
      </c>
      <c r="F3" s="3" t="str">
        <f>[4]底稿目录!A5</f>
        <v>编制日期：2024-4-1</v>
      </c>
      <c r="I3" s="4" t="s">
        <v>71</v>
      </c>
      <c r="J3" s="3"/>
      <c r="K3" s="59"/>
    </row>
    <row r="4" spans="1:50" ht="20.100000000000001" customHeight="1">
      <c r="A4" s="2" t="str">
        <f>[4]底稿目录!A3</f>
        <v>截止日：202X年12月31日</v>
      </c>
      <c r="C4" s="2" t="str">
        <f>[4]底稿目录!A6</f>
        <v>复核人：李XX</v>
      </c>
      <c r="F4" s="2" t="str">
        <f>[4]底稿目录!A7</f>
        <v>复核日期：2024-5-1</v>
      </c>
      <c r="I4" s="2" t="s">
        <v>2</v>
      </c>
      <c r="J4" s="3"/>
      <c r="K4" s="59"/>
    </row>
    <row r="5" spans="1:50" s="61" customFormat="1" ht="20.100000000000001" customHeight="1">
      <c r="A5" s="60" t="s">
        <v>72</v>
      </c>
      <c r="C5" s="62"/>
      <c r="D5" s="62"/>
      <c r="E5" s="63"/>
      <c r="G5" s="64"/>
      <c r="H5" s="64"/>
      <c r="K5" s="64"/>
      <c r="L5" s="65"/>
      <c r="M5" s="65"/>
      <c r="N5" s="65"/>
      <c r="O5" s="65"/>
      <c r="P5" s="65"/>
      <c r="Q5" s="62"/>
      <c r="S5" s="66"/>
      <c r="T5" s="66"/>
      <c r="U5" s="66"/>
      <c r="V5" s="66"/>
      <c r="W5" s="66"/>
      <c r="X5" s="66"/>
      <c r="AG5" s="62"/>
      <c r="AW5" s="62"/>
    </row>
    <row r="6" spans="1:50" s="61" customFormat="1" ht="20.100000000000001" customHeight="1">
      <c r="B6" s="67" t="s">
        <v>73</v>
      </c>
      <c r="C6" s="68"/>
      <c r="D6" s="68"/>
      <c r="E6" s="63"/>
      <c r="G6" s="64"/>
      <c r="H6" s="64"/>
      <c r="K6" s="64"/>
      <c r="L6" s="65"/>
      <c r="M6" s="65"/>
      <c r="N6" s="65"/>
      <c r="O6" s="65"/>
      <c r="P6" s="65"/>
      <c r="Q6" s="68"/>
      <c r="R6" s="69"/>
      <c r="S6" s="66"/>
      <c r="T6" s="66"/>
      <c r="U6" s="66"/>
      <c r="V6" s="66"/>
      <c r="W6" s="66"/>
      <c r="X6" s="66"/>
      <c r="AG6" s="68"/>
      <c r="AH6" s="69"/>
      <c r="AW6" s="68"/>
      <c r="AX6" s="69"/>
    </row>
    <row r="7" spans="1:50" s="61" customFormat="1" ht="20.100000000000001" customHeight="1">
      <c r="A7" s="70" t="s">
        <v>74</v>
      </c>
      <c r="B7" s="69"/>
      <c r="C7" s="70"/>
      <c r="D7" s="70"/>
      <c r="E7" s="63"/>
      <c r="G7" s="64"/>
      <c r="H7" s="64"/>
      <c r="K7" s="64"/>
      <c r="L7" s="65"/>
      <c r="M7" s="65"/>
      <c r="N7" s="65"/>
      <c r="O7" s="65"/>
      <c r="P7" s="65"/>
      <c r="Q7" s="70"/>
      <c r="R7" s="65"/>
      <c r="S7" s="66"/>
      <c r="T7" s="66"/>
      <c r="U7" s="66"/>
      <c r="V7" s="66"/>
      <c r="W7" s="66"/>
      <c r="X7" s="66"/>
      <c r="AG7" s="70"/>
      <c r="AH7" s="65"/>
      <c r="AW7" s="70"/>
      <c r="AX7" s="65"/>
    </row>
    <row r="8" spans="1:50" s="74" customFormat="1" ht="64.5" customHeight="1">
      <c r="A8" s="248" t="s">
        <v>75</v>
      </c>
      <c r="B8" s="248"/>
      <c r="C8" s="248"/>
      <c r="D8" s="248"/>
      <c r="E8" s="248"/>
      <c r="F8" s="248"/>
      <c r="G8" s="248"/>
      <c r="H8" s="248"/>
      <c r="I8" s="71"/>
      <c r="J8" s="72"/>
      <c r="K8" s="71"/>
      <c r="L8" s="71"/>
      <c r="M8" s="71"/>
      <c r="N8" s="72"/>
      <c r="O8" s="71"/>
      <c r="P8" s="71"/>
      <c r="Q8" s="71"/>
      <c r="R8" s="73"/>
    </row>
    <row r="9" spans="1:50" s="61" customFormat="1" ht="20.100000000000001" customHeight="1">
      <c r="A9" s="75" t="s">
        <v>76</v>
      </c>
      <c r="B9" s="75"/>
      <c r="C9" s="75"/>
      <c r="D9" s="75"/>
      <c r="E9" s="63"/>
      <c r="G9" s="64"/>
      <c r="H9" s="64"/>
      <c r="K9" s="64"/>
      <c r="L9" s="65"/>
      <c r="M9" s="65"/>
      <c r="N9" s="65"/>
      <c r="O9" s="65"/>
      <c r="P9" s="65"/>
      <c r="Q9" s="65"/>
      <c r="R9" s="66"/>
      <c r="S9" s="66"/>
      <c r="T9" s="66"/>
      <c r="U9" s="66"/>
      <c r="V9" s="66"/>
      <c r="W9" s="66"/>
      <c r="X9" s="66"/>
    </row>
    <row r="10" spans="1:50" s="61" customFormat="1" ht="20.100000000000001" customHeight="1">
      <c r="A10" s="76" t="s">
        <v>77</v>
      </c>
      <c r="B10" s="75"/>
      <c r="C10" s="75"/>
      <c r="D10" s="75"/>
      <c r="E10" s="63"/>
      <c r="G10" s="64"/>
      <c r="H10" s="64"/>
      <c r="K10" s="64"/>
      <c r="L10" s="65"/>
      <c r="M10" s="65"/>
      <c r="N10" s="65"/>
      <c r="O10" s="65"/>
      <c r="P10" s="65"/>
      <c r="Q10" s="65"/>
      <c r="R10" s="66"/>
      <c r="S10" s="66"/>
      <c r="T10" s="66"/>
      <c r="U10" s="66"/>
      <c r="V10" s="66"/>
      <c r="W10" s="66"/>
      <c r="X10" s="66"/>
    </row>
    <row r="11" spans="1:50" s="61" customFormat="1" ht="20.100000000000001" customHeight="1">
      <c r="A11" s="76" t="s">
        <v>78</v>
      </c>
      <c r="B11" s="75"/>
      <c r="C11" s="75"/>
      <c r="D11" s="75"/>
      <c r="E11" s="63"/>
      <c r="G11" s="64"/>
      <c r="H11" s="64"/>
      <c r="K11" s="64"/>
      <c r="L11" s="65"/>
      <c r="M11" s="65"/>
      <c r="N11" s="65"/>
      <c r="O11" s="65"/>
      <c r="P11" s="65"/>
      <c r="Q11" s="65"/>
      <c r="R11" s="66"/>
      <c r="S11" s="66"/>
      <c r="T11" s="66"/>
      <c r="U11" s="66"/>
      <c r="V11" s="66"/>
      <c r="W11" s="66"/>
      <c r="X11" s="66"/>
    </row>
    <row r="12" spans="1:50" s="77" customFormat="1" ht="27" customHeight="1">
      <c r="A12" s="110" t="s">
        <v>79</v>
      </c>
      <c r="B12" s="111" t="s">
        <v>80</v>
      </c>
      <c r="C12" s="111" t="s">
        <v>81</v>
      </c>
      <c r="D12" s="110" t="s">
        <v>82</v>
      </c>
      <c r="E12" s="61"/>
      <c r="F12" s="61"/>
      <c r="G12" s="61"/>
    </row>
    <row r="13" spans="1:50" ht="20.100000000000001" customHeight="1">
      <c r="A13" s="78" t="s">
        <v>83</v>
      </c>
      <c r="B13" s="79">
        <v>40000</v>
      </c>
      <c r="C13" s="80" t="s">
        <v>84</v>
      </c>
      <c r="D13" s="81"/>
      <c r="E13" s="61"/>
      <c r="F13" s="61"/>
      <c r="G13" s="61"/>
    </row>
    <row r="14" spans="1:50" ht="20.100000000000001" customHeight="1">
      <c r="A14" s="78" t="s">
        <v>85</v>
      </c>
      <c r="B14" s="79">
        <v>120000</v>
      </c>
      <c r="C14" s="80" t="s">
        <v>86</v>
      </c>
      <c r="D14" s="81"/>
      <c r="E14" s="61"/>
      <c r="F14" s="61"/>
      <c r="G14" s="61"/>
    </row>
    <row r="15" spans="1:50" ht="20.100000000000001" customHeight="1">
      <c r="A15" s="78" t="s">
        <v>87</v>
      </c>
      <c r="B15" s="79">
        <v>90000</v>
      </c>
      <c r="C15" s="80" t="s">
        <v>86</v>
      </c>
      <c r="D15" s="81"/>
      <c r="E15" s="61"/>
      <c r="F15" s="61"/>
      <c r="G15" s="61"/>
    </row>
    <row r="16" spans="1:50" ht="20.100000000000001" customHeight="1">
      <c r="A16" s="78" t="s">
        <v>88</v>
      </c>
      <c r="B16" s="79">
        <v>100000</v>
      </c>
      <c r="C16" s="80" t="s">
        <v>84</v>
      </c>
      <c r="D16" s="81"/>
      <c r="E16" s="61"/>
      <c r="F16" s="61"/>
      <c r="G16" s="61"/>
    </row>
    <row r="17" spans="1:11" ht="20.100000000000001" customHeight="1">
      <c r="A17" s="82"/>
      <c r="B17" s="79"/>
      <c r="C17" s="79"/>
      <c r="D17" s="81"/>
      <c r="E17" s="61"/>
      <c r="F17" s="61"/>
      <c r="G17" s="61"/>
    </row>
    <row r="18" spans="1:11" ht="20.100000000000001" customHeight="1">
      <c r="A18" s="112" t="s">
        <v>89</v>
      </c>
      <c r="B18" s="113">
        <f>SUM(B13:B17)</f>
        <v>350000</v>
      </c>
      <c r="C18" s="113"/>
      <c r="D18" s="113"/>
      <c r="E18" s="61"/>
      <c r="F18" s="61"/>
      <c r="G18" s="61"/>
    </row>
    <row r="19" spans="1:11" s="56" customFormat="1" ht="20.100000000000001" customHeight="1">
      <c r="A19" s="15" t="s">
        <v>90</v>
      </c>
      <c r="B19" s="83"/>
      <c r="C19" s="83"/>
      <c r="D19" s="83"/>
    </row>
    <row r="20" spans="1:11" ht="17.25" customHeight="1">
      <c r="A20" s="84" t="s">
        <v>91</v>
      </c>
    </row>
    <row r="21" spans="1:11" ht="38.25" customHeight="1">
      <c r="A21" s="110" t="s">
        <v>92</v>
      </c>
      <c r="B21" s="111" t="s">
        <v>93</v>
      </c>
      <c r="C21" s="111" t="s">
        <v>94</v>
      </c>
      <c r="D21" s="111" t="s">
        <v>95</v>
      </c>
      <c r="E21" s="114" t="s">
        <v>96</v>
      </c>
      <c r="F21" s="115" t="s">
        <v>97</v>
      </c>
      <c r="G21" s="115" t="s">
        <v>98</v>
      </c>
      <c r="H21" s="115" t="s">
        <v>99</v>
      </c>
      <c r="I21" s="115" t="s">
        <v>100</v>
      </c>
      <c r="J21" s="115" t="s">
        <v>101</v>
      </c>
      <c r="K21" s="115" t="s">
        <v>102</v>
      </c>
    </row>
    <row r="22" spans="1:11" ht="20.100000000000001" customHeight="1">
      <c r="A22" s="85" t="s">
        <v>103</v>
      </c>
      <c r="B22" s="79">
        <v>100000</v>
      </c>
      <c r="C22" s="81">
        <v>12</v>
      </c>
      <c r="D22" s="81">
        <v>24</v>
      </c>
      <c r="E22" s="81">
        <f>5*12</f>
        <v>60</v>
      </c>
      <c r="F22" s="81">
        <f>(B22/E22)*C22</f>
        <v>20000</v>
      </c>
      <c r="G22" s="81">
        <v>20000</v>
      </c>
      <c r="H22" s="81">
        <f>F22-G22</f>
        <v>0</v>
      </c>
      <c r="I22" s="81">
        <f>(B22/E22)*D22</f>
        <v>40000</v>
      </c>
      <c r="J22" s="81">
        <v>40000</v>
      </c>
      <c r="K22" s="81">
        <f>I22-J22</f>
        <v>0</v>
      </c>
    </row>
    <row r="23" spans="1:11" ht="20.100000000000001" customHeight="1">
      <c r="A23" s="85" t="s">
        <v>104</v>
      </c>
      <c r="B23" s="79">
        <f>B13</f>
        <v>40000</v>
      </c>
      <c r="C23" s="81">
        <v>12</v>
      </c>
      <c r="D23" s="81">
        <v>24</v>
      </c>
      <c r="E23" s="81">
        <f>5*12</f>
        <v>60</v>
      </c>
      <c r="F23" s="81">
        <f>(B23/E23)*C23</f>
        <v>8000</v>
      </c>
      <c r="G23" s="81">
        <v>8000</v>
      </c>
      <c r="H23" s="81">
        <f>F23-G23</f>
        <v>0</v>
      </c>
      <c r="I23" s="81">
        <v>11428.571428571429</v>
      </c>
      <c r="J23" s="81">
        <v>11428.571428571429</v>
      </c>
      <c r="K23" s="81">
        <f>I23-J23</f>
        <v>0</v>
      </c>
    </row>
    <row r="24" spans="1:11" ht="20.100000000000001" customHeight="1">
      <c r="A24" s="79"/>
      <c r="B24" s="79"/>
      <c r="C24" s="81"/>
      <c r="D24" s="81"/>
      <c r="E24" s="81"/>
      <c r="F24" s="81"/>
      <c r="G24" s="81"/>
      <c r="H24" s="81"/>
      <c r="I24" s="81"/>
      <c r="J24" s="81"/>
      <c r="K24" s="81"/>
    </row>
    <row r="25" spans="1:11" ht="20.100000000000001" customHeight="1">
      <c r="A25" s="79"/>
      <c r="B25" s="79"/>
      <c r="C25" s="81"/>
      <c r="D25" s="81"/>
      <c r="E25" s="81"/>
      <c r="F25" s="81"/>
      <c r="G25" s="81"/>
      <c r="H25" s="81"/>
      <c r="I25" s="81"/>
      <c r="J25" s="81"/>
      <c r="K25" s="81"/>
    </row>
    <row r="26" spans="1:11" ht="20.100000000000001" customHeight="1">
      <c r="A26" s="79"/>
      <c r="B26" s="79"/>
      <c r="C26" s="79"/>
      <c r="D26" s="81"/>
      <c r="E26" s="81"/>
      <c r="F26" s="81"/>
      <c r="G26" s="81"/>
      <c r="H26" s="81"/>
      <c r="I26" s="81"/>
      <c r="J26" s="81"/>
      <c r="K26" s="81"/>
    </row>
    <row r="27" spans="1:11" ht="20.100000000000001" customHeight="1">
      <c r="A27" s="116" t="s">
        <v>105</v>
      </c>
      <c r="B27" s="113">
        <f>SUM(B22:B26)</f>
        <v>140000</v>
      </c>
      <c r="C27" s="113"/>
      <c r="D27" s="113"/>
      <c r="E27" s="113"/>
      <c r="F27" s="113">
        <f t="shared" ref="F27:K27" si="0">SUM(F22:F26)</f>
        <v>28000</v>
      </c>
      <c r="G27" s="113">
        <f t="shared" si="0"/>
        <v>28000</v>
      </c>
      <c r="H27" s="113">
        <f t="shared" si="0"/>
        <v>0</v>
      </c>
      <c r="I27" s="113">
        <f t="shared" si="0"/>
        <v>51428.571428571428</v>
      </c>
      <c r="J27" s="113">
        <f t="shared" si="0"/>
        <v>51428.571428571428</v>
      </c>
      <c r="K27" s="113">
        <f t="shared" si="0"/>
        <v>0</v>
      </c>
    </row>
    <row r="28" spans="1:11" ht="20.100000000000001" customHeight="1">
      <c r="A28" s="64" t="s">
        <v>216</v>
      </c>
      <c r="B28" s="65"/>
      <c r="C28" s="65"/>
      <c r="D28" s="65"/>
    </row>
    <row r="29" spans="1:11" s="56" customFormat="1" ht="20.100000000000001" customHeight="1">
      <c r="A29" s="15" t="s">
        <v>106</v>
      </c>
      <c r="B29" s="15"/>
      <c r="C29" s="15"/>
      <c r="D29" s="15"/>
    </row>
    <row r="30" spans="1:11" ht="20.100000000000001" customHeight="1">
      <c r="A30" s="65"/>
      <c r="B30" s="65"/>
      <c r="C30" s="65"/>
      <c r="D30" s="65"/>
    </row>
    <row r="31" spans="1:11" ht="20.100000000000001" customHeight="1">
      <c r="A31" s="15" t="s">
        <v>107</v>
      </c>
      <c r="B31" s="15"/>
      <c r="C31" s="15"/>
      <c r="D31" s="15"/>
    </row>
    <row r="32" spans="1:11" ht="20.100000000000001" customHeight="1"/>
    <row r="35" spans="1:4" ht="18" customHeight="1"/>
    <row r="36" spans="1:4" ht="17.25" customHeight="1">
      <c r="A36" s="86"/>
      <c r="B36" s="86"/>
      <c r="C36" s="86"/>
      <c r="D36" s="86"/>
    </row>
    <row r="37" spans="1:4" ht="17.25" customHeight="1">
      <c r="A37" s="86"/>
      <c r="B37" s="86"/>
      <c r="C37" s="86"/>
      <c r="D37" s="86"/>
    </row>
    <row r="38" spans="1:4" ht="17.25" customHeight="1">
      <c r="A38" s="86"/>
      <c r="B38" s="86"/>
      <c r="C38" s="86"/>
      <c r="D38" s="86"/>
    </row>
    <row r="39" spans="1:4" ht="17.25" customHeight="1">
      <c r="A39" s="86"/>
      <c r="B39" s="86"/>
      <c r="C39" s="86"/>
      <c r="D39" s="86"/>
    </row>
    <row r="40" spans="1:4" ht="17.25" customHeight="1">
      <c r="A40" s="86"/>
      <c r="B40" s="86"/>
      <c r="C40" s="86"/>
      <c r="D40" s="86"/>
    </row>
    <row r="41" spans="1:4" ht="17.25" customHeight="1">
      <c r="A41" s="86"/>
      <c r="B41" s="86"/>
      <c r="C41" s="86"/>
      <c r="D41" s="86"/>
    </row>
    <row r="42" spans="1:4" ht="17.25" customHeight="1">
      <c r="A42" s="86"/>
      <c r="B42" s="86"/>
      <c r="C42" s="86"/>
      <c r="D42" s="86"/>
    </row>
    <row r="43" spans="1:4" ht="17.25" customHeight="1">
      <c r="A43" s="87"/>
      <c r="B43" s="87"/>
      <c r="C43" s="87"/>
      <c r="D43" s="87"/>
    </row>
    <row r="44" spans="1:4" ht="17.25" customHeight="1">
      <c r="A44" s="87"/>
      <c r="B44" s="87"/>
      <c r="C44" s="87"/>
      <c r="D44" s="87"/>
    </row>
    <row r="45" spans="1:4" ht="17.25" customHeight="1"/>
    <row r="46" spans="1:4" ht="17.25" customHeight="1"/>
    <row r="47" spans="1:4" ht="17.25" customHeight="1"/>
  </sheetData>
  <mergeCells count="3">
    <mergeCell ref="A1:K1"/>
    <mergeCell ref="A2:K2"/>
    <mergeCell ref="A8:H8"/>
  </mergeCells>
  <phoneticPr fontId="7" type="noConversion"/>
  <dataValidations count="1">
    <dataValidation type="list" allowBlank="1" showInputMessage="1" showErrorMessage="1" sqref="D13:E17">
      <formula1>"√,X"</formula1>
    </dataValidation>
  </dataValidations>
  <printOptions horizontalCentered="1"/>
  <pageMargins left="0.70866141732283472" right="0.70866141732283472" top="0.74803149606299213" bottom="0.74803149606299213" header="0.31496062992125984" footer="0.31496062992125984"/>
  <pageSetup paperSize="9" scale="58" orientation="landscape" blackAndWhite="1"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7</vt:i4>
      </vt:variant>
      <vt:variant>
        <vt:lpstr>命名范围</vt:lpstr>
      </vt:variant>
      <vt:variant>
        <vt:i4>10</vt:i4>
      </vt:variant>
    </vt:vector>
  </HeadingPairs>
  <TitlesOfParts>
    <vt:vector size="17" baseType="lpstr">
      <vt:lpstr>底稿目录</vt:lpstr>
      <vt:lpstr>合同履约成本实质性程序表F2-55A</vt:lpstr>
      <vt:lpstr>合同履约成本构成明细表F2-55</vt:lpstr>
      <vt:lpstr>合同履约成本检查表F2-56</vt:lpstr>
      <vt:lpstr>合同履约成本减值准备测算表F2-57</vt:lpstr>
      <vt:lpstr>亏损合同预计损失测算表F2-58</vt:lpstr>
      <vt:lpstr>合同履约成本测试（示例）</vt:lpstr>
      <vt:lpstr>'合同履约成本实质性程序表F2-55A'!_FilterDatabase</vt:lpstr>
      <vt:lpstr>'合同履约成本测试（示例）'!Print_Area</vt:lpstr>
      <vt:lpstr>'合同履约成本构成明细表F2-55'!Print_Area</vt:lpstr>
      <vt:lpstr>'合同履约成本检查表F2-56'!Print_Area</vt:lpstr>
      <vt:lpstr>'合同履约成本减值准备测算表F2-57'!Print_Area</vt:lpstr>
      <vt:lpstr>'合同履约成本实质性程序表F2-55A'!Print_Area</vt:lpstr>
      <vt:lpstr>'亏损合同预计损失测算表F2-58'!Print_Area</vt:lpstr>
      <vt:lpstr>'合同履约成本减值准备测算表F2-57'!Print_Titles</vt:lpstr>
      <vt:lpstr>'合同履约成本实质性程序表F2-55A'!Print_Titles</vt:lpstr>
      <vt:lpstr>'亏损合同预计损失测算表F2-58'!Print_Titles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2025-10-17T09:15:50Z</dcterms:modified>
</cp:coreProperties>
</file>