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2260" windowHeight="12648" tabRatio="899"/>
  </bookViews>
  <sheets>
    <sheet name="底稿目录" sheetId="25" r:id="rId1"/>
    <sheet name="程序表F2-61A" sheetId="19" r:id="rId2"/>
    <sheet name="原材料采购价格分析表F2-61" sheetId="7" r:id="rId3"/>
    <sheet name="原材料单价分析F2-62" sheetId="2" r:id="rId4"/>
    <sheet name="存货产量与产能、能耗分析表F2-63" sheetId="9" r:id="rId5"/>
    <sheet name="主要产品生产成本及单耗分析表F2-64" sheetId="10" r:id="rId6"/>
    <sheet name="关联方采购定价公允性核查（询价函）F2-65" sheetId="21" r:id="rId7"/>
    <sheet name="关联方采购定价公允性核查（市场价）F2-66" sheetId="22" r:id="rId8"/>
    <sheet name="识别未披露的关联方F2-67" sheetId="23" r:id="rId9"/>
    <sheet name="重要供应商结构分析F2-68" sheetId="12" r:id="rId10"/>
    <sheet name="供应商核查清单F2-69" sheetId="15" r:id="rId11"/>
    <sheet name="供应商信息核查表F2-70" sheetId="16" r:id="rId12"/>
    <sheet name="供应商访谈记录汇总表F2-71" sheetId="26" r:id="rId13"/>
    <sheet name="供应商访谈记录F2-72" sheetId="27" r:id="rId14"/>
    <sheet name="访谈记录与核对示例" sheetId="28" r:id="rId15"/>
  </sheets>
  <externalReferences>
    <externalReference r:id="rId16"/>
    <externalReference r:id="rId17"/>
    <externalReference r:id="rId18"/>
    <externalReference r:id="rId19"/>
    <externalReference r:id="rId20"/>
  </externalReferences>
  <definedNames>
    <definedName name="_xlnm._FilterDatabase" localSheetId="14" hidden="1">#REF!</definedName>
    <definedName name="_xlnm._FilterDatabase" localSheetId="8" hidden="1">'识别未披露的关联方F2-67'!$A$14:$Q$26</definedName>
    <definedName name="_xlnm._FilterDatabase" hidden="1">#REF!</definedName>
    <definedName name="AFV" localSheetId="4" hidden="1">#REF!</definedName>
    <definedName name="AFV" localSheetId="0" hidden="1">#REF!</definedName>
    <definedName name="AFV" localSheetId="14" hidden="1">#REF!</definedName>
    <definedName name="AFV" localSheetId="10" hidden="1">#REF!</definedName>
    <definedName name="AFV" localSheetId="11" hidden="1">#REF!</definedName>
    <definedName name="AFV" localSheetId="7" hidden="1">#REF!</definedName>
    <definedName name="AFV" localSheetId="6" hidden="1">#REF!</definedName>
    <definedName name="AFV" localSheetId="8" hidden="1">#REF!</definedName>
    <definedName name="AFV" localSheetId="2" hidden="1">#REF!</definedName>
    <definedName name="AFV" localSheetId="9" hidden="1">#REF!</definedName>
    <definedName name="AFV" hidden="1">#REF!</definedName>
    <definedName name="AS2DocOpenMode" hidden="1">"AS2DocumentEdit"</definedName>
    <definedName name="bs" localSheetId="4" hidden="1">{#N/A,#N/A,FALSE,"BBPREP"}</definedName>
    <definedName name="bs" localSheetId="0" hidden="1">{#N/A,#N/A,FALSE,"BBPREP"}</definedName>
    <definedName name="bs" localSheetId="14" hidden="1">{#N/A,#N/A,FALSE,"BBPREP"}</definedName>
    <definedName name="bs" localSheetId="10" hidden="1">{#N/A,#N/A,FALSE,"BBPREP"}</definedName>
    <definedName name="bs" localSheetId="11" hidden="1">{#N/A,#N/A,FALSE,"BBPREP"}</definedName>
    <definedName name="bs" localSheetId="7" hidden="1">{#N/A,#N/A,FALSE,"BBPREP"}</definedName>
    <definedName name="bs" localSheetId="6" hidden="1">{#N/A,#N/A,FALSE,"BBPREP"}</definedName>
    <definedName name="bs" localSheetId="8" hidden="1">{#N/A,#N/A,FALSE,"BBPREP"}</definedName>
    <definedName name="bs" localSheetId="2" hidden="1">{#N/A,#N/A,FALSE,"BBPREP"}</definedName>
    <definedName name="bs" localSheetId="9" hidden="1">{#N/A,#N/A,FALSE,"BBPREP"}</definedName>
    <definedName name="bs" hidden="1">{#N/A,#N/A,FALSE,"BBPREP"}</definedName>
    <definedName name="bs_1" localSheetId="4" hidden="1">{#N/A,#N/A,FALSE,"BBPREP"}</definedName>
    <definedName name="bs_1" localSheetId="0" hidden="1">{#N/A,#N/A,FALSE,"BBPREP"}</definedName>
    <definedName name="bs_1" localSheetId="14" hidden="1">{#N/A,#N/A,FALSE,"BBPREP"}</definedName>
    <definedName name="bs_1" localSheetId="10" hidden="1">{#N/A,#N/A,FALSE,"BBPREP"}</definedName>
    <definedName name="bs_1" localSheetId="11" hidden="1">{#N/A,#N/A,FALSE,"BBPREP"}</definedName>
    <definedName name="bs_1" localSheetId="7" hidden="1">{#N/A,#N/A,FALSE,"BBPREP"}</definedName>
    <definedName name="bs_1" localSheetId="6" hidden="1">{#N/A,#N/A,FALSE,"BBPREP"}</definedName>
    <definedName name="bs_1" localSheetId="8" hidden="1">{#N/A,#N/A,FALSE,"BBPREP"}</definedName>
    <definedName name="bs_1" localSheetId="2" hidden="1">{#N/A,#N/A,FALSE,"BBPREP"}</definedName>
    <definedName name="bs_1" localSheetId="9" hidden="1">{#N/A,#N/A,FALSE,"BBPREP"}</definedName>
    <definedName name="bs_1" hidden="1">{#N/A,#N/A,FALSE,"BBPREP"}</definedName>
    <definedName name="CCD" localSheetId="4" hidden="1">#REF!</definedName>
    <definedName name="CCD" localSheetId="0" hidden="1">#REF!</definedName>
    <definedName name="CCD" localSheetId="14" hidden="1">#REF!</definedName>
    <definedName name="CCD" localSheetId="10" hidden="1">#REF!</definedName>
    <definedName name="CCD" localSheetId="11" hidden="1">#REF!</definedName>
    <definedName name="CCD" localSheetId="7" hidden="1">#REF!</definedName>
    <definedName name="CCD" localSheetId="6" hidden="1">#REF!</definedName>
    <definedName name="CCD" localSheetId="8" hidden="1">#REF!</definedName>
    <definedName name="CCD" localSheetId="2" hidden="1">#REF!</definedName>
    <definedName name="CCD" localSheetId="9" hidden="1">#REF!</definedName>
    <definedName name="CCD" hidden="1">#REF!</definedName>
    <definedName name="CDE" localSheetId="4" hidden="1">#REF!</definedName>
    <definedName name="CDE" localSheetId="0" hidden="1">#REF!</definedName>
    <definedName name="CDE" localSheetId="14" hidden="1">#REF!</definedName>
    <definedName name="CDE" localSheetId="10" hidden="1">#REF!</definedName>
    <definedName name="CDE" localSheetId="11" hidden="1">#REF!</definedName>
    <definedName name="CDE" localSheetId="7" hidden="1">#REF!</definedName>
    <definedName name="CDE" localSheetId="6" hidden="1">#REF!</definedName>
    <definedName name="CDE" localSheetId="8" hidden="1">#REF!</definedName>
    <definedName name="CDE" localSheetId="2" hidden="1">#REF!</definedName>
    <definedName name="CDE" localSheetId="9" hidden="1">#REF!</definedName>
    <definedName name="CDE" hidden="1">#REF!</definedName>
    <definedName name="DEX" localSheetId="4" hidden="1">#REF!</definedName>
    <definedName name="DEX" localSheetId="0" hidden="1">#REF!</definedName>
    <definedName name="DEX" localSheetId="14" hidden="1">#REF!</definedName>
    <definedName name="DEX" localSheetId="10" hidden="1">#REF!</definedName>
    <definedName name="DEX" localSheetId="11" hidden="1">#REF!</definedName>
    <definedName name="DEX" localSheetId="7" hidden="1">#REF!</definedName>
    <definedName name="DEX" localSheetId="6" hidden="1">#REF!</definedName>
    <definedName name="DEX" localSheetId="8" hidden="1">#REF!</definedName>
    <definedName name="DEX" localSheetId="2" hidden="1">#REF!</definedName>
    <definedName name="DEX" localSheetId="9" hidden="1">#REF!</definedName>
    <definedName name="DEX" hidden="1">#REF!</definedName>
    <definedName name="EDC" localSheetId="4" hidden="1">#REF!</definedName>
    <definedName name="EDC" localSheetId="0" hidden="1">#REF!</definedName>
    <definedName name="EDC" localSheetId="14" hidden="1">#REF!</definedName>
    <definedName name="EDC" localSheetId="10" hidden="1">#REF!</definedName>
    <definedName name="EDC" localSheetId="11" hidden="1">#REF!</definedName>
    <definedName name="EDC" localSheetId="7" hidden="1">#REF!</definedName>
    <definedName name="EDC" localSheetId="6" hidden="1">#REF!</definedName>
    <definedName name="EDC" localSheetId="8" hidden="1">#REF!</definedName>
    <definedName name="EDC" localSheetId="2" hidden="1">#REF!</definedName>
    <definedName name="EDC" localSheetId="9" hidden="1">#REF!</definedName>
    <definedName name="EDC" hidden="1">#REF!</definedName>
    <definedName name="FAD" localSheetId="4" hidden="1">[1]Breakdown!#REF!</definedName>
    <definedName name="FAD" localSheetId="0" hidden="1">[1]Breakdown!#REF!</definedName>
    <definedName name="FAD" localSheetId="14" hidden="1">[1]Breakdown!#REF!</definedName>
    <definedName name="FAD" localSheetId="10" hidden="1">[1]Breakdown!#REF!</definedName>
    <definedName name="FAD" localSheetId="11" hidden="1">[1]Breakdown!#REF!</definedName>
    <definedName name="FAD" localSheetId="7" hidden="1">[1]Breakdown!#REF!</definedName>
    <definedName name="FAD" localSheetId="6" hidden="1">[1]Breakdown!#REF!</definedName>
    <definedName name="FAD" localSheetId="8" hidden="1">[1]Breakdown!#REF!</definedName>
    <definedName name="FAD" localSheetId="2" hidden="1">[1]Breakdown!#REF!</definedName>
    <definedName name="FAD" localSheetId="9" hidden="1">[1]Breakdown!#REF!</definedName>
    <definedName name="FAD" hidden="1">[1]Breakdown!#REF!</definedName>
    <definedName name="FASD" localSheetId="4" hidden="1">#REF!</definedName>
    <definedName name="FASD" localSheetId="0" hidden="1">#REF!</definedName>
    <definedName name="FASD" localSheetId="14" hidden="1">#REF!</definedName>
    <definedName name="FASD" localSheetId="10" hidden="1">#REF!</definedName>
    <definedName name="FASD" localSheetId="11" hidden="1">#REF!</definedName>
    <definedName name="FASD" localSheetId="7" hidden="1">#REF!</definedName>
    <definedName name="FASD" localSheetId="6" hidden="1">#REF!</definedName>
    <definedName name="FASD" localSheetId="8" hidden="1">#REF!</definedName>
    <definedName name="FASD" localSheetId="2" hidden="1">#REF!</definedName>
    <definedName name="FASD" localSheetId="9" hidden="1">#REF!</definedName>
    <definedName name="FASD" hidden="1">#REF!</definedName>
    <definedName name="FEDC" localSheetId="4" hidden="1">'[2]2004'!#REF!</definedName>
    <definedName name="FEDC" localSheetId="0" hidden="1">'[2]2004'!#REF!</definedName>
    <definedName name="FEDC" localSheetId="14" hidden="1">'[2]2004'!#REF!</definedName>
    <definedName name="FEDC" localSheetId="10" hidden="1">'[2]2004'!#REF!</definedName>
    <definedName name="FEDC" localSheetId="11" hidden="1">'[2]2004'!#REF!</definedName>
    <definedName name="FEDC" localSheetId="7" hidden="1">'[2]2004'!#REF!</definedName>
    <definedName name="FEDC" localSheetId="6" hidden="1">'[2]2004'!#REF!</definedName>
    <definedName name="FEDC" localSheetId="8" hidden="1">'[2]2004'!#REF!</definedName>
    <definedName name="FEDC" localSheetId="2" hidden="1">'[2]2004'!#REF!</definedName>
    <definedName name="FEDC" localSheetId="9" hidden="1">'[2]2004'!#REF!</definedName>
    <definedName name="FEDC" hidden="1">'[2]2004'!#REF!</definedName>
    <definedName name="L" localSheetId="14" hidden="1">{#N/A,#N/A,FALSE,"BBPREP"}</definedName>
    <definedName name="L" hidden="1">{#N/A,#N/A,FALSE,"BBPREP"}</definedName>
    <definedName name="_xlnm.Print_Area" localSheetId="1">'程序表F2-61A'!$A$1:$J$27</definedName>
    <definedName name="_xlnm.Print_Area" localSheetId="4">'存货产量与产能、能耗分析表F2-63'!$A$1:$J$45</definedName>
    <definedName name="_xlnm.Print_Area" localSheetId="14">访谈记录与核对示例!$A$1:$I$67</definedName>
    <definedName name="_xlnm.Print_Area" localSheetId="13">'供应商访谈记录F2-72'!$A$1:$H$57</definedName>
    <definedName name="_xlnm.Print_Area" localSheetId="12">'供应商访谈记录汇总表F2-71'!$A$1:$H$22</definedName>
    <definedName name="_xlnm.Print_Area" localSheetId="10">'供应商核查清单F2-69'!$A$1:$N$33</definedName>
    <definedName name="_xlnm.Print_Area" localSheetId="11">'供应商信息核查表F2-70'!$A$1:$M$45</definedName>
    <definedName name="_xlnm.Print_Area" localSheetId="7">'关联方采购定价公允性核查（市场价）F2-66'!$A$1:$F$44</definedName>
    <definedName name="_xlnm.Print_Area" localSheetId="6">'关联方采购定价公允性核查（询价函）F2-65'!$A$1:$H$44</definedName>
    <definedName name="_xlnm.Print_Area" localSheetId="8">'识别未披露的关联方F2-67'!$A$1:$R$39</definedName>
    <definedName name="_xlnm.Print_Area" localSheetId="2">'原材料采购价格分析表F2-61'!$A$1:$P$40</definedName>
    <definedName name="_xlnm.Print_Area" localSheetId="3">'原材料单价分析F2-62'!$A$1:$J$54</definedName>
    <definedName name="_xlnm.Print_Area" localSheetId="9">'重要供应商结构分析F2-68'!$A$1:$R$42</definedName>
    <definedName name="_xlnm.Print_Area" localSheetId="5">'主要产品生产成本及单耗分析表F2-64'!$A$1:$O$140</definedName>
    <definedName name="_xlnm.Print_Titles" localSheetId="1">'程序表F2-61A'!$15:$16</definedName>
    <definedName name="RDES" localSheetId="4" hidden="1">#REF!</definedName>
    <definedName name="RDES" localSheetId="0" hidden="1">#REF!</definedName>
    <definedName name="RDES" localSheetId="14" hidden="1">#REF!</definedName>
    <definedName name="RDES" localSheetId="10" hidden="1">#REF!</definedName>
    <definedName name="RDES" localSheetId="11" hidden="1">#REF!</definedName>
    <definedName name="RDES" localSheetId="7" hidden="1">#REF!</definedName>
    <definedName name="RDES" localSheetId="6" hidden="1">#REF!</definedName>
    <definedName name="RDES" localSheetId="8" hidden="1">#REF!</definedName>
    <definedName name="RDES" localSheetId="2" hidden="1">#REF!</definedName>
    <definedName name="RDES" localSheetId="9" hidden="1">#REF!</definedName>
    <definedName name="RDES" hidden="1">#REF!</definedName>
    <definedName name="s" localSheetId="14" hidden="1">{#N/A,#N/A,FALSE,"BBPREP"}</definedName>
    <definedName name="s" localSheetId="11" hidden="1">{#N/A,#N/A,FALSE,"BBPREP"}</definedName>
    <definedName name="SAPBEXrevision" hidden="1">1</definedName>
    <definedName name="SAPBEXsysID" hidden="1">"PE4"</definedName>
    <definedName name="SAPBEXwbID" hidden="1">"3Q4R7W3VD66V3CXTGQHGIRCBE"</definedName>
    <definedName name="t" localSheetId="14" hidden="1">{#N/A,#N/A,FALSE,"BBPREP"}</definedName>
    <definedName name="t" hidden="1">{#N/A,#N/A,FALSE,"BBPREP"}</definedName>
    <definedName name="TextRefCopyRangeCount" localSheetId="0" hidden="1">4</definedName>
    <definedName name="TextRefCopyRangeCount" hidden="1">136</definedName>
    <definedName name="VFE" localSheetId="4" hidden="1">#REF!</definedName>
    <definedName name="VFE" localSheetId="0" hidden="1">#REF!</definedName>
    <definedName name="VFE" localSheetId="14" hidden="1">#REF!</definedName>
    <definedName name="VFE" localSheetId="10" hidden="1">#REF!</definedName>
    <definedName name="VFE" localSheetId="11" hidden="1">#REF!</definedName>
    <definedName name="VFE" localSheetId="7" hidden="1">#REF!</definedName>
    <definedName name="VFE" localSheetId="6" hidden="1">#REF!</definedName>
    <definedName name="VFE" localSheetId="8" hidden="1">#REF!</definedName>
    <definedName name="VFE" localSheetId="2" hidden="1">#REF!</definedName>
    <definedName name="VFE" localSheetId="9" hidden="1">#REF!</definedName>
    <definedName name="VFE" hidden="1">#REF!</definedName>
    <definedName name="XAP" localSheetId="4" hidden="1">#REF!</definedName>
    <definedName name="XAP" localSheetId="0" hidden="1">#REF!</definedName>
    <definedName name="XAP" localSheetId="14" hidden="1">#REF!</definedName>
    <definedName name="XAP" localSheetId="10" hidden="1">#REF!</definedName>
    <definedName name="XAP" localSheetId="11" hidden="1">#REF!</definedName>
    <definedName name="XAP" localSheetId="7" hidden="1">#REF!</definedName>
    <definedName name="XAP" localSheetId="6" hidden="1">#REF!</definedName>
    <definedName name="XAP" localSheetId="8" hidden="1">#REF!</definedName>
    <definedName name="XAP" localSheetId="2" hidden="1">#REF!</definedName>
    <definedName name="XAP" localSheetId="9" hidden="1">#REF!</definedName>
    <definedName name="XAP" hidden="1">#REF!</definedName>
    <definedName name="XAQ" localSheetId="4" hidden="1">#REF!</definedName>
    <definedName name="XAQ" localSheetId="0" hidden="1">#REF!</definedName>
    <definedName name="XAQ" localSheetId="14" hidden="1">#REF!</definedName>
    <definedName name="XAQ" localSheetId="10" hidden="1">#REF!</definedName>
    <definedName name="XAQ" localSheetId="11" hidden="1">#REF!</definedName>
    <definedName name="XAQ" localSheetId="7" hidden="1">#REF!</definedName>
    <definedName name="XAQ" localSheetId="6" hidden="1">#REF!</definedName>
    <definedName name="XAQ" localSheetId="8" hidden="1">#REF!</definedName>
    <definedName name="XAQ" localSheetId="2" hidden="1">#REF!</definedName>
    <definedName name="XAQ" localSheetId="9" hidden="1">#REF!</definedName>
    <definedName name="XAQ" hidden="1">#REF!</definedName>
    <definedName name="XCD" localSheetId="4" hidden="1">#REF!</definedName>
    <definedName name="XCD" localSheetId="0" hidden="1">#REF!</definedName>
    <definedName name="XCD" localSheetId="14" hidden="1">#REF!</definedName>
    <definedName name="XCD" localSheetId="10" hidden="1">#REF!</definedName>
    <definedName name="XCD" localSheetId="11" hidden="1">#REF!</definedName>
    <definedName name="XCD" localSheetId="7" hidden="1">#REF!</definedName>
    <definedName name="XCD" localSheetId="6" hidden="1">#REF!</definedName>
    <definedName name="XCD" localSheetId="8" hidden="1">#REF!</definedName>
    <definedName name="XCD" localSheetId="2" hidden="1">#REF!</definedName>
    <definedName name="XCD" localSheetId="9" hidden="1">#REF!</definedName>
    <definedName name="XCD" hidden="1">#REF!</definedName>
    <definedName name="XREF_COLUMN_1" localSheetId="4" hidden="1">#REF!</definedName>
    <definedName name="XREF_COLUMN_1" localSheetId="0" hidden="1">#REF!</definedName>
    <definedName name="XREF_COLUMN_1" localSheetId="14" hidden="1">#REF!</definedName>
    <definedName name="XREF_COLUMN_1" localSheetId="10" hidden="1">#REF!</definedName>
    <definedName name="XREF_COLUMN_1" localSheetId="11" hidden="1">#REF!</definedName>
    <definedName name="XREF_COLUMN_1" localSheetId="7" hidden="1">#REF!</definedName>
    <definedName name="XREF_COLUMN_1" localSheetId="6" hidden="1">#REF!</definedName>
    <definedName name="XREF_COLUMN_1" localSheetId="8" hidden="1">#REF!</definedName>
    <definedName name="XREF_COLUMN_1" localSheetId="2" hidden="1">#REF!</definedName>
    <definedName name="XREF_COLUMN_1" localSheetId="9" hidden="1">#REF!</definedName>
    <definedName name="XREF_COLUMN_1" hidden="1">#REF!</definedName>
    <definedName name="XREF_COLUMN_2" localSheetId="4" hidden="1">[1]Breakdown!#REF!</definedName>
    <definedName name="XREF_COLUMN_2" localSheetId="0" hidden="1">[1]Breakdown!#REF!</definedName>
    <definedName name="XREF_COLUMN_2" localSheetId="14" hidden="1">[1]Breakdown!#REF!</definedName>
    <definedName name="XREF_COLUMN_2" localSheetId="10" hidden="1">[1]Breakdown!#REF!</definedName>
    <definedName name="XREF_COLUMN_2" localSheetId="11" hidden="1">[1]Breakdown!#REF!</definedName>
    <definedName name="XREF_COLUMN_2" localSheetId="7" hidden="1">[1]Breakdown!#REF!</definedName>
    <definedName name="XREF_COLUMN_2" localSheetId="6" hidden="1">[1]Breakdown!#REF!</definedName>
    <definedName name="XREF_COLUMN_2" localSheetId="8" hidden="1">[1]Breakdown!#REF!</definedName>
    <definedName name="XREF_COLUMN_2" localSheetId="2" hidden="1">[1]Breakdown!#REF!</definedName>
    <definedName name="XREF_COLUMN_2" localSheetId="9" hidden="1">[1]Breakdown!#REF!</definedName>
    <definedName name="XREF_COLUMN_2" hidden="1">[1]Breakdown!#REF!</definedName>
    <definedName name="XREF_COLUMN_3" localSheetId="4" hidden="1">#REF!</definedName>
    <definedName name="XREF_COLUMN_3" localSheetId="0" hidden="1">#REF!</definedName>
    <definedName name="XREF_COLUMN_3" localSheetId="14" hidden="1">#REF!</definedName>
    <definedName name="XREF_COLUMN_3" localSheetId="10" hidden="1">#REF!</definedName>
    <definedName name="XREF_COLUMN_3" localSheetId="11" hidden="1">#REF!</definedName>
    <definedName name="XREF_COLUMN_3" localSheetId="7" hidden="1">#REF!</definedName>
    <definedName name="XREF_COLUMN_3" localSheetId="6" hidden="1">#REF!</definedName>
    <definedName name="XREF_COLUMN_3" localSheetId="8" hidden="1">#REF!</definedName>
    <definedName name="XREF_COLUMN_3" localSheetId="2" hidden="1">#REF!</definedName>
    <definedName name="XREF_COLUMN_3" localSheetId="9" hidden="1">#REF!</definedName>
    <definedName name="XREF_COLUMN_3" hidden="1">#REF!</definedName>
    <definedName name="XREF_COLUMN_5" localSheetId="4" hidden="1">'[2]2004'!#REF!</definedName>
    <definedName name="XREF_COLUMN_5" localSheetId="0" hidden="1">'[2]2004'!#REF!</definedName>
    <definedName name="XREF_COLUMN_5" localSheetId="14" hidden="1">'[2]2004'!#REF!</definedName>
    <definedName name="XREF_COLUMN_5" localSheetId="10" hidden="1">'[2]2004'!#REF!</definedName>
    <definedName name="XREF_COLUMN_5" localSheetId="11" hidden="1">'[2]2004'!#REF!</definedName>
    <definedName name="XREF_COLUMN_5" localSheetId="7" hidden="1">'[2]2004'!#REF!</definedName>
    <definedName name="XREF_COLUMN_5" localSheetId="6" hidden="1">'[2]2004'!#REF!</definedName>
    <definedName name="XREF_COLUMN_5" localSheetId="8" hidden="1">'[2]2004'!#REF!</definedName>
    <definedName name="XREF_COLUMN_5" localSheetId="2" hidden="1">'[2]2004'!#REF!</definedName>
    <definedName name="XREF_COLUMN_5" localSheetId="9" hidden="1">'[2]2004'!#REF!</definedName>
    <definedName name="XREF_COLUMN_5" hidden="1">'[2]2004'!#REF!</definedName>
    <definedName name="XRefActiveRow" localSheetId="4" hidden="1">#REF!</definedName>
    <definedName name="XRefActiveRow" localSheetId="0" hidden="1">#REF!</definedName>
    <definedName name="XRefActiveRow" localSheetId="14" hidden="1">#REF!</definedName>
    <definedName name="XRefActiveRow" localSheetId="10" hidden="1">#REF!</definedName>
    <definedName name="XRefActiveRow" localSheetId="11" hidden="1">#REF!</definedName>
    <definedName name="XRefActiveRow" localSheetId="7" hidden="1">#REF!</definedName>
    <definedName name="XRefActiveRow" localSheetId="6" hidden="1">#REF!</definedName>
    <definedName name="XRefActiveRow" localSheetId="8" hidden="1">#REF!</definedName>
    <definedName name="XRefActiveRow" localSheetId="2" hidden="1">#REF!</definedName>
    <definedName name="XRefActiveRow" localSheetId="9" hidden="1">#REF!</definedName>
    <definedName name="XRefActiveRow" hidden="1">#REF!</definedName>
    <definedName name="XRefColumnsCount" hidden="1">2</definedName>
    <definedName name="XRefCopy1" localSheetId="4" hidden="1">#REF!</definedName>
    <definedName name="XRefCopy1" localSheetId="0" hidden="1">#REF!</definedName>
    <definedName name="XRefCopy1" localSheetId="14" hidden="1">#REF!</definedName>
    <definedName name="XRefCopy1" localSheetId="10" hidden="1">#REF!</definedName>
    <definedName name="XRefCopy1" localSheetId="11" hidden="1">#REF!</definedName>
    <definedName name="XRefCopy1" localSheetId="7" hidden="1">#REF!</definedName>
    <definedName name="XRefCopy1" localSheetId="6" hidden="1">#REF!</definedName>
    <definedName name="XRefCopy1" localSheetId="8" hidden="1">#REF!</definedName>
    <definedName name="XRefCopy1" localSheetId="2" hidden="1">#REF!</definedName>
    <definedName name="XRefCopy1" localSheetId="9" hidden="1">#REF!</definedName>
    <definedName name="XRefCopy1" hidden="1">#REF!</definedName>
    <definedName name="XRefCopy1Row" localSheetId="4" hidden="1">#REF!</definedName>
    <definedName name="XRefCopy1Row" localSheetId="0" hidden="1">#REF!</definedName>
    <definedName name="XRefCopy1Row" localSheetId="14" hidden="1">#REF!</definedName>
    <definedName name="XRefCopy1Row" localSheetId="10" hidden="1">#REF!</definedName>
    <definedName name="XRefCopy1Row" localSheetId="11" hidden="1">#REF!</definedName>
    <definedName name="XRefCopy1Row" localSheetId="7" hidden="1">#REF!</definedName>
    <definedName name="XRefCopy1Row" localSheetId="6" hidden="1">#REF!</definedName>
    <definedName name="XRefCopy1Row" localSheetId="8" hidden="1">#REF!</definedName>
    <definedName name="XRefCopy1Row" localSheetId="2" hidden="1">#REF!</definedName>
    <definedName name="XRefCopy1Row" localSheetId="9" hidden="1">#REF!</definedName>
    <definedName name="XRefCopy1Row" hidden="1">#REF!</definedName>
    <definedName name="XRefCopy2Row" localSheetId="4" hidden="1">#REF!</definedName>
    <definedName name="XRefCopy2Row" localSheetId="0" hidden="1">#REF!</definedName>
    <definedName name="XRefCopy2Row" localSheetId="14" hidden="1">#REF!</definedName>
    <definedName name="XRefCopy2Row" localSheetId="10" hidden="1">#REF!</definedName>
    <definedName name="XRefCopy2Row" localSheetId="11" hidden="1">#REF!</definedName>
    <definedName name="XRefCopy2Row" localSheetId="7" hidden="1">#REF!</definedName>
    <definedName name="XRefCopy2Row" localSheetId="6" hidden="1">#REF!</definedName>
    <definedName name="XRefCopy2Row" localSheetId="8" hidden="1">#REF!</definedName>
    <definedName name="XRefCopy2Row" localSheetId="2" hidden="1">#REF!</definedName>
    <definedName name="XRefCopy2Row" localSheetId="9" hidden="1">#REF!</definedName>
    <definedName name="XRefCopy2Row" hidden="1">#REF!</definedName>
    <definedName name="XRefCopyRangeCount" hidden="1">2</definedName>
    <definedName name="XRefPaste1" localSheetId="4" hidden="1">#REF!</definedName>
    <definedName name="XRefPaste1" localSheetId="0" hidden="1">#REF!</definedName>
    <definedName name="XRefPaste1" localSheetId="14" hidden="1">#REF!</definedName>
    <definedName name="XRefPaste1" localSheetId="10" hidden="1">#REF!</definedName>
    <definedName name="XRefPaste1" localSheetId="11" hidden="1">#REF!</definedName>
    <definedName name="XRefPaste1" localSheetId="7" hidden="1">#REF!</definedName>
    <definedName name="XRefPaste1" localSheetId="6" hidden="1">#REF!</definedName>
    <definedName name="XRefPaste1" localSheetId="8" hidden="1">#REF!</definedName>
    <definedName name="XRefPaste1" localSheetId="2" hidden="1">#REF!</definedName>
    <definedName name="XRefPaste1" localSheetId="9" hidden="1">#REF!</definedName>
    <definedName name="XRefPaste1" hidden="1">#REF!</definedName>
    <definedName name="XRefPaste1Row" localSheetId="4" hidden="1">#REF!</definedName>
    <definedName name="XRefPaste1Row" localSheetId="0" hidden="1">#REF!</definedName>
    <definedName name="XRefPaste1Row" localSheetId="14" hidden="1">#REF!</definedName>
    <definedName name="XRefPaste1Row" localSheetId="10" hidden="1">#REF!</definedName>
    <definedName name="XRefPaste1Row" localSheetId="11" hidden="1">#REF!</definedName>
    <definedName name="XRefPaste1Row" localSheetId="7" hidden="1">#REF!</definedName>
    <definedName name="XRefPaste1Row" localSheetId="6" hidden="1">#REF!</definedName>
    <definedName name="XRefPaste1Row" localSheetId="8" hidden="1">#REF!</definedName>
    <definedName name="XRefPaste1Row" localSheetId="2" hidden="1">#REF!</definedName>
    <definedName name="XRefPaste1Row" localSheetId="9" hidden="1">#REF!</definedName>
    <definedName name="XRefPaste1Row" hidden="1">#REF!</definedName>
    <definedName name="XRefPaste2" localSheetId="4" hidden="1">#REF!</definedName>
    <definedName name="XRefPaste2" localSheetId="0" hidden="1">#REF!</definedName>
    <definedName name="XRefPaste2" localSheetId="14" hidden="1">#REF!</definedName>
    <definedName name="XRefPaste2" localSheetId="10" hidden="1">#REF!</definedName>
    <definedName name="XRefPaste2" localSheetId="11" hidden="1">#REF!</definedName>
    <definedName name="XRefPaste2" localSheetId="7" hidden="1">#REF!</definedName>
    <definedName name="XRefPaste2" localSheetId="6" hidden="1">#REF!</definedName>
    <definedName name="XRefPaste2" localSheetId="8" hidden="1">#REF!</definedName>
    <definedName name="XRefPaste2" localSheetId="2" hidden="1">#REF!</definedName>
    <definedName name="XRefPaste2" localSheetId="9" hidden="1">#REF!</definedName>
    <definedName name="XRefPaste2" hidden="1">#REF!</definedName>
    <definedName name="XRefPaste2Row" localSheetId="4" hidden="1">#REF!</definedName>
    <definedName name="XRefPaste2Row" localSheetId="0" hidden="1">#REF!</definedName>
    <definedName name="XRefPaste2Row" localSheetId="14" hidden="1">#REF!</definedName>
    <definedName name="XRefPaste2Row" localSheetId="10" hidden="1">#REF!</definedName>
    <definedName name="XRefPaste2Row" localSheetId="11" hidden="1">#REF!</definedName>
    <definedName name="XRefPaste2Row" localSheetId="7" hidden="1">#REF!</definedName>
    <definedName name="XRefPaste2Row" localSheetId="6" hidden="1">#REF!</definedName>
    <definedName name="XRefPaste2Row" localSheetId="8" hidden="1">#REF!</definedName>
    <definedName name="XRefPaste2Row" localSheetId="2" hidden="1">#REF!</definedName>
    <definedName name="XRefPaste2Row" localSheetId="9" hidden="1">#REF!</definedName>
    <definedName name="XRefPaste2Row" hidden="1">#REF!</definedName>
    <definedName name="XRefPaste3" localSheetId="4" hidden="1">#REF!</definedName>
    <definedName name="XRefPaste3" localSheetId="0" hidden="1">#REF!</definedName>
    <definedName name="XRefPaste3" localSheetId="14" hidden="1">#REF!</definedName>
    <definedName name="XRefPaste3" localSheetId="10" hidden="1">#REF!</definedName>
    <definedName name="XRefPaste3" localSheetId="11" hidden="1">#REF!</definedName>
    <definedName name="XRefPaste3" localSheetId="7" hidden="1">#REF!</definedName>
    <definedName name="XRefPaste3" localSheetId="6" hidden="1">#REF!</definedName>
    <definedName name="XRefPaste3" localSheetId="8" hidden="1">#REF!</definedName>
    <definedName name="XRefPaste3" localSheetId="2" hidden="1">#REF!</definedName>
    <definedName name="XRefPaste3" localSheetId="9" hidden="1">#REF!</definedName>
    <definedName name="XRefPaste3" hidden="1">#REF!</definedName>
    <definedName name="XRefPaste3Row" localSheetId="4" hidden="1">#REF!</definedName>
    <definedName name="XRefPaste3Row" localSheetId="0" hidden="1">#REF!</definedName>
    <definedName name="XRefPaste3Row" localSheetId="14" hidden="1">#REF!</definedName>
    <definedName name="XRefPaste3Row" localSheetId="10" hidden="1">#REF!</definedName>
    <definedName name="XRefPaste3Row" localSheetId="11" hidden="1">#REF!</definedName>
    <definedName name="XRefPaste3Row" localSheetId="7" hidden="1">#REF!</definedName>
    <definedName name="XRefPaste3Row" localSheetId="6" hidden="1">#REF!</definedName>
    <definedName name="XRefPaste3Row" localSheetId="8" hidden="1">#REF!</definedName>
    <definedName name="XRefPaste3Row" localSheetId="2" hidden="1">#REF!</definedName>
    <definedName name="XRefPaste3Row" localSheetId="9" hidden="1">#REF!</definedName>
    <definedName name="XRefPaste3Row" hidden="1">#REF!</definedName>
    <definedName name="XRefPasteRangeCount" hidden="1">2</definedName>
    <definedName name="Z_47D4C474_81EA_4562_A03B_66488F80C527_.wvu.FilterData" localSheetId="4" hidden="1">#REF!</definedName>
    <definedName name="Z_47D4C474_81EA_4562_A03B_66488F80C527_.wvu.FilterData" localSheetId="14" hidden="1">#REF!</definedName>
    <definedName name="Z_47D4C474_81EA_4562_A03B_66488F80C527_.wvu.FilterData" localSheetId="10" hidden="1">#REF!</definedName>
    <definedName name="Z_47D4C474_81EA_4562_A03B_66488F80C527_.wvu.FilterData" localSheetId="7" hidden="1">#REF!</definedName>
    <definedName name="Z_47D4C474_81EA_4562_A03B_66488F80C527_.wvu.FilterData" localSheetId="6" hidden="1">#REF!</definedName>
    <definedName name="Z_47D4C474_81EA_4562_A03B_66488F80C527_.wvu.FilterData" localSheetId="8" hidden="1">#REF!</definedName>
    <definedName name="Z_47D4C474_81EA_4562_A03B_66488F80C527_.wvu.FilterData" localSheetId="2" hidden="1">#REF!</definedName>
    <definedName name="Z_47D4C474_81EA_4562_A03B_66488F80C527_.wvu.FilterData" localSheetId="9" hidden="1">#REF!</definedName>
    <definedName name="Z_47D4C474_81EA_4562_A03B_66488F80C527_.wvu.FilterData" hidden="1">#REF!</definedName>
    <definedName name="Z_85E7D15F_9559_4B54_A2EE_DCCECE011EC4_.wvu.Cols" localSheetId="4" hidden="1">#REF!</definedName>
    <definedName name="Z_85E7D15F_9559_4B54_A2EE_DCCECE011EC4_.wvu.Cols" localSheetId="14" hidden="1">#REF!</definedName>
    <definedName name="Z_85E7D15F_9559_4B54_A2EE_DCCECE011EC4_.wvu.Cols" localSheetId="10" hidden="1">#REF!</definedName>
    <definedName name="Z_85E7D15F_9559_4B54_A2EE_DCCECE011EC4_.wvu.Cols" localSheetId="7" hidden="1">#REF!</definedName>
    <definedName name="Z_85E7D15F_9559_4B54_A2EE_DCCECE011EC4_.wvu.Cols" localSheetId="6" hidden="1">#REF!</definedName>
    <definedName name="Z_85E7D15F_9559_4B54_A2EE_DCCECE011EC4_.wvu.Cols" localSheetId="8" hidden="1">#REF!</definedName>
    <definedName name="Z_85E7D15F_9559_4B54_A2EE_DCCECE011EC4_.wvu.Cols" localSheetId="2" hidden="1">#REF!</definedName>
    <definedName name="Z_85E7D15F_9559_4B54_A2EE_DCCECE011EC4_.wvu.Cols" localSheetId="9" hidden="1">#REF!</definedName>
    <definedName name="Z_85E7D15F_9559_4B54_A2EE_DCCECE011EC4_.wvu.Cols" hidden="1">#REF!</definedName>
    <definedName name="本循环科目" localSheetId="14" hidden="1">[3]索引!$D$15:$D$76</definedName>
    <definedName name="本循环科目" localSheetId="11" hidden="1">[3]索引!$D$15:$D$76</definedName>
    <definedName name="本循环科目" hidden="1">[4]索引!$D$15:$D$76</definedName>
    <definedName name="底稿目录" localSheetId="4" hidden="1">#REF!</definedName>
    <definedName name="底稿目录" localSheetId="0" hidden="1">#REF!</definedName>
    <definedName name="底稿目录" localSheetId="14" hidden="1">#REF!</definedName>
    <definedName name="底稿目录" localSheetId="10" hidden="1">#REF!</definedName>
    <definedName name="底稿目录" localSheetId="11" hidden="1">#REF!</definedName>
    <definedName name="底稿目录" localSheetId="7" hidden="1">#REF!</definedName>
    <definedName name="底稿目录" localSheetId="6" hidden="1">#REF!</definedName>
    <definedName name="底稿目录" localSheetId="8" hidden="1">#REF!</definedName>
    <definedName name="底稿目录" localSheetId="2" hidden="1">#REF!</definedName>
    <definedName name="底稿目录" localSheetId="9" hidden="1">#REF!</definedName>
    <definedName name="底稿目录" hidden="1">#REF!</definedName>
    <definedName name="去" localSheetId="14" hidden="1">#REF!</definedName>
    <definedName name="去" hidden="1">#REF!</definedName>
    <definedName name="新目录" localSheetId="4" hidden="1">#REF!</definedName>
    <definedName name="新目录" localSheetId="0" hidden="1">#REF!</definedName>
    <definedName name="新目录" localSheetId="14" hidden="1">#REF!</definedName>
    <definedName name="新目录" localSheetId="10" hidden="1">#REF!</definedName>
    <definedName name="新目录" localSheetId="11" hidden="1">#REF!</definedName>
    <definedName name="新目录" localSheetId="7" hidden="1">#REF!</definedName>
    <definedName name="新目录" localSheetId="6" hidden="1">#REF!</definedName>
    <definedName name="新目录" localSheetId="8" hidden="1">#REF!</definedName>
    <definedName name="新目录" localSheetId="2" hidden="1">#REF!</definedName>
    <definedName name="新目录" localSheetId="9" hidden="1">#REF!</definedName>
    <definedName name="新目录"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 i="7" l="1"/>
  <c r="J3" i="19"/>
  <c r="H3" i="27" l="1"/>
  <c r="E4" i="27" l="1"/>
  <c r="C4" i="27"/>
  <c r="A4" i="27"/>
  <c r="E3" i="27"/>
  <c r="C3" i="27"/>
  <c r="A3" i="27"/>
  <c r="G4" i="28" l="1"/>
  <c r="G3" i="28"/>
  <c r="E4" i="28"/>
  <c r="E3" i="28"/>
  <c r="A4" i="28"/>
  <c r="A3" i="28"/>
  <c r="H3" i="26"/>
  <c r="E4" i="26"/>
  <c r="C4" i="26"/>
  <c r="A4" i="26"/>
  <c r="E3" i="26"/>
  <c r="C3" i="26"/>
  <c r="A3" i="26"/>
  <c r="M3" i="16" l="1"/>
  <c r="H4" i="16"/>
  <c r="H3" i="16"/>
  <c r="E4" i="16"/>
  <c r="E3" i="16"/>
  <c r="A4" i="16"/>
  <c r="A3" i="16"/>
  <c r="N3" i="15"/>
  <c r="C36" i="12" l="1"/>
  <c r="J36" i="12"/>
  <c r="E36" i="12"/>
  <c r="D34" i="12"/>
  <c r="F34" i="12"/>
  <c r="D35" i="12"/>
  <c r="F35" i="12"/>
  <c r="J20" i="12"/>
  <c r="E20" i="12"/>
  <c r="C20" i="12"/>
  <c r="D18" i="12"/>
  <c r="F18" i="12"/>
  <c r="D19" i="12"/>
  <c r="F19" i="12"/>
  <c r="J3" i="12"/>
  <c r="J4" i="12"/>
  <c r="E4" i="12"/>
  <c r="E3" i="12"/>
  <c r="A4" i="12"/>
  <c r="A3" i="12"/>
  <c r="R3" i="12"/>
  <c r="F8" i="12"/>
  <c r="D8" i="12"/>
  <c r="R3" i="23"/>
  <c r="N4" i="23"/>
  <c r="N3" i="23"/>
  <c r="I4" i="23"/>
  <c r="I3" i="23"/>
  <c r="A4" i="23"/>
  <c r="A3" i="23"/>
  <c r="F3" i="22"/>
  <c r="D4" i="22"/>
  <c r="D3" i="22"/>
  <c r="B4" i="22"/>
  <c r="B3" i="22"/>
  <c r="A4" i="22"/>
  <c r="A3" i="22"/>
  <c r="H3" i="21"/>
  <c r="E4" i="21"/>
  <c r="E3" i="21"/>
  <c r="C4" i="21"/>
  <c r="C3" i="21"/>
  <c r="A4" i="21"/>
  <c r="A3" i="21"/>
  <c r="J102" i="10" l="1"/>
  <c r="J103" i="10"/>
  <c r="J104" i="10"/>
  <c r="J101" i="10"/>
  <c r="H104" i="10"/>
  <c r="H102" i="10"/>
  <c r="H103" i="10"/>
  <c r="H101" i="10"/>
  <c r="F103" i="10"/>
  <c r="F102" i="10"/>
  <c r="F101" i="10"/>
  <c r="F104" i="10"/>
  <c r="H72" i="10"/>
  <c r="I41" i="10"/>
  <c r="I54" i="10"/>
  <c r="G41" i="10"/>
  <c r="O3" i="10"/>
  <c r="I4" i="10"/>
  <c r="I3" i="10"/>
  <c r="E4" i="10"/>
  <c r="E3" i="10"/>
  <c r="A4" i="10"/>
  <c r="A3" i="10"/>
  <c r="I34" i="9"/>
  <c r="H35" i="9"/>
  <c r="H36" i="9"/>
  <c r="H37" i="9"/>
  <c r="H38" i="9"/>
  <c r="F35" i="9"/>
  <c r="F36" i="9"/>
  <c r="F37" i="9"/>
  <c r="F38" i="9"/>
  <c r="D25" i="9"/>
  <c r="F30" i="9"/>
  <c r="C30" i="9"/>
  <c r="I21" i="9"/>
  <c r="F21" i="9"/>
  <c r="I17" i="9"/>
  <c r="H17" i="9"/>
  <c r="F17" i="9"/>
  <c r="G17" i="9"/>
  <c r="D7" i="9"/>
  <c r="J3" i="9"/>
  <c r="G4" i="9"/>
  <c r="G3" i="9"/>
  <c r="D4" i="9"/>
  <c r="D3" i="9"/>
  <c r="A4" i="9"/>
  <c r="A3" i="9"/>
  <c r="J3" i="2"/>
  <c r="G42" i="2"/>
  <c r="H48" i="2"/>
  <c r="I48" i="2"/>
  <c r="F48" i="2"/>
  <c r="E48" i="2"/>
  <c r="B48" i="2"/>
  <c r="C48" i="2"/>
  <c r="G4" i="2"/>
  <c r="G3" i="2"/>
  <c r="D4" i="2"/>
  <c r="D3" i="2"/>
  <c r="A4" i="2"/>
  <c r="A3" i="2"/>
  <c r="D26" i="2"/>
  <c r="D27" i="2"/>
  <c r="D28" i="2"/>
  <c r="D29" i="2"/>
  <c r="D30" i="2"/>
  <c r="D31" i="2"/>
  <c r="D32" i="2"/>
  <c r="D33" i="2"/>
  <c r="D34" i="2"/>
  <c r="D35" i="2"/>
  <c r="D36" i="2"/>
  <c r="D25" i="2"/>
  <c r="J26" i="2"/>
  <c r="J27" i="2"/>
  <c r="J28" i="2"/>
  <c r="J29" i="2"/>
  <c r="J30" i="2"/>
  <c r="J31" i="2"/>
  <c r="J32" i="2"/>
  <c r="J33" i="2"/>
  <c r="J34" i="2"/>
  <c r="J35" i="2"/>
  <c r="J36" i="2"/>
  <c r="G26" i="2"/>
  <c r="G27" i="2"/>
  <c r="G28" i="2"/>
  <c r="G29" i="2"/>
  <c r="G30" i="2"/>
  <c r="G31" i="2"/>
  <c r="G32" i="2"/>
  <c r="G33" i="2"/>
  <c r="G34" i="2"/>
  <c r="G35" i="2"/>
  <c r="G36" i="2"/>
  <c r="J25" i="2"/>
  <c r="G25" i="2"/>
  <c r="G8" i="2"/>
  <c r="D8" i="2"/>
  <c r="C20" i="2"/>
  <c r="B20" i="2"/>
  <c r="D20" i="2" s="1"/>
  <c r="P20" i="7" l="1"/>
  <c r="N20" i="7"/>
  <c r="B12" i="7"/>
  <c r="J4" i="7"/>
  <c r="J3" i="7"/>
  <c r="E4" i="7"/>
  <c r="E3" i="7"/>
  <c r="A4" i="7"/>
  <c r="A3" i="7"/>
  <c r="F4" i="19"/>
  <c r="F3" i="19"/>
  <c r="D4" i="19"/>
  <c r="D3" i="19"/>
  <c r="A4" i="19"/>
  <c r="A3" i="19"/>
  <c r="M16" i="23" l="1"/>
  <c r="M15" i="23"/>
  <c r="I72" i="10" l="1"/>
  <c r="M72" i="10" l="1"/>
  <c r="L72" i="10"/>
  <c r="K72" i="10"/>
  <c r="J72" i="10"/>
  <c r="J4" i="15" l="1"/>
  <c r="F4" i="15"/>
  <c r="A4" i="15"/>
  <c r="J3" i="15"/>
  <c r="F3" i="15"/>
  <c r="A3" i="15"/>
  <c r="G26" i="9" l="1"/>
  <c r="G27" i="9"/>
  <c r="G28" i="9"/>
  <c r="G29" i="9"/>
  <c r="G25" i="9"/>
  <c r="D26" i="9"/>
  <c r="D27" i="9"/>
  <c r="D28" i="9"/>
  <c r="D29" i="9"/>
  <c r="H21" i="9"/>
  <c r="G21" i="9"/>
  <c r="A35" i="9"/>
  <c r="A36" i="9"/>
  <c r="A37" i="9"/>
  <c r="A38" i="9"/>
  <c r="A34" i="9"/>
  <c r="B37" i="9"/>
  <c r="B38" i="9"/>
  <c r="F33" i="12" l="1"/>
  <c r="D33" i="12"/>
  <c r="F32" i="12"/>
  <c r="D32" i="12"/>
  <c r="F31" i="12"/>
  <c r="D31" i="12"/>
  <c r="F30" i="12"/>
  <c r="D30" i="12"/>
  <c r="F29" i="12"/>
  <c r="D29" i="12"/>
  <c r="F28" i="12"/>
  <c r="D28" i="12"/>
  <c r="F27" i="12"/>
  <c r="D27" i="12"/>
  <c r="F26" i="12"/>
  <c r="D26" i="12"/>
  <c r="F25" i="12"/>
  <c r="D25" i="12"/>
  <c r="F24" i="12"/>
  <c r="D24" i="12"/>
  <c r="F17" i="12"/>
  <c r="D17" i="12"/>
  <c r="F16" i="12"/>
  <c r="D16" i="12"/>
  <c r="F15" i="12"/>
  <c r="D15" i="12"/>
  <c r="F14" i="12"/>
  <c r="D14" i="12"/>
  <c r="F13" i="12"/>
  <c r="D13" i="12"/>
  <c r="F12" i="12"/>
  <c r="D12" i="12"/>
  <c r="F11" i="12"/>
  <c r="D11" i="12"/>
  <c r="F10" i="12"/>
  <c r="D10" i="12"/>
  <c r="F9" i="12"/>
  <c r="D9" i="12"/>
  <c r="C97" i="10"/>
  <c r="D97" i="10"/>
  <c r="E97" i="10"/>
  <c r="F97" i="10"/>
  <c r="G97" i="10"/>
  <c r="H96" i="10"/>
  <c r="H95" i="10"/>
  <c r="H94" i="10"/>
  <c r="H93" i="10"/>
  <c r="H92" i="10"/>
  <c r="H91" i="10"/>
  <c r="H90" i="10"/>
  <c r="H89" i="10"/>
  <c r="H88" i="10"/>
  <c r="H87" i="10"/>
  <c r="H86" i="10"/>
  <c r="H85" i="10"/>
  <c r="I86" i="10"/>
  <c r="J86" i="10" s="1"/>
  <c r="I87" i="10"/>
  <c r="J87" i="10" s="1"/>
  <c r="I88" i="10"/>
  <c r="J88" i="10" s="1"/>
  <c r="I89" i="10"/>
  <c r="J89" i="10" s="1"/>
  <c r="I90" i="10"/>
  <c r="J90" i="10" s="1"/>
  <c r="I91" i="10"/>
  <c r="K91" i="10" s="1"/>
  <c r="I92" i="10"/>
  <c r="J92" i="10" s="1"/>
  <c r="I93" i="10"/>
  <c r="J93" i="10" s="1"/>
  <c r="I94" i="10"/>
  <c r="J94" i="10" s="1"/>
  <c r="I95" i="10"/>
  <c r="J95" i="10" s="1"/>
  <c r="I96" i="10"/>
  <c r="J96" i="10" s="1"/>
  <c r="I85" i="10"/>
  <c r="K85" i="10" s="1"/>
  <c r="I73" i="10"/>
  <c r="L73" i="10" s="1"/>
  <c r="I74" i="10"/>
  <c r="J74" i="10" s="1"/>
  <c r="I75" i="10"/>
  <c r="L75" i="10" s="1"/>
  <c r="I76" i="10"/>
  <c r="K76" i="10" s="1"/>
  <c r="I77" i="10"/>
  <c r="L77" i="10" s="1"/>
  <c r="I78" i="10"/>
  <c r="J78" i="10" s="1"/>
  <c r="I79" i="10"/>
  <c r="L79" i="10" s="1"/>
  <c r="I80" i="10"/>
  <c r="K80" i="10" s="1"/>
  <c r="I81" i="10"/>
  <c r="L81" i="10" s="1"/>
  <c r="I82" i="10"/>
  <c r="J82" i="10" s="1"/>
  <c r="I83" i="10"/>
  <c r="L83" i="10" s="1"/>
  <c r="D84" i="10"/>
  <c r="E84" i="10"/>
  <c r="F84" i="10"/>
  <c r="G84" i="10"/>
  <c r="C84" i="10"/>
  <c r="H73" i="10"/>
  <c r="H74" i="10"/>
  <c r="M74" i="10" s="1"/>
  <c r="H75" i="10"/>
  <c r="H76" i="10"/>
  <c r="H77" i="10"/>
  <c r="H78" i="10"/>
  <c r="H79" i="10"/>
  <c r="M79" i="10" s="1"/>
  <c r="H80" i="10"/>
  <c r="H81" i="10"/>
  <c r="H82" i="10"/>
  <c r="M82" i="10" s="1"/>
  <c r="H83" i="10"/>
  <c r="C126" i="10"/>
  <c r="H126" i="10" s="1"/>
  <c r="C127" i="10"/>
  <c r="H127" i="10" s="1"/>
  <c r="C128" i="10"/>
  <c r="M128" i="10" s="1"/>
  <c r="C129" i="10"/>
  <c r="H129" i="10" s="1"/>
  <c r="C130" i="10"/>
  <c r="H130" i="10" s="1"/>
  <c r="C131" i="10"/>
  <c r="G131" i="10" s="1"/>
  <c r="C132" i="10"/>
  <c r="G132" i="10" s="1"/>
  <c r="C133" i="10"/>
  <c r="H133" i="10" s="1"/>
  <c r="C134" i="10"/>
  <c r="L134" i="10" s="1"/>
  <c r="C135" i="10"/>
  <c r="L135" i="10" s="1"/>
  <c r="C136" i="10"/>
  <c r="M136" i="10" s="1"/>
  <c r="C125" i="10"/>
  <c r="G125" i="10" s="1"/>
  <c r="C113" i="10"/>
  <c r="G113" i="10" s="1"/>
  <c r="C114" i="10"/>
  <c r="M114" i="10" s="1"/>
  <c r="C115" i="10"/>
  <c r="L115" i="10" s="1"/>
  <c r="C116" i="10"/>
  <c r="C117" i="10"/>
  <c r="G117" i="10" s="1"/>
  <c r="C118" i="10"/>
  <c r="M118" i="10" s="1"/>
  <c r="C119" i="10"/>
  <c r="H119" i="10" s="1"/>
  <c r="C120" i="10"/>
  <c r="G120" i="10" s="1"/>
  <c r="C121" i="10"/>
  <c r="H121" i="10" s="1"/>
  <c r="C122" i="10"/>
  <c r="L122" i="10" s="1"/>
  <c r="C123" i="10"/>
  <c r="G123" i="10" s="1"/>
  <c r="C112" i="10"/>
  <c r="G112" i="10" s="1"/>
  <c r="K137" i="10"/>
  <c r="I137" i="10"/>
  <c r="F137" i="10"/>
  <c r="D137" i="10"/>
  <c r="L130" i="10"/>
  <c r="M130" i="10"/>
  <c r="M131" i="10"/>
  <c r="M134" i="10"/>
  <c r="H131" i="10"/>
  <c r="H132" i="10"/>
  <c r="H134" i="10"/>
  <c r="G134" i="10"/>
  <c r="L113" i="10"/>
  <c r="M113" i="10"/>
  <c r="L114" i="10"/>
  <c r="L116" i="10"/>
  <c r="M116" i="10"/>
  <c r="L117" i="10"/>
  <c r="M117" i="10"/>
  <c r="L121" i="10"/>
  <c r="M121" i="10"/>
  <c r="G116" i="10"/>
  <c r="H116" i="10"/>
  <c r="H117" i="10"/>
  <c r="G121" i="10"/>
  <c r="H123" i="10"/>
  <c r="K124" i="10"/>
  <c r="I124" i="10"/>
  <c r="F124" i="10"/>
  <c r="D124" i="10"/>
  <c r="G54" i="10"/>
  <c r="C66" i="10"/>
  <c r="H66" i="10"/>
  <c r="F66" i="10"/>
  <c r="E66" i="10"/>
  <c r="I66" i="10" s="1"/>
  <c r="D66" i="10"/>
  <c r="I65" i="10"/>
  <c r="G65" i="10"/>
  <c r="I64" i="10"/>
  <c r="G64" i="10"/>
  <c r="I63" i="10"/>
  <c r="G63" i="10"/>
  <c r="I62" i="10"/>
  <c r="G62" i="10"/>
  <c r="I61" i="10"/>
  <c r="G61" i="10"/>
  <c r="I60" i="10"/>
  <c r="G60" i="10"/>
  <c r="I59" i="10"/>
  <c r="G59" i="10"/>
  <c r="I58" i="10"/>
  <c r="G58" i="10"/>
  <c r="I57" i="10"/>
  <c r="G57" i="10"/>
  <c r="I56" i="10"/>
  <c r="G56" i="10"/>
  <c r="I55" i="10"/>
  <c r="G55" i="10"/>
  <c r="E53" i="10"/>
  <c r="D53" i="10"/>
  <c r="C53" i="10"/>
  <c r="H53" i="10"/>
  <c r="I42" i="10"/>
  <c r="I43" i="10"/>
  <c r="I44" i="10"/>
  <c r="I45" i="10"/>
  <c r="I46" i="10"/>
  <c r="I47" i="10"/>
  <c r="I48" i="10"/>
  <c r="I49" i="10"/>
  <c r="I50" i="10"/>
  <c r="I51" i="10"/>
  <c r="I52" i="10"/>
  <c r="F53" i="10"/>
  <c r="G42" i="10"/>
  <c r="G43" i="10"/>
  <c r="G44" i="10"/>
  <c r="G45" i="10"/>
  <c r="G46" i="10"/>
  <c r="G47" i="10"/>
  <c r="G48" i="10"/>
  <c r="G49" i="10"/>
  <c r="G50" i="10"/>
  <c r="G51" i="10"/>
  <c r="G52" i="10"/>
  <c r="D34" i="10"/>
  <c r="C34" i="10"/>
  <c r="I22" i="10"/>
  <c r="M22" i="10" s="1"/>
  <c r="H34" i="10"/>
  <c r="G34" i="10"/>
  <c r="F34" i="10"/>
  <c r="E34" i="10"/>
  <c r="O33" i="10"/>
  <c r="N33" i="10"/>
  <c r="M33" i="10"/>
  <c r="L33" i="10"/>
  <c r="K33" i="10"/>
  <c r="J33" i="10"/>
  <c r="I33" i="10"/>
  <c r="O32" i="10"/>
  <c r="N32" i="10"/>
  <c r="M32" i="10"/>
  <c r="L32" i="10"/>
  <c r="K32" i="10"/>
  <c r="J32" i="10"/>
  <c r="I32" i="10"/>
  <c r="O31" i="10"/>
  <c r="N31" i="10"/>
  <c r="M31" i="10"/>
  <c r="L31" i="10"/>
  <c r="K31" i="10"/>
  <c r="J31" i="10"/>
  <c r="I31" i="10"/>
  <c r="O30" i="10"/>
  <c r="N30" i="10"/>
  <c r="M30" i="10"/>
  <c r="L30" i="10"/>
  <c r="K30" i="10"/>
  <c r="J30" i="10"/>
  <c r="I30" i="10"/>
  <c r="O29" i="10"/>
  <c r="N29" i="10"/>
  <c r="M29" i="10"/>
  <c r="L29" i="10"/>
  <c r="K29" i="10"/>
  <c r="J29" i="10"/>
  <c r="I29" i="10"/>
  <c r="O28" i="10"/>
  <c r="N28" i="10"/>
  <c r="M28" i="10"/>
  <c r="L28" i="10"/>
  <c r="K28" i="10"/>
  <c r="J28" i="10"/>
  <c r="I28" i="10"/>
  <c r="O27" i="10"/>
  <c r="N27" i="10"/>
  <c r="M27" i="10"/>
  <c r="L27" i="10"/>
  <c r="K27" i="10"/>
  <c r="J27" i="10"/>
  <c r="I27" i="10"/>
  <c r="O26" i="10"/>
  <c r="N26" i="10"/>
  <c r="M26" i="10"/>
  <c r="L26" i="10"/>
  <c r="K26" i="10"/>
  <c r="J26" i="10"/>
  <c r="I26" i="10"/>
  <c r="O25" i="10"/>
  <c r="N25" i="10"/>
  <c r="M25" i="10"/>
  <c r="L25" i="10"/>
  <c r="K25" i="10"/>
  <c r="J25" i="10"/>
  <c r="I25" i="10"/>
  <c r="O24" i="10"/>
  <c r="N24" i="10"/>
  <c r="M24" i="10"/>
  <c r="L24" i="10"/>
  <c r="K24" i="10"/>
  <c r="J24" i="10"/>
  <c r="I24" i="10"/>
  <c r="O23" i="10"/>
  <c r="N23" i="10"/>
  <c r="M23" i="10"/>
  <c r="L23" i="10"/>
  <c r="K23" i="10"/>
  <c r="J23" i="10"/>
  <c r="I23" i="10"/>
  <c r="I10" i="10"/>
  <c r="I11" i="10"/>
  <c r="I12" i="10"/>
  <c r="I13" i="10"/>
  <c r="I14" i="10"/>
  <c r="I15" i="10"/>
  <c r="I16" i="10"/>
  <c r="I17" i="10"/>
  <c r="I18" i="10"/>
  <c r="I19" i="10"/>
  <c r="I20" i="10"/>
  <c r="I9" i="10"/>
  <c r="M9" i="10" s="1"/>
  <c r="D21" i="10"/>
  <c r="E21" i="10"/>
  <c r="F21" i="10"/>
  <c r="G21" i="10"/>
  <c r="H21" i="10"/>
  <c r="C21" i="10"/>
  <c r="K10" i="10"/>
  <c r="L10" i="10"/>
  <c r="M10" i="10"/>
  <c r="N10" i="10"/>
  <c r="O10" i="10"/>
  <c r="K11" i="10"/>
  <c r="L11" i="10"/>
  <c r="M11" i="10"/>
  <c r="N11" i="10"/>
  <c r="O11" i="10"/>
  <c r="K12" i="10"/>
  <c r="L12" i="10"/>
  <c r="M12" i="10"/>
  <c r="N12" i="10"/>
  <c r="O12" i="10"/>
  <c r="K13" i="10"/>
  <c r="L13" i="10"/>
  <c r="M13" i="10"/>
  <c r="N13" i="10"/>
  <c r="O13" i="10"/>
  <c r="K14" i="10"/>
  <c r="L14" i="10"/>
  <c r="M14" i="10"/>
  <c r="N14" i="10"/>
  <c r="O14" i="10"/>
  <c r="K15" i="10"/>
  <c r="L15" i="10"/>
  <c r="M15" i="10"/>
  <c r="N15" i="10"/>
  <c r="O15" i="10"/>
  <c r="K16" i="10"/>
  <c r="L16" i="10"/>
  <c r="M16" i="10"/>
  <c r="N16" i="10"/>
  <c r="O16" i="10"/>
  <c r="K17" i="10"/>
  <c r="L17" i="10"/>
  <c r="M17" i="10"/>
  <c r="N17" i="10"/>
  <c r="O17" i="10"/>
  <c r="K18" i="10"/>
  <c r="L18" i="10"/>
  <c r="M18" i="10"/>
  <c r="N18" i="10"/>
  <c r="O18" i="10"/>
  <c r="K19" i="10"/>
  <c r="L19" i="10"/>
  <c r="M19" i="10"/>
  <c r="N19" i="10"/>
  <c r="O19" i="10"/>
  <c r="K20" i="10"/>
  <c r="L20" i="10"/>
  <c r="M20" i="10"/>
  <c r="N20" i="10"/>
  <c r="O20" i="10"/>
  <c r="O9" i="10"/>
  <c r="K9" i="10"/>
  <c r="J10" i="10"/>
  <c r="J11" i="10"/>
  <c r="J12" i="10"/>
  <c r="J13" i="10"/>
  <c r="J14" i="10"/>
  <c r="J15" i="10"/>
  <c r="J16" i="10"/>
  <c r="J17" i="10"/>
  <c r="J18" i="10"/>
  <c r="J19" i="10"/>
  <c r="J20" i="10"/>
  <c r="D36" i="12" l="1"/>
  <c r="F36" i="12"/>
  <c r="D20" i="12"/>
  <c r="F20" i="12"/>
  <c r="I53" i="10"/>
  <c r="M83" i="10"/>
  <c r="M75" i="10"/>
  <c r="L131" i="10"/>
  <c r="M85" i="10"/>
  <c r="J81" i="10"/>
  <c r="M129" i="10"/>
  <c r="G118" i="10"/>
  <c r="L129" i="10"/>
  <c r="M77" i="10"/>
  <c r="H135" i="10"/>
  <c r="J76" i="10"/>
  <c r="L91" i="10"/>
  <c r="K73" i="10"/>
  <c r="K90" i="10"/>
  <c r="J73" i="10"/>
  <c r="K89" i="10"/>
  <c r="M135" i="10"/>
  <c r="M90" i="10"/>
  <c r="K88" i="10"/>
  <c r="L118" i="10"/>
  <c r="G135" i="10"/>
  <c r="M91" i="10"/>
  <c r="J85" i="10"/>
  <c r="M76" i="10"/>
  <c r="M92" i="10"/>
  <c r="K81" i="10"/>
  <c r="L95" i="10"/>
  <c r="K95" i="10"/>
  <c r="M93" i="10"/>
  <c r="K94" i="10"/>
  <c r="L87" i="10"/>
  <c r="N9" i="10"/>
  <c r="G130" i="10"/>
  <c r="M127" i="10"/>
  <c r="C137" i="10"/>
  <c r="H97" i="10"/>
  <c r="M94" i="10"/>
  <c r="L93" i="10"/>
  <c r="K87" i="10"/>
  <c r="J80" i="10"/>
  <c r="L9" i="10"/>
  <c r="G66" i="10"/>
  <c r="H113" i="10"/>
  <c r="G129" i="10"/>
  <c r="L127" i="10"/>
  <c r="M81" i="10"/>
  <c r="H84" i="10"/>
  <c r="M87" i="10"/>
  <c r="M95" i="10"/>
  <c r="K93" i="10"/>
  <c r="K86" i="10"/>
  <c r="K79" i="10"/>
  <c r="L128" i="10"/>
  <c r="J9" i="10"/>
  <c r="G127" i="10"/>
  <c r="M126" i="10"/>
  <c r="M80" i="10"/>
  <c r="M88" i="10"/>
  <c r="M96" i="10"/>
  <c r="J79" i="10"/>
  <c r="G126" i="10"/>
  <c r="L126" i="10"/>
  <c r="C124" i="10"/>
  <c r="M89" i="10"/>
  <c r="L85" i="10"/>
  <c r="K77" i="10"/>
  <c r="G53" i="10"/>
  <c r="G119" i="10"/>
  <c r="H136" i="10"/>
  <c r="M78" i="10"/>
  <c r="K96" i="10"/>
  <c r="L89" i="10"/>
  <c r="J77" i="10"/>
  <c r="H122" i="10"/>
  <c r="M123" i="10"/>
  <c r="G128" i="10"/>
  <c r="L136" i="10"/>
  <c r="I97" i="10"/>
  <c r="J91" i="10"/>
  <c r="G122" i="10"/>
  <c r="L123" i="10"/>
  <c r="G136" i="10"/>
  <c r="M86" i="10"/>
  <c r="L82" i="10"/>
  <c r="L80" i="10"/>
  <c r="L78" i="10"/>
  <c r="L76" i="10"/>
  <c r="L74" i="10"/>
  <c r="K83" i="10"/>
  <c r="K75" i="10"/>
  <c r="H115" i="10"/>
  <c r="M122" i="10"/>
  <c r="H128" i="10"/>
  <c r="M132" i="10"/>
  <c r="L96" i="10"/>
  <c r="L94" i="10"/>
  <c r="L92" i="10"/>
  <c r="L90" i="10"/>
  <c r="L88" i="10"/>
  <c r="L86" i="10"/>
  <c r="K82" i="10"/>
  <c r="K78" i="10"/>
  <c r="K74" i="10"/>
  <c r="J83" i="10"/>
  <c r="G115" i="10"/>
  <c r="M115" i="10"/>
  <c r="L132" i="10"/>
  <c r="K92" i="10"/>
  <c r="J75" i="10"/>
  <c r="H114" i="10"/>
  <c r="M73" i="10"/>
  <c r="I21" i="10"/>
  <c r="O21" i="10" s="1"/>
  <c r="H118" i="10"/>
  <c r="G114" i="10"/>
  <c r="I84" i="10"/>
  <c r="J84" i="10" s="1"/>
  <c r="C101" i="10" s="1"/>
  <c r="G133" i="10"/>
  <c r="M133" i="10"/>
  <c r="L133" i="10"/>
  <c r="M125" i="10"/>
  <c r="H125" i="10"/>
  <c r="L125" i="10"/>
  <c r="M120" i="10"/>
  <c r="L120" i="10"/>
  <c r="H120" i="10"/>
  <c r="M119" i="10"/>
  <c r="L119" i="10"/>
  <c r="H112" i="10"/>
  <c r="M112" i="10"/>
  <c r="L112" i="10"/>
  <c r="J22" i="10"/>
  <c r="O22" i="10"/>
  <c r="K22" i="10"/>
  <c r="L22" i="10"/>
  <c r="I34" i="10"/>
  <c r="J34" i="10" s="1"/>
  <c r="N22" i="10"/>
  <c r="L21" i="10"/>
  <c r="M97" i="10" l="1"/>
  <c r="K21" i="10"/>
  <c r="N21" i="10"/>
  <c r="M21" i="10"/>
  <c r="J21" i="10"/>
  <c r="L84" i="10"/>
  <c r="C103" i="10" s="1"/>
  <c r="M84" i="10"/>
  <c r="C104" i="10" s="1"/>
  <c r="D101" i="10" s="1"/>
  <c r="K97" i="10"/>
  <c r="J97" i="10"/>
  <c r="L97" i="10"/>
  <c r="K84" i="10"/>
  <c r="C102" i="10" s="1"/>
  <c r="M137" i="10"/>
  <c r="H137" i="10"/>
  <c r="L137" i="10"/>
  <c r="G137" i="10"/>
  <c r="G124" i="10"/>
  <c r="M124" i="10"/>
  <c r="L124" i="10"/>
  <c r="H124" i="10"/>
  <c r="O34" i="10"/>
  <c r="N34" i="10"/>
  <c r="M34" i="10"/>
  <c r="L34" i="10"/>
  <c r="K34" i="10"/>
  <c r="D104" i="10" l="1"/>
  <c r="D103" i="10" l="1"/>
  <c r="D102" i="10"/>
  <c r="E21" i="9"/>
  <c r="C21" i="9"/>
  <c r="C17" i="9"/>
  <c r="E17" i="9" s="1"/>
  <c r="I38" i="9"/>
  <c r="I37" i="9"/>
  <c r="I36" i="9"/>
  <c r="B36" i="9"/>
  <c r="I35" i="9"/>
  <c r="B35" i="9"/>
  <c r="B34" i="9"/>
  <c r="F34" i="9" s="1"/>
  <c r="H34" i="9" s="1"/>
  <c r="D11" i="9"/>
  <c r="D10" i="9"/>
  <c r="D9" i="9"/>
  <c r="D8" i="9"/>
  <c r="P27" i="7" l="1"/>
  <c r="P24" i="7"/>
  <c r="P25" i="7"/>
  <c r="P26" i="7"/>
  <c r="P23" i="7"/>
  <c r="O18" i="7"/>
  <c r="O19" i="7"/>
  <c r="O16" i="7"/>
  <c r="O17" i="7"/>
  <c r="O15" i="7"/>
  <c r="O7" i="7"/>
  <c r="P12" i="7"/>
  <c r="O8" i="7"/>
  <c r="O9" i="7"/>
  <c r="O10" i="7"/>
  <c r="O11" i="7"/>
  <c r="O30" i="7"/>
  <c r="N35" i="7"/>
  <c r="O34" i="7"/>
  <c r="O33" i="7"/>
  <c r="O32" i="7"/>
  <c r="O31" i="7"/>
  <c r="M35" i="7"/>
  <c r="L35" i="7"/>
  <c r="K35" i="7"/>
  <c r="J35" i="7"/>
  <c r="I35" i="7"/>
  <c r="H35" i="7"/>
  <c r="G35" i="7"/>
  <c r="F35" i="7"/>
  <c r="E35" i="7"/>
  <c r="D35" i="7"/>
  <c r="C35" i="7"/>
  <c r="O35" i="7" s="1"/>
  <c r="B35" i="7"/>
  <c r="B23" i="7"/>
  <c r="N23" i="7"/>
  <c r="A19" i="7"/>
  <c r="A15" i="7"/>
  <c r="O23" i="7" l="1"/>
  <c r="O20" i="7"/>
  <c r="O12" i="7"/>
  <c r="N27" i="7"/>
  <c r="M27" i="7"/>
  <c r="L27" i="7"/>
  <c r="K27" i="7"/>
  <c r="J27" i="7"/>
  <c r="I27" i="7"/>
  <c r="H27" i="7"/>
  <c r="G27" i="7"/>
  <c r="F27" i="7"/>
  <c r="E27" i="7"/>
  <c r="D27" i="7"/>
  <c r="C27" i="7"/>
  <c r="B27" i="7"/>
  <c r="A27" i="7"/>
  <c r="N26" i="7"/>
  <c r="M26" i="7"/>
  <c r="L26" i="7"/>
  <c r="K26" i="7"/>
  <c r="J26" i="7"/>
  <c r="I26" i="7"/>
  <c r="H26" i="7"/>
  <c r="G26" i="7"/>
  <c r="F26" i="7"/>
  <c r="E26" i="7"/>
  <c r="D26" i="7"/>
  <c r="C26" i="7"/>
  <c r="B26" i="7"/>
  <c r="A26" i="7"/>
  <c r="N25" i="7"/>
  <c r="M25" i="7"/>
  <c r="L25" i="7"/>
  <c r="K25" i="7"/>
  <c r="J25" i="7"/>
  <c r="I25" i="7"/>
  <c r="H25" i="7"/>
  <c r="G25" i="7"/>
  <c r="F25" i="7"/>
  <c r="E25" i="7"/>
  <c r="D25" i="7"/>
  <c r="C25" i="7"/>
  <c r="B25" i="7"/>
  <c r="A25" i="7"/>
  <c r="N24" i="7"/>
  <c r="M24" i="7"/>
  <c r="L24" i="7"/>
  <c r="K24" i="7"/>
  <c r="J24" i="7"/>
  <c r="I24" i="7"/>
  <c r="H24" i="7"/>
  <c r="G24" i="7"/>
  <c r="F24" i="7"/>
  <c r="E24" i="7"/>
  <c r="D24" i="7"/>
  <c r="C24" i="7"/>
  <c r="B24" i="7"/>
  <c r="A24" i="7"/>
  <c r="M23" i="7"/>
  <c r="L23" i="7"/>
  <c r="K23" i="7"/>
  <c r="J23" i="7"/>
  <c r="I23" i="7"/>
  <c r="H23" i="7"/>
  <c r="G23" i="7"/>
  <c r="F23" i="7"/>
  <c r="E23" i="7"/>
  <c r="D23" i="7"/>
  <c r="C23" i="7"/>
  <c r="A23" i="7"/>
  <c r="M20" i="7"/>
  <c r="L20" i="7"/>
  <c r="K20" i="7"/>
  <c r="J20" i="7"/>
  <c r="I20" i="7"/>
  <c r="H20" i="7"/>
  <c r="G20" i="7"/>
  <c r="F20" i="7"/>
  <c r="E20" i="7"/>
  <c r="D20" i="7"/>
  <c r="C20" i="7"/>
  <c r="B20" i="7"/>
  <c r="O27" i="7"/>
  <c r="O26" i="7"/>
  <c r="A18" i="7"/>
  <c r="O25" i="7"/>
  <c r="A17" i="7"/>
  <c r="O24" i="7"/>
  <c r="A16" i="7"/>
  <c r="N12" i="7"/>
  <c r="M12" i="7"/>
  <c r="L12" i="7"/>
  <c r="K12" i="7"/>
  <c r="J12" i="7"/>
  <c r="I12" i="7"/>
  <c r="H12" i="7"/>
  <c r="G12" i="7"/>
  <c r="F12" i="7"/>
  <c r="E12" i="7"/>
  <c r="D12" i="7"/>
  <c r="C12" i="7"/>
  <c r="J48" i="2" l="1"/>
  <c r="G48" i="2"/>
  <c r="D48" i="2"/>
  <c r="J47" i="2"/>
  <c r="G47" i="2"/>
  <c r="D47" i="2"/>
  <c r="J46" i="2"/>
  <c r="G46" i="2"/>
  <c r="D46" i="2"/>
  <c r="J45" i="2"/>
  <c r="G45" i="2"/>
  <c r="D45" i="2"/>
  <c r="J44" i="2"/>
  <c r="G44" i="2"/>
  <c r="D44" i="2"/>
  <c r="J43" i="2"/>
  <c r="G43" i="2"/>
  <c r="D43" i="2"/>
  <c r="J42" i="2"/>
  <c r="D42" i="2"/>
  <c r="I37" i="2"/>
  <c r="H37" i="2"/>
  <c r="F37" i="2"/>
  <c r="E37" i="2"/>
  <c r="C37" i="2"/>
  <c r="B37" i="2"/>
  <c r="I20" i="2"/>
  <c r="H20" i="2"/>
  <c r="F20" i="2"/>
  <c r="E20" i="2"/>
  <c r="J19" i="2"/>
  <c r="G19" i="2"/>
  <c r="D19" i="2"/>
  <c r="J18" i="2"/>
  <c r="G18" i="2"/>
  <c r="D18" i="2"/>
  <c r="J17" i="2"/>
  <c r="G17" i="2"/>
  <c r="D17" i="2"/>
  <c r="J16" i="2"/>
  <c r="G16" i="2"/>
  <c r="D16" i="2"/>
  <c r="J15" i="2"/>
  <c r="G15" i="2"/>
  <c r="D15" i="2"/>
  <c r="J14" i="2"/>
  <c r="G14" i="2"/>
  <c r="D14" i="2"/>
  <c r="J13" i="2"/>
  <c r="G13" i="2"/>
  <c r="D13" i="2"/>
  <c r="J12" i="2"/>
  <c r="G12" i="2"/>
  <c r="D12" i="2"/>
  <c r="J11" i="2"/>
  <c r="G11" i="2"/>
  <c r="D11" i="2"/>
  <c r="J10" i="2"/>
  <c r="G10" i="2"/>
  <c r="D10" i="2"/>
  <c r="J9" i="2"/>
  <c r="G9" i="2"/>
  <c r="D9" i="2"/>
  <c r="J8" i="2"/>
  <c r="J20" i="2" l="1"/>
  <c r="G37" i="2"/>
  <c r="J37" i="2"/>
  <c r="G20" i="2"/>
  <c r="D37" i="2"/>
</calcChain>
</file>

<file path=xl/comments1.xml><?xml version="1.0" encoding="utf-8"?>
<comments xmlns="http://schemas.openxmlformats.org/spreadsheetml/2006/main">
  <authors>
    <author>作者</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作者</author>
  </authors>
  <commentList>
    <comment ref="A5" authorId="0" shapeId="0">
      <text>
        <r>
          <rPr>
            <sz val="11"/>
            <rFont val="宋体"/>
            <family val="3"/>
            <charset val="134"/>
          </rPr>
          <t>对选取的供应商，按采购的具体物料按月填充入库金额，入库数量，自动计算单价</t>
        </r>
      </text>
    </comment>
    <comment ref="A22" authorId="0" shapeId="0">
      <text>
        <r>
          <rPr>
            <sz val="11"/>
            <rFont val="宋体"/>
            <family val="3"/>
            <charset val="134"/>
          </rPr>
          <t>方法与同一供应商，采购不同物料各月采购单价分析底稿一致</t>
        </r>
      </text>
    </comment>
  </commentList>
</comments>
</file>

<file path=xl/comments3.xml><?xml version="1.0" encoding="utf-8"?>
<comments xmlns="http://schemas.openxmlformats.org/spreadsheetml/2006/main">
  <authors>
    <author>作者</author>
  </authors>
  <commentList>
    <comment ref="P6" authorId="0" shapeId="0">
      <text>
        <r>
          <rPr>
            <b/>
            <sz val="9"/>
            <color indexed="81"/>
            <rFont val="宋体"/>
            <family val="3"/>
            <charset val="134"/>
          </rPr>
          <t>作者:</t>
        </r>
        <r>
          <rPr>
            <sz val="9"/>
            <color indexed="81"/>
            <rFont val="宋体"/>
            <family val="3"/>
            <charset val="134"/>
          </rPr>
          <t xml:space="preserve">
关联关系、供应商规模、供应商经营范围核查见&lt;F2-70&gt;</t>
        </r>
      </text>
    </comment>
  </commentList>
</comments>
</file>

<file path=xl/comments4.xml><?xml version="1.0" encoding="utf-8"?>
<comments xmlns="http://schemas.openxmlformats.org/spreadsheetml/2006/main">
  <authors>
    <author>作者</author>
  </authors>
  <commentList>
    <comment ref="A19" authorId="0" shapeId="0">
      <text>
        <r>
          <rPr>
            <b/>
            <sz val="9"/>
            <color indexed="81"/>
            <rFont val="宋体"/>
            <family val="3"/>
            <charset val="134"/>
          </rPr>
          <t>作者:</t>
        </r>
        <r>
          <rPr>
            <sz val="9"/>
            <color indexed="81"/>
            <rFont val="宋体"/>
            <family val="3"/>
            <charset val="134"/>
          </rPr>
          <t xml:space="preserve">
关注向供应商的采购金额是否与其经营规模、注册资本相符</t>
        </r>
      </text>
    </comment>
    <comment ref="A20" authorId="0" shapeId="0">
      <text>
        <r>
          <rPr>
            <b/>
            <sz val="9"/>
            <color indexed="81"/>
            <rFont val="宋体"/>
            <family val="3"/>
            <charset val="134"/>
          </rPr>
          <t>作者:</t>
        </r>
        <r>
          <rPr>
            <sz val="9"/>
            <color indexed="81"/>
            <rFont val="宋体"/>
            <family val="3"/>
            <charset val="134"/>
          </rPr>
          <t xml:space="preserve">
关注被审计单位采购产品是否与供应商经营范围相匹配</t>
        </r>
      </text>
    </comment>
    <comment ref="A21" authorId="0" shapeId="0">
      <text>
        <r>
          <rPr>
            <b/>
            <sz val="9"/>
            <color indexed="81"/>
            <rFont val="宋体"/>
            <family val="3"/>
            <charset val="134"/>
          </rPr>
          <t>作者:</t>
        </r>
        <r>
          <rPr>
            <sz val="9"/>
            <color indexed="81"/>
            <rFont val="宋体"/>
            <family val="3"/>
            <charset val="134"/>
          </rPr>
          <t xml:space="preserve">
关注向供应商的采购金额是否与其人员规模相符</t>
        </r>
      </text>
    </comment>
    <comment ref="A37" authorId="0" shapeId="0">
      <text>
        <r>
          <rPr>
            <b/>
            <sz val="9"/>
            <color indexed="81"/>
            <rFont val="宋体"/>
            <family val="3"/>
            <charset val="134"/>
          </rPr>
          <t>专业技术部:</t>
        </r>
        <r>
          <rPr>
            <sz val="9"/>
            <color indexed="81"/>
            <rFont val="宋体"/>
            <family val="3"/>
            <charset val="134"/>
          </rPr>
          <t xml:space="preserve">
含与客户受同一实际控制人控制的情形</t>
        </r>
      </text>
    </comment>
  </commentList>
</comments>
</file>

<file path=xl/comments5.xml><?xml version="1.0" encoding="utf-8"?>
<comments xmlns="http://schemas.openxmlformats.org/spreadsheetml/2006/main">
  <authors>
    <author>作者</author>
  </authors>
  <commentList>
    <comment ref="B5" authorId="0" shapeId="0">
      <text>
        <r>
          <rPr>
            <b/>
            <sz val="9"/>
            <color indexed="81"/>
            <rFont val="宋体"/>
            <family val="3"/>
            <charset val="134"/>
          </rPr>
          <t>作者:</t>
        </r>
        <r>
          <rPr>
            <sz val="9"/>
            <color indexed="81"/>
            <rFont val="宋体"/>
            <family val="3"/>
            <charset val="134"/>
          </rPr>
          <t xml:space="preserve">
了解公司基本情况，包括：XYZ公司法定代表人、注册地、注册资本、成立时间，股权关系等；取得公司营业执照复印件或照片、公司章程等；与工商信息查询结果核对</t>
        </r>
      </text>
    </comment>
    <comment ref="A11" authorId="0" shapeId="0">
      <text>
        <r>
          <rPr>
            <b/>
            <sz val="9"/>
            <color indexed="81"/>
            <rFont val="宋体"/>
            <family val="3"/>
            <charset val="134"/>
          </rPr>
          <t>作者:</t>
        </r>
        <r>
          <rPr>
            <sz val="9"/>
            <color indexed="81"/>
            <rFont val="宋体"/>
            <family val="3"/>
            <charset val="134"/>
          </rPr>
          <t xml:space="preserve">
身份证复印件、名片/工牌复印件、与访谈对象合影（厂区门口、仓库、车间等地）、走访公司工作现场照片</t>
        </r>
      </text>
    </comment>
  </commentList>
</comments>
</file>

<file path=xl/sharedStrings.xml><?xml version="1.0" encoding="utf-8"?>
<sst xmlns="http://schemas.openxmlformats.org/spreadsheetml/2006/main" count="1127" uniqueCount="767">
  <si>
    <t>致同会计师事务所</t>
  </si>
  <si>
    <t>原材料单价分析表</t>
  </si>
  <si>
    <t>……</t>
  </si>
  <si>
    <t>总计</t>
  </si>
  <si>
    <t>入库金额</t>
    <phoneticPr fontId="21" type="noConversion"/>
  </si>
  <si>
    <t>A物料</t>
    <phoneticPr fontId="21" type="noConversion"/>
  </si>
  <si>
    <t>B物料</t>
    <phoneticPr fontId="21" type="noConversion"/>
  </si>
  <si>
    <t>供应商1</t>
    <phoneticPr fontId="21" type="noConversion"/>
  </si>
  <si>
    <t>供应商2</t>
    <phoneticPr fontId="21" type="noConversion"/>
  </si>
  <si>
    <t>……</t>
    <phoneticPr fontId="21" type="noConversion"/>
  </si>
  <si>
    <t>单价</t>
    <phoneticPr fontId="21" type="noConversion"/>
  </si>
  <si>
    <t>规格</t>
    <phoneticPr fontId="21" type="noConversion"/>
  </si>
  <si>
    <r>
      <rPr>
        <sz val="10"/>
        <color theme="1"/>
        <rFont val="宋体"/>
        <family val="3"/>
        <charset val="134"/>
      </rPr>
      <t>月份</t>
    </r>
    <phoneticPr fontId="21" type="noConversion"/>
  </si>
  <si>
    <r>
      <rPr>
        <sz val="10"/>
        <color theme="1"/>
        <rFont val="宋体"/>
        <family val="3"/>
        <charset val="134"/>
      </rPr>
      <t>入库金额</t>
    </r>
    <phoneticPr fontId="21" type="noConversion"/>
  </si>
  <si>
    <r>
      <rPr>
        <sz val="10"/>
        <color theme="1"/>
        <rFont val="宋体"/>
        <family val="3"/>
        <charset val="134"/>
      </rPr>
      <t>入库主数量</t>
    </r>
    <phoneticPr fontId="21" type="noConversion"/>
  </si>
  <si>
    <r>
      <rPr>
        <b/>
        <sz val="10"/>
        <color indexed="9"/>
        <rFont val="宋体"/>
        <family val="3"/>
        <charset val="134"/>
      </rPr>
      <t>单价</t>
    </r>
    <phoneticPr fontId="21" type="noConversion"/>
  </si>
  <si>
    <r>
      <t>20XX</t>
    </r>
    <r>
      <rPr>
        <sz val="10"/>
        <rFont val="宋体"/>
        <family val="3"/>
        <charset val="134"/>
      </rPr>
      <t>年度</t>
    </r>
    <phoneticPr fontId="21" type="noConversion"/>
  </si>
  <si>
    <t>索引号：</t>
    <phoneticPr fontId="21" type="noConversion"/>
  </si>
  <si>
    <t>致同会计师事务所</t>
    <phoneticPr fontId="22" type="noConversion"/>
  </si>
  <si>
    <t>致同会计师事务所</t>
    <phoneticPr fontId="21" type="noConversion"/>
  </si>
  <si>
    <r>
      <rPr>
        <sz val="10"/>
        <color indexed="8"/>
        <rFont val="宋体"/>
        <family val="3"/>
        <charset val="134"/>
      </rPr>
      <t>索引号：</t>
    </r>
  </si>
  <si>
    <r>
      <t>1</t>
    </r>
    <r>
      <rPr>
        <b/>
        <sz val="10"/>
        <color indexed="8"/>
        <rFont val="宋体"/>
        <family val="3"/>
        <charset val="134"/>
      </rPr>
      <t>月</t>
    </r>
    <phoneticPr fontId="21" type="noConversion"/>
  </si>
  <si>
    <r>
      <t>2</t>
    </r>
    <r>
      <rPr>
        <b/>
        <sz val="10"/>
        <color indexed="8"/>
        <rFont val="Times New Roman"/>
        <family val="1"/>
      </rPr>
      <t>月</t>
    </r>
    <r>
      <rPr>
        <sz val="10"/>
        <color indexed="8"/>
        <rFont val="宋体"/>
        <family val="3"/>
        <charset val="134"/>
      </rPr>
      <t/>
    </r>
  </si>
  <si>
    <r>
      <t>3</t>
    </r>
    <r>
      <rPr>
        <b/>
        <sz val="10"/>
        <color indexed="8"/>
        <rFont val="Times New Roman"/>
        <family val="1"/>
      </rPr>
      <t>月</t>
    </r>
    <r>
      <rPr>
        <sz val="10"/>
        <color indexed="8"/>
        <rFont val="宋体"/>
        <family val="3"/>
        <charset val="134"/>
      </rPr>
      <t/>
    </r>
  </si>
  <si>
    <r>
      <t>4</t>
    </r>
    <r>
      <rPr>
        <b/>
        <sz val="10"/>
        <color indexed="8"/>
        <rFont val="Times New Roman"/>
        <family val="1"/>
      </rPr>
      <t>月</t>
    </r>
    <r>
      <rPr>
        <sz val="10"/>
        <color indexed="8"/>
        <rFont val="宋体"/>
        <family val="3"/>
        <charset val="134"/>
      </rPr>
      <t/>
    </r>
  </si>
  <si>
    <r>
      <t>5</t>
    </r>
    <r>
      <rPr>
        <b/>
        <sz val="10"/>
        <color indexed="8"/>
        <rFont val="Times New Roman"/>
        <family val="1"/>
      </rPr>
      <t>月</t>
    </r>
    <r>
      <rPr>
        <sz val="10"/>
        <color indexed="8"/>
        <rFont val="宋体"/>
        <family val="3"/>
        <charset val="134"/>
      </rPr>
      <t/>
    </r>
  </si>
  <si>
    <r>
      <t>6</t>
    </r>
    <r>
      <rPr>
        <b/>
        <sz val="10"/>
        <color indexed="8"/>
        <rFont val="Times New Roman"/>
        <family val="1"/>
      </rPr>
      <t>月</t>
    </r>
    <r>
      <rPr>
        <sz val="10"/>
        <color indexed="8"/>
        <rFont val="宋体"/>
        <family val="3"/>
        <charset val="134"/>
      </rPr>
      <t/>
    </r>
  </si>
  <si>
    <r>
      <t>7</t>
    </r>
    <r>
      <rPr>
        <b/>
        <sz val="10"/>
        <color indexed="8"/>
        <rFont val="Times New Roman"/>
        <family val="1"/>
      </rPr>
      <t>月</t>
    </r>
    <r>
      <rPr>
        <sz val="10"/>
        <color indexed="8"/>
        <rFont val="宋体"/>
        <family val="3"/>
        <charset val="134"/>
      </rPr>
      <t/>
    </r>
  </si>
  <si>
    <r>
      <t>8</t>
    </r>
    <r>
      <rPr>
        <b/>
        <sz val="10"/>
        <color indexed="8"/>
        <rFont val="Times New Roman"/>
        <family val="1"/>
      </rPr>
      <t>月</t>
    </r>
    <r>
      <rPr>
        <sz val="10"/>
        <color indexed="8"/>
        <rFont val="宋体"/>
        <family val="3"/>
        <charset val="134"/>
      </rPr>
      <t/>
    </r>
  </si>
  <si>
    <r>
      <t>9</t>
    </r>
    <r>
      <rPr>
        <b/>
        <sz val="10"/>
        <color indexed="8"/>
        <rFont val="Times New Roman"/>
        <family val="1"/>
      </rPr>
      <t>月</t>
    </r>
    <r>
      <rPr>
        <sz val="10"/>
        <color indexed="8"/>
        <rFont val="宋体"/>
        <family val="3"/>
        <charset val="134"/>
      </rPr>
      <t/>
    </r>
  </si>
  <si>
    <r>
      <t>10</t>
    </r>
    <r>
      <rPr>
        <b/>
        <sz val="10"/>
        <color indexed="8"/>
        <rFont val="Times New Roman"/>
        <family val="1"/>
      </rPr>
      <t>月</t>
    </r>
    <r>
      <rPr>
        <sz val="10"/>
        <color indexed="8"/>
        <rFont val="宋体"/>
        <family val="3"/>
        <charset val="134"/>
      </rPr>
      <t/>
    </r>
  </si>
  <si>
    <r>
      <t>11</t>
    </r>
    <r>
      <rPr>
        <b/>
        <sz val="10"/>
        <color indexed="8"/>
        <rFont val="Times New Roman"/>
        <family val="1"/>
      </rPr>
      <t>月</t>
    </r>
    <r>
      <rPr>
        <sz val="10"/>
        <color indexed="8"/>
        <rFont val="宋体"/>
        <family val="3"/>
        <charset val="134"/>
      </rPr>
      <t/>
    </r>
  </si>
  <si>
    <r>
      <t>12</t>
    </r>
    <r>
      <rPr>
        <b/>
        <sz val="10"/>
        <color indexed="8"/>
        <rFont val="Times New Roman"/>
        <family val="1"/>
      </rPr>
      <t>月</t>
    </r>
    <r>
      <rPr>
        <sz val="10"/>
        <color indexed="8"/>
        <rFont val="宋体"/>
        <family val="3"/>
        <charset val="134"/>
      </rPr>
      <t/>
    </r>
  </si>
  <si>
    <t>上期末</t>
    <phoneticPr fontId="21" type="noConversion"/>
  </si>
  <si>
    <r>
      <rPr>
        <b/>
        <sz val="10"/>
        <color indexed="8"/>
        <rFont val="宋体"/>
        <family val="3"/>
        <charset val="134"/>
      </rPr>
      <t>小计</t>
    </r>
  </si>
  <si>
    <t>上期末</t>
    <phoneticPr fontId="21" type="noConversion"/>
  </si>
  <si>
    <t>上期末</t>
    <phoneticPr fontId="21" type="noConversion"/>
  </si>
  <si>
    <r>
      <rPr>
        <b/>
        <sz val="10"/>
        <color indexed="8"/>
        <rFont val="宋体"/>
        <family val="3"/>
        <charset val="134"/>
      </rPr>
      <t>主要原材料</t>
    </r>
    <r>
      <rPr>
        <b/>
        <sz val="10"/>
        <color indexed="8"/>
        <rFont val="Arial Narrow"/>
        <family val="2"/>
      </rPr>
      <t>/</t>
    </r>
    <r>
      <rPr>
        <b/>
        <sz val="10"/>
        <color indexed="8"/>
        <rFont val="宋体"/>
        <family val="3"/>
        <charset val="134"/>
      </rPr>
      <t>月份</t>
    </r>
    <phoneticPr fontId="21" type="noConversion"/>
  </si>
  <si>
    <t>入库单价（单位：元）</t>
    <phoneticPr fontId="21" type="noConversion"/>
  </si>
  <si>
    <t>入库金额（单位：元）</t>
    <phoneticPr fontId="21" type="noConversion"/>
  </si>
  <si>
    <t>入库数量（单位：_______）</t>
    <phoneticPr fontId="21" type="noConversion"/>
  </si>
  <si>
    <t>市场单价（单位：元）</t>
    <phoneticPr fontId="21" type="noConversion"/>
  </si>
  <si>
    <r>
      <t>1.</t>
    </r>
    <r>
      <rPr>
        <sz val="10"/>
        <color indexed="8"/>
        <rFont val="宋体"/>
        <family val="3"/>
        <charset val="134"/>
      </rPr>
      <t>原材料——</t>
    </r>
    <r>
      <rPr>
        <sz val="10"/>
        <color indexed="8"/>
        <rFont val="Arial Narrow"/>
        <family val="2"/>
      </rPr>
      <t>***</t>
    </r>
    <r>
      <rPr>
        <sz val="10"/>
        <color indexed="8"/>
        <rFont val="宋体"/>
        <family val="3"/>
        <charset val="134"/>
      </rPr>
      <t>月采购单价变动较大的原因：</t>
    </r>
    <phoneticPr fontId="21" type="noConversion"/>
  </si>
  <si>
    <r>
      <t>2.</t>
    </r>
    <r>
      <rPr>
        <sz val="10"/>
        <color indexed="8"/>
        <rFont val="宋体"/>
        <family val="3"/>
        <charset val="134"/>
      </rPr>
      <t>原材料</t>
    </r>
    <r>
      <rPr>
        <sz val="10"/>
        <color indexed="8"/>
        <rFont val="Arial Narrow"/>
        <family val="2"/>
      </rPr>
      <t>——***</t>
    </r>
    <r>
      <rPr>
        <sz val="10"/>
        <color indexed="8"/>
        <rFont val="宋体"/>
        <family val="3"/>
        <charset val="134"/>
      </rPr>
      <t>月采购单价与市场价格差异较大原因：</t>
    </r>
    <phoneticPr fontId="6" type="noConversion"/>
  </si>
  <si>
    <t>上期合计金额</t>
    <phoneticPr fontId="21" type="noConversion"/>
  </si>
  <si>
    <t>本期合计金额</t>
    <phoneticPr fontId="21" type="noConversion"/>
  </si>
  <si>
    <t>本期合计数量</t>
    <phoneticPr fontId="21" type="noConversion"/>
  </si>
  <si>
    <t>上期合计数量</t>
    <phoneticPr fontId="21" type="noConversion"/>
  </si>
  <si>
    <t>本期平均单价</t>
    <phoneticPr fontId="21" type="noConversion"/>
  </si>
  <si>
    <t>上期平均单价</t>
    <phoneticPr fontId="21" type="noConversion"/>
  </si>
  <si>
    <t>本期平均单价</t>
    <phoneticPr fontId="21" type="noConversion"/>
  </si>
  <si>
    <t>上期平均单价</t>
    <phoneticPr fontId="21" type="noConversion"/>
  </si>
  <si>
    <r>
      <rPr>
        <b/>
        <sz val="10"/>
        <color indexed="8"/>
        <rFont val="宋体"/>
        <family val="3"/>
        <charset val="134"/>
      </rPr>
      <t>产能利用率</t>
    </r>
    <phoneticPr fontId="21" type="noConversion"/>
  </si>
  <si>
    <r>
      <rPr>
        <b/>
        <sz val="10"/>
        <color indexed="8"/>
        <rFont val="宋体"/>
        <family val="3"/>
        <charset val="134"/>
      </rPr>
      <t>备注</t>
    </r>
    <phoneticPr fontId="21" type="noConversion"/>
  </si>
  <si>
    <r>
      <rPr>
        <b/>
        <sz val="10"/>
        <color indexed="8"/>
        <rFont val="宋体"/>
        <family val="3"/>
        <charset val="134"/>
      </rPr>
      <t>本年产量</t>
    </r>
    <phoneticPr fontId="21" type="noConversion"/>
  </si>
  <si>
    <t>单位能耗</t>
    <phoneticPr fontId="21" type="noConversion"/>
  </si>
  <si>
    <t>上年单位能耗</t>
    <phoneticPr fontId="21" type="noConversion"/>
  </si>
  <si>
    <t>变动</t>
    <phoneticPr fontId="21" type="noConversion"/>
  </si>
  <si>
    <t>变动率</t>
    <phoneticPr fontId="21" type="noConversion"/>
  </si>
  <si>
    <r>
      <rPr>
        <b/>
        <sz val="10"/>
        <color indexed="8"/>
        <rFont val="宋体"/>
        <family val="3"/>
        <charset val="134"/>
      </rPr>
      <t>仓库名称</t>
    </r>
    <phoneticPr fontId="21" type="noConversion"/>
  </si>
  <si>
    <r>
      <rPr>
        <b/>
        <sz val="10"/>
        <color indexed="8"/>
        <rFont val="宋体"/>
        <family val="3"/>
        <charset val="134"/>
      </rPr>
      <t>库存容量</t>
    </r>
    <phoneticPr fontId="21" type="noConversion"/>
  </si>
  <si>
    <t>容量利用率</t>
    <phoneticPr fontId="21" type="noConversion"/>
  </si>
  <si>
    <t>已有订单金额</t>
    <phoneticPr fontId="21" type="noConversion"/>
  </si>
  <si>
    <t>期后销售金额</t>
    <phoneticPr fontId="21" type="noConversion"/>
  </si>
  <si>
    <t>XX仓库小计</t>
    <phoneticPr fontId="21" type="noConversion"/>
  </si>
  <si>
    <t>月份</t>
    <phoneticPr fontId="6" type="noConversion"/>
  </si>
  <si>
    <t>直接人工</t>
  </si>
  <si>
    <t>制造费用</t>
  </si>
  <si>
    <t>年度</t>
    <phoneticPr fontId="6" type="noConversion"/>
  </si>
  <si>
    <r>
      <rPr>
        <sz val="10"/>
        <rFont val="宋体"/>
        <family val="3"/>
        <charset val="134"/>
      </rPr>
      <t>索引号：</t>
    </r>
    <phoneticPr fontId="21" type="noConversion"/>
  </si>
  <si>
    <r>
      <rPr>
        <sz val="10"/>
        <rFont val="宋体"/>
        <family val="3"/>
        <charset val="134"/>
      </rPr>
      <t>页次：</t>
    </r>
    <phoneticPr fontId="21" type="noConversion"/>
  </si>
  <si>
    <r>
      <rPr>
        <b/>
        <sz val="10"/>
        <color theme="1"/>
        <rFont val="宋体"/>
        <family val="3"/>
        <charset val="134"/>
      </rPr>
      <t>产品名称：</t>
    </r>
    <phoneticPr fontId="6" type="noConversion"/>
  </si>
  <si>
    <r>
      <t>20X5</t>
    </r>
    <r>
      <rPr>
        <sz val="10"/>
        <color theme="1"/>
        <rFont val="宋体"/>
        <family val="3"/>
        <charset val="134"/>
      </rPr>
      <t>年</t>
    </r>
    <phoneticPr fontId="6" type="noConversion"/>
  </si>
  <si>
    <r>
      <t>1</t>
    </r>
    <r>
      <rPr>
        <sz val="10"/>
        <color theme="1"/>
        <rFont val="宋体"/>
        <family val="3"/>
        <charset val="134"/>
      </rPr>
      <t>月</t>
    </r>
    <phoneticPr fontId="6" type="noConversion"/>
  </si>
  <si>
    <r>
      <t>2</t>
    </r>
    <r>
      <rPr>
        <sz val="10"/>
        <color theme="1"/>
        <rFont val="宋体"/>
        <family val="3"/>
        <charset val="134"/>
      </rPr>
      <t>月</t>
    </r>
    <phoneticPr fontId="6" type="noConversion"/>
  </si>
  <si>
    <r>
      <t>3</t>
    </r>
    <r>
      <rPr>
        <sz val="10"/>
        <color theme="1"/>
        <rFont val="宋体"/>
        <family val="3"/>
        <charset val="134"/>
      </rPr>
      <t>月</t>
    </r>
  </si>
  <si>
    <r>
      <t>4</t>
    </r>
    <r>
      <rPr>
        <sz val="10"/>
        <color theme="1"/>
        <rFont val="宋体"/>
        <family val="3"/>
        <charset val="134"/>
      </rPr>
      <t>月</t>
    </r>
  </si>
  <si>
    <r>
      <t>5</t>
    </r>
    <r>
      <rPr>
        <sz val="10"/>
        <color theme="1"/>
        <rFont val="宋体"/>
        <family val="3"/>
        <charset val="134"/>
      </rPr>
      <t>月</t>
    </r>
  </si>
  <si>
    <r>
      <t>6</t>
    </r>
    <r>
      <rPr>
        <sz val="10"/>
        <color theme="1"/>
        <rFont val="宋体"/>
        <family val="3"/>
        <charset val="134"/>
      </rPr>
      <t>月</t>
    </r>
  </si>
  <si>
    <r>
      <t>7</t>
    </r>
    <r>
      <rPr>
        <sz val="10"/>
        <color theme="1"/>
        <rFont val="宋体"/>
        <family val="3"/>
        <charset val="134"/>
      </rPr>
      <t>月</t>
    </r>
  </si>
  <si>
    <r>
      <t>8</t>
    </r>
    <r>
      <rPr>
        <sz val="10"/>
        <color theme="1"/>
        <rFont val="宋体"/>
        <family val="3"/>
        <charset val="134"/>
      </rPr>
      <t>月</t>
    </r>
  </si>
  <si>
    <r>
      <t>9</t>
    </r>
    <r>
      <rPr>
        <sz val="10"/>
        <color theme="1"/>
        <rFont val="宋体"/>
        <family val="3"/>
        <charset val="134"/>
      </rPr>
      <t>月</t>
    </r>
  </si>
  <si>
    <r>
      <t>10</t>
    </r>
    <r>
      <rPr>
        <sz val="10"/>
        <color theme="1"/>
        <rFont val="宋体"/>
        <family val="3"/>
        <charset val="134"/>
      </rPr>
      <t>月</t>
    </r>
  </si>
  <si>
    <r>
      <t>11</t>
    </r>
    <r>
      <rPr>
        <sz val="10"/>
        <color theme="1"/>
        <rFont val="宋体"/>
        <family val="3"/>
        <charset val="134"/>
      </rPr>
      <t>月</t>
    </r>
  </si>
  <si>
    <r>
      <t>12</t>
    </r>
    <r>
      <rPr>
        <sz val="10"/>
        <color theme="1"/>
        <rFont val="宋体"/>
        <family val="3"/>
        <charset val="134"/>
      </rPr>
      <t>月</t>
    </r>
  </si>
  <si>
    <r>
      <t>20X4</t>
    </r>
    <r>
      <rPr>
        <sz val="10"/>
        <color theme="1"/>
        <rFont val="宋体"/>
        <family val="3"/>
        <charset val="134"/>
      </rPr>
      <t>年</t>
    </r>
    <phoneticPr fontId="6" type="noConversion"/>
  </si>
  <si>
    <r>
      <rPr>
        <b/>
        <sz val="10"/>
        <color theme="1"/>
        <rFont val="宋体"/>
        <family val="3"/>
        <charset val="134"/>
      </rPr>
      <t>合计</t>
    </r>
  </si>
  <si>
    <t>审计说明：</t>
    <phoneticPr fontId="6" type="noConversion"/>
  </si>
  <si>
    <r>
      <t>XX</t>
    </r>
    <r>
      <rPr>
        <sz val="10"/>
        <color rgb="FFFF0000"/>
        <rFont val="宋体"/>
        <family val="3"/>
        <charset val="134"/>
      </rPr>
      <t>产品</t>
    </r>
    <phoneticPr fontId="6" type="noConversion"/>
  </si>
  <si>
    <r>
      <rPr>
        <b/>
        <sz val="10"/>
        <color theme="1"/>
        <rFont val="宋体"/>
        <family val="3"/>
        <charset val="134"/>
      </rPr>
      <t>年度</t>
    </r>
    <phoneticPr fontId="6" type="noConversion"/>
  </si>
  <si>
    <r>
      <rPr>
        <b/>
        <sz val="10"/>
        <color theme="1"/>
        <rFont val="宋体"/>
        <family val="3"/>
        <charset val="134"/>
      </rPr>
      <t>月份</t>
    </r>
    <phoneticPr fontId="6" type="noConversion"/>
  </si>
  <si>
    <r>
      <rPr>
        <b/>
        <sz val="10"/>
        <color theme="1"/>
        <rFont val="宋体"/>
        <family val="3"/>
        <charset val="134"/>
      </rPr>
      <t>金额</t>
    </r>
    <phoneticPr fontId="6" type="noConversion"/>
  </si>
  <si>
    <r>
      <rPr>
        <b/>
        <sz val="10"/>
        <color theme="1"/>
        <rFont val="宋体"/>
        <family val="3"/>
        <charset val="134"/>
      </rPr>
      <t>结构比</t>
    </r>
    <phoneticPr fontId="6" type="noConversion"/>
  </si>
  <si>
    <r>
      <rPr>
        <b/>
        <sz val="10"/>
        <color theme="1"/>
        <rFont val="宋体"/>
        <family val="3"/>
        <charset val="134"/>
      </rPr>
      <t>其他材料</t>
    </r>
    <phoneticPr fontId="6" type="noConversion"/>
  </si>
  <si>
    <r>
      <rPr>
        <b/>
        <sz val="10"/>
        <color theme="1"/>
        <rFont val="宋体"/>
        <family val="3"/>
        <charset val="134"/>
      </rPr>
      <t>直接人工</t>
    </r>
    <phoneticPr fontId="6" type="noConversion"/>
  </si>
  <si>
    <r>
      <rPr>
        <b/>
        <sz val="10"/>
        <color theme="1"/>
        <rFont val="宋体"/>
        <family val="3"/>
        <charset val="134"/>
      </rPr>
      <t>制造费用</t>
    </r>
    <phoneticPr fontId="6" type="noConversion"/>
  </si>
  <si>
    <r>
      <rPr>
        <b/>
        <sz val="10"/>
        <color theme="1"/>
        <rFont val="宋体"/>
        <family val="3"/>
        <charset val="134"/>
      </rPr>
      <t>小计</t>
    </r>
    <phoneticPr fontId="6" type="noConversion"/>
  </si>
  <si>
    <r>
      <rPr>
        <b/>
        <sz val="10"/>
        <color theme="1"/>
        <rFont val="宋体"/>
        <family val="3"/>
        <charset val="134"/>
      </rPr>
      <t>制造费用</t>
    </r>
    <phoneticPr fontId="6" type="noConversion"/>
  </si>
  <si>
    <t>生产成本</t>
    <phoneticPr fontId="6" type="noConversion"/>
  </si>
  <si>
    <t>期初余额</t>
    <phoneticPr fontId="6" type="noConversion"/>
  </si>
  <si>
    <t>本期投入</t>
    <phoneticPr fontId="6" type="noConversion"/>
  </si>
  <si>
    <t>转入产成品</t>
    <phoneticPr fontId="6" type="noConversion"/>
  </si>
  <si>
    <t>转入其他</t>
    <phoneticPr fontId="6" type="noConversion"/>
  </si>
  <si>
    <t>产成品入库</t>
    <phoneticPr fontId="6" type="noConversion"/>
  </si>
  <si>
    <t>产量</t>
  </si>
  <si>
    <t>产量</t>
    <phoneticPr fontId="6" type="noConversion"/>
  </si>
  <si>
    <t>单位成本</t>
  </si>
  <si>
    <t>单位成本</t>
    <phoneticPr fontId="6" type="noConversion"/>
  </si>
  <si>
    <t>期末余额-在产品</t>
    <phoneticPr fontId="6" type="noConversion"/>
  </si>
  <si>
    <t>年度</t>
    <phoneticPr fontId="6" type="noConversion"/>
  </si>
  <si>
    <t>产量</t>
    <phoneticPr fontId="6" type="noConversion"/>
  </si>
  <si>
    <t>投入量</t>
    <phoneticPr fontId="6" type="noConversion"/>
  </si>
  <si>
    <t>单位</t>
    <phoneticPr fontId="6" type="noConversion"/>
  </si>
  <si>
    <t>投入金额</t>
    <phoneticPr fontId="6" type="noConversion"/>
  </si>
  <si>
    <t>单位产量</t>
    <phoneticPr fontId="6" type="noConversion"/>
  </si>
  <si>
    <t>主要原材料2</t>
    <phoneticPr fontId="6" type="noConversion"/>
  </si>
  <si>
    <r>
      <rPr>
        <b/>
        <sz val="10"/>
        <color rgb="FFFF0000"/>
        <rFont val="宋体"/>
        <family val="3"/>
        <charset val="134"/>
      </rPr>
      <t>主要原材料</t>
    </r>
    <r>
      <rPr>
        <b/>
        <sz val="10"/>
        <color rgb="FFFF0000"/>
        <rFont val="Arial Narrow"/>
        <family val="2"/>
      </rPr>
      <t>1</t>
    </r>
    <phoneticPr fontId="6" type="noConversion"/>
  </si>
  <si>
    <r>
      <rPr>
        <b/>
        <sz val="10"/>
        <color rgb="FFFF0000"/>
        <rFont val="宋体"/>
        <family val="3"/>
        <charset val="134"/>
      </rPr>
      <t>主要原材料</t>
    </r>
    <r>
      <rPr>
        <b/>
        <sz val="10"/>
        <color rgb="FFFF0000"/>
        <rFont val="Arial Narrow"/>
        <family val="2"/>
      </rPr>
      <t>2</t>
    </r>
    <phoneticPr fontId="6" type="noConversion"/>
  </si>
  <si>
    <r>
      <rPr>
        <b/>
        <sz val="10"/>
        <color rgb="FFFF0000"/>
        <rFont val="宋体"/>
        <family val="3"/>
        <charset val="134"/>
      </rPr>
      <t>主要原材料</t>
    </r>
    <r>
      <rPr>
        <b/>
        <sz val="10"/>
        <color rgb="FFFF0000"/>
        <rFont val="Arial Narrow"/>
        <family val="2"/>
      </rPr>
      <t>3</t>
    </r>
    <phoneticPr fontId="6" type="noConversion"/>
  </si>
  <si>
    <r>
      <rPr>
        <b/>
        <sz val="10"/>
        <color rgb="FFFF0000"/>
        <rFont val="宋体"/>
        <family val="3"/>
        <charset val="134"/>
      </rPr>
      <t>主要原材料</t>
    </r>
    <r>
      <rPr>
        <b/>
        <sz val="10"/>
        <color rgb="FFFF0000"/>
        <rFont val="Arial Narrow"/>
        <family val="2"/>
      </rPr>
      <t>1</t>
    </r>
    <phoneticPr fontId="6" type="noConversion"/>
  </si>
  <si>
    <t>月份</t>
    <phoneticPr fontId="6" type="noConversion"/>
  </si>
  <si>
    <t>投入在产品材料</t>
  </si>
  <si>
    <t>直接材料</t>
  </si>
  <si>
    <t>月末在产品材料</t>
  </si>
  <si>
    <t>单位材料成本</t>
  </si>
  <si>
    <t>单位人工成本</t>
  </si>
  <si>
    <t>单位制造费用成本</t>
  </si>
  <si>
    <t>成本小计</t>
    <phoneticPr fontId="6" type="noConversion"/>
  </si>
  <si>
    <r>
      <rPr>
        <sz val="10"/>
        <rFont val="宋体"/>
        <family val="3"/>
        <charset val="134"/>
      </rPr>
      <t>直接材料</t>
    </r>
    <phoneticPr fontId="21" type="noConversion"/>
  </si>
  <si>
    <r>
      <rPr>
        <sz val="10"/>
        <rFont val="宋体"/>
        <family val="3"/>
        <charset val="134"/>
      </rPr>
      <t>直接人工</t>
    </r>
    <phoneticPr fontId="21" type="noConversion"/>
  </si>
  <si>
    <r>
      <t>20X5</t>
    </r>
    <r>
      <rPr>
        <sz val="10"/>
        <rFont val="宋体"/>
        <family val="3"/>
        <charset val="134"/>
      </rPr>
      <t>年</t>
    </r>
    <phoneticPr fontId="6" type="noConversion"/>
  </si>
  <si>
    <r>
      <rPr>
        <sz val="10"/>
        <rFont val="宋体"/>
        <family val="3"/>
        <charset val="134"/>
      </rPr>
      <t>制造费用</t>
    </r>
    <phoneticPr fontId="21" type="noConversion"/>
  </si>
  <si>
    <t>致同会计师事务所</t>
    <phoneticPr fontId="21" type="noConversion"/>
  </si>
  <si>
    <t>本年（期）总采购金额</t>
    <phoneticPr fontId="21" type="noConversion"/>
  </si>
  <si>
    <t>本年（期）总采购量</t>
    <phoneticPr fontId="21" type="noConversion"/>
  </si>
  <si>
    <t>本年（期）大额供应商名称</t>
    <phoneticPr fontId="21" type="noConversion"/>
  </si>
  <si>
    <t>采购金额</t>
    <phoneticPr fontId="21" type="noConversion"/>
  </si>
  <si>
    <t>占比</t>
    <phoneticPr fontId="21" type="noConversion"/>
  </si>
  <si>
    <t>采购数量</t>
    <phoneticPr fontId="21" type="noConversion"/>
  </si>
  <si>
    <t>占比</t>
    <phoneticPr fontId="21" type="noConversion"/>
  </si>
  <si>
    <t>上期排名</t>
    <phoneticPr fontId="21" type="noConversion"/>
  </si>
  <si>
    <t>合作年限</t>
    <phoneticPr fontId="21" type="noConversion"/>
  </si>
  <si>
    <t>合同主要条款</t>
    <phoneticPr fontId="21" type="noConversion"/>
  </si>
  <si>
    <t>合同执行情况</t>
    <phoneticPr fontId="21" type="noConversion"/>
  </si>
  <si>
    <t>是否关联方</t>
    <phoneticPr fontId="21" type="noConversion"/>
  </si>
  <si>
    <t>信用期</t>
    <phoneticPr fontId="21" type="noConversion"/>
  </si>
  <si>
    <t>支付方式</t>
    <phoneticPr fontId="21" type="noConversion"/>
  </si>
  <si>
    <t>其他</t>
    <phoneticPr fontId="21" type="noConversion"/>
  </si>
  <si>
    <r>
      <rPr>
        <b/>
        <sz val="10"/>
        <color indexed="8"/>
        <rFont val="宋体"/>
        <family val="3"/>
        <charset val="134"/>
      </rPr>
      <t>合</t>
    </r>
    <r>
      <rPr>
        <b/>
        <sz val="10"/>
        <color indexed="8"/>
        <rFont val="Arial Narrow"/>
        <family val="2"/>
      </rPr>
      <t xml:space="preserve">  </t>
    </r>
    <r>
      <rPr>
        <b/>
        <sz val="10"/>
        <color indexed="8"/>
        <rFont val="宋体"/>
        <family val="3"/>
        <charset val="134"/>
      </rPr>
      <t>计</t>
    </r>
    <phoneticPr fontId="21" type="noConversion"/>
  </si>
  <si>
    <t>上年（期）总采购金额</t>
    <phoneticPr fontId="21" type="noConversion"/>
  </si>
  <si>
    <t>上年（期）总采购量</t>
    <phoneticPr fontId="21" type="noConversion"/>
  </si>
  <si>
    <t>上年（期）大额供应商名称</t>
    <phoneticPr fontId="21" type="noConversion"/>
  </si>
  <si>
    <t>采购金额</t>
    <phoneticPr fontId="21" type="noConversion"/>
  </si>
  <si>
    <t>单位成本</t>
    <phoneticPr fontId="21" type="noConversion"/>
  </si>
  <si>
    <t>产品</t>
    <phoneticPr fontId="21" type="noConversion"/>
  </si>
  <si>
    <t>耗用能耗</t>
    <phoneticPr fontId="21" type="noConversion"/>
  </si>
  <si>
    <t>燃气</t>
    <phoneticPr fontId="6" type="noConversion"/>
  </si>
  <si>
    <r>
      <rPr>
        <b/>
        <sz val="10"/>
        <color indexed="8"/>
        <rFont val="宋体"/>
        <family val="3"/>
        <charset val="134"/>
      </rPr>
      <t>全年产能</t>
    </r>
    <phoneticPr fontId="21" type="noConversion"/>
  </si>
  <si>
    <r>
      <rPr>
        <b/>
        <sz val="10"/>
        <rFont val="宋体"/>
        <family val="3"/>
        <charset val="134"/>
      </rPr>
      <t>采购项目</t>
    </r>
  </si>
  <si>
    <r>
      <rPr>
        <b/>
        <sz val="10"/>
        <rFont val="宋体"/>
        <family val="3"/>
        <charset val="134"/>
      </rPr>
      <t>本期</t>
    </r>
    <phoneticPr fontId="21" type="noConversion"/>
  </si>
  <si>
    <r>
      <rPr>
        <b/>
        <sz val="10"/>
        <rFont val="宋体"/>
        <family val="3"/>
        <charset val="134"/>
      </rPr>
      <t>上期</t>
    </r>
    <phoneticPr fontId="21" type="noConversion"/>
  </si>
  <si>
    <r>
      <rPr>
        <b/>
        <sz val="10"/>
        <rFont val="宋体"/>
        <family val="3"/>
        <charset val="134"/>
      </rPr>
      <t>采购数量</t>
    </r>
  </si>
  <si>
    <r>
      <rPr>
        <b/>
        <sz val="10"/>
        <rFont val="宋体"/>
        <family val="3"/>
        <charset val="134"/>
      </rPr>
      <t>采购金额</t>
    </r>
  </si>
  <si>
    <r>
      <rPr>
        <sz val="10"/>
        <color indexed="8"/>
        <rFont val="宋体"/>
        <family val="3"/>
        <charset val="134"/>
      </rPr>
      <t>水</t>
    </r>
  </si>
  <si>
    <r>
      <rPr>
        <sz val="10"/>
        <color indexed="8"/>
        <rFont val="宋体"/>
        <family val="3"/>
        <charset val="134"/>
      </rPr>
      <t>电</t>
    </r>
  </si>
  <si>
    <r>
      <rPr>
        <sz val="10"/>
        <color indexed="8"/>
        <rFont val="宋体"/>
        <family val="3"/>
        <charset val="134"/>
      </rPr>
      <t>蒸汽</t>
    </r>
  </si>
  <si>
    <t>单价</t>
    <phoneticPr fontId="6" type="noConversion"/>
  </si>
  <si>
    <r>
      <rPr>
        <b/>
        <sz val="10"/>
        <color indexed="8"/>
        <rFont val="宋体"/>
        <family val="3"/>
        <charset val="134"/>
      </rPr>
      <t>合计</t>
    </r>
  </si>
  <si>
    <r>
      <t>1.</t>
    </r>
    <r>
      <rPr>
        <sz val="10"/>
        <color rgb="FF0000FF"/>
        <rFont val="宋体"/>
        <family val="3"/>
        <charset val="134"/>
      </rPr>
      <t>实际产量与产能异常的原因，与同行业产能利用率差异的原因：</t>
    </r>
    <phoneticPr fontId="21" type="noConversion"/>
  </si>
  <si>
    <r>
      <t>2.</t>
    </r>
    <r>
      <rPr>
        <sz val="10"/>
        <color rgb="FF0000FF"/>
        <rFont val="宋体"/>
        <family val="2"/>
        <charset val="134"/>
      </rPr>
      <t>期末实际库存与库存容量比较异常的原因：</t>
    </r>
    <phoneticPr fontId="21" type="noConversion"/>
  </si>
  <si>
    <r>
      <t>2.</t>
    </r>
    <r>
      <rPr>
        <sz val="10"/>
        <color rgb="FF0000FF"/>
        <rFont val="宋体"/>
        <family val="3"/>
        <charset val="134"/>
      </rPr>
      <t>能耗异常原因：</t>
    </r>
    <phoneticPr fontId="21" type="noConversion"/>
  </si>
  <si>
    <t>交易额</t>
    <phoneticPr fontId="21" type="noConversion"/>
  </si>
  <si>
    <t>占总交易比重</t>
    <phoneticPr fontId="21" type="noConversion"/>
  </si>
  <si>
    <t>应付款项</t>
    <phoneticPr fontId="21" type="noConversion"/>
  </si>
  <si>
    <t>预付款项</t>
    <phoneticPr fontId="21" type="noConversion"/>
  </si>
  <si>
    <t>期末余额</t>
    <phoneticPr fontId="21" type="noConversion"/>
  </si>
  <si>
    <t>占期末余额比重</t>
    <phoneticPr fontId="21" type="noConversion"/>
  </si>
  <si>
    <r>
      <rPr>
        <sz val="10"/>
        <rFont val="宋体"/>
        <family val="3"/>
        <charset val="134"/>
      </rPr>
      <t>供应商</t>
    </r>
    <r>
      <rPr>
        <sz val="10"/>
        <rFont val="Arial Narrow"/>
        <family val="2"/>
      </rPr>
      <t>1</t>
    </r>
  </si>
  <si>
    <r>
      <rPr>
        <sz val="10"/>
        <color rgb="FFFF0000"/>
        <rFont val="宋体"/>
        <family val="3"/>
        <charset val="134"/>
      </rPr>
      <t>新增主要供应商</t>
    </r>
  </si>
  <si>
    <r>
      <rPr>
        <sz val="10"/>
        <rFont val="宋体"/>
        <family val="3"/>
        <charset val="134"/>
      </rPr>
      <t>供应商</t>
    </r>
    <r>
      <rPr>
        <sz val="10"/>
        <rFont val="Arial Narrow"/>
        <family val="2"/>
      </rPr>
      <t>2</t>
    </r>
  </si>
  <si>
    <r>
      <rPr>
        <sz val="10"/>
        <color rgb="FFFF0000"/>
        <rFont val="宋体"/>
        <family val="3"/>
        <charset val="134"/>
      </rPr>
      <t>第一大供应商</t>
    </r>
  </si>
  <si>
    <r>
      <rPr>
        <sz val="10"/>
        <rFont val="宋体"/>
        <family val="3"/>
        <charset val="134"/>
      </rPr>
      <t>供应商</t>
    </r>
    <r>
      <rPr>
        <sz val="10"/>
        <rFont val="Arial Narrow"/>
        <family val="2"/>
      </rPr>
      <t>3</t>
    </r>
  </si>
  <si>
    <r>
      <rPr>
        <sz val="10"/>
        <rFont val="宋体"/>
        <family val="3"/>
        <charset val="134"/>
      </rPr>
      <t>供应商</t>
    </r>
    <r>
      <rPr>
        <sz val="10"/>
        <rFont val="Arial Narrow"/>
        <family val="2"/>
      </rPr>
      <t>4</t>
    </r>
  </si>
  <si>
    <r>
      <rPr>
        <sz val="10"/>
        <rFont val="宋体"/>
        <family val="3"/>
        <charset val="134"/>
      </rPr>
      <t>供应商</t>
    </r>
    <r>
      <rPr>
        <sz val="10"/>
        <rFont val="Arial Narrow"/>
        <family val="2"/>
      </rPr>
      <t>5</t>
    </r>
  </si>
  <si>
    <r>
      <rPr>
        <sz val="10"/>
        <rFont val="宋体"/>
        <family val="3"/>
        <charset val="134"/>
      </rPr>
      <t>供应商</t>
    </r>
    <r>
      <rPr>
        <sz val="10"/>
        <rFont val="Arial Narrow"/>
        <family val="2"/>
      </rPr>
      <t>6</t>
    </r>
  </si>
  <si>
    <r>
      <rPr>
        <sz val="10"/>
        <rFont val="宋体"/>
        <family val="3"/>
        <charset val="134"/>
      </rPr>
      <t>供应商</t>
    </r>
    <r>
      <rPr>
        <sz val="10"/>
        <rFont val="Arial Narrow"/>
        <family val="2"/>
      </rPr>
      <t>7</t>
    </r>
  </si>
  <si>
    <r>
      <rPr>
        <sz val="10"/>
        <rFont val="宋体"/>
        <family val="3"/>
        <charset val="134"/>
      </rPr>
      <t>供应商</t>
    </r>
    <r>
      <rPr>
        <sz val="10"/>
        <rFont val="Arial Narrow"/>
        <family val="2"/>
      </rPr>
      <t>8</t>
    </r>
  </si>
  <si>
    <r>
      <rPr>
        <sz val="10"/>
        <rFont val="宋体"/>
        <family val="3"/>
        <charset val="134"/>
      </rPr>
      <t>供应商</t>
    </r>
    <r>
      <rPr>
        <sz val="10"/>
        <rFont val="Arial Narrow"/>
        <family val="2"/>
      </rPr>
      <t>9</t>
    </r>
  </si>
  <si>
    <r>
      <rPr>
        <sz val="10"/>
        <rFont val="宋体"/>
        <family val="3"/>
        <charset val="134"/>
      </rPr>
      <t>供应商</t>
    </r>
    <r>
      <rPr>
        <sz val="10"/>
        <rFont val="Arial Narrow"/>
        <family val="2"/>
      </rPr>
      <t>10</t>
    </r>
  </si>
  <si>
    <t>……</t>
    <phoneticPr fontId="21" type="noConversion"/>
  </si>
  <si>
    <r>
      <rPr>
        <b/>
        <sz val="10"/>
        <rFont val="宋体"/>
        <family val="3"/>
        <charset val="134"/>
      </rPr>
      <t>四、审计说明：</t>
    </r>
    <phoneticPr fontId="21" type="noConversion"/>
  </si>
  <si>
    <r>
      <rPr>
        <b/>
        <sz val="10"/>
        <rFont val="宋体"/>
        <family val="3"/>
        <charset val="134"/>
      </rPr>
      <t>五、审计结论：</t>
    </r>
    <phoneticPr fontId="21" type="noConversion"/>
  </si>
  <si>
    <t>视频、电话访谈</t>
  </si>
  <si>
    <r>
      <rPr>
        <b/>
        <sz val="10"/>
        <rFont val="宋体"/>
        <family val="3"/>
        <charset val="134"/>
      </rPr>
      <t>一、审计目标：</t>
    </r>
    <phoneticPr fontId="24" type="noConversion"/>
  </si>
  <si>
    <r>
      <rPr>
        <b/>
        <sz val="10"/>
        <rFont val="宋体"/>
        <family val="3"/>
        <charset val="134"/>
      </rPr>
      <t>二、审计过程</t>
    </r>
    <phoneticPr fontId="24" type="noConversion"/>
  </si>
  <si>
    <t>3..……</t>
    <phoneticPr fontId="22" type="noConversion"/>
  </si>
  <si>
    <t>……</t>
    <phoneticPr fontId="21" type="noConversion"/>
  </si>
  <si>
    <t>注册地址</t>
    <phoneticPr fontId="21" type="noConversion"/>
  </si>
  <si>
    <t>办公地址</t>
    <phoneticPr fontId="21" type="noConversion"/>
  </si>
  <si>
    <t>网站地址</t>
    <phoneticPr fontId="21" type="noConversion"/>
  </si>
  <si>
    <t>网站IP地址</t>
    <phoneticPr fontId="21" type="noConversion"/>
  </si>
  <si>
    <t>企业邮箱</t>
    <phoneticPr fontId="21" type="noConversion"/>
  </si>
  <si>
    <t>成立时间</t>
    <phoneticPr fontId="22" type="noConversion"/>
  </si>
  <si>
    <t>注册资本/实缴资本</t>
    <phoneticPr fontId="21" type="noConversion"/>
  </si>
  <si>
    <t>经营范围</t>
    <phoneticPr fontId="21" type="noConversion"/>
  </si>
  <si>
    <t>法定代表人</t>
    <phoneticPr fontId="21" type="noConversion"/>
  </si>
  <si>
    <t>股东名称及
持股比例</t>
    <phoneticPr fontId="21" type="noConversion"/>
  </si>
  <si>
    <t>股东1及持股比例</t>
    <phoneticPr fontId="21" type="noConversion"/>
  </si>
  <si>
    <t>股东2及持股比例</t>
  </si>
  <si>
    <t>股东3及持股比例</t>
  </si>
  <si>
    <t>股东4及持股比例</t>
  </si>
  <si>
    <t>股东5及持股比例</t>
  </si>
  <si>
    <t>关键管理人员</t>
    <phoneticPr fontId="21" type="noConversion"/>
  </si>
  <si>
    <t>关键经办人员</t>
    <phoneticPr fontId="21" type="noConversion"/>
  </si>
  <si>
    <t>供应商核查清单</t>
    <phoneticPr fontId="21" type="noConversion"/>
  </si>
  <si>
    <r>
      <t>1.</t>
    </r>
    <r>
      <rPr>
        <sz val="10"/>
        <rFont val="宋体"/>
        <family val="3"/>
        <charset val="134"/>
      </rPr>
      <t>查询供应商工商、银行、税务资料，关注其注册资本、地址、成立时间、经营范围、法定代表人等信息，并与其相关发票信息、网站信息进行核对。</t>
    </r>
    <phoneticPr fontId="22" type="noConversion"/>
  </si>
  <si>
    <t>实际控制人</t>
    <phoneticPr fontId="21" type="noConversion"/>
  </si>
  <si>
    <r>
      <rPr>
        <sz val="10"/>
        <color indexed="10"/>
        <rFont val="宋体"/>
        <family val="3"/>
        <charset val="134"/>
      </rPr>
      <t>与发行人合作从</t>
    </r>
    <r>
      <rPr>
        <sz val="10"/>
        <color indexed="10"/>
        <rFont val="Arial Narrow"/>
        <family val="2"/>
      </rPr>
      <t>2006</t>
    </r>
    <r>
      <rPr>
        <sz val="10"/>
        <color indexed="10"/>
        <rFont val="宋体"/>
        <family val="3"/>
        <charset val="134"/>
      </rPr>
      <t>年至今已超过了</t>
    </r>
    <r>
      <rPr>
        <sz val="10"/>
        <color indexed="10"/>
        <rFont val="Arial Narrow"/>
        <family val="2"/>
      </rPr>
      <t>5</t>
    </r>
    <r>
      <rPr>
        <sz val="10"/>
        <color indexed="10"/>
        <rFont val="宋体"/>
        <family val="3"/>
        <charset val="134"/>
      </rPr>
      <t>年，</t>
    </r>
    <r>
      <rPr>
        <sz val="10"/>
        <color indexed="10"/>
        <rFont val="Arial Narrow"/>
        <family val="2"/>
      </rPr>
      <t>XYZ</t>
    </r>
    <r>
      <rPr>
        <sz val="10"/>
        <color indexed="10"/>
        <rFont val="宋体"/>
        <family val="3"/>
        <charset val="134"/>
      </rPr>
      <t>公司主要从发行人采购</t>
    </r>
    <r>
      <rPr>
        <sz val="10"/>
        <color indexed="10"/>
        <rFont val="Arial Narrow"/>
        <family val="2"/>
      </rPr>
      <t>AAA</t>
    </r>
    <r>
      <rPr>
        <sz val="10"/>
        <color indexed="10"/>
        <rFont val="宋体"/>
        <family val="3"/>
        <charset val="134"/>
      </rPr>
      <t>材料，最近三年一期（</t>
    </r>
    <r>
      <rPr>
        <sz val="10"/>
        <color indexed="10"/>
        <rFont val="Arial Narrow"/>
        <family val="2"/>
      </rPr>
      <t>2010</t>
    </r>
    <r>
      <rPr>
        <sz val="10"/>
        <color indexed="10"/>
        <rFont val="宋体"/>
        <family val="3"/>
        <charset val="134"/>
      </rPr>
      <t>年、</t>
    </r>
    <r>
      <rPr>
        <sz val="10"/>
        <color indexed="10"/>
        <rFont val="Arial Narrow"/>
        <family val="2"/>
      </rPr>
      <t>2011</t>
    </r>
    <r>
      <rPr>
        <sz val="10"/>
        <color indexed="10"/>
        <rFont val="宋体"/>
        <family val="3"/>
        <charset val="134"/>
      </rPr>
      <t>年、</t>
    </r>
    <r>
      <rPr>
        <sz val="10"/>
        <color indexed="10"/>
        <rFont val="Arial Narrow"/>
        <family val="2"/>
      </rPr>
      <t>2012</t>
    </r>
    <r>
      <rPr>
        <sz val="10"/>
        <color indexed="10"/>
        <rFont val="宋体"/>
        <family val="3"/>
        <charset val="134"/>
      </rPr>
      <t>年）的交易量和交易金额，占总交易额比重分别为</t>
    </r>
    <r>
      <rPr>
        <sz val="10"/>
        <color indexed="10"/>
        <rFont val="Arial Narrow"/>
        <family val="2"/>
      </rPr>
      <t xml:space="preserve">                                                 </t>
    </r>
    <r>
      <rPr>
        <sz val="10"/>
        <color indexed="10"/>
        <rFont val="宋体"/>
        <family val="3"/>
        <charset val="134"/>
      </rPr>
      <t>；三年的交易量、交易金额稳步上升，交易比重保持平稳，未见异常变动。发行人的销售员经常到访</t>
    </r>
    <r>
      <rPr>
        <sz val="10"/>
        <color indexed="10"/>
        <rFont val="Arial Narrow"/>
        <family val="2"/>
      </rPr>
      <t>XYZ</t>
    </r>
    <r>
      <rPr>
        <sz val="10"/>
        <color indexed="10"/>
        <rFont val="宋体"/>
        <family val="3"/>
        <charset val="134"/>
      </rPr>
      <t>公司维护客户关系，两家公司的合作关系良好，均有继续合作发展的意愿。</t>
    </r>
    <phoneticPr fontId="22" type="noConversion"/>
  </si>
  <si>
    <r>
      <t>XYZ</t>
    </r>
    <r>
      <rPr>
        <sz val="10"/>
        <color indexed="10"/>
        <rFont val="宋体"/>
        <family val="3"/>
        <charset val="134"/>
      </rPr>
      <t>公司不是</t>
    </r>
    <r>
      <rPr>
        <sz val="10"/>
        <color indexed="10"/>
        <rFont val="Arial Narrow"/>
        <family val="2"/>
      </rPr>
      <t>ABC</t>
    </r>
    <r>
      <rPr>
        <sz val="10"/>
        <color indexed="10"/>
        <rFont val="宋体"/>
        <family val="3"/>
        <charset val="134"/>
      </rPr>
      <t>的关联方</t>
    </r>
    <phoneticPr fontId="21" type="noConversion"/>
  </si>
  <si>
    <r>
      <t>XYZ</t>
    </r>
    <r>
      <rPr>
        <sz val="10"/>
        <color indexed="10"/>
        <rFont val="宋体"/>
        <family val="3"/>
        <charset val="134"/>
      </rPr>
      <t>公司今年对</t>
    </r>
    <r>
      <rPr>
        <sz val="10"/>
        <color indexed="10"/>
        <rFont val="Arial Narrow"/>
        <family val="2"/>
      </rPr>
      <t>AAA</t>
    </r>
    <r>
      <rPr>
        <sz val="10"/>
        <color indexed="10"/>
        <rFont val="宋体"/>
        <family val="3"/>
        <charset val="134"/>
      </rPr>
      <t>材料的采购目标为</t>
    </r>
    <r>
      <rPr>
        <sz val="10"/>
        <color indexed="10"/>
        <rFont val="Arial Narrow"/>
        <family val="2"/>
      </rPr>
      <t>3</t>
    </r>
    <r>
      <rPr>
        <sz val="10"/>
        <color indexed="10"/>
        <rFont val="宋体"/>
        <family val="3"/>
        <charset val="134"/>
      </rPr>
      <t>亿（含税），其中约有</t>
    </r>
    <r>
      <rPr>
        <sz val="10"/>
        <color indexed="10"/>
        <rFont val="Arial Narrow"/>
        <family val="2"/>
      </rPr>
      <t>20%</t>
    </r>
    <r>
      <rPr>
        <sz val="10"/>
        <color indexed="10"/>
        <rFont val="宋体"/>
        <family val="3"/>
        <charset val="134"/>
      </rPr>
      <t>采购自发行人</t>
    </r>
    <phoneticPr fontId="21" type="noConversion"/>
  </si>
  <si>
    <r>
      <t>XYZ</t>
    </r>
    <r>
      <rPr>
        <sz val="10"/>
        <color indexed="10"/>
        <rFont val="宋体"/>
        <family val="3"/>
        <charset val="134"/>
      </rPr>
      <t>公司的业务区域主要集中在山西陕西地区</t>
    </r>
  </si>
  <si>
    <r>
      <t>XYZ</t>
    </r>
    <r>
      <rPr>
        <sz val="10"/>
        <color indexed="10"/>
        <rFont val="宋体"/>
        <family val="3"/>
        <charset val="134"/>
      </rPr>
      <t>公司所在行业具有季节性，春、夏、秋为旺季，冬为淡季；因此原材料采购呈现类似特征。</t>
    </r>
  </si>
  <si>
    <r>
      <t>AAA</t>
    </r>
    <r>
      <rPr>
        <sz val="10"/>
        <color indexed="10"/>
        <rFont val="宋体"/>
        <family val="3"/>
        <charset val="134"/>
      </rPr>
      <t>材料</t>
    </r>
  </si>
  <si>
    <r>
      <t>500-600</t>
    </r>
    <r>
      <rPr>
        <sz val="10"/>
        <color indexed="10"/>
        <rFont val="宋体"/>
        <family val="3"/>
        <charset val="134"/>
      </rPr>
      <t>吨（含税金额约</t>
    </r>
    <r>
      <rPr>
        <sz val="10"/>
        <color indexed="10"/>
        <rFont val="Arial Narrow"/>
        <family val="2"/>
      </rPr>
      <t>5000-6000</t>
    </r>
    <r>
      <rPr>
        <sz val="10"/>
        <color indexed="10"/>
        <rFont val="宋体"/>
        <family val="3"/>
        <charset val="134"/>
      </rPr>
      <t>万）</t>
    </r>
  </si>
  <si>
    <r>
      <t>1</t>
    </r>
    <r>
      <rPr>
        <sz val="10"/>
        <color indexed="10"/>
        <rFont val="宋体"/>
        <family val="3"/>
        <charset val="134"/>
      </rPr>
      <t>个月以内，基本在</t>
    </r>
    <r>
      <rPr>
        <sz val="10"/>
        <color indexed="10"/>
        <rFont val="Arial Narrow"/>
        <family val="2"/>
      </rPr>
      <t>1</t>
    </r>
    <r>
      <rPr>
        <sz val="10"/>
        <color indexed="10"/>
        <rFont val="宋体"/>
        <family val="3"/>
        <charset val="134"/>
      </rPr>
      <t>周之内发货（一般每月发一次订单）</t>
    </r>
  </si>
  <si>
    <r>
      <t>5-6%</t>
    </r>
    <r>
      <rPr>
        <sz val="10"/>
        <color indexed="10"/>
        <rFont val="宋体"/>
        <family val="3"/>
        <charset val="134"/>
      </rPr>
      <t>，每季度按</t>
    </r>
    <r>
      <rPr>
        <sz val="10"/>
        <color indexed="10"/>
        <rFont val="Arial Narrow"/>
        <family val="2"/>
      </rPr>
      <t>5%</t>
    </r>
    <r>
      <rPr>
        <sz val="10"/>
        <color indexed="10"/>
        <rFont val="宋体"/>
        <family val="3"/>
        <charset val="134"/>
      </rPr>
      <t>结算一次，全年若超过</t>
    </r>
    <r>
      <rPr>
        <sz val="10"/>
        <color indexed="10"/>
        <rFont val="Arial Narrow"/>
        <family val="2"/>
      </rPr>
      <t>6000</t>
    </r>
    <r>
      <rPr>
        <sz val="10"/>
        <color indexed="10"/>
        <rFont val="宋体"/>
        <family val="3"/>
        <charset val="134"/>
      </rPr>
      <t>万采购量，按全年</t>
    </r>
    <r>
      <rPr>
        <sz val="10"/>
        <color indexed="10"/>
        <rFont val="Arial Narrow"/>
        <family val="2"/>
      </rPr>
      <t>5.5%</t>
    </r>
    <r>
      <rPr>
        <sz val="10"/>
        <color indexed="10"/>
        <rFont val="宋体"/>
        <family val="3"/>
        <charset val="134"/>
      </rPr>
      <t>结算差额部分，若超过</t>
    </r>
    <r>
      <rPr>
        <sz val="10"/>
        <color indexed="10"/>
        <rFont val="Arial Narrow"/>
        <family val="2"/>
      </rPr>
      <t>7000</t>
    </r>
    <r>
      <rPr>
        <sz val="10"/>
        <color indexed="10"/>
        <rFont val="宋体"/>
        <family val="3"/>
        <charset val="134"/>
      </rPr>
      <t>万，按全年</t>
    </r>
    <r>
      <rPr>
        <sz val="10"/>
        <color indexed="10"/>
        <rFont val="Arial Narrow"/>
        <family val="2"/>
      </rPr>
      <t>6%</t>
    </r>
    <r>
      <rPr>
        <sz val="10"/>
        <color indexed="10"/>
        <rFont val="宋体"/>
        <family val="3"/>
        <charset val="134"/>
      </rPr>
      <t>结算差额部分；每年</t>
    </r>
    <r>
      <rPr>
        <sz val="10"/>
        <color indexed="10"/>
        <rFont val="Arial Narrow"/>
        <family val="2"/>
      </rPr>
      <t>4</t>
    </r>
    <r>
      <rPr>
        <sz val="10"/>
        <color indexed="10"/>
        <rFont val="宋体"/>
        <family val="3"/>
        <charset val="134"/>
      </rPr>
      <t>月份进行全年佣金返利。</t>
    </r>
  </si>
  <si>
    <r>
      <t>XYZ</t>
    </r>
    <r>
      <rPr>
        <sz val="10"/>
        <color indexed="10"/>
        <rFont val="宋体"/>
        <family val="3"/>
        <charset val="134"/>
      </rPr>
      <t>公司位于</t>
    </r>
    <r>
      <rPr>
        <sz val="10"/>
        <color indexed="10"/>
        <rFont val="Arial Narrow"/>
        <family val="2"/>
      </rPr>
      <t>XXX</t>
    </r>
    <r>
      <rPr>
        <sz val="10"/>
        <color indexed="10"/>
        <rFont val="宋体"/>
        <family val="3"/>
        <charset val="134"/>
      </rPr>
      <t>工业园区，园区面积</t>
    </r>
    <r>
      <rPr>
        <sz val="10"/>
        <color indexed="10"/>
        <rFont val="Arial Narrow"/>
        <family val="2"/>
      </rPr>
      <t>300</t>
    </r>
    <r>
      <rPr>
        <sz val="10"/>
        <color indexed="10"/>
        <rFont val="宋体"/>
        <family val="3"/>
        <charset val="134"/>
      </rPr>
      <t>亩，主要生产</t>
    </r>
    <r>
      <rPr>
        <sz val="10"/>
        <color indexed="10"/>
        <rFont val="Arial Narrow"/>
        <family val="2"/>
      </rPr>
      <t>XXXX</t>
    </r>
    <r>
      <rPr>
        <sz val="10"/>
        <color indexed="10"/>
        <rFont val="宋体"/>
        <family val="3"/>
        <charset val="134"/>
      </rPr>
      <t>，主要原材料</t>
    </r>
    <r>
      <rPr>
        <sz val="10"/>
        <color indexed="10"/>
        <rFont val="Arial Narrow"/>
        <family val="2"/>
      </rPr>
      <t>AAA</t>
    </r>
    <r>
      <rPr>
        <sz val="10"/>
        <color indexed="10"/>
        <rFont val="宋体"/>
        <family val="3"/>
        <charset val="134"/>
      </rPr>
      <t>，年产能</t>
    </r>
    <r>
      <rPr>
        <sz val="10"/>
        <color indexed="10"/>
        <rFont val="Arial Narrow"/>
        <family val="2"/>
      </rPr>
      <t>XXXX</t>
    </r>
    <r>
      <rPr>
        <sz val="10"/>
        <color indexed="10"/>
        <rFont val="宋体"/>
        <family val="3"/>
        <charset val="134"/>
      </rPr>
      <t>吨。</t>
    </r>
  </si>
  <si>
    <r>
      <t>XYZ</t>
    </r>
    <r>
      <rPr>
        <sz val="10"/>
        <color indexed="10"/>
        <rFont val="宋体"/>
        <family val="3"/>
        <charset val="134"/>
      </rPr>
      <t>公司目前处于生产旺季，现场观察厂房生产正常，开工率约为</t>
    </r>
    <r>
      <rPr>
        <sz val="10"/>
        <color indexed="10"/>
        <rFont val="Arial Narrow"/>
        <family val="2"/>
      </rPr>
      <t>90%</t>
    </r>
    <r>
      <rPr>
        <sz val="10"/>
        <color indexed="10"/>
        <rFont val="宋体"/>
        <family val="3"/>
        <charset val="134"/>
      </rPr>
      <t>；</t>
    </r>
  </si>
  <si>
    <r>
      <t>XYZ</t>
    </r>
    <r>
      <rPr>
        <sz val="10"/>
        <color indexed="10"/>
        <rFont val="宋体"/>
        <family val="3"/>
        <charset val="134"/>
      </rPr>
      <t>公司</t>
    </r>
    <r>
      <rPr>
        <sz val="10"/>
        <color indexed="10"/>
        <rFont val="Arial Narrow"/>
        <family val="2"/>
      </rPr>
      <t>XXXX</t>
    </r>
    <r>
      <rPr>
        <sz val="10"/>
        <color indexed="10"/>
        <rFont val="宋体"/>
        <family val="3"/>
        <charset val="134"/>
      </rPr>
      <t>产品的销售良好，采用赊销方式，直接销售给最终用户，平均收款周期为</t>
    </r>
    <r>
      <rPr>
        <sz val="10"/>
        <color indexed="10"/>
        <rFont val="Arial Narrow"/>
        <family val="2"/>
      </rPr>
      <t>2</t>
    </r>
    <r>
      <rPr>
        <sz val="10"/>
        <color indexed="10"/>
        <rFont val="宋体"/>
        <family val="3"/>
        <charset val="134"/>
      </rPr>
      <t>个月；与行业状况基本相符。</t>
    </r>
  </si>
  <si>
    <r>
      <rPr>
        <sz val="10"/>
        <rFont val="宋体"/>
        <family val="3"/>
        <charset val="134"/>
      </rPr>
      <t>索引号：</t>
    </r>
  </si>
  <si>
    <r>
      <rPr>
        <b/>
        <sz val="10"/>
        <rFont val="宋体"/>
        <family val="3"/>
        <charset val="134"/>
      </rPr>
      <t>财务报表的认定　</t>
    </r>
  </si>
  <si>
    <t>人员规模/缴纳社保人数</t>
    <phoneticPr fontId="21" type="noConversion"/>
  </si>
  <si>
    <t>致同会计师事务所</t>
    <phoneticPr fontId="21" type="noConversion"/>
  </si>
  <si>
    <r>
      <rPr>
        <b/>
        <sz val="10"/>
        <color indexed="8"/>
        <rFont val="宋体"/>
        <family val="3"/>
        <charset val="134"/>
      </rPr>
      <t>一、审计目标：</t>
    </r>
    <phoneticPr fontId="21" type="noConversion"/>
  </si>
  <si>
    <t>二、审计过程：</t>
    <phoneticPr fontId="21" type="noConversion"/>
  </si>
  <si>
    <t>月份</t>
    <phoneticPr fontId="21" type="noConversion"/>
  </si>
  <si>
    <t>可比采购价格</t>
    <phoneticPr fontId="21" type="noConversion"/>
  </si>
  <si>
    <t>单位1</t>
    <phoneticPr fontId="21" type="noConversion"/>
  </si>
  <si>
    <t>单位2</t>
    <phoneticPr fontId="21" type="noConversion"/>
  </si>
  <si>
    <t>单位3</t>
    <phoneticPr fontId="21" type="noConversion"/>
  </si>
  <si>
    <t>单位4</t>
    <phoneticPr fontId="21" type="noConversion"/>
  </si>
  <si>
    <t>月份</t>
    <phoneticPr fontId="21" type="noConversion"/>
  </si>
  <si>
    <t>可比采购价格</t>
    <phoneticPr fontId="21" type="noConversion"/>
  </si>
  <si>
    <t>单位1</t>
    <phoneticPr fontId="21" type="noConversion"/>
  </si>
  <si>
    <t>单位2</t>
    <phoneticPr fontId="21" type="noConversion"/>
  </si>
  <si>
    <t>单位3</t>
    <phoneticPr fontId="21" type="noConversion"/>
  </si>
  <si>
    <t>单位4</t>
    <phoneticPr fontId="21" type="noConversion"/>
  </si>
  <si>
    <t>三、审计说明：</t>
    <phoneticPr fontId="21" type="noConversion"/>
  </si>
  <si>
    <t>四、审计结论：</t>
    <phoneticPr fontId="21" type="noConversion"/>
  </si>
  <si>
    <t>该底稿也适用于非关联方之间采购交易的价格公允性测试。</t>
    <phoneticPr fontId="21" type="noConversion"/>
  </si>
  <si>
    <t>致同会计师事务所</t>
    <phoneticPr fontId="21" type="noConversion"/>
  </si>
  <si>
    <t>索引号：</t>
    <phoneticPr fontId="21" type="noConversion"/>
  </si>
  <si>
    <r>
      <rPr>
        <sz val="10"/>
        <rFont val="宋体"/>
        <family val="3"/>
        <charset val="134"/>
      </rPr>
      <t>页</t>
    </r>
    <r>
      <rPr>
        <sz val="10"/>
        <rFont val="Arial Narrow"/>
        <family val="2"/>
      </rPr>
      <t xml:space="preserve">    </t>
    </r>
    <r>
      <rPr>
        <sz val="10"/>
        <rFont val="宋体"/>
        <family val="3"/>
        <charset val="134"/>
      </rPr>
      <t>次：</t>
    </r>
    <phoneticPr fontId="21" type="noConversion"/>
  </si>
  <si>
    <r>
      <rPr>
        <b/>
        <sz val="10"/>
        <color indexed="8"/>
        <rFont val="宋体"/>
        <family val="3"/>
        <charset val="134"/>
      </rPr>
      <t>一、审计目标：</t>
    </r>
    <phoneticPr fontId="21" type="noConversion"/>
  </si>
  <si>
    <t>二、审计过程：</t>
    <phoneticPr fontId="21" type="noConversion"/>
  </si>
  <si>
    <t>月份</t>
    <phoneticPr fontId="21" type="noConversion"/>
  </si>
  <si>
    <t>采购均价</t>
    <phoneticPr fontId="21" type="noConversion"/>
  </si>
  <si>
    <t>采购价格是否处于市场价区间</t>
    <phoneticPr fontId="21" type="noConversion"/>
  </si>
  <si>
    <t>三、审计说明：</t>
    <phoneticPr fontId="21" type="noConversion"/>
  </si>
  <si>
    <t>四、审计结论：</t>
    <phoneticPr fontId="21" type="noConversion"/>
  </si>
  <si>
    <t>关联方采购定价公允性核查（市场价）</t>
    <phoneticPr fontId="21" type="noConversion"/>
  </si>
  <si>
    <r>
      <rPr>
        <sz val="10"/>
        <color indexed="8"/>
        <rFont val="宋体"/>
        <family val="3"/>
        <charset val="134"/>
      </rPr>
      <t>索引号：</t>
    </r>
    <phoneticPr fontId="21" type="noConversion"/>
  </si>
  <si>
    <r>
      <rPr>
        <sz val="10"/>
        <color indexed="8"/>
        <rFont val="宋体"/>
        <family val="3"/>
        <charset val="134"/>
      </rPr>
      <t>页</t>
    </r>
    <r>
      <rPr>
        <sz val="10"/>
        <color indexed="8"/>
        <rFont val="Arial Narrow"/>
        <family val="2"/>
      </rPr>
      <t xml:space="preserve">    </t>
    </r>
    <r>
      <rPr>
        <sz val="10"/>
        <color indexed="8"/>
        <rFont val="宋体"/>
        <family val="3"/>
        <charset val="134"/>
      </rPr>
      <t>次：</t>
    </r>
    <phoneticPr fontId="21" type="noConversion"/>
  </si>
  <si>
    <r>
      <rPr>
        <b/>
        <sz val="10"/>
        <rFont val="宋体"/>
        <family val="3"/>
        <charset val="134"/>
      </rPr>
      <t>一、审计目标：</t>
    </r>
    <phoneticPr fontId="21" type="noConversion"/>
  </si>
  <si>
    <r>
      <rPr>
        <b/>
        <sz val="10"/>
        <rFont val="宋体"/>
        <family val="3"/>
        <charset val="134"/>
      </rPr>
      <t>二、审计过程：</t>
    </r>
    <phoneticPr fontId="21" type="noConversion"/>
  </si>
  <si>
    <t>…</t>
    <phoneticPr fontId="21" type="noConversion"/>
  </si>
  <si>
    <r>
      <rPr>
        <sz val="10"/>
        <color rgb="FFFF0000"/>
        <rFont val="宋体"/>
        <family val="3"/>
        <charset val="134"/>
      </rPr>
      <t>陈</t>
    </r>
    <r>
      <rPr>
        <sz val="10"/>
        <color rgb="FFFF0000"/>
        <rFont val="Arial Narrow"/>
        <family val="2"/>
      </rPr>
      <t>XX</t>
    </r>
    <phoneticPr fontId="21" type="noConversion"/>
  </si>
  <si>
    <t>Y</t>
  </si>
  <si>
    <r>
      <rPr>
        <sz val="10"/>
        <color rgb="FFFF0000"/>
        <rFont val="宋体"/>
        <family val="3"/>
        <charset val="134"/>
      </rPr>
      <t>公司员工</t>
    </r>
    <phoneticPr fontId="21" type="noConversion"/>
  </si>
  <si>
    <r>
      <rPr>
        <sz val="10"/>
        <color rgb="FFFF0000"/>
        <rFont val="宋体"/>
        <family val="3"/>
        <charset val="134"/>
      </rPr>
      <t>李</t>
    </r>
    <r>
      <rPr>
        <sz val="10"/>
        <color rgb="FFFF0000"/>
        <rFont val="Arial Narrow"/>
        <family val="2"/>
      </rPr>
      <t>YY</t>
    </r>
    <phoneticPr fontId="21" type="noConversion"/>
  </si>
  <si>
    <r>
      <rPr>
        <sz val="10"/>
        <color rgb="FFFF0000"/>
        <rFont val="宋体"/>
        <family val="3"/>
        <charset val="134"/>
      </rPr>
      <t>公司股东</t>
    </r>
    <phoneticPr fontId="21" type="noConversion"/>
  </si>
  <si>
    <t>三、审计说明：</t>
    <phoneticPr fontId="21" type="noConversion"/>
  </si>
  <si>
    <r>
      <rPr>
        <b/>
        <sz val="10"/>
        <rFont val="宋体"/>
        <family val="3"/>
        <charset val="134"/>
      </rPr>
      <t>四、审计结论：</t>
    </r>
    <phoneticPr fontId="21" type="noConversion"/>
  </si>
  <si>
    <r>
      <rPr>
        <sz val="10"/>
        <color rgb="FFFF0000"/>
        <rFont val="宋体"/>
        <family val="3"/>
        <charset val="134"/>
      </rPr>
      <t>未识别出重要供应商与公司存在关联方关系。</t>
    </r>
    <phoneticPr fontId="21" type="noConversion"/>
  </si>
  <si>
    <t>提示：</t>
    <phoneticPr fontId="21" type="noConversion"/>
  </si>
  <si>
    <r>
      <t>1.</t>
    </r>
    <r>
      <rPr>
        <sz val="10"/>
        <color rgb="FF0000FF"/>
        <rFont val="宋体"/>
        <family val="3"/>
        <charset val="134"/>
      </rPr>
      <t>识别未披露的关联方可以参考收入循环相应底稿。</t>
    </r>
    <phoneticPr fontId="21" type="noConversion"/>
  </si>
  <si>
    <r>
      <t>2.</t>
    </r>
    <r>
      <rPr>
        <sz val="10"/>
        <color rgb="FF0000FF"/>
        <rFont val="宋体"/>
        <family val="3"/>
        <charset val="134"/>
      </rPr>
      <t>甄别客户和供应商的实际控制人及关键经办人员与被审计单位是否存在关联方关系，关注与被审计单位实际控制人、董事、监事、高级管理人员关系密切的家庭成员与发行人的供应商</t>
    </r>
    <phoneticPr fontId="6" type="noConversion"/>
  </si>
  <si>
    <r>
      <rPr>
        <sz val="10"/>
        <color rgb="FF0000FF"/>
        <rFont val="宋体"/>
        <family val="3"/>
        <charset val="134"/>
      </rPr>
      <t>（含外协厂商）是否存在关联方关系，如按邮编或地址索引</t>
    </r>
    <r>
      <rPr>
        <sz val="10"/>
        <color rgb="FF0000FF"/>
        <rFont val="Arial Narrow"/>
        <family val="2"/>
      </rPr>
      <t>(</t>
    </r>
    <r>
      <rPr>
        <sz val="10"/>
        <color rgb="FF0000FF"/>
        <rFont val="宋体"/>
        <family val="3"/>
        <charset val="134"/>
      </rPr>
      <t>搜索</t>
    </r>
    <r>
      <rPr>
        <sz val="10"/>
        <color rgb="FF0000FF"/>
        <rFont val="Arial Narrow"/>
        <family val="2"/>
      </rPr>
      <t>)</t>
    </r>
    <r>
      <rPr>
        <sz val="10"/>
        <color rgb="FF0000FF"/>
        <rFont val="宋体"/>
        <family val="3"/>
        <charset val="134"/>
      </rPr>
      <t>供应商档案，并与被审计单位管理层等关联方的联系地址比对，并确定有无异常。</t>
    </r>
    <phoneticPr fontId="6" type="noConversion"/>
  </si>
  <si>
    <r>
      <t>3.</t>
    </r>
    <r>
      <rPr>
        <sz val="10"/>
        <color rgb="FF0000FF"/>
        <rFont val="宋体"/>
        <family val="3"/>
        <charset val="134"/>
      </rPr>
      <t>获取公司的征信报告（人民银行系统），通过征信信息显示的公司高管任职或投资的公司，识别是否存在未披露的关联方以及关联交易。</t>
    </r>
    <phoneticPr fontId="6" type="noConversion"/>
  </si>
  <si>
    <t>1</t>
    <phoneticPr fontId="21" type="noConversion"/>
  </si>
  <si>
    <t>核查方式（√）</t>
    <phoneticPr fontId="21" type="noConversion"/>
  </si>
  <si>
    <t>底稿开列时，可先在以下单元格填写有关内容，以便其他底稿引用有关数据：</t>
    <phoneticPr fontId="21" type="noConversion"/>
  </si>
  <si>
    <t>序号</t>
    <phoneticPr fontId="21" type="noConversion"/>
  </si>
  <si>
    <t>内容</t>
    <phoneticPr fontId="21" type="noConversion"/>
  </si>
  <si>
    <t>索引号</t>
    <phoneticPr fontId="21" type="noConversion"/>
  </si>
  <si>
    <r>
      <rPr>
        <b/>
        <sz val="10"/>
        <rFont val="宋体"/>
        <family val="3"/>
        <charset val="134"/>
      </rPr>
      <t>二、审计目标与认定的对应关系</t>
    </r>
    <phoneticPr fontId="21" type="noConversion"/>
  </si>
  <si>
    <r>
      <rPr>
        <sz val="10"/>
        <rFont val="宋体"/>
        <family val="3"/>
        <charset val="134"/>
      </rPr>
      <t>存在</t>
    </r>
    <phoneticPr fontId="21" type="noConversion"/>
  </si>
  <si>
    <r>
      <rPr>
        <b/>
        <sz val="10"/>
        <rFont val="宋体"/>
        <family val="3"/>
        <charset val="134"/>
      </rPr>
      <t>序号</t>
    </r>
    <phoneticPr fontId="21" type="noConversion"/>
  </si>
  <si>
    <r>
      <rPr>
        <b/>
        <sz val="10"/>
        <rFont val="宋体"/>
        <family val="3"/>
        <charset val="134"/>
      </rPr>
      <t>审计程序</t>
    </r>
    <phoneticPr fontId="22" type="noConversion"/>
  </si>
  <si>
    <r>
      <rPr>
        <b/>
        <sz val="10"/>
        <rFont val="宋体"/>
        <family val="3"/>
        <charset val="134"/>
      </rPr>
      <t>财务报表的认定</t>
    </r>
    <phoneticPr fontId="21" type="noConversion"/>
  </si>
  <si>
    <r>
      <rPr>
        <b/>
        <sz val="10"/>
        <rFont val="宋体"/>
        <family val="3"/>
        <charset val="134"/>
      </rPr>
      <t>存在</t>
    </r>
    <phoneticPr fontId="21" type="noConversion"/>
  </si>
  <si>
    <r>
      <rPr>
        <b/>
        <sz val="10"/>
        <rFont val="宋体"/>
        <family val="3"/>
        <charset val="134"/>
      </rPr>
      <t>完整性</t>
    </r>
    <phoneticPr fontId="21" type="noConversion"/>
  </si>
  <si>
    <r>
      <rPr>
        <b/>
        <sz val="10"/>
        <rFont val="宋体"/>
        <family val="3"/>
        <charset val="134"/>
      </rPr>
      <t>权利和
义务</t>
    </r>
    <phoneticPr fontId="21" type="noConversion"/>
  </si>
  <si>
    <r>
      <rPr>
        <b/>
        <sz val="10"/>
        <rFont val="宋体"/>
        <family val="3"/>
        <charset val="134"/>
      </rPr>
      <t>准确性、计价和分摊</t>
    </r>
  </si>
  <si>
    <r>
      <rPr>
        <b/>
        <sz val="10"/>
        <rFont val="宋体"/>
        <family val="3"/>
        <charset val="134"/>
      </rPr>
      <t>列报</t>
    </r>
    <phoneticPr fontId="21" type="noConversion"/>
  </si>
  <si>
    <r>
      <rPr>
        <b/>
        <sz val="10"/>
        <color theme="1"/>
        <rFont val="宋体"/>
        <family val="3"/>
        <charset val="134"/>
      </rPr>
      <t>√</t>
    </r>
    <phoneticPr fontId="21" type="noConversion"/>
  </si>
  <si>
    <r>
      <rPr>
        <sz val="10"/>
        <color theme="1"/>
        <rFont val="宋体"/>
        <family val="3"/>
        <charset val="134"/>
      </rPr>
      <t>财务指标与非财务指标结合分析，分析存货产量与产能（产能利用率）、货库存量与库存能力、水电等能源价格和单位产品能源消耗，关注异常情况。</t>
    </r>
    <phoneticPr fontId="21" type="noConversion"/>
  </si>
  <si>
    <r>
      <rPr>
        <sz val="10"/>
        <color theme="1"/>
        <rFont val="宋体"/>
        <family val="3"/>
        <charset val="134"/>
      </rPr>
      <t>结合存货监盘和对仓库实物账的核对，分析原材料实际投入量是否与财务账面记录一致。</t>
    </r>
    <phoneticPr fontId="21" type="noConversion"/>
  </si>
  <si>
    <r>
      <rPr>
        <sz val="10"/>
        <color theme="1"/>
        <rFont val="宋体"/>
        <family val="3"/>
        <charset val="134"/>
      </rPr>
      <t>√</t>
    </r>
    <phoneticPr fontId="21" type="noConversion"/>
  </si>
  <si>
    <r>
      <rPr>
        <sz val="10"/>
        <color theme="1"/>
        <rFont val="宋体"/>
        <family val="3"/>
        <charset val="134"/>
      </rPr>
      <t>结合销售循环审计，分析客户、供应商名单以及应收、应付等往来明细，检查是否针对同一对方单位或存在关联关系的对方单位同时存在销售、采购的情况，是否有合理的商业理由，关注是否存在第三方配合舞弊的情形。</t>
    </r>
    <phoneticPr fontId="21" type="noConversion"/>
  </si>
  <si>
    <r>
      <rPr>
        <sz val="10"/>
        <color theme="1"/>
        <rFont val="宋体"/>
        <family val="3"/>
        <charset val="134"/>
      </rPr>
      <t>根据评估的舞弊风险等因素增加的审计程序。</t>
    </r>
    <phoneticPr fontId="21" type="noConversion"/>
  </si>
  <si>
    <r>
      <rPr>
        <b/>
        <sz val="10"/>
        <rFont val="宋体"/>
        <family val="3"/>
        <charset val="134"/>
      </rPr>
      <t>审计目标</t>
    </r>
    <phoneticPr fontId="21" type="noConversion"/>
  </si>
  <si>
    <r>
      <rPr>
        <sz val="10"/>
        <color theme="1"/>
        <rFont val="宋体"/>
        <family val="3"/>
        <charset val="134"/>
      </rPr>
      <t>√</t>
    </r>
    <phoneticPr fontId="21" type="noConversion"/>
  </si>
  <si>
    <r>
      <rPr>
        <sz val="10"/>
        <rFont val="宋体"/>
        <family val="3"/>
        <charset val="134"/>
      </rPr>
      <t>页</t>
    </r>
    <r>
      <rPr>
        <sz val="10"/>
        <rFont val="Arial Narrow"/>
        <family val="2"/>
      </rPr>
      <t xml:space="preserve">  </t>
    </r>
    <r>
      <rPr>
        <sz val="10"/>
        <rFont val="宋体"/>
        <family val="3"/>
        <charset val="134"/>
      </rPr>
      <t>次：</t>
    </r>
    <phoneticPr fontId="22" type="noConversion"/>
  </si>
  <si>
    <r>
      <rPr>
        <sz val="10"/>
        <rFont val="宋体"/>
        <family val="3"/>
        <charset val="134"/>
      </rPr>
      <t>列报</t>
    </r>
    <phoneticPr fontId="21" type="noConversion"/>
  </si>
  <si>
    <r>
      <rPr>
        <b/>
        <sz val="10"/>
        <rFont val="宋体"/>
        <family val="3"/>
        <charset val="134"/>
      </rPr>
      <t>与</t>
    </r>
    <r>
      <rPr>
        <b/>
        <sz val="10"/>
        <rFont val="Arial Narrow"/>
        <family val="2"/>
      </rPr>
      <t>Leap</t>
    </r>
    <r>
      <rPr>
        <b/>
        <sz val="10"/>
        <rFont val="宋体"/>
        <family val="3"/>
        <charset val="134"/>
      </rPr>
      <t>对应</t>
    </r>
    <phoneticPr fontId="21" type="noConversion"/>
  </si>
  <si>
    <r>
      <rPr>
        <sz val="10"/>
        <rFont val="宋体"/>
        <family val="3"/>
        <charset val="134"/>
      </rPr>
      <t>应对措施</t>
    </r>
    <r>
      <rPr>
        <sz val="10"/>
        <rFont val="Arial Narrow"/>
        <family val="2"/>
      </rPr>
      <t>-</t>
    </r>
    <r>
      <rPr>
        <sz val="10"/>
        <rFont val="宋体"/>
        <family val="3"/>
        <charset val="134"/>
      </rPr>
      <t>实质性</t>
    </r>
    <r>
      <rPr>
        <sz val="10"/>
        <rFont val="Arial Narrow"/>
        <family val="2"/>
      </rPr>
      <t>/</t>
    </r>
    <r>
      <rPr>
        <sz val="10"/>
        <rFont val="宋体"/>
        <family val="3"/>
        <charset val="134"/>
      </rPr>
      <t>非实质性分析程序</t>
    </r>
    <phoneticPr fontId="21" type="noConversion"/>
  </si>
  <si>
    <r>
      <rPr>
        <sz val="10"/>
        <color theme="1"/>
        <rFont val="宋体"/>
        <family val="3"/>
        <charset val="134"/>
      </rPr>
      <t>主要产品成本及单耗分析：
（</t>
    </r>
    <r>
      <rPr>
        <sz val="10"/>
        <color theme="1"/>
        <rFont val="Arial Narrow"/>
        <family val="2"/>
      </rPr>
      <t>1</t>
    </r>
    <r>
      <rPr>
        <sz val="10"/>
        <color theme="1"/>
        <rFont val="宋体"/>
        <family val="3"/>
        <charset val="134"/>
      </rPr>
      <t>）分析本期及上期各月主要产品的生产成本（主要原材料、直接人工、制造费用）发生额，占比是否异常；
（</t>
    </r>
    <r>
      <rPr>
        <sz val="10"/>
        <color theme="1"/>
        <rFont val="Arial Narrow"/>
        <family val="2"/>
      </rPr>
      <t>2</t>
    </r>
    <r>
      <rPr>
        <sz val="10"/>
        <color theme="1"/>
        <rFont val="宋体"/>
        <family val="3"/>
        <charset val="134"/>
      </rPr>
      <t>）分析本期及上期各月主要产品生产成本结转、产量、产成品单位成本是否异常；
（</t>
    </r>
    <r>
      <rPr>
        <sz val="10"/>
        <color theme="1"/>
        <rFont val="Arial Narrow"/>
        <family val="2"/>
      </rPr>
      <t>3</t>
    </r>
    <r>
      <rPr>
        <sz val="10"/>
        <color theme="1"/>
        <rFont val="宋体"/>
        <family val="3"/>
        <charset val="134"/>
      </rPr>
      <t>）分析本期及上期各月主要产品产成品入库对应的主要原材料、直接人工、制造费用耗用，单位成本是否异常，与同行业公司对比是否异常；
（</t>
    </r>
    <r>
      <rPr>
        <sz val="10"/>
        <color theme="1"/>
        <rFont val="Arial Narrow"/>
        <family val="2"/>
      </rPr>
      <t>4</t>
    </r>
    <r>
      <rPr>
        <sz val="10"/>
        <color theme="1"/>
        <rFont val="宋体"/>
        <family val="3"/>
        <charset val="134"/>
      </rPr>
      <t>）分析本期及上期各月主要产品产成品入库对应的主要材料单位耗用是否异常；</t>
    </r>
    <phoneticPr fontId="21" type="noConversion"/>
  </si>
  <si>
    <r>
      <rPr>
        <sz val="10"/>
        <rFont val="宋体"/>
        <family val="3"/>
        <charset val="134"/>
      </rPr>
      <t>应对措施</t>
    </r>
    <r>
      <rPr>
        <sz val="10"/>
        <rFont val="Arial Narrow"/>
        <family val="2"/>
      </rPr>
      <t>-</t>
    </r>
    <r>
      <rPr>
        <sz val="10"/>
        <rFont val="宋体"/>
        <family val="3"/>
        <charset val="134"/>
      </rPr>
      <t>检查（选择</t>
    </r>
    <r>
      <rPr>
        <sz val="10"/>
        <rFont val="Arial Narrow"/>
        <family val="2"/>
      </rPr>
      <t>“</t>
    </r>
    <r>
      <rPr>
        <sz val="10"/>
        <rFont val="宋体"/>
        <family val="3"/>
        <charset val="134"/>
      </rPr>
      <t>执行延申检查</t>
    </r>
    <r>
      <rPr>
        <sz val="10"/>
        <rFont val="Arial Narrow"/>
        <family val="2"/>
      </rPr>
      <t>”</t>
    </r>
    <r>
      <rPr>
        <sz val="10"/>
        <rFont val="宋体"/>
        <family val="3"/>
        <charset val="134"/>
      </rPr>
      <t>）</t>
    </r>
    <phoneticPr fontId="21" type="noConversion"/>
  </si>
  <si>
    <r>
      <rPr>
        <sz val="10"/>
        <rFont val="宋体"/>
        <family val="3"/>
        <charset val="134"/>
      </rPr>
      <t>应对措施</t>
    </r>
    <r>
      <rPr>
        <sz val="10"/>
        <rFont val="Arial Narrow"/>
        <family val="2"/>
      </rPr>
      <t>-</t>
    </r>
    <r>
      <rPr>
        <sz val="10"/>
        <rFont val="宋体"/>
        <family val="3"/>
        <charset val="134"/>
      </rPr>
      <t>函证</t>
    </r>
    <phoneticPr fontId="21" type="noConversion"/>
  </si>
  <si>
    <r>
      <rPr>
        <b/>
        <sz val="10"/>
        <rFont val="宋体"/>
        <family val="3"/>
        <charset val="134"/>
      </rPr>
      <t>一、本账户涉及的科目</t>
    </r>
    <phoneticPr fontId="22" type="noConversion"/>
  </si>
  <si>
    <r>
      <rPr>
        <b/>
        <sz val="10"/>
        <rFont val="宋体"/>
        <family val="3"/>
        <charset val="134"/>
      </rPr>
      <t>程序分类</t>
    </r>
    <phoneticPr fontId="21" type="noConversion"/>
  </si>
  <si>
    <r>
      <rPr>
        <b/>
        <sz val="10"/>
        <rFont val="宋体"/>
        <family val="3"/>
        <charset val="134"/>
      </rPr>
      <t>底稿索引号</t>
    </r>
    <phoneticPr fontId="21" type="noConversion"/>
  </si>
  <si>
    <r>
      <rPr>
        <sz val="10"/>
        <color indexed="8"/>
        <rFont val="宋体"/>
        <family val="3"/>
        <charset val="134"/>
      </rPr>
      <t>页</t>
    </r>
    <r>
      <rPr>
        <sz val="10"/>
        <color indexed="8"/>
        <rFont val="Arial Narrow"/>
        <family val="2"/>
      </rPr>
      <t xml:space="preserve">   </t>
    </r>
    <r>
      <rPr>
        <sz val="10"/>
        <color indexed="8"/>
        <rFont val="宋体"/>
        <family val="3"/>
        <charset val="134"/>
      </rPr>
      <t>次：</t>
    </r>
    <phoneticPr fontId="21" type="noConversion"/>
  </si>
  <si>
    <t>F2-61</t>
    <phoneticPr fontId="6" type="noConversion"/>
  </si>
  <si>
    <t>存货实质性程序</t>
    <phoneticPr fontId="21" type="noConversion"/>
  </si>
  <si>
    <t>存货实质性程序</t>
    <phoneticPr fontId="6" type="noConversion"/>
  </si>
  <si>
    <t>原材料采购价格分析表（报告期逐月采购金额、数量、单价比较）</t>
    <phoneticPr fontId="21" type="noConversion"/>
  </si>
  <si>
    <t>1、审计说明：</t>
    <phoneticPr fontId="21" type="noConversion"/>
  </si>
  <si>
    <t>2、审计结论：</t>
    <phoneticPr fontId="21" type="noConversion"/>
  </si>
  <si>
    <r>
      <t>1</t>
    </r>
    <r>
      <rPr>
        <sz val="10"/>
        <color theme="1"/>
        <rFont val="宋体"/>
        <family val="3"/>
        <charset val="134"/>
      </rPr>
      <t>月</t>
    </r>
  </si>
  <si>
    <r>
      <t>2</t>
    </r>
    <r>
      <rPr>
        <sz val="10"/>
        <color theme="1"/>
        <rFont val="宋体"/>
        <family val="3"/>
        <charset val="134"/>
      </rPr>
      <t>月</t>
    </r>
  </si>
  <si>
    <r>
      <rPr>
        <b/>
        <sz val="10"/>
        <color theme="1"/>
        <rFont val="宋体"/>
        <family val="3"/>
        <charset val="134"/>
      </rPr>
      <t>总计</t>
    </r>
  </si>
  <si>
    <r>
      <rPr>
        <b/>
        <sz val="10"/>
        <rFont val="宋体"/>
        <family val="3"/>
        <charset val="134"/>
      </rPr>
      <t>合计</t>
    </r>
    <phoneticPr fontId="21" type="noConversion"/>
  </si>
  <si>
    <t>XX供应商</t>
    <phoneticPr fontId="21" type="noConversion"/>
  </si>
  <si>
    <r>
      <rPr>
        <sz val="10"/>
        <color theme="1"/>
        <rFont val="宋体"/>
        <family val="3"/>
        <charset val="134"/>
      </rPr>
      <t>入库金额</t>
    </r>
    <phoneticPr fontId="21" type="noConversion"/>
  </si>
  <si>
    <t>XX原材料</t>
    <phoneticPr fontId="21" type="noConversion"/>
  </si>
  <si>
    <t>月份</t>
    <phoneticPr fontId="21" type="noConversion"/>
  </si>
  <si>
    <t>入库数量</t>
    <phoneticPr fontId="21" type="noConversion"/>
  </si>
  <si>
    <t>数量</t>
    <phoneticPr fontId="21" type="noConversion"/>
  </si>
  <si>
    <t>金额</t>
    <phoneticPr fontId="21" type="noConversion"/>
  </si>
  <si>
    <t>数量</t>
    <phoneticPr fontId="21" type="noConversion"/>
  </si>
  <si>
    <r>
      <t>20XX</t>
    </r>
    <r>
      <rPr>
        <sz val="10"/>
        <rFont val="宋体"/>
        <family val="3"/>
        <charset val="134"/>
      </rPr>
      <t>年度</t>
    </r>
    <phoneticPr fontId="21" type="noConversion"/>
  </si>
  <si>
    <t>采购单价</t>
    <phoneticPr fontId="21" type="noConversion"/>
  </si>
  <si>
    <t>金额</t>
    <phoneticPr fontId="21" type="noConversion"/>
  </si>
  <si>
    <t>页  次：</t>
    <phoneticPr fontId="21" type="noConversion"/>
  </si>
  <si>
    <t>F2-62</t>
  </si>
  <si>
    <t>F2-63</t>
  </si>
  <si>
    <t>F2-64</t>
  </si>
  <si>
    <t>原材料采购价格分析表</t>
    <phoneticPr fontId="6" type="noConversion"/>
  </si>
  <si>
    <t>原材料单价分析表</t>
    <phoneticPr fontId="6" type="noConversion"/>
  </si>
  <si>
    <t>存货产量与产能、能耗分析表</t>
    <phoneticPr fontId="6" type="noConversion"/>
  </si>
  <si>
    <t>存货产量与产能、能耗分析表</t>
    <phoneticPr fontId="21" type="noConversion"/>
  </si>
  <si>
    <t>页  次：</t>
    <phoneticPr fontId="6" type="noConversion"/>
  </si>
  <si>
    <t>存货名称</t>
    <phoneticPr fontId="21" type="noConversion"/>
  </si>
  <si>
    <t>存货名称</t>
    <phoneticPr fontId="21" type="noConversion"/>
  </si>
  <si>
    <t>已有订单数量</t>
    <phoneticPr fontId="21" type="noConversion"/>
  </si>
  <si>
    <t>实际库存量</t>
    <phoneticPr fontId="21" type="noConversion"/>
  </si>
  <si>
    <t>期后销售数量</t>
    <phoneticPr fontId="21" type="noConversion"/>
  </si>
  <si>
    <t>一、实际产量与产能比较分析</t>
    <phoneticPr fontId="21" type="noConversion"/>
  </si>
  <si>
    <t>二、期末库存与库存容量比较</t>
    <phoneticPr fontId="21" type="noConversion"/>
  </si>
  <si>
    <t>三、实际产量与能耗比较分析</t>
    <phoneticPr fontId="21" type="noConversion"/>
  </si>
  <si>
    <t>四、审计说明：</t>
    <phoneticPr fontId="21" type="noConversion"/>
  </si>
  <si>
    <t>五、审计结论：</t>
    <phoneticPr fontId="21" type="noConversion"/>
  </si>
  <si>
    <t>一、同一供应商，采购不同物料单价分析</t>
    <phoneticPr fontId="21" type="noConversion"/>
  </si>
  <si>
    <t>二、同一原材料，在不同供应商处各月采购单价分析</t>
    <phoneticPr fontId="21" type="noConversion"/>
  </si>
  <si>
    <t>三、同一类原材料，不同规格材料采购单价分析</t>
    <phoneticPr fontId="21" type="noConversion"/>
  </si>
  <si>
    <t>四、审计说明：</t>
    <phoneticPr fontId="24" type="noConversion"/>
  </si>
  <si>
    <t>五、审计结论：</t>
    <phoneticPr fontId="21" type="noConversion"/>
  </si>
  <si>
    <t>水</t>
  </si>
  <si>
    <t>电</t>
  </si>
  <si>
    <t>燃气</t>
  </si>
  <si>
    <t>提示：</t>
    <phoneticPr fontId="21" type="noConversion"/>
  </si>
  <si>
    <r>
      <t>1.</t>
    </r>
    <r>
      <rPr>
        <sz val="10"/>
        <color indexed="12"/>
        <rFont val="宋体"/>
        <family val="3"/>
        <charset val="134"/>
      </rPr>
      <t>底稿中仅列示了实际产量与产能比较、期末库存与库存容量比较的参考格式，请结合公司实际情况和审计程序要求设计和编制相关底稿。</t>
    </r>
    <phoneticPr fontId="21" type="noConversion"/>
  </si>
  <si>
    <r>
      <t>2.</t>
    </r>
    <r>
      <rPr>
        <sz val="10"/>
        <color rgb="FF0000FF"/>
        <rFont val="宋体"/>
        <family val="3"/>
        <charset val="134"/>
      </rPr>
      <t>识别与存货成本密切相关的联动成本因素（如关键原材料、水电费等），根据标准单耗指标，以及工资表、水费单、电费单、运费单等测算发行人真实的产量和销量，并倒推采购量，将其实际采购量情况、存货收发存情况与投入产出结合比较，以分析本期存货产、销、存的合理性，分析说明有无重大异常。</t>
    </r>
    <phoneticPr fontId="21" type="noConversion"/>
  </si>
  <si>
    <t>F2-61
/F2-62</t>
    <phoneticPr fontId="21" type="noConversion"/>
  </si>
  <si>
    <t>F2-63</t>
    <phoneticPr fontId="21" type="noConversion"/>
  </si>
  <si>
    <t>主要产品生产成本及单耗分析表</t>
    <phoneticPr fontId="22" type="noConversion"/>
  </si>
  <si>
    <t>主要产品生产成本及单耗分析表</t>
    <phoneticPr fontId="6" type="noConversion"/>
  </si>
  <si>
    <t>一、生产成本本期及上期各月发生额分析</t>
    <phoneticPr fontId="6" type="noConversion"/>
  </si>
  <si>
    <r>
      <rPr>
        <b/>
        <sz val="10"/>
        <color theme="1"/>
        <rFont val="宋体"/>
        <family val="3"/>
        <charset val="134"/>
      </rPr>
      <t>年度</t>
    </r>
    <phoneticPr fontId="6" type="noConversion"/>
  </si>
  <si>
    <r>
      <rPr>
        <b/>
        <sz val="10"/>
        <rFont val="宋体"/>
        <family val="3"/>
        <charset val="134"/>
      </rPr>
      <t>项目</t>
    </r>
    <phoneticPr fontId="21" type="noConversion"/>
  </si>
  <si>
    <r>
      <rPr>
        <b/>
        <sz val="10"/>
        <rFont val="宋体"/>
        <family val="3"/>
        <charset val="134"/>
      </rPr>
      <t>被审计单位</t>
    </r>
    <phoneticPr fontId="6" type="noConversion"/>
  </si>
  <si>
    <r>
      <rPr>
        <b/>
        <sz val="10"/>
        <color theme="1"/>
        <rFont val="宋体"/>
        <family val="3"/>
        <charset val="134"/>
      </rPr>
      <t>同行业公司</t>
    </r>
    <r>
      <rPr>
        <b/>
        <sz val="10"/>
        <color theme="1"/>
        <rFont val="Arial Narrow"/>
        <family val="2"/>
      </rPr>
      <t>1</t>
    </r>
    <phoneticPr fontId="6" type="noConversion"/>
  </si>
  <si>
    <r>
      <rPr>
        <b/>
        <sz val="10"/>
        <rFont val="宋体"/>
        <family val="3"/>
        <charset val="134"/>
      </rPr>
      <t>单耗</t>
    </r>
    <phoneticPr fontId="21" type="noConversion"/>
  </si>
  <si>
    <r>
      <rPr>
        <b/>
        <sz val="10"/>
        <rFont val="宋体"/>
        <family val="3"/>
        <charset val="134"/>
      </rPr>
      <t>单耗占比</t>
    </r>
    <phoneticPr fontId="21" type="noConversion"/>
  </si>
  <si>
    <r>
      <rPr>
        <b/>
        <sz val="10"/>
        <rFont val="宋体"/>
        <family val="3"/>
        <charset val="134"/>
      </rPr>
      <t>单耗占比</t>
    </r>
    <phoneticPr fontId="21" type="noConversion"/>
  </si>
  <si>
    <t>二、生产成本本期及上期各月结转、产量、产成品单位成本分析</t>
    <phoneticPr fontId="6" type="noConversion"/>
  </si>
  <si>
    <t>三、产成品单位成本分析</t>
    <phoneticPr fontId="6" type="noConversion"/>
  </si>
  <si>
    <t>四、产成品主要原材料耗用分析</t>
    <phoneticPr fontId="6" type="noConversion"/>
  </si>
  <si>
    <t>F2-64</t>
    <phoneticPr fontId="21" type="noConversion"/>
  </si>
  <si>
    <t>对重大、异常关联交易，采用向可比公司询价或者查询采购产品可比市场价格的方式，核查向关联方采购价格的公允性。</t>
    <phoneticPr fontId="21" type="noConversion"/>
  </si>
  <si>
    <t>常规程序（选择“存在关联交易”）</t>
    <phoneticPr fontId="21" type="noConversion"/>
  </si>
  <si>
    <t>索引号：</t>
    <phoneticPr fontId="21" type="noConversion"/>
  </si>
  <si>
    <r>
      <rPr>
        <sz val="10"/>
        <rFont val="宋体"/>
        <family val="3"/>
        <charset val="134"/>
      </rPr>
      <t>页</t>
    </r>
    <r>
      <rPr>
        <sz val="10"/>
        <rFont val="Arial Narrow"/>
        <family val="2"/>
      </rPr>
      <t xml:space="preserve">    </t>
    </r>
    <r>
      <rPr>
        <sz val="10"/>
        <rFont val="宋体"/>
        <family val="3"/>
        <charset val="134"/>
      </rPr>
      <t>次：</t>
    </r>
    <phoneticPr fontId="21" type="noConversion"/>
  </si>
  <si>
    <t>关联方采购定价公允性核查（询价函）</t>
    <phoneticPr fontId="21" type="noConversion"/>
  </si>
  <si>
    <t>关联方采购定价公允性核查（询价函）</t>
    <phoneticPr fontId="6" type="noConversion"/>
  </si>
  <si>
    <t xml:space="preserve">存货以恰当的金额包括在财务报表中，与之相关的计价或分摊调整已恰当记录，相关披露已得到恰当计量和描述 </t>
    <phoneticPr fontId="21" type="noConversion"/>
  </si>
  <si>
    <r>
      <t>1.</t>
    </r>
    <r>
      <rPr>
        <sz val="10"/>
        <rFont val="宋体"/>
        <family val="3"/>
        <charset val="134"/>
      </rPr>
      <t>向可比公司寄发询证函，获取公司相同或相似产品销售价格；</t>
    </r>
    <phoneticPr fontId="21" type="noConversion"/>
  </si>
  <si>
    <t>提示：</t>
    <phoneticPr fontId="21" type="noConversion"/>
  </si>
  <si>
    <t>采购价格</t>
    <phoneticPr fontId="21" type="noConversion"/>
  </si>
  <si>
    <t>采购价格是否合理</t>
    <phoneticPr fontId="21" type="noConversion"/>
  </si>
  <si>
    <r>
      <rPr>
        <b/>
        <u/>
        <sz val="10"/>
        <rFont val="宋体"/>
        <family val="3"/>
        <charset val="134"/>
      </rPr>
      <t>关联方：</t>
    </r>
    <r>
      <rPr>
        <b/>
        <u/>
        <sz val="10"/>
        <rFont val="Arial Narrow"/>
        <family val="2"/>
      </rPr>
      <t xml:space="preserve">XXXX       </t>
    </r>
    <r>
      <rPr>
        <b/>
        <u/>
        <sz val="10"/>
        <rFont val="宋体"/>
        <family val="3"/>
        <charset val="134"/>
      </rPr>
      <t>产品</t>
    </r>
    <r>
      <rPr>
        <b/>
        <u/>
        <sz val="10"/>
        <rFont val="Arial Narrow"/>
        <family val="2"/>
      </rPr>
      <t>A</t>
    </r>
    <phoneticPr fontId="21" type="noConversion"/>
  </si>
  <si>
    <t>产品规格</t>
    <phoneticPr fontId="21" type="noConversion"/>
  </si>
  <si>
    <r>
      <t>1</t>
    </r>
    <r>
      <rPr>
        <sz val="10"/>
        <color indexed="72"/>
        <rFont val="宋体"/>
        <family val="3"/>
        <charset val="134"/>
      </rPr>
      <t>月</t>
    </r>
    <phoneticPr fontId="21" type="noConversion"/>
  </si>
  <si>
    <r>
      <t>2</t>
    </r>
    <r>
      <rPr>
        <sz val="10"/>
        <color indexed="72"/>
        <rFont val="宋体"/>
        <family val="3"/>
        <charset val="134"/>
      </rPr>
      <t>月</t>
    </r>
    <phoneticPr fontId="21" type="noConversion"/>
  </si>
  <si>
    <r>
      <t>3月</t>
    </r>
    <r>
      <rPr>
        <sz val="10"/>
        <color indexed="72"/>
        <rFont val="宋体"/>
        <family val="3"/>
        <charset val="134"/>
      </rPr>
      <t/>
    </r>
  </si>
  <si>
    <r>
      <t>4月</t>
    </r>
    <r>
      <rPr>
        <sz val="10"/>
        <color indexed="72"/>
        <rFont val="宋体"/>
        <family val="3"/>
        <charset val="134"/>
      </rPr>
      <t/>
    </r>
  </si>
  <si>
    <r>
      <t>5月</t>
    </r>
    <r>
      <rPr>
        <sz val="10"/>
        <color indexed="72"/>
        <rFont val="宋体"/>
        <family val="3"/>
        <charset val="134"/>
      </rPr>
      <t/>
    </r>
  </si>
  <si>
    <r>
      <t>6月</t>
    </r>
    <r>
      <rPr>
        <sz val="10"/>
        <color indexed="72"/>
        <rFont val="宋体"/>
        <family val="3"/>
        <charset val="134"/>
      </rPr>
      <t/>
    </r>
  </si>
  <si>
    <r>
      <t>7月</t>
    </r>
    <r>
      <rPr>
        <sz val="10"/>
        <color indexed="72"/>
        <rFont val="宋体"/>
        <family val="3"/>
        <charset val="134"/>
      </rPr>
      <t/>
    </r>
  </si>
  <si>
    <r>
      <t>8月</t>
    </r>
    <r>
      <rPr>
        <sz val="10"/>
        <color indexed="72"/>
        <rFont val="宋体"/>
        <family val="3"/>
        <charset val="134"/>
      </rPr>
      <t/>
    </r>
  </si>
  <si>
    <r>
      <t>9月</t>
    </r>
    <r>
      <rPr>
        <sz val="10"/>
        <color indexed="72"/>
        <rFont val="宋体"/>
        <family val="3"/>
        <charset val="134"/>
      </rPr>
      <t/>
    </r>
  </si>
  <si>
    <r>
      <t>10月</t>
    </r>
    <r>
      <rPr>
        <sz val="10"/>
        <color indexed="72"/>
        <rFont val="宋体"/>
        <family val="3"/>
        <charset val="134"/>
      </rPr>
      <t/>
    </r>
  </si>
  <si>
    <r>
      <t>11月</t>
    </r>
    <r>
      <rPr>
        <sz val="10"/>
        <color indexed="72"/>
        <rFont val="宋体"/>
        <family val="3"/>
        <charset val="134"/>
      </rPr>
      <t/>
    </r>
  </si>
  <si>
    <r>
      <t>12月</t>
    </r>
    <r>
      <rPr>
        <sz val="10"/>
        <color indexed="72"/>
        <rFont val="宋体"/>
        <family val="3"/>
        <charset val="134"/>
      </rPr>
      <t/>
    </r>
  </si>
  <si>
    <r>
      <rPr>
        <b/>
        <u/>
        <sz val="10"/>
        <rFont val="宋体"/>
        <family val="3"/>
        <charset val="134"/>
      </rPr>
      <t>关联方：</t>
    </r>
    <r>
      <rPr>
        <b/>
        <u/>
        <sz val="10"/>
        <rFont val="Arial Narrow"/>
        <family val="2"/>
      </rPr>
      <t xml:space="preserve">XXXX       </t>
    </r>
    <r>
      <rPr>
        <b/>
        <u/>
        <sz val="10"/>
        <rFont val="宋体"/>
        <family val="3"/>
        <charset val="134"/>
      </rPr>
      <t>产品</t>
    </r>
    <r>
      <rPr>
        <b/>
        <u/>
        <sz val="10"/>
        <rFont val="Arial Narrow"/>
        <family val="2"/>
      </rPr>
      <t>B</t>
    </r>
    <phoneticPr fontId="21" type="noConversion"/>
  </si>
  <si>
    <t>关联方采购定价公允性核查（市场价）</t>
    <phoneticPr fontId="6" type="noConversion"/>
  </si>
  <si>
    <t>F2-66</t>
  </si>
  <si>
    <r>
      <t>1.</t>
    </r>
    <r>
      <rPr>
        <sz val="10"/>
        <rFont val="宋体"/>
        <family val="3"/>
        <charset val="134"/>
      </rPr>
      <t>获取关联采购产品可比市场价格。</t>
    </r>
    <phoneticPr fontId="21" type="noConversion"/>
  </si>
  <si>
    <r>
      <t>2.</t>
    </r>
    <r>
      <rPr>
        <sz val="10"/>
        <rFont val="宋体"/>
        <family val="3"/>
        <charset val="134"/>
      </rPr>
      <t>将公司的采购价格与可比市场价格进行比较，分析关联方采购价格的公允性。</t>
    </r>
    <phoneticPr fontId="21" type="noConversion"/>
  </si>
  <si>
    <r>
      <t>2.</t>
    </r>
    <r>
      <rPr>
        <sz val="10"/>
        <rFont val="宋体"/>
        <family val="3"/>
        <charset val="134"/>
      </rPr>
      <t>将公司的采购单价与可比公司的销售价格进行比较，分析关联方采购价格的公允性；</t>
    </r>
    <phoneticPr fontId="21" type="noConversion"/>
  </si>
  <si>
    <r>
      <rPr>
        <b/>
        <u/>
        <sz val="10"/>
        <rFont val="宋体"/>
        <family val="3"/>
        <charset val="134"/>
      </rPr>
      <t>关联方：</t>
    </r>
    <r>
      <rPr>
        <b/>
        <u/>
        <sz val="10"/>
        <rFont val="Arial Narrow"/>
        <family val="2"/>
      </rPr>
      <t xml:space="preserve">XXXX       </t>
    </r>
    <r>
      <rPr>
        <b/>
        <u/>
        <sz val="10"/>
        <rFont val="宋体"/>
        <family val="3"/>
        <charset val="134"/>
      </rPr>
      <t>产品</t>
    </r>
    <r>
      <rPr>
        <b/>
        <u/>
        <sz val="10"/>
        <rFont val="Arial Narrow"/>
        <family val="2"/>
      </rPr>
      <t>B</t>
    </r>
    <phoneticPr fontId="21" type="noConversion"/>
  </si>
  <si>
    <t>月初</t>
    <phoneticPr fontId="6" type="noConversion"/>
  </si>
  <si>
    <t>月末</t>
    <phoneticPr fontId="6" type="noConversion"/>
  </si>
  <si>
    <t>市场价格（挂牌价）均价</t>
    <phoneticPr fontId="21" type="noConversion"/>
  </si>
  <si>
    <t>是</t>
  </si>
  <si>
    <r>
      <t>3.</t>
    </r>
    <r>
      <rPr>
        <sz val="10"/>
        <color rgb="FFFF0000"/>
        <rFont val="宋体"/>
        <family val="3"/>
        <charset val="134"/>
      </rPr>
      <t>对比后，有</t>
    </r>
    <r>
      <rPr>
        <sz val="10"/>
        <color rgb="FFFF0000"/>
        <rFont val="Arial Narrow"/>
        <family val="2"/>
      </rPr>
      <t>54</t>
    </r>
    <r>
      <rPr>
        <sz val="10"/>
        <color rgb="FFFF0000"/>
        <rFont val="宋体"/>
        <family val="3"/>
        <charset val="134"/>
      </rPr>
      <t>个姓名存在重复，涉及</t>
    </r>
    <r>
      <rPr>
        <sz val="10"/>
        <color rgb="FFFF0000"/>
        <rFont val="Arial Narrow"/>
        <family val="2"/>
      </rPr>
      <t>127</t>
    </r>
    <r>
      <rPr>
        <sz val="10"/>
        <color rgb="FFFF0000"/>
        <rFont val="宋体"/>
        <family val="3"/>
        <charset val="134"/>
      </rPr>
      <t>人，其中供应商</t>
    </r>
    <r>
      <rPr>
        <sz val="10"/>
        <color rgb="FFFF0000"/>
        <rFont val="Arial Narrow"/>
        <family val="2"/>
      </rPr>
      <t>60</t>
    </r>
    <r>
      <rPr>
        <sz val="10"/>
        <color rgb="FFFF0000"/>
        <rFont val="宋体"/>
        <family val="3"/>
        <charset val="134"/>
      </rPr>
      <t>个；涉及</t>
    </r>
    <r>
      <rPr>
        <sz val="10"/>
        <color rgb="FFFF0000"/>
        <rFont val="Arial Narrow"/>
        <family val="2"/>
      </rPr>
      <t>2013</t>
    </r>
    <r>
      <rPr>
        <sz val="10"/>
        <color rgb="FFFF0000"/>
        <rFont val="宋体"/>
        <family val="3"/>
        <charset val="134"/>
      </rPr>
      <t>年采购额约</t>
    </r>
    <r>
      <rPr>
        <sz val="10"/>
        <color rgb="FFFF0000"/>
        <rFont val="Arial Narrow"/>
        <family val="2"/>
      </rPr>
      <t>2.1</t>
    </r>
    <r>
      <rPr>
        <sz val="10"/>
        <color rgb="FFFF0000"/>
        <rFont val="宋体"/>
        <family val="3"/>
        <charset val="134"/>
      </rPr>
      <t>亿元；</t>
    </r>
    <phoneticPr fontId="21" type="noConversion"/>
  </si>
  <si>
    <r>
      <rPr>
        <sz val="10"/>
        <color rgb="FFFF0000"/>
        <rFont val="宋体"/>
        <family val="3"/>
        <charset val="134"/>
      </rPr>
      <t>核对未发现身份证号码、登记地址有和公司员工重复的现象。</t>
    </r>
    <phoneticPr fontId="21" type="noConversion"/>
  </si>
  <si>
    <r>
      <t>XX</t>
    </r>
    <r>
      <rPr>
        <sz val="10"/>
        <color rgb="FFFF0000"/>
        <rFont val="宋体"/>
        <family val="3"/>
        <charset val="134"/>
      </rPr>
      <t>公司：高管亲属</t>
    </r>
    <r>
      <rPr>
        <sz val="10"/>
        <color rgb="FFFF0000"/>
        <rFont val="Arial Narrow"/>
        <family val="2"/>
      </rPr>
      <t>338</t>
    </r>
    <r>
      <rPr>
        <sz val="10"/>
        <color rgb="FFFF0000"/>
        <rFont val="宋体"/>
        <family val="3"/>
        <charset val="134"/>
      </rPr>
      <t>；之财务部门</t>
    </r>
    <r>
      <rPr>
        <sz val="10"/>
        <color rgb="FFFF0000"/>
        <rFont val="Arial Narrow"/>
        <family val="2"/>
      </rPr>
      <t>65</t>
    </r>
    <r>
      <rPr>
        <sz val="10"/>
        <color rgb="FFFF0000"/>
        <rFont val="宋体"/>
        <family val="3"/>
        <charset val="134"/>
      </rPr>
      <t>；之管理部门</t>
    </r>
    <r>
      <rPr>
        <sz val="10"/>
        <color rgb="FFFF0000"/>
        <rFont val="Arial Narrow"/>
        <family val="2"/>
      </rPr>
      <t>323</t>
    </r>
    <r>
      <rPr>
        <sz val="10"/>
        <color rgb="FFFF0000"/>
        <rFont val="宋体"/>
        <family val="3"/>
        <charset val="134"/>
      </rPr>
      <t>；之技术部门</t>
    </r>
    <r>
      <rPr>
        <sz val="10"/>
        <color rgb="FFFF0000"/>
        <rFont val="Arial Narrow"/>
        <family val="2"/>
      </rPr>
      <t>686</t>
    </r>
    <r>
      <rPr>
        <sz val="10"/>
        <color rgb="FFFF0000"/>
        <rFont val="宋体"/>
        <family val="3"/>
        <charset val="134"/>
      </rPr>
      <t>；之生产部门</t>
    </r>
    <r>
      <rPr>
        <sz val="10"/>
        <color rgb="FFFF0000"/>
        <rFont val="Arial Narrow"/>
        <family val="2"/>
      </rPr>
      <t>1344</t>
    </r>
    <r>
      <rPr>
        <sz val="10"/>
        <color rgb="FFFF0000"/>
        <rFont val="宋体"/>
        <family val="3"/>
        <charset val="134"/>
      </rPr>
      <t>；之营销部门</t>
    </r>
    <r>
      <rPr>
        <sz val="10"/>
        <color rgb="FFFF0000"/>
        <rFont val="Arial Narrow"/>
        <family val="2"/>
      </rPr>
      <t>1165</t>
    </r>
    <r>
      <rPr>
        <sz val="10"/>
        <color rgb="FFFF0000"/>
        <rFont val="宋体"/>
        <family val="3"/>
        <charset val="134"/>
      </rPr>
      <t>；</t>
    </r>
    <phoneticPr fontId="21" type="noConversion"/>
  </si>
  <si>
    <r>
      <rPr>
        <sz val="10"/>
        <color rgb="FFFF0000"/>
        <rFont val="宋体"/>
        <family val="3"/>
        <charset val="134"/>
      </rPr>
      <t>个人供应商</t>
    </r>
    <r>
      <rPr>
        <sz val="10"/>
        <color rgb="FFFF0000"/>
        <rFont val="Arial Narrow"/>
        <family val="2"/>
      </rPr>
      <t>70</t>
    </r>
    <r>
      <rPr>
        <sz val="10"/>
        <color rgb="FFFF0000"/>
        <rFont val="宋体"/>
        <family val="3"/>
        <charset val="134"/>
      </rPr>
      <t>；供应商法人</t>
    </r>
    <r>
      <rPr>
        <sz val="10"/>
        <color rgb="FFFF0000"/>
        <rFont val="Arial Narrow"/>
        <family val="2"/>
      </rPr>
      <t>1697</t>
    </r>
    <r>
      <rPr>
        <sz val="10"/>
        <color rgb="FFFF0000"/>
        <rFont val="宋体"/>
        <family val="3"/>
        <charset val="134"/>
      </rPr>
      <t>；供应商合同签订人</t>
    </r>
    <r>
      <rPr>
        <sz val="10"/>
        <color rgb="FFFF0000"/>
        <rFont val="Arial Narrow"/>
        <family val="2"/>
      </rPr>
      <t>39</t>
    </r>
    <r>
      <rPr>
        <sz val="10"/>
        <color rgb="FFFF0000"/>
        <rFont val="宋体"/>
        <family val="3"/>
        <charset val="134"/>
      </rPr>
      <t>。</t>
    </r>
    <phoneticPr fontId="21" type="noConversion"/>
  </si>
  <si>
    <r>
      <rPr>
        <sz val="10"/>
        <color rgb="FFFF0000"/>
        <rFont val="宋体"/>
        <family val="3"/>
        <charset val="134"/>
      </rPr>
      <t>抽取采购额大于</t>
    </r>
    <r>
      <rPr>
        <sz val="10"/>
        <color rgb="FFFF0000"/>
        <rFont val="Arial Narrow"/>
        <family val="2"/>
      </rPr>
      <t>500</t>
    </r>
    <r>
      <rPr>
        <sz val="10"/>
        <color rgb="FFFF0000"/>
        <rFont val="宋体"/>
        <family val="3"/>
        <charset val="134"/>
      </rPr>
      <t>万的个人供应商约</t>
    </r>
    <r>
      <rPr>
        <sz val="10"/>
        <color rgb="FFFF0000"/>
        <rFont val="Arial Narrow"/>
        <family val="2"/>
      </rPr>
      <t>11</t>
    </r>
    <r>
      <rPr>
        <sz val="10"/>
        <color rgb="FFFF0000"/>
        <rFont val="宋体"/>
        <family val="3"/>
        <charset val="134"/>
      </rPr>
      <t>个，涉及</t>
    </r>
    <r>
      <rPr>
        <sz val="10"/>
        <color rgb="FFFF0000"/>
        <rFont val="Arial Narrow"/>
        <family val="2"/>
      </rPr>
      <t>27</t>
    </r>
    <r>
      <rPr>
        <sz val="10"/>
        <color rgb="FFFF0000"/>
        <rFont val="宋体"/>
        <family val="3"/>
        <charset val="134"/>
      </rPr>
      <t>人；涉及</t>
    </r>
    <r>
      <rPr>
        <sz val="10"/>
        <color rgb="FFFF0000"/>
        <rFont val="Arial Narrow"/>
        <family val="2"/>
      </rPr>
      <t>2013</t>
    </r>
    <r>
      <rPr>
        <sz val="10"/>
        <color rgb="FFFF0000"/>
        <rFont val="宋体"/>
        <family val="3"/>
        <charset val="134"/>
      </rPr>
      <t>年采购额约为</t>
    </r>
    <r>
      <rPr>
        <sz val="10"/>
        <color rgb="FFFF0000"/>
        <rFont val="Arial Narrow"/>
        <family val="2"/>
      </rPr>
      <t>1.43</t>
    </r>
    <r>
      <rPr>
        <sz val="10"/>
        <color rgb="FFFF0000"/>
        <rFont val="宋体"/>
        <family val="3"/>
        <charset val="134"/>
      </rPr>
      <t>亿，占</t>
    </r>
    <r>
      <rPr>
        <sz val="10"/>
        <color rgb="FFFF0000"/>
        <rFont val="Arial Narrow"/>
        <family val="2"/>
      </rPr>
      <t>2013</t>
    </r>
    <r>
      <rPr>
        <sz val="10"/>
        <color rgb="FFFF0000"/>
        <rFont val="宋体"/>
        <family val="3"/>
        <charset val="134"/>
      </rPr>
      <t>年总采购额的比例约为</t>
    </r>
    <r>
      <rPr>
        <sz val="10"/>
        <color rgb="FFFF0000"/>
        <rFont val="Arial Narrow"/>
        <family val="2"/>
      </rPr>
      <t>67.58%</t>
    </r>
    <r>
      <rPr>
        <sz val="10"/>
        <color rgb="FFFF0000"/>
        <rFont val="宋体"/>
        <family val="3"/>
        <charset val="134"/>
      </rPr>
      <t>。</t>
    </r>
    <phoneticPr fontId="21" type="noConversion"/>
  </si>
  <si>
    <r>
      <t>1.</t>
    </r>
    <r>
      <rPr>
        <sz val="10"/>
        <color rgb="FFFF0000"/>
        <rFont val="宋体"/>
        <family val="3"/>
        <charset val="134"/>
      </rPr>
      <t>公司的主要股东、高管、股东及高管的家属、公司员工名单见</t>
    </r>
    <r>
      <rPr>
        <sz val="10"/>
        <color rgb="FFFF0000"/>
        <rFont val="Arial Narrow"/>
        <family val="2"/>
      </rPr>
      <t>&lt;   &gt;</t>
    </r>
    <r>
      <rPr>
        <sz val="10"/>
        <color rgb="FFFF0000"/>
        <rFont val="宋体"/>
        <family val="3"/>
        <charset val="134"/>
      </rPr>
      <t>，主要概况：</t>
    </r>
    <phoneticPr fontId="21" type="noConversion"/>
  </si>
  <si>
    <r>
      <t>2.</t>
    </r>
    <r>
      <rPr>
        <sz val="10"/>
        <color rgb="FFFF0000"/>
        <rFont val="宋体"/>
        <family val="3"/>
        <charset val="134"/>
      </rPr>
      <t>供应商的法人及关键管理人员名单见</t>
    </r>
    <r>
      <rPr>
        <sz val="10"/>
        <color rgb="FFFF0000"/>
        <rFont val="Arial Narrow"/>
        <family val="2"/>
      </rPr>
      <t>&lt;   &gt;</t>
    </r>
    <r>
      <rPr>
        <sz val="10"/>
        <color rgb="FFFF0000"/>
        <rFont val="宋体"/>
        <family val="3"/>
        <charset val="134"/>
      </rPr>
      <t>，主要概况：</t>
    </r>
    <phoneticPr fontId="21" type="noConversion"/>
  </si>
  <si>
    <r>
      <t>4.</t>
    </r>
    <r>
      <rPr>
        <sz val="10"/>
        <color rgb="FFFF0000"/>
        <rFont val="宋体"/>
        <family val="3"/>
        <charset val="134"/>
      </rPr>
      <t>获取</t>
    </r>
    <r>
      <rPr>
        <sz val="10"/>
        <color rgb="FFFF0000"/>
        <rFont val="Arial Narrow"/>
        <family val="2"/>
      </rPr>
      <t>27</t>
    </r>
    <r>
      <rPr>
        <sz val="10"/>
        <color rgb="FFFF0000"/>
        <rFont val="宋体"/>
        <family val="3"/>
        <charset val="134"/>
      </rPr>
      <t>人的身份证复印件；对身份证信息的身份证号码、家庭地址，做交叉对比。</t>
    </r>
    <phoneticPr fontId="21" type="noConversion"/>
  </si>
  <si>
    <t>识别未披露的关联方</t>
    <phoneticPr fontId="21" type="noConversion"/>
  </si>
  <si>
    <t>致同会计师事务所</t>
    <phoneticPr fontId="21" type="noConversion"/>
  </si>
  <si>
    <t>致同会计师事务所</t>
    <phoneticPr fontId="21" type="noConversion"/>
  </si>
  <si>
    <t>识别未披露的关联方</t>
    <phoneticPr fontId="6" type="noConversion"/>
  </si>
  <si>
    <t>F2-65</t>
    <phoneticPr fontId="6" type="noConversion"/>
  </si>
  <si>
    <t>姓名</t>
  </si>
  <si>
    <t>高管亲属</t>
  </si>
  <si>
    <t>管理部门</t>
    <phoneticPr fontId="21" type="noConversion"/>
  </si>
  <si>
    <t>营销部门</t>
    <phoneticPr fontId="21" type="noConversion"/>
  </si>
  <si>
    <t>202X年度采购额</t>
    <phoneticPr fontId="21" type="noConversion"/>
  </si>
  <si>
    <t>序号</t>
    <phoneticPr fontId="21" type="noConversion"/>
  </si>
  <si>
    <t>个人供应商</t>
    <phoneticPr fontId="21" type="noConversion"/>
  </si>
  <si>
    <t>供应商法人</t>
    <phoneticPr fontId="21" type="noConversion"/>
  </si>
  <si>
    <t>技术部门</t>
    <phoneticPr fontId="21" type="noConversion"/>
  </si>
  <si>
    <t>合同签订人</t>
    <phoneticPr fontId="21" type="noConversion"/>
  </si>
  <si>
    <t>财务部门</t>
    <phoneticPr fontId="21" type="noConversion"/>
  </si>
  <si>
    <t>生产部门</t>
    <phoneticPr fontId="21" type="noConversion"/>
  </si>
  <si>
    <t>供应商与公司员工或高管或/和亲属重名（Y/N）</t>
    <phoneticPr fontId="21" type="noConversion"/>
  </si>
  <si>
    <t>公司股东/高管/亲属/员工</t>
    <phoneticPr fontId="21" type="noConversion"/>
  </si>
  <si>
    <t>说明</t>
    <phoneticPr fontId="21" type="noConversion"/>
  </si>
  <si>
    <t>索引号</t>
    <phoneticPr fontId="21" type="noConversion"/>
  </si>
  <si>
    <t>交货方式</t>
    <phoneticPr fontId="6" type="noConversion"/>
  </si>
  <si>
    <t>采购产品名称</t>
    <phoneticPr fontId="21" type="noConversion"/>
  </si>
  <si>
    <t>采购金额是否与公司规模匹配</t>
    <phoneticPr fontId="6" type="noConversion"/>
  </si>
  <si>
    <t>采购产品是否属于供应商主营业务</t>
    <phoneticPr fontId="21" type="noConversion"/>
  </si>
  <si>
    <t>序号</t>
    <phoneticPr fontId="21" type="noConversion"/>
  </si>
  <si>
    <t>合  计</t>
    <phoneticPr fontId="21" type="noConversion"/>
  </si>
  <si>
    <r>
      <t>1.</t>
    </r>
    <r>
      <rPr>
        <sz val="10"/>
        <color rgb="FFFF0000"/>
        <rFont val="宋体"/>
        <family val="3"/>
        <charset val="134"/>
      </rPr>
      <t>本年向前十名供应商的采购额较去年增加</t>
    </r>
    <r>
      <rPr>
        <sz val="10"/>
        <color rgb="FFFF0000"/>
        <rFont val="Arial Narrow"/>
        <family val="2"/>
      </rPr>
      <t>/</t>
    </r>
    <r>
      <rPr>
        <sz val="10"/>
        <color rgb="FFFF0000"/>
        <rFont val="宋体"/>
        <family val="3"/>
        <charset val="134"/>
      </rPr>
      <t>减少</t>
    </r>
    <r>
      <rPr>
        <sz val="10"/>
        <color rgb="FFFF0000"/>
        <rFont val="Arial Narrow"/>
        <family val="2"/>
      </rPr>
      <t>%</t>
    </r>
    <r>
      <rPr>
        <sz val="10"/>
        <color rgb="FFFF0000"/>
        <rFont val="宋体"/>
        <family val="3"/>
        <charset val="134"/>
      </rPr>
      <t>，主要是因为…………</t>
    </r>
    <phoneticPr fontId="21" type="noConversion"/>
  </si>
  <si>
    <r>
      <t>2.</t>
    </r>
    <r>
      <rPr>
        <sz val="10"/>
        <color rgb="FFFF0000"/>
        <rFont val="宋体"/>
        <family val="3"/>
        <charset val="134"/>
      </rPr>
      <t>关联关系、供应商规模、供应商经营范围核查见</t>
    </r>
    <r>
      <rPr>
        <sz val="10"/>
        <color rgb="FFFF0000"/>
        <rFont val="Arial Narrow"/>
        <family val="2"/>
      </rPr>
      <t>&lt;F2-70&gt;</t>
    </r>
    <phoneticPr fontId="6" type="noConversion"/>
  </si>
  <si>
    <r>
      <rPr>
        <sz val="10"/>
        <color rgb="FF0000FF"/>
        <rFont val="宋体"/>
        <family val="3"/>
        <charset val="134"/>
      </rPr>
      <t>关联关系、供应商规模、供应商经营范围核查见</t>
    </r>
    <r>
      <rPr>
        <sz val="10"/>
        <color rgb="FF0000FF"/>
        <rFont val="Arial Narrow"/>
        <family val="2"/>
      </rPr>
      <t>&lt;F2-70&gt;</t>
    </r>
    <phoneticPr fontId="6" type="noConversion"/>
  </si>
  <si>
    <t>重要供应商结构分析</t>
    <phoneticPr fontId="6" type="noConversion"/>
  </si>
  <si>
    <t>索引号：</t>
    <phoneticPr fontId="21" type="noConversion"/>
  </si>
  <si>
    <t xml:space="preserve">页  次：       </t>
    <phoneticPr fontId="21" type="noConversion"/>
  </si>
  <si>
    <t>重要供应商结构分析</t>
    <phoneticPr fontId="21" type="noConversion"/>
  </si>
  <si>
    <t>1、审计说明：</t>
    <phoneticPr fontId="21" type="noConversion"/>
  </si>
  <si>
    <t>2、审计结论：</t>
    <phoneticPr fontId="21" type="noConversion"/>
  </si>
  <si>
    <t>F2-67</t>
    <phoneticPr fontId="6" type="noConversion"/>
  </si>
  <si>
    <t>F2-68</t>
    <phoneticPr fontId="6" type="noConversion"/>
  </si>
  <si>
    <t>F2-65
/F2-66</t>
    <phoneticPr fontId="21" type="noConversion"/>
  </si>
  <si>
    <r>
      <rPr>
        <b/>
        <sz val="10"/>
        <color rgb="FF3333FF"/>
        <rFont val="宋体"/>
        <family val="3"/>
        <charset val="134"/>
      </rPr>
      <t>提示</t>
    </r>
    <r>
      <rPr>
        <b/>
        <sz val="10"/>
        <color rgb="FF3333FF"/>
        <rFont val="Arial Narrow"/>
        <family val="2"/>
      </rPr>
      <t>1</t>
    </r>
    <r>
      <rPr>
        <b/>
        <sz val="10"/>
        <color rgb="FF3333FF"/>
        <rFont val="宋体"/>
        <family val="3"/>
        <charset val="134"/>
      </rPr>
      <t>：样本选取</t>
    </r>
    <phoneticPr fontId="6" type="noConversion"/>
  </si>
  <si>
    <r>
      <rPr>
        <sz val="10"/>
        <color rgb="FF0000FF"/>
        <rFont val="宋体"/>
        <family val="3"/>
        <charset val="134"/>
      </rPr>
      <t>选取原因主要参考：</t>
    </r>
    <r>
      <rPr>
        <sz val="10"/>
        <color rgb="FF0000FF"/>
        <rFont val="Arial Narrow"/>
        <family val="2"/>
      </rPr>
      <t>1.</t>
    </r>
    <r>
      <rPr>
        <sz val="10"/>
        <color rgb="FF0000FF"/>
        <rFont val="宋体"/>
        <family val="3"/>
        <charset val="134"/>
      </rPr>
      <t>交易额前十名（或前</t>
    </r>
    <r>
      <rPr>
        <sz val="10"/>
        <color rgb="FF0000FF"/>
        <rFont val="Arial Narrow"/>
        <family val="2"/>
      </rPr>
      <t>×</t>
    </r>
    <r>
      <rPr>
        <sz val="10"/>
        <color rgb="FF0000FF"/>
        <rFont val="宋体"/>
        <family val="3"/>
        <charset val="134"/>
      </rPr>
      <t>名）；</t>
    </r>
    <r>
      <rPr>
        <sz val="10"/>
        <color rgb="FF0000FF"/>
        <rFont val="Arial Narrow"/>
        <family val="2"/>
      </rPr>
      <t>2.</t>
    </r>
    <r>
      <rPr>
        <sz val="10"/>
        <color rgb="FF0000FF"/>
        <rFont val="宋体"/>
        <family val="3"/>
        <charset val="134"/>
      </rPr>
      <t>新增主要供应商；</t>
    </r>
    <r>
      <rPr>
        <sz val="10"/>
        <color rgb="FF0000FF"/>
        <rFont val="Arial Narrow"/>
        <family val="2"/>
      </rPr>
      <t>3.</t>
    </r>
    <r>
      <rPr>
        <sz val="10"/>
        <color rgb="FF0000FF"/>
        <rFont val="宋体"/>
        <family val="3"/>
        <charset val="134"/>
      </rPr>
      <t>关联方和疑似关联方；</t>
    </r>
    <r>
      <rPr>
        <sz val="10"/>
        <color rgb="FF0000FF"/>
        <rFont val="Arial Narrow"/>
        <family val="2"/>
      </rPr>
      <t>4.</t>
    </r>
    <r>
      <rPr>
        <sz val="10"/>
        <color rgb="FF0000FF"/>
        <rFont val="宋体"/>
        <family val="3"/>
        <charset val="134"/>
      </rPr>
      <t>采购价格异常的供应商；</t>
    </r>
    <r>
      <rPr>
        <sz val="10"/>
        <color rgb="FF0000FF"/>
        <rFont val="Arial Narrow"/>
        <family val="2"/>
      </rPr>
      <t>5.</t>
    </r>
    <r>
      <rPr>
        <sz val="10"/>
        <color rgb="FF0000FF"/>
        <rFont val="宋体"/>
        <family val="3"/>
        <charset val="134"/>
      </rPr>
      <t>贸易型供应商；</t>
    </r>
    <r>
      <rPr>
        <sz val="10"/>
        <color rgb="FF0000FF"/>
        <rFont val="Arial Narrow"/>
        <family val="2"/>
      </rPr>
      <t>6.</t>
    </r>
    <r>
      <rPr>
        <sz val="10"/>
        <color rgb="FF0000FF"/>
        <rFont val="宋体"/>
        <family val="3"/>
        <charset val="134"/>
      </rPr>
      <t>境外供应商；</t>
    </r>
    <r>
      <rPr>
        <sz val="10"/>
        <color rgb="FF0000FF"/>
        <rFont val="Arial Narrow"/>
        <family val="2"/>
      </rPr>
      <t>7.</t>
    </r>
    <r>
      <rPr>
        <sz val="10"/>
        <color rgb="FF0000FF"/>
        <rFont val="宋体"/>
        <family val="3"/>
        <charset val="134"/>
      </rPr>
      <t>其他风险供应商。</t>
    </r>
    <phoneticPr fontId="6" type="noConversion"/>
  </si>
  <si>
    <r>
      <rPr>
        <b/>
        <sz val="10"/>
        <color rgb="FF3333FF"/>
        <rFont val="宋体"/>
        <family val="3"/>
        <charset val="134"/>
      </rPr>
      <t>提示</t>
    </r>
    <r>
      <rPr>
        <b/>
        <sz val="10"/>
        <color rgb="FF3333FF"/>
        <rFont val="Arial Narrow"/>
        <family val="2"/>
      </rPr>
      <t>2</t>
    </r>
    <r>
      <rPr>
        <b/>
        <sz val="10"/>
        <color rgb="FF3333FF"/>
        <rFont val="宋体"/>
        <family val="3"/>
        <charset val="134"/>
      </rPr>
      <t>：现场走访关注要点</t>
    </r>
    <phoneticPr fontId="6" type="noConversion"/>
  </si>
  <si>
    <r>
      <t>1.</t>
    </r>
    <r>
      <rPr>
        <sz val="10"/>
        <color rgb="FF0000FF"/>
        <rFont val="宋体"/>
        <family val="3"/>
        <charset val="134"/>
      </rPr>
      <t>与供应商现场核对交易是否发生、合同是否签订、合同主要条款（如验收条款和付款条件）是否一致；</t>
    </r>
    <phoneticPr fontId="6" type="noConversion"/>
  </si>
  <si>
    <r>
      <t>2.</t>
    </r>
    <r>
      <rPr>
        <sz val="10"/>
        <color rgb="FF0000FF"/>
        <rFont val="宋体"/>
        <family val="3"/>
        <charset val="134"/>
      </rPr>
      <t>与供应商现场核对各期采购数量、价格、金额情况，关注价格波动情况；</t>
    </r>
    <phoneticPr fontId="6" type="noConversion"/>
  </si>
  <si>
    <r>
      <t>3.</t>
    </r>
    <r>
      <rPr>
        <sz val="10"/>
        <color rgb="FF0000FF"/>
        <rFont val="宋体"/>
        <family val="3"/>
        <charset val="134"/>
      </rPr>
      <t>关注供应商经营范围、需采购内容是否和与被审计单位交易相符；</t>
    </r>
    <phoneticPr fontId="6" type="noConversion"/>
  </si>
  <si>
    <r>
      <t>4.</t>
    </r>
    <r>
      <rPr>
        <sz val="10"/>
        <color rgb="FF0000FF"/>
        <rFont val="宋体"/>
        <family val="3"/>
        <charset val="134"/>
      </rPr>
      <t>关注供应商向被审计单位销售数量是否与其经营规模相符；</t>
    </r>
    <phoneticPr fontId="6" type="noConversion"/>
  </si>
  <si>
    <r>
      <t>5.</t>
    </r>
    <r>
      <rPr>
        <sz val="10"/>
        <color rgb="FF0000FF"/>
        <rFont val="宋体"/>
        <family val="3"/>
        <charset val="134"/>
      </rPr>
      <t>关注供应商向被审计单位销售的时间间隔是否与其生产特点相符，季节性特征是否明显；</t>
    </r>
    <phoneticPr fontId="6" type="noConversion"/>
  </si>
  <si>
    <r>
      <t>6.</t>
    </r>
    <r>
      <rPr>
        <sz val="10"/>
        <color rgb="FF0000FF"/>
        <rFont val="宋体"/>
        <family val="3"/>
        <charset val="134"/>
      </rPr>
      <t>电话或供应商现场核对合同完成情况，是否发出货物或提供服务、是否存在分歧或退回、是否合同变更或延期等；</t>
    </r>
    <phoneticPr fontId="6" type="noConversion"/>
  </si>
  <si>
    <r>
      <t>7.</t>
    </r>
    <r>
      <rPr>
        <sz val="10"/>
        <color rgb="FF0000FF"/>
        <rFont val="宋体"/>
        <family val="3"/>
        <charset val="134"/>
      </rPr>
      <t>与供应商现场核对货款收取情况，是否收取货款，收取时间、金额、方式等；</t>
    </r>
    <phoneticPr fontId="6" type="noConversion"/>
  </si>
  <si>
    <r>
      <t>8.</t>
    </r>
    <r>
      <rPr>
        <sz val="10"/>
        <color rgb="FF0000FF"/>
        <rFont val="宋体"/>
        <family val="3"/>
        <charset val="134"/>
      </rPr>
      <t>必要时现场查看向被审计单位销售的同类产品的存放情况，必要时索要供应商关于向被审计单位销售的相关账簿记录；</t>
    </r>
    <phoneticPr fontId="6" type="noConversion"/>
  </si>
  <si>
    <r>
      <t>9.</t>
    </r>
    <r>
      <rPr>
        <sz val="10"/>
        <color rgb="FF0000FF"/>
        <rFont val="宋体"/>
        <family val="3"/>
        <charset val="134"/>
      </rPr>
      <t>若供应商为经销商，必要时走访经销商，关注经销商最终采购情况。</t>
    </r>
    <phoneticPr fontId="6" type="noConversion"/>
  </si>
  <si>
    <t>1.（结合函证程序）选择样本执行函证程序。函证内容包括但不限于：主要合同条款、交易额、债权/债务余额、是否为关联方关系及其他审计师认为必要的信息；及时统计回函情况，调查回函差异及其证明依据。</t>
    <phoneticPr fontId="21" type="noConversion"/>
  </si>
  <si>
    <r>
      <rPr>
        <b/>
        <sz val="10"/>
        <color rgb="FF3333FF"/>
        <rFont val="宋体"/>
        <family val="3"/>
        <charset val="134"/>
      </rPr>
      <t>提示</t>
    </r>
    <r>
      <rPr>
        <b/>
        <sz val="10"/>
        <color rgb="FF3333FF"/>
        <rFont val="Arial Narrow"/>
        <family val="2"/>
      </rPr>
      <t>3</t>
    </r>
    <r>
      <rPr>
        <b/>
        <sz val="10"/>
        <color rgb="FF3333FF"/>
        <rFont val="宋体"/>
        <family val="3"/>
        <charset val="134"/>
      </rPr>
      <t>：其他</t>
    </r>
    <phoneticPr fontId="6" type="noConversion"/>
  </si>
  <si>
    <r>
      <t>3.</t>
    </r>
    <r>
      <rPr>
        <sz val="10"/>
        <color rgb="FF0000FF"/>
        <rFont val="宋体"/>
        <family val="3"/>
        <charset val="134"/>
      </rPr>
      <t>核查支持性证据的真实性，包括核查合同、货物交付凭据（如入库单、验收单、发票）、付款等资料及相关信息的一致性；重点关注相关签字及印章是否前后一致，以及供应商资质和注册资本的大小与其业务量的匹配性。</t>
    </r>
    <phoneticPr fontId="22" type="noConversion"/>
  </si>
  <si>
    <t>2.结合销售循环审计，针对异常增长的采购，应识别并记录是否存在以自我交易的方式（即首先通过虚构交易将大额资金转出，如虚构的预付账款/其他应收款，再将上述资金设法转入被审计单位客户，最终以销售交易的方式将资金转回）实现收入的虚假增长，并同时执行上述针对性程序。</t>
    <phoneticPr fontId="21" type="noConversion"/>
  </si>
  <si>
    <t>存货及跌价准备</t>
    <phoneticPr fontId="21" type="noConversion"/>
  </si>
  <si>
    <r>
      <t xml:space="preserve">A. </t>
    </r>
    <r>
      <rPr>
        <sz val="10"/>
        <rFont val="宋体"/>
        <family val="3"/>
        <charset val="134"/>
      </rPr>
      <t>资产负债表中记录的存货是存在的，且已经记录在恰当的账户中</t>
    </r>
    <phoneticPr fontId="21" type="noConversion"/>
  </si>
  <si>
    <r>
      <t xml:space="preserve">B. </t>
    </r>
    <r>
      <rPr>
        <sz val="10"/>
        <rFont val="宋体"/>
        <family val="3"/>
        <charset val="134"/>
      </rPr>
      <t>所有应记录的存货均已记录，所有应当包括在财务报表中的相关披露均已包括</t>
    </r>
    <phoneticPr fontId="21" type="noConversion"/>
  </si>
  <si>
    <t>底稿索引号</t>
    <phoneticPr fontId="21" type="noConversion"/>
  </si>
  <si>
    <t>一、审计目标：</t>
    <phoneticPr fontId="21" type="noConversion"/>
  </si>
  <si>
    <t>1. 资产负债表中记录的存货是存在的，且已经记录在恰当的账户中；2. 所有应记录的存货均已记录，所有应当包括在财务报表中的相关披露均已包括</t>
    <phoneticPr fontId="6" type="noConversion"/>
  </si>
  <si>
    <t xml:space="preserve">3. 记录的存货由被审计单位拥有或控制；4. 存货以恰当的金额包括在财务报表中，与之相关的计价或分摊调整已恰当记录，相关披露已得到恰当计量和描述 </t>
    <phoneticPr fontId="6" type="noConversion"/>
  </si>
  <si>
    <t>1.对比历年主要供应商清单，找出报告期新增的主要供应商、原有主要供应商交易额大幅减少或合作关系取消的情况，重点关注变化原因。</t>
    <phoneticPr fontId="21" type="noConversion"/>
  </si>
  <si>
    <t>2.通过互联网搜索供应商的基本信息，初步了解供应商的经营范围、规模、判断所购货物是否与供应商的实际生产经营情况一致。</t>
    <phoneticPr fontId="21" type="noConversion"/>
  </si>
  <si>
    <t>3.查询供应商工商、银行、税务资料，关注其注册资本、地址、成立时间、经营范围、法定代表人等信息，查看是否有重复的银行账号、地址等，并调查异常情况；并与其相关发票信息、网站信息进行核对。</t>
    <phoneticPr fontId="21" type="noConversion"/>
  </si>
  <si>
    <t>三、拟定的核查方式如下表：</t>
    <phoneticPr fontId="21" type="noConversion"/>
  </si>
  <si>
    <t>供应商名称</t>
  </si>
  <si>
    <t>选取原因</t>
    <phoneticPr fontId="21" type="noConversion"/>
  </si>
  <si>
    <t>实地走访</t>
    <phoneticPr fontId="21" type="noConversion"/>
  </si>
  <si>
    <t>4.现场走访供应商的办公场所、经营场所，访谈供应商关键经办人员。</t>
    <phoneticPr fontId="21" type="noConversion"/>
  </si>
  <si>
    <t>二、审计过程：</t>
    <phoneticPr fontId="21" type="noConversion"/>
  </si>
  <si>
    <t>工商资料查询</t>
    <phoneticPr fontId="21" type="noConversion"/>
  </si>
  <si>
    <r>
      <t>互联网</t>
    </r>
    <r>
      <rPr>
        <b/>
        <sz val="10"/>
        <color rgb="FFFF0000"/>
        <rFont val="宋体"/>
        <family val="3"/>
        <charset val="134"/>
      </rPr>
      <t>信息</t>
    </r>
    <r>
      <rPr>
        <b/>
        <sz val="10"/>
        <rFont val="宋体"/>
        <family val="3"/>
        <charset val="134"/>
      </rPr>
      <t>查询</t>
    </r>
    <phoneticPr fontId="21" type="noConversion"/>
  </si>
  <si>
    <t>函证</t>
    <phoneticPr fontId="21" type="noConversion"/>
  </si>
  <si>
    <r>
      <rPr>
        <sz val="10"/>
        <rFont val="宋体"/>
        <family val="3"/>
        <charset val="134"/>
      </rPr>
      <t>页</t>
    </r>
    <r>
      <rPr>
        <sz val="10"/>
        <rFont val="Arial Narrow"/>
        <family val="2"/>
      </rPr>
      <t xml:space="preserve">   </t>
    </r>
    <r>
      <rPr>
        <sz val="10"/>
        <rFont val="宋体"/>
        <family val="3"/>
        <charset val="134"/>
      </rPr>
      <t>次：</t>
    </r>
    <phoneticPr fontId="6" type="noConversion"/>
  </si>
  <si>
    <t>索引号：</t>
    <phoneticPr fontId="6" type="noConversion"/>
  </si>
  <si>
    <t>F2-69</t>
  </si>
  <si>
    <r>
      <t>2.</t>
    </r>
    <r>
      <rPr>
        <sz val="10"/>
        <rFont val="宋体"/>
        <family val="3"/>
        <charset val="134"/>
      </rPr>
      <t>通过互联网搜索供应商的基本信息，初步了解供应商的经营范围、规模、判断与公司采购金额和产品是否匹配。</t>
    </r>
    <phoneticPr fontId="6" type="noConversion"/>
  </si>
  <si>
    <t>资产负债表中记录的存货是存在的，且已经记录在恰当的账户中</t>
    <phoneticPr fontId="6" type="noConversion"/>
  </si>
  <si>
    <t>供应商2</t>
  </si>
  <si>
    <t>供应商3</t>
  </si>
  <si>
    <t>供应商4</t>
  </si>
  <si>
    <t>供应商5</t>
  </si>
  <si>
    <t>供应商6</t>
  </si>
  <si>
    <t>供应商7</t>
  </si>
  <si>
    <t>供应商8</t>
  </si>
  <si>
    <t>供应商9</t>
  </si>
  <si>
    <t>供应商10</t>
  </si>
  <si>
    <t>检查项目</t>
    <phoneticPr fontId="21" type="noConversion"/>
  </si>
  <si>
    <t>索引号：</t>
    <phoneticPr fontId="6" type="noConversion"/>
  </si>
  <si>
    <t>页  次：</t>
    <phoneticPr fontId="6" type="noConversion"/>
  </si>
  <si>
    <t>供应商信息核查表</t>
    <phoneticPr fontId="21" type="noConversion"/>
  </si>
  <si>
    <t>供应商核查清单</t>
    <phoneticPr fontId="6" type="noConversion"/>
  </si>
  <si>
    <t>供应商信息核查表</t>
    <phoneticPr fontId="6" type="noConversion"/>
  </si>
  <si>
    <t>F2-70</t>
  </si>
  <si>
    <r>
      <rPr>
        <b/>
        <sz val="10"/>
        <rFont val="宋体"/>
        <family val="3"/>
        <charset val="134"/>
      </rPr>
      <t>三、审计说明：</t>
    </r>
    <phoneticPr fontId="24" type="noConversion"/>
  </si>
  <si>
    <r>
      <rPr>
        <b/>
        <sz val="10"/>
        <rFont val="宋体"/>
        <family val="3"/>
        <charset val="134"/>
      </rPr>
      <t>四、审计结论：</t>
    </r>
    <phoneticPr fontId="21" type="noConversion"/>
  </si>
  <si>
    <t>关注被审计单位采购产品是否与供应商经营范围相匹配</t>
    <phoneticPr fontId="6" type="noConversion"/>
  </si>
  <si>
    <t>关注向供应商的采购金额是否与其经营规模、注册资本相符</t>
    <phoneticPr fontId="6" type="noConversion"/>
  </si>
  <si>
    <t>关注向供应商的采购金额是否与其人员规模相符</t>
    <phoneticPr fontId="6" type="noConversion"/>
  </si>
  <si>
    <t>董事长</t>
    <phoneticPr fontId="21" type="noConversion"/>
  </si>
  <si>
    <t>总经理</t>
    <phoneticPr fontId="21" type="noConversion"/>
  </si>
  <si>
    <t>统一社会信用代码</t>
    <phoneticPr fontId="21" type="noConversion"/>
  </si>
  <si>
    <t>F2-71</t>
    <phoneticPr fontId="6" type="noConversion"/>
  </si>
  <si>
    <t>F0</t>
    <phoneticPr fontId="21" type="noConversion"/>
  </si>
  <si>
    <t>项目</t>
    <phoneticPr fontId="6" type="noConversion"/>
  </si>
  <si>
    <t>访谈时间</t>
    <phoneticPr fontId="6" type="noConversion"/>
  </si>
  <si>
    <t>访谈原因</t>
    <phoneticPr fontId="6" type="noConversion"/>
  </si>
  <si>
    <t>被访谈公司注册地址</t>
    <phoneticPr fontId="22" type="noConversion"/>
  </si>
  <si>
    <t>访谈方式</t>
    <phoneticPr fontId="6" type="noConversion"/>
  </si>
  <si>
    <t>是否现场函证</t>
    <phoneticPr fontId="22" type="noConversion"/>
  </si>
  <si>
    <t>访谈关注要点</t>
    <phoneticPr fontId="22" type="noConversion"/>
  </si>
  <si>
    <t>访谈人员行程信息</t>
    <phoneticPr fontId="22" type="noConversion"/>
  </si>
  <si>
    <t>访谈结论</t>
    <phoneticPr fontId="6" type="noConversion"/>
  </si>
  <si>
    <t>……</t>
    <phoneticPr fontId="6" type="noConversion"/>
  </si>
  <si>
    <r>
      <rPr>
        <sz val="10"/>
        <color indexed="10"/>
        <rFont val="宋体"/>
        <family val="3"/>
        <charset val="134"/>
      </rPr>
      <t>发行人第</t>
    </r>
    <r>
      <rPr>
        <sz val="10"/>
        <color indexed="10"/>
        <rFont val="Arial Narrow"/>
        <family val="2"/>
      </rPr>
      <t>X</t>
    </r>
    <r>
      <rPr>
        <sz val="10"/>
        <color indexed="10"/>
        <rFont val="宋体"/>
        <family val="3"/>
        <charset val="134"/>
      </rPr>
      <t>大供应商</t>
    </r>
    <r>
      <rPr>
        <sz val="10"/>
        <color indexed="10"/>
        <rFont val="Arial Narrow"/>
        <family val="2"/>
      </rPr>
      <t>/</t>
    </r>
    <r>
      <rPr>
        <sz val="10"/>
        <color indexed="10"/>
        <rFont val="宋体"/>
        <family val="3"/>
        <charset val="134"/>
      </rPr>
      <t>本期新增供应商</t>
    </r>
    <r>
      <rPr>
        <sz val="10"/>
        <color indexed="10"/>
        <rFont val="Arial Narrow"/>
        <family val="2"/>
      </rPr>
      <t>/</t>
    </r>
    <r>
      <rPr>
        <sz val="10"/>
        <color indexed="10"/>
        <rFont val="宋体"/>
        <family val="3"/>
        <charset val="134"/>
      </rPr>
      <t>采购价格异常供应商</t>
    </r>
    <r>
      <rPr>
        <sz val="10"/>
        <color indexed="10"/>
        <rFont val="Arial Narrow"/>
        <family val="2"/>
      </rPr>
      <t>/……</t>
    </r>
    <phoneticPr fontId="6" type="noConversion"/>
  </si>
  <si>
    <t>实地走访公司地址</t>
    <phoneticPr fontId="22" type="noConversion"/>
  </si>
  <si>
    <t>车票、机票、住宿发票复印件或照片，住宿酒店照片</t>
    <phoneticPr fontId="6" type="noConversion"/>
  </si>
  <si>
    <t>身份信息、职务信息、具体负责的工作等</t>
    <phoneticPr fontId="6" type="noConversion"/>
  </si>
  <si>
    <t>访谈记录索引</t>
    <phoneticPr fontId="6" type="noConversion"/>
  </si>
  <si>
    <t>……</t>
    <phoneticPr fontId="6" type="noConversion"/>
  </si>
  <si>
    <t>供应商访谈记录汇总表</t>
    <phoneticPr fontId="21" type="noConversion"/>
  </si>
  <si>
    <r>
      <rPr>
        <sz val="10"/>
        <color indexed="10"/>
        <rFont val="宋体"/>
        <family val="3"/>
        <charset val="134"/>
      </rPr>
      <t>实地走访</t>
    </r>
    <r>
      <rPr>
        <sz val="10"/>
        <color indexed="10"/>
        <rFont val="Arial Narrow"/>
        <family val="2"/>
      </rPr>
      <t>/</t>
    </r>
    <r>
      <rPr>
        <sz val="10"/>
        <color indexed="10"/>
        <rFont val="宋体"/>
        <family val="3"/>
        <charset val="134"/>
      </rPr>
      <t>视频访谈</t>
    </r>
    <r>
      <rPr>
        <sz val="10"/>
        <color indexed="10"/>
        <rFont val="Arial Narrow"/>
        <family val="2"/>
      </rPr>
      <t>/</t>
    </r>
    <r>
      <rPr>
        <sz val="10"/>
        <color indexed="10"/>
        <rFont val="宋体"/>
        <family val="3"/>
        <charset val="134"/>
      </rPr>
      <t>电话访谈</t>
    </r>
    <r>
      <rPr>
        <sz val="10"/>
        <color indexed="10"/>
        <rFont val="Arial Narrow"/>
        <family val="2"/>
      </rPr>
      <t>/……</t>
    </r>
    <phoneticPr fontId="6" type="noConversion"/>
  </si>
  <si>
    <r>
      <t>3.</t>
    </r>
    <r>
      <rPr>
        <sz val="10"/>
        <color rgb="FF0000FF"/>
        <rFont val="宋体"/>
        <family val="3"/>
        <charset val="134"/>
      </rPr>
      <t>交易金额是否与走访公司规模（注册资本、人数、设备数量等）匹配？</t>
    </r>
    <phoneticPr fontId="6" type="noConversion"/>
  </si>
  <si>
    <r>
      <t>9.</t>
    </r>
    <r>
      <rPr>
        <sz val="10"/>
        <color rgb="FF0000FF"/>
        <rFont val="宋体"/>
        <family val="3"/>
        <charset val="134"/>
      </rPr>
      <t>是否存在异常情况（如地址与被审计单位关联方相同或相近、已处于停产状态、产能利用率异常、无法证明相关产品来自被审计单位）？</t>
    </r>
    <phoneticPr fontId="6" type="noConversion"/>
  </si>
  <si>
    <r>
      <t>6.</t>
    </r>
    <r>
      <rPr>
        <sz val="10"/>
        <color rgb="FF0000FF"/>
        <rFont val="宋体"/>
        <family val="3"/>
        <charset val="134"/>
      </rPr>
      <t>是否根据走访公司及访谈对象具体情况修改访谈问卷？</t>
    </r>
    <phoneticPr fontId="6" type="noConversion"/>
  </si>
  <si>
    <r>
      <t>8.</t>
    </r>
    <r>
      <rPr>
        <sz val="10"/>
        <color rgb="FF0000FF"/>
        <rFont val="宋体"/>
        <family val="3"/>
        <charset val="134"/>
      </rPr>
      <t>是否同为客户和供应商？理由是否合理？</t>
    </r>
    <phoneticPr fontId="6" type="noConversion"/>
  </si>
  <si>
    <r>
      <rPr>
        <b/>
        <sz val="10"/>
        <color rgb="FF0000FF"/>
        <rFont val="宋体"/>
        <family val="3"/>
        <charset val="134"/>
      </rPr>
      <t>提示</t>
    </r>
    <r>
      <rPr>
        <b/>
        <sz val="10"/>
        <color rgb="FF0000FF"/>
        <rFont val="Arial Narrow"/>
        <family val="2"/>
      </rPr>
      <t>1</t>
    </r>
    <r>
      <rPr>
        <b/>
        <sz val="10"/>
        <color rgb="FF0000FF"/>
        <rFont val="宋体"/>
        <family val="3"/>
        <charset val="134"/>
      </rPr>
      <t>：走访的范围：</t>
    </r>
    <r>
      <rPr>
        <sz val="10"/>
        <color rgb="FF0000FF"/>
        <rFont val="宋体"/>
        <family val="3"/>
        <charset val="134"/>
      </rPr>
      <t>主要客户和供应商（如前十名客户或供应商）；新增的主要客户；存在疑虑的重要客户及供应商；主要基建工程建造商</t>
    </r>
    <phoneticPr fontId="22" type="noConversion"/>
  </si>
  <si>
    <r>
      <t>2.</t>
    </r>
    <r>
      <rPr>
        <sz val="10"/>
        <color rgb="FF0000FF"/>
        <rFont val="宋体"/>
        <family val="3"/>
        <charset val="134"/>
      </rPr>
      <t>交易内容是否与走访公司实际业务范围一致？</t>
    </r>
    <phoneticPr fontId="6" type="noConversion"/>
  </si>
  <si>
    <r>
      <t>4.</t>
    </r>
    <r>
      <rPr>
        <sz val="10"/>
        <color rgb="FF0000FF"/>
        <rFont val="宋体"/>
        <family val="3"/>
        <charset val="134"/>
      </rPr>
      <t>交易价格是否与同行业类似交易一致？</t>
    </r>
    <phoneticPr fontId="6" type="noConversion"/>
  </si>
  <si>
    <r>
      <t>5.</t>
    </r>
    <r>
      <rPr>
        <sz val="10"/>
        <color rgb="FF0000FF"/>
        <rFont val="宋体"/>
        <family val="3"/>
        <charset val="134"/>
      </rPr>
      <t>是否核实走访对象身份？</t>
    </r>
    <phoneticPr fontId="6" type="noConversion"/>
  </si>
  <si>
    <r>
      <t>7.</t>
    </r>
    <r>
      <rPr>
        <sz val="10"/>
        <color rgb="FF0000FF"/>
        <rFont val="宋体"/>
        <family val="3"/>
        <charset val="134"/>
      </rPr>
      <t>是否现场取得盖公章的函证回函（交易、往来，关联方关系确认）？</t>
    </r>
    <phoneticPr fontId="6" type="noConversion"/>
  </si>
  <si>
    <r>
      <rPr>
        <b/>
        <sz val="10"/>
        <color rgb="FF0000FF"/>
        <rFont val="宋体"/>
        <family val="3"/>
        <charset val="134"/>
      </rPr>
      <t>提示</t>
    </r>
    <r>
      <rPr>
        <b/>
        <sz val="10"/>
        <color rgb="FF0000FF"/>
        <rFont val="Arial Narrow"/>
        <family val="2"/>
      </rPr>
      <t>2</t>
    </r>
    <r>
      <rPr>
        <b/>
        <sz val="10"/>
        <color rgb="FF0000FF"/>
        <rFont val="宋体"/>
        <family val="3"/>
        <charset val="134"/>
      </rPr>
      <t>：访谈需核对和注意事项</t>
    </r>
    <phoneticPr fontId="6" type="noConversion"/>
  </si>
  <si>
    <r>
      <t>1.</t>
    </r>
    <r>
      <rPr>
        <sz val="10"/>
        <color rgb="FF0000FF"/>
        <rFont val="宋体"/>
        <family val="3"/>
        <charset val="134"/>
      </rPr>
      <t>走访地址与注册地址是否一致？不一致的原因是否合理？公司基本情况是否与工商信息查询信息一致？走访的公司地址是否与百度地图等查询走访地址一致？</t>
    </r>
    <phoneticPr fontId="6" type="noConversion"/>
  </si>
  <si>
    <r>
      <t>10.</t>
    </r>
    <r>
      <rPr>
        <sz val="10"/>
        <color rgb="FF0000FF"/>
        <rFont val="宋体"/>
        <family val="3"/>
        <charset val="134"/>
      </rPr>
      <t>保留访谈对象身份证复印件、名片</t>
    </r>
    <r>
      <rPr>
        <sz val="10"/>
        <color rgb="FF0000FF"/>
        <rFont val="Arial Narrow"/>
        <family val="2"/>
      </rPr>
      <t>/</t>
    </r>
    <r>
      <rPr>
        <sz val="10"/>
        <color rgb="FF0000FF"/>
        <rFont val="宋体"/>
        <family val="3"/>
        <charset val="134"/>
      </rPr>
      <t>工牌复印件、与访谈对象合影（厂区门口、仓库、车间等地）、走访公司工作现场照片</t>
    </r>
    <phoneticPr fontId="6" type="noConversion"/>
  </si>
  <si>
    <t>合同执行核对情况</t>
    <phoneticPr fontId="6" type="noConversion"/>
  </si>
  <si>
    <t>……</t>
    <phoneticPr fontId="6" type="noConversion"/>
  </si>
  <si>
    <r>
      <rPr>
        <b/>
        <sz val="10"/>
        <color indexed="8"/>
        <rFont val="宋体"/>
        <family val="3"/>
        <charset val="134"/>
      </rPr>
      <t>走访公司名称：</t>
    </r>
  </si>
  <si>
    <r>
      <rPr>
        <sz val="10"/>
        <rFont val="宋体"/>
        <family val="3"/>
        <charset val="134"/>
      </rPr>
      <t>〔随需填写〕</t>
    </r>
  </si>
  <si>
    <r>
      <rPr>
        <sz val="10"/>
        <color indexed="10"/>
        <rFont val="宋体"/>
        <family val="3"/>
        <charset val="134"/>
      </rPr>
      <t>工商信息查询结果、天眼查等查询结果：</t>
    </r>
    <phoneticPr fontId="22" type="noConversion"/>
  </si>
  <si>
    <r>
      <rPr>
        <b/>
        <sz val="10"/>
        <color indexed="10"/>
        <rFont val="宋体"/>
        <family val="3"/>
        <charset val="134"/>
      </rPr>
      <t>二、交易基本信息</t>
    </r>
    <phoneticPr fontId="22" type="noConversion"/>
  </si>
  <si>
    <r>
      <rPr>
        <sz val="10"/>
        <color indexed="10"/>
        <rFont val="宋体"/>
        <family val="3"/>
        <charset val="134"/>
      </rPr>
      <t>如：</t>
    </r>
  </si>
  <si>
    <r>
      <rPr>
        <b/>
        <sz val="10"/>
        <color indexed="10"/>
        <rFont val="宋体"/>
        <family val="3"/>
        <charset val="134"/>
      </rPr>
      <t>三、与发行人的主要合同条款核对</t>
    </r>
    <phoneticPr fontId="22" type="noConversion"/>
  </si>
  <si>
    <r>
      <rPr>
        <b/>
        <sz val="10"/>
        <color indexed="10"/>
        <rFont val="宋体"/>
        <family val="3"/>
        <charset val="134"/>
      </rPr>
      <t>项目</t>
    </r>
  </si>
  <si>
    <r>
      <rPr>
        <b/>
        <sz val="10"/>
        <color indexed="10"/>
        <rFont val="宋体"/>
        <family val="3"/>
        <charset val="134"/>
      </rPr>
      <t>询问所得信息</t>
    </r>
  </si>
  <si>
    <r>
      <rPr>
        <b/>
        <sz val="10"/>
        <color indexed="10"/>
        <rFont val="宋体"/>
        <family val="3"/>
        <charset val="134"/>
      </rPr>
      <t>来自发行人合同条款</t>
    </r>
  </si>
  <si>
    <r>
      <rPr>
        <sz val="10"/>
        <color indexed="10"/>
        <rFont val="宋体"/>
        <family val="3"/>
        <charset val="134"/>
      </rPr>
      <t>交易模式</t>
    </r>
  </si>
  <si>
    <r>
      <rPr>
        <sz val="10"/>
        <color indexed="10"/>
        <rFont val="宋体"/>
        <family val="3"/>
        <charset val="134"/>
      </rPr>
      <t>包销</t>
    </r>
  </si>
  <si>
    <r>
      <rPr>
        <sz val="10"/>
        <color indexed="10"/>
        <rFont val="宋体"/>
        <family val="3"/>
        <charset val="134"/>
      </rPr>
      <t>与合同条款一致</t>
    </r>
  </si>
  <si>
    <r>
      <rPr>
        <sz val="10"/>
        <color indexed="10"/>
        <rFont val="宋体"/>
        <family val="3"/>
        <charset val="134"/>
      </rPr>
      <t>交易标的</t>
    </r>
  </si>
  <si>
    <r>
      <rPr>
        <sz val="10"/>
        <color indexed="10"/>
        <rFont val="宋体"/>
        <family val="3"/>
        <charset val="134"/>
      </rPr>
      <t>交易规模</t>
    </r>
  </si>
  <si>
    <r>
      <rPr>
        <sz val="10"/>
        <color indexed="10"/>
        <rFont val="宋体"/>
        <family val="3"/>
        <charset val="134"/>
      </rPr>
      <t>付款方式</t>
    </r>
  </si>
  <si>
    <r>
      <rPr>
        <sz val="10"/>
        <color indexed="10"/>
        <rFont val="宋体"/>
        <family val="3"/>
        <charset val="134"/>
      </rPr>
      <t>银行承兑汇票或银行转账</t>
    </r>
  </si>
  <si>
    <r>
      <rPr>
        <sz val="10"/>
        <color indexed="10"/>
        <rFont val="宋体"/>
        <family val="3"/>
        <charset val="134"/>
      </rPr>
      <t>预付款项及质保金</t>
    </r>
    <phoneticPr fontId="22" type="noConversion"/>
  </si>
  <si>
    <r>
      <rPr>
        <sz val="10"/>
        <color indexed="10"/>
        <rFont val="宋体"/>
        <family val="3"/>
        <charset val="134"/>
      </rPr>
      <t>付款期限</t>
    </r>
  </si>
  <si>
    <r>
      <rPr>
        <sz val="10"/>
        <color indexed="10"/>
        <rFont val="宋体"/>
        <family val="3"/>
        <charset val="134"/>
      </rPr>
      <t>订货到发货时间</t>
    </r>
  </si>
  <si>
    <r>
      <rPr>
        <sz val="10"/>
        <color indexed="10"/>
        <rFont val="宋体"/>
        <family val="3"/>
        <charset val="134"/>
      </rPr>
      <t>佣金返利</t>
    </r>
  </si>
  <si>
    <r>
      <rPr>
        <sz val="10"/>
        <color indexed="10"/>
        <rFont val="宋体"/>
        <family val="3"/>
        <charset val="134"/>
      </rPr>
      <t>佣金水平</t>
    </r>
  </si>
  <si>
    <r>
      <rPr>
        <sz val="10"/>
        <color indexed="10"/>
        <rFont val="宋体"/>
        <family val="3"/>
        <charset val="134"/>
      </rPr>
      <t>运输方式及费用承担</t>
    </r>
    <phoneticPr fontId="22" type="noConversion"/>
  </si>
  <si>
    <r>
      <rPr>
        <sz val="10"/>
        <color indexed="10"/>
        <rFont val="宋体"/>
        <family val="3"/>
        <charset val="134"/>
      </rPr>
      <t>交付方式</t>
    </r>
  </si>
  <si>
    <r>
      <t>XYZ</t>
    </r>
    <r>
      <rPr>
        <sz val="10"/>
        <color indexed="10"/>
        <rFont val="宋体"/>
        <family val="3"/>
        <charset val="134"/>
      </rPr>
      <t>收到材料，验收合格后，在发行人的验收单和物流公司的运单上签字确认后，交付完毕</t>
    </r>
  </si>
  <si>
    <r>
      <rPr>
        <sz val="10"/>
        <color indexed="10"/>
        <rFont val="宋体"/>
        <family val="3"/>
        <charset val="134"/>
      </rPr>
      <t>质量保证</t>
    </r>
  </si>
  <si>
    <r>
      <rPr>
        <sz val="10"/>
        <color indexed="10"/>
        <rFont val="宋体"/>
        <family val="3"/>
        <charset val="134"/>
      </rPr>
      <t>退货、换货情况</t>
    </r>
    <phoneticPr fontId="22" type="noConversion"/>
  </si>
  <si>
    <r>
      <rPr>
        <sz val="10"/>
        <color indexed="10"/>
        <rFont val="宋体"/>
        <family val="3"/>
        <charset val="134"/>
      </rPr>
      <t>与从发行人处获取的信息一致</t>
    </r>
  </si>
  <si>
    <r>
      <rPr>
        <sz val="10"/>
        <color indexed="10"/>
        <rFont val="宋体"/>
        <family val="3"/>
        <charset val="134"/>
      </rPr>
      <t>是否存在实物返利</t>
    </r>
    <phoneticPr fontId="22" type="noConversion"/>
  </si>
  <si>
    <r>
      <rPr>
        <sz val="10"/>
        <color indexed="10"/>
        <rFont val="宋体"/>
        <family val="3"/>
        <charset val="134"/>
      </rPr>
      <t>现金交易情况</t>
    </r>
    <phoneticPr fontId="22" type="noConversion"/>
  </si>
  <si>
    <r>
      <rPr>
        <sz val="10"/>
        <color indexed="10"/>
        <rFont val="宋体"/>
        <family val="3"/>
        <charset val="134"/>
      </rPr>
      <t>其他资金往来</t>
    </r>
    <phoneticPr fontId="22" type="noConversion"/>
  </si>
  <si>
    <r>
      <rPr>
        <sz val="10"/>
        <color indexed="10"/>
        <rFont val="宋体"/>
        <family val="3"/>
        <charset val="134"/>
      </rPr>
      <t>是否涉诉</t>
    </r>
    <phoneticPr fontId="22" type="noConversion"/>
  </si>
  <si>
    <r>
      <rPr>
        <b/>
        <sz val="10"/>
        <color indexed="10"/>
        <rFont val="宋体"/>
        <family val="3"/>
        <charset val="134"/>
      </rPr>
      <t>四、走访经营场所</t>
    </r>
    <phoneticPr fontId="22" type="noConversion"/>
  </si>
  <si>
    <r>
      <rPr>
        <sz val="10"/>
        <color indexed="10"/>
        <rFont val="宋体"/>
        <family val="3"/>
        <charset val="134"/>
      </rPr>
      <t>产品使用场景的照片（显示客户公司名称的铭牌，注明日期）：</t>
    </r>
    <phoneticPr fontId="22" type="noConversion"/>
  </si>
  <si>
    <r>
      <rPr>
        <b/>
        <sz val="10"/>
        <color indexed="10"/>
        <rFont val="宋体"/>
        <family val="3"/>
        <charset val="134"/>
      </rPr>
      <t>五、现场函证</t>
    </r>
    <phoneticPr fontId="22" type="noConversion"/>
  </si>
  <si>
    <r>
      <rPr>
        <sz val="10"/>
        <color indexed="10"/>
        <rFont val="宋体"/>
        <family val="3"/>
        <charset val="134"/>
      </rPr>
      <t>走访公司的控股股东、实际控制人：</t>
    </r>
    <phoneticPr fontId="22" type="noConversion"/>
  </si>
  <si>
    <r>
      <rPr>
        <sz val="10"/>
        <color indexed="10"/>
        <rFont val="宋体"/>
        <family val="3"/>
        <charset val="134"/>
      </rPr>
      <t>走访公司的董监高、关键经办人员（如采购、销售部门负责人、出纳等）：</t>
    </r>
    <phoneticPr fontId="22" type="noConversion"/>
  </si>
  <si>
    <r>
      <rPr>
        <b/>
        <sz val="10"/>
        <color indexed="10"/>
        <rFont val="宋体"/>
        <family val="3"/>
        <charset val="134"/>
      </rPr>
      <t>七、其他</t>
    </r>
    <phoneticPr fontId="22" type="noConversion"/>
  </si>
  <si>
    <r>
      <rPr>
        <b/>
        <sz val="10"/>
        <color indexed="8"/>
        <rFont val="宋体"/>
        <family val="3"/>
        <charset val="134"/>
      </rPr>
      <t>走访结论：</t>
    </r>
  </si>
  <si>
    <r>
      <rPr>
        <sz val="10"/>
        <color indexed="10"/>
        <rFont val="宋体"/>
        <family val="3"/>
        <charset val="134"/>
      </rPr>
      <t>百度地图等查询走访地址的结果：</t>
    </r>
    <phoneticPr fontId="22" type="noConversion"/>
  </si>
  <si>
    <r>
      <rPr>
        <sz val="10"/>
        <color indexed="10"/>
        <rFont val="宋体"/>
        <family val="3"/>
        <charset val="134"/>
      </rPr>
      <t>是否涉及委托加工</t>
    </r>
    <phoneticPr fontId="22" type="noConversion"/>
  </si>
  <si>
    <r>
      <rPr>
        <b/>
        <sz val="10"/>
        <color indexed="10"/>
        <rFont val="宋体"/>
        <family val="3"/>
        <charset val="134"/>
      </rPr>
      <t>六、关联方关系</t>
    </r>
    <phoneticPr fontId="22" type="noConversion"/>
  </si>
  <si>
    <r>
      <rPr>
        <sz val="10"/>
        <color indexed="8"/>
        <rFont val="宋体"/>
        <family val="3"/>
        <charset val="134"/>
      </rPr>
      <t>页次：</t>
    </r>
    <phoneticPr fontId="22" type="noConversion"/>
  </si>
  <si>
    <r>
      <rPr>
        <sz val="10"/>
        <color indexed="10"/>
        <rFont val="宋体"/>
        <family val="3"/>
        <charset val="134"/>
      </rPr>
      <t>【</t>
    </r>
    <r>
      <rPr>
        <sz val="10"/>
        <color indexed="10"/>
        <rFont val="Arial Narrow"/>
        <family val="2"/>
      </rPr>
      <t>XYZ</t>
    </r>
    <r>
      <rPr>
        <sz val="10"/>
        <color indexed="10"/>
        <rFont val="宋体"/>
        <family val="3"/>
        <charset val="134"/>
      </rPr>
      <t>公司的基本情况，包括：</t>
    </r>
    <r>
      <rPr>
        <sz val="10"/>
        <color indexed="10"/>
        <rFont val="Arial Narrow"/>
        <family val="2"/>
      </rPr>
      <t>XYZ</t>
    </r>
    <r>
      <rPr>
        <sz val="10"/>
        <color indexed="10"/>
        <rFont val="宋体"/>
        <family val="3"/>
        <charset val="134"/>
      </rPr>
      <t>公司法定代表人、注册地、注册资本、成立时间，股权关系等；公司营业执照复印件或照片、公司章程等】</t>
    </r>
    <phoneticPr fontId="22" type="noConversion"/>
  </si>
  <si>
    <r>
      <rPr>
        <sz val="10"/>
        <color indexed="10"/>
        <rFont val="宋体"/>
        <family val="3"/>
        <charset val="134"/>
      </rPr>
      <t>检查了</t>
    </r>
    <r>
      <rPr>
        <sz val="10"/>
        <color indexed="10"/>
        <rFont val="Arial Narrow"/>
        <family val="2"/>
      </rPr>
      <t>XYZ</t>
    </r>
    <r>
      <rPr>
        <sz val="10"/>
        <color indexed="10"/>
        <rFont val="宋体"/>
        <family val="3"/>
        <charset val="134"/>
      </rPr>
      <t>公司的营业执照、组织机构代码证、税务登记证、章程等工商资料（若为特许经营行业，应检查相应证照）并取得复印件，与发行人记录情况、增值税发票、</t>
    </r>
    <r>
      <rPr>
        <sz val="10"/>
        <color indexed="10"/>
        <rFont val="Arial Narrow"/>
        <family val="2"/>
      </rPr>
      <t>XYZ</t>
    </r>
    <r>
      <rPr>
        <sz val="10"/>
        <color indexed="10"/>
        <rFont val="宋体"/>
        <family val="3"/>
        <charset val="134"/>
      </rPr>
      <t>公司网站的相关信息等核对一致。</t>
    </r>
    <r>
      <rPr>
        <sz val="10"/>
        <color indexed="12"/>
        <rFont val="宋体"/>
        <family val="3"/>
        <charset val="134"/>
      </rPr>
      <t>【若为新增、异常客户</t>
    </r>
    <r>
      <rPr>
        <sz val="10"/>
        <color indexed="12"/>
        <rFont val="Arial Narrow"/>
        <family val="2"/>
      </rPr>
      <t>/</t>
    </r>
    <r>
      <rPr>
        <sz val="10"/>
        <color indexed="12"/>
        <rFont val="宋体"/>
        <family val="3"/>
        <charset val="134"/>
      </rPr>
      <t>供应商或关联方客户</t>
    </r>
    <r>
      <rPr>
        <sz val="10"/>
        <color indexed="12"/>
        <rFont val="Arial Narrow"/>
        <family val="2"/>
      </rPr>
      <t>/</t>
    </r>
    <r>
      <rPr>
        <sz val="10"/>
        <color indexed="12"/>
        <rFont val="宋体"/>
        <family val="3"/>
        <charset val="134"/>
      </rPr>
      <t>供应商，考虑获取</t>
    </r>
    <r>
      <rPr>
        <sz val="10"/>
        <color indexed="12"/>
        <rFont val="Arial Narrow"/>
        <family val="2"/>
      </rPr>
      <t>XYZ</t>
    </r>
    <r>
      <rPr>
        <sz val="10"/>
        <color indexed="12"/>
        <rFont val="宋体"/>
        <family val="3"/>
        <charset val="134"/>
      </rPr>
      <t>公司的工商登记资料、纳税资料、银行账户流水等资料，并了解公司的实际控制人、关键经办人员等相关情况进行核对分析，包括核对</t>
    </r>
    <r>
      <rPr>
        <sz val="10"/>
        <color indexed="12"/>
        <rFont val="Arial Narrow"/>
        <family val="2"/>
      </rPr>
      <t>XYZ</t>
    </r>
    <r>
      <rPr>
        <sz val="10"/>
        <color indexed="12"/>
        <rFont val="宋体"/>
        <family val="3"/>
        <charset val="134"/>
      </rPr>
      <t>公司的经营业绩、银行账户往来是否与其声称的经营状况和营运能力、现金流量相关等】</t>
    </r>
    <phoneticPr fontId="21" type="noConversion"/>
  </si>
  <si>
    <r>
      <rPr>
        <sz val="10"/>
        <color indexed="10"/>
        <rFont val="宋体"/>
        <family val="3"/>
        <charset val="134"/>
      </rPr>
      <t>收货验收后，</t>
    </r>
    <r>
      <rPr>
        <sz val="10"/>
        <color indexed="10"/>
        <rFont val="Arial Narrow"/>
        <family val="2"/>
      </rPr>
      <t>3</t>
    </r>
    <r>
      <rPr>
        <sz val="10"/>
        <color indexed="10"/>
        <rFont val="宋体"/>
        <family val="3"/>
        <charset val="134"/>
      </rPr>
      <t>个月内（较同行业稍优惠，行业平均约为</t>
    </r>
    <r>
      <rPr>
        <sz val="10"/>
        <color indexed="10"/>
        <rFont val="Arial Narrow"/>
        <family val="2"/>
      </rPr>
      <t>2.5</t>
    </r>
    <r>
      <rPr>
        <sz val="10"/>
        <color indexed="10"/>
        <rFont val="宋体"/>
        <family val="3"/>
        <charset val="134"/>
      </rPr>
      <t>月，</t>
    </r>
    <r>
      <rPr>
        <sz val="10"/>
        <color indexed="10"/>
        <rFont val="Arial Narrow"/>
        <family val="2"/>
      </rPr>
      <t>75</t>
    </r>
    <r>
      <rPr>
        <sz val="10"/>
        <color indexed="10"/>
        <rFont val="宋体"/>
        <family val="3"/>
        <charset val="134"/>
      </rPr>
      <t>天）</t>
    </r>
  </si>
  <si>
    <r>
      <rPr>
        <sz val="10"/>
        <color indexed="10"/>
        <rFont val="宋体"/>
        <family val="3"/>
        <charset val="134"/>
      </rPr>
      <t>合同条款为</t>
    </r>
    <r>
      <rPr>
        <sz val="10"/>
        <color indexed="10"/>
        <rFont val="Arial Narrow"/>
        <family val="2"/>
      </rPr>
      <t>1</t>
    </r>
    <r>
      <rPr>
        <sz val="10"/>
        <color indexed="10"/>
        <rFont val="宋体"/>
        <family val="3"/>
        <charset val="134"/>
      </rPr>
      <t>个月之内</t>
    </r>
  </si>
  <si>
    <r>
      <rPr>
        <sz val="10"/>
        <color indexed="10"/>
        <rFont val="宋体"/>
        <family val="3"/>
        <charset val="134"/>
      </rPr>
      <t>略高于同行业的返利水平，行业平均为</t>
    </r>
    <r>
      <rPr>
        <sz val="10"/>
        <color indexed="10"/>
        <rFont val="Arial Narrow"/>
        <family val="2"/>
      </rPr>
      <t>4.8-5.5%</t>
    </r>
  </si>
  <si>
    <r>
      <rPr>
        <sz val="10"/>
        <color indexed="10"/>
        <rFont val="宋体"/>
        <family val="3"/>
        <charset val="134"/>
      </rPr>
      <t>实际承运单位：。物流公司汽运运输，运输时间</t>
    </r>
    <r>
      <rPr>
        <sz val="10"/>
        <color indexed="10"/>
        <rFont val="Arial Narrow"/>
        <family val="2"/>
      </rPr>
      <t>3-5</t>
    </r>
    <r>
      <rPr>
        <sz val="10"/>
        <color indexed="10"/>
        <rFont val="宋体"/>
        <family val="3"/>
        <charset val="134"/>
      </rPr>
      <t>天，运费由发行人负责；运费中含保险费，保险受益人为发行人</t>
    </r>
    <phoneticPr fontId="22" type="noConversion"/>
  </si>
  <si>
    <r>
      <rPr>
        <sz val="10"/>
        <color indexed="10"/>
        <rFont val="宋体"/>
        <family val="3"/>
        <charset val="134"/>
      </rPr>
      <t>收货验收后质保</t>
    </r>
    <r>
      <rPr>
        <sz val="10"/>
        <color indexed="10"/>
        <rFont val="Arial Narrow"/>
        <family val="2"/>
      </rPr>
      <t>1</t>
    </r>
    <r>
      <rPr>
        <sz val="10"/>
        <color indexed="10"/>
        <rFont val="宋体"/>
        <family val="3"/>
        <charset val="134"/>
      </rPr>
      <t>个月</t>
    </r>
  </si>
  <si>
    <r>
      <rPr>
        <sz val="10"/>
        <color indexed="10"/>
        <rFont val="宋体"/>
        <family val="3"/>
        <charset val="134"/>
      </rPr>
      <t>出具验收报告</t>
    </r>
    <r>
      <rPr>
        <sz val="10"/>
        <color indexed="10"/>
        <rFont val="Arial Narrow"/>
        <family val="2"/>
      </rPr>
      <t>/</t>
    </r>
    <r>
      <rPr>
        <sz val="10"/>
        <color indexed="10"/>
        <rFont val="宋体"/>
        <family val="3"/>
        <charset val="134"/>
      </rPr>
      <t>验收单</t>
    </r>
    <phoneticPr fontId="22" type="noConversion"/>
  </si>
  <si>
    <r>
      <rPr>
        <sz val="10"/>
        <color indexed="10"/>
        <rFont val="宋体"/>
        <family val="3"/>
        <charset val="134"/>
      </rPr>
      <t>合作</t>
    </r>
    <r>
      <rPr>
        <sz val="10"/>
        <color indexed="10"/>
        <rFont val="Arial Narrow"/>
        <family val="2"/>
      </rPr>
      <t>5</t>
    </r>
    <r>
      <rPr>
        <sz val="10"/>
        <color indexed="10"/>
        <rFont val="宋体"/>
        <family val="3"/>
        <charset val="134"/>
      </rPr>
      <t>年来，仅在</t>
    </r>
    <r>
      <rPr>
        <sz val="10"/>
        <color indexed="10"/>
        <rFont val="Arial Narrow"/>
        <family val="2"/>
      </rPr>
      <t>3</t>
    </r>
    <r>
      <rPr>
        <sz val="10"/>
        <color indexed="10"/>
        <rFont val="宋体"/>
        <family val="3"/>
        <charset val="134"/>
      </rPr>
      <t>年前发生过一次质保期内的质量问题，换货解决，价值约为</t>
    </r>
    <r>
      <rPr>
        <sz val="10"/>
        <color indexed="10"/>
        <rFont val="Arial Narrow"/>
        <family val="2"/>
      </rPr>
      <t>20</t>
    </r>
    <r>
      <rPr>
        <sz val="10"/>
        <color indexed="10"/>
        <rFont val="宋体"/>
        <family val="3"/>
        <charset val="134"/>
      </rPr>
      <t>万</t>
    </r>
  </si>
  <si>
    <r>
      <rPr>
        <sz val="10"/>
        <color indexed="10"/>
        <rFont val="宋体"/>
        <family val="3"/>
        <charset val="134"/>
      </rPr>
      <t>第三方收款</t>
    </r>
    <r>
      <rPr>
        <sz val="10"/>
        <color indexed="10"/>
        <rFont val="Arial Narrow"/>
        <family val="2"/>
      </rPr>
      <t>/</t>
    </r>
    <r>
      <rPr>
        <sz val="10"/>
        <color indexed="10"/>
        <rFont val="宋体"/>
        <family val="3"/>
        <charset val="134"/>
      </rPr>
      <t>付款</t>
    </r>
    <phoneticPr fontId="22" type="noConversion"/>
  </si>
  <si>
    <r>
      <rPr>
        <sz val="10"/>
        <color indexed="10"/>
        <rFont val="宋体"/>
        <family val="3"/>
        <charset val="134"/>
      </rPr>
      <t>【走访</t>
    </r>
    <r>
      <rPr>
        <sz val="10"/>
        <color indexed="10"/>
        <rFont val="Arial Narrow"/>
        <family val="2"/>
      </rPr>
      <t>XYZ</t>
    </r>
    <r>
      <rPr>
        <sz val="10"/>
        <color indexed="10"/>
        <rFont val="宋体"/>
        <family val="3"/>
        <charset val="134"/>
      </rPr>
      <t>的生产经营场所等（若适用），关注其生产经营现状与访谈内容相互印证】</t>
    </r>
  </si>
  <si>
    <r>
      <rPr>
        <sz val="10"/>
        <color indexed="10"/>
        <rFont val="宋体"/>
        <family val="3"/>
        <charset val="134"/>
      </rPr>
      <t>走访</t>
    </r>
    <r>
      <rPr>
        <sz val="10"/>
        <color indexed="10"/>
        <rFont val="Arial Narrow"/>
        <family val="2"/>
      </rPr>
      <t>XYZ</t>
    </r>
    <r>
      <rPr>
        <sz val="10"/>
        <color indexed="10"/>
        <rFont val="宋体"/>
        <family val="3"/>
        <charset val="134"/>
      </rPr>
      <t>公司的原料库，见到约</t>
    </r>
    <r>
      <rPr>
        <sz val="10"/>
        <color indexed="10"/>
        <rFont val="Arial Narrow"/>
        <family val="2"/>
      </rPr>
      <t>20</t>
    </r>
    <r>
      <rPr>
        <sz val="10"/>
        <color indexed="10"/>
        <rFont val="宋体"/>
        <family val="3"/>
        <charset val="134"/>
      </rPr>
      <t>吨发行人生产的</t>
    </r>
    <r>
      <rPr>
        <sz val="10"/>
        <color indexed="10"/>
        <rFont val="Arial Narrow"/>
        <family val="2"/>
      </rPr>
      <t>AAA</t>
    </r>
    <r>
      <rPr>
        <sz val="10"/>
        <color indexed="10"/>
        <rFont val="宋体"/>
        <family val="3"/>
        <charset val="134"/>
      </rPr>
      <t>材料（与年消耗</t>
    </r>
    <r>
      <rPr>
        <sz val="10"/>
        <color indexed="10"/>
        <rFont val="Arial Narrow"/>
        <family val="2"/>
      </rPr>
      <t>500-600</t>
    </r>
    <r>
      <rPr>
        <sz val="10"/>
        <color indexed="10"/>
        <rFont val="宋体"/>
        <family val="3"/>
        <charset val="134"/>
      </rPr>
      <t>吨，每月订货的应用库存量相符），走访产成品库，见到</t>
    </r>
    <r>
      <rPr>
        <sz val="10"/>
        <color indexed="10"/>
        <rFont val="Arial Narrow"/>
        <family val="2"/>
      </rPr>
      <t>XXXX</t>
    </r>
    <r>
      <rPr>
        <sz val="10"/>
        <color indexed="10"/>
        <rFont val="宋体"/>
        <family val="3"/>
        <charset val="134"/>
      </rPr>
      <t>产品约</t>
    </r>
    <r>
      <rPr>
        <sz val="10"/>
        <color indexed="10"/>
        <rFont val="Arial Narrow"/>
        <family val="2"/>
      </rPr>
      <t>30</t>
    </r>
    <r>
      <rPr>
        <sz val="10"/>
        <color indexed="10"/>
        <rFont val="宋体"/>
        <family val="3"/>
        <charset val="134"/>
      </rPr>
      <t>吨，见到</t>
    </r>
    <r>
      <rPr>
        <sz val="10"/>
        <color indexed="10"/>
        <rFont val="Arial Narrow"/>
        <family val="2"/>
      </rPr>
      <t>XYZ</t>
    </r>
    <r>
      <rPr>
        <sz val="10"/>
        <color indexed="10"/>
        <rFont val="宋体"/>
        <family val="3"/>
        <charset val="134"/>
      </rPr>
      <t>公司向其客户发运</t>
    </r>
    <r>
      <rPr>
        <sz val="10"/>
        <color indexed="10"/>
        <rFont val="Arial Narrow"/>
        <family val="2"/>
      </rPr>
      <t>XXXX</t>
    </r>
    <r>
      <rPr>
        <sz val="10"/>
        <color indexed="10"/>
        <rFont val="宋体"/>
        <family val="3"/>
        <charset val="134"/>
      </rPr>
      <t>产品。</t>
    </r>
  </si>
  <si>
    <r>
      <rPr>
        <sz val="10"/>
        <color indexed="10"/>
        <rFont val="宋体"/>
        <family val="3"/>
        <charset val="134"/>
      </rPr>
      <t>现场获取经</t>
    </r>
    <r>
      <rPr>
        <sz val="10"/>
        <color indexed="10"/>
        <rFont val="Arial Narrow"/>
        <family val="2"/>
      </rPr>
      <t>XYZ</t>
    </r>
    <r>
      <rPr>
        <sz val="10"/>
        <color indexed="10"/>
        <rFont val="宋体"/>
        <family val="3"/>
        <charset val="134"/>
      </rPr>
      <t>公司盖章确认的函证，</t>
    </r>
    <r>
      <rPr>
        <sz val="10"/>
        <color indexed="10"/>
        <rFont val="Arial Narrow"/>
        <family val="2"/>
      </rPr>
      <t>XYZ</t>
    </r>
    <r>
      <rPr>
        <sz val="10"/>
        <color indexed="10"/>
        <rFont val="宋体"/>
        <family val="3"/>
        <charset val="134"/>
      </rPr>
      <t>公司对函证信息确认一致（差异为</t>
    </r>
    <r>
      <rPr>
        <sz val="10"/>
        <color indexed="10"/>
        <rFont val="Arial Narrow"/>
        <family val="2"/>
      </rPr>
      <t>20</t>
    </r>
    <r>
      <rPr>
        <sz val="10"/>
        <color indexed="10"/>
        <rFont val="宋体"/>
        <family val="3"/>
        <charset val="134"/>
      </rPr>
      <t>吨、</t>
    </r>
    <r>
      <rPr>
        <sz val="10"/>
        <color indexed="10"/>
        <rFont val="Arial Narrow"/>
        <family val="2"/>
      </rPr>
      <t>200</t>
    </r>
    <r>
      <rPr>
        <sz val="10"/>
        <color indexed="10"/>
        <rFont val="宋体"/>
        <family val="3"/>
        <charset val="134"/>
      </rPr>
      <t>万，系</t>
    </r>
    <r>
      <rPr>
        <sz val="10"/>
        <color indexed="10"/>
        <rFont val="Arial Narrow"/>
        <family val="2"/>
      </rPr>
      <t>XYZ</t>
    </r>
    <r>
      <rPr>
        <sz val="10"/>
        <color indexed="10"/>
        <rFont val="宋体"/>
        <family val="3"/>
        <charset val="134"/>
      </rPr>
      <t>公司尚未对</t>
    </r>
    <r>
      <rPr>
        <sz val="10"/>
        <color indexed="10"/>
        <rFont val="Arial Narrow"/>
        <family val="2"/>
      </rPr>
      <t>12</t>
    </r>
    <r>
      <rPr>
        <sz val="10"/>
        <color indexed="10"/>
        <rFont val="宋体"/>
        <family val="3"/>
        <charset val="134"/>
      </rPr>
      <t>月份采购的原材料入账所致，经查</t>
    </r>
    <r>
      <rPr>
        <sz val="10"/>
        <color indexed="10"/>
        <rFont val="Arial Narrow"/>
        <family val="2"/>
      </rPr>
      <t>12</t>
    </r>
    <r>
      <rPr>
        <sz val="10"/>
        <color indexed="10"/>
        <rFont val="宋体"/>
        <family val="3"/>
        <charset val="134"/>
      </rPr>
      <t>月份发票、出库单、运单核对一致），详见索引号</t>
    </r>
    <r>
      <rPr>
        <sz val="10"/>
        <color indexed="10"/>
        <rFont val="Arial Narrow"/>
        <family val="2"/>
      </rPr>
      <t xml:space="preserve">       </t>
    </r>
    <r>
      <rPr>
        <sz val="10"/>
        <color indexed="10"/>
        <rFont val="宋体"/>
        <family val="3"/>
        <charset val="134"/>
      </rPr>
      <t>。</t>
    </r>
  </si>
  <si>
    <r>
      <rPr>
        <b/>
        <sz val="10"/>
        <color indexed="10"/>
        <rFont val="宋体"/>
        <family val="3"/>
        <charset val="134"/>
      </rPr>
      <t>一、走访的公司基本信息</t>
    </r>
    <phoneticPr fontId="22" type="noConversion"/>
  </si>
  <si>
    <r>
      <rPr>
        <sz val="10"/>
        <color indexed="10"/>
        <rFont val="宋体"/>
        <family val="3"/>
        <charset val="134"/>
      </rPr>
      <t>【</t>
    </r>
    <r>
      <rPr>
        <sz val="10"/>
        <color indexed="10"/>
        <rFont val="Arial Narrow"/>
        <family val="2"/>
      </rPr>
      <t>XYZ</t>
    </r>
    <r>
      <rPr>
        <sz val="10"/>
        <color indexed="10"/>
        <rFont val="宋体"/>
        <family val="3"/>
        <charset val="134"/>
      </rPr>
      <t>公司与发行人的业务关系，发生业务的起始时间、交易金额、交易量、交易量是否异常，若异常应在访谈结论中明确交易量异常变动的原因，</t>
    </r>
    <r>
      <rPr>
        <sz val="10"/>
        <color indexed="10"/>
        <rFont val="Arial Narrow"/>
        <family val="2"/>
      </rPr>
      <t>XYZ</t>
    </r>
    <r>
      <rPr>
        <sz val="10"/>
        <color indexed="10"/>
        <rFont val="宋体"/>
        <family val="3"/>
        <charset val="134"/>
      </rPr>
      <t>公司原行业状况、与发行人的交易占</t>
    </r>
    <r>
      <rPr>
        <sz val="10"/>
        <color indexed="10"/>
        <rFont val="Arial Narrow"/>
        <family val="2"/>
      </rPr>
      <t>XYZ</t>
    </r>
    <r>
      <rPr>
        <sz val="10"/>
        <color indexed="10"/>
        <rFont val="宋体"/>
        <family val="3"/>
        <charset val="134"/>
      </rPr>
      <t>公司的总交易比重（公司基本情况需通过获取</t>
    </r>
    <r>
      <rPr>
        <sz val="10"/>
        <color indexed="10"/>
        <rFont val="Arial Narrow"/>
        <family val="2"/>
      </rPr>
      <t>XYZ</t>
    </r>
    <r>
      <rPr>
        <sz val="10"/>
        <color indexed="10"/>
        <rFont val="宋体"/>
        <family val="3"/>
        <charset val="134"/>
      </rPr>
      <t>公司工商资料，并与发行人记录情况、增值税发票、</t>
    </r>
    <r>
      <rPr>
        <sz val="10"/>
        <color indexed="10"/>
        <rFont val="Arial Narrow"/>
        <family val="2"/>
      </rPr>
      <t>XYZ</t>
    </r>
    <r>
      <rPr>
        <sz val="10"/>
        <color indexed="10"/>
        <rFont val="宋体"/>
        <family val="3"/>
        <charset val="134"/>
      </rPr>
      <t>公司网站信息等核对】</t>
    </r>
    <phoneticPr fontId="22" type="noConversion"/>
  </si>
  <si>
    <r>
      <rPr>
        <sz val="10"/>
        <color indexed="10"/>
        <rFont val="宋体"/>
        <family val="3"/>
        <charset val="134"/>
      </rPr>
      <t>【询问及取得合同样本：核对</t>
    </r>
    <r>
      <rPr>
        <sz val="10"/>
        <color indexed="10"/>
        <rFont val="Arial Narrow"/>
        <family val="2"/>
      </rPr>
      <t>XYZ</t>
    </r>
    <r>
      <rPr>
        <sz val="10"/>
        <color indexed="10"/>
        <rFont val="宋体"/>
        <family val="3"/>
        <charset val="134"/>
      </rPr>
      <t>公司与发行人的合同条款（交易模式、交易规模、付款方式、付款期限、运输条款、运输保险受益人、销售佣金比例、质保金比例、信用期等）】</t>
    </r>
    <phoneticPr fontId="21" type="noConversion"/>
  </si>
  <si>
    <r>
      <rPr>
        <sz val="10"/>
        <color indexed="10"/>
        <rFont val="宋体"/>
        <family val="3"/>
        <charset val="134"/>
      </rPr>
      <t>验收或检验</t>
    </r>
    <phoneticPr fontId="22" type="noConversion"/>
  </si>
  <si>
    <r>
      <rPr>
        <sz val="10"/>
        <color indexed="10"/>
        <rFont val="宋体"/>
        <family val="3"/>
        <charset val="134"/>
      </rPr>
      <t>与凭证检查情况一致</t>
    </r>
    <phoneticPr fontId="22" type="noConversion"/>
  </si>
  <si>
    <r>
      <rPr>
        <sz val="10"/>
        <color indexed="10"/>
        <rFont val="宋体"/>
        <family val="3"/>
        <charset val="134"/>
      </rPr>
      <t>代收款、代付款情况</t>
    </r>
    <phoneticPr fontId="22" type="noConversion"/>
  </si>
  <si>
    <r>
      <rPr>
        <sz val="10"/>
        <color indexed="10"/>
        <rFont val="宋体"/>
        <family val="3"/>
        <charset val="134"/>
      </rPr>
      <t>【对</t>
    </r>
    <r>
      <rPr>
        <sz val="10"/>
        <color indexed="10"/>
        <rFont val="Arial Narrow"/>
        <family val="2"/>
      </rPr>
      <t>XYZ</t>
    </r>
    <r>
      <rPr>
        <sz val="10"/>
        <color indexed="10"/>
        <rFont val="宋体"/>
        <family val="3"/>
        <charset val="134"/>
      </rPr>
      <t>公司进行现场函证（函证内容包括但不限于与发行人的：采购量、采购总额、截止日的债权</t>
    </r>
    <r>
      <rPr>
        <sz val="10"/>
        <color indexed="10"/>
        <rFont val="Arial Narrow"/>
        <family val="2"/>
      </rPr>
      <t>/</t>
    </r>
    <r>
      <rPr>
        <sz val="10"/>
        <color indexed="10"/>
        <rFont val="宋体"/>
        <family val="3"/>
        <charset val="134"/>
      </rPr>
      <t>债务余额、重要合同条款及其他项目组认为必要的信息；关联方关系确认函）】</t>
    </r>
    <phoneticPr fontId="22" type="noConversion"/>
  </si>
  <si>
    <t>致同会计师事务所（特殊普通合伙）</t>
    <phoneticPr fontId="22" type="noConversion"/>
  </si>
  <si>
    <t>索引：</t>
    <phoneticPr fontId="22" type="noConversion"/>
  </si>
  <si>
    <t>访谈记录与核对</t>
    <phoneticPr fontId="21" type="noConversion"/>
  </si>
  <si>
    <t>参与访谈的审计人员</t>
    <phoneticPr fontId="22" type="noConversion"/>
  </si>
  <si>
    <t>参与访谈的其他人员</t>
    <phoneticPr fontId="6" type="noConversion"/>
  </si>
  <si>
    <t>访谈时间及地点：</t>
    <phoneticPr fontId="6" type="noConversion"/>
  </si>
  <si>
    <t>访谈内容：</t>
    <phoneticPr fontId="6" type="noConversion"/>
  </si>
  <si>
    <t>参与访谈的各方人员签字：</t>
    <phoneticPr fontId="6" type="noConversion"/>
  </si>
  <si>
    <t xml:space="preserve">日期：          </t>
    <phoneticPr fontId="6" type="noConversion"/>
  </si>
  <si>
    <t>审计人员：</t>
    <phoneticPr fontId="6" type="noConversion"/>
  </si>
  <si>
    <t>其他人员：</t>
    <phoneticPr fontId="6" type="noConversion"/>
  </si>
  <si>
    <t>参与人员：</t>
    <phoneticPr fontId="6" type="noConversion"/>
  </si>
  <si>
    <t>三、供应商与被审计单位何时开始开展的业务？通过什么渠道开始开展业务的？</t>
    <phoneticPr fontId="6" type="noConversion"/>
  </si>
  <si>
    <t>四、供应商与被审计单位签订XXX合同，合同主要条款……，是否出现过纠纷？若存在纠纷，是如何解决的？</t>
    <phoneticPr fontId="6" type="noConversion"/>
  </si>
  <si>
    <r>
      <t>五、供应商</t>
    </r>
    <r>
      <rPr>
        <sz val="10"/>
        <color rgb="FFFF0000"/>
        <rFont val="宋体"/>
        <family val="3"/>
        <charset val="134"/>
      </rPr>
      <t>202X年</t>
    </r>
    <r>
      <rPr>
        <sz val="10"/>
        <color theme="1"/>
        <rFont val="宋体"/>
        <family val="3"/>
        <charset val="134"/>
      </rPr>
      <t>向被审计单位销售的货物有哪些？金额有多少？占供应商每年销售金额的比例是多少？交易价格如何确定？交货方式是什么？结算方式是什么？还有多少货款未支付？</t>
    </r>
    <phoneticPr fontId="6" type="noConversion"/>
  </si>
  <si>
    <t>六、供应商主要产品年销售量和销售金额是多少？主要客户有哪些？XX产品平均销售价格多少？</t>
    <phoneticPr fontId="6" type="noConversion"/>
  </si>
  <si>
    <t>七、供应商向被审计单位销售的货物是否全部为供应商所生产？若不是，则自产、外购数量各是多少？外购厂家主要是哪些单位？</t>
    <phoneticPr fontId="6" type="noConversion"/>
  </si>
  <si>
    <t>根据被审计单位实际情况、关注的供应商主要风险情况修改访谈内容</t>
    <phoneticPr fontId="6" type="noConversion"/>
  </si>
  <si>
    <t>供应商访谈记录</t>
    <phoneticPr fontId="21" type="noConversion"/>
  </si>
  <si>
    <t>供应商访谈记录汇总表</t>
    <phoneticPr fontId="6" type="noConversion"/>
  </si>
  <si>
    <t>供应商访谈记录</t>
    <phoneticPr fontId="6" type="noConversion"/>
  </si>
  <si>
    <t>F2-72</t>
  </si>
  <si>
    <r>
      <rPr>
        <sz val="10"/>
        <color theme="1"/>
        <rFont val="宋体"/>
        <family val="3"/>
        <charset val="134"/>
      </rPr>
      <t>原材料采购价格分析：
（</t>
    </r>
    <r>
      <rPr>
        <sz val="10"/>
        <color theme="1"/>
        <rFont val="Arial Narrow"/>
        <family val="2"/>
      </rPr>
      <t>1</t>
    </r>
    <r>
      <rPr>
        <sz val="10"/>
        <color theme="1"/>
        <rFont val="宋体"/>
        <family val="3"/>
        <charset val="134"/>
      </rPr>
      <t>）分析本期各月及前期主要原材料采购金额、数量、采购单价，关注采购单价异常波动、与市场价格偏离情况；
（</t>
    </r>
    <r>
      <rPr>
        <sz val="10"/>
        <color theme="1"/>
        <rFont val="Arial Narrow"/>
        <family val="2"/>
      </rPr>
      <t>2</t>
    </r>
    <r>
      <rPr>
        <sz val="10"/>
        <color theme="1"/>
        <rFont val="宋体"/>
        <family val="3"/>
        <charset val="134"/>
      </rPr>
      <t>）分析同一供应商采购不同物料的单价、同一原材料在不同供应商采购单价、同一类原材料不同规格采购单价波动分析，关注原材料采购入库价格是否异常。</t>
    </r>
    <phoneticPr fontId="21" type="noConversion"/>
  </si>
  <si>
    <t>是否为关联方</t>
    <phoneticPr fontId="21" type="noConversion"/>
  </si>
  <si>
    <t>经营状态</t>
    <phoneticPr fontId="6" type="noConversion"/>
  </si>
  <si>
    <t>是否列入失信人</t>
    <phoneticPr fontId="6" type="noConversion"/>
  </si>
  <si>
    <t>信息来源</t>
    <phoneticPr fontId="6" type="noConversion"/>
  </si>
  <si>
    <t>交易金额核对是否一致</t>
    <phoneticPr fontId="6" type="noConversion"/>
  </si>
  <si>
    <t>往来余额核对是否一致</t>
    <phoneticPr fontId="6" type="noConversion"/>
  </si>
  <si>
    <t>访谈对象：</t>
    <phoneticPr fontId="6" type="noConversion"/>
  </si>
  <si>
    <t>接受访谈人员及身份</t>
    <phoneticPr fontId="22" type="noConversion"/>
  </si>
  <si>
    <t>接受访谈人员：</t>
    <phoneticPr fontId="6" type="noConversion"/>
  </si>
  <si>
    <t>一、接受访谈人介绍，包括姓名、任职的公司、职务、具体负责的工作等</t>
    <phoneticPr fontId="6" type="noConversion"/>
  </si>
  <si>
    <t>二、供应商基本情况（包括但不限于公司股东、管理层人员、主要业务及主要产品、所处行业、业务规模、人员规模、生产能力、经营场所面积等）</t>
    <phoneticPr fontId="6" type="noConversion"/>
  </si>
  <si>
    <t>结合预付账款、应付账账款，选择主要、异常供应商，对采购额、合同条款、是否存在关联方关系及是否存在补充协议等实施函证程序。</t>
    <phoneticPr fontId="21" type="noConversion"/>
  </si>
  <si>
    <t>IPO/上市/新三板/重组/舞弊应对</t>
    <phoneticPr fontId="22" type="noConversion"/>
  </si>
  <si>
    <t>IPO/上市/新三板/重组/舞弊应对</t>
    <phoneticPr fontId="22" type="noConversion"/>
  </si>
  <si>
    <t>IPO/上市/新三板/重组/舞弊应对</t>
    <phoneticPr fontId="22" type="noConversion"/>
  </si>
  <si>
    <t>三、计划实施的实质性程序</t>
    <phoneticPr fontId="21" type="noConversion"/>
  </si>
  <si>
    <t>被审计单位：</t>
    <phoneticPr fontId="21" type="noConversion"/>
  </si>
  <si>
    <t>编制人：</t>
    <phoneticPr fontId="21" type="noConversion"/>
  </si>
  <si>
    <t>编制日期：</t>
    <phoneticPr fontId="21" type="noConversion"/>
  </si>
  <si>
    <t>复核人：</t>
    <phoneticPr fontId="21" type="noConversion"/>
  </si>
  <si>
    <t>复核日期：</t>
    <phoneticPr fontId="21" type="noConversion"/>
  </si>
  <si>
    <t>F2-61A</t>
    <phoneticPr fontId="6" type="noConversion"/>
  </si>
  <si>
    <r>
      <rPr>
        <sz val="10"/>
        <rFont val="宋体"/>
        <family val="3"/>
        <charset val="134"/>
      </rPr>
      <t>完整性</t>
    </r>
    <phoneticPr fontId="21" type="noConversion"/>
  </si>
  <si>
    <r>
      <rPr>
        <sz val="10"/>
        <rFont val="宋体"/>
        <family val="3"/>
        <charset val="134"/>
      </rPr>
      <t>权利和义务</t>
    </r>
    <phoneticPr fontId="21" type="noConversion"/>
  </si>
  <si>
    <r>
      <rPr>
        <sz val="10"/>
        <rFont val="宋体"/>
        <family val="3"/>
        <charset val="134"/>
      </rPr>
      <t>准确性、计价和分摊</t>
    </r>
    <phoneticPr fontId="21" type="noConversion"/>
  </si>
  <si>
    <r>
      <t xml:space="preserve">C. </t>
    </r>
    <r>
      <rPr>
        <sz val="10"/>
        <rFont val="宋体"/>
        <family val="3"/>
        <charset val="134"/>
      </rPr>
      <t>记录的存货由被审计单位拥有或控制</t>
    </r>
    <phoneticPr fontId="21" type="noConversion"/>
  </si>
  <si>
    <r>
      <t xml:space="preserve">D. </t>
    </r>
    <r>
      <rPr>
        <sz val="10"/>
        <rFont val="宋体"/>
        <family val="3"/>
        <charset val="134"/>
      </rPr>
      <t>存货以恰当的金额包括在财务报表中，与之相关的计价或分摊调整已恰当记录，相关披露已得到恰当计量和描述</t>
    </r>
    <r>
      <rPr>
        <sz val="10"/>
        <rFont val="Arial Narrow"/>
        <family val="2"/>
      </rPr>
      <t xml:space="preserve"> </t>
    </r>
    <phoneticPr fontId="21" type="noConversion"/>
  </si>
  <si>
    <r>
      <t xml:space="preserve">E. </t>
    </r>
    <r>
      <rPr>
        <sz val="10"/>
        <rFont val="宋体"/>
        <family val="3"/>
        <charset val="134"/>
      </rPr>
      <t>存货已被恰当地汇总或分解且表述清楚，相关披露在按照企业会计准则的编制基础下是相关的、可理解的</t>
    </r>
    <phoneticPr fontId="21" type="noConversion"/>
  </si>
  <si>
    <t>主要或异常供应商（包括施工单位）是否与被审计单位存在关联方关系。</t>
    <phoneticPr fontId="21" type="noConversion"/>
  </si>
  <si>
    <t>1.选择大额、异常的客户或交易。</t>
  </si>
  <si>
    <t>考虑大额或异常的交易是否表明存在一个先前没有披露的关联方：
（1）查询供应商工商、银行、税务信息资料，关注其地址、董事/监事/关键管理人员、联系方式等信息，并与其相关发票信息、网站信息进行核对，识别供应商是否存在与被审计单位存在疑似关联关系的信息；
（2）选取重要供应商，获取关联方关系确认函；
（3）取得实际控制人、董高监及其密切家庭人员的对外投资清单，与重要客户的股东和关键经办人员进行比对，关注与发行人实际控制人、董事、监事、高级管理人员关系密切的家庭成员与发行人的供应商是否存在关联方关系；
（4）取得保荐机构及其关联方、PE投资机构及其关联方、PE投资机构的股东或实际控制人控制或投资的其他企业清单，将这些利益相关方清单和重要供应商及其法人、股东和关键经办人员名单进行比对，关注其是否与发行人发生大额交易；
（5）获取发行人主要股东、董事、监事、关键管理人员及上述利益相关方的确认函，确认除其本人在被审计单位领取薪酬或分得股利外，其本人及其关系密切的家庭成员未与被审计单位有任何形式的交易。</t>
    <phoneticPr fontId="6" type="noConversion"/>
  </si>
  <si>
    <t>2.查询供应商工商、银行、税务信息资料，关注其地址、董事/监事/关键管理人员、联系方式等信息，并与其相关发票信息、网站信息进行核对，识别供应商是否存在与被审计单位存在疑似关联关系的信息；</t>
    <phoneticPr fontId="6" type="noConversion"/>
  </si>
  <si>
    <t>3.选取重要供应商，获取关联方关系确认函。</t>
    <phoneticPr fontId="6" type="noConversion"/>
  </si>
  <si>
    <t>4.取得实际控制人、董高监及其密切家庭人员的对外投资清单，与重要客户的股东和关键经办人员进行比对，关注与发行人实际控制人、董事、监事、高级管理人员关系密切的家庭成员与发行人的供应商是否存在关联方关系。</t>
    <phoneticPr fontId="6" type="noConversion"/>
  </si>
  <si>
    <t>5.取得保荐机构及其关联方、PE投资机构及其关联方、PE投资机构的股东或实际控制人控制或投资的其他企业清单，将这些利益相关方清单和重要供应商及其法人、股东和关键经办人员名单进行比对，关注其是否与发行人发生大额交易。</t>
    <phoneticPr fontId="6" type="noConversion"/>
  </si>
  <si>
    <t>6.获取发行人主要股东、董事、监事、关键管理人员及上述利益相关方的确认函，确认除其本人在被审计单位领取薪酬或分得股利外，其本人及其关系密切的家庭成员未与被审计单位有任何形式的交易。</t>
    <phoneticPr fontId="6" type="noConversion"/>
  </si>
  <si>
    <r>
      <t xml:space="preserve">F2-67
/F2-70
</t>
    </r>
    <r>
      <rPr>
        <sz val="10"/>
        <color rgb="FFFF0000"/>
        <rFont val="Arial Narrow"/>
        <family val="2"/>
      </rPr>
      <t>/F2-</t>
    </r>
    <phoneticPr fontId="21" type="noConversion"/>
  </si>
  <si>
    <t>八、供应商除了上述与被审计单位业务以外，是否还存在其他的资金往来？</t>
    <phoneticPr fontId="6" type="noConversion"/>
  </si>
  <si>
    <t>九、供应商（及其实际控制人）与被审计单位及其实际控制人XXX、董事XXX、监事XXX、高级管理人员XXX以及被审计单位的主要客户XXX等是否存在关联关系（包括持股、任职、亲属关系等）？是否存在业务和资金往来？</t>
    <phoneticPr fontId="6" type="noConversion"/>
  </si>
  <si>
    <t>十、被审计单位支付XX元大额预付款原因？供应商收到预付款资金用途是什么？供货计划是什么？</t>
    <phoneticPr fontId="6" type="noConversion"/>
  </si>
  <si>
    <t>十一、……</t>
    <phoneticPr fontId="6" type="noConversion"/>
  </si>
  <si>
    <t>F2-68
/F2-62</t>
    <phoneticPr fontId="21" type="noConversion"/>
  </si>
  <si>
    <r>
      <rPr>
        <sz val="10"/>
        <color theme="1"/>
        <rFont val="宋体"/>
        <family val="3"/>
        <charset val="134"/>
      </rPr>
      <t>分析主要供应商交易及变化情况，对主要供应商进行检查：
（</t>
    </r>
    <r>
      <rPr>
        <sz val="10"/>
        <color theme="1"/>
        <rFont val="Arial Narrow"/>
        <family val="2"/>
      </rPr>
      <t>1</t>
    </r>
    <r>
      <rPr>
        <sz val="10"/>
        <color theme="1"/>
        <rFont val="宋体"/>
        <family val="3"/>
        <charset val="134"/>
      </rPr>
      <t>）比较分析主要供应商的采购数量、采购金额、信用期、支付方式的变动以及原因，关注新增和异常供应商交易的合理性及持续性；
（</t>
    </r>
    <r>
      <rPr>
        <sz val="10"/>
        <color theme="1"/>
        <rFont val="Arial Narrow"/>
        <family val="2"/>
      </rPr>
      <t>2</t>
    </r>
    <r>
      <rPr>
        <sz val="10"/>
        <color theme="1"/>
        <rFont val="宋体"/>
        <family val="3"/>
        <charset val="134"/>
      </rPr>
      <t>）关注与主要供应商否存在关联关系、向供应商采购业务是否与经营范围匹配、采购金额是否与供应商规模匹配等。
（</t>
    </r>
    <r>
      <rPr>
        <sz val="10"/>
        <color theme="1"/>
        <rFont val="Arial Narrow"/>
        <family val="2"/>
      </rPr>
      <t>3</t>
    </r>
    <r>
      <rPr>
        <sz val="10"/>
        <color theme="1"/>
        <rFont val="宋体"/>
        <family val="3"/>
        <charset val="134"/>
      </rPr>
      <t>）分析主要和异常供应商的采购物资种类、采购金额、采购单价、与平均单价的差异等；</t>
    </r>
    <phoneticPr fontId="21" type="noConversion"/>
  </si>
  <si>
    <r>
      <rPr>
        <sz val="10"/>
        <rFont val="宋体"/>
        <family val="3"/>
        <charset val="134"/>
      </rPr>
      <t>应对措施</t>
    </r>
    <r>
      <rPr>
        <sz val="10"/>
        <rFont val="Arial Narrow"/>
        <family val="2"/>
      </rPr>
      <t>-</t>
    </r>
    <r>
      <rPr>
        <sz val="10"/>
        <rFont val="宋体"/>
        <family val="3"/>
        <charset val="134"/>
      </rPr>
      <t>检查</t>
    </r>
    <phoneticPr fontId="21" type="noConversion"/>
  </si>
  <si>
    <t>3</t>
    <phoneticPr fontId="21" type="noConversion"/>
  </si>
  <si>
    <t>5</t>
    <phoneticPr fontId="21" type="noConversion"/>
  </si>
  <si>
    <t>7</t>
    <phoneticPr fontId="21" type="noConversion"/>
  </si>
  <si>
    <t>9</t>
    <phoneticPr fontId="21" type="noConversion"/>
  </si>
  <si>
    <t>11</t>
    <phoneticPr fontId="21" type="noConversion"/>
  </si>
  <si>
    <t>F2-69
/F2-70
/F2-71
/F2-72
/D4-32</t>
    <phoneticPr fontId="21" type="noConversion"/>
  </si>
  <si>
    <t>提示：注册会计师在判断是否需要实施“延伸检查”程序及如何实施时，应当根据审计准则的规定，并考虑有经验的专业人士在该场景下通常会作出的合理职业判断。《中国注册会计师审计准则第 1131 号——审计工作底稿》对“有经验的专业人士”进行了定义。此外，实施“延伸检查”程序的可行性和效果受诸多因素影响，注册会计师设计的具体“延伸检查”程序的性质、时间安排和范围，应当针对被审计单位的具体况，与评估的舞弊风险相称，并体现重要性原则。例如，被审计单位所处行业的下游产业链较长，如果对下游产业链的某个或某几个环节实施“延伸检查”程序获取的审计证据，可以应对与收入确认相关的舞弊风险，则“延伸检查”程序无需覆盖所有环节。再者，相对于常规年度财务报表审计而言，在首次公开发行股票并上市审计（IPO 审计）中，由于存在监管要求和相关方的配合，注册会计师实施“延伸检查”程序通常相对可行。</t>
  </si>
  <si>
    <t>截止日：202X年12月31日</t>
    <phoneticPr fontId="21" type="noConversion"/>
  </si>
  <si>
    <t>根据被审计单位实际情况和风险评估情况裁剪、修改或增加审计程序</t>
    <phoneticPr fontId="21" type="noConversion"/>
  </si>
  <si>
    <t>函证结果汇总表</t>
  </si>
  <si>
    <t>F0-1</t>
  </si>
  <si>
    <t>核实被函证单位信息</t>
  </si>
  <si>
    <t>F0-2</t>
  </si>
  <si>
    <t>跟函函证过程控制</t>
  </si>
  <si>
    <t>F0-3</t>
  </si>
  <si>
    <t>函证差异调节表</t>
  </si>
  <si>
    <t>F0-4</t>
  </si>
  <si>
    <t>预付及采购替代程序检查表</t>
  </si>
  <si>
    <t>F0-5</t>
  </si>
  <si>
    <t>邮件传真回函可靠性验证</t>
  </si>
  <si>
    <t>F0-7</t>
  </si>
  <si>
    <t>函证程序舞弊风险评价表</t>
  </si>
  <si>
    <t>F0-8</t>
  </si>
  <si>
    <t>应付及采购替代程序检查表</t>
  </si>
  <si>
    <t>F0-6</t>
  </si>
  <si>
    <t>关于工作底稿与审计程序索引号对应的说明</t>
    <phoneticPr fontId="21" type="noConversion"/>
  </si>
  <si>
    <r>
      <t>1.</t>
    </r>
    <r>
      <rPr>
        <b/>
        <sz val="12"/>
        <rFont val="宋体"/>
        <family val="3"/>
        <charset val="134"/>
      </rPr>
      <t>编制的审计工作底稿应与审计程序对应。</t>
    </r>
    <r>
      <rPr>
        <sz val="11"/>
        <color theme="1"/>
        <rFont val="等线"/>
        <family val="2"/>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21" type="noConversion"/>
  </si>
  <si>
    <r>
      <t>2.</t>
    </r>
    <r>
      <rPr>
        <b/>
        <sz val="12"/>
        <rFont val="宋体"/>
        <family val="3"/>
        <charset val="134"/>
      </rPr>
      <t>获取的支持性证据应与审计底稿或程序对应。</t>
    </r>
    <r>
      <rPr>
        <sz val="11"/>
        <color theme="1"/>
        <rFont val="等线"/>
        <family val="2"/>
        <scheme val="minor"/>
      </rPr>
      <t>审计项目组在完成底稿时获取的支持性证据应根据底稿索引号编制下一级按自然顺序排序的索引号（如</t>
    </r>
    <r>
      <rPr>
        <sz val="12"/>
        <rFont val="Arial Narrow"/>
        <family val="2"/>
      </rPr>
      <t>D1-2-1</t>
    </r>
    <r>
      <rPr>
        <sz val="11"/>
        <color theme="1"/>
        <rFont val="等线"/>
        <family val="2"/>
        <scheme val="minor"/>
      </rPr>
      <t>、</t>
    </r>
    <r>
      <rPr>
        <sz val="12"/>
        <rFont val="Arial Narrow"/>
        <family val="2"/>
      </rPr>
      <t>D1-2-2</t>
    </r>
    <r>
      <rPr>
        <sz val="11"/>
        <color theme="1"/>
        <rFont val="等线"/>
        <family val="2"/>
        <scheme val="minor"/>
      </rPr>
      <t>、</t>
    </r>
    <r>
      <rPr>
        <sz val="12"/>
        <rFont val="Arial Narrow"/>
        <family val="2"/>
      </rPr>
      <t>……</t>
    </r>
    <r>
      <rPr>
        <sz val="11"/>
        <color theme="1"/>
        <rFont val="等线"/>
        <family val="2"/>
        <scheme val="minor"/>
      </rPr>
      <t>），并在底稿中说明引用的支持性证据、关联索引号。</t>
    </r>
    <phoneticPr fontId="21" type="noConversion"/>
  </si>
  <si>
    <r>
      <rPr>
        <b/>
        <sz val="12"/>
        <rFont val="Arial Narrow"/>
        <family val="2"/>
      </rPr>
      <t>3.</t>
    </r>
    <r>
      <rPr>
        <b/>
        <sz val="12"/>
        <rFont val="宋体"/>
        <family val="3"/>
        <charset val="134"/>
      </rPr>
      <t>工作底稿索引号的编码规则：</t>
    </r>
    <r>
      <rPr>
        <sz val="11"/>
        <color theme="1"/>
        <rFont val="等线"/>
        <family val="2"/>
        <scheme val="minor"/>
      </rPr>
      <t>实质性程序索引号按循环从</t>
    </r>
    <r>
      <rPr>
        <sz val="12"/>
        <rFont val="Arial Narrow"/>
        <family val="2"/>
      </rPr>
      <t>“D”</t>
    </r>
    <r>
      <rPr>
        <sz val="11"/>
        <color theme="1"/>
        <rFont val="等线"/>
        <family val="2"/>
        <scheme val="minor"/>
      </rPr>
      <t>到</t>
    </r>
    <r>
      <rPr>
        <sz val="12"/>
        <rFont val="Arial Narrow"/>
        <family val="2"/>
      </rPr>
      <t>“N”,</t>
    </r>
    <r>
      <rPr>
        <sz val="11"/>
        <color theme="1"/>
        <rFont val="等线"/>
        <family val="2"/>
        <scheme val="minor"/>
      </rPr>
      <t>循环内账户以顺序号排列，模板中底稿索引号按账户顺序</t>
    </r>
    <r>
      <rPr>
        <sz val="12"/>
        <rFont val="Arial Narrow"/>
        <family val="2"/>
      </rPr>
      <t>+</t>
    </r>
    <r>
      <rPr>
        <sz val="11"/>
        <color theme="1"/>
        <rFont val="等线"/>
        <family val="2"/>
        <scheme val="minor"/>
      </rPr>
      <t>自然数顺序（即模板中索引号按二级自然顺序排列，如</t>
    </r>
    <r>
      <rPr>
        <sz val="12"/>
        <rFont val="Arial Narrow"/>
        <family val="2"/>
      </rPr>
      <t>D1-1</t>
    </r>
    <r>
      <rPr>
        <sz val="11"/>
        <color theme="1"/>
        <rFont val="等线"/>
        <family val="2"/>
        <scheme val="minor"/>
      </rPr>
      <t>、</t>
    </r>
    <r>
      <rPr>
        <sz val="12"/>
        <rFont val="Arial Narrow"/>
        <family val="2"/>
      </rPr>
      <t>D1-2</t>
    </r>
    <r>
      <rPr>
        <sz val="11"/>
        <color theme="1"/>
        <rFont val="等线"/>
        <family val="2"/>
        <scheme val="minor"/>
      </rPr>
      <t>、</t>
    </r>
    <r>
      <rPr>
        <sz val="12"/>
        <rFont val="Arial Narrow"/>
        <family val="2"/>
      </rPr>
      <t>D1-3</t>
    </r>
    <r>
      <rPr>
        <sz val="11"/>
        <color theme="1"/>
        <rFont val="等线"/>
        <family val="2"/>
        <scheme val="minor"/>
      </rPr>
      <t>、</t>
    </r>
    <r>
      <rPr>
        <sz val="12"/>
        <rFont val="Arial Narrow"/>
        <family val="2"/>
      </rPr>
      <t>……D1-N</t>
    </r>
    <r>
      <rPr>
        <sz val="11"/>
        <color theme="1"/>
        <rFont val="等线"/>
        <family val="2"/>
        <scheme val="minor"/>
      </rPr>
      <t>）。</t>
    </r>
    <phoneticPr fontId="21" type="noConversion"/>
  </si>
  <si>
    <t>提示：</t>
    <phoneticPr fontId="21" type="noConversion"/>
  </si>
  <si>
    <t>根据《中国注册会计师审计准则问题解答第18号——识别和应对第三方配合实施财务舞弊》：</t>
    <phoneticPr fontId="21" type="noConversion"/>
  </si>
  <si>
    <t>关注第三方供应商虚增或虚减原材料采购单价，套取资金支付账外成本费用，延迟或提前确认费用、第三方代为承担成本费用</t>
    <phoneticPr fontId="21" type="noConversion"/>
  </si>
  <si>
    <t>根据《中国注册会计师审计准则问题解答第18号——识别和应对第三方配合实施财务舞弊》：</t>
    <phoneticPr fontId="21" type="noConversion"/>
  </si>
  <si>
    <t>提示：</t>
    <phoneticPr fontId="6" type="noConversion"/>
  </si>
  <si>
    <r>
      <rPr>
        <sz val="10"/>
        <color rgb="FF0000FF"/>
        <rFont val="宋体"/>
        <family val="3"/>
        <charset val="134"/>
      </rPr>
      <t>相比企业而言，个人或个体工商户更可能配合被审计单位实施财务舞弊。但不能因为第三方属于特定群体（如国企），就认为不会配合被审计单位实施财务舞弊。</t>
    </r>
    <phoneticPr fontId="6" type="noConversion"/>
  </si>
  <si>
    <t>是否同时为客户（含同一实际控制人）</t>
    <phoneticPr fontId="6" type="noConversion"/>
  </si>
  <si>
    <r>
      <t>1</t>
    </r>
    <r>
      <rPr>
        <sz val="10"/>
        <color rgb="FF0000FF"/>
        <rFont val="宋体"/>
        <family val="3"/>
        <charset val="134"/>
      </rPr>
      <t>、关注是否存在第三方供应商配合舞弊，根据《中国注册会计师审计准则问题解答第</t>
    </r>
    <r>
      <rPr>
        <sz val="10"/>
        <color rgb="FF0000FF"/>
        <rFont val="Arial Narrow"/>
        <family val="2"/>
      </rPr>
      <t>18</t>
    </r>
    <r>
      <rPr>
        <sz val="10"/>
        <color rgb="FF0000FF"/>
        <rFont val="宋体"/>
        <family val="3"/>
        <charset val="134"/>
      </rPr>
      <t>号</t>
    </r>
    <r>
      <rPr>
        <sz val="10"/>
        <color rgb="FF0000FF"/>
        <rFont val="Arial Narrow"/>
        <family val="2"/>
      </rPr>
      <t>——</t>
    </r>
    <r>
      <rPr>
        <sz val="10"/>
        <color rgb="FF0000FF"/>
        <rFont val="宋体"/>
        <family val="3"/>
        <charset val="134"/>
      </rPr>
      <t>识别和应对第三方配合实施财务舞弊》，配合实施财务舞弊的第三方可能具有的特征举例如下：</t>
    </r>
    <phoneticPr fontId="6" type="noConversion"/>
  </si>
  <si>
    <r>
      <rPr>
        <sz val="10"/>
        <color rgb="FF0000FF"/>
        <rFont val="宋体"/>
        <family val="3"/>
        <charset val="134"/>
      </rPr>
      <t>（</t>
    </r>
    <r>
      <rPr>
        <sz val="10"/>
        <color rgb="FF0000FF"/>
        <rFont val="Arial Narrow"/>
        <family val="2"/>
      </rPr>
      <t>1</t>
    </r>
    <r>
      <rPr>
        <sz val="10"/>
        <color rgb="FF0000FF"/>
        <rFont val="宋体"/>
        <family val="3"/>
        <charset val="134"/>
      </rPr>
      <t>）经营时间较短。</t>
    </r>
    <phoneticPr fontId="6" type="noConversion"/>
  </si>
  <si>
    <r>
      <rPr>
        <sz val="10"/>
        <color rgb="FF0000FF"/>
        <rFont val="宋体"/>
        <family val="3"/>
        <charset val="134"/>
      </rPr>
      <t>（</t>
    </r>
    <r>
      <rPr>
        <sz val="10"/>
        <color rgb="FF0000FF"/>
        <rFont val="Arial Narrow"/>
        <family val="2"/>
      </rPr>
      <t>2</t>
    </r>
    <r>
      <rPr>
        <sz val="10"/>
        <color rgb="FF0000FF"/>
        <rFont val="宋体"/>
        <family val="3"/>
        <charset val="134"/>
      </rPr>
      <t>）缴纳社保人数较少。</t>
    </r>
    <phoneticPr fontId="6" type="noConversion"/>
  </si>
  <si>
    <r>
      <rPr>
        <sz val="10"/>
        <color rgb="FF0000FF"/>
        <rFont val="宋体"/>
        <family val="3"/>
        <charset val="134"/>
      </rPr>
      <t>（</t>
    </r>
    <r>
      <rPr>
        <sz val="10"/>
        <color rgb="FF0000FF"/>
        <rFont val="Arial Narrow"/>
        <family val="2"/>
      </rPr>
      <t>3</t>
    </r>
    <r>
      <rPr>
        <sz val="10"/>
        <color rgb="FF0000FF"/>
        <rFont val="宋体"/>
        <family val="3"/>
        <charset val="134"/>
      </rPr>
      <t>）为个人或个体工商户。</t>
    </r>
    <phoneticPr fontId="6" type="noConversion"/>
  </si>
  <si>
    <r>
      <rPr>
        <sz val="10"/>
        <color rgb="FF0000FF"/>
        <rFont val="宋体"/>
        <family val="3"/>
        <charset val="134"/>
      </rPr>
      <t>（</t>
    </r>
    <r>
      <rPr>
        <sz val="10"/>
        <color rgb="FF0000FF"/>
        <rFont val="Arial Narrow"/>
        <family val="2"/>
      </rPr>
      <t>4</t>
    </r>
    <r>
      <rPr>
        <sz val="10"/>
        <color rgb="FF0000FF"/>
        <rFont val="宋体"/>
        <family val="3"/>
        <charset val="134"/>
      </rPr>
      <t>）注册资本与交易规模不匹配。</t>
    </r>
    <phoneticPr fontId="6" type="noConversion"/>
  </si>
  <si>
    <r>
      <rPr>
        <sz val="10"/>
        <color rgb="FF0000FF"/>
        <rFont val="宋体"/>
        <family val="3"/>
        <charset val="134"/>
      </rPr>
      <t>（</t>
    </r>
    <r>
      <rPr>
        <sz val="10"/>
        <color rgb="FF0000FF"/>
        <rFont val="Arial Narrow"/>
        <family val="2"/>
      </rPr>
      <t>5</t>
    </r>
    <r>
      <rPr>
        <sz val="10"/>
        <color rgb="FF0000FF"/>
        <rFont val="宋体"/>
        <family val="3"/>
        <charset val="134"/>
      </rPr>
      <t>）交易规模与第三方所处行业状况不匹配。</t>
    </r>
    <phoneticPr fontId="6" type="noConversion"/>
  </si>
  <si>
    <r>
      <rPr>
        <sz val="10"/>
        <color rgb="FF0000FF"/>
        <rFont val="宋体"/>
        <family val="3"/>
        <charset val="134"/>
      </rPr>
      <t>（</t>
    </r>
    <r>
      <rPr>
        <sz val="10"/>
        <color rgb="FF0000FF"/>
        <rFont val="Arial Narrow"/>
        <family val="2"/>
      </rPr>
      <t>6</t>
    </r>
    <r>
      <rPr>
        <sz val="10"/>
        <color rgb="FF0000FF"/>
        <rFont val="宋体"/>
        <family val="3"/>
        <charset val="134"/>
      </rPr>
      <t>）经营范围与交易性质不匹配。</t>
    </r>
    <phoneticPr fontId="6" type="noConversion"/>
  </si>
  <si>
    <r>
      <rPr>
        <sz val="10"/>
        <color rgb="FF0000FF"/>
        <rFont val="宋体"/>
        <family val="3"/>
        <charset val="134"/>
      </rPr>
      <t>（</t>
    </r>
    <r>
      <rPr>
        <sz val="10"/>
        <color rgb="FF0000FF"/>
        <rFont val="Arial Narrow"/>
        <family val="2"/>
      </rPr>
      <t>7</t>
    </r>
    <r>
      <rPr>
        <sz val="10"/>
        <color rgb="FF0000FF"/>
        <rFont val="宋体"/>
        <family val="3"/>
        <charset val="134"/>
      </rPr>
      <t>）注册地址与被审计单位地址较为接近。</t>
    </r>
    <phoneticPr fontId="6" type="noConversion"/>
  </si>
  <si>
    <r>
      <rPr>
        <sz val="10"/>
        <color rgb="FF0000FF"/>
        <rFont val="宋体"/>
        <family val="3"/>
        <charset val="134"/>
      </rPr>
      <t>（</t>
    </r>
    <r>
      <rPr>
        <sz val="10"/>
        <color rgb="FF0000FF"/>
        <rFont val="Arial Narrow"/>
        <family val="2"/>
      </rPr>
      <t>8</t>
    </r>
    <r>
      <rPr>
        <sz val="10"/>
        <color rgb="FF0000FF"/>
        <rFont val="宋体"/>
        <family val="3"/>
        <charset val="134"/>
      </rPr>
      <t>）不同第三方（如客户和供应商）的工商登记信息相同或相近，如股东名称、董监高人员、注册地址、联系人和联系方式等。</t>
    </r>
    <phoneticPr fontId="6" type="noConversion"/>
  </si>
  <si>
    <r>
      <rPr>
        <sz val="10"/>
        <color rgb="FF0000FF"/>
        <rFont val="宋体"/>
        <family val="3"/>
        <charset val="134"/>
      </rPr>
      <t>（</t>
    </r>
    <r>
      <rPr>
        <sz val="10"/>
        <color rgb="FF0000FF"/>
        <rFont val="Arial Narrow"/>
        <family val="2"/>
      </rPr>
      <t>9</t>
    </r>
    <r>
      <rPr>
        <sz val="10"/>
        <color rgb="FF0000FF"/>
        <rFont val="宋体"/>
        <family val="3"/>
        <charset val="134"/>
      </rPr>
      <t>）既是客户又是供应商，或者虽然并非同一客户和供应商，但受同一实际控制人控制。</t>
    </r>
    <phoneticPr fontId="6" type="noConversion"/>
  </si>
  <si>
    <r>
      <rPr>
        <sz val="10"/>
        <color rgb="FF0000FF"/>
        <rFont val="宋体"/>
        <family val="3"/>
        <charset val="134"/>
      </rPr>
      <t>（</t>
    </r>
    <r>
      <rPr>
        <sz val="10"/>
        <color rgb="FF0000FF"/>
        <rFont val="Arial Narrow"/>
        <family val="2"/>
      </rPr>
      <t>10</t>
    </r>
    <r>
      <rPr>
        <sz val="10"/>
        <color rgb="FF0000FF"/>
        <rFont val="宋体"/>
        <family val="3"/>
        <charset val="134"/>
      </rPr>
      <t>）对被审计单位存在重大依赖，如被审计单位是其主要客户。</t>
    </r>
    <phoneticPr fontId="6" type="noConversion"/>
  </si>
  <si>
    <r>
      <rPr>
        <sz val="10"/>
        <color rgb="FF0000FF"/>
        <rFont val="宋体"/>
        <family val="3"/>
        <charset val="134"/>
      </rPr>
      <t>（</t>
    </r>
    <r>
      <rPr>
        <sz val="10"/>
        <color rgb="FF0000FF"/>
        <rFont val="Arial Narrow"/>
        <family val="2"/>
      </rPr>
      <t>11</t>
    </r>
    <r>
      <rPr>
        <sz val="10"/>
        <color rgb="FF0000FF"/>
        <rFont val="宋体"/>
        <family val="3"/>
        <charset val="134"/>
      </rPr>
      <t>）被审计单位向其销售的规模与其需求不匹配。</t>
    </r>
    <phoneticPr fontId="6" type="noConversion"/>
  </si>
  <si>
    <r>
      <rPr>
        <sz val="10"/>
        <color rgb="FF0000FF"/>
        <rFont val="宋体"/>
        <family val="3"/>
        <charset val="134"/>
      </rPr>
      <t>（</t>
    </r>
    <r>
      <rPr>
        <sz val="10"/>
        <color rgb="FF0000FF"/>
        <rFont val="Arial Narrow"/>
        <family val="2"/>
      </rPr>
      <t>12</t>
    </r>
    <r>
      <rPr>
        <sz val="10"/>
        <color rgb="FF0000FF"/>
        <rFont val="宋体"/>
        <family val="3"/>
        <charset val="134"/>
      </rPr>
      <t>）在连续审计期间，对注册会计师实施的常规审计程序配合度持续较高，并都能提供正面的审计证据，如在连续三年审计期间第三方均能提供与函证信息相符的询证函回函。</t>
    </r>
    <phoneticPr fontId="6" type="noConversion"/>
  </si>
  <si>
    <r>
      <rPr>
        <sz val="10"/>
        <color rgb="FF0000FF"/>
        <rFont val="宋体"/>
        <family val="3"/>
        <charset val="134"/>
      </rPr>
      <t>（</t>
    </r>
    <r>
      <rPr>
        <sz val="10"/>
        <color rgb="FF0000FF"/>
        <rFont val="Arial Narrow"/>
        <family val="2"/>
      </rPr>
      <t>13</t>
    </r>
    <r>
      <rPr>
        <sz val="10"/>
        <color rgb="FF0000FF"/>
        <rFont val="宋体"/>
        <family val="3"/>
        <charset val="134"/>
      </rPr>
      <t>）曾经配合其他方实施财务舞弊。</t>
    </r>
    <phoneticPr fontId="6" type="noConversion"/>
  </si>
  <si>
    <r>
      <rPr>
        <sz val="10"/>
        <color rgb="FF0000FF"/>
        <rFont val="宋体"/>
        <family val="3"/>
        <charset val="134"/>
      </rPr>
      <t>（</t>
    </r>
    <r>
      <rPr>
        <sz val="10"/>
        <color rgb="FF0000FF"/>
        <rFont val="Arial Narrow"/>
        <family val="2"/>
      </rPr>
      <t>14</t>
    </r>
    <r>
      <rPr>
        <sz val="10"/>
        <color rgb="FF0000FF"/>
        <rFont val="宋体"/>
        <family val="3"/>
        <charset val="134"/>
      </rPr>
      <t>）法律意识淡薄，合规性较差，如近三年因违法违规经营受过行政处罚。</t>
    </r>
    <phoneticPr fontId="6" type="noConversion"/>
  </si>
  <si>
    <r>
      <rPr>
        <sz val="10"/>
        <color rgb="FF0000FF"/>
        <rFont val="宋体"/>
        <family val="3"/>
        <charset val="134"/>
      </rPr>
      <t>（</t>
    </r>
    <r>
      <rPr>
        <sz val="10"/>
        <color rgb="FF0000FF"/>
        <rFont val="Arial Narrow"/>
        <family val="2"/>
      </rPr>
      <t>15</t>
    </r>
    <r>
      <rPr>
        <sz val="10"/>
        <color rgb="FF0000FF"/>
        <rFont val="宋体"/>
        <family val="3"/>
        <charset val="134"/>
      </rPr>
      <t>）股东或关键管理人员与被审计单位或其相关人员存在特殊关系，例如，为被审计单位员工（或前员工）、被审计单位实际控制人或关键管理人员的亲属。</t>
    </r>
    <phoneticPr fontId="6" type="noConversion"/>
  </si>
  <si>
    <r>
      <rPr>
        <sz val="10"/>
        <color rgb="FF0000FF"/>
        <rFont val="宋体"/>
        <family val="3"/>
        <charset val="134"/>
      </rPr>
      <t>（</t>
    </r>
    <r>
      <rPr>
        <sz val="10"/>
        <color rgb="FF0000FF"/>
        <rFont val="Arial Narrow"/>
        <family val="2"/>
      </rPr>
      <t>16</t>
    </r>
    <r>
      <rPr>
        <sz val="10"/>
        <color rgb="FF0000FF"/>
        <rFont val="宋体"/>
        <family val="3"/>
        <charset val="134"/>
      </rPr>
      <t>）存在实现特定目的的需求，如第三方因考核、行业排名等原因有做大收入的需求。</t>
    </r>
    <phoneticPr fontId="6" type="noConversion"/>
  </si>
  <si>
    <r>
      <t>2</t>
    </r>
    <r>
      <rPr>
        <sz val="10"/>
        <color indexed="12"/>
        <rFont val="宋体"/>
        <family val="3"/>
        <charset val="134"/>
      </rPr>
      <t>、根据《中国注册会计师审计准则问题解答第</t>
    </r>
    <r>
      <rPr>
        <sz val="10"/>
        <color indexed="12"/>
        <rFont val="Arial Narrow"/>
        <family val="2"/>
      </rPr>
      <t>18</t>
    </r>
    <r>
      <rPr>
        <sz val="10"/>
        <color indexed="12"/>
        <rFont val="宋体"/>
        <family val="3"/>
        <charset val="134"/>
      </rPr>
      <t>号——识别和应对第三方配合实施财务舞弊》，可能存在第三方配合实施财务舞</t>
    </r>
    <r>
      <rPr>
        <sz val="10"/>
        <color indexed="12"/>
        <rFont val="Arial Narrow"/>
        <family val="2"/>
      </rPr>
      <t xml:space="preserve"> </t>
    </r>
    <r>
      <rPr>
        <sz val="10"/>
        <color indexed="12"/>
        <rFont val="宋体"/>
        <family val="3"/>
        <charset val="134"/>
      </rPr>
      <t>弊的迹象还包括：</t>
    </r>
    <phoneticPr fontId="6" type="noConversion"/>
  </si>
  <si>
    <r>
      <rPr>
        <sz val="10"/>
        <color indexed="12"/>
        <rFont val="宋体"/>
        <family val="3"/>
        <charset val="134"/>
      </rPr>
      <t>（</t>
    </r>
    <r>
      <rPr>
        <sz val="10"/>
        <color indexed="12"/>
        <rFont val="Arial Narrow"/>
        <family val="2"/>
      </rPr>
      <t>1</t>
    </r>
    <r>
      <rPr>
        <sz val="10"/>
        <color indexed="12"/>
        <rFont val="宋体"/>
        <family val="3"/>
        <charset val="134"/>
      </rPr>
      <t>）被审计单位与不符合其规定条件的第三方发生交易，且无合理理由。例如，被审计单位针对进入供应商名录的企业设定了注册资本下限，但仍与低于注册资本下限的第三方发生了交易。</t>
    </r>
    <phoneticPr fontId="6" type="noConversion"/>
  </si>
  <si>
    <r>
      <rPr>
        <sz val="10"/>
        <color rgb="FF0000FF"/>
        <rFont val="宋体"/>
        <family val="3"/>
        <charset val="134"/>
      </rPr>
      <t>（</t>
    </r>
    <r>
      <rPr>
        <sz val="10"/>
        <color rgb="FF0000FF"/>
        <rFont val="Arial Narrow"/>
        <family val="2"/>
      </rPr>
      <t>2</t>
    </r>
    <r>
      <rPr>
        <sz val="10"/>
        <color rgb="FF0000FF"/>
        <rFont val="宋体"/>
        <family val="3"/>
        <charset val="134"/>
      </rPr>
      <t>）交易价格、交易方式或合同条款明显不同于被审计单位与其他方的交易。</t>
    </r>
    <phoneticPr fontId="6" type="noConversion"/>
  </si>
  <si>
    <r>
      <rPr>
        <sz val="10"/>
        <color rgb="FF0000FF"/>
        <rFont val="宋体"/>
        <family val="3"/>
        <charset val="134"/>
      </rPr>
      <t>（</t>
    </r>
    <r>
      <rPr>
        <sz val="10"/>
        <color rgb="FF0000FF"/>
        <rFont val="Arial Narrow"/>
        <family val="2"/>
      </rPr>
      <t>3</t>
    </r>
    <r>
      <rPr>
        <sz val="10"/>
        <color rgb="FF0000FF"/>
        <rFont val="宋体"/>
        <family val="3"/>
        <charset val="134"/>
      </rPr>
      <t>）交易的商业逻辑不合理，或不存在商业实质。</t>
    </r>
    <phoneticPr fontId="6" type="noConversion"/>
  </si>
  <si>
    <r>
      <rPr>
        <sz val="10"/>
        <color rgb="FF0000FF"/>
        <rFont val="宋体"/>
        <family val="3"/>
        <charset val="134"/>
      </rPr>
      <t>（</t>
    </r>
    <r>
      <rPr>
        <sz val="10"/>
        <color rgb="FF0000FF"/>
        <rFont val="Arial Narrow"/>
        <family val="2"/>
      </rPr>
      <t>4</t>
    </r>
    <r>
      <rPr>
        <sz val="10"/>
        <color rgb="FF0000FF"/>
        <rFont val="宋体"/>
        <family val="3"/>
        <charset val="134"/>
      </rPr>
      <t>）交易发生时间较为敏感。例如临近期末、业绩承诺期。</t>
    </r>
    <phoneticPr fontId="6" type="noConversion"/>
  </si>
  <si>
    <r>
      <rPr>
        <sz val="10"/>
        <color rgb="FF0000FF"/>
        <rFont val="宋体"/>
        <family val="3"/>
        <charset val="134"/>
      </rPr>
      <t>（</t>
    </r>
    <r>
      <rPr>
        <sz val="10"/>
        <color rgb="FF0000FF"/>
        <rFont val="Arial Narrow"/>
        <family val="2"/>
      </rPr>
      <t>5</t>
    </r>
    <r>
      <rPr>
        <sz val="10"/>
        <color rgb="FF0000FF"/>
        <rFont val="宋体"/>
        <family val="3"/>
        <charset val="134"/>
      </rPr>
      <t>）第三方对函证信息有误的询证函作出与函证信息相符的回函，或对前后两次函证信息有差异的询证函均作出信息相符的回函。例如，注册会计师向被审计单位某客户寄发了销售金额填列有误的询证函，但该客户向注册会计师回复函证信息相符。</t>
    </r>
    <phoneticPr fontId="6" type="noConversion"/>
  </si>
  <si>
    <r>
      <rPr>
        <sz val="10"/>
        <color rgb="FF0000FF"/>
        <rFont val="宋体"/>
        <family val="3"/>
        <charset val="134"/>
      </rPr>
      <t>（</t>
    </r>
    <r>
      <rPr>
        <sz val="10"/>
        <color rgb="FF0000FF"/>
        <rFont val="Arial Narrow"/>
        <family val="2"/>
      </rPr>
      <t>6</t>
    </r>
    <r>
      <rPr>
        <sz val="10"/>
        <color rgb="FF0000FF"/>
        <rFont val="宋体"/>
        <family val="3"/>
        <charset val="134"/>
      </rPr>
      <t>）在确定实地走访对象时，被审计单位刻意引导注册会计师将某客户或供应商排除或纳入走访范围。</t>
    </r>
    <phoneticPr fontId="6" type="noConversion"/>
  </si>
  <si>
    <r>
      <rPr>
        <sz val="10"/>
        <color rgb="FF0000FF"/>
        <rFont val="宋体"/>
        <family val="3"/>
        <charset val="134"/>
      </rPr>
      <t>（</t>
    </r>
    <r>
      <rPr>
        <sz val="10"/>
        <color rgb="FF0000FF"/>
        <rFont val="Arial Narrow"/>
        <family val="2"/>
      </rPr>
      <t>8</t>
    </r>
    <r>
      <rPr>
        <sz val="10"/>
        <color rgb="FF0000FF"/>
        <rFont val="宋体"/>
        <family val="3"/>
        <charset val="134"/>
      </rPr>
      <t>）第三方拒绝确认注册会计师要求其确认的某些事项。例如，注册会计师要求被审计单位客户确认不存在除销售合同之外的</t>
    </r>
    <r>
      <rPr>
        <sz val="10"/>
        <color rgb="FF0000FF"/>
        <rFont val="Arial Narrow"/>
        <family val="2"/>
      </rPr>
      <t>“</t>
    </r>
    <r>
      <rPr>
        <sz val="10"/>
        <color rgb="FF0000FF"/>
        <rFont val="宋体"/>
        <family val="3"/>
        <charset val="134"/>
      </rPr>
      <t>抽屉协议</t>
    </r>
    <r>
      <rPr>
        <sz val="10"/>
        <color rgb="FF0000FF"/>
        <rFont val="Arial Narrow"/>
        <family val="2"/>
      </rPr>
      <t>”</t>
    </r>
    <r>
      <rPr>
        <sz val="10"/>
        <color rgb="FF0000FF"/>
        <rFont val="宋体"/>
        <family val="3"/>
        <charset val="134"/>
      </rPr>
      <t>，该客户拒绝确认。</t>
    </r>
    <phoneticPr fontId="6" type="noConversion"/>
  </si>
  <si>
    <r>
      <rPr>
        <sz val="10"/>
        <color rgb="FF0000FF"/>
        <rFont val="宋体"/>
        <family val="3"/>
        <charset val="134"/>
      </rPr>
      <t>（</t>
    </r>
    <r>
      <rPr>
        <sz val="10"/>
        <color rgb="FF0000FF"/>
        <rFont val="Arial Narrow"/>
        <family val="2"/>
      </rPr>
      <t>7</t>
    </r>
    <r>
      <rPr>
        <sz val="10"/>
        <color rgb="FF0000FF"/>
        <rFont val="宋体"/>
        <family val="3"/>
        <charset val="134"/>
      </rPr>
      <t>）在询问第三方人员时，存在以下情况：①被审计单位坚持派员陪同参与；②多名或不同层级的被询问人员对相同或类似问题，作出不一致或相矛盾的回答；③被询问人员存在异常情况，例如，神情紧张，回复含糊不清、前后矛盾、与注册会计师了解到的情况不一致，身体语言表现出较大精神压力等。</t>
    </r>
    <phoneticPr fontId="6" type="noConversion"/>
  </si>
  <si>
    <t>（1）选择多名或不同层级的人员访谈相同或类似问题，进行相互印证。</t>
    <phoneticPr fontId="6" type="noConversion"/>
  </si>
  <si>
    <t>（2）核实被询问人员是否与被审计单位存在特殊关系，如是否为被审计单位的前员工，或被审计单位的关联方。</t>
    <phoneticPr fontId="6" type="noConversion"/>
  </si>
  <si>
    <t>根据《中国注册会计师审计准则问题解答第18号——识别和应对第三方配合实施财务舞弊》，如果已经识别出走访对象存在可能配合被审计单位实施财务舞弊的迹象，</t>
    <phoneticPr fontId="6" type="noConversion"/>
  </si>
  <si>
    <t>附：1.供应商盖章确认的工商登记证明文件、……</t>
    <phoneticPr fontId="6" type="noConversion"/>
  </si>
  <si>
    <t>XXX公司（盖章）</t>
    <phoneticPr fontId="6" type="noConversion"/>
  </si>
  <si>
    <t>“本公司向XX会计师事务所提供的信息和资料真实、完整，如存在虚假信息 或重大遗漏，本公司愿意承担一切法律责任”。</t>
    <phoneticPr fontId="6" type="noConversion"/>
  </si>
  <si>
    <t>2.跟函回函</t>
    <phoneticPr fontId="6" type="noConversion"/>
  </si>
  <si>
    <t>3.XXX账户资金流水</t>
    <phoneticPr fontId="6" type="noConversion"/>
  </si>
  <si>
    <t xml:space="preserve">1.注册会计师需要更有针对性地计划实地走访工作以及设计访谈提纲，安排职业敏感性更强的项目组成员实施实地走访，在访谈前需要注意对访谈信息保密，并考虑在进行实地走访时实施以下程序： </t>
    <phoneticPr fontId="6" type="noConversion"/>
  </si>
  <si>
    <t>2.针对识别出的第三方配合实施财务舞弊的风险，可以考虑采用跟函方式进行函证，观察函证处理过程，评估回函可靠性。</t>
    <phoneticPr fontId="6" type="noConversion"/>
  </si>
  <si>
    <t>真实性和完整性进行承诺，并加盖供应商公章。（所有被访谈的供应商可参照执行要求提供承诺并在访谈记录加盖公章）</t>
    <phoneticPr fontId="6" type="noConversion"/>
  </si>
  <si>
    <t>如果识别出供应商存在第三方配合实施财务舞弊的风险，则应要求供应商就其向注册会计师提供的资料、信息以及作出的陈述的</t>
    <phoneticPr fontId="6" type="noConversion"/>
  </si>
  <si>
    <t>（3）对于被审计单位的供应商，关注其产成品中是否有被审计单位采购的产品。</t>
    <phoneticPr fontId="6" type="noConversion"/>
  </si>
  <si>
    <t>如果识别出被审计单位采购真实性存在重大异常情况，且通过常规审计程序无法获取充分、适当的审计证据时，考虑实施“延伸检查”程序，可以实施的“延伸检查”程序包括不限于：
（1）利用企业信息查询工具查询公司注册资本、地址、成立时间、经营范围、法定代表人、股东、最终控制人等，了解公司经营范围，判断客户所购产品是否具有合理用途、是否存在关联关系、向供应商采购金额是否与供应商规模匹配等。
（2）现场走访供应商的办公场所、经营场所，访谈客户关键经办人员，或电话访谈关键经办人员。核实被访谈对象对象身份的真实性和适当性，根据实际情况设计访谈计划和访谈提纲，观察对方生产经营情况、供应商产成品中是否有被审计单位采购的产品，判断其与被审计单位之间的交易规模是否和其生产经营规模匹配；
（3）了解相关供应商向被审计单位进行销售的商业理由、销售产品的来源、供应商与被审计单位是否存在除购销交易以外的资金往来等。
（4）当注意到可能存在关联方（例如被审计单位控股股东、实际控制人、关键管理人员）或者第三方供应商配合被审计单位虚构采购的迹象时，考虑获取并检查相关关联方或者供应商的银行账户资金流水、关注是否存在与被审计单位相关供应商、客户或关联方的异常资金往来。</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</si>
</sst>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1" formatCode="_ * #,##0_ ;_ * \-#,##0_ ;_ * &quot;-&quot;_ ;_ @_ "/>
    <numFmt numFmtId="43" formatCode="_ * #,##0.00_ ;_ * \-#,##0.00_ ;_ * &quot;-&quot;??_ ;_ @_ "/>
    <numFmt numFmtId="176" formatCode="#,##0.00_ "/>
    <numFmt numFmtId="177" formatCode="_ [$€-2]* #,##0.00_ ;_ [$€-2]* \-#,##0.00_ ;_ [$€-2]* &quot;-&quot;??_ "/>
    <numFmt numFmtId="178" formatCode="yyyy&quot;年&quot;m&quot;月&quot;d&quot;日&quot;;@"/>
    <numFmt numFmtId="179" formatCode="0.00_ "/>
    <numFmt numFmtId="180" formatCode="_([$€-2]* #,##0.00_);_([$€-2]* \(#,##0.00\);_([$€-2]* &quot;-&quot;??_)"/>
  </numFmts>
  <fonts count="80">
    <font>
      <sz val="11"/>
      <color theme="1"/>
      <name val="等线"/>
      <family val="2"/>
      <scheme val="minor"/>
    </font>
    <font>
      <sz val="11"/>
      <color theme="1"/>
      <name val="等线"/>
      <family val="2"/>
      <charset val="134"/>
      <scheme val="minor"/>
    </font>
    <font>
      <sz val="11"/>
      <color theme="1"/>
      <name val="等线"/>
      <family val="2"/>
      <scheme val="minor"/>
    </font>
    <font>
      <sz val="11"/>
      <color theme="1"/>
      <name val="等线"/>
      <family val="2"/>
      <charset val="134"/>
      <scheme val="minor"/>
    </font>
    <font>
      <sz val="12"/>
      <name val="宋体"/>
      <family val="3"/>
      <charset val="134"/>
    </font>
    <font>
      <b/>
      <sz val="10"/>
      <name val="宋体"/>
      <family val="3"/>
      <charset val="134"/>
    </font>
    <font>
      <sz val="9"/>
      <name val="等线"/>
      <family val="3"/>
      <charset val="134"/>
      <scheme val="minor"/>
    </font>
    <font>
      <b/>
      <sz val="10"/>
      <name val="Arial Narrow"/>
      <family val="2"/>
    </font>
    <font>
      <sz val="12"/>
      <name val="Arial Narrow"/>
      <family val="2"/>
    </font>
    <font>
      <b/>
      <sz val="12"/>
      <name val="宋体"/>
      <family val="3"/>
      <charset val="134"/>
    </font>
    <font>
      <b/>
      <sz val="12"/>
      <name val="Arial Narrow"/>
      <family val="2"/>
    </font>
    <font>
      <sz val="10"/>
      <name val="宋体"/>
      <family val="3"/>
      <charset val="134"/>
    </font>
    <font>
      <sz val="10"/>
      <name val="Arial Narrow"/>
      <family val="2"/>
    </font>
    <font>
      <sz val="11"/>
      <name val="Arial Narrow"/>
      <family val="2"/>
    </font>
    <font>
      <u val="singleAccounting"/>
      <sz val="10"/>
      <name val="Arial Narrow"/>
      <family val="2"/>
    </font>
    <font>
      <b/>
      <sz val="10"/>
      <color indexed="8"/>
      <name val="Arial Narrow"/>
      <family val="2"/>
    </font>
    <font>
      <b/>
      <sz val="10"/>
      <color indexed="8"/>
      <name val="宋体"/>
      <family val="3"/>
      <charset val="134"/>
    </font>
    <font>
      <sz val="10"/>
      <color indexed="8"/>
      <name val="宋体"/>
      <family val="3"/>
      <charset val="134"/>
    </font>
    <font>
      <sz val="11"/>
      <color theme="1"/>
      <name val="等线"/>
      <family val="3"/>
      <charset val="134"/>
      <scheme val="minor"/>
    </font>
    <font>
      <sz val="11"/>
      <name val="宋体"/>
      <family val="3"/>
      <charset val="134"/>
    </font>
    <font>
      <sz val="10"/>
      <color theme="1"/>
      <name val="宋体"/>
      <family val="3"/>
      <charset val="134"/>
    </font>
    <font>
      <sz val="9"/>
      <name val="宋体"/>
      <family val="3"/>
      <charset val="134"/>
    </font>
    <font>
      <sz val="9"/>
      <name val="等线"/>
      <family val="2"/>
      <charset val="134"/>
      <scheme val="minor"/>
    </font>
    <font>
      <b/>
      <sz val="10"/>
      <color theme="1"/>
      <name val="宋体"/>
      <family val="3"/>
      <charset val="134"/>
    </font>
    <font>
      <sz val="18"/>
      <color indexed="48"/>
      <name val="魏碑"/>
      <family val="3"/>
      <charset val="134"/>
    </font>
    <font>
      <b/>
      <sz val="10"/>
      <color indexed="9"/>
      <name val="宋体"/>
      <family val="3"/>
      <charset val="134"/>
    </font>
    <font>
      <b/>
      <sz val="12"/>
      <color rgb="FFFF0000"/>
      <name val="宋体"/>
      <family val="3"/>
      <charset val="134"/>
    </font>
    <font>
      <b/>
      <sz val="12"/>
      <color indexed="8"/>
      <name val="宋体"/>
      <family val="3"/>
      <charset val="134"/>
    </font>
    <font>
      <b/>
      <sz val="12"/>
      <color indexed="8"/>
      <name val="Arial Narrow"/>
      <family val="2"/>
    </font>
    <font>
      <sz val="10"/>
      <color indexed="8"/>
      <name val="Arial Narrow"/>
      <family val="2"/>
    </font>
    <font>
      <b/>
      <sz val="10"/>
      <color indexed="8"/>
      <name val="Times New Roman"/>
      <family val="1"/>
    </font>
    <font>
      <b/>
      <sz val="10"/>
      <color indexed="8"/>
      <name val="等线"/>
      <family val="3"/>
      <charset val="134"/>
      <scheme val="minor"/>
    </font>
    <font>
      <sz val="10"/>
      <color rgb="FFFF0000"/>
      <name val="Arial Narrow"/>
      <family val="2"/>
    </font>
    <font>
      <sz val="10"/>
      <color rgb="FFFF0000"/>
      <name val="宋体"/>
      <family val="3"/>
      <charset val="134"/>
    </font>
    <font>
      <b/>
      <sz val="10"/>
      <color rgb="FFFF0000"/>
      <name val="宋体"/>
      <family val="3"/>
      <charset val="134"/>
    </font>
    <font>
      <sz val="10"/>
      <color theme="1"/>
      <name val="Arial Narrow"/>
      <family val="2"/>
    </font>
    <font>
      <sz val="10"/>
      <color rgb="FF000000"/>
      <name val="宋体"/>
      <family val="3"/>
      <charset val="134"/>
    </font>
    <font>
      <sz val="10"/>
      <color indexed="12"/>
      <name val="Arial Narrow"/>
      <family val="2"/>
    </font>
    <font>
      <sz val="10"/>
      <color indexed="12"/>
      <name val="宋体"/>
      <family val="3"/>
      <charset val="134"/>
    </font>
    <font>
      <b/>
      <sz val="10"/>
      <color theme="1"/>
      <name val="Arial Narrow"/>
      <family val="2"/>
    </font>
    <font>
      <b/>
      <sz val="10"/>
      <color rgb="FFFF0000"/>
      <name val="Arial Narrow"/>
      <family val="2"/>
    </font>
    <font>
      <sz val="9"/>
      <color theme="1"/>
      <name val="Arial Narrow"/>
      <family val="2"/>
    </font>
    <font>
      <b/>
      <sz val="9"/>
      <color theme="1"/>
      <name val="Arial Narrow"/>
      <family val="2"/>
    </font>
    <font>
      <b/>
      <u val="singleAccounting"/>
      <sz val="10"/>
      <color indexed="8"/>
      <name val="Arial Narrow"/>
      <family val="2"/>
    </font>
    <font>
      <sz val="11"/>
      <color indexed="8"/>
      <name val="宋体"/>
      <family val="3"/>
      <charset val="134"/>
    </font>
    <font>
      <sz val="10"/>
      <color rgb="FF0000FF"/>
      <name val="Arial Narrow"/>
      <family val="2"/>
    </font>
    <font>
      <sz val="10"/>
      <color rgb="FF0000FF"/>
      <name val="宋体"/>
      <family val="3"/>
      <charset val="134"/>
    </font>
    <font>
      <sz val="10"/>
      <color rgb="FF0000FF"/>
      <name val="宋体"/>
      <family val="2"/>
      <charset val="134"/>
    </font>
    <font>
      <sz val="12"/>
      <name val="Times New Roman"/>
      <family val="1"/>
    </font>
    <font>
      <b/>
      <sz val="10"/>
      <color indexed="12"/>
      <name val="宋体"/>
      <family val="3"/>
      <charset val="134"/>
    </font>
    <font>
      <sz val="10"/>
      <color indexed="8"/>
      <name val="Arial"/>
      <family val="2"/>
    </font>
    <font>
      <sz val="10"/>
      <color indexed="10"/>
      <name val="Arial Narrow"/>
      <family val="2"/>
    </font>
    <font>
      <sz val="10"/>
      <color indexed="10"/>
      <name val="宋体"/>
      <family val="3"/>
      <charset val="134"/>
    </font>
    <font>
      <sz val="12"/>
      <color indexed="8"/>
      <name val="宋体"/>
      <family val="3"/>
      <charset val="134"/>
    </font>
    <font>
      <sz val="10"/>
      <color indexed="8"/>
      <name val="Times New Roman"/>
      <family val="1"/>
    </font>
    <font>
      <b/>
      <sz val="10"/>
      <color indexed="10"/>
      <name val="宋体"/>
      <family val="3"/>
      <charset val="134"/>
    </font>
    <font>
      <b/>
      <sz val="10"/>
      <color indexed="10"/>
      <name val="Arial Narrow"/>
      <family val="2"/>
    </font>
    <font>
      <b/>
      <sz val="14"/>
      <name val="宋体"/>
      <family val="3"/>
      <charset val="134"/>
    </font>
    <font>
      <b/>
      <sz val="14"/>
      <name val="Arial Narrow"/>
      <family val="2"/>
    </font>
    <font>
      <sz val="10"/>
      <name val="Arial"/>
      <family val="2"/>
    </font>
    <font>
      <b/>
      <u/>
      <sz val="10"/>
      <name val="Arial Narrow"/>
      <family val="2"/>
    </font>
    <font>
      <b/>
      <u/>
      <sz val="10"/>
      <name val="宋体"/>
      <family val="3"/>
      <charset val="134"/>
    </font>
    <font>
      <sz val="10"/>
      <color indexed="72"/>
      <name val="宋体"/>
      <family val="3"/>
      <charset val="134"/>
    </font>
    <font>
      <b/>
      <sz val="10"/>
      <color indexed="72"/>
      <name val="宋体"/>
      <family val="3"/>
      <charset val="134"/>
    </font>
    <font>
      <b/>
      <sz val="10"/>
      <color indexed="72"/>
      <name val="Arial Narrow"/>
      <family val="2"/>
    </font>
    <font>
      <sz val="10"/>
      <color indexed="72"/>
      <name val="Arial Narrow"/>
      <family val="2"/>
    </font>
    <font>
      <b/>
      <sz val="10"/>
      <color rgb="FF0000FF"/>
      <name val="宋体"/>
      <family val="3"/>
      <charset val="134"/>
    </font>
    <font>
      <sz val="12"/>
      <name val="Arial"/>
      <family val="2"/>
    </font>
    <font>
      <sz val="10.5"/>
      <name val="Arial"/>
      <family val="2"/>
    </font>
    <font>
      <u/>
      <sz val="12"/>
      <color indexed="12"/>
      <name val="宋体"/>
      <family val="3"/>
      <charset val="134"/>
    </font>
    <font>
      <b/>
      <sz val="14"/>
      <color indexed="8"/>
      <name val="宋体"/>
      <family val="3"/>
      <charset val="134"/>
    </font>
    <font>
      <b/>
      <sz val="14"/>
      <color indexed="8"/>
      <name val="Arial Narrow"/>
      <family val="2"/>
    </font>
    <font>
      <sz val="14"/>
      <name val="宋体"/>
      <family val="3"/>
      <charset val="134"/>
    </font>
    <font>
      <sz val="9"/>
      <color indexed="81"/>
      <name val="宋体"/>
      <family val="3"/>
      <charset val="134"/>
    </font>
    <font>
      <b/>
      <sz val="9"/>
      <color indexed="81"/>
      <name val="宋体"/>
      <family val="3"/>
      <charset val="134"/>
    </font>
    <font>
      <b/>
      <sz val="10"/>
      <color rgb="FF3333FF"/>
      <name val="宋体"/>
      <family val="3"/>
      <charset val="134"/>
    </font>
    <font>
      <b/>
      <sz val="10"/>
      <color rgb="FF3333FF"/>
      <name val="Arial Narrow"/>
      <family val="2"/>
    </font>
    <font>
      <b/>
      <sz val="10"/>
      <color rgb="FF0000FF"/>
      <name val="Arial Narrow"/>
      <family val="2"/>
    </font>
    <font>
      <sz val="11"/>
      <color rgb="FF0000FF"/>
      <name val="等线"/>
      <family val="2"/>
      <scheme val="minor"/>
    </font>
    <font>
      <sz val="11"/>
      <color rgb="FF0000FF"/>
      <name val="宋体"/>
      <family val="3"/>
      <charset val="134"/>
    </font>
  </fonts>
  <fills count="7">
    <fill>
      <patternFill patternType="none"/>
    </fill>
    <fill>
      <patternFill patternType="gray125"/>
    </fill>
    <fill>
      <patternFill patternType="solid">
        <fgColor rgb="FFE4DFEC"/>
        <bgColor indexed="64"/>
      </patternFill>
    </fill>
    <fill>
      <patternFill patternType="solid">
        <fgColor theme="0" tint="-0.249977111117893"/>
        <bgColor indexed="64"/>
      </patternFill>
    </fill>
    <fill>
      <patternFill patternType="solid">
        <fgColor theme="0"/>
        <bgColor indexed="64"/>
      </patternFill>
    </fill>
    <fill>
      <patternFill patternType="solid">
        <fgColor indexed="9"/>
        <bgColor indexed="64"/>
      </patternFill>
    </fill>
    <fill>
      <patternFill patternType="solid">
        <fgColor indexed="14"/>
        <bgColor indexed="64"/>
      </patternFill>
    </fill>
  </fills>
  <borders count="17">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indexed="64"/>
      </left>
      <right style="hair">
        <color indexed="64"/>
      </right>
      <top style="hair">
        <color indexed="64"/>
      </top>
      <bottom/>
      <diagonal/>
    </border>
    <border>
      <left/>
      <right/>
      <top style="hair">
        <color indexed="64"/>
      </top>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s>
  <cellStyleXfs count="50">
    <xf numFmtId="0" fontId="0" fillId="0" borderId="0"/>
    <xf numFmtId="0" fontId="4" fillId="0" borderId="0">
      <alignment vertical="center"/>
    </xf>
    <xf numFmtId="43" fontId="4" fillId="0" borderId="0" applyFont="0" applyFill="0" applyBorder="0" applyAlignment="0" applyProtection="0"/>
    <xf numFmtId="0" fontId="4" fillId="0" borderId="0">
      <protection locked="0"/>
    </xf>
    <xf numFmtId="43" fontId="18" fillId="0" borderId="0" applyFont="0" applyFill="0" applyBorder="0" applyAlignment="0" applyProtection="0">
      <alignment vertical="center"/>
    </xf>
    <xf numFmtId="9" fontId="4" fillId="0" borderId="0" applyFont="0" applyFill="0" applyBorder="0" applyAlignment="0" applyProtection="0"/>
    <xf numFmtId="40" fontId="11" fillId="0" borderId="0" applyFont="0" applyFill="0" applyBorder="0" applyAlignment="0" applyProtection="0"/>
    <xf numFmtId="43" fontId="4" fillId="0" borderId="0" applyFont="0" applyFill="0" applyBorder="0" applyAlignment="0" applyProtection="0"/>
    <xf numFmtId="0" fontId="3" fillId="0" borderId="0">
      <alignment vertical="center"/>
    </xf>
    <xf numFmtId="43" fontId="2" fillId="0" borderId="0" applyFont="0" applyFill="0" applyBorder="0" applyAlignment="0" applyProtection="0">
      <alignment vertical="center"/>
    </xf>
    <xf numFmtId="9" fontId="4"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xf numFmtId="9" fontId="3" fillId="0" borderId="0" applyFont="0" applyFill="0" applyBorder="0" applyAlignment="0" applyProtection="0">
      <alignment vertical="center"/>
    </xf>
    <xf numFmtId="43" fontId="18" fillId="0" borderId="0" applyFont="0" applyFill="0" applyBorder="0" applyAlignment="0" applyProtection="0">
      <alignment vertical="center"/>
    </xf>
    <xf numFmtId="0" fontId="4" fillId="0" borderId="0">
      <alignment vertical="center"/>
    </xf>
    <xf numFmtId="0" fontId="4" fillId="0" borderId="0"/>
    <xf numFmtId="43" fontId="2" fillId="0" borderId="0" applyFont="0" applyFill="0" applyBorder="0" applyAlignment="0" applyProtection="0">
      <alignment vertical="center"/>
    </xf>
    <xf numFmtId="9" fontId="2" fillId="0" borderId="0" applyFont="0" applyFill="0" applyBorder="0" applyAlignment="0" applyProtection="0">
      <alignment vertical="center"/>
    </xf>
    <xf numFmtId="41" fontId="4" fillId="0" borderId="0" applyFont="0" applyFill="0" applyBorder="0" applyAlignment="0" applyProtection="0"/>
    <xf numFmtId="0" fontId="4" fillId="0" borderId="0">
      <alignment vertical="center"/>
    </xf>
    <xf numFmtId="0" fontId="4" fillId="0" borderId="0"/>
    <xf numFmtId="0" fontId="44" fillId="0" borderId="0">
      <alignment vertical="center"/>
    </xf>
    <xf numFmtId="0" fontId="11" fillId="0" borderId="0"/>
    <xf numFmtId="0" fontId="48" fillId="0" borderId="0"/>
    <xf numFmtId="0" fontId="4" fillId="0" borderId="0" applyFill="0" applyBorder="0"/>
    <xf numFmtId="0" fontId="4" fillId="0" borderId="0">
      <alignment vertical="center"/>
    </xf>
    <xf numFmtId="0" fontId="4" fillId="0" borderId="0">
      <alignment vertical="center"/>
    </xf>
    <xf numFmtId="180" fontId="4" fillId="0" borderId="0">
      <protection locked="0"/>
    </xf>
    <xf numFmtId="180" fontId="4" fillId="0" borderId="0" applyFill="0" applyBorder="0"/>
    <xf numFmtId="180" fontId="4" fillId="0" borderId="0"/>
    <xf numFmtId="180" fontId="2" fillId="0" borderId="0"/>
    <xf numFmtId="180" fontId="50" fillId="0" borderId="0" applyNumberFormat="0" applyBorder="0">
      <alignment vertical="top"/>
      <protection locked="0"/>
    </xf>
    <xf numFmtId="180" fontId="1" fillId="0" borderId="0">
      <alignment vertical="center"/>
    </xf>
    <xf numFmtId="180" fontId="53" fillId="0" borderId="0" applyNumberFormat="0" applyBorder="0" applyAlignment="0">
      <alignment vertical="center"/>
      <protection locked="0"/>
    </xf>
    <xf numFmtId="180" fontId="54" fillId="0" borderId="0" applyNumberFormat="0" applyBorder="0" applyAlignment="0">
      <alignment vertical="center"/>
      <protection locked="0"/>
    </xf>
    <xf numFmtId="180" fontId="4" fillId="0" borderId="0">
      <alignment vertical="center"/>
    </xf>
    <xf numFmtId="180" fontId="4" fillId="0" borderId="0">
      <alignment vertical="center"/>
    </xf>
    <xf numFmtId="180" fontId="1" fillId="0" borderId="0">
      <alignment vertical="center"/>
    </xf>
    <xf numFmtId="0" fontId="4" fillId="0" borderId="0">
      <protection locked="0"/>
    </xf>
    <xf numFmtId="0" fontId="18" fillId="0" borderId="0">
      <alignment vertical="center"/>
    </xf>
    <xf numFmtId="180" fontId="1" fillId="0" borderId="0">
      <alignment vertical="center"/>
    </xf>
    <xf numFmtId="43" fontId="4" fillId="0" borderId="0" applyFont="0" applyFill="0" applyBorder="0" applyAlignment="0" applyProtection="0"/>
    <xf numFmtId="180" fontId="4" fillId="0" borderId="0">
      <alignment vertical="center"/>
    </xf>
    <xf numFmtId="0" fontId="62" fillId="0" borderId="0"/>
    <xf numFmtId="40" fontId="62" fillId="0" borderId="0" applyFont="0" applyFill="0" applyBorder="0" applyAlignment="0" applyProtection="0"/>
    <xf numFmtId="0" fontId="4" fillId="0" borderId="0"/>
    <xf numFmtId="0" fontId="53" fillId="0" borderId="0" applyNumberFormat="0" applyBorder="0" applyAlignment="0" applyProtection="0">
      <alignment vertical="center"/>
    </xf>
    <xf numFmtId="0" fontId="69" fillId="0" borderId="0" applyNumberFormat="0" applyFill="0" applyBorder="0" applyAlignment="0" applyProtection="0">
      <alignment vertical="top"/>
      <protection locked="0"/>
    </xf>
    <xf numFmtId="180" fontId="18" fillId="0" borderId="0">
      <alignment vertical="center"/>
    </xf>
  </cellStyleXfs>
  <cellXfs count="533">
    <xf numFmtId="0" fontId="0" fillId="0" borderId="0" xfId="0"/>
    <xf numFmtId="0" fontId="7" fillId="0" borderId="0" xfId="1" applyFont="1" applyAlignment="1">
      <alignment vertical="center"/>
    </xf>
    <xf numFmtId="0" fontId="8" fillId="0" borderId="0" xfId="1" applyFont="1">
      <alignment vertical="center"/>
    </xf>
    <xf numFmtId="0" fontId="10" fillId="0" borderId="0" xfId="1" applyFont="1" applyFill="1" applyBorder="1" applyAlignment="1">
      <alignment vertical="center"/>
    </xf>
    <xf numFmtId="0" fontId="8" fillId="0" borderId="0" xfId="1" applyFont="1" applyFill="1">
      <alignment vertical="center"/>
    </xf>
    <xf numFmtId="0" fontId="11" fillId="0" borderId="0" xfId="1" applyFont="1" applyFill="1" applyAlignment="1">
      <alignment vertical="center"/>
    </xf>
    <xf numFmtId="0" fontId="12" fillId="0" borderId="0" xfId="1" applyFont="1" applyFill="1" applyAlignment="1">
      <alignment vertical="center"/>
    </xf>
    <xf numFmtId="0" fontId="12" fillId="0" borderId="0" xfId="1" applyFont="1" applyFill="1" applyBorder="1" applyAlignment="1">
      <alignment vertical="center"/>
    </xf>
    <xf numFmtId="176" fontId="13" fillId="0" borderId="0" xfId="2" applyNumberFormat="1" applyFont="1" applyFill="1" applyAlignment="1">
      <alignment vertical="center"/>
    </xf>
    <xf numFmtId="0" fontId="14" fillId="0" borderId="0" xfId="1" applyFont="1" applyFill="1" applyBorder="1" applyAlignment="1">
      <alignment vertical="center"/>
    </xf>
    <xf numFmtId="0" fontId="4" fillId="0" borderId="0" xfId="3">
      <protection locked="0"/>
    </xf>
    <xf numFmtId="43" fontId="5" fillId="2" borderId="1" xfId="7" applyFont="1" applyFill="1" applyBorder="1" applyAlignment="1">
      <alignment horizontal="center" vertical="center" wrapText="1"/>
    </xf>
    <xf numFmtId="0" fontId="7" fillId="0" borderId="0" xfId="3" applyFont="1" applyBorder="1" applyAlignment="1">
      <alignment vertical="center"/>
      <protection locked="0"/>
    </xf>
    <xf numFmtId="0" fontId="11" fillId="0" borderId="0" xfId="3" applyFont="1">
      <protection locked="0"/>
    </xf>
    <xf numFmtId="0" fontId="5" fillId="0" borderId="0" xfId="3" applyFont="1" applyBorder="1" applyAlignment="1">
      <alignment vertical="center"/>
      <protection locked="0"/>
    </xf>
    <xf numFmtId="0" fontId="11" fillId="0" borderId="0" xfId="3" applyFont="1" applyBorder="1" applyAlignment="1">
      <alignment vertical="center"/>
      <protection locked="0"/>
    </xf>
    <xf numFmtId="0" fontId="15" fillId="0" borderId="0" xfId="3" applyFont="1" applyAlignment="1" applyProtection="1">
      <alignment vertical="center"/>
    </xf>
    <xf numFmtId="0" fontId="26" fillId="0" borderId="0" xfId="1" applyFont="1" applyFill="1" applyBorder="1" applyAlignment="1">
      <alignment vertical="center"/>
    </xf>
    <xf numFmtId="0" fontId="12" fillId="0" borderId="0" xfId="3" applyFont="1">
      <protection locked="0"/>
    </xf>
    <xf numFmtId="0" fontId="8" fillId="0" borderId="0" xfId="3" applyFont="1">
      <protection locked="0"/>
    </xf>
    <xf numFmtId="0" fontId="12" fillId="0" borderId="0" xfId="3" applyFont="1" applyBorder="1" applyAlignment="1">
      <alignment vertical="center"/>
      <protection locked="0"/>
    </xf>
    <xf numFmtId="0" fontId="12" fillId="0" borderId="0" xfId="3" applyFont="1" applyAlignment="1">
      <alignment vertical="center" wrapText="1"/>
      <protection locked="0"/>
    </xf>
    <xf numFmtId="0" fontId="29" fillId="0" borderId="0" xfId="3" applyFont="1" applyBorder="1" applyAlignment="1">
      <alignment vertical="center"/>
      <protection locked="0"/>
    </xf>
    <xf numFmtId="0" fontId="29" fillId="0" borderId="0" xfId="3" applyFont="1" applyAlignment="1" applyProtection="1">
      <alignment vertical="center"/>
    </xf>
    <xf numFmtId="0" fontId="16" fillId="0" borderId="0" xfId="3" applyFont="1" applyAlignment="1" applyProtection="1">
      <alignment vertical="center"/>
    </xf>
    <xf numFmtId="14" fontId="29" fillId="0" borderId="0" xfId="3" applyNumberFormat="1" applyFont="1" applyAlignment="1" applyProtection="1">
      <alignment vertical="center"/>
    </xf>
    <xf numFmtId="0" fontId="29" fillId="0" borderId="1" xfId="3" applyFont="1" applyBorder="1" applyAlignment="1" applyProtection="1">
      <alignment vertical="center"/>
    </xf>
    <xf numFmtId="43" fontId="29" fillId="0" borderId="1" xfId="7" applyFont="1" applyBorder="1" applyAlignment="1">
      <alignment vertical="center"/>
    </xf>
    <xf numFmtId="0" fontId="7" fillId="0" borderId="0" xfId="3" applyFont="1">
      <protection locked="0"/>
    </xf>
    <xf numFmtId="0" fontId="16" fillId="0" borderId="0" xfId="3" applyFont="1" applyAlignment="1" applyProtection="1">
      <alignment horizontal="left" vertical="center"/>
    </xf>
    <xf numFmtId="0" fontId="16" fillId="0" borderId="8" xfId="3" applyFont="1" applyBorder="1" applyAlignment="1" applyProtection="1">
      <alignment vertical="center"/>
    </xf>
    <xf numFmtId="0" fontId="29" fillId="0" borderId="8" xfId="3" applyFont="1" applyBorder="1" applyAlignment="1" applyProtection="1">
      <alignment vertical="center"/>
    </xf>
    <xf numFmtId="0" fontId="29" fillId="0" borderId="0" xfId="3" applyFont="1" applyBorder="1" applyAlignment="1" applyProtection="1">
      <alignment horizontal="center" vertical="center"/>
    </xf>
    <xf numFmtId="0" fontId="32" fillId="0" borderId="0" xfId="3" applyFont="1" applyBorder="1" applyAlignment="1" applyProtection="1">
      <alignment vertical="center"/>
    </xf>
    <xf numFmtId="0" fontId="29" fillId="0" borderId="0" xfId="3" applyFont="1" applyBorder="1" applyAlignment="1" applyProtection="1">
      <alignment vertical="center"/>
    </xf>
    <xf numFmtId="0" fontId="33" fillId="0" borderId="0" xfId="3" applyFont="1" applyBorder="1" applyAlignment="1" applyProtection="1">
      <alignment vertical="center"/>
    </xf>
    <xf numFmtId="0" fontId="16" fillId="0" borderId="0" xfId="3" applyFont="1" applyBorder="1" applyAlignment="1" applyProtection="1">
      <alignment vertical="center"/>
    </xf>
    <xf numFmtId="0" fontId="29" fillId="0" borderId="0" xfId="3" applyFont="1" applyBorder="1" applyAlignment="1" applyProtection="1">
      <alignment horizontal="left" vertical="center"/>
    </xf>
    <xf numFmtId="176" fontId="34" fillId="0" borderId="0" xfId="3" applyNumberFormat="1" applyFont="1" applyAlignment="1" applyProtection="1">
      <alignment vertical="center"/>
    </xf>
    <xf numFmtId="43" fontId="34" fillId="2" borderId="1" xfId="7" applyFont="1" applyFill="1" applyBorder="1" applyAlignment="1">
      <alignment horizontal="center" vertical="center" wrapText="1"/>
    </xf>
    <xf numFmtId="0" fontId="15" fillId="0" borderId="0" xfId="15" applyFont="1" applyAlignment="1">
      <alignment vertical="center" wrapText="1"/>
    </xf>
    <xf numFmtId="0" fontId="28" fillId="0" borderId="0" xfId="15" applyFont="1" applyAlignment="1">
      <alignment vertical="center" wrapText="1"/>
    </xf>
    <xf numFmtId="0" fontId="29" fillId="0" borderId="0" xfId="3" applyFont="1" applyBorder="1" applyAlignment="1">
      <alignment horizontal="left" vertical="center"/>
      <protection locked="0"/>
    </xf>
    <xf numFmtId="0" fontId="12" fillId="0" borderId="0" xfId="3" applyFont="1" applyAlignment="1">
      <alignment horizontal="center"/>
      <protection locked="0"/>
    </xf>
    <xf numFmtId="0" fontId="15" fillId="0" borderId="0" xfId="3" applyFont="1" applyBorder="1" applyAlignment="1" applyProtection="1">
      <alignment vertical="center"/>
    </xf>
    <xf numFmtId="0" fontId="37" fillId="0" borderId="0" xfId="3" applyFont="1" applyAlignment="1">
      <alignment vertical="center"/>
      <protection locked="0"/>
    </xf>
    <xf numFmtId="0" fontId="38" fillId="0" borderId="0" xfId="3" applyFont="1" applyAlignment="1">
      <alignment vertical="center"/>
      <protection locked="0"/>
    </xf>
    <xf numFmtId="10" fontId="29" fillId="0" borderId="0" xfId="5" applyNumberFormat="1" applyFont="1" applyFill="1" applyBorder="1" applyAlignment="1" applyProtection="1">
      <alignment vertical="center"/>
    </xf>
    <xf numFmtId="0" fontId="35" fillId="0" borderId="0" xfId="0" applyFont="1"/>
    <xf numFmtId="0" fontId="39" fillId="0" borderId="0" xfId="0" applyFont="1" applyAlignment="1">
      <alignment vertical="center"/>
    </xf>
    <xf numFmtId="0" fontId="35" fillId="0" borderId="0" xfId="0" applyFont="1" applyAlignment="1">
      <alignment horizontal="center" vertical="center"/>
    </xf>
    <xf numFmtId="0" fontId="35" fillId="0" borderId="1" xfId="0" applyFont="1" applyBorder="1"/>
    <xf numFmtId="0" fontId="23" fillId="2" borderId="1"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39" fillId="0" borderId="0" xfId="0" applyFont="1" applyAlignment="1">
      <alignment horizontal="left" vertical="center"/>
    </xf>
    <xf numFmtId="0" fontId="32" fillId="0" borderId="0" xfId="0" applyFont="1" applyAlignment="1">
      <alignment horizontal="left" vertical="center"/>
    </xf>
    <xf numFmtId="14" fontId="12" fillId="0" borderId="0" xfId="3" applyNumberFormat="1" applyFont="1">
      <protection locked="0"/>
    </xf>
    <xf numFmtId="43" fontId="43" fillId="0" borderId="1" xfId="7" applyFont="1" applyBorder="1" applyAlignment="1" applyProtection="1">
      <alignment vertical="center"/>
    </xf>
    <xf numFmtId="43" fontId="43" fillId="0" borderId="1" xfId="7" applyFont="1" applyBorder="1" applyAlignment="1" applyProtection="1">
      <alignment vertical="center" shrinkToFit="1"/>
    </xf>
    <xf numFmtId="43" fontId="43" fillId="0" borderId="0" xfId="7" applyFont="1" applyBorder="1" applyAlignment="1" applyProtection="1">
      <alignment vertical="center" shrinkToFit="1"/>
    </xf>
    <xf numFmtId="0" fontId="29" fillId="0" borderId="1" xfId="3" applyFont="1" applyBorder="1" applyAlignment="1" applyProtection="1">
      <alignment horizontal="center" vertical="center"/>
    </xf>
    <xf numFmtId="43" fontId="29" fillId="0" borderId="1" xfId="7" applyFont="1" applyBorder="1" applyAlignment="1" applyProtection="1">
      <alignment vertical="center"/>
    </xf>
    <xf numFmtId="0" fontId="17" fillId="0" borderId="0" xfId="3" applyFont="1" applyBorder="1" applyAlignment="1">
      <alignment horizontal="right" vertical="center"/>
      <protection locked="0"/>
    </xf>
    <xf numFmtId="0" fontId="17" fillId="0" borderId="1" xfId="3" applyFont="1" applyBorder="1" applyAlignment="1" applyProtection="1">
      <alignment vertical="center"/>
    </xf>
    <xf numFmtId="0" fontId="11" fillId="2" borderId="7" xfId="20" applyFont="1" applyFill="1" applyBorder="1" applyAlignment="1" applyProtection="1">
      <alignment horizontal="center" vertical="center"/>
      <protection locked="0"/>
    </xf>
    <xf numFmtId="0" fontId="29" fillId="0" borderId="0" xfId="3" applyFont="1" applyFill="1" applyBorder="1" applyAlignment="1" applyProtection="1">
      <alignment vertical="center"/>
    </xf>
    <xf numFmtId="0" fontId="15" fillId="2" borderId="1" xfId="3" applyFont="1" applyFill="1" applyBorder="1" applyAlignment="1" applyProtection="1">
      <alignment horizontal="center" vertical="center"/>
    </xf>
    <xf numFmtId="0" fontId="16" fillId="2" borderId="1" xfId="3" applyFont="1" applyFill="1" applyBorder="1" applyAlignment="1" applyProtection="1">
      <alignment horizontal="center" vertical="center"/>
    </xf>
    <xf numFmtId="10" fontId="29" fillId="2" borderId="1" xfId="5" applyNumberFormat="1" applyFont="1" applyFill="1" applyBorder="1" applyAlignment="1" applyProtection="1">
      <alignment vertical="center"/>
    </xf>
    <xf numFmtId="43" fontId="29" fillId="2" borderId="1" xfId="7" applyFont="1" applyFill="1" applyBorder="1" applyAlignment="1" applyProtection="1">
      <alignment vertical="center"/>
    </xf>
    <xf numFmtId="179" fontId="29" fillId="2" borderId="1" xfId="5" applyNumberFormat="1" applyFont="1" applyFill="1" applyBorder="1" applyAlignment="1" applyProtection="1">
      <alignment vertical="center"/>
    </xf>
    <xf numFmtId="0" fontId="17" fillId="0" borderId="1" xfId="3" applyFont="1" applyBorder="1" applyAlignment="1" applyProtection="1">
      <alignment horizontal="left" vertical="center"/>
    </xf>
    <xf numFmtId="0" fontId="29" fillId="2" borderId="1" xfId="3" applyFont="1" applyFill="1" applyBorder="1" applyAlignment="1" applyProtection="1">
      <alignment vertical="center"/>
    </xf>
    <xf numFmtId="0" fontId="17" fillId="2" borderId="1" xfId="3" applyFont="1" applyFill="1" applyBorder="1" applyAlignment="1" applyProtection="1">
      <alignment horizontal="center" vertical="center"/>
    </xf>
    <xf numFmtId="0" fontId="29" fillId="0" borderId="1" xfId="22" applyFont="1" applyFill="1" applyBorder="1" applyAlignment="1">
      <alignment horizontal="center" vertical="center" wrapText="1"/>
    </xf>
    <xf numFmtId="0" fontId="17" fillId="0" borderId="1" xfId="22" applyFont="1" applyFill="1" applyBorder="1" applyAlignment="1">
      <alignment horizontal="center" vertical="center" wrapText="1"/>
    </xf>
    <xf numFmtId="43" fontId="17" fillId="0" borderId="0" xfId="17" applyFont="1" applyFill="1" applyBorder="1" applyAlignment="1">
      <alignment horizontal="center" vertical="top" wrapText="1"/>
    </xf>
    <xf numFmtId="0" fontId="5" fillId="2" borderId="1" xfId="21" applyFont="1" applyFill="1" applyBorder="1" applyAlignment="1">
      <alignment horizontal="center" vertical="center" wrapText="1"/>
    </xf>
    <xf numFmtId="43" fontId="29" fillId="0" borderId="1" xfId="17" applyFont="1" applyFill="1" applyBorder="1" applyAlignment="1">
      <alignment horizontal="center" vertical="center" wrapText="1"/>
    </xf>
    <xf numFmtId="43" fontId="29" fillId="2" borderId="1" xfId="17" applyFont="1" applyFill="1" applyBorder="1" applyAlignment="1">
      <alignment horizontal="right" vertical="center" wrapText="1"/>
    </xf>
    <xf numFmtId="43" fontId="12" fillId="2" borderId="1" xfId="17" applyFont="1" applyFill="1" applyBorder="1" applyAlignment="1" applyProtection="1">
      <alignment horizontal="right" vertical="center"/>
      <protection locked="0"/>
    </xf>
    <xf numFmtId="0" fontId="15" fillId="2" borderId="1" xfId="22" applyFont="1" applyFill="1" applyBorder="1" applyAlignment="1">
      <alignment horizontal="center" vertical="center" wrapText="1"/>
    </xf>
    <xf numFmtId="43" fontId="15" fillId="2" borderId="1" xfId="17" applyFont="1" applyFill="1" applyBorder="1" applyAlignment="1">
      <alignment horizontal="center" vertical="center" wrapText="1"/>
    </xf>
    <xf numFmtId="0" fontId="7" fillId="2" borderId="1" xfId="3" applyFont="1" applyFill="1" applyBorder="1" applyAlignment="1">
      <alignment horizontal="center" vertical="center"/>
      <protection locked="0"/>
    </xf>
    <xf numFmtId="0" fontId="17" fillId="0" borderId="0" xfId="3" applyFont="1" applyBorder="1" applyAlignment="1" applyProtection="1">
      <alignment vertical="center"/>
    </xf>
    <xf numFmtId="0" fontId="45" fillId="0" borderId="0" xfId="3" applyFont="1" applyBorder="1" applyAlignment="1" applyProtection="1">
      <alignment horizontal="left" vertical="center"/>
    </xf>
    <xf numFmtId="0" fontId="10" fillId="0" borderId="0" xfId="24" applyFont="1" applyAlignment="1">
      <alignment vertical="center"/>
    </xf>
    <xf numFmtId="43" fontId="8" fillId="0" borderId="0" xfId="25" applyNumberFormat="1" applyFont="1" applyBorder="1" applyAlignment="1">
      <alignment vertical="center"/>
    </xf>
    <xf numFmtId="43" fontId="10" fillId="0" borderId="0" xfId="25" applyNumberFormat="1" applyFont="1" applyBorder="1" applyAlignment="1">
      <alignment vertical="center"/>
    </xf>
    <xf numFmtId="0" fontId="12" fillId="0" borderId="0" xfId="3" applyFont="1" applyAlignment="1">
      <alignment vertical="center"/>
      <protection locked="0"/>
    </xf>
    <xf numFmtId="43" fontId="12" fillId="0" borderId="0" xfId="25" applyNumberFormat="1" applyFont="1" applyBorder="1" applyAlignment="1">
      <alignment vertical="center"/>
    </xf>
    <xf numFmtId="0" fontId="12" fillId="0" borderId="0" xfId="26" applyFont="1" applyAlignment="1">
      <alignment vertical="center"/>
    </xf>
    <xf numFmtId="14" fontId="12" fillId="0" borderId="0" xfId="25" applyNumberFormat="1" applyFont="1" applyBorder="1" applyAlignment="1">
      <alignment vertical="center"/>
    </xf>
    <xf numFmtId="49" fontId="12" fillId="0" borderId="0" xfId="25" applyNumberFormat="1" applyFont="1" applyBorder="1" applyAlignment="1">
      <alignment vertical="center"/>
    </xf>
    <xf numFmtId="0" fontId="12" fillId="0" borderId="0" xfId="27" applyFont="1">
      <alignment vertical="center"/>
    </xf>
    <xf numFmtId="0" fontId="12" fillId="0" borderId="1" xfId="27" applyFont="1" applyBorder="1" applyAlignment="1">
      <alignment horizontal="center" vertical="center"/>
    </xf>
    <xf numFmtId="0" fontId="32" fillId="0" borderId="1" xfId="27" applyFont="1" applyBorder="1">
      <alignment vertical="center"/>
    </xf>
    <xf numFmtId="0" fontId="12" fillId="0" borderId="1" xfId="27" applyFont="1" applyBorder="1">
      <alignment vertical="center"/>
    </xf>
    <xf numFmtId="0" fontId="7" fillId="0" borderId="8" xfId="27" applyFont="1" applyFill="1" applyBorder="1" applyAlignment="1">
      <alignment horizontal="left" vertical="center"/>
    </xf>
    <xf numFmtId="0" fontId="12" fillId="0" borderId="8" xfId="27" applyFont="1" applyBorder="1">
      <alignment vertical="center"/>
    </xf>
    <xf numFmtId="0" fontId="12" fillId="0" borderId="0" xfId="27" applyFont="1" applyBorder="1">
      <alignment vertical="center"/>
    </xf>
    <xf numFmtId="0" fontId="7" fillId="0" borderId="0" xfId="27" applyFont="1" applyBorder="1">
      <alignment vertical="center"/>
    </xf>
    <xf numFmtId="0" fontId="8" fillId="0" borderId="0" xfId="27" applyFont="1">
      <alignment vertical="center"/>
    </xf>
    <xf numFmtId="180" fontId="7" fillId="0" borderId="0" xfId="28" applyFont="1" applyAlignment="1">
      <alignment vertical="center"/>
      <protection locked="0"/>
    </xf>
    <xf numFmtId="180" fontId="10" fillId="0" borderId="0" xfId="28" applyFont="1" applyAlignment="1">
      <alignment vertical="center"/>
      <protection locked="0"/>
    </xf>
    <xf numFmtId="43" fontId="12" fillId="0" borderId="0" xfId="29" applyNumberFormat="1" applyFont="1" applyBorder="1" applyAlignment="1">
      <alignment vertical="center"/>
    </xf>
    <xf numFmtId="180" fontId="12" fillId="0" borderId="0" xfId="28" applyFont="1" applyAlignment="1">
      <alignment vertical="center"/>
      <protection locked="0"/>
    </xf>
    <xf numFmtId="43" fontId="12" fillId="0" borderId="0" xfId="29" applyNumberFormat="1" applyFont="1" applyBorder="1" applyAlignment="1">
      <alignment horizontal="left" vertical="center"/>
    </xf>
    <xf numFmtId="180" fontId="12" fillId="0" borderId="0" xfId="28" applyFont="1" applyAlignment="1">
      <alignment horizontal="left" vertical="center"/>
      <protection locked="0"/>
    </xf>
    <xf numFmtId="180" fontId="7" fillId="0" borderId="0" xfId="30" applyFont="1" applyAlignment="1">
      <alignment horizontal="left" vertical="center"/>
    </xf>
    <xf numFmtId="180" fontId="12" fillId="0" borderId="0" xfId="30" applyFont="1" applyAlignment="1" applyProtection="1">
      <alignment vertical="center"/>
      <protection locked="0"/>
    </xf>
    <xf numFmtId="180" fontId="12" fillId="0" borderId="0" xfId="30" applyFont="1" applyAlignment="1">
      <alignment vertical="center"/>
    </xf>
    <xf numFmtId="180" fontId="12" fillId="0" borderId="0" xfId="30" applyFont="1" applyAlignment="1">
      <alignment horizontal="left" vertical="center"/>
    </xf>
    <xf numFmtId="180" fontId="12" fillId="0" borderId="0" xfId="30" applyFont="1" applyAlignment="1">
      <alignment horizontal="center" vertical="center"/>
    </xf>
    <xf numFmtId="180" fontId="7" fillId="0" borderId="8" xfId="28" applyFont="1" applyBorder="1" applyAlignment="1">
      <alignment vertical="center"/>
      <protection locked="0"/>
    </xf>
    <xf numFmtId="180" fontId="7" fillId="0" borderId="8" xfId="28" applyFont="1" applyBorder="1" applyAlignment="1">
      <alignment vertical="center" wrapText="1"/>
      <protection locked="0"/>
    </xf>
    <xf numFmtId="180" fontId="7" fillId="0" borderId="0" xfId="28" applyFont="1" applyAlignment="1">
      <alignment vertical="center" wrapText="1"/>
      <protection locked="0"/>
    </xf>
    <xf numFmtId="180" fontId="7" fillId="0" borderId="0" xfId="28" applyFont="1" applyAlignment="1">
      <alignment horizontal="left" vertical="center"/>
      <protection locked="0"/>
    </xf>
    <xf numFmtId="180" fontId="37" fillId="0" borderId="0" xfId="28" applyFont="1" applyAlignment="1">
      <alignment vertical="center"/>
      <protection locked="0"/>
    </xf>
    <xf numFmtId="49" fontId="37" fillId="0" borderId="0" xfId="28" applyNumberFormat="1" applyFont="1" applyAlignment="1">
      <alignment horizontal="right" vertical="center"/>
      <protection locked="0"/>
    </xf>
    <xf numFmtId="180" fontId="29" fillId="5" borderId="0" xfId="32" applyFont="1" applyFill="1" applyAlignment="1" applyProtection="1">
      <alignment vertical="top"/>
      <protection locked="0"/>
    </xf>
    <xf numFmtId="180" fontId="29" fillId="5" borderId="0" xfId="32" applyFont="1" applyFill="1" applyBorder="1" applyAlignment="1" applyProtection="1">
      <alignment vertical="center"/>
      <protection locked="0"/>
    </xf>
    <xf numFmtId="180" fontId="29" fillId="5" borderId="0" xfId="32" applyFont="1" applyFill="1" applyAlignment="1" applyProtection="1">
      <alignment vertical="center"/>
      <protection locked="0"/>
    </xf>
    <xf numFmtId="180" fontId="51" fillId="5" borderId="0" xfId="32" applyFont="1" applyFill="1" applyBorder="1" applyAlignment="1" applyProtection="1">
      <alignment horizontal="left" vertical="center"/>
      <protection locked="0"/>
    </xf>
    <xf numFmtId="180" fontId="17" fillId="5" borderId="0" xfId="32" applyFont="1" applyFill="1" applyAlignment="1" applyProtection="1">
      <alignment vertical="center"/>
      <protection locked="0"/>
    </xf>
    <xf numFmtId="180" fontId="51" fillId="5" borderId="0" xfId="32" applyFont="1" applyFill="1" applyBorder="1" applyAlignment="1" applyProtection="1">
      <alignment vertical="center"/>
      <protection locked="0"/>
    </xf>
    <xf numFmtId="180" fontId="17" fillId="5" borderId="0" xfId="32" applyFont="1" applyFill="1" applyBorder="1" applyAlignment="1" applyProtection="1">
      <alignment vertical="center"/>
      <protection locked="0"/>
    </xf>
    <xf numFmtId="180" fontId="4" fillId="0" borderId="0" xfId="36">
      <alignment vertical="center"/>
    </xf>
    <xf numFmtId="180" fontId="12" fillId="0" borderId="0" xfId="38" applyFont="1" applyFill="1" applyBorder="1" applyAlignment="1" applyProtection="1">
      <alignment vertical="center"/>
      <protection locked="0"/>
    </xf>
    <xf numFmtId="0" fontId="12" fillId="0" borderId="0" xfId="39" applyFont="1" applyFill="1" applyBorder="1" applyAlignment="1">
      <alignment horizontal="left" vertical="center"/>
      <protection locked="0"/>
    </xf>
    <xf numFmtId="180" fontId="12" fillId="0" borderId="0" xfId="38" applyFont="1" applyFill="1" applyAlignment="1" applyProtection="1">
      <alignment vertical="center"/>
      <protection locked="0"/>
    </xf>
    <xf numFmtId="0" fontId="12" fillId="0" borderId="0" xfId="40" applyFont="1" applyFill="1" applyBorder="1" applyAlignment="1" applyProtection="1">
      <alignment vertical="center"/>
      <protection locked="0"/>
    </xf>
    <xf numFmtId="0" fontId="12" fillId="0" borderId="0" xfId="40" applyFont="1" applyFill="1" applyAlignment="1" applyProtection="1">
      <alignment vertical="center"/>
      <protection locked="0"/>
    </xf>
    <xf numFmtId="0" fontId="36" fillId="0" borderId="0" xfId="40" applyFont="1">
      <alignment vertical="center"/>
    </xf>
    <xf numFmtId="0" fontId="7" fillId="0" borderId="0" xfId="40" applyFont="1" applyFill="1" applyAlignment="1" applyProtection="1">
      <alignment horizontal="justify" vertical="center"/>
      <protection locked="0"/>
    </xf>
    <xf numFmtId="180" fontId="35" fillId="0" borderId="1" xfId="41" applyFont="1" applyFill="1" applyBorder="1" applyAlignment="1">
      <alignment vertical="center" wrapText="1"/>
    </xf>
    <xf numFmtId="0" fontId="7" fillId="0" borderId="1" xfId="40" applyFont="1" applyFill="1" applyBorder="1" applyAlignment="1" applyProtection="1">
      <alignment horizontal="center" vertical="center" wrapText="1"/>
      <protection locked="0"/>
    </xf>
    <xf numFmtId="180" fontId="35" fillId="0" borderId="1" xfId="38" applyFont="1" applyFill="1" applyBorder="1" applyAlignment="1">
      <alignment vertical="center" wrapText="1"/>
    </xf>
    <xf numFmtId="180" fontId="34" fillId="5" borderId="0" xfId="32" applyFont="1" applyFill="1" applyAlignment="1" applyProtection="1">
      <alignment vertical="top"/>
      <protection locked="0"/>
    </xf>
    <xf numFmtId="0" fontId="8" fillId="0" borderId="0" xfId="15" applyFont="1" applyFill="1" applyAlignment="1">
      <alignment vertical="center"/>
    </xf>
    <xf numFmtId="0" fontId="12" fillId="0" borderId="0" xfId="3" applyFont="1" applyFill="1" applyBorder="1" applyAlignment="1">
      <alignment vertical="center"/>
      <protection locked="0"/>
    </xf>
    <xf numFmtId="0" fontId="12" fillId="0" borderId="0" xfId="3" applyFont="1" applyFill="1" applyBorder="1" applyAlignment="1">
      <alignment vertical="center" wrapText="1"/>
      <protection locked="0"/>
    </xf>
    <xf numFmtId="43" fontId="12" fillId="0" borderId="0" xfId="7" applyFont="1" applyFill="1" applyBorder="1" applyAlignment="1" applyProtection="1">
      <alignment vertical="center"/>
      <protection locked="0"/>
    </xf>
    <xf numFmtId="0" fontId="12" fillId="0" borderId="0" xfId="3" applyFont="1" applyFill="1" applyAlignment="1">
      <alignment vertical="center"/>
      <protection locked="0"/>
    </xf>
    <xf numFmtId="43" fontId="12" fillId="0" borderId="0" xfId="7" applyFont="1" applyFill="1" applyBorder="1" applyAlignment="1" applyProtection="1">
      <alignment horizontal="left" vertical="center"/>
      <protection locked="0"/>
    </xf>
    <xf numFmtId="43" fontId="12" fillId="0" borderId="0" xfId="7" applyFont="1" applyFill="1" applyBorder="1" applyAlignment="1" applyProtection="1">
      <alignment horizontal="right" vertical="center"/>
      <protection locked="0"/>
    </xf>
    <xf numFmtId="0" fontId="12" fillId="0" borderId="0" xfId="3" applyFont="1" applyFill="1" applyAlignment="1">
      <alignment horizontal="right" vertical="center"/>
      <protection locked="0"/>
    </xf>
    <xf numFmtId="0" fontId="5" fillId="0" borderId="0" xfId="3" applyFont="1" applyFill="1" applyBorder="1" applyAlignment="1">
      <alignment vertical="center"/>
      <protection locked="0"/>
    </xf>
    <xf numFmtId="0" fontId="64" fillId="0" borderId="0" xfId="44" applyFont="1" applyFill="1" applyAlignment="1">
      <alignment vertical="center"/>
    </xf>
    <xf numFmtId="0" fontId="64" fillId="0" borderId="0" xfId="44" applyFont="1" applyFill="1" applyAlignment="1">
      <alignment horizontal="center" vertical="center"/>
    </xf>
    <xf numFmtId="40" fontId="4" fillId="0" borderId="1" xfId="45" applyFont="1" applyFill="1" applyBorder="1" applyAlignment="1">
      <alignment vertical="center"/>
    </xf>
    <xf numFmtId="43" fontId="8" fillId="0" borderId="1" xfId="7" applyFont="1" applyFill="1" applyBorder="1" applyAlignment="1">
      <alignment horizontal="center" vertical="center"/>
    </xf>
    <xf numFmtId="43" fontId="8" fillId="0" borderId="1" xfId="7" applyFont="1" applyFill="1" applyBorder="1" applyAlignment="1">
      <alignment horizontal="right" vertical="center"/>
    </xf>
    <xf numFmtId="0" fontId="65" fillId="0" borderId="0" xfId="44" applyFont="1" applyFill="1" applyAlignment="1">
      <alignment vertical="center"/>
    </xf>
    <xf numFmtId="43" fontId="8" fillId="0" borderId="1" xfId="7" applyFont="1" applyFill="1" applyBorder="1" applyAlignment="1">
      <alignment vertical="center"/>
    </xf>
    <xf numFmtId="40" fontId="8" fillId="0" borderId="1" xfId="45" applyFont="1" applyFill="1" applyBorder="1" applyAlignment="1">
      <alignment vertical="center"/>
    </xf>
    <xf numFmtId="0" fontId="5" fillId="0" borderId="0" xfId="44" applyFont="1" applyFill="1" applyAlignment="1">
      <alignment vertical="center"/>
    </xf>
    <xf numFmtId="40" fontId="8" fillId="0" borderId="0" xfId="45" applyFont="1" applyFill="1" applyAlignment="1">
      <alignment vertical="center"/>
    </xf>
    <xf numFmtId="43" fontId="8" fillId="0" borderId="0" xfId="7" applyFont="1" applyFill="1" applyAlignment="1">
      <alignment vertical="center"/>
    </xf>
    <xf numFmtId="43" fontId="8" fillId="0" borderId="0" xfId="7" applyFont="1" applyFill="1" applyAlignment="1">
      <alignment horizontal="right" vertical="center"/>
    </xf>
    <xf numFmtId="0" fontId="65" fillId="0" borderId="0" xfId="44" applyFont="1" applyFill="1" applyAlignment="1">
      <alignment horizontal="right" vertical="center"/>
    </xf>
    <xf numFmtId="0" fontId="8" fillId="0" borderId="0" xfId="15" applyFont="1" applyFill="1" applyAlignment="1">
      <alignment horizontal="right" vertical="center"/>
    </xf>
    <xf numFmtId="0" fontId="11" fillId="0" borderId="0" xfId="3" applyFont="1" applyAlignment="1">
      <alignment vertical="center" wrapText="1"/>
      <protection locked="0"/>
    </xf>
    <xf numFmtId="0" fontId="11" fillId="0" borderId="0" xfId="3" applyFont="1" applyAlignment="1">
      <alignment vertical="center"/>
      <protection locked="0"/>
    </xf>
    <xf numFmtId="40" fontId="12" fillId="0" borderId="0" xfId="45" applyFont="1" applyFill="1" applyAlignment="1">
      <alignment vertical="center"/>
    </xf>
    <xf numFmtId="43" fontId="12" fillId="0" borderId="0" xfId="7" applyFont="1" applyFill="1" applyAlignment="1">
      <alignment vertical="center"/>
    </xf>
    <xf numFmtId="43" fontId="12" fillId="0" borderId="0" xfId="7" applyFont="1" applyFill="1" applyAlignment="1">
      <alignment horizontal="right" vertical="center"/>
    </xf>
    <xf numFmtId="0" fontId="4" fillId="0" borderId="0" xfId="3" applyFont="1" applyAlignment="1">
      <alignment vertical="center"/>
      <protection locked="0"/>
    </xf>
    <xf numFmtId="0" fontId="12" fillId="0" borderId="0" xfId="46" applyFont="1" applyAlignment="1">
      <alignment vertical="center"/>
    </xf>
    <xf numFmtId="0" fontId="7" fillId="0" borderId="0" xfId="46" applyFont="1" applyAlignment="1">
      <alignment vertical="center"/>
    </xf>
    <xf numFmtId="0" fontId="12" fillId="0" borderId="0" xfId="46" applyFont="1"/>
    <xf numFmtId="0" fontId="12" fillId="0" borderId="0" xfId="46" applyFont="1" applyAlignment="1">
      <alignment horizontal="center" vertical="center"/>
    </xf>
    <xf numFmtId="14" fontId="12" fillId="0" borderId="0" xfId="46" applyNumberFormat="1" applyFont="1" applyAlignment="1">
      <alignment horizontal="left" vertical="center"/>
    </xf>
    <xf numFmtId="0" fontId="29" fillId="0" borderId="0" xfId="47" applyFont="1" applyFill="1" applyAlignment="1">
      <alignment horizontal="right" vertical="center"/>
    </xf>
    <xf numFmtId="0" fontId="12" fillId="0" borderId="0" xfId="46" applyFont="1" applyAlignment="1">
      <alignment horizontal="center"/>
    </xf>
    <xf numFmtId="43" fontId="12" fillId="0" borderId="0" xfId="7" applyFont="1" applyAlignment="1">
      <alignment vertical="center"/>
    </xf>
    <xf numFmtId="0" fontId="11" fillId="0" borderId="0" xfId="46" applyFont="1" applyAlignment="1">
      <alignment vertical="center"/>
    </xf>
    <xf numFmtId="0" fontId="7" fillId="0" borderId="0" xfId="46" applyFont="1" applyAlignment="1">
      <alignment horizontal="center" vertical="center"/>
    </xf>
    <xf numFmtId="43" fontId="7" fillId="0" borderId="0" xfId="7" applyFont="1" applyAlignment="1">
      <alignment vertical="center"/>
    </xf>
    <xf numFmtId="0" fontId="7" fillId="0" borderId="0" xfId="46" applyFont="1" applyAlignment="1">
      <alignment vertical="center" wrapText="1"/>
    </xf>
    <xf numFmtId="0" fontId="12" fillId="0" borderId="1" xfId="46" applyFont="1" applyBorder="1" applyAlignment="1">
      <alignment horizontal="center" vertical="center"/>
    </xf>
    <xf numFmtId="0" fontId="32" fillId="0" borderId="1" xfId="46" applyFont="1" applyBorder="1" applyAlignment="1">
      <alignment vertical="center"/>
    </xf>
    <xf numFmtId="0" fontId="32" fillId="0" borderId="1" xfId="46" applyNumberFormat="1" applyFont="1" applyFill="1" applyBorder="1" applyAlignment="1">
      <alignment horizontal="center"/>
    </xf>
    <xf numFmtId="0" fontId="32" fillId="0" borderId="1" xfId="46" applyNumberFormat="1" applyFont="1" applyFill="1" applyBorder="1" applyAlignment="1">
      <alignment horizontal="center" vertical="center"/>
    </xf>
    <xf numFmtId="0" fontId="32" fillId="0" borderId="1" xfId="46" applyFont="1" applyBorder="1" applyAlignment="1">
      <alignment horizontal="center"/>
    </xf>
    <xf numFmtId="43" fontId="32" fillId="0" borderId="1" xfId="7" applyFont="1" applyBorder="1" applyAlignment="1">
      <alignment vertical="center"/>
    </xf>
    <xf numFmtId="0" fontId="32" fillId="0" borderId="1" xfId="46" applyFont="1" applyBorder="1" applyAlignment="1">
      <alignment vertical="center" wrapText="1"/>
    </xf>
    <xf numFmtId="0" fontId="12" fillId="0" borderId="1" xfId="46" applyFont="1" applyBorder="1" applyAlignment="1">
      <alignment vertical="center"/>
    </xf>
    <xf numFmtId="0" fontId="12" fillId="0" borderId="1" xfId="46" applyNumberFormat="1" applyFont="1" applyFill="1" applyBorder="1" applyAlignment="1">
      <alignment horizontal="center"/>
    </xf>
    <xf numFmtId="0" fontId="12" fillId="0" borderId="1" xfId="46" applyNumberFormat="1" applyFont="1" applyFill="1" applyBorder="1" applyAlignment="1">
      <alignment horizontal="center" vertical="center"/>
    </xf>
    <xf numFmtId="0" fontId="12" fillId="0" borderId="1" xfId="46" applyFont="1" applyBorder="1" applyAlignment="1">
      <alignment horizontal="center"/>
    </xf>
    <xf numFmtId="43" fontId="12" fillId="0" borderId="1" xfId="7" applyFont="1" applyBorder="1" applyAlignment="1">
      <alignment vertical="center"/>
    </xf>
    <xf numFmtId="0" fontId="12" fillId="0" borderId="1" xfId="46" applyFont="1" applyBorder="1" applyAlignment="1">
      <alignment vertical="center" wrapText="1"/>
    </xf>
    <xf numFmtId="0" fontId="5" fillId="0" borderId="0" xfId="46" applyFont="1" applyBorder="1" applyAlignment="1">
      <alignment vertical="center"/>
    </xf>
    <xf numFmtId="0" fontId="12" fillId="0" borderId="0" xfId="46" applyFont="1" applyBorder="1" applyAlignment="1">
      <alignment vertical="center"/>
    </xf>
    <xf numFmtId="0" fontId="12" fillId="0" borderId="0" xfId="46" applyFont="1" applyBorder="1"/>
    <xf numFmtId="0" fontId="12" fillId="0" borderId="0" xfId="46" applyFont="1" applyBorder="1" applyAlignment="1">
      <alignment horizontal="center" vertical="center"/>
    </xf>
    <xf numFmtId="0" fontId="12" fillId="0" borderId="0" xfId="46" applyFont="1" applyBorder="1" applyAlignment="1">
      <alignment horizontal="center"/>
    </xf>
    <xf numFmtId="43" fontId="12" fillId="0" borderId="0" xfId="7" applyFont="1" applyBorder="1" applyAlignment="1">
      <alignment vertical="center"/>
    </xf>
    <xf numFmtId="0" fontId="12" fillId="0" borderId="0" xfId="46" applyFont="1" applyBorder="1" applyAlignment="1">
      <alignment horizontal="left" vertical="center" wrapText="1"/>
    </xf>
    <xf numFmtId="0" fontId="32" fillId="0" borderId="0" xfId="46" applyFont="1" applyBorder="1" applyAlignment="1">
      <alignment vertical="center"/>
    </xf>
    <xf numFmtId="0" fontId="7" fillId="0" borderId="0" xfId="46" applyFont="1" applyBorder="1" applyAlignment="1">
      <alignment vertical="center"/>
    </xf>
    <xf numFmtId="0" fontId="45" fillId="0" borderId="0" xfId="46" applyFont="1" applyAlignment="1">
      <alignment vertical="center"/>
    </xf>
    <xf numFmtId="0" fontId="66" fillId="0" borderId="0" xfId="46" applyFont="1" applyAlignment="1">
      <alignment vertical="center"/>
    </xf>
    <xf numFmtId="0" fontId="11" fillId="0" borderId="2" xfId="40" applyFont="1" applyFill="1" applyBorder="1" applyAlignment="1">
      <alignment vertical="center" wrapText="1"/>
    </xf>
    <xf numFmtId="0" fontId="35" fillId="0" borderId="1" xfId="40" applyFont="1" applyFill="1" applyBorder="1" applyAlignment="1">
      <alignment horizontal="center" vertical="center" wrapText="1"/>
    </xf>
    <xf numFmtId="0" fontId="20" fillId="0" borderId="1" xfId="40" applyFont="1" applyFill="1" applyBorder="1" applyAlignment="1">
      <alignment horizontal="center" vertical="center" wrapText="1"/>
    </xf>
    <xf numFmtId="180" fontId="11" fillId="0" borderId="0" xfId="43" applyFont="1" applyAlignment="1">
      <alignment vertical="center" wrapText="1"/>
    </xf>
    <xf numFmtId="0" fontId="12" fillId="0" borderId="1" xfId="38" applyNumberFormat="1" applyFont="1" applyFill="1" applyBorder="1" applyAlignment="1" applyProtection="1">
      <alignment horizontal="center" vertical="center"/>
      <protection locked="0"/>
    </xf>
    <xf numFmtId="49" fontId="12" fillId="0" borderId="1" xfId="40" applyNumberFormat="1" applyFont="1" applyFill="1" applyBorder="1" applyAlignment="1" applyProtection="1">
      <alignment horizontal="center" vertical="center"/>
      <protection locked="0"/>
    </xf>
    <xf numFmtId="0" fontId="7" fillId="2" borderId="1" xfId="40" applyFont="1" applyFill="1" applyBorder="1" applyAlignment="1" applyProtection="1">
      <alignment horizontal="center" vertical="center"/>
      <protection locked="0"/>
    </xf>
    <xf numFmtId="0" fontId="7" fillId="2" borderId="1" xfId="40" applyFont="1" applyFill="1" applyBorder="1" applyAlignment="1" applyProtection="1">
      <alignment horizontal="center" vertical="center" wrapText="1"/>
      <protection locked="0"/>
    </xf>
    <xf numFmtId="0" fontId="7" fillId="2" borderId="1" xfId="21" applyFont="1" applyFill="1" applyBorder="1" applyAlignment="1">
      <alignment horizontal="center" vertical="center" wrapText="1"/>
    </xf>
    <xf numFmtId="0" fontId="39"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35" fillId="0" borderId="1" xfId="0" applyFont="1" applyBorder="1" applyAlignment="1">
      <alignment horizontal="center" vertical="center"/>
    </xf>
    <xf numFmtId="0" fontId="12" fillId="2" borderId="1" xfId="20" applyFont="1" applyFill="1" applyBorder="1" applyAlignment="1" applyProtection="1">
      <alignment horizontal="center" vertical="center"/>
      <protection locked="0"/>
    </xf>
    <xf numFmtId="180" fontId="51" fillId="5" borderId="0" xfId="32" applyFont="1" applyFill="1" applyBorder="1" applyAlignment="1" applyProtection="1">
      <alignment horizontal="left" vertical="center" wrapText="1"/>
      <protection locked="0"/>
    </xf>
    <xf numFmtId="180" fontId="51" fillId="5" borderId="0" xfId="34" applyFont="1" applyFill="1" applyBorder="1" applyAlignment="1" applyProtection="1">
      <alignment horizontal="left" vertical="center" wrapText="1"/>
      <protection locked="0"/>
    </xf>
    <xf numFmtId="180" fontId="56" fillId="5" borderId="0" xfId="35" applyFont="1" applyFill="1" applyBorder="1" applyAlignment="1" applyProtection="1">
      <alignment horizontal="center" vertical="center" wrapText="1"/>
      <protection locked="0"/>
    </xf>
    <xf numFmtId="0" fontId="9" fillId="0" borderId="0" xfId="3" applyFont="1" applyAlignment="1">
      <alignment vertical="center"/>
      <protection locked="0"/>
    </xf>
    <xf numFmtId="0" fontId="67" fillId="0" borderId="0" xfId="3" applyFont="1" applyAlignment="1">
      <alignment vertical="center"/>
      <protection locked="0"/>
    </xf>
    <xf numFmtId="0" fontId="11" fillId="6" borderId="0" xfId="3" applyFont="1" applyFill="1" applyBorder="1" applyAlignment="1">
      <alignment horizontal="justify" vertical="center" wrapText="1"/>
      <protection locked="0"/>
    </xf>
    <xf numFmtId="0" fontId="68" fillId="0" borderId="0" xfId="3" applyFont="1" applyBorder="1" applyAlignment="1">
      <alignment horizontal="justify" wrapText="1"/>
      <protection locked="0"/>
    </xf>
    <xf numFmtId="0" fontId="4" fillId="0" borderId="0" xfId="3" applyFont="1" applyAlignment="1">
      <alignment horizontal="center"/>
      <protection locked="0"/>
    </xf>
    <xf numFmtId="0" fontId="67" fillId="0" borderId="0" xfId="3" applyFont="1">
      <protection locked="0"/>
    </xf>
    <xf numFmtId="0" fontId="59" fillId="0" borderId="16" xfId="3" applyFont="1" applyBorder="1" applyAlignment="1">
      <alignment horizontal="center" vertical="center"/>
      <protection locked="0"/>
    </xf>
    <xf numFmtId="0" fontId="12" fillId="0" borderId="16" xfId="3" applyFont="1" applyBorder="1" applyAlignment="1">
      <alignment horizontal="center" vertical="center"/>
      <protection locked="0"/>
    </xf>
    <xf numFmtId="0" fontId="11" fillId="6" borderId="0" xfId="3" applyFont="1" applyFill="1" applyBorder="1" applyAlignment="1" applyProtection="1">
      <alignment horizontal="justify" vertical="center" wrapText="1"/>
      <protection locked="0"/>
    </xf>
    <xf numFmtId="0" fontId="67" fillId="0" borderId="0" xfId="3" applyFont="1" applyBorder="1">
      <protection locked="0"/>
    </xf>
    <xf numFmtId="0" fontId="11" fillId="0" borderId="2" xfId="38" applyNumberFormat="1" applyFont="1" applyFill="1" applyBorder="1" applyAlignment="1" applyProtection="1">
      <alignment horizontal="left" vertical="center" wrapText="1"/>
      <protection locked="0"/>
    </xf>
    <xf numFmtId="0" fontId="7" fillId="0" borderId="0" xfId="0" applyFont="1" applyFill="1" applyBorder="1" applyAlignment="1" applyProtection="1">
      <alignment vertical="center"/>
      <protection locked="0"/>
    </xf>
    <xf numFmtId="49" fontId="7" fillId="0" borderId="0" xfId="40" applyNumberFormat="1" applyFont="1" applyFill="1" applyAlignment="1" applyProtection="1">
      <alignment horizontal="left" vertical="center"/>
      <protection locked="0"/>
    </xf>
    <xf numFmtId="0" fontId="12" fillId="0" borderId="0" xfId="40" applyFont="1" applyFill="1" applyBorder="1" applyAlignment="1" applyProtection="1">
      <alignment horizontal="center" vertical="center" wrapText="1"/>
      <protection locked="0"/>
    </xf>
    <xf numFmtId="0" fontId="12" fillId="0" borderId="1" xfId="38" applyNumberFormat="1" applyFont="1" applyFill="1" applyBorder="1" applyAlignment="1" applyProtection="1">
      <alignment horizontal="left" vertical="center" wrapText="1"/>
      <protection locked="0"/>
    </xf>
    <xf numFmtId="0" fontId="35" fillId="0" borderId="1" xfId="40" applyFont="1" applyFill="1" applyBorder="1" applyAlignment="1">
      <alignment vertical="center" wrapText="1"/>
    </xf>
    <xf numFmtId="180" fontId="35" fillId="0" borderId="1" xfId="38" applyFont="1" applyFill="1" applyBorder="1" applyAlignment="1">
      <alignment horizontal="center" vertical="center" wrapText="1"/>
    </xf>
    <xf numFmtId="0" fontId="39" fillId="0" borderId="1" xfId="40" applyFont="1" applyFill="1" applyBorder="1" applyAlignment="1">
      <alignment horizontal="center" vertical="center" wrapText="1"/>
    </xf>
    <xf numFmtId="180" fontId="40" fillId="0" borderId="0" xfId="38" applyFont="1" applyFill="1" applyAlignment="1" applyProtection="1">
      <alignment horizontal="center" vertical="center"/>
      <protection locked="0"/>
    </xf>
    <xf numFmtId="0" fontId="12" fillId="0" borderId="2" xfId="38" applyNumberFormat="1" applyFont="1" applyFill="1" applyBorder="1" applyAlignment="1" applyProtection="1">
      <alignment horizontal="left" vertical="center" wrapText="1"/>
      <protection locked="0"/>
    </xf>
    <xf numFmtId="180" fontId="35" fillId="0" borderId="2" xfId="41" applyFont="1" applyFill="1" applyBorder="1" applyAlignment="1">
      <alignment vertical="center" wrapText="1"/>
    </xf>
    <xf numFmtId="0" fontId="11" fillId="0" borderId="0" xfId="3" applyFont="1" applyBorder="1" applyAlignment="1">
      <alignment horizontal="right" vertical="center"/>
      <protection locked="0"/>
    </xf>
    <xf numFmtId="0" fontId="15" fillId="2" borderId="1" xfId="3" applyFont="1" applyFill="1" applyBorder="1" applyAlignment="1" applyProtection="1">
      <alignment horizontal="center" vertical="center" wrapText="1"/>
    </xf>
    <xf numFmtId="178" fontId="15" fillId="2" borderId="1" xfId="3" applyNumberFormat="1" applyFont="1" applyFill="1" applyBorder="1" applyAlignment="1" applyProtection="1">
      <alignment horizontal="center" vertical="center"/>
    </xf>
    <xf numFmtId="178" fontId="31" fillId="2" borderId="1" xfId="3" applyNumberFormat="1" applyFont="1" applyFill="1" applyBorder="1" applyAlignment="1" applyProtection="1">
      <alignment horizontal="center" vertical="center"/>
    </xf>
    <xf numFmtId="43" fontId="15" fillId="2" borderId="1" xfId="7" applyFont="1" applyFill="1" applyBorder="1" applyAlignment="1">
      <alignment vertical="center"/>
    </xf>
    <xf numFmtId="43" fontId="29" fillId="2" borderId="1" xfId="7" applyFont="1" applyFill="1" applyBorder="1" applyAlignment="1">
      <alignment vertical="center"/>
    </xf>
    <xf numFmtId="178" fontId="16" fillId="2" borderId="1" xfId="3" applyNumberFormat="1" applyFont="1" applyFill="1" applyBorder="1" applyAlignment="1" applyProtection="1">
      <alignment horizontal="center" vertical="center"/>
    </xf>
    <xf numFmtId="0" fontId="12" fillId="0" borderId="0" xfId="3" applyFont="1" applyProtection="1"/>
    <xf numFmtId="176" fontId="35" fillId="0" borderId="1" xfId="7" applyNumberFormat="1" applyFont="1" applyBorder="1" applyAlignment="1">
      <alignment vertical="center"/>
    </xf>
    <xf numFmtId="176" fontId="35" fillId="0" borderId="1" xfId="3" applyNumberFormat="1" applyFont="1" applyBorder="1" applyAlignment="1" applyProtection="1">
      <alignment vertical="center"/>
    </xf>
    <xf numFmtId="0" fontId="12" fillId="0" borderId="0" xfId="3" applyFont="1" applyFill="1">
      <protection locked="0"/>
    </xf>
    <xf numFmtId="176" fontId="35" fillId="0" borderId="1" xfId="7" applyNumberFormat="1" applyFont="1" applyBorder="1" applyAlignment="1">
      <alignment horizontal="center" vertical="center"/>
    </xf>
    <xf numFmtId="176" fontId="35" fillId="0" borderId="1" xfId="7" applyNumberFormat="1" applyFont="1" applyFill="1" applyBorder="1" applyAlignment="1">
      <alignment horizontal="center" vertical="center"/>
    </xf>
    <xf numFmtId="43" fontId="35" fillId="0" borderId="1" xfId="17" applyFont="1" applyBorder="1" applyAlignment="1">
      <alignment vertical="center"/>
    </xf>
    <xf numFmtId="43" fontId="35" fillId="0" borderId="1" xfId="17" applyFont="1" applyBorder="1" applyAlignment="1">
      <alignment horizontal="right" vertical="center"/>
    </xf>
    <xf numFmtId="43" fontId="35" fillId="0" borderId="1" xfId="17" applyFont="1" applyFill="1" applyBorder="1" applyAlignment="1">
      <alignment vertical="center"/>
    </xf>
    <xf numFmtId="43" fontId="35" fillId="0" borderId="1" xfId="17" applyFont="1" applyFill="1" applyBorder="1" applyAlignment="1">
      <alignment horizontal="right" vertical="center"/>
    </xf>
    <xf numFmtId="0" fontId="12" fillId="0" borderId="0" xfId="1" applyFont="1" applyFill="1" applyAlignment="1">
      <alignment horizontal="right" vertical="center"/>
    </xf>
    <xf numFmtId="0" fontId="11" fillId="0" borderId="0" xfId="1" applyFont="1" applyFill="1" applyAlignment="1">
      <alignment horizontal="right" vertical="center"/>
    </xf>
    <xf numFmtId="43" fontId="12" fillId="2" borderId="1" xfId="17" applyFont="1" applyFill="1" applyBorder="1" applyAlignment="1" applyProtection="1">
      <alignment horizontal="right" vertical="center" wrapText="1"/>
      <protection locked="0"/>
    </xf>
    <xf numFmtId="43" fontId="7" fillId="2" borderId="1" xfId="17" applyFont="1" applyFill="1" applyBorder="1" applyAlignment="1" applyProtection="1">
      <alignment horizontal="center" vertical="center" wrapText="1"/>
      <protection locked="0"/>
    </xf>
    <xf numFmtId="176" fontId="39" fillId="2" borderId="1" xfId="7" applyNumberFormat="1" applyFont="1" applyFill="1" applyBorder="1" applyAlignment="1">
      <alignment horizontal="center" vertical="center"/>
    </xf>
    <xf numFmtId="43" fontId="7" fillId="2" borderId="1" xfId="7" applyFont="1" applyFill="1" applyBorder="1" applyAlignment="1" applyProtection="1">
      <alignment horizontal="right" vertical="center" wrapText="1"/>
      <protection locked="0"/>
    </xf>
    <xf numFmtId="43" fontId="12" fillId="2" borderId="1" xfId="7" applyFont="1" applyFill="1" applyBorder="1" applyAlignment="1" applyProtection="1">
      <alignment horizontal="right" vertical="center" wrapText="1"/>
      <protection locked="0"/>
    </xf>
    <xf numFmtId="0" fontId="12" fillId="0" borderId="6" xfId="3" applyNumberFormat="1" applyFont="1" applyFill="1" applyBorder="1" applyAlignment="1">
      <alignment horizontal="left" vertical="center"/>
      <protection locked="0"/>
    </xf>
    <xf numFmtId="43" fontId="12" fillId="0" borderId="5" xfId="3" applyNumberFormat="1" applyFont="1" applyFill="1" applyBorder="1" applyAlignment="1">
      <alignment vertical="center"/>
      <protection locked="0"/>
    </xf>
    <xf numFmtId="0" fontId="7" fillId="0" borderId="0" xfId="3" applyFont="1" applyFill="1" applyAlignment="1">
      <alignment vertical="center"/>
      <protection locked="0"/>
    </xf>
    <xf numFmtId="177" fontId="7" fillId="2" borderId="6" xfId="3" applyNumberFormat="1" applyFont="1" applyFill="1" applyBorder="1" applyAlignment="1">
      <alignment horizontal="center" vertical="center"/>
      <protection locked="0"/>
    </xf>
    <xf numFmtId="43" fontId="7" fillId="2" borderId="5" xfId="3" applyNumberFormat="1" applyFont="1" applyFill="1" applyBorder="1" applyAlignment="1">
      <alignment vertical="center"/>
      <protection locked="0"/>
    </xf>
    <xf numFmtId="0" fontId="17" fillId="0" borderId="0" xfId="3" applyFont="1" applyBorder="1" applyAlignment="1">
      <alignment horizontal="left" vertical="center"/>
      <protection locked="0"/>
    </xf>
    <xf numFmtId="43" fontId="29" fillId="0" borderId="1" xfId="17" applyFont="1" applyBorder="1" applyAlignment="1" applyProtection="1">
      <alignment vertical="center"/>
    </xf>
    <xf numFmtId="43" fontId="29" fillId="2" borderId="1" xfId="17" applyFont="1" applyFill="1" applyBorder="1" applyAlignment="1" applyProtection="1">
      <alignment vertical="center"/>
    </xf>
    <xf numFmtId="43" fontId="12" fillId="0" borderId="1" xfId="17" applyFont="1" applyBorder="1" applyAlignment="1" applyProtection="1">
      <alignment vertical="center"/>
      <protection locked="0"/>
    </xf>
    <xf numFmtId="43" fontId="12" fillId="0" borderId="1" xfId="17" applyFont="1" applyBorder="1" applyAlignment="1" applyProtection="1">
      <protection locked="0"/>
    </xf>
    <xf numFmtId="0" fontId="29" fillId="2" borderId="1" xfId="5" applyNumberFormat="1" applyFont="1" applyFill="1" applyBorder="1" applyAlignment="1" applyProtection="1">
      <alignment vertical="center"/>
    </xf>
    <xf numFmtId="0" fontId="49" fillId="0" borderId="0" xfId="3" applyFont="1" applyAlignment="1">
      <alignment vertical="center" wrapText="1"/>
      <protection locked="0"/>
    </xf>
    <xf numFmtId="0" fontId="5" fillId="0" borderId="0" xfId="1" applyFont="1" applyFill="1" applyAlignment="1">
      <alignment vertical="center"/>
    </xf>
    <xf numFmtId="0" fontId="9" fillId="0" borderId="0" xfId="1" applyFont="1" applyFill="1" applyAlignment="1">
      <alignment vertical="center"/>
    </xf>
    <xf numFmtId="0" fontId="23" fillId="0" borderId="0" xfId="0" applyFont="1" applyAlignment="1">
      <alignment vertical="center"/>
    </xf>
    <xf numFmtId="0" fontId="0" fillId="0" borderId="0" xfId="0" applyAlignment="1">
      <alignment vertical="center"/>
    </xf>
    <xf numFmtId="0" fontId="35" fillId="0" borderId="0" xfId="0" applyFont="1" applyAlignment="1">
      <alignment vertical="center"/>
    </xf>
    <xf numFmtId="0" fontId="40" fillId="2" borderId="1" xfId="0" applyFont="1" applyFill="1" applyBorder="1" applyAlignment="1">
      <alignment horizontal="center" vertical="center"/>
    </xf>
    <xf numFmtId="43" fontId="35" fillId="2" borderId="1" xfId="17" applyFont="1" applyFill="1" applyBorder="1" applyAlignment="1">
      <alignment vertical="center"/>
    </xf>
    <xf numFmtId="10" fontId="35" fillId="2" borderId="1" xfId="18" applyNumberFormat="1" applyFont="1" applyFill="1" applyBorder="1" applyAlignment="1">
      <alignment vertical="center"/>
    </xf>
    <xf numFmtId="43" fontId="39" fillId="2" borderId="1" xfId="17" applyFont="1" applyFill="1" applyBorder="1" applyAlignment="1">
      <alignment vertical="center"/>
    </xf>
    <xf numFmtId="10" fontId="39" fillId="2" borderId="1" xfId="18" applyNumberFormat="1" applyFont="1" applyFill="1" applyBorder="1" applyAlignment="1">
      <alignment vertical="center"/>
    </xf>
    <xf numFmtId="0" fontId="23" fillId="0" borderId="9" xfId="0" applyFont="1" applyBorder="1" applyAlignment="1">
      <alignment vertical="center"/>
    </xf>
    <xf numFmtId="0" fontId="35" fillId="0" borderId="8" xfId="0" applyFont="1" applyBorder="1" applyAlignment="1">
      <alignment vertical="center"/>
    </xf>
    <xf numFmtId="0" fontId="35" fillId="0" borderId="10" xfId="0" applyFont="1" applyBorder="1" applyAlignment="1">
      <alignment vertical="center"/>
    </xf>
    <xf numFmtId="0" fontId="35" fillId="0" borderId="11" xfId="0" applyFont="1" applyBorder="1" applyAlignment="1">
      <alignment vertical="center"/>
    </xf>
    <xf numFmtId="0" fontId="35" fillId="0" borderId="0" xfId="0" applyFont="1" applyBorder="1" applyAlignment="1">
      <alignment vertical="center"/>
    </xf>
    <xf numFmtId="0" fontId="35" fillId="0" borderId="12" xfId="0" applyFont="1" applyBorder="1" applyAlignment="1">
      <alignment vertical="center"/>
    </xf>
    <xf numFmtId="0" fontId="35" fillId="0" borderId="13" xfId="0" applyFont="1" applyBorder="1" applyAlignment="1">
      <alignment vertical="center"/>
    </xf>
    <xf numFmtId="0" fontId="35" fillId="0" borderId="14" xfId="0" applyFont="1" applyBorder="1" applyAlignment="1">
      <alignment vertical="center"/>
    </xf>
    <xf numFmtId="0" fontId="35" fillId="0" borderId="5" xfId="0" applyFont="1" applyBorder="1" applyAlignment="1">
      <alignment vertical="center"/>
    </xf>
    <xf numFmtId="0" fontId="35" fillId="0" borderId="1" xfId="0" applyFont="1" applyBorder="1" applyAlignment="1">
      <alignment vertical="center"/>
    </xf>
    <xf numFmtId="43" fontId="39" fillId="2" borderId="2" xfId="17" applyFont="1" applyFill="1" applyBorder="1" applyAlignment="1">
      <alignment vertical="center"/>
    </xf>
    <xf numFmtId="0" fontId="35" fillId="2" borderId="1" xfId="0" applyFont="1" applyFill="1" applyBorder="1" applyAlignment="1">
      <alignment horizontal="center" vertical="center"/>
    </xf>
    <xf numFmtId="43" fontId="12" fillId="2" borderId="1" xfId="17" applyFont="1" applyFill="1" applyBorder="1" applyAlignment="1">
      <alignment vertical="center"/>
    </xf>
    <xf numFmtId="10" fontId="12" fillId="2" borderId="1" xfId="18" applyNumberFormat="1" applyFont="1" applyFill="1" applyBorder="1" applyAlignment="1">
      <alignment vertical="center"/>
    </xf>
    <xf numFmtId="43" fontId="12" fillId="2" borderId="7" xfId="17" applyFont="1" applyFill="1" applyBorder="1" applyAlignment="1">
      <alignment vertical="center"/>
    </xf>
    <xf numFmtId="10" fontId="12" fillId="2" borderId="7" xfId="18" applyNumberFormat="1" applyFont="1" applyFill="1" applyBorder="1" applyAlignment="1">
      <alignment vertical="center"/>
    </xf>
    <xf numFmtId="43" fontId="35" fillId="0" borderId="7" xfId="17" applyFont="1" applyBorder="1" applyAlignment="1">
      <alignment vertical="center"/>
    </xf>
    <xf numFmtId="43" fontId="35" fillId="2" borderId="1" xfId="0" applyNumberFormat="1" applyFont="1" applyFill="1" applyBorder="1" applyAlignment="1">
      <alignment vertical="center"/>
    </xf>
    <xf numFmtId="0" fontId="7" fillId="2" borderId="1" xfId="20" applyFont="1" applyFill="1" applyBorder="1" applyAlignment="1" applyProtection="1">
      <alignment horizontal="center" vertical="center"/>
      <protection locked="0"/>
    </xf>
    <xf numFmtId="43" fontId="41" fillId="2" borderId="1" xfId="17" applyFont="1" applyFill="1" applyBorder="1" applyAlignment="1">
      <alignment vertical="center"/>
    </xf>
    <xf numFmtId="43" fontId="42" fillId="2" borderId="1" xfId="17" applyFont="1" applyFill="1" applyBorder="1" applyAlignment="1">
      <alignment vertical="center"/>
    </xf>
    <xf numFmtId="43" fontId="35" fillId="2" borderId="2" xfId="17" applyFont="1" applyFill="1" applyBorder="1" applyAlignment="1">
      <alignment vertical="center"/>
    </xf>
    <xf numFmtId="43" fontId="20" fillId="0" borderId="1" xfId="17" applyFont="1" applyBorder="1" applyAlignment="1">
      <alignment horizontal="center" vertical="center"/>
    </xf>
    <xf numFmtId="43" fontId="35" fillId="0" borderId="1" xfId="17" applyFont="1" applyBorder="1" applyAlignment="1">
      <alignment horizontal="center" vertical="center"/>
    </xf>
    <xf numFmtId="43" fontId="39" fillId="2" borderId="1" xfId="17" applyFont="1" applyFill="1" applyBorder="1" applyAlignment="1">
      <alignment horizontal="center" vertical="center"/>
    </xf>
    <xf numFmtId="43" fontId="11" fillId="0" borderId="0" xfId="7" applyFont="1" applyFill="1" applyBorder="1" applyAlignment="1" applyProtection="1">
      <alignment horizontal="right" vertical="center"/>
      <protection locked="0"/>
    </xf>
    <xf numFmtId="0" fontId="11" fillId="0" borderId="0" xfId="3" applyFont="1" applyFill="1" applyBorder="1" applyAlignment="1">
      <alignment vertical="center"/>
      <protection locked="0"/>
    </xf>
    <xf numFmtId="0" fontId="66" fillId="0" borderId="0" xfId="44" applyFont="1" applyFill="1" applyAlignment="1">
      <alignment vertical="center"/>
    </xf>
    <xf numFmtId="0" fontId="46" fillId="0" borderId="0" xfId="44" applyFont="1" applyFill="1" applyAlignment="1">
      <alignment vertical="center"/>
    </xf>
    <xf numFmtId="0" fontId="65" fillId="0" borderId="1" xfId="44" applyFont="1" applyFill="1" applyBorder="1" applyAlignment="1">
      <alignment horizontal="center" vertical="center"/>
    </xf>
    <xf numFmtId="43" fontId="5" fillId="2" borderId="1" xfId="7" applyFont="1" applyFill="1" applyBorder="1" applyAlignment="1">
      <alignment horizontal="center" vertical="center"/>
    </xf>
    <xf numFmtId="0" fontId="5" fillId="2" borderId="1" xfId="3" applyFont="1" applyFill="1" applyBorder="1" applyAlignment="1">
      <alignment horizontal="center" vertical="center" wrapText="1"/>
      <protection locked="0"/>
    </xf>
    <xf numFmtId="43" fontId="12" fillId="0" borderId="1" xfId="17" applyFont="1" applyBorder="1" applyAlignment="1" applyProtection="1">
      <alignment horizontal="center" vertical="center" wrapText="1"/>
      <protection locked="0"/>
    </xf>
    <xf numFmtId="43" fontId="12" fillId="0" borderId="1" xfId="17" applyFont="1" applyBorder="1" applyAlignment="1" applyProtection="1">
      <alignment horizontal="center" vertical="center"/>
      <protection locked="0"/>
    </xf>
    <xf numFmtId="0" fontId="35" fillId="0" borderId="1" xfId="0" applyFont="1" applyBorder="1" applyAlignment="1">
      <alignment horizontal="center" vertical="center" wrapText="1"/>
    </xf>
    <xf numFmtId="0" fontId="5" fillId="2" borderId="1" xfId="46" applyFont="1" applyFill="1" applyBorder="1" applyAlignment="1">
      <alignment horizontal="center" vertical="center" wrapText="1"/>
    </xf>
    <xf numFmtId="0" fontId="17" fillId="0" borderId="1" xfId="3" applyFont="1" applyBorder="1" applyAlignment="1" applyProtection="1">
      <alignment horizontal="center" vertical="center"/>
    </xf>
    <xf numFmtId="43" fontId="15" fillId="2" borderId="1" xfId="7" applyFont="1" applyFill="1" applyBorder="1" applyAlignment="1" applyProtection="1">
      <alignment vertical="center"/>
    </xf>
    <xf numFmtId="10" fontId="15" fillId="2" borderId="1" xfId="7" applyNumberFormat="1" applyFont="1" applyFill="1" applyBorder="1" applyAlignment="1" applyProtection="1">
      <alignment vertical="center" shrinkToFit="1"/>
    </xf>
    <xf numFmtId="10" fontId="15" fillId="2" borderId="1" xfId="7" applyNumberFormat="1" applyFont="1" applyFill="1" applyBorder="1" applyAlignment="1" applyProtection="1">
      <alignment vertical="center"/>
    </xf>
    <xf numFmtId="0" fontId="29" fillId="2" borderId="1" xfId="3" applyFont="1" applyFill="1" applyBorder="1" applyAlignment="1" applyProtection="1">
      <alignment horizontal="center" vertical="center"/>
    </xf>
    <xf numFmtId="0" fontId="17" fillId="2" borderId="1" xfId="3" applyFont="1" applyFill="1" applyBorder="1" applyAlignment="1" applyProtection="1">
      <alignment vertical="center"/>
    </xf>
    <xf numFmtId="0" fontId="16" fillId="2" borderId="1" xfId="3" applyFont="1" applyFill="1" applyBorder="1" applyAlignment="1" applyProtection="1">
      <alignment vertical="center"/>
    </xf>
    <xf numFmtId="0" fontId="7" fillId="2" borderId="0" xfId="3" applyFont="1" applyFill="1">
      <protection locked="0"/>
    </xf>
    <xf numFmtId="10" fontId="29" fillId="2" borderId="1" xfId="7" applyNumberFormat="1" applyFont="1" applyFill="1" applyBorder="1" applyAlignment="1" applyProtection="1">
      <alignment vertical="center" shrinkToFit="1"/>
    </xf>
    <xf numFmtId="0" fontId="12" fillId="2" borderId="0" xfId="3" applyFont="1" applyFill="1">
      <protection locked="0"/>
    </xf>
    <xf numFmtId="0" fontId="45" fillId="0" borderId="0" xfId="3" applyFont="1" applyAlignment="1">
      <alignment vertical="center"/>
      <protection locked="0"/>
    </xf>
    <xf numFmtId="0" fontId="17" fillId="0" borderId="0" xfId="3" applyFont="1" applyBorder="1" applyAlignment="1">
      <alignment vertical="center"/>
      <protection locked="0"/>
    </xf>
    <xf numFmtId="0" fontId="46" fillId="0" borderId="0" xfId="27" applyFont="1">
      <alignment vertical="center"/>
    </xf>
    <xf numFmtId="0" fontId="76" fillId="0" borderId="0" xfId="27" applyFont="1">
      <alignment vertical="center"/>
    </xf>
    <xf numFmtId="0" fontId="45" fillId="0" borderId="0" xfId="27" applyFont="1">
      <alignment vertical="center"/>
    </xf>
    <xf numFmtId="43" fontId="11" fillId="0" borderId="0" xfId="25" applyNumberFormat="1" applyFont="1" applyBorder="1" applyAlignment="1">
      <alignment vertical="center"/>
    </xf>
    <xf numFmtId="43" fontId="46" fillId="0" borderId="0" xfId="25" applyNumberFormat="1" applyFont="1" applyBorder="1" applyAlignment="1">
      <alignment vertical="center"/>
    </xf>
    <xf numFmtId="43" fontId="5" fillId="0" borderId="0" xfId="25" applyNumberFormat="1" applyFont="1" applyBorder="1" applyAlignment="1">
      <alignment vertical="center"/>
    </xf>
    <xf numFmtId="49" fontId="11" fillId="0" borderId="0" xfId="25" applyNumberFormat="1" applyFont="1" applyBorder="1" applyAlignment="1">
      <alignment vertical="center"/>
    </xf>
    <xf numFmtId="0" fontId="11" fillId="0" borderId="0" xfId="27" applyFont="1">
      <alignment vertical="center"/>
    </xf>
    <xf numFmtId="0" fontId="5" fillId="2" borderId="7" xfId="27" applyFont="1" applyFill="1" applyBorder="1" applyAlignment="1">
      <alignment horizontal="center" vertical="center" wrapText="1"/>
    </xf>
    <xf numFmtId="0" fontId="5" fillId="2" borderId="1" xfId="27" applyFont="1" applyFill="1" applyBorder="1" applyAlignment="1">
      <alignment horizontal="center" vertical="center"/>
    </xf>
    <xf numFmtId="0" fontId="34" fillId="2" borderId="1" xfId="27" applyFont="1" applyFill="1" applyBorder="1" applyAlignment="1">
      <alignment horizontal="center" vertical="center"/>
    </xf>
    <xf numFmtId="0" fontId="5" fillId="2" borderId="2" xfId="27" applyFont="1" applyFill="1" applyBorder="1" applyAlignment="1">
      <alignment horizontal="center" vertical="center"/>
    </xf>
    <xf numFmtId="43" fontId="11" fillId="0" borderId="0" xfId="25" applyNumberFormat="1" applyFont="1" applyBorder="1" applyAlignment="1">
      <alignment horizontal="right" vertical="center"/>
    </xf>
    <xf numFmtId="43" fontId="12" fillId="0" borderId="0" xfId="25" applyNumberFormat="1" applyFont="1" applyBorder="1" applyAlignment="1">
      <alignment horizontal="right" vertical="center"/>
    </xf>
    <xf numFmtId="180" fontId="11" fillId="0" borderId="0" xfId="30" applyFont="1" applyAlignment="1">
      <alignment vertical="center"/>
    </xf>
    <xf numFmtId="180" fontId="11" fillId="0" borderId="0" xfId="28" applyFont="1" applyAlignment="1">
      <alignment horizontal="right" vertical="center"/>
      <protection locked="0"/>
    </xf>
    <xf numFmtId="180" fontId="16" fillId="2" borderId="1" xfId="31" applyFont="1" applyFill="1" applyBorder="1" applyAlignment="1">
      <alignment horizontal="center" vertical="center"/>
    </xf>
    <xf numFmtId="180" fontId="11" fillId="3" borderId="0" xfId="31" applyFont="1" applyFill="1" applyAlignment="1">
      <alignment vertical="center"/>
    </xf>
    <xf numFmtId="180" fontId="46" fillId="3" borderId="0" xfId="31" applyFont="1" applyFill="1" applyAlignment="1">
      <alignment vertical="center"/>
    </xf>
    <xf numFmtId="0" fontId="11" fillId="4" borderId="1" xfId="31" applyNumberFormat="1" applyFont="1" applyFill="1" applyBorder="1" applyAlignment="1">
      <alignment horizontal="left" vertical="center"/>
    </xf>
    <xf numFmtId="0" fontId="12" fillId="4" borderId="1" xfId="31" applyNumberFormat="1" applyFont="1" applyFill="1" applyBorder="1" applyAlignment="1">
      <alignment horizontal="left" vertical="center"/>
    </xf>
    <xf numFmtId="0" fontId="12" fillId="4" borderId="1" xfId="31" applyNumberFormat="1" applyFont="1" applyFill="1" applyBorder="1" applyAlignment="1">
      <alignment horizontal="center" vertical="center"/>
    </xf>
    <xf numFmtId="14" fontId="12" fillId="4" borderId="1" xfId="31" applyNumberFormat="1" applyFont="1" applyFill="1" applyBorder="1" applyAlignment="1">
      <alignment horizontal="center" vertical="center"/>
    </xf>
    <xf numFmtId="0" fontId="11" fillId="4" borderId="1" xfId="31" applyNumberFormat="1" applyFont="1" applyFill="1" applyBorder="1" applyAlignment="1">
      <alignment horizontal="center" vertical="center"/>
    </xf>
    <xf numFmtId="0" fontId="69" fillId="0" borderId="16" xfId="48" applyBorder="1" applyAlignment="1">
      <alignment vertical="center"/>
      <protection locked="0"/>
    </xf>
    <xf numFmtId="180" fontId="37" fillId="0" borderId="0" xfId="48" applyNumberFormat="1" applyFont="1" applyFill="1" applyBorder="1" applyAlignment="1" applyProtection="1">
      <alignment vertical="center" wrapText="1"/>
      <protection locked="0"/>
    </xf>
    <xf numFmtId="180" fontId="16" fillId="2" borderId="1" xfId="31" applyFont="1" applyFill="1" applyBorder="1" applyAlignment="1">
      <alignment vertical="center"/>
    </xf>
    <xf numFmtId="180" fontId="16" fillId="0" borderId="1" xfId="31" applyFont="1" applyFill="1" applyBorder="1" applyAlignment="1">
      <alignment vertical="center"/>
    </xf>
    <xf numFmtId="180" fontId="5" fillId="2" borderId="1" xfId="32" applyFont="1" applyFill="1" applyBorder="1" applyAlignment="1" applyProtection="1">
      <alignment horizontal="center" vertical="center"/>
      <protection locked="0"/>
    </xf>
    <xf numFmtId="180" fontId="51" fillId="5" borderId="1" xfId="32" applyFont="1" applyFill="1" applyBorder="1" applyAlignment="1" applyProtection="1">
      <alignment horizontal="left" vertical="center"/>
      <protection locked="0"/>
    </xf>
    <xf numFmtId="180" fontId="29" fillId="5" borderId="1" xfId="32" applyFont="1" applyFill="1" applyBorder="1" applyAlignment="1" applyProtection="1">
      <alignment vertical="center"/>
      <protection locked="0"/>
    </xf>
    <xf numFmtId="180" fontId="52" fillId="5" borderId="1" xfId="32" applyFont="1" applyFill="1" applyBorder="1" applyAlignment="1" applyProtection="1">
      <alignment horizontal="left" vertical="center"/>
      <protection locked="0"/>
    </xf>
    <xf numFmtId="180" fontId="46" fillId="5" borderId="1" xfId="32" applyFont="1" applyFill="1" applyBorder="1" applyAlignment="1" applyProtection="1">
      <alignment horizontal="left" vertical="center"/>
      <protection locked="0"/>
    </xf>
    <xf numFmtId="180" fontId="17" fillId="5" borderId="1" xfId="32" applyFont="1" applyFill="1" applyBorder="1" applyAlignment="1" applyProtection="1">
      <alignment vertical="center" wrapText="1"/>
      <protection locked="0"/>
    </xf>
    <xf numFmtId="0" fontId="46" fillId="0" borderId="0" xfId="0" applyFont="1" applyAlignment="1">
      <alignment vertical="center"/>
    </xf>
    <xf numFmtId="0" fontId="77" fillId="0" borderId="0" xfId="0" applyFont="1" applyAlignment="1">
      <alignment vertical="center"/>
    </xf>
    <xf numFmtId="0" fontId="45" fillId="0" borderId="0" xfId="0" applyFont="1" applyAlignment="1">
      <alignment vertical="center"/>
    </xf>
    <xf numFmtId="180" fontId="9" fillId="0" borderId="0" xfId="28" applyFont="1" applyAlignment="1">
      <alignment vertical="center"/>
      <protection locked="0"/>
    </xf>
    <xf numFmtId="180" fontId="57" fillId="0" borderId="0" xfId="28" applyFont="1" applyAlignment="1">
      <alignment vertical="center"/>
      <protection locked="0"/>
    </xf>
    <xf numFmtId="180" fontId="51" fillId="5" borderId="0" xfId="32" applyFont="1" applyFill="1" applyBorder="1" applyAlignment="1" applyProtection="1">
      <alignment vertical="center" wrapText="1"/>
      <protection locked="0"/>
    </xf>
    <xf numFmtId="180" fontId="15" fillId="5" borderId="0" xfId="32" applyFont="1" applyFill="1" applyBorder="1" applyAlignment="1" applyProtection="1">
      <alignment vertical="center"/>
      <protection locked="0"/>
    </xf>
    <xf numFmtId="0" fontId="20" fillId="0" borderId="0" xfId="0" applyFont="1" applyAlignment="1">
      <alignment vertical="center"/>
    </xf>
    <xf numFmtId="0" fontId="20" fillId="0" borderId="0" xfId="0" applyFont="1"/>
    <xf numFmtId="0" fontId="20" fillId="0" borderId="9" xfId="0" applyFont="1" applyBorder="1" applyAlignment="1">
      <alignment vertical="center"/>
    </xf>
    <xf numFmtId="0" fontId="20" fillId="0" borderId="8" xfId="0" applyFont="1" applyBorder="1" applyAlignment="1">
      <alignment vertical="center"/>
    </xf>
    <xf numFmtId="0" fontId="20" fillId="0" borderId="10" xfId="0" applyFont="1" applyBorder="1" applyAlignment="1">
      <alignment vertical="center"/>
    </xf>
    <xf numFmtId="0" fontId="20" fillId="0" borderId="13" xfId="0" applyFont="1" applyBorder="1" applyAlignment="1">
      <alignment vertical="center"/>
    </xf>
    <xf numFmtId="0" fontId="20" fillId="0" borderId="14" xfId="0" applyFont="1" applyBorder="1" applyAlignment="1">
      <alignment vertical="center"/>
    </xf>
    <xf numFmtId="0" fontId="20" fillId="0" borderId="5" xfId="0" applyFont="1" applyBorder="1" applyAlignment="1">
      <alignment vertical="center"/>
    </xf>
    <xf numFmtId="180" fontId="15" fillId="0" borderId="0" xfId="32" applyFont="1" applyFill="1" applyBorder="1" applyAlignment="1" applyProtection="1">
      <alignment vertical="center"/>
      <protection locked="0"/>
    </xf>
    <xf numFmtId="180" fontId="29" fillId="0" borderId="0" xfId="32" applyFont="1" applyFill="1" applyBorder="1" applyAlignment="1" applyProtection="1">
      <alignment vertical="center"/>
      <protection locked="0"/>
    </xf>
    <xf numFmtId="0" fontId="20" fillId="0" borderId="0" xfId="0" applyFont="1" applyBorder="1" applyAlignment="1">
      <alignment vertical="center"/>
    </xf>
    <xf numFmtId="0" fontId="16" fillId="2" borderId="1" xfId="3" applyFont="1" applyFill="1" applyBorder="1" applyAlignment="1" applyProtection="1">
      <alignment horizontal="center" vertical="center" wrapText="1"/>
    </xf>
    <xf numFmtId="40" fontId="5" fillId="2" borderId="1" xfId="45" applyFont="1" applyFill="1" applyBorder="1" applyAlignment="1">
      <alignment horizontal="center" vertical="center"/>
    </xf>
    <xf numFmtId="0" fontId="60" fillId="0" borderId="0" xfId="3" applyFont="1" applyFill="1" applyBorder="1" applyAlignment="1">
      <alignment vertical="center"/>
      <protection locked="0"/>
    </xf>
    <xf numFmtId="0" fontId="5" fillId="0" borderId="14" xfId="40" applyFont="1" applyFill="1" applyBorder="1" applyAlignment="1" applyProtection="1">
      <alignment vertical="center"/>
      <protection locked="0"/>
    </xf>
    <xf numFmtId="0" fontId="33" fillId="0" borderId="0" xfId="0" applyFont="1" applyAlignment="1">
      <alignment vertical="center"/>
    </xf>
    <xf numFmtId="180" fontId="17" fillId="2" borderId="1" xfId="32" applyFont="1" applyFill="1" applyBorder="1" applyAlignment="1" applyProtection="1">
      <alignment vertical="center" wrapText="1"/>
      <protection locked="0"/>
    </xf>
    <xf numFmtId="0" fontId="11" fillId="0" borderId="1" xfId="43" applyNumberFormat="1" applyFont="1" applyBorder="1" applyAlignment="1">
      <alignment vertical="center" wrapText="1"/>
    </xf>
    <xf numFmtId="0" fontId="33" fillId="0" borderId="0" xfId="49" applyNumberFormat="1" applyFont="1">
      <alignment vertical="center"/>
    </xf>
    <xf numFmtId="0" fontId="5" fillId="0" borderId="0" xfId="49" applyNumberFormat="1" applyFont="1">
      <alignment vertical="center"/>
    </xf>
    <xf numFmtId="0" fontId="11" fillId="0" borderId="0" xfId="49" applyNumberFormat="1" applyFont="1" applyAlignment="1">
      <alignment vertical="center" wrapText="1"/>
    </xf>
    <xf numFmtId="0" fontId="35" fillId="0" borderId="1" xfId="0" applyFont="1" applyBorder="1" applyAlignment="1">
      <alignment horizontal="center" vertical="center"/>
    </xf>
    <xf numFmtId="180" fontId="37" fillId="0" borderId="0" xfId="48" applyNumberFormat="1" applyFont="1" applyFill="1" applyBorder="1" applyAlignment="1" applyProtection="1">
      <alignment horizontal="center" vertical="center" wrapText="1"/>
      <protection locked="0"/>
    </xf>
    <xf numFmtId="180" fontId="12" fillId="0" borderId="0" xfId="38" applyFont="1" applyFill="1" applyBorder="1" applyAlignment="1" applyProtection="1">
      <alignment horizontal="center" vertical="center"/>
      <protection locked="0"/>
    </xf>
    <xf numFmtId="0" fontId="35" fillId="0" borderId="1" xfId="0" applyFont="1" applyBorder="1" applyAlignment="1">
      <alignment horizontal="center"/>
    </xf>
    <xf numFmtId="0" fontId="0" fillId="0" borderId="0" xfId="0" applyAlignment="1">
      <alignment horizontal="center"/>
    </xf>
    <xf numFmtId="0" fontId="11" fillId="6" borderId="0" xfId="0" applyFont="1" applyFill="1" applyBorder="1" applyAlignment="1" applyProtection="1">
      <alignment horizontal="justify" vertical="center" wrapText="1"/>
      <protection locked="0"/>
    </xf>
    <xf numFmtId="0" fontId="11" fillId="0" borderId="0" xfId="3" applyFont="1" applyFill="1" applyBorder="1" applyAlignment="1" applyProtection="1">
      <alignment horizontal="justify" vertical="center" wrapText="1"/>
      <protection locked="0"/>
    </xf>
    <xf numFmtId="0" fontId="4" fillId="0" borderId="16" xfId="48" applyFont="1" applyBorder="1" applyAlignment="1">
      <protection locked="0"/>
    </xf>
    <xf numFmtId="180" fontId="16" fillId="2" borderId="1" xfId="31" applyFont="1" applyFill="1" applyBorder="1" applyAlignment="1">
      <alignment horizontal="left" vertical="center"/>
    </xf>
    <xf numFmtId="0" fontId="57" fillId="0" borderId="0" xfId="0" applyFont="1" applyAlignment="1" applyProtection="1">
      <alignment horizontal="center" vertical="center"/>
      <protection locked="0"/>
    </xf>
    <xf numFmtId="0" fontId="46" fillId="0" borderId="0" xfId="3" applyFont="1">
      <protection locked="0"/>
    </xf>
    <xf numFmtId="180" fontId="66" fillId="0" borderId="0" xfId="28" applyFont="1" applyAlignment="1">
      <alignment vertical="center"/>
      <protection locked="0"/>
    </xf>
    <xf numFmtId="49" fontId="37" fillId="0" borderId="0" xfId="28" applyNumberFormat="1" applyFont="1" applyAlignment="1">
      <alignment horizontal="left" vertical="center"/>
      <protection locked="0"/>
    </xf>
    <xf numFmtId="180" fontId="45" fillId="0" borderId="0" xfId="28" applyFont="1" applyAlignment="1">
      <alignment horizontal="left"/>
      <protection locked="0"/>
    </xf>
    <xf numFmtId="180" fontId="45" fillId="0" borderId="0" xfId="28" applyFont="1" applyAlignment="1">
      <alignment horizontal="left" vertical="center"/>
      <protection locked="0"/>
    </xf>
    <xf numFmtId="49" fontId="45" fillId="0" borderId="0" xfId="28" applyNumberFormat="1" applyFont="1" applyAlignment="1">
      <alignment horizontal="left" vertical="center"/>
      <protection locked="0"/>
    </xf>
    <xf numFmtId="180" fontId="45" fillId="0" borderId="0" xfId="28" applyFont="1" applyAlignment="1">
      <alignment vertical="center"/>
      <protection locked="0"/>
    </xf>
    <xf numFmtId="0" fontId="78" fillId="0" borderId="0" xfId="0" applyFont="1" applyAlignment="1">
      <alignment vertical="center"/>
    </xf>
    <xf numFmtId="0" fontId="79" fillId="0" borderId="0" xfId="0" applyFont="1" applyAlignment="1">
      <alignment vertical="center"/>
    </xf>
    <xf numFmtId="0" fontId="33" fillId="0" borderId="0" xfId="0" applyFont="1" applyBorder="1" applyAlignment="1">
      <alignment vertical="center"/>
    </xf>
    <xf numFmtId="0" fontId="20" fillId="0" borderId="0" xfId="0" applyFont="1" applyAlignment="1">
      <alignment horizontal="right" vertical="center"/>
    </xf>
    <xf numFmtId="0" fontId="10" fillId="0" borderId="0" xfId="0" applyFont="1" applyAlignment="1" applyProtection="1">
      <alignment horizontal="left" vertical="center" wrapText="1"/>
      <protection locked="0"/>
    </xf>
    <xf numFmtId="0" fontId="8" fillId="0" borderId="0" xfId="0" applyFont="1" applyAlignment="1" applyProtection="1">
      <alignment horizontal="left" vertical="center" wrapText="1"/>
      <protection locked="0"/>
    </xf>
    <xf numFmtId="180" fontId="9" fillId="0" borderId="0" xfId="37" applyFont="1" applyFill="1" applyAlignment="1">
      <alignment horizontal="center" vertical="center"/>
    </xf>
    <xf numFmtId="180" fontId="57" fillId="0" borderId="0" xfId="37" applyFont="1" applyFill="1" applyAlignment="1">
      <alignment horizontal="center" vertical="center"/>
    </xf>
    <xf numFmtId="0" fontId="7" fillId="2" borderId="1" xfId="40" applyFont="1" applyFill="1" applyBorder="1" applyAlignment="1" applyProtection="1">
      <alignment horizontal="center" vertical="center" wrapText="1"/>
      <protection locked="0"/>
    </xf>
    <xf numFmtId="0" fontId="12" fillId="0" borderId="1" xfId="40" applyFont="1" applyFill="1" applyBorder="1" applyAlignment="1" applyProtection="1">
      <alignment horizontal="center" vertical="center" wrapText="1"/>
      <protection locked="0"/>
    </xf>
    <xf numFmtId="0" fontId="12" fillId="0" borderId="1" xfId="40" applyFont="1" applyFill="1" applyBorder="1" applyAlignment="1" applyProtection="1">
      <alignment horizontal="left" vertical="center" wrapText="1"/>
      <protection locked="0"/>
    </xf>
    <xf numFmtId="0" fontId="46" fillId="0" borderId="0" xfId="43" applyNumberFormat="1" applyFont="1" applyAlignment="1">
      <alignment horizontal="left" vertical="center" wrapText="1"/>
    </xf>
    <xf numFmtId="0" fontId="7" fillId="2" borderId="1" xfId="40" applyFont="1" applyFill="1" applyBorder="1" applyAlignment="1" applyProtection="1">
      <alignment horizontal="center" vertical="center"/>
      <protection locked="0"/>
    </xf>
    <xf numFmtId="49" fontId="7" fillId="2" borderId="1" xfId="40" applyNumberFormat="1" applyFont="1" applyFill="1" applyBorder="1" applyAlignment="1" applyProtection="1">
      <alignment horizontal="center" vertical="center"/>
      <protection locked="0"/>
    </xf>
    <xf numFmtId="49" fontId="7" fillId="2" borderId="1" xfId="38" applyNumberFormat="1" applyFont="1" applyFill="1" applyBorder="1" applyAlignment="1" applyProtection="1">
      <alignment horizontal="center" vertical="center"/>
      <protection locked="0"/>
    </xf>
    <xf numFmtId="180" fontId="7" fillId="2" borderId="7" xfId="38" applyFont="1" applyFill="1" applyBorder="1" applyAlignment="1" applyProtection="1">
      <alignment horizontal="center" vertical="center" wrapText="1"/>
      <protection locked="0"/>
    </xf>
    <xf numFmtId="180" fontId="7" fillId="2" borderId="6" xfId="38" applyFont="1" applyFill="1" applyBorder="1" applyAlignment="1" applyProtection="1">
      <alignment horizontal="center" vertical="center" wrapText="1"/>
      <protection locked="0"/>
    </xf>
    <xf numFmtId="180" fontId="7" fillId="2" borderId="1" xfId="38" applyFont="1" applyFill="1" applyBorder="1" applyAlignment="1" applyProtection="1">
      <alignment horizontal="center" vertical="center" wrapText="1"/>
      <protection locked="0"/>
    </xf>
    <xf numFmtId="0" fontId="27" fillId="0" borderId="0" xfId="15" applyFont="1" applyAlignment="1">
      <alignment horizontal="center" vertical="center" wrapText="1"/>
    </xf>
    <xf numFmtId="0" fontId="28" fillId="0" borderId="0" xfId="15" applyFont="1" applyAlignment="1">
      <alignment horizontal="center" vertical="center" wrapText="1"/>
    </xf>
    <xf numFmtId="0" fontId="70" fillId="0" borderId="0" xfId="15" applyFont="1" applyFill="1" applyAlignment="1">
      <alignment horizontal="center" vertical="center" wrapText="1"/>
    </xf>
    <xf numFmtId="0" fontId="71" fillId="0" borderId="0" xfId="15" applyFont="1" applyFill="1" applyAlignment="1">
      <alignment horizontal="center" vertical="center" wrapText="1"/>
    </xf>
    <xf numFmtId="0" fontId="9" fillId="0" borderId="0" xfId="1" applyFont="1" applyAlignment="1">
      <alignment horizontal="center" vertical="center"/>
    </xf>
    <xf numFmtId="0" fontId="57" fillId="0" borderId="0" xfId="1" applyFont="1" applyFill="1" applyBorder="1" applyAlignment="1">
      <alignment horizontal="center" vertical="center"/>
    </xf>
    <xf numFmtId="43" fontId="5" fillId="2" borderId="7" xfId="7" applyFont="1" applyFill="1" applyBorder="1" applyAlignment="1">
      <alignment horizontal="center" vertical="center" wrapText="1"/>
    </xf>
    <xf numFmtId="43" fontId="5" fillId="2" borderId="6" xfId="7" applyFont="1" applyFill="1" applyBorder="1" applyAlignment="1">
      <alignment horizontal="center" vertical="center" wrapText="1"/>
    </xf>
    <xf numFmtId="43" fontId="5" fillId="2" borderId="2" xfId="7" applyFont="1" applyFill="1" applyBorder="1" applyAlignment="1">
      <alignment horizontal="center" vertical="center" wrapText="1"/>
    </xf>
    <xf numFmtId="43" fontId="5" fillId="2" borderId="3" xfId="7" applyFont="1" applyFill="1" applyBorder="1" applyAlignment="1">
      <alignment horizontal="center" vertical="center" wrapText="1"/>
    </xf>
    <xf numFmtId="43" fontId="5" fillId="2" borderId="4" xfId="7" applyFont="1" applyFill="1" applyBorder="1" applyAlignment="1">
      <alignment horizontal="center" vertical="center" wrapText="1"/>
    </xf>
    <xf numFmtId="176" fontId="5" fillId="0" borderId="2" xfId="7" applyNumberFormat="1" applyFont="1" applyBorder="1" applyAlignment="1">
      <alignment horizontal="center" vertical="center"/>
    </xf>
    <xf numFmtId="176" fontId="5" fillId="0" borderId="3" xfId="7" applyNumberFormat="1" applyFont="1" applyBorder="1" applyAlignment="1">
      <alignment horizontal="center" vertical="center"/>
    </xf>
    <xf numFmtId="176" fontId="5" fillId="0" borderId="4" xfId="7" applyNumberFormat="1" applyFont="1" applyBorder="1" applyAlignment="1">
      <alignment horizontal="center" vertical="center"/>
    </xf>
    <xf numFmtId="0" fontId="45" fillId="0" borderId="0" xfId="3" applyFont="1" applyAlignment="1">
      <alignment horizontal="left" vertical="center" wrapText="1"/>
      <protection locked="0"/>
    </xf>
    <xf numFmtId="0" fontId="70" fillId="0" borderId="0" xfId="15" applyFont="1" applyAlignment="1">
      <alignment horizontal="center" vertical="center" wrapText="1"/>
    </xf>
    <xf numFmtId="0" fontId="7" fillId="2" borderId="2" xfId="21" applyFont="1" applyFill="1" applyBorder="1" applyAlignment="1">
      <alignment horizontal="center" vertical="center" wrapText="1"/>
    </xf>
    <xf numFmtId="0" fontId="7" fillId="2" borderId="4" xfId="21" applyFont="1" applyFill="1" applyBorder="1" applyAlignment="1">
      <alignment horizontal="center" vertical="center" wrapText="1"/>
    </xf>
    <xf numFmtId="0" fontId="16" fillId="2" borderId="1" xfId="3" applyFont="1" applyFill="1" applyBorder="1" applyAlignment="1" applyProtection="1">
      <alignment horizontal="center" vertical="center"/>
    </xf>
    <xf numFmtId="0" fontId="15" fillId="2" borderId="1" xfId="3" applyFont="1" applyFill="1" applyBorder="1" applyAlignment="1" applyProtection="1">
      <alignment horizontal="center" vertical="center"/>
    </xf>
    <xf numFmtId="0" fontId="16" fillId="2" borderId="1" xfId="3" applyFont="1" applyFill="1" applyBorder="1" applyAlignment="1" applyProtection="1">
      <alignment horizontal="center" vertical="center" wrapText="1"/>
    </xf>
    <xf numFmtId="0" fontId="7" fillId="2" borderId="1" xfId="21" applyFont="1" applyFill="1" applyBorder="1" applyAlignment="1">
      <alignment horizontal="center" vertical="center" wrapText="1"/>
    </xf>
    <xf numFmtId="0" fontId="39" fillId="2" borderId="2" xfId="0" applyFont="1" applyFill="1" applyBorder="1" applyAlignment="1">
      <alignment horizontal="center" vertical="center"/>
    </xf>
    <xf numFmtId="0" fontId="39" fillId="2" borderId="4" xfId="0" applyFont="1" applyFill="1" applyBorder="1" applyAlignment="1">
      <alignment horizontal="center" vertical="center"/>
    </xf>
    <xf numFmtId="0" fontId="39" fillId="2" borderId="1" xfId="0" applyFont="1" applyFill="1" applyBorder="1" applyAlignment="1">
      <alignment horizontal="center" vertical="center"/>
    </xf>
    <xf numFmtId="0" fontId="7" fillId="2" borderId="1" xfId="20" applyFont="1" applyFill="1" applyBorder="1" applyAlignment="1" applyProtection="1">
      <alignment horizontal="center" vertical="center"/>
      <protection locked="0"/>
    </xf>
    <xf numFmtId="0" fontId="39" fillId="2" borderId="7" xfId="0" applyFont="1" applyFill="1" applyBorder="1" applyAlignment="1">
      <alignment horizontal="center" vertical="center"/>
    </xf>
    <xf numFmtId="0" fontId="39" fillId="2" borderId="6" xfId="0" applyFont="1" applyFill="1" applyBorder="1" applyAlignment="1">
      <alignment horizontal="center" vertical="center"/>
    </xf>
    <xf numFmtId="0" fontId="5" fillId="0" borderId="0" xfId="1" applyFont="1" applyFill="1" applyAlignment="1">
      <alignment horizontal="center" vertical="center"/>
    </xf>
    <xf numFmtId="0" fontId="9" fillId="0" borderId="0" xfId="1" applyFont="1" applyFill="1" applyAlignment="1">
      <alignment horizontal="center" vertical="center"/>
    </xf>
    <xf numFmtId="0" fontId="34"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35" fillId="0" borderId="1" xfId="0" applyFont="1" applyBorder="1" applyAlignment="1">
      <alignment horizontal="center" vertical="center"/>
    </xf>
    <xf numFmtId="0" fontId="23" fillId="2" borderId="2" xfId="0" applyFont="1" applyFill="1" applyBorder="1" applyAlignment="1">
      <alignment horizontal="center" vertical="center"/>
    </xf>
    <xf numFmtId="0" fontId="23" fillId="2" borderId="4" xfId="0" applyFont="1" applyFill="1" applyBorder="1" applyAlignment="1">
      <alignment horizontal="center" vertical="center"/>
    </xf>
    <xf numFmtId="0" fontId="12" fillId="0" borderId="7" xfId="20" applyFont="1" applyBorder="1" applyAlignment="1" applyProtection="1">
      <alignment horizontal="center" vertical="center"/>
      <protection locked="0"/>
    </xf>
    <xf numFmtId="0" fontId="12" fillId="0" borderId="15" xfId="20" applyFont="1" applyBorder="1" applyAlignment="1" applyProtection="1">
      <alignment horizontal="center" vertical="center"/>
      <protection locked="0"/>
    </xf>
    <xf numFmtId="0" fontId="23" fillId="2" borderId="7" xfId="0" applyFont="1" applyFill="1" applyBorder="1" applyAlignment="1">
      <alignment horizontal="center" vertical="center"/>
    </xf>
    <xf numFmtId="0" fontId="23" fillId="2" borderId="6" xfId="0" applyFont="1" applyFill="1" applyBorder="1" applyAlignment="1">
      <alignment horizontal="center" vertical="center"/>
    </xf>
    <xf numFmtId="0" fontId="63" fillId="2" borderId="1" xfId="44" applyFont="1" applyFill="1" applyBorder="1" applyAlignment="1">
      <alignment horizontal="center" vertical="center"/>
    </xf>
    <xf numFmtId="40" fontId="5" fillId="2" borderId="1" xfId="45" applyFont="1" applyFill="1" applyBorder="1" applyAlignment="1">
      <alignment horizontal="center" vertical="center"/>
    </xf>
    <xf numFmtId="0" fontId="9" fillId="0" borderId="0" xfId="15" applyFont="1" applyFill="1" applyAlignment="1">
      <alignment horizontal="center" vertical="center"/>
    </xf>
    <xf numFmtId="0" fontId="57" fillId="0" borderId="0" xfId="15" applyFont="1" applyFill="1" applyAlignment="1">
      <alignment horizontal="center" vertical="center"/>
    </xf>
    <xf numFmtId="40" fontId="5" fillId="2" borderId="1" xfId="45" applyFont="1" applyFill="1" applyBorder="1" applyAlignment="1">
      <alignment horizontal="center" vertical="center" wrapText="1"/>
    </xf>
    <xf numFmtId="0" fontId="11" fillId="0" borderId="1" xfId="3" applyFont="1" applyBorder="1" applyAlignment="1">
      <alignment horizontal="center" vertical="center" wrapText="1"/>
      <protection locked="0"/>
    </xf>
    <xf numFmtId="0" fontId="12" fillId="0" borderId="1" xfId="3" applyFont="1" applyBorder="1" applyAlignment="1">
      <alignment horizontal="center" vertical="center" wrapText="1"/>
      <protection locked="0"/>
    </xf>
    <xf numFmtId="0" fontId="10" fillId="0" borderId="0" xfId="15" applyFont="1" applyFill="1" applyAlignment="1">
      <alignment horizontal="center" vertical="center"/>
    </xf>
    <xf numFmtId="0" fontId="58" fillId="0" borderId="0" xfId="15" applyFont="1" applyFill="1" applyAlignment="1">
      <alignment horizontal="center" vertical="center"/>
    </xf>
    <xf numFmtId="0" fontId="5" fillId="2" borderId="7" xfId="3" applyFont="1" applyFill="1" applyBorder="1" applyAlignment="1">
      <alignment horizontal="center" vertical="center" wrapText="1"/>
      <protection locked="0"/>
    </xf>
    <xf numFmtId="0" fontId="5" fillId="2" borderId="6" xfId="3" applyFont="1" applyFill="1" applyBorder="1" applyAlignment="1">
      <alignment horizontal="center" vertical="center" wrapText="1"/>
      <protection locked="0"/>
    </xf>
    <xf numFmtId="0" fontId="5" fillId="2" borderId="2" xfId="3" applyFont="1" applyFill="1" applyBorder="1" applyAlignment="1">
      <alignment horizontal="center" vertical="center" wrapText="1"/>
      <protection locked="0"/>
    </xf>
    <xf numFmtId="0" fontId="5" fillId="2" borderId="4" xfId="3" applyFont="1" applyFill="1" applyBorder="1" applyAlignment="1">
      <alignment horizontal="center" vertical="center" wrapText="1"/>
      <protection locked="0"/>
    </xf>
    <xf numFmtId="43" fontId="5" fillId="2" borderId="9" xfId="7" applyFont="1" applyFill="1" applyBorder="1" applyAlignment="1" applyProtection="1">
      <alignment horizontal="center" vertical="center" wrapText="1"/>
      <protection locked="0"/>
    </xf>
    <xf numFmtId="43" fontId="5" fillId="2" borderId="10" xfId="7" applyFont="1" applyFill="1" applyBorder="1" applyAlignment="1" applyProtection="1">
      <alignment horizontal="center" vertical="center" wrapText="1"/>
      <protection locked="0"/>
    </xf>
    <xf numFmtId="43" fontId="5" fillId="2" borderId="13" xfId="7" applyFont="1" applyFill="1" applyBorder="1" applyAlignment="1" applyProtection="1">
      <alignment horizontal="center" vertical="center" wrapText="1"/>
      <protection locked="0"/>
    </xf>
    <xf numFmtId="43" fontId="5" fillId="2" borderId="5" xfId="7" applyFont="1" applyFill="1" applyBorder="1" applyAlignment="1" applyProtection="1">
      <alignment horizontal="center" vertical="center" wrapText="1"/>
      <protection locked="0"/>
    </xf>
    <xf numFmtId="0" fontId="33" fillId="0" borderId="0" xfId="49" applyNumberFormat="1" applyFont="1" applyAlignment="1">
      <alignment horizontal="left" vertical="center" wrapText="1"/>
    </xf>
    <xf numFmtId="0" fontId="9" fillId="0" borderId="0" xfId="46" applyFont="1" applyAlignment="1">
      <alignment horizontal="center" vertical="center"/>
    </xf>
    <xf numFmtId="0" fontId="4" fillId="0" borderId="0" xfId="46" applyFont="1" applyAlignment="1">
      <alignment vertical="center"/>
    </xf>
    <xf numFmtId="0" fontId="57" fillId="0" borderId="0" xfId="46" applyFont="1" applyAlignment="1">
      <alignment horizontal="center" vertical="center"/>
    </xf>
    <xf numFmtId="0" fontId="11" fillId="0" borderId="0" xfId="46" applyFont="1" applyAlignment="1">
      <alignment horizontal="center" vertical="center"/>
    </xf>
    <xf numFmtId="0" fontId="72" fillId="0" borderId="0" xfId="46" applyFont="1" applyAlignment="1">
      <alignment horizontal="center" vertical="center"/>
    </xf>
    <xf numFmtId="0" fontId="16" fillId="2" borderId="2" xfId="3" applyFont="1" applyFill="1" applyBorder="1" applyAlignment="1" applyProtection="1">
      <alignment horizontal="center" vertical="center"/>
    </xf>
    <xf numFmtId="0" fontId="16" fillId="2" borderId="4" xfId="3" applyFont="1" applyFill="1" applyBorder="1" applyAlignment="1" applyProtection="1">
      <alignment horizontal="center" vertical="center"/>
    </xf>
    <xf numFmtId="0" fontId="16" fillId="2" borderId="3" xfId="3" applyFont="1" applyFill="1" applyBorder="1" applyAlignment="1" applyProtection="1">
      <alignment horizontal="center" vertical="center"/>
    </xf>
    <xf numFmtId="0" fontId="16" fillId="2" borderId="7" xfId="3" applyFont="1" applyFill="1" applyBorder="1" applyAlignment="1" applyProtection="1">
      <alignment horizontal="center" vertical="center" wrapText="1"/>
    </xf>
    <xf numFmtId="0" fontId="16" fillId="2" borderId="6" xfId="3" applyFont="1" applyFill="1" applyBorder="1" applyAlignment="1" applyProtection="1">
      <alignment horizontal="center" vertical="center" wrapText="1"/>
    </xf>
    <xf numFmtId="0" fontId="16" fillId="2" borderId="9" xfId="3" applyFont="1" applyFill="1" applyBorder="1" applyAlignment="1" applyProtection="1">
      <alignment horizontal="center" vertical="center" wrapText="1"/>
    </xf>
    <xf numFmtId="0" fontId="16" fillId="2" borderId="8" xfId="3" applyFont="1" applyFill="1" applyBorder="1" applyAlignment="1" applyProtection="1">
      <alignment horizontal="center" vertical="center" wrapText="1"/>
    </xf>
    <xf numFmtId="0" fontId="16" fillId="2" borderId="10" xfId="3" applyFont="1" applyFill="1" applyBorder="1" applyAlignment="1" applyProtection="1">
      <alignment horizontal="center" vertical="center" wrapText="1"/>
    </xf>
    <xf numFmtId="43" fontId="46" fillId="0" borderId="0" xfId="25" applyNumberFormat="1" applyFont="1" applyBorder="1" applyAlignment="1">
      <alignment vertical="center" wrapText="1"/>
    </xf>
    <xf numFmtId="180" fontId="45" fillId="0" borderId="0" xfId="3" applyNumberFormat="1" applyFont="1" applyFill="1" applyBorder="1" applyAlignment="1" applyProtection="1">
      <alignment vertical="center" wrapText="1"/>
    </xf>
    <xf numFmtId="43" fontId="11" fillId="0" borderId="0" xfId="25" applyNumberFormat="1" applyFont="1" applyBorder="1" applyAlignment="1">
      <alignment vertical="center" wrapText="1"/>
    </xf>
    <xf numFmtId="0" fontId="9" fillId="0" borderId="0" xfId="24" applyFont="1" applyAlignment="1">
      <alignment horizontal="center" vertical="center"/>
    </xf>
    <xf numFmtId="0" fontId="57" fillId="0" borderId="0" xfId="24" applyFont="1" applyAlignment="1">
      <alignment horizontal="center" vertical="center"/>
    </xf>
    <xf numFmtId="0" fontId="5" fillId="2" borderId="7" xfId="27" applyFont="1" applyFill="1" applyBorder="1" applyAlignment="1">
      <alignment horizontal="center" vertical="center"/>
    </xf>
    <xf numFmtId="0" fontId="5" fillId="2" borderId="6" xfId="27" applyFont="1" applyFill="1" applyBorder="1" applyAlignment="1">
      <alignment horizontal="center" vertical="center"/>
    </xf>
    <xf numFmtId="0" fontId="5" fillId="2" borderId="1" xfId="27" applyFont="1" applyFill="1" applyBorder="1" applyAlignment="1">
      <alignment horizontal="center" vertical="center" wrapText="1"/>
    </xf>
    <xf numFmtId="0" fontId="5" fillId="2" borderId="7" xfId="27" applyFont="1" applyFill="1" applyBorder="1" applyAlignment="1">
      <alignment horizontal="center" vertical="center" wrapText="1"/>
    </xf>
    <xf numFmtId="0" fontId="5" fillId="2" borderId="6" xfId="27" applyFont="1" applyFill="1" applyBorder="1" applyAlignment="1">
      <alignment horizontal="center" vertical="center" wrapText="1"/>
    </xf>
    <xf numFmtId="0" fontId="5" fillId="2" borderId="2" xfId="27" applyFont="1" applyFill="1" applyBorder="1" applyAlignment="1">
      <alignment horizontal="center" vertical="center" wrapText="1"/>
    </xf>
    <xf numFmtId="0" fontId="5" fillId="2" borderId="3" xfId="27" applyFont="1" applyFill="1" applyBorder="1" applyAlignment="1">
      <alignment horizontal="center" vertical="center" wrapText="1"/>
    </xf>
    <xf numFmtId="180" fontId="16" fillId="2" borderId="1" xfId="31" applyFont="1" applyFill="1" applyBorder="1" applyAlignment="1">
      <alignment horizontal="left" vertical="center"/>
    </xf>
    <xf numFmtId="180" fontId="9" fillId="0" borderId="0" xfId="28" applyFont="1" applyAlignment="1">
      <alignment horizontal="center" vertical="center"/>
      <protection locked="0"/>
    </xf>
    <xf numFmtId="180" fontId="57" fillId="0" borderId="0" xfId="28" applyFont="1" applyAlignment="1">
      <alignment horizontal="center" vertical="center"/>
      <protection locked="0"/>
    </xf>
    <xf numFmtId="180" fontId="16" fillId="2" borderId="1" xfId="31" applyFont="1" applyFill="1" applyBorder="1" applyAlignment="1">
      <alignment horizontal="center" vertical="center"/>
    </xf>
    <xf numFmtId="180" fontId="16" fillId="2" borderId="1" xfId="31" applyFont="1" applyFill="1" applyBorder="1" applyAlignment="1">
      <alignment horizontal="center" vertical="center" wrapText="1"/>
    </xf>
    <xf numFmtId="0" fontId="33" fillId="0" borderId="0" xfId="0" applyFont="1" applyAlignment="1">
      <alignment horizontal="left" vertical="center" wrapText="1"/>
    </xf>
    <xf numFmtId="0" fontId="20" fillId="0" borderId="14" xfId="0" applyFont="1" applyBorder="1" applyAlignment="1">
      <alignment horizontal="left" vertical="center" wrapText="1"/>
    </xf>
    <xf numFmtId="0" fontId="20" fillId="0" borderId="8" xfId="0" applyFont="1" applyBorder="1" applyAlignment="1">
      <alignment horizontal="left" vertical="center" wrapText="1"/>
    </xf>
    <xf numFmtId="0" fontId="20" fillId="0" borderId="0" xfId="0" applyFont="1" applyAlignment="1">
      <alignment horizontal="left" vertical="center" wrapText="1"/>
    </xf>
    <xf numFmtId="180" fontId="27" fillId="5" borderId="0" xfId="32" applyFont="1" applyFill="1" applyAlignment="1" applyProtection="1">
      <alignment horizontal="center" vertical="center"/>
      <protection locked="0"/>
    </xf>
    <xf numFmtId="180" fontId="70" fillId="5" borderId="0" xfId="32" applyFont="1" applyFill="1" applyBorder="1" applyAlignment="1" applyProtection="1">
      <alignment horizontal="center" vertical="center"/>
      <protection locked="0"/>
    </xf>
    <xf numFmtId="180" fontId="56" fillId="5" borderId="0" xfId="32" applyFont="1" applyFill="1" applyBorder="1" applyAlignment="1" applyProtection="1">
      <alignment horizontal="center" vertical="center"/>
      <protection locked="0"/>
    </xf>
    <xf numFmtId="180" fontId="12" fillId="5" borderId="0" xfId="32" applyFont="1" applyFill="1" applyBorder="1" applyAlignment="1" applyProtection="1">
      <alignment horizontal="center" vertical="center"/>
      <protection locked="0"/>
    </xf>
    <xf numFmtId="180" fontId="29" fillId="5" borderId="0" xfId="32" applyFont="1" applyFill="1" applyBorder="1" applyAlignment="1" applyProtection="1">
      <alignment horizontal="center" vertical="center"/>
      <protection locked="0"/>
    </xf>
    <xf numFmtId="180" fontId="51" fillId="5" borderId="0" xfId="35" applyFont="1" applyFill="1" applyBorder="1" applyAlignment="1" applyProtection="1">
      <alignment horizontal="left" vertical="center" wrapText="1"/>
      <protection locked="0"/>
    </xf>
    <xf numFmtId="180" fontId="51" fillId="5" borderId="0" xfId="34" applyFont="1" applyFill="1" applyBorder="1" applyAlignment="1" applyProtection="1">
      <alignment horizontal="left" vertical="center" wrapText="1"/>
      <protection locked="0"/>
    </xf>
    <xf numFmtId="180" fontId="51" fillId="5" borderId="0" xfId="32" applyFont="1" applyFill="1" applyBorder="1" applyAlignment="1" applyProtection="1">
      <alignment horizontal="left" vertical="center" wrapText="1"/>
      <protection locked="0"/>
    </xf>
    <xf numFmtId="180" fontId="56" fillId="5" borderId="0" xfId="35" applyFont="1" applyFill="1" applyBorder="1" applyAlignment="1" applyProtection="1">
      <alignment horizontal="center" vertical="center" wrapText="1"/>
      <protection locked="0"/>
    </xf>
  </cellXfs>
  <cellStyles count="50">
    <cellStyle name="0,0_x000d__x000a_NA_x000d__x000a_" xfId="16"/>
    <cellStyle name="Normal 3" xfId="23"/>
    <cellStyle name="百分比" xfId="18" builtinId="5"/>
    <cellStyle name="百分比 2" xfId="5"/>
    <cellStyle name="百分比 2 2" xfId="10"/>
    <cellStyle name="百分比 3" xfId="13"/>
    <cellStyle name="百分比 5" xfId="11"/>
    <cellStyle name="常规" xfId="0" builtinId="0"/>
    <cellStyle name="常规 11 2" xfId="36"/>
    <cellStyle name="常规 12" xfId="38"/>
    <cellStyle name="常规 13" xfId="41"/>
    <cellStyle name="常规 14 2" xfId="20"/>
    <cellStyle name="常规 2" xfId="3"/>
    <cellStyle name="常规 2 2" xfId="12"/>
    <cellStyle name="常规 2 2 2 10" xfId="21"/>
    <cellStyle name="常规 2 2 3" xfId="34"/>
    <cellStyle name="常规 2 3" xfId="1"/>
    <cellStyle name="常规 2 4" xfId="33"/>
    <cellStyle name="常规 2 7" xfId="44"/>
    <cellStyle name="常规 3" xfId="8"/>
    <cellStyle name="常规 3 2" xfId="27"/>
    <cellStyle name="常规 3 2 2" xfId="28"/>
    <cellStyle name="常规 3 5" xfId="39"/>
    <cellStyle name="常规 4" xfId="31"/>
    <cellStyle name="常规 5" xfId="46"/>
    <cellStyle name="常规 5 2" xfId="49"/>
    <cellStyle name="常规 6" xfId="47"/>
    <cellStyle name="常规 7" xfId="40"/>
    <cellStyle name="常规_Book1" xfId="15"/>
    <cellStyle name="常规_Book1 2" xfId="37"/>
    <cellStyle name="常规_c-资产类" xfId="24"/>
    <cellStyle name="常规_工程施工业务循环内控测试" xfId="35"/>
    <cellStyle name="常规_进一步审计程序--销售与收款循环 2" xfId="30"/>
    <cellStyle name="常规_全部表格4" xfId="22"/>
    <cellStyle name="常规_审计提示－沟通记录模板（适用内外各主体、各阶段的沟通及会议）" xfId="32"/>
    <cellStyle name="常规_新审定表" xfId="25"/>
    <cellStyle name="常规_新审定表 2" xfId="29"/>
    <cellStyle name="常规_制造费用" xfId="26"/>
    <cellStyle name="常规_制造费用 2" xfId="43"/>
    <cellStyle name="超链接" xfId="48" builtinId="8"/>
    <cellStyle name="千位分隔" xfId="17" builtinId="3"/>
    <cellStyle name="千位分隔 11" xfId="7"/>
    <cellStyle name="千位分隔 13" xfId="9"/>
    <cellStyle name="千位分隔 14" xfId="4"/>
    <cellStyle name="千位分隔 2" xfId="2"/>
    <cellStyle name="千位分隔 2 3" xfId="6"/>
    <cellStyle name="千位分隔 2 3 2" xfId="45"/>
    <cellStyle name="千位分隔 2 4" xfId="14"/>
    <cellStyle name="千位分隔 3" xfId="42"/>
    <cellStyle name="千位分隔[0] 3" xfId="19"/>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5.&#24213;&#31295;&#27169;&#26495;\2025&#24180;&#24213;&#31295;&#20462;&#35746;\1.&#24050;&#20462;&#35746;&#24213;&#31295;\G%20&#23384;&#36135;&#24490;&#29615;\G2&#23384;&#36135;\G2-7%20G2-11%20G2-12%20G2-13%20&#23384;&#36135;&#21450;&#36300;&#20215;&#20934;&#22791;%20-&#26816;&#26597;&#31867;&#65288;Leap&#24212;&#23545;&#25514;&#26045;-&#26816;&#2659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本期报表"/>
      <sheetName val="2004"/>
      <sheetName val="余额表"/>
      <sheetName val="完"/>
      <sheetName val="企业表一"/>
      <sheetName val="M-5C"/>
      <sheetName val="M-5A"/>
      <sheetName val="上期报表"/>
      <sheetName val="原TB表"/>
      <sheetName val="AGRO PRC DATABASE"/>
      <sheetName val="Breakdown"/>
      <sheetName val="cover"/>
      <sheetName val="E1"/>
      <sheetName val="填写参数"/>
      <sheetName val="3-2-8"/>
      <sheetName val="3-2-7"/>
      <sheetName val="3-2-9"/>
      <sheetName val="1-7-1"/>
      <sheetName val="重分类调整"/>
      <sheetName val="成本日报(4-10)"/>
      <sheetName val="现金流量表所需提供的资料"/>
      <sheetName val="利润及利润分配表试算表"/>
      <sheetName val="资产试算表"/>
      <sheetName val="负债试算表"/>
      <sheetName val="2013调整分录"/>
      <sheetName val="2012调整分录"/>
      <sheetName val="项目索引"/>
      <sheetName val="2009调整分录"/>
      <sheetName val="12月份品种酒生产月报表"/>
      <sheetName val="Investment Property"/>
      <sheetName val="W"/>
      <sheetName val="Detailed Testing"/>
      <sheetName val="银行借款询证"/>
      <sheetName val="A3"/>
      <sheetName val="报表层次重要性水平"/>
      <sheetName val="多级销售汇总表（备用）"/>
      <sheetName val="所有者权益(股东权益)变动表(未审)"/>
      <sheetName val="2006"/>
      <sheetName val="折旧测试2007"/>
      <sheetName val="科目余额表"/>
      <sheetName val="外地"/>
      <sheetName val="坯布"/>
      <sheetName val="材料"/>
      <sheetName val="外销"/>
      <sheetName val="材料采购-入库"/>
      <sheetName val="原材料－其他"/>
      <sheetName val="材料成本差异－运费等"/>
      <sheetName val="材料采购－原材料（购价）"/>
      <sheetName val="剥离前"/>
      <sheetName val="2011调整分录"/>
      <sheetName val="表头"/>
      <sheetName val="其他业务收支"/>
      <sheetName val="03"/>
      <sheetName val="E1020"/>
      <sheetName val="UFPrn20060308121009"/>
      <sheetName val="试算"/>
      <sheetName val="名称（勿删）"/>
      <sheetName val="基础信息"/>
      <sheetName val="UFPrn20050930091710"/>
      <sheetName val="UFPrn20050930204109"/>
      <sheetName val="科目名称表"/>
      <sheetName val="利润及分配表"/>
      <sheetName val="资产方"/>
      <sheetName val="减值准备表"/>
      <sheetName val="负债方"/>
      <sheetName val="ZH1-4其他应收款个别认定"/>
      <sheetName val="ZH1-3应收账款个别认定"/>
      <sheetName val="广州库"/>
      <sheetName val="自定义名称"/>
      <sheetName val="35.1租赁明细"/>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Sheet2"/>
      <sheetName val="投资性房地产Dy"/>
      <sheetName val="原材料"/>
      <sheetName val="资产负债表"/>
      <sheetName val="Sheet1"/>
      <sheetName val="B"/>
      <sheetName val="IMPORT"/>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SW-TEO"/>
      <sheetName val="邻酮定乙酚发出测试"/>
      <sheetName val="二级明细"/>
      <sheetName val="其他应收-导出"/>
      <sheetName val="营业外支出"/>
      <sheetName val="Toolbox"/>
      <sheetName val="DATA"/>
      <sheetName val="委托加工材料"/>
      <sheetName val="eqpmad2"/>
      <sheetName val="1月"/>
      <sheetName val="出租开发产品明细"/>
      <sheetName val="暂估"/>
      <sheetName val="original"/>
      <sheetName val="4-货币资金-现金"/>
      <sheetName val="G.1R-Shou COP Gf"/>
      <sheetName val="流资汇总"/>
      <sheetName val="披露表(上市)"/>
      <sheetName val="Chart of Account"/>
      <sheetName val="产品销售利润明细表"/>
      <sheetName val="Title"/>
      <sheetName val="其他货币资金.dbf"/>
      <sheetName val="银行存款.dbf"/>
      <sheetName val="A430"/>
      <sheetName val="累计销售"/>
      <sheetName val="库存商品余额表.dbf"/>
      <sheetName val="P12 TB SZ"/>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GT_Custom"/>
      <sheetName val="截止测试-入库（记账凭证至原始凭证）G2-7-1"/>
      <sheetName val="截止测试-入库（原始凭证至记账凭证）G2-7-1 "/>
      <sheetName val="截止测试-出库（记账凭证至原始凭证）G2-7-2"/>
      <sheetName val="截止测试-出库（原始凭证至记账凭证）G2-7-2"/>
      <sheetName val="截止测试-制造费用-新增"/>
      <sheetName val="存货采购检查表-新增"/>
      <sheetName val="材料领用检查表-新增"/>
      <sheetName val="委托加工物资核查表G2-12"/>
      <sheetName val="合同履约成本测试（示例）-删除"/>
      <sheetName val="截止测试-入库（记账凭证至原始凭证）F2-29"/>
      <sheetName val="截止测试-入库（原始凭证至记账凭证）F2-30"/>
      <sheetName val="截止测试-出库（记账凭证至原始凭证）F2-31"/>
      <sheetName val="截止测试-出库（原始凭证至记账凭证）F2-32"/>
      <sheetName val="存货采购入库检查表F2-33-新增"/>
      <sheetName val="材料领用检查表F2-34-新增"/>
      <sheetName val="委托加工物资核查表F2-35"/>
      <sheetName val="合同履约成本测试（示例）-移至合同履约成本"/>
    </sheetNames>
    <sheetDataSet>
      <sheetData sheetId="0">
        <row r="2">
          <cell r="A2" t="str">
            <v>被审计单位：ABC公司</v>
          </cell>
        </row>
        <row r="3">
          <cell r="A3" t="str">
            <v>截止日：202X年12月31日</v>
          </cell>
        </row>
        <row r="4">
          <cell r="A4" t="str">
            <v>编制人：张XX</v>
          </cell>
        </row>
        <row r="5">
          <cell r="A5" t="str">
            <v>编制日期：2024-4-1</v>
          </cell>
        </row>
        <row r="6">
          <cell r="A6" t="str">
            <v>复核人：李XX</v>
          </cell>
        </row>
        <row r="7">
          <cell r="A7" t="str">
            <v>复核日期：2024-5-1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tabSelected="1" workbookViewId="0"/>
  </sheetViews>
  <sheetFormatPr defaultColWidth="10" defaultRowHeight="18" customHeight="1"/>
  <cols>
    <col min="1" max="1" width="85.77734375" style="225" customWidth="1"/>
    <col min="2" max="2" width="2.21875" style="225" customWidth="1"/>
    <col min="3" max="3" width="2.33203125" style="225" customWidth="1"/>
    <col min="4" max="4" width="9.5546875" style="225" customWidth="1"/>
    <col min="5" max="5" width="54.77734375" style="225" bestFit="1" customWidth="1"/>
    <col min="6" max="16384" width="10" style="225"/>
  </cols>
  <sheetData>
    <row r="1" spans="1:6" s="221" customFormat="1" ht="18" customHeight="1">
      <c r="A1" s="220" t="s">
        <v>281</v>
      </c>
    </row>
    <row r="2" spans="1:6" ht="19.5" customHeight="1">
      <c r="A2" s="222" t="s">
        <v>663</v>
      </c>
      <c r="B2" s="223"/>
      <c r="C2" s="223"/>
      <c r="D2" s="224" t="s">
        <v>282</v>
      </c>
      <c r="E2" s="224" t="s">
        <v>283</v>
      </c>
      <c r="F2" s="224" t="s">
        <v>284</v>
      </c>
    </row>
    <row r="3" spans="1:6" ht="19.5" customHeight="1">
      <c r="A3" s="402" t="s">
        <v>698</v>
      </c>
      <c r="B3" s="223"/>
      <c r="C3" s="223"/>
      <c r="D3" s="226">
        <v>1</v>
      </c>
      <c r="E3" s="359" t="s">
        <v>316</v>
      </c>
      <c r="F3" s="227" t="s">
        <v>668</v>
      </c>
    </row>
    <row r="4" spans="1:6" ht="19.5" customHeight="1">
      <c r="A4" s="228" t="s">
        <v>664</v>
      </c>
      <c r="B4" s="229"/>
      <c r="C4" s="229"/>
      <c r="D4" s="226">
        <v>2</v>
      </c>
      <c r="E4" s="359" t="s">
        <v>339</v>
      </c>
      <c r="F4" s="227" t="s">
        <v>314</v>
      </c>
    </row>
    <row r="5" spans="1:6" ht="19.5" customHeight="1">
      <c r="A5" s="228" t="s">
        <v>665</v>
      </c>
      <c r="D5" s="226">
        <v>3</v>
      </c>
      <c r="E5" s="359" t="s">
        <v>340</v>
      </c>
      <c r="F5" s="227" t="s">
        <v>336</v>
      </c>
    </row>
    <row r="6" spans="1:6" ht="19.5" customHeight="1">
      <c r="A6" s="228" t="s">
        <v>666</v>
      </c>
      <c r="D6" s="226">
        <v>4</v>
      </c>
      <c r="E6" s="359" t="s">
        <v>341</v>
      </c>
      <c r="F6" s="227" t="s">
        <v>337</v>
      </c>
    </row>
    <row r="7" spans="1:6" ht="19.5" customHeight="1">
      <c r="A7" s="228" t="s">
        <v>667</v>
      </c>
      <c r="D7" s="226">
        <v>5</v>
      </c>
      <c r="E7" s="359" t="s">
        <v>368</v>
      </c>
      <c r="F7" s="227" t="s">
        <v>338</v>
      </c>
    </row>
    <row r="8" spans="1:6" ht="19.5" customHeight="1">
      <c r="A8" s="403"/>
      <c r="D8" s="226">
        <v>6</v>
      </c>
      <c r="E8" s="404" t="s">
        <v>700</v>
      </c>
      <c r="F8" s="227" t="s">
        <v>701</v>
      </c>
    </row>
    <row r="9" spans="1:6" ht="19.5" customHeight="1">
      <c r="A9" s="406" t="s">
        <v>716</v>
      </c>
      <c r="D9" s="226">
        <v>7</v>
      </c>
      <c r="E9" s="404" t="s">
        <v>702</v>
      </c>
      <c r="F9" s="227" t="s">
        <v>703</v>
      </c>
    </row>
    <row r="10" spans="1:6" ht="19.5" customHeight="1">
      <c r="A10" s="418" t="s">
        <v>717</v>
      </c>
      <c r="D10" s="226">
        <v>8</v>
      </c>
      <c r="E10" s="404" t="s">
        <v>704</v>
      </c>
      <c r="F10" s="227" t="s">
        <v>705</v>
      </c>
    </row>
    <row r="11" spans="1:6" ht="19.5" customHeight="1">
      <c r="A11" s="418"/>
      <c r="D11" s="226">
        <v>9</v>
      </c>
      <c r="E11" s="404" t="s">
        <v>706</v>
      </c>
      <c r="F11" s="227" t="s">
        <v>707</v>
      </c>
    </row>
    <row r="12" spans="1:6" ht="19.5" customHeight="1">
      <c r="A12" s="418"/>
      <c r="D12" s="226">
        <v>10</v>
      </c>
      <c r="E12" s="404" t="s">
        <v>708</v>
      </c>
      <c r="F12" s="227" t="s">
        <v>709</v>
      </c>
    </row>
    <row r="13" spans="1:6" ht="19.5" customHeight="1">
      <c r="A13" s="418"/>
      <c r="D13" s="226">
        <v>11</v>
      </c>
      <c r="E13" s="404" t="s">
        <v>714</v>
      </c>
      <c r="F13" s="227" t="s">
        <v>715</v>
      </c>
    </row>
    <row r="14" spans="1:6" ht="19.5" customHeight="1">
      <c r="A14" s="418" t="s">
        <v>718</v>
      </c>
      <c r="D14" s="226">
        <v>12</v>
      </c>
      <c r="E14" s="404" t="s">
        <v>710</v>
      </c>
      <c r="F14" s="227" t="s">
        <v>711</v>
      </c>
    </row>
    <row r="15" spans="1:6" ht="18" customHeight="1">
      <c r="A15" s="418"/>
      <c r="D15" s="226">
        <v>13</v>
      </c>
      <c r="E15" s="404" t="s">
        <v>712</v>
      </c>
      <c r="F15" s="227" t="s">
        <v>713</v>
      </c>
    </row>
    <row r="16" spans="1:6" ht="18" customHeight="1">
      <c r="A16" s="418"/>
      <c r="D16" s="226">
        <v>14</v>
      </c>
      <c r="E16" s="359" t="s">
        <v>386</v>
      </c>
      <c r="F16" s="227" t="s">
        <v>429</v>
      </c>
    </row>
    <row r="17" spans="1:6" ht="18" customHeight="1">
      <c r="A17" s="419" t="s">
        <v>719</v>
      </c>
      <c r="D17" s="226">
        <v>15</v>
      </c>
      <c r="E17" s="359" t="s">
        <v>407</v>
      </c>
      <c r="F17" s="227" t="s">
        <v>408</v>
      </c>
    </row>
    <row r="18" spans="1:6" ht="18" customHeight="1">
      <c r="A18" s="419"/>
      <c r="D18" s="226">
        <v>16</v>
      </c>
      <c r="E18" s="359" t="s">
        <v>428</v>
      </c>
      <c r="F18" s="227" t="s">
        <v>461</v>
      </c>
    </row>
    <row r="19" spans="1:6" ht="18" customHeight="1">
      <c r="A19" s="419"/>
      <c r="D19" s="226">
        <v>17</v>
      </c>
      <c r="E19" s="359" t="s">
        <v>455</v>
      </c>
      <c r="F19" s="227" t="s">
        <v>462</v>
      </c>
    </row>
    <row r="20" spans="1:6" ht="18" customHeight="1">
      <c r="D20" s="226">
        <v>18</v>
      </c>
      <c r="E20" s="359" t="s">
        <v>517</v>
      </c>
      <c r="F20" s="227" t="s">
        <v>501</v>
      </c>
    </row>
    <row r="21" spans="1:6" ht="18" customHeight="1">
      <c r="D21" s="226">
        <v>19</v>
      </c>
      <c r="E21" s="359" t="s">
        <v>518</v>
      </c>
      <c r="F21" s="227" t="s">
        <v>519</v>
      </c>
    </row>
    <row r="22" spans="1:6" ht="18" customHeight="1">
      <c r="D22" s="226">
        <v>20</v>
      </c>
      <c r="E22" s="359" t="s">
        <v>643</v>
      </c>
      <c r="F22" s="227" t="s">
        <v>528</v>
      </c>
    </row>
    <row r="23" spans="1:6" ht="18" customHeight="1">
      <c r="D23" s="226">
        <v>21</v>
      </c>
      <c r="E23" s="359" t="s">
        <v>644</v>
      </c>
      <c r="F23" s="227" t="s">
        <v>645</v>
      </c>
    </row>
  </sheetData>
  <mergeCells count="3">
    <mergeCell ref="A10:A13"/>
    <mergeCell ref="A14:A16"/>
    <mergeCell ref="A17:A19"/>
  </mergeCells>
  <phoneticPr fontId="6" type="noConversion"/>
  <hyperlinks>
    <hyperlink ref="E3" location="'程序表F2-61A'!A1" display="存货实质性程序"/>
    <hyperlink ref="E4" location="'原材料采购价格分析表F2-61'!A1" display="原材料采购价格分析表"/>
    <hyperlink ref="E5" location="'原材料单价分析F2-62'!A1" display="原材料单价分析表"/>
    <hyperlink ref="E6" location="'存货产量与产能、能耗分析表F2-63'!A1" display="存货产量与产能、能耗分析表"/>
    <hyperlink ref="E7" location="'主要产品生产成本及单耗分析表F2-64'!A1" display="主要产品生产成本及单耗分析表"/>
    <hyperlink ref="E16" location="'关联方采购定价公允性核查（询价函）F2-65'!A1" display="关联方采购定价公允性核查（询价函）"/>
    <hyperlink ref="E17" location="'关联方采购定价公允性核查（市场价）F2-66'!A1" display="关联方采购定价公允性核查（市场价）"/>
    <hyperlink ref="E18" location="'识别未披露的关联方F2-67'!A1" display="识别未披露的关联方"/>
    <hyperlink ref="E19" location="'重要供应商结构分析F2-68'!A1" display="重要供应商结构分析"/>
    <hyperlink ref="E20" location="'供应商核查清单F2-69'!A1" display="供应商核查清单"/>
    <hyperlink ref="E21" location="'供应商信息核查表F2-70'!A1" display="供应商信息核查表"/>
    <hyperlink ref="E22" location="'供应商访谈记录汇总表F2-71'!A1" display="供应商访谈记录汇总表"/>
    <hyperlink ref="E23" location="'供应商访谈记录F2-72'!A1" display="供应商访谈记录"/>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L29"/>
  <sheetViews>
    <sheetView view="pageBreakPreview" topLeftCell="A34" zoomScaleNormal="100" zoomScaleSheetLayoutView="100" workbookViewId="0">
      <selection activeCell="L26" sqref="L26"/>
    </sheetView>
  </sheetViews>
  <sheetFormatPr defaultRowHeight="13.8"/>
  <cols>
    <col min="1" max="1" width="4.33203125" customWidth="1"/>
    <col min="2" max="2" width="10.44140625" customWidth="1"/>
    <col min="3" max="3" width="59.109375" customWidth="1"/>
    <col min="4" max="4" width="9" customWidth="1"/>
    <col min="5" max="5" width="6" customWidth="1"/>
    <col min="6" max="6" width="6.44140625" customWidth="1"/>
    <col min="7" max="8" width="7.21875" customWidth="1"/>
    <col min="9" max="9" width="6.33203125" customWidth="1"/>
    <col min="10" max="10" width="7" style="401" customWidth="1"/>
  </cols>
  <sheetData>
    <row r="1" spans="1:11" s="48" customFormat="1" ht="21" customHeight="1">
      <c r="A1" s="420" t="s">
        <v>0</v>
      </c>
      <c r="B1" s="420"/>
      <c r="C1" s="420"/>
      <c r="D1" s="420"/>
      <c r="E1" s="420"/>
      <c r="F1" s="420"/>
      <c r="G1" s="420"/>
      <c r="H1" s="420"/>
      <c r="I1" s="420"/>
      <c r="J1" s="420"/>
    </row>
    <row r="2" spans="1:11" s="48" customFormat="1" ht="21" customHeight="1">
      <c r="A2" s="421" t="s">
        <v>315</v>
      </c>
      <c r="B2" s="421"/>
      <c r="C2" s="421"/>
      <c r="D2" s="421"/>
      <c r="E2" s="421"/>
      <c r="F2" s="421"/>
      <c r="G2" s="421"/>
      <c r="H2" s="421"/>
      <c r="I2" s="421"/>
      <c r="J2" s="421"/>
    </row>
    <row r="3" spans="1:11" s="48" customFormat="1" ht="21" customHeight="1">
      <c r="A3" s="128" t="str">
        <f>底稿目录!A2</f>
        <v>被审计单位：</v>
      </c>
      <c r="B3" s="128"/>
      <c r="C3" s="128"/>
      <c r="D3" s="129" t="str">
        <f>底稿目录!A4</f>
        <v>编制人：</v>
      </c>
      <c r="E3" s="130"/>
      <c r="F3" s="128" t="str">
        <f>底稿目录!A5</f>
        <v>编制日期：</v>
      </c>
      <c r="G3" s="128"/>
      <c r="H3" s="128"/>
      <c r="I3" s="128" t="s">
        <v>229</v>
      </c>
      <c r="J3" s="398" t="str">
        <f>底稿目录!F3</f>
        <v>F2-61A</v>
      </c>
    </row>
    <row r="4" spans="1:11" s="48" customFormat="1" ht="21" customHeight="1">
      <c r="A4" s="128" t="str">
        <f>底稿目录!A3</f>
        <v>截止日：202X年12月31日</v>
      </c>
      <c r="B4" s="128"/>
      <c r="C4" s="128"/>
      <c r="D4" s="129" t="str">
        <f>底稿目录!A6</f>
        <v>复核人：</v>
      </c>
      <c r="E4" s="130"/>
      <c r="F4" s="128" t="str">
        <f>底稿目录!A7</f>
        <v>复核日期：</v>
      </c>
      <c r="G4" s="128"/>
      <c r="H4" s="128"/>
      <c r="I4" s="128" t="s">
        <v>303</v>
      </c>
      <c r="J4" s="399"/>
    </row>
    <row r="5" spans="1:11" s="48" customFormat="1" ht="21" customHeight="1">
      <c r="A5" s="231" t="s">
        <v>310</v>
      </c>
      <c r="B5" s="131"/>
      <c r="C5" s="132"/>
      <c r="D5" s="128"/>
      <c r="E5" s="130"/>
      <c r="F5" s="128"/>
      <c r="G5" s="128"/>
      <c r="H5" s="128"/>
      <c r="I5" s="130"/>
      <c r="J5" s="399"/>
    </row>
    <row r="6" spans="1:11" s="48" customFormat="1" ht="21" customHeight="1">
      <c r="A6" s="133" t="s">
        <v>480</v>
      </c>
      <c r="B6" s="131"/>
      <c r="C6" s="132"/>
      <c r="D6" s="128"/>
      <c r="E6" s="130"/>
      <c r="F6" s="128"/>
      <c r="G6" s="128"/>
      <c r="H6" s="128"/>
      <c r="I6" s="130"/>
      <c r="J6" s="399"/>
    </row>
    <row r="7" spans="1:11" s="48" customFormat="1" ht="21" customHeight="1">
      <c r="A7" s="232" t="s">
        <v>285</v>
      </c>
      <c r="B7" s="134"/>
      <c r="C7" s="132"/>
      <c r="D7" s="128"/>
      <c r="E7" s="130"/>
      <c r="F7" s="128"/>
      <c r="G7" s="128"/>
      <c r="H7" s="128"/>
      <c r="I7" s="130"/>
      <c r="J7" s="399"/>
    </row>
    <row r="8" spans="1:11" s="48" customFormat="1" ht="19.95" customHeight="1">
      <c r="A8" s="422" t="s">
        <v>301</v>
      </c>
      <c r="B8" s="422"/>
      <c r="C8" s="422"/>
      <c r="D8" s="422"/>
      <c r="E8" s="422"/>
      <c r="F8" s="422"/>
      <c r="G8" s="422"/>
      <c r="H8" s="422" t="s">
        <v>230</v>
      </c>
      <c r="I8" s="422"/>
      <c r="J8" s="422"/>
    </row>
    <row r="9" spans="1:11" s="48" customFormat="1" ht="19.95" customHeight="1">
      <c r="A9" s="424" t="s">
        <v>481</v>
      </c>
      <c r="B9" s="424"/>
      <c r="C9" s="424"/>
      <c r="D9" s="424"/>
      <c r="E9" s="424"/>
      <c r="F9" s="424"/>
      <c r="G9" s="424"/>
      <c r="H9" s="423" t="s">
        <v>286</v>
      </c>
      <c r="I9" s="423"/>
      <c r="J9" s="423"/>
    </row>
    <row r="10" spans="1:11" s="48" customFormat="1" ht="19.95" customHeight="1">
      <c r="A10" s="424" t="s">
        <v>482</v>
      </c>
      <c r="B10" s="424"/>
      <c r="C10" s="424"/>
      <c r="D10" s="424"/>
      <c r="E10" s="424"/>
      <c r="F10" s="424"/>
      <c r="G10" s="424"/>
      <c r="H10" s="423" t="s">
        <v>669</v>
      </c>
      <c r="I10" s="423"/>
      <c r="J10" s="423"/>
    </row>
    <row r="11" spans="1:11" s="48" customFormat="1" ht="19.95" customHeight="1">
      <c r="A11" s="424" t="s">
        <v>672</v>
      </c>
      <c r="B11" s="424"/>
      <c r="C11" s="424"/>
      <c r="D11" s="424"/>
      <c r="E11" s="424"/>
      <c r="F11" s="424"/>
      <c r="G11" s="424"/>
      <c r="H11" s="423" t="s">
        <v>670</v>
      </c>
      <c r="I11" s="423"/>
      <c r="J11" s="423"/>
    </row>
    <row r="12" spans="1:11" s="48" customFormat="1" ht="19.95" customHeight="1">
      <c r="A12" s="424" t="s">
        <v>673</v>
      </c>
      <c r="B12" s="424"/>
      <c r="C12" s="424"/>
      <c r="D12" s="424"/>
      <c r="E12" s="424"/>
      <c r="F12" s="424"/>
      <c r="G12" s="424"/>
      <c r="H12" s="423" t="s">
        <v>671</v>
      </c>
      <c r="I12" s="423"/>
      <c r="J12" s="423"/>
    </row>
    <row r="13" spans="1:11" s="48" customFormat="1" ht="19.95" customHeight="1">
      <c r="A13" s="424" t="s">
        <v>674</v>
      </c>
      <c r="B13" s="424"/>
      <c r="C13" s="424"/>
      <c r="D13" s="424"/>
      <c r="E13" s="424"/>
      <c r="F13" s="424"/>
      <c r="G13" s="424"/>
      <c r="H13" s="423" t="s">
        <v>304</v>
      </c>
      <c r="I13" s="423"/>
      <c r="J13" s="423"/>
    </row>
    <row r="14" spans="1:11" s="48" customFormat="1" ht="21" customHeight="1">
      <c r="A14" s="390" t="s">
        <v>662</v>
      </c>
      <c r="B14" s="390"/>
      <c r="C14" s="233"/>
      <c r="D14" s="128"/>
      <c r="E14" s="130"/>
      <c r="F14" s="128"/>
      <c r="G14" s="128"/>
      <c r="H14" s="128"/>
      <c r="I14" s="130"/>
      <c r="J14" s="399"/>
    </row>
    <row r="15" spans="1:11" s="48" customFormat="1">
      <c r="A15" s="427" t="s">
        <v>287</v>
      </c>
      <c r="B15" s="428" t="s">
        <v>305</v>
      </c>
      <c r="C15" s="429" t="s">
        <v>288</v>
      </c>
      <c r="D15" s="431" t="s">
        <v>311</v>
      </c>
      <c r="E15" s="426" t="s">
        <v>289</v>
      </c>
      <c r="F15" s="426"/>
      <c r="G15" s="426"/>
      <c r="H15" s="426"/>
      <c r="I15" s="426"/>
      <c r="J15" s="422" t="s">
        <v>312</v>
      </c>
    </row>
    <row r="16" spans="1:11" s="48" customFormat="1" ht="36">
      <c r="A16" s="427"/>
      <c r="B16" s="428"/>
      <c r="C16" s="430"/>
      <c r="D16" s="431"/>
      <c r="E16" s="210" t="s">
        <v>290</v>
      </c>
      <c r="F16" s="210" t="s">
        <v>291</v>
      </c>
      <c r="G16" s="211" t="s">
        <v>292</v>
      </c>
      <c r="H16" s="211" t="s">
        <v>293</v>
      </c>
      <c r="I16" s="211" t="s">
        <v>294</v>
      </c>
      <c r="J16" s="422"/>
      <c r="K16" s="369" t="s">
        <v>699</v>
      </c>
    </row>
    <row r="17" spans="1:12" s="48" customFormat="1" ht="81" customHeight="1">
      <c r="A17" s="209" t="s">
        <v>279</v>
      </c>
      <c r="B17" s="234" t="s">
        <v>306</v>
      </c>
      <c r="C17" s="235" t="s">
        <v>646</v>
      </c>
      <c r="D17" s="206" t="s">
        <v>659</v>
      </c>
      <c r="E17" s="237" t="s">
        <v>295</v>
      </c>
      <c r="F17" s="205"/>
      <c r="G17" s="205"/>
      <c r="H17" s="237" t="s">
        <v>295</v>
      </c>
      <c r="I17" s="136"/>
      <c r="J17" s="236" t="s">
        <v>365</v>
      </c>
      <c r="K17" s="238"/>
    </row>
    <row r="18" spans="1:12" s="48" customFormat="1" ht="48.6" customHeight="1">
      <c r="A18" s="208">
        <v>2</v>
      </c>
      <c r="B18" s="234" t="s">
        <v>306</v>
      </c>
      <c r="C18" s="235" t="s">
        <v>296</v>
      </c>
      <c r="D18" s="206" t="s">
        <v>660</v>
      </c>
      <c r="E18" s="237" t="s">
        <v>295</v>
      </c>
      <c r="F18" s="205"/>
      <c r="G18" s="205"/>
      <c r="H18" s="237" t="s">
        <v>295</v>
      </c>
      <c r="I18" s="137"/>
      <c r="J18" s="236" t="s">
        <v>366</v>
      </c>
    </row>
    <row r="19" spans="1:12" s="48" customFormat="1" ht="136.80000000000001" customHeight="1">
      <c r="A19" s="209" t="s">
        <v>691</v>
      </c>
      <c r="B19" s="234" t="s">
        <v>306</v>
      </c>
      <c r="C19" s="235" t="s">
        <v>307</v>
      </c>
      <c r="D19" s="206" t="s">
        <v>660</v>
      </c>
      <c r="E19" s="237" t="s">
        <v>295</v>
      </c>
      <c r="F19" s="205"/>
      <c r="G19" s="205"/>
      <c r="H19" s="237" t="s">
        <v>295</v>
      </c>
      <c r="I19" s="51"/>
      <c r="J19" s="236" t="s">
        <v>380</v>
      </c>
    </row>
    <row r="20" spans="1:12" s="48" customFormat="1" ht="52.8" customHeight="1">
      <c r="A20" s="208">
        <v>4</v>
      </c>
      <c r="B20" s="234" t="s">
        <v>306</v>
      </c>
      <c r="C20" s="235" t="s">
        <v>297</v>
      </c>
      <c r="D20" s="206" t="s">
        <v>661</v>
      </c>
      <c r="E20" s="237" t="s">
        <v>295</v>
      </c>
      <c r="F20" s="205"/>
      <c r="G20" s="205"/>
      <c r="H20" s="205" t="s">
        <v>298</v>
      </c>
      <c r="I20" s="137"/>
      <c r="J20" s="236"/>
    </row>
    <row r="21" spans="1:12" s="48" customFormat="1" ht="50.4" customHeight="1">
      <c r="A21" s="209" t="s">
        <v>692</v>
      </c>
      <c r="B21" s="239" t="s">
        <v>690</v>
      </c>
      <c r="C21" s="240" t="s">
        <v>299</v>
      </c>
      <c r="D21" s="206" t="s">
        <v>661</v>
      </c>
      <c r="E21" s="237" t="s">
        <v>295</v>
      </c>
      <c r="F21" s="205"/>
      <c r="G21" s="205" t="s">
        <v>298</v>
      </c>
      <c r="H21" s="205" t="s">
        <v>298</v>
      </c>
      <c r="I21" s="205"/>
      <c r="J21" s="400"/>
    </row>
    <row r="22" spans="1:12" s="48" customFormat="1" ht="36" customHeight="1">
      <c r="A22" s="208">
        <v>6</v>
      </c>
      <c r="B22" s="239" t="s">
        <v>309</v>
      </c>
      <c r="C22" s="204" t="s">
        <v>658</v>
      </c>
      <c r="D22" s="206" t="s">
        <v>661</v>
      </c>
      <c r="E22" s="237" t="s">
        <v>295</v>
      </c>
      <c r="F22" s="205" t="s">
        <v>298</v>
      </c>
      <c r="G22" s="205" t="s">
        <v>298</v>
      </c>
      <c r="H22" s="205" t="s">
        <v>302</v>
      </c>
      <c r="I22" s="51"/>
      <c r="J22" s="397" t="s">
        <v>529</v>
      </c>
    </row>
    <row r="23" spans="1:12" s="48" customFormat="1" ht="43.8" customHeight="1">
      <c r="A23" s="209" t="s">
        <v>693</v>
      </c>
      <c r="B23" s="230" t="s">
        <v>382</v>
      </c>
      <c r="C23" s="207" t="s">
        <v>381</v>
      </c>
      <c r="D23" s="206" t="s">
        <v>661</v>
      </c>
      <c r="E23" s="51"/>
      <c r="F23" s="51"/>
      <c r="G23" s="51"/>
      <c r="H23" s="237" t="s">
        <v>295</v>
      </c>
      <c r="I23" s="51"/>
      <c r="J23" s="321" t="s">
        <v>463</v>
      </c>
    </row>
    <row r="24" spans="1:12" s="48" customFormat="1" ht="217.2" customHeight="1">
      <c r="A24" s="208">
        <v>8</v>
      </c>
      <c r="B24" s="230" t="s">
        <v>382</v>
      </c>
      <c r="C24" s="393" t="s">
        <v>677</v>
      </c>
      <c r="D24" s="206" t="s">
        <v>659</v>
      </c>
      <c r="E24" s="237" t="s">
        <v>295</v>
      </c>
      <c r="F24" s="205" t="s">
        <v>298</v>
      </c>
      <c r="G24" s="205"/>
      <c r="H24" s="51"/>
      <c r="I24" s="205" t="s">
        <v>302</v>
      </c>
      <c r="J24" s="321" t="s">
        <v>683</v>
      </c>
      <c r="K24" s="238"/>
      <c r="L24" s="391"/>
    </row>
    <row r="25" spans="1:12" s="48" customFormat="1" ht="102" customHeight="1">
      <c r="A25" s="209" t="s">
        <v>694</v>
      </c>
      <c r="B25" s="239" t="s">
        <v>308</v>
      </c>
      <c r="C25" s="135" t="s">
        <v>689</v>
      </c>
      <c r="D25" s="206" t="s">
        <v>659</v>
      </c>
      <c r="E25" s="237" t="s">
        <v>295</v>
      </c>
      <c r="F25" s="205" t="s">
        <v>298</v>
      </c>
      <c r="G25" s="205" t="s">
        <v>298</v>
      </c>
      <c r="H25" s="237" t="s">
        <v>295</v>
      </c>
      <c r="I25" s="205" t="s">
        <v>298</v>
      </c>
      <c r="J25" s="321" t="s">
        <v>688</v>
      </c>
    </row>
    <row r="26" spans="1:12" s="48" customFormat="1" ht="231.6" customHeight="1">
      <c r="A26" s="208">
        <v>10</v>
      </c>
      <c r="B26" s="239" t="s">
        <v>308</v>
      </c>
      <c r="C26" s="393" t="s">
        <v>766</v>
      </c>
      <c r="D26" s="206" t="s">
        <v>659</v>
      </c>
      <c r="E26" s="237" t="s">
        <v>295</v>
      </c>
      <c r="F26" s="205" t="s">
        <v>298</v>
      </c>
      <c r="G26" s="205" t="s">
        <v>298</v>
      </c>
      <c r="H26" s="205" t="s">
        <v>298</v>
      </c>
      <c r="I26" s="51"/>
      <c r="J26" s="321" t="s">
        <v>696</v>
      </c>
    </row>
    <row r="27" spans="1:12" s="48" customFormat="1" ht="53.4" customHeight="1">
      <c r="A27" s="209" t="s">
        <v>695</v>
      </c>
      <c r="B27" s="239"/>
      <c r="C27" s="240" t="s">
        <v>300</v>
      </c>
      <c r="D27" s="206" t="s">
        <v>659</v>
      </c>
      <c r="E27" s="51"/>
      <c r="F27" s="51"/>
      <c r="G27" s="51"/>
      <c r="H27" s="51"/>
      <c r="I27" s="51"/>
      <c r="J27" s="400"/>
    </row>
    <row r="29" spans="1:12" ht="96" customHeight="1">
      <c r="A29" s="425" t="s">
        <v>697</v>
      </c>
      <c r="B29" s="425"/>
      <c r="C29" s="425"/>
      <c r="D29" s="425"/>
      <c r="E29" s="425"/>
      <c r="F29" s="425"/>
      <c r="G29" s="425"/>
      <c r="H29" s="425"/>
      <c r="I29" s="425"/>
      <c r="J29" s="425"/>
    </row>
  </sheetData>
  <mergeCells count="21">
    <mergeCell ref="A29:J29"/>
    <mergeCell ref="A10:G10"/>
    <mergeCell ref="A11:G11"/>
    <mergeCell ref="A12:G12"/>
    <mergeCell ref="A13:G13"/>
    <mergeCell ref="H11:J11"/>
    <mergeCell ref="H12:J12"/>
    <mergeCell ref="H13:J13"/>
    <mergeCell ref="E15:I15"/>
    <mergeCell ref="J15:J16"/>
    <mergeCell ref="A15:A16"/>
    <mergeCell ref="B15:B16"/>
    <mergeCell ref="C15:C16"/>
    <mergeCell ref="D15:D16"/>
    <mergeCell ref="A1:J1"/>
    <mergeCell ref="A2:J2"/>
    <mergeCell ref="H8:J8"/>
    <mergeCell ref="H9:J9"/>
    <mergeCell ref="H10:J10"/>
    <mergeCell ref="A8:G8"/>
    <mergeCell ref="A9:G9"/>
  </mergeCells>
  <phoneticPr fontId="21" type="noConversion"/>
  <hyperlinks>
    <hyperlink ref="J3" location="底稿目录!A1" display="F2-61A"/>
  </hyperlinks>
  <pageMargins left="0.70866141732283472" right="0.70866141732283472" top="0.74803149606299213" bottom="0.74803149606299213" header="0.31496062992125984" footer="0.31496062992125984"/>
  <pageSetup paperSize="9" scale="69"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Q118"/>
  <sheetViews>
    <sheetView view="pageBreakPreview" topLeftCell="A31" zoomScaleNormal="115" zoomScaleSheetLayoutView="100" workbookViewId="0">
      <selection activeCell="A46" sqref="A46"/>
    </sheetView>
  </sheetViews>
  <sheetFormatPr defaultColWidth="10" defaultRowHeight="13.8"/>
  <cols>
    <col min="1" max="1" width="12.77734375" style="18" customWidth="1"/>
    <col min="2" max="2" width="9.6640625" style="18" customWidth="1"/>
    <col min="3" max="14" width="10" style="18"/>
    <col min="15" max="15" width="15.21875" style="18" bestFit="1" customWidth="1"/>
    <col min="16" max="16" width="14.44140625" style="18" customWidth="1"/>
    <col min="17" max="16384" width="10" style="18"/>
  </cols>
  <sheetData>
    <row r="1" spans="1:17" ht="20.100000000000001" customHeight="1">
      <c r="A1" s="432" t="s">
        <v>19</v>
      </c>
      <c r="B1" s="433"/>
      <c r="C1" s="433"/>
      <c r="D1" s="433"/>
      <c r="E1" s="433"/>
      <c r="F1" s="433"/>
      <c r="G1" s="433"/>
      <c r="H1" s="433"/>
      <c r="I1" s="433"/>
      <c r="J1" s="433"/>
      <c r="K1" s="433"/>
      <c r="L1" s="433"/>
      <c r="M1" s="433"/>
      <c r="N1" s="433"/>
      <c r="O1" s="433"/>
      <c r="P1" s="433"/>
    </row>
    <row r="2" spans="1:17" s="19" customFormat="1" ht="25.05" customHeight="1">
      <c r="A2" s="434" t="s">
        <v>317</v>
      </c>
      <c r="B2" s="435"/>
      <c r="C2" s="435"/>
      <c r="D2" s="435"/>
      <c r="E2" s="435"/>
      <c r="F2" s="435"/>
      <c r="G2" s="435"/>
      <c r="H2" s="435"/>
      <c r="I2" s="435"/>
      <c r="J2" s="435"/>
      <c r="K2" s="435"/>
      <c r="L2" s="435"/>
      <c r="M2" s="435"/>
      <c r="N2" s="435"/>
      <c r="O2" s="435"/>
      <c r="P2" s="435"/>
    </row>
    <row r="3" spans="1:17" ht="20.100000000000001" customHeight="1">
      <c r="A3" s="20" t="str">
        <f>底稿目录!A2</f>
        <v>被审计单位：</v>
      </c>
      <c r="B3" s="21"/>
      <c r="E3" s="20" t="str">
        <f>底稿目录!A4</f>
        <v>编制人：</v>
      </c>
      <c r="J3" s="20" t="str">
        <f>底稿目录!A5</f>
        <v>编制日期：</v>
      </c>
      <c r="N3" s="15"/>
      <c r="O3" s="241" t="s">
        <v>20</v>
      </c>
      <c r="P3" s="360" t="str">
        <f>底稿目录!F4</f>
        <v>F2-61</v>
      </c>
      <c r="Q3" s="13"/>
    </row>
    <row r="4" spans="1:17" ht="20.100000000000001" customHeight="1">
      <c r="A4" s="20" t="str">
        <f>底稿目录!A3</f>
        <v>截止日：202X年12月31日</v>
      </c>
      <c r="B4" s="21"/>
      <c r="E4" s="15" t="str">
        <f>底稿目录!A6</f>
        <v>复核人：</v>
      </c>
      <c r="J4" s="15" t="str">
        <f>底稿目录!A7</f>
        <v>复核日期：</v>
      </c>
      <c r="N4" s="15"/>
      <c r="O4" s="62" t="s">
        <v>313</v>
      </c>
      <c r="P4" s="22"/>
    </row>
    <row r="5" spans="1:17" ht="20.100000000000001" customHeight="1">
      <c r="A5" s="24" t="s">
        <v>39</v>
      </c>
      <c r="B5" s="25"/>
      <c r="C5" s="23"/>
      <c r="D5" s="23"/>
      <c r="E5" s="23"/>
      <c r="F5" s="23"/>
      <c r="G5" s="23"/>
      <c r="H5" s="23"/>
      <c r="I5" s="23"/>
      <c r="J5" s="23"/>
      <c r="K5" s="23"/>
      <c r="L5" s="23"/>
      <c r="M5" s="23"/>
      <c r="N5" s="23"/>
      <c r="O5" s="23"/>
      <c r="P5" s="23"/>
    </row>
    <row r="6" spans="1:17" ht="19.8" customHeight="1">
      <c r="A6" s="242" t="s">
        <v>37</v>
      </c>
      <c r="B6" s="243" t="s">
        <v>21</v>
      </c>
      <c r="C6" s="243" t="s">
        <v>22</v>
      </c>
      <c r="D6" s="243" t="s">
        <v>23</v>
      </c>
      <c r="E6" s="243" t="s">
        <v>24</v>
      </c>
      <c r="F6" s="243" t="s">
        <v>25</v>
      </c>
      <c r="G6" s="243" t="s">
        <v>26</v>
      </c>
      <c r="H6" s="243" t="s">
        <v>27</v>
      </c>
      <c r="I6" s="243" t="s">
        <v>28</v>
      </c>
      <c r="J6" s="243" t="s">
        <v>29</v>
      </c>
      <c r="K6" s="243" t="s">
        <v>30</v>
      </c>
      <c r="L6" s="243" t="s">
        <v>31</v>
      </c>
      <c r="M6" s="243" t="s">
        <v>32</v>
      </c>
      <c r="N6" s="244" t="s">
        <v>33</v>
      </c>
      <c r="O6" s="244" t="s">
        <v>45</v>
      </c>
      <c r="P6" s="244" t="s">
        <v>44</v>
      </c>
    </row>
    <row r="7" spans="1:17" ht="20.100000000000001" customHeight="1">
      <c r="A7" s="63"/>
      <c r="B7" s="27"/>
      <c r="C7" s="27"/>
      <c r="D7" s="27"/>
      <c r="E7" s="27"/>
      <c r="F7" s="27"/>
      <c r="G7" s="27"/>
      <c r="H7" s="27"/>
      <c r="I7" s="27"/>
      <c r="J7" s="27"/>
      <c r="K7" s="27"/>
      <c r="L7" s="27"/>
      <c r="M7" s="27"/>
      <c r="N7" s="27"/>
      <c r="O7" s="246">
        <f>SUM(B7:M7)</f>
        <v>0</v>
      </c>
      <c r="P7" s="27"/>
    </row>
    <row r="8" spans="1:17" ht="20.100000000000001" customHeight="1">
      <c r="A8" s="26"/>
      <c r="B8" s="27"/>
      <c r="C8" s="27"/>
      <c r="D8" s="27"/>
      <c r="E8" s="27"/>
      <c r="F8" s="27"/>
      <c r="G8" s="27"/>
      <c r="H8" s="27"/>
      <c r="I8" s="27"/>
      <c r="J8" s="27"/>
      <c r="K8" s="27"/>
      <c r="L8" s="27"/>
      <c r="M8" s="27"/>
      <c r="N8" s="27"/>
      <c r="O8" s="246">
        <f t="shared" ref="O8:O11" si="0">SUM(B8:M8)</f>
        <v>0</v>
      </c>
      <c r="P8" s="27"/>
    </row>
    <row r="9" spans="1:17" ht="20.100000000000001" customHeight="1">
      <c r="A9" s="26"/>
      <c r="B9" s="27"/>
      <c r="C9" s="27"/>
      <c r="D9" s="27"/>
      <c r="E9" s="27"/>
      <c r="F9" s="27"/>
      <c r="G9" s="27"/>
      <c r="H9" s="27"/>
      <c r="I9" s="27"/>
      <c r="J9" s="27"/>
      <c r="K9" s="27"/>
      <c r="L9" s="27"/>
      <c r="M9" s="27"/>
      <c r="N9" s="27"/>
      <c r="O9" s="246">
        <f t="shared" si="0"/>
        <v>0</v>
      </c>
      <c r="P9" s="27"/>
    </row>
    <row r="10" spans="1:17" ht="20.100000000000001" customHeight="1">
      <c r="A10" s="26"/>
      <c r="B10" s="27"/>
      <c r="C10" s="27"/>
      <c r="D10" s="27"/>
      <c r="E10" s="27"/>
      <c r="F10" s="27"/>
      <c r="G10" s="27"/>
      <c r="H10" s="27"/>
      <c r="I10" s="27"/>
      <c r="J10" s="27"/>
      <c r="K10" s="27"/>
      <c r="L10" s="27"/>
      <c r="M10" s="27"/>
      <c r="N10" s="27"/>
      <c r="O10" s="246">
        <f t="shared" si="0"/>
        <v>0</v>
      </c>
      <c r="P10" s="27"/>
    </row>
    <row r="11" spans="1:17" ht="20.100000000000001" customHeight="1">
      <c r="A11" s="26"/>
      <c r="B11" s="27"/>
      <c r="C11" s="27"/>
      <c r="D11" s="27"/>
      <c r="E11" s="27"/>
      <c r="F11" s="27"/>
      <c r="G11" s="27"/>
      <c r="H11" s="27"/>
      <c r="I11" s="27"/>
      <c r="J11" s="27"/>
      <c r="K11" s="27"/>
      <c r="L11" s="27"/>
      <c r="M11" s="27"/>
      <c r="N11" s="27"/>
      <c r="O11" s="246">
        <f t="shared" si="0"/>
        <v>0</v>
      </c>
      <c r="P11" s="27"/>
    </row>
    <row r="12" spans="1:17" s="28" customFormat="1" ht="20.100000000000001" customHeight="1">
      <c r="A12" s="66" t="s">
        <v>34</v>
      </c>
      <c r="B12" s="245">
        <f>SUM(B7:B11)</f>
        <v>0</v>
      </c>
      <c r="C12" s="245">
        <f t="shared" ref="C12:P12" si="1">SUM(C7:C11)</f>
        <v>0</v>
      </c>
      <c r="D12" s="245">
        <f t="shared" si="1"/>
        <v>0</v>
      </c>
      <c r="E12" s="245">
        <f t="shared" si="1"/>
        <v>0</v>
      </c>
      <c r="F12" s="245">
        <f t="shared" si="1"/>
        <v>0</v>
      </c>
      <c r="G12" s="245">
        <f t="shared" si="1"/>
        <v>0</v>
      </c>
      <c r="H12" s="245">
        <f t="shared" si="1"/>
        <v>0</v>
      </c>
      <c r="I12" s="245">
        <f t="shared" si="1"/>
        <v>0</v>
      </c>
      <c r="J12" s="245">
        <f t="shared" si="1"/>
        <v>0</v>
      </c>
      <c r="K12" s="245">
        <f t="shared" si="1"/>
        <v>0</v>
      </c>
      <c r="L12" s="245">
        <f t="shared" si="1"/>
        <v>0</v>
      </c>
      <c r="M12" s="245">
        <f t="shared" si="1"/>
        <v>0</v>
      </c>
      <c r="N12" s="245">
        <f t="shared" si="1"/>
        <v>0</v>
      </c>
      <c r="O12" s="245">
        <f t="shared" si="1"/>
        <v>0</v>
      </c>
      <c r="P12" s="245">
        <f t="shared" si="1"/>
        <v>0</v>
      </c>
    </row>
    <row r="13" spans="1:17" ht="20.100000000000001" customHeight="1">
      <c r="A13" s="24" t="s">
        <v>40</v>
      </c>
      <c r="B13" s="23"/>
      <c r="C13" s="23"/>
      <c r="D13" s="23"/>
      <c r="E13" s="23"/>
      <c r="F13" s="23"/>
      <c r="G13" s="23"/>
      <c r="H13" s="23"/>
      <c r="I13" s="23"/>
      <c r="J13" s="23"/>
      <c r="K13" s="23"/>
      <c r="L13" s="23"/>
      <c r="M13" s="23"/>
      <c r="N13" s="23"/>
      <c r="O13" s="23"/>
      <c r="P13" s="23"/>
    </row>
    <row r="14" spans="1:17" ht="20.100000000000001" customHeight="1">
      <c r="A14" s="242" t="s">
        <v>37</v>
      </c>
      <c r="B14" s="243" t="s">
        <v>21</v>
      </c>
      <c r="C14" s="243" t="s">
        <v>22</v>
      </c>
      <c r="D14" s="243" t="s">
        <v>23</v>
      </c>
      <c r="E14" s="243" t="s">
        <v>24</v>
      </c>
      <c r="F14" s="243" t="s">
        <v>25</v>
      </c>
      <c r="G14" s="243" t="s">
        <v>26</v>
      </c>
      <c r="H14" s="243" t="s">
        <v>27</v>
      </c>
      <c r="I14" s="243" t="s">
        <v>28</v>
      </c>
      <c r="J14" s="243" t="s">
        <v>29</v>
      </c>
      <c r="K14" s="243" t="s">
        <v>30</v>
      </c>
      <c r="L14" s="243" t="s">
        <v>31</v>
      </c>
      <c r="M14" s="243" t="s">
        <v>32</v>
      </c>
      <c r="N14" s="247" t="s">
        <v>35</v>
      </c>
      <c r="O14" s="244" t="s">
        <v>46</v>
      </c>
      <c r="P14" s="244" t="s">
        <v>47</v>
      </c>
    </row>
    <row r="15" spans="1:17" ht="20.100000000000001" customHeight="1">
      <c r="A15" s="69">
        <f>A7</f>
        <v>0</v>
      </c>
      <c r="B15" s="27"/>
      <c r="C15" s="27"/>
      <c r="D15" s="27"/>
      <c r="E15" s="27"/>
      <c r="F15" s="27"/>
      <c r="G15" s="27"/>
      <c r="H15" s="27"/>
      <c r="I15" s="27"/>
      <c r="J15" s="27"/>
      <c r="K15" s="27"/>
      <c r="L15" s="27"/>
      <c r="M15" s="27"/>
      <c r="N15" s="27"/>
      <c r="O15" s="246">
        <f>SUM(B15:M15)</f>
        <v>0</v>
      </c>
      <c r="P15" s="27"/>
    </row>
    <row r="16" spans="1:17" ht="20.100000000000001" customHeight="1">
      <c r="A16" s="69">
        <f>A8</f>
        <v>0</v>
      </c>
      <c r="B16" s="27"/>
      <c r="C16" s="27"/>
      <c r="D16" s="27"/>
      <c r="E16" s="27"/>
      <c r="F16" s="27"/>
      <c r="G16" s="27"/>
      <c r="H16" s="27"/>
      <c r="I16" s="27"/>
      <c r="J16" s="27"/>
      <c r="K16" s="27"/>
      <c r="L16" s="27"/>
      <c r="M16" s="27"/>
      <c r="N16" s="27"/>
      <c r="O16" s="246">
        <f t="shared" ref="O16:O17" si="2">SUM(B16:M16)</f>
        <v>0</v>
      </c>
      <c r="P16" s="27"/>
    </row>
    <row r="17" spans="1:16" ht="20.100000000000001" customHeight="1">
      <c r="A17" s="69">
        <f>A9</f>
        <v>0</v>
      </c>
      <c r="B17" s="27"/>
      <c r="C17" s="27"/>
      <c r="D17" s="27"/>
      <c r="E17" s="27"/>
      <c r="F17" s="27"/>
      <c r="G17" s="27"/>
      <c r="H17" s="27"/>
      <c r="I17" s="27"/>
      <c r="J17" s="27"/>
      <c r="K17" s="27"/>
      <c r="L17" s="27"/>
      <c r="M17" s="27"/>
      <c r="N17" s="27"/>
      <c r="O17" s="246">
        <f t="shared" si="2"/>
        <v>0</v>
      </c>
      <c r="P17" s="27"/>
    </row>
    <row r="18" spans="1:16" ht="20.100000000000001" customHeight="1">
      <c r="A18" s="69">
        <f>A10</f>
        <v>0</v>
      </c>
      <c r="B18" s="27"/>
      <c r="C18" s="27"/>
      <c r="D18" s="27"/>
      <c r="E18" s="27"/>
      <c r="F18" s="27"/>
      <c r="G18" s="27"/>
      <c r="H18" s="27"/>
      <c r="I18" s="27"/>
      <c r="J18" s="27"/>
      <c r="K18" s="27"/>
      <c r="L18" s="27"/>
      <c r="M18" s="27"/>
      <c r="N18" s="27"/>
      <c r="O18" s="246">
        <f>SUM(B18:M18)</f>
        <v>0</v>
      </c>
      <c r="P18" s="27"/>
    </row>
    <row r="19" spans="1:16" ht="20.100000000000001" customHeight="1">
      <c r="A19" s="69">
        <f>A11</f>
        <v>0</v>
      </c>
      <c r="B19" s="27"/>
      <c r="C19" s="27"/>
      <c r="D19" s="27"/>
      <c r="E19" s="27"/>
      <c r="F19" s="27"/>
      <c r="G19" s="27"/>
      <c r="H19" s="27"/>
      <c r="I19" s="27"/>
      <c r="J19" s="27"/>
      <c r="K19" s="27"/>
      <c r="L19" s="27"/>
      <c r="M19" s="27"/>
      <c r="N19" s="27"/>
      <c r="O19" s="246">
        <f>SUM(B19:M19)</f>
        <v>0</v>
      </c>
      <c r="P19" s="27"/>
    </row>
    <row r="20" spans="1:16" ht="20.100000000000001" customHeight="1">
      <c r="A20" s="66" t="s">
        <v>34</v>
      </c>
      <c r="B20" s="245">
        <f t="shared" ref="B20:M20" si="3">SUM(B15:B19)</f>
        <v>0</v>
      </c>
      <c r="C20" s="245">
        <f t="shared" si="3"/>
        <v>0</v>
      </c>
      <c r="D20" s="245">
        <f t="shared" si="3"/>
        <v>0</v>
      </c>
      <c r="E20" s="245">
        <f t="shared" si="3"/>
        <v>0</v>
      </c>
      <c r="F20" s="245">
        <f t="shared" si="3"/>
        <v>0</v>
      </c>
      <c r="G20" s="245">
        <f t="shared" si="3"/>
        <v>0</v>
      </c>
      <c r="H20" s="245">
        <f t="shared" si="3"/>
        <v>0</v>
      </c>
      <c r="I20" s="245">
        <f t="shared" si="3"/>
        <v>0</v>
      </c>
      <c r="J20" s="245">
        <f t="shared" si="3"/>
        <v>0</v>
      </c>
      <c r="K20" s="245">
        <f t="shared" si="3"/>
        <v>0</v>
      </c>
      <c r="L20" s="245">
        <f t="shared" si="3"/>
        <v>0</v>
      </c>
      <c r="M20" s="245">
        <f t="shared" si="3"/>
        <v>0</v>
      </c>
      <c r="N20" s="245">
        <f>SUM(N15:N19)</f>
        <v>0</v>
      </c>
      <c r="O20" s="245">
        <f>SUM(O15:O19)</f>
        <v>0</v>
      </c>
      <c r="P20" s="245">
        <f>SUM(P15:P19)</f>
        <v>0</v>
      </c>
    </row>
    <row r="21" spans="1:16" ht="20.100000000000001" customHeight="1">
      <c r="A21" s="29" t="s">
        <v>38</v>
      </c>
      <c r="B21" s="23"/>
      <c r="C21" s="23"/>
      <c r="D21" s="23"/>
      <c r="E21" s="23"/>
      <c r="F21" s="23"/>
      <c r="G21" s="23"/>
      <c r="H21" s="23"/>
      <c r="I21" s="23"/>
      <c r="J21" s="23"/>
      <c r="K21" s="23"/>
      <c r="L21" s="23"/>
      <c r="M21" s="23"/>
      <c r="N21" s="23"/>
      <c r="O21" s="23"/>
      <c r="P21" s="23"/>
    </row>
    <row r="22" spans="1:16" ht="22.5" customHeight="1">
      <c r="A22" s="242" t="s">
        <v>37</v>
      </c>
      <c r="B22" s="243" t="s">
        <v>21</v>
      </c>
      <c r="C22" s="243" t="s">
        <v>22</v>
      </c>
      <c r="D22" s="243" t="s">
        <v>23</v>
      </c>
      <c r="E22" s="243" t="s">
        <v>24</v>
      </c>
      <c r="F22" s="243" t="s">
        <v>25</v>
      </c>
      <c r="G22" s="243" t="s">
        <v>26</v>
      </c>
      <c r="H22" s="243" t="s">
        <v>27</v>
      </c>
      <c r="I22" s="243" t="s">
        <v>28</v>
      </c>
      <c r="J22" s="243" t="s">
        <v>29</v>
      </c>
      <c r="K22" s="243" t="s">
        <v>30</v>
      </c>
      <c r="L22" s="243" t="s">
        <v>31</v>
      </c>
      <c r="M22" s="243" t="s">
        <v>32</v>
      </c>
      <c r="N22" s="247" t="s">
        <v>36</v>
      </c>
      <c r="O22" s="244" t="s">
        <v>48</v>
      </c>
      <c r="P22" s="244" t="s">
        <v>49</v>
      </c>
    </row>
    <row r="23" spans="1:16" ht="20.100000000000001" customHeight="1">
      <c r="A23" s="69">
        <f>A7</f>
        <v>0</v>
      </c>
      <c r="B23" s="246">
        <f t="shared" ref="B23:P23" si="4">IF(B15=0,0,B7/B15)</f>
        <v>0</v>
      </c>
      <c r="C23" s="246">
        <f t="shared" si="4"/>
        <v>0</v>
      </c>
      <c r="D23" s="246">
        <f t="shared" si="4"/>
        <v>0</v>
      </c>
      <c r="E23" s="246">
        <f t="shared" si="4"/>
        <v>0</v>
      </c>
      <c r="F23" s="246">
        <f t="shared" si="4"/>
        <v>0</v>
      </c>
      <c r="G23" s="246">
        <f t="shared" si="4"/>
        <v>0</v>
      </c>
      <c r="H23" s="246">
        <f t="shared" si="4"/>
        <v>0</v>
      </c>
      <c r="I23" s="246">
        <f t="shared" si="4"/>
        <v>0</v>
      </c>
      <c r="J23" s="246">
        <f t="shared" si="4"/>
        <v>0</v>
      </c>
      <c r="K23" s="246">
        <f t="shared" si="4"/>
        <v>0</v>
      </c>
      <c r="L23" s="246">
        <f t="shared" si="4"/>
        <v>0</v>
      </c>
      <c r="M23" s="246">
        <f t="shared" si="4"/>
        <v>0</v>
      </c>
      <c r="N23" s="246">
        <f t="shared" si="4"/>
        <v>0</v>
      </c>
      <c r="O23" s="246">
        <f t="shared" si="4"/>
        <v>0</v>
      </c>
      <c r="P23" s="246">
        <f t="shared" si="4"/>
        <v>0</v>
      </c>
    </row>
    <row r="24" spans="1:16" ht="20.100000000000001" customHeight="1">
      <c r="A24" s="69">
        <f>A8</f>
        <v>0</v>
      </c>
      <c r="B24" s="246">
        <f t="shared" ref="B24:O24" si="5">IF(B16=0,0,B8/B16)</f>
        <v>0</v>
      </c>
      <c r="C24" s="246">
        <f t="shared" si="5"/>
        <v>0</v>
      </c>
      <c r="D24" s="246">
        <f t="shared" si="5"/>
        <v>0</v>
      </c>
      <c r="E24" s="246">
        <f t="shared" si="5"/>
        <v>0</v>
      </c>
      <c r="F24" s="246">
        <f t="shared" si="5"/>
        <v>0</v>
      </c>
      <c r="G24" s="246">
        <f t="shared" si="5"/>
        <v>0</v>
      </c>
      <c r="H24" s="246">
        <f t="shared" si="5"/>
        <v>0</v>
      </c>
      <c r="I24" s="246">
        <f t="shared" si="5"/>
        <v>0</v>
      </c>
      <c r="J24" s="246">
        <f t="shared" si="5"/>
        <v>0</v>
      </c>
      <c r="K24" s="246">
        <f t="shared" si="5"/>
        <v>0</v>
      </c>
      <c r="L24" s="246">
        <f t="shared" si="5"/>
        <v>0</v>
      </c>
      <c r="M24" s="246">
        <f t="shared" si="5"/>
        <v>0</v>
      </c>
      <c r="N24" s="246">
        <f t="shared" si="5"/>
        <v>0</v>
      </c>
      <c r="O24" s="246">
        <f t="shared" si="5"/>
        <v>0</v>
      </c>
      <c r="P24" s="246">
        <f t="shared" ref="P24:P26" si="6">IF(P16=0,0,P8/P16)</f>
        <v>0</v>
      </c>
    </row>
    <row r="25" spans="1:16" ht="20.100000000000001" customHeight="1">
      <c r="A25" s="69">
        <f>A9</f>
        <v>0</v>
      </c>
      <c r="B25" s="246">
        <f t="shared" ref="B25:O25" si="7">IF(B17=0,0,B9/B17)</f>
        <v>0</v>
      </c>
      <c r="C25" s="246">
        <f t="shared" si="7"/>
        <v>0</v>
      </c>
      <c r="D25" s="246">
        <f t="shared" si="7"/>
        <v>0</v>
      </c>
      <c r="E25" s="246">
        <f t="shared" si="7"/>
        <v>0</v>
      </c>
      <c r="F25" s="246">
        <f t="shared" si="7"/>
        <v>0</v>
      </c>
      <c r="G25" s="246">
        <f t="shared" si="7"/>
        <v>0</v>
      </c>
      <c r="H25" s="246">
        <f t="shared" si="7"/>
        <v>0</v>
      </c>
      <c r="I25" s="246">
        <f t="shared" si="7"/>
        <v>0</v>
      </c>
      <c r="J25" s="246">
        <f t="shared" si="7"/>
        <v>0</v>
      </c>
      <c r="K25" s="246">
        <f t="shared" si="7"/>
        <v>0</v>
      </c>
      <c r="L25" s="246">
        <f t="shared" si="7"/>
        <v>0</v>
      </c>
      <c r="M25" s="246">
        <f t="shared" si="7"/>
        <v>0</v>
      </c>
      <c r="N25" s="246">
        <f t="shared" si="7"/>
        <v>0</v>
      </c>
      <c r="O25" s="246">
        <f t="shared" si="7"/>
        <v>0</v>
      </c>
      <c r="P25" s="246">
        <f t="shared" si="6"/>
        <v>0</v>
      </c>
    </row>
    <row r="26" spans="1:16" ht="20.100000000000001" customHeight="1">
      <c r="A26" s="69">
        <f>A10</f>
        <v>0</v>
      </c>
      <c r="B26" s="246">
        <f t="shared" ref="B26:O26" si="8">IF(B18=0,0,B10/B18)</f>
        <v>0</v>
      </c>
      <c r="C26" s="246">
        <f t="shared" si="8"/>
        <v>0</v>
      </c>
      <c r="D26" s="246">
        <f t="shared" si="8"/>
        <v>0</v>
      </c>
      <c r="E26" s="246">
        <f t="shared" si="8"/>
        <v>0</v>
      </c>
      <c r="F26" s="246">
        <f t="shared" si="8"/>
        <v>0</v>
      </c>
      <c r="G26" s="246">
        <f t="shared" si="8"/>
        <v>0</v>
      </c>
      <c r="H26" s="246">
        <f t="shared" si="8"/>
        <v>0</v>
      </c>
      <c r="I26" s="246">
        <f t="shared" si="8"/>
        <v>0</v>
      </c>
      <c r="J26" s="246">
        <f t="shared" si="8"/>
        <v>0</v>
      </c>
      <c r="K26" s="246">
        <f t="shared" si="8"/>
        <v>0</v>
      </c>
      <c r="L26" s="246">
        <f t="shared" si="8"/>
        <v>0</v>
      </c>
      <c r="M26" s="246">
        <f t="shared" si="8"/>
        <v>0</v>
      </c>
      <c r="N26" s="246">
        <f t="shared" si="8"/>
        <v>0</v>
      </c>
      <c r="O26" s="246">
        <f t="shared" si="8"/>
        <v>0</v>
      </c>
      <c r="P26" s="246">
        <f t="shared" si="6"/>
        <v>0</v>
      </c>
    </row>
    <row r="27" spans="1:16" ht="20.100000000000001" customHeight="1">
      <c r="A27" s="69">
        <f>A11</f>
        <v>0</v>
      </c>
      <c r="B27" s="246">
        <f t="shared" ref="B27:O27" si="9">IF(B19=0,0,B11/B19)</f>
        <v>0</v>
      </c>
      <c r="C27" s="246">
        <f t="shared" si="9"/>
        <v>0</v>
      </c>
      <c r="D27" s="246">
        <f t="shared" si="9"/>
        <v>0</v>
      </c>
      <c r="E27" s="246">
        <f t="shared" si="9"/>
        <v>0</v>
      </c>
      <c r="F27" s="246">
        <f t="shared" si="9"/>
        <v>0</v>
      </c>
      <c r="G27" s="246">
        <f t="shared" si="9"/>
        <v>0</v>
      </c>
      <c r="H27" s="246">
        <f t="shared" si="9"/>
        <v>0</v>
      </c>
      <c r="I27" s="246">
        <f t="shared" si="9"/>
        <v>0</v>
      </c>
      <c r="J27" s="246">
        <f t="shared" si="9"/>
        <v>0</v>
      </c>
      <c r="K27" s="246">
        <f t="shared" si="9"/>
        <v>0</v>
      </c>
      <c r="L27" s="246">
        <f t="shared" si="9"/>
        <v>0</v>
      </c>
      <c r="M27" s="246">
        <f t="shared" si="9"/>
        <v>0</v>
      </c>
      <c r="N27" s="246">
        <f t="shared" si="9"/>
        <v>0</v>
      </c>
      <c r="O27" s="246">
        <f t="shared" si="9"/>
        <v>0</v>
      </c>
      <c r="P27" s="246">
        <f>IF(P19=0,0,P11/P19)</f>
        <v>0</v>
      </c>
    </row>
    <row r="28" spans="1:16" ht="20.100000000000001" customHeight="1">
      <c r="A28" s="29" t="s">
        <v>41</v>
      </c>
      <c r="B28" s="31"/>
      <c r="C28" s="31"/>
      <c r="D28" s="31"/>
      <c r="E28" s="31"/>
      <c r="F28" s="31"/>
      <c r="G28" s="31"/>
      <c r="H28" s="31"/>
      <c r="I28" s="31"/>
      <c r="J28" s="31"/>
      <c r="K28" s="31"/>
      <c r="L28" s="31"/>
      <c r="M28" s="31"/>
      <c r="N28" s="31"/>
      <c r="O28" s="31"/>
      <c r="P28" s="31"/>
    </row>
    <row r="29" spans="1:16" ht="20.100000000000001" customHeight="1">
      <c r="A29" s="242" t="s">
        <v>37</v>
      </c>
      <c r="B29" s="243" t="s">
        <v>21</v>
      </c>
      <c r="C29" s="243" t="s">
        <v>22</v>
      </c>
      <c r="D29" s="243" t="s">
        <v>23</v>
      </c>
      <c r="E29" s="243" t="s">
        <v>24</v>
      </c>
      <c r="F29" s="243" t="s">
        <v>25</v>
      </c>
      <c r="G29" s="243" t="s">
        <v>26</v>
      </c>
      <c r="H29" s="243" t="s">
        <v>27</v>
      </c>
      <c r="I29" s="243" t="s">
        <v>28</v>
      </c>
      <c r="J29" s="243" t="s">
        <v>29</v>
      </c>
      <c r="K29" s="243" t="s">
        <v>30</v>
      </c>
      <c r="L29" s="243" t="s">
        <v>31</v>
      </c>
      <c r="M29" s="243" t="s">
        <v>32</v>
      </c>
      <c r="N29" s="244" t="s">
        <v>33</v>
      </c>
      <c r="O29" s="244" t="s">
        <v>50</v>
      </c>
      <c r="P29" s="244" t="s">
        <v>51</v>
      </c>
    </row>
    <row r="30" spans="1:16" ht="20.100000000000001" customHeight="1">
      <c r="A30" s="26"/>
      <c r="B30" s="27"/>
      <c r="C30" s="27"/>
      <c r="D30" s="27"/>
      <c r="E30" s="27"/>
      <c r="F30" s="27"/>
      <c r="G30" s="27"/>
      <c r="H30" s="27"/>
      <c r="I30" s="27"/>
      <c r="J30" s="27"/>
      <c r="K30" s="27"/>
      <c r="L30" s="27"/>
      <c r="M30" s="27"/>
      <c r="N30" s="27"/>
      <c r="O30" s="246" t="e">
        <f>AVERAGE(B30:M30)</f>
        <v>#DIV/0!</v>
      </c>
      <c r="P30" s="27"/>
    </row>
    <row r="31" spans="1:16" ht="20.100000000000001" customHeight="1">
      <c r="A31" s="26"/>
      <c r="B31" s="27"/>
      <c r="C31" s="27"/>
      <c r="D31" s="27"/>
      <c r="E31" s="27"/>
      <c r="F31" s="27"/>
      <c r="G31" s="27"/>
      <c r="H31" s="27"/>
      <c r="I31" s="27"/>
      <c r="J31" s="27"/>
      <c r="K31" s="27"/>
      <c r="L31" s="27"/>
      <c r="M31" s="27"/>
      <c r="N31" s="27"/>
      <c r="O31" s="246" t="e">
        <f t="shared" ref="O31:O34" si="10">AVERAGE(B31:M31)</f>
        <v>#DIV/0!</v>
      </c>
      <c r="P31" s="27"/>
    </row>
    <row r="32" spans="1:16" ht="20.100000000000001" customHeight="1">
      <c r="A32" s="26"/>
      <c r="B32" s="27"/>
      <c r="C32" s="27"/>
      <c r="D32" s="27"/>
      <c r="E32" s="27"/>
      <c r="F32" s="27"/>
      <c r="G32" s="27"/>
      <c r="H32" s="27"/>
      <c r="I32" s="27"/>
      <c r="J32" s="27"/>
      <c r="K32" s="27"/>
      <c r="L32" s="27"/>
      <c r="M32" s="27"/>
      <c r="N32" s="27"/>
      <c r="O32" s="246" t="e">
        <f t="shared" si="10"/>
        <v>#DIV/0!</v>
      </c>
      <c r="P32" s="27"/>
    </row>
    <row r="33" spans="1:16" ht="20.100000000000001" customHeight="1">
      <c r="A33" s="26"/>
      <c r="B33" s="27"/>
      <c r="C33" s="27"/>
      <c r="D33" s="27"/>
      <c r="E33" s="27"/>
      <c r="F33" s="27"/>
      <c r="G33" s="27"/>
      <c r="H33" s="27"/>
      <c r="I33" s="27"/>
      <c r="J33" s="27"/>
      <c r="K33" s="27"/>
      <c r="L33" s="27"/>
      <c r="M33" s="27"/>
      <c r="N33" s="27"/>
      <c r="O33" s="246" t="e">
        <f t="shared" si="10"/>
        <v>#DIV/0!</v>
      </c>
      <c r="P33" s="27"/>
    </row>
    <row r="34" spans="1:16" ht="20.100000000000001" customHeight="1">
      <c r="A34" s="26"/>
      <c r="B34" s="27"/>
      <c r="C34" s="27"/>
      <c r="D34" s="27"/>
      <c r="E34" s="27"/>
      <c r="F34" s="27"/>
      <c r="G34" s="27"/>
      <c r="H34" s="27"/>
      <c r="I34" s="27"/>
      <c r="J34" s="27"/>
      <c r="K34" s="27"/>
      <c r="L34" s="27"/>
      <c r="M34" s="27"/>
      <c r="N34" s="27"/>
      <c r="O34" s="246" t="e">
        <f t="shared" si="10"/>
        <v>#DIV/0!</v>
      </c>
      <c r="P34" s="27"/>
    </row>
    <row r="35" spans="1:16" ht="20.100000000000001" customHeight="1">
      <c r="A35" s="66" t="s">
        <v>34</v>
      </c>
      <c r="B35" s="245">
        <f t="shared" ref="B35:N35" si="11">SUM(B30:B34)</f>
        <v>0</v>
      </c>
      <c r="C35" s="245">
        <f t="shared" si="11"/>
        <v>0</v>
      </c>
      <c r="D35" s="245">
        <f t="shared" si="11"/>
        <v>0</v>
      </c>
      <c r="E35" s="245">
        <f t="shared" si="11"/>
        <v>0</v>
      </c>
      <c r="F35" s="245">
        <f t="shared" si="11"/>
        <v>0</v>
      </c>
      <c r="G35" s="245">
        <f t="shared" si="11"/>
        <v>0</v>
      </c>
      <c r="H35" s="245">
        <f t="shared" si="11"/>
        <v>0</v>
      </c>
      <c r="I35" s="245">
        <f t="shared" si="11"/>
        <v>0</v>
      </c>
      <c r="J35" s="245">
        <f t="shared" si="11"/>
        <v>0</v>
      </c>
      <c r="K35" s="245">
        <f t="shared" si="11"/>
        <v>0</v>
      </c>
      <c r="L35" s="245">
        <f t="shared" si="11"/>
        <v>0</v>
      </c>
      <c r="M35" s="245">
        <f t="shared" si="11"/>
        <v>0</v>
      </c>
      <c r="N35" s="245">
        <f t="shared" si="11"/>
        <v>0</v>
      </c>
      <c r="O35" s="245">
        <f>AVERAGE(B35:M35)</f>
        <v>0</v>
      </c>
      <c r="P35" s="245"/>
    </row>
    <row r="36" spans="1:16" ht="20.100000000000001" customHeight="1">
      <c r="A36" s="30" t="s">
        <v>318</v>
      </c>
      <c r="B36" s="34"/>
      <c r="C36" s="34"/>
      <c r="D36" s="34"/>
      <c r="E36" s="34"/>
      <c r="F36" s="34"/>
      <c r="G36" s="34"/>
      <c r="H36" s="34"/>
      <c r="I36" s="34"/>
      <c r="J36" s="34"/>
      <c r="K36" s="34"/>
      <c r="L36" s="34"/>
      <c r="M36" s="34"/>
      <c r="N36" s="34"/>
      <c r="O36" s="34"/>
      <c r="P36" s="34"/>
    </row>
    <row r="37" spans="1:16" ht="20.100000000000001" customHeight="1">
      <c r="A37" s="37" t="s">
        <v>42</v>
      </c>
      <c r="B37" s="33"/>
      <c r="C37" s="34"/>
      <c r="D37" s="34"/>
      <c r="E37" s="34"/>
      <c r="F37" s="34"/>
      <c r="G37" s="34"/>
      <c r="H37" s="34"/>
      <c r="I37" s="34"/>
      <c r="J37" s="34"/>
      <c r="K37" s="34"/>
      <c r="L37" s="34"/>
      <c r="M37" s="34"/>
      <c r="N37" s="34"/>
      <c r="O37" s="34"/>
      <c r="P37" s="34"/>
    </row>
    <row r="38" spans="1:16" ht="20.100000000000001" customHeight="1">
      <c r="A38" s="37" t="s">
        <v>43</v>
      </c>
      <c r="B38" s="33"/>
      <c r="C38" s="34"/>
      <c r="D38" s="34"/>
      <c r="E38" s="34"/>
      <c r="F38" s="34"/>
      <c r="G38" s="34"/>
      <c r="H38" s="34"/>
      <c r="I38" s="34"/>
      <c r="J38" s="34"/>
      <c r="K38" s="34"/>
      <c r="L38" s="34"/>
      <c r="M38" s="34"/>
      <c r="N38" s="34"/>
      <c r="O38" s="34"/>
      <c r="P38" s="34"/>
    </row>
    <row r="39" spans="1:16" ht="20.100000000000001" customHeight="1">
      <c r="A39" s="32"/>
      <c r="B39" s="35"/>
      <c r="C39" s="34"/>
      <c r="D39" s="34"/>
      <c r="E39" s="34"/>
      <c r="F39" s="34"/>
      <c r="G39" s="34"/>
      <c r="H39" s="34"/>
      <c r="I39" s="34"/>
      <c r="J39" s="34"/>
      <c r="K39" s="34"/>
      <c r="L39" s="34"/>
      <c r="M39" s="34"/>
      <c r="N39" s="34"/>
      <c r="O39" s="34"/>
      <c r="P39" s="34"/>
    </row>
    <row r="40" spans="1:16" ht="20.100000000000001" customHeight="1">
      <c r="A40" s="36" t="s">
        <v>319</v>
      </c>
      <c r="B40" s="34"/>
      <c r="C40" s="34"/>
      <c r="D40" s="34"/>
      <c r="E40" s="34"/>
      <c r="F40" s="34"/>
      <c r="G40" s="34"/>
      <c r="H40" s="34"/>
      <c r="I40" s="34"/>
      <c r="J40" s="34"/>
      <c r="K40" s="34"/>
      <c r="L40" s="34"/>
      <c r="M40" s="34"/>
      <c r="N40" s="34"/>
      <c r="O40" s="34"/>
      <c r="P40" s="34"/>
    </row>
    <row r="41" spans="1:16" ht="20.100000000000001" customHeight="1">
      <c r="A41" s="36"/>
      <c r="B41" s="34"/>
      <c r="C41" s="34"/>
      <c r="D41" s="34"/>
      <c r="E41" s="34"/>
      <c r="F41" s="34"/>
      <c r="G41" s="34"/>
      <c r="H41" s="34"/>
      <c r="I41" s="34"/>
      <c r="J41" s="34"/>
      <c r="K41" s="34"/>
      <c r="L41" s="34"/>
      <c r="M41" s="34"/>
      <c r="N41" s="34"/>
      <c r="O41" s="34"/>
      <c r="P41" s="34"/>
    </row>
    <row r="42" spans="1:16" ht="18" customHeight="1">
      <c r="A42" s="407" t="s">
        <v>720</v>
      </c>
      <c r="B42" s="23"/>
      <c r="C42" s="23"/>
      <c r="D42" s="23"/>
      <c r="E42" s="23"/>
      <c r="F42" s="23"/>
      <c r="G42" s="23"/>
      <c r="H42" s="23"/>
      <c r="I42" s="23"/>
      <c r="J42" s="23"/>
      <c r="K42" s="23"/>
      <c r="L42" s="23"/>
      <c r="M42" s="23"/>
      <c r="N42" s="23"/>
      <c r="O42" s="23"/>
      <c r="P42" s="23"/>
    </row>
    <row r="43" spans="1:16" ht="18" customHeight="1">
      <c r="A43" s="407" t="s">
        <v>723</v>
      </c>
      <c r="B43" s="23"/>
      <c r="C43" s="23"/>
      <c r="D43" s="23"/>
      <c r="E43" s="23"/>
      <c r="F43" s="23"/>
      <c r="G43" s="23"/>
      <c r="H43" s="23"/>
      <c r="I43" s="23"/>
      <c r="J43" s="23"/>
      <c r="K43" s="23"/>
      <c r="L43" s="23"/>
      <c r="M43" s="23"/>
      <c r="N43" s="23"/>
      <c r="O43" s="23"/>
      <c r="P43" s="23"/>
    </row>
    <row r="44" spans="1:16" ht="18" customHeight="1">
      <c r="A44" s="407" t="s">
        <v>722</v>
      </c>
    </row>
    <row r="45" spans="1:16" ht="18" customHeight="1">
      <c r="A45" s="10"/>
    </row>
    <row r="46" spans="1:16" ht="18" customHeight="1"/>
    <row r="47" spans="1:16" ht="18" customHeight="1"/>
    <row r="48" spans="1:16"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sheetData>
  <mergeCells count="2">
    <mergeCell ref="A1:P1"/>
    <mergeCell ref="A2:P2"/>
  </mergeCells>
  <phoneticPr fontId="6" type="noConversion"/>
  <hyperlinks>
    <hyperlink ref="P3" location="底稿目录!A1" display="F2-61"/>
  </hyperlinks>
  <printOptions horizontalCentered="1"/>
  <pageMargins left="0.47244094488188981" right="0.35433070866141736" top="0.6692913385826772" bottom="0.55118110236220474" header="0.47244094488188981" footer="0.31496062992125984"/>
  <pageSetup paperSize="9" scale="78" fitToHeight="0" orientation="landscape" blackAndWhite="1" cellComments="atEnd" r:id="rId1"/>
  <headerFooter>
    <oddFooter>&amp;C&amp;P/&amp;N</oddFooter>
  </headerFooter>
  <rowBreaks count="1" manualBreakCount="1">
    <brk id="20" max="15"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R58"/>
  <sheetViews>
    <sheetView view="pageBreakPreview" topLeftCell="A52" zoomScaleNormal="100" zoomScaleSheetLayoutView="100" workbookViewId="0">
      <selection activeCell="A56" sqref="A56:A59"/>
    </sheetView>
  </sheetViews>
  <sheetFormatPr defaultColWidth="9" defaultRowHeight="15.6"/>
  <cols>
    <col min="1" max="1" width="8.77734375" style="10" customWidth="1"/>
    <col min="2" max="2" width="11.88671875" style="10" customWidth="1"/>
    <col min="3" max="3" width="12.88671875" style="10" customWidth="1"/>
    <col min="4" max="4" width="8.77734375" style="10" customWidth="1"/>
    <col min="5" max="5" width="11" style="10" customWidth="1"/>
    <col min="6" max="6" width="12.88671875" style="10" customWidth="1"/>
    <col min="7" max="7" width="9" style="10" customWidth="1"/>
    <col min="8" max="8" width="11.5546875" style="10" customWidth="1"/>
    <col min="9" max="9" width="13.21875" style="10" customWidth="1"/>
    <col min="10" max="10" width="8.5546875" style="10" customWidth="1"/>
    <col min="11" max="16384" width="9" style="10"/>
  </cols>
  <sheetData>
    <row r="1" spans="1:18" s="2" customFormat="1" ht="19.95" customHeight="1">
      <c r="A1" s="436" t="s">
        <v>0</v>
      </c>
      <c r="B1" s="436"/>
      <c r="C1" s="436"/>
      <c r="D1" s="436"/>
      <c r="E1" s="436"/>
      <c r="F1" s="436"/>
      <c r="G1" s="436"/>
      <c r="H1" s="436"/>
      <c r="I1" s="436"/>
      <c r="J1" s="436"/>
      <c r="K1" s="1"/>
      <c r="L1" s="1"/>
      <c r="M1" s="1"/>
      <c r="N1" s="1"/>
      <c r="O1" s="1"/>
      <c r="P1" s="1"/>
      <c r="Q1" s="1"/>
      <c r="R1" s="1"/>
    </row>
    <row r="2" spans="1:18" s="4" customFormat="1" ht="19.95" customHeight="1">
      <c r="A2" s="437" t="s">
        <v>1</v>
      </c>
      <c r="B2" s="437"/>
      <c r="C2" s="437"/>
      <c r="D2" s="437"/>
      <c r="E2" s="437"/>
      <c r="F2" s="437"/>
      <c r="G2" s="437"/>
      <c r="H2" s="437"/>
      <c r="I2" s="437"/>
      <c r="J2" s="437"/>
      <c r="K2" s="3"/>
      <c r="L2" s="17"/>
      <c r="M2" s="3"/>
      <c r="N2" s="3"/>
      <c r="O2" s="3"/>
      <c r="P2" s="3"/>
      <c r="Q2" s="3"/>
      <c r="R2" s="3"/>
    </row>
    <row r="3" spans="1:18" s="4" customFormat="1" ht="19.95" customHeight="1">
      <c r="A3" s="6" t="str">
        <f>底稿目录!A2</f>
        <v>被审计单位：</v>
      </c>
      <c r="B3" s="6"/>
      <c r="D3" s="6" t="str">
        <f>底稿目录!A4</f>
        <v>编制人：</v>
      </c>
      <c r="G3" s="6" t="str">
        <f>底稿目录!A5</f>
        <v>编制日期：</v>
      </c>
      <c r="I3" s="258" t="s">
        <v>229</v>
      </c>
      <c r="J3" s="360" t="str">
        <f>底稿目录!F5</f>
        <v>F2-62</v>
      </c>
      <c r="K3" s="6"/>
      <c r="L3" s="6"/>
      <c r="N3" s="7"/>
      <c r="O3" s="6"/>
      <c r="R3" s="6"/>
    </row>
    <row r="4" spans="1:18" s="4" customFormat="1" ht="19.95" customHeight="1">
      <c r="A4" s="6" t="str">
        <f>底稿目录!A3</f>
        <v>截止日：202X年12月31日</v>
      </c>
      <c r="B4" s="6"/>
      <c r="D4" s="6" t="str">
        <f>底稿目录!A6</f>
        <v>复核人：</v>
      </c>
      <c r="G4" s="6" t="str">
        <f>底稿目录!A7</f>
        <v>复核日期：</v>
      </c>
      <c r="I4" s="259" t="s">
        <v>335</v>
      </c>
      <c r="J4" s="8"/>
      <c r="K4" s="6"/>
      <c r="L4" s="6"/>
      <c r="N4" s="9"/>
      <c r="O4" s="6"/>
      <c r="R4" s="6"/>
    </row>
    <row r="5" spans="1:18" s="18" customFormat="1" ht="19.95" customHeight="1">
      <c r="A5" s="24" t="s">
        <v>354</v>
      </c>
      <c r="B5" s="248"/>
      <c r="C5" s="248"/>
      <c r="D5" s="248"/>
      <c r="E5" s="248"/>
      <c r="F5" s="248"/>
      <c r="G5" s="248"/>
      <c r="H5" s="248"/>
      <c r="I5" s="248"/>
      <c r="J5" s="248"/>
    </row>
    <row r="6" spans="1:18" s="18" customFormat="1" ht="19.95" customHeight="1">
      <c r="A6" s="38" t="s">
        <v>324</v>
      </c>
      <c r="B6" s="443" t="s">
        <v>5</v>
      </c>
      <c r="C6" s="444"/>
      <c r="D6" s="445"/>
      <c r="E6" s="443" t="s">
        <v>6</v>
      </c>
      <c r="F6" s="444"/>
      <c r="G6" s="445"/>
      <c r="H6" s="443" t="s">
        <v>2</v>
      </c>
      <c r="I6" s="444"/>
      <c r="J6" s="445"/>
    </row>
    <row r="7" spans="1:18" s="18" customFormat="1" ht="19.95" customHeight="1">
      <c r="A7" s="11" t="s">
        <v>12</v>
      </c>
      <c r="B7" s="11" t="s">
        <v>325</v>
      </c>
      <c r="C7" s="11" t="s">
        <v>14</v>
      </c>
      <c r="D7" s="11" t="s">
        <v>15</v>
      </c>
      <c r="E7" s="11" t="s">
        <v>13</v>
      </c>
      <c r="F7" s="11" t="s">
        <v>14</v>
      </c>
      <c r="G7" s="11" t="s">
        <v>15</v>
      </c>
      <c r="H7" s="11" t="s">
        <v>13</v>
      </c>
      <c r="I7" s="11" t="s">
        <v>14</v>
      </c>
      <c r="J7" s="11" t="s">
        <v>15</v>
      </c>
    </row>
    <row r="8" spans="1:18" s="18" customFormat="1" ht="19.95" customHeight="1">
      <c r="A8" s="252" t="s">
        <v>320</v>
      </c>
      <c r="B8" s="254"/>
      <c r="C8" s="254"/>
      <c r="D8" s="260" t="e">
        <f>B8/C8</f>
        <v>#DIV/0!</v>
      </c>
      <c r="E8" s="255"/>
      <c r="F8" s="255"/>
      <c r="G8" s="260" t="e">
        <f>E8/F8</f>
        <v>#DIV/0!</v>
      </c>
      <c r="H8" s="255"/>
      <c r="I8" s="255"/>
      <c r="J8" s="260" t="e">
        <f>H8/I8</f>
        <v>#DIV/0!</v>
      </c>
    </row>
    <row r="9" spans="1:18" s="18" customFormat="1" ht="19.95" customHeight="1">
      <c r="A9" s="252" t="s">
        <v>321</v>
      </c>
      <c r="B9" s="254"/>
      <c r="C9" s="254"/>
      <c r="D9" s="260" t="e">
        <f t="shared" ref="D9:D19" si="0">B9/C9</f>
        <v>#DIV/0!</v>
      </c>
      <c r="E9" s="255"/>
      <c r="F9" s="255"/>
      <c r="G9" s="260" t="e">
        <f t="shared" ref="G9:G19" si="1">E9/F9</f>
        <v>#DIV/0!</v>
      </c>
      <c r="H9" s="255"/>
      <c r="I9" s="255"/>
      <c r="J9" s="260" t="e">
        <f t="shared" ref="J9:J19" si="2">H9/I9</f>
        <v>#DIV/0!</v>
      </c>
    </row>
    <row r="10" spans="1:18" s="18" customFormat="1" ht="19.95" customHeight="1">
      <c r="A10" s="252" t="s">
        <v>75</v>
      </c>
      <c r="B10" s="254"/>
      <c r="C10" s="254"/>
      <c r="D10" s="260" t="e">
        <f t="shared" si="0"/>
        <v>#DIV/0!</v>
      </c>
      <c r="E10" s="255"/>
      <c r="F10" s="255"/>
      <c r="G10" s="260" t="e">
        <f t="shared" si="1"/>
        <v>#DIV/0!</v>
      </c>
      <c r="H10" s="255"/>
      <c r="I10" s="255"/>
      <c r="J10" s="260" t="e">
        <f t="shared" si="2"/>
        <v>#DIV/0!</v>
      </c>
    </row>
    <row r="11" spans="1:18" s="18" customFormat="1" ht="19.95" customHeight="1">
      <c r="A11" s="252" t="s">
        <v>76</v>
      </c>
      <c r="B11" s="254"/>
      <c r="C11" s="254"/>
      <c r="D11" s="260" t="e">
        <f t="shared" si="0"/>
        <v>#DIV/0!</v>
      </c>
      <c r="E11" s="255"/>
      <c r="F11" s="255"/>
      <c r="G11" s="260" t="e">
        <f t="shared" si="1"/>
        <v>#DIV/0!</v>
      </c>
      <c r="H11" s="255"/>
      <c r="I11" s="255"/>
      <c r="J11" s="260" t="e">
        <f t="shared" si="2"/>
        <v>#DIV/0!</v>
      </c>
    </row>
    <row r="12" spans="1:18" s="18" customFormat="1" ht="19.95" customHeight="1">
      <c r="A12" s="252" t="s">
        <v>77</v>
      </c>
      <c r="B12" s="254"/>
      <c r="C12" s="254"/>
      <c r="D12" s="260" t="e">
        <f t="shared" si="0"/>
        <v>#DIV/0!</v>
      </c>
      <c r="E12" s="255"/>
      <c r="F12" s="255"/>
      <c r="G12" s="260" t="e">
        <f t="shared" si="1"/>
        <v>#DIV/0!</v>
      </c>
      <c r="H12" s="255"/>
      <c r="I12" s="255"/>
      <c r="J12" s="260" t="e">
        <f t="shared" si="2"/>
        <v>#DIV/0!</v>
      </c>
    </row>
    <row r="13" spans="1:18" s="18" customFormat="1" ht="19.95" customHeight="1">
      <c r="A13" s="252" t="s">
        <v>78</v>
      </c>
      <c r="B13" s="254"/>
      <c r="C13" s="254"/>
      <c r="D13" s="260" t="e">
        <f t="shared" si="0"/>
        <v>#DIV/0!</v>
      </c>
      <c r="E13" s="255"/>
      <c r="F13" s="255"/>
      <c r="G13" s="260" t="e">
        <f t="shared" si="1"/>
        <v>#DIV/0!</v>
      </c>
      <c r="H13" s="255"/>
      <c r="I13" s="255"/>
      <c r="J13" s="260" t="e">
        <f t="shared" si="2"/>
        <v>#DIV/0!</v>
      </c>
    </row>
    <row r="14" spans="1:18" s="18" customFormat="1" ht="19.95" customHeight="1">
      <c r="A14" s="253" t="s">
        <v>79</v>
      </c>
      <c r="B14" s="256"/>
      <c r="C14" s="256"/>
      <c r="D14" s="260" t="e">
        <f t="shared" si="0"/>
        <v>#DIV/0!</v>
      </c>
      <c r="E14" s="257"/>
      <c r="F14" s="257"/>
      <c r="G14" s="260" t="e">
        <f t="shared" si="1"/>
        <v>#DIV/0!</v>
      </c>
      <c r="H14" s="257"/>
      <c r="I14" s="257"/>
      <c r="J14" s="260" t="e">
        <f t="shared" si="2"/>
        <v>#DIV/0!</v>
      </c>
    </row>
    <row r="15" spans="1:18" s="18" customFormat="1" ht="19.95" customHeight="1">
      <c r="A15" s="252" t="s">
        <v>80</v>
      </c>
      <c r="B15" s="254"/>
      <c r="C15" s="254"/>
      <c r="D15" s="260" t="e">
        <f t="shared" si="0"/>
        <v>#DIV/0!</v>
      </c>
      <c r="E15" s="255"/>
      <c r="F15" s="255"/>
      <c r="G15" s="260" t="e">
        <f t="shared" si="1"/>
        <v>#DIV/0!</v>
      </c>
      <c r="H15" s="255"/>
      <c r="I15" s="255"/>
      <c r="J15" s="260" t="e">
        <f t="shared" si="2"/>
        <v>#DIV/0!</v>
      </c>
    </row>
    <row r="16" spans="1:18" s="18" customFormat="1" ht="19.95" customHeight="1">
      <c r="A16" s="252" t="s">
        <v>81</v>
      </c>
      <c r="B16" s="254"/>
      <c r="C16" s="254"/>
      <c r="D16" s="260" t="e">
        <f t="shared" si="0"/>
        <v>#DIV/0!</v>
      </c>
      <c r="E16" s="255"/>
      <c r="F16" s="255"/>
      <c r="G16" s="260" t="e">
        <f t="shared" si="1"/>
        <v>#DIV/0!</v>
      </c>
      <c r="H16" s="255"/>
      <c r="I16" s="255"/>
      <c r="J16" s="260" t="e">
        <f t="shared" si="2"/>
        <v>#DIV/0!</v>
      </c>
    </row>
    <row r="17" spans="1:10" s="18" customFormat="1" ht="19.95" customHeight="1">
      <c r="A17" s="252" t="s">
        <v>82</v>
      </c>
      <c r="B17" s="254"/>
      <c r="C17" s="254"/>
      <c r="D17" s="260" t="e">
        <f t="shared" si="0"/>
        <v>#DIV/0!</v>
      </c>
      <c r="E17" s="255"/>
      <c r="F17" s="255"/>
      <c r="G17" s="260" t="e">
        <f t="shared" si="1"/>
        <v>#DIV/0!</v>
      </c>
      <c r="H17" s="255"/>
      <c r="I17" s="255"/>
      <c r="J17" s="260" t="e">
        <f t="shared" si="2"/>
        <v>#DIV/0!</v>
      </c>
    </row>
    <row r="18" spans="1:10" s="18" customFormat="1" ht="19.95" customHeight="1">
      <c r="A18" s="252" t="s">
        <v>83</v>
      </c>
      <c r="B18" s="254"/>
      <c r="C18" s="254"/>
      <c r="D18" s="260" t="e">
        <f t="shared" si="0"/>
        <v>#DIV/0!</v>
      </c>
      <c r="E18" s="255"/>
      <c r="F18" s="255"/>
      <c r="G18" s="260" t="e">
        <f t="shared" si="1"/>
        <v>#DIV/0!</v>
      </c>
      <c r="H18" s="255"/>
      <c r="I18" s="255"/>
      <c r="J18" s="260" t="e">
        <f t="shared" si="2"/>
        <v>#DIV/0!</v>
      </c>
    </row>
    <row r="19" spans="1:10" s="18" customFormat="1" ht="19.95" customHeight="1">
      <c r="A19" s="252" t="s">
        <v>84</v>
      </c>
      <c r="B19" s="254"/>
      <c r="C19" s="254"/>
      <c r="D19" s="260" t="e">
        <f t="shared" si="0"/>
        <v>#DIV/0!</v>
      </c>
      <c r="E19" s="255"/>
      <c r="F19" s="255"/>
      <c r="G19" s="260" t="e">
        <f t="shared" si="1"/>
        <v>#DIV/0!</v>
      </c>
      <c r="H19" s="255"/>
      <c r="I19" s="255"/>
      <c r="J19" s="260" t="e">
        <f t="shared" si="2"/>
        <v>#DIV/0!</v>
      </c>
    </row>
    <row r="20" spans="1:10" s="28" customFormat="1" ht="19.95" customHeight="1">
      <c r="A20" s="262" t="s">
        <v>322</v>
      </c>
      <c r="B20" s="261">
        <f>SUM(B8:B19)</f>
        <v>0</v>
      </c>
      <c r="C20" s="261">
        <f>SUM(C8:C19)</f>
        <v>0</v>
      </c>
      <c r="D20" s="261">
        <f>IFERROR(B20/C20,0)</f>
        <v>0</v>
      </c>
      <c r="E20" s="261">
        <f>SUM(E8:E19)</f>
        <v>0</v>
      </c>
      <c r="F20" s="261">
        <f>SUM(F8:F19)</f>
        <v>0</v>
      </c>
      <c r="G20" s="261">
        <f t="shared" ref="G20" si="3">IFERROR(E20/F20,0)</f>
        <v>0</v>
      </c>
      <c r="H20" s="261">
        <f>SUM(H8:H19)</f>
        <v>0</v>
      </c>
      <c r="I20" s="261">
        <f>SUM(I8:I19)</f>
        <v>0</v>
      </c>
      <c r="J20" s="261">
        <f t="shared" ref="J20" si="4">IFERROR(H20/I20,0)</f>
        <v>0</v>
      </c>
    </row>
    <row r="21" spans="1:10" s="18" customFormat="1" ht="19.95" customHeight="1">
      <c r="A21" s="248"/>
      <c r="B21" s="248"/>
      <c r="C21" s="248"/>
      <c r="D21" s="248"/>
      <c r="E21" s="248"/>
      <c r="F21" s="248"/>
      <c r="G21" s="248"/>
      <c r="H21" s="248"/>
      <c r="I21" s="248"/>
      <c r="J21" s="248"/>
    </row>
    <row r="22" spans="1:10" s="18" customFormat="1" ht="19.95" customHeight="1">
      <c r="A22" s="24" t="s">
        <v>355</v>
      </c>
      <c r="B22" s="248"/>
      <c r="C22" s="248"/>
      <c r="D22" s="248"/>
      <c r="E22" s="248"/>
      <c r="F22" s="248"/>
      <c r="G22" s="248"/>
      <c r="H22" s="248"/>
      <c r="I22" s="248"/>
      <c r="J22" s="248"/>
    </row>
    <row r="23" spans="1:10" s="18" customFormat="1" ht="19.95" customHeight="1">
      <c r="A23" s="39" t="s">
        <v>326</v>
      </c>
      <c r="B23" s="440" t="s">
        <v>7</v>
      </c>
      <c r="C23" s="441"/>
      <c r="D23" s="442"/>
      <c r="E23" s="440" t="s">
        <v>8</v>
      </c>
      <c r="F23" s="441"/>
      <c r="G23" s="442"/>
      <c r="H23" s="440" t="s">
        <v>9</v>
      </c>
      <c r="I23" s="441"/>
      <c r="J23" s="442"/>
    </row>
    <row r="24" spans="1:10" s="18" customFormat="1" ht="19.95" customHeight="1">
      <c r="A24" s="11" t="s">
        <v>327</v>
      </c>
      <c r="B24" s="11" t="s">
        <v>4</v>
      </c>
      <c r="C24" s="11" t="s">
        <v>328</v>
      </c>
      <c r="D24" s="11" t="s">
        <v>10</v>
      </c>
      <c r="E24" s="11" t="s">
        <v>4</v>
      </c>
      <c r="F24" s="11" t="s">
        <v>328</v>
      </c>
      <c r="G24" s="11" t="s">
        <v>10</v>
      </c>
      <c r="H24" s="11" t="s">
        <v>4</v>
      </c>
      <c r="I24" s="11" t="s">
        <v>328</v>
      </c>
      <c r="J24" s="11" t="s">
        <v>10</v>
      </c>
    </row>
    <row r="25" spans="1:10" s="18" customFormat="1" ht="19.95" customHeight="1">
      <c r="A25" s="252" t="s">
        <v>320</v>
      </c>
      <c r="B25" s="249"/>
      <c r="C25" s="249"/>
      <c r="D25" s="260" t="e">
        <f>B25/C25</f>
        <v>#DIV/0!</v>
      </c>
      <c r="E25" s="250"/>
      <c r="F25" s="250"/>
      <c r="G25" s="260" t="e">
        <f>E25/F25</f>
        <v>#DIV/0!</v>
      </c>
      <c r="H25" s="250"/>
      <c r="I25" s="250"/>
      <c r="J25" s="260" t="e">
        <f>H25/I25</f>
        <v>#DIV/0!</v>
      </c>
    </row>
    <row r="26" spans="1:10" s="18" customFormat="1" ht="19.95" customHeight="1">
      <c r="A26" s="252" t="s">
        <v>321</v>
      </c>
      <c r="B26" s="249"/>
      <c r="C26" s="249"/>
      <c r="D26" s="260" t="e">
        <f t="shared" ref="D26:D36" si="5">B26/C26</f>
        <v>#DIV/0!</v>
      </c>
      <c r="E26" s="250"/>
      <c r="F26" s="250"/>
      <c r="G26" s="260" t="e">
        <f t="shared" ref="G26:G36" si="6">E26/F26</f>
        <v>#DIV/0!</v>
      </c>
      <c r="H26" s="250"/>
      <c r="I26" s="250"/>
      <c r="J26" s="260" t="e">
        <f t="shared" ref="J26:J36" si="7">H26/I26</f>
        <v>#DIV/0!</v>
      </c>
    </row>
    <row r="27" spans="1:10" s="18" customFormat="1" ht="19.95" customHeight="1">
      <c r="A27" s="252" t="s">
        <v>75</v>
      </c>
      <c r="B27" s="249"/>
      <c r="C27" s="249"/>
      <c r="D27" s="260" t="e">
        <f t="shared" si="5"/>
        <v>#DIV/0!</v>
      </c>
      <c r="E27" s="250"/>
      <c r="F27" s="250"/>
      <c r="G27" s="260" t="e">
        <f t="shared" si="6"/>
        <v>#DIV/0!</v>
      </c>
      <c r="H27" s="250"/>
      <c r="I27" s="250"/>
      <c r="J27" s="260" t="e">
        <f t="shared" si="7"/>
        <v>#DIV/0!</v>
      </c>
    </row>
    <row r="28" spans="1:10" s="18" customFormat="1" ht="19.95" customHeight="1">
      <c r="A28" s="252" t="s">
        <v>76</v>
      </c>
      <c r="B28" s="249"/>
      <c r="C28" s="249"/>
      <c r="D28" s="260" t="e">
        <f t="shared" si="5"/>
        <v>#DIV/0!</v>
      </c>
      <c r="E28" s="250"/>
      <c r="F28" s="250"/>
      <c r="G28" s="260" t="e">
        <f t="shared" si="6"/>
        <v>#DIV/0!</v>
      </c>
      <c r="H28" s="250"/>
      <c r="I28" s="250"/>
      <c r="J28" s="260" t="e">
        <f t="shared" si="7"/>
        <v>#DIV/0!</v>
      </c>
    </row>
    <row r="29" spans="1:10" s="18" customFormat="1" ht="19.95" customHeight="1">
      <c r="A29" s="252" t="s">
        <v>77</v>
      </c>
      <c r="B29" s="249"/>
      <c r="C29" s="249"/>
      <c r="D29" s="260" t="e">
        <f t="shared" si="5"/>
        <v>#DIV/0!</v>
      </c>
      <c r="E29" s="250"/>
      <c r="F29" s="250"/>
      <c r="G29" s="260" t="e">
        <f t="shared" si="6"/>
        <v>#DIV/0!</v>
      </c>
      <c r="H29" s="250"/>
      <c r="I29" s="250"/>
      <c r="J29" s="260" t="e">
        <f t="shared" si="7"/>
        <v>#DIV/0!</v>
      </c>
    </row>
    <row r="30" spans="1:10" s="18" customFormat="1" ht="19.95" customHeight="1">
      <c r="A30" s="252" t="s">
        <v>78</v>
      </c>
      <c r="B30" s="249"/>
      <c r="C30" s="249"/>
      <c r="D30" s="260" t="e">
        <f t="shared" si="5"/>
        <v>#DIV/0!</v>
      </c>
      <c r="E30" s="250"/>
      <c r="F30" s="250"/>
      <c r="G30" s="260" t="e">
        <f t="shared" si="6"/>
        <v>#DIV/0!</v>
      </c>
      <c r="H30" s="250"/>
      <c r="I30" s="250"/>
      <c r="J30" s="260" t="e">
        <f t="shared" si="7"/>
        <v>#DIV/0!</v>
      </c>
    </row>
    <row r="31" spans="1:10" s="18" customFormat="1" ht="19.95" customHeight="1">
      <c r="A31" s="252" t="s">
        <v>79</v>
      </c>
      <c r="B31" s="249"/>
      <c r="C31" s="249"/>
      <c r="D31" s="260" t="e">
        <f t="shared" si="5"/>
        <v>#DIV/0!</v>
      </c>
      <c r="E31" s="250"/>
      <c r="F31" s="250"/>
      <c r="G31" s="260" t="e">
        <f t="shared" si="6"/>
        <v>#DIV/0!</v>
      </c>
      <c r="H31" s="250"/>
      <c r="I31" s="250"/>
      <c r="J31" s="260" t="e">
        <f t="shared" si="7"/>
        <v>#DIV/0!</v>
      </c>
    </row>
    <row r="32" spans="1:10" s="18" customFormat="1" ht="19.95" customHeight="1">
      <c r="A32" s="252" t="s">
        <v>80</v>
      </c>
      <c r="B32" s="249"/>
      <c r="C32" s="249"/>
      <c r="D32" s="260" t="e">
        <f t="shared" si="5"/>
        <v>#DIV/0!</v>
      </c>
      <c r="E32" s="250"/>
      <c r="F32" s="250"/>
      <c r="G32" s="260" t="e">
        <f t="shared" si="6"/>
        <v>#DIV/0!</v>
      </c>
      <c r="H32" s="250"/>
      <c r="I32" s="250"/>
      <c r="J32" s="260" t="e">
        <f t="shared" si="7"/>
        <v>#DIV/0!</v>
      </c>
    </row>
    <row r="33" spans="1:10" s="18" customFormat="1" ht="19.95" customHeight="1">
      <c r="A33" s="252" t="s">
        <v>81</v>
      </c>
      <c r="B33" s="249"/>
      <c r="C33" s="249"/>
      <c r="D33" s="260" t="e">
        <f t="shared" si="5"/>
        <v>#DIV/0!</v>
      </c>
      <c r="E33" s="250"/>
      <c r="F33" s="250"/>
      <c r="G33" s="260" t="e">
        <f t="shared" si="6"/>
        <v>#DIV/0!</v>
      </c>
      <c r="H33" s="250"/>
      <c r="I33" s="250"/>
      <c r="J33" s="260" t="e">
        <f t="shared" si="7"/>
        <v>#DIV/0!</v>
      </c>
    </row>
    <row r="34" spans="1:10" s="18" customFormat="1" ht="19.95" customHeight="1">
      <c r="A34" s="252" t="s">
        <v>82</v>
      </c>
      <c r="B34" s="249"/>
      <c r="C34" s="249"/>
      <c r="D34" s="260" t="e">
        <f t="shared" si="5"/>
        <v>#DIV/0!</v>
      </c>
      <c r="E34" s="250"/>
      <c r="F34" s="250"/>
      <c r="G34" s="260" t="e">
        <f t="shared" si="6"/>
        <v>#DIV/0!</v>
      </c>
      <c r="H34" s="250"/>
      <c r="I34" s="250"/>
      <c r="J34" s="260" t="e">
        <f t="shared" si="7"/>
        <v>#DIV/0!</v>
      </c>
    </row>
    <row r="35" spans="1:10" s="18" customFormat="1" ht="19.95" customHeight="1">
      <c r="A35" s="252" t="s">
        <v>83</v>
      </c>
      <c r="B35" s="249"/>
      <c r="C35" s="249"/>
      <c r="D35" s="260" t="e">
        <f t="shared" si="5"/>
        <v>#DIV/0!</v>
      </c>
      <c r="E35" s="250"/>
      <c r="F35" s="250"/>
      <c r="G35" s="260" t="e">
        <f t="shared" si="6"/>
        <v>#DIV/0!</v>
      </c>
      <c r="H35" s="250"/>
      <c r="I35" s="250"/>
      <c r="J35" s="260" t="e">
        <f t="shared" si="7"/>
        <v>#DIV/0!</v>
      </c>
    </row>
    <row r="36" spans="1:10" s="18" customFormat="1" ht="19.95" customHeight="1">
      <c r="A36" s="252" t="s">
        <v>84</v>
      </c>
      <c r="B36" s="249"/>
      <c r="C36" s="249"/>
      <c r="D36" s="260" t="e">
        <f t="shared" si="5"/>
        <v>#DIV/0!</v>
      </c>
      <c r="E36" s="250"/>
      <c r="F36" s="250"/>
      <c r="G36" s="260" t="e">
        <f t="shared" si="6"/>
        <v>#DIV/0!</v>
      </c>
      <c r="H36" s="250"/>
      <c r="I36" s="250"/>
      <c r="J36" s="260" t="e">
        <f t="shared" si="7"/>
        <v>#DIV/0!</v>
      </c>
    </row>
    <row r="37" spans="1:10" s="28" customFormat="1" ht="19.95" customHeight="1">
      <c r="A37" s="262" t="s">
        <v>86</v>
      </c>
      <c r="B37" s="263">
        <f>SUM(B25:B36)</f>
        <v>0</v>
      </c>
      <c r="C37" s="263">
        <f t="shared" ref="C37" si="8">SUM(C25:C36)</f>
        <v>0</v>
      </c>
      <c r="D37" s="263">
        <f t="shared" ref="D37" si="9">IFERROR(B37/C37,0)</f>
        <v>0</v>
      </c>
      <c r="E37" s="263">
        <f t="shared" ref="E37:F37" si="10">SUM(E25:E36)</f>
        <v>0</v>
      </c>
      <c r="F37" s="263">
        <f t="shared" si="10"/>
        <v>0</v>
      </c>
      <c r="G37" s="263">
        <f t="shared" ref="G37" si="11">IFERROR(E37/F37,0)</f>
        <v>0</v>
      </c>
      <c r="H37" s="263">
        <f t="shared" ref="H37:I37" si="12">SUM(H25:H36)</f>
        <v>0</v>
      </c>
      <c r="I37" s="263">
        <f t="shared" si="12"/>
        <v>0</v>
      </c>
      <c r="J37" s="263">
        <f t="shared" ref="J37" si="13">IFERROR(H37/I37,0)</f>
        <v>0</v>
      </c>
    </row>
    <row r="38" spans="1:10" s="18" customFormat="1" ht="19.95" customHeight="1">
      <c r="A38" s="248"/>
      <c r="B38" s="248"/>
      <c r="C38" s="248"/>
      <c r="D38" s="248"/>
      <c r="E38" s="248"/>
      <c r="F38" s="248"/>
      <c r="G38" s="248"/>
      <c r="H38" s="248"/>
      <c r="I38" s="248"/>
      <c r="J38" s="248"/>
    </row>
    <row r="39" spans="1:10" s="251" customFormat="1" ht="19.95" customHeight="1">
      <c r="A39" s="24" t="s">
        <v>356</v>
      </c>
    </row>
    <row r="40" spans="1:10" s="251" customFormat="1" ht="19.95" customHeight="1">
      <c r="A40" s="438" t="s">
        <v>11</v>
      </c>
      <c r="B40" s="440" t="s">
        <v>16</v>
      </c>
      <c r="C40" s="441"/>
      <c r="D40" s="442"/>
      <c r="E40" s="440" t="s">
        <v>16</v>
      </c>
      <c r="F40" s="441"/>
      <c r="G40" s="442"/>
      <c r="H40" s="440" t="s">
        <v>332</v>
      </c>
      <c r="I40" s="441"/>
      <c r="J40" s="442"/>
    </row>
    <row r="41" spans="1:10" s="251" customFormat="1" ht="19.95" customHeight="1">
      <c r="A41" s="439"/>
      <c r="B41" s="11" t="s">
        <v>329</v>
      </c>
      <c r="C41" s="11" t="s">
        <v>334</v>
      </c>
      <c r="D41" s="11" t="s">
        <v>333</v>
      </c>
      <c r="E41" s="11" t="s">
        <v>331</v>
      </c>
      <c r="F41" s="11" t="s">
        <v>334</v>
      </c>
      <c r="G41" s="11" t="s">
        <v>333</v>
      </c>
      <c r="H41" s="11" t="s">
        <v>331</v>
      </c>
      <c r="I41" s="11" t="s">
        <v>330</v>
      </c>
      <c r="J41" s="11" t="s">
        <v>333</v>
      </c>
    </row>
    <row r="42" spans="1:10" s="143" customFormat="1" ht="19.95" customHeight="1">
      <c r="A42" s="265"/>
      <c r="B42" s="266"/>
      <c r="C42" s="266"/>
      <c r="D42" s="264" t="e">
        <f>C42/B42</f>
        <v>#DIV/0!</v>
      </c>
      <c r="E42" s="266"/>
      <c r="F42" s="266"/>
      <c r="G42" s="264" t="e">
        <f>F42/E42</f>
        <v>#DIV/0!</v>
      </c>
      <c r="H42" s="266"/>
      <c r="I42" s="266"/>
      <c r="J42" s="264" t="e">
        <f>I42/H42</f>
        <v>#DIV/0!</v>
      </c>
    </row>
    <row r="43" spans="1:10" s="143" customFormat="1" ht="19.95" customHeight="1">
      <c r="A43" s="265"/>
      <c r="B43" s="266"/>
      <c r="C43" s="266"/>
      <c r="D43" s="264" t="e">
        <f t="shared" ref="D43:D48" si="14">C43/B43</f>
        <v>#DIV/0!</v>
      </c>
      <c r="E43" s="266"/>
      <c r="F43" s="266"/>
      <c r="G43" s="264" t="e">
        <f t="shared" ref="G43:G48" si="15">F43/E43</f>
        <v>#DIV/0!</v>
      </c>
      <c r="H43" s="266"/>
      <c r="I43" s="266"/>
      <c r="J43" s="264" t="e">
        <f t="shared" ref="J43:J48" si="16">I43/H43</f>
        <v>#DIV/0!</v>
      </c>
    </row>
    <row r="44" spans="1:10" s="143" customFormat="1" ht="19.95" customHeight="1">
      <c r="A44" s="265"/>
      <c r="B44" s="266"/>
      <c r="C44" s="266"/>
      <c r="D44" s="264" t="e">
        <f t="shared" si="14"/>
        <v>#DIV/0!</v>
      </c>
      <c r="E44" s="266"/>
      <c r="F44" s="266"/>
      <c r="G44" s="264" t="e">
        <f t="shared" si="15"/>
        <v>#DIV/0!</v>
      </c>
      <c r="H44" s="266"/>
      <c r="I44" s="266"/>
      <c r="J44" s="264" t="e">
        <f t="shared" si="16"/>
        <v>#DIV/0!</v>
      </c>
    </row>
    <row r="45" spans="1:10" s="143" customFormat="1" ht="19.95" customHeight="1">
      <c r="A45" s="265"/>
      <c r="B45" s="266"/>
      <c r="C45" s="266"/>
      <c r="D45" s="264" t="e">
        <f t="shared" si="14"/>
        <v>#DIV/0!</v>
      </c>
      <c r="E45" s="266"/>
      <c r="F45" s="266"/>
      <c r="G45" s="264" t="e">
        <f t="shared" si="15"/>
        <v>#DIV/0!</v>
      </c>
      <c r="H45" s="266"/>
      <c r="I45" s="266"/>
      <c r="J45" s="264" t="e">
        <f t="shared" si="16"/>
        <v>#DIV/0!</v>
      </c>
    </row>
    <row r="46" spans="1:10" s="143" customFormat="1" ht="19.95" customHeight="1">
      <c r="A46" s="265"/>
      <c r="B46" s="266"/>
      <c r="C46" s="266"/>
      <c r="D46" s="264" t="e">
        <f t="shared" si="14"/>
        <v>#DIV/0!</v>
      </c>
      <c r="E46" s="266"/>
      <c r="F46" s="266"/>
      <c r="G46" s="264" t="e">
        <f t="shared" si="15"/>
        <v>#DIV/0!</v>
      </c>
      <c r="H46" s="266"/>
      <c r="I46" s="266"/>
      <c r="J46" s="264" t="e">
        <f t="shared" si="16"/>
        <v>#DIV/0!</v>
      </c>
    </row>
    <row r="47" spans="1:10" s="143" customFormat="1" ht="19.95" customHeight="1">
      <c r="A47" s="265"/>
      <c r="B47" s="266"/>
      <c r="C47" s="266"/>
      <c r="D47" s="264" t="e">
        <f t="shared" si="14"/>
        <v>#DIV/0!</v>
      </c>
      <c r="E47" s="266"/>
      <c r="F47" s="266"/>
      <c r="G47" s="264" t="e">
        <f t="shared" si="15"/>
        <v>#DIV/0!</v>
      </c>
      <c r="H47" s="266"/>
      <c r="I47" s="266"/>
      <c r="J47" s="264" t="e">
        <f t="shared" si="16"/>
        <v>#DIV/0!</v>
      </c>
    </row>
    <row r="48" spans="1:10" s="267" customFormat="1" ht="19.95" customHeight="1">
      <c r="A48" s="268" t="s">
        <v>323</v>
      </c>
      <c r="B48" s="269">
        <f>SUM(B42:B47)</f>
        <v>0</v>
      </c>
      <c r="C48" s="269">
        <f>SUM(C42:C47)</f>
        <v>0</v>
      </c>
      <c r="D48" s="263" t="e">
        <f t="shared" si="14"/>
        <v>#DIV/0!</v>
      </c>
      <c r="E48" s="269">
        <f>SUM(E42:E47)</f>
        <v>0</v>
      </c>
      <c r="F48" s="269">
        <f>SUM(F42:F47)</f>
        <v>0</v>
      </c>
      <c r="G48" s="263" t="e">
        <f t="shared" si="15"/>
        <v>#DIV/0!</v>
      </c>
      <c r="H48" s="269">
        <f>SUM(H42:H47)</f>
        <v>0</v>
      </c>
      <c r="I48" s="269">
        <f>SUM(I42:I47)</f>
        <v>0</v>
      </c>
      <c r="J48" s="263" t="e">
        <f t="shared" si="16"/>
        <v>#DIV/0!</v>
      </c>
    </row>
    <row r="49" spans="1:1" s="18" customFormat="1" ht="19.95" customHeight="1"/>
    <row r="50" spans="1:1" s="18" customFormat="1" ht="19.95" customHeight="1">
      <c r="A50" s="14" t="s">
        <v>357</v>
      </c>
    </row>
    <row r="51" spans="1:1" s="18" customFormat="1" ht="19.95" customHeight="1">
      <c r="A51" s="12"/>
    </row>
    <row r="52" spans="1:1" s="18" customFormat="1" ht="19.95" customHeight="1">
      <c r="A52" s="12"/>
    </row>
    <row r="53" spans="1:1" s="18" customFormat="1" ht="19.95" customHeight="1">
      <c r="A53" s="14" t="s">
        <v>358</v>
      </c>
    </row>
    <row r="54" spans="1:1" s="18" customFormat="1" ht="19.95" customHeight="1">
      <c r="A54" s="14"/>
    </row>
    <row r="55" spans="1:1">
      <c r="A55" s="12"/>
    </row>
    <row r="56" spans="1:1">
      <c r="A56" s="407" t="s">
        <v>720</v>
      </c>
    </row>
    <row r="57" spans="1:1">
      <c r="A57" s="407" t="s">
        <v>721</v>
      </c>
    </row>
    <row r="58" spans="1:1">
      <c r="A58" s="407" t="s">
        <v>722</v>
      </c>
    </row>
  </sheetData>
  <mergeCells count="12">
    <mergeCell ref="A1:J1"/>
    <mergeCell ref="A2:J2"/>
    <mergeCell ref="A40:A41"/>
    <mergeCell ref="B40:D40"/>
    <mergeCell ref="E40:G40"/>
    <mergeCell ref="H40:J40"/>
    <mergeCell ref="B6:D6"/>
    <mergeCell ref="E6:G6"/>
    <mergeCell ref="H6:J6"/>
    <mergeCell ref="B23:D23"/>
    <mergeCell ref="E23:G23"/>
    <mergeCell ref="H23:J23"/>
  </mergeCells>
  <phoneticPr fontId="21" type="noConversion"/>
  <hyperlinks>
    <hyperlink ref="J3" location="底稿目录!A1" display="底稿目录!A1"/>
  </hyperlinks>
  <pageMargins left="0.70866141732283472" right="0.70866141732283472" top="0.74803149606299213" bottom="0.74803149606299213" header="0.31496062992125984" footer="0.31496062992125984"/>
  <pageSetup paperSize="9" scale="70"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P51"/>
  <sheetViews>
    <sheetView view="pageBreakPreview" zoomScaleNormal="145" zoomScaleSheetLayoutView="100" workbookViewId="0">
      <selection sqref="A1:J1"/>
    </sheetView>
  </sheetViews>
  <sheetFormatPr defaultColWidth="10" defaultRowHeight="13.8"/>
  <cols>
    <col min="1" max="1" width="13.5546875" style="18" customWidth="1"/>
    <col min="2" max="4" width="11.88671875" style="18" customWidth="1"/>
    <col min="5" max="5" width="12.77734375" style="18" customWidth="1"/>
    <col min="6" max="10" width="11.88671875" style="18" customWidth="1"/>
    <col min="11" max="16384" width="10" style="18"/>
  </cols>
  <sheetData>
    <row r="1" spans="1:16" ht="20.100000000000001" customHeight="1">
      <c r="A1" s="432" t="s">
        <v>0</v>
      </c>
      <c r="B1" s="432"/>
      <c r="C1" s="432"/>
      <c r="D1" s="432"/>
      <c r="E1" s="432"/>
      <c r="F1" s="432"/>
      <c r="G1" s="432"/>
      <c r="H1" s="432"/>
      <c r="I1" s="432"/>
      <c r="J1" s="432"/>
      <c r="K1" s="40"/>
      <c r="L1" s="40"/>
      <c r="M1" s="40"/>
      <c r="N1" s="40"/>
      <c r="O1" s="40"/>
      <c r="P1" s="40"/>
    </row>
    <row r="2" spans="1:16" s="19" customFormat="1" ht="25.05" customHeight="1">
      <c r="A2" s="447" t="s">
        <v>342</v>
      </c>
      <c r="B2" s="447"/>
      <c r="C2" s="447"/>
      <c r="D2" s="447"/>
      <c r="E2" s="447"/>
      <c r="F2" s="447"/>
      <c r="G2" s="447"/>
      <c r="H2" s="447"/>
      <c r="I2" s="447"/>
      <c r="J2" s="447"/>
      <c r="K2" s="41"/>
      <c r="L2" s="41"/>
      <c r="M2" s="41"/>
      <c r="N2" s="41"/>
      <c r="O2" s="41"/>
      <c r="P2" s="41"/>
    </row>
    <row r="3" spans="1:16" ht="20.100000000000001" customHeight="1">
      <c r="A3" s="20" t="str">
        <f>底稿目录!A2</f>
        <v>被审计单位：</v>
      </c>
      <c r="D3" s="20" t="str">
        <f>底稿目录!A4</f>
        <v>编制人：</v>
      </c>
      <c r="E3" s="42"/>
      <c r="F3" s="22"/>
      <c r="G3" s="20" t="str">
        <f>底稿目录!A5</f>
        <v>编制日期：</v>
      </c>
      <c r="I3" s="270" t="s">
        <v>17</v>
      </c>
      <c r="J3" s="360" t="str">
        <f>底稿目录!F6</f>
        <v>F2-63</v>
      </c>
    </row>
    <row r="4" spans="1:16" ht="20.100000000000001" customHeight="1">
      <c r="A4" s="20" t="str">
        <f>底稿目录!A3</f>
        <v>截止日：202X年12月31日</v>
      </c>
      <c r="D4" s="15" t="str">
        <f>底稿目录!A6</f>
        <v>复核人：</v>
      </c>
      <c r="E4" s="42"/>
      <c r="F4" s="22"/>
      <c r="G4" s="15" t="str">
        <f>底稿目录!A7</f>
        <v>复核日期：</v>
      </c>
      <c r="I4" s="270" t="s">
        <v>343</v>
      </c>
    </row>
    <row r="5" spans="1:16" ht="20.100000000000001" customHeight="1">
      <c r="A5" s="24" t="s">
        <v>349</v>
      </c>
      <c r="B5" s="23"/>
      <c r="C5" s="23"/>
      <c r="D5" s="23"/>
      <c r="E5" s="23"/>
      <c r="F5" s="23"/>
      <c r="G5" s="23"/>
      <c r="H5" s="13"/>
    </row>
    <row r="6" spans="1:16" ht="20.100000000000001" customHeight="1">
      <c r="A6" s="67" t="s">
        <v>345</v>
      </c>
      <c r="B6" s="66" t="s">
        <v>54</v>
      </c>
      <c r="C6" s="66" t="s">
        <v>157</v>
      </c>
      <c r="D6" s="66" t="s">
        <v>52</v>
      </c>
      <c r="E6" s="66" t="s">
        <v>53</v>
      </c>
    </row>
    <row r="7" spans="1:16" ht="20.100000000000001" customHeight="1">
      <c r="A7" s="63"/>
      <c r="B7" s="271"/>
      <c r="C7" s="271"/>
      <c r="D7" s="68">
        <f>IF(C7=0,0,B7/C7)</f>
        <v>0</v>
      </c>
      <c r="E7" s="26"/>
    </row>
    <row r="8" spans="1:16" ht="20.100000000000001" customHeight="1">
      <c r="A8" s="26"/>
      <c r="B8" s="271"/>
      <c r="C8" s="271"/>
      <c r="D8" s="68">
        <f t="shared" ref="D8:D11" si="0">IF(C8=0,0,B8/C8)</f>
        <v>0</v>
      </c>
      <c r="E8" s="26"/>
    </row>
    <row r="9" spans="1:16" ht="20.100000000000001" customHeight="1">
      <c r="A9" s="26"/>
      <c r="B9" s="271"/>
      <c r="C9" s="271"/>
      <c r="D9" s="68">
        <f t="shared" si="0"/>
        <v>0</v>
      </c>
      <c r="E9" s="26"/>
    </row>
    <row r="10" spans="1:16" ht="20.100000000000001" customHeight="1">
      <c r="A10" s="26"/>
      <c r="B10" s="271"/>
      <c r="C10" s="271"/>
      <c r="D10" s="68">
        <f t="shared" si="0"/>
        <v>0</v>
      </c>
      <c r="E10" s="26"/>
    </row>
    <row r="11" spans="1:16" ht="20.100000000000001" customHeight="1">
      <c r="A11" s="26"/>
      <c r="B11" s="271"/>
      <c r="C11" s="271"/>
      <c r="D11" s="68">
        <f t="shared" si="0"/>
        <v>0</v>
      </c>
      <c r="E11" s="26"/>
    </row>
    <row r="12" spans="1:16" ht="20.100000000000001" customHeight="1">
      <c r="A12" s="24" t="s">
        <v>350</v>
      </c>
      <c r="B12" s="23"/>
      <c r="C12" s="23"/>
      <c r="D12" s="23"/>
      <c r="E12" s="23"/>
      <c r="F12" s="23"/>
      <c r="G12" s="23"/>
    </row>
    <row r="13" spans="1:16" s="43" customFormat="1" ht="20.100000000000001" customHeight="1">
      <c r="A13" s="66" t="s">
        <v>59</v>
      </c>
      <c r="B13" s="67" t="s">
        <v>344</v>
      </c>
      <c r="C13" s="67" t="s">
        <v>347</v>
      </c>
      <c r="D13" s="66" t="s">
        <v>60</v>
      </c>
      <c r="E13" s="67" t="s">
        <v>61</v>
      </c>
      <c r="F13" s="67" t="s">
        <v>346</v>
      </c>
      <c r="G13" s="67" t="s">
        <v>62</v>
      </c>
      <c r="H13" s="67" t="s">
        <v>348</v>
      </c>
      <c r="I13" s="67" t="s">
        <v>63</v>
      </c>
    </row>
    <row r="14" spans="1:16" ht="20.100000000000001" customHeight="1">
      <c r="A14" s="63"/>
      <c r="B14" s="63"/>
      <c r="C14" s="271"/>
      <c r="D14" s="72"/>
      <c r="E14" s="68"/>
      <c r="F14" s="273"/>
      <c r="G14" s="271"/>
      <c r="H14" s="273"/>
      <c r="I14" s="271"/>
    </row>
    <row r="15" spans="1:16" ht="20.100000000000001" customHeight="1">
      <c r="A15" s="26"/>
      <c r="B15" s="26"/>
      <c r="C15" s="271"/>
      <c r="D15" s="72"/>
      <c r="E15" s="68"/>
      <c r="F15" s="273"/>
      <c r="G15" s="271"/>
      <c r="H15" s="273"/>
      <c r="I15" s="271"/>
    </row>
    <row r="16" spans="1:16" ht="20.100000000000001" customHeight="1">
      <c r="A16" s="26"/>
      <c r="B16" s="26"/>
      <c r="C16" s="271"/>
      <c r="D16" s="72"/>
      <c r="E16" s="68"/>
      <c r="F16" s="273"/>
      <c r="G16" s="271"/>
      <c r="H16" s="273"/>
      <c r="I16" s="271"/>
    </row>
    <row r="17" spans="1:9" ht="20.100000000000001" customHeight="1">
      <c r="A17" s="73" t="s">
        <v>64</v>
      </c>
      <c r="B17" s="72"/>
      <c r="C17" s="272">
        <f>SUM(C14:C16)</f>
        <v>0</v>
      </c>
      <c r="D17" s="26"/>
      <c r="E17" s="68">
        <f>IF(D17=0,0,C17/D17)</f>
        <v>0</v>
      </c>
      <c r="F17" s="272">
        <f>SUM(F14:F16)</f>
        <v>0</v>
      </c>
      <c r="G17" s="272">
        <f>SUM(G14:G16)</f>
        <v>0</v>
      </c>
      <c r="H17" s="272">
        <f>SUM(H14:H16)</f>
        <v>0</v>
      </c>
      <c r="I17" s="272">
        <f>SUM(I14:I16)</f>
        <v>0</v>
      </c>
    </row>
    <row r="18" spans="1:9" ht="20.100000000000001" customHeight="1">
      <c r="A18" s="26"/>
      <c r="B18" s="26"/>
      <c r="C18" s="271"/>
      <c r="D18" s="272"/>
      <c r="E18" s="68"/>
      <c r="F18" s="273"/>
      <c r="G18" s="271"/>
      <c r="H18" s="271"/>
      <c r="I18" s="273"/>
    </row>
    <row r="19" spans="1:9" ht="20.100000000000001" customHeight="1">
      <c r="A19" s="26"/>
      <c r="B19" s="26"/>
      <c r="C19" s="271"/>
      <c r="D19" s="272"/>
      <c r="E19" s="68"/>
      <c r="F19" s="273"/>
      <c r="G19" s="271"/>
      <c r="H19" s="271"/>
      <c r="I19" s="273"/>
    </row>
    <row r="20" spans="1:9" ht="20.100000000000001" customHeight="1">
      <c r="A20" s="26"/>
      <c r="B20" s="26"/>
      <c r="C20" s="271"/>
      <c r="D20" s="272"/>
      <c r="E20" s="68"/>
      <c r="F20" s="273"/>
      <c r="G20" s="271"/>
      <c r="H20" s="271"/>
      <c r="I20" s="273"/>
    </row>
    <row r="21" spans="1:9" ht="20.100000000000001" customHeight="1">
      <c r="A21" s="73" t="s">
        <v>64</v>
      </c>
      <c r="B21" s="72"/>
      <c r="C21" s="272">
        <f>SUM(C18:C20)</f>
        <v>0</v>
      </c>
      <c r="D21" s="271"/>
      <c r="E21" s="68">
        <f>IF(D21=0,0,C21/D21)</f>
        <v>0</v>
      </c>
      <c r="F21" s="272">
        <f>SUM(F18:F20)</f>
        <v>0</v>
      </c>
      <c r="G21" s="272">
        <f>SUM(G18:G20)</f>
        <v>0</v>
      </c>
      <c r="H21" s="272">
        <f>SUM(H18:H20)</f>
        <v>0</v>
      </c>
      <c r="I21" s="272">
        <f>SUM(I18:I20)</f>
        <v>0</v>
      </c>
    </row>
    <row r="22" spans="1:9" ht="20.100000000000001" customHeight="1">
      <c r="A22" s="24" t="s">
        <v>351</v>
      </c>
      <c r="B22" s="34"/>
      <c r="C22" s="34"/>
      <c r="D22" s="47"/>
      <c r="E22" s="34"/>
    </row>
    <row r="23" spans="1:9" ht="18.600000000000001" customHeight="1">
      <c r="A23" s="453" t="s">
        <v>158</v>
      </c>
      <c r="B23" s="448" t="s">
        <v>159</v>
      </c>
      <c r="C23" s="449"/>
      <c r="D23" s="212"/>
      <c r="E23" s="448" t="s">
        <v>160</v>
      </c>
      <c r="F23" s="449"/>
      <c r="G23" s="212"/>
    </row>
    <row r="24" spans="1:9" ht="20.100000000000001" customHeight="1">
      <c r="A24" s="453"/>
      <c r="B24" s="212" t="s">
        <v>161</v>
      </c>
      <c r="C24" s="212" t="s">
        <v>162</v>
      </c>
      <c r="D24" s="77" t="s">
        <v>166</v>
      </c>
      <c r="E24" s="212" t="s">
        <v>161</v>
      </c>
      <c r="F24" s="212" t="s">
        <v>162</v>
      </c>
      <c r="G24" s="77" t="s">
        <v>166</v>
      </c>
    </row>
    <row r="25" spans="1:9" ht="20.100000000000001" customHeight="1">
      <c r="A25" s="74" t="s">
        <v>163</v>
      </c>
      <c r="B25" s="78"/>
      <c r="C25" s="78"/>
      <c r="D25" s="79" t="e">
        <f>C25/B25</f>
        <v>#DIV/0!</v>
      </c>
      <c r="E25" s="78"/>
      <c r="F25" s="78"/>
      <c r="G25" s="80" t="e">
        <f>F25/E25</f>
        <v>#DIV/0!</v>
      </c>
    </row>
    <row r="26" spans="1:9" ht="20.100000000000001" customHeight="1">
      <c r="A26" s="74" t="s">
        <v>164</v>
      </c>
      <c r="B26" s="78"/>
      <c r="C26" s="78"/>
      <c r="D26" s="79" t="e">
        <f t="shared" ref="D26:D29" si="1">C26/B26</f>
        <v>#DIV/0!</v>
      </c>
      <c r="E26" s="78"/>
      <c r="F26" s="78"/>
      <c r="G26" s="80" t="e">
        <f t="shared" ref="G26:G29" si="2">F26/E26</f>
        <v>#DIV/0!</v>
      </c>
    </row>
    <row r="27" spans="1:9" ht="20.100000000000001" customHeight="1">
      <c r="A27" s="75" t="s">
        <v>156</v>
      </c>
      <c r="B27" s="78"/>
      <c r="C27" s="78"/>
      <c r="D27" s="79" t="e">
        <f t="shared" si="1"/>
        <v>#DIV/0!</v>
      </c>
      <c r="E27" s="78"/>
      <c r="F27" s="78"/>
      <c r="G27" s="80" t="e">
        <f t="shared" si="2"/>
        <v>#DIV/0!</v>
      </c>
    </row>
    <row r="28" spans="1:9" ht="20.100000000000001" customHeight="1">
      <c r="A28" s="74" t="s">
        <v>165</v>
      </c>
      <c r="B28" s="78"/>
      <c r="C28" s="78"/>
      <c r="D28" s="79" t="e">
        <f t="shared" si="1"/>
        <v>#DIV/0!</v>
      </c>
      <c r="E28" s="78"/>
      <c r="F28" s="78"/>
      <c r="G28" s="80" t="e">
        <f t="shared" si="2"/>
        <v>#DIV/0!</v>
      </c>
    </row>
    <row r="29" spans="1:9" ht="20.100000000000001" customHeight="1">
      <c r="A29" s="74" t="s">
        <v>2</v>
      </c>
      <c r="B29" s="78"/>
      <c r="C29" s="78"/>
      <c r="D29" s="79" t="e">
        <f t="shared" si="1"/>
        <v>#DIV/0!</v>
      </c>
      <c r="E29" s="78"/>
      <c r="F29" s="78"/>
      <c r="G29" s="80" t="e">
        <f t="shared" si="2"/>
        <v>#DIV/0!</v>
      </c>
    </row>
    <row r="30" spans="1:9" ht="20.100000000000001" customHeight="1">
      <c r="A30" s="81" t="s">
        <v>167</v>
      </c>
      <c r="B30" s="82"/>
      <c r="C30" s="82">
        <f>SUM(C25:C29)</f>
        <v>0</v>
      </c>
      <c r="D30" s="82"/>
      <c r="E30" s="82"/>
      <c r="F30" s="82">
        <f>SUM(F25:F29)</f>
        <v>0</v>
      </c>
      <c r="G30" s="83"/>
    </row>
    <row r="31" spans="1:9" ht="20.100000000000001" customHeight="1">
      <c r="A31" s="76"/>
      <c r="B31" s="76"/>
      <c r="C31" s="76"/>
      <c r="D31" s="76"/>
      <c r="E31" s="65"/>
    </row>
    <row r="32" spans="1:9" ht="20.100000000000001" customHeight="1">
      <c r="A32" s="450" t="s">
        <v>154</v>
      </c>
      <c r="B32" s="451" t="s">
        <v>54</v>
      </c>
      <c r="C32" s="450" t="s">
        <v>155</v>
      </c>
      <c r="D32" s="450"/>
      <c r="E32" s="450"/>
      <c r="F32" s="450" t="s">
        <v>55</v>
      </c>
      <c r="G32" s="452" t="s">
        <v>56</v>
      </c>
      <c r="H32" s="450" t="s">
        <v>57</v>
      </c>
      <c r="I32" s="450" t="s">
        <v>58</v>
      </c>
    </row>
    <row r="33" spans="1:10" ht="20.100000000000001" customHeight="1">
      <c r="A33" s="450"/>
      <c r="B33" s="451"/>
      <c r="C33" s="67" t="s">
        <v>359</v>
      </c>
      <c r="D33" s="67" t="s">
        <v>360</v>
      </c>
      <c r="E33" s="67" t="s">
        <v>361</v>
      </c>
      <c r="F33" s="450"/>
      <c r="G33" s="452"/>
      <c r="H33" s="450"/>
      <c r="I33" s="450"/>
    </row>
    <row r="34" spans="1:10" ht="20.100000000000001" customHeight="1">
      <c r="A34" s="71">
        <f t="shared" ref="A34:B38" si="3">A7</f>
        <v>0</v>
      </c>
      <c r="B34" s="69">
        <f t="shared" si="3"/>
        <v>0</v>
      </c>
      <c r="C34" s="271"/>
      <c r="D34" s="274"/>
      <c r="E34" s="274"/>
      <c r="F34" s="70" t="e">
        <f>B34/(C34+D34+E34)</f>
        <v>#DIV/0!</v>
      </c>
      <c r="G34" s="26"/>
      <c r="H34" s="69" t="e">
        <f>F34-G34</f>
        <v>#DIV/0!</v>
      </c>
      <c r="I34" s="68">
        <f>IF(G34=0,0,H34/G34)</f>
        <v>0</v>
      </c>
    </row>
    <row r="35" spans="1:10" ht="20.100000000000001" customHeight="1">
      <c r="A35" s="71">
        <f t="shared" si="3"/>
        <v>0</v>
      </c>
      <c r="B35" s="69">
        <f t="shared" si="3"/>
        <v>0</v>
      </c>
      <c r="C35" s="271"/>
      <c r="D35" s="274"/>
      <c r="E35" s="274"/>
      <c r="F35" s="275" t="e">
        <f>B35/(C35+D35+E35)</f>
        <v>#DIV/0!</v>
      </c>
      <c r="G35" s="26"/>
      <c r="H35" s="69" t="e">
        <f t="shared" ref="H35:H38" si="4">F35-G35</f>
        <v>#DIV/0!</v>
      </c>
      <c r="I35" s="68">
        <f>IF(G35=0,0,H35/G35)</f>
        <v>0</v>
      </c>
    </row>
    <row r="36" spans="1:10" ht="20.100000000000001" customHeight="1">
      <c r="A36" s="71">
        <f t="shared" si="3"/>
        <v>0</v>
      </c>
      <c r="B36" s="69">
        <f t="shared" si="3"/>
        <v>0</v>
      </c>
      <c r="C36" s="271"/>
      <c r="D36" s="274"/>
      <c r="E36" s="274"/>
      <c r="F36" s="70" t="e">
        <f t="shared" ref="F36:F38" si="5">B36/(C36+D36+E36)</f>
        <v>#DIV/0!</v>
      </c>
      <c r="G36" s="26"/>
      <c r="H36" s="69" t="e">
        <f t="shared" si="4"/>
        <v>#DIV/0!</v>
      </c>
      <c r="I36" s="68">
        <f t="shared" ref="I36:I38" si="6">IF(G36=0,0,H36/G36)</f>
        <v>0</v>
      </c>
    </row>
    <row r="37" spans="1:10" ht="20.100000000000001" customHeight="1">
      <c r="A37" s="71">
        <f t="shared" si="3"/>
        <v>0</v>
      </c>
      <c r="B37" s="69">
        <f t="shared" si="3"/>
        <v>0</v>
      </c>
      <c r="C37" s="271"/>
      <c r="D37" s="274"/>
      <c r="E37" s="274"/>
      <c r="F37" s="70" t="e">
        <f t="shared" si="5"/>
        <v>#DIV/0!</v>
      </c>
      <c r="G37" s="26"/>
      <c r="H37" s="69" t="e">
        <f t="shared" si="4"/>
        <v>#DIV/0!</v>
      </c>
      <c r="I37" s="68">
        <f t="shared" si="6"/>
        <v>0</v>
      </c>
    </row>
    <row r="38" spans="1:10" ht="20.100000000000001" customHeight="1">
      <c r="A38" s="71">
        <f t="shared" si="3"/>
        <v>0</v>
      </c>
      <c r="B38" s="69">
        <f t="shared" si="3"/>
        <v>0</v>
      </c>
      <c r="C38" s="271"/>
      <c r="D38" s="274"/>
      <c r="E38" s="274"/>
      <c r="F38" s="70" t="e">
        <f t="shared" si="5"/>
        <v>#DIV/0!</v>
      </c>
      <c r="G38" s="26"/>
      <c r="H38" s="69" t="e">
        <f t="shared" si="4"/>
        <v>#DIV/0!</v>
      </c>
      <c r="I38" s="68">
        <f t="shared" si="6"/>
        <v>0</v>
      </c>
    </row>
    <row r="39" spans="1:10" ht="20.100000000000001" customHeight="1">
      <c r="A39" s="31"/>
      <c r="B39" s="31"/>
      <c r="C39" s="31"/>
      <c r="D39" s="31"/>
      <c r="E39" s="31"/>
      <c r="F39" s="23"/>
      <c r="G39" s="23"/>
    </row>
    <row r="40" spans="1:10" ht="20.100000000000001" customHeight="1">
      <c r="A40" s="36" t="s">
        <v>352</v>
      </c>
      <c r="B40" s="34"/>
      <c r="C40" s="34"/>
      <c r="D40" s="34"/>
      <c r="E40" s="34"/>
      <c r="F40" s="23"/>
      <c r="G40" s="23"/>
    </row>
    <row r="41" spans="1:10" ht="20.100000000000001" customHeight="1">
      <c r="A41" s="85" t="s">
        <v>168</v>
      </c>
      <c r="B41" s="34"/>
      <c r="C41" s="34"/>
      <c r="D41" s="34"/>
      <c r="E41" s="34"/>
      <c r="F41" s="23"/>
      <c r="G41" s="23"/>
    </row>
    <row r="42" spans="1:10" ht="20.100000000000001" customHeight="1">
      <c r="A42" s="85" t="s">
        <v>169</v>
      </c>
      <c r="B42" s="34"/>
      <c r="C42" s="34"/>
      <c r="D42" s="34"/>
      <c r="E42" s="34"/>
      <c r="F42" s="23"/>
      <c r="G42" s="23"/>
    </row>
    <row r="43" spans="1:10" ht="20.100000000000001" customHeight="1">
      <c r="A43" s="85" t="s">
        <v>170</v>
      </c>
      <c r="B43" s="34"/>
      <c r="C43" s="34"/>
      <c r="D43" s="34"/>
      <c r="E43" s="84"/>
      <c r="F43" s="23"/>
      <c r="G43" s="23"/>
    </row>
    <row r="44" spans="1:10" ht="20.100000000000001" customHeight="1">
      <c r="A44" s="36" t="s">
        <v>353</v>
      </c>
      <c r="B44" s="34"/>
      <c r="C44" s="34"/>
      <c r="D44" s="34"/>
      <c r="E44" s="34"/>
      <c r="F44" s="23"/>
      <c r="G44" s="23"/>
    </row>
    <row r="45" spans="1:10" ht="20.100000000000001" customHeight="1">
      <c r="A45" s="34"/>
      <c r="B45" s="34"/>
      <c r="C45" s="34"/>
      <c r="D45" s="34"/>
      <c r="E45" s="34"/>
      <c r="F45" s="23"/>
      <c r="G45" s="23"/>
    </row>
    <row r="46" spans="1:10" ht="18" customHeight="1">
      <c r="A46" s="276" t="s">
        <v>362</v>
      </c>
    </row>
    <row r="47" spans="1:10" ht="18" customHeight="1">
      <c r="A47" s="45" t="s">
        <v>363</v>
      </c>
    </row>
    <row r="48" spans="1:10" ht="43.2" customHeight="1">
      <c r="A48" s="446" t="s">
        <v>364</v>
      </c>
      <c r="B48" s="446"/>
      <c r="C48" s="446"/>
      <c r="D48" s="446"/>
      <c r="E48" s="446"/>
      <c r="F48" s="446"/>
      <c r="G48" s="446"/>
      <c r="H48" s="446"/>
      <c r="I48" s="446"/>
      <c r="J48" s="446"/>
    </row>
    <row r="49" spans="1:1" ht="18" customHeight="1"/>
    <row r="50" spans="1:1" ht="18" customHeight="1">
      <c r="A50" s="46"/>
    </row>
    <row r="51" spans="1:1" ht="18" customHeight="1">
      <c r="A51" s="89"/>
    </row>
  </sheetData>
  <mergeCells count="13">
    <mergeCell ref="A48:J48"/>
    <mergeCell ref="A1:J1"/>
    <mergeCell ref="A2:J2"/>
    <mergeCell ref="B23:C23"/>
    <mergeCell ref="E23:F23"/>
    <mergeCell ref="A32:A33"/>
    <mergeCell ref="B32:B33"/>
    <mergeCell ref="C32:E32"/>
    <mergeCell ref="F32:F33"/>
    <mergeCell ref="G32:G33"/>
    <mergeCell ref="H32:H33"/>
    <mergeCell ref="I32:I33"/>
    <mergeCell ref="A23:A24"/>
  </mergeCells>
  <phoneticPr fontId="6" type="noConversion"/>
  <hyperlinks>
    <hyperlink ref="J3" location="底稿目录!A1" display="底稿目录!A1"/>
  </hyperlinks>
  <printOptions horizontalCentered="1"/>
  <pageMargins left="0.55118110236220474" right="0.27559055118110237" top="0.62992125984251968" bottom="0.51181102362204722" header="0.51181102362204722" footer="0.35433070866141736"/>
  <pageSetup paperSize="9" scale="70" orientation="portrait" blackAndWhite="1" cellComments="atEnd"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232"/>
  <sheetViews>
    <sheetView view="pageBreakPreview" zoomScaleNormal="100" zoomScaleSheetLayoutView="100" workbookViewId="0">
      <selection sqref="A1:O1"/>
    </sheetView>
  </sheetViews>
  <sheetFormatPr defaultRowHeight="13.8"/>
  <cols>
    <col min="1" max="2" width="10.6640625" customWidth="1"/>
    <col min="3" max="3" width="12.109375" customWidth="1"/>
    <col min="4" max="5" width="11.77734375" customWidth="1"/>
    <col min="6" max="6" width="11.109375" customWidth="1"/>
    <col min="7" max="7" width="11.33203125" customWidth="1"/>
    <col min="8" max="8" width="10.6640625" customWidth="1"/>
    <col min="9" max="9" width="11.77734375" customWidth="1"/>
    <col min="10" max="12" width="11.88671875" customWidth="1"/>
    <col min="13" max="15" width="10.33203125" customWidth="1"/>
  </cols>
  <sheetData>
    <row r="1" spans="1:18" s="280" customFormat="1" ht="19.95" customHeight="1">
      <c r="A1" s="460" t="s">
        <v>18</v>
      </c>
      <c r="B1" s="460"/>
      <c r="C1" s="460"/>
      <c r="D1" s="460"/>
      <c r="E1" s="460"/>
      <c r="F1" s="460"/>
      <c r="G1" s="460"/>
      <c r="H1" s="460"/>
      <c r="I1" s="460"/>
      <c r="J1" s="460"/>
      <c r="K1" s="460"/>
      <c r="L1" s="460"/>
      <c r="M1" s="460"/>
      <c r="N1" s="460"/>
      <c r="O1" s="460"/>
      <c r="P1" s="277"/>
      <c r="Q1" s="277"/>
      <c r="R1" s="5"/>
    </row>
    <row r="2" spans="1:18" s="280" customFormat="1" ht="19.95" customHeight="1">
      <c r="A2" s="461" t="s">
        <v>367</v>
      </c>
      <c r="B2" s="461"/>
      <c r="C2" s="461"/>
      <c r="D2" s="461"/>
      <c r="E2" s="461"/>
      <c r="F2" s="461"/>
      <c r="G2" s="461"/>
      <c r="H2" s="461"/>
      <c r="I2" s="461"/>
      <c r="J2" s="461"/>
      <c r="K2" s="461"/>
      <c r="L2" s="461"/>
      <c r="M2" s="461"/>
      <c r="N2" s="461"/>
      <c r="O2" s="461"/>
      <c r="P2" s="278"/>
      <c r="Q2" s="278"/>
      <c r="R2" s="278"/>
    </row>
    <row r="3" spans="1:18" s="281" customFormat="1" ht="19.95" customHeight="1">
      <c r="A3" s="6" t="str">
        <f>底稿目录!A2</f>
        <v>被审计单位：</v>
      </c>
      <c r="B3" s="6"/>
      <c r="C3" s="6"/>
      <c r="D3" s="6"/>
      <c r="E3" s="6" t="str">
        <f>底稿目录!A4</f>
        <v>编制人：</v>
      </c>
      <c r="F3" s="6"/>
      <c r="H3" s="6"/>
      <c r="I3" s="6" t="str">
        <f>底稿目录!A5</f>
        <v>编制日期：</v>
      </c>
      <c r="J3" s="6"/>
      <c r="K3" s="6"/>
      <c r="L3" s="6"/>
      <c r="N3" s="6" t="s">
        <v>69</v>
      </c>
      <c r="O3" s="360" t="str">
        <f>底稿目录!F7</f>
        <v>F2-64</v>
      </c>
      <c r="P3" s="6"/>
    </row>
    <row r="4" spans="1:18" s="281" customFormat="1" ht="19.95" customHeight="1">
      <c r="A4" s="6" t="str">
        <f>底稿目录!A3</f>
        <v>截止日：202X年12月31日</v>
      </c>
      <c r="B4" s="6"/>
      <c r="C4" s="6"/>
      <c r="D4" s="6"/>
      <c r="E4" s="6" t="str">
        <f>底稿目录!A6</f>
        <v>复核人：</v>
      </c>
      <c r="F4" s="6"/>
      <c r="H4" s="6"/>
      <c r="I4" s="6" t="str">
        <f>底稿目录!A7</f>
        <v>复核日期：</v>
      </c>
      <c r="J4" s="6"/>
      <c r="K4" s="9"/>
      <c r="L4" s="6"/>
      <c r="N4" s="6" t="s">
        <v>70</v>
      </c>
      <c r="O4" s="6"/>
      <c r="P4" s="6"/>
    </row>
    <row r="5" spans="1:18" s="281" customFormat="1" ht="19.95" customHeight="1">
      <c r="A5" s="54" t="s">
        <v>71</v>
      </c>
      <c r="B5" s="55" t="s">
        <v>88</v>
      </c>
    </row>
    <row r="6" spans="1:18" s="281" customFormat="1" ht="19.95" customHeight="1">
      <c r="A6" s="279" t="s">
        <v>369</v>
      </c>
      <c r="B6" s="49"/>
    </row>
    <row r="7" spans="1:18" s="281" customFormat="1" ht="19.95" customHeight="1">
      <c r="A7" s="456" t="s">
        <v>89</v>
      </c>
      <c r="B7" s="456" t="s">
        <v>90</v>
      </c>
      <c r="C7" s="456" t="s">
        <v>91</v>
      </c>
      <c r="D7" s="456"/>
      <c r="E7" s="456"/>
      <c r="F7" s="456"/>
      <c r="G7" s="456"/>
      <c r="H7" s="456"/>
      <c r="I7" s="456"/>
      <c r="J7" s="456" t="s">
        <v>92</v>
      </c>
      <c r="K7" s="456"/>
      <c r="L7" s="456"/>
      <c r="M7" s="456"/>
      <c r="N7" s="456"/>
      <c r="O7" s="456"/>
    </row>
    <row r="8" spans="1:18" s="50" customFormat="1" ht="19.95" customHeight="1">
      <c r="A8" s="456"/>
      <c r="B8" s="456"/>
      <c r="C8" s="282" t="s">
        <v>116</v>
      </c>
      <c r="D8" s="282" t="s">
        <v>117</v>
      </c>
      <c r="E8" s="282" t="s">
        <v>118</v>
      </c>
      <c r="F8" s="213" t="s">
        <v>93</v>
      </c>
      <c r="G8" s="213" t="s">
        <v>94</v>
      </c>
      <c r="H8" s="213" t="s">
        <v>95</v>
      </c>
      <c r="I8" s="213" t="s">
        <v>96</v>
      </c>
      <c r="J8" s="282" t="s">
        <v>119</v>
      </c>
      <c r="K8" s="282" t="s">
        <v>117</v>
      </c>
      <c r="L8" s="282" t="s">
        <v>118</v>
      </c>
      <c r="M8" s="213" t="s">
        <v>93</v>
      </c>
      <c r="N8" s="213" t="s">
        <v>94</v>
      </c>
      <c r="O8" s="213" t="s">
        <v>97</v>
      </c>
    </row>
    <row r="9" spans="1:18" s="281" customFormat="1" ht="19.95" customHeight="1">
      <c r="A9" s="465" t="s">
        <v>72</v>
      </c>
      <c r="B9" s="298" t="s">
        <v>73</v>
      </c>
      <c r="C9" s="254"/>
      <c r="D9" s="254"/>
      <c r="E9" s="254"/>
      <c r="F9" s="254"/>
      <c r="G9" s="254"/>
      <c r="H9" s="254"/>
      <c r="I9" s="283">
        <f>SUM(C9:H9)</f>
        <v>0</v>
      </c>
      <c r="J9" s="284">
        <f>IF(C9=0,0,C9/$I9)</f>
        <v>0</v>
      </c>
      <c r="K9" s="284">
        <f>IF(D9=0,0,D9/$I9)</f>
        <v>0</v>
      </c>
      <c r="L9" s="284">
        <f t="shared" ref="L9:O9" si="0">IF(E9=0,0,E9/$I9)</f>
        <v>0</v>
      </c>
      <c r="M9" s="284">
        <f t="shared" si="0"/>
        <v>0</v>
      </c>
      <c r="N9" s="284">
        <f t="shared" si="0"/>
        <v>0</v>
      </c>
      <c r="O9" s="284">
        <f t="shared" si="0"/>
        <v>0</v>
      </c>
    </row>
    <row r="10" spans="1:18" s="281" customFormat="1" ht="19.95" customHeight="1">
      <c r="A10" s="465"/>
      <c r="B10" s="298" t="s">
        <v>74</v>
      </c>
      <c r="C10" s="254"/>
      <c r="D10" s="254"/>
      <c r="E10" s="254"/>
      <c r="F10" s="254"/>
      <c r="G10" s="254"/>
      <c r="H10" s="254"/>
      <c r="I10" s="283">
        <f t="shared" ref="I10:I20" si="1">SUM(C10:H10)</f>
        <v>0</v>
      </c>
      <c r="J10" s="284">
        <f t="shared" ref="J10:J20" si="2">IF(C10=0,0,C10/$I10)</f>
        <v>0</v>
      </c>
      <c r="K10" s="284">
        <f t="shared" ref="K10:K20" si="3">IF(D10=0,0,D10/$I10)</f>
        <v>0</v>
      </c>
      <c r="L10" s="284">
        <f t="shared" ref="L10:L20" si="4">IF(E10=0,0,E10/$I10)</f>
        <v>0</v>
      </c>
      <c r="M10" s="284">
        <f t="shared" ref="M10:M20" si="5">IF(F10=0,0,F10/$I10)</f>
        <v>0</v>
      </c>
      <c r="N10" s="284">
        <f t="shared" ref="N10:N20" si="6">IF(G10=0,0,G10/$I10)</f>
        <v>0</v>
      </c>
      <c r="O10" s="284">
        <f t="shared" ref="O10:O20" si="7">IF(H10=0,0,H10/$I10)</f>
        <v>0</v>
      </c>
    </row>
    <row r="11" spans="1:18" s="281" customFormat="1" ht="19.95" customHeight="1">
      <c r="A11" s="465"/>
      <c r="B11" s="298" t="s">
        <v>75</v>
      </c>
      <c r="C11" s="254"/>
      <c r="D11" s="254"/>
      <c r="E11" s="254"/>
      <c r="F11" s="254"/>
      <c r="G11" s="254"/>
      <c r="H11" s="254"/>
      <c r="I11" s="283">
        <f t="shared" si="1"/>
        <v>0</v>
      </c>
      <c r="J11" s="284">
        <f t="shared" si="2"/>
        <v>0</v>
      </c>
      <c r="K11" s="284">
        <f t="shared" si="3"/>
        <v>0</v>
      </c>
      <c r="L11" s="284">
        <f t="shared" si="4"/>
        <v>0</v>
      </c>
      <c r="M11" s="284">
        <f t="shared" si="5"/>
        <v>0</v>
      </c>
      <c r="N11" s="284">
        <f t="shared" si="6"/>
        <v>0</v>
      </c>
      <c r="O11" s="284">
        <f t="shared" si="7"/>
        <v>0</v>
      </c>
    </row>
    <row r="12" spans="1:18" s="281" customFormat="1" ht="19.95" customHeight="1">
      <c r="A12" s="465"/>
      <c r="B12" s="298" t="s">
        <v>76</v>
      </c>
      <c r="C12" s="254"/>
      <c r="D12" s="254"/>
      <c r="E12" s="254"/>
      <c r="F12" s="254"/>
      <c r="G12" s="254"/>
      <c r="H12" s="254"/>
      <c r="I12" s="283">
        <f t="shared" si="1"/>
        <v>0</v>
      </c>
      <c r="J12" s="284">
        <f t="shared" si="2"/>
        <v>0</v>
      </c>
      <c r="K12" s="284">
        <f t="shared" si="3"/>
        <v>0</v>
      </c>
      <c r="L12" s="284">
        <f t="shared" si="4"/>
        <v>0</v>
      </c>
      <c r="M12" s="284">
        <f t="shared" si="5"/>
        <v>0</v>
      </c>
      <c r="N12" s="284">
        <f t="shared" si="6"/>
        <v>0</v>
      </c>
      <c r="O12" s="284">
        <f t="shared" si="7"/>
        <v>0</v>
      </c>
    </row>
    <row r="13" spans="1:18" s="281" customFormat="1" ht="19.95" customHeight="1">
      <c r="A13" s="465"/>
      <c r="B13" s="298" t="s">
        <v>77</v>
      </c>
      <c r="C13" s="254"/>
      <c r="D13" s="254"/>
      <c r="E13" s="254"/>
      <c r="F13" s="254"/>
      <c r="G13" s="254"/>
      <c r="H13" s="254"/>
      <c r="I13" s="283">
        <f t="shared" si="1"/>
        <v>0</v>
      </c>
      <c r="J13" s="284">
        <f t="shared" si="2"/>
        <v>0</v>
      </c>
      <c r="K13" s="284">
        <f t="shared" si="3"/>
        <v>0</v>
      </c>
      <c r="L13" s="284">
        <f t="shared" si="4"/>
        <v>0</v>
      </c>
      <c r="M13" s="284">
        <f t="shared" si="5"/>
        <v>0</v>
      </c>
      <c r="N13" s="284">
        <f t="shared" si="6"/>
        <v>0</v>
      </c>
      <c r="O13" s="284">
        <f t="shared" si="7"/>
        <v>0</v>
      </c>
    </row>
    <row r="14" spans="1:18" s="281" customFormat="1" ht="19.95" customHeight="1">
      <c r="A14" s="465"/>
      <c r="B14" s="298" t="s">
        <v>78</v>
      </c>
      <c r="C14" s="254"/>
      <c r="D14" s="254"/>
      <c r="E14" s="254"/>
      <c r="F14" s="254"/>
      <c r="G14" s="254"/>
      <c r="H14" s="254"/>
      <c r="I14" s="283">
        <f t="shared" si="1"/>
        <v>0</v>
      </c>
      <c r="J14" s="284">
        <f t="shared" si="2"/>
        <v>0</v>
      </c>
      <c r="K14" s="284">
        <f t="shared" si="3"/>
        <v>0</v>
      </c>
      <c r="L14" s="284">
        <f t="shared" si="4"/>
        <v>0</v>
      </c>
      <c r="M14" s="284">
        <f t="shared" si="5"/>
        <v>0</v>
      </c>
      <c r="N14" s="284">
        <f t="shared" si="6"/>
        <v>0</v>
      </c>
      <c r="O14" s="284">
        <f t="shared" si="7"/>
        <v>0</v>
      </c>
    </row>
    <row r="15" spans="1:18" s="281" customFormat="1" ht="19.95" customHeight="1">
      <c r="A15" s="465"/>
      <c r="B15" s="298" t="s">
        <v>79</v>
      </c>
      <c r="C15" s="254"/>
      <c r="D15" s="254"/>
      <c r="E15" s="254"/>
      <c r="F15" s="254"/>
      <c r="G15" s="254"/>
      <c r="H15" s="254"/>
      <c r="I15" s="283">
        <f t="shared" si="1"/>
        <v>0</v>
      </c>
      <c r="J15" s="284">
        <f t="shared" si="2"/>
        <v>0</v>
      </c>
      <c r="K15" s="284">
        <f t="shared" si="3"/>
        <v>0</v>
      </c>
      <c r="L15" s="284">
        <f t="shared" si="4"/>
        <v>0</v>
      </c>
      <c r="M15" s="284">
        <f t="shared" si="5"/>
        <v>0</v>
      </c>
      <c r="N15" s="284">
        <f t="shared" si="6"/>
        <v>0</v>
      </c>
      <c r="O15" s="284">
        <f t="shared" si="7"/>
        <v>0</v>
      </c>
    </row>
    <row r="16" spans="1:18" s="281" customFormat="1" ht="19.95" customHeight="1">
      <c r="A16" s="465"/>
      <c r="B16" s="298" t="s">
        <v>80</v>
      </c>
      <c r="C16" s="254"/>
      <c r="D16" s="254"/>
      <c r="E16" s="254"/>
      <c r="F16" s="254"/>
      <c r="G16" s="254"/>
      <c r="H16" s="254"/>
      <c r="I16" s="283">
        <f t="shared" si="1"/>
        <v>0</v>
      </c>
      <c r="J16" s="284">
        <f t="shared" si="2"/>
        <v>0</v>
      </c>
      <c r="K16" s="284">
        <f t="shared" si="3"/>
        <v>0</v>
      </c>
      <c r="L16" s="284">
        <f t="shared" si="4"/>
        <v>0</v>
      </c>
      <c r="M16" s="284">
        <f t="shared" si="5"/>
        <v>0</v>
      </c>
      <c r="N16" s="284">
        <f t="shared" si="6"/>
        <v>0</v>
      </c>
      <c r="O16" s="284">
        <f t="shared" si="7"/>
        <v>0</v>
      </c>
    </row>
    <row r="17" spans="1:15" s="281" customFormat="1" ht="19.95" customHeight="1">
      <c r="A17" s="465"/>
      <c r="B17" s="298" t="s">
        <v>81</v>
      </c>
      <c r="C17" s="254"/>
      <c r="D17" s="254"/>
      <c r="E17" s="254"/>
      <c r="F17" s="254"/>
      <c r="G17" s="254"/>
      <c r="H17" s="254"/>
      <c r="I17" s="283">
        <f t="shared" si="1"/>
        <v>0</v>
      </c>
      <c r="J17" s="284">
        <f t="shared" si="2"/>
        <v>0</v>
      </c>
      <c r="K17" s="284">
        <f t="shared" si="3"/>
        <v>0</v>
      </c>
      <c r="L17" s="284">
        <f t="shared" si="4"/>
        <v>0</v>
      </c>
      <c r="M17" s="284">
        <f t="shared" si="5"/>
        <v>0</v>
      </c>
      <c r="N17" s="284">
        <f t="shared" si="6"/>
        <v>0</v>
      </c>
      <c r="O17" s="284">
        <f t="shared" si="7"/>
        <v>0</v>
      </c>
    </row>
    <row r="18" spans="1:15" s="281" customFormat="1" ht="19.95" customHeight="1">
      <c r="A18" s="465"/>
      <c r="B18" s="298" t="s">
        <v>82</v>
      </c>
      <c r="C18" s="254"/>
      <c r="D18" s="254"/>
      <c r="E18" s="254"/>
      <c r="F18" s="254"/>
      <c r="G18" s="254"/>
      <c r="H18" s="254"/>
      <c r="I18" s="283">
        <f t="shared" si="1"/>
        <v>0</v>
      </c>
      <c r="J18" s="284">
        <f t="shared" si="2"/>
        <v>0</v>
      </c>
      <c r="K18" s="284">
        <f t="shared" si="3"/>
        <v>0</v>
      </c>
      <c r="L18" s="284">
        <f t="shared" si="4"/>
        <v>0</v>
      </c>
      <c r="M18" s="284">
        <f t="shared" si="5"/>
        <v>0</v>
      </c>
      <c r="N18" s="284">
        <f t="shared" si="6"/>
        <v>0</v>
      </c>
      <c r="O18" s="284">
        <f t="shared" si="7"/>
        <v>0</v>
      </c>
    </row>
    <row r="19" spans="1:15" s="281" customFormat="1" ht="19.95" customHeight="1">
      <c r="A19" s="465"/>
      <c r="B19" s="298" t="s">
        <v>83</v>
      </c>
      <c r="C19" s="254"/>
      <c r="D19" s="254"/>
      <c r="E19" s="254"/>
      <c r="F19" s="254"/>
      <c r="G19" s="254"/>
      <c r="H19" s="254"/>
      <c r="I19" s="283">
        <f t="shared" si="1"/>
        <v>0</v>
      </c>
      <c r="J19" s="284">
        <f t="shared" si="2"/>
        <v>0</v>
      </c>
      <c r="K19" s="284">
        <f t="shared" si="3"/>
        <v>0</v>
      </c>
      <c r="L19" s="284">
        <f t="shared" si="4"/>
        <v>0</v>
      </c>
      <c r="M19" s="284">
        <f t="shared" si="5"/>
        <v>0</v>
      </c>
      <c r="N19" s="284">
        <f t="shared" si="6"/>
        <v>0</v>
      </c>
      <c r="O19" s="284">
        <f t="shared" si="7"/>
        <v>0</v>
      </c>
    </row>
    <row r="20" spans="1:15" s="281" customFormat="1" ht="19.95" customHeight="1">
      <c r="A20" s="465"/>
      <c r="B20" s="298" t="s">
        <v>84</v>
      </c>
      <c r="C20" s="254"/>
      <c r="D20" s="254"/>
      <c r="E20" s="254"/>
      <c r="F20" s="254"/>
      <c r="G20" s="254"/>
      <c r="H20" s="254"/>
      <c r="I20" s="283">
        <f t="shared" si="1"/>
        <v>0</v>
      </c>
      <c r="J20" s="284">
        <f t="shared" si="2"/>
        <v>0</v>
      </c>
      <c r="K20" s="284">
        <f t="shared" si="3"/>
        <v>0</v>
      </c>
      <c r="L20" s="284">
        <f t="shared" si="4"/>
        <v>0</v>
      </c>
      <c r="M20" s="284">
        <f t="shared" si="5"/>
        <v>0</v>
      </c>
      <c r="N20" s="284">
        <f t="shared" si="6"/>
        <v>0</v>
      </c>
      <c r="O20" s="284">
        <f t="shared" si="7"/>
        <v>0</v>
      </c>
    </row>
    <row r="21" spans="1:15" s="281" customFormat="1" ht="19.95" customHeight="1">
      <c r="A21" s="465"/>
      <c r="B21" s="213" t="s">
        <v>86</v>
      </c>
      <c r="C21" s="285">
        <f>SUM(C9:C20)</f>
        <v>0</v>
      </c>
      <c r="D21" s="285">
        <f t="shared" ref="D21:H21" si="8">SUM(D9:D20)</f>
        <v>0</v>
      </c>
      <c r="E21" s="285">
        <f t="shared" si="8"/>
        <v>0</v>
      </c>
      <c r="F21" s="285">
        <f t="shared" si="8"/>
        <v>0</v>
      </c>
      <c r="G21" s="285">
        <f t="shared" si="8"/>
        <v>0</v>
      </c>
      <c r="H21" s="285">
        <f t="shared" si="8"/>
        <v>0</v>
      </c>
      <c r="I21" s="285">
        <f>SUM(I9:I20)</f>
        <v>0</v>
      </c>
      <c r="J21" s="286">
        <f t="shared" ref="J21:O21" si="9">IF(C21=0,0,C21/$I21)</f>
        <v>0</v>
      </c>
      <c r="K21" s="286">
        <f t="shared" si="9"/>
        <v>0</v>
      </c>
      <c r="L21" s="286">
        <f t="shared" si="9"/>
        <v>0</v>
      </c>
      <c r="M21" s="286">
        <f t="shared" si="9"/>
        <v>0</v>
      </c>
      <c r="N21" s="286">
        <f t="shared" si="9"/>
        <v>0</v>
      </c>
      <c r="O21" s="286">
        <f t="shared" si="9"/>
        <v>0</v>
      </c>
    </row>
    <row r="22" spans="1:15" s="281" customFormat="1" ht="19.95" customHeight="1">
      <c r="A22" s="465" t="s">
        <v>85</v>
      </c>
      <c r="B22" s="298" t="s">
        <v>73</v>
      </c>
      <c r="C22" s="254"/>
      <c r="D22" s="254"/>
      <c r="E22" s="254"/>
      <c r="F22" s="254"/>
      <c r="G22" s="254"/>
      <c r="H22" s="254"/>
      <c r="I22" s="283">
        <f>SUM(C22:H22)</f>
        <v>0</v>
      </c>
      <c r="J22" s="284">
        <f>IF(C22=0,0,C22/$I22)</f>
        <v>0</v>
      </c>
      <c r="K22" s="284">
        <f>IF(D22=0,0,D22/$I22)</f>
        <v>0</v>
      </c>
      <c r="L22" s="284">
        <f t="shared" ref="L22:L33" si="10">IF(E22=0,0,E22/$I22)</f>
        <v>0</v>
      </c>
      <c r="M22" s="284">
        <f t="shared" ref="M22:M33" si="11">IF(F22=0,0,F22/$I22)</f>
        <v>0</v>
      </c>
      <c r="N22" s="284">
        <f t="shared" ref="N22:N33" si="12">IF(G22=0,0,G22/$I22)</f>
        <v>0</v>
      </c>
      <c r="O22" s="284">
        <f>IF(H22=0,0,H22/$I22)</f>
        <v>0</v>
      </c>
    </row>
    <row r="23" spans="1:15" s="281" customFormat="1" ht="19.95" customHeight="1">
      <c r="A23" s="465"/>
      <c r="B23" s="298" t="s">
        <v>74</v>
      </c>
      <c r="C23" s="254"/>
      <c r="D23" s="254"/>
      <c r="E23" s="254"/>
      <c r="F23" s="254"/>
      <c r="G23" s="254"/>
      <c r="H23" s="254"/>
      <c r="I23" s="283">
        <f t="shared" ref="I23:I33" si="13">SUM(C23:H23)</f>
        <v>0</v>
      </c>
      <c r="J23" s="284">
        <f t="shared" ref="J23:J33" si="14">IF(C23=0,0,C23/$I23)</f>
        <v>0</v>
      </c>
      <c r="K23" s="284">
        <f t="shared" ref="K23:K33" si="15">IF(D23=0,0,D23/$I23)</f>
        <v>0</v>
      </c>
      <c r="L23" s="284">
        <f t="shared" si="10"/>
        <v>0</v>
      </c>
      <c r="M23" s="284">
        <f t="shared" si="11"/>
        <v>0</v>
      </c>
      <c r="N23" s="284">
        <f t="shared" si="12"/>
        <v>0</v>
      </c>
      <c r="O23" s="284">
        <f t="shared" ref="O23:O33" si="16">IF(H23=0,0,H23/$I23)</f>
        <v>0</v>
      </c>
    </row>
    <row r="24" spans="1:15" s="281" customFormat="1" ht="19.95" customHeight="1">
      <c r="A24" s="465"/>
      <c r="B24" s="298" t="s">
        <v>75</v>
      </c>
      <c r="C24" s="254"/>
      <c r="D24" s="254"/>
      <c r="E24" s="254"/>
      <c r="F24" s="254"/>
      <c r="G24" s="254"/>
      <c r="H24" s="254"/>
      <c r="I24" s="283">
        <f t="shared" si="13"/>
        <v>0</v>
      </c>
      <c r="J24" s="284">
        <f t="shared" si="14"/>
        <v>0</v>
      </c>
      <c r="K24" s="284">
        <f t="shared" si="15"/>
        <v>0</v>
      </c>
      <c r="L24" s="284">
        <f t="shared" si="10"/>
        <v>0</v>
      </c>
      <c r="M24" s="284">
        <f t="shared" si="11"/>
        <v>0</v>
      </c>
      <c r="N24" s="284">
        <f t="shared" si="12"/>
        <v>0</v>
      </c>
      <c r="O24" s="284">
        <f t="shared" si="16"/>
        <v>0</v>
      </c>
    </row>
    <row r="25" spans="1:15" s="281" customFormat="1" ht="19.95" customHeight="1">
      <c r="A25" s="465"/>
      <c r="B25" s="298" t="s">
        <v>76</v>
      </c>
      <c r="C25" s="254"/>
      <c r="D25" s="254"/>
      <c r="E25" s="254"/>
      <c r="F25" s="254"/>
      <c r="G25" s="254"/>
      <c r="H25" s="254"/>
      <c r="I25" s="283">
        <f t="shared" si="13"/>
        <v>0</v>
      </c>
      <c r="J25" s="284">
        <f t="shared" si="14"/>
        <v>0</v>
      </c>
      <c r="K25" s="284">
        <f t="shared" si="15"/>
        <v>0</v>
      </c>
      <c r="L25" s="284">
        <f t="shared" si="10"/>
        <v>0</v>
      </c>
      <c r="M25" s="284">
        <f t="shared" si="11"/>
        <v>0</v>
      </c>
      <c r="N25" s="284">
        <f t="shared" si="12"/>
        <v>0</v>
      </c>
      <c r="O25" s="284">
        <f t="shared" si="16"/>
        <v>0</v>
      </c>
    </row>
    <row r="26" spans="1:15" s="281" customFormat="1" ht="19.95" customHeight="1">
      <c r="A26" s="465"/>
      <c r="B26" s="298" t="s">
        <v>77</v>
      </c>
      <c r="C26" s="254"/>
      <c r="D26" s="254"/>
      <c r="E26" s="254"/>
      <c r="F26" s="254"/>
      <c r="G26" s="254"/>
      <c r="H26" s="254"/>
      <c r="I26" s="283">
        <f t="shared" si="13"/>
        <v>0</v>
      </c>
      <c r="J26" s="284">
        <f t="shared" si="14"/>
        <v>0</v>
      </c>
      <c r="K26" s="284">
        <f t="shared" si="15"/>
        <v>0</v>
      </c>
      <c r="L26" s="284">
        <f t="shared" si="10"/>
        <v>0</v>
      </c>
      <c r="M26" s="284">
        <f t="shared" si="11"/>
        <v>0</v>
      </c>
      <c r="N26" s="284">
        <f t="shared" si="12"/>
        <v>0</v>
      </c>
      <c r="O26" s="284">
        <f t="shared" si="16"/>
        <v>0</v>
      </c>
    </row>
    <row r="27" spans="1:15" s="281" customFormat="1" ht="19.95" customHeight="1">
      <c r="A27" s="465"/>
      <c r="B27" s="298" t="s">
        <v>78</v>
      </c>
      <c r="C27" s="254"/>
      <c r="D27" s="254"/>
      <c r="E27" s="254"/>
      <c r="F27" s="254"/>
      <c r="G27" s="254"/>
      <c r="H27" s="254"/>
      <c r="I27" s="283">
        <f t="shared" si="13"/>
        <v>0</v>
      </c>
      <c r="J27" s="284">
        <f t="shared" si="14"/>
        <v>0</v>
      </c>
      <c r="K27" s="284">
        <f t="shared" si="15"/>
        <v>0</v>
      </c>
      <c r="L27" s="284">
        <f t="shared" si="10"/>
        <v>0</v>
      </c>
      <c r="M27" s="284">
        <f t="shared" si="11"/>
        <v>0</v>
      </c>
      <c r="N27" s="284">
        <f t="shared" si="12"/>
        <v>0</v>
      </c>
      <c r="O27" s="284">
        <f t="shared" si="16"/>
        <v>0</v>
      </c>
    </row>
    <row r="28" spans="1:15" s="281" customFormat="1" ht="19.95" customHeight="1">
      <c r="A28" s="465"/>
      <c r="B28" s="298" t="s">
        <v>79</v>
      </c>
      <c r="C28" s="254"/>
      <c r="D28" s="254"/>
      <c r="E28" s="254"/>
      <c r="F28" s="254"/>
      <c r="G28" s="254"/>
      <c r="H28" s="254"/>
      <c r="I28" s="283">
        <f t="shared" si="13"/>
        <v>0</v>
      </c>
      <c r="J28" s="284">
        <f t="shared" si="14"/>
        <v>0</v>
      </c>
      <c r="K28" s="284">
        <f t="shared" si="15"/>
        <v>0</v>
      </c>
      <c r="L28" s="284">
        <f t="shared" si="10"/>
        <v>0</v>
      </c>
      <c r="M28" s="284">
        <f t="shared" si="11"/>
        <v>0</v>
      </c>
      <c r="N28" s="284">
        <f t="shared" si="12"/>
        <v>0</v>
      </c>
      <c r="O28" s="284">
        <f t="shared" si="16"/>
        <v>0</v>
      </c>
    </row>
    <row r="29" spans="1:15" s="281" customFormat="1" ht="19.95" customHeight="1">
      <c r="A29" s="465"/>
      <c r="B29" s="298" t="s">
        <v>80</v>
      </c>
      <c r="C29" s="254"/>
      <c r="D29" s="254"/>
      <c r="E29" s="254"/>
      <c r="F29" s="254"/>
      <c r="G29" s="254"/>
      <c r="H29" s="254"/>
      <c r="I29" s="283">
        <f t="shared" si="13"/>
        <v>0</v>
      </c>
      <c r="J29" s="284">
        <f t="shared" si="14"/>
        <v>0</v>
      </c>
      <c r="K29" s="284">
        <f t="shared" si="15"/>
        <v>0</v>
      </c>
      <c r="L29" s="284">
        <f t="shared" si="10"/>
        <v>0</v>
      </c>
      <c r="M29" s="284">
        <f t="shared" si="11"/>
        <v>0</v>
      </c>
      <c r="N29" s="284">
        <f t="shared" si="12"/>
        <v>0</v>
      </c>
      <c r="O29" s="284">
        <f t="shared" si="16"/>
        <v>0</v>
      </c>
    </row>
    <row r="30" spans="1:15" s="281" customFormat="1" ht="19.95" customHeight="1">
      <c r="A30" s="465"/>
      <c r="B30" s="298" t="s">
        <v>81</v>
      </c>
      <c r="C30" s="254"/>
      <c r="D30" s="254"/>
      <c r="E30" s="254"/>
      <c r="F30" s="254"/>
      <c r="G30" s="254"/>
      <c r="H30" s="254"/>
      <c r="I30" s="283">
        <f t="shared" si="13"/>
        <v>0</v>
      </c>
      <c r="J30" s="284">
        <f t="shared" si="14"/>
        <v>0</v>
      </c>
      <c r="K30" s="284">
        <f t="shared" si="15"/>
        <v>0</v>
      </c>
      <c r="L30" s="284">
        <f t="shared" si="10"/>
        <v>0</v>
      </c>
      <c r="M30" s="284">
        <f t="shared" si="11"/>
        <v>0</v>
      </c>
      <c r="N30" s="284">
        <f t="shared" si="12"/>
        <v>0</v>
      </c>
      <c r="O30" s="284">
        <f t="shared" si="16"/>
        <v>0</v>
      </c>
    </row>
    <row r="31" spans="1:15" s="281" customFormat="1" ht="19.95" customHeight="1">
      <c r="A31" s="465"/>
      <c r="B31" s="298" t="s">
        <v>82</v>
      </c>
      <c r="C31" s="254"/>
      <c r="D31" s="254"/>
      <c r="E31" s="254"/>
      <c r="F31" s="254"/>
      <c r="G31" s="254"/>
      <c r="H31" s="254"/>
      <c r="I31" s="283">
        <f t="shared" si="13"/>
        <v>0</v>
      </c>
      <c r="J31" s="284">
        <f t="shared" si="14"/>
        <v>0</v>
      </c>
      <c r="K31" s="284">
        <f t="shared" si="15"/>
        <v>0</v>
      </c>
      <c r="L31" s="284">
        <f t="shared" si="10"/>
        <v>0</v>
      </c>
      <c r="M31" s="284">
        <f t="shared" si="11"/>
        <v>0</v>
      </c>
      <c r="N31" s="284">
        <f t="shared" si="12"/>
        <v>0</v>
      </c>
      <c r="O31" s="284">
        <f t="shared" si="16"/>
        <v>0</v>
      </c>
    </row>
    <row r="32" spans="1:15" s="281" customFormat="1" ht="19.95" customHeight="1">
      <c r="A32" s="465"/>
      <c r="B32" s="298" t="s">
        <v>83</v>
      </c>
      <c r="C32" s="254"/>
      <c r="D32" s="254"/>
      <c r="E32" s="254"/>
      <c r="F32" s="254"/>
      <c r="G32" s="254"/>
      <c r="H32" s="254"/>
      <c r="I32" s="283">
        <f t="shared" si="13"/>
        <v>0</v>
      </c>
      <c r="J32" s="284">
        <f t="shared" si="14"/>
        <v>0</v>
      </c>
      <c r="K32" s="284">
        <f t="shared" si="15"/>
        <v>0</v>
      </c>
      <c r="L32" s="284">
        <f t="shared" si="10"/>
        <v>0</v>
      </c>
      <c r="M32" s="284">
        <f t="shared" si="11"/>
        <v>0</v>
      </c>
      <c r="N32" s="284">
        <f t="shared" si="12"/>
        <v>0</v>
      </c>
      <c r="O32" s="284">
        <f t="shared" si="16"/>
        <v>0</v>
      </c>
    </row>
    <row r="33" spans="1:15" s="281" customFormat="1" ht="19.95" customHeight="1">
      <c r="A33" s="465"/>
      <c r="B33" s="298" t="s">
        <v>84</v>
      </c>
      <c r="C33" s="254"/>
      <c r="D33" s="254"/>
      <c r="E33" s="254"/>
      <c r="F33" s="254"/>
      <c r="G33" s="254"/>
      <c r="H33" s="254"/>
      <c r="I33" s="283">
        <f t="shared" si="13"/>
        <v>0</v>
      </c>
      <c r="J33" s="284">
        <f t="shared" si="14"/>
        <v>0</v>
      </c>
      <c r="K33" s="284">
        <f t="shared" si="15"/>
        <v>0</v>
      </c>
      <c r="L33" s="284">
        <f t="shared" si="10"/>
        <v>0</v>
      </c>
      <c r="M33" s="284">
        <f t="shared" si="11"/>
        <v>0</v>
      </c>
      <c r="N33" s="284">
        <f t="shared" si="12"/>
        <v>0</v>
      </c>
      <c r="O33" s="284">
        <f t="shared" si="16"/>
        <v>0</v>
      </c>
    </row>
    <row r="34" spans="1:15" s="281" customFormat="1" ht="19.95" customHeight="1">
      <c r="A34" s="465"/>
      <c r="B34" s="213" t="s">
        <v>86</v>
      </c>
      <c r="C34" s="285">
        <f>SUM(C22:C33)</f>
        <v>0</v>
      </c>
      <c r="D34" s="285">
        <f>SUM(D22:D33)</f>
        <v>0</v>
      </c>
      <c r="E34" s="285">
        <f t="shared" ref="E34" si="17">SUM(E22:E33)</f>
        <v>0</v>
      </c>
      <c r="F34" s="285">
        <f t="shared" ref="F34" si="18">SUM(F22:F33)</f>
        <v>0</v>
      </c>
      <c r="G34" s="285">
        <f t="shared" ref="G34" si="19">SUM(G22:G33)</f>
        <v>0</v>
      </c>
      <c r="H34" s="285">
        <f t="shared" ref="H34" si="20">SUM(H22:H33)</f>
        <v>0</v>
      </c>
      <c r="I34" s="285">
        <f>SUM(I22:I33)</f>
        <v>0</v>
      </c>
      <c r="J34" s="286">
        <f t="shared" ref="J34:O34" si="21">IF(C34=0,0,C34/$I34)</f>
        <v>0</v>
      </c>
      <c r="K34" s="286">
        <f t="shared" si="21"/>
        <v>0</v>
      </c>
      <c r="L34" s="286">
        <f t="shared" si="21"/>
        <v>0</v>
      </c>
      <c r="M34" s="286">
        <f t="shared" si="21"/>
        <v>0</v>
      </c>
      <c r="N34" s="286">
        <f t="shared" si="21"/>
        <v>0</v>
      </c>
      <c r="O34" s="286">
        <f t="shared" si="21"/>
        <v>0</v>
      </c>
    </row>
    <row r="35" spans="1:15" s="281" customFormat="1" ht="19.95" customHeight="1">
      <c r="A35" s="287" t="s">
        <v>87</v>
      </c>
      <c r="B35" s="288"/>
      <c r="C35" s="288"/>
      <c r="D35" s="288"/>
      <c r="E35" s="288"/>
      <c r="F35" s="288"/>
      <c r="G35" s="288"/>
      <c r="H35" s="288"/>
      <c r="I35" s="288"/>
      <c r="J35" s="288"/>
      <c r="K35" s="288"/>
      <c r="L35" s="288"/>
      <c r="M35" s="288"/>
      <c r="N35" s="288"/>
      <c r="O35" s="289"/>
    </row>
    <row r="36" spans="1:15" s="281" customFormat="1" ht="19.95" customHeight="1">
      <c r="A36" s="290"/>
      <c r="B36" s="291"/>
      <c r="C36" s="291"/>
      <c r="D36" s="291"/>
      <c r="E36" s="291"/>
      <c r="F36" s="291"/>
      <c r="G36" s="291"/>
      <c r="H36" s="291"/>
      <c r="I36" s="291"/>
      <c r="J36" s="291"/>
      <c r="K36" s="291"/>
      <c r="L36" s="291"/>
      <c r="M36" s="291"/>
      <c r="N36" s="291"/>
      <c r="O36" s="292"/>
    </row>
    <row r="37" spans="1:15" s="281" customFormat="1" ht="19.95" customHeight="1">
      <c r="A37" s="293"/>
      <c r="B37" s="294"/>
      <c r="C37" s="294"/>
      <c r="D37" s="294"/>
      <c r="E37" s="294"/>
      <c r="F37" s="294"/>
      <c r="G37" s="294"/>
      <c r="H37" s="294"/>
      <c r="I37" s="294"/>
      <c r="J37" s="294"/>
      <c r="K37" s="294"/>
      <c r="L37" s="294"/>
      <c r="M37" s="294"/>
      <c r="N37" s="294"/>
      <c r="O37" s="295"/>
    </row>
    <row r="38" spans="1:15" s="281" customFormat="1" ht="19.95" customHeight="1">
      <c r="A38" s="279" t="s">
        <v>377</v>
      </c>
    </row>
    <row r="39" spans="1:15" s="281" customFormat="1" ht="19.95" customHeight="1">
      <c r="A39" s="456" t="s">
        <v>89</v>
      </c>
      <c r="B39" s="456" t="s">
        <v>90</v>
      </c>
      <c r="C39" s="464" t="s">
        <v>98</v>
      </c>
      <c r="D39" s="464"/>
      <c r="E39" s="464"/>
      <c r="F39" s="464"/>
      <c r="G39" s="464"/>
      <c r="H39" s="466" t="s">
        <v>103</v>
      </c>
      <c r="I39" s="467"/>
    </row>
    <row r="40" spans="1:15" s="281" customFormat="1" ht="19.95" customHeight="1">
      <c r="A40" s="456"/>
      <c r="B40" s="456"/>
      <c r="C40" s="214" t="s">
        <v>99</v>
      </c>
      <c r="D40" s="214" t="s">
        <v>100</v>
      </c>
      <c r="E40" s="214" t="s">
        <v>101</v>
      </c>
      <c r="F40" s="214" t="s">
        <v>102</v>
      </c>
      <c r="G40" s="52" t="s">
        <v>108</v>
      </c>
      <c r="H40" s="214" t="s">
        <v>105</v>
      </c>
      <c r="I40" s="214" t="s">
        <v>107</v>
      </c>
    </row>
    <row r="41" spans="1:15" s="281" customFormat="1" ht="19.95" customHeight="1">
      <c r="A41" s="465" t="s">
        <v>72</v>
      </c>
      <c r="B41" s="298" t="s">
        <v>73</v>
      </c>
      <c r="C41" s="254"/>
      <c r="D41" s="254"/>
      <c r="E41" s="254"/>
      <c r="F41" s="254"/>
      <c r="G41" s="283">
        <f>C41+D41-E41-F41</f>
        <v>0</v>
      </c>
      <c r="H41" s="254"/>
      <c r="I41" s="283">
        <f>IF(E41=0,0,E41/$H41)</f>
        <v>0</v>
      </c>
    </row>
    <row r="42" spans="1:15" s="281" customFormat="1" ht="19.95" customHeight="1">
      <c r="A42" s="465"/>
      <c r="B42" s="298" t="s">
        <v>74</v>
      </c>
      <c r="C42" s="254"/>
      <c r="D42" s="254"/>
      <c r="E42" s="254"/>
      <c r="F42" s="254"/>
      <c r="G42" s="283">
        <f t="shared" ref="G42:G52" si="22">C42+D42-E42-F42</f>
        <v>0</v>
      </c>
      <c r="H42" s="254"/>
      <c r="I42" s="283">
        <f t="shared" ref="I42:I52" si="23">IF(E42=0,0,E42/$H42)</f>
        <v>0</v>
      </c>
    </row>
    <row r="43" spans="1:15" s="281" customFormat="1" ht="19.95" customHeight="1">
      <c r="A43" s="465"/>
      <c r="B43" s="298" t="s">
        <v>75</v>
      </c>
      <c r="C43" s="254"/>
      <c r="D43" s="254"/>
      <c r="E43" s="254"/>
      <c r="F43" s="254"/>
      <c r="G43" s="283">
        <f t="shared" si="22"/>
        <v>0</v>
      </c>
      <c r="H43" s="254"/>
      <c r="I43" s="283">
        <f t="shared" si="23"/>
        <v>0</v>
      </c>
    </row>
    <row r="44" spans="1:15" s="281" customFormat="1" ht="19.95" customHeight="1">
      <c r="A44" s="465"/>
      <c r="B44" s="298" t="s">
        <v>76</v>
      </c>
      <c r="C44" s="254"/>
      <c r="D44" s="254"/>
      <c r="E44" s="254"/>
      <c r="F44" s="254"/>
      <c r="G44" s="283">
        <f t="shared" si="22"/>
        <v>0</v>
      </c>
      <c r="H44" s="254"/>
      <c r="I44" s="283">
        <f t="shared" si="23"/>
        <v>0</v>
      </c>
    </row>
    <row r="45" spans="1:15" s="281" customFormat="1" ht="19.95" customHeight="1">
      <c r="A45" s="465"/>
      <c r="B45" s="298" t="s">
        <v>77</v>
      </c>
      <c r="C45" s="254"/>
      <c r="D45" s="254"/>
      <c r="E45" s="254"/>
      <c r="F45" s="254"/>
      <c r="G45" s="283">
        <f t="shared" si="22"/>
        <v>0</v>
      </c>
      <c r="H45" s="254"/>
      <c r="I45" s="283">
        <f t="shared" si="23"/>
        <v>0</v>
      </c>
    </row>
    <row r="46" spans="1:15" s="281" customFormat="1" ht="19.95" customHeight="1">
      <c r="A46" s="465"/>
      <c r="B46" s="298" t="s">
        <v>78</v>
      </c>
      <c r="C46" s="254"/>
      <c r="D46" s="254"/>
      <c r="E46" s="254"/>
      <c r="F46" s="254"/>
      <c r="G46" s="283">
        <f t="shared" si="22"/>
        <v>0</v>
      </c>
      <c r="H46" s="254"/>
      <c r="I46" s="283">
        <f t="shared" si="23"/>
        <v>0</v>
      </c>
    </row>
    <row r="47" spans="1:15" s="281" customFormat="1" ht="19.95" customHeight="1">
      <c r="A47" s="465"/>
      <c r="B47" s="298" t="s">
        <v>79</v>
      </c>
      <c r="C47" s="254"/>
      <c r="D47" s="254"/>
      <c r="E47" s="254"/>
      <c r="F47" s="254"/>
      <c r="G47" s="283">
        <f t="shared" si="22"/>
        <v>0</v>
      </c>
      <c r="H47" s="254"/>
      <c r="I47" s="283">
        <f t="shared" si="23"/>
        <v>0</v>
      </c>
    </row>
    <row r="48" spans="1:15" s="281" customFormat="1" ht="19.95" customHeight="1">
      <c r="A48" s="465"/>
      <c r="B48" s="298" t="s">
        <v>80</v>
      </c>
      <c r="C48" s="254"/>
      <c r="D48" s="254"/>
      <c r="E48" s="254"/>
      <c r="F48" s="254"/>
      <c r="G48" s="283">
        <f t="shared" si="22"/>
        <v>0</v>
      </c>
      <c r="H48" s="254"/>
      <c r="I48" s="283">
        <f t="shared" si="23"/>
        <v>0</v>
      </c>
    </row>
    <row r="49" spans="1:9" s="281" customFormat="1" ht="19.95" customHeight="1">
      <c r="A49" s="465"/>
      <c r="B49" s="298" t="s">
        <v>81</v>
      </c>
      <c r="C49" s="254"/>
      <c r="D49" s="254"/>
      <c r="E49" s="254"/>
      <c r="F49" s="254"/>
      <c r="G49" s="283">
        <f t="shared" si="22"/>
        <v>0</v>
      </c>
      <c r="H49" s="254"/>
      <c r="I49" s="283">
        <f t="shared" si="23"/>
        <v>0</v>
      </c>
    </row>
    <row r="50" spans="1:9" s="281" customFormat="1" ht="19.95" customHeight="1">
      <c r="A50" s="465"/>
      <c r="B50" s="298" t="s">
        <v>82</v>
      </c>
      <c r="C50" s="254"/>
      <c r="D50" s="254"/>
      <c r="E50" s="254"/>
      <c r="F50" s="254"/>
      <c r="G50" s="283">
        <f t="shared" si="22"/>
        <v>0</v>
      </c>
      <c r="H50" s="254"/>
      <c r="I50" s="283">
        <f t="shared" si="23"/>
        <v>0</v>
      </c>
    </row>
    <row r="51" spans="1:9" s="281" customFormat="1" ht="19.95" customHeight="1">
      <c r="A51" s="465"/>
      <c r="B51" s="298" t="s">
        <v>83</v>
      </c>
      <c r="C51" s="254"/>
      <c r="D51" s="254"/>
      <c r="E51" s="254"/>
      <c r="F51" s="254"/>
      <c r="G51" s="283">
        <f t="shared" si="22"/>
        <v>0</v>
      </c>
      <c r="H51" s="254"/>
      <c r="I51" s="283">
        <f t="shared" si="23"/>
        <v>0</v>
      </c>
    </row>
    <row r="52" spans="1:9" s="281" customFormat="1" ht="19.95" customHeight="1">
      <c r="A52" s="465"/>
      <c r="B52" s="298" t="s">
        <v>84</v>
      </c>
      <c r="C52" s="254"/>
      <c r="D52" s="254"/>
      <c r="E52" s="254"/>
      <c r="F52" s="254"/>
      <c r="G52" s="283">
        <f t="shared" si="22"/>
        <v>0</v>
      </c>
      <c r="H52" s="254"/>
      <c r="I52" s="283">
        <f t="shared" si="23"/>
        <v>0</v>
      </c>
    </row>
    <row r="53" spans="1:9" s="281" customFormat="1" ht="19.95" customHeight="1">
      <c r="A53" s="465"/>
      <c r="B53" s="213" t="s">
        <v>86</v>
      </c>
      <c r="C53" s="285">
        <f>SUM(C41:C52)</f>
        <v>0</v>
      </c>
      <c r="D53" s="285">
        <f>SUM(D41:D52)</f>
        <v>0</v>
      </c>
      <c r="E53" s="285">
        <f>SUM(E41:E52)</f>
        <v>0</v>
      </c>
      <c r="F53" s="285">
        <f t="shared" ref="F53" si="24">SUM(F41:F52)</f>
        <v>0</v>
      </c>
      <c r="G53" s="285">
        <f>SUM(G41:G52)</f>
        <v>0</v>
      </c>
      <c r="H53" s="285">
        <f>SUM(H41:H52)</f>
        <v>0</v>
      </c>
      <c r="I53" s="285">
        <f>IF(E53=0,0,E53/$H53)</f>
        <v>0</v>
      </c>
    </row>
    <row r="54" spans="1:9" s="281" customFormat="1" ht="19.95" customHeight="1">
      <c r="A54" s="465" t="s">
        <v>85</v>
      </c>
      <c r="B54" s="298" t="s">
        <v>73</v>
      </c>
      <c r="C54" s="254"/>
      <c r="D54" s="254"/>
      <c r="E54" s="254"/>
      <c r="F54" s="254"/>
      <c r="G54" s="283">
        <f>C54+D54-E54-F54</f>
        <v>0</v>
      </c>
      <c r="H54" s="254"/>
      <c r="I54" s="283">
        <f>IF(E54=0,0,E54/$H54)</f>
        <v>0</v>
      </c>
    </row>
    <row r="55" spans="1:9" s="281" customFormat="1" ht="19.95" customHeight="1">
      <c r="A55" s="465"/>
      <c r="B55" s="298" t="s">
        <v>74</v>
      </c>
      <c r="C55" s="254"/>
      <c r="D55" s="254"/>
      <c r="E55" s="254"/>
      <c r="F55" s="254"/>
      <c r="G55" s="283">
        <f t="shared" ref="G55:G65" si="25">C55+D55-E55-F55</f>
        <v>0</v>
      </c>
      <c r="H55" s="254"/>
      <c r="I55" s="283">
        <f t="shared" ref="I55:I65" si="26">IF(E55=0,0,E55/$H55)</f>
        <v>0</v>
      </c>
    </row>
    <row r="56" spans="1:9" s="281" customFormat="1" ht="19.95" customHeight="1">
      <c r="A56" s="465"/>
      <c r="B56" s="298" t="s">
        <v>75</v>
      </c>
      <c r="C56" s="254"/>
      <c r="D56" s="254"/>
      <c r="E56" s="254"/>
      <c r="F56" s="254"/>
      <c r="G56" s="283">
        <f t="shared" si="25"/>
        <v>0</v>
      </c>
      <c r="H56" s="254"/>
      <c r="I56" s="283">
        <f t="shared" si="26"/>
        <v>0</v>
      </c>
    </row>
    <row r="57" spans="1:9" s="281" customFormat="1" ht="19.95" customHeight="1">
      <c r="A57" s="465"/>
      <c r="B57" s="298" t="s">
        <v>76</v>
      </c>
      <c r="C57" s="254"/>
      <c r="D57" s="254"/>
      <c r="E57" s="254"/>
      <c r="F57" s="254"/>
      <c r="G57" s="283">
        <f t="shared" si="25"/>
        <v>0</v>
      </c>
      <c r="H57" s="254"/>
      <c r="I57" s="283">
        <f t="shared" si="26"/>
        <v>0</v>
      </c>
    </row>
    <row r="58" spans="1:9" s="281" customFormat="1" ht="19.95" customHeight="1">
      <c r="A58" s="465"/>
      <c r="B58" s="298" t="s">
        <v>77</v>
      </c>
      <c r="C58" s="254"/>
      <c r="D58" s="254"/>
      <c r="E58" s="254"/>
      <c r="F58" s="254"/>
      <c r="G58" s="283">
        <f t="shared" si="25"/>
        <v>0</v>
      </c>
      <c r="H58" s="254"/>
      <c r="I58" s="283">
        <f t="shared" si="26"/>
        <v>0</v>
      </c>
    </row>
    <row r="59" spans="1:9" s="281" customFormat="1" ht="19.95" customHeight="1">
      <c r="A59" s="465"/>
      <c r="B59" s="298" t="s">
        <v>78</v>
      </c>
      <c r="C59" s="254"/>
      <c r="D59" s="254"/>
      <c r="E59" s="254"/>
      <c r="F59" s="254"/>
      <c r="G59" s="283">
        <f t="shared" si="25"/>
        <v>0</v>
      </c>
      <c r="H59" s="254"/>
      <c r="I59" s="283">
        <f t="shared" si="26"/>
        <v>0</v>
      </c>
    </row>
    <row r="60" spans="1:9" s="281" customFormat="1" ht="19.95" customHeight="1">
      <c r="A60" s="465"/>
      <c r="B60" s="298" t="s">
        <v>79</v>
      </c>
      <c r="C60" s="254"/>
      <c r="D60" s="254"/>
      <c r="E60" s="254"/>
      <c r="F60" s="254"/>
      <c r="G60" s="283">
        <f t="shared" si="25"/>
        <v>0</v>
      </c>
      <c r="H60" s="254"/>
      <c r="I60" s="283">
        <f t="shared" si="26"/>
        <v>0</v>
      </c>
    </row>
    <row r="61" spans="1:9" s="281" customFormat="1" ht="19.95" customHeight="1">
      <c r="A61" s="465"/>
      <c r="B61" s="298" t="s">
        <v>80</v>
      </c>
      <c r="C61" s="254"/>
      <c r="D61" s="254"/>
      <c r="E61" s="254"/>
      <c r="F61" s="254"/>
      <c r="G61" s="283">
        <f t="shared" si="25"/>
        <v>0</v>
      </c>
      <c r="H61" s="254"/>
      <c r="I61" s="283">
        <f t="shared" si="26"/>
        <v>0</v>
      </c>
    </row>
    <row r="62" spans="1:9" s="281" customFormat="1" ht="19.95" customHeight="1">
      <c r="A62" s="465"/>
      <c r="B62" s="298" t="s">
        <v>81</v>
      </c>
      <c r="C62" s="254"/>
      <c r="D62" s="254"/>
      <c r="E62" s="254"/>
      <c r="F62" s="254"/>
      <c r="G62" s="283">
        <f t="shared" si="25"/>
        <v>0</v>
      </c>
      <c r="H62" s="254"/>
      <c r="I62" s="283">
        <f t="shared" si="26"/>
        <v>0</v>
      </c>
    </row>
    <row r="63" spans="1:9" s="281" customFormat="1" ht="19.95" customHeight="1">
      <c r="A63" s="465"/>
      <c r="B63" s="298" t="s">
        <v>82</v>
      </c>
      <c r="C63" s="254"/>
      <c r="D63" s="254"/>
      <c r="E63" s="254"/>
      <c r="F63" s="254"/>
      <c r="G63" s="283">
        <f t="shared" si="25"/>
        <v>0</v>
      </c>
      <c r="H63" s="254"/>
      <c r="I63" s="283">
        <f t="shared" si="26"/>
        <v>0</v>
      </c>
    </row>
    <row r="64" spans="1:9" s="281" customFormat="1" ht="19.95" customHeight="1">
      <c r="A64" s="465"/>
      <c r="B64" s="298" t="s">
        <v>83</v>
      </c>
      <c r="C64" s="254"/>
      <c r="D64" s="254"/>
      <c r="E64" s="254"/>
      <c r="F64" s="254"/>
      <c r="G64" s="283">
        <f t="shared" si="25"/>
        <v>0</v>
      </c>
      <c r="H64" s="254"/>
      <c r="I64" s="283">
        <f t="shared" si="26"/>
        <v>0</v>
      </c>
    </row>
    <row r="65" spans="1:13" s="281" customFormat="1" ht="19.95" customHeight="1">
      <c r="A65" s="465"/>
      <c r="B65" s="298" t="s">
        <v>84</v>
      </c>
      <c r="C65" s="254"/>
      <c r="D65" s="254"/>
      <c r="E65" s="254"/>
      <c r="F65" s="254"/>
      <c r="G65" s="283">
        <f t="shared" si="25"/>
        <v>0</v>
      </c>
      <c r="H65" s="254"/>
      <c r="I65" s="283">
        <f t="shared" si="26"/>
        <v>0</v>
      </c>
    </row>
    <row r="66" spans="1:13" s="281" customFormat="1" ht="19.95" customHeight="1">
      <c r="A66" s="465"/>
      <c r="B66" s="213" t="s">
        <v>86</v>
      </c>
      <c r="C66" s="285">
        <f>SUM(C54:C65)</f>
        <v>0</v>
      </c>
      <c r="D66" s="285">
        <f>SUM(D54:D65)</f>
        <v>0</v>
      </c>
      <c r="E66" s="285">
        <f>SUM(E54:E65)</f>
        <v>0</v>
      </c>
      <c r="F66" s="285">
        <f t="shared" ref="F66" si="27">SUM(F54:F65)</f>
        <v>0</v>
      </c>
      <c r="G66" s="285">
        <f>SUM(G54:G65)</f>
        <v>0</v>
      </c>
      <c r="H66" s="285">
        <f>SUM(H54:H65)</f>
        <v>0</v>
      </c>
      <c r="I66" s="285">
        <f>IF(E66=0,0,E66/$H66)</f>
        <v>0</v>
      </c>
    </row>
    <row r="67" spans="1:13" s="281" customFormat="1" ht="19.95" customHeight="1">
      <c r="A67" s="287" t="s">
        <v>87</v>
      </c>
      <c r="B67" s="288"/>
      <c r="C67" s="288"/>
      <c r="D67" s="288"/>
      <c r="E67" s="288"/>
      <c r="F67" s="288"/>
      <c r="G67" s="288"/>
      <c r="H67" s="288"/>
      <c r="I67" s="289"/>
    </row>
    <row r="68" spans="1:13" s="281" customFormat="1" ht="19.95" customHeight="1">
      <c r="A68" s="290"/>
      <c r="B68" s="291"/>
      <c r="C68" s="291"/>
      <c r="D68" s="291"/>
      <c r="E68" s="291"/>
      <c r="F68" s="291"/>
      <c r="G68" s="291"/>
      <c r="H68" s="291"/>
      <c r="I68" s="292"/>
    </row>
    <row r="69" spans="1:13" s="281" customFormat="1" ht="19.95" customHeight="1">
      <c r="A69" s="293"/>
      <c r="B69" s="294"/>
      <c r="C69" s="294"/>
      <c r="D69" s="294"/>
      <c r="E69" s="294"/>
      <c r="F69" s="294"/>
      <c r="G69" s="294"/>
      <c r="H69" s="294"/>
      <c r="I69" s="295"/>
    </row>
    <row r="70" spans="1:13" s="281" customFormat="1" ht="19.95" customHeight="1">
      <c r="A70" s="279" t="s">
        <v>378</v>
      </c>
    </row>
    <row r="71" spans="1:13" s="50" customFormat="1" ht="19.95" customHeight="1">
      <c r="A71" s="214" t="s">
        <v>68</v>
      </c>
      <c r="B71" s="214" t="s">
        <v>120</v>
      </c>
      <c r="C71" s="52" t="s">
        <v>121</v>
      </c>
      <c r="D71" s="214" t="s">
        <v>122</v>
      </c>
      <c r="E71" s="214" t="s">
        <v>66</v>
      </c>
      <c r="F71" s="214" t="s">
        <v>67</v>
      </c>
      <c r="G71" s="52" t="s">
        <v>123</v>
      </c>
      <c r="H71" s="214" t="s">
        <v>127</v>
      </c>
      <c r="I71" s="214" t="s">
        <v>104</v>
      </c>
      <c r="J71" s="53" t="s">
        <v>124</v>
      </c>
      <c r="K71" s="53" t="s">
        <v>125</v>
      </c>
      <c r="L71" s="53" t="s">
        <v>126</v>
      </c>
      <c r="M71" s="53" t="s">
        <v>106</v>
      </c>
    </row>
    <row r="72" spans="1:13" s="281" customFormat="1" ht="19.95" customHeight="1">
      <c r="A72" s="465" t="s">
        <v>72</v>
      </c>
      <c r="B72" s="298" t="s">
        <v>73</v>
      </c>
      <c r="C72" s="254"/>
      <c r="D72" s="254"/>
      <c r="E72" s="254"/>
      <c r="F72" s="254"/>
      <c r="G72" s="254"/>
      <c r="H72" s="283">
        <f>C72+D72+E72+F72-G72</f>
        <v>0</v>
      </c>
      <c r="I72" s="308">
        <f>H41</f>
        <v>0</v>
      </c>
      <c r="J72" s="306" t="e">
        <f>(C72+D72-G72)/I72</f>
        <v>#DIV/0!</v>
      </c>
      <c r="K72" s="306" t="e">
        <f>E72/I72</f>
        <v>#DIV/0!</v>
      </c>
      <c r="L72" s="306" t="e">
        <f>F72/I72</f>
        <v>#DIV/0!</v>
      </c>
      <c r="M72" s="306" t="e">
        <f>H72/I72</f>
        <v>#DIV/0!</v>
      </c>
    </row>
    <row r="73" spans="1:13" s="281" customFormat="1" ht="19.95" customHeight="1">
      <c r="A73" s="465"/>
      <c r="B73" s="298" t="s">
        <v>74</v>
      </c>
      <c r="C73" s="254"/>
      <c r="D73" s="254"/>
      <c r="E73" s="254"/>
      <c r="F73" s="254"/>
      <c r="G73" s="254"/>
      <c r="H73" s="283">
        <f t="shared" ref="H73:H83" si="28">C73+D73+E73+F73-G73</f>
        <v>0</v>
      </c>
      <c r="I73" s="308">
        <f t="shared" ref="I73:I83" si="29">H42</f>
        <v>0</v>
      </c>
      <c r="J73" s="306" t="e">
        <f t="shared" ref="J73:J97" si="30">(C73+D73-G73)/I73</f>
        <v>#DIV/0!</v>
      </c>
      <c r="K73" s="306" t="e">
        <f t="shared" ref="K73:K97" si="31">E73/I73</f>
        <v>#DIV/0!</v>
      </c>
      <c r="L73" s="306" t="e">
        <f t="shared" ref="L73:L97" si="32">F73/I73</f>
        <v>#DIV/0!</v>
      </c>
      <c r="M73" s="306" t="e">
        <f t="shared" ref="M73:M97" si="33">H73/I73</f>
        <v>#DIV/0!</v>
      </c>
    </row>
    <row r="74" spans="1:13" s="281" customFormat="1" ht="19.95" customHeight="1">
      <c r="A74" s="465"/>
      <c r="B74" s="298" t="s">
        <v>75</v>
      </c>
      <c r="C74" s="254"/>
      <c r="D74" s="254"/>
      <c r="E74" s="254"/>
      <c r="F74" s="254"/>
      <c r="G74" s="254"/>
      <c r="H74" s="283">
        <f t="shared" si="28"/>
        <v>0</v>
      </c>
      <c r="I74" s="308">
        <f t="shared" si="29"/>
        <v>0</v>
      </c>
      <c r="J74" s="306" t="e">
        <f t="shared" si="30"/>
        <v>#DIV/0!</v>
      </c>
      <c r="K74" s="306" t="e">
        <f t="shared" si="31"/>
        <v>#DIV/0!</v>
      </c>
      <c r="L74" s="306" t="e">
        <f t="shared" si="32"/>
        <v>#DIV/0!</v>
      </c>
      <c r="M74" s="306" t="e">
        <f t="shared" si="33"/>
        <v>#DIV/0!</v>
      </c>
    </row>
    <row r="75" spans="1:13" s="281" customFormat="1" ht="19.95" customHeight="1">
      <c r="A75" s="465"/>
      <c r="B75" s="298" t="s">
        <v>76</v>
      </c>
      <c r="C75" s="254"/>
      <c r="D75" s="254"/>
      <c r="E75" s="254"/>
      <c r="F75" s="254"/>
      <c r="G75" s="254"/>
      <c r="H75" s="283">
        <f t="shared" si="28"/>
        <v>0</v>
      </c>
      <c r="I75" s="308">
        <f t="shared" si="29"/>
        <v>0</v>
      </c>
      <c r="J75" s="306" t="e">
        <f t="shared" si="30"/>
        <v>#DIV/0!</v>
      </c>
      <c r="K75" s="306" t="e">
        <f t="shared" si="31"/>
        <v>#DIV/0!</v>
      </c>
      <c r="L75" s="306" t="e">
        <f t="shared" si="32"/>
        <v>#DIV/0!</v>
      </c>
      <c r="M75" s="306" t="e">
        <f t="shared" si="33"/>
        <v>#DIV/0!</v>
      </c>
    </row>
    <row r="76" spans="1:13" s="281" customFormat="1" ht="19.95" customHeight="1">
      <c r="A76" s="465"/>
      <c r="B76" s="298" t="s">
        <v>77</v>
      </c>
      <c r="C76" s="254"/>
      <c r="D76" s="254"/>
      <c r="E76" s="254"/>
      <c r="F76" s="254"/>
      <c r="G76" s="254"/>
      <c r="H76" s="283">
        <f t="shared" si="28"/>
        <v>0</v>
      </c>
      <c r="I76" s="308">
        <f t="shared" si="29"/>
        <v>0</v>
      </c>
      <c r="J76" s="306" t="e">
        <f t="shared" si="30"/>
        <v>#DIV/0!</v>
      </c>
      <c r="K76" s="306" t="e">
        <f t="shared" si="31"/>
        <v>#DIV/0!</v>
      </c>
      <c r="L76" s="306" t="e">
        <f t="shared" si="32"/>
        <v>#DIV/0!</v>
      </c>
      <c r="M76" s="306" t="e">
        <f t="shared" si="33"/>
        <v>#DIV/0!</v>
      </c>
    </row>
    <row r="77" spans="1:13" s="281" customFormat="1" ht="19.95" customHeight="1">
      <c r="A77" s="465"/>
      <c r="B77" s="298" t="s">
        <v>78</v>
      </c>
      <c r="C77" s="254"/>
      <c r="D77" s="254"/>
      <c r="E77" s="254"/>
      <c r="F77" s="254"/>
      <c r="G77" s="254"/>
      <c r="H77" s="283">
        <f t="shared" si="28"/>
        <v>0</v>
      </c>
      <c r="I77" s="308">
        <f t="shared" si="29"/>
        <v>0</v>
      </c>
      <c r="J77" s="306" t="e">
        <f t="shared" si="30"/>
        <v>#DIV/0!</v>
      </c>
      <c r="K77" s="306" t="e">
        <f t="shared" si="31"/>
        <v>#DIV/0!</v>
      </c>
      <c r="L77" s="306" t="e">
        <f t="shared" si="32"/>
        <v>#DIV/0!</v>
      </c>
      <c r="M77" s="306" t="e">
        <f t="shared" si="33"/>
        <v>#DIV/0!</v>
      </c>
    </row>
    <row r="78" spans="1:13" s="281" customFormat="1" ht="19.95" customHeight="1">
      <c r="A78" s="465"/>
      <c r="B78" s="298" t="s">
        <v>79</v>
      </c>
      <c r="C78" s="254"/>
      <c r="D78" s="254"/>
      <c r="E78" s="254"/>
      <c r="F78" s="254"/>
      <c r="G78" s="254"/>
      <c r="H78" s="283">
        <f t="shared" si="28"/>
        <v>0</v>
      </c>
      <c r="I78" s="308">
        <f t="shared" si="29"/>
        <v>0</v>
      </c>
      <c r="J78" s="306" t="e">
        <f t="shared" si="30"/>
        <v>#DIV/0!</v>
      </c>
      <c r="K78" s="306" t="e">
        <f t="shared" si="31"/>
        <v>#DIV/0!</v>
      </c>
      <c r="L78" s="306" t="e">
        <f t="shared" si="32"/>
        <v>#DIV/0!</v>
      </c>
      <c r="M78" s="306" t="e">
        <f t="shared" si="33"/>
        <v>#DIV/0!</v>
      </c>
    </row>
    <row r="79" spans="1:13" s="281" customFormat="1" ht="19.95" customHeight="1">
      <c r="A79" s="465"/>
      <c r="B79" s="298" t="s">
        <v>80</v>
      </c>
      <c r="C79" s="254"/>
      <c r="D79" s="254"/>
      <c r="E79" s="254"/>
      <c r="F79" s="254"/>
      <c r="G79" s="254"/>
      <c r="H79" s="283">
        <f t="shared" si="28"/>
        <v>0</v>
      </c>
      <c r="I79" s="308">
        <f t="shared" si="29"/>
        <v>0</v>
      </c>
      <c r="J79" s="306" t="e">
        <f t="shared" si="30"/>
        <v>#DIV/0!</v>
      </c>
      <c r="K79" s="306" t="e">
        <f t="shared" si="31"/>
        <v>#DIV/0!</v>
      </c>
      <c r="L79" s="306" t="e">
        <f t="shared" si="32"/>
        <v>#DIV/0!</v>
      </c>
      <c r="M79" s="306" t="e">
        <f t="shared" si="33"/>
        <v>#DIV/0!</v>
      </c>
    </row>
    <row r="80" spans="1:13" s="281" customFormat="1" ht="19.95" customHeight="1">
      <c r="A80" s="465"/>
      <c r="B80" s="298" t="s">
        <v>81</v>
      </c>
      <c r="C80" s="254"/>
      <c r="D80" s="254"/>
      <c r="E80" s="254"/>
      <c r="F80" s="254"/>
      <c r="G80" s="254"/>
      <c r="H80" s="283">
        <f t="shared" si="28"/>
        <v>0</v>
      </c>
      <c r="I80" s="308">
        <f t="shared" si="29"/>
        <v>0</v>
      </c>
      <c r="J80" s="306" t="e">
        <f t="shared" si="30"/>
        <v>#DIV/0!</v>
      </c>
      <c r="K80" s="306" t="e">
        <f t="shared" si="31"/>
        <v>#DIV/0!</v>
      </c>
      <c r="L80" s="306" t="e">
        <f t="shared" si="32"/>
        <v>#DIV/0!</v>
      </c>
      <c r="M80" s="306" t="e">
        <f t="shared" si="33"/>
        <v>#DIV/0!</v>
      </c>
    </row>
    <row r="81" spans="1:13" s="281" customFormat="1" ht="19.95" customHeight="1">
      <c r="A81" s="465"/>
      <c r="B81" s="298" t="s">
        <v>82</v>
      </c>
      <c r="C81" s="254"/>
      <c r="D81" s="254"/>
      <c r="E81" s="254"/>
      <c r="F81" s="254"/>
      <c r="G81" s="254"/>
      <c r="H81" s="283">
        <f t="shared" si="28"/>
        <v>0</v>
      </c>
      <c r="I81" s="308">
        <f t="shared" si="29"/>
        <v>0</v>
      </c>
      <c r="J81" s="306" t="e">
        <f t="shared" si="30"/>
        <v>#DIV/0!</v>
      </c>
      <c r="K81" s="306" t="e">
        <f t="shared" si="31"/>
        <v>#DIV/0!</v>
      </c>
      <c r="L81" s="306" t="e">
        <f t="shared" si="32"/>
        <v>#DIV/0!</v>
      </c>
      <c r="M81" s="306" t="e">
        <f t="shared" si="33"/>
        <v>#DIV/0!</v>
      </c>
    </row>
    <row r="82" spans="1:13" s="281" customFormat="1" ht="19.95" customHeight="1">
      <c r="A82" s="465"/>
      <c r="B82" s="298" t="s">
        <v>83</v>
      </c>
      <c r="C82" s="254"/>
      <c r="D82" s="254"/>
      <c r="E82" s="254"/>
      <c r="F82" s="254"/>
      <c r="G82" s="254"/>
      <c r="H82" s="283">
        <f t="shared" si="28"/>
        <v>0</v>
      </c>
      <c r="I82" s="308">
        <f t="shared" si="29"/>
        <v>0</v>
      </c>
      <c r="J82" s="306" t="e">
        <f t="shared" si="30"/>
        <v>#DIV/0!</v>
      </c>
      <c r="K82" s="306" t="e">
        <f t="shared" si="31"/>
        <v>#DIV/0!</v>
      </c>
      <c r="L82" s="306" t="e">
        <f t="shared" si="32"/>
        <v>#DIV/0!</v>
      </c>
      <c r="M82" s="306" t="e">
        <f t="shared" si="33"/>
        <v>#DIV/0!</v>
      </c>
    </row>
    <row r="83" spans="1:13" s="281" customFormat="1" ht="19.95" customHeight="1">
      <c r="A83" s="465"/>
      <c r="B83" s="298" t="s">
        <v>84</v>
      </c>
      <c r="C83" s="254"/>
      <c r="D83" s="254"/>
      <c r="E83" s="254"/>
      <c r="F83" s="254"/>
      <c r="G83" s="254"/>
      <c r="H83" s="283">
        <f t="shared" si="28"/>
        <v>0</v>
      </c>
      <c r="I83" s="308">
        <f t="shared" si="29"/>
        <v>0</v>
      </c>
      <c r="J83" s="306" t="e">
        <f t="shared" si="30"/>
        <v>#DIV/0!</v>
      </c>
      <c r="K83" s="306" t="e">
        <f t="shared" si="31"/>
        <v>#DIV/0!</v>
      </c>
      <c r="L83" s="306" t="e">
        <f t="shared" si="32"/>
        <v>#DIV/0!</v>
      </c>
      <c r="M83" s="306" t="e">
        <f t="shared" si="33"/>
        <v>#DIV/0!</v>
      </c>
    </row>
    <row r="84" spans="1:13" s="281" customFormat="1" ht="19.95" customHeight="1">
      <c r="A84" s="465"/>
      <c r="B84" s="213" t="s">
        <v>86</v>
      </c>
      <c r="C84" s="285">
        <f>SUM(C72:C83)</f>
        <v>0</v>
      </c>
      <c r="D84" s="285">
        <f t="shared" ref="D84:I84" si="34">SUM(D72:D83)</f>
        <v>0</v>
      </c>
      <c r="E84" s="285">
        <f t="shared" si="34"/>
        <v>0</v>
      </c>
      <c r="F84" s="285">
        <f t="shared" si="34"/>
        <v>0</v>
      </c>
      <c r="G84" s="285">
        <f t="shared" si="34"/>
        <v>0</v>
      </c>
      <c r="H84" s="285">
        <f>SUM(H72:H83)</f>
        <v>0</v>
      </c>
      <c r="I84" s="297">
        <f t="shared" si="34"/>
        <v>0</v>
      </c>
      <c r="J84" s="307" t="e">
        <f>(C84+D84-G84)/I84</f>
        <v>#DIV/0!</v>
      </c>
      <c r="K84" s="307" t="e">
        <f t="shared" si="31"/>
        <v>#DIV/0!</v>
      </c>
      <c r="L84" s="307" t="e">
        <f t="shared" si="32"/>
        <v>#DIV/0!</v>
      </c>
      <c r="M84" s="307" t="e">
        <f t="shared" si="33"/>
        <v>#DIV/0!</v>
      </c>
    </row>
    <row r="85" spans="1:13" s="281" customFormat="1" ht="19.95" customHeight="1">
      <c r="A85" s="465" t="s">
        <v>85</v>
      </c>
      <c r="B85" s="298" t="s">
        <v>73</v>
      </c>
      <c r="C85" s="254"/>
      <c r="D85" s="254"/>
      <c r="E85" s="254"/>
      <c r="F85" s="254"/>
      <c r="G85" s="254"/>
      <c r="H85" s="283">
        <f>C85+D85+E85+F85-G85</f>
        <v>0</v>
      </c>
      <c r="I85" s="308">
        <f>H54</f>
        <v>0</v>
      </c>
      <c r="J85" s="306" t="e">
        <f t="shared" si="30"/>
        <v>#DIV/0!</v>
      </c>
      <c r="K85" s="306" t="e">
        <f t="shared" si="31"/>
        <v>#DIV/0!</v>
      </c>
      <c r="L85" s="306" t="e">
        <f t="shared" si="32"/>
        <v>#DIV/0!</v>
      </c>
      <c r="M85" s="306" t="e">
        <f t="shared" si="33"/>
        <v>#DIV/0!</v>
      </c>
    </row>
    <row r="86" spans="1:13" s="281" customFormat="1" ht="19.95" customHeight="1">
      <c r="A86" s="465"/>
      <c r="B86" s="298" t="s">
        <v>74</v>
      </c>
      <c r="C86" s="254"/>
      <c r="D86" s="254"/>
      <c r="E86" s="254"/>
      <c r="F86" s="254"/>
      <c r="G86" s="254"/>
      <c r="H86" s="283">
        <f t="shared" ref="H86:H96" si="35">C86+D86+E86+F86-G86</f>
        <v>0</v>
      </c>
      <c r="I86" s="308">
        <f t="shared" ref="I86:I96" si="36">H55</f>
        <v>0</v>
      </c>
      <c r="J86" s="306" t="e">
        <f t="shared" si="30"/>
        <v>#DIV/0!</v>
      </c>
      <c r="K86" s="306" t="e">
        <f t="shared" si="31"/>
        <v>#DIV/0!</v>
      </c>
      <c r="L86" s="306" t="e">
        <f t="shared" si="32"/>
        <v>#DIV/0!</v>
      </c>
      <c r="M86" s="306" t="e">
        <f t="shared" si="33"/>
        <v>#DIV/0!</v>
      </c>
    </row>
    <row r="87" spans="1:13" s="281" customFormat="1" ht="19.95" customHeight="1">
      <c r="A87" s="465"/>
      <c r="B87" s="298" t="s">
        <v>75</v>
      </c>
      <c r="C87" s="254"/>
      <c r="D87" s="254"/>
      <c r="E87" s="254"/>
      <c r="F87" s="254"/>
      <c r="G87" s="254"/>
      <c r="H87" s="283">
        <f t="shared" si="35"/>
        <v>0</v>
      </c>
      <c r="I87" s="308">
        <f t="shared" si="36"/>
        <v>0</v>
      </c>
      <c r="J87" s="306" t="e">
        <f t="shared" si="30"/>
        <v>#DIV/0!</v>
      </c>
      <c r="K87" s="306" t="e">
        <f t="shared" si="31"/>
        <v>#DIV/0!</v>
      </c>
      <c r="L87" s="306" t="e">
        <f t="shared" si="32"/>
        <v>#DIV/0!</v>
      </c>
      <c r="M87" s="306" t="e">
        <f t="shared" si="33"/>
        <v>#DIV/0!</v>
      </c>
    </row>
    <row r="88" spans="1:13" s="281" customFormat="1" ht="19.95" customHeight="1">
      <c r="A88" s="465"/>
      <c r="B88" s="298" t="s">
        <v>76</v>
      </c>
      <c r="C88" s="254"/>
      <c r="D88" s="254"/>
      <c r="E88" s="254"/>
      <c r="F88" s="254"/>
      <c r="G88" s="254"/>
      <c r="H88" s="283">
        <f t="shared" si="35"/>
        <v>0</v>
      </c>
      <c r="I88" s="308">
        <f t="shared" si="36"/>
        <v>0</v>
      </c>
      <c r="J88" s="306" t="e">
        <f t="shared" si="30"/>
        <v>#DIV/0!</v>
      </c>
      <c r="K88" s="306" t="e">
        <f t="shared" si="31"/>
        <v>#DIV/0!</v>
      </c>
      <c r="L88" s="306" t="e">
        <f t="shared" si="32"/>
        <v>#DIV/0!</v>
      </c>
      <c r="M88" s="306" t="e">
        <f t="shared" si="33"/>
        <v>#DIV/0!</v>
      </c>
    </row>
    <row r="89" spans="1:13" s="281" customFormat="1" ht="19.95" customHeight="1">
      <c r="A89" s="465"/>
      <c r="B89" s="298" t="s">
        <v>77</v>
      </c>
      <c r="C89" s="254"/>
      <c r="D89" s="254"/>
      <c r="E89" s="254"/>
      <c r="F89" s="254"/>
      <c r="G89" s="254"/>
      <c r="H89" s="283">
        <f t="shared" si="35"/>
        <v>0</v>
      </c>
      <c r="I89" s="308">
        <f t="shared" si="36"/>
        <v>0</v>
      </c>
      <c r="J89" s="306" t="e">
        <f t="shared" si="30"/>
        <v>#DIV/0!</v>
      </c>
      <c r="K89" s="306" t="e">
        <f t="shared" si="31"/>
        <v>#DIV/0!</v>
      </c>
      <c r="L89" s="306" t="e">
        <f t="shared" si="32"/>
        <v>#DIV/0!</v>
      </c>
      <c r="M89" s="306" t="e">
        <f t="shared" si="33"/>
        <v>#DIV/0!</v>
      </c>
    </row>
    <row r="90" spans="1:13" s="281" customFormat="1" ht="19.95" customHeight="1">
      <c r="A90" s="465"/>
      <c r="B90" s="298" t="s">
        <v>78</v>
      </c>
      <c r="C90" s="254"/>
      <c r="D90" s="254"/>
      <c r="E90" s="254"/>
      <c r="F90" s="254"/>
      <c r="G90" s="254"/>
      <c r="H90" s="283">
        <f t="shared" si="35"/>
        <v>0</v>
      </c>
      <c r="I90" s="308">
        <f t="shared" si="36"/>
        <v>0</v>
      </c>
      <c r="J90" s="306" t="e">
        <f t="shared" si="30"/>
        <v>#DIV/0!</v>
      </c>
      <c r="K90" s="306" t="e">
        <f t="shared" si="31"/>
        <v>#DIV/0!</v>
      </c>
      <c r="L90" s="306" t="e">
        <f t="shared" si="32"/>
        <v>#DIV/0!</v>
      </c>
      <c r="M90" s="306" t="e">
        <f t="shared" si="33"/>
        <v>#DIV/0!</v>
      </c>
    </row>
    <row r="91" spans="1:13" s="281" customFormat="1" ht="19.95" customHeight="1">
      <c r="A91" s="465"/>
      <c r="B91" s="298" t="s">
        <v>79</v>
      </c>
      <c r="C91" s="254"/>
      <c r="D91" s="254"/>
      <c r="E91" s="254"/>
      <c r="F91" s="254"/>
      <c r="G91" s="254"/>
      <c r="H91" s="283">
        <f t="shared" si="35"/>
        <v>0</v>
      </c>
      <c r="I91" s="308">
        <f t="shared" si="36"/>
        <v>0</v>
      </c>
      <c r="J91" s="306" t="e">
        <f t="shared" si="30"/>
        <v>#DIV/0!</v>
      </c>
      <c r="K91" s="306" t="e">
        <f t="shared" si="31"/>
        <v>#DIV/0!</v>
      </c>
      <c r="L91" s="306" t="e">
        <f t="shared" si="32"/>
        <v>#DIV/0!</v>
      </c>
      <c r="M91" s="306" t="e">
        <f t="shared" si="33"/>
        <v>#DIV/0!</v>
      </c>
    </row>
    <row r="92" spans="1:13" s="281" customFormat="1" ht="19.95" customHeight="1">
      <c r="A92" s="465"/>
      <c r="B92" s="298" t="s">
        <v>80</v>
      </c>
      <c r="C92" s="254"/>
      <c r="D92" s="254"/>
      <c r="E92" s="254"/>
      <c r="F92" s="254"/>
      <c r="G92" s="254"/>
      <c r="H92" s="283">
        <f t="shared" si="35"/>
        <v>0</v>
      </c>
      <c r="I92" s="308">
        <f t="shared" si="36"/>
        <v>0</v>
      </c>
      <c r="J92" s="306" t="e">
        <f t="shared" si="30"/>
        <v>#DIV/0!</v>
      </c>
      <c r="K92" s="306" t="e">
        <f t="shared" si="31"/>
        <v>#DIV/0!</v>
      </c>
      <c r="L92" s="306" t="e">
        <f t="shared" si="32"/>
        <v>#DIV/0!</v>
      </c>
      <c r="M92" s="306" t="e">
        <f t="shared" si="33"/>
        <v>#DIV/0!</v>
      </c>
    </row>
    <row r="93" spans="1:13" s="281" customFormat="1" ht="19.95" customHeight="1">
      <c r="A93" s="465"/>
      <c r="B93" s="298" t="s">
        <v>81</v>
      </c>
      <c r="C93" s="254"/>
      <c r="D93" s="254"/>
      <c r="E93" s="254"/>
      <c r="F93" s="254"/>
      <c r="G93" s="254"/>
      <c r="H93" s="283">
        <f t="shared" si="35"/>
        <v>0</v>
      </c>
      <c r="I93" s="308">
        <f t="shared" si="36"/>
        <v>0</v>
      </c>
      <c r="J93" s="306" t="e">
        <f t="shared" si="30"/>
        <v>#DIV/0!</v>
      </c>
      <c r="K93" s="306" t="e">
        <f t="shared" si="31"/>
        <v>#DIV/0!</v>
      </c>
      <c r="L93" s="306" t="e">
        <f t="shared" si="32"/>
        <v>#DIV/0!</v>
      </c>
      <c r="M93" s="306" t="e">
        <f t="shared" si="33"/>
        <v>#DIV/0!</v>
      </c>
    </row>
    <row r="94" spans="1:13" s="281" customFormat="1" ht="19.95" customHeight="1">
      <c r="A94" s="465"/>
      <c r="B94" s="298" t="s">
        <v>82</v>
      </c>
      <c r="C94" s="254"/>
      <c r="D94" s="254"/>
      <c r="E94" s="254"/>
      <c r="F94" s="254"/>
      <c r="G94" s="254"/>
      <c r="H94" s="283">
        <f t="shared" si="35"/>
        <v>0</v>
      </c>
      <c r="I94" s="308">
        <f t="shared" si="36"/>
        <v>0</v>
      </c>
      <c r="J94" s="306" t="e">
        <f t="shared" si="30"/>
        <v>#DIV/0!</v>
      </c>
      <c r="K94" s="306" t="e">
        <f t="shared" si="31"/>
        <v>#DIV/0!</v>
      </c>
      <c r="L94" s="306" t="e">
        <f t="shared" si="32"/>
        <v>#DIV/0!</v>
      </c>
      <c r="M94" s="306" t="e">
        <f t="shared" si="33"/>
        <v>#DIV/0!</v>
      </c>
    </row>
    <row r="95" spans="1:13" s="281" customFormat="1" ht="19.95" customHeight="1">
      <c r="A95" s="465"/>
      <c r="B95" s="298" t="s">
        <v>83</v>
      </c>
      <c r="C95" s="254"/>
      <c r="D95" s="254"/>
      <c r="E95" s="254"/>
      <c r="F95" s="254"/>
      <c r="G95" s="254"/>
      <c r="H95" s="283">
        <f t="shared" si="35"/>
        <v>0</v>
      </c>
      <c r="I95" s="308">
        <f t="shared" si="36"/>
        <v>0</v>
      </c>
      <c r="J95" s="306" t="e">
        <f t="shared" si="30"/>
        <v>#DIV/0!</v>
      </c>
      <c r="K95" s="306" t="e">
        <f t="shared" si="31"/>
        <v>#DIV/0!</v>
      </c>
      <c r="L95" s="306" t="e">
        <f t="shared" si="32"/>
        <v>#DIV/0!</v>
      </c>
      <c r="M95" s="306" t="e">
        <f t="shared" si="33"/>
        <v>#DIV/0!</v>
      </c>
    </row>
    <row r="96" spans="1:13" s="281" customFormat="1" ht="19.95" customHeight="1">
      <c r="A96" s="465"/>
      <c r="B96" s="298" t="s">
        <v>84</v>
      </c>
      <c r="C96" s="254"/>
      <c r="D96" s="254"/>
      <c r="E96" s="254"/>
      <c r="F96" s="254"/>
      <c r="G96" s="254"/>
      <c r="H96" s="283">
        <f t="shared" si="35"/>
        <v>0</v>
      </c>
      <c r="I96" s="308">
        <f t="shared" si="36"/>
        <v>0</v>
      </c>
      <c r="J96" s="306" t="e">
        <f t="shared" si="30"/>
        <v>#DIV/0!</v>
      </c>
      <c r="K96" s="306" t="e">
        <f t="shared" si="31"/>
        <v>#DIV/0!</v>
      </c>
      <c r="L96" s="306" t="e">
        <f t="shared" si="32"/>
        <v>#DIV/0!</v>
      </c>
      <c r="M96" s="306" t="e">
        <f t="shared" si="33"/>
        <v>#DIV/0!</v>
      </c>
    </row>
    <row r="97" spans="1:13" s="281" customFormat="1" ht="19.95" customHeight="1">
      <c r="A97" s="465"/>
      <c r="B97" s="213" t="s">
        <v>86</v>
      </c>
      <c r="C97" s="285">
        <f t="shared" ref="C97:G97" si="37">SUM(C85:C96)</f>
        <v>0</v>
      </c>
      <c r="D97" s="285">
        <f t="shared" si="37"/>
        <v>0</v>
      </c>
      <c r="E97" s="285">
        <f t="shared" si="37"/>
        <v>0</v>
      </c>
      <c r="F97" s="285">
        <f t="shared" si="37"/>
        <v>0</v>
      </c>
      <c r="G97" s="285">
        <f t="shared" si="37"/>
        <v>0</v>
      </c>
      <c r="H97" s="285">
        <f>SUM(H85:H96)</f>
        <v>0</v>
      </c>
      <c r="I97" s="297">
        <f>SUM(I85:I96)</f>
        <v>0</v>
      </c>
      <c r="J97" s="307" t="e">
        <f t="shared" si="30"/>
        <v>#DIV/0!</v>
      </c>
      <c r="K97" s="307" t="e">
        <f t="shared" si="31"/>
        <v>#DIV/0!</v>
      </c>
      <c r="L97" s="307" t="e">
        <f t="shared" si="32"/>
        <v>#DIV/0!</v>
      </c>
      <c r="M97" s="307" t="e">
        <f t="shared" si="33"/>
        <v>#DIV/0!</v>
      </c>
    </row>
    <row r="98" spans="1:13" s="281" customFormat="1" ht="19.95" customHeight="1"/>
    <row r="99" spans="1:13" s="281" customFormat="1" ht="19.95" customHeight="1">
      <c r="A99" s="458" t="s">
        <v>370</v>
      </c>
      <c r="B99" s="457" t="s">
        <v>371</v>
      </c>
      <c r="C99" s="457" t="s">
        <v>372</v>
      </c>
      <c r="D99" s="457"/>
      <c r="E99" s="454" t="s">
        <v>373</v>
      </c>
      <c r="F99" s="455"/>
      <c r="G99" s="454" t="s">
        <v>373</v>
      </c>
      <c r="H99" s="455"/>
      <c r="I99" s="454" t="s">
        <v>373</v>
      </c>
      <c r="J99" s="455"/>
    </row>
    <row r="100" spans="1:13" s="281" customFormat="1" ht="19.95" customHeight="1">
      <c r="A100" s="459"/>
      <c r="B100" s="457"/>
      <c r="C100" s="305" t="s">
        <v>374</v>
      </c>
      <c r="D100" s="305" t="s">
        <v>375</v>
      </c>
      <c r="E100" s="305" t="s">
        <v>374</v>
      </c>
      <c r="F100" s="305" t="s">
        <v>375</v>
      </c>
      <c r="G100" s="305" t="s">
        <v>374</v>
      </c>
      <c r="H100" s="305" t="s">
        <v>375</v>
      </c>
      <c r="I100" s="305" t="s">
        <v>374</v>
      </c>
      <c r="J100" s="305" t="s">
        <v>376</v>
      </c>
    </row>
    <row r="101" spans="1:13" s="281" customFormat="1" ht="19.95" customHeight="1">
      <c r="A101" s="468" t="s">
        <v>130</v>
      </c>
      <c r="B101" s="216" t="s">
        <v>128</v>
      </c>
      <c r="C101" s="299" t="e">
        <f>J84</f>
        <v>#DIV/0!</v>
      </c>
      <c r="D101" s="300" t="e">
        <f>C101/$C$104</f>
        <v>#DIV/0!</v>
      </c>
      <c r="E101" s="254"/>
      <c r="F101" s="300" t="e">
        <f>E101/$E$104</f>
        <v>#DIV/0!</v>
      </c>
      <c r="G101" s="254"/>
      <c r="H101" s="300" t="e">
        <f>G101/$G$104</f>
        <v>#DIV/0!</v>
      </c>
      <c r="I101" s="254"/>
      <c r="J101" s="300" t="e">
        <f>I101/$I$104</f>
        <v>#DIV/0!</v>
      </c>
    </row>
    <row r="102" spans="1:13" s="281" customFormat="1" ht="19.95" customHeight="1">
      <c r="A102" s="469"/>
      <c r="B102" s="216" t="s">
        <v>129</v>
      </c>
      <c r="C102" s="299" t="e">
        <f>K84</f>
        <v>#DIV/0!</v>
      </c>
      <c r="D102" s="300" t="e">
        <f>C102/$C$104</f>
        <v>#DIV/0!</v>
      </c>
      <c r="E102" s="254"/>
      <c r="F102" s="300" t="e">
        <f>E102/$E$104</f>
        <v>#DIV/0!</v>
      </c>
      <c r="G102" s="254"/>
      <c r="H102" s="300" t="e">
        <f t="shared" ref="H102:H103" si="38">G102/$G$104</f>
        <v>#DIV/0!</v>
      </c>
      <c r="I102" s="254"/>
      <c r="J102" s="300" t="e">
        <f t="shared" ref="J102:J104" si="39">I102/$I$104</f>
        <v>#DIV/0!</v>
      </c>
    </row>
    <row r="103" spans="1:13" s="281" customFormat="1" ht="19.95" customHeight="1">
      <c r="A103" s="469"/>
      <c r="B103" s="216" t="s">
        <v>131</v>
      </c>
      <c r="C103" s="299" t="e">
        <f>L84</f>
        <v>#DIV/0!</v>
      </c>
      <c r="D103" s="300" t="e">
        <f>C103/$C$104</f>
        <v>#DIV/0!</v>
      </c>
      <c r="E103" s="254"/>
      <c r="F103" s="300" t="e">
        <f>E103/$E$104</f>
        <v>#DIV/0!</v>
      </c>
      <c r="G103" s="254"/>
      <c r="H103" s="300" t="e">
        <f t="shared" si="38"/>
        <v>#DIV/0!</v>
      </c>
      <c r="I103" s="254"/>
      <c r="J103" s="300" t="e">
        <f t="shared" si="39"/>
        <v>#DIV/0!</v>
      </c>
    </row>
    <row r="104" spans="1:13" s="281" customFormat="1" ht="19.95" customHeight="1">
      <c r="A104" s="469"/>
      <c r="B104" s="64" t="s">
        <v>153</v>
      </c>
      <c r="C104" s="301" t="e">
        <f>M84</f>
        <v>#DIV/0!</v>
      </c>
      <c r="D104" s="302" t="e">
        <f>C104/$C$104</f>
        <v>#DIV/0!</v>
      </c>
      <c r="E104" s="303"/>
      <c r="F104" s="300" t="e">
        <f>E104/$E$104</f>
        <v>#DIV/0!</v>
      </c>
      <c r="G104" s="303"/>
      <c r="H104" s="300" t="e">
        <f>G104/$G$104</f>
        <v>#DIV/0!</v>
      </c>
      <c r="I104" s="303"/>
      <c r="J104" s="300" t="e">
        <f t="shared" si="39"/>
        <v>#DIV/0!</v>
      </c>
    </row>
    <row r="105" spans="1:13" s="281" customFormat="1" ht="19.95" customHeight="1">
      <c r="A105" s="287" t="s">
        <v>87</v>
      </c>
      <c r="B105" s="288"/>
      <c r="C105" s="288"/>
      <c r="D105" s="288"/>
      <c r="E105" s="288"/>
      <c r="F105" s="288"/>
      <c r="G105" s="288"/>
      <c r="H105" s="288"/>
      <c r="I105" s="288"/>
      <c r="J105" s="288"/>
      <c r="K105" s="288"/>
      <c r="L105" s="288"/>
      <c r="M105" s="289"/>
    </row>
    <row r="106" spans="1:13" s="281" customFormat="1" ht="19.95" customHeight="1">
      <c r="A106" s="290"/>
      <c r="B106" s="291"/>
      <c r="C106" s="291"/>
      <c r="D106" s="291"/>
      <c r="E106" s="291"/>
      <c r="F106" s="291"/>
      <c r="G106" s="291"/>
      <c r="H106" s="291"/>
      <c r="I106" s="291"/>
      <c r="J106" s="291"/>
      <c r="K106" s="291"/>
      <c r="L106" s="291"/>
      <c r="M106" s="292"/>
    </row>
    <row r="107" spans="1:13" s="281" customFormat="1" ht="19.95" customHeight="1">
      <c r="A107" s="293"/>
      <c r="B107" s="294"/>
      <c r="C107" s="294"/>
      <c r="D107" s="294"/>
      <c r="E107" s="294"/>
      <c r="F107" s="294"/>
      <c r="G107" s="294"/>
      <c r="H107" s="294"/>
      <c r="I107" s="294"/>
      <c r="J107" s="294"/>
      <c r="K107" s="294"/>
      <c r="L107" s="294"/>
      <c r="M107" s="295"/>
    </row>
    <row r="108" spans="1:13" s="281" customFormat="1" ht="19.95" customHeight="1"/>
    <row r="109" spans="1:13" s="281" customFormat="1" ht="19.95" customHeight="1">
      <c r="A109" s="279" t="s">
        <v>379</v>
      </c>
    </row>
    <row r="110" spans="1:13" s="50" customFormat="1" ht="19.95" customHeight="1">
      <c r="A110" s="464" t="s">
        <v>109</v>
      </c>
      <c r="B110" s="464" t="s">
        <v>65</v>
      </c>
      <c r="C110" s="470" t="s">
        <v>110</v>
      </c>
      <c r="D110" s="463" t="s">
        <v>116</v>
      </c>
      <c r="E110" s="463"/>
      <c r="F110" s="463"/>
      <c r="G110" s="463"/>
      <c r="H110" s="463"/>
      <c r="I110" s="462" t="s">
        <v>115</v>
      </c>
      <c r="J110" s="463"/>
      <c r="K110" s="463"/>
      <c r="L110" s="463"/>
      <c r="M110" s="463"/>
    </row>
    <row r="111" spans="1:13" s="50" customFormat="1" ht="19.95" customHeight="1">
      <c r="A111" s="464"/>
      <c r="B111" s="464"/>
      <c r="C111" s="471"/>
      <c r="D111" s="52" t="s">
        <v>111</v>
      </c>
      <c r="E111" s="214" t="s">
        <v>112</v>
      </c>
      <c r="F111" s="214" t="s">
        <v>113</v>
      </c>
      <c r="G111" s="214" t="s">
        <v>114</v>
      </c>
      <c r="H111" s="214" t="s">
        <v>107</v>
      </c>
      <c r="I111" s="52" t="s">
        <v>111</v>
      </c>
      <c r="J111" s="214" t="s">
        <v>112</v>
      </c>
      <c r="K111" s="214" t="s">
        <v>113</v>
      </c>
      <c r="L111" s="214" t="s">
        <v>114</v>
      </c>
      <c r="M111" s="214" t="s">
        <v>107</v>
      </c>
    </row>
    <row r="112" spans="1:13" s="281" customFormat="1" ht="19.95" customHeight="1">
      <c r="A112" s="465" t="s">
        <v>72</v>
      </c>
      <c r="B112" s="298" t="s">
        <v>73</v>
      </c>
      <c r="C112" s="283">
        <f t="shared" ref="C112:C123" si="40">H41</f>
        <v>0</v>
      </c>
      <c r="D112" s="254"/>
      <c r="E112" s="309"/>
      <c r="F112" s="254"/>
      <c r="G112" s="283">
        <f>IF(C112=0,0,D112/C112)</f>
        <v>0</v>
      </c>
      <c r="H112" s="283">
        <f>IF(C112=0,0,F112/C112)</f>
        <v>0</v>
      </c>
      <c r="I112" s="254"/>
      <c r="J112" s="309"/>
      <c r="K112" s="254"/>
      <c r="L112" s="283">
        <f>IF(C112=0,0,I112/C112)</f>
        <v>0</v>
      </c>
      <c r="M112" s="283">
        <f>IF(C112=0,0,K112/C112)</f>
        <v>0</v>
      </c>
    </row>
    <row r="113" spans="1:13" s="281" customFormat="1" ht="19.95" customHeight="1">
      <c r="A113" s="465"/>
      <c r="B113" s="298" t="s">
        <v>74</v>
      </c>
      <c r="C113" s="283">
        <f t="shared" si="40"/>
        <v>0</v>
      </c>
      <c r="D113" s="254"/>
      <c r="E113" s="310"/>
      <c r="F113" s="254"/>
      <c r="G113" s="283">
        <f t="shared" ref="G113:G123" si="41">IF(C113=0,0,D113/C113)</f>
        <v>0</v>
      </c>
      <c r="H113" s="283">
        <f t="shared" ref="H113:H123" si="42">IF(C113=0,0,F113/C113)</f>
        <v>0</v>
      </c>
      <c r="I113" s="254"/>
      <c r="J113" s="310"/>
      <c r="K113" s="254"/>
      <c r="L113" s="283">
        <f t="shared" ref="L113:L123" si="43">IF(C113=0,0,I113/C113)</f>
        <v>0</v>
      </c>
      <c r="M113" s="283">
        <f t="shared" ref="M113:M123" si="44">IF(C113=0,0,K113/C113)</f>
        <v>0</v>
      </c>
    </row>
    <row r="114" spans="1:13" s="281" customFormat="1" ht="19.95" customHeight="1">
      <c r="A114" s="465"/>
      <c r="B114" s="298" t="s">
        <v>75</v>
      </c>
      <c r="C114" s="283">
        <f t="shared" si="40"/>
        <v>0</v>
      </c>
      <c r="D114" s="254"/>
      <c r="E114" s="310"/>
      <c r="F114" s="254"/>
      <c r="G114" s="283">
        <f t="shared" si="41"/>
        <v>0</v>
      </c>
      <c r="H114" s="283">
        <f t="shared" si="42"/>
        <v>0</v>
      </c>
      <c r="I114" s="254"/>
      <c r="J114" s="310"/>
      <c r="K114" s="254"/>
      <c r="L114" s="283">
        <f t="shared" si="43"/>
        <v>0</v>
      </c>
      <c r="M114" s="283">
        <f t="shared" si="44"/>
        <v>0</v>
      </c>
    </row>
    <row r="115" spans="1:13" s="281" customFormat="1" ht="19.95" customHeight="1">
      <c r="A115" s="465"/>
      <c r="B115" s="298" t="s">
        <v>76</v>
      </c>
      <c r="C115" s="283">
        <f t="shared" si="40"/>
        <v>0</v>
      </c>
      <c r="D115" s="254"/>
      <c r="E115" s="310"/>
      <c r="F115" s="254"/>
      <c r="G115" s="283">
        <f t="shared" si="41"/>
        <v>0</v>
      </c>
      <c r="H115" s="283">
        <f t="shared" si="42"/>
        <v>0</v>
      </c>
      <c r="I115" s="254"/>
      <c r="J115" s="310"/>
      <c r="K115" s="254"/>
      <c r="L115" s="283">
        <f t="shared" si="43"/>
        <v>0</v>
      </c>
      <c r="M115" s="283">
        <f t="shared" si="44"/>
        <v>0</v>
      </c>
    </row>
    <row r="116" spans="1:13" s="281" customFormat="1" ht="19.95" customHeight="1">
      <c r="A116" s="465"/>
      <c r="B116" s="298" t="s">
        <v>77</v>
      </c>
      <c r="C116" s="283">
        <f t="shared" si="40"/>
        <v>0</v>
      </c>
      <c r="D116" s="254"/>
      <c r="E116" s="310"/>
      <c r="F116" s="254"/>
      <c r="G116" s="283">
        <f t="shared" si="41"/>
        <v>0</v>
      </c>
      <c r="H116" s="283">
        <f t="shared" si="42"/>
        <v>0</v>
      </c>
      <c r="I116" s="254"/>
      <c r="J116" s="310"/>
      <c r="K116" s="254"/>
      <c r="L116" s="283">
        <f t="shared" si="43"/>
        <v>0</v>
      </c>
      <c r="M116" s="283">
        <f t="shared" si="44"/>
        <v>0</v>
      </c>
    </row>
    <row r="117" spans="1:13" s="281" customFormat="1" ht="19.95" customHeight="1">
      <c r="A117" s="465"/>
      <c r="B117" s="298" t="s">
        <v>78</v>
      </c>
      <c r="C117" s="283">
        <f t="shared" si="40"/>
        <v>0</v>
      </c>
      <c r="D117" s="254"/>
      <c r="E117" s="310"/>
      <c r="F117" s="254"/>
      <c r="G117" s="283">
        <f t="shared" si="41"/>
        <v>0</v>
      </c>
      <c r="H117" s="283">
        <f t="shared" si="42"/>
        <v>0</v>
      </c>
      <c r="I117" s="254"/>
      <c r="J117" s="310"/>
      <c r="K117" s="254"/>
      <c r="L117" s="283">
        <f t="shared" si="43"/>
        <v>0</v>
      </c>
      <c r="M117" s="283">
        <f t="shared" si="44"/>
        <v>0</v>
      </c>
    </row>
    <row r="118" spans="1:13" s="281" customFormat="1" ht="19.95" customHeight="1">
      <c r="A118" s="465"/>
      <c r="B118" s="298" t="s">
        <v>79</v>
      </c>
      <c r="C118" s="283">
        <f t="shared" si="40"/>
        <v>0</v>
      </c>
      <c r="D118" s="254"/>
      <c r="E118" s="310"/>
      <c r="F118" s="254"/>
      <c r="G118" s="283">
        <f t="shared" si="41"/>
        <v>0</v>
      </c>
      <c r="H118" s="283">
        <f t="shared" si="42"/>
        <v>0</v>
      </c>
      <c r="I118" s="254"/>
      <c r="J118" s="310"/>
      <c r="K118" s="254"/>
      <c r="L118" s="283">
        <f t="shared" si="43"/>
        <v>0</v>
      </c>
      <c r="M118" s="283">
        <f t="shared" si="44"/>
        <v>0</v>
      </c>
    </row>
    <row r="119" spans="1:13" s="281" customFormat="1" ht="19.95" customHeight="1">
      <c r="A119" s="465"/>
      <c r="B119" s="298" t="s">
        <v>80</v>
      </c>
      <c r="C119" s="283">
        <f t="shared" si="40"/>
        <v>0</v>
      </c>
      <c r="D119" s="254"/>
      <c r="E119" s="310"/>
      <c r="F119" s="254"/>
      <c r="G119" s="283">
        <f t="shared" si="41"/>
        <v>0</v>
      </c>
      <c r="H119" s="283">
        <f t="shared" si="42"/>
        <v>0</v>
      </c>
      <c r="I119" s="254"/>
      <c r="J119" s="310"/>
      <c r="K119" s="254"/>
      <c r="L119" s="283">
        <f t="shared" si="43"/>
        <v>0</v>
      </c>
      <c r="M119" s="283">
        <f t="shared" si="44"/>
        <v>0</v>
      </c>
    </row>
    <row r="120" spans="1:13" s="281" customFormat="1" ht="19.95" customHeight="1">
      <c r="A120" s="465"/>
      <c r="B120" s="298" t="s">
        <v>81</v>
      </c>
      <c r="C120" s="283">
        <f t="shared" si="40"/>
        <v>0</v>
      </c>
      <c r="D120" s="254"/>
      <c r="E120" s="310"/>
      <c r="F120" s="254"/>
      <c r="G120" s="283">
        <f t="shared" si="41"/>
        <v>0</v>
      </c>
      <c r="H120" s="283">
        <f t="shared" si="42"/>
        <v>0</v>
      </c>
      <c r="I120" s="254"/>
      <c r="J120" s="310"/>
      <c r="K120" s="254"/>
      <c r="L120" s="283">
        <f t="shared" si="43"/>
        <v>0</v>
      </c>
      <c r="M120" s="283">
        <f t="shared" si="44"/>
        <v>0</v>
      </c>
    </row>
    <row r="121" spans="1:13" s="281" customFormat="1" ht="19.95" customHeight="1">
      <c r="A121" s="465"/>
      <c r="B121" s="298" t="s">
        <v>82</v>
      </c>
      <c r="C121" s="283">
        <f t="shared" si="40"/>
        <v>0</v>
      </c>
      <c r="D121" s="254"/>
      <c r="E121" s="310"/>
      <c r="F121" s="254"/>
      <c r="G121" s="283">
        <f t="shared" si="41"/>
        <v>0</v>
      </c>
      <c r="H121" s="283">
        <f t="shared" si="42"/>
        <v>0</v>
      </c>
      <c r="I121" s="254"/>
      <c r="J121" s="310"/>
      <c r="K121" s="254"/>
      <c r="L121" s="283">
        <f t="shared" si="43"/>
        <v>0</v>
      </c>
      <c r="M121" s="283">
        <f t="shared" si="44"/>
        <v>0</v>
      </c>
    </row>
    <row r="122" spans="1:13" s="281" customFormat="1" ht="19.95" customHeight="1">
      <c r="A122" s="465"/>
      <c r="B122" s="298" t="s">
        <v>83</v>
      </c>
      <c r="C122" s="283">
        <f t="shared" si="40"/>
        <v>0</v>
      </c>
      <c r="D122" s="254"/>
      <c r="E122" s="310"/>
      <c r="F122" s="254"/>
      <c r="G122" s="283">
        <f t="shared" si="41"/>
        <v>0</v>
      </c>
      <c r="H122" s="283">
        <f t="shared" si="42"/>
        <v>0</v>
      </c>
      <c r="I122" s="254"/>
      <c r="J122" s="310"/>
      <c r="K122" s="254"/>
      <c r="L122" s="283">
        <f t="shared" si="43"/>
        <v>0</v>
      </c>
      <c r="M122" s="283">
        <f t="shared" si="44"/>
        <v>0</v>
      </c>
    </row>
    <row r="123" spans="1:13" s="281" customFormat="1" ht="19.95" customHeight="1">
      <c r="A123" s="465"/>
      <c r="B123" s="298" t="s">
        <v>84</v>
      </c>
      <c r="C123" s="283">
        <f t="shared" si="40"/>
        <v>0</v>
      </c>
      <c r="D123" s="254"/>
      <c r="E123" s="310"/>
      <c r="F123" s="254"/>
      <c r="G123" s="283">
        <f t="shared" si="41"/>
        <v>0</v>
      </c>
      <c r="H123" s="283">
        <f t="shared" si="42"/>
        <v>0</v>
      </c>
      <c r="I123" s="254"/>
      <c r="J123" s="310"/>
      <c r="K123" s="254"/>
      <c r="L123" s="283">
        <f t="shared" si="43"/>
        <v>0</v>
      </c>
      <c r="M123" s="283">
        <f t="shared" si="44"/>
        <v>0</v>
      </c>
    </row>
    <row r="124" spans="1:13" s="281" customFormat="1" ht="19.95" customHeight="1">
      <c r="A124" s="465"/>
      <c r="B124" s="213" t="s">
        <v>86</v>
      </c>
      <c r="C124" s="285">
        <f>SUM(C112:C123)</f>
        <v>0</v>
      </c>
      <c r="D124" s="285">
        <f>SUM(D112:D123)</f>
        <v>0</v>
      </c>
      <c r="E124" s="311"/>
      <c r="F124" s="285">
        <f>SUM(F112:F123)</f>
        <v>0</v>
      </c>
      <c r="G124" s="285">
        <f>IF(C124=0,0,D124/C124)</f>
        <v>0</v>
      </c>
      <c r="H124" s="285">
        <f>IF(C124=0,0,F124/C124)</f>
        <v>0</v>
      </c>
      <c r="I124" s="285">
        <f>SUM(I112:I123)</f>
        <v>0</v>
      </c>
      <c r="J124" s="311"/>
      <c r="K124" s="285">
        <f>SUM(K112:K123)</f>
        <v>0</v>
      </c>
      <c r="L124" s="285">
        <f>IF(C124=0,0,I124/C124)</f>
        <v>0</v>
      </c>
      <c r="M124" s="285">
        <f>IF(C124=0,0,K124/C124)</f>
        <v>0</v>
      </c>
    </row>
    <row r="125" spans="1:13" s="281" customFormat="1" ht="19.95" customHeight="1">
      <c r="A125" s="465" t="s">
        <v>85</v>
      </c>
      <c r="B125" s="298" t="s">
        <v>73</v>
      </c>
      <c r="C125" s="304">
        <f t="shared" ref="C125:C136" si="45">H54</f>
        <v>0</v>
      </c>
      <c r="D125" s="296"/>
      <c r="E125" s="215"/>
      <c r="F125" s="296"/>
      <c r="G125" s="283">
        <f t="shared" ref="G125:G137" si="46">IF(C125=0,0,D125/C125)</f>
        <v>0</v>
      </c>
      <c r="H125" s="283">
        <f t="shared" ref="H125:H137" si="47">IF(C125=0,0,F125/C125)</f>
        <v>0</v>
      </c>
      <c r="I125" s="296"/>
      <c r="J125" s="215"/>
      <c r="K125" s="296"/>
      <c r="L125" s="283">
        <f t="shared" ref="L125:L135" si="48">IF(C125=0,0,I125/C125)</f>
        <v>0</v>
      </c>
      <c r="M125" s="283">
        <f t="shared" ref="M125:M137" si="49">IF(C125=0,0,K125/C125)</f>
        <v>0</v>
      </c>
    </row>
    <row r="126" spans="1:13" s="281" customFormat="1" ht="19.95" customHeight="1">
      <c r="A126" s="465"/>
      <c r="B126" s="298" t="s">
        <v>74</v>
      </c>
      <c r="C126" s="304">
        <f t="shared" si="45"/>
        <v>0</v>
      </c>
      <c r="D126" s="296"/>
      <c r="E126" s="215"/>
      <c r="F126" s="296"/>
      <c r="G126" s="283">
        <f t="shared" si="46"/>
        <v>0</v>
      </c>
      <c r="H126" s="283">
        <f t="shared" si="47"/>
        <v>0</v>
      </c>
      <c r="I126" s="296"/>
      <c r="J126" s="215"/>
      <c r="K126" s="296"/>
      <c r="L126" s="283">
        <f t="shared" si="48"/>
        <v>0</v>
      </c>
      <c r="M126" s="283">
        <f t="shared" si="49"/>
        <v>0</v>
      </c>
    </row>
    <row r="127" spans="1:13" s="281" customFormat="1" ht="19.95" customHeight="1">
      <c r="A127" s="465"/>
      <c r="B127" s="298" t="s">
        <v>75</v>
      </c>
      <c r="C127" s="304">
        <f t="shared" si="45"/>
        <v>0</v>
      </c>
      <c r="D127" s="296"/>
      <c r="E127" s="215"/>
      <c r="F127" s="296"/>
      <c r="G127" s="283">
        <f t="shared" si="46"/>
        <v>0</v>
      </c>
      <c r="H127" s="283">
        <f t="shared" si="47"/>
        <v>0</v>
      </c>
      <c r="I127" s="296"/>
      <c r="J127" s="215"/>
      <c r="K127" s="296"/>
      <c r="L127" s="283">
        <f t="shared" si="48"/>
        <v>0</v>
      </c>
      <c r="M127" s="283">
        <f t="shared" si="49"/>
        <v>0</v>
      </c>
    </row>
    <row r="128" spans="1:13" s="281" customFormat="1" ht="19.95" customHeight="1">
      <c r="A128" s="465"/>
      <c r="B128" s="298" t="s">
        <v>76</v>
      </c>
      <c r="C128" s="304">
        <f t="shared" si="45"/>
        <v>0</v>
      </c>
      <c r="D128" s="296"/>
      <c r="E128" s="215"/>
      <c r="F128" s="296"/>
      <c r="G128" s="283">
        <f t="shared" si="46"/>
        <v>0</v>
      </c>
      <c r="H128" s="283">
        <f t="shared" si="47"/>
        <v>0</v>
      </c>
      <c r="I128" s="296"/>
      <c r="J128" s="215"/>
      <c r="K128" s="296"/>
      <c r="L128" s="283">
        <f t="shared" si="48"/>
        <v>0</v>
      </c>
      <c r="M128" s="283">
        <f t="shared" si="49"/>
        <v>0</v>
      </c>
    </row>
    <row r="129" spans="1:13" s="281" customFormat="1" ht="19.95" customHeight="1">
      <c r="A129" s="465"/>
      <c r="B129" s="298" t="s">
        <v>77</v>
      </c>
      <c r="C129" s="304">
        <f t="shared" si="45"/>
        <v>0</v>
      </c>
      <c r="D129" s="296"/>
      <c r="E129" s="215"/>
      <c r="F129" s="296"/>
      <c r="G129" s="283">
        <f t="shared" si="46"/>
        <v>0</v>
      </c>
      <c r="H129" s="283">
        <f t="shared" si="47"/>
        <v>0</v>
      </c>
      <c r="I129" s="296"/>
      <c r="J129" s="215"/>
      <c r="K129" s="296"/>
      <c r="L129" s="283">
        <f t="shared" si="48"/>
        <v>0</v>
      </c>
      <c r="M129" s="283">
        <f t="shared" si="49"/>
        <v>0</v>
      </c>
    </row>
    <row r="130" spans="1:13" s="281" customFormat="1" ht="19.95" customHeight="1">
      <c r="A130" s="465"/>
      <c r="B130" s="298" t="s">
        <v>78</v>
      </c>
      <c r="C130" s="304">
        <f t="shared" si="45"/>
        <v>0</v>
      </c>
      <c r="D130" s="296"/>
      <c r="E130" s="215"/>
      <c r="F130" s="296"/>
      <c r="G130" s="283">
        <f t="shared" si="46"/>
        <v>0</v>
      </c>
      <c r="H130" s="283">
        <f t="shared" si="47"/>
        <v>0</v>
      </c>
      <c r="I130" s="296"/>
      <c r="J130" s="215"/>
      <c r="K130" s="296"/>
      <c r="L130" s="283">
        <f t="shared" si="48"/>
        <v>0</v>
      </c>
      <c r="M130" s="283">
        <f t="shared" si="49"/>
        <v>0</v>
      </c>
    </row>
    <row r="131" spans="1:13" s="281" customFormat="1" ht="19.95" customHeight="1">
      <c r="A131" s="465"/>
      <c r="B131" s="298" t="s">
        <v>79</v>
      </c>
      <c r="C131" s="304">
        <f t="shared" si="45"/>
        <v>0</v>
      </c>
      <c r="D131" s="296"/>
      <c r="E131" s="215"/>
      <c r="F131" s="296"/>
      <c r="G131" s="283">
        <f t="shared" si="46"/>
        <v>0</v>
      </c>
      <c r="H131" s="283">
        <f t="shared" si="47"/>
        <v>0</v>
      </c>
      <c r="I131" s="296"/>
      <c r="J131" s="215"/>
      <c r="K131" s="296"/>
      <c r="L131" s="283">
        <f t="shared" si="48"/>
        <v>0</v>
      </c>
      <c r="M131" s="283">
        <f t="shared" si="49"/>
        <v>0</v>
      </c>
    </row>
    <row r="132" spans="1:13" s="281" customFormat="1" ht="19.95" customHeight="1">
      <c r="A132" s="465"/>
      <c r="B132" s="298" t="s">
        <v>80</v>
      </c>
      <c r="C132" s="304">
        <f t="shared" si="45"/>
        <v>0</v>
      </c>
      <c r="D132" s="296"/>
      <c r="E132" s="215"/>
      <c r="F132" s="296"/>
      <c r="G132" s="283">
        <f t="shared" si="46"/>
        <v>0</v>
      </c>
      <c r="H132" s="283">
        <f t="shared" si="47"/>
        <v>0</v>
      </c>
      <c r="I132" s="296"/>
      <c r="J132" s="215"/>
      <c r="K132" s="296"/>
      <c r="L132" s="283">
        <f t="shared" si="48"/>
        <v>0</v>
      </c>
      <c r="M132" s="283">
        <f t="shared" si="49"/>
        <v>0</v>
      </c>
    </row>
    <row r="133" spans="1:13" s="281" customFormat="1" ht="19.95" customHeight="1">
      <c r="A133" s="465"/>
      <c r="B133" s="298" t="s">
        <v>81</v>
      </c>
      <c r="C133" s="304">
        <f t="shared" si="45"/>
        <v>0</v>
      </c>
      <c r="D133" s="296"/>
      <c r="E133" s="215"/>
      <c r="F133" s="296"/>
      <c r="G133" s="283">
        <f t="shared" si="46"/>
        <v>0</v>
      </c>
      <c r="H133" s="283">
        <f t="shared" si="47"/>
        <v>0</v>
      </c>
      <c r="I133" s="296"/>
      <c r="J133" s="215"/>
      <c r="K133" s="296"/>
      <c r="L133" s="283">
        <f t="shared" si="48"/>
        <v>0</v>
      </c>
      <c r="M133" s="283">
        <f t="shared" si="49"/>
        <v>0</v>
      </c>
    </row>
    <row r="134" spans="1:13" s="281" customFormat="1" ht="19.95" customHeight="1">
      <c r="A134" s="465"/>
      <c r="B134" s="298" t="s">
        <v>82</v>
      </c>
      <c r="C134" s="304">
        <f t="shared" si="45"/>
        <v>0</v>
      </c>
      <c r="D134" s="296"/>
      <c r="E134" s="215"/>
      <c r="F134" s="296"/>
      <c r="G134" s="283">
        <f t="shared" si="46"/>
        <v>0</v>
      </c>
      <c r="H134" s="283">
        <f t="shared" si="47"/>
        <v>0</v>
      </c>
      <c r="I134" s="296"/>
      <c r="J134" s="215"/>
      <c r="K134" s="296"/>
      <c r="L134" s="283">
        <f t="shared" si="48"/>
        <v>0</v>
      </c>
      <c r="M134" s="283">
        <f t="shared" si="49"/>
        <v>0</v>
      </c>
    </row>
    <row r="135" spans="1:13" s="281" customFormat="1" ht="19.95" customHeight="1">
      <c r="A135" s="465"/>
      <c r="B135" s="298" t="s">
        <v>83</v>
      </c>
      <c r="C135" s="304">
        <f t="shared" si="45"/>
        <v>0</v>
      </c>
      <c r="D135" s="296"/>
      <c r="E135" s="215"/>
      <c r="F135" s="296"/>
      <c r="G135" s="283">
        <f t="shared" si="46"/>
        <v>0</v>
      </c>
      <c r="H135" s="283">
        <f t="shared" si="47"/>
        <v>0</v>
      </c>
      <c r="I135" s="296"/>
      <c r="J135" s="215"/>
      <c r="K135" s="296"/>
      <c r="L135" s="283">
        <f t="shared" si="48"/>
        <v>0</v>
      </c>
      <c r="M135" s="283">
        <f t="shared" si="49"/>
        <v>0</v>
      </c>
    </row>
    <row r="136" spans="1:13" s="281" customFormat="1" ht="19.95" customHeight="1">
      <c r="A136" s="465"/>
      <c r="B136" s="298" t="s">
        <v>84</v>
      </c>
      <c r="C136" s="304">
        <f t="shared" si="45"/>
        <v>0</v>
      </c>
      <c r="D136" s="296"/>
      <c r="E136" s="215"/>
      <c r="F136" s="296"/>
      <c r="G136" s="283">
        <f t="shared" si="46"/>
        <v>0</v>
      </c>
      <c r="H136" s="283">
        <f t="shared" si="47"/>
        <v>0</v>
      </c>
      <c r="I136" s="296"/>
      <c r="J136" s="215"/>
      <c r="K136" s="296"/>
      <c r="L136" s="283">
        <f>IF(C136=0,0,I136/C136)</f>
        <v>0</v>
      </c>
      <c r="M136" s="283">
        <f t="shared" si="49"/>
        <v>0</v>
      </c>
    </row>
    <row r="137" spans="1:13" s="281" customFormat="1" ht="19.95" customHeight="1">
      <c r="A137" s="465"/>
      <c r="B137" s="213" t="s">
        <v>86</v>
      </c>
      <c r="C137" s="285">
        <f>SUM(C125:C136)</f>
        <v>0</v>
      </c>
      <c r="D137" s="285">
        <f>SUM(D125:D136)</f>
        <v>0</v>
      </c>
      <c r="E137" s="285"/>
      <c r="F137" s="285">
        <f>SUM(F125:F136)</f>
        <v>0</v>
      </c>
      <c r="G137" s="285">
        <f t="shared" si="46"/>
        <v>0</v>
      </c>
      <c r="H137" s="285">
        <f t="shared" si="47"/>
        <v>0</v>
      </c>
      <c r="I137" s="285">
        <f>SUM(I125:I136)</f>
        <v>0</v>
      </c>
      <c r="J137" s="311"/>
      <c r="K137" s="285">
        <f>SUM(K125:K136)</f>
        <v>0</v>
      </c>
      <c r="L137" s="285">
        <f>IF(C137=0,0,I137/C137)</f>
        <v>0</v>
      </c>
      <c r="M137" s="285">
        <f t="shared" si="49"/>
        <v>0</v>
      </c>
    </row>
    <row r="138" spans="1:13" s="281" customFormat="1" ht="19.95" customHeight="1">
      <c r="A138" s="287" t="s">
        <v>87</v>
      </c>
      <c r="B138" s="288"/>
      <c r="C138" s="288"/>
      <c r="D138" s="288"/>
      <c r="E138" s="288"/>
      <c r="F138" s="288"/>
      <c r="G138" s="288"/>
      <c r="H138" s="288"/>
      <c r="I138" s="288"/>
      <c r="J138" s="288"/>
      <c r="K138" s="288"/>
      <c r="L138" s="288"/>
      <c r="M138" s="289"/>
    </row>
    <row r="139" spans="1:13" s="281" customFormat="1" ht="19.95" customHeight="1">
      <c r="A139" s="290"/>
      <c r="B139" s="291"/>
      <c r="C139" s="291"/>
      <c r="D139" s="291"/>
      <c r="E139" s="291"/>
      <c r="F139" s="291"/>
      <c r="G139" s="291"/>
      <c r="H139" s="291"/>
      <c r="I139" s="291"/>
      <c r="J139" s="291"/>
      <c r="K139" s="291"/>
      <c r="L139" s="291"/>
      <c r="M139" s="292"/>
    </row>
    <row r="140" spans="1:13" s="281" customFormat="1" ht="19.95" customHeight="1">
      <c r="A140" s="293"/>
      <c r="B140" s="294"/>
      <c r="C140" s="294"/>
      <c r="D140" s="294"/>
      <c r="E140" s="294"/>
      <c r="F140" s="294"/>
      <c r="G140" s="294"/>
      <c r="H140" s="294"/>
      <c r="I140" s="294"/>
      <c r="J140" s="294"/>
      <c r="K140" s="294"/>
      <c r="L140" s="294"/>
      <c r="M140" s="295"/>
    </row>
    <row r="141" spans="1:13" s="48" customFormat="1"/>
    <row r="142" spans="1:13" s="48" customFormat="1"/>
    <row r="143" spans="1:13" s="48" customFormat="1"/>
    <row r="144" spans="1:13" s="48" customFormat="1"/>
    <row r="145" s="48" customFormat="1"/>
    <row r="146" s="48" customFormat="1"/>
    <row r="147" s="48" customFormat="1"/>
    <row r="148" s="48" customFormat="1"/>
    <row r="149" s="48" customFormat="1"/>
    <row r="150" s="48" customFormat="1"/>
    <row r="151" s="48" customFormat="1"/>
    <row r="152" s="48" customFormat="1"/>
    <row r="153" s="48" customFormat="1"/>
    <row r="154" s="48" customFormat="1"/>
    <row r="155" s="48" customFormat="1"/>
    <row r="156" s="48" customFormat="1"/>
    <row r="157" s="48" customFormat="1"/>
    <row r="158" s="48" customFormat="1"/>
    <row r="159" s="48" customFormat="1"/>
    <row r="160" s="48" customFormat="1"/>
    <row r="161" s="48" customFormat="1"/>
    <row r="162" s="48" customFormat="1"/>
    <row r="163" s="48" customFormat="1"/>
    <row r="164" s="48" customFormat="1"/>
    <row r="165" s="48" customFormat="1"/>
    <row r="166" s="48" customFormat="1"/>
    <row r="167" s="48" customFormat="1"/>
    <row r="168" s="48" customFormat="1"/>
    <row r="169" s="48" customFormat="1"/>
    <row r="170" s="48" customFormat="1"/>
    <row r="171" s="48" customFormat="1"/>
    <row r="172" s="48" customFormat="1"/>
    <row r="173" s="48" customFormat="1"/>
    <row r="174" s="48" customFormat="1"/>
    <row r="175" s="48" customFormat="1"/>
    <row r="176" s="48" customFormat="1"/>
    <row r="177" s="48" customFormat="1"/>
    <row r="178" s="48" customFormat="1"/>
    <row r="179" s="48" customFormat="1"/>
    <row r="180" s="48" customFormat="1"/>
    <row r="181" s="48" customFormat="1"/>
    <row r="182" s="48" customFormat="1"/>
    <row r="183" s="48" customFormat="1"/>
    <row r="184" s="48" customFormat="1"/>
    <row r="185" s="48" customFormat="1"/>
    <row r="186" s="48" customFormat="1"/>
    <row r="187" s="48" customFormat="1"/>
    <row r="188" s="48" customFormat="1"/>
    <row r="189" s="48" customFormat="1"/>
    <row r="190" s="48" customFormat="1"/>
    <row r="191" s="48" customFormat="1"/>
    <row r="192" s="48" customFormat="1"/>
    <row r="193" s="48" customFormat="1"/>
    <row r="194" s="48" customFormat="1"/>
    <row r="195" s="48" customFormat="1"/>
    <row r="196" s="48" customFormat="1"/>
    <row r="197" s="48" customFormat="1"/>
    <row r="198" s="48" customFormat="1"/>
    <row r="199" s="48" customFormat="1"/>
    <row r="200" s="48" customFormat="1"/>
    <row r="201" s="48" customFormat="1"/>
    <row r="202" s="48" customFormat="1"/>
    <row r="203" s="48" customFormat="1"/>
    <row r="204" s="48" customFormat="1"/>
    <row r="205" s="48" customFormat="1"/>
    <row r="206" s="48" customFormat="1"/>
    <row r="207" s="48" customFormat="1"/>
    <row r="208" s="48" customFormat="1"/>
    <row r="209" s="48" customFormat="1"/>
    <row r="210" s="48" customFormat="1"/>
    <row r="211" s="48" customFormat="1"/>
    <row r="212" s="48" customFormat="1"/>
    <row r="213" s="48" customFormat="1"/>
    <row r="214" s="48" customFormat="1"/>
    <row r="215" s="48" customFormat="1"/>
    <row r="216" s="48" customFormat="1"/>
    <row r="217" s="48" customFormat="1"/>
    <row r="218" s="48" customFormat="1"/>
    <row r="219" s="48" customFormat="1"/>
    <row r="220" s="48" customFormat="1"/>
    <row r="221" s="48" customFormat="1"/>
    <row r="222" s="48" customFormat="1"/>
    <row r="223" s="48" customFormat="1"/>
    <row r="224" s="48" customFormat="1"/>
    <row r="225" s="48" customFormat="1"/>
    <row r="226" s="48" customFormat="1"/>
    <row r="227" s="48" customFormat="1"/>
    <row r="228" s="48" customFormat="1"/>
    <row r="229" s="48" customFormat="1"/>
    <row r="230" s="48" customFormat="1"/>
    <row r="231" s="48" customFormat="1"/>
    <row r="232" s="48" customFormat="1"/>
  </sheetData>
  <mergeCells count="30">
    <mergeCell ref="A101:A104"/>
    <mergeCell ref="A112:A124"/>
    <mergeCell ref="A125:A137"/>
    <mergeCell ref="C110:C111"/>
    <mergeCell ref="D110:H110"/>
    <mergeCell ref="A1:O1"/>
    <mergeCell ref="A2:O2"/>
    <mergeCell ref="I110:M110"/>
    <mergeCell ref="A110:A111"/>
    <mergeCell ref="B110:B111"/>
    <mergeCell ref="A9:A21"/>
    <mergeCell ref="A22:A34"/>
    <mergeCell ref="A39:A40"/>
    <mergeCell ref="B39:B40"/>
    <mergeCell ref="A41:A53"/>
    <mergeCell ref="A54:A66"/>
    <mergeCell ref="A72:A84"/>
    <mergeCell ref="A85:A97"/>
    <mergeCell ref="B99:B100"/>
    <mergeCell ref="C39:G39"/>
    <mergeCell ref="H39:I39"/>
    <mergeCell ref="E99:F99"/>
    <mergeCell ref="G99:H99"/>
    <mergeCell ref="I99:J99"/>
    <mergeCell ref="B7:B8"/>
    <mergeCell ref="A7:A8"/>
    <mergeCell ref="C7:I7"/>
    <mergeCell ref="J7:O7"/>
    <mergeCell ref="C99:D99"/>
    <mergeCell ref="A99:A100"/>
  </mergeCells>
  <phoneticPr fontId="6" type="noConversion"/>
  <hyperlinks>
    <hyperlink ref="O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rowBreaks count="3" manualBreakCount="3">
    <brk id="37" max="14" man="1"/>
    <brk id="69" max="14" man="1"/>
    <brk id="107" max="1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46"/>
  <sheetViews>
    <sheetView view="pageBreakPreview" zoomScaleSheetLayoutView="100" workbookViewId="0">
      <selection sqref="A1:H1"/>
    </sheetView>
  </sheetViews>
  <sheetFormatPr defaultRowHeight="15.6"/>
  <cols>
    <col min="1" max="1" width="7.109375" style="153" customWidth="1"/>
    <col min="2" max="2" width="17.77734375" style="157" customWidth="1"/>
    <col min="3" max="3" width="9.88671875" style="157" customWidth="1"/>
    <col min="4" max="5" width="13" style="157" customWidth="1"/>
    <col min="6" max="7" width="13" style="158" customWidth="1"/>
    <col min="8" max="8" width="13" style="159" customWidth="1"/>
    <col min="9" max="253" width="8.88671875" style="153"/>
    <col min="254" max="254" width="20.88671875" style="153" customWidth="1"/>
    <col min="255" max="255" width="15.6640625" style="153" bestFit="1" customWidth="1"/>
    <col min="256" max="256" width="21.88671875" style="153" customWidth="1"/>
    <col min="257" max="257" width="20.109375" style="153" customWidth="1"/>
    <col min="258" max="259" width="21.44140625" style="153" customWidth="1"/>
    <col min="260" max="260" width="20.109375" style="153" customWidth="1"/>
    <col min="261" max="261" width="15.109375" style="153" customWidth="1"/>
    <col min="262" max="262" width="19" style="153" customWidth="1"/>
    <col min="263" max="263" width="16.21875" style="153" customWidth="1"/>
    <col min="264" max="264" width="10.5546875" style="153" customWidth="1"/>
    <col min="265" max="509" width="8.88671875" style="153"/>
    <col min="510" max="510" width="20.88671875" style="153" customWidth="1"/>
    <col min="511" max="511" width="15.6640625" style="153" bestFit="1" customWidth="1"/>
    <col min="512" max="512" width="21.88671875" style="153" customWidth="1"/>
    <col min="513" max="513" width="20.109375" style="153" customWidth="1"/>
    <col min="514" max="515" width="21.44140625" style="153" customWidth="1"/>
    <col min="516" max="516" width="20.109375" style="153" customWidth="1"/>
    <col min="517" max="517" width="15.109375" style="153" customWidth="1"/>
    <col min="518" max="518" width="19" style="153" customWidth="1"/>
    <col min="519" max="519" width="16.21875" style="153" customWidth="1"/>
    <col min="520" max="520" width="10.5546875" style="153" customWidth="1"/>
    <col min="521" max="765" width="8.88671875" style="153"/>
    <col min="766" max="766" width="20.88671875" style="153" customWidth="1"/>
    <col min="767" max="767" width="15.6640625" style="153" bestFit="1" customWidth="1"/>
    <col min="768" max="768" width="21.88671875" style="153" customWidth="1"/>
    <col min="769" max="769" width="20.109375" style="153" customWidth="1"/>
    <col min="770" max="771" width="21.44140625" style="153" customWidth="1"/>
    <col min="772" max="772" width="20.109375" style="153" customWidth="1"/>
    <col min="773" max="773" width="15.109375" style="153" customWidth="1"/>
    <col min="774" max="774" width="19" style="153" customWidth="1"/>
    <col min="775" max="775" width="16.21875" style="153" customWidth="1"/>
    <col min="776" max="776" width="10.5546875" style="153" customWidth="1"/>
    <col min="777" max="1021" width="8.88671875" style="153"/>
    <col min="1022" max="1022" width="20.88671875" style="153" customWidth="1"/>
    <col min="1023" max="1023" width="15.6640625" style="153" bestFit="1" customWidth="1"/>
    <col min="1024" max="1024" width="21.88671875" style="153" customWidth="1"/>
    <col min="1025" max="1025" width="20.109375" style="153" customWidth="1"/>
    <col min="1026" max="1027" width="21.44140625" style="153" customWidth="1"/>
    <col min="1028" max="1028" width="20.109375" style="153" customWidth="1"/>
    <col min="1029" max="1029" width="15.109375" style="153" customWidth="1"/>
    <col min="1030" max="1030" width="19" style="153" customWidth="1"/>
    <col min="1031" max="1031" width="16.21875" style="153" customWidth="1"/>
    <col min="1032" max="1032" width="10.5546875" style="153" customWidth="1"/>
    <col min="1033" max="1277" width="8.88671875" style="153"/>
    <col min="1278" max="1278" width="20.88671875" style="153" customWidth="1"/>
    <col min="1279" max="1279" width="15.6640625" style="153" bestFit="1" customWidth="1"/>
    <col min="1280" max="1280" width="21.88671875" style="153" customWidth="1"/>
    <col min="1281" max="1281" width="20.109375" style="153" customWidth="1"/>
    <col min="1282" max="1283" width="21.44140625" style="153" customWidth="1"/>
    <col min="1284" max="1284" width="20.109375" style="153" customWidth="1"/>
    <col min="1285" max="1285" width="15.109375" style="153" customWidth="1"/>
    <col min="1286" max="1286" width="19" style="153" customWidth="1"/>
    <col min="1287" max="1287" width="16.21875" style="153" customWidth="1"/>
    <col min="1288" max="1288" width="10.5546875" style="153" customWidth="1"/>
    <col min="1289" max="1533" width="8.88671875" style="153"/>
    <col min="1534" max="1534" width="20.88671875" style="153" customWidth="1"/>
    <col min="1535" max="1535" width="15.6640625" style="153" bestFit="1" customWidth="1"/>
    <col min="1536" max="1536" width="21.88671875" style="153" customWidth="1"/>
    <col min="1537" max="1537" width="20.109375" style="153" customWidth="1"/>
    <col min="1538" max="1539" width="21.44140625" style="153" customWidth="1"/>
    <col min="1540" max="1540" width="20.109375" style="153" customWidth="1"/>
    <col min="1541" max="1541" width="15.109375" style="153" customWidth="1"/>
    <col min="1542" max="1542" width="19" style="153" customWidth="1"/>
    <col min="1543" max="1543" width="16.21875" style="153" customWidth="1"/>
    <col min="1544" max="1544" width="10.5546875" style="153" customWidth="1"/>
    <col min="1545" max="1789" width="8.88671875" style="153"/>
    <col min="1790" max="1790" width="20.88671875" style="153" customWidth="1"/>
    <col min="1791" max="1791" width="15.6640625" style="153" bestFit="1" customWidth="1"/>
    <col min="1792" max="1792" width="21.88671875" style="153" customWidth="1"/>
    <col min="1793" max="1793" width="20.109375" style="153" customWidth="1"/>
    <col min="1794" max="1795" width="21.44140625" style="153" customWidth="1"/>
    <col min="1796" max="1796" width="20.109375" style="153" customWidth="1"/>
    <col min="1797" max="1797" width="15.109375" style="153" customWidth="1"/>
    <col min="1798" max="1798" width="19" style="153" customWidth="1"/>
    <col min="1799" max="1799" width="16.21875" style="153" customWidth="1"/>
    <col min="1800" max="1800" width="10.5546875" style="153" customWidth="1"/>
    <col min="1801" max="2045" width="8.88671875" style="153"/>
    <col min="2046" max="2046" width="20.88671875" style="153" customWidth="1"/>
    <col min="2047" max="2047" width="15.6640625" style="153" bestFit="1" customWidth="1"/>
    <col min="2048" max="2048" width="21.88671875" style="153" customWidth="1"/>
    <col min="2049" max="2049" width="20.109375" style="153" customWidth="1"/>
    <col min="2050" max="2051" width="21.44140625" style="153" customWidth="1"/>
    <col min="2052" max="2052" width="20.109375" style="153" customWidth="1"/>
    <col min="2053" max="2053" width="15.109375" style="153" customWidth="1"/>
    <col min="2054" max="2054" width="19" style="153" customWidth="1"/>
    <col min="2055" max="2055" width="16.21875" style="153" customWidth="1"/>
    <col min="2056" max="2056" width="10.5546875" style="153" customWidth="1"/>
    <col min="2057" max="2301" width="8.88671875" style="153"/>
    <col min="2302" max="2302" width="20.88671875" style="153" customWidth="1"/>
    <col min="2303" max="2303" width="15.6640625" style="153" bestFit="1" customWidth="1"/>
    <col min="2304" max="2304" width="21.88671875" style="153" customWidth="1"/>
    <col min="2305" max="2305" width="20.109375" style="153" customWidth="1"/>
    <col min="2306" max="2307" width="21.44140625" style="153" customWidth="1"/>
    <col min="2308" max="2308" width="20.109375" style="153" customWidth="1"/>
    <col min="2309" max="2309" width="15.109375" style="153" customWidth="1"/>
    <col min="2310" max="2310" width="19" style="153" customWidth="1"/>
    <col min="2311" max="2311" width="16.21875" style="153" customWidth="1"/>
    <col min="2312" max="2312" width="10.5546875" style="153" customWidth="1"/>
    <col min="2313" max="2557" width="8.88671875" style="153"/>
    <col min="2558" max="2558" width="20.88671875" style="153" customWidth="1"/>
    <col min="2559" max="2559" width="15.6640625" style="153" bestFit="1" customWidth="1"/>
    <col min="2560" max="2560" width="21.88671875" style="153" customWidth="1"/>
    <col min="2561" max="2561" width="20.109375" style="153" customWidth="1"/>
    <col min="2562" max="2563" width="21.44140625" style="153" customWidth="1"/>
    <col min="2564" max="2564" width="20.109375" style="153" customWidth="1"/>
    <col min="2565" max="2565" width="15.109375" style="153" customWidth="1"/>
    <col min="2566" max="2566" width="19" style="153" customWidth="1"/>
    <col min="2567" max="2567" width="16.21875" style="153" customWidth="1"/>
    <col min="2568" max="2568" width="10.5546875" style="153" customWidth="1"/>
    <col min="2569" max="2813" width="8.88671875" style="153"/>
    <col min="2814" max="2814" width="20.88671875" style="153" customWidth="1"/>
    <col min="2815" max="2815" width="15.6640625" style="153" bestFit="1" customWidth="1"/>
    <col min="2816" max="2816" width="21.88671875" style="153" customWidth="1"/>
    <col min="2817" max="2817" width="20.109375" style="153" customWidth="1"/>
    <col min="2818" max="2819" width="21.44140625" style="153" customWidth="1"/>
    <col min="2820" max="2820" width="20.109375" style="153" customWidth="1"/>
    <col min="2821" max="2821" width="15.109375" style="153" customWidth="1"/>
    <col min="2822" max="2822" width="19" style="153" customWidth="1"/>
    <col min="2823" max="2823" width="16.21875" style="153" customWidth="1"/>
    <col min="2824" max="2824" width="10.5546875" style="153" customWidth="1"/>
    <col min="2825" max="3069" width="8.88671875" style="153"/>
    <col min="3070" max="3070" width="20.88671875" style="153" customWidth="1"/>
    <col min="3071" max="3071" width="15.6640625" style="153" bestFit="1" customWidth="1"/>
    <col min="3072" max="3072" width="21.88671875" style="153" customWidth="1"/>
    <col min="3073" max="3073" width="20.109375" style="153" customWidth="1"/>
    <col min="3074" max="3075" width="21.44140625" style="153" customWidth="1"/>
    <col min="3076" max="3076" width="20.109375" style="153" customWidth="1"/>
    <col min="3077" max="3077" width="15.109375" style="153" customWidth="1"/>
    <col min="3078" max="3078" width="19" style="153" customWidth="1"/>
    <col min="3079" max="3079" width="16.21875" style="153" customWidth="1"/>
    <col min="3080" max="3080" width="10.5546875" style="153" customWidth="1"/>
    <col min="3081" max="3325" width="8.88671875" style="153"/>
    <col min="3326" max="3326" width="20.88671875" style="153" customWidth="1"/>
    <col min="3327" max="3327" width="15.6640625" style="153" bestFit="1" customWidth="1"/>
    <col min="3328" max="3328" width="21.88671875" style="153" customWidth="1"/>
    <col min="3329" max="3329" width="20.109375" style="153" customWidth="1"/>
    <col min="3330" max="3331" width="21.44140625" style="153" customWidth="1"/>
    <col min="3332" max="3332" width="20.109375" style="153" customWidth="1"/>
    <col min="3333" max="3333" width="15.109375" style="153" customWidth="1"/>
    <col min="3334" max="3334" width="19" style="153" customWidth="1"/>
    <col min="3335" max="3335" width="16.21875" style="153" customWidth="1"/>
    <col min="3336" max="3336" width="10.5546875" style="153" customWidth="1"/>
    <col min="3337" max="3581" width="8.88671875" style="153"/>
    <col min="3582" max="3582" width="20.88671875" style="153" customWidth="1"/>
    <col min="3583" max="3583" width="15.6640625" style="153" bestFit="1" customWidth="1"/>
    <col min="3584" max="3584" width="21.88671875" style="153" customWidth="1"/>
    <col min="3585" max="3585" width="20.109375" style="153" customWidth="1"/>
    <col min="3586" max="3587" width="21.44140625" style="153" customWidth="1"/>
    <col min="3588" max="3588" width="20.109375" style="153" customWidth="1"/>
    <col min="3589" max="3589" width="15.109375" style="153" customWidth="1"/>
    <col min="3590" max="3590" width="19" style="153" customWidth="1"/>
    <col min="3591" max="3591" width="16.21875" style="153" customWidth="1"/>
    <col min="3592" max="3592" width="10.5546875" style="153" customWidth="1"/>
    <col min="3593" max="3837" width="8.88671875" style="153"/>
    <col min="3838" max="3838" width="20.88671875" style="153" customWidth="1"/>
    <col min="3839" max="3839" width="15.6640625" style="153" bestFit="1" customWidth="1"/>
    <col min="3840" max="3840" width="21.88671875" style="153" customWidth="1"/>
    <col min="3841" max="3841" width="20.109375" style="153" customWidth="1"/>
    <col min="3842" max="3843" width="21.44140625" style="153" customWidth="1"/>
    <col min="3844" max="3844" width="20.109375" style="153" customWidth="1"/>
    <col min="3845" max="3845" width="15.109375" style="153" customWidth="1"/>
    <col min="3846" max="3846" width="19" style="153" customWidth="1"/>
    <col min="3847" max="3847" width="16.21875" style="153" customWidth="1"/>
    <col min="3848" max="3848" width="10.5546875" style="153" customWidth="1"/>
    <col min="3849" max="4093" width="8.88671875" style="153"/>
    <col min="4094" max="4094" width="20.88671875" style="153" customWidth="1"/>
    <col min="4095" max="4095" width="15.6640625" style="153" bestFit="1" customWidth="1"/>
    <col min="4096" max="4096" width="21.88671875" style="153" customWidth="1"/>
    <col min="4097" max="4097" width="20.109375" style="153" customWidth="1"/>
    <col min="4098" max="4099" width="21.44140625" style="153" customWidth="1"/>
    <col min="4100" max="4100" width="20.109375" style="153" customWidth="1"/>
    <col min="4101" max="4101" width="15.109375" style="153" customWidth="1"/>
    <col min="4102" max="4102" width="19" style="153" customWidth="1"/>
    <col min="4103" max="4103" width="16.21875" style="153" customWidth="1"/>
    <col min="4104" max="4104" width="10.5546875" style="153" customWidth="1"/>
    <col min="4105" max="4349" width="8.88671875" style="153"/>
    <col min="4350" max="4350" width="20.88671875" style="153" customWidth="1"/>
    <col min="4351" max="4351" width="15.6640625" style="153" bestFit="1" customWidth="1"/>
    <col min="4352" max="4352" width="21.88671875" style="153" customWidth="1"/>
    <col min="4353" max="4353" width="20.109375" style="153" customWidth="1"/>
    <col min="4354" max="4355" width="21.44140625" style="153" customWidth="1"/>
    <col min="4356" max="4356" width="20.109375" style="153" customWidth="1"/>
    <col min="4357" max="4357" width="15.109375" style="153" customWidth="1"/>
    <col min="4358" max="4358" width="19" style="153" customWidth="1"/>
    <col min="4359" max="4359" width="16.21875" style="153" customWidth="1"/>
    <col min="4360" max="4360" width="10.5546875" style="153" customWidth="1"/>
    <col min="4361" max="4605" width="8.88671875" style="153"/>
    <col min="4606" max="4606" width="20.88671875" style="153" customWidth="1"/>
    <col min="4607" max="4607" width="15.6640625" style="153" bestFit="1" customWidth="1"/>
    <col min="4608" max="4608" width="21.88671875" style="153" customWidth="1"/>
    <col min="4609" max="4609" width="20.109375" style="153" customWidth="1"/>
    <col min="4610" max="4611" width="21.44140625" style="153" customWidth="1"/>
    <col min="4612" max="4612" width="20.109375" style="153" customWidth="1"/>
    <col min="4613" max="4613" width="15.109375" style="153" customWidth="1"/>
    <col min="4614" max="4614" width="19" style="153" customWidth="1"/>
    <col min="4615" max="4615" width="16.21875" style="153" customWidth="1"/>
    <col min="4616" max="4616" width="10.5546875" style="153" customWidth="1"/>
    <col min="4617" max="4861" width="8.88671875" style="153"/>
    <col min="4862" max="4862" width="20.88671875" style="153" customWidth="1"/>
    <col min="4863" max="4863" width="15.6640625" style="153" bestFit="1" customWidth="1"/>
    <col min="4864" max="4864" width="21.88671875" style="153" customWidth="1"/>
    <col min="4865" max="4865" width="20.109375" style="153" customWidth="1"/>
    <col min="4866" max="4867" width="21.44140625" style="153" customWidth="1"/>
    <col min="4868" max="4868" width="20.109375" style="153" customWidth="1"/>
    <col min="4869" max="4869" width="15.109375" style="153" customWidth="1"/>
    <col min="4870" max="4870" width="19" style="153" customWidth="1"/>
    <col min="4871" max="4871" width="16.21875" style="153" customWidth="1"/>
    <col min="4872" max="4872" width="10.5546875" style="153" customWidth="1"/>
    <col min="4873" max="5117" width="8.88671875" style="153"/>
    <col min="5118" max="5118" width="20.88671875" style="153" customWidth="1"/>
    <col min="5119" max="5119" width="15.6640625" style="153" bestFit="1" customWidth="1"/>
    <col min="5120" max="5120" width="21.88671875" style="153" customWidth="1"/>
    <col min="5121" max="5121" width="20.109375" style="153" customWidth="1"/>
    <col min="5122" max="5123" width="21.44140625" style="153" customWidth="1"/>
    <col min="5124" max="5124" width="20.109375" style="153" customWidth="1"/>
    <col min="5125" max="5125" width="15.109375" style="153" customWidth="1"/>
    <col min="5126" max="5126" width="19" style="153" customWidth="1"/>
    <col min="5127" max="5127" width="16.21875" style="153" customWidth="1"/>
    <col min="5128" max="5128" width="10.5546875" style="153" customWidth="1"/>
    <col min="5129" max="5373" width="8.88671875" style="153"/>
    <col min="5374" max="5374" width="20.88671875" style="153" customWidth="1"/>
    <col min="5375" max="5375" width="15.6640625" style="153" bestFit="1" customWidth="1"/>
    <col min="5376" max="5376" width="21.88671875" style="153" customWidth="1"/>
    <col min="5377" max="5377" width="20.109375" style="153" customWidth="1"/>
    <col min="5378" max="5379" width="21.44140625" style="153" customWidth="1"/>
    <col min="5380" max="5380" width="20.109375" style="153" customWidth="1"/>
    <col min="5381" max="5381" width="15.109375" style="153" customWidth="1"/>
    <col min="5382" max="5382" width="19" style="153" customWidth="1"/>
    <col min="5383" max="5383" width="16.21875" style="153" customWidth="1"/>
    <col min="5384" max="5384" width="10.5546875" style="153" customWidth="1"/>
    <col min="5385" max="5629" width="8.88671875" style="153"/>
    <col min="5630" max="5630" width="20.88671875" style="153" customWidth="1"/>
    <col min="5631" max="5631" width="15.6640625" style="153" bestFit="1" customWidth="1"/>
    <col min="5632" max="5632" width="21.88671875" style="153" customWidth="1"/>
    <col min="5633" max="5633" width="20.109375" style="153" customWidth="1"/>
    <col min="5634" max="5635" width="21.44140625" style="153" customWidth="1"/>
    <col min="5636" max="5636" width="20.109375" style="153" customWidth="1"/>
    <col min="5637" max="5637" width="15.109375" style="153" customWidth="1"/>
    <col min="5638" max="5638" width="19" style="153" customWidth="1"/>
    <col min="5639" max="5639" width="16.21875" style="153" customWidth="1"/>
    <col min="5640" max="5640" width="10.5546875" style="153" customWidth="1"/>
    <col min="5641" max="5885" width="8.88671875" style="153"/>
    <col min="5886" max="5886" width="20.88671875" style="153" customWidth="1"/>
    <col min="5887" max="5887" width="15.6640625" style="153" bestFit="1" customWidth="1"/>
    <col min="5888" max="5888" width="21.88671875" style="153" customWidth="1"/>
    <col min="5889" max="5889" width="20.109375" style="153" customWidth="1"/>
    <col min="5890" max="5891" width="21.44140625" style="153" customWidth="1"/>
    <col min="5892" max="5892" width="20.109375" style="153" customWidth="1"/>
    <col min="5893" max="5893" width="15.109375" style="153" customWidth="1"/>
    <col min="5894" max="5894" width="19" style="153" customWidth="1"/>
    <col min="5895" max="5895" width="16.21875" style="153" customWidth="1"/>
    <col min="5896" max="5896" width="10.5546875" style="153" customWidth="1"/>
    <col min="5897" max="6141" width="8.88671875" style="153"/>
    <col min="6142" max="6142" width="20.88671875" style="153" customWidth="1"/>
    <col min="6143" max="6143" width="15.6640625" style="153" bestFit="1" customWidth="1"/>
    <col min="6144" max="6144" width="21.88671875" style="153" customWidth="1"/>
    <col min="6145" max="6145" width="20.109375" style="153" customWidth="1"/>
    <col min="6146" max="6147" width="21.44140625" style="153" customWidth="1"/>
    <col min="6148" max="6148" width="20.109375" style="153" customWidth="1"/>
    <col min="6149" max="6149" width="15.109375" style="153" customWidth="1"/>
    <col min="6150" max="6150" width="19" style="153" customWidth="1"/>
    <col min="6151" max="6151" width="16.21875" style="153" customWidth="1"/>
    <col min="6152" max="6152" width="10.5546875" style="153" customWidth="1"/>
    <col min="6153" max="6397" width="8.88671875" style="153"/>
    <col min="6398" max="6398" width="20.88671875" style="153" customWidth="1"/>
    <col min="6399" max="6399" width="15.6640625" style="153" bestFit="1" customWidth="1"/>
    <col min="6400" max="6400" width="21.88671875" style="153" customWidth="1"/>
    <col min="6401" max="6401" width="20.109375" style="153" customWidth="1"/>
    <col min="6402" max="6403" width="21.44140625" style="153" customWidth="1"/>
    <col min="6404" max="6404" width="20.109375" style="153" customWidth="1"/>
    <col min="6405" max="6405" width="15.109375" style="153" customWidth="1"/>
    <col min="6406" max="6406" width="19" style="153" customWidth="1"/>
    <col min="6407" max="6407" width="16.21875" style="153" customWidth="1"/>
    <col min="6408" max="6408" width="10.5546875" style="153" customWidth="1"/>
    <col min="6409" max="6653" width="8.88671875" style="153"/>
    <col min="6654" max="6654" width="20.88671875" style="153" customWidth="1"/>
    <col min="6655" max="6655" width="15.6640625" style="153" bestFit="1" customWidth="1"/>
    <col min="6656" max="6656" width="21.88671875" style="153" customWidth="1"/>
    <col min="6657" max="6657" width="20.109375" style="153" customWidth="1"/>
    <col min="6658" max="6659" width="21.44140625" style="153" customWidth="1"/>
    <col min="6660" max="6660" width="20.109375" style="153" customWidth="1"/>
    <col min="6661" max="6661" width="15.109375" style="153" customWidth="1"/>
    <col min="6662" max="6662" width="19" style="153" customWidth="1"/>
    <col min="6663" max="6663" width="16.21875" style="153" customWidth="1"/>
    <col min="6664" max="6664" width="10.5546875" style="153" customWidth="1"/>
    <col min="6665" max="6909" width="8.88671875" style="153"/>
    <col min="6910" max="6910" width="20.88671875" style="153" customWidth="1"/>
    <col min="6911" max="6911" width="15.6640625" style="153" bestFit="1" customWidth="1"/>
    <col min="6912" max="6912" width="21.88671875" style="153" customWidth="1"/>
    <col min="6913" max="6913" width="20.109375" style="153" customWidth="1"/>
    <col min="6914" max="6915" width="21.44140625" style="153" customWidth="1"/>
    <col min="6916" max="6916" width="20.109375" style="153" customWidth="1"/>
    <col min="6917" max="6917" width="15.109375" style="153" customWidth="1"/>
    <col min="6918" max="6918" width="19" style="153" customWidth="1"/>
    <col min="6919" max="6919" width="16.21875" style="153" customWidth="1"/>
    <col min="6920" max="6920" width="10.5546875" style="153" customWidth="1"/>
    <col min="6921" max="7165" width="8.88671875" style="153"/>
    <col min="7166" max="7166" width="20.88671875" style="153" customWidth="1"/>
    <col min="7167" max="7167" width="15.6640625" style="153" bestFit="1" customWidth="1"/>
    <col min="7168" max="7168" width="21.88671875" style="153" customWidth="1"/>
    <col min="7169" max="7169" width="20.109375" style="153" customWidth="1"/>
    <col min="7170" max="7171" width="21.44140625" style="153" customWidth="1"/>
    <col min="7172" max="7172" width="20.109375" style="153" customWidth="1"/>
    <col min="7173" max="7173" width="15.109375" style="153" customWidth="1"/>
    <col min="7174" max="7174" width="19" style="153" customWidth="1"/>
    <col min="7175" max="7175" width="16.21875" style="153" customWidth="1"/>
    <col min="7176" max="7176" width="10.5546875" style="153" customWidth="1"/>
    <col min="7177" max="7421" width="8.88671875" style="153"/>
    <col min="7422" max="7422" width="20.88671875" style="153" customWidth="1"/>
    <col min="7423" max="7423" width="15.6640625" style="153" bestFit="1" customWidth="1"/>
    <col min="7424" max="7424" width="21.88671875" style="153" customWidth="1"/>
    <col min="7425" max="7425" width="20.109375" style="153" customWidth="1"/>
    <col min="7426" max="7427" width="21.44140625" style="153" customWidth="1"/>
    <col min="7428" max="7428" width="20.109375" style="153" customWidth="1"/>
    <col min="7429" max="7429" width="15.109375" style="153" customWidth="1"/>
    <col min="7430" max="7430" width="19" style="153" customWidth="1"/>
    <col min="7431" max="7431" width="16.21875" style="153" customWidth="1"/>
    <col min="7432" max="7432" width="10.5546875" style="153" customWidth="1"/>
    <col min="7433" max="7677" width="8.88671875" style="153"/>
    <col min="7678" max="7678" width="20.88671875" style="153" customWidth="1"/>
    <col min="7679" max="7679" width="15.6640625" style="153" bestFit="1" customWidth="1"/>
    <col min="7680" max="7680" width="21.88671875" style="153" customWidth="1"/>
    <col min="7681" max="7681" width="20.109375" style="153" customWidth="1"/>
    <col min="7682" max="7683" width="21.44140625" style="153" customWidth="1"/>
    <col min="7684" max="7684" width="20.109375" style="153" customWidth="1"/>
    <col min="7685" max="7685" width="15.109375" style="153" customWidth="1"/>
    <col min="7686" max="7686" width="19" style="153" customWidth="1"/>
    <col min="7687" max="7687" width="16.21875" style="153" customWidth="1"/>
    <col min="7688" max="7688" width="10.5546875" style="153" customWidth="1"/>
    <col min="7689" max="7933" width="8.88671875" style="153"/>
    <col min="7934" max="7934" width="20.88671875" style="153" customWidth="1"/>
    <col min="7935" max="7935" width="15.6640625" style="153" bestFit="1" customWidth="1"/>
    <col min="7936" max="7936" width="21.88671875" style="153" customWidth="1"/>
    <col min="7937" max="7937" width="20.109375" style="153" customWidth="1"/>
    <col min="7938" max="7939" width="21.44140625" style="153" customWidth="1"/>
    <col min="7940" max="7940" width="20.109375" style="153" customWidth="1"/>
    <col min="7941" max="7941" width="15.109375" style="153" customWidth="1"/>
    <col min="7942" max="7942" width="19" style="153" customWidth="1"/>
    <col min="7943" max="7943" width="16.21875" style="153" customWidth="1"/>
    <col min="7944" max="7944" width="10.5546875" style="153" customWidth="1"/>
    <col min="7945" max="8189" width="8.88671875" style="153"/>
    <col min="8190" max="8190" width="20.88671875" style="153" customWidth="1"/>
    <col min="8191" max="8191" width="15.6640625" style="153" bestFit="1" customWidth="1"/>
    <col min="8192" max="8192" width="21.88671875" style="153" customWidth="1"/>
    <col min="8193" max="8193" width="20.109375" style="153" customWidth="1"/>
    <col min="8194" max="8195" width="21.44140625" style="153" customWidth="1"/>
    <col min="8196" max="8196" width="20.109375" style="153" customWidth="1"/>
    <col min="8197" max="8197" width="15.109375" style="153" customWidth="1"/>
    <col min="8198" max="8198" width="19" style="153" customWidth="1"/>
    <col min="8199" max="8199" width="16.21875" style="153" customWidth="1"/>
    <col min="8200" max="8200" width="10.5546875" style="153" customWidth="1"/>
    <col min="8201" max="8445" width="8.88671875" style="153"/>
    <col min="8446" max="8446" width="20.88671875" style="153" customWidth="1"/>
    <col min="8447" max="8447" width="15.6640625" style="153" bestFit="1" customWidth="1"/>
    <col min="8448" max="8448" width="21.88671875" style="153" customWidth="1"/>
    <col min="8449" max="8449" width="20.109375" style="153" customWidth="1"/>
    <col min="8450" max="8451" width="21.44140625" style="153" customWidth="1"/>
    <col min="8452" max="8452" width="20.109375" style="153" customWidth="1"/>
    <col min="8453" max="8453" width="15.109375" style="153" customWidth="1"/>
    <col min="8454" max="8454" width="19" style="153" customWidth="1"/>
    <col min="8455" max="8455" width="16.21875" style="153" customWidth="1"/>
    <col min="8456" max="8456" width="10.5546875" style="153" customWidth="1"/>
    <col min="8457" max="8701" width="8.88671875" style="153"/>
    <col min="8702" max="8702" width="20.88671875" style="153" customWidth="1"/>
    <col min="8703" max="8703" width="15.6640625" style="153" bestFit="1" customWidth="1"/>
    <col min="8704" max="8704" width="21.88671875" style="153" customWidth="1"/>
    <col min="8705" max="8705" width="20.109375" style="153" customWidth="1"/>
    <col min="8706" max="8707" width="21.44140625" style="153" customWidth="1"/>
    <col min="8708" max="8708" width="20.109375" style="153" customWidth="1"/>
    <col min="8709" max="8709" width="15.109375" style="153" customWidth="1"/>
    <col min="8710" max="8710" width="19" style="153" customWidth="1"/>
    <col min="8711" max="8711" width="16.21875" style="153" customWidth="1"/>
    <col min="8712" max="8712" width="10.5546875" style="153" customWidth="1"/>
    <col min="8713" max="8957" width="8.88671875" style="153"/>
    <col min="8958" max="8958" width="20.88671875" style="153" customWidth="1"/>
    <col min="8959" max="8959" width="15.6640625" style="153" bestFit="1" customWidth="1"/>
    <col min="8960" max="8960" width="21.88671875" style="153" customWidth="1"/>
    <col min="8961" max="8961" width="20.109375" style="153" customWidth="1"/>
    <col min="8962" max="8963" width="21.44140625" style="153" customWidth="1"/>
    <col min="8964" max="8964" width="20.109375" style="153" customWidth="1"/>
    <col min="8965" max="8965" width="15.109375" style="153" customWidth="1"/>
    <col min="8966" max="8966" width="19" style="153" customWidth="1"/>
    <col min="8967" max="8967" width="16.21875" style="153" customWidth="1"/>
    <col min="8968" max="8968" width="10.5546875" style="153" customWidth="1"/>
    <col min="8969" max="9213" width="8.88671875" style="153"/>
    <col min="9214" max="9214" width="20.88671875" style="153" customWidth="1"/>
    <col min="9215" max="9215" width="15.6640625" style="153" bestFit="1" customWidth="1"/>
    <col min="9216" max="9216" width="21.88671875" style="153" customWidth="1"/>
    <col min="9217" max="9217" width="20.109375" style="153" customWidth="1"/>
    <col min="9218" max="9219" width="21.44140625" style="153" customWidth="1"/>
    <col min="9220" max="9220" width="20.109375" style="153" customWidth="1"/>
    <col min="9221" max="9221" width="15.109375" style="153" customWidth="1"/>
    <col min="9222" max="9222" width="19" style="153" customWidth="1"/>
    <col min="9223" max="9223" width="16.21875" style="153" customWidth="1"/>
    <col min="9224" max="9224" width="10.5546875" style="153" customWidth="1"/>
    <col min="9225" max="9469" width="8.88671875" style="153"/>
    <col min="9470" max="9470" width="20.88671875" style="153" customWidth="1"/>
    <col min="9471" max="9471" width="15.6640625" style="153" bestFit="1" customWidth="1"/>
    <col min="9472" max="9472" width="21.88671875" style="153" customWidth="1"/>
    <col min="9473" max="9473" width="20.109375" style="153" customWidth="1"/>
    <col min="9474" max="9475" width="21.44140625" style="153" customWidth="1"/>
    <col min="9476" max="9476" width="20.109375" style="153" customWidth="1"/>
    <col min="9477" max="9477" width="15.109375" style="153" customWidth="1"/>
    <col min="9478" max="9478" width="19" style="153" customWidth="1"/>
    <col min="9479" max="9479" width="16.21875" style="153" customWidth="1"/>
    <col min="9480" max="9480" width="10.5546875" style="153" customWidth="1"/>
    <col min="9481" max="9725" width="8.88671875" style="153"/>
    <col min="9726" max="9726" width="20.88671875" style="153" customWidth="1"/>
    <col min="9727" max="9727" width="15.6640625" style="153" bestFit="1" customWidth="1"/>
    <col min="9728" max="9728" width="21.88671875" style="153" customWidth="1"/>
    <col min="9729" max="9729" width="20.109375" style="153" customWidth="1"/>
    <col min="9730" max="9731" width="21.44140625" style="153" customWidth="1"/>
    <col min="9732" max="9732" width="20.109375" style="153" customWidth="1"/>
    <col min="9733" max="9733" width="15.109375" style="153" customWidth="1"/>
    <col min="9734" max="9734" width="19" style="153" customWidth="1"/>
    <col min="9735" max="9735" width="16.21875" style="153" customWidth="1"/>
    <col min="9736" max="9736" width="10.5546875" style="153" customWidth="1"/>
    <col min="9737" max="9981" width="8.88671875" style="153"/>
    <col min="9982" max="9982" width="20.88671875" style="153" customWidth="1"/>
    <col min="9983" max="9983" width="15.6640625" style="153" bestFit="1" customWidth="1"/>
    <col min="9984" max="9984" width="21.88671875" style="153" customWidth="1"/>
    <col min="9985" max="9985" width="20.109375" style="153" customWidth="1"/>
    <col min="9986" max="9987" width="21.44140625" style="153" customWidth="1"/>
    <col min="9988" max="9988" width="20.109375" style="153" customWidth="1"/>
    <col min="9989" max="9989" width="15.109375" style="153" customWidth="1"/>
    <col min="9990" max="9990" width="19" style="153" customWidth="1"/>
    <col min="9991" max="9991" width="16.21875" style="153" customWidth="1"/>
    <col min="9992" max="9992" width="10.5546875" style="153" customWidth="1"/>
    <col min="9993" max="10237" width="8.88671875" style="153"/>
    <col min="10238" max="10238" width="20.88671875" style="153" customWidth="1"/>
    <col min="10239" max="10239" width="15.6640625" style="153" bestFit="1" customWidth="1"/>
    <col min="10240" max="10240" width="21.88671875" style="153" customWidth="1"/>
    <col min="10241" max="10241" width="20.109375" style="153" customWidth="1"/>
    <col min="10242" max="10243" width="21.44140625" style="153" customWidth="1"/>
    <col min="10244" max="10244" width="20.109375" style="153" customWidth="1"/>
    <col min="10245" max="10245" width="15.109375" style="153" customWidth="1"/>
    <col min="10246" max="10246" width="19" style="153" customWidth="1"/>
    <col min="10247" max="10247" width="16.21875" style="153" customWidth="1"/>
    <col min="10248" max="10248" width="10.5546875" style="153" customWidth="1"/>
    <col min="10249" max="10493" width="8.88671875" style="153"/>
    <col min="10494" max="10494" width="20.88671875" style="153" customWidth="1"/>
    <col min="10495" max="10495" width="15.6640625" style="153" bestFit="1" customWidth="1"/>
    <col min="10496" max="10496" width="21.88671875" style="153" customWidth="1"/>
    <col min="10497" max="10497" width="20.109375" style="153" customWidth="1"/>
    <col min="10498" max="10499" width="21.44140625" style="153" customWidth="1"/>
    <col min="10500" max="10500" width="20.109375" style="153" customWidth="1"/>
    <col min="10501" max="10501" width="15.109375" style="153" customWidth="1"/>
    <col min="10502" max="10502" width="19" style="153" customWidth="1"/>
    <col min="10503" max="10503" width="16.21875" style="153" customWidth="1"/>
    <col min="10504" max="10504" width="10.5546875" style="153" customWidth="1"/>
    <col min="10505" max="10749" width="8.88671875" style="153"/>
    <col min="10750" max="10750" width="20.88671875" style="153" customWidth="1"/>
    <col min="10751" max="10751" width="15.6640625" style="153" bestFit="1" customWidth="1"/>
    <col min="10752" max="10752" width="21.88671875" style="153" customWidth="1"/>
    <col min="10753" max="10753" width="20.109375" style="153" customWidth="1"/>
    <col min="10754" max="10755" width="21.44140625" style="153" customWidth="1"/>
    <col min="10756" max="10756" width="20.109375" style="153" customWidth="1"/>
    <col min="10757" max="10757" width="15.109375" style="153" customWidth="1"/>
    <col min="10758" max="10758" width="19" style="153" customWidth="1"/>
    <col min="10759" max="10759" width="16.21875" style="153" customWidth="1"/>
    <col min="10760" max="10760" width="10.5546875" style="153" customWidth="1"/>
    <col min="10761" max="11005" width="8.88671875" style="153"/>
    <col min="11006" max="11006" width="20.88671875" style="153" customWidth="1"/>
    <col min="11007" max="11007" width="15.6640625" style="153" bestFit="1" customWidth="1"/>
    <col min="11008" max="11008" width="21.88671875" style="153" customWidth="1"/>
    <col min="11009" max="11009" width="20.109375" style="153" customWidth="1"/>
    <col min="11010" max="11011" width="21.44140625" style="153" customWidth="1"/>
    <col min="11012" max="11012" width="20.109375" style="153" customWidth="1"/>
    <col min="11013" max="11013" width="15.109375" style="153" customWidth="1"/>
    <col min="11014" max="11014" width="19" style="153" customWidth="1"/>
    <col min="11015" max="11015" width="16.21875" style="153" customWidth="1"/>
    <col min="11016" max="11016" width="10.5546875" style="153" customWidth="1"/>
    <col min="11017" max="11261" width="8.88671875" style="153"/>
    <col min="11262" max="11262" width="20.88671875" style="153" customWidth="1"/>
    <col min="11263" max="11263" width="15.6640625" style="153" bestFit="1" customWidth="1"/>
    <col min="11264" max="11264" width="21.88671875" style="153" customWidth="1"/>
    <col min="11265" max="11265" width="20.109375" style="153" customWidth="1"/>
    <col min="11266" max="11267" width="21.44140625" style="153" customWidth="1"/>
    <col min="11268" max="11268" width="20.109375" style="153" customWidth="1"/>
    <col min="11269" max="11269" width="15.109375" style="153" customWidth="1"/>
    <col min="11270" max="11270" width="19" style="153" customWidth="1"/>
    <col min="11271" max="11271" width="16.21875" style="153" customWidth="1"/>
    <col min="11272" max="11272" width="10.5546875" style="153" customWidth="1"/>
    <col min="11273" max="11517" width="8.88671875" style="153"/>
    <col min="11518" max="11518" width="20.88671875" style="153" customWidth="1"/>
    <col min="11519" max="11519" width="15.6640625" style="153" bestFit="1" customWidth="1"/>
    <col min="11520" max="11520" width="21.88671875" style="153" customWidth="1"/>
    <col min="11521" max="11521" width="20.109375" style="153" customWidth="1"/>
    <col min="11522" max="11523" width="21.44140625" style="153" customWidth="1"/>
    <col min="11524" max="11524" width="20.109375" style="153" customWidth="1"/>
    <col min="11525" max="11525" width="15.109375" style="153" customWidth="1"/>
    <col min="11526" max="11526" width="19" style="153" customWidth="1"/>
    <col min="11527" max="11527" width="16.21875" style="153" customWidth="1"/>
    <col min="11528" max="11528" width="10.5546875" style="153" customWidth="1"/>
    <col min="11529" max="11773" width="8.88671875" style="153"/>
    <col min="11774" max="11774" width="20.88671875" style="153" customWidth="1"/>
    <col min="11775" max="11775" width="15.6640625" style="153" bestFit="1" customWidth="1"/>
    <col min="11776" max="11776" width="21.88671875" style="153" customWidth="1"/>
    <col min="11777" max="11777" width="20.109375" style="153" customWidth="1"/>
    <col min="11778" max="11779" width="21.44140625" style="153" customWidth="1"/>
    <col min="11780" max="11780" width="20.109375" style="153" customWidth="1"/>
    <col min="11781" max="11781" width="15.109375" style="153" customWidth="1"/>
    <col min="11782" max="11782" width="19" style="153" customWidth="1"/>
    <col min="11783" max="11783" width="16.21875" style="153" customWidth="1"/>
    <col min="11784" max="11784" width="10.5546875" style="153" customWidth="1"/>
    <col min="11785" max="12029" width="8.88671875" style="153"/>
    <col min="12030" max="12030" width="20.88671875" style="153" customWidth="1"/>
    <col min="12031" max="12031" width="15.6640625" style="153" bestFit="1" customWidth="1"/>
    <col min="12032" max="12032" width="21.88671875" style="153" customWidth="1"/>
    <col min="12033" max="12033" width="20.109375" style="153" customWidth="1"/>
    <col min="12034" max="12035" width="21.44140625" style="153" customWidth="1"/>
    <col min="12036" max="12036" width="20.109375" style="153" customWidth="1"/>
    <col min="12037" max="12037" width="15.109375" style="153" customWidth="1"/>
    <col min="12038" max="12038" width="19" style="153" customWidth="1"/>
    <col min="12039" max="12039" width="16.21875" style="153" customWidth="1"/>
    <col min="12040" max="12040" width="10.5546875" style="153" customWidth="1"/>
    <col min="12041" max="12285" width="8.88671875" style="153"/>
    <col min="12286" max="12286" width="20.88671875" style="153" customWidth="1"/>
    <col min="12287" max="12287" width="15.6640625" style="153" bestFit="1" customWidth="1"/>
    <col min="12288" max="12288" width="21.88671875" style="153" customWidth="1"/>
    <col min="12289" max="12289" width="20.109375" style="153" customWidth="1"/>
    <col min="12290" max="12291" width="21.44140625" style="153" customWidth="1"/>
    <col min="12292" max="12292" width="20.109375" style="153" customWidth="1"/>
    <col min="12293" max="12293" width="15.109375" style="153" customWidth="1"/>
    <col min="12294" max="12294" width="19" style="153" customWidth="1"/>
    <col min="12295" max="12295" width="16.21875" style="153" customWidth="1"/>
    <col min="12296" max="12296" width="10.5546875" style="153" customWidth="1"/>
    <col min="12297" max="12541" width="8.88671875" style="153"/>
    <col min="12542" max="12542" width="20.88671875" style="153" customWidth="1"/>
    <col min="12543" max="12543" width="15.6640625" style="153" bestFit="1" customWidth="1"/>
    <col min="12544" max="12544" width="21.88671875" style="153" customWidth="1"/>
    <col min="12545" max="12545" width="20.109375" style="153" customWidth="1"/>
    <col min="12546" max="12547" width="21.44140625" style="153" customWidth="1"/>
    <col min="12548" max="12548" width="20.109375" style="153" customWidth="1"/>
    <col min="12549" max="12549" width="15.109375" style="153" customWidth="1"/>
    <col min="12550" max="12550" width="19" style="153" customWidth="1"/>
    <col min="12551" max="12551" width="16.21875" style="153" customWidth="1"/>
    <col min="12552" max="12552" width="10.5546875" style="153" customWidth="1"/>
    <col min="12553" max="12797" width="8.88671875" style="153"/>
    <col min="12798" max="12798" width="20.88671875" style="153" customWidth="1"/>
    <col min="12799" max="12799" width="15.6640625" style="153" bestFit="1" customWidth="1"/>
    <col min="12800" max="12800" width="21.88671875" style="153" customWidth="1"/>
    <col min="12801" max="12801" width="20.109375" style="153" customWidth="1"/>
    <col min="12802" max="12803" width="21.44140625" style="153" customWidth="1"/>
    <col min="12804" max="12804" width="20.109375" style="153" customWidth="1"/>
    <col min="12805" max="12805" width="15.109375" style="153" customWidth="1"/>
    <col min="12806" max="12806" width="19" style="153" customWidth="1"/>
    <col min="12807" max="12807" width="16.21875" style="153" customWidth="1"/>
    <col min="12808" max="12808" width="10.5546875" style="153" customWidth="1"/>
    <col min="12809" max="13053" width="8.88671875" style="153"/>
    <col min="13054" max="13054" width="20.88671875" style="153" customWidth="1"/>
    <col min="13055" max="13055" width="15.6640625" style="153" bestFit="1" customWidth="1"/>
    <col min="13056" max="13056" width="21.88671875" style="153" customWidth="1"/>
    <col min="13057" max="13057" width="20.109375" style="153" customWidth="1"/>
    <col min="13058" max="13059" width="21.44140625" style="153" customWidth="1"/>
    <col min="13060" max="13060" width="20.109375" style="153" customWidth="1"/>
    <col min="13061" max="13061" width="15.109375" style="153" customWidth="1"/>
    <col min="13062" max="13062" width="19" style="153" customWidth="1"/>
    <col min="13063" max="13063" width="16.21875" style="153" customWidth="1"/>
    <col min="13064" max="13064" width="10.5546875" style="153" customWidth="1"/>
    <col min="13065" max="13309" width="8.88671875" style="153"/>
    <col min="13310" max="13310" width="20.88671875" style="153" customWidth="1"/>
    <col min="13311" max="13311" width="15.6640625" style="153" bestFit="1" customWidth="1"/>
    <col min="13312" max="13312" width="21.88671875" style="153" customWidth="1"/>
    <col min="13313" max="13313" width="20.109375" style="153" customWidth="1"/>
    <col min="13314" max="13315" width="21.44140625" style="153" customWidth="1"/>
    <col min="13316" max="13316" width="20.109375" style="153" customWidth="1"/>
    <col min="13317" max="13317" width="15.109375" style="153" customWidth="1"/>
    <col min="13318" max="13318" width="19" style="153" customWidth="1"/>
    <col min="13319" max="13319" width="16.21875" style="153" customWidth="1"/>
    <col min="13320" max="13320" width="10.5546875" style="153" customWidth="1"/>
    <col min="13321" max="13565" width="8.88671875" style="153"/>
    <col min="13566" max="13566" width="20.88671875" style="153" customWidth="1"/>
    <col min="13567" max="13567" width="15.6640625" style="153" bestFit="1" customWidth="1"/>
    <col min="13568" max="13568" width="21.88671875" style="153" customWidth="1"/>
    <col min="13569" max="13569" width="20.109375" style="153" customWidth="1"/>
    <col min="13570" max="13571" width="21.44140625" style="153" customWidth="1"/>
    <col min="13572" max="13572" width="20.109375" style="153" customWidth="1"/>
    <col min="13573" max="13573" width="15.109375" style="153" customWidth="1"/>
    <col min="13574" max="13574" width="19" style="153" customWidth="1"/>
    <col min="13575" max="13575" width="16.21875" style="153" customWidth="1"/>
    <col min="13576" max="13576" width="10.5546875" style="153" customWidth="1"/>
    <col min="13577" max="13821" width="8.88671875" style="153"/>
    <col min="13822" max="13822" width="20.88671875" style="153" customWidth="1"/>
    <col min="13823" max="13823" width="15.6640625" style="153" bestFit="1" customWidth="1"/>
    <col min="13824" max="13824" width="21.88671875" style="153" customWidth="1"/>
    <col min="13825" max="13825" width="20.109375" style="153" customWidth="1"/>
    <col min="13826" max="13827" width="21.44140625" style="153" customWidth="1"/>
    <col min="13828" max="13828" width="20.109375" style="153" customWidth="1"/>
    <col min="13829" max="13829" width="15.109375" style="153" customWidth="1"/>
    <col min="13830" max="13830" width="19" style="153" customWidth="1"/>
    <col min="13831" max="13831" width="16.21875" style="153" customWidth="1"/>
    <col min="13832" max="13832" width="10.5546875" style="153" customWidth="1"/>
    <col min="13833" max="14077" width="8.88671875" style="153"/>
    <col min="14078" max="14078" width="20.88671875" style="153" customWidth="1"/>
    <col min="14079" max="14079" width="15.6640625" style="153" bestFit="1" customWidth="1"/>
    <col min="14080" max="14080" width="21.88671875" style="153" customWidth="1"/>
    <col min="14081" max="14081" width="20.109375" style="153" customWidth="1"/>
    <col min="14082" max="14083" width="21.44140625" style="153" customWidth="1"/>
    <col min="14084" max="14084" width="20.109375" style="153" customWidth="1"/>
    <col min="14085" max="14085" width="15.109375" style="153" customWidth="1"/>
    <col min="14086" max="14086" width="19" style="153" customWidth="1"/>
    <col min="14087" max="14087" width="16.21875" style="153" customWidth="1"/>
    <col min="14088" max="14088" width="10.5546875" style="153" customWidth="1"/>
    <col min="14089" max="14333" width="8.88671875" style="153"/>
    <col min="14334" max="14334" width="20.88671875" style="153" customWidth="1"/>
    <col min="14335" max="14335" width="15.6640625" style="153" bestFit="1" customWidth="1"/>
    <col min="14336" max="14336" width="21.88671875" style="153" customWidth="1"/>
    <col min="14337" max="14337" width="20.109375" style="153" customWidth="1"/>
    <col min="14338" max="14339" width="21.44140625" style="153" customWidth="1"/>
    <col min="14340" max="14340" width="20.109375" style="153" customWidth="1"/>
    <col min="14341" max="14341" width="15.109375" style="153" customWidth="1"/>
    <col min="14342" max="14342" width="19" style="153" customWidth="1"/>
    <col min="14343" max="14343" width="16.21875" style="153" customWidth="1"/>
    <col min="14344" max="14344" width="10.5546875" style="153" customWidth="1"/>
    <col min="14345" max="14589" width="8.88671875" style="153"/>
    <col min="14590" max="14590" width="20.88671875" style="153" customWidth="1"/>
    <col min="14591" max="14591" width="15.6640625" style="153" bestFit="1" customWidth="1"/>
    <col min="14592" max="14592" width="21.88671875" style="153" customWidth="1"/>
    <col min="14593" max="14593" width="20.109375" style="153" customWidth="1"/>
    <col min="14594" max="14595" width="21.44140625" style="153" customWidth="1"/>
    <col min="14596" max="14596" width="20.109375" style="153" customWidth="1"/>
    <col min="14597" max="14597" width="15.109375" style="153" customWidth="1"/>
    <col min="14598" max="14598" width="19" style="153" customWidth="1"/>
    <col min="14599" max="14599" width="16.21875" style="153" customWidth="1"/>
    <col min="14600" max="14600" width="10.5546875" style="153" customWidth="1"/>
    <col min="14601" max="14845" width="8.88671875" style="153"/>
    <col min="14846" max="14846" width="20.88671875" style="153" customWidth="1"/>
    <col min="14847" max="14847" width="15.6640625" style="153" bestFit="1" customWidth="1"/>
    <col min="14848" max="14848" width="21.88671875" style="153" customWidth="1"/>
    <col min="14849" max="14849" width="20.109375" style="153" customWidth="1"/>
    <col min="14850" max="14851" width="21.44140625" style="153" customWidth="1"/>
    <col min="14852" max="14852" width="20.109375" style="153" customWidth="1"/>
    <col min="14853" max="14853" width="15.109375" style="153" customWidth="1"/>
    <col min="14854" max="14854" width="19" style="153" customWidth="1"/>
    <col min="14855" max="14855" width="16.21875" style="153" customWidth="1"/>
    <col min="14856" max="14856" width="10.5546875" style="153" customWidth="1"/>
    <col min="14857" max="15101" width="8.88671875" style="153"/>
    <col min="15102" max="15102" width="20.88671875" style="153" customWidth="1"/>
    <col min="15103" max="15103" width="15.6640625" style="153" bestFit="1" customWidth="1"/>
    <col min="15104" max="15104" width="21.88671875" style="153" customWidth="1"/>
    <col min="15105" max="15105" width="20.109375" style="153" customWidth="1"/>
    <col min="15106" max="15107" width="21.44140625" style="153" customWidth="1"/>
    <col min="15108" max="15108" width="20.109375" style="153" customWidth="1"/>
    <col min="15109" max="15109" width="15.109375" style="153" customWidth="1"/>
    <col min="15110" max="15110" width="19" style="153" customWidth="1"/>
    <col min="15111" max="15111" width="16.21875" style="153" customWidth="1"/>
    <col min="15112" max="15112" width="10.5546875" style="153" customWidth="1"/>
    <col min="15113" max="15357" width="8.88671875" style="153"/>
    <col min="15358" max="15358" width="20.88671875" style="153" customWidth="1"/>
    <col min="15359" max="15359" width="15.6640625" style="153" bestFit="1" customWidth="1"/>
    <col min="15360" max="15360" width="21.88671875" style="153" customWidth="1"/>
    <col min="15361" max="15361" width="20.109375" style="153" customWidth="1"/>
    <col min="15362" max="15363" width="21.44140625" style="153" customWidth="1"/>
    <col min="15364" max="15364" width="20.109375" style="153" customWidth="1"/>
    <col min="15365" max="15365" width="15.109375" style="153" customWidth="1"/>
    <col min="15366" max="15366" width="19" style="153" customWidth="1"/>
    <col min="15367" max="15367" width="16.21875" style="153" customWidth="1"/>
    <col min="15368" max="15368" width="10.5546875" style="153" customWidth="1"/>
    <col min="15369" max="15613" width="8.88671875" style="153"/>
    <col min="15614" max="15614" width="20.88671875" style="153" customWidth="1"/>
    <col min="15615" max="15615" width="15.6640625" style="153" bestFit="1" customWidth="1"/>
    <col min="15616" max="15616" width="21.88671875" style="153" customWidth="1"/>
    <col min="15617" max="15617" width="20.109375" style="153" customWidth="1"/>
    <col min="15618" max="15619" width="21.44140625" style="153" customWidth="1"/>
    <col min="15620" max="15620" width="20.109375" style="153" customWidth="1"/>
    <col min="15621" max="15621" width="15.109375" style="153" customWidth="1"/>
    <col min="15622" max="15622" width="19" style="153" customWidth="1"/>
    <col min="15623" max="15623" width="16.21875" style="153" customWidth="1"/>
    <col min="15624" max="15624" width="10.5546875" style="153" customWidth="1"/>
    <col min="15625" max="15869" width="8.88671875" style="153"/>
    <col min="15870" max="15870" width="20.88671875" style="153" customWidth="1"/>
    <col min="15871" max="15871" width="15.6640625" style="153" bestFit="1" customWidth="1"/>
    <col min="15872" max="15872" width="21.88671875" style="153" customWidth="1"/>
    <col min="15873" max="15873" width="20.109375" style="153" customWidth="1"/>
    <col min="15874" max="15875" width="21.44140625" style="153" customWidth="1"/>
    <col min="15876" max="15876" width="20.109375" style="153" customWidth="1"/>
    <col min="15877" max="15877" width="15.109375" style="153" customWidth="1"/>
    <col min="15878" max="15878" width="19" style="153" customWidth="1"/>
    <col min="15879" max="15879" width="16.21875" style="153" customWidth="1"/>
    <col min="15880" max="15880" width="10.5546875" style="153" customWidth="1"/>
    <col min="15881" max="16125" width="8.88671875" style="153"/>
    <col min="16126" max="16126" width="20.88671875" style="153" customWidth="1"/>
    <col min="16127" max="16127" width="15.6640625" style="153" bestFit="1" customWidth="1"/>
    <col min="16128" max="16128" width="21.88671875" style="153" customWidth="1"/>
    <col min="16129" max="16129" width="20.109375" style="153" customWidth="1"/>
    <col min="16130" max="16131" width="21.44140625" style="153" customWidth="1"/>
    <col min="16132" max="16132" width="20.109375" style="153" customWidth="1"/>
    <col min="16133" max="16133" width="15.109375" style="153" customWidth="1"/>
    <col min="16134" max="16134" width="19" style="153" customWidth="1"/>
    <col min="16135" max="16135" width="16.21875" style="153" customWidth="1"/>
    <col min="16136" max="16136" width="10.5546875" style="153" customWidth="1"/>
    <col min="16137" max="16384" width="8.88671875" style="153"/>
  </cols>
  <sheetData>
    <row r="1" spans="1:8" s="139" customFormat="1" ht="19.95" customHeight="1">
      <c r="A1" s="474" t="s">
        <v>232</v>
      </c>
      <c r="B1" s="474"/>
      <c r="C1" s="474"/>
      <c r="D1" s="474"/>
      <c r="E1" s="474"/>
      <c r="F1" s="474"/>
      <c r="G1" s="474"/>
      <c r="H1" s="474"/>
    </row>
    <row r="2" spans="1:8" s="139" customFormat="1" ht="19.95" customHeight="1">
      <c r="A2" s="475" t="s">
        <v>385</v>
      </c>
      <c r="B2" s="475"/>
      <c r="C2" s="475"/>
      <c r="D2" s="475"/>
      <c r="E2" s="475"/>
      <c r="F2" s="475"/>
      <c r="G2" s="475"/>
      <c r="H2" s="475"/>
    </row>
    <row r="3" spans="1:8" s="143" customFormat="1" ht="19.95" customHeight="1">
      <c r="A3" s="140" t="str">
        <f>底稿目录!A2</f>
        <v>被审计单位：</v>
      </c>
      <c r="B3" s="141"/>
      <c r="C3" s="142" t="str">
        <f>底稿目录!A4</f>
        <v>编制人：</v>
      </c>
      <c r="E3" s="144" t="str">
        <f>底稿目录!A5</f>
        <v>编制日期：</v>
      </c>
      <c r="G3" s="312" t="s">
        <v>383</v>
      </c>
      <c r="H3" s="360" t="str">
        <f>底稿目录!F16</f>
        <v>F2-65</v>
      </c>
    </row>
    <row r="4" spans="1:8" s="143" customFormat="1" ht="19.95" customHeight="1">
      <c r="A4" s="140" t="str">
        <f>底稿目录!A3</f>
        <v>截止日：202X年12月31日</v>
      </c>
      <c r="B4" s="141"/>
      <c r="C4" s="142" t="str">
        <f>底稿目录!A6</f>
        <v>复核人：</v>
      </c>
      <c r="E4" s="144" t="str">
        <f>底稿目录!A7</f>
        <v>复核日期：</v>
      </c>
      <c r="G4" s="145" t="s">
        <v>384</v>
      </c>
    </row>
    <row r="5" spans="1:8" s="143" customFormat="1" ht="19.95" customHeight="1">
      <c r="A5" s="16" t="s">
        <v>233</v>
      </c>
      <c r="B5" s="141"/>
      <c r="C5" s="141"/>
      <c r="D5" s="142"/>
      <c r="E5" s="142"/>
      <c r="F5" s="144"/>
      <c r="G5" s="145"/>
    </row>
    <row r="6" spans="1:8" s="143" customFormat="1" ht="19.95" customHeight="1">
      <c r="A6" s="313" t="s">
        <v>387</v>
      </c>
      <c r="B6" s="141"/>
      <c r="C6" s="141"/>
      <c r="D6" s="142"/>
      <c r="E6" s="142"/>
      <c r="F6" s="144"/>
      <c r="G6" s="145"/>
    </row>
    <row r="7" spans="1:8" s="143" customFormat="1" ht="19.95" customHeight="1">
      <c r="A7" s="147" t="s">
        <v>234</v>
      </c>
      <c r="B7" s="141"/>
      <c r="C7" s="141"/>
      <c r="D7" s="142"/>
      <c r="E7" s="142"/>
      <c r="F7" s="144"/>
      <c r="G7" s="145"/>
    </row>
    <row r="8" spans="1:8" s="143" customFormat="1" ht="19.95" customHeight="1">
      <c r="A8" s="140" t="s">
        <v>388</v>
      </c>
      <c r="B8" s="141"/>
      <c r="C8" s="141"/>
      <c r="D8" s="142"/>
      <c r="E8" s="142"/>
      <c r="F8" s="144"/>
      <c r="G8" s="145"/>
    </row>
    <row r="9" spans="1:8" s="143" customFormat="1" ht="19.95" customHeight="1">
      <c r="A9" s="140" t="s">
        <v>411</v>
      </c>
      <c r="B9" s="141"/>
      <c r="C9" s="141"/>
      <c r="D9" s="142"/>
      <c r="E9" s="142"/>
      <c r="F9" s="144"/>
      <c r="G9" s="145"/>
    </row>
    <row r="10" spans="1:8" s="143" customFormat="1" ht="19.95" customHeight="1">
      <c r="A10" s="389" t="s">
        <v>392</v>
      </c>
      <c r="B10" s="141"/>
      <c r="C10" s="141"/>
      <c r="D10" s="142"/>
      <c r="E10" s="142"/>
      <c r="F10" s="144"/>
      <c r="G10" s="145"/>
    </row>
    <row r="11" spans="1:8" s="148" customFormat="1" ht="19.95" customHeight="1">
      <c r="A11" s="472" t="s">
        <v>235</v>
      </c>
      <c r="B11" s="473" t="s">
        <v>393</v>
      </c>
      <c r="C11" s="473" t="s">
        <v>390</v>
      </c>
      <c r="D11" s="473" t="s">
        <v>236</v>
      </c>
      <c r="E11" s="473"/>
      <c r="F11" s="473"/>
      <c r="G11" s="473"/>
      <c r="H11" s="476" t="s">
        <v>391</v>
      </c>
    </row>
    <row r="12" spans="1:8" s="149" customFormat="1" ht="19.95" customHeight="1">
      <c r="A12" s="472"/>
      <c r="B12" s="473"/>
      <c r="C12" s="473"/>
      <c r="D12" s="388" t="s">
        <v>237</v>
      </c>
      <c r="E12" s="388" t="s">
        <v>238</v>
      </c>
      <c r="F12" s="317" t="s">
        <v>239</v>
      </c>
      <c r="G12" s="317" t="s">
        <v>240</v>
      </c>
      <c r="H12" s="476"/>
    </row>
    <row r="13" spans="1:8" ht="19.95" customHeight="1">
      <c r="A13" s="316" t="s">
        <v>394</v>
      </c>
      <c r="B13" s="150"/>
      <c r="C13" s="150"/>
      <c r="D13" s="151"/>
      <c r="E13" s="151"/>
      <c r="F13" s="151"/>
      <c r="G13" s="151"/>
      <c r="H13" s="152"/>
    </row>
    <row r="14" spans="1:8" ht="19.95" customHeight="1">
      <c r="A14" s="316" t="s">
        <v>395</v>
      </c>
      <c r="B14" s="150"/>
      <c r="C14" s="150"/>
      <c r="D14" s="154"/>
      <c r="E14" s="154"/>
      <c r="F14" s="154"/>
      <c r="G14" s="154"/>
      <c r="H14" s="152"/>
    </row>
    <row r="15" spans="1:8" ht="19.95" customHeight="1">
      <c r="A15" s="316" t="s">
        <v>396</v>
      </c>
      <c r="B15" s="155"/>
      <c r="C15" s="155"/>
      <c r="D15" s="154"/>
      <c r="E15" s="154"/>
      <c r="F15" s="154"/>
      <c r="G15" s="154"/>
      <c r="H15" s="152"/>
    </row>
    <row r="16" spans="1:8" ht="19.95" customHeight="1">
      <c r="A16" s="316" t="s">
        <v>397</v>
      </c>
      <c r="B16" s="150"/>
      <c r="C16" s="150"/>
      <c r="D16" s="154"/>
      <c r="E16" s="154"/>
      <c r="F16" s="154"/>
      <c r="G16" s="154"/>
      <c r="H16" s="152"/>
    </row>
    <row r="17" spans="1:8" ht="19.95" customHeight="1">
      <c r="A17" s="316" t="s">
        <v>398</v>
      </c>
      <c r="B17" s="150"/>
      <c r="C17" s="150"/>
      <c r="D17" s="154"/>
      <c r="E17" s="154"/>
      <c r="F17" s="154"/>
      <c r="G17" s="154"/>
      <c r="H17" s="152"/>
    </row>
    <row r="18" spans="1:8" ht="19.95" customHeight="1">
      <c r="A18" s="316" t="s">
        <v>399</v>
      </c>
      <c r="B18" s="150"/>
      <c r="C18" s="150"/>
      <c r="D18" s="154"/>
      <c r="E18" s="154"/>
      <c r="F18" s="154"/>
      <c r="G18" s="154"/>
      <c r="H18" s="152"/>
    </row>
    <row r="19" spans="1:8" ht="19.95" customHeight="1">
      <c r="A19" s="316" t="s">
        <v>400</v>
      </c>
      <c r="B19" s="150"/>
      <c r="C19" s="150"/>
      <c r="D19" s="154"/>
      <c r="E19" s="154"/>
      <c r="F19" s="154"/>
      <c r="G19" s="154"/>
      <c r="H19" s="152"/>
    </row>
    <row r="20" spans="1:8" ht="19.95" customHeight="1">
      <c r="A20" s="316" t="s">
        <v>401</v>
      </c>
      <c r="B20" s="150"/>
      <c r="C20" s="150"/>
      <c r="D20" s="154"/>
      <c r="E20" s="154"/>
      <c r="F20" s="154"/>
      <c r="G20" s="154"/>
      <c r="H20" s="152"/>
    </row>
    <row r="21" spans="1:8" ht="19.95" customHeight="1">
      <c r="A21" s="316" t="s">
        <v>402</v>
      </c>
      <c r="B21" s="150"/>
      <c r="C21" s="150"/>
      <c r="D21" s="154"/>
      <c r="E21" s="154"/>
      <c r="F21" s="154"/>
      <c r="G21" s="154"/>
      <c r="H21" s="152"/>
    </row>
    <row r="22" spans="1:8" ht="19.95" customHeight="1">
      <c r="A22" s="316" t="s">
        <v>403</v>
      </c>
      <c r="B22" s="150"/>
      <c r="C22" s="150"/>
      <c r="D22" s="154"/>
      <c r="E22" s="154"/>
      <c r="F22" s="154"/>
      <c r="G22" s="154"/>
      <c r="H22" s="152"/>
    </row>
    <row r="23" spans="1:8" ht="19.95" customHeight="1">
      <c r="A23" s="316" t="s">
        <v>404</v>
      </c>
      <c r="B23" s="150"/>
      <c r="C23" s="150"/>
      <c r="D23" s="154"/>
      <c r="E23" s="154"/>
      <c r="F23" s="154"/>
      <c r="G23" s="154"/>
      <c r="H23" s="152"/>
    </row>
    <row r="24" spans="1:8" ht="19.95" customHeight="1">
      <c r="A24" s="316" t="s">
        <v>405</v>
      </c>
      <c r="B24" s="150"/>
      <c r="C24" s="150"/>
      <c r="D24" s="154"/>
      <c r="E24" s="154"/>
      <c r="F24" s="154"/>
      <c r="G24" s="154"/>
      <c r="H24" s="152"/>
    </row>
    <row r="25" spans="1:8" s="143" customFormat="1" ht="19.95" customHeight="1">
      <c r="A25" s="389" t="s">
        <v>406</v>
      </c>
      <c r="B25" s="141"/>
      <c r="C25" s="141"/>
      <c r="D25" s="142"/>
      <c r="E25" s="142"/>
      <c r="F25" s="144"/>
      <c r="G25" s="145"/>
    </row>
    <row r="26" spans="1:8" s="148" customFormat="1" ht="19.95" customHeight="1">
      <c r="A26" s="472" t="s">
        <v>241</v>
      </c>
      <c r="B26" s="473" t="s">
        <v>393</v>
      </c>
      <c r="C26" s="473" t="s">
        <v>390</v>
      </c>
      <c r="D26" s="473" t="s">
        <v>242</v>
      </c>
      <c r="E26" s="473"/>
      <c r="F26" s="473"/>
      <c r="G26" s="473"/>
      <c r="H26" s="476" t="s">
        <v>391</v>
      </c>
    </row>
    <row r="27" spans="1:8" s="148" customFormat="1" ht="19.95" customHeight="1">
      <c r="A27" s="472"/>
      <c r="B27" s="473"/>
      <c r="C27" s="473"/>
      <c r="D27" s="388" t="s">
        <v>243</v>
      </c>
      <c r="E27" s="388" t="s">
        <v>244</v>
      </c>
      <c r="F27" s="317" t="s">
        <v>245</v>
      </c>
      <c r="G27" s="317" t="s">
        <v>246</v>
      </c>
      <c r="H27" s="476"/>
    </row>
    <row r="28" spans="1:8" ht="19.95" customHeight="1">
      <c r="A28" s="316" t="s">
        <v>394</v>
      </c>
      <c r="B28" s="150"/>
      <c r="C28" s="150"/>
      <c r="D28" s="151"/>
      <c r="E28" s="151"/>
      <c r="F28" s="151"/>
      <c r="G28" s="151"/>
      <c r="H28" s="152"/>
    </row>
    <row r="29" spans="1:8" ht="19.95" customHeight="1">
      <c r="A29" s="316" t="s">
        <v>395</v>
      </c>
      <c r="B29" s="150"/>
      <c r="C29" s="150"/>
      <c r="D29" s="154"/>
      <c r="E29" s="154"/>
      <c r="F29" s="154"/>
      <c r="G29" s="154"/>
      <c r="H29" s="152"/>
    </row>
    <row r="30" spans="1:8" ht="19.95" customHeight="1">
      <c r="A30" s="316" t="s">
        <v>396</v>
      </c>
      <c r="B30" s="155"/>
      <c r="C30" s="155"/>
      <c r="D30" s="154"/>
      <c r="E30" s="154"/>
      <c r="F30" s="154"/>
      <c r="G30" s="154"/>
      <c r="H30" s="152"/>
    </row>
    <row r="31" spans="1:8" ht="19.95" customHeight="1">
      <c r="A31" s="316" t="s">
        <v>397</v>
      </c>
      <c r="B31" s="150"/>
      <c r="C31" s="150"/>
      <c r="D31" s="154"/>
      <c r="E31" s="154"/>
      <c r="F31" s="154"/>
      <c r="G31" s="154"/>
      <c r="H31" s="152"/>
    </row>
    <row r="32" spans="1:8" ht="19.95" customHeight="1">
      <c r="A32" s="316" t="s">
        <v>398</v>
      </c>
      <c r="B32" s="150"/>
      <c r="C32" s="150"/>
      <c r="D32" s="154"/>
      <c r="E32" s="154"/>
      <c r="F32" s="154"/>
      <c r="G32" s="154"/>
      <c r="H32" s="152"/>
    </row>
    <row r="33" spans="1:8" ht="19.95" customHeight="1">
      <c r="A33" s="316" t="s">
        <v>399</v>
      </c>
      <c r="B33" s="150"/>
      <c r="C33" s="150"/>
      <c r="D33" s="154"/>
      <c r="E33" s="154"/>
      <c r="F33" s="154"/>
      <c r="G33" s="154"/>
      <c r="H33" s="152"/>
    </row>
    <row r="34" spans="1:8" ht="19.95" customHeight="1">
      <c r="A34" s="316" t="s">
        <v>400</v>
      </c>
      <c r="B34" s="150"/>
      <c r="C34" s="150"/>
      <c r="D34" s="154"/>
      <c r="E34" s="154"/>
      <c r="F34" s="154"/>
      <c r="G34" s="154"/>
      <c r="H34" s="152"/>
    </row>
    <row r="35" spans="1:8" ht="19.95" customHeight="1">
      <c r="A35" s="316" t="s">
        <v>401</v>
      </c>
      <c r="B35" s="150"/>
      <c r="C35" s="150"/>
      <c r="D35" s="154"/>
      <c r="E35" s="154"/>
      <c r="F35" s="154"/>
      <c r="G35" s="154"/>
      <c r="H35" s="152"/>
    </row>
    <row r="36" spans="1:8" ht="19.95" customHeight="1">
      <c r="A36" s="316" t="s">
        <v>402</v>
      </c>
      <c r="B36" s="150"/>
      <c r="C36" s="150"/>
      <c r="D36" s="154"/>
      <c r="E36" s="154"/>
      <c r="F36" s="154"/>
      <c r="G36" s="154"/>
      <c r="H36" s="152"/>
    </row>
    <row r="37" spans="1:8" ht="19.95" customHeight="1">
      <c r="A37" s="316" t="s">
        <v>403</v>
      </c>
      <c r="B37" s="150"/>
      <c r="C37" s="150"/>
      <c r="D37" s="154"/>
      <c r="E37" s="154"/>
      <c r="F37" s="154"/>
      <c r="G37" s="154"/>
      <c r="H37" s="152"/>
    </row>
    <row r="38" spans="1:8" ht="19.95" customHeight="1">
      <c r="A38" s="316" t="s">
        <v>404</v>
      </c>
      <c r="B38" s="150"/>
      <c r="C38" s="150"/>
      <c r="D38" s="154"/>
      <c r="E38" s="154"/>
      <c r="F38" s="154"/>
      <c r="G38" s="154"/>
      <c r="H38" s="152"/>
    </row>
    <row r="39" spans="1:8" ht="19.95" customHeight="1">
      <c r="A39" s="316" t="s">
        <v>405</v>
      </c>
      <c r="B39" s="150"/>
      <c r="C39" s="150"/>
      <c r="D39" s="154"/>
      <c r="E39" s="154"/>
      <c r="F39" s="154"/>
      <c r="G39" s="154"/>
      <c r="H39" s="152"/>
    </row>
    <row r="40" spans="1:8" ht="19.95" customHeight="1">
      <c r="A40" s="156" t="s">
        <v>247</v>
      </c>
    </row>
    <row r="41" spans="1:8" ht="19.95" customHeight="1"/>
    <row r="42" spans="1:8" ht="19.95" customHeight="1"/>
    <row r="43" spans="1:8" ht="19.95" customHeight="1">
      <c r="A43" s="156" t="s">
        <v>248</v>
      </c>
    </row>
    <row r="44" spans="1:8" ht="19.95" customHeight="1"/>
    <row r="45" spans="1:8">
      <c r="A45" s="314" t="s">
        <v>389</v>
      </c>
    </row>
    <row r="46" spans="1:8">
      <c r="A46" s="315" t="s">
        <v>249</v>
      </c>
    </row>
  </sheetData>
  <mergeCells count="12">
    <mergeCell ref="A26:A27"/>
    <mergeCell ref="B26:B27"/>
    <mergeCell ref="D26:G26"/>
    <mergeCell ref="A1:H1"/>
    <mergeCell ref="A2:H2"/>
    <mergeCell ref="A11:A12"/>
    <mergeCell ref="B11:B12"/>
    <mergeCell ref="D11:G11"/>
    <mergeCell ref="C11:C12"/>
    <mergeCell ref="H11:H12"/>
    <mergeCell ref="C26:C27"/>
    <mergeCell ref="H26:H27"/>
  </mergeCells>
  <phoneticPr fontId="6" type="noConversion"/>
  <hyperlinks>
    <hyperlink ref="H3" location="底稿目录!A1" display="底稿目录!A1"/>
  </hyperlinks>
  <printOptions horizontalCentered="1"/>
  <pageMargins left="0.70866141732283472" right="0.70866141732283472" top="0.74803149606299213" bottom="0.74803149606299213" header="0.31496062992125984" footer="0.31496062992125984"/>
  <pageSetup paperSize="9" scale="85" fitToHeight="0"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G46"/>
  <sheetViews>
    <sheetView view="pageBreakPreview" zoomScaleSheetLayoutView="100" workbookViewId="0">
      <selection sqref="A1:F1"/>
    </sheetView>
  </sheetViews>
  <sheetFormatPr defaultRowHeight="15.6"/>
  <cols>
    <col min="1" max="1" width="23.44140625" style="167" customWidth="1"/>
    <col min="2" max="2" width="14.88671875" style="167" customWidth="1"/>
    <col min="3" max="3" width="16.109375" style="167" customWidth="1"/>
    <col min="4" max="4" width="18.109375" style="167" customWidth="1"/>
    <col min="5" max="5" width="13.109375" style="167" customWidth="1"/>
    <col min="6" max="254" width="8.88671875" style="167"/>
    <col min="255" max="255" width="19.6640625" style="167" customWidth="1"/>
    <col min="256" max="256" width="20.6640625" style="167" customWidth="1"/>
    <col min="257" max="257" width="22.88671875" style="167" customWidth="1"/>
    <col min="258" max="258" width="18.88671875" style="167" customWidth="1"/>
    <col min="259" max="260" width="22.88671875" style="167" customWidth="1"/>
    <col min="261" max="261" width="13.109375" style="167" customWidth="1"/>
    <col min="262" max="510" width="8.88671875" style="167"/>
    <col min="511" max="511" width="19.6640625" style="167" customWidth="1"/>
    <col min="512" max="512" width="20.6640625" style="167" customWidth="1"/>
    <col min="513" max="513" width="22.88671875" style="167" customWidth="1"/>
    <col min="514" max="514" width="18.88671875" style="167" customWidth="1"/>
    <col min="515" max="516" width="22.88671875" style="167" customWidth="1"/>
    <col min="517" max="517" width="13.109375" style="167" customWidth="1"/>
    <col min="518" max="766" width="8.88671875" style="167"/>
    <col min="767" max="767" width="19.6640625" style="167" customWidth="1"/>
    <col min="768" max="768" width="20.6640625" style="167" customWidth="1"/>
    <col min="769" max="769" width="22.88671875" style="167" customWidth="1"/>
    <col min="770" max="770" width="18.88671875" style="167" customWidth="1"/>
    <col min="771" max="772" width="22.88671875" style="167" customWidth="1"/>
    <col min="773" max="773" width="13.109375" style="167" customWidth="1"/>
    <col min="774" max="1022" width="8.88671875" style="167"/>
    <col min="1023" max="1023" width="19.6640625" style="167" customWidth="1"/>
    <col min="1024" max="1024" width="20.6640625" style="167" customWidth="1"/>
    <col min="1025" max="1025" width="22.88671875" style="167" customWidth="1"/>
    <col min="1026" max="1026" width="18.88671875" style="167" customWidth="1"/>
    <col min="1027" max="1028" width="22.88671875" style="167" customWidth="1"/>
    <col min="1029" max="1029" width="13.109375" style="167" customWidth="1"/>
    <col min="1030" max="1278" width="8.88671875" style="167"/>
    <col min="1279" max="1279" width="19.6640625" style="167" customWidth="1"/>
    <col min="1280" max="1280" width="20.6640625" style="167" customWidth="1"/>
    <col min="1281" max="1281" width="22.88671875" style="167" customWidth="1"/>
    <col min="1282" max="1282" width="18.88671875" style="167" customWidth="1"/>
    <col min="1283" max="1284" width="22.88671875" style="167" customWidth="1"/>
    <col min="1285" max="1285" width="13.109375" style="167" customWidth="1"/>
    <col min="1286" max="1534" width="8.88671875" style="167"/>
    <col min="1535" max="1535" width="19.6640625" style="167" customWidth="1"/>
    <col min="1536" max="1536" width="20.6640625" style="167" customWidth="1"/>
    <col min="1537" max="1537" width="22.88671875" style="167" customWidth="1"/>
    <col min="1538" max="1538" width="18.88671875" style="167" customWidth="1"/>
    <col min="1539" max="1540" width="22.88671875" style="167" customWidth="1"/>
    <col min="1541" max="1541" width="13.109375" style="167" customWidth="1"/>
    <col min="1542" max="1790" width="8.88671875" style="167"/>
    <col min="1791" max="1791" width="19.6640625" style="167" customWidth="1"/>
    <col min="1792" max="1792" width="20.6640625" style="167" customWidth="1"/>
    <col min="1793" max="1793" width="22.88671875" style="167" customWidth="1"/>
    <col min="1794" max="1794" width="18.88671875" style="167" customWidth="1"/>
    <col min="1795" max="1796" width="22.88671875" style="167" customWidth="1"/>
    <col min="1797" max="1797" width="13.109375" style="167" customWidth="1"/>
    <col min="1798" max="2046" width="8.88671875" style="167"/>
    <col min="2047" max="2047" width="19.6640625" style="167" customWidth="1"/>
    <col min="2048" max="2048" width="20.6640625" style="167" customWidth="1"/>
    <col min="2049" max="2049" width="22.88671875" style="167" customWidth="1"/>
    <col min="2050" max="2050" width="18.88671875" style="167" customWidth="1"/>
    <col min="2051" max="2052" width="22.88671875" style="167" customWidth="1"/>
    <col min="2053" max="2053" width="13.109375" style="167" customWidth="1"/>
    <col min="2054" max="2302" width="8.88671875" style="167"/>
    <col min="2303" max="2303" width="19.6640625" style="167" customWidth="1"/>
    <col min="2304" max="2304" width="20.6640625" style="167" customWidth="1"/>
    <col min="2305" max="2305" width="22.88671875" style="167" customWidth="1"/>
    <col min="2306" max="2306" width="18.88671875" style="167" customWidth="1"/>
    <col min="2307" max="2308" width="22.88671875" style="167" customWidth="1"/>
    <col min="2309" max="2309" width="13.109375" style="167" customWidth="1"/>
    <col min="2310" max="2558" width="8.88671875" style="167"/>
    <col min="2559" max="2559" width="19.6640625" style="167" customWidth="1"/>
    <col min="2560" max="2560" width="20.6640625" style="167" customWidth="1"/>
    <col min="2561" max="2561" width="22.88671875" style="167" customWidth="1"/>
    <col min="2562" max="2562" width="18.88671875" style="167" customWidth="1"/>
    <col min="2563" max="2564" width="22.88671875" style="167" customWidth="1"/>
    <col min="2565" max="2565" width="13.109375" style="167" customWidth="1"/>
    <col min="2566" max="2814" width="8.88671875" style="167"/>
    <col min="2815" max="2815" width="19.6640625" style="167" customWidth="1"/>
    <col min="2816" max="2816" width="20.6640625" style="167" customWidth="1"/>
    <col min="2817" max="2817" width="22.88671875" style="167" customWidth="1"/>
    <col min="2818" max="2818" width="18.88671875" style="167" customWidth="1"/>
    <col min="2819" max="2820" width="22.88671875" style="167" customWidth="1"/>
    <col min="2821" max="2821" width="13.109375" style="167" customWidth="1"/>
    <col min="2822" max="3070" width="8.88671875" style="167"/>
    <col min="3071" max="3071" width="19.6640625" style="167" customWidth="1"/>
    <col min="3072" max="3072" width="20.6640625" style="167" customWidth="1"/>
    <col min="3073" max="3073" width="22.88671875" style="167" customWidth="1"/>
    <col min="3074" max="3074" width="18.88671875" style="167" customWidth="1"/>
    <col min="3075" max="3076" width="22.88671875" style="167" customWidth="1"/>
    <col min="3077" max="3077" width="13.109375" style="167" customWidth="1"/>
    <col min="3078" max="3326" width="8.88671875" style="167"/>
    <col min="3327" max="3327" width="19.6640625" style="167" customWidth="1"/>
    <col min="3328" max="3328" width="20.6640625" style="167" customWidth="1"/>
    <col min="3329" max="3329" width="22.88671875" style="167" customWidth="1"/>
    <col min="3330" max="3330" width="18.88671875" style="167" customWidth="1"/>
    <col min="3331" max="3332" width="22.88671875" style="167" customWidth="1"/>
    <col min="3333" max="3333" width="13.109375" style="167" customWidth="1"/>
    <col min="3334" max="3582" width="8.88671875" style="167"/>
    <col min="3583" max="3583" width="19.6640625" style="167" customWidth="1"/>
    <col min="3584" max="3584" width="20.6640625" style="167" customWidth="1"/>
    <col min="3585" max="3585" width="22.88671875" style="167" customWidth="1"/>
    <col min="3586" max="3586" width="18.88671875" style="167" customWidth="1"/>
    <col min="3587" max="3588" width="22.88671875" style="167" customWidth="1"/>
    <col min="3589" max="3589" width="13.109375" style="167" customWidth="1"/>
    <col min="3590" max="3838" width="8.88671875" style="167"/>
    <col min="3839" max="3839" width="19.6640625" style="167" customWidth="1"/>
    <col min="3840" max="3840" width="20.6640625" style="167" customWidth="1"/>
    <col min="3841" max="3841" width="22.88671875" style="167" customWidth="1"/>
    <col min="3842" max="3842" width="18.88671875" style="167" customWidth="1"/>
    <col min="3843" max="3844" width="22.88671875" style="167" customWidth="1"/>
    <col min="3845" max="3845" width="13.109375" style="167" customWidth="1"/>
    <col min="3846" max="4094" width="8.88671875" style="167"/>
    <col min="4095" max="4095" width="19.6640625" style="167" customWidth="1"/>
    <col min="4096" max="4096" width="20.6640625" style="167" customWidth="1"/>
    <col min="4097" max="4097" width="22.88671875" style="167" customWidth="1"/>
    <col min="4098" max="4098" width="18.88671875" style="167" customWidth="1"/>
    <col min="4099" max="4100" width="22.88671875" style="167" customWidth="1"/>
    <col min="4101" max="4101" width="13.109375" style="167" customWidth="1"/>
    <col min="4102" max="4350" width="8.88671875" style="167"/>
    <col min="4351" max="4351" width="19.6640625" style="167" customWidth="1"/>
    <col min="4352" max="4352" width="20.6640625" style="167" customWidth="1"/>
    <col min="4353" max="4353" width="22.88671875" style="167" customWidth="1"/>
    <col min="4354" max="4354" width="18.88671875" style="167" customWidth="1"/>
    <col min="4355" max="4356" width="22.88671875" style="167" customWidth="1"/>
    <col min="4357" max="4357" width="13.109375" style="167" customWidth="1"/>
    <col min="4358" max="4606" width="8.88671875" style="167"/>
    <col min="4607" max="4607" width="19.6640625" style="167" customWidth="1"/>
    <col min="4608" max="4608" width="20.6640625" style="167" customWidth="1"/>
    <col min="4609" max="4609" width="22.88671875" style="167" customWidth="1"/>
    <col min="4610" max="4610" width="18.88671875" style="167" customWidth="1"/>
    <col min="4611" max="4612" width="22.88671875" style="167" customWidth="1"/>
    <col min="4613" max="4613" width="13.109375" style="167" customWidth="1"/>
    <col min="4614" max="4862" width="8.88671875" style="167"/>
    <col min="4863" max="4863" width="19.6640625" style="167" customWidth="1"/>
    <col min="4864" max="4864" width="20.6640625" style="167" customWidth="1"/>
    <col min="4865" max="4865" width="22.88671875" style="167" customWidth="1"/>
    <col min="4866" max="4866" width="18.88671875" style="167" customWidth="1"/>
    <col min="4867" max="4868" width="22.88671875" style="167" customWidth="1"/>
    <col min="4869" max="4869" width="13.109375" style="167" customWidth="1"/>
    <col min="4870" max="5118" width="8.88671875" style="167"/>
    <col min="5119" max="5119" width="19.6640625" style="167" customWidth="1"/>
    <col min="5120" max="5120" width="20.6640625" style="167" customWidth="1"/>
    <col min="5121" max="5121" width="22.88671875" style="167" customWidth="1"/>
    <col min="5122" max="5122" width="18.88671875" style="167" customWidth="1"/>
    <col min="5123" max="5124" width="22.88671875" style="167" customWidth="1"/>
    <col min="5125" max="5125" width="13.109375" style="167" customWidth="1"/>
    <col min="5126" max="5374" width="8.88671875" style="167"/>
    <col min="5375" max="5375" width="19.6640625" style="167" customWidth="1"/>
    <col min="5376" max="5376" width="20.6640625" style="167" customWidth="1"/>
    <col min="5377" max="5377" width="22.88671875" style="167" customWidth="1"/>
    <col min="5378" max="5378" width="18.88671875" style="167" customWidth="1"/>
    <col min="5379" max="5380" width="22.88671875" style="167" customWidth="1"/>
    <col min="5381" max="5381" width="13.109375" style="167" customWidth="1"/>
    <col min="5382" max="5630" width="8.88671875" style="167"/>
    <col min="5631" max="5631" width="19.6640625" style="167" customWidth="1"/>
    <col min="5632" max="5632" width="20.6640625" style="167" customWidth="1"/>
    <col min="5633" max="5633" width="22.88671875" style="167" customWidth="1"/>
    <col min="5634" max="5634" width="18.88671875" style="167" customWidth="1"/>
    <col min="5635" max="5636" width="22.88671875" style="167" customWidth="1"/>
    <col min="5637" max="5637" width="13.109375" style="167" customWidth="1"/>
    <col min="5638" max="5886" width="8.88671875" style="167"/>
    <col min="5887" max="5887" width="19.6640625" style="167" customWidth="1"/>
    <col min="5888" max="5888" width="20.6640625" style="167" customWidth="1"/>
    <col min="5889" max="5889" width="22.88671875" style="167" customWidth="1"/>
    <col min="5890" max="5890" width="18.88671875" style="167" customWidth="1"/>
    <col min="5891" max="5892" width="22.88671875" style="167" customWidth="1"/>
    <col min="5893" max="5893" width="13.109375" style="167" customWidth="1"/>
    <col min="5894" max="6142" width="8.88671875" style="167"/>
    <col min="6143" max="6143" width="19.6640625" style="167" customWidth="1"/>
    <col min="6144" max="6144" width="20.6640625" style="167" customWidth="1"/>
    <col min="6145" max="6145" width="22.88671875" style="167" customWidth="1"/>
    <col min="6146" max="6146" width="18.88671875" style="167" customWidth="1"/>
    <col min="6147" max="6148" width="22.88671875" style="167" customWidth="1"/>
    <col min="6149" max="6149" width="13.109375" style="167" customWidth="1"/>
    <col min="6150" max="6398" width="8.88671875" style="167"/>
    <col min="6399" max="6399" width="19.6640625" style="167" customWidth="1"/>
    <col min="6400" max="6400" width="20.6640625" style="167" customWidth="1"/>
    <col min="6401" max="6401" width="22.88671875" style="167" customWidth="1"/>
    <col min="6402" max="6402" width="18.88671875" style="167" customWidth="1"/>
    <col min="6403" max="6404" width="22.88671875" style="167" customWidth="1"/>
    <col min="6405" max="6405" width="13.109375" style="167" customWidth="1"/>
    <col min="6406" max="6654" width="8.88671875" style="167"/>
    <col min="6655" max="6655" width="19.6640625" style="167" customWidth="1"/>
    <col min="6656" max="6656" width="20.6640625" style="167" customWidth="1"/>
    <col min="6657" max="6657" width="22.88671875" style="167" customWidth="1"/>
    <col min="6658" max="6658" width="18.88671875" style="167" customWidth="1"/>
    <col min="6659" max="6660" width="22.88671875" style="167" customWidth="1"/>
    <col min="6661" max="6661" width="13.109375" style="167" customWidth="1"/>
    <col min="6662" max="6910" width="8.88671875" style="167"/>
    <col min="6911" max="6911" width="19.6640625" style="167" customWidth="1"/>
    <col min="6912" max="6912" width="20.6640625" style="167" customWidth="1"/>
    <col min="6913" max="6913" width="22.88671875" style="167" customWidth="1"/>
    <col min="6914" max="6914" width="18.88671875" style="167" customWidth="1"/>
    <col min="6915" max="6916" width="22.88671875" style="167" customWidth="1"/>
    <col min="6917" max="6917" width="13.109375" style="167" customWidth="1"/>
    <col min="6918" max="7166" width="8.88671875" style="167"/>
    <col min="7167" max="7167" width="19.6640625" style="167" customWidth="1"/>
    <col min="7168" max="7168" width="20.6640625" style="167" customWidth="1"/>
    <col min="7169" max="7169" width="22.88671875" style="167" customWidth="1"/>
    <col min="7170" max="7170" width="18.88671875" style="167" customWidth="1"/>
    <col min="7171" max="7172" width="22.88671875" style="167" customWidth="1"/>
    <col min="7173" max="7173" width="13.109375" style="167" customWidth="1"/>
    <col min="7174" max="7422" width="8.88671875" style="167"/>
    <col min="7423" max="7423" width="19.6640625" style="167" customWidth="1"/>
    <col min="7424" max="7424" width="20.6640625" style="167" customWidth="1"/>
    <col min="7425" max="7425" width="22.88671875" style="167" customWidth="1"/>
    <col min="7426" max="7426" width="18.88671875" style="167" customWidth="1"/>
    <col min="7427" max="7428" width="22.88671875" style="167" customWidth="1"/>
    <col min="7429" max="7429" width="13.109375" style="167" customWidth="1"/>
    <col min="7430" max="7678" width="8.88671875" style="167"/>
    <col min="7679" max="7679" width="19.6640625" style="167" customWidth="1"/>
    <col min="7680" max="7680" width="20.6640625" style="167" customWidth="1"/>
    <col min="7681" max="7681" width="22.88671875" style="167" customWidth="1"/>
    <col min="7682" max="7682" width="18.88671875" style="167" customWidth="1"/>
    <col min="7683" max="7684" width="22.88671875" style="167" customWidth="1"/>
    <col min="7685" max="7685" width="13.109375" style="167" customWidth="1"/>
    <col min="7686" max="7934" width="8.88671875" style="167"/>
    <col min="7935" max="7935" width="19.6640625" style="167" customWidth="1"/>
    <col min="7936" max="7936" width="20.6640625" style="167" customWidth="1"/>
    <col min="7937" max="7937" width="22.88671875" style="167" customWidth="1"/>
    <col min="7938" max="7938" width="18.88671875" style="167" customWidth="1"/>
    <col min="7939" max="7940" width="22.88671875" style="167" customWidth="1"/>
    <col min="7941" max="7941" width="13.109375" style="167" customWidth="1"/>
    <col min="7942" max="8190" width="8.88671875" style="167"/>
    <col min="8191" max="8191" width="19.6640625" style="167" customWidth="1"/>
    <col min="8192" max="8192" width="20.6640625" style="167" customWidth="1"/>
    <col min="8193" max="8193" width="22.88671875" style="167" customWidth="1"/>
    <col min="8194" max="8194" width="18.88671875" style="167" customWidth="1"/>
    <col min="8195" max="8196" width="22.88671875" style="167" customWidth="1"/>
    <col min="8197" max="8197" width="13.109375" style="167" customWidth="1"/>
    <col min="8198" max="8446" width="8.88671875" style="167"/>
    <col min="8447" max="8447" width="19.6640625" style="167" customWidth="1"/>
    <col min="8448" max="8448" width="20.6640625" style="167" customWidth="1"/>
    <col min="8449" max="8449" width="22.88671875" style="167" customWidth="1"/>
    <col min="8450" max="8450" width="18.88671875" style="167" customWidth="1"/>
    <col min="8451" max="8452" width="22.88671875" style="167" customWidth="1"/>
    <col min="8453" max="8453" width="13.109375" style="167" customWidth="1"/>
    <col min="8454" max="8702" width="8.88671875" style="167"/>
    <col min="8703" max="8703" width="19.6640625" style="167" customWidth="1"/>
    <col min="8704" max="8704" width="20.6640625" style="167" customWidth="1"/>
    <col min="8705" max="8705" width="22.88671875" style="167" customWidth="1"/>
    <col min="8706" max="8706" width="18.88671875" style="167" customWidth="1"/>
    <col min="8707" max="8708" width="22.88671875" style="167" customWidth="1"/>
    <col min="8709" max="8709" width="13.109375" style="167" customWidth="1"/>
    <col min="8710" max="8958" width="8.88671875" style="167"/>
    <col min="8959" max="8959" width="19.6640625" style="167" customWidth="1"/>
    <col min="8960" max="8960" width="20.6640625" style="167" customWidth="1"/>
    <col min="8961" max="8961" width="22.88671875" style="167" customWidth="1"/>
    <col min="8962" max="8962" width="18.88671875" style="167" customWidth="1"/>
    <col min="8963" max="8964" width="22.88671875" style="167" customWidth="1"/>
    <col min="8965" max="8965" width="13.109375" style="167" customWidth="1"/>
    <col min="8966" max="9214" width="8.88671875" style="167"/>
    <col min="9215" max="9215" width="19.6640625" style="167" customWidth="1"/>
    <col min="9216" max="9216" width="20.6640625" style="167" customWidth="1"/>
    <col min="9217" max="9217" width="22.88671875" style="167" customWidth="1"/>
    <col min="9218" max="9218" width="18.88671875" style="167" customWidth="1"/>
    <col min="9219" max="9220" width="22.88671875" style="167" customWidth="1"/>
    <col min="9221" max="9221" width="13.109375" style="167" customWidth="1"/>
    <col min="9222" max="9470" width="8.88671875" style="167"/>
    <col min="9471" max="9471" width="19.6640625" style="167" customWidth="1"/>
    <col min="9472" max="9472" width="20.6640625" style="167" customWidth="1"/>
    <col min="9473" max="9473" width="22.88671875" style="167" customWidth="1"/>
    <col min="9474" max="9474" width="18.88671875" style="167" customWidth="1"/>
    <col min="9475" max="9476" width="22.88671875" style="167" customWidth="1"/>
    <col min="9477" max="9477" width="13.109375" style="167" customWidth="1"/>
    <col min="9478" max="9726" width="8.88671875" style="167"/>
    <col min="9727" max="9727" width="19.6640625" style="167" customWidth="1"/>
    <col min="9728" max="9728" width="20.6640625" style="167" customWidth="1"/>
    <col min="9729" max="9729" width="22.88671875" style="167" customWidth="1"/>
    <col min="9730" max="9730" width="18.88671875" style="167" customWidth="1"/>
    <col min="9731" max="9732" width="22.88671875" style="167" customWidth="1"/>
    <col min="9733" max="9733" width="13.109375" style="167" customWidth="1"/>
    <col min="9734" max="9982" width="8.88671875" style="167"/>
    <col min="9983" max="9983" width="19.6640625" style="167" customWidth="1"/>
    <col min="9984" max="9984" width="20.6640625" style="167" customWidth="1"/>
    <col min="9985" max="9985" width="22.88671875" style="167" customWidth="1"/>
    <col min="9986" max="9986" width="18.88671875" style="167" customWidth="1"/>
    <col min="9987" max="9988" width="22.88671875" style="167" customWidth="1"/>
    <col min="9989" max="9989" width="13.109375" style="167" customWidth="1"/>
    <col min="9990" max="10238" width="8.88671875" style="167"/>
    <col min="10239" max="10239" width="19.6640625" style="167" customWidth="1"/>
    <col min="10240" max="10240" width="20.6640625" style="167" customWidth="1"/>
    <col min="10241" max="10241" width="22.88671875" style="167" customWidth="1"/>
    <col min="10242" max="10242" width="18.88671875" style="167" customWidth="1"/>
    <col min="10243" max="10244" width="22.88671875" style="167" customWidth="1"/>
    <col min="10245" max="10245" width="13.109375" style="167" customWidth="1"/>
    <col min="10246" max="10494" width="8.88671875" style="167"/>
    <col min="10495" max="10495" width="19.6640625" style="167" customWidth="1"/>
    <col min="10496" max="10496" width="20.6640625" style="167" customWidth="1"/>
    <col min="10497" max="10497" width="22.88671875" style="167" customWidth="1"/>
    <col min="10498" max="10498" width="18.88671875" style="167" customWidth="1"/>
    <col min="10499" max="10500" width="22.88671875" style="167" customWidth="1"/>
    <col min="10501" max="10501" width="13.109375" style="167" customWidth="1"/>
    <col min="10502" max="10750" width="8.88671875" style="167"/>
    <col min="10751" max="10751" width="19.6640625" style="167" customWidth="1"/>
    <col min="10752" max="10752" width="20.6640625" style="167" customWidth="1"/>
    <col min="10753" max="10753" width="22.88671875" style="167" customWidth="1"/>
    <col min="10754" max="10754" width="18.88671875" style="167" customWidth="1"/>
    <col min="10755" max="10756" width="22.88671875" style="167" customWidth="1"/>
    <col min="10757" max="10757" width="13.109375" style="167" customWidth="1"/>
    <col min="10758" max="11006" width="8.88671875" style="167"/>
    <col min="11007" max="11007" width="19.6640625" style="167" customWidth="1"/>
    <col min="11008" max="11008" width="20.6640625" style="167" customWidth="1"/>
    <col min="11009" max="11009" width="22.88671875" style="167" customWidth="1"/>
    <col min="11010" max="11010" width="18.88671875" style="167" customWidth="1"/>
    <col min="11011" max="11012" width="22.88671875" style="167" customWidth="1"/>
    <col min="11013" max="11013" width="13.109375" style="167" customWidth="1"/>
    <col min="11014" max="11262" width="8.88671875" style="167"/>
    <col min="11263" max="11263" width="19.6640625" style="167" customWidth="1"/>
    <col min="11264" max="11264" width="20.6640625" style="167" customWidth="1"/>
    <col min="11265" max="11265" width="22.88671875" style="167" customWidth="1"/>
    <col min="11266" max="11266" width="18.88671875" style="167" customWidth="1"/>
    <col min="11267" max="11268" width="22.88671875" style="167" customWidth="1"/>
    <col min="11269" max="11269" width="13.109375" style="167" customWidth="1"/>
    <col min="11270" max="11518" width="8.88671875" style="167"/>
    <col min="11519" max="11519" width="19.6640625" style="167" customWidth="1"/>
    <col min="11520" max="11520" width="20.6640625" style="167" customWidth="1"/>
    <col min="11521" max="11521" width="22.88671875" style="167" customWidth="1"/>
    <col min="11522" max="11522" width="18.88671875" style="167" customWidth="1"/>
    <col min="11523" max="11524" width="22.88671875" style="167" customWidth="1"/>
    <col min="11525" max="11525" width="13.109375" style="167" customWidth="1"/>
    <col min="11526" max="11774" width="8.88671875" style="167"/>
    <col min="11775" max="11775" width="19.6640625" style="167" customWidth="1"/>
    <col min="11776" max="11776" width="20.6640625" style="167" customWidth="1"/>
    <col min="11777" max="11777" width="22.88671875" style="167" customWidth="1"/>
    <col min="11778" max="11778" width="18.88671875" style="167" customWidth="1"/>
    <col min="11779" max="11780" width="22.88671875" style="167" customWidth="1"/>
    <col min="11781" max="11781" width="13.109375" style="167" customWidth="1"/>
    <col min="11782" max="12030" width="8.88671875" style="167"/>
    <col min="12031" max="12031" width="19.6640625" style="167" customWidth="1"/>
    <col min="12032" max="12032" width="20.6640625" style="167" customWidth="1"/>
    <col min="12033" max="12033" width="22.88671875" style="167" customWidth="1"/>
    <col min="12034" max="12034" width="18.88671875" style="167" customWidth="1"/>
    <col min="12035" max="12036" width="22.88671875" style="167" customWidth="1"/>
    <col min="12037" max="12037" width="13.109375" style="167" customWidth="1"/>
    <col min="12038" max="12286" width="8.88671875" style="167"/>
    <col min="12287" max="12287" width="19.6640625" style="167" customWidth="1"/>
    <col min="12288" max="12288" width="20.6640625" style="167" customWidth="1"/>
    <col min="12289" max="12289" width="22.88671875" style="167" customWidth="1"/>
    <col min="12290" max="12290" width="18.88671875" style="167" customWidth="1"/>
    <col min="12291" max="12292" width="22.88671875" style="167" customWidth="1"/>
    <col min="12293" max="12293" width="13.109375" style="167" customWidth="1"/>
    <col min="12294" max="12542" width="8.88671875" style="167"/>
    <col min="12543" max="12543" width="19.6640625" style="167" customWidth="1"/>
    <col min="12544" max="12544" width="20.6640625" style="167" customWidth="1"/>
    <col min="12545" max="12545" width="22.88671875" style="167" customWidth="1"/>
    <col min="12546" max="12546" width="18.88671875" style="167" customWidth="1"/>
    <col min="12547" max="12548" width="22.88671875" style="167" customWidth="1"/>
    <col min="12549" max="12549" width="13.109375" style="167" customWidth="1"/>
    <col min="12550" max="12798" width="8.88671875" style="167"/>
    <col min="12799" max="12799" width="19.6640625" style="167" customWidth="1"/>
    <col min="12800" max="12800" width="20.6640625" style="167" customWidth="1"/>
    <col min="12801" max="12801" width="22.88671875" style="167" customWidth="1"/>
    <col min="12802" max="12802" width="18.88671875" style="167" customWidth="1"/>
    <col min="12803" max="12804" width="22.88671875" style="167" customWidth="1"/>
    <col min="12805" max="12805" width="13.109375" style="167" customWidth="1"/>
    <col min="12806" max="13054" width="8.88671875" style="167"/>
    <col min="13055" max="13055" width="19.6640625" style="167" customWidth="1"/>
    <col min="13056" max="13056" width="20.6640625" style="167" customWidth="1"/>
    <col min="13057" max="13057" width="22.88671875" style="167" customWidth="1"/>
    <col min="13058" max="13058" width="18.88671875" style="167" customWidth="1"/>
    <col min="13059" max="13060" width="22.88671875" style="167" customWidth="1"/>
    <col min="13061" max="13061" width="13.109375" style="167" customWidth="1"/>
    <col min="13062" max="13310" width="8.88671875" style="167"/>
    <col min="13311" max="13311" width="19.6640625" style="167" customWidth="1"/>
    <col min="13312" max="13312" width="20.6640625" style="167" customWidth="1"/>
    <col min="13313" max="13313" width="22.88671875" style="167" customWidth="1"/>
    <col min="13314" max="13314" width="18.88671875" style="167" customWidth="1"/>
    <col min="13315" max="13316" width="22.88671875" style="167" customWidth="1"/>
    <col min="13317" max="13317" width="13.109375" style="167" customWidth="1"/>
    <col min="13318" max="13566" width="8.88671875" style="167"/>
    <col min="13567" max="13567" width="19.6640625" style="167" customWidth="1"/>
    <col min="13568" max="13568" width="20.6640625" style="167" customWidth="1"/>
    <col min="13569" max="13569" width="22.88671875" style="167" customWidth="1"/>
    <col min="13570" max="13570" width="18.88671875" style="167" customWidth="1"/>
    <col min="13571" max="13572" width="22.88671875" style="167" customWidth="1"/>
    <col min="13573" max="13573" width="13.109375" style="167" customWidth="1"/>
    <col min="13574" max="13822" width="8.88671875" style="167"/>
    <col min="13823" max="13823" width="19.6640625" style="167" customWidth="1"/>
    <col min="13824" max="13824" width="20.6640625" style="167" customWidth="1"/>
    <col min="13825" max="13825" width="22.88671875" style="167" customWidth="1"/>
    <col min="13826" max="13826" width="18.88671875" style="167" customWidth="1"/>
    <col min="13827" max="13828" width="22.88671875" style="167" customWidth="1"/>
    <col min="13829" max="13829" width="13.109375" style="167" customWidth="1"/>
    <col min="13830" max="14078" width="8.88671875" style="167"/>
    <col min="14079" max="14079" width="19.6640625" style="167" customWidth="1"/>
    <col min="14080" max="14080" width="20.6640625" style="167" customWidth="1"/>
    <col min="14081" max="14081" width="22.88671875" style="167" customWidth="1"/>
    <col min="14082" max="14082" width="18.88671875" style="167" customWidth="1"/>
    <col min="14083" max="14084" width="22.88671875" style="167" customWidth="1"/>
    <col min="14085" max="14085" width="13.109375" style="167" customWidth="1"/>
    <col min="14086" max="14334" width="8.88671875" style="167"/>
    <col min="14335" max="14335" width="19.6640625" style="167" customWidth="1"/>
    <col min="14336" max="14336" width="20.6640625" style="167" customWidth="1"/>
    <col min="14337" max="14337" width="22.88671875" style="167" customWidth="1"/>
    <col min="14338" max="14338" width="18.88671875" style="167" customWidth="1"/>
    <col min="14339" max="14340" width="22.88671875" style="167" customWidth="1"/>
    <col min="14341" max="14341" width="13.109375" style="167" customWidth="1"/>
    <col min="14342" max="14590" width="8.88671875" style="167"/>
    <col min="14591" max="14591" width="19.6640625" style="167" customWidth="1"/>
    <col min="14592" max="14592" width="20.6640625" style="167" customWidth="1"/>
    <col min="14593" max="14593" width="22.88671875" style="167" customWidth="1"/>
    <col min="14594" max="14594" width="18.88671875" style="167" customWidth="1"/>
    <col min="14595" max="14596" width="22.88671875" style="167" customWidth="1"/>
    <col min="14597" max="14597" width="13.109375" style="167" customWidth="1"/>
    <col min="14598" max="14846" width="8.88671875" style="167"/>
    <col min="14847" max="14847" width="19.6640625" style="167" customWidth="1"/>
    <col min="14848" max="14848" width="20.6640625" style="167" customWidth="1"/>
    <col min="14849" max="14849" width="22.88671875" style="167" customWidth="1"/>
    <col min="14850" max="14850" width="18.88671875" style="167" customWidth="1"/>
    <col min="14851" max="14852" width="22.88671875" style="167" customWidth="1"/>
    <col min="14853" max="14853" width="13.109375" style="167" customWidth="1"/>
    <col min="14854" max="15102" width="8.88671875" style="167"/>
    <col min="15103" max="15103" width="19.6640625" style="167" customWidth="1"/>
    <col min="15104" max="15104" width="20.6640625" style="167" customWidth="1"/>
    <col min="15105" max="15105" width="22.88671875" style="167" customWidth="1"/>
    <col min="15106" max="15106" width="18.88671875" style="167" customWidth="1"/>
    <col min="15107" max="15108" width="22.88671875" style="167" customWidth="1"/>
    <col min="15109" max="15109" width="13.109375" style="167" customWidth="1"/>
    <col min="15110" max="15358" width="8.88671875" style="167"/>
    <col min="15359" max="15359" width="19.6640625" style="167" customWidth="1"/>
    <col min="15360" max="15360" width="20.6640625" style="167" customWidth="1"/>
    <col min="15361" max="15361" width="22.88671875" style="167" customWidth="1"/>
    <col min="15362" max="15362" width="18.88671875" style="167" customWidth="1"/>
    <col min="15363" max="15364" width="22.88671875" style="167" customWidth="1"/>
    <col min="15365" max="15365" width="13.109375" style="167" customWidth="1"/>
    <col min="15366" max="15614" width="8.88671875" style="167"/>
    <col min="15615" max="15615" width="19.6640625" style="167" customWidth="1"/>
    <col min="15616" max="15616" width="20.6640625" style="167" customWidth="1"/>
    <col min="15617" max="15617" width="22.88671875" style="167" customWidth="1"/>
    <col min="15618" max="15618" width="18.88671875" style="167" customWidth="1"/>
    <col min="15619" max="15620" width="22.88671875" style="167" customWidth="1"/>
    <col min="15621" max="15621" width="13.109375" style="167" customWidth="1"/>
    <col min="15622" max="15870" width="8.88671875" style="167"/>
    <col min="15871" max="15871" width="19.6640625" style="167" customWidth="1"/>
    <col min="15872" max="15872" width="20.6640625" style="167" customWidth="1"/>
    <col min="15873" max="15873" width="22.88671875" style="167" customWidth="1"/>
    <col min="15874" max="15874" width="18.88671875" style="167" customWidth="1"/>
    <col min="15875" max="15876" width="22.88671875" style="167" customWidth="1"/>
    <col min="15877" max="15877" width="13.109375" style="167" customWidth="1"/>
    <col min="15878" max="16126" width="8.88671875" style="167"/>
    <col min="16127" max="16127" width="19.6640625" style="167" customWidth="1"/>
    <col min="16128" max="16128" width="20.6640625" style="167" customWidth="1"/>
    <col min="16129" max="16129" width="22.88671875" style="167" customWidth="1"/>
    <col min="16130" max="16130" width="18.88671875" style="167" customWidth="1"/>
    <col min="16131" max="16132" width="22.88671875" style="167" customWidth="1"/>
    <col min="16133" max="16133" width="13.109375" style="167" customWidth="1"/>
    <col min="16134" max="16382" width="8.88671875" style="167"/>
    <col min="16383" max="16384" width="10" style="167" customWidth="1"/>
  </cols>
  <sheetData>
    <row r="1" spans="1:7" s="139" customFormat="1" ht="20.100000000000001" customHeight="1">
      <c r="A1" s="474" t="s">
        <v>250</v>
      </c>
      <c r="B1" s="479"/>
      <c r="C1" s="479"/>
      <c r="D1" s="479"/>
      <c r="E1" s="479"/>
      <c r="F1" s="479"/>
      <c r="G1" s="161"/>
    </row>
    <row r="2" spans="1:7" s="139" customFormat="1" ht="25.05" customHeight="1">
      <c r="A2" s="475" t="s">
        <v>260</v>
      </c>
      <c r="B2" s="480"/>
      <c r="C2" s="480"/>
      <c r="D2" s="480"/>
      <c r="E2" s="480"/>
      <c r="F2" s="480"/>
      <c r="G2" s="161"/>
    </row>
    <row r="3" spans="1:7" s="143" customFormat="1" ht="20.100000000000001" customHeight="1">
      <c r="A3" s="140" t="str">
        <f>底稿目录!A2</f>
        <v>被审计单位：</v>
      </c>
      <c r="B3" s="142" t="str">
        <f>底稿目录!A4</f>
        <v>编制人：</v>
      </c>
      <c r="D3" s="144" t="str">
        <f>底稿目录!A5</f>
        <v>编制日期：</v>
      </c>
      <c r="E3" s="145" t="s">
        <v>251</v>
      </c>
      <c r="F3" s="360" t="str">
        <f>底稿目录!F17</f>
        <v>F2-66</v>
      </c>
      <c r="G3" s="146"/>
    </row>
    <row r="4" spans="1:7" s="143" customFormat="1" ht="20.100000000000001" customHeight="1">
      <c r="A4" s="140" t="str">
        <f>底稿目录!A3</f>
        <v>截止日：202X年12月31日</v>
      </c>
      <c r="B4" s="142" t="str">
        <f>底稿目录!A6</f>
        <v>复核人：</v>
      </c>
      <c r="D4" s="144" t="str">
        <f>底稿目录!A7</f>
        <v>复核日期：</v>
      </c>
      <c r="E4" s="145" t="s">
        <v>252</v>
      </c>
      <c r="F4" s="145"/>
      <c r="G4" s="146"/>
    </row>
    <row r="5" spans="1:7" s="143" customFormat="1" ht="20.100000000000001" customHeight="1">
      <c r="A5" s="16" t="s">
        <v>253</v>
      </c>
      <c r="B5" s="142"/>
      <c r="C5" s="142"/>
      <c r="D5" s="144"/>
      <c r="F5" s="145"/>
      <c r="G5" s="146"/>
    </row>
    <row r="6" spans="1:7" s="143" customFormat="1" ht="20.100000000000001" customHeight="1">
      <c r="A6" s="313" t="s">
        <v>387</v>
      </c>
      <c r="B6" s="142"/>
      <c r="C6" s="142"/>
      <c r="D6" s="144"/>
      <c r="F6" s="145"/>
      <c r="G6" s="146"/>
    </row>
    <row r="7" spans="1:7" s="143" customFormat="1" ht="20.100000000000001" customHeight="1">
      <c r="A7" s="147" t="s">
        <v>254</v>
      </c>
      <c r="B7" s="142"/>
      <c r="C7" s="142"/>
      <c r="D7" s="144"/>
      <c r="F7" s="145"/>
      <c r="G7" s="146"/>
    </row>
    <row r="8" spans="1:7" s="143" customFormat="1" ht="20.100000000000001" customHeight="1">
      <c r="A8" s="140" t="s">
        <v>409</v>
      </c>
      <c r="B8" s="142"/>
      <c r="C8" s="142"/>
      <c r="D8" s="144"/>
      <c r="F8" s="145"/>
      <c r="G8" s="146"/>
    </row>
    <row r="9" spans="1:7" s="143" customFormat="1" ht="20.100000000000001" customHeight="1">
      <c r="A9" s="140" t="s">
        <v>410</v>
      </c>
      <c r="B9" s="142"/>
      <c r="C9" s="142"/>
      <c r="D9" s="144"/>
      <c r="F9" s="145"/>
      <c r="G9" s="146"/>
    </row>
    <row r="10" spans="1:7" s="143" customFormat="1" ht="20.100000000000001" customHeight="1">
      <c r="A10" s="389" t="s">
        <v>392</v>
      </c>
      <c r="B10" s="142"/>
      <c r="C10" s="142"/>
      <c r="D10" s="144"/>
      <c r="E10" s="145"/>
      <c r="F10" s="145"/>
      <c r="G10" s="146"/>
    </row>
    <row r="11" spans="1:7" s="143" customFormat="1" ht="16.8" customHeight="1">
      <c r="A11" s="481" t="s">
        <v>255</v>
      </c>
      <c r="B11" s="481" t="s">
        <v>256</v>
      </c>
      <c r="C11" s="483" t="s">
        <v>415</v>
      </c>
      <c r="D11" s="484"/>
      <c r="E11" s="485" t="s">
        <v>257</v>
      </c>
      <c r="F11" s="486"/>
      <c r="G11" s="146"/>
    </row>
    <row r="12" spans="1:7" s="143" customFormat="1" ht="16.8" customHeight="1">
      <c r="A12" s="482"/>
      <c r="B12" s="482"/>
      <c r="C12" s="318" t="s">
        <v>413</v>
      </c>
      <c r="D12" s="318" t="s">
        <v>414</v>
      </c>
      <c r="E12" s="487"/>
      <c r="F12" s="488"/>
      <c r="G12" s="146"/>
    </row>
    <row r="13" spans="1:7" s="162" customFormat="1" ht="20.100000000000001" customHeight="1">
      <c r="A13" s="316" t="s">
        <v>394</v>
      </c>
      <c r="B13" s="319"/>
      <c r="C13" s="319"/>
      <c r="D13" s="319"/>
      <c r="E13" s="477"/>
      <c r="F13" s="478"/>
    </row>
    <row r="14" spans="1:7" s="162" customFormat="1" ht="20.100000000000001" customHeight="1">
      <c r="A14" s="316" t="s">
        <v>395</v>
      </c>
      <c r="B14" s="319"/>
      <c r="C14" s="319"/>
      <c r="D14" s="319"/>
      <c r="E14" s="477"/>
      <c r="F14" s="478"/>
    </row>
    <row r="15" spans="1:7" s="162" customFormat="1" ht="20.100000000000001" customHeight="1">
      <c r="A15" s="316" t="s">
        <v>396</v>
      </c>
      <c r="B15" s="319"/>
      <c r="C15" s="319"/>
      <c r="D15" s="319"/>
      <c r="E15" s="477"/>
      <c r="F15" s="478"/>
    </row>
    <row r="16" spans="1:7" s="162" customFormat="1" ht="20.100000000000001" customHeight="1">
      <c r="A16" s="316" t="s">
        <v>397</v>
      </c>
      <c r="B16" s="319"/>
      <c r="C16" s="319"/>
      <c r="D16" s="319"/>
      <c r="E16" s="477"/>
      <c r="F16" s="478"/>
    </row>
    <row r="17" spans="1:7" s="162" customFormat="1" ht="20.100000000000001" customHeight="1">
      <c r="A17" s="316" t="s">
        <v>398</v>
      </c>
      <c r="B17" s="319"/>
      <c r="C17" s="319"/>
      <c r="D17" s="319"/>
      <c r="E17" s="477"/>
      <c r="F17" s="478"/>
    </row>
    <row r="18" spans="1:7" s="162" customFormat="1" ht="20.100000000000001" customHeight="1">
      <c r="A18" s="316" t="s">
        <v>399</v>
      </c>
      <c r="B18" s="319"/>
      <c r="C18" s="319"/>
      <c r="D18" s="319"/>
      <c r="E18" s="477"/>
      <c r="F18" s="478"/>
    </row>
    <row r="19" spans="1:7" s="162" customFormat="1" ht="20.100000000000001" customHeight="1">
      <c r="A19" s="316" t="s">
        <v>400</v>
      </c>
      <c r="B19" s="319"/>
      <c r="C19" s="319"/>
      <c r="D19" s="319"/>
      <c r="E19" s="477"/>
      <c r="F19" s="478"/>
    </row>
    <row r="20" spans="1:7" s="162" customFormat="1" ht="20.100000000000001" customHeight="1">
      <c r="A20" s="316" t="s">
        <v>401</v>
      </c>
      <c r="B20" s="319"/>
      <c r="C20" s="319"/>
      <c r="D20" s="319"/>
      <c r="E20" s="477"/>
      <c r="F20" s="478"/>
    </row>
    <row r="21" spans="1:7" s="162" customFormat="1" ht="20.100000000000001" customHeight="1">
      <c r="A21" s="316" t="s">
        <v>402</v>
      </c>
      <c r="B21" s="320"/>
      <c r="C21" s="320"/>
      <c r="D21" s="320"/>
      <c r="E21" s="477"/>
      <c r="F21" s="478"/>
    </row>
    <row r="22" spans="1:7" s="163" customFormat="1" ht="20.100000000000001" customHeight="1">
      <c r="A22" s="316" t="s">
        <v>403</v>
      </c>
      <c r="B22" s="320"/>
      <c r="C22" s="320"/>
      <c r="D22" s="320"/>
      <c r="E22" s="477"/>
      <c r="F22" s="478"/>
    </row>
    <row r="23" spans="1:7" s="163" customFormat="1" ht="20.100000000000001" customHeight="1">
      <c r="A23" s="316" t="s">
        <v>404</v>
      </c>
      <c r="B23" s="320"/>
      <c r="C23" s="320"/>
      <c r="D23" s="320"/>
      <c r="E23" s="477"/>
      <c r="F23" s="478"/>
    </row>
    <row r="24" spans="1:7" s="163" customFormat="1" ht="20.100000000000001" customHeight="1">
      <c r="A24" s="316" t="s">
        <v>405</v>
      </c>
      <c r="B24" s="320"/>
      <c r="C24" s="320"/>
      <c r="D24" s="320"/>
      <c r="E24" s="477"/>
      <c r="F24" s="478"/>
    </row>
    <row r="25" spans="1:7" s="143" customFormat="1" ht="20.100000000000001" customHeight="1">
      <c r="A25" s="389" t="s">
        <v>412</v>
      </c>
      <c r="B25" s="142"/>
      <c r="C25" s="142"/>
      <c r="D25" s="144"/>
      <c r="E25" s="145"/>
      <c r="F25" s="145"/>
      <c r="G25" s="146"/>
    </row>
    <row r="26" spans="1:7" s="143" customFormat="1" ht="18" customHeight="1">
      <c r="A26" s="481" t="s">
        <v>255</v>
      </c>
      <c r="B26" s="481" t="s">
        <v>256</v>
      </c>
      <c r="C26" s="483" t="s">
        <v>415</v>
      </c>
      <c r="D26" s="484"/>
      <c r="E26" s="485" t="s">
        <v>257</v>
      </c>
      <c r="F26" s="486"/>
      <c r="G26" s="146"/>
    </row>
    <row r="27" spans="1:7" s="162" customFormat="1" ht="18" customHeight="1">
      <c r="A27" s="482"/>
      <c r="B27" s="482"/>
      <c r="C27" s="318" t="s">
        <v>413</v>
      </c>
      <c r="D27" s="318" t="s">
        <v>414</v>
      </c>
      <c r="E27" s="487"/>
      <c r="F27" s="488"/>
    </row>
    <row r="28" spans="1:7" s="162" customFormat="1" ht="20.100000000000001" customHeight="1">
      <c r="A28" s="316" t="s">
        <v>394</v>
      </c>
      <c r="B28" s="319"/>
      <c r="C28" s="319"/>
      <c r="D28" s="319"/>
      <c r="E28" s="477"/>
      <c r="F28" s="478"/>
    </row>
    <row r="29" spans="1:7" s="162" customFormat="1" ht="20.100000000000001" customHeight="1">
      <c r="A29" s="316" t="s">
        <v>395</v>
      </c>
      <c r="B29" s="319"/>
      <c r="C29" s="319"/>
      <c r="D29" s="319"/>
      <c r="E29" s="477"/>
      <c r="F29" s="478"/>
    </row>
    <row r="30" spans="1:7" s="162" customFormat="1" ht="20.100000000000001" customHeight="1">
      <c r="A30" s="316" t="s">
        <v>396</v>
      </c>
      <c r="B30" s="319"/>
      <c r="C30" s="319"/>
      <c r="D30" s="319"/>
      <c r="E30" s="477"/>
      <c r="F30" s="478"/>
    </row>
    <row r="31" spans="1:7" s="162" customFormat="1" ht="20.100000000000001" customHeight="1">
      <c r="A31" s="316" t="s">
        <v>397</v>
      </c>
      <c r="B31" s="319"/>
      <c r="C31" s="319"/>
      <c r="D31" s="319"/>
      <c r="E31" s="477"/>
      <c r="F31" s="478"/>
    </row>
    <row r="32" spans="1:7" s="162" customFormat="1" ht="20.100000000000001" customHeight="1">
      <c r="A32" s="316" t="s">
        <v>398</v>
      </c>
      <c r="B32" s="319"/>
      <c r="C32" s="319"/>
      <c r="D32" s="319"/>
      <c r="E32" s="477"/>
      <c r="F32" s="478"/>
    </row>
    <row r="33" spans="1:7" s="162" customFormat="1" ht="20.100000000000001" customHeight="1">
      <c r="A33" s="316" t="s">
        <v>399</v>
      </c>
      <c r="B33" s="319"/>
      <c r="C33" s="319"/>
      <c r="D33" s="319"/>
      <c r="E33" s="477"/>
      <c r="F33" s="478"/>
    </row>
    <row r="34" spans="1:7" s="162" customFormat="1" ht="20.100000000000001" customHeight="1">
      <c r="A34" s="316" t="s">
        <v>400</v>
      </c>
      <c r="B34" s="319"/>
      <c r="C34" s="319"/>
      <c r="D34" s="319"/>
      <c r="E34" s="477"/>
      <c r="F34" s="478"/>
    </row>
    <row r="35" spans="1:7" s="162" customFormat="1" ht="20.100000000000001" customHeight="1">
      <c r="A35" s="316" t="s">
        <v>401</v>
      </c>
      <c r="B35" s="319"/>
      <c r="C35" s="319"/>
      <c r="D35" s="319"/>
      <c r="E35" s="477"/>
      <c r="F35" s="478"/>
    </row>
    <row r="36" spans="1:7" s="162" customFormat="1" ht="20.100000000000001" customHeight="1">
      <c r="A36" s="316" t="s">
        <v>402</v>
      </c>
      <c r="B36" s="320"/>
      <c r="C36" s="320"/>
      <c r="D36" s="320"/>
      <c r="E36" s="477"/>
      <c r="F36" s="478"/>
    </row>
    <row r="37" spans="1:7" s="163" customFormat="1" ht="20.100000000000001" customHeight="1">
      <c r="A37" s="316" t="s">
        <v>403</v>
      </c>
      <c r="B37" s="320"/>
      <c r="C37" s="320"/>
      <c r="D37" s="320"/>
      <c r="E37" s="477"/>
      <c r="F37" s="478"/>
    </row>
    <row r="38" spans="1:7" s="163" customFormat="1" ht="20.100000000000001" customHeight="1">
      <c r="A38" s="316" t="s">
        <v>404</v>
      </c>
      <c r="B38" s="320"/>
      <c r="C38" s="320"/>
      <c r="D38" s="320"/>
      <c r="E38" s="477"/>
      <c r="F38" s="478"/>
    </row>
    <row r="39" spans="1:7" s="163" customFormat="1" ht="20.100000000000001" customHeight="1">
      <c r="A39" s="316" t="s">
        <v>405</v>
      </c>
      <c r="B39" s="320"/>
      <c r="C39" s="320"/>
      <c r="D39" s="320"/>
      <c r="E39" s="477"/>
      <c r="F39" s="478"/>
    </row>
    <row r="40" spans="1:7" s="153" customFormat="1" ht="20.100000000000001" customHeight="1">
      <c r="A40" s="156" t="s">
        <v>258</v>
      </c>
      <c r="B40" s="164"/>
      <c r="C40" s="164"/>
      <c r="D40" s="165"/>
      <c r="E40" s="166"/>
      <c r="F40" s="166"/>
      <c r="G40" s="160"/>
    </row>
    <row r="41" spans="1:7" s="153" customFormat="1" ht="20.100000000000001" customHeight="1">
      <c r="B41" s="164"/>
      <c r="C41" s="164"/>
      <c r="D41" s="165"/>
      <c r="E41" s="166"/>
      <c r="F41" s="166"/>
      <c r="G41" s="160"/>
    </row>
    <row r="42" spans="1:7" s="153" customFormat="1" ht="20.100000000000001" customHeight="1">
      <c r="B42" s="164"/>
      <c r="C42" s="164"/>
      <c r="D42" s="165"/>
      <c r="E42" s="166"/>
      <c r="F42" s="166"/>
      <c r="G42" s="160"/>
    </row>
    <row r="43" spans="1:7" s="153" customFormat="1" ht="20.100000000000001" customHeight="1">
      <c r="A43" s="156" t="s">
        <v>259</v>
      </c>
      <c r="B43" s="164"/>
      <c r="C43" s="164"/>
      <c r="D43" s="165"/>
      <c r="E43" s="166"/>
      <c r="F43" s="166"/>
      <c r="G43" s="160"/>
    </row>
    <row r="44" spans="1:7" s="163" customFormat="1" ht="20.100000000000001" customHeight="1"/>
    <row r="45" spans="1:7">
      <c r="A45" s="314" t="s">
        <v>389</v>
      </c>
    </row>
    <row r="46" spans="1:7">
      <c r="A46" s="315" t="s">
        <v>249</v>
      </c>
    </row>
  </sheetData>
  <mergeCells count="34">
    <mergeCell ref="E39:F39"/>
    <mergeCell ref="E28:F28"/>
    <mergeCell ref="E29:F29"/>
    <mergeCell ref="E30:F30"/>
    <mergeCell ref="E31:F31"/>
    <mergeCell ref="E32:F32"/>
    <mergeCell ref="E33:F33"/>
    <mergeCell ref="E34:F34"/>
    <mergeCell ref="E35:F35"/>
    <mergeCell ref="E36:F36"/>
    <mergeCell ref="E37:F37"/>
    <mergeCell ref="E38:F38"/>
    <mergeCell ref="E22:F22"/>
    <mergeCell ref="E23:F23"/>
    <mergeCell ref="E24:F24"/>
    <mergeCell ref="A26:A27"/>
    <mergeCell ref="E26:F27"/>
    <mergeCell ref="B26:B27"/>
    <mergeCell ref="C26:D26"/>
    <mergeCell ref="E21:F21"/>
    <mergeCell ref="A1:F1"/>
    <mergeCell ref="A2:F2"/>
    <mergeCell ref="E13:F13"/>
    <mergeCell ref="E14:F14"/>
    <mergeCell ref="E15:F15"/>
    <mergeCell ref="E16:F16"/>
    <mergeCell ref="E17:F17"/>
    <mergeCell ref="E18:F18"/>
    <mergeCell ref="E19:F19"/>
    <mergeCell ref="E20:F20"/>
    <mergeCell ref="A11:A12"/>
    <mergeCell ref="B11:B12"/>
    <mergeCell ref="C11:D11"/>
    <mergeCell ref="E11:F12"/>
  </mergeCells>
  <phoneticPr fontId="6" type="noConversion"/>
  <hyperlinks>
    <hyperlink ref="F3" location="底稿目录!A1" display="底稿目录!A1"/>
  </hyperlinks>
  <printOptions horizontalCentered="1"/>
  <pageMargins left="0.70866141732283472" right="0.70866141732283472" top="0.74803149606299213" bottom="0.74803149606299213" header="0.31496062992125984" footer="0.31496062992125984"/>
  <pageSetup paperSize="9" scale="85" fitToHeight="0" orientation="portrait" blackAndWhite="1"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T45"/>
  <sheetViews>
    <sheetView view="pageBreakPreview" zoomScaleSheetLayoutView="100" workbookViewId="0">
      <selection sqref="A1:R1"/>
    </sheetView>
  </sheetViews>
  <sheetFormatPr defaultColWidth="10" defaultRowHeight="13.8"/>
  <cols>
    <col min="1" max="1" width="5.5546875" style="168" bestFit="1" customWidth="1"/>
    <col min="2" max="2" width="7.44140625" style="168" customWidth="1"/>
    <col min="3" max="3" width="6.44140625" style="170" customWidth="1"/>
    <col min="4" max="4" width="8" style="168" customWidth="1"/>
    <col min="5" max="5" width="7.5546875" style="168" customWidth="1"/>
    <col min="6" max="6" width="6.109375" style="170" customWidth="1"/>
    <col min="7" max="7" width="6.109375" style="168" customWidth="1"/>
    <col min="8" max="8" width="6.109375" style="170" customWidth="1"/>
    <col min="9" max="11" width="6.109375" style="168" customWidth="1"/>
    <col min="12" max="12" width="5.33203125" style="168" customWidth="1"/>
    <col min="13" max="13" width="5.5546875" style="171" bestFit="1" customWidth="1"/>
    <col min="14" max="14" width="16.88671875" style="174" customWidth="1"/>
    <col min="15" max="15" width="12.33203125" style="174" customWidth="1"/>
    <col min="16" max="16" width="9.77734375" style="175" customWidth="1"/>
    <col min="17" max="17" width="18.44140625" style="168" customWidth="1"/>
    <col min="18" max="18" width="10.77734375" style="168" customWidth="1"/>
    <col min="19" max="16384" width="10" style="168"/>
  </cols>
  <sheetData>
    <row r="1" spans="1:20" ht="20.100000000000001" customHeight="1">
      <c r="A1" s="490" t="s">
        <v>427</v>
      </c>
      <c r="B1" s="490"/>
      <c r="C1" s="491"/>
      <c r="D1" s="490"/>
      <c r="E1" s="491"/>
      <c r="F1" s="491"/>
      <c r="G1" s="490"/>
      <c r="H1" s="491"/>
      <c r="I1" s="490"/>
      <c r="J1" s="490"/>
      <c r="K1" s="490"/>
      <c r="L1" s="490"/>
      <c r="M1" s="490"/>
      <c r="N1" s="490"/>
      <c r="O1" s="490"/>
      <c r="P1" s="490"/>
      <c r="Q1" s="490"/>
      <c r="R1" s="490"/>
    </row>
    <row r="2" spans="1:20" s="169" customFormat="1" ht="25.05" customHeight="1">
      <c r="A2" s="492" t="s">
        <v>425</v>
      </c>
      <c r="B2" s="492"/>
      <c r="C2" s="493"/>
      <c r="D2" s="492"/>
      <c r="E2" s="494"/>
      <c r="F2" s="493"/>
      <c r="G2" s="492"/>
      <c r="H2" s="493"/>
      <c r="I2" s="492"/>
      <c r="J2" s="492"/>
      <c r="K2" s="492"/>
      <c r="L2" s="492"/>
      <c r="M2" s="492"/>
      <c r="N2" s="493"/>
      <c r="O2" s="493"/>
      <c r="P2" s="492"/>
      <c r="Q2" s="492"/>
      <c r="R2" s="492"/>
    </row>
    <row r="3" spans="1:20" ht="20.100000000000001" customHeight="1">
      <c r="A3" s="20" t="str">
        <f>底稿目录!A2</f>
        <v>被审计单位：</v>
      </c>
      <c r="B3" s="21"/>
      <c r="C3" s="89"/>
      <c r="D3" s="89"/>
      <c r="E3" s="89"/>
      <c r="I3" s="20" t="str">
        <f>底稿目录!A4</f>
        <v>编制人：</v>
      </c>
      <c r="J3" s="91"/>
      <c r="N3" s="20" t="str">
        <f>底稿目录!A5</f>
        <v>编制日期：</v>
      </c>
      <c r="O3" s="172"/>
      <c r="P3" s="168"/>
      <c r="Q3" s="173" t="s">
        <v>261</v>
      </c>
      <c r="R3" s="360" t="str">
        <f>底稿目录!F18</f>
        <v>F2-67</v>
      </c>
    </row>
    <row r="4" spans="1:20" ht="20.100000000000001" customHeight="1">
      <c r="A4" s="20" t="str">
        <f>底稿目录!A3</f>
        <v>截止日：202X年12月31日</v>
      </c>
      <c r="B4" s="21"/>
      <c r="C4" s="89"/>
      <c r="D4" s="89"/>
      <c r="E4" s="89"/>
      <c r="I4" s="15" t="str">
        <f>底稿目录!A6</f>
        <v>复核人：</v>
      </c>
      <c r="J4" s="91"/>
      <c r="N4" s="15" t="str">
        <f>底稿目录!A7</f>
        <v>复核日期：</v>
      </c>
      <c r="O4" s="172"/>
      <c r="P4" s="168"/>
      <c r="Q4" s="173" t="s">
        <v>262</v>
      </c>
    </row>
    <row r="5" spans="1:20" ht="20.100000000000001" customHeight="1">
      <c r="A5" s="169" t="s">
        <v>263</v>
      </c>
    </row>
    <row r="6" spans="1:20" ht="20.100000000000001" customHeight="1">
      <c r="A6" s="176" t="s">
        <v>675</v>
      </c>
    </row>
    <row r="7" spans="1:20" s="169" customFormat="1" ht="20.100000000000001" customHeight="1">
      <c r="A7" s="169" t="s">
        <v>264</v>
      </c>
      <c r="C7" s="170"/>
      <c r="F7" s="170"/>
      <c r="H7" s="170"/>
      <c r="M7" s="177"/>
      <c r="N7" s="174"/>
      <c r="O7" s="174"/>
      <c r="P7" s="178"/>
    </row>
    <row r="8" spans="1:20" s="169" customFormat="1" ht="20.100000000000001" customHeight="1">
      <c r="A8" s="394" t="s">
        <v>676</v>
      </c>
      <c r="B8" s="395"/>
      <c r="C8" s="396"/>
      <c r="D8" s="396"/>
      <c r="E8" s="396"/>
      <c r="F8" s="396"/>
      <c r="G8" s="396"/>
      <c r="H8" s="396"/>
      <c r="I8" s="396"/>
      <c r="J8" s="396"/>
      <c r="K8" s="396"/>
      <c r="L8" s="396"/>
      <c r="M8" s="396"/>
      <c r="N8" s="396"/>
      <c r="O8" s="396"/>
      <c r="P8" s="396"/>
      <c r="Q8" s="396"/>
      <c r="R8" s="396"/>
    </row>
    <row r="9" spans="1:20" s="169" customFormat="1" ht="29.4" customHeight="1">
      <c r="A9" s="489" t="s">
        <v>678</v>
      </c>
      <c r="B9" s="489"/>
      <c r="C9" s="489"/>
      <c r="D9" s="489"/>
      <c r="E9" s="489"/>
      <c r="F9" s="489"/>
      <c r="G9" s="489"/>
      <c r="H9" s="489"/>
      <c r="I9" s="489"/>
      <c r="J9" s="489"/>
      <c r="K9" s="489"/>
      <c r="L9" s="489"/>
      <c r="M9" s="489"/>
      <c r="N9" s="489"/>
      <c r="O9" s="489"/>
      <c r="P9" s="489"/>
      <c r="Q9" s="489"/>
      <c r="R9" s="489"/>
    </row>
    <row r="10" spans="1:20" s="169" customFormat="1" ht="20.100000000000001" customHeight="1">
      <c r="A10" s="394" t="s">
        <v>679</v>
      </c>
      <c r="B10" s="395"/>
      <c r="C10" s="396"/>
      <c r="D10" s="396"/>
      <c r="E10" s="396"/>
      <c r="F10" s="396"/>
      <c r="G10" s="396"/>
      <c r="H10" s="396"/>
      <c r="I10" s="396"/>
      <c r="J10" s="396"/>
      <c r="K10" s="396"/>
      <c r="L10" s="396"/>
      <c r="M10" s="396"/>
      <c r="N10" s="396"/>
      <c r="O10" s="396"/>
      <c r="P10" s="396"/>
      <c r="Q10" s="396"/>
      <c r="R10" s="396"/>
    </row>
    <row r="11" spans="1:20" s="169" customFormat="1" ht="28.8" customHeight="1">
      <c r="A11" s="489" t="s">
        <v>680</v>
      </c>
      <c r="B11" s="489"/>
      <c r="C11" s="489"/>
      <c r="D11" s="489"/>
      <c r="E11" s="489"/>
      <c r="F11" s="489"/>
      <c r="G11" s="489"/>
      <c r="H11" s="489"/>
      <c r="I11" s="489"/>
      <c r="J11" s="489"/>
      <c r="K11" s="489"/>
      <c r="L11" s="489"/>
      <c r="M11" s="489"/>
      <c r="N11" s="489"/>
      <c r="O11" s="489"/>
      <c r="P11" s="489"/>
      <c r="Q11" s="489"/>
      <c r="R11" s="489"/>
      <c r="T11" s="179"/>
    </row>
    <row r="12" spans="1:20" s="169" customFormat="1" ht="30" customHeight="1">
      <c r="A12" s="489" t="s">
        <v>681</v>
      </c>
      <c r="B12" s="489"/>
      <c r="C12" s="489"/>
      <c r="D12" s="489"/>
      <c r="E12" s="489"/>
      <c r="F12" s="489"/>
      <c r="G12" s="489"/>
      <c r="H12" s="489"/>
      <c r="I12" s="489"/>
      <c r="J12" s="489"/>
      <c r="K12" s="489"/>
      <c r="L12" s="489"/>
      <c r="M12" s="489"/>
      <c r="N12" s="489"/>
      <c r="O12" s="489"/>
      <c r="P12" s="489"/>
      <c r="Q12" s="489"/>
      <c r="R12" s="489"/>
    </row>
    <row r="13" spans="1:20" s="169" customFormat="1" ht="25.8" customHeight="1">
      <c r="A13" s="489" t="s">
        <v>682</v>
      </c>
      <c r="B13" s="489"/>
      <c r="C13" s="489"/>
      <c r="D13" s="489"/>
      <c r="E13" s="489"/>
      <c r="F13" s="489"/>
      <c r="G13" s="489"/>
      <c r="H13" s="489"/>
      <c r="I13" s="489"/>
      <c r="J13" s="489"/>
      <c r="K13" s="489"/>
      <c r="L13" s="489"/>
      <c r="M13" s="489"/>
      <c r="N13" s="489"/>
      <c r="O13" s="489"/>
      <c r="P13" s="489"/>
      <c r="Q13" s="489"/>
      <c r="R13" s="489"/>
    </row>
    <row r="14" spans="1:20" s="179" customFormat="1" ht="39" customHeight="1">
      <c r="A14" s="322" t="s">
        <v>435</v>
      </c>
      <c r="B14" s="322" t="s">
        <v>430</v>
      </c>
      <c r="C14" s="322" t="s">
        <v>436</v>
      </c>
      <c r="D14" s="322" t="s">
        <v>437</v>
      </c>
      <c r="E14" s="322" t="s">
        <v>439</v>
      </c>
      <c r="F14" s="322" t="s">
        <v>431</v>
      </c>
      <c r="G14" s="322" t="s">
        <v>440</v>
      </c>
      <c r="H14" s="322" t="s">
        <v>432</v>
      </c>
      <c r="I14" s="322" t="s">
        <v>438</v>
      </c>
      <c r="J14" s="322" t="s">
        <v>441</v>
      </c>
      <c r="K14" s="322" t="s">
        <v>433</v>
      </c>
      <c r="L14" s="322" t="s">
        <v>265</v>
      </c>
      <c r="M14" s="322" t="s">
        <v>3</v>
      </c>
      <c r="N14" s="322" t="s">
        <v>442</v>
      </c>
      <c r="O14" s="322" t="s">
        <v>443</v>
      </c>
      <c r="P14" s="11" t="s">
        <v>434</v>
      </c>
      <c r="Q14" s="322" t="s">
        <v>444</v>
      </c>
      <c r="R14" s="322" t="s">
        <v>445</v>
      </c>
    </row>
    <row r="15" spans="1:20" ht="20.100000000000001" customHeight="1">
      <c r="A15" s="180">
        <v>1</v>
      </c>
      <c r="B15" s="181" t="s">
        <v>266</v>
      </c>
      <c r="C15" s="182"/>
      <c r="D15" s="183">
        <v>1</v>
      </c>
      <c r="E15" s="183"/>
      <c r="F15" s="182"/>
      <c r="G15" s="183"/>
      <c r="H15" s="182"/>
      <c r="I15" s="183"/>
      <c r="J15" s="183">
        <v>1</v>
      </c>
      <c r="K15" s="183"/>
      <c r="L15" s="183"/>
      <c r="M15" s="183">
        <f>SUM(C15:L15)</f>
        <v>2</v>
      </c>
      <c r="N15" s="184" t="s">
        <v>267</v>
      </c>
      <c r="O15" s="184" t="s">
        <v>268</v>
      </c>
      <c r="P15" s="185">
        <v>942.91</v>
      </c>
      <c r="Q15" s="186"/>
      <c r="R15" s="187"/>
    </row>
    <row r="16" spans="1:20" ht="20.100000000000001" customHeight="1">
      <c r="A16" s="180">
        <v>2</v>
      </c>
      <c r="B16" s="181" t="s">
        <v>269</v>
      </c>
      <c r="C16" s="182">
        <v>1</v>
      </c>
      <c r="D16" s="183"/>
      <c r="E16" s="183"/>
      <c r="F16" s="182"/>
      <c r="G16" s="183">
        <v>1</v>
      </c>
      <c r="H16" s="182"/>
      <c r="I16" s="183"/>
      <c r="J16" s="183"/>
      <c r="K16" s="183"/>
      <c r="L16" s="183"/>
      <c r="M16" s="183">
        <f t="shared" ref="M16" si="0">SUM(C16:L16)</f>
        <v>2</v>
      </c>
      <c r="N16" s="184" t="s">
        <v>267</v>
      </c>
      <c r="O16" s="184" t="s">
        <v>270</v>
      </c>
      <c r="P16" s="185">
        <v>557.16</v>
      </c>
      <c r="Q16" s="186"/>
      <c r="R16" s="187"/>
    </row>
    <row r="17" spans="1:18" ht="20.100000000000001" customHeight="1">
      <c r="A17" s="180">
        <v>3</v>
      </c>
      <c r="B17" s="187"/>
      <c r="C17" s="188"/>
      <c r="D17" s="189"/>
      <c r="E17" s="189"/>
      <c r="F17" s="188"/>
      <c r="G17" s="189"/>
      <c r="H17" s="188"/>
      <c r="I17" s="189"/>
      <c r="J17" s="189"/>
      <c r="K17" s="189"/>
      <c r="L17" s="189"/>
      <c r="M17" s="189"/>
      <c r="N17" s="190"/>
      <c r="O17" s="190"/>
      <c r="P17" s="191"/>
      <c r="Q17" s="192"/>
      <c r="R17" s="187"/>
    </row>
    <row r="18" spans="1:18" ht="20.100000000000001" customHeight="1">
      <c r="A18" s="180">
        <v>4</v>
      </c>
      <c r="B18" s="187"/>
      <c r="C18" s="188"/>
      <c r="D18" s="189"/>
      <c r="E18" s="189"/>
      <c r="F18" s="188"/>
      <c r="G18" s="189"/>
      <c r="H18" s="188"/>
      <c r="I18" s="189"/>
      <c r="J18" s="189"/>
      <c r="K18" s="189"/>
      <c r="L18" s="189"/>
      <c r="M18" s="189"/>
      <c r="N18" s="190"/>
      <c r="O18" s="190"/>
      <c r="P18" s="191"/>
      <c r="Q18" s="192"/>
      <c r="R18" s="187"/>
    </row>
    <row r="19" spans="1:18" ht="20.100000000000001" customHeight="1">
      <c r="A19" s="180">
        <v>5</v>
      </c>
      <c r="B19" s="187"/>
      <c r="C19" s="188"/>
      <c r="D19" s="189"/>
      <c r="E19" s="189"/>
      <c r="F19" s="188"/>
      <c r="G19" s="189"/>
      <c r="H19" s="188"/>
      <c r="I19" s="189"/>
      <c r="J19" s="189"/>
      <c r="K19" s="189"/>
      <c r="L19" s="189"/>
      <c r="M19" s="189"/>
      <c r="N19" s="190"/>
      <c r="O19" s="190"/>
      <c r="P19" s="191"/>
      <c r="Q19" s="192"/>
      <c r="R19" s="187"/>
    </row>
    <row r="20" spans="1:18" ht="20.100000000000001" customHeight="1">
      <c r="A20" s="180">
        <v>6</v>
      </c>
      <c r="B20" s="187"/>
      <c r="C20" s="188"/>
      <c r="D20" s="189"/>
      <c r="E20" s="189"/>
      <c r="F20" s="188"/>
      <c r="G20" s="189"/>
      <c r="H20" s="188"/>
      <c r="I20" s="189"/>
      <c r="J20" s="189"/>
      <c r="K20" s="189"/>
      <c r="L20" s="189"/>
      <c r="M20" s="189"/>
      <c r="N20" s="190"/>
      <c r="O20" s="190"/>
      <c r="P20" s="191"/>
      <c r="Q20" s="192"/>
      <c r="R20" s="187"/>
    </row>
    <row r="21" spans="1:18" ht="20.100000000000001" customHeight="1">
      <c r="A21" s="180">
        <v>7</v>
      </c>
      <c r="B21" s="187"/>
      <c r="C21" s="188"/>
      <c r="D21" s="189"/>
      <c r="E21" s="189"/>
      <c r="F21" s="188"/>
      <c r="G21" s="189"/>
      <c r="H21" s="188"/>
      <c r="I21" s="189"/>
      <c r="J21" s="189"/>
      <c r="K21" s="189"/>
      <c r="L21" s="189"/>
      <c r="M21" s="189"/>
      <c r="N21" s="190"/>
      <c r="O21" s="190"/>
      <c r="P21" s="191"/>
      <c r="Q21" s="192"/>
      <c r="R21" s="187"/>
    </row>
    <row r="22" spans="1:18" ht="20.100000000000001" customHeight="1">
      <c r="A22" s="180">
        <v>8</v>
      </c>
      <c r="B22" s="187"/>
      <c r="C22" s="188"/>
      <c r="D22" s="189"/>
      <c r="E22" s="189"/>
      <c r="F22" s="188"/>
      <c r="G22" s="189"/>
      <c r="H22" s="188"/>
      <c r="I22" s="189"/>
      <c r="J22" s="189"/>
      <c r="K22" s="189"/>
      <c r="L22" s="189"/>
      <c r="M22" s="189"/>
      <c r="N22" s="190"/>
      <c r="O22" s="190"/>
      <c r="P22" s="191"/>
      <c r="Q22" s="192"/>
      <c r="R22" s="187"/>
    </row>
    <row r="23" spans="1:18" ht="20.100000000000001" customHeight="1">
      <c r="A23" s="180">
        <v>9</v>
      </c>
      <c r="B23" s="187"/>
      <c r="C23" s="188"/>
      <c r="D23" s="189"/>
      <c r="E23" s="189"/>
      <c r="F23" s="188"/>
      <c r="G23" s="189"/>
      <c r="H23" s="188"/>
      <c r="I23" s="189"/>
      <c r="J23" s="189"/>
      <c r="K23" s="189"/>
      <c r="L23" s="189"/>
      <c r="M23" s="189"/>
      <c r="N23" s="190"/>
      <c r="O23" s="190"/>
      <c r="P23" s="191"/>
      <c r="Q23" s="192"/>
      <c r="R23" s="187"/>
    </row>
    <row r="24" spans="1:18" ht="20.100000000000001" customHeight="1">
      <c r="A24" s="180">
        <v>10</v>
      </c>
      <c r="B24" s="187"/>
      <c r="C24" s="188"/>
      <c r="D24" s="189"/>
      <c r="E24" s="189"/>
      <c r="F24" s="188"/>
      <c r="G24" s="189"/>
      <c r="H24" s="188"/>
      <c r="I24" s="189"/>
      <c r="J24" s="189"/>
      <c r="K24" s="189"/>
      <c r="L24" s="189"/>
      <c r="M24" s="189"/>
      <c r="N24" s="190"/>
      <c r="O24" s="190"/>
      <c r="P24" s="191"/>
      <c r="Q24" s="192"/>
      <c r="R24" s="187"/>
    </row>
    <row r="25" spans="1:18" ht="20.100000000000001" customHeight="1">
      <c r="A25" s="180"/>
      <c r="B25" s="187"/>
      <c r="C25" s="188"/>
      <c r="D25" s="189"/>
      <c r="E25" s="189"/>
      <c r="F25" s="188"/>
      <c r="G25" s="189"/>
      <c r="H25" s="188"/>
      <c r="I25" s="189"/>
      <c r="J25" s="189"/>
      <c r="K25" s="189"/>
      <c r="L25" s="189"/>
      <c r="M25" s="189"/>
      <c r="N25" s="190"/>
      <c r="O25" s="190"/>
      <c r="P25" s="191"/>
      <c r="Q25" s="192"/>
      <c r="R25" s="187"/>
    </row>
    <row r="26" spans="1:18" ht="20.100000000000001" customHeight="1">
      <c r="A26" s="180"/>
      <c r="B26" s="187"/>
      <c r="C26" s="188"/>
      <c r="D26" s="189"/>
      <c r="E26" s="189"/>
      <c r="F26" s="188"/>
      <c r="G26" s="189"/>
      <c r="H26" s="188"/>
      <c r="I26" s="189"/>
      <c r="J26" s="189"/>
      <c r="K26" s="189"/>
      <c r="L26" s="189"/>
      <c r="M26" s="189"/>
      <c r="N26" s="190"/>
      <c r="O26" s="190"/>
      <c r="P26" s="191"/>
      <c r="Q26" s="192"/>
      <c r="R26" s="187"/>
    </row>
    <row r="27" spans="1:18" ht="20.100000000000001" customHeight="1">
      <c r="A27" s="193" t="s">
        <v>271</v>
      </c>
      <c r="B27" s="194"/>
      <c r="C27" s="195"/>
      <c r="D27" s="194"/>
      <c r="E27" s="194"/>
      <c r="F27" s="195"/>
      <c r="G27" s="194"/>
      <c r="H27" s="195"/>
      <c r="I27" s="194"/>
      <c r="J27" s="194"/>
      <c r="K27" s="194"/>
      <c r="L27" s="194"/>
      <c r="M27" s="196"/>
      <c r="N27" s="197"/>
      <c r="O27" s="197"/>
      <c r="P27" s="198"/>
      <c r="Q27" s="194"/>
      <c r="R27" s="194"/>
    </row>
    <row r="28" spans="1:18" ht="20.100000000000001" customHeight="1">
      <c r="A28" s="200" t="s">
        <v>422</v>
      </c>
      <c r="C28" s="196"/>
      <c r="D28" s="199"/>
      <c r="E28" s="199"/>
      <c r="F28" s="196"/>
      <c r="G28" s="199"/>
      <c r="H28" s="196"/>
      <c r="I28" s="199"/>
      <c r="J28" s="199"/>
      <c r="K28" s="199"/>
      <c r="L28" s="199"/>
      <c r="M28" s="199"/>
      <c r="N28" s="196"/>
      <c r="O28" s="196"/>
      <c r="P28" s="199"/>
      <c r="Q28" s="199"/>
      <c r="R28" s="199"/>
    </row>
    <row r="29" spans="1:18" ht="20.100000000000001" customHeight="1">
      <c r="A29" s="200" t="s">
        <v>419</v>
      </c>
      <c r="C29" s="195"/>
      <c r="D29" s="194"/>
      <c r="E29" s="194"/>
      <c r="F29" s="195"/>
      <c r="G29" s="194"/>
      <c r="H29" s="195"/>
      <c r="I29" s="194"/>
      <c r="J29" s="194"/>
      <c r="K29" s="194"/>
      <c r="L29" s="194"/>
      <c r="M29" s="196"/>
      <c r="N29" s="197"/>
      <c r="O29" s="197"/>
      <c r="P29" s="198"/>
      <c r="Q29" s="194"/>
      <c r="R29" s="194"/>
    </row>
    <row r="30" spans="1:18" ht="20.100000000000001" customHeight="1">
      <c r="A30" s="200" t="s">
        <v>423</v>
      </c>
      <c r="C30" s="195"/>
      <c r="D30" s="194"/>
      <c r="E30" s="194"/>
      <c r="F30" s="195"/>
      <c r="G30" s="194"/>
      <c r="H30" s="195"/>
      <c r="I30" s="194"/>
      <c r="J30" s="194"/>
      <c r="K30" s="194"/>
      <c r="L30" s="194"/>
      <c r="M30" s="196"/>
      <c r="N30" s="197"/>
      <c r="O30" s="197"/>
      <c r="P30" s="198"/>
      <c r="Q30" s="194"/>
      <c r="R30" s="194"/>
    </row>
    <row r="31" spans="1:18" ht="20.100000000000001" customHeight="1">
      <c r="A31" s="200" t="s">
        <v>420</v>
      </c>
      <c r="C31" s="195"/>
      <c r="D31" s="194"/>
      <c r="E31" s="194"/>
      <c r="F31" s="195"/>
      <c r="G31" s="194"/>
      <c r="H31" s="195"/>
      <c r="I31" s="194"/>
      <c r="J31" s="194"/>
      <c r="K31" s="194"/>
      <c r="L31" s="194"/>
      <c r="M31" s="196"/>
      <c r="N31" s="197"/>
      <c r="O31" s="197"/>
      <c r="P31" s="198"/>
      <c r="Q31" s="194"/>
      <c r="R31" s="194"/>
    </row>
    <row r="32" spans="1:18" ht="20.100000000000001" customHeight="1">
      <c r="A32" s="200" t="s">
        <v>417</v>
      </c>
      <c r="C32" s="195"/>
      <c r="D32" s="194"/>
      <c r="E32" s="194"/>
      <c r="F32" s="195"/>
      <c r="G32" s="194"/>
      <c r="H32" s="195"/>
      <c r="I32" s="194"/>
      <c r="J32" s="194"/>
      <c r="K32" s="194"/>
      <c r="L32" s="194"/>
      <c r="M32" s="196"/>
      <c r="N32" s="197"/>
      <c r="O32" s="197"/>
      <c r="P32" s="198"/>
      <c r="Q32" s="194"/>
      <c r="R32" s="194"/>
    </row>
    <row r="33" spans="1:18" ht="20.100000000000001" customHeight="1">
      <c r="A33" s="200" t="s">
        <v>421</v>
      </c>
      <c r="C33" s="195"/>
      <c r="D33" s="194"/>
      <c r="E33" s="194"/>
      <c r="F33" s="195"/>
      <c r="G33" s="194"/>
      <c r="H33" s="195"/>
      <c r="I33" s="194"/>
      <c r="J33" s="194"/>
      <c r="K33" s="194"/>
      <c r="L33" s="194"/>
      <c r="M33" s="196"/>
      <c r="N33" s="197"/>
      <c r="O33" s="197"/>
      <c r="P33" s="198"/>
      <c r="Q33" s="194"/>
      <c r="R33" s="194"/>
    </row>
    <row r="34" spans="1:18" ht="20.100000000000001" customHeight="1">
      <c r="A34" s="200" t="s">
        <v>424</v>
      </c>
      <c r="C34" s="195"/>
      <c r="D34" s="194"/>
      <c r="E34" s="194"/>
      <c r="F34" s="195"/>
      <c r="G34" s="194"/>
      <c r="H34" s="195"/>
      <c r="I34" s="194"/>
      <c r="J34" s="194"/>
      <c r="K34" s="194"/>
      <c r="L34" s="194"/>
      <c r="M34" s="196"/>
      <c r="N34" s="197"/>
      <c r="O34" s="197"/>
      <c r="P34" s="198"/>
      <c r="Q34" s="194"/>
      <c r="R34" s="194"/>
    </row>
    <row r="35" spans="1:18" ht="20.100000000000001" customHeight="1">
      <c r="A35" s="200" t="s">
        <v>418</v>
      </c>
      <c r="C35" s="195"/>
      <c r="D35" s="194"/>
      <c r="E35" s="194"/>
      <c r="F35" s="195"/>
      <c r="G35" s="194"/>
      <c r="H35" s="195"/>
      <c r="I35" s="194"/>
      <c r="J35" s="194"/>
      <c r="K35" s="194"/>
      <c r="L35" s="194"/>
      <c r="M35" s="196"/>
      <c r="N35" s="197"/>
      <c r="O35" s="197"/>
      <c r="P35" s="198"/>
      <c r="Q35" s="194"/>
      <c r="R35" s="194"/>
    </row>
    <row r="36" spans="1:18" ht="20.100000000000001" customHeight="1">
      <c r="A36" s="201" t="s">
        <v>272</v>
      </c>
      <c r="B36" s="194"/>
      <c r="C36" s="195"/>
      <c r="D36" s="194"/>
      <c r="E36" s="194"/>
      <c r="F36" s="195"/>
      <c r="G36" s="194"/>
      <c r="H36" s="195"/>
      <c r="I36" s="194"/>
      <c r="J36" s="194"/>
      <c r="K36" s="194"/>
      <c r="L36" s="194"/>
      <c r="M36" s="196"/>
      <c r="N36" s="197"/>
      <c r="O36" s="197"/>
      <c r="P36" s="198"/>
      <c r="Q36" s="194"/>
      <c r="R36" s="194"/>
    </row>
    <row r="37" spans="1:18" ht="20.100000000000001" customHeight="1">
      <c r="A37" s="200" t="s">
        <v>273</v>
      </c>
      <c r="B37" s="200"/>
      <c r="C37" s="195"/>
      <c r="D37" s="194"/>
      <c r="E37" s="194"/>
      <c r="F37" s="195"/>
      <c r="G37" s="194"/>
      <c r="H37" s="195"/>
      <c r="I37" s="194"/>
      <c r="J37" s="194"/>
      <c r="K37" s="194"/>
      <c r="L37" s="194"/>
      <c r="M37" s="196"/>
      <c r="N37" s="197"/>
      <c r="O37" s="197"/>
      <c r="P37" s="198"/>
      <c r="Q37" s="194"/>
      <c r="R37" s="194"/>
    </row>
    <row r="38" spans="1:18" ht="20.100000000000001" customHeight="1">
      <c r="A38" s="194"/>
      <c r="B38" s="194"/>
      <c r="C38" s="195"/>
      <c r="D38" s="194"/>
      <c r="E38" s="194"/>
      <c r="F38" s="195"/>
      <c r="G38" s="194"/>
      <c r="H38" s="195"/>
      <c r="I38" s="194"/>
      <c r="J38" s="194"/>
      <c r="K38" s="194"/>
      <c r="L38" s="194"/>
      <c r="M38" s="196"/>
      <c r="N38" s="197"/>
      <c r="O38" s="197"/>
      <c r="P38" s="198"/>
      <c r="Q38" s="194"/>
      <c r="R38" s="194"/>
    </row>
    <row r="39" spans="1:18" ht="20.100000000000001" customHeight="1">
      <c r="A39" s="194"/>
      <c r="B39" s="194"/>
      <c r="C39" s="195"/>
      <c r="D39" s="194"/>
      <c r="E39" s="194"/>
      <c r="F39" s="195"/>
      <c r="G39" s="194"/>
      <c r="H39" s="195"/>
      <c r="I39" s="194"/>
      <c r="J39" s="194"/>
      <c r="K39" s="194"/>
      <c r="L39" s="194"/>
      <c r="M39" s="196"/>
      <c r="N39" s="197"/>
      <c r="O39" s="197"/>
      <c r="P39" s="198"/>
      <c r="Q39" s="194"/>
      <c r="R39" s="194"/>
    </row>
    <row r="40" spans="1:18" ht="18" customHeight="1"/>
    <row r="41" spans="1:18">
      <c r="A41" s="203" t="s">
        <v>274</v>
      </c>
    </row>
    <row r="42" spans="1:18">
      <c r="A42" s="202" t="s">
        <v>275</v>
      </c>
    </row>
    <row r="43" spans="1:18">
      <c r="A43" s="202" t="s">
        <v>276</v>
      </c>
    </row>
    <row r="44" spans="1:18">
      <c r="A44" s="202" t="s">
        <v>277</v>
      </c>
    </row>
    <row r="45" spans="1:18">
      <c r="A45" s="202" t="s">
        <v>278</v>
      </c>
    </row>
  </sheetData>
  <mergeCells count="6">
    <mergeCell ref="A13:R13"/>
    <mergeCell ref="A9:R9"/>
    <mergeCell ref="A11:R11"/>
    <mergeCell ref="A12:R12"/>
    <mergeCell ref="A1:R1"/>
    <mergeCell ref="A2:R2"/>
  </mergeCells>
  <phoneticPr fontId="6" type="noConversion"/>
  <hyperlinks>
    <hyperlink ref="R3" location="底稿目录!A1" display="底稿目录!A1"/>
  </hyperlinks>
  <printOptions horizontalCentered="1"/>
  <pageMargins left="0.39370078740157483" right="0.39370078740157483" top="0.59055118110236227" bottom="0.51181102362204722" header="0.39370078740157483" footer="0.31496062992125984"/>
  <pageSetup paperSize="9" scale="88" fitToHeight="10" orientation="landscape" blackAndWhite="1" r:id="rId1"/>
  <headerFooter>
    <oddFooter>&amp;C&amp;P/&amp;N</oddFooter>
  </headerFooter>
  <rowBreaks count="1" manualBreakCount="1">
    <brk id="26" max="17"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Y47"/>
  <sheetViews>
    <sheetView view="pageBreakPreview" topLeftCell="A22" zoomScaleNormal="145" zoomScaleSheetLayoutView="100" workbookViewId="0">
      <selection activeCell="N41" sqref="N41"/>
    </sheetView>
  </sheetViews>
  <sheetFormatPr defaultColWidth="10" defaultRowHeight="13.8"/>
  <cols>
    <col min="1" max="1" width="6.44140625" style="18" customWidth="1"/>
    <col min="2" max="2" width="25.21875" style="18" customWidth="1"/>
    <col min="3" max="3" width="13.21875" style="18" customWidth="1"/>
    <col min="4" max="4" width="6.88671875" style="18" customWidth="1"/>
    <col min="5" max="5" width="9" style="18" customWidth="1"/>
    <col min="6" max="6" width="8.21875" style="18" customWidth="1"/>
    <col min="7" max="7" width="6.6640625" style="18" customWidth="1"/>
    <col min="8" max="8" width="6.33203125" style="18" customWidth="1"/>
    <col min="9" max="9" width="14.6640625" style="18" customWidth="1"/>
    <col min="10" max="10" width="13.6640625" style="18" customWidth="1"/>
    <col min="11" max="11" width="10" style="18" customWidth="1"/>
    <col min="12" max="13" width="9.5546875" style="18" customWidth="1"/>
    <col min="14" max="14" width="9.77734375" style="18" customWidth="1"/>
    <col min="15" max="15" width="16.88671875" style="18" customWidth="1"/>
    <col min="16" max="16" width="7.44140625" style="18" customWidth="1"/>
    <col min="17" max="17" width="11.33203125" style="18" customWidth="1"/>
    <col min="18" max="18" width="10.77734375" style="18" customWidth="1"/>
    <col min="19" max="16384" width="10" style="18"/>
  </cols>
  <sheetData>
    <row r="1" spans="1:25" ht="20.100000000000001" customHeight="1">
      <c r="A1" s="432" t="s">
        <v>132</v>
      </c>
      <c r="B1" s="432"/>
      <c r="C1" s="432"/>
      <c r="D1" s="432"/>
      <c r="E1" s="432"/>
      <c r="F1" s="432"/>
      <c r="G1" s="432"/>
      <c r="H1" s="432"/>
      <c r="I1" s="432"/>
      <c r="J1" s="432"/>
      <c r="K1" s="432"/>
      <c r="L1" s="432"/>
      <c r="M1" s="432"/>
      <c r="N1" s="432"/>
      <c r="O1" s="432"/>
      <c r="P1" s="432"/>
      <c r="Q1" s="432"/>
      <c r="R1" s="432"/>
      <c r="S1" s="40"/>
      <c r="T1" s="40"/>
      <c r="U1" s="40"/>
      <c r="V1" s="40"/>
      <c r="W1" s="40"/>
      <c r="X1" s="40"/>
      <c r="Y1" s="40"/>
    </row>
    <row r="2" spans="1:25" s="19" customFormat="1" ht="25.05" customHeight="1">
      <c r="A2" s="447" t="s">
        <v>458</v>
      </c>
      <c r="B2" s="447"/>
      <c r="C2" s="447"/>
      <c r="D2" s="447"/>
      <c r="E2" s="447"/>
      <c r="F2" s="447"/>
      <c r="G2" s="447"/>
      <c r="H2" s="447"/>
      <c r="I2" s="447"/>
      <c r="J2" s="447"/>
      <c r="K2" s="447"/>
      <c r="L2" s="447"/>
      <c r="M2" s="447"/>
      <c r="N2" s="447"/>
      <c r="O2" s="447"/>
      <c r="P2" s="447"/>
      <c r="Q2" s="447"/>
      <c r="R2" s="447"/>
      <c r="S2" s="41"/>
      <c r="T2" s="41"/>
      <c r="U2" s="41"/>
      <c r="V2" s="41"/>
      <c r="W2" s="41"/>
      <c r="X2" s="41"/>
      <c r="Y2" s="41"/>
    </row>
    <row r="3" spans="1:25" ht="20.100000000000001" customHeight="1">
      <c r="A3" s="20" t="str">
        <f>底稿目录!A2</f>
        <v>被审计单位：</v>
      </c>
      <c r="B3" s="21"/>
      <c r="E3" s="20" t="str">
        <f>底稿目录!A4</f>
        <v>编制人：</v>
      </c>
      <c r="F3" s="56"/>
      <c r="G3" s="56"/>
      <c r="H3" s="56"/>
      <c r="I3" s="56"/>
      <c r="J3" s="20" t="str">
        <f>底稿目录!A4</f>
        <v>编制人：</v>
      </c>
      <c r="Q3" s="334" t="s">
        <v>456</v>
      </c>
      <c r="R3" s="360" t="str">
        <f>底稿目录!F19</f>
        <v>F2-68</v>
      </c>
    </row>
    <row r="4" spans="1:25" ht="20.100000000000001" customHeight="1">
      <c r="A4" s="20" t="str">
        <f>底稿目录!A3</f>
        <v>截止日：202X年12月31日</v>
      </c>
      <c r="B4" s="21"/>
      <c r="E4" s="15" t="str">
        <f>底稿目录!A6</f>
        <v>复核人：</v>
      </c>
      <c r="F4" s="56"/>
      <c r="G4" s="56"/>
      <c r="H4" s="56"/>
      <c r="I4" s="56"/>
      <c r="J4" s="15" t="str">
        <f>底稿目录!A6</f>
        <v>复核人：</v>
      </c>
      <c r="Q4" s="15" t="s">
        <v>457</v>
      </c>
    </row>
    <row r="5" spans="1:25" ht="20.100000000000001" customHeight="1">
      <c r="A5" s="495" t="s">
        <v>133</v>
      </c>
      <c r="B5" s="496"/>
      <c r="C5" s="57">
        <v>0</v>
      </c>
      <c r="D5" s="495" t="s">
        <v>134</v>
      </c>
      <c r="E5" s="497"/>
      <c r="F5" s="496"/>
      <c r="G5" s="58">
        <v>0</v>
      </c>
      <c r="H5" s="59"/>
      <c r="I5" s="59"/>
      <c r="J5" s="59"/>
      <c r="K5" s="59"/>
      <c r="L5" s="23"/>
      <c r="M5" s="23"/>
      <c r="N5" s="23"/>
    </row>
    <row r="6" spans="1:25" s="332" customFormat="1" ht="18" customHeight="1">
      <c r="A6" s="498" t="s">
        <v>282</v>
      </c>
      <c r="B6" s="498" t="s">
        <v>135</v>
      </c>
      <c r="C6" s="498" t="s">
        <v>136</v>
      </c>
      <c r="D6" s="498" t="s">
        <v>137</v>
      </c>
      <c r="E6" s="498" t="s">
        <v>138</v>
      </c>
      <c r="F6" s="498" t="s">
        <v>139</v>
      </c>
      <c r="G6" s="498" t="s">
        <v>140</v>
      </c>
      <c r="H6" s="498" t="s">
        <v>141</v>
      </c>
      <c r="I6" s="498" t="s">
        <v>447</v>
      </c>
      <c r="J6" s="500" t="s">
        <v>142</v>
      </c>
      <c r="K6" s="501"/>
      <c r="L6" s="501"/>
      <c r="M6" s="501"/>
      <c r="N6" s="502"/>
      <c r="O6" s="498" t="s">
        <v>143</v>
      </c>
      <c r="P6" s="498" t="s">
        <v>144</v>
      </c>
      <c r="Q6" s="498" t="s">
        <v>448</v>
      </c>
      <c r="R6" s="498" t="s">
        <v>449</v>
      </c>
    </row>
    <row r="7" spans="1:25" s="332" customFormat="1" ht="15" customHeight="1">
      <c r="A7" s="499"/>
      <c r="B7" s="499"/>
      <c r="C7" s="499"/>
      <c r="D7" s="499"/>
      <c r="E7" s="499"/>
      <c r="F7" s="499"/>
      <c r="G7" s="499"/>
      <c r="H7" s="499"/>
      <c r="I7" s="499"/>
      <c r="J7" s="387" t="s">
        <v>136</v>
      </c>
      <c r="K7" s="387" t="s">
        <v>145</v>
      </c>
      <c r="L7" s="387" t="s">
        <v>446</v>
      </c>
      <c r="M7" s="387" t="s">
        <v>146</v>
      </c>
      <c r="N7" s="387" t="s">
        <v>147</v>
      </c>
      <c r="O7" s="499"/>
      <c r="P7" s="499"/>
      <c r="Q7" s="499"/>
      <c r="R7" s="499"/>
    </row>
    <row r="8" spans="1:25" ht="20.100000000000001" customHeight="1">
      <c r="A8" s="60">
        <v>1</v>
      </c>
      <c r="B8" s="63"/>
      <c r="C8" s="61"/>
      <c r="D8" s="331">
        <f>IF(ISERROR(C8/$C$5),0,C8/$C$5)</f>
        <v>0</v>
      </c>
      <c r="E8" s="61"/>
      <c r="F8" s="331">
        <f>IF(ISERROR(E8/$G$5),0,E8/$G$5)</f>
        <v>0</v>
      </c>
      <c r="G8" s="60"/>
      <c r="H8" s="60"/>
      <c r="I8" s="63"/>
      <c r="J8" s="61"/>
      <c r="K8" s="63"/>
      <c r="L8" s="63"/>
      <c r="M8" s="63"/>
      <c r="N8" s="63"/>
      <c r="O8" s="63"/>
      <c r="P8" s="323"/>
      <c r="Q8" s="323"/>
      <c r="R8" s="323"/>
      <c r="S8" s="333" t="s">
        <v>454</v>
      </c>
    </row>
    <row r="9" spans="1:25" ht="20.100000000000001" customHeight="1">
      <c r="A9" s="60">
        <v>2</v>
      </c>
      <c r="B9" s="63"/>
      <c r="C9" s="61"/>
      <c r="D9" s="331">
        <f t="shared" ref="D9:D17" si="0">IF(ISERROR(C9/$C$5),0,C9/$C$5)</f>
        <v>0</v>
      </c>
      <c r="E9" s="61"/>
      <c r="F9" s="331">
        <f t="shared" ref="F9:F17" si="1">IF(ISERROR(E9/$G$5),0,E9/$G$5)</f>
        <v>0</v>
      </c>
      <c r="G9" s="60"/>
      <c r="H9" s="60"/>
      <c r="I9" s="63"/>
      <c r="J9" s="61"/>
      <c r="K9" s="63"/>
      <c r="L9" s="63"/>
      <c r="M9" s="63"/>
      <c r="N9" s="63"/>
      <c r="O9" s="63"/>
      <c r="P9" s="323"/>
      <c r="Q9" s="323"/>
      <c r="R9" s="323"/>
    </row>
    <row r="10" spans="1:25" ht="20.100000000000001" customHeight="1">
      <c r="A10" s="60">
        <v>3</v>
      </c>
      <c r="B10" s="63"/>
      <c r="C10" s="61"/>
      <c r="D10" s="331">
        <f t="shared" si="0"/>
        <v>0</v>
      </c>
      <c r="E10" s="61"/>
      <c r="F10" s="331">
        <f t="shared" si="1"/>
        <v>0</v>
      </c>
      <c r="G10" s="60"/>
      <c r="H10" s="60"/>
      <c r="I10" s="63"/>
      <c r="J10" s="61"/>
      <c r="K10" s="63"/>
      <c r="L10" s="63"/>
      <c r="M10" s="63"/>
      <c r="N10" s="63"/>
      <c r="O10" s="63"/>
      <c r="P10" s="323"/>
      <c r="Q10" s="323"/>
      <c r="R10" s="323"/>
    </row>
    <row r="11" spans="1:25" ht="20.100000000000001" customHeight="1">
      <c r="A11" s="60">
        <v>4</v>
      </c>
      <c r="B11" s="63"/>
      <c r="C11" s="61"/>
      <c r="D11" s="331">
        <f t="shared" si="0"/>
        <v>0</v>
      </c>
      <c r="E11" s="61"/>
      <c r="F11" s="331">
        <f t="shared" si="1"/>
        <v>0</v>
      </c>
      <c r="G11" s="60"/>
      <c r="H11" s="60"/>
      <c r="I11" s="63"/>
      <c r="J11" s="61"/>
      <c r="K11" s="63"/>
      <c r="L11" s="63"/>
      <c r="M11" s="63"/>
      <c r="N11" s="63"/>
      <c r="O11" s="63"/>
      <c r="P11" s="323"/>
      <c r="Q11" s="323"/>
      <c r="R11" s="323"/>
    </row>
    <row r="12" spans="1:25" ht="20.100000000000001" customHeight="1">
      <c r="A12" s="60">
        <v>5</v>
      </c>
      <c r="B12" s="63"/>
      <c r="C12" s="61"/>
      <c r="D12" s="331">
        <f t="shared" si="0"/>
        <v>0</v>
      </c>
      <c r="E12" s="61"/>
      <c r="F12" s="331">
        <f t="shared" si="1"/>
        <v>0</v>
      </c>
      <c r="G12" s="60"/>
      <c r="H12" s="60"/>
      <c r="I12" s="63"/>
      <c r="J12" s="61"/>
      <c r="K12" s="63"/>
      <c r="L12" s="63"/>
      <c r="M12" s="63"/>
      <c r="N12" s="63"/>
      <c r="O12" s="63"/>
      <c r="P12" s="323"/>
      <c r="Q12" s="323"/>
      <c r="R12" s="323"/>
    </row>
    <row r="13" spans="1:25" ht="20.100000000000001" customHeight="1">
      <c r="A13" s="60">
        <v>6</v>
      </c>
      <c r="B13" s="63"/>
      <c r="C13" s="61"/>
      <c r="D13" s="331">
        <f t="shared" si="0"/>
        <v>0</v>
      </c>
      <c r="E13" s="61"/>
      <c r="F13" s="331">
        <f t="shared" si="1"/>
        <v>0</v>
      </c>
      <c r="G13" s="60"/>
      <c r="H13" s="60"/>
      <c r="I13" s="63"/>
      <c r="J13" s="61"/>
      <c r="K13" s="63"/>
      <c r="L13" s="63"/>
      <c r="M13" s="63"/>
      <c r="N13" s="63"/>
      <c r="O13" s="63"/>
      <c r="P13" s="323"/>
      <c r="Q13" s="323"/>
      <c r="R13" s="323"/>
    </row>
    <row r="14" spans="1:25" ht="20.100000000000001" customHeight="1">
      <c r="A14" s="60">
        <v>7</v>
      </c>
      <c r="B14" s="63"/>
      <c r="C14" s="61"/>
      <c r="D14" s="331">
        <f t="shared" si="0"/>
        <v>0</v>
      </c>
      <c r="E14" s="61"/>
      <c r="F14" s="331">
        <f t="shared" si="1"/>
        <v>0</v>
      </c>
      <c r="G14" s="60"/>
      <c r="H14" s="60"/>
      <c r="I14" s="63"/>
      <c r="J14" s="61"/>
      <c r="K14" s="63"/>
      <c r="L14" s="63"/>
      <c r="M14" s="63"/>
      <c r="N14" s="63"/>
      <c r="O14" s="63"/>
      <c r="P14" s="323"/>
      <c r="Q14" s="323"/>
      <c r="R14" s="323"/>
    </row>
    <row r="15" spans="1:25" ht="20.100000000000001" customHeight="1">
      <c r="A15" s="60">
        <v>8</v>
      </c>
      <c r="B15" s="63"/>
      <c r="C15" s="61"/>
      <c r="D15" s="331">
        <f t="shared" si="0"/>
        <v>0</v>
      </c>
      <c r="E15" s="61"/>
      <c r="F15" s="331">
        <f t="shared" si="1"/>
        <v>0</v>
      </c>
      <c r="G15" s="60"/>
      <c r="H15" s="60"/>
      <c r="I15" s="63"/>
      <c r="J15" s="61"/>
      <c r="K15" s="63"/>
      <c r="L15" s="63"/>
      <c r="M15" s="63"/>
      <c r="N15" s="63"/>
      <c r="O15" s="63"/>
      <c r="P15" s="323"/>
      <c r="Q15" s="323"/>
      <c r="R15" s="323"/>
    </row>
    <row r="16" spans="1:25" ht="20.100000000000001" customHeight="1">
      <c r="A16" s="60">
        <v>9</v>
      </c>
      <c r="B16" s="63"/>
      <c r="C16" s="61"/>
      <c r="D16" s="331">
        <f t="shared" si="0"/>
        <v>0</v>
      </c>
      <c r="E16" s="61"/>
      <c r="F16" s="331">
        <f t="shared" si="1"/>
        <v>0</v>
      </c>
      <c r="G16" s="60"/>
      <c r="H16" s="60"/>
      <c r="I16" s="63"/>
      <c r="J16" s="61"/>
      <c r="K16" s="63"/>
      <c r="L16" s="63"/>
      <c r="M16" s="63"/>
      <c r="N16" s="63"/>
      <c r="O16" s="63"/>
      <c r="P16" s="323"/>
      <c r="Q16" s="323"/>
      <c r="R16" s="323"/>
    </row>
    <row r="17" spans="1:18" ht="20.100000000000001" customHeight="1">
      <c r="A17" s="60">
        <v>10</v>
      </c>
      <c r="B17" s="63"/>
      <c r="C17" s="61"/>
      <c r="D17" s="331">
        <f t="shared" si="0"/>
        <v>0</v>
      </c>
      <c r="E17" s="61"/>
      <c r="F17" s="331">
        <f t="shared" si="1"/>
        <v>0</v>
      </c>
      <c r="G17" s="60"/>
      <c r="H17" s="60"/>
      <c r="I17" s="63"/>
      <c r="J17" s="61"/>
      <c r="K17" s="63"/>
      <c r="L17" s="63"/>
      <c r="M17" s="63"/>
      <c r="N17" s="63"/>
      <c r="O17" s="63"/>
      <c r="P17" s="323"/>
      <c r="Q17" s="323"/>
      <c r="R17" s="323"/>
    </row>
    <row r="18" spans="1:18" ht="20.100000000000001" customHeight="1">
      <c r="A18" s="60"/>
      <c r="B18" s="63"/>
      <c r="C18" s="61"/>
      <c r="D18" s="331">
        <f t="shared" ref="D18:D19" si="2">IF(ISERROR(C18/$C$5),0,C18/$C$5)</f>
        <v>0</v>
      </c>
      <c r="E18" s="61"/>
      <c r="F18" s="331">
        <f t="shared" ref="F18:F19" si="3">IF(ISERROR(E18/$G$5),0,E18/$G$5)</f>
        <v>0</v>
      </c>
      <c r="G18" s="60"/>
      <c r="H18" s="60"/>
      <c r="I18" s="63"/>
      <c r="J18" s="61"/>
      <c r="K18" s="63"/>
      <c r="L18" s="63"/>
      <c r="M18" s="63"/>
      <c r="N18" s="63"/>
      <c r="O18" s="63"/>
      <c r="P18" s="323"/>
      <c r="Q18" s="323"/>
      <c r="R18" s="323"/>
    </row>
    <row r="19" spans="1:18" ht="20.100000000000001" customHeight="1">
      <c r="A19" s="60"/>
      <c r="B19" s="63"/>
      <c r="C19" s="61"/>
      <c r="D19" s="331">
        <f t="shared" si="2"/>
        <v>0</v>
      </c>
      <c r="E19" s="61"/>
      <c r="F19" s="331">
        <f t="shared" si="3"/>
        <v>0</v>
      </c>
      <c r="G19" s="60"/>
      <c r="H19" s="60"/>
      <c r="I19" s="63"/>
      <c r="J19" s="61"/>
      <c r="K19" s="63"/>
      <c r="L19" s="63"/>
      <c r="M19" s="63"/>
      <c r="N19" s="63"/>
      <c r="O19" s="63"/>
      <c r="P19" s="323"/>
      <c r="Q19" s="323"/>
      <c r="R19" s="323"/>
    </row>
    <row r="20" spans="1:18" s="330" customFormat="1" ht="20.100000000000001" customHeight="1">
      <c r="A20" s="66"/>
      <c r="B20" s="67" t="s">
        <v>451</v>
      </c>
      <c r="C20" s="324">
        <f>SUM(C8:C19)</f>
        <v>0</v>
      </c>
      <c r="D20" s="325">
        <f>SUM(D8:D17)</f>
        <v>0</v>
      </c>
      <c r="E20" s="324">
        <f>SUM(E8:E19)</f>
        <v>0</v>
      </c>
      <c r="F20" s="326">
        <f>SUM(F8:F17)</f>
        <v>0</v>
      </c>
      <c r="G20" s="327"/>
      <c r="H20" s="327"/>
      <c r="I20" s="328"/>
      <c r="J20" s="324">
        <f>SUM(J8:J19)</f>
        <v>0</v>
      </c>
      <c r="K20" s="329"/>
      <c r="L20" s="329"/>
      <c r="M20" s="329"/>
      <c r="N20" s="329"/>
      <c r="O20" s="328"/>
      <c r="P20" s="73"/>
      <c r="Q20" s="73" t="s">
        <v>416</v>
      </c>
      <c r="R20" s="73" t="s">
        <v>416</v>
      </c>
    </row>
    <row r="21" spans="1:18" ht="20.100000000000001" customHeight="1">
      <c r="A21" s="495" t="s">
        <v>149</v>
      </c>
      <c r="B21" s="496"/>
      <c r="C21" s="57"/>
      <c r="D21" s="495" t="s">
        <v>150</v>
      </c>
      <c r="E21" s="497"/>
      <c r="F21" s="496"/>
      <c r="G21" s="58">
        <v>0</v>
      </c>
      <c r="H21" s="59"/>
      <c r="I21" s="59"/>
      <c r="J21" s="59"/>
      <c r="K21" s="59"/>
      <c r="L21" s="23"/>
      <c r="M21" s="23"/>
      <c r="N21" s="23"/>
    </row>
    <row r="22" spans="1:18" s="332" customFormat="1" ht="20.25" customHeight="1">
      <c r="A22" s="498" t="s">
        <v>450</v>
      </c>
      <c r="B22" s="498" t="s">
        <v>151</v>
      </c>
      <c r="C22" s="498" t="s">
        <v>152</v>
      </c>
      <c r="D22" s="498" t="s">
        <v>137</v>
      </c>
      <c r="E22" s="498" t="s">
        <v>138</v>
      </c>
      <c r="F22" s="498" t="s">
        <v>137</v>
      </c>
      <c r="G22" s="498" t="s">
        <v>140</v>
      </c>
      <c r="H22" s="498" t="s">
        <v>141</v>
      </c>
      <c r="I22" s="498" t="s">
        <v>447</v>
      </c>
      <c r="J22" s="500" t="s">
        <v>142</v>
      </c>
      <c r="K22" s="501"/>
      <c r="L22" s="501"/>
      <c r="M22" s="501"/>
      <c r="N22" s="502"/>
      <c r="O22" s="498" t="s">
        <v>143</v>
      </c>
      <c r="P22" s="498" t="s">
        <v>144</v>
      </c>
      <c r="Q22" s="498" t="s">
        <v>448</v>
      </c>
      <c r="R22" s="498" t="s">
        <v>449</v>
      </c>
    </row>
    <row r="23" spans="1:18" s="332" customFormat="1" ht="16.5" customHeight="1">
      <c r="A23" s="499"/>
      <c r="B23" s="499"/>
      <c r="C23" s="499"/>
      <c r="D23" s="499"/>
      <c r="E23" s="499"/>
      <c r="F23" s="499"/>
      <c r="G23" s="499"/>
      <c r="H23" s="499"/>
      <c r="I23" s="499"/>
      <c r="J23" s="387" t="s">
        <v>136</v>
      </c>
      <c r="K23" s="387" t="s">
        <v>145</v>
      </c>
      <c r="L23" s="387" t="s">
        <v>446</v>
      </c>
      <c r="M23" s="387" t="s">
        <v>146</v>
      </c>
      <c r="N23" s="387" t="s">
        <v>147</v>
      </c>
      <c r="O23" s="499"/>
      <c r="P23" s="499"/>
      <c r="Q23" s="499"/>
      <c r="R23" s="499"/>
    </row>
    <row r="24" spans="1:18" ht="20.100000000000001" customHeight="1">
      <c r="A24" s="60">
        <v>1</v>
      </c>
      <c r="B24" s="63"/>
      <c r="C24" s="61"/>
      <c r="D24" s="331">
        <f t="shared" ref="D24:D33" si="4">IF(ISERROR(C24/$C$21),0,C24/$C$21)</f>
        <v>0</v>
      </c>
      <c r="E24" s="61"/>
      <c r="F24" s="331">
        <f t="shared" ref="F24:F33" si="5">IF(ISERROR(E24/$G$21),0,E24/$G$21)</f>
        <v>0</v>
      </c>
      <c r="G24" s="60"/>
      <c r="H24" s="60"/>
      <c r="I24" s="63"/>
      <c r="J24" s="61"/>
      <c r="K24" s="63"/>
      <c r="L24" s="63"/>
      <c r="M24" s="63"/>
      <c r="N24" s="63"/>
      <c r="O24" s="63"/>
      <c r="P24" s="323"/>
      <c r="Q24" s="323"/>
      <c r="R24" s="323"/>
    </row>
    <row r="25" spans="1:18" ht="20.100000000000001" customHeight="1">
      <c r="A25" s="60">
        <v>2</v>
      </c>
      <c r="B25" s="63"/>
      <c r="C25" s="61"/>
      <c r="D25" s="331">
        <f t="shared" si="4"/>
        <v>0</v>
      </c>
      <c r="E25" s="61"/>
      <c r="F25" s="331">
        <f t="shared" si="5"/>
        <v>0</v>
      </c>
      <c r="G25" s="60"/>
      <c r="H25" s="60"/>
      <c r="I25" s="63"/>
      <c r="J25" s="61"/>
      <c r="K25" s="63"/>
      <c r="L25" s="63"/>
      <c r="M25" s="63"/>
      <c r="N25" s="63"/>
      <c r="O25" s="63"/>
      <c r="P25" s="323"/>
      <c r="Q25" s="323"/>
      <c r="R25" s="323"/>
    </row>
    <row r="26" spans="1:18" ht="20.100000000000001" customHeight="1">
      <c r="A26" s="60">
        <v>3</v>
      </c>
      <c r="B26" s="63"/>
      <c r="C26" s="61"/>
      <c r="D26" s="331">
        <f t="shared" si="4"/>
        <v>0</v>
      </c>
      <c r="E26" s="61"/>
      <c r="F26" s="331">
        <f t="shared" si="5"/>
        <v>0</v>
      </c>
      <c r="G26" s="60"/>
      <c r="H26" s="60"/>
      <c r="I26" s="63"/>
      <c r="J26" s="61"/>
      <c r="K26" s="63"/>
      <c r="L26" s="63"/>
      <c r="M26" s="63"/>
      <c r="N26" s="63"/>
      <c r="O26" s="63"/>
      <c r="P26" s="323"/>
      <c r="Q26" s="323"/>
      <c r="R26" s="323"/>
    </row>
    <row r="27" spans="1:18" ht="20.100000000000001" customHeight="1">
      <c r="A27" s="60">
        <v>4</v>
      </c>
      <c r="B27" s="63"/>
      <c r="C27" s="61"/>
      <c r="D27" s="331">
        <f t="shared" si="4"/>
        <v>0</v>
      </c>
      <c r="E27" s="61"/>
      <c r="F27" s="331">
        <f t="shared" si="5"/>
        <v>0</v>
      </c>
      <c r="G27" s="60"/>
      <c r="H27" s="60"/>
      <c r="I27" s="63"/>
      <c r="J27" s="61"/>
      <c r="K27" s="63"/>
      <c r="L27" s="63"/>
      <c r="M27" s="63"/>
      <c r="N27" s="63"/>
      <c r="O27" s="63"/>
      <c r="P27" s="323"/>
      <c r="Q27" s="323"/>
      <c r="R27" s="323"/>
    </row>
    <row r="28" spans="1:18" ht="20.100000000000001" customHeight="1">
      <c r="A28" s="60">
        <v>5</v>
      </c>
      <c r="B28" s="63"/>
      <c r="C28" s="61"/>
      <c r="D28" s="331">
        <f t="shared" si="4"/>
        <v>0</v>
      </c>
      <c r="E28" s="61"/>
      <c r="F28" s="331">
        <f t="shared" si="5"/>
        <v>0</v>
      </c>
      <c r="G28" s="60"/>
      <c r="H28" s="60"/>
      <c r="I28" s="63"/>
      <c r="J28" s="61"/>
      <c r="K28" s="63"/>
      <c r="L28" s="63"/>
      <c r="M28" s="63"/>
      <c r="N28" s="63"/>
      <c r="O28" s="63"/>
      <c r="P28" s="323"/>
      <c r="Q28" s="323"/>
      <c r="R28" s="323"/>
    </row>
    <row r="29" spans="1:18" ht="20.100000000000001" customHeight="1">
      <c r="A29" s="60">
        <v>6</v>
      </c>
      <c r="B29" s="63"/>
      <c r="C29" s="61"/>
      <c r="D29" s="331">
        <f t="shared" si="4"/>
        <v>0</v>
      </c>
      <c r="E29" s="61"/>
      <c r="F29" s="331">
        <f t="shared" si="5"/>
        <v>0</v>
      </c>
      <c r="G29" s="60"/>
      <c r="H29" s="60"/>
      <c r="I29" s="63"/>
      <c r="J29" s="61"/>
      <c r="K29" s="63"/>
      <c r="L29" s="63"/>
      <c r="M29" s="63"/>
      <c r="N29" s="63"/>
      <c r="O29" s="63"/>
      <c r="P29" s="323"/>
      <c r="Q29" s="323"/>
      <c r="R29" s="323"/>
    </row>
    <row r="30" spans="1:18" ht="20.100000000000001" customHeight="1">
      <c r="A30" s="60">
        <v>7</v>
      </c>
      <c r="B30" s="63"/>
      <c r="C30" s="61"/>
      <c r="D30" s="331">
        <f t="shared" si="4"/>
        <v>0</v>
      </c>
      <c r="E30" s="61"/>
      <c r="F30" s="331">
        <f t="shared" si="5"/>
        <v>0</v>
      </c>
      <c r="G30" s="60"/>
      <c r="H30" s="60"/>
      <c r="I30" s="63"/>
      <c r="J30" s="61"/>
      <c r="K30" s="63"/>
      <c r="L30" s="63"/>
      <c r="M30" s="63"/>
      <c r="N30" s="63"/>
      <c r="O30" s="63"/>
      <c r="P30" s="323"/>
      <c r="Q30" s="323"/>
      <c r="R30" s="323"/>
    </row>
    <row r="31" spans="1:18" ht="20.100000000000001" customHeight="1">
      <c r="A31" s="60">
        <v>8</v>
      </c>
      <c r="B31" s="63"/>
      <c r="C31" s="61"/>
      <c r="D31" s="331">
        <f t="shared" si="4"/>
        <v>0</v>
      </c>
      <c r="E31" s="61"/>
      <c r="F31" s="331">
        <f t="shared" si="5"/>
        <v>0</v>
      </c>
      <c r="G31" s="60"/>
      <c r="H31" s="60"/>
      <c r="I31" s="63"/>
      <c r="J31" s="61"/>
      <c r="K31" s="63"/>
      <c r="L31" s="63"/>
      <c r="M31" s="63"/>
      <c r="N31" s="63"/>
      <c r="O31" s="63"/>
      <c r="P31" s="323"/>
      <c r="Q31" s="323"/>
      <c r="R31" s="323"/>
    </row>
    <row r="32" spans="1:18" ht="20.100000000000001" customHeight="1">
      <c r="A32" s="60">
        <v>9</v>
      </c>
      <c r="B32" s="63"/>
      <c r="C32" s="61"/>
      <c r="D32" s="331">
        <f t="shared" si="4"/>
        <v>0</v>
      </c>
      <c r="E32" s="61"/>
      <c r="F32" s="331">
        <f t="shared" si="5"/>
        <v>0</v>
      </c>
      <c r="G32" s="60"/>
      <c r="H32" s="60"/>
      <c r="I32" s="63"/>
      <c r="J32" s="61"/>
      <c r="K32" s="63"/>
      <c r="L32" s="63"/>
      <c r="M32" s="63"/>
      <c r="N32" s="63"/>
      <c r="O32" s="63"/>
      <c r="P32" s="323"/>
      <c r="Q32" s="323"/>
      <c r="R32" s="323"/>
    </row>
    <row r="33" spans="1:18" ht="20.100000000000001" customHeight="1">
      <c r="A33" s="60">
        <v>10</v>
      </c>
      <c r="B33" s="63"/>
      <c r="C33" s="61"/>
      <c r="D33" s="331">
        <f t="shared" si="4"/>
        <v>0</v>
      </c>
      <c r="E33" s="61"/>
      <c r="F33" s="331">
        <f t="shared" si="5"/>
        <v>0</v>
      </c>
      <c r="G33" s="60"/>
      <c r="H33" s="60"/>
      <c r="I33" s="63"/>
      <c r="J33" s="61"/>
      <c r="K33" s="63"/>
      <c r="L33" s="63"/>
      <c r="M33" s="63"/>
      <c r="N33" s="63"/>
      <c r="O33" s="63"/>
      <c r="P33" s="323"/>
      <c r="Q33" s="323"/>
      <c r="R33" s="323"/>
    </row>
    <row r="34" spans="1:18" ht="20.100000000000001" customHeight="1">
      <c r="A34" s="60"/>
      <c r="B34" s="63"/>
      <c r="C34" s="61"/>
      <c r="D34" s="331">
        <f t="shared" ref="D34:D35" si="6">IF(ISERROR(C34/$C$21),0,C34/$C$21)</f>
        <v>0</v>
      </c>
      <c r="E34" s="61"/>
      <c r="F34" s="331">
        <f t="shared" ref="F34:F35" si="7">IF(ISERROR(E34/$G$21),0,E34/$G$21)</f>
        <v>0</v>
      </c>
      <c r="G34" s="60"/>
      <c r="H34" s="60"/>
      <c r="I34" s="63"/>
      <c r="J34" s="61"/>
      <c r="K34" s="63"/>
      <c r="L34" s="63"/>
      <c r="M34" s="63"/>
      <c r="N34" s="63"/>
      <c r="O34" s="63"/>
      <c r="P34" s="323"/>
      <c r="Q34" s="323"/>
      <c r="R34" s="323"/>
    </row>
    <row r="35" spans="1:18" ht="20.100000000000001" customHeight="1">
      <c r="A35" s="60"/>
      <c r="B35" s="63"/>
      <c r="C35" s="61"/>
      <c r="D35" s="331">
        <f t="shared" si="6"/>
        <v>0</v>
      </c>
      <c r="E35" s="61"/>
      <c r="F35" s="331">
        <f t="shared" si="7"/>
        <v>0</v>
      </c>
      <c r="G35" s="60"/>
      <c r="H35" s="60"/>
      <c r="I35" s="63"/>
      <c r="J35" s="61"/>
      <c r="K35" s="63"/>
      <c r="L35" s="63"/>
      <c r="M35" s="63"/>
      <c r="N35" s="63"/>
      <c r="O35" s="63"/>
      <c r="P35" s="323"/>
      <c r="Q35" s="323"/>
      <c r="R35" s="323"/>
    </row>
    <row r="36" spans="1:18" s="332" customFormat="1" ht="20.100000000000001" customHeight="1">
      <c r="A36" s="66"/>
      <c r="B36" s="66" t="s">
        <v>148</v>
      </c>
      <c r="C36" s="324">
        <f>SUM(C24:C35)</f>
        <v>0</v>
      </c>
      <c r="D36" s="326">
        <f>SUM(D24:D33)</f>
        <v>0</v>
      </c>
      <c r="E36" s="324">
        <f>SUM(E24:E35)</f>
        <v>0</v>
      </c>
      <c r="F36" s="326">
        <f>SUM(F24:F33)</f>
        <v>0</v>
      </c>
      <c r="G36" s="72"/>
      <c r="H36" s="72"/>
      <c r="I36" s="72"/>
      <c r="J36" s="324">
        <f>SUM(J24:J35)</f>
        <v>0</v>
      </c>
      <c r="K36" s="72"/>
      <c r="L36" s="72"/>
      <c r="M36" s="72"/>
      <c r="N36" s="72"/>
      <c r="O36" s="72"/>
      <c r="P36" s="327"/>
      <c r="Q36" s="327"/>
      <c r="R36" s="327"/>
    </row>
    <row r="37" spans="1:18" ht="20.100000000000001" customHeight="1">
      <c r="A37" s="30" t="s">
        <v>459</v>
      </c>
      <c r="B37" s="31"/>
      <c r="C37" s="31"/>
      <c r="D37" s="31"/>
      <c r="E37" s="31"/>
      <c r="F37" s="31"/>
      <c r="G37" s="31"/>
      <c r="H37" s="31"/>
      <c r="I37" s="31"/>
      <c r="J37" s="31"/>
      <c r="K37" s="34"/>
      <c r="L37" s="34"/>
      <c r="M37" s="34"/>
      <c r="N37" s="34"/>
      <c r="O37" s="23"/>
      <c r="P37" s="23"/>
      <c r="Q37" s="23"/>
    </row>
    <row r="38" spans="1:18" ht="20.100000000000001" customHeight="1">
      <c r="A38" s="33" t="s">
        <v>452</v>
      </c>
      <c r="B38" s="33"/>
      <c r="C38" s="34"/>
      <c r="D38" s="34"/>
      <c r="E38" s="34"/>
      <c r="F38" s="34"/>
      <c r="G38" s="34"/>
      <c r="H38" s="34"/>
      <c r="I38" s="34"/>
      <c r="J38" s="34"/>
      <c r="K38" s="34"/>
      <c r="L38" s="34"/>
      <c r="M38" s="34"/>
      <c r="N38" s="34"/>
      <c r="O38" s="23"/>
      <c r="P38" s="23"/>
      <c r="Q38" s="23"/>
    </row>
    <row r="39" spans="1:18" ht="20.100000000000001" customHeight="1">
      <c r="A39" s="33" t="s">
        <v>453</v>
      </c>
      <c r="B39" s="33"/>
      <c r="C39" s="34"/>
      <c r="D39" s="34"/>
      <c r="E39" s="34"/>
      <c r="F39" s="34"/>
      <c r="G39" s="34"/>
      <c r="H39" s="34"/>
      <c r="I39" s="34"/>
      <c r="J39" s="34"/>
      <c r="K39" s="34"/>
      <c r="L39" s="34"/>
      <c r="M39" s="34"/>
      <c r="N39" s="34"/>
      <c r="O39" s="23"/>
      <c r="P39" s="23"/>
      <c r="Q39" s="23"/>
    </row>
    <row r="40" spans="1:18" ht="20.100000000000001" customHeight="1">
      <c r="A40" s="36" t="s">
        <v>460</v>
      </c>
      <c r="B40" s="34"/>
      <c r="C40" s="34"/>
      <c r="D40" s="34"/>
      <c r="E40" s="34"/>
      <c r="F40" s="34"/>
      <c r="G40" s="34"/>
      <c r="H40" s="34"/>
      <c r="I40" s="34"/>
      <c r="J40" s="34"/>
      <c r="K40" s="34"/>
      <c r="L40" s="34"/>
      <c r="M40" s="34"/>
      <c r="N40" s="34"/>
      <c r="O40" s="23"/>
      <c r="P40" s="23"/>
      <c r="Q40" s="23"/>
    </row>
    <row r="41" spans="1:18" ht="20.100000000000001" customHeight="1">
      <c r="A41" s="44"/>
      <c r="B41" s="34"/>
      <c r="C41" s="34"/>
      <c r="D41" s="34"/>
      <c r="E41" s="34"/>
      <c r="F41" s="34"/>
      <c r="G41" s="34"/>
      <c r="H41" s="34"/>
      <c r="I41" s="34"/>
      <c r="J41" s="34"/>
      <c r="K41" s="34"/>
      <c r="L41" s="34"/>
      <c r="M41" s="34"/>
      <c r="N41" s="34"/>
      <c r="O41" s="23"/>
      <c r="P41" s="23"/>
      <c r="Q41" s="23"/>
    </row>
    <row r="42" spans="1:18" ht="20.100000000000001" customHeight="1">
      <c r="A42" s="34"/>
      <c r="B42" s="34"/>
      <c r="C42" s="34"/>
      <c r="D42" s="34"/>
      <c r="E42" s="34"/>
      <c r="F42" s="34"/>
      <c r="G42" s="34"/>
      <c r="H42" s="34"/>
      <c r="I42" s="34"/>
      <c r="J42" s="34"/>
      <c r="K42" s="34"/>
      <c r="L42" s="34"/>
      <c r="M42" s="34"/>
      <c r="N42" s="34"/>
      <c r="O42" s="23"/>
      <c r="P42" s="23"/>
      <c r="Q42" s="23"/>
    </row>
    <row r="43" spans="1:18" ht="18" customHeight="1"/>
    <row r="44" spans="1:18" ht="18" customHeight="1"/>
    <row r="45" spans="1:18" ht="18" customHeight="1"/>
    <row r="46" spans="1:18" ht="18" customHeight="1"/>
    <row r="47" spans="1:18" ht="18" customHeight="1"/>
  </sheetData>
  <mergeCells count="34">
    <mergeCell ref="Q22:Q23"/>
    <mergeCell ref="R22:R23"/>
    <mergeCell ref="F22:F23"/>
    <mergeCell ref="G22:G23"/>
    <mergeCell ref="H22:H23"/>
    <mergeCell ref="J22:N22"/>
    <mergeCell ref="O22:O23"/>
    <mergeCell ref="P22:P23"/>
    <mergeCell ref="I22:I23"/>
    <mergeCell ref="J6:N6"/>
    <mergeCell ref="O6:O7"/>
    <mergeCell ref="P6:P7"/>
    <mergeCell ref="I6:I7"/>
    <mergeCell ref="A6:A7"/>
    <mergeCell ref="B6:B7"/>
    <mergeCell ref="C6:C7"/>
    <mergeCell ref="D6:D7"/>
    <mergeCell ref="E6:E7"/>
    <mergeCell ref="A1:R1"/>
    <mergeCell ref="A2:R2"/>
    <mergeCell ref="A5:B5"/>
    <mergeCell ref="D5:F5"/>
    <mergeCell ref="A22:A23"/>
    <mergeCell ref="B22:B23"/>
    <mergeCell ref="C22:C23"/>
    <mergeCell ref="D22:D23"/>
    <mergeCell ref="E22:E23"/>
    <mergeCell ref="Q6:Q7"/>
    <mergeCell ref="R6:R7"/>
    <mergeCell ref="A21:B21"/>
    <mergeCell ref="D21:F21"/>
    <mergeCell ref="F6:F7"/>
    <mergeCell ref="G6:G7"/>
    <mergeCell ref="H6:H7"/>
  </mergeCells>
  <phoneticPr fontId="6" type="noConversion"/>
  <dataValidations count="1">
    <dataValidation type="list" allowBlank="1" showInputMessage="1" showErrorMessage="1" sqref="P8:R20 P24:R36">
      <formula1>"是,否"</formula1>
    </dataValidation>
  </dataValidations>
  <hyperlinks>
    <hyperlink ref="R3" location="底稿目录!A1" display="底稿目录!A1"/>
  </hyperlinks>
  <printOptions horizontalCentered="1"/>
  <pageMargins left="0.70866141732283472" right="0.47244094488188981" top="0.62992125984251968" bottom="0.51181102362204722" header="0.51181102362204722" footer="0.35433070866141736"/>
  <pageSetup paperSize="9" scale="65" orientation="landscape" blackAndWhite="1" cellComments="atEnd" r:id="rId1"/>
  <headerFooter alignWithMargins="0">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S49"/>
  <sheetViews>
    <sheetView view="pageBreakPreview" topLeftCell="A13" zoomScaleSheetLayoutView="100" workbookViewId="0">
      <selection sqref="A1:N1"/>
    </sheetView>
  </sheetViews>
  <sheetFormatPr defaultColWidth="10" defaultRowHeight="15.6"/>
  <cols>
    <col min="1" max="1" width="28.5546875" style="102" customWidth="1"/>
    <col min="2" max="2" width="14.21875" style="102" customWidth="1"/>
    <col min="3" max="3" width="11.88671875" style="102" customWidth="1"/>
    <col min="4" max="4" width="10.109375" style="102" customWidth="1"/>
    <col min="5" max="5" width="14.21875" style="102" customWidth="1"/>
    <col min="6" max="6" width="9" style="102" customWidth="1"/>
    <col min="7" max="7" width="8.5546875" style="102" customWidth="1"/>
    <col min="8" max="8" width="10.77734375" style="102" customWidth="1"/>
    <col min="9" max="9" width="14.6640625" style="102" customWidth="1"/>
    <col min="10" max="10" width="16.109375" style="102" customWidth="1"/>
    <col min="11" max="11" width="15.6640625" style="102" customWidth="1"/>
    <col min="12" max="12" width="9.6640625" style="102" customWidth="1"/>
    <col min="13" max="13" width="10" style="102"/>
    <col min="14" max="14" width="12.21875" style="102" customWidth="1"/>
    <col min="15" max="16384" width="10" style="102"/>
  </cols>
  <sheetData>
    <row r="1" spans="1:19" s="87" customFormat="1" ht="19.95" customHeight="1">
      <c r="A1" s="506" t="s">
        <v>0</v>
      </c>
      <c r="B1" s="506"/>
      <c r="C1" s="506"/>
      <c r="D1" s="506"/>
      <c r="E1" s="506"/>
      <c r="F1" s="506"/>
      <c r="G1" s="506"/>
      <c r="H1" s="506"/>
      <c r="I1" s="506"/>
      <c r="J1" s="506"/>
      <c r="K1" s="506"/>
      <c r="L1" s="506"/>
      <c r="M1" s="506"/>
      <c r="N1" s="506"/>
      <c r="O1" s="86"/>
      <c r="P1" s="86"/>
      <c r="Q1" s="86"/>
      <c r="R1" s="86"/>
      <c r="S1" s="86"/>
    </row>
    <row r="2" spans="1:19" s="87" customFormat="1" ht="19.95" customHeight="1">
      <c r="A2" s="507" t="s">
        <v>214</v>
      </c>
      <c r="B2" s="507"/>
      <c r="C2" s="507"/>
      <c r="D2" s="507"/>
      <c r="E2" s="507"/>
      <c r="F2" s="507"/>
      <c r="G2" s="507"/>
      <c r="H2" s="507"/>
      <c r="I2" s="507"/>
      <c r="J2" s="507"/>
      <c r="K2" s="507"/>
      <c r="L2" s="507"/>
      <c r="M2" s="507"/>
      <c r="N2" s="507"/>
      <c r="O2" s="88"/>
      <c r="P2" s="88"/>
      <c r="Q2" s="88"/>
      <c r="R2" s="88"/>
      <c r="S2" s="88"/>
    </row>
    <row r="3" spans="1:19" s="90" customFormat="1" ht="19.95" customHeight="1">
      <c r="A3" s="20" t="str">
        <f>[5]底稿目录!A2</f>
        <v>被审计单位：ABC公司</v>
      </c>
      <c r="B3" s="21"/>
      <c r="C3" s="21"/>
      <c r="D3" s="21"/>
      <c r="E3" s="89"/>
      <c r="F3" s="20" t="str">
        <f>[5]底稿目录!A4</f>
        <v>编制人：张XX</v>
      </c>
      <c r="I3" s="91"/>
      <c r="J3" s="20" t="str">
        <f>[5]底稿目录!A5</f>
        <v>编制日期：2024-4-1</v>
      </c>
      <c r="K3" s="92"/>
      <c r="M3" s="347" t="s">
        <v>500</v>
      </c>
      <c r="N3" s="360" t="str">
        <f>底稿目录!F20</f>
        <v>F2-69</v>
      </c>
    </row>
    <row r="4" spans="1:19" s="90" customFormat="1" ht="19.95" customHeight="1">
      <c r="A4" s="20" t="str">
        <f>[5]底稿目录!A3</f>
        <v>截止日：202X年12月31日</v>
      </c>
      <c r="B4" s="21"/>
      <c r="C4" s="21"/>
      <c r="D4" s="21"/>
      <c r="E4" s="89"/>
      <c r="F4" s="20" t="str">
        <f>[5]底稿目录!A6</f>
        <v>复核人：李XX</v>
      </c>
      <c r="I4" s="91"/>
      <c r="J4" s="20" t="str">
        <f>[5]底稿目录!A7</f>
        <v>复核日期：2024-5-1</v>
      </c>
      <c r="K4" s="92"/>
      <c r="M4" s="348" t="s">
        <v>499</v>
      </c>
      <c r="S4" s="93"/>
    </row>
    <row r="5" spans="1:19" s="338" customFormat="1" ht="19.95" customHeight="1">
      <c r="A5" s="340" t="s">
        <v>484</v>
      </c>
      <c r="S5" s="341"/>
    </row>
    <row r="6" spans="1:19" s="338" customFormat="1" ht="19.95" customHeight="1">
      <c r="A6" s="338" t="s">
        <v>485</v>
      </c>
      <c r="S6" s="341"/>
    </row>
    <row r="7" spans="1:19" s="338" customFormat="1" ht="19.95" customHeight="1">
      <c r="A7" s="338" t="s">
        <v>486</v>
      </c>
      <c r="S7" s="341"/>
    </row>
    <row r="8" spans="1:19" s="338" customFormat="1" ht="19.95" customHeight="1">
      <c r="A8" s="340" t="s">
        <v>495</v>
      </c>
      <c r="S8" s="341"/>
    </row>
    <row r="9" spans="1:19" s="338" customFormat="1" ht="19.95" customHeight="1">
      <c r="A9" s="505" t="s">
        <v>487</v>
      </c>
      <c r="B9" s="505"/>
      <c r="C9" s="505"/>
      <c r="D9" s="505"/>
      <c r="E9" s="505"/>
      <c r="F9" s="505"/>
      <c r="G9" s="505"/>
      <c r="H9" s="505"/>
      <c r="I9" s="505"/>
      <c r="J9" s="505"/>
      <c r="K9" s="505"/>
      <c r="L9" s="505"/>
      <c r="M9" s="505"/>
      <c r="N9" s="505"/>
      <c r="S9" s="341"/>
    </row>
    <row r="10" spans="1:19" s="338" customFormat="1" ht="19.95" customHeight="1">
      <c r="A10" s="505" t="s">
        <v>488</v>
      </c>
      <c r="B10" s="505"/>
      <c r="C10" s="505"/>
      <c r="D10" s="505"/>
      <c r="E10" s="505"/>
      <c r="F10" s="505"/>
      <c r="G10" s="505"/>
      <c r="H10" s="505"/>
      <c r="I10" s="505"/>
      <c r="J10" s="505"/>
      <c r="K10" s="505"/>
      <c r="L10" s="505"/>
      <c r="M10" s="505"/>
      <c r="N10" s="505"/>
      <c r="S10" s="341"/>
    </row>
    <row r="11" spans="1:19" s="338" customFormat="1" ht="19.95" customHeight="1">
      <c r="A11" s="505" t="s">
        <v>489</v>
      </c>
      <c r="B11" s="505"/>
      <c r="C11" s="505"/>
      <c r="D11" s="505"/>
      <c r="E11" s="505"/>
      <c r="F11" s="505"/>
      <c r="G11" s="505"/>
      <c r="H11" s="505"/>
      <c r="I11" s="505"/>
      <c r="J11" s="505"/>
      <c r="K11" s="505"/>
      <c r="L11" s="505"/>
      <c r="M11" s="505"/>
      <c r="N11" s="505"/>
      <c r="S11" s="341"/>
    </row>
    <row r="12" spans="1:19" s="338" customFormat="1" ht="19.95" customHeight="1">
      <c r="A12" s="505" t="s">
        <v>494</v>
      </c>
      <c r="B12" s="505"/>
      <c r="C12" s="505"/>
      <c r="D12" s="505"/>
      <c r="E12" s="505"/>
      <c r="F12" s="505"/>
      <c r="G12" s="505"/>
      <c r="H12" s="505"/>
      <c r="I12" s="505"/>
      <c r="J12" s="505"/>
      <c r="K12" s="505"/>
      <c r="L12" s="505"/>
      <c r="M12" s="505"/>
      <c r="N12" s="505"/>
      <c r="S12" s="341"/>
    </row>
    <row r="13" spans="1:19" s="338" customFormat="1" ht="19.95" customHeight="1">
      <c r="A13" s="340" t="s">
        <v>490</v>
      </c>
      <c r="S13" s="341"/>
    </row>
    <row r="14" spans="1:19" s="342" customFormat="1" ht="19.95" customHeight="1">
      <c r="A14" s="510" t="s">
        <v>491</v>
      </c>
      <c r="B14" s="510" t="s">
        <v>492</v>
      </c>
      <c r="C14" s="511" t="s">
        <v>171</v>
      </c>
      <c r="D14" s="511" t="s">
        <v>172</v>
      </c>
      <c r="E14" s="513" t="s">
        <v>173</v>
      </c>
      <c r="F14" s="514"/>
      <c r="G14" s="513" t="s">
        <v>174</v>
      </c>
      <c r="H14" s="514"/>
      <c r="I14" s="513" t="s">
        <v>280</v>
      </c>
      <c r="J14" s="514"/>
      <c r="K14" s="514"/>
      <c r="L14" s="514"/>
      <c r="M14" s="514"/>
      <c r="N14" s="508" t="s">
        <v>483</v>
      </c>
    </row>
    <row r="15" spans="1:19" s="342" customFormat="1" ht="26.4" customHeight="1">
      <c r="A15" s="510"/>
      <c r="B15" s="510"/>
      <c r="C15" s="512"/>
      <c r="D15" s="512"/>
      <c r="E15" s="343" t="s">
        <v>175</v>
      </c>
      <c r="F15" s="343" t="s">
        <v>176</v>
      </c>
      <c r="G15" s="343" t="s">
        <v>175</v>
      </c>
      <c r="H15" s="343" t="s">
        <v>176</v>
      </c>
      <c r="I15" s="344" t="s">
        <v>496</v>
      </c>
      <c r="J15" s="344" t="s">
        <v>497</v>
      </c>
      <c r="K15" s="345" t="s">
        <v>192</v>
      </c>
      <c r="L15" s="344" t="s">
        <v>498</v>
      </c>
      <c r="M15" s="346" t="s">
        <v>493</v>
      </c>
      <c r="N15" s="509"/>
    </row>
    <row r="16" spans="1:19" s="94" customFormat="1" ht="19.95" customHeight="1">
      <c r="A16" s="95" t="s">
        <v>177</v>
      </c>
      <c r="B16" s="96" t="s">
        <v>178</v>
      </c>
      <c r="C16" s="96"/>
      <c r="D16" s="96"/>
      <c r="E16" s="96"/>
      <c r="F16" s="96"/>
      <c r="G16" s="97"/>
      <c r="H16" s="97"/>
      <c r="I16" s="97"/>
      <c r="J16" s="97"/>
      <c r="K16" s="97"/>
      <c r="L16" s="97"/>
      <c r="M16" s="97"/>
      <c r="N16" s="97"/>
    </row>
    <row r="17" spans="1:14" s="94" customFormat="1" ht="19.95" customHeight="1">
      <c r="A17" s="95" t="s">
        <v>179</v>
      </c>
      <c r="B17" s="96" t="s">
        <v>180</v>
      </c>
      <c r="C17" s="96"/>
      <c r="D17" s="96"/>
      <c r="E17" s="96"/>
      <c r="F17" s="96"/>
      <c r="G17" s="97"/>
      <c r="H17" s="97"/>
      <c r="I17" s="97"/>
      <c r="J17" s="97"/>
      <c r="K17" s="97"/>
      <c r="L17" s="97"/>
      <c r="M17" s="97"/>
      <c r="N17" s="97"/>
    </row>
    <row r="18" spans="1:14" s="94" customFormat="1" ht="19.95" customHeight="1">
      <c r="A18" s="95" t="s">
        <v>181</v>
      </c>
      <c r="B18" s="97"/>
      <c r="C18" s="97"/>
      <c r="D18" s="97"/>
      <c r="E18" s="97"/>
      <c r="F18" s="97"/>
      <c r="G18" s="97"/>
      <c r="H18" s="97"/>
      <c r="I18" s="97"/>
      <c r="J18" s="97"/>
      <c r="K18" s="97"/>
      <c r="L18" s="97"/>
      <c r="M18" s="97"/>
      <c r="N18" s="97"/>
    </row>
    <row r="19" spans="1:14" s="94" customFormat="1" ht="19.95" customHeight="1">
      <c r="A19" s="95" t="s">
        <v>182</v>
      </c>
      <c r="B19" s="97"/>
      <c r="C19" s="97"/>
      <c r="D19" s="97"/>
      <c r="E19" s="97"/>
      <c r="F19" s="97"/>
      <c r="G19" s="97"/>
      <c r="H19" s="97"/>
      <c r="I19" s="97"/>
      <c r="J19" s="97"/>
      <c r="K19" s="97"/>
      <c r="L19" s="97"/>
      <c r="M19" s="97"/>
      <c r="N19" s="97"/>
    </row>
    <row r="20" spans="1:14" s="94" customFormat="1" ht="19.95" customHeight="1">
      <c r="A20" s="95" t="s">
        <v>183</v>
      </c>
      <c r="B20" s="97"/>
      <c r="C20" s="97"/>
      <c r="D20" s="97"/>
      <c r="E20" s="97"/>
      <c r="F20" s="97"/>
      <c r="G20" s="97"/>
      <c r="H20" s="97"/>
      <c r="I20" s="97"/>
      <c r="J20" s="97"/>
      <c r="K20" s="97"/>
      <c r="L20" s="97"/>
      <c r="M20" s="97"/>
      <c r="N20" s="97"/>
    </row>
    <row r="21" spans="1:14" s="94" customFormat="1" ht="19.95" customHeight="1">
      <c r="A21" s="95" t="s">
        <v>184</v>
      </c>
      <c r="B21" s="97"/>
      <c r="C21" s="97"/>
      <c r="D21" s="97"/>
      <c r="E21" s="97"/>
      <c r="F21" s="97"/>
      <c r="G21" s="97"/>
      <c r="H21" s="97"/>
      <c r="I21" s="97"/>
      <c r="J21" s="97"/>
      <c r="K21" s="97"/>
      <c r="L21" s="97"/>
      <c r="M21" s="97"/>
      <c r="N21" s="97"/>
    </row>
    <row r="22" spans="1:14" s="94" customFormat="1" ht="19.95" customHeight="1">
      <c r="A22" s="95" t="s">
        <v>185</v>
      </c>
      <c r="B22" s="97"/>
      <c r="C22" s="97"/>
      <c r="D22" s="97"/>
      <c r="E22" s="97"/>
      <c r="F22" s="97"/>
      <c r="G22" s="97"/>
      <c r="H22" s="97"/>
      <c r="I22" s="97"/>
      <c r="J22" s="97"/>
      <c r="K22" s="97"/>
      <c r="L22" s="97"/>
      <c r="M22" s="97"/>
      <c r="N22" s="97"/>
    </row>
    <row r="23" spans="1:14" s="94" customFormat="1" ht="19.95" customHeight="1">
      <c r="A23" s="95" t="s">
        <v>186</v>
      </c>
      <c r="B23" s="97"/>
      <c r="C23" s="97"/>
      <c r="D23" s="97"/>
      <c r="E23" s="97"/>
      <c r="F23" s="97"/>
      <c r="G23" s="97"/>
      <c r="H23" s="97"/>
      <c r="I23" s="97"/>
      <c r="J23" s="97"/>
      <c r="K23" s="97"/>
      <c r="L23" s="97"/>
      <c r="M23" s="97"/>
      <c r="N23" s="97"/>
    </row>
    <row r="24" spans="1:14" s="94" customFormat="1" ht="19.95" customHeight="1">
      <c r="A24" s="95" t="s">
        <v>187</v>
      </c>
      <c r="B24" s="97"/>
      <c r="C24" s="97"/>
      <c r="D24" s="97"/>
      <c r="E24" s="97"/>
      <c r="F24" s="97"/>
      <c r="G24" s="97"/>
      <c r="H24" s="97"/>
      <c r="I24" s="97"/>
      <c r="J24" s="97"/>
      <c r="K24" s="97"/>
      <c r="L24" s="97"/>
      <c r="M24" s="97"/>
      <c r="N24" s="97"/>
    </row>
    <row r="25" spans="1:14" s="94" customFormat="1" ht="19.95" customHeight="1">
      <c r="A25" s="95" t="s">
        <v>188</v>
      </c>
      <c r="B25" s="97"/>
      <c r="C25" s="97"/>
      <c r="D25" s="97"/>
      <c r="E25" s="97"/>
      <c r="F25" s="97"/>
      <c r="G25" s="97"/>
      <c r="H25" s="97"/>
      <c r="I25" s="97"/>
      <c r="J25" s="97"/>
      <c r="K25" s="97"/>
      <c r="L25" s="97"/>
      <c r="M25" s="97"/>
      <c r="N25" s="97"/>
    </row>
    <row r="26" spans="1:14" s="94" customFormat="1" ht="19.95" customHeight="1">
      <c r="A26" s="97" t="s">
        <v>189</v>
      </c>
      <c r="B26" s="97"/>
      <c r="C26" s="97"/>
      <c r="D26" s="97"/>
      <c r="E26" s="97"/>
      <c r="F26" s="97"/>
      <c r="G26" s="97"/>
      <c r="H26" s="97"/>
      <c r="I26" s="97"/>
      <c r="J26" s="97"/>
      <c r="K26" s="97"/>
      <c r="L26" s="97"/>
      <c r="M26" s="97"/>
      <c r="N26" s="97"/>
    </row>
    <row r="27" spans="1:14" s="94" customFormat="1" ht="19.95" customHeight="1">
      <c r="A27" s="98" t="s">
        <v>190</v>
      </c>
      <c r="B27" s="99"/>
      <c r="C27" s="99"/>
      <c r="D27" s="99"/>
      <c r="E27" s="99"/>
      <c r="F27" s="99"/>
      <c r="G27" s="99"/>
      <c r="H27" s="99"/>
      <c r="I27" s="99"/>
      <c r="J27" s="99"/>
      <c r="K27" s="99"/>
      <c r="L27" s="99"/>
      <c r="M27" s="99"/>
      <c r="N27" s="99"/>
    </row>
    <row r="28" spans="1:14" s="94" customFormat="1" ht="19.95" customHeight="1">
      <c r="A28" s="100"/>
      <c r="B28" s="100"/>
      <c r="C28" s="100"/>
      <c r="D28" s="100"/>
      <c r="E28" s="100"/>
      <c r="F28" s="100"/>
      <c r="G28" s="100"/>
      <c r="H28" s="100"/>
      <c r="I28" s="100"/>
      <c r="J28" s="100"/>
      <c r="K28" s="100"/>
      <c r="L28" s="100"/>
      <c r="M28" s="100"/>
      <c r="N28" s="100"/>
    </row>
    <row r="29" spans="1:14" s="94" customFormat="1" ht="19.95" customHeight="1">
      <c r="A29" s="100"/>
      <c r="B29" s="100"/>
      <c r="C29" s="100"/>
      <c r="D29" s="100"/>
      <c r="E29" s="100"/>
      <c r="F29" s="100"/>
      <c r="G29" s="100"/>
      <c r="H29" s="100"/>
      <c r="I29" s="100"/>
      <c r="J29" s="100"/>
      <c r="K29" s="100"/>
      <c r="L29" s="100"/>
      <c r="M29" s="100"/>
      <c r="N29" s="100"/>
    </row>
    <row r="30" spans="1:14" s="94" customFormat="1" ht="19.95" customHeight="1">
      <c r="A30" s="101" t="s">
        <v>191</v>
      </c>
      <c r="B30" s="100"/>
      <c r="C30" s="100"/>
      <c r="D30" s="100"/>
      <c r="E30" s="100"/>
      <c r="F30" s="100"/>
      <c r="G30" s="100"/>
      <c r="H30" s="100"/>
      <c r="I30" s="100"/>
      <c r="J30" s="100"/>
      <c r="K30" s="100"/>
      <c r="L30" s="100"/>
      <c r="M30" s="100"/>
      <c r="N30" s="100"/>
    </row>
    <row r="31" spans="1:14" s="94" customFormat="1" ht="19.95" customHeight="1">
      <c r="A31" s="100"/>
      <c r="B31" s="100"/>
      <c r="C31" s="100"/>
      <c r="D31" s="100"/>
      <c r="E31" s="100"/>
      <c r="F31" s="100"/>
      <c r="G31" s="100"/>
      <c r="H31" s="100"/>
      <c r="I31" s="100"/>
      <c r="J31" s="100"/>
      <c r="K31" s="100"/>
      <c r="L31" s="100"/>
      <c r="M31" s="100"/>
      <c r="N31" s="100"/>
    </row>
    <row r="32" spans="1:14" s="94" customFormat="1" ht="19.95" customHeight="1">
      <c r="A32" s="100"/>
      <c r="B32" s="100"/>
      <c r="C32" s="100"/>
      <c r="D32" s="100"/>
      <c r="E32" s="100"/>
      <c r="F32" s="100"/>
      <c r="G32" s="100"/>
      <c r="H32" s="100"/>
      <c r="I32" s="100"/>
      <c r="J32" s="100"/>
      <c r="K32" s="100"/>
      <c r="L32" s="100"/>
      <c r="M32" s="100"/>
      <c r="N32" s="100"/>
    </row>
    <row r="33" spans="1:14" s="94" customFormat="1" ht="19.95" customHeight="1">
      <c r="A33" s="100"/>
      <c r="B33" s="100"/>
      <c r="C33" s="100"/>
      <c r="D33" s="100"/>
      <c r="E33" s="100"/>
      <c r="F33" s="100"/>
      <c r="G33" s="100"/>
      <c r="H33" s="100"/>
      <c r="I33" s="100"/>
      <c r="J33" s="100"/>
      <c r="K33" s="100"/>
      <c r="L33" s="100"/>
      <c r="M33" s="100"/>
      <c r="N33" s="100"/>
    </row>
    <row r="34" spans="1:14">
      <c r="A34" s="336" t="s">
        <v>464</v>
      </c>
    </row>
    <row r="35" spans="1:14">
      <c r="A35" s="337" t="s">
        <v>465</v>
      </c>
    </row>
    <row r="36" spans="1:14">
      <c r="A36" s="336" t="s">
        <v>466</v>
      </c>
    </row>
    <row r="37" spans="1:14">
      <c r="A37" s="337" t="s">
        <v>467</v>
      </c>
    </row>
    <row r="38" spans="1:14" ht="15.6" customHeight="1">
      <c r="A38" s="337" t="s">
        <v>468</v>
      </c>
      <c r="B38" s="335"/>
      <c r="C38" s="335"/>
      <c r="D38" s="335"/>
      <c r="E38" s="335"/>
      <c r="F38" s="335"/>
      <c r="G38" s="335"/>
      <c r="H38" s="335"/>
      <c r="I38" s="335"/>
      <c r="J38" s="335"/>
      <c r="K38" s="335"/>
      <c r="L38" s="335"/>
      <c r="M38" s="335"/>
      <c r="N38" s="335"/>
    </row>
    <row r="39" spans="1:14" ht="15.6" customHeight="1">
      <c r="A39" s="337" t="s">
        <v>469</v>
      </c>
      <c r="B39" s="335"/>
      <c r="C39" s="335"/>
      <c r="D39" s="335"/>
      <c r="E39" s="335"/>
      <c r="F39" s="335"/>
      <c r="G39" s="335"/>
      <c r="H39" s="335"/>
      <c r="I39" s="335"/>
      <c r="J39" s="335"/>
      <c r="K39" s="335"/>
      <c r="L39" s="335"/>
      <c r="M39" s="335"/>
      <c r="N39" s="335"/>
    </row>
    <row r="40" spans="1:14" ht="15.6" customHeight="1">
      <c r="A40" s="337" t="s">
        <v>470</v>
      </c>
      <c r="B40" s="335"/>
      <c r="C40" s="335"/>
      <c r="D40" s="335"/>
      <c r="E40" s="335"/>
      <c r="F40" s="335"/>
      <c r="G40" s="335"/>
      <c r="H40" s="335"/>
      <c r="I40" s="335"/>
      <c r="J40" s="335"/>
      <c r="K40" s="335"/>
      <c r="L40" s="335"/>
      <c r="M40" s="335"/>
      <c r="N40" s="335"/>
    </row>
    <row r="41" spans="1:14" ht="15.6" customHeight="1">
      <c r="A41" s="337" t="s">
        <v>471</v>
      </c>
      <c r="B41" s="335"/>
      <c r="C41" s="335"/>
      <c r="D41" s="335"/>
      <c r="E41" s="335"/>
      <c r="F41" s="335"/>
      <c r="G41" s="335"/>
      <c r="H41" s="335"/>
      <c r="I41" s="335"/>
      <c r="J41" s="335"/>
      <c r="K41" s="335"/>
      <c r="L41" s="335"/>
      <c r="M41" s="335"/>
      <c r="N41" s="335"/>
    </row>
    <row r="42" spans="1:14" ht="15.6" customHeight="1">
      <c r="A42" s="337" t="s">
        <v>472</v>
      </c>
      <c r="B42" s="335"/>
      <c r="C42" s="335"/>
      <c r="D42" s="335"/>
      <c r="E42" s="335"/>
      <c r="F42" s="335"/>
      <c r="G42" s="335"/>
      <c r="H42" s="335"/>
      <c r="I42" s="335"/>
      <c r="J42" s="335"/>
      <c r="K42" s="335"/>
      <c r="L42" s="335"/>
      <c r="M42" s="335"/>
      <c r="N42" s="335"/>
    </row>
    <row r="43" spans="1:14" ht="15.6" customHeight="1">
      <c r="A43" s="337" t="s">
        <v>473</v>
      </c>
      <c r="B43" s="335"/>
      <c r="C43" s="335"/>
      <c r="D43" s="335"/>
      <c r="E43" s="335"/>
      <c r="F43" s="335"/>
      <c r="G43" s="335"/>
      <c r="H43" s="335"/>
      <c r="I43" s="335"/>
      <c r="J43" s="335"/>
      <c r="K43" s="335"/>
      <c r="L43" s="335"/>
      <c r="M43" s="335"/>
      <c r="N43" s="335"/>
    </row>
    <row r="44" spans="1:14" ht="15.6" customHeight="1">
      <c r="A44" s="337" t="s">
        <v>474</v>
      </c>
      <c r="B44" s="335"/>
      <c r="C44" s="335"/>
      <c r="D44" s="335"/>
      <c r="E44" s="335"/>
      <c r="F44" s="335"/>
      <c r="G44" s="335"/>
      <c r="H44" s="335"/>
      <c r="I44" s="335"/>
      <c r="J44" s="335"/>
      <c r="K44" s="335"/>
      <c r="L44" s="335"/>
      <c r="M44" s="335"/>
      <c r="N44" s="335"/>
    </row>
    <row r="45" spans="1:14" ht="15.6" customHeight="1">
      <c r="A45" s="337" t="s">
        <v>475</v>
      </c>
      <c r="B45" s="335"/>
      <c r="C45" s="335"/>
      <c r="D45" s="335"/>
      <c r="E45" s="335"/>
      <c r="F45" s="335"/>
      <c r="G45" s="335"/>
      <c r="H45" s="335"/>
      <c r="I45" s="335"/>
      <c r="J45" s="335"/>
      <c r="K45" s="335"/>
      <c r="L45" s="335"/>
      <c r="M45" s="335"/>
      <c r="N45" s="335"/>
    </row>
    <row r="46" spans="1:14">
      <c r="A46" s="336" t="s">
        <v>477</v>
      </c>
    </row>
    <row r="47" spans="1:14" ht="15.6" customHeight="1">
      <c r="A47" s="339" t="s">
        <v>476</v>
      </c>
      <c r="B47" s="339"/>
      <c r="C47" s="339"/>
      <c r="D47" s="339"/>
      <c r="E47" s="339"/>
      <c r="F47" s="339"/>
      <c r="G47" s="339"/>
      <c r="H47" s="339"/>
      <c r="I47" s="339"/>
      <c r="J47" s="339"/>
      <c r="K47" s="339"/>
      <c r="L47" s="339"/>
      <c r="M47" s="339"/>
      <c r="N47" s="339"/>
    </row>
    <row r="48" spans="1:14" ht="33" customHeight="1">
      <c r="A48" s="503" t="s">
        <v>479</v>
      </c>
      <c r="B48" s="503"/>
      <c r="C48" s="503"/>
      <c r="D48" s="503"/>
      <c r="E48" s="503"/>
      <c r="F48" s="503"/>
      <c r="G48" s="503"/>
      <c r="H48" s="503"/>
      <c r="I48" s="503"/>
      <c r="J48" s="503"/>
      <c r="K48" s="503"/>
      <c r="L48" s="503"/>
      <c r="M48" s="503"/>
      <c r="N48" s="503"/>
    </row>
    <row r="49" spans="1:14" ht="23.4" customHeight="1">
      <c r="A49" s="504" t="s">
        <v>478</v>
      </c>
      <c r="B49" s="504"/>
      <c r="C49" s="504"/>
      <c r="D49" s="504"/>
      <c r="E49" s="504"/>
      <c r="F49" s="504"/>
      <c r="G49" s="504"/>
      <c r="H49" s="504"/>
      <c r="I49" s="504"/>
      <c r="J49" s="504"/>
      <c r="K49" s="504"/>
      <c r="L49" s="504"/>
      <c r="M49" s="504"/>
      <c r="N49" s="504"/>
    </row>
  </sheetData>
  <mergeCells count="16">
    <mergeCell ref="A48:N48"/>
    <mergeCell ref="A49:N49"/>
    <mergeCell ref="A12:N12"/>
    <mergeCell ref="A1:N1"/>
    <mergeCell ref="A2:N2"/>
    <mergeCell ref="A9:N9"/>
    <mergeCell ref="A10:N10"/>
    <mergeCell ref="A11:N11"/>
    <mergeCell ref="N14:N15"/>
    <mergeCell ref="A14:A15"/>
    <mergeCell ref="B14:B15"/>
    <mergeCell ref="C14:C15"/>
    <mergeCell ref="D14:D15"/>
    <mergeCell ref="E14:F14"/>
    <mergeCell ref="G14:H14"/>
    <mergeCell ref="I14:M14"/>
  </mergeCells>
  <phoneticPr fontId="6" type="noConversion"/>
  <hyperlinks>
    <hyperlink ref="N3" location="底稿目录!A1" display="底稿目录!A1"/>
  </hyperlinks>
  <pageMargins left="0.47244094488188981" right="0.23622047244094491" top="0.62992125984251968" bottom="0.43307086614173229" header="0.31496062992125984" footer="0.31496062992125984"/>
  <pageSetup paperSize="9" scale="71" fitToHeight="10" orientation="landscape" blackAndWhite="1"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N79"/>
  <sheetViews>
    <sheetView view="pageBreakPreview" topLeftCell="A31" zoomScaleSheetLayoutView="100" workbookViewId="0">
      <selection activeCell="C77" sqref="C77"/>
    </sheetView>
  </sheetViews>
  <sheetFormatPr defaultColWidth="9" defaultRowHeight="13.8"/>
  <cols>
    <col min="1" max="1" width="6.77734375" style="106" customWidth="1"/>
    <col min="2" max="2" width="24.33203125" style="106" customWidth="1"/>
    <col min="3" max="13" width="14.6640625" style="106" customWidth="1"/>
    <col min="14" max="16384" width="9" style="106"/>
  </cols>
  <sheetData>
    <row r="1" spans="1:13" s="103" customFormat="1" ht="19.95" customHeight="1">
      <c r="A1" s="516" t="s">
        <v>426</v>
      </c>
      <c r="B1" s="516"/>
      <c r="C1" s="516"/>
      <c r="D1" s="516"/>
      <c r="E1" s="516"/>
      <c r="F1" s="516"/>
      <c r="G1" s="516"/>
      <c r="H1" s="516"/>
      <c r="I1" s="516"/>
      <c r="J1" s="516"/>
      <c r="K1" s="516"/>
      <c r="L1" s="516"/>
      <c r="M1" s="516"/>
    </row>
    <row r="2" spans="1:13" s="104" customFormat="1" ht="19.95" customHeight="1">
      <c r="A2" s="517" t="s">
        <v>516</v>
      </c>
      <c r="B2" s="517"/>
      <c r="C2" s="517"/>
      <c r="D2" s="517"/>
      <c r="E2" s="517"/>
      <c r="F2" s="517"/>
      <c r="G2" s="517"/>
      <c r="H2" s="517"/>
      <c r="I2" s="517"/>
      <c r="J2" s="517"/>
      <c r="K2" s="517"/>
      <c r="L2" s="517"/>
      <c r="M2" s="517"/>
    </row>
    <row r="3" spans="1:13" ht="19.95" customHeight="1">
      <c r="A3" s="105" t="str">
        <f>底稿目录!A2</f>
        <v>被审计单位：</v>
      </c>
      <c r="E3" s="107" t="str">
        <f>底稿目录!A4</f>
        <v>编制人：</v>
      </c>
      <c r="H3" s="105" t="str">
        <f>底稿目录!A5</f>
        <v>编制日期：</v>
      </c>
      <c r="L3" s="350" t="s">
        <v>514</v>
      </c>
      <c r="M3" s="360" t="str">
        <f>底稿目录!F21</f>
        <v>F2-70</v>
      </c>
    </row>
    <row r="4" spans="1:13" ht="19.95" customHeight="1">
      <c r="A4" s="105" t="str">
        <f>底稿目录!A3</f>
        <v>截止日：202X年12月31日</v>
      </c>
      <c r="E4" s="107" t="str">
        <f>底稿目录!A6</f>
        <v>复核人：</v>
      </c>
      <c r="H4" s="105" t="str">
        <f>底稿目录!A7</f>
        <v>复核日期：</v>
      </c>
      <c r="L4" s="350" t="s">
        <v>515</v>
      </c>
      <c r="M4" s="108"/>
    </row>
    <row r="5" spans="1:13" s="110" customFormat="1" ht="19.95" customHeight="1">
      <c r="A5" s="109" t="s">
        <v>193</v>
      </c>
    </row>
    <row r="6" spans="1:13" s="110" customFormat="1" ht="19.95" customHeight="1">
      <c r="A6" s="349" t="s">
        <v>503</v>
      </c>
      <c r="B6" s="111"/>
    </row>
    <row r="7" spans="1:13" s="110" customFormat="1" ht="19.95" customHeight="1">
      <c r="A7" s="109" t="s">
        <v>194</v>
      </c>
      <c r="B7" s="109"/>
    </row>
    <row r="8" spans="1:13" s="110" customFormat="1" ht="19.95" customHeight="1">
      <c r="A8" s="112" t="s">
        <v>215</v>
      </c>
      <c r="B8" s="109"/>
    </row>
    <row r="9" spans="1:13" s="110" customFormat="1" ht="19.95" customHeight="1">
      <c r="A9" s="108" t="s">
        <v>502</v>
      </c>
      <c r="B9" s="113"/>
    </row>
    <row r="10" spans="1:13" s="110" customFormat="1" ht="19.95" customHeight="1">
      <c r="A10" s="112" t="s">
        <v>195</v>
      </c>
      <c r="B10" s="113"/>
    </row>
    <row r="11" spans="1:13" s="352" customFormat="1" ht="19.95" customHeight="1">
      <c r="A11" s="518" t="s">
        <v>513</v>
      </c>
      <c r="B11" s="518"/>
      <c r="C11" s="351" t="s">
        <v>7</v>
      </c>
      <c r="D11" s="351" t="s">
        <v>504</v>
      </c>
      <c r="E11" s="351" t="s">
        <v>505</v>
      </c>
      <c r="F11" s="351" t="s">
        <v>506</v>
      </c>
      <c r="G11" s="351" t="s">
        <v>507</v>
      </c>
      <c r="H11" s="351" t="s">
        <v>508</v>
      </c>
      <c r="I11" s="351" t="s">
        <v>509</v>
      </c>
      <c r="J11" s="351" t="s">
        <v>510</v>
      </c>
      <c r="K11" s="351" t="s">
        <v>511</v>
      </c>
      <c r="L11" s="351" t="s">
        <v>512</v>
      </c>
      <c r="M11" s="351" t="s">
        <v>196</v>
      </c>
    </row>
    <row r="12" spans="1:13" s="352" customFormat="1" ht="19.95" customHeight="1">
      <c r="A12" s="515" t="s">
        <v>527</v>
      </c>
      <c r="B12" s="515"/>
      <c r="C12" s="355"/>
      <c r="D12" s="355"/>
      <c r="E12" s="355"/>
      <c r="F12" s="355"/>
      <c r="G12" s="355"/>
      <c r="H12" s="355"/>
      <c r="I12" s="355"/>
      <c r="J12" s="355"/>
      <c r="K12" s="355"/>
      <c r="L12" s="355"/>
      <c r="M12" s="355"/>
    </row>
    <row r="13" spans="1:13" s="352" customFormat="1" ht="19.95" customHeight="1">
      <c r="A13" s="515" t="s">
        <v>197</v>
      </c>
      <c r="B13" s="515"/>
      <c r="C13" s="354"/>
      <c r="D13" s="354"/>
      <c r="E13" s="354"/>
      <c r="F13" s="354"/>
      <c r="G13" s="354"/>
      <c r="H13" s="354"/>
      <c r="I13" s="354"/>
      <c r="J13" s="354"/>
      <c r="K13" s="354"/>
      <c r="L13" s="354"/>
      <c r="M13" s="354"/>
    </row>
    <row r="14" spans="1:13" s="352" customFormat="1" ht="19.95" customHeight="1">
      <c r="A14" s="515" t="s">
        <v>198</v>
      </c>
      <c r="B14" s="515"/>
      <c r="C14" s="354"/>
      <c r="D14" s="354"/>
      <c r="E14" s="354"/>
      <c r="F14" s="354"/>
      <c r="G14" s="354"/>
      <c r="H14" s="354"/>
      <c r="I14" s="354"/>
      <c r="J14" s="354"/>
      <c r="K14" s="354"/>
      <c r="L14" s="354"/>
      <c r="M14" s="354"/>
    </row>
    <row r="15" spans="1:13" s="352" customFormat="1" ht="19.95" customHeight="1">
      <c r="A15" s="515" t="s">
        <v>199</v>
      </c>
      <c r="B15" s="515"/>
      <c r="C15" s="354"/>
      <c r="D15" s="354"/>
      <c r="E15" s="354"/>
      <c r="F15" s="354"/>
      <c r="G15" s="354"/>
      <c r="H15" s="354"/>
      <c r="I15" s="354"/>
      <c r="J15" s="354"/>
      <c r="K15" s="354"/>
      <c r="L15" s="354"/>
      <c r="M15" s="354"/>
    </row>
    <row r="16" spans="1:13" s="352" customFormat="1" ht="19.95" customHeight="1">
      <c r="A16" s="515" t="s">
        <v>200</v>
      </c>
      <c r="B16" s="515"/>
      <c r="C16" s="355"/>
      <c r="D16" s="355"/>
      <c r="E16" s="355"/>
      <c r="F16" s="355"/>
      <c r="G16" s="355"/>
      <c r="H16" s="355"/>
      <c r="I16" s="355"/>
      <c r="J16" s="355"/>
      <c r="K16" s="355"/>
      <c r="L16" s="355"/>
      <c r="M16" s="355"/>
    </row>
    <row r="17" spans="1:14" s="352" customFormat="1" ht="19.95" customHeight="1">
      <c r="A17" s="515" t="s">
        <v>201</v>
      </c>
      <c r="B17" s="515"/>
      <c r="C17" s="355"/>
      <c r="D17" s="355"/>
      <c r="E17" s="355"/>
      <c r="F17" s="355"/>
      <c r="G17" s="355"/>
      <c r="H17" s="355"/>
      <c r="I17" s="355"/>
      <c r="J17" s="355"/>
      <c r="K17" s="355"/>
      <c r="L17" s="355"/>
      <c r="M17" s="355"/>
    </row>
    <row r="18" spans="1:14" s="352" customFormat="1" ht="19.95" customHeight="1">
      <c r="A18" s="515" t="s">
        <v>202</v>
      </c>
      <c r="B18" s="515"/>
      <c r="C18" s="357"/>
      <c r="D18" s="357"/>
      <c r="E18" s="357"/>
      <c r="F18" s="357"/>
      <c r="G18" s="357"/>
      <c r="H18" s="357"/>
      <c r="I18" s="357"/>
      <c r="J18" s="357"/>
      <c r="K18" s="357"/>
      <c r="L18" s="357"/>
      <c r="M18" s="357"/>
    </row>
    <row r="19" spans="1:14" s="352" customFormat="1" ht="19.95" customHeight="1">
      <c r="A19" s="515" t="s">
        <v>203</v>
      </c>
      <c r="B19" s="515"/>
      <c r="C19" s="356"/>
      <c r="D19" s="356"/>
      <c r="E19" s="356"/>
      <c r="F19" s="356"/>
      <c r="G19" s="356"/>
      <c r="H19" s="356"/>
      <c r="I19" s="356"/>
      <c r="J19" s="356"/>
      <c r="K19" s="356"/>
      <c r="L19" s="356"/>
      <c r="M19" s="356"/>
      <c r="N19" s="353" t="s">
        <v>523</v>
      </c>
    </row>
    <row r="20" spans="1:14" s="352" customFormat="1" ht="19.95" customHeight="1">
      <c r="A20" s="515" t="s">
        <v>204</v>
      </c>
      <c r="B20" s="515"/>
      <c r="C20" s="354"/>
      <c r="D20" s="354"/>
      <c r="E20" s="354"/>
      <c r="F20" s="354"/>
      <c r="G20" s="354"/>
      <c r="H20" s="354"/>
      <c r="I20" s="354"/>
      <c r="J20" s="354"/>
      <c r="K20" s="354"/>
      <c r="L20" s="354"/>
      <c r="M20" s="354"/>
      <c r="N20" s="353" t="s">
        <v>522</v>
      </c>
    </row>
    <row r="21" spans="1:14" s="352" customFormat="1" ht="19.95" customHeight="1">
      <c r="A21" s="515" t="s">
        <v>231</v>
      </c>
      <c r="B21" s="515"/>
      <c r="C21" s="356"/>
      <c r="D21" s="356"/>
      <c r="E21" s="356"/>
      <c r="F21" s="356"/>
      <c r="G21" s="356"/>
      <c r="H21" s="356"/>
      <c r="I21" s="356"/>
      <c r="J21" s="356"/>
      <c r="K21" s="356"/>
      <c r="L21" s="356"/>
      <c r="M21" s="356"/>
      <c r="N21" s="353" t="s">
        <v>524</v>
      </c>
    </row>
    <row r="22" spans="1:14" s="352" customFormat="1" ht="19.95" customHeight="1">
      <c r="A22" s="515" t="s">
        <v>205</v>
      </c>
      <c r="B22" s="515"/>
      <c r="C22" s="354"/>
      <c r="D22" s="354"/>
      <c r="E22" s="354"/>
      <c r="F22" s="354"/>
      <c r="G22" s="354"/>
      <c r="H22" s="354"/>
      <c r="I22" s="354"/>
      <c r="J22" s="354"/>
      <c r="K22" s="354"/>
      <c r="L22" s="354"/>
      <c r="M22" s="354"/>
    </row>
    <row r="23" spans="1:14" s="352" customFormat="1" ht="19.95" customHeight="1">
      <c r="A23" s="519" t="s">
        <v>206</v>
      </c>
      <c r="B23" s="361" t="s">
        <v>207</v>
      </c>
      <c r="C23" s="354"/>
      <c r="D23" s="354"/>
      <c r="E23" s="354"/>
      <c r="F23" s="354"/>
      <c r="G23" s="354"/>
      <c r="H23" s="354"/>
      <c r="I23" s="354"/>
      <c r="J23" s="354"/>
      <c r="K23" s="354"/>
      <c r="L23" s="354"/>
      <c r="M23" s="354"/>
    </row>
    <row r="24" spans="1:14" s="352" customFormat="1" ht="19.95" customHeight="1">
      <c r="A24" s="519"/>
      <c r="B24" s="361" t="s">
        <v>208</v>
      </c>
      <c r="C24" s="354"/>
      <c r="D24" s="354"/>
      <c r="E24" s="354"/>
      <c r="F24" s="354"/>
      <c r="G24" s="354"/>
      <c r="H24" s="354"/>
      <c r="I24" s="354"/>
      <c r="J24" s="354"/>
      <c r="K24" s="354"/>
      <c r="L24" s="354"/>
      <c r="M24" s="354"/>
    </row>
    <row r="25" spans="1:14" s="352" customFormat="1" ht="19.95" customHeight="1">
      <c r="A25" s="519"/>
      <c r="B25" s="361" t="s">
        <v>209</v>
      </c>
      <c r="C25" s="354"/>
      <c r="D25" s="354"/>
      <c r="E25" s="354"/>
      <c r="F25" s="354"/>
      <c r="G25" s="354"/>
      <c r="H25" s="354"/>
      <c r="I25" s="354"/>
      <c r="J25" s="354"/>
      <c r="K25" s="354"/>
      <c r="L25" s="354"/>
      <c r="M25" s="354"/>
    </row>
    <row r="26" spans="1:14" s="352" customFormat="1" ht="19.95" customHeight="1">
      <c r="A26" s="519"/>
      <c r="B26" s="361" t="s">
        <v>210</v>
      </c>
      <c r="C26" s="354"/>
      <c r="D26" s="354"/>
      <c r="E26" s="354"/>
      <c r="F26" s="354"/>
      <c r="G26" s="354"/>
      <c r="H26" s="354"/>
      <c r="I26" s="354"/>
      <c r="J26" s="354"/>
      <c r="K26" s="354"/>
      <c r="L26" s="354"/>
      <c r="M26" s="354"/>
    </row>
    <row r="27" spans="1:14" s="352" customFormat="1" ht="19.95" customHeight="1">
      <c r="A27" s="519"/>
      <c r="B27" s="361" t="s">
        <v>211</v>
      </c>
      <c r="C27" s="354"/>
      <c r="D27" s="354"/>
      <c r="E27" s="354"/>
      <c r="F27" s="354"/>
      <c r="G27" s="354"/>
      <c r="H27" s="354"/>
      <c r="I27" s="354"/>
      <c r="J27" s="354"/>
      <c r="K27" s="354"/>
      <c r="L27" s="354"/>
      <c r="M27" s="354"/>
    </row>
    <row r="28" spans="1:14" s="352" customFormat="1" ht="19.95" customHeight="1">
      <c r="A28" s="519"/>
      <c r="B28" s="362" t="s">
        <v>196</v>
      </c>
      <c r="C28" s="354"/>
      <c r="D28" s="354"/>
      <c r="E28" s="354"/>
      <c r="F28" s="354"/>
      <c r="G28" s="354"/>
      <c r="H28" s="354"/>
      <c r="I28" s="354"/>
      <c r="J28" s="354"/>
      <c r="K28" s="354"/>
      <c r="L28" s="354"/>
      <c r="M28" s="354"/>
    </row>
    <row r="29" spans="1:14" s="352" customFormat="1" ht="19.95" customHeight="1">
      <c r="A29" s="519" t="s">
        <v>212</v>
      </c>
      <c r="B29" s="361" t="s">
        <v>525</v>
      </c>
      <c r="C29" s="358"/>
      <c r="D29" s="358"/>
      <c r="E29" s="358"/>
      <c r="F29" s="358"/>
      <c r="G29" s="358"/>
      <c r="H29" s="358"/>
      <c r="I29" s="358"/>
      <c r="J29" s="358"/>
      <c r="K29" s="358"/>
      <c r="L29" s="358"/>
      <c r="M29" s="358"/>
    </row>
    <row r="30" spans="1:14" s="352" customFormat="1" ht="19.95" customHeight="1">
      <c r="A30" s="519"/>
      <c r="B30" s="361" t="s">
        <v>526</v>
      </c>
      <c r="C30" s="358"/>
      <c r="D30" s="358"/>
      <c r="E30" s="358"/>
      <c r="F30" s="358"/>
      <c r="G30" s="358"/>
      <c r="H30" s="358"/>
      <c r="I30" s="358"/>
      <c r="J30" s="358"/>
      <c r="K30" s="358"/>
      <c r="L30" s="358"/>
      <c r="M30" s="358"/>
    </row>
    <row r="31" spans="1:14" s="352" customFormat="1" ht="19.95" customHeight="1">
      <c r="A31" s="519"/>
      <c r="B31" s="362" t="s">
        <v>196</v>
      </c>
      <c r="C31" s="358"/>
      <c r="D31" s="358"/>
      <c r="E31" s="358"/>
      <c r="F31" s="358"/>
      <c r="G31" s="358"/>
      <c r="H31" s="358"/>
      <c r="I31" s="358"/>
      <c r="J31" s="358"/>
      <c r="K31" s="358"/>
      <c r="L31" s="358"/>
      <c r="M31" s="358"/>
    </row>
    <row r="32" spans="1:14" s="352" customFormat="1" ht="19.95" customHeight="1">
      <c r="A32" s="519" t="s">
        <v>213</v>
      </c>
      <c r="B32" s="362"/>
      <c r="C32" s="358"/>
      <c r="D32" s="358"/>
      <c r="E32" s="358"/>
      <c r="F32" s="358"/>
      <c r="G32" s="358"/>
      <c r="H32" s="358"/>
      <c r="I32" s="358"/>
      <c r="J32" s="358"/>
      <c r="K32" s="358"/>
      <c r="L32" s="358"/>
      <c r="M32" s="358"/>
    </row>
    <row r="33" spans="1:13" s="352" customFormat="1" ht="19.95" customHeight="1">
      <c r="A33" s="519"/>
      <c r="B33" s="362"/>
      <c r="C33" s="358"/>
      <c r="D33" s="358"/>
      <c r="E33" s="358"/>
      <c r="F33" s="358"/>
      <c r="G33" s="358"/>
      <c r="H33" s="358"/>
      <c r="I33" s="358"/>
      <c r="J33" s="358"/>
      <c r="K33" s="358"/>
      <c r="L33" s="358"/>
      <c r="M33" s="358"/>
    </row>
    <row r="34" spans="1:13" s="352" customFormat="1" ht="19.95" customHeight="1">
      <c r="A34" s="519"/>
      <c r="B34" s="362"/>
      <c r="C34" s="358"/>
      <c r="D34" s="358"/>
      <c r="E34" s="358"/>
      <c r="F34" s="358"/>
      <c r="G34" s="358"/>
      <c r="H34" s="358"/>
      <c r="I34" s="358"/>
      <c r="J34" s="358"/>
      <c r="K34" s="358"/>
      <c r="L34" s="358"/>
      <c r="M34" s="358"/>
    </row>
    <row r="35" spans="1:13" s="352" customFormat="1" ht="19.95" customHeight="1">
      <c r="A35" s="515" t="s">
        <v>216</v>
      </c>
      <c r="B35" s="515"/>
      <c r="C35" s="354"/>
      <c r="D35" s="354"/>
      <c r="E35" s="354"/>
      <c r="F35" s="354"/>
      <c r="G35" s="354"/>
      <c r="H35" s="354"/>
      <c r="I35" s="354"/>
      <c r="J35" s="354"/>
      <c r="K35" s="354"/>
      <c r="L35" s="354"/>
      <c r="M35" s="354"/>
    </row>
    <row r="36" spans="1:13" s="352" customFormat="1" ht="19.95" customHeight="1">
      <c r="A36" s="515" t="s">
        <v>647</v>
      </c>
      <c r="B36" s="515"/>
      <c r="C36" s="358"/>
      <c r="D36" s="358"/>
      <c r="E36" s="358"/>
      <c r="F36" s="358"/>
      <c r="G36" s="358"/>
      <c r="H36" s="358"/>
      <c r="I36" s="358"/>
      <c r="J36" s="358"/>
      <c r="K36" s="358"/>
      <c r="L36" s="358"/>
      <c r="M36" s="358"/>
    </row>
    <row r="37" spans="1:13" s="352" customFormat="1" ht="19.95" customHeight="1">
      <c r="A37" s="405" t="s">
        <v>726</v>
      </c>
      <c r="B37" s="405"/>
      <c r="C37" s="358"/>
      <c r="D37" s="358"/>
      <c r="E37" s="358"/>
      <c r="F37" s="358"/>
      <c r="G37" s="358"/>
      <c r="H37" s="358"/>
      <c r="I37" s="358"/>
      <c r="J37" s="358"/>
      <c r="K37" s="358"/>
      <c r="L37" s="358"/>
      <c r="M37" s="358"/>
    </row>
    <row r="38" spans="1:13" s="352" customFormat="1" ht="19.95" customHeight="1">
      <c r="A38" s="515" t="s">
        <v>648</v>
      </c>
      <c r="B38" s="515"/>
      <c r="C38" s="354"/>
      <c r="D38" s="354"/>
      <c r="E38" s="354"/>
      <c r="F38" s="354"/>
      <c r="G38" s="354"/>
      <c r="H38" s="354"/>
      <c r="I38" s="354"/>
      <c r="J38" s="354"/>
      <c r="K38" s="354"/>
      <c r="L38" s="354"/>
      <c r="M38" s="354"/>
    </row>
    <row r="39" spans="1:13" s="352" customFormat="1" ht="19.95" customHeight="1">
      <c r="A39" s="515" t="s">
        <v>649</v>
      </c>
      <c r="B39" s="515"/>
      <c r="C39" s="358"/>
      <c r="D39" s="358"/>
      <c r="E39" s="358"/>
      <c r="F39" s="358"/>
      <c r="G39" s="358"/>
      <c r="H39" s="358"/>
      <c r="I39" s="358"/>
      <c r="J39" s="358"/>
      <c r="K39" s="358"/>
      <c r="L39" s="358"/>
      <c r="M39" s="358"/>
    </row>
    <row r="40" spans="1:13" s="352" customFormat="1" ht="19.95" customHeight="1">
      <c r="A40" s="515" t="s">
        <v>650</v>
      </c>
      <c r="B40" s="515"/>
      <c r="C40" s="354"/>
      <c r="D40" s="354"/>
      <c r="E40" s="354"/>
      <c r="F40" s="354"/>
      <c r="G40" s="354"/>
      <c r="H40" s="354"/>
      <c r="I40" s="354"/>
      <c r="J40" s="354"/>
      <c r="K40" s="354"/>
      <c r="L40" s="354"/>
      <c r="M40" s="354"/>
    </row>
    <row r="41" spans="1:13" ht="19.95" customHeight="1">
      <c r="A41" s="114" t="s">
        <v>520</v>
      </c>
      <c r="B41" s="115"/>
      <c r="C41" s="115"/>
      <c r="D41" s="115"/>
      <c r="E41" s="116"/>
      <c r="F41" s="116"/>
      <c r="G41" s="116"/>
      <c r="H41" s="116"/>
      <c r="I41" s="116"/>
      <c r="J41" s="116"/>
      <c r="K41" s="116"/>
      <c r="L41" s="116"/>
    </row>
    <row r="42" spans="1:13" ht="19.95" customHeight="1">
      <c r="A42" s="103"/>
      <c r="B42" s="116"/>
      <c r="C42" s="116"/>
      <c r="D42" s="116"/>
      <c r="E42" s="116"/>
      <c r="F42" s="116"/>
      <c r="G42" s="116"/>
      <c r="H42" s="116"/>
      <c r="I42" s="116"/>
      <c r="J42" s="116"/>
      <c r="K42" s="116"/>
      <c r="L42" s="116"/>
    </row>
    <row r="43" spans="1:13" ht="19.95" customHeight="1">
      <c r="A43" s="117" t="s">
        <v>521</v>
      </c>
      <c r="B43" s="116"/>
      <c r="C43" s="116"/>
      <c r="D43" s="116"/>
      <c r="E43" s="116"/>
      <c r="F43" s="116"/>
      <c r="G43" s="116"/>
      <c r="H43" s="116"/>
      <c r="I43" s="116"/>
      <c r="J43" s="116"/>
      <c r="K43" s="116"/>
      <c r="L43" s="116"/>
    </row>
    <row r="44" spans="1:13" ht="19.95" customHeight="1">
      <c r="A44" s="116"/>
      <c r="B44" s="116"/>
      <c r="C44" s="116"/>
      <c r="D44" s="116"/>
      <c r="E44" s="116"/>
      <c r="F44" s="116"/>
      <c r="G44" s="116"/>
      <c r="H44" s="116"/>
      <c r="I44" s="116"/>
      <c r="J44" s="116"/>
      <c r="K44" s="116"/>
      <c r="L44" s="116"/>
    </row>
    <row r="45" spans="1:13" ht="19.95" customHeight="1">
      <c r="B45" s="116"/>
      <c r="C45" s="116"/>
      <c r="D45" s="116"/>
      <c r="E45" s="116"/>
      <c r="F45" s="116"/>
      <c r="G45" s="116"/>
      <c r="H45" s="116"/>
      <c r="I45" s="116"/>
      <c r="J45" s="116"/>
      <c r="K45" s="116"/>
      <c r="L45" s="116"/>
    </row>
    <row r="46" spans="1:13" ht="18" customHeight="1">
      <c r="B46" s="108"/>
      <c r="C46" s="108"/>
      <c r="D46" s="108"/>
      <c r="E46" s="108"/>
      <c r="F46" s="108"/>
      <c r="G46" s="108"/>
      <c r="H46" s="108"/>
      <c r="I46" s="108"/>
      <c r="J46" s="108"/>
      <c r="K46" s="108"/>
      <c r="L46" s="108"/>
    </row>
    <row r="47" spans="1:13" ht="16.8" customHeight="1">
      <c r="A47" s="408" t="s">
        <v>724</v>
      </c>
    </row>
    <row r="48" spans="1:13" ht="16.8" customHeight="1">
      <c r="A48" s="413" t="s">
        <v>727</v>
      </c>
    </row>
    <row r="49" spans="1:1" ht="16.8" customHeight="1">
      <c r="A49" s="410" t="s">
        <v>728</v>
      </c>
    </row>
    <row r="50" spans="1:1" ht="16.8" customHeight="1">
      <c r="A50" s="410" t="s">
        <v>729</v>
      </c>
    </row>
    <row r="51" spans="1:1" ht="16.8" customHeight="1">
      <c r="A51" s="410" t="s">
        <v>730</v>
      </c>
    </row>
    <row r="52" spans="1:1" ht="16.8" customHeight="1">
      <c r="A52" s="410" t="s">
        <v>731</v>
      </c>
    </row>
    <row r="53" spans="1:1" ht="16.8" customHeight="1">
      <c r="A53" s="410" t="s">
        <v>732</v>
      </c>
    </row>
    <row r="54" spans="1:1" ht="16.8" customHeight="1">
      <c r="A54" s="411" t="s">
        <v>733</v>
      </c>
    </row>
    <row r="55" spans="1:1" ht="16.8" customHeight="1">
      <c r="A55" s="411" t="s">
        <v>734</v>
      </c>
    </row>
    <row r="56" spans="1:1" s="118" customFormat="1" ht="16.8" customHeight="1">
      <c r="A56" s="412" t="s">
        <v>735</v>
      </c>
    </row>
    <row r="57" spans="1:1" s="118" customFormat="1" ht="16.8" customHeight="1">
      <c r="A57" s="412" t="s">
        <v>736</v>
      </c>
    </row>
    <row r="58" spans="1:1" s="118" customFormat="1" ht="16.8" customHeight="1">
      <c r="A58" s="412" t="s">
        <v>737</v>
      </c>
    </row>
    <row r="59" spans="1:1" s="118" customFormat="1" ht="16.8" customHeight="1">
      <c r="A59" s="412" t="s">
        <v>738</v>
      </c>
    </row>
    <row r="60" spans="1:1" s="118" customFormat="1" ht="16.8" customHeight="1">
      <c r="A60" s="412" t="s">
        <v>739</v>
      </c>
    </row>
    <row r="61" spans="1:1" s="118" customFormat="1" ht="16.8" customHeight="1">
      <c r="A61" s="412" t="s">
        <v>740</v>
      </c>
    </row>
    <row r="62" spans="1:1" s="118" customFormat="1" ht="16.8" customHeight="1">
      <c r="A62" s="412" t="s">
        <v>741</v>
      </c>
    </row>
    <row r="63" spans="1:1" s="118" customFormat="1" ht="17.399999999999999" customHeight="1">
      <c r="A63" s="412" t="s">
        <v>742</v>
      </c>
    </row>
    <row r="64" spans="1:1" s="118" customFormat="1" ht="17.399999999999999" customHeight="1">
      <c r="A64" s="411" t="s">
        <v>743</v>
      </c>
    </row>
    <row r="65" spans="1:1" s="118" customFormat="1" ht="17.399999999999999" customHeight="1">
      <c r="A65" s="413" t="s">
        <v>725</v>
      </c>
    </row>
    <row r="66" spans="1:1" s="118" customFormat="1" ht="17.399999999999999" customHeight="1">
      <c r="A66" s="118" t="s">
        <v>744</v>
      </c>
    </row>
    <row r="67" spans="1:1" ht="17.399999999999999" customHeight="1">
      <c r="A67" s="409" t="s">
        <v>745</v>
      </c>
    </row>
    <row r="68" spans="1:1" ht="17.399999999999999" customHeight="1">
      <c r="A68" s="413" t="s">
        <v>746</v>
      </c>
    </row>
    <row r="69" spans="1:1" ht="17.399999999999999" customHeight="1">
      <c r="A69" s="413" t="s">
        <v>747</v>
      </c>
    </row>
    <row r="70" spans="1:1" ht="17.399999999999999" customHeight="1">
      <c r="A70" s="413" t="s">
        <v>748</v>
      </c>
    </row>
    <row r="71" spans="1:1" ht="17.399999999999999" customHeight="1">
      <c r="A71" s="413" t="s">
        <v>749</v>
      </c>
    </row>
    <row r="72" spans="1:1" ht="17.399999999999999" customHeight="1">
      <c r="A72" s="413" t="s">
        <v>750</v>
      </c>
    </row>
    <row r="73" spans="1:1" ht="17.399999999999999" customHeight="1">
      <c r="A73" s="413" t="s">
        <v>752</v>
      </c>
    </row>
    <row r="74" spans="1:1" ht="17.399999999999999" customHeight="1">
      <c r="A74" s="413" t="s">
        <v>751</v>
      </c>
    </row>
    <row r="79" spans="1:1">
      <c r="A79" s="119"/>
    </row>
  </sheetData>
  <mergeCells count="22">
    <mergeCell ref="A38:B38"/>
    <mergeCell ref="A39:B39"/>
    <mergeCell ref="A40:B40"/>
    <mergeCell ref="A36:B36"/>
    <mergeCell ref="A35:B35"/>
    <mergeCell ref="A22:B22"/>
    <mergeCell ref="A23:A28"/>
    <mergeCell ref="A29:A31"/>
    <mergeCell ref="A32:A34"/>
    <mergeCell ref="A21:B21"/>
    <mergeCell ref="A1:M1"/>
    <mergeCell ref="A2:M2"/>
    <mergeCell ref="A11:B11"/>
    <mergeCell ref="A13:B13"/>
    <mergeCell ref="A14:B14"/>
    <mergeCell ref="A20:B20"/>
    <mergeCell ref="A12:B12"/>
    <mergeCell ref="A15:B15"/>
    <mergeCell ref="A16:B16"/>
    <mergeCell ref="A17:B17"/>
    <mergeCell ref="A18:B18"/>
    <mergeCell ref="A19:B19"/>
  </mergeCells>
  <phoneticPr fontId="6" type="noConversion"/>
  <dataValidations count="1">
    <dataValidation type="list" allowBlank="1" showInputMessage="1" showErrorMessage="1" sqref="C36:M37 C39:M39">
      <formula1>"是,否"</formula1>
    </dataValidation>
  </dataValidations>
  <hyperlinks>
    <hyperlink ref="M3" location="底稿目录!A1" display="底稿目录!A1"/>
  </hyperlinks>
  <printOptions horizontalCentered="1"/>
  <pageMargins left="0.70866141732283472" right="0.70866141732283472" top="0.74803149606299213" bottom="0.74803149606299213" header="0.31496062992125984" footer="0.31496062992125984"/>
  <pageSetup paperSize="9" scale="60" fitToHeight="100" orientation="landscape" blackAndWhite="1" r:id="rId1"/>
  <headerFooter>
    <oddFooter>&amp;C&amp;P/&amp;N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1"/>
  <sheetViews>
    <sheetView view="pageBreakPreview" topLeftCell="A22" zoomScaleNormal="100" zoomScaleSheetLayoutView="100" workbookViewId="0">
      <selection activeCell="E40" sqref="E40"/>
    </sheetView>
  </sheetViews>
  <sheetFormatPr defaultRowHeight="13.8"/>
  <cols>
    <col min="1" max="1" width="18.88671875" customWidth="1"/>
    <col min="2" max="8" width="22.21875" customWidth="1"/>
  </cols>
  <sheetData>
    <row r="1" spans="1:9" ht="19.95" customHeight="1">
      <c r="A1" s="516" t="s">
        <v>426</v>
      </c>
      <c r="B1" s="516"/>
      <c r="C1" s="516"/>
      <c r="D1" s="516"/>
      <c r="E1" s="516"/>
      <c r="F1" s="516"/>
      <c r="G1" s="516"/>
      <c r="H1" s="516"/>
      <c r="I1" s="372"/>
    </row>
    <row r="2" spans="1:9" ht="19.95" customHeight="1">
      <c r="A2" s="517" t="s">
        <v>546</v>
      </c>
      <c r="B2" s="517"/>
      <c r="C2" s="517"/>
      <c r="D2" s="517"/>
      <c r="E2" s="517"/>
      <c r="F2" s="517"/>
      <c r="G2" s="517"/>
      <c r="H2" s="517"/>
      <c r="I2" s="373"/>
    </row>
    <row r="3" spans="1:9" ht="19.95" customHeight="1">
      <c r="A3" s="105" t="str">
        <f>底稿目录!A2</f>
        <v>被审计单位：</v>
      </c>
      <c r="B3" s="106"/>
      <c r="C3" s="107" t="str">
        <f>底稿目录!A4</f>
        <v>编制人：</v>
      </c>
      <c r="D3" s="106"/>
      <c r="E3" s="105" t="str">
        <f>底稿目录!A5</f>
        <v>编制日期：</v>
      </c>
      <c r="G3" s="350" t="s">
        <v>514</v>
      </c>
      <c r="H3" s="360" t="str">
        <f>底稿目录!F22</f>
        <v>F2-71</v>
      </c>
    </row>
    <row r="4" spans="1:9" ht="19.95" customHeight="1">
      <c r="A4" s="105" t="str">
        <f>底稿目录!A3</f>
        <v>截止日：202X年12月31日</v>
      </c>
      <c r="B4" s="106"/>
      <c r="C4" s="107" t="str">
        <f>底稿目录!A6</f>
        <v>复核人：</v>
      </c>
      <c r="D4" s="106"/>
      <c r="E4" s="105" t="str">
        <f>底稿目录!A7</f>
        <v>复核日期：</v>
      </c>
      <c r="G4" s="350" t="s">
        <v>515</v>
      </c>
      <c r="I4" s="108"/>
    </row>
    <row r="5" spans="1:9" ht="19.95" customHeight="1">
      <c r="A5" s="363" t="s">
        <v>530</v>
      </c>
      <c r="B5" s="351" t="s">
        <v>7</v>
      </c>
      <c r="C5" s="351" t="s">
        <v>504</v>
      </c>
      <c r="D5" s="351" t="s">
        <v>505</v>
      </c>
      <c r="E5" s="351" t="s">
        <v>506</v>
      </c>
      <c r="F5" s="351" t="s">
        <v>507</v>
      </c>
      <c r="G5" s="351" t="s">
        <v>508</v>
      </c>
      <c r="H5" s="351" t="s">
        <v>539</v>
      </c>
    </row>
    <row r="6" spans="1:9" ht="19.95" customHeight="1">
      <c r="A6" s="392" t="s">
        <v>531</v>
      </c>
      <c r="B6" s="364"/>
      <c r="C6" s="364"/>
      <c r="D6" s="364"/>
      <c r="E6" s="364"/>
      <c r="F6" s="364"/>
      <c r="G6" s="364"/>
      <c r="H6" s="364"/>
    </row>
    <row r="7" spans="1:9" ht="19.95" customHeight="1">
      <c r="A7" s="392" t="s">
        <v>532</v>
      </c>
      <c r="B7" s="364" t="s">
        <v>540</v>
      </c>
      <c r="C7" s="364"/>
      <c r="D7" s="364"/>
      <c r="E7" s="364"/>
      <c r="F7" s="364"/>
      <c r="G7" s="364"/>
      <c r="H7" s="364"/>
    </row>
    <row r="8" spans="1:9" ht="19.95" customHeight="1">
      <c r="A8" s="392" t="s">
        <v>534</v>
      </c>
      <c r="B8" s="364" t="s">
        <v>547</v>
      </c>
      <c r="C8" s="364"/>
      <c r="D8" s="364"/>
      <c r="E8" s="364"/>
      <c r="F8" s="364"/>
      <c r="G8" s="364"/>
      <c r="H8" s="364"/>
    </row>
    <row r="9" spans="1:9" ht="19.95" customHeight="1">
      <c r="A9" s="392" t="s">
        <v>533</v>
      </c>
      <c r="B9" s="364"/>
      <c r="C9" s="364"/>
      <c r="D9" s="364"/>
      <c r="E9" s="364"/>
      <c r="F9" s="364"/>
      <c r="G9" s="364"/>
      <c r="H9" s="364"/>
    </row>
    <row r="10" spans="1:9" ht="19.95" customHeight="1">
      <c r="A10" s="392" t="s">
        <v>541</v>
      </c>
      <c r="B10" s="367"/>
      <c r="C10" s="364"/>
      <c r="D10" s="364"/>
      <c r="E10" s="364"/>
      <c r="F10" s="364"/>
      <c r="G10" s="364"/>
      <c r="H10" s="364"/>
    </row>
    <row r="11" spans="1:9" ht="19.95" customHeight="1">
      <c r="A11" s="392" t="s">
        <v>654</v>
      </c>
      <c r="B11" s="366" t="s">
        <v>543</v>
      </c>
      <c r="C11" s="364"/>
      <c r="D11" s="364"/>
      <c r="E11" s="364"/>
      <c r="F11" s="364"/>
      <c r="G11" s="364"/>
      <c r="H11" s="364"/>
    </row>
    <row r="12" spans="1:9" ht="19.95" customHeight="1">
      <c r="A12" s="392" t="s">
        <v>627</v>
      </c>
      <c r="B12" s="364"/>
      <c r="C12" s="364"/>
      <c r="D12" s="364"/>
      <c r="E12" s="364"/>
      <c r="F12" s="364"/>
      <c r="G12" s="364"/>
      <c r="H12" s="364"/>
    </row>
    <row r="13" spans="1:9" ht="19.95" customHeight="1">
      <c r="A13" s="392" t="s">
        <v>628</v>
      </c>
      <c r="B13" s="364"/>
      <c r="C13" s="364"/>
      <c r="D13" s="364"/>
      <c r="E13" s="364"/>
      <c r="F13" s="364"/>
      <c r="G13" s="364"/>
      <c r="H13" s="364"/>
    </row>
    <row r="14" spans="1:9" ht="19.95" customHeight="1">
      <c r="A14" s="392" t="s">
        <v>537</v>
      </c>
      <c r="B14" s="366" t="s">
        <v>542</v>
      </c>
      <c r="C14" s="364"/>
      <c r="D14" s="364"/>
      <c r="E14" s="364"/>
      <c r="F14" s="364"/>
      <c r="G14" s="364"/>
      <c r="H14" s="364"/>
    </row>
    <row r="15" spans="1:9" ht="19.95" customHeight="1">
      <c r="A15" s="392" t="s">
        <v>535</v>
      </c>
      <c r="B15" s="364"/>
      <c r="C15" s="364"/>
      <c r="D15" s="364"/>
      <c r="E15" s="364"/>
      <c r="F15" s="364"/>
      <c r="G15" s="364"/>
      <c r="H15" s="364"/>
    </row>
    <row r="16" spans="1:9" ht="19.95" customHeight="1">
      <c r="A16" s="392" t="s">
        <v>536</v>
      </c>
      <c r="B16" s="364"/>
      <c r="C16" s="364"/>
      <c r="D16" s="364"/>
      <c r="E16" s="364"/>
      <c r="F16" s="364"/>
      <c r="G16" s="364"/>
      <c r="H16" s="364"/>
    </row>
    <row r="17" spans="1:8" ht="19.95" customHeight="1">
      <c r="A17" s="392" t="s">
        <v>560</v>
      </c>
      <c r="B17" s="364"/>
      <c r="C17" s="364"/>
      <c r="D17" s="364"/>
      <c r="E17" s="364"/>
      <c r="F17" s="364"/>
      <c r="G17" s="364"/>
      <c r="H17" s="364"/>
    </row>
    <row r="18" spans="1:8" ht="22.2" customHeight="1">
      <c r="A18" s="392" t="s">
        <v>651</v>
      </c>
      <c r="B18" s="364"/>
      <c r="C18" s="364"/>
      <c r="D18" s="364"/>
      <c r="E18" s="364"/>
      <c r="F18" s="364"/>
      <c r="G18" s="364"/>
      <c r="H18" s="364"/>
    </row>
    <row r="19" spans="1:8" ht="23.4" customHeight="1">
      <c r="A19" s="392" t="s">
        <v>652</v>
      </c>
      <c r="B19" s="364"/>
      <c r="C19" s="364"/>
      <c r="D19" s="364"/>
      <c r="E19" s="364"/>
      <c r="F19" s="364"/>
      <c r="G19" s="364"/>
      <c r="H19" s="364"/>
    </row>
    <row r="20" spans="1:8" ht="19.95" customHeight="1">
      <c r="A20" s="368" t="s">
        <v>545</v>
      </c>
      <c r="B20" s="364"/>
      <c r="C20" s="364"/>
      <c r="D20" s="364"/>
      <c r="E20" s="364"/>
      <c r="F20" s="364"/>
      <c r="G20" s="364"/>
      <c r="H20" s="364"/>
    </row>
    <row r="21" spans="1:8" ht="19.95" customHeight="1">
      <c r="A21" s="392" t="s">
        <v>538</v>
      </c>
      <c r="B21" s="364"/>
      <c r="C21" s="364"/>
      <c r="D21" s="364"/>
      <c r="E21" s="364"/>
      <c r="F21" s="364"/>
      <c r="G21" s="364"/>
      <c r="H21" s="364"/>
    </row>
    <row r="22" spans="1:8" ht="19.95" customHeight="1">
      <c r="A22" s="392" t="s">
        <v>544</v>
      </c>
      <c r="B22" s="365"/>
      <c r="C22" s="365"/>
      <c r="D22" s="365"/>
      <c r="E22" s="365"/>
      <c r="F22" s="365"/>
      <c r="G22" s="365"/>
      <c r="H22" s="365"/>
    </row>
    <row r="23" spans="1:8" s="280" customFormat="1" ht="19.95" customHeight="1">
      <c r="A23" s="370" t="s">
        <v>552</v>
      </c>
    </row>
    <row r="24" spans="1:8" s="280" customFormat="1" ht="19.95" customHeight="1">
      <c r="A24" s="370" t="s">
        <v>557</v>
      </c>
    </row>
    <row r="25" spans="1:8" s="280" customFormat="1" ht="19.95" customHeight="1">
      <c r="A25" s="371" t="s">
        <v>558</v>
      </c>
    </row>
    <row r="26" spans="1:8" s="280" customFormat="1" ht="19.95" customHeight="1">
      <c r="A26" s="371" t="s">
        <v>553</v>
      </c>
    </row>
    <row r="27" spans="1:8" s="280" customFormat="1" ht="19.95" customHeight="1">
      <c r="A27" s="371" t="s">
        <v>548</v>
      </c>
    </row>
    <row r="28" spans="1:8" s="280" customFormat="1" ht="19.95" customHeight="1">
      <c r="A28" s="371" t="s">
        <v>554</v>
      </c>
    </row>
    <row r="29" spans="1:8" s="280" customFormat="1" ht="19.95" customHeight="1">
      <c r="A29" s="371" t="s">
        <v>555</v>
      </c>
    </row>
    <row r="30" spans="1:8" s="280" customFormat="1" ht="19.95" customHeight="1">
      <c r="A30" s="371" t="s">
        <v>550</v>
      </c>
    </row>
    <row r="31" spans="1:8" s="280" customFormat="1" ht="19.95" customHeight="1">
      <c r="A31" s="371" t="s">
        <v>556</v>
      </c>
    </row>
    <row r="32" spans="1:8" s="280" customFormat="1" ht="19.95" customHeight="1">
      <c r="A32" s="371" t="s">
        <v>551</v>
      </c>
    </row>
    <row r="33" spans="1:1" s="280" customFormat="1" ht="19.95" customHeight="1">
      <c r="A33" s="371" t="s">
        <v>549</v>
      </c>
    </row>
    <row r="34" spans="1:1" s="280" customFormat="1" ht="19.95" customHeight="1">
      <c r="A34" s="371" t="s">
        <v>559</v>
      </c>
    </row>
    <row r="35" spans="1:1" s="280" customFormat="1" ht="19.95" customHeight="1"/>
    <row r="36" spans="1:1" s="280" customFormat="1" ht="19.95" customHeight="1"/>
    <row r="37" spans="1:1" s="280" customFormat="1" ht="19.95" customHeight="1"/>
    <row r="38" spans="1:1" ht="19.95" customHeight="1"/>
    <row r="39" spans="1:1" ht="19.95" customHeight="1"/>
    <row r="40" spans="1:1" ht="19.95" customHeight="1"/>
    <row r="41" spans="1:1" ht="19.95" customHeight="1"/>
  </sheetData>
  <mergeCells count="2">
    <mergeCell ref="A1:H1"/>
    <mergeCell ref="A2:H2"/>
  </mergeCells>
  <phoneticPr fontId="6" type="noConversion"/>
  <hyperlinks>
    <hyperlink ref="H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view="pageBreakPreview" zoomScaleNormal="100" zoomScaleSheetLayoutView="100" workbookViewId="0">
      <selection activeCell="H3" sqref="H3"/>
    </sheetView>
  </sheetViews>
  <sheetFormatPr defaultRowHeight="13.8"/>
  <cols>
    <col min="1" max="8" width="13.5546875" customWidth="1"/>
  </cols>
  <sheetData>
    <row r="1" spans="1:8" ht="19.95" customHeight="1">
      <c r="A1" s="516" t="s">
        <v>426</v>
      </c>
      <c r="B1" s="516"/>
      <c r="C1" s="516"/>
      <c r="D1" s="516"/>
      <c r="E1" s="516"/>
      <c r="F1" s="516"/>
      <c r="G1" s="516"/>
      <c r="H1" s="516"/>
    </row>
    <row r="2" spans="1:8" ht="19.95" customHeight="1">
      <c r="A2" s="517" t="s">
        <v>642</v>
      </c>
      <c r="B2" s="517"/>
      <c r="C2" s="517"/>
      <c r="D2" s="517"/>
      <c r="E2" s="517"/>
      <c r="F2" s="517"/>
      <c r="G2" s="517"/>
      <c r="H2" s="517"/>
    </row>
    <row r="3" spans="1:8" s="280" customFormat="1" ht="19.95" customHeight="1">
      <c r="A3" s="105" t="str">
        <f>底稿目录!A2</f>
        <v>被审计单位：</v>
      </c>
      <c r="B3" s="106"/>
      <c r="C3" s="107" t="str">
        <f>底稿目录!A4</f>
        <v>编制人：</v>
      </c>
      <c r="D3" s="106"/>
      <c r="E3" s="105" t="str">
        <f>底稿目录!A5</f>
        <v>编制日期：</v>
      </c>
      <c r="G3" s="350" t="s">
        <v>514</v>
      </c>
      <c r="H3" s="360" t="str">
        <f>底稿目录!F23</f>
        <v>F2-72</v>
      </c>
    </row>
    <row r="4" spans="1:8" s="280" customFormat="1" ht="19.95" customHeight="1">
      <c r="A4" s="105" t="str">
        <f>底稿目录!A3</f>
        <v>截止日：202X年12月31日</v>
      </c>
      <c r="B4" s="106"/>
      <c r="C4" s="107" t="str">
        <f>底稿目录!A6</f>
        <v>复核人：</v>
      </c>
      <c r="D4" s="106"/>
      <c r="E4" s="105" t="str">
        <f>底稿目录!A7</f>
        <v>复核日期：</v>
      </c>
      <c r="G4" s="350" t="s">
        <v>515</v>
      </c>
    </row>
    <row r="5" spans="1:8" s="376" customFormat="1" ht="19.95" customHeight="1">
      <c r="A5" s="279" t="s">
        <v>653</v>
      </c>
    </row>
    <row r="6" spans="1:8" s="376" customFormat="1" ht="19.95" customHeight="1">
      <c r="A6" s="279" t="s">
        <v>629</v>
      </c>
    </row>
    <row r="7" spans="1:8" s="376" customFormat="1" ht="19.95" customHeight="1">
      <c r="A7" s="279" t="s">
        <v>635</v>
      </c>
    </row>
    <row r="8" spans="1:8" s="376" customFormat="1" ht="19.95" customHeight="1">
      <c r="A8" s="279" t="s">
        <v>630</v>
      </c>
      <c r="B8" s="369" t="s">
        <v>641</v>
      </c>
    </row>
    <row r="9" spans="1:8" s="376" customFormat="1" ht="20.399999999999999" customHeight="1">
      <c r="A9" s="521" t="s">
        <v>656</v>
      </c>
      <c r="B9" s="521"/>
      <c r="C9" s="521"/>
      <c r="D9" s="521"/>
      <c r="E9" s="521"/>
      <c r="F9" s="521"/>
      <c r="G9" s="521"/>
      <c r="H9" s="521"/>
    </row>
    <row r="10" spans="1:8" s="376" customFormat="1" ht="19.95" customHeight="1">
      <c r="A10" s="378"/>
      <c r="B10" s="379"/>
      <c r="C10" s="379"/>
      <c r="D10" s="379"/>
      <c r="E10" s="379"/>
      <c r="F10" s="379"/>
      <c r="G10" s="379"/>
      <c r="H10" s="380"/>
    </row>
    <row r="11" spans="1:8" s="376" customFormat="1" ht="19.95" customHeight="1">
      <c r="A11" s="381"/>
      <c r="B11" s="382"/>
      <c r="C11" s="382"/>
      <c r="D11" s="382"/>
      <c r="E11" s="382"/>
      <c r="F11" s="382"/>
      <c r="G11" s="382"/>
      <c r="H11" s="383"/>
    </row>
    <row r="12" spans="1:8" s="376" customFormat="1" ht="31.2" customHeight="1">
      <c r="A12" s="521" t="s">
        <v>657</v>
      </c>
      <c r="B12" s="521"/>
      <c r="C12" s="521"/>
      <c r="D12" s="521"/>
      <c r="E12" s="521"/>
      <c r="F12" s="521"/>
      <c r="G12" s="521"/>
      <c r="H12" s="521"/>
    </row>
    <row r="13" spans="1:8" s="376" customFormat="1" ht="19.95" customHeight="1">
      <c r="A13" s="378"/>
      <c r="B13" s="379"/>
      <c r="C13" s="379"/>
      <c r="D13" s="379"/>
      <c r="E13" s="379"/>
      <c r="F13" s="379"/>
      <c r="G13" s="379"/>
      <c r="H13" s="380"/>
    </row>
    <row r="14" spans="1:8" s="376" customFormat="1" ht="19.95" customHeight="1">
      <c r="A14" s="381"/>
      <c r="B14" s="382"/>
      <c r="C14" s="382"/>
      <c r="D14" s="382"/>
      <c r="E14" s="382"/>
      <c r="F14" s="382"/>
      <c r="G14" s="382"/>
      <c r="H14" s="383"/>
    </row>
    <row r="15" spans="1:8" s="376" customFormat="1" ht="19.95" customHeight="1">
      <c r="A15" s="376" t="s">
        <v>636</v>
      </c>
    </row>
    <row r="16" spans="1:8" s="376" customFormat="1" ht="19.95" customHeight="1">
      <c r="A16" s="378"/>
      <c r="B16" s="379"/>
      <c r="C16" s="379"/>
      <c r="D16" s="379"/>
      <c r="E16" s="379"/>
      <c r="F16" s="379"/>
      <c r="G16" s="379"/>
      <c r="H16" s="380"/>
    </row>
    <row r="17" spans="1:8" s="376" customFormat="1" ht="19.95" customHeight="1">
      <c r="A17" s="381"/>
      <c r="B17" s="382"/>
      <c r="C17" s="382"/>
      <c r="D17" s="382"/>
      <c r="E17" s="382"/>
      <c r="F17" s="382"/>
      <c r="G17" s="382"/>
      <c r="H17" s="383"/>
    </row>
    <row r="18" spans="1:8" s="376" customFormat="1" ht="19.95" customHeight="1">
      <c r="A18" s="376" t="s">
        <v>637</v>
      </c>
    </row>
    <row r="19" spans="1:8" s="376" customFormat="1" ht="19.95" customHeight="1">
      <c r="A19" s="378"/>
      <c r="B19" s="379"/>
      <c r="C19" s="379"/>
      <c r="D19" s="379"/>
      <c r="E19" s="379"/>
      <c r="F19" s="379"/>
      <c r="G19" s="379"/>
      <c r="H19" s="380"/>
    </row>
    <row r="20" spans="1:8" s="376" customFormat="1" ht="19.95" customHeight="1">
      <c r="A20" s="381"/>
      <c r="B20" s="382"/>
      <c r="C20" s="382"/>
      <c r="D20" s="382"/>
      <c r="E20" s="382"/>
      <c r="F20" s="382"/>
      <c r="G20" s="382"/>
      <c r="H20" s="383"/>
    </row>
    <row r="21" spans="1:8" s="376" customFormat="1" ht="31.8" customHeight="1">
      <c r="A21" s="522" t="s">
        <v>638</v>
      </c>
      <c r="B21" s="522"/>
      <c r="C21" s="522"/>
      <c r="D21" s="522"/>
      <c r="E21" s="522"/>
      <c r="F21" s="522"/>
      <c r="G21" s="522"/>
      <c r="H21" s="522"/>
    </row>
    <row r="22" spans="1:8" s="376" customFormat="1" ht="19.95" customHeight="1">
      <c r="A22" s="378"/>
      <c r="B22" s="379"/>
      <c r="C22" s="379"/>
      <c r="D22" s="379"/>
      <c r="E22" s="379"/>
      <c r="F22" s="379"/>
      <c r="G22" s="379"/>
      <c r="H22" s="380"/>
    </row>
    <row r="23" spans="1:8" s="376" customFormat="1" ht="19.95" customHeight="1">
      <c r="A23" s="381"/>
      <c r="B23" s="382"/>
      <c r="C23" s="382"/>
      <c r="D23" s="382"/>
      <c r="E23" s="382"/>
      <c r="F23" s="382"/>
      <c r="G23" s="382"/>
      <c r="H23" s="383"/>
    </row>
    <row r="24" spans="1:8" s="376" customFormat="1" ht="19.95" customHeight="1">
      <c r="A24" s="376" t="s">
        <v>639</v>
      </c>
    </row>
    <row r="25" spans="1:8" s="376" customFormat="1" ht="19.95" customHeight="1">
      <c r="A25" s="378"/>
      <c r="B25" s="379"/>
      <c r="C25" s="379"/>
      <c r="D25" s="379"/>
      <c r="E25" s="379"/>
      <c r="F25" s="379"/>
      <c r="G25" s="379"/>
      <c r="H25" s="380"/>
    </row>
    <row r="26" spans="1:8" s="376" customFormat="1" ht="19.95" customHeight="1">
      <c r="A26" s="381"/>
      <c r="B26" s="382"/>
      <c r="C26" s="382"/>
      <c r="D26" s="382"/>
      <c r="E26" s="382"/>
      <c r="F26" s="382"/>
      <c r="G26" s="382"/>
      <c r="H26" s="383"/>
    </row>
    <row r="27" spans="1:8" s="376" customFormat="1" ht="19.95" customHeight="1">
      <c r="A27" s="376" t="s">
        <v>640</v>
      </c>
    </row>
    <row r="28" spans="1:8" s="376" customFormat="1" ht="19.95" customHeight="1">
      <c r="A28" s="378"/>
      <c r="B28" s="379"/>
      <c r="C28" s="379"/>
      <c r="D28" s="379"/>
      <c r="E28" s="379"/>
      <c r="F28" s="379"/>
      <c r="G28" s="379"/>
      <c r="H28" s="380"/>
    </row>
    <row r="29" spans="1:8" s="376" customFormat="1" ht="19.95" customHeight="1">
      <c r="A29" s="381"/>
      <c r="B29" s="382"/>
      <c r="C29" s="382"/>
      <c r="D29" s="382"/>
      <c r="E29" s="382"/>
      <c r="F29" s="382"/>
      <c r="G29" s="382"/>
      <c r="H29" s="383"/>
    </row>
    <row r="30" spans="1:8" s="376" customFormat="1" ht="19.95" customHeight="1">
      <c r="A30" s="376" t="s">
        <v>684</v>
      </c>
    </row>
    <row r="31" spans="1:8" s="376" customFormat="1" ht="19.95" customHeight="1">
      <c r="A31" s="378"/>
      <c r="B31" s="379"/>
      <c r="C31" s="379"/>
      <c r="D31" s="379"/>
      <c r="E31" s="379"/>
      <c r="F31" s="379"/>
      <c r="G31" s="379"/>
      <c r="H31" s="380"/>
    </row>
    <row r="32" spans="1:8" s="376" customFormat="1" ht="19.95" customHeight="1">
      <c r="A32" s="381"/>
      <c r="B32" s="382"/>
      <c r="C32" s="382"/>
      <c r="D32" s="382"/>
      <c r="E32" s="382"/>
      <c r="F32" s="382"/>
      <c r="G32" s="382"/>
      <c r="H32" s="383"/>
    </row>
    <row r="33" spans="1:8" s="376" customFormat="1" ht="35.4" customHeight="1">
      <c r="A33" s="523" t="s">
        <v>685</v>
      </c>
      <c r="B33" s="523"/>
      <c r="C33" s="523"/>
      <c r="D33" s="523"/>
      <c r="E33" s="523"/>
      <c r="F33" s="523"/>
      <c r="G33" s="523"/>
      <c r="H33" s="523"/>
    </row>
    <row r="34" spans="1:8" s="376" customFormat="1" ht="19.95" customHeight="1">
      <c r="A34" s="378"/>
      <c r="B34" s="379"/>
      <c r="C34" s="379"/>
      <c r="D34" s="379"/>
      <c r="E34" s="379"/>
      <c r="F34" s="379"/>
      <c r="G34" s="379"/>
      <c r="H34" s="380"/>
    </row>
    <row r="35" spans="1:8" s="376" customFormat="1" ht="19.95" customHeight="1">
      <c r="A35" s="381"/>
      <c r="B35" s="382"/>
      <c r="C35" s="382"/>
      <c r="D35" s="382"/>
      <c r="E35" s="382"/>
      <c r="F35" s="382"/>
      <c r="G35" s="382"/>
      <c r="H35" s="383"/>
    </row>
    <row r="36" spans="1:8" s="376" customFormat="1" ht="19.95" customHeight="1"/>
    <row r="37" spans="1:8" s="376" customFormat="1" ht="22.8" customHeight="1">
      <c r="A37" s="520" t="s">
        <v>686</v>
      </c>
      <c r="B37" s="520"/>
      <c r="C37" s="520"/>
      <c r="D37" s="520"/>
      <c r="E37" s="520"/>
      <c r="F37" s="520"/>
      <c r="G37" s="520"/>
      <c r="H37" s="520"/>
    </row>
    <row r="38" spans="1:8" s="376" customFormat="1" ht="19.95" customHeight="1">
      <c r="A38" s="378"/>
      <c r="B38" s="379"/>
      <c r="C38" s="379"/>
      <c r="D38" s="379"/>
      <c r="E38" s="379"/>
      <c r="F38" s="379"/>
      <c r="G38" s="379"/>
      <c r="H38" s="380"/>
    </row>
    <row r="39" spans="1:8" s="376" customFormat="1" ht="19.95" customHeight="1">
      <c r="A39" s="381"/>
      <c r="B39" s="382"/>
      <c r="C39" s="382"/>
      <c r="D39" s="382"/>
      <c r="E39" s="382"/>
      <c r="F39" s="382"/>
      <c r="G39" s="382"/>
      <c r="H39" s="383"/>
    </row>
    <row r="40" spans="1:8" s="376" customFormat="1" ht="22.8" customHeight="1">
      <c r="A40" s="520" t="s">
        <v>687</v>
      </c>
      <c r="B40" s="520"/>
      <c r="C40" s="520"/>
      <c r="D40" s="520"/>
      <c r="E40" s="520"/>
      <c r="F40" s="520"/>
      <c r="G40" s="520"/>
      <c r="H40" s="520"/>
    </row>
    <row r="41" spans="1:8" s="376" customFormat="1" ht="19.95" customHeight="1">
      <c r="A41" s="378"/>
      <c r="B41" s="379"/>
      <c r="C41" s="379"/>
      <c r="D41" s="379"/>
      <c r="E41" s="379"/>
      <c r="F41" s="379"/>
      <c r="G41" s="379"/>
      <c r="H41" s="380"/>
    </row>
    <row r="42" spans="1:8" s="376" customFormat="1" ht="19.95" customHeight="1">
      <c r="A42" s="381"/>
      <c r="B42" s="382"/>
      <c r="C42" s="382"/>
      <c r="D42" s="382"/>
      <c r="E42" s="382"/>
      <c r="F42" s="382"/>
      <c r="G42" s="382"/>
      <c r="H42" s="383"/>
    </row>
    <row r="43" spans="1:8" s="376" customFormat="1" ht="19.95" customHeight="1">
      <c r="A43" s="386" t="s">
        <v>756</v>
      </c>
      <c r="B43" s="386"/>
      <c r="C43" s="386"/>
      <c r="D43" s="386"/>
      <c r="E43" s="386"/>
      <c r="F43" s="386"/>
      <c r="G43" s="386"/>
      <c r="H43" s="386"/>
    </row>
    <row r="44" spans="1:8" s="376" customFormat="1" ht="19.95" customHeight="1">
      <c r="A44" s="416" t="s">
        <v>759</v>
      </c>
      <c r="B44" s="386"/>
      <c r="C44" s="386"/>
      <c r="D44" s="386"/>
      <c r="E44" s="386"/>
      <c r="F44" s="386"/>
      <c r="G44" s="386"/>
      <c r="H44" s="386"/>
    </row>
    <row r="45" spans="1:8" s="376" customFormat="1" ht="19.95" customHeight="1">
      <c r="A45" s="416" t="s">
        <v>760</v>
      </c>
      <c r="B45" s="386"/>
      <c r="C45" s="386"/>
      <c r="D45" s="386"/>
      <c r="E45" s="386"/>
      <c r="F45" s="386"/>
      <c r="G45" s="386"/>
      <c r="H45" s="386"/>
    </row>
    <row r="46" spans="1:8" s="376" customFormat="1" ht="19.95" customHeight="1">
      <c r="A46" s="386"/>
      <c r="B46" s="386"/>
      <c r="C46" s="386"/>
      <c r="D46" s="386"/>
      <c r="E46" s="386"/>
      <c r="F46" s="386"/>
      <c r="G46" s="386"/>
      <c r="H46" s="386"/>
    </row>
    <row r="47" spans="1:8" s="376" customFormat="1" ht="19.95" customHeight="1">
      <c r="A47" s="279" t="s">
        <v>631</v>
      </c>
    </row>
    <row r="48" spans="1:8" s="376" customFormat="1" ht="19.95" customHeight="1">
      <c r="A48" s="376" t="s">
        <v>655</v>
      </c>
      <c r="C48" s="376" t="s">
        <v>633</v>
      </c>
      <c r="E48" s="376" t="s">
        <v>634</v>
      </c>
    </row>
    <row r="49" spans="1:7" s="376" customFormat="1" ht="19.95" customHeight="1"/>
    <row r="50" spans="1:7" s="376" customFormat="1" ht="19.95" customHeight="1"/>
    <row r="51" spans="1:7" s="377" customFormat="1" ht="19.95" customHeight="1">
      <c r="A51" s="376" t="s">
        <v>632</v>
      </c>
    </row>
    <row r="52" spans="1:7" s="377" customFormat="1" ht="19.95" customHeight="1">
      <c r="A52" s="369" t="s">
        <v>764</v>
      </c>
    </row>
    <row r="53" spans="1:7" s="377" customFormat="1" ht="19.95" customHeight="1">
      <c r="A53" s="369" t="s">
        <v>763</v>
      </c>
    </row>
    <row r="54" spans="1:7" s="377" customFormat="1" ht="19.95" customHeight="1">
      <c r="A54" s="391" t="s">
        <v>758</v>
      </c>
    </row>
    <row r="55" spans="1:7" s="377" customFormat="1" ht="19.95" customHeight="1">
      <c r="A55" s="391"/>
    </row>
    <row r="56" spans="1:7" s="377" customFormat="1" ht="19.95" customHeight="1">
      <c r="A56" s="376"/>
      <c r="G56" s="417" t="s">
        <v>757</v>
      </c>
    </row>
    <row r="57" spans="1:7" s="377" customFormat="1" ht="19.95" customHeight="1"/>
    <row r="59" spans="1:7" ht="16.8" customHeight="1">
      <c r="A59" s="414" t="s">
        <v>724</v>
      </c>
      <c r="B59" s="280"/>
    </row>
    <row r="60" spans="1:7" ht="16.8" customHeight="1">
      <c r="A60" s="415" t="s">
        <v>755</v>
      </c>
      <c r="B60" s="280"/>
    </row>
    <row r="61" spans="1:7" ht="16.8" customHeight="1">
      <c r="A61" s="415" t="s">
        <v>761</v>
      </c>
      <c r="B61" s="280"/>
    </row>
    <row r="62" spans="1:7" ht="16.8" customHeight="1">
      <c r="A62" s="415" t="s">
        <v>753</v>
      </c>
      <c r="B62" s="280"/>
    </row>
    <row r="63" spans="1:7" ht="16.8" customHeight="1">
      <c r="A63" s="415" t="s">
        <v>754</v>
      </c>
      <c r="B63" s="280"/>
    </row>
    <row r="64" spans="1:7" ht="16.8" customHeight="1">
      <c r="A64" s="415" t="s">
        <v>765</v>
      </c>
      <c r="B64" s="280"/>
    </row>
    <row r="65" spans="1:2" ht="16.8" customHeight="1">
      <c r="A65" s="415" t="s">
        <v>762</v>
      </c>
      <c r="B65" s="280"/>
    </row>
    <row r="66" spans="1:2" ht="16.8" customHeight="1">
      <c r="A66" s="415"/>
      <c r="B66" s="280"/>
    </row>
    <row r="67" spans="1:2" ht="16.8" customHeight="1">
      <c r="A67" s="415"/>
      <c r="B67" s="280"/>
    </row>
    <row r="68" spans="1:2" ht="16.8" customHeight="1">
      <c r="A68" s="280"/>
      <c r="B68" s="280"/>
    </row>
    <row r="69" spans="1:2" ht="16.8" customHeight="1">
      <c r="A69" s="280"/>
      <c r="B69" s="280"/>
    </row>
    <row r="70" spans="1:2" ht="16.8" customHeight="1">
      <c r="A70" s="280"/>
      <c r="B70" s="280"/>
    </row>
    <row r="71" spans="1:2" ht="16.8" customHeight="1">
      <c r="A71" s="280"/>
      <c r="B71" s="280"/>
    </row>
  </sheetData>
  <mergeCells count="8">
    <mergeCell ref="A37:H37"/>
    <mergeCell ref="A40:H40"/>
    <mergeCell ref="A1:H1"/>
    <mergeCell ref="A2:H2"/>
    <mergeCell ref="A12:H12"/>
    <mergeCell ref="A21:H21"/>
    <mergeCell ref="A33:H33"/>
    <mergeCell ref="A9:H9"/>
  </mergeCells>
  <phoneticPr fontId="6" type="noConversion"/>
  <hyperlinks>
    <hyperlink ref="H3" location="底稿目录!A1" display="底稿目录!A1"/>
  </hyperlinks>
  <pageMargins left="0.70866141732283472" right="0.70866141732283472" top="0.74803149606299213" bottom="0.74803149606299213" header="0.31496062992125984" footer="0.31496062992125984"/>
  <pageSetup paperSize="9" scale="7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HX67"/>
  <sheetViews>
    <sheetView view="pageBreakPreview" zoomScaleSheetLayoutView="100" workbookViewId="0">
      <selection sqref="A1:I1"/>
    </sheetView>
  </sheetViews>
  <sheetFormatPr defaultColWidth="8" defaultRowHeight="15.6"/>
  <cols>
    <col min="1" max="1" width="3.6640625" style="120" customWidth="1"/>
    <col min="2" max="2" width="13.109375" style="120" customWidth="1" collapsed="1"/>
    <col min="3" max="3" width="14" style="120" customWidth="1" collapsed="1"/>
    <col min="4" max="4" width="17.109375" style="120" customWidth="1"/>
    <col min="5" max="5" width="12.44140625" style="120" customWidth="1"/>
    <col min="6" max="6" width="7" style="120" customWidth="1"/>
    <col min="7" max="7" width="12.109375" style="120" customWidth="1" collapsed="1"/>
    <col min="8" max="8" width="8.44140625" style="120" customWidth="1" collapsed="1"/>
    <col min="9" max="9" width="11" style="120" customWidth="1"/>
    <col min="10" max="10" width="40.6640625" style="120" customWidth="1" collapsed="1"/>
    <col min="11" max="230" width="7" style="120" customWidth="1" collapsed="1"/>
    <col min="231" max="232" width="8" style="120" customWidth="1"/>
    <col min="233" max="16384" width="8" style="127"/>
  </cols>
  <sheetData>
    <row r="1" spans="1:10" s="120" customFormat="1" ht="19.95" customHeight="1">
      <c r="A1" s="524" t="s">
        <v>624</v>
      </c>
      <c r="B1" s="524"/>
      <c r="C1" s="524"/>
      <c r="D1" s="524"/>
      <c r="E1" s="524"/>
      <c r="F1" s="524"/>
      <c r="G1" s="524"/>
      <c r="H1" s="524"/>
      <c r="I1" s="524"/>
    </row>
    <row r="2" spans="1:10" s="120" customFormat="1" ht="19.95" customHeight="1">
      <c r="A2" s="525" t="s">
        <v>626</v>
      </c>
      <c r="B2" s="525"/>
      <c r="C2" s="525"/>
      <c r="D2" s="525"/>
      <c r="E2" s="525"/>
      <c r="F2" s="525"/>
      <c r="G2" s="525"/>
      <c r="H2" s="525"/>
      <c r="I2" s="525"/>
      <c r="J2" s="138"/>
    </row>
    <row r="3" spans="1:10" s="122" customFormat="1" ht="19.95" customHeight="1">
      <c r="A3" s="121" t="str">
        <f>底稿目录!A2</f>
        <v>被审计单位：</v>
      </c>
      <c r="B3" s="121"/>
      <c r="C3" s="121"/>
      <c r="E3" s="121" t="str">
        <f>底稿目录!A4</f>
        <v>编制人：</v>
      </c>
      <c r="F3" s="121"/>
      <c r="G3" s="121" t="str">
        <f>底稿目录!A5</f>
        <v>编制日期：</v>
      </c>
      <c r="H3" s="121"/>
      <c r="I3" s="126" t="s">
        <v>625</v>
      </c>
    </row>
    <row r="4" spans="1:10" s="122" customFormat="1" ht="19.95" customHeight="1">
      <c r="A4" s="121" t="str">
        <f>底稿目录!A3</f>
        <v>截止日：202X年12月31日</v>
      </c>
      <c r="B4" s="121"/>
      <c r="C4" s="121"/>
      <c r="E4" s="121" t="str">
        <f>底稿目录!A6</f>
        <v>复核人：</v>
      </c>
      <c r="F4" s="121"/>
      <c r="G4" s="121" t="str">
        <f>底稿目录!A7</f>
        <v>复核日期：</v>
      </c>
      <c r="H4" s="121"/>
      <c r="I4" s="121" t="s">
        <v>603</v>
      </c>
    </row>
    <row r="5" spans="1:10" s="122" customFormat="1" ht="19.95" customHeight="1">
      <c r="A5" s="384" t="s">
        <v>562</v>
      </c>
      <c r="B5" s="385"/>
      <c r="C5" s="123"/>
      <c r="D5" s="121"/>
      <c r="E5" s="121"/>
      <c r="F5" s="121"/>
      <c r="G5" s="121"/>
      <c r="H5" s="121"/>
      <c r="I5" s="121"/>
    </row>
    <row r="6" spans="1:10" s="122" customFormat="1" ht="19.95" customHeight="1">
      <c r="A6" s="526" t="s">
        <v>617</v>
      </c>
      <c r="B6" s="526"/>
      <c r="C6" s="526"/>
      <c r="D6" s="526"/>
      <c r="E6" s="526"/>
      <c r="F6" s="526"/>
      <c r="G6" s="526"/>
      <c r="H6" s="527" t="s">
        <v>563</v>
      </c>
      <c r="I6" s="528"/>
      <c r="J6" s="124"/>
    </row>
    <row r="7" spans="1:10" s="122" customFormat="1" ht="30.6" customHeight="1">
      <c r="A7" s="529" t="s">
        <v>604</v>
      </c>
      <c r="B7" s="529"/>
      <c r="C7" s="529"/>
      <c r="D7" s="529"/>
      <c r="E7" s="529"/>
      <c r="F7" s="529"/>
      <c r="G7" s="529"/>
      <c r="H7" s="529"/>
      <c r="I7" s="529"/>
    </row>
    <row r="8" spans="1:10" s="122" customFormat="1" ht="19.95" customHeight="1">
      <c r="A8" s="529" t="s">
        <v>564</v>
      </c>
      <c r="B8" s="529"/>
      <c r="C8" s="529"/>
      <c r="D8" s="529"/>
      <c r="E8" s="529"/>
      <c r="F8" s="529"/>
      <c r="G8" s="529"/>
      <c r="H8" s="529"/>
      <c r="I8" s="529"/>
    </row>
    <row r="9" spans="1:10" s="122" customFormat="1" ht="22.2" customHeight="1">
      <c r="A9" s="529"/>
      <c r="B9" s="529"/>
      <c r="C9" s="529"/>
      <c r="D9" s="529"/>
      <c r="E9" s="529"/>
      <c r="F9" s="529"/>
      <c r="G9" s="529"/>
      <c r="H9" s="529"/>
      <c r="I9" s="529"/>
    </row>
    <row r="10" spans="1:10" s="122" customFormat="1" ht="19.95" customHeight="1">
      <c r="A10" s="529" t="s">
        <v>600</v>
      </c>
      <c r="B10" s="529"/>
      <c r="C10" s="529"/>
      <c r="D10" s="529"/>
      <c r="E10" s="529"/>
      <c r="F10" s="529"/>
      <c r="G10" s="529"/>
      <c r="H10" s="529"/>
      <c r="I10" s="529"/>
    </row>
    <row r="11" spans="1:10" s="122" customFormat="1" ht="27" customHeight="1">
      <c r="A11" s="529"/>
      <c r="B11" s="529"/>
      <c r="C11" s="529"/>
      <c r="D11" s="529"/>
      <c r="E11" s="529"/>
      <c r="F11" s="529"/>
      <c r="G11" s="529"/>
      <c r="H11" s="529"/>
      <c r="I11" s="529"/>
    </row>
    <row r="12" spans="1:10" s="122" customFormat="1" ht="20.100000000000001" customHeight="1">
      <c r="A12" s="526" t="s">
        <v>565</v>
      </c>
      <c r="B12" s="526"/>
      <c r="C12" s="526"/>
      <c r="D12" s="526"/>
      <c r="E12" s="526"/>
      <c r="F12" s="526"/>
      <c r="G12" s="526"/>
      <c r="H12" s="527" t="s">
        <v>563</v>
      </c>
      <c r="I12" s="528"/>
    </row>
    <row r="13" spans="1:10" s="122" customFormat="1" ht="54.75" customHeight="1">
      <c r="A13" s="529" t="s">
        <v>618</v>
      </c>
      <c r="B13" s="529"/>
      <c r="C13" s="529"/>
      <c r="D13" s="529"/>
      <c r="E13" s="529"/>
      <c r="F13" s="529"/>
      <c r="G13" s="529"/>
      <c r="H13" s="529"/>
      <c r="I13" s="529"/>
    </row>
    <row r="14" spans="1:10" s="122" customFormat="1" ht="60.75" customHeight="1">
      <c r="A14" s="125" t="s">
        <v>566</v>
      </c>
      <c r="B14" s="531" t="s">
        <v>217</v>
      </c>
      <c r="C14" s="530"/>
      <c r="D14" s="530"/>
      <c r="E14" s="530"/>
      <c r="F14" s="530"/>
      <c r="G14" s="530"/>
      <c r="H14" s="530"/>
      <c r="I14" s="530"/>
    </row>
    <row r="15" spans="1:10" s="122" customFormat="1" ht="60.75" customHeight="1">
      <c r="A15" s="125"/>
      <c r="B15" s="531" t="s">
        <v>605</v>
      </c>
      <c r="C15" s="530"/>
      <c r="D15" s="530"/>
      <c r="E15" s="530"/>
      <c r="F15" s="530"/>
      <c r="G15" s="530"/>
      <c r="H15" s="530"/>
      <c r="I15" s="530"/>
    </row>
    <row r="16" spans="1:10" s="122" customFormat="1" ht="20.100000000000001" customHeight="1">
      <c r="A16" s="125"/>
      <c r="B16" s="531" t="s">
        <v>218</v>
      </c>
      <c r="C16" s="531"/>
      <c r="D16" s="531"/>
      <c r="E16" s="531"/>
      <c r="F16" s="531"/>
      <c r="G16" s="531"/>
      <c r="H16" s="531"/>
      <c r="I16" s="531"/>
    </row>
    <row r="17" spans="1:9" s="122" customFormat="1" ht="20.100000000000001" customHeight="1">
      <c r="A17" s="125"/>
      <c r="B17" s="125" t="s">
        <v>219</v>
      </c>
      <c r="C17" s="125"/>
      <c r="D17" s="125"/>
      <c r="E17" s="125"/>
      <c r="F17" s="125"/>
      <c r="G17" s="125"/>
      <c r="H17" s="125"/>
      <c r="I17" s="125"/>
    </row>
    <row r="18" spans="1:9" s="122" customFormat="1" ht="20.100000000000001" customHeight="1">
      <c r="A18" s="125"/>
      <c r="B18" s="125" t="s">
        <v>220</v>
      </c>
      <c r="C18" s="125"/>
      <c r="D18" s="125"/>
      <c r="E18" s="125"/>
      <c r="F18" s="125"/>
      <c r="G18" s="125"/>
      <c r="H18" s="125"/>
      <c r="I18" s="125"/>
    </row>
    <row r="19" spans="1:9" s="122" customFormat="1" ht="20.100000000000001" customHeight="1">
      <c r="A19" s="125"/>
      <c r="B19" s="125" t="s">
        <v>221</v>
      </c>
      <c r="C19" s="125"/>
      <c r="D19" s="125"/>
      <c r="E19" s="125"/>
      <c r="F19" s="125"/>
      <c r="G19" s="125"/>
      <c r="H19" s="125"/>
      <c r="I19" s="125"/>
    </row>
    <row r="20" spans="1:9" s="122" customFormat="1" ht="20.100000000000001" customHeight="1">
      <c r="A20" s="125"/>
      <c r="B20" s="125" t="s">
        <v>545</v>
      </c>
      <c r="C20" s="125"/>
      <c r="D20" s="125"/>
      <c r="E20" s="125"/>
      <c r="F20" s="125"/>
      <c r="G20" s="125"/>
      <c r="H20" s="125"/>
      <c r="I20" s="125"/>
    </row>
    <row r="21" spans="1:9" s="122" customFormat="1" ht="20.100000000000001" customHeight="1">
      <c r="A21" s="526" t="s">
        <v>567</v>
      </c>
      <c r="B21" s="526"/>
      <c r="C21" s="526"/>
      <c r="D21" s="526"/>
      <c r="E21" s="526"/>
      <c r="F21" s="526"/>
      <c r="G21" s="526"/>
      <c r="H21" s="527" t="s">
        <v>563</v>
      </c>
      <c r="I21" s="528"/>
    </row>
    <row r="22" spans="1:9" s="122" customFormat="1" ht="34.5" customHeight="1">
      <c r="A22" s="529" t="s">
        <v>619</v>
      </c>
      <c r="B22" s="529"/>
      <c r="C22" s="529"/>
      <c r="D22" s="529"/>
      <c r="E22" s="529"/>
      <c r="F22" s="529"/>
      <c r="G22" s="529"/>
      <c r="H22" s="529"/>
      <c r="I22" s="529"/>
    </row>
    <row r="23" spans="1:9" s="122" customFormat="1" ht="19.95" customHeight="1">
      <c r="A23" s="125" t="s">
        <v>566</v>
      </c>
      <c r="B23" s="219" t="s">
        <v>568</v>
      </c>
      <c r="C23" s="532" t="s">
        <v>569</v>
      </c>
      <c r="D23" s="532"/>
      <c r="E23" s="532"/>
      <c r="F23" s="532"/>
      <c r="G23" s="532" t="s">
        <v>570</v>
      </c>
      <c r="H23" s="532"/>
      <c r="I23" s="532"/>
    </row>
    <row r="24" spans="1:9" s="122" customFormat="1" ht="19.95" customHeight="1">
      <c r="A24" s="125"/>
      <c r="B24" s="217" t="s">
        <v>571</v>
      </c>
      <c r="C24" s="530" t="s">
        <v>572</v>
      </c>
      <c r="D24" s="530"/>
      <c r="E24" s="530"/>
      <c r="F24" s="530"/>
      <c r="G24" s="530" t="s">
        <v>573</v>
      </c>
      <c r="H24" s="530"/>
      <c r="I24" s="530"/>
    </row>
    <row r="25" spans="1:9" s="122" customFormat="1" ht="19.95" customHeight="1">
      <c r="A25" s="125"/>
      <c r="B25" s="217" t="s">
        <v>574</v>
      </c>
      <c r="C25" s="530" t="s">
        <v>222</v>
      </c>
      <c r="D25" s="530"/>
      <c r="E25" s="530"/>
      <c r="F25" s="530"/>
      <c r="G25" s="530" t="s">
        <v>573</v>
      </c>
      <c r="H25" s="530"/>
      <c r="I25" s="530"/>
    </row>
    <row r="26" spans="1:9" s="122" customFormat="1" ht="19.95" customHeight="1">
      <c r="A26" s="125"/>
      <c r="B26" s="217" t="s">
        <v>575</v>
      </c>
      <c r="C26" s="530" t="s">
        <v>223</v>
      </c>
      <c r="D26" s="530" t="s">
        <v>223</v>
      </c>
      <c r="E26" s="530"/>
      <c r="F26" s="530"/>
      <c r="G26" s="530" t="s">
        <v>573</v>
      </c>
      <c r="H26" s="530"/>
      <c r="I26" s="530"/>
    </row>
    <row r="27" spans="1:9" s="122" customFormat="1" ht="19.95" customHeight="1">
      <c r="A27" s="125"/>
      <c r="B27" s="217" t="s">
        <v>576</v>
      </c>
      <c r="C27" s="530" t="s">
        <v>577</v>
      </c>
      <c r="D27" s="530"/>
      <c r="E27" s="530"/>
      <c r="F27" s="530"/>
      <c r="G27" s="530" t="s">
        <v>573</v>
      </c>
      <c r="H27" s="530"/>
      <c r="I27" s="530"/>
    </row>
    <row r="28" spans="1:9" s="122" customFormat="1" ht="19.95" customHeight="1">
      <c r="A28" s="125"/>
      <c r="B28" s="217" t="s">
        <v>578</v>
      </c>
      <c r="C28" s="530"/>
      <c r="D28" s="530"/>
      <c r="E28" s="530"/>
      <c r="F28" s="530"/>
      <c r="G28" s="530"/>
      <c r="H28" s="530"/>
      <c r="I28" s="530"/>
    </row>
    <row r="29" spans="1:9" s="122" customFormat="1" ht="27.6" customHeight="1">
      <c r="A29" s="125"/>
      <c r="B29" s="217" t="s">
        <v>579</v>
      </c>
      <c r="C29" s="530" t="s">
        <v>606</v>
      </c>
      <c r="D29" s="530"/>
      <c r="E29" s="530"/>
      <c r="F29" s="530"/>
      <c r="G29" s="530" t="s">
        <v>573</v>
      </c>
      <c r="H29" s="530"/>
      <c r="I29" s="530"/>
    </row>
    <row r="30" spans="1:9" s="122" customFormat="1" ht="19.95" customHeight="1">
      <c r="A30" s="125"/>
      <c r="B30" s="217" t="s">
        <v>580</v>
      </c>
      <c r="C30" s="530" t="s">
        <v>224</v>
      </c>
      <c r="D30" s="530"/>
      <c r="E30" s="530"/>
      <c r="F30" s="530"/>
      <c r="G30" s="530" t="s">
        <v>607</v>
      </c>
      <c r="H30" s="530"/>
      <c r="I30" s="530"/>
    </row>
    <row r="31" spans="1:9" s="122" customFormat="1" ht="40.200000000000003" customHeight="1">
      <c r="A31" s="125"/>
      <c r="B31" s="217" t="s">
        <v>581</v>
      </c>
      <c r="C31" s="530" t="s">
        <v>225</v>
      </c>
      <c r="D31" s="530"/>
      <c r="E31" s="530"/>
      <c r="F31" s="530"/>
      <c r="G31" s="530" t="s">
        <v>573</v>
      </c>
      <c r="H31" s="530"/>
      <c r="I31" s="530"/>
    </row>
    <row r="32" spans="1:9" s="122" customFormat="1" ht="19.95" customHeight="1">
      <c r="A32" s="125"/>
      <c r="B32" s="217" t="s">
        <v>582</v>
      </c>
      <c r="C32" s="530" t="s">
        <v>608</v>
      </c>
      <c r="D32" s="530"/>
      <c r="E32" s="530"/>
      <c r="F32" s="530"/>
      <c r="G32" s="530" t="s">
        <v>573</v>
      </c>
      <c r="H32" s="530"/>
      <c r="I32" s="530"/>
    </row>
    <row r="33" spans="1:9" s="122" customFormat="1" ht="31.2" customHeight="1">
      <c r="A33" s="125"/>
      <c r="B33" s="217" t="s">
        <v>583</v>
      </c>
      <c r="C33" s="530" t="s">
        <v>609</v>
      </c>
      <c r="D33" s="530"/>
      <c r="E33" s="530"/>
      <c r="F33" s="530"/>
      <c r="G33" s="530" t="s">
        <v>573</v>
      </c>
      <c r="H33" s="530"/>
      <c r="I33" s="530"/>
    </row>
    <row r="34" spans="1:9" s="122" customFormat="1" ht="30" customHeight="1">
      <c r="A34" s="125"/>
      <c r="B34" s="217" t="s">
        <v>584</v>
      </c>
      <c r="C34" s="530" t="s">
        <v>585</v>
      </c>
      <c r="D34" s="530"/>
      <c r="E34" s="530"/>
      <c r="F34" s="530"/>
      <c r="G34" s="530" t="s">
        <v>573</v>
      </c>
      <c r="H34" s="530"/>
      <c r="I34" s="530"/>
    </row>
    <row r="35" spans="1:9" s="122" customFormat="1" ht="19.95" customHeight="1">
      <c r="A35" s="125"/>
      <c r="B35" s="217" t="s">
        <v>586</v>
      </c>
      <c r="C35" s="530" t="s">
        <v>610</v>
      </c>
      <c r="D35" s="530"/>
      <c r="E35" s="530"/>
      <c r="F35" s="530"/>
      <c r="G35" s="530" t="s">
        <v>573</v>
      </c>
      <c r="H35" s="530"/>
      <c r="I35" s="530"/>
    </row>
    <row r="36" spans="1:9" s="122" customFormat="1" ht="19.95" customHeight="1">
      <c r="A36" s="125"/>
      <c r="B36" s="217" t="s">
        <v>620</v>
      </c>
      <c r="C36" s="530" t="s">
        <v>611</v>
      </c>
      <c r="D36" s="530"/>
      <c r="E36" s="530"/>
      <c r="F36" s="530"/>
      <c r="G36" s="530" t="s">
        <v>621</v>
      </c>
      <c r="H36" s="530"/>
      <c r="I36" s="530"/>
    </row>
    <row r="37" spans="1:9" s="122" customFormat="1" ht="28.8" customHeight="1">
      <c r="A37" s="125"/>
      <c r="B37" s="217" t="s">
        <v>587</v>
      </c>
      <c r="C37" s="530" t="s">
        <v>612</v>
      </c>
      <c r="D37" s="530"/>
      <c r="E37" s="530"/>
      <c r="F37" s="530"/>
      <c r="G37" s="530" t="s">
        <v>588</v>
      </c>
      <c r="H37" s="530"/>
      <c r="I37" s="530"/>
    </row>
    <row r="38" spans="1:9" s="122" customFormat="1" ht="19.95" customHeight="1">
      <c r="A38" s="125"/>
      <c r="B38" s="217" t="s">
        <v>601</v>
      </c>
      <c r="C38" s="530"/>
      <c r="D38" s="530"/>
      <c r="E38" s="530"/>
      <c r="F38" s="530"/>
      <c r="G38" s="218"/>
      <c r="H38" s="218"/>
      <c r="I38" s="218"/>
    </row>
    <row r="39" spans="1:9" s="122" customFormat="1" ht="19.95" customHeight="1">
      <c r="A39" s="125"/>
      <c r="B39" s="217" t="s">
        <v>589</v>
      </c>
      <c r="C39" s="530"/>
      <c r="D39" s="530"/>
      <c r="E39" s="530"/>
      <c r="F39" s="530"/>
      <c r="G39" s="218"/>
      <c r="H39" s="218"/>
      <c r="I39" s="218"/>
    </row>
    <row r="40" spans="1:9" s="122" customFormat="1" ht="19.95" customHeight="1">
      <c r="A40" s="125"/>
      <c r="B40" s="217" t="s">
        <v>590</v>
      </c>
      <c r="C40" s="530"/>
      <c r="D40" s="530"/>
      <c r="E40" s="530"/>
      <c r="F40" s="530"/>
      <c r="G40" s="218"/>
      <c r="H40" s="218"/>
      <c r="I40" s="218"/>
    </row>
    <row r="41" spans="1:9" s="122" customFormat="1" ht="19.95" customHeight="1">
      <c r="A41" s="125"/>
      <c r="B41" s="217" t="s">
        <v>613</v>
      </c>
      <c r="C41" s="530"/>
      <c r="D41" s="530"/>
      <c r="E41" s="530"/>
      <c r="F41" s="530"/>
      <c r="G41" s="218"/>
      <c r="H41" s="218"/>
      <c r="I41" s="218"/>
    </row>
    <row r="42" spans="1:9" s="122" customFormat="1" ht="19.95" customHeight="1">
      <c r="A42" s="125"/>
      <c r="B42" s="217" t="s">
        <v>622</v>
      </c>
      <c r="C42" s="530"/>
      <c r="D42" s="530"/>
      <c r="E42" s="530"/>
      <c r="F42" s="530"/>
      <c r="G42" s="218"/>
      <c r="H42" s="218"/>
      <c r="I42" s="218"/>
    </row>
    <row r="43" spans="1:9" s="122" customFormat="1" ht="19.95" customHeight="1">
      <c r="A43" s="125"/>
      <c r="B43" s="217" t="s">
        <v>591</v>
      </c>
      <c r="C43" s="530"/>
      <c r="D43" s="530"/>
      <c r="E43" s="530"/>
      <c r="F43" s="530"/>
      <c r="G43" s="218"/>
      <c r="H43" s="218"/>
      <c r="I43" s="218"/>
    </row>
    <row r="44" spans="1:9" s="122" customFormat="1" ht="19.95" customHeight="1">
      <c r="A44" s="125"/>
      <c r="B44" s="217" t="s">
        <v>592</v>
      </c>
      <c r="C44" s="530"/>
      <c r="D44" s="530"/>
      <c r="E44" s="530"/>
      <c r="F44" s="530"/>
      <c r="G44" s="218"/>
      <c r="H44" s="218"/>
      <c r="I44" s="218"/>
    </row>
    <row r="45" spans="1:9" s="122" customFormat="1" ht="19.95" customHeight="1">
      <c r="A45" s="125"/>
      <c r="B45" s="374" t="s">
        <v>561</v>
      </c>
      <c r="C45" s="125"/>
      <c r="D45" s="125"/>
      <c r="E45" s="125"/>
      <c r="F45" s="125"/>
      <c r="G45" s="125"/>
      <c r="H45" s="125"/>
      <c r="I45" s="125"/>
    </row>
    <row r="46" spans="1:9" s="122" customFormat="1" ht="19.95" customHeight="1">
      <c r="A46" s="526" t="s">
        <v>593</v>
      </c>
      <c r="B46" s="526"/>
      <c r="C46" s="526"/>
      <c r="D46" s="526"/>
      <c r="E46" s="526"/>
      <c r="F46" s="526"/>
      <c r="G46" s="526"/>
      <c r="H46" s="527" t="s">
        <v>563</v>
      </c>
      <c r="I46" s="528"/>
    </row>
    <row r="47" spans="1:9" s="122" customFormat="1" ht="20.100000000000001" customHeight="1">
      <c r="A47" s="529" t="s">
        <v>614</v>
      </c>
      <c r="B47" s="529"/>
      <c r="C47" s="529"/>
      <c r="D47" s="529"/>
      <c r="E47" s="529"/>
      <c r="F47" s="529"/>
      <c r="G47" s="529"/>
      <c r="H47" s="529"/>
      <c r="I47" s="529"/>
    </row>
    <row r="48" spans="1:9" s="122" customFormat="1" ht="20.100000000000001" customHeight="1">
      <c r="A48" s="125" t="s">
        <v>566</v>
      </c>
      <c r="B48" s="531" t="s">
        <v>226</v>
      </c>
      <c r="C48" s="530"/>
      <c r="D48" s="530"/>
      <c r="E48" s="530"/>
      <c r="F48" s="530"/>
      <c r="G48" s="530"/>
      <c r="H48" s="530"/>
      <c r="I48" s="530"/>
    </row>
    <row r="49" spans="1:9" s="122" customFormat="1" ht="20.100000000000001" customHeight="1">
      <c r="A49" s="125"/>
      <c r="B49" s="531" t="s">
        <v>227</v>
      </c>
      <c r="C49" s="530"/>
      <c r="D49" s="530"/>
      <c r="E49" s="530"/>
      <c r="F49" s="530"/>
      <c r="G49" s="530"/>
      <c r="H49" s="530"/>
      <c r="I49" s="530"/>
    </row>
    <row r="50" spans="1:9" s="122" customFormat="1" ht="28.5" customHeight="1">
      <c r="A50" s="125"/>
      <c r="B50" s="531" t="s">
        <v>615</v>
      </c>
      <c r="C50" s="530"/>
      <c r="D50" s="530"/>
      <c r="E50" s="530"/>
      <c r="F50" s="530"/>
      <c r="G50" s="530"/>
      <c r="H50" s="530"/>
      <c r="I50" s="530"/>
    </row>
    <row r="51" spans="1:9" s="122" customFormat="1" ht="26.4" customHeight="1">
      <c r="A51" s="125"/>
      <c r="B51" s="531" t="s">
        <v>228</v>
      </c>
      <c r="C51" s="530"/>
      <c r="D51" s="530"/>
      <c r="E51" s="530"/>
      <c r="F51" s="530"/>
      <c r="G51" s="530"/>
      <c r="H51" s="530"/>
      <c r="I51" s="530"/>
    </row>
    <row r="52" spans="1:9" s="122" customFormat="1" ht="20.100000000000001" customHeight="1">
      <c r="A52" s="125"/>
      <c r="B52" s="125" t="s">
        <v>545</v>
      </c>
      <c r="C52" s="125"/>
      <c r="D52" s="125"/>
      <c r="E52" s="125"/>
      <c r="F52" s="125"/>
      <c r="G52" s="125"/>
      <c r="H52" s="125"/>
      <c r="I52" s="125"/>
    </row>
    <row r="53" spans="1:9" s="122" customFormat="1" ht="20.100000000000001" customHeight="1">
      <c r="A53" s="529" t="s">
        <v>594</v>
      </c>
      <c r="B53" s="529"/>
      <c r="C53" s="529"/>
      <c r="D53" s="529"/>
      <c r="E53" s="529"/>
      <c r="F53" s="529"/>
      <c r="G53" s="529"/>
      <c r="H53" s="529"/>
      <c r="I53" s="529"/>
    </row>
    <row r="54" spans="1:9" s="122" customFormat="1" ht="44.4" customHeight="1">
      <c r="A54" s="529"/>
      <c r="B54" s="529"/>
      <c r="C54" s="529"/>
      <c r="D54" s="529"/>
      <c r="E54" s="529"/>
      <c r="F54" s="529"/>
      <c r="G54" s="529"/>
      <c r="H54" s="529"/>
      <c r="I54" s="529"/>
    </row>
    <row r="55" spans="1:9" s="122" customFormat="1" ht="20.100000000000001" customHeight="1">
      <c r="A55" s="526" t="s">
        <v>595</v>
      </c>
      <c r="B55" s="526"/>
      <c r="C55" s="526"/>
      <c r="D55" s="526"/>
      <c r="E55" s="526"/>
      <c r="F55" s="526"/>
      <c r="G55" s="526"/>
      <c r="H55" s="527" t="s">
        <v>563</v>
      </c>
      <c r="I55" s="528"/>
    </row>
    <row r="56" spans="1:9" s="122" customFormat="1" ht="30.75" customHeight="1">
      <c r="A56" s="529" t="s">
        <v>623</v>
      </c>
      <c r="B56" s="529"/>
      <c r="C56" s="529"/>
      <c r="D56" s="529"/>
      <c r="E56" s="529"/>
      <c r="F56" s="529"/>
      <c r="G56" s="529"/>
      <c r="H56" s="529"/>
      <c r="I56" s="529"/>
    </row>
    <row r="57" spans="1:9" s="122" customFormat="1" ht="32.25" customHeight="1">
      <c r="A57" s="125" t="s">
        <v>566</v>
      </c>
      <c r="B57" s="531" t="s">
        <v>616</v>
      </c>
      <c r="C57" s="530"/>
      <c r="D57" s="530"/>
      <c r="E57" s="530"/>
      <c r="F57" s="530"/>
      <c r="G57" s="530"/>
      <c r="H57" s="530"/>
      <c r="I57" s="530"/>
    </row>
    <row r="58" spans="1:9" s="122" customFormat="1" ht="20.100000000000001" customHeight="1">
      <c r="A58" s="125"/>
      <c r="B58" s="125" t="s">
        <v>539</v>
      </c>
      <c r="C58" s="125"/>
      <c r="D58" s="125"/>
      <c r="E58" s="125"/>
      <c r="F58" s="125"/>
      <c r="G58" s="125"/>
      <c r="H58" s="125"/>
      <c r="I58" s="125"/>
    </row>
    <row r="59" spans="1:9" s="122" customFormat="1" ht="20.100000000000001" customHeight="1">
      <c r="A59" s="526" t="s">
        <v>602</v>
      </c>
      <c r="B59" s="526"/>
      <c r="C59" s="526"/>
      <c r="D59" s="526"/>
      <c r="E59" s="526"/>
      <c r="F59" s="526"/>
      <c r="G59" s="526"/>
      <c r="H59" s="527" t="s">
        <v>563</v>
      </c>
      <c r="I59" s="528"/>
    </row>
    <row r="60" spans="1:9" s="122" customFormat="1" ht="20.100000000000001" customHeight="1">
      <c r="A60" s="529" t="s">
        <v>596</v>
      </c>
      <c r="B60" s="529"/>
      <c r="C60" s="529"/>
      <c r="D60" s="529"/>
      <c r="E60" s="529"/>
      <c r="F60" s="529"/>
      <c r="G60" s="529"/>
      <c r="H60" s="529"/>
      <c r="I60" s="529"/>
    </row>
    <row r="61" spans="1:9" s="122" customFormat="1" ht="20.100000000000001" customHeight="1">
      <c r="A61" s="529" t="s">
        <v>597</v>
      </c>
      <c r="B61" s="529"/>
      <c r="C61" s="529"/>
      <c r="D61" s="529"/>
      <c r="E61" s="529"/>
      <c r="F61" s="529"/>
      <c r="G61" s="529"/>
      <c r="H61" s="529"/>
      <c r="I61" s="529"/>
    </row>
    <row r="62" spans="1:9" s="122" customFormat="1" ht="25.2" customHeight="1">
      <c r="A62" s="529"/>
      <c r="B62" s="529"/>
      <c r="C62" s="529"/>
      <c r="D62" s="529"/>
      <c r="E62" s="529"/>
      <c r="F62" s="529"/>
      <c r="G62" s="529"/>
      <c r="H62" s="529"/>
      <c r="I62" s="529"/>
    </row>
    <row r="63" spans="1:9" s="122" customFormat="1" ht="20.100000000000001" customHeight="1">
      <c r="A63" s="526" t="s">
        <v>598</v>
      </c>
      <c r="B63" s="526"/>
      <c r="C63" s="526"/>
      <c r="D63" s="526"/>
      <c r="E63" s="526"/>
      <c r="F63" s="526"/>
      <c r="G63" s="526"/>
      <c r="H63" s="527" t="s">
        <v>563</v>
      </c>
      <c r="I63" s="528"/>
    </row>
    <row r="64" spans="1:9" s="122" customFormat="1" ht="20.100000000000001" customHeight="1">
      <c r="A64" s="125"/>
      <c r="B64" s="125"/>
      <c r="C64" s="125"/>
      <c r="D64" s="125"/>
      <c r="E64" s="125"/>
      <c r="F64" s="125"/>
      <c r="G64" s="125"/>
      <c r="H64" s="125"/>
      <c r="I64" s="125"/>
    </row>
    <row r="65" spans="1:9" s="122" customFormat="1" ht="20.100000000000001" customHeight="1">
      <c r="A65" s="121"/>
      <c r="B65" s="121"/>
      <c r="C65" s="121"/>
      <c r="D65" s="121"/>
      <c r="E65" s="121"/>
      <c r="F65" s="121"/>
      <c r="G65" s="121"/>
      <c r="H65" s="121"/>
      <c r="I65" s="121"/>
    </row>
    <row r="66" spans="1:9" s="122" customFormat="1" ht="20.100000000000001" customHeight="1">
      <c r="A66" s="375" t="s">
        <v>599</v>
      </c>
      <c r="B66" s="121"/>
      <c r="C66" s="121"/>
      <c r="D66" s="121"/>
      <c r="E66" s="121"/>
      <c r="F66" s="121"/>
      <c r="G66" s="121"/>
      <c r="H66" s="121"/>
      <c r="I66" s="121"/>
    </row>
    <row r="67" spans="1:9" s="120" customFormat="1" ht="13.8">
      <c r="A67" s="122"/>
      <c r="B67" s="122"/>
      <c r="C67" s="122"/>
      <c r="D67" s="122"/>
      <c r="E67" s="122"/>
      <c r="F67" s="122"/>
      <c r="G67" s="122"/>
      <c r="H67" s="122"/>
      <c r="I67" s="122"/>
    </row>
  </sheetData>
  <mergeCells count="75">
    <mergeCell ref="A62:I62"/>
    <mergeCell ref="A63:G63"/>
    <mergeCell ref="H63:I63"/>
    <mergeCell ref="A56:I56"/>
    <mergeCell ref="B57:I57"/>
    <mergeCell ref="A59:G59"/>
    <mergeCell ref="H59:I59"/>
    <mergeCell ref="A60:I60"/>
    <mergeCell ref="A61:I61"/>
    <mergeCell ref="B50:I50"/>
    <mergeCell ref="B51:I51"/>
    <mergeCell ref="A53:I53"/>
    <mergeCell ref="A54:I54"/>
    <mergeCell ref="A55:G55"/>
    <mergeCell ref="H55:I55"/>
    <mergeCell ref="B49:I49"/>
    <mergeCell ref="C38:F38"/>
    <mergeCell ref="C39:F39"/>
    <mergeCell ref="C40:F40"/>
    <mergeCell ref="C41:F41"/>
    <mergeCell ref="C42:F42"/>
    <mergeCell ref="C43:F43"/>
    <mergeCell ref="C44:F44"/>
    <mergeCell ref="A46:G46"/>
    <mergeCell ref="H46:I46"/>
    <mergeCell ref="A47:I47"/>
    <mergeCell ref="B48:I48"/>
    <mergeCell ref="C35:F35"/>
    <mergeCell ref="G35:I35"/>
    <mergeCell ref="C36:F36"/>
    <mergeCell ref="G36:I36"/>
    <mergeCell ref="C37:F37"/>
    <mergeCell ref="G37:I37"/>
    <mergeCell ref="C32:F32"/>
    <mergeCell ref="G32:I32"/>
    <mergeCell ref="C33:F33"/>
    <mergeCell ref="G33:I33"/>
    <mergeCell ref="C34:F34"/>
    <mergeCell ref="G34:I34"/>
    <mergeCell ref="C29:F29"/>
    <mergeCell ref="G29:I29"/>
    <mergeCell ref="C30:F30"/>
    <mergeCell ref="G30:I30"/>
    <mergeCell ref="C31:F31"/>
    <mergeCell ref="G31:I31"/>
    <mergeCell ref="C26:F26"/>
    <mergeCell ref="G26:I26"/>
    <mergeCell ref="C27:F27"/>
    <mergeCell ref="G27:I27"/>
    <mergeCell ref="C28:F28"/>
    <mergeCell ref="G28:I28"/>
    <mergeCell ref="C25:F25"/>
    <mergeCell ref="G25:I25"/>
    <mergeCell ref="A13:I13"/>
    <mergeCell ref="B14:I14"/>
    <mergeCell ref="B15:I15"/>
    <mergeCell ref="B16:I16"/>
    <mergeCell ref="A21:G21"/>
    <mergeCell ref="H21:I21"/>
    <mergeCell ref="A22:I22"/>
    <mergeCell ref="C23:F23"/>
    <mergeCell ref="G23:I23"/>
    <mergeCell ref="C24:F24"/>
    <mergeCell ref="G24:I24"/>
    <mergeCell ref="A1:I1"/>
    <mergeCell ref="A2:I2"/>
    <mergeCell ref="A12:G12"/>
    <mergeCell ref="H12:I12"/>
    <mergeCell ref="A10:I10"/>
    <mergeCell ref="A11:I11"/>
    <mergeCell ref="A6:G6"/>
    <mergeCell ref="H6:I6"/>
    <mergeCell ref="A7:I7"/>
    <mergeCell ref="A8:I8"/>
    <mergeCell ref="A9:I9"/>
  </mergeCells>
  <phoneticPr fontId="6" type="noConversion"/>
  <pageMargins left="0.39370078740157483" right="0.27559055118110237" top="0.98425196850393704" bottom="0.98425196850393704" header="0.51181102362204722" footer="0.51181102362204722"/>
  <pageSetup paperSize="9" scale="95" firstPageNumber="4294963191" fitToHeight="0" orientation="portrait" blackAndWhite="1" horizontalDpi="300" verticalDpi="300"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15</vt:i4>
      </vt:variant>
    </vt:vector>
  </HeadingPairs>
  <TitlesOfParts>
    <vt:vector size="30" baseType="lpstr">
      <vt:lpstr>底稿目录</vt:lpstr>
      <vt:lpstr>程序表F2-61A</vt:lpstr>
      <vt:lpstr>原材料采购价格分析表F2-61</vt:lpstr>
      <vt:lpstr>原材料单价分析F2-62</vt:lpstr>
      <vt:lpstr>存货产量与产能、能耗分析表F2-63</vt:lpstr>
      <vt:lpstr>主要产品生产成本及单耗分析表F2-64</vt:lpstr>
      <vt:lpstr>关联方采购定价公允性核查（询价函）F2-65</vt:lpstr>
      <vt:lpstr>关联方采购定价公允性核查（市场价）F2-66</vt:lpstr>
      <vt:lpstr>识别未披露的关联方F2-67</vt:lpstr>
      <vt:lpstr>重要供应商结构分析F2-68</vt:lpstr>
      <vt:lpstr>供应商核查清单F2-69</vt:lpstr>
      <vt:lpstr>供应商信息核查表F2-70</vt:lpstr>
      <vt:lpstr>供应商访谈记录汇总表F2-71</vt:lpstr>
      <vt:lpstr>供应商访谈记录F2-72</vt:lpstr>
      <vt:lpstr>访谈记录与核对示例</vt:lpstr>
      <vt:lpstr>'程序表F2-61A'!Print_Area</vt:lpstr>
      <vt:lpstr>'存货产量与产能、能耗分析表F2-63'!Print_Area</vt:lpstr>
      <vt:lpstr>访谈记录与核对示例!Print_Area</vt:lpstr>
      <vt:lpstr>'供应商访谈记录F2-72'!Print_Area</vt:lpstr>
      <vt:lpstr>'供应商访谈记录汇总表F2-71'!Print_Area</vt:lpstr>
      <vt:lpstr>'供应商核查清单F2-69'!Print_Area</vt:lpstr>
      <vt:lpstr>'供应商信息核查表F2-70'!Print_Area</vt:lpstr>
      <vt:lpstr>'关联方采购定价公允性核查（市场价）F2-66'!Print_Area</vt:lpstr>
      <vt:lpstr>'关联方采购定价公允性核查（询价函）F2-65'!Print_Area</vt:lpstr>
      <vt:lpstr>'识别未披露的关联方F2-67'!Print_Area</vt:lpstr>
      <vt:lpstr>'原材料采购价格分析表F2-61'!Print_Area</vt:lpstr>
      <vt:lpstr>'原材料单价分析F2-62'!Print_Area</vt:lpstr>
      <vt:lpstr>'重要供应商结构分析F2-68'!Print_Area</vt:lpstr>
      <vt:lpstr>'主要产品生产成本及单耗分析表F2-64'!Print_Area</vt:lpstr>
      <vt:lpstr>'程序表F2-61A'!Print_Titles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2025-10-30T10:06:38Z</dcterms:modified>
</cp:coreProperties>
</file>