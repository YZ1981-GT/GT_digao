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8520" tabRatio="803"/>
  </bookViews>
  <sheets>
    <sheet name="底稿目录" sheetId="1" r:id="rId1"/>
    <sheet name="GT_Custom" sheetId="63" state="hidden" r:id="rId2"/>
    <sheet name="存货总体分析表F2-18" sheetId="138" r:id="rId3"/>
    <sheet name="存货产销量变动分析表F2-19" sheetId="131" r:id="rId4"/>
    <sheet name="产品年度成本比较分析F2-20" sheetId="140" r:id="rId5"/>
  </sheets>
  <externalReferences>
    <externalReference r:id="rId6"/>
  </externalReferences>
  <definedNames>
    <definedName name="bs" localSheetId="3">{#N/A,#N/A,FALSE,"BBPREP"}</definedName>
    <definedName name="bs" localSheetId="2">{#N/A,#N/A,FALSE,"BBPREP"}</definedName>
    <definedName name="bs">{#N/A,#N/A,FALSE,"BBPREP"}</definedName>
    <definedName name="bs_1" localSheetId="3">{#N/A,#N/A,FALSE,"BBPREP"}</definedName>
    <definedName name="bs_1" localSheetId="2">{#N/A,#N/A,FALSE,"BBPREP"}</definedName>
    <definedName name="_xlnm.Print_Area" localSheetId="4">'产品年度成本比较分析F2-20'!$A$1:$R$23</definedName>
    <definedName name="_xlnm.Print_Area" localSheetId="3">'存货产销量变动分析表F2-19'!$A$1:$P$82</definedName>
    <definedName name="_xlnm.Print_Area" localSheetId="2">'存货总体分析表F2-18'!$A$1:$I$67</definedName>
    <definedName name="_xlnm.Print_Titles" localSheetId="3">'存货产销量变动分析表F2-19'!$1:$4</definedName>
  </definedNames>
  <calcPr calcId="162913"/>
</workbook>
</file>

<file path=xl/calcChain.xml><?xml version="1.0" encoding="utf-8"?>
<calcChain xmlns="http://schemas.openxmlformats.org/spreadsheetml/2006/main">
  <c r="E4" i="138" l="1"/>
  <c r="E3" i="138"/>
  <c r="C4" i="138"/>
  <c r="C3" i="138"/>
  <c r="A4" i="138"/>
  <c r="A3" i="138"/>
  <c r="L7" i="140" l="1"/>
  <c r="R3" i="140"/>
  <c r="L4" i="140"/>
  <c r="L3" i="140"/>
  <c r="F4" i="140"/>
  <c r="F3" i="140"/>
  <c r="A4" i="140"/>
  <c r="A3" i="140"/>
  <c r="P3" i="131"/>
  <c r="I3" i="138"/>
  <c r="B67" i="131"/>
  <c r="B58" i="131"/>
  <c r="O16" i="140"/>
  <c r="N16" i="140"/>
  <c r="M16" i="140"/>
  <c r="L16" i="140"/>
  <c r="K16" i="140"/>
  <c r="P16" i="140" s="1"/>
  <c r="F16" i="140"/>
  <c r="O15" i="140"/>
  <c r="N15" i="140"/>
  <c r="M15" i="140"/>
  <c r="L15" i="140"/>
  <c r="K15" i="140"/>
  <c r="P15" i="140" s="1"/>
  <c r="F15" i="140"/>
  <c r="O14" i="140"/>
  <c r="N14" i="140"/>
  <c r="M14" i="140"/>
  <c r="L14" i="140"/>
  <c r="K14" i="140"/>
  <c r="P14" i="140" s="1"/>
  <c r="F14" i="140"/>
  <c r="O13" i="140"/>
  <c r="N13" i="140"/>
  <c r="M13" i="140"/>
  <c r="L13" i="140"/>
  <c r="K13" i="140"/>
  <c r="P13" i="140" s="1"/>
  <c r="F13" i="140"/>
  <c r="O12" i="140"/>
  <c r="N12" i="140"/>
  <c r="M12" i="140"/>
  <c r="L12" i="140"/>
  <c r="K12" i="140"/>
  <c r="P12" i="140" s="1"/>
  <c r="F12" i="140"/>
  <c r="O11" i="140"/>
  <c r="N11" i="140"/>
  <c r="M11" i="140"/>
  <c r="L11" i="140"/>
  <c r="K11" i="140"/>
  <c r="P11" i="140" s="1"/>
  <c r="F11" i="140"/>
  <c r="O10" i="140"/>
  <c r="N10" i="140"/>
  <c r="M10" i="140"/>
  <c r="L10" i="140"/>
  <c r="K10" i="140"/>
  <c r="P10" i="140" s="1"/>
  <c r="F10" i="140"/>
  <c r="P9" i="140"/>
  <c r="O9" i="140"/>
  <c r="N9" i="140"/>
  <c r="M9" i="140"/>
  <c r="L9" i="140"/>
  <c r="K9" i="140"/>
  <c r="F9" i="140"/>
  <c r="O8" i="140"/>
  <c r="N8" i="140"/>
  <c r="M8" i="140"/>
  <c r="L8" i="140"/>
  <c r="K8" i="140"/>
  <c r="P8" i="140" s="1"/>
  <c r="F8" i="140"/>
  <c r="O7" i="140"/>
  <c r="N7" i="140"/>
  <c r="M7" i="140"/>
  <c r="K7" i="140"/>
  <c r="P7" i="140" s="1"/>
  <c r="F7" i="140"/>
  <c r="N49" i="131" l="1"/>
  <c r="O67" i="131"/>
  <c r="P68" i="131"/>
  <c r="N63" i="131"/>
  <c r="N72" i="131"/>
  <c r="O72" i="131"/>
  <c r="B68" i="131"/>
  <c r="C68" i="131"/>
  <c r="D68" i="131"/>
  <c r="E68" i="131"/>
  <c r="F68" i="131"/>
  <c r="G68" i="131"/>
  <c r="H68" i="131"/>
  <c r="I68" i="131"/>
  <c r="J68" i="131"/>
  <c r="K68" i="131"/>
  <c r="L68" i="131"/>
  <c r="M68" i="131"/>
  <c r="N68" i="131"/>
  <c r="O68" i="131"/>
  <c r="B69" i="131"/>
  <c r="C69" i="131"/>
  <c r="D69" i="131"/>
  <c r="E69" i="131"/>
  <c r="F69" i="131"/>
  <c r="G69" i="131"/>
  <c r="H69" i="131"/>
  <c r="I69" i="131"/>
  <c r="J69" i="131"/>
  <c r="K69" i="131"/>
  <c r="L69" i="131"/>
  <c r="M69" i="131"/>
  <c r="N69" i="131"/>
  <c r="O69" i="131"/>
  <c r="B70" i="131"/>
  <c r="C70" i="131"/>
  <c r="D70" i="131"/>
  <c r="E70" i="131"/>
  <c r="F70" i="131"/>
  <c r="G70" i="131"/>
  <c r="H70" i="131"/>
  <c r="I70" i="131"/>
  <c r="J70" i="131"/>
  <c r="K70" i="131"/>
  <c r="L70" i="131"/>
  <c r="M70" i="131"/>
  <c r="N70" i="131"/>
  <c r="O70" i="131"/>
  <c r="B71" i="131"/>
  <c r="C71" i="131"/>
  <c r="D71" i="131"/>
  <c r="E71" i="131"/>
  <c r="F71" i="131"/>
  <c r="G71" i="131"/>
  <c r="H71" i="131"/>
  <c r="I71" i="131"/>
  <c r="J71" i="131"/>
  <c r="K71" i="131"/>
  <c r="L71" i="131"/>
  <c r="M71" i="131"/>
  <c r="N71" i="131"/>
  <c r="O71" i="131"/>
  <c r="B72" i="131"/>
  <c r="C72" i="131"/>
  <c r="D72" i="131"/>
  <c r="E72" i="131"/>
  <c r="F72" i="131"/>
  <c r="G72" i="131"/>
  <c r="H72" i="131"/>
  <c r="I72" i="131"/>
  <c r="J72" i="131"/>
  <c r="K72" i="131"/>
  <c r="L72" i="131"/>
  <c r="M72" i="131"/>
  <c r="C67" i="131"/>
  <c r="D67" i="131"/>
  <c r="E67" i="131"/>
  <c r="F67" i="131"/>
  <c r="G67" i="131"/>
  <c r="H67" i="131"/>
  <c r="I67" i="131"/>
  <c r="J67" i="131"/>
  <c r="K67" i="131"/>
  <c r="L67" i="131"/>
  <c r="M67" i="131"/>
  <c r="A68" i="131"/>
  <c r="A69" i="131"/>
  <c r="A70" i="131"/>
  <c r="A71" i="131"/>
  <c r="A72" i="131"/>
  <c r="A67" i="131"/>
  <c r="O58" i="131" l="1"/>
  <c r="P71" i="131"/>
  <c r="C58" i="131"/>
  <c r="D58" i="131"/>
  <c r="E58" i="131"/>
  <c r="B31" i="131"/>
  <c r="A59" i="131"/>
  <c r="A60" i="131"/>
  <c r="A61" i="131"/>
  <c r="A62" i="131"/>
  <c r="A63" i="131"/>
  <c r="A58" i="131"/>
  <c r="A50" i="131"/>
  <c r="A51" i="131"/>
  <c r="A52" i="131"/>
  <c r="A53" i="131"/>
  <c r="A54" i="131"/>
  <c r="A49" i="131"/>
  <c r="A41" i="131"/>
  <c r="A42" i="131"/>
  <c r="A43" i="131"/>
  <c r="A44" i="131"/>
  <c r="A45" i="131"/>
  <c r="A40" i="131"/>
  <c r="A32" i="131"/>
  <c r="A33" i="131"/>
  <c r="A34" i="131"/>
  <c r="A35" i="131"/>
  <c r="A36" i="131"/>
  <c r="A31" i="131"/>
  <c r="A23" i="131"/>
  <c r="A24" i="131"/>
  <c r="A25" i="131"/>
  <c r="A26" i="131"/>
  <c r="A27" i="131"/>
  <c r="A22" i="131"/>
  <c r="P72" i="131" l="1"/>
  <c r="D43" i="138" l="1"/>
  <c r="D53" i="138" l="1"/>
  <c r="E53" i="138" s="1"/>
  <c r="O32" i="131" l="1"/>
  <c r="O33" i="131"/>
  <c r="O34" i="131"/>
  <c r="O35" i="131"/>
  <c r="O36" i="131"/>
  <c r="O31" i="131"/>
  <c r="C36" i="131"/>
  <c r="D36" i="131"/>
  <c r="E36" i="131"/>
  <c r="F36" i="131"/>
  <c r="G36" i="131"/>
  <c r="H36" i="131"/>
  <c r="I36" i="131"/>
  <c r="J36" i="131"/>
  <c r="K36" i="131"/>
  <c r="L36" i="131"/>
  <c r="M36" i="131"/>
  <c r="B32" i="131"/>
  <c r="C32" i="131"/>
  <c r="D32" i="131"/>
  <c r="E32" i="131"/>
  <c r="F32" i="131"/>
  <c r="G32" i="131"/>
  <c r="H32" i="131"/>
  <c r="I32" i="131"/>
  <c r="J32" i="131"/>
  <c r="K32" i="131"/>
  <c r="L32" i="131"/>
  <c r="M32" i="131"/>
  <c r="B33" i="131"/>
  <c r="C33" i="131"/>
  <c r="D33" i="131"/>
  <c r="E33" i="131"/>
  <c r="F33" i="131"/>
  <c r="G33" i="131"/>
  <c r="H33" i="131"/>
  <c r="I33" i="131"/>
  <c r="J33" i="131"/>
  <c r="K33" i="131"/>
  <c r="L33" i="131"/>
  <c r="M33" i="131"/>
  <c r="B34" i="131"/>
  <c r="C34" i="131"/>
  <c r="D34" i="131"/>
  <c r="E34" i="131"/>
  <c r="F34" i="131"/>
  <c r="G34" i="131"/>
  <c r="H34" i="131"/>
  <c r="I34" i="131"/>
  <c r="J34" i="131"/>
  <c r="K34" i="131"/>
  <c r="L34" i="131"/>
  <c r="M34" i="131"/>
  <c r="B35" i="131"/>
  <c r="C35" i="131"/>
  <c r="D35" i="131"/>
  <c r="E35" i="131"/>
  <c r="F35" i="131"/>
  <c r="G35" i="131"/>
  <c r="H35" i="131"/>
  <c r="I35" i="131"/>
  <c r="J35" i="131"/>
  <c r="K35" i="131"/>
  <c r="L35" i="131"/>
  <c r="M35" i="131"/>
  <c r="B36" i="131"/>
  <c r="C31" i="131"/>
  <c r="D31" i="131"/>
  <c r="E31" i="131"/>
  <c r="F31" i="131"/>
  <c r="G31" i="131"/>
  <c r="H31" i="131"/>
  <c r="I31" i="131"/>
  <c r="J31" i="131"/>
  <c r="K31" i="131"/>
  <c r="L31" i="131"/>
  <c r="M31" i="131"/>
  <c r="G54" i="138" l="1"/>
  <c r="G55" i="138"/>
  <c r="G56" i="138"/>
  <c r="G57" i="138"/>
  <c r="G58" i="138"/>
  <c r="G59" i="138"/>
  <c r="G60" i="138"/>
  <c r="G53" i="138"/>
  <c r="E54" i="138"/>
  <c r="E55" i="138"/>
  <c r="E56" i="138"/>
  <c r="E57" i="138"/>
  <c r="E58" i="138"/>
  <c r="E59" i="138"/>
  <c r="E60" i="138"/>
  <c r="D32" i="138"/>
  <c r="F32" i="138"/>
  <c r="A24" i="138"/>
  <c r="A22" i="138"/>
  <c r="D60" i="138"/>
  <c r="D59" i="138"/>
  <c r="D58" i="138"/>
  <c r="D57" i="138"/>
  <c r="D56" i="138"/>
  <c r="D55" i="138"/>
  <c r="D54" i="138"/>
  <c r="D46" i="138"/>
  <c r="D45" i="138"/>
  <c r="D44" i="138"/>
  <c r="F36" i="138"/>
  <c r="D36" i="138"/>
  <c r="F35" i="138"/>
  <c r="D35" i="138"/>
  <c r="F34" i="138"/>
  <c r="D34" i="138"/>
  <c r="F33" i="138"/>
  <c r="D33" i="138"/>
  <c r="G25" i="138"/>
  <c r="H20" i="138" s="1"/>
  <c r="A23" i="138"/>
  <c r="A21" i="138"/>
  <c r="A20" i="138"/>
  <c r="A19" i="138"/>
  <c r="A18" i="138"/>
  <c r="A17" i="138"/>
  <c r="A16" i="138"/>
  <c r="A15" i="138"/>
  <c r="A14" i="138"/>
  <c r="A13" i="138"/>
  <c r="A12" i="138"/>
  <c r="H19" i="138" l="1"/>
  <c r="H12" i="138"/>
  <c r="H15" i="138"/>
  <c r="H23" i="138"/>
  <c r="H22" i="138"/>
  <c r="H14" i="138"/>
  <c r="H18" i="138"/>
  <c r="H13" i="138"/>
  <c r="H17" i="138"/>
  <c r="H21" i="138"/>
  <c r="H24" i="138"/>
  <c r="H16" i="138"/>
  <c r="H25" i="138" l="1"/>
  <c r="K4" i="131" l="1"/>
  <c r="E4" i="131" l="1"/>
  <c r="A4" i="131" l="1"/>
  <c r="E3" i="131"/>
  <c r="K3" i="131"/>
  <c r="D3" i="1" l="1"/>
  <c r="D4" i="1" s="1"/>
  <c r="C60" i="131" l="1"/>
  <c r="B59" i="131"/>
  <c r="C59" i="131"/>
  <c r="D59" i="131"/>
  <c r="E59" i="131"/>
  <c r="F59" i="131"/>
  <c r="G59" i="131"/>
  <c r="H59" i="131"/>
  <c r="I59" i="131"/>
  <c r="J59" i="131"/>
  <c r="K59" i="131"/>
  <c r="L59" i="131"/>
  <c r="M59" i="131"/>
  <c r="O59" i="131"/>
  <c r="B60" i="131"/>
  <c r="D60" i="131"/>
  <c r="E60" i="131"/>
  <c r="F60" i="131"/>
  <c r="G60" i="131"/>
  <c r="H60" i="131"/>
  <c r="I60" i="131"/>
  <c r="J60" i="131"/>
  <c r="K60" i="131"/>
  <c r="L60" i="131"/>
  <c r="M60" i="131"/>
  <c r="O60" i="131"/>
  <c r="B61" i="131"/>
  <c r="D61" i="131"/>
  <c r="E61" i="131"/>
  <c r="F61" i="131"/>
  <c r="G61" i="131"/>
  <c r="H61" i="131"/>
  <c r="I61" i="131"/>
  <c r="J61" i="131"/>
  <c r="K61" i="131"/>
  <c r="L61" i="131"/>
  <c r="M61" i="131"/>
  <c r="O61" i="131"/>
  <c r="B62" i="131"/>
  <c r="C62" i="131"/>
  <c r="D62" i="131"/>
  <c r="E62" i="131"/>
  <c r="F62" i="131"/>
  <c r="G62" i="131"/>
  <c r="H62" i="131"/>
  <c r="I62" i="131"/>
  <c r="J62" i="131"/>
  <c r="K62" i="131"/>
  <c r="L62" i="131"/>
  <c r="M62" i="131"/>
  <c r="O62" i="131"/>
  <c r="B63" i="131"/>
  <c r="C63" i="131"/>
  <c r="D63" i="131"/>
  <c r="E63" i="131"/>
  <c r="F63" i="131"/>
  <c r="G63" i="131"/>
  <c r="H63" i="131"/>
  <c r="I63" i="131"/>
  <c r="J63" i="131"/>
  <c r="K63" i="131"/>
  <c r="L63" i="131"/>
  <c r="M63" i="131"/>
  <c r="O63" i="131"/>
  <c r="F58" i="131"/>
  <c r="G58" i="131"/>
  <c r="H58" i="131"/>
  <c r="I58" i="131"/>
  <c r="J58" i="131"/>
  <c r="K58" i="131"/>
  <c r="L58" i="131"/>
  <c r="M58" i="131"/>
  <c r="G46" i="131"/>
  <c r="N43" i="131"/>
  <c r="N61" i="131" s="1"/>
  <c r="M46" i="131"/>
  <c r="L46" i="131"/>
  <c r="K46" i="131"/>
  <c r="J46" i="131"/>
  <c r="I46" i="131"/>
  <c r="H46" i="131"/>
  <c r="F46" i="131"/>
  <c r="E46" i="131"/>
  <c r="D46" i="131"/>
  <c r="C46" i="131"/>
  <c r="B46" i="131"/>
  <c r="N45" i="131"/>
  <c r="N44" i="131"/>
  <c r="N42" i="131"/>
  <c r="P42" i="131" s="1"/>
  <c r="N41" i="131"/>
  <c r="P41" i="131" s="1"/>
  <c r="N40" i="131"/>
  <c r="P40" i="131" s="1"/>
  <c r="M28" i="131"/>
  <c r="L28" i="131"/>
  <c r="K28" i="131"/>
  <c r="J28" i="131"/>
  <c r="I28" i="131"/>
  <c r="H28" i="131"/>
  <c r="G28" i="131"/>
  <c r="F28" i="131"/>
  <c r="E28" i="131"/>
  <c r="D28" i="131"/>
  <c r="C28" i="131"/>
  <c r="B28" i="131"/>
  <c r="N27" i="131"/>
  <c r="P27" i="131" s="1"/>
  <c r="N26" i="131"/>
  <c r="P26" i="131" s="1"/>
  <c r="N25" i="131"/>
  <c r="P25" i="131" s="1"/>
  <c r="N24" i="131"/>
  <c r="P24" i="131" s="1"/>
  <c r="N23" i="131"/>
  <c r="P23" i="131" s="1"/>
  <c r="N22" i="131"/>
  <c r="P22" i="131" s="1"/>
  <c r="P45" i="131" l="1"/>
  <c r="P69" i="131"/>
  <c r="P44" i="131"/>
  <c r="P61" i="131"/>
  <c r="N62" i="131"/>
  <c r="P62" i="131" s="1"/>
  <c r="P63" i="131"/>
  <c r="N59" i="131"/>
  <c r="P59" i="131" s="1"/>
  <c r="P43" i="131"/>
  <c r="N60" i="131"/>
  <c r="P60" i="131" s="1"/>
  <c r="N28" i="131"/>
  <c r="O28" i="131" s="1"/>
  <c r="P28" i="131" s="1"/>
  <c r="N46" i="131"/>
  <c r="O46" i="131" l="1"/>
  <c r="P70" i="131" s="1"/>
  <c r="P46" i="131" l="1"/>
  <c r="A3" i="131" l="1"/>
  <c r="N13" i="131"/>
  <c r="N14" i="131"/>
  <c r="N15" i="131"/>
  <c r="N16" i="131"/>
  <c r="N17" i="131"/>
  <c r="N18" i="131"/>
  <c r="B19" i="131"/>
  <c r="C19" i="131"/>
  <c r="D19" i="131"/>
  <c r="E19" i="131"/>
  <c r="F19" i="131"/>
  <c r="G19" i="131"/>
  <c r="H19" i="131"/>
  <c r="I19" i="131"/>
  <c r="I73" i="131" s="1"/>
  <c r="J19" i="131"/>
  <c r="K19" i="131"/>
  <c r="L19" i="131"/>
  <c r="M19" i="131"/>
  <c r="N50" i="131"/>
  <c r="N51" i="131"/>
  <c r="P51" i="131" s="1"/>
  <c r="N52" i="131"/>
  <c r="N53" i="131"/>
  <c r="P53" i="131" s="1"/>
  <c r="N54" i="131"/>
  <c r="B55" i="131"/>
  <c r="C55" i="131"/>
  <c r="D55" i="131"/>
  <c r="E55" i="131"/>
  <c r="F55" i="131"/>
  <c r="G55" i="131"/>
  <c r="H55" i="131"/>
  <c r="I55" i="131"/>
  <c r="J55" i="131"/>
  <c r="K55" i="131"/>
  <c r="L55" i="131"/>
  <c r="M55" i="131"/>
  <c r="J73" i="131" l="1"/>
  <c r="G73" i="131"/>
  <c r="H73" i="131"/>
  <c r="F73" i="131"/>
  <c r="M73" i="131"/>
  <c r="E73" i="131"/>
  <c r="L73" i="131"/>
  <c r="D73" i="131"/>
  <c r="K73" i="131"/>
  <c r="C73" i="131"/>
  <c r="B73" i="131"/>
  <c r="B64" i="131"/>
  <c r="N58" i="131"/>
  <c r="P58" i="131" s="1"/>
  <c r="N67" i="131"/>
  <c r="P67" i="131" s="1"/>
  <c r="P49" i="131"/>
  <c r="P52" i="131"/>
  <c r="J37" i="131"/>
  <c r="J64" i="131"/>
  <c r="P18" i="131"/>
  <c r="N36" i="131"/>
  <c r="P36" i="131" s="1"/>
  <c r="I37" i="131"/>
  <c r="I64" i="131"/>
  <c r="H37" i="131"/>
  <c r="H64" i="131"/>
  <c r="P17" i="131"/>
  <c r="N35" i="131"/>
  <c r="P35" i="131" s="1"/>
  <c r="P16" i="131"/>
  <c r="N34" i="131"/>
  <c r="P34" i="131" s="1"/>
  <c r="F37" i="131"/>
  <c r="F64" i="131"/>
  <c r="P15" i="131"/>
  <c r="N33" i="131"/>
  <c r="P33" i="131" s="1"/>
  <c r="B37" i="131"/>
  <c r="M37" i="131"/>
  <c r="M64" i="131"/>
  <c r="E37" i="131"/>
  <c r="E64" i="131"/>
  <c r="P14" i="131"/>
  <c r="N32" i="131"/>
  <c r="P32" i="131" s="1"/>
  <c r="L37" i="131"/>
  <c r="L64" i="131"/>
  <c r="D37" i="131"/>
  <c r="D64" i="131"/>
  <c r="G37" i="131"/>
  <c r="G64" i="131"/>
  <c r="K37" i="131"/>
  <c r="K64" i="131"/>
  <c r="C37" i="131"/>
  <c r="C64" i="131"/>
  <c r="P13" i="131"/>
  <c r="N31" i="131"/>
  <c r="P31" i="131" s="1"/>
  <c r="N55" i="131"/>
  <c r="O55" i="131" s="1"/>
  <c r="P54" i="131"/>
  <c r="P50" i="131"/>
  <c r="N19" i="131"/>
  <c r="N64" i="131" l="1"/>
  <c r="N73" i="131"/>
  <c r="O19" i="131"/>
  <c r="N37" i="131"/>
  <c r="P55" i="131"/>
  <c r="O64" i="131" l="1"/>
  <c r="P64" i="131" s="1"/>
  <c r="O73" i="131"/>
  <c r="P73" i="131" s="1"/>
  <c r="P19" i="131"/>
  <c r="O37" i="131"/>
  <c r="P37" i="131" s="1"/>
  <c r="E25" i="138"/>
  <c r="F15" i="138" l="1"/>
  <c r="F18" i="138"/>
  <c r="F14" i="138"/>
  <c r="F22" i="138"/>
  <c r="F17" i="138"/>
  <c r="F13" i="138"/>
  <c r="F20" i="138"/>
  <c r="F23" i="138"/>
  <c r="F16" i="138"/>
  <c r="F12" i="138"/>
  <c r="F24" i="138"/>
  <c r="F21" i="138"/>
  <c r="F19" i="138"/>
  <c r="F25" i="138" l="1"/>
  <c r="C25" i="138"/>
  <c r="D12" i="138" s="1"/>
  <c r="D16" i="138" l="1"/>
  <c r="D21" i="138"/>
  <c r="D15" i="138"/>
  <c r="D22" i="138"/>
  <c r="D19" i="138"/>
  <c r="D13" i="138"/>
  <c r="D23" i="138"/>
  <c r="D18" i="138"/>
  <c r="D24" i="138"/>
  <c r="D14" i="138"/>
  <c r="D20" i="138"/>
  <c r="D17" i="138"/>
  <c r="D25" i="138" l="1"/>
</calcChain>
</file>

<file path=xl/comments1.xml><?xml version="1.0" encoding="utf-8"?>
<comments xmlns="http://schemas.openxmlformats.org/spreadsheetml/2006/main">
  <authors>
    <author>Windows 用户</author>
  </authors>
  <commentList>
    <comment ref="A45" authorId="0" shapeId="0">
      <text>
        <r>
          <rPr>
            <b/>
            <sz val="9"/>
            <color indexed="81"/>
            <rFont val="宋体"/>
            <family val="3"/>
            <charset val="134"/>
          </rPr>
          <t>Windows 用户:</t>
        </r>
        <r>
          <rPr>
            <sz val="9"/>
            <color indexed="81"/>
            <rFont val="宋体"/>
            <family val="3"/>
            <charset val="134"/>
          </rPr>
          <t xml:space="preserve">
对存货跌价准备错报风险高的项目，可拆分为原材料、产成品等跌价准备分别占原材料、产成品等余额的比例与同行业对比分析</t>
        </r>
      </text>
    </comment>
  </commentList>
</comments>
</file>

<file path=xl/comments2.xml><?xml version="1.0" encoding="utf-8"?>
<comments xmlns="http://schemas.openxmlformats.org/spreadsheetml/2006/main">
  <authors>
    <author>Windows 用户</author>
  </authors>
  <commentList>
    <comment ref="P57" authorId="0" shapeId="0">
      <text>
        <r>
          <rPr>
            <b/>
            <sz val="9"/>
            <color indexed="81"/>
            <rFont val="宋体"/>
            <family val="3"/>
            <charset val="134"/>
          </rPr>
          <t>Windows 用户:</t>
        </r>
        <r>
          <rPr>
            <sz val="9"/>
            <color indexed="81"/>
            <rFont val="宋体"/>
            <family val="3"/>
            <charset val="134"/>
          </rPr>
          <t xml:space="preserve">
对波动异常的产品应进一步执行舞弊应对程序中的产品生产成本及单耗分析&lt;F2-64&gt;</t>
        </r>
      </text>
    </comment>
    <comment ref="P66" authorId="0" shapeId="0">
      <text>
        <r>
          <rPr>
            <b/>
            <sz val="9"/>
            <color indexed="81"/>
            <rFont val="宋体"/>
            <family val="3"/>
            <charset val="134"/>
          </rPr>
          <t>Windows 用户:</t>
        </r>
        <r>
          <rPr>
            <sz val="9"/>
            <color indexed="81"/>
            <rFont val="宋体"/>
            <family val="3"/>
            <charset val="134"/>
          </rPr>
          <t xml:space="preserve">
对波动异常的产品应进一步执行舞弊应对程序中的产品生产成本及单耗分析</t>
        </r>
      </text>
    </comment>
  </commentList>
</comments>
</file>

<file path=xl/comments3.xml><?xml version="1.0" encoding="utf-8"?>
<comments xmlns="http://schemas.openxmlformats.org/spreadsheetml/2006/main">
  <authors>
    <author>Windows 用户</author>
  </authors>
  <commentList>
    <comment ref="Q5" authorId="0" shapeId="0">
      <text>
        <r>
          <rPr>
            <b/>
            <sz val="9"/>
            <color indexed="81"/>
            <rFont val="宋体"/>
            <family val="3"/>
            <charset val="134"/>
          </rPr>
          <t>Windows 用户:</t>
        </r>
        <r>
          <rPr>
            <sz val="9"/>
            <color indexed="81"/>
            <rFont val="宋体"/>
            <family val="3"/>
            <charset val="134"/>
          </rPr>
          <t xml:space="preserve">
对波动异常的产品应进一步执行舞弊应对程序中原材料采购价格分析&lt;F2-61&gt;、产品生产成本及单耗分析&lt;F2-64&gt;</t>
        </r>
      </text>
    </comment>
  </commentList>
</comments>
</file>

<file path=xl/sharedStrings.xml><?xml version="1.0" encoding="utf-8"?>
<sst xmlns="http://schemas.openxmlformats.org/spreadsheetml/2006/main" count="292" uniqueCount="175">
  <si>
    <r>
      <rPr>
        <b/>
        <sz val="10"/>
        <color indexed="8"/>
        <rFont val="宋体"/>
        <family val="3"/>
        <charset val="134"/>
      </rPr>
      <t>项目</t>
    </r>
  </si>
  <si>
    <t>底稿开列时，可先在以下单元格填写有关内容，以便其他底稿引用有关数据：</t>
    <phoneticPr fontId="14" type="noConversion"/>
  </si>
  <si>
    <t>序号</t>
    <phoneticPr fontId="14" type="noConversion"/>
  </si>
  <si>
    <r>
      <rPr>
        <sz val="10"/>
        <rFont val="宋体"/>
        <family val="3"/>
        <charset val="134"/>
      </rPr>
      <t>索引号：</t>
    </r>
  </si>
  <si>
    <t>C1</t>
  </si>
  <si>
    <t>Custom 1</t>
  </si>
  <si>
    <t>C2</t>
  </si>
  <si>
    <t>Custom 2</t>
  </si>
  <si>
    <t>C3</t>
  </si>
  <si>
    <t>Custom 3</t>
  </si>
  <si>
    <t>C4</t>
  </si>
  <si>
    <t>Custom 4</t>
  </si>
  <si>
    <t>C5</t>
  </si>
  <si>
    <t>Custom 5</t>
  </si>
  <si>
    <t>C6</t>
  </si>
  <si>
    <t>Custom 6</t>
  </si>
  <si>
    <t>C7</t>
  </si>
  <si>
    <t>Custom 7</t>
  </si>
  <si>
    <t>C8</t>
  </si>
  <si>
    <t>Custom 8</t>
  </si>
  <si>
    <t>内容</t>
  </si>
  <si>
    <r>
      <rPr>
        <sz val="10"/>
        <color indexed="8"/>
        <rFont val="宋体"/>
        <family val="3"/>
        <charset val="134"/>
      </rPr>
      <t>索引号：</t>
    </r>
  </si>
  <si>
    <r>
      <t>2</t>
    </r>
    <r>
      <rPr>
        <b/>
        <sz val="10"/>
        <color indexed="8"/>
        <rFont val="Times New Roman"/>
        <family val="1"/>
      </rPr>
      <t>月</t>
    </r>
    <r>
      <rPr>
        <sz val="10"/>
        <color indexed="8"/>
        <rFont val="宋体"/>
        <family val="3"/>
        <charset val="134"/>
      </rPr>
      <t/>
    </r>
  </si>
  <si>
    <r>
      <t>3</t>
    </r>
    <r>
      <rPr>
        <b/>
        <sz val="10"/>
        <color indexed="8"/>
        <rFont val="Times New Roman"/>
        <family val="1"/>
      </rPr>
      <t>月</t>
    </r>
    <r>
      <rPr>
        <sz val="10"/>
        <color indexed="8"/>
        <rFont val="宋体"/>
        <family val="3"/>
        <charset val="134"/>
      </rPr>
      <t/>
    </r>
  </si>
  <si>
    <r>
      <t>4</t>
    </r>
    <r>
      <rPr>
        <b/>
        <sz val="10"/>
        <color indexed="8"/>
        <rFont val="Times New Roman"/>
        <family val="1"/>
      </rPr>
      <t>月</t>
    </r>
    <r>
      <rPr>
        <sz val="10"/>
        <color indexed="8"/>
        <rFont val="宋体"/>
        <family val="3"/>
        <charset val="134"/>
      </rPr>
      <t/>
    </r>
  </si>
  <si>
    <r>
      <t>5</t>
    </r>
    <r>
      <rPr>
        <b/>
        <sz val="10"/>
        <color indexed="8"/>
        <rFont val="Times New Roman"/>
        <family val="1"/>
      </rPr>
      <t>月</t>
    </r>
    <r>
      <rPr>
        <sz val="10"/>
        <color indexed="8"/>
        <rFont val="宋体"/>
        <family val="3"/>
        <charset val="134"/>
      </rPr>
      <t/>
    </r>
  </si>
  <si>
    <r>
      <t>6</t>
    </r>
    <r>
      <rPr>
        <b/>
        <sz val="10"/>
        <color indexed="8"/>
        <rFont val="Times New Roman"/>
        <family val="1"/>
      </rPr>
      <t>月</t>
    </r>
    <r>
      <rPr>
        <sz val="10"/>
        <color indexed="8"/>
        <rFont val="宋体"/>
        <family val="3"/>
        <charset val="134"/>
      </rPr>
      <t/>
    </r>
  </si>
  <si>
    <r>
      <t>7</t>
    </r>
    <r>
      <rPr>
        <b/>
        <sz val="10"/>
        <color indexed="8"/>
        <rFont val="Times New Roman"/>
        <family val="1"/>
      </rPr>
      <t>月</t>
    </r>
    <r>
      <rPr>
        <sz val="10"/>
        <color indexed="8"/>
        <rFont val="宋体"/>
        <family val="3"/>
        <charset val="134"/>
      </rPr>
      <t/>
    </r>
  </si>
  <si>
    <r>
      <t>8</t>
    </r>
    <r>
      <rPr>
        <b/>
        <sz val="10"/>
        <color indexed="8"/>
        <rFont val="Times New Roman"/>
        <family val="1"/>
      </rPr>
      <t>月</t>
    </r>
    <r>
      <rPr>
        <sz val="10"/>
        <color indexed="8"/>
        <rFont val="宋体"/>
        <family val="3"/>
        <charset val="134"/>
      </rPr>
      <t/>
    </r>
  </si>
  <si>
    <r>
      <t>9</t>
    </r>
    <r>
      <rPr>
        <b/>
        <sz val="10"/>
        <color indexed="8"/>
        <rFont val="Times New Roman"/>
        <family val="1"/>
      </rPr>
      <t>月</t>
    </r>
    <r>
      <rPr>
        <sz val="10"/>
        <color indexed="8"/>
        <rFont val="宋体"/>
        <family val="3"/>
        <charset val="134"/>
      </rPr>
      <t/>
    </r>
  </si>
  <si>
    <r>
      <t>10</t>
    </r>
    <r>
      <rPr>
        <b/>
        <sz val="10"/>
        <color indexed="8"/>
        <rFont val="Times New Roman"/>
        <family val="1"/>
      </rPr>
      <t>月</t>
    </r>
    <r>
      <rPr>
        <sz val="10"/>
        <color indexed="8"/>
        <rFont val="宋体"/>
        <family val="3"/>
        <charset val="134"/>
      </rPr>
      <t/>
    </r>
  </si>
  <si>
    <r>
      <t>11</t>
    </r>
    <r>
      <rPr>
        <b/>
        <sz val="10"/>
        <color indexed="8"/>
        <rFont val="Times New Roman"/>
        <family val="1"/>
      </rPr>
      <t>月</t>
    </r>
    <r>
      <rPr>
        <sz val="10"/>
        <color indexed="8"/>
        <rFont val="宋体"/>
        <family val="3"/>
        <charset val="134"/>
      </rPr>
      <t/>
    </r>
  </si>
  <si>
    <r>
      <t>12</t>
    </r>
    <r>
      <rPr>
        <b/>
        <sz val="10"/>
        <color indexed="8"/>
        <rFont val="Times New Roman"/>
        <family val="1"/>
      </rPr>
      <t>月</t>
    </r>
    <r>
      <rPr>
        <sz val="10"/>
        <color indexed="8"/>
        <rFont val="宋体"/>
        <family val="3"/>
        <charset val="134"/>
      </rPr>
      <t/>
    </r>
  </si>
  <si>
    <r>
      <rPr>
        <b/>
        <sz val="10"/>
        <color indexed="8"/>
        <rFont val="宋体"/>
        <family val="3"/>
        <charset val="134"/>
      </rPr>
      <t>库存商品各月产量统计</t>
    </r>
    <phoneticPr fontId="14" type="noConversion"/>
  </si>
  <si>
    <r>
      <rPr>
        <b/>
        <sz val="10"/>
        <color indexed="8"/>
        <rFont val="宋体"/>
        <family val="3"/>
        <charset val="134"/>
      </rPr>
      <t>原材料各月耗用统计</t>
    </r>
    <phoneticPr fontId="14" type="noConversion"/>
  </si>
  <si>
    <t>2、如果耗用多种主要原料或耗用的主要原料计量单位不统一，请适当修改产耗比的测算过程。</t>
    <phoneticPr fontId="14" type="noConversion"/>
  </si>
  <si>
    <t>1、上述主要产品产耗比测算表假定一种库存商品仅耗用一种原料的情形；</t>
    <phoneticPr fontId="14" type="noConversion"/>
  </si>
  <si>
    <t>索引号</t>
    <phoneticPr fontId="14" type="noConversion"/>
  </si>
  <si>
    <r>
      <rPr>
        <b/>
        <sz val="10"/>
        <color indexed="8"/>
        <rFont val="宋体"/>
        <family val="3"/>
        <charset val="134"/>
      </rPr>
      <t>一、审计目标：</t>
    </r>
    <phoneticPr fontId="14" type="noConversion"/>
  </si>
  <si>
    <r>
      <t>1</t>
    </r>
    <r>
      <rPr>
        <b/>
        <sz val="10"/>
        <color indexed="8"/>
        <rFont val="宋体"/>
        <family val="3"/>
        <charset val="134"/>
      </rPr>
      <t>月</t>
    </r>
    <phoneticPr fontId="14" type="noConversion"/>
  </si>
  <si>
    <r>
      <rPr>
        <b/>
        <sz val="10"/>
        <color indexed="8"/>
        <rFont val="宋体"/>
        <family val="3"/>
        <charset val="134"/>
      </rPr>
      <t>合计</t>
    </r>
    <phoneticPr fontId="14" type="noConversion"/>
  </si>
  <si>
    <r>
      <rPr>
        <b/>
        <sz val="10"/>
        <color indexed="8"/>
        <rFont val="宋体"/>
        <family val="3"/>
        <charset val="134"/>
      </rPr>
      <t>上年度</t>
    </r>
    <phoneticPr fontId="14" type="noConversion"/>
  </si>
  <si>
    <r>
      <rPr>
        <b/>
        <sz val="10"/>
        <color indexed="8"/>
        <rFont val="宋体"/>
        <family val="3"/>
        <charset val="134"/>
      </rPr>
      <t>变动率</t>
    </r>
    <phoneticPr fontId="14" type="noConversion"/>
  </si>
  <si>
    <t>编制说明：</t>
    <phoneticPr fontId="14" type="noConversion"/>
  </si>
  <si>
    <r>
      <rPr>
        <b/>
        <sz val="10"/>
        <color indexed="8"/>
        <rFont val="宋体"/>
        <family val="3"/>
        <charset val="134"/>
      </rPr>
      <t>四、审计结论</t>
    </r>
    <phoneticPr fontId="14" type="noConversion"/>
  </si>
  <si>
    <r>
      <rPr>
        <b/>
        <sz val="10"/>
        <color indexed="8"/>
        <rFont val="宋体"/>
        <family val="3"/>
        <charset val="134"/>
      </rPr>
      <t>三、审计说明</t>
    </r>
    <phoneticPr fontId="14" type="noConversion"/>
  </si>
  <si>
    <t>页 次：</t>
    <phoneticPr fontId="14" type="noConversion"/>
  </si>
  <si>
    <t>库存商品各月销售数量统计</t>
    <phoneticPr fontId="14" type="noConversion"/>
  </si>
  <si>
    <t>原材料各月采购统计</t>
    <phoneticPr fontId="14" type="noConversion"/>
  </si>
  <si>
    <t xml:space="preserve">    </t>
    <phoneticPr fontId="14"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</si>
  <si>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</si>
  <si>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r>
      <rPr>
        <b/>
        <sz val="10"/>
        <rFont val="宋体"/>
        <family val="3"/>
        <charset val="134"/>
      </rPr>
      <t>存货项目</t>
    </r>
  </si>
  <si>
    <r>
      <rPr>
        <b/>
        <sz val="10"/>
        <rFont val="宋体"/>
        <family val="3"/>
        <charset val="134"/>
      </rPr>
      <t>金额</t>
    </r>
  </si>
  <si>
    <r>
      <rPr>
        <b/>
        <sz val="10"/>
        <rFont val="宋体"/>
        <family val="3"/>
        <charset val="134"/>
      </rPr>
      <t>结构比</t>
    </r>
  </si>
  <si>
    <r>
      <rPr>
        <b/>
        <sz val="10"/>
        <color indexed="8"/>
        <rFont val="宋体"/>
        <family val="3"/>
        <charset val="134"/>
      </rPr>
      <t>合计</t>
    </r>
  </si>
  <si>
    <t>——</t>
    <phoneticPr fontId="14" type="noConversion"/>
  </si>
  <si>
    <r>
      <rPr>
        <b/>
        <sz val="10"/>
        <rFont val="宋体"/>
        <family val="3"/>
        <charset val="134"/>
      </rPr>
      <t>指标</t>
    </r>
  </si>
  <si>
    <r>
      <rPr>
        <b/>
        <sz val="10"/>
        <rFont val="宋体"/>
        <family val="3"/>
        <charset val="134"/>
      </rPr>
      <t>指标值</t>
    </r>
    <phoneticPr fontId="14" type="noConversion"/>
  </si>
  <si>
    <r>
      <rPr>
        <b/>
        <sz val="10"/>
        <rFont val="宋体"/>
        <family val="3"/>
        <charset val="134"/>
      </rPr>
      <t>变动率</t>
    </r>
    <phoneticPr fontId="14" type="noConversion"/>
  </si>
  <si>
    <t>——</t>
    <phoneticPr fontId="14" type="noConversion"/>
  </si>
  <si>
    <r>
      <rPr>
        <sz val="10"/>
        <rFont val="宋体"/>
        <family val="3"/>
        <charset val="134"/>
      </rPr>
      <t>存货跌价准备占存货余额比例
（存货跌价准备</t>
    </r>
    <r>
      <rPr>
        <sz val="10"/>
        <rFont val="Arial Narrow"/>
        <family val="2"/>
      </rPr>
      <t>÷</t>
    </r>
    <r>
      <rPr>
        <sz val="10"/>
        <rFont val="宋体"/>
        <family val="3"/>
        <charset val="134"/>
      </rPr>
      <t>存货余额）</t>
    </r>
    <phoneticPr fontId="14" type="noConversion"/>
  </si>
  <si>
    <r>
      <rPr>
        <sz val="10"/>
        <rFont val="宋体"/>
        <family val="3"/>
        <charset val="134"/>
      </rPr>
      <t>存货占流动资产比例
（平均存货</t>
    </r>
    <r>
      <rPr>
        <sz val="10"/>
        <rFont val="Arial Narrow"/>
        <family val="2"/>
      </rPr>
      <t>÷</t>
    </r>
    <r>
      <rPr>
        <sz val="10"/>
        <rFont val="宋体"/>
        <family val="3"/>
        <charset val="134"/>
      </rPr>
      <t>平均流动资产）</t>
    </r>
    <phoneticPr fontId="14" type="noConversion"/>
  </si>
  <si>
    <r>
      <rPr>
        <b/>
        <sz val="10"/>
        <rFont val="宋体"/>
        <family val="3"/>
        <charset val="134"/>
      </rPr>
      <t>行业公司</t>
    </r>
    <r>
      <rPr>
        <b/>
        <sz val="10"/>
        <rFont val="Arial Narrow"/>
        <family val="2"/>
      </rPr>
      <t>B</t>
    </r>
    <phoneticPr fontId="14" type="noConversion"/>
  </si>
  <si>
    <r>
      <rPr>
        <b/>
        <sz val="10"/>
        <rFont val="宋体"/>
        <family val="3"/>
        <charset val="134"/>
      </rPr>
      <t>四、审计结论：</t>
    </r>
    <phoneticPr fontId="14" type="noConversion"/>
  </si>
  <si>
    <r>
      <rPr>
        <sz val="10"/>
        <color indexed="12"/>
        <rFont val="宋体"/>
        <family val="3"/>
        <charset val="134"/>
      </rPr>
      <t>可分别计算不同类别存货的周转率（原材料、半成品、产成品</t>
    </r>
    <r>
      <rPr>
        <sz val="10"/>
        <color indexed="12"/>
        <rFont val="Arial Narrow"/>
        <family val="2"/>
      </rPr>
      <t>etc</t>
    </r>
    <r>
      <rPr>
        <sz val="10"/>
        <color indexed="12"/>
        <rFont val="宋体"/>
        <family val="3"/>
        <charset val="134"/>
      </rPr>
      <t>）。</t>
    </r>
    <phoneticPr fontId="14" type="noConversion"/>
  </si>
  <si>
    <r>
      <rPr>
        <sz val="10"/>
        <rFont val="宋体"/>
        <family val="3"/>
        <charset val="134"/>
      </rPr>
      <t>存货周转率（销售成本</t>
    </r>
    <r>
      <rPr>
        <sz val="10"/>
        <rFont val="Arial Narrow"/>
        <family val="2"/>
      </rPr>
      <t>÷</t>
    </r>
    <r>
      <rPr>
        <sz val="10"/>
        <rFont val="宋体"/>
        <family val="3"/>
        <charset val="134"/>
      </rPr>
      <t>平均存货）</t>
    </r>
    <phoneticPr fontId="14" type="noConversion"/>
  </si>
  <si>
    <r>
      <rPr>
        <sz val="10"/>
        <rFont val="宋体"/>
        <family val="3"/>
        <charset val="134"/>
      </rPr>
      <t>存货平均天数（</t>
    </r>
    <r>
      <rPr>
        <sz val="10"/>
        <rFont val="Arial Narrow"/>
        <family val="2"/>
      </rPr>
      <t>365</t>
    </r>
    <r>
      <rPr>
        <sz val="10"/>
        <rFont val="宋体"/>
        <family val="3"/>
        <charset val="134"/>
      </rPr>
      <t>天</t>
    </r>
    <r>
      <rPr>
        <sz val="10"/>
        <rFont val="Arial Narrow"/>
        <family val="2"/>
      </rPr>
      <t>÷</t>
    </r>
    <r>
      <rPr>
        <sz val="10"/>
        <rFont val="宋体"/>
        <family val="3"/>
        <charset val="134"/>
      </rPr>
      <t>存货周转率）</t>
    </r>
    <phoneticPr fontId="14" type="noConversion"/>
  </si>
  <si>
    <r>
      <t>C</t>
    </r>
    <r>
      <rPr>
        <b/>
        <sz val="10"/>
        <rFont val="宋体"/>
        <family val="3"/>
        <charset val="134"/>
      </rPr>
      <t>、存货指标分析（与同行业数据对比）</t>
    </r>
    <phoneticPr fontId="14" type="noConversion"/>
  </si>
  <si>
    <t>20X5/12/31</t>
    <phoneticPr fontId="14" type="noConversion"/>
  </si>
  <si>
    <t>20X4/12/31</t>
    <phoneticPr fontId="14" type="noConversion"/>
  </si>
  <si>
    <t>20X3/12/31</t>
    <phoneticPr fontId="14" type="noConversion"/>
  </si>
  <si>
    <r>
      <t>20X4</t>
    </r>
    <r>
      <rPr>
        <b/>
        <sz val="10"/>
        <rFont val="宋体"/>
        <family val="3"/>
        <charset val="134"/>
      </rPr>
      <t>年</t>
    </r>
    <phoneticPr fontId="14" type="noConversion"/>
  </si>
  <si>
    <r>
      <t>20X5</t>
    </r>
    <r>
      <rPr>
        <b/>
        <sz val="10"/>
        <rFont val="宋体"/>
        <family val="3"/>
        <charset val="134"/>
      </rPr>
      <t>年平均存货</t>
    </r>
    <phoneticPr fontId="14" type="noConversion"/>
  </si>
  <si>
    <r>
      <t>20X5</t>
    </r>
    <r>
      <rPr>
        <b/>
        <sz val="10"/>
        <rFont val="宋体"/>
        <family val="3"/>
        <charset val="134"/>
      </rPr>
      <t>年销售成本</t>
    </r>
    <phoneticPr fontId="14" type="noConversion"/>
  </si>
  <si>
    <t>库存商品各月销售量与产量占比分析</t>
    <phoneticPr fontId="14" type="noConversion"/>
  </si>
  <si>
    <r>
      <t>1.</t>
    </r>
    <r>
      <rPr>
        <sz val="10"/>
        <rFont val="宋体"/>
        <family val="3"/>
        <charset val="134"/>
      </rPr>
      <t>资产负债表中记录的存货是存在的，且已经记录在恰当的账户中</t>
    </r>
    <phoneticPr fontId="14" type="noConversion"/>
  </si>
  <si>
    <r>
      <rPr>
        <b/>
        <sz val="10"/>
        <rFont val="宋体"/>
        <family val="3"/>
        <charset val="134"/>
      </rPr>
      <t>一、审计目标：</t>
    </r>
    <phoneticPr fontId="14" type="noConversion"/>
  </si>
  <si>
    <r>
      <rPr>
        <sz val="10"/>
        <color rgb="FF0000FF"/>
        <rFont val="宋体"/>
        <family val="3"/>
        <charset val="134"/>
      </rPr>
      <t>异常原因</t>
    </r>
    <phoneticPr fontId="14" type="noConversion"/>
  </si>
  <si>
    <r>
      <rPr>
        <b/>
        <sz val="10"/>
        <rFont val="宋体"/>
        <family val="3"/>
        <charset val="134"/>
      </rPr>
      <t>是否异常</t>
    </r>
    <phoneticPr fontId="14" type="noConversion"/>
  </si>
  <si>
    <r>
      <rPr>
        <b/>
        <sz val="10"/>
        <rFont val="宋体"/>
        <family val="3"/>
        <charset val="134"/>
      </rPr>
      <t>指标值</t>
    </r>
    <phoneticPr fontId="14" type="noConversion"/>
  </si>
  <si>
    <r>
      <t>20X3</t>
    </r>
    <r>
      <rPr>
        <b/>
        <sz val="10"/>
        <rFont val="宋体"/>
        <family val="3"/>
        <charset val="134"/>
      </rPr>
      <t>年存货周转率</t>
    </r>
    <phoneticPr fontId="14" type="noConversion"/>
  </si>
  <si>
    <r>
      <t>2.</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</si>
  <si>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r>
      <rPr>
        <b/>
        <sz val="10"/>
        <rFont val="宋体"/>
        <family val="3"/>
        <charset val="134"/>
      </rPr>
      <t>是否异常</t>
    </r>
    <phoneticPr fontId="14" type="noConversion"/>
  </si>
  <si>
    <r>
      <t>B</t>
    </r>
    <r>
      <rPr>
        <b/>
        <sz val="10"/>
        <rFont val="宋体"/>
        <family val="3"/>
        <charset val="134"/>
      </rPr>
      <t>、存货指标分析（三期数据对比）</t>
    </r>
    <phoneticPr fontId="14" type="noConversion"/>
  </si>
  <si>
    <r>
      <t>20X5</t>
    </r>
    <r>
      <rPr>
        <b/>
        <sz val="10"/>
        <rFont val="宋体"/>
        <family val="3"/>
        <charset val="134"/>
      </rPr>
      <t>年</t>
    </r>
    <phoneticPr fontId="14" type="noConversion"/>
  </si>
  <si>
    <r>
      <t>20X3</t>
    </r>
    <r>
      <rPr>
        <b/>
        <sz val="10"/>
        <rFont val="宋体"/>
        <family val="3"/>
        <charset val="134"/>
      </rPr>
      <t>年</t>
    </r>
    <phoneticPr fontId="14" type="noConversion"/>
  </si>
  <si>
    <r>
      <rPr>
        <sz val="10"/>
        <rFont val="宋体"/>
        <family val="3"/>
        <charset val="134"/>
      </rPr>
      <t>废率（核销存货</t>
    </r>
    <r>
      <rPr>
        <sz val="10"/>
        <rFont val="Arial Narrow"/>
        <family val="2"/>
      </rPr>
      <t>/</t>
    </r>
    <r>
      <rPr>
        <sz val="10"/>
        <rFont val="宋体"/>
        <family val="3"/>
        <charset val="134"/>
      </rPr>
      <t>平均存货余额）</t>
    </r>
    <phoneticPr fontId="14" type="noConversion"/>
  </si>
  <si>
    <r>
      <rPr>
        <b/>
        <sz val="10"/>
        <rFont val="宋体"/>
        <family val="3"/>
        <charset val="134"/>
      </rPr>
      <t>审计说明：</t>
    </r>
    <phoneticPr fontId="43" type="noConversion"/>
  </si>
  <si>
    <r>
      <rPr>
        <b/>
        <sz val="10"/>
        <rFont val="宋体"/>
        <family val="3"/>
        <charset val="134"/>
      </rPr>
      <t>行业平均</t>
    </r>
    <phoneticPr fontId="14" type="noConversion"/>
  </si>
  <si>
    <r>
      <rPr>
        <b/>
        <sz val="10"/>
        <rFont val="宋体"/>
        <family val="3"/>
        <charset val="134"/>
      </rPr>
      <t>行业公司</t>
    </r>
    <r>
      <rPr>
        <b/>
        <sz val="10"/>
        <rFont val="Arial Narrow"/>
        <family val="2"/>
      </rPr>
      <t>C</t>
    </r>
    <phoneticPr fontId="14" type="noConversion"/>
  </si>
  <si>
    <r>
      <rPr>
        <b/>
        <sz val="10"/>
        <rFont val="宋体"/>
        <family val="3"/>
        <charset val="134"/>
      </rPr>
      <t>偏离</t>
    </r>
    <phoneticPr fontId="14" type="noConversion"/>
  </si>
  <si>
    <r>
      <rPr>
        <b/>
        <sz val="10"/>
        <rFont val="宋体"/>
        <family val="3"/>
        <charset val="134"/>
      </rPr>
      <t>产品名称</t>
    </r>
    <phoneticPr fontId="14" type="noConversion"/>
  </si>
  <si>
    <r>
      <rPr>
        <b/>
        <sz val="10"/>
        <rFont val="宋体"/>
        <family val="3"/>
        <charset val="134"/>
      </rPr>
      <t>变动率</t>
    </r>
    <phoneticPr fontId="14" type="noConversion"/>
  </si>
  <si>
    <r>
      <rPr>
        <b/>
        <sz val="10"/>
        <rFont val="宋体"/>
        <family val="3"/>
        <charset val="134"/>
      </rPr>
      <t>二、审计过程：</t>
    </r>
    <phoneticPr fontId="14" type="noConversion"/>
  </si>
  <si>
    <r>
      <t>A</t>
    </r>
    <r>
      <rPr>
        <b/>
        <sz val="10"/>
        <rFont val="宋体"/>
        <family val="3"/>
        <charset val="134"/>
      </rPr>
      <t>、存货构成分析</t>
    </r>
    <phoneticPr fontId="14" type="noConversion"/>
  </si>
  <si>
    <r>
      <rPr>
        <b/>
        <sz val="10"/>
        <rFont val="宋体"/>
        <family val="3"/>
        <charset val="134"/>
      </rPr>
      <t>审计说明：</t>
    </r>
    <phoneticPr fontId="43" type="noConversion"/>
  </si>
  <si>
    <r>
      <t>20X5</t>
    </r>
    <r>
      <rPr>
        <b/>
        <sz val="10"/>
        <rFont val="宋体"/>
        <family val="3"/>
        <charset val="134"/>
      </rPr>
      <t>年</t>
    </r>
    <phoneticPr fontId="14" type="noConversion"/>
  </si>
  <si>
    <r>
      <rPr>
        <b/>
        <sz val="10"/>
        <rFont val="宋体"/>
        <family val="3"/>
        <charset val="134"/>
      </rPr>
      <t>指标值</t>
    </r>
    <phoneticPr fontId="14" type="noConversion"/>
  </si>
  <si>
    <r>
      <rPr>
        <sz val="10"/>
        <rFont val="宋体"/>
        <family val="3"/>
        <charset val="134"/>
      </rPr>
      <t>存货周转率（销售成本</t>
    </r>
    <r>
      <rPr>
        <sz val="10"/>
        <rFont val="Arial Narrow"/>
        <family val="2"/>
      </rPr>
      <t>÷</t>
    </r>
    <r>
      <rPr>
        <sz val="10"/>
        <rFont val="宋体"/>
        <family val="3"/>
        <charset val="134"/>
      </rPr>
      <t>平均存货）</t>
    </r>
    <phoneticPr fontId="14" type="noConversion"/>
  </si>
  <si>
    <r>
      <rPr>
        <sz val="10"/>
        <color rgb="FF0000FF"/>
        <rFont val="宋体"/>
        <family val="3"/>
        <charset val="134"/>
      </rPr>
      <t>异常原因</t>
    </r>
    <phoneticPr fontId="14" type="noConversion"/>
  </si>
  <si>
    <r>
      <t>20X5</t>
    </r>
    <r>
      <rPr>
        <b/>
        <sz val="10"/>
        <rFont val="宋体"/>
        <family val="3"/>
        <charset val="134"/>
      </rPr>
      <t>年</t>
    </r>
    <phoneticPr fontId="14" type="noConversion"/>
  </si>
  <si>
    <r>
      <rPr>
        <b/>
        <sz val="10"/>
        <rFont val="宋体"/>
        <family val="3"/>
        <charset val="134"/>
      </rPr>
      <t>行业公司</t>
    </r>
    <r>
      <rPr>
        <b/>
        <sz val="10"/>
        <rFont val="Arial Narrow"/>
        <family val="2"/>
      </rPr>
      <t>A</t>
    </r>
    <phoneticPr fontId="14" type="noConversion"/>
  </si>
  <si>
    <r>
      <rPr>
        <b/>
        <sz val="10"/>
        <rFont val="宋体"/>
        <family val="3"/>
        <charset val="134"/>
      </rPr>
      <t>是否异常</t>
    </r>
    <phoneticPr fontId="14" type="noConversion"/>
  </si>
  <si>
    <r>
      <rPr>
        <sz val="10"/>
        <rFont val="宋体"/>
        <family val="3"/>
        <charset val="134"/>
      </rPr>
      <t>存货平均天数（</t>
    </r>
    <r>
      <rPr>
        <sz val="10"/>
        <rFont val="Arial Narrow"/>
        <family val="2"/>
      </rPr>
      <t>365</t>
    </r>
    <r>
      <rPr>
        <sz val="10"/>
        <rFont val="宋体"/>
        <family val="3"/>
        <charset val="134"/>
      </rPr>
      <t>天</t>
    </r>
    <r>
      <rPr>
        <sz val="10"/>
        <rFont val="Arial Narrow"/>
        <family val="2"/>
      </rPr>
      <t>÷</t>
    </r>
    <r>
      <rPr>
        <sz val="10"/>
        <rFont val="宋体"/>
        <family val="3"/>
        <charset val="134"/>
      </rPr>
      <t>存货周转率）</t>
    </r>
    <phoneticPr fontId="14" type="noConversion"/>
  </si>
  <si>
    <r>
      <rPr>
        <sz val="10"/>
        <rFont val="宋体"/>
        <family val="3"/>
        <charset val="134"/>
      </rPr>
      <t>存货占流动资产比例
（平均存货</t>
    </r>
    <r>
      <rPr>
        <sz val="10"/>
        <rFont val="Arial Narrow"/>
        <family val="2"/>
      </rPr>
      <t>÷</t>
    </r>
    <r>
      <rPr>
        <sz val="10"/>
        <rFont val="宋体"/>
        <family val="3"/>
        <charset val="134"/>
      </rPr>
      <t>平均流动资产）</t>
    </r>
    <phoneticPr fontId="14" type="noConversion"/>
  </si>
  <si>
    <r>
      <t>D</t>
    </r>
    <r>
      <rPr>
        <b/>
        <sz val="10"/>
        <rFont val="宋体"/>
        <family val="3"/>
        <charset val="134"/>
      </rPr>
      <t>、存货周转率分析（主要产品大类三期数对比）</t>
    </r>
    <phoneticPr fontId="14" type="noConversion"/>
  </si>
  <si>
    <r>
      <t>20X4</t>
    </r>
    <r>
      <rPr>
        <b/>
        <sz val="10"/>
        <rFont val="宋体"/>
        <family val="3"/>
        <charset val="134"/>
      </rPr>
      <t>年</t>
    </r>
    <phoneticPr fontId="14" type="noConversion"/>
  </si>
  <si>
    <r>
      <rPr>
        <b/>
        <sz val="10"/>
        <rFont val="宋体"/>
        <family val="3"/>
        <charset val="134"/>
      </rPr>
      <t>存货周转率</t>
    </r>
    <phoneticPr fontId="14" type="noConversion"/>
  </si>
  <si>
    <t>二、审计过程：</t>
    <phoneticPr fontId="14" type="noConversion"/>
  </si>
  <si>
    <r>
      <t>2.</t>
    </r>
    <r>
      <rPr>
        <sz val="10"/>
        <color indexed="8"/>
        <rFont val="宋体"/>
        <family val="3"/>
        <charset val="134"/>
      </rPr>
      <t>结合存货监盘和对仓库实物账的核对，分析原材料实际投入量是否与财务账面记录一致。</t>
    </r>
    <phoneticPr fontId="14" type="noConversion"/>
  </si>
  <si>
    <r>
      <t>1.</t>
    </r>
    <r>
      <rPr>
        <sz val="10"/>
        <color indexed="8"/>
        <rFont val="宋体"/>
        <family val="3"/>
        <charset val="134"/>
      </rPr>
      <t>获取主要库存商品各月产量及原材料消耗量，测算报告期主要产品各月产耗比，与以前年度、可比公司、行业经验值进行比较，分析变动趋势及合理性；</t>
    </r>
    <phoneticPr fontId="14" type="noConversion"/>
  </si>
  <si>
    <r>
      <rPr>
        <sz val="10"/>
        <color indexed="8"/>
        <rFont val="宋体"/>
        <family val="3"/>
        <charset val="134"/>
      </rPr>
      <t>合计</t>
    </r>
    <phoneticPr fontId="14" type="noConversion"/>
  </si>
  <si>
    <t>原材料采购库存商品产量比</t>
  </si>
  <si>
    <t>产耗比</t>
    <phoneticPr fontId="14" type="noConversion"/>
  </si>
  <si>
    <r>
      <rPr>
        <sz val="10"/>
        <color indexed="8"/>
        <rFont val="宋体"/>
        <family val="3"/>
        <charset val="134"/>
      </rPr>
      <t>项目</t>
    </r>
  </si>
  <si>
    <r>
      <t>1</t>
    </r>
    <r>
      <rPr>
        <sz val="10"/>
        <color indexed="8"/>
        <rFont val="宋体"/>
        <family val="3"/>
        <charset val="134"/>
      </rPr>
      <t>月</t>
    </r>
    <phoneticPr fontId="14" type="noConversion"/>
  </si>
  <si>
    <r>
      <t>2</t>
    </r>
    <r>
      <rPr>
        <sz val="10"/>
        <color indexed="8"/>
        <rFont val="Times New Roman"/>
        <family val="1"/>
      </rPr>
      <t>月</t>
    </r>
    <r>
      <rPr>
        <sz val="10"/>
        <color indexed="8"/>
        <rFont val="宋体"/>
        <family val="3"/>
        <charset val="134"/>
      </rPr>
      <t/>
    </r>
  </si>
  <si>
    <r>
      <t>3</t>
    </r>
    <r>
      <rPr>
        <sz val="10"/>
        <color indexed="8"/>
        <rFont val="Times New Roman"/>
        <family val="1"/>
      </rPr>
      <t>月</t>
    </r>
    <r>
      <rPr>
        <sz val="10"/>
        <color indexed="8"/>
        <rFont val="宋体"/>
        <family val="3"/>
        <charset val="134"/>
      </rPr>
      <t/>
    </r>
  </si>
  <si>
    <r>
      <t>4</t>
    </r>
    <r>
      <rPr>
        <sz val="10"/>
        <color indexed="8"/>
        <rFont val="Times New Roman"/>
        <family val="1"/>
      </rPr>
      <t>月</t>
    </r>
    <r>
      <rPr>
        <sz val="10"/>
        <color indexed="8"/>
        <rFont val="宋体"/>
        <family val="3"/>
        <charset val="134"/>
      </rPr>
      <t/>
    </r>
  </si>
  <si>
    <r>
      <t>5</t>
    </r>
    <r>
      <rPr>
        <sz val="10"/>
        <color indexed="8"/>
        <rFont val="Times New Roman"/>
        <family val="1"/>
      </rPr>
      <t>月</t>
    </r>
    <r>
      <rPr>
        <sz val="10"/>
        <color indexed="8"/>
        <rFont val="宋体"/>
        <family val="3"/>
        <charset val="134"/>
      </rPr>
      <t/>
    </r>
  </si>
  <si>
    <r>
      <t>6</t>
    </r>
    <r>
      <rPr>
        <sz val="10"/>
        <color indexed="8"/>
        <rFont val="Times New Roman"/>
        <family val="1"/>
      </rPr>
      <t>月</t>
    </r>
    <r>
      <rPr>
        <sz val="10"/>
        <color indexed="8"/>
        <rFont val="宋体"/>
        <family val="3"/>
        <charset val="134"/>
      </rPr>
      <t/>
    </r>
  </si>
  <si>
    <r>
      <t>7</t>
    </r>
    <r>
      <rPr>
        <sz val="10"/>
        <color indexed="8"/>
        <rFont val="Times New Roman"/>
        <family val="1"/>
      </rPr>
      <t>月</t>
    </r>
    <r>
      <rPr>
        <sz val="10"/>
        <color indexed="8"/>
        <rFont val="宋体"/>
        <family val="3"/>
        <charset val="134"/>
      </rPr>
      <t/>
    </r>
  </si>
  <si>
    <r>
      <t>8</t>
    </r>
    <r>
      <rPr>
        <sz val="10"/>
        <color indexed="8"/>
        <rFont val="Times New Roman"/>
        <family val="1"/>
      </rPr>
      <t>月</t>
    </r>
    <r>
      <rPr>
        <sz val="10"/>
        <color indexed="8"/>
        <rFont val="宋体"/>
        <family val="3"/>
        <charset val="134"/>
      </rPr>
      <t/>
    </r>
  </si>
  <si>
    <r>
      <t>9</t>
    </r>
    <r>
      <rPr>
        <sz val="10"/>
        <color indexed="8"/>
        <rFont val="Times New Roman"/>
        <family val="1"/>
      </rPr>
      <t>月</t>
    </r>
    <r>
      <rPr>
        <sz val="10"/>
        <color indexed="8"/>
        <rFont val="宋体"/>
        <family val="3"/>
        <charset val="134"/>
      </rPr>
      <t/>
    </r>
  </si>
  <si>
    <r>
      <t>10</t>
    </r>
    <r>
      <rPr>
        <sz val="10"/>
        <color indexed="8"/>
        <rFont val="Times New Roman"/>
        <family val="1"/>
      </rPr>
      <t>月</t>
    </r>
    <r>
      <rPr>
        <sz val="10"/>
        <color indexed="8"/>
        <rFont val="宋体"/>
        <family val="3"/>
        <charset val="134"/>
      </rPr>
      <t/>
    </r>
  </si>
  <si>
    <r>
      <t>11</t>
    </r>
    <r>
      <rPr>
        <sz val="10"/>
        <color indexed="8"/>
        <rFont val="Times New Roman"/>
        <family val="1"/>
      </rPr>
      <t>月</t>
    </r>
    <r>
      <rPr>
        <sz val="10"/>
        <color indexed="8"/>
        <rFont val="宋体"/>
        <family val="3"/>
        <charset val="134"/>
      </rPr>
      <t/>
    </r>
  </si>
  <si>
    <r>
      <t>12</t>
    </r>
    <r>
      <rPr>
        <sz val="10"/>
        <color indexed="8"/>
        <rFont val="Times New Roman"/>
        <family val="1"/>
      </rPr>
      <t>月</t>
    </r>
    <r>
      <rPr>
        <sz val="10"/>
        <color indexed="8"/>
        <rFont val="宋体"/>
        <family val="3"/>
        <charset val="134"/>
      </rPr>
      <t/>
    </r>
  </si>
  <si>
    <r>
      <rPr>
        <sz val="10"/>
        <color indexed="8"/>
        <rFont val="宋体"/>
        <family val="3"/>
        <charset val="134"/>
      </rPr>
      <t>上年度</t>
    </r>
    <phoneticPr fontId="14" type="noConversion"/>
  </si>
  <si>
    <r>
      <rPr>
        <sz val="10"/>
        <color indexed="8"/>
        <rFont val="宋体"/>
        <family val="3"/>
        <charset val="134"/>
      </rPr>
      <t>变动率</t>
    </r>
    <phoneticPr fontId="14" type="noConversion"/>
  </si>
  <si>
    <r>
      <rPr>
        <b/>
        <sz val="10"/>
        <color indexed="8"/>
        <rFont val="宋体"/>
        <family val="3"/>
        <charset val="134"/>
      </rPr>
      <t>合计</t>
    </r>
    <phoneticPr fontId="14" type="noConversion"/>
  </si>
  <si>
    <r>
      <rPr>
        <b/>
        <sz val="10"/>
        <color indexed="8"/>
        <rFont val="宋体"/>
        <family val="3"/>
        <charset val="134"/>
      </rPr>
      <t>合计</t>
    </r>
    <phoneticPr fontId="14" type="noConversion"/>
  </si>
  <si>
    <t>对存货跌价准备错报风险高的项目，可拆分为原材料、产成品等跌价准备分别占原材料、产成品等余额的比例与同行业对比分析</t>
    <phoneticPr fontId="14" type="noConversion"/>
  </si>
  <si>
    <r>
      <rPr>
        <sz val="10"/>
        <rFont val="宋体"/>
        <family val="3"/>
        <charset val="134"/>
      </rPr>
      <t>索引号：</t>
    </r>
    <phoneticPr fontId="14" type="noConversion"/>
  </si>
  <si>
    <r>
      <rPr>
        <sz val="10"/>
        <rFont val="宋体"/>
        <family val="3"/>
        <charset val="134"/>
      </rPr>
      <t>页次：</t>
    </r>
    <phoneticPr fontId="14" type="noConversion"/>
  </si>
  <si>
    <r>
      <rPr>
        <b/>
        <sz val="10"/>
        <rFont val="宋体"/>
        <family val="3"/>
        <charset val="134"/>
      </rPr>
      <t>产成品名称</t>
    </r>
    <phoneticPr fontId="14" type="noConversion"/>
  </si>
  <si>
    <r>
      <rPr>
        <b/>
        <sz val="10"/>
        <rFont val="宋体"/>
        <family val="3"/>
        <charset val="134"/>
      </rPr>
      <t>本年单位成本</t>
    </r>
    <phoneticPr fontId="14" type="noConversion"/>
  </si>
  <si>
    <r>
      <rPr>
        <b/>
        <sz val="10"/>
        <rFont val="宋体"/>
        <family val="3"/>
        <charset val="134"/>
      </rPr>
      <t>上年单位成本</t>
    </r>
    <phoneticPr fontId="14" type="noConversion"/>
  </si>
  <si>
    <r>
      <rPr>
        <b/>
        <sz val="10"/>
        <rFont val="宋体"/>
        <family val="3"/>
        <charset val="134"/>
      </rPr>
      <t>波动比例</t>
    </r>
    <phoneticPr fontId="14" type="noConversion"/>
  </si>
  <si>
    <r>
      <rPr>
        <b/>
        <sz val="10"/>
        <rFont val="宋体"/>
        <family val="3"/>
        <charset val="134"/>
      </rPr>
      <t>是否存在异常波动</t>
    </r>
    <phoneticPr fontId="14" type="noConversion"/>
  </si>
  <si>
    <t>进一步审验底稿索引</t>
    <phoneticPr fontId="14" type="noConversion"/>
  </si>
  <si>
    <r>
      <rPr>
        <b/>
        <sz val="10"/>
        <rFont val="宋体"/>
        <family val="3"/>
        <charset val="134"/>
      </rPr>
      <t>直接材料</t>
    </r>
    <phoneticPr fontId="14" type="noConversion"/>
  </si>
  <si>
    <r>
      <rPr>
        <b/>
        <sz val="10"/>
        <rFont val="宋体"/>
        <family val="3"/>
        <charset val="134"/>
      </rPr>
      <t>直接人工</t>
    </r>
    <phoneticPr fontId="14" type="noConversion"/>
  </si>
  <si>
    <r>
      <rPr>
        <b/>
        <sz val="10"/>
        <rFont val="宋体"/>
        <family val="3"/>
        <charset val="134"/>
      </rPr>
      <t>制造费用</t>
    </r>
    <phoneticPr fontId="14" type="noConversion"/>
  </si>
  <si>
    <r>
      <rPr>
        <b/>
        <sz val="10"/>
        <rFont val="宋体"/>
        <family val="3"/>
        <charset val="134"/>
      </rPr>
      <t>合计</t>
    </r>
    <phoneticPr fontId="14" type="noConversion"/>
  </si>
  <si>
    <t>审计说明：</t>
    <phoneticPr fontId="14" type="noConversion"/>
  </si>
  <si>
    <t>审计结论：</t>
    <phoneticPr fontId="14" type="noConversion"/>
  </si>
  <si>
    <t>存货总体分析表</t>
    <phoneticPr fontId="14" type="noConversion"/>
  </si>
  <si>
    <t>存货总体分析表</t>
    <phoneticPr fontId="14" type="noConversion"/>
  </si>
  <si>
    <t>存货产销量变动分析表</t>
    <phoneticPr fontId="14" type="noConversion"/>
  </si>
  <si>
    <t>存货产销量变动分析表</t>
    <phoneticPr fontId="14" type="noConversion"/>
  </si>
  <si>
    <t>产成品单位成本年度比较表</t>
    <phoneticPr fontId="14" type="noConversion"/>
  </si>
  <si>
    <t>F2-18</t>
    <phoneticPr fontId="14" type="noConversion"/>
  </si>
  <si>
    <t>F2-19</t>
    <phoneticPr fontId="14" type="noConversion"/>
  </si>
  <si>
    <t>F2-20</t>
    <phoneticPr fontId="14" type="noConversion"/>
  </si>
  <si>
    <r>
      <t>1.</t>
    </r>
    <r>
      <rPr>
        <sz val="10"/>
        <color rgb="FFFF0000"/>
        <rFont val="宋体"/>
        <family val="3"/>
        <charset val="134"/>
      </rPr>
      <t>库存商品—</t>
    </r>
    <r>
      <rPr>
        <sz val="10"/>
        <color rgb="FFFF0000"/>
        <rFont val="Arial Narrow"/>
        <family val="2"/>
      </rPr>
      <t>***</t>
    </r>
    <r>
      <rPr>
        <sz val="10"/>
        <color rgb="FFFF0000"/>
        <rFont val="宋体"/>
        <family val="3"/>
        <charset val="134"/>
      </rPr>
      <t>月产量变动异常的原因：</t>
    </r>
    <phoneticPr fontId="14" type="noConversion"/>
  </si>
  <si>
    <r>
      <t>2.</t>
    </r>
    <r>
      <rPr>
        <sz val="10"/>
        <color rgb="FFFF0000"/>
        <rFont val="宋体"/>
        <family val="3"/>
        <charset val="134"/>
      </rPr>
      <t>库存商品—</t>
    </r>
    <r>
      <rPr>
        <sz val="10"/>
        <color rgb="FFFF0000"/>
        <rFont val="Arial Narrow"/>
        <family val="2"/>
      </rPr>
      <t>**</t>
    </r>
    <r>
      <rPr>
        <sz val="10"/>
        <color rgb="FFFF0000"/>
        <rFont val="宋体"/>
        <family val="3"/>
        <charset val="134"/>
      </rPr>
      <t>本年与上年相比变动较大的原因：</t>
    </r>
    <phoneticPr fontId="14" type="noConversion"/>
  </si>
  <si>
    <r>
      <t>3.</t>
    </r>
    <r>
      <rPr>
        <sz val="10"/>
        <color rgb="FFFF0000"/>
        <rFont val="宋体"/>
        <family val="3"/>
        <charset val="134"/>
      </rPr>
      <t>原材料—</t>
    </r>
    <r>
      <rPr>
        <sz val="10"/>
        <color rgb="FFFF0000"/>
        <rFont val="Arial Narrow"/>
        <family val="2"/>
      </rPr>
      <t>**</t>
    </r>
    <r>
      <rPr>
        <sz val="10"/>
        <color rgb="FFFF0000"/>
        <rFont val="宋体"/>
        <family val="3"/>
        <charset val="134"/>
      </rPr>
      <t>本年与上年相比变动较大的原因：</t>
    </r>
    <phoneticPr fontId="14" type="noConversion"/>
  </si>
  <si>
    <r>
      <t>4.</t>
    </r>
    <r>
      <rPr>
        <sz val="10"/>
        <color rgb="FFFF0000"/>
        <rFont val="宋体"/>
        <family val="3"/>
        <charset val="134"/>
      </rPr>
      <t>库存商品—</t>
    </r>
    <r>
      <rPr>
        <sz val="10"/>
        <color rgb="FFFF0000"/>
        <rFont val="Arial Narrow"/>
        <family val="2"/>
      </rPr>
      <t>***</t>
    </r>
    <r>
      <rPr>
        <sz val="10"/>
        <color rgb="FFFF0000"/>
        <rFont val="宋体"/>
        <family val="3"/>
        <charset val="134"/>
      </rPr>
      <t>采购与耗用比变动较大的原因：</t>
    </r>
    <phoneticPr fontId="14" type="noConversion"/>
  </si>
  <si>
    <t>致同会计师事务所</t>
    <phoneticPr fontId="14" type="noConversion"/>
  </si>
  <si>
    <t>致同会计师事务所</t>
  </si>
  <si>
    <t>提示：</t>
    <phoneticPr fontId="14" type="noConversion"/>
  </si>
  <si>
    <r>
      <t>1.</t>
    </r>
    <r>
      <rPr>
        <sz val="10"/>
        <color indexed="12"/>
        <rFont val="宋体"/>
        <family val="3"/>
        <charset val="134"/>
      </rPr>
      <t>计算结果可与同行业或以前期间对比。</t>
    </r>
    <phoneticPr fontId="14" type="noConversion"/>
  </si>
  <si>
    <r>
      <t>2.</t>
    </r>
    <r>
      <rPr>
        <sz val="10"/>
        <color indexed="12"/>
        <rFont val="宋体"/>
        <family val="3"/>
        <charset val="134"/>
      </rPr>
      <t>存货周转天数的含义，就是从原材料购入开始，经过仓储、生产、再仓储到产成品售出那一天，大概是多少天。</t>
    </r>
    <phoneticPr fontId="14" type="noConversion"/>
  </si>
  <si>
    <r>
      <t>5.</t>
    </r>
    <r>
      <rPr>
        <sz val="10"/>
        <color rgb="FFFF0000"/>
        <rFont val="宋体"/>
        <family val="3"/>
        <charset val="134"/>
      </rPr>
      <t>产销量、产耗比异常变动的产品进一步进行生产成本及单耗分析见</t>
    </r>
    <r>
      <rPr>
        <sz val="10"/>
        <color rgb="FFFF0000"/>
        <rFont val="Arial Narrow"/>
        <family val="2"/>
      </rPr>
      <t>&lt;F2-64&gt;</t>
    </r>
    <phoneticPr fontId="14" type="noConversion"/>
  </si>
  <si>
    <t>对波动异常的产品应进一步执行舞弊应对程序中的产品生产成本及单耗分析&lt;F2-64&gt;</t>
    <phoneticPr fontId="14" type="noConversion"/>
  </si>
  <si>
    <r>
      <t>1.XX</t>
    </r>
    <r>
      <rPr>
        <sz val="10"/>
        <color rgb="FFFF0000"/>
        <rFont val="宋体"/>
        <family val="3"/>
        <charset val="134"/>
      </rPr>
      <t>产品单位成本异常波动原因：</t>
    </r>
    <r>
      <rPr>
        <sz val="10"/>
        <color rgb="FFFF0000"/>
        <rFont val="Arial Narrow"/>
        <family val="2"/>
      </rPr>
      <t xml:space="preserve">                                      </t>
    </r>
    <r>
      <rPr>
        <sz val="10"/>
        <color rgb="FFFF0000"/>
        <rFont val="宋体"/>
        <family val="3"/>
        <charset val="134"/>
      </rPr>
      <t>对</t>
    </r>
    <r>
      <rPr>
        <sz val="10"/>
        <color rgb="FFFF0000"/>
        <rFont val="Arial Narrow"/>
        <family val="2"/>
      </rPr>
      <t>XX</t>
    </r>
    <r>
      <rPr>
        <sz val="10"/>
        <color rgb="FFFF0000"/>
        <rFont val="宋体"/>
        <family val="3"/>
        <charset val="134"/>
      </rPr>
      <t>产品进一步进行生产成本及单耗分析见</t>
    </r>
    <r>
      <rPr>
        <sz val="10"/>
        <color rgb="FFFF0000"/>
        <rFont val="Arial Narrow"/>
        <family val="2"/>
      </rPr>
      <t>&lt;F2-64&gt;</t>
    </r>
    <phoneticPr fontId="119" type="noConversion"/>
  </si>
  <si>
    <r>
      <t>2.</t>
    </r>
    <r>
      <rPr>
        <sz val="10"/>
        <color rgb="FFFF0000"/>
        <rFont val="宋体"/>
        <family val="3"/>
        <charset val="134"/>
      </rPr>
      <t>原材料采购价格进一步分析见</t>
    </r>
    <r>
      <rPr>
        <sz val="10"/>
        <color rgb="FFFF0000"/>
        <rFont val="Arial Narrow"/>
        <family val="2"/>
      </rPr>
      <t>&lt;F2-61&gt;</t>
    </r>
    <phoneticPr fontId="119" type="noConversion"/>
  </si>
  <si>
    <t>对波动异常的产品应进一步执行舞弊应对程序中原材料采购价格分析&lt;F2-61&gt;、产品生产成本及单耗分析&lt;F2-64&gt;</t>
    <phoneticPr fontId="14" type="noConversion"/>
  </si>
  <si>
    <t>产成品单位成本年度比较分析表</t>
    <phoneticPr fontId="14" type="noConversion"/>
  </si>
  <si>
    <t>被审计单位：</t>
    <phoneticPr fontId="14" type="noConversion"/>
  </si>
  <si>
    <t>编制日期：</t>
    <phoneticPr fontId="14" type="noConversion"/>
  </si>
  <si>
    <t>复核日期：</t>
    <phoneticPr fontId="14" type="noConversion"/>
  </si>
  <si>
    <t>编制人：</t>
    <phoneticPr fontId="14" type="noConversion"/>
  </si>
  <si>
    <t>复核人：</t>
    <phoneticPr fontId="14" type="noConversion"/>
  </si>
  <si>
    <t>截止日：202X年12月31日</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</si>
</sst>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yyyy&quot;年&quot;m&quot;月&quot;;@"/>
    <numFmt numFmtId="191" formatCode="0%;\(0%\)"/>
    <numFmt numFmtId="192" formatCode="0.0%"/>
    <numFmt numFmtId="193" formatCode="#,##0;\-#,##0;&quot;-&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5" formatCode="\(#,##0\)\ "/>
    <numFmt numFmtId="206" formatCode="[Blue]0.0%;[Blue]\(0.0%\)"/>
    <numFmt numFmtId="207" formatCode="0.0%;\(0.0%\)"/>
    <numFmt numFmtId="208" formatCode="[Red]0.0%;[Red]\(0.0%\)"/>
    <numFmt numFmtId="209" formatCode="[Blue]#,##0_);[Blue]\(#,##0\)"/>
    <numFmt numFmtId="210" formatCode="#,##0_);[Blue]\(#,##0\)"/>
    <numFmt numFmtId="211" formatCode="#,##0;\(#,##0\)"/>
    <numFmt numFmtId="212" formatCode="#,##0.0"/>
    <numFmt numFmtId="213" formatCode="\$#,##0.00;\(\$#,##0.00\)"/>
    <numFmt numFmtId="214" formatCode="\$#,##0;\(\$#,##0\)"/>
    <numFmt numFmtId="215" formatCode="#,##0\ &quot; &quot;;\(#,##0\)\ ;&quot;—&quot;&quot; &quot;&quot; &quot;&quot; &quot;&quot; &quot;"/>
    <numFmt numFmtId="216" formatCode="_(&quot;Cr$&quot;* #,##0_);_(&quot;Cr$&quot;* \(#,##0\);_(&quot;Cr$&quot;* &quot;-&quot;_);_(@_)"/>
    <numFmt numFmtId="217" formatCode="_(&quot;Cr$&quot;* #,##0.00_);_(&quot;Cr$&quot;* \(#,##0.00\);_(&quot;Cr$&quot;* &quot;-&quot;??_);_(@_)"/>
    <numFmt numFmtId="218" formatCode="_ * #,##0_)\ _R_$_ ;_ * \(#,##0\)\ _R_$_ ;_ * &quot;-&quot;_)\ _R_$_ ;_ @_ "/>
    <numFmt numFmtId="219" formatCode="_ * #,##0.00_)\ _R_$_ ;_ * \(#,##0.00\)\ _R_$_ ;_ * &quot;-&quot;??_)\ _R_$_ ;_ @_ "/>
    <numFmt numFmtId="220" formatCode="\ \ @"/>
    <numFmt numFmtId="221" formatCode="#,##0_);\(#,##0_)"/>
    <numFmt numFmtId="222" formatCode="_-* #,##0\ _k_r_-;\-* #,##0\ _k_r_-;_-* &quot;-&quot;\ _k_r_-;_-@_-"/>
    <numFmt numFmtId="223" formatCode="_-* #,##0.00\ _k_r_-;\-* #,##0.00\ _k_r_-;_-* &quot;-&quot;??\ _k_r_-;_-@_-"/>
    <numFmt numFmtId="224" formatCode="&quot;綅&quot;\t#,##0_);[Red]\(&quot;綅&quot;\t#,##0\)"/>
    <numFmt numFmtId="225" formatCode="&quot;?\t#,##0_);[Red]\(&quot;&quot;?&quot;\t#,##0\)"/>
    <numFmt numFmtId="226" formatCode="_-* #,##0_-;\-* #,##0_-;_-* &quot;-&quot;_-;_-@_-"/>
    <numFmt numFmtId="227" formatCode="_-* #,##0.00_-;\-* #,##0.00_-;_-* &quot;-&quot;??_-;_-@_-"/>
    <numFmt numFmtId="228" formatCode="_-&quot;$&quot;* #,##0_-;\-&quot;$&quot;* #,##0_-;_-&quot;$&quot;* &quot;-&quot;_-;_-@_-"/>
    <numFmt numFmtId="229" formatCode="_-&quot;$&quot;* #,##0.00_-;\-&quot;$&quot;* #,##0.00_-;_-&quot;$&quot;* &quot;-&quot;??_-;_-@_-"/>
    <numFmt numFmtId="230" formatCode="&quot;\&quot;#,##0.00;[Red]&quot;\&quot;&quot;\&quot;&quot;\&quot;&quot;\&quot;&quot;\&quot;&quot;\&quot;\-#,##0.00"/>
    <numFmt numFmtId="231" formatCode="&quot;\&quot;#,##0.00;[Red]&quot;\&quot;\-#,##0.00"/>
    <numFmt numFmtId="232" formatCode="&quot;\&quot;#,##0;[Red]&quot;\&quot;\-#,##0"/>
    <numFmt numFmtId="233" formatCode="#,##0.00_ "/>
    <numFmt numFmtId="234" formatCode="0.00_ "/>
    <numFmt numFmtId="235" formatCode="0_ "/>
  </numFmts>
  <fonts count="123">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4"/>
      <name val="黑体"/>
      <family val="3"/>
      <charset val="134"/>
    </font>
    <font>
      <sz val="12"/>
      <name val="Times New Roman"/>
      <family val="1"/>
    </font>
    <font>
      <sz val="12"/>
      <name val="Arial"/>
      <family val="2"/>
    </font>
    <font>
      <sz val="10.5"/>
      <name val="Arial"/>
      <family val="2"/>
    </font>
    <font>
      <b/>
      <sz val="10"/>
      <color indexed="10"/>
      <name val="Arial"/>
      <family val="2"/>
    </font>
    <font>
      <b/>
      <sz val="12"/>
      <name val="Arial"/>
      <family val="2"/>
    </font>
    <font>
      <sz val="12"/>
      <name val="Arial Narrow"/>
      <family val="2"/>
    </font>
    <font>
      <sz val="10"/>
      <name val="Arial Narrow"/>
      <family val="2"/>
    </font>
    <font>
      <sz val="10"/>
      <color indexed="8"/>
      <name val="Arial Narrow"/>
      <family val="2"/>
    </font>
    <font>
      <b/>
      <sz val="10"/>
      <name val="Arial Narrow"/>
      <family val="2"/>
    </font>
    <font>
      <b/>
      <sz val="10"/>
      <color indexed="8"/>
      <name val="Arial Narrow"/>
      <family val="2"/>
    </font>
    <font>
      <sz val="10"/>
      <color indexed="12"/>
      <name val="Arial Narrow"/>
      <family val="2"/>
    </font>
    <font>
      <u val="singleAccounting"/>
      <vertAlign val="subscript"/>
      <sz val="10"/>
      <name val="Times New Roman"/>
      <family val="1"/>
    </font>
    <font>
      <i/>
      <sz val="9"/>
      <name val="Times New Roman"/>
      <family val="1"/>
    </font>
    <font>
      <sz val="10"/>
      <color indexed="8"/>
      <name val="宋体"/>
      <family val="3"/>
      <charset val="134"/>
    </font>
    <font>
      <b/>
      <sz val="10"/>
      <color indexed="8"/>
      <name val="Times New Roman"/>
      <family val="1"/>
    </font>
    <font>
      <sz val="11"/>
      <color indexed="9"/>
      <name val="宋体"/>
      <family val="3"/>
      <charset val="134"/>
    </font>
    <font>
      <b/>
      <sz val="10"/>
      <name val="宋体"/>
      <family val="3"/>
      <charset val="134"/>
    </font>
    <font>
      <i/>
      <sz val="10"/>
      <color indexed="12"/>
      <name val="宋体"/>
      <family val="3"/>
      <charset val="134"/>
    </font>
    <font>
      <sz val="10"/>
      <color indexed="12"/>
      <name val="宋体"/>
      <family val="3"/>
      <charset val="134"/>
    </font>
    <font>
      <b/>
      <sz val="10"/>
      <color indexed="8"/>
      <name val="宋体"/>
      <family val="3"/>
      <charset val="134"/>
    </font>
    <font>
      <sz val="10"/>
      <color indexed="8"/>
      <name val="宋体"/>
      <family val="3"/>
      <charset val="134"/>
    </font>
    <font>
      <b/>
      <sz val="12"/>
      <color indexed="8"/>
      <name val="宋体"/>
      <family val="3"/>
      <charset val="134"/>
    </font>
    <font>
      <sz val="12"/>
      <color indexed="8"/>
      <name val="宋体"/>
      <family val="3"/>
      <charset val="134"/>
    </font>
    <font>
      <sz val="10"/>
      <color rgb="FFFF0000"/>
      <name val="宋体"/>
      <family val="3"/>
      <charset val="134"/>
    </font>
    <font>
      <sz val="9"/>
      <name val="宋体"/>
      <family val="2"/>
      <charset val="134"/>
      <scheme val="minor"/>
    </font>
    <font>
      <sz val="11"/>
      <color theme="1"/>
      <name val="宋体"/>
      <family val="3"/>
      <charset val="134"/>
      <scheme val="minor"/>
    </font>
    <font>
      <sz val="11"/>
      <color theme="1"/>
      <name val="宋体"/>
      <family val="2"/>
      <scheme val="minor"/>
    </font>
    <font>
      <sz val="10"/>
      <color rgb="FFFF0000"/>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sz val="10"/>
      <color indexed="72"/>
      <name val="宋体"/>
      <family val="3"/>
      <charset val="134"/>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sz val="11"/>
      <color indexed="8"/>
      <name val="宋体"/>
      <family val="3"/>
      <charset val="134"/>
    </font>
    <font>
      <sz val="10"/>
      <color rgb="FF0000FF"/>
      <name val="宋体"/>
      <family val="3"/>
      <charset val="134"/>
    </font>
    <font>
      <sz val="10"/>
      <color rgb="FF0000FF"/>
      <name val="Arial Narrow"/>
      <family val="2"/>
    </font>
    <font>
      <sz val="10"/>
      <color indexed="8"/>
      <name val="Times New Roman"/>
      <family val="1"/>
    </font>
    <font>
      <sz val="9"/>
      <color indexed="81"/>
      <name val="宋体"/>
      <family val="3"/>
      <charset val="134"/>
    </font>
    <font>
      <b/>
      <sz val="9"/>
      <color indexed="81"/>
      <name val="宋体"/>
      <family val="3"/>
      <charset val="134"/>
    </font>
    <font>
      <sz val="9"/>
      <name val="宋体"/>
      <family val="3"/>
      <charset val="134"/>
    </font>
    <font>
      <b/>
      <sz val="14"/>
      <name val="宋体"/>
      <family val="3"/>
      <charset val="134"/>
    </font>
    <font>
      <b/>
      <sz val="14"/>
      <color indexed="8"/>
      <name val="宋体"/>
      <family val="3"/>
      <charset val="134"/>
    </font>
    <font>
      <sz val="12"/>
      <color indexed="12"/>
      <name val="宋体"/>
      <family val="3"/>
      <charset val="134"/>
    </font>
  </fonts>
  <fills count="37">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s>
  <borders count="3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auto="1"/>
      </bottom>
      <diagonal/>
    </border>
    <border>
      <left style="hair">
        <color indexed="64"/>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hair">
        <color indexed="64"/>
      </left>
      <right/>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s>
  <cellStyleXfs count="620">
    <xf numFmtId="0" fontId="0" fillId="0" borderId="0">
      <protection locked="0"/>
    </xf>
    <xf numFmtId="0" fontId="34" fillId="2" borderId="0" applyNumberFormat="0" applyBorder="0" applyAlignment="0" applyProtection="0">
      <alignment vertical="center"/>
    </xf>
    <xf numFmtId="49" fontId="17" fillId="0" borderId="0" applyProtection="0">
      <alignment horizontal="left"/>
    </xf>
    <xf numFmtId="183" fontId="17" fillId="0" borderId="0" applyFill="0" applyBorder="0" applyProtection="0">
      <alignment horizontal="right"/>
    </xf>
    <xf numFmtId="180" fontId="17" fillId="0" borderId="0" applyFill="0" applyBorder="0" applyProtection="0">
      <alignment horizontal="right"/>
    </xf>
    <xf numFmtId="182" fontId="30" fillId="0" borderId="0" applyFill="0" applyBorder="0" applyProtection="0">
      <alignment horizontal="center"/>
    </xf>
    <xf numFmtId="181" fontId="30" fillId="0" borderId="0" applyFill="0" applyBorder="0" applyProtection="0">
      <alignment horizontal="center"/>
    </xf>
    <xf numFmtId="184" fontId="31" fillId="0" borderId="0" applyFill="0" applyBorder="0" applyProtection="0">
      <alignment horizontal="right"/>
    </xf>
    <xf numFmtId="185" fontId="17" fillId="0" borderId="0" applyFill="0" applyBorder="0" applyProtection="0">
      <alignment horizontal="right"/>
    </xf>
    <xf numFmtId="186" fontId="17" fillId="0" borderId="0" applyFill="0" applyBorder="0" applyProtection="0">
      <alignment horizontal="right"/>
    </xf>
    <xf numFmtId="189" fontId="17" fillId="0" borderId="0" applyFill="0" applyBorder="0" applyProtection="0">
      <alignment horizontal="right"/>
    </xf>
    <xf numFmtId="188" fontId="17" fillId="0" borderId="0" applyFill="0" applyBorder="0" applyProtection="0">
      <alignment horizontal="right"/>
    </xf>
    <xf numFmtId="0" fontId="10" fillId="0" borderId="0"/>
    <xf numFmtId="3" fontId="5" fillId="0" borderId="0"/>
    <xf numFmtId="176" fontId="6" fillId="0" borderId="1" applyAlignment="0" applyProtection="0"/>
    <xf numFmtId="41" fontId="7" fillId="0" borderId="0" applyFont="0" applyFill="0" applyBorder="0" applyAlignment="0" applyProtection="0"/>
    <xf numFmtId="43" fontId="7" fillId="0" borderId="0" applyFont="0" applyFill="0" applyBorder="0" applyAlignment="0" applyProtection="0"/>
    <xf numFmtId="187" fontId="17" fillId="0" borderId="0" applyFont="0" applyFill="0" applyBorder="0" applyAlignment="0" applyProtection="0"/>
    <xf numFmtId="0" fontId="8" fillId="0" borderId="0" applyNumberFormat="0" applyFill="0" applyBorder="0" applyAlignment="0" applyProtection="0">
      <alignment vertical="top"/>
      <protection locked="0"/>
    </xf>
    <xf numFmtId="38" fontId="9" fillId="3" borderId="0" applyNumberFormat="0" applyBorder="0" applyAlignment="0" applyProtection="0"/>
    <xf numFmtId="10" fontId="9" fillId="4" borderId="2" applyNumberFormat="0" applyBorder="0" applyAlignment="0" applyProtection="0"/>
    <xf numFmtId="178" fontId="10" fillId="0" borderId="0" applyFont="0" applyFill="0" applyBorder="0" applyAlignment="0" applyProtection="0"/>
    <xf numFmtId="179" fontId="10" fillId="0" borderId="0" applyFont="0" applyFill="0" applyBorder="0" applyAlignment="0" applyProtection="0"/>
    <xf numFmtId="0" fontId="11" fillId="0" borderId="0"/>
    <xf numFmtId="177" fontId="10" fillId="0" borderId="0"/>
    <xf numFmtId="10" fontId="7" fillId="0" borderId="0" applyFont="0" applyFill="0" applyBorder="0" applyAlignment="0" applyProtection="0"/>
    <xf numFmtId="3" fontId="12" fillId="0" borderId="0"/>
    <xf numFmtId="9" fontId="10" fillId="0" borderId="0" applyFont="0" applyFill="0" applyBorder="0" applyAlignment="0" applyProtection="0"/>
    <xf numFmtId="0" fontId="10" fillId="0" borderId="0">
      <protection locked="0"/>
    </xf>
    <xf numFmtId="0" fontId="10" fillId="0" borderId="0">
      <alignment vertical="center"/>
    </xf>
    <xf numFmtId="0" fontId="10" fillId="0" borderId="0">
      <alignment vertical="center"/>
    </xf>
    <xf numFmtId="0" fontId="13" fillId="0" borderId="0" applyNumberFormat="0" applyFill="0" applyBorder="0" applyAlignment="0" applyProtection="0">
      <alignment vertical="top"/>
      <protection locked="0"/>
    </xf>
    <xf numFmtId="43" fontId="10" fillId="0" borderId="0" applyFont="0" applyFill="0" applyBorder="0" applyAlignment="0" applyProtection="0"/>
    <xf numFmtId="43" fontId="39" fillId="0" borderId="0" applyFont="0" applyFill="0" applyBorder="0" applyAlignment="0" applyProtection="0">
      <alignment vertical="center"/>
    </xf>
    <xf numFmtId="0" fontId="10" fillId="0" borderId="0">
      <alignment vertical="center"/>
    </xf>
    <xf numFmtId="0" fontId="7"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0" fillId="0" borderId="0">
      <alignment vertical="center"/>
    </xf>
    <xf numFmtId="0" fontId="10" fillId="0" borderId="0">
      <alignment vertical="center"/>
    </xf>
    <xf numFmtId="0" fontId="10"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5"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1" fillId="0" borderId="0" applyNumberFormat="0" applyBorder="0" applyAlignment="0">
      <alignment vertical="center"/>
      <protection locked="0"/>
    </xf>
    <xf numFmtId="0" fontId="10" fillId="0" borderId="0">
      <alignment vertical="center"/>
    </xf>
    <xf numFmtId="0" fontId="10" fillId="0" borderId="0">
      <alignment vertical="center"/>
    </xf>
    <xf numFmtId="0" fontId="41" fillId="0"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44" fillId="0" borderId="0">
      <alignment vertical="center"/>
    </xf>
    <xf numFmtId="0" fontId="44" fillId="0" borderId="0">
      <alignment vertical="center"/>
    </xf>
    <xf numFmtId="0" fontId="44" fillId="0" borderId="0">
      <alignment vertical="center"/>
    </xf>
    <xf numFmtId="0" fontId="41" fillId="0" borderId="0" applyNumberFormat="0" applyBorder="0" applyAlignment="0" applyProtection="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43" fontId="32" fillId="0" borderId="0" applyFont="0" applyFill="0" applyBorder="0" applyAlignment="0" applyProtection="0">
      <alignment vertical="center"/>
    </xf>
    <xf numFmtId="187" fontId="4" fillId="0" borderId="0">
      <alignment vertical="center"/>
    </xf>
    <xf numFmtId="0" fontId="10" fillId="0" borderId="0">
      <protection locked="0"/>
    </xf>
    <xf numFmtId="0" fontId="7" fillId="0" borderId="0"/>
    <xf numFmtId="0" fontId="7" fillId="0" borderId="0"/>
    <xf numFmtId="0" fontId="7" fillId="0" borderId="0"/>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protection locked="0"/>
    </xf>
    <xf numFmtId="191" fontId="48" fillId="0" borderId="0" applyFont="0" applyFill="0" applyBorder="0" applyAlignment="0" applyProtection="0"/>
    <xf numFmtId="192" fontId="48" fillId="0" borderId="0" applyFont="0" applyFill="0" applyBorder="0" applyAlignment="0" applyProtection="0"/>
    <xf numFmtId="10" fontId="48" fillId="0" borderId="0" applyFont="0" applyFill="0" applyBorder="0" applyAlignment="0" applyProtection="0"/>
    <xf numFmtId="193" fontId="47" fillId="0" borderId="0" applyFill="0" applyBorder="0" applyAlignment="0"/>
    <xf numFmtId="0" fontId="49" fillId="0" borderId="10" applyNumberFormat="0" applyFill="0" applyProtection="0">
      <alignment horizontal="center"/>
    </xf>
    <xf numFmtId="0" fontId="50" fillId="0" borderId="13">
      <alignment horizontal="center"/>
    </xf>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38" fontId="51" fillId="0" borderId="0" applyFont="0" applyFill="0" applyBorder="0" applyAlignment="0" applyProtection="0"/>
    <xf numFmtId="37" fontId="48" fillId="0" borderId="0" applyFont="0" applyFill="0" applyBorder="0" applyAlignment="0" applyProtection="0"/>
    <xf numFmtId="195" fontId="48" fillId="0" borderId="0" applyFont="0" applyFill="0" applyBorder="0" applyAlignment="0" applyProtection="0"/>
    <xf numFmtId="39" fontId="48" fillId="0" borderId="0" applyFont="0" applyFill="0" applyBorder="0" applyAlignment="0" applyProtection="0"/>
    <xf numFmtId="40" fontId="51" fillId="0" borderId="0" applyFont="0" applyFill="0" applyBorder="0" applyAlignment="0" applyProtection="0"/>
    <xf numFmtId="196" fontId="10" fillId="0" borderId="0" applyFont="0" applyFill="0" applyBorder="0" applyAlignment="0" applyProtection="0"/>
    <xf numFmtId="176" fontId="48" fillId="0" borderId="0" applyFont="0" applyFill="0" applyBorder="0" applyAlignment="0" applyProtection="0"/>
    <xf numFmtId="197" fontId="48" fillId="0" borderId="0" applyFont="0" applyFill="0" applyBorder="0" applyAlignment="0" applyProtection="0"/>
    <xf numFmtId="198" fontId="10" fillId="0" borderId="0" applyFont="0" applyFill="0" applyBorder="0" applyAlignment="0" applyProtection="0"/>
    <xf numFmtId="0" fontId="52" fillId="0" borderId="0">
      <alignment horizontal="left"/>
    </xf>
    <xf numFmtId="0" fontId="9" fillId="6" borderId="2"/>
    <xf numFmtId="0" fontId="23" fillId="0" borderId="11" applyNumberFormat="0" applyAlignment="0" applyProtection="0">
      <alignment horizontal="left" vertical="center"/>
    </xf>
    <xf numFmtId="0" fontId="23" fillId="0" borderId="6">
      <alignment horizontal="left" vertical="center"/>
    </xf>
    <xf numFmtId="14" fontId="53" fillId="7" borderId="12">
      <alignment horizontal="center" vertical="center" wrapText="1"/>
    </xf>
    <xf numFmtId="0" fontId="17" fillId="0" borderId="0" applyNumberFormat="0" applyFont="0" applyFill="0" applyBorder="0" applyProtection="0">
      <alignment horizontal="left" vertical="center"/>
    </xf>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10" fillId="0" borderId="0" applyFont="0" applyFill="0" applyBorder="0" applyAlignment="0" applyProtection="0"/>
    <xf numFmtId="37" fontId="54" fillId="0" borderId="0"/>
    <xf numFmtId="0" fontId="51" fillId="0" borderId="0"/>
    <xf numFmtId="0" fontId="55" fillId="0" borderId="0"/>
    <xf numFmtId="203" fontId="7" fillId="0" borderId="0" applyFont="0" applyFill="0" applyBorder="0" applyAlignment="0" applyProtection="0"/>
    <xf numFmtId="0" fontId="9" fillId="3" borderId="2"/>
    <xf numFmtId="4" fontId="52" fillId="0" borderId="0">
      <alignment horizontal="right"/>
    </xf>
    <xf numFmtId="4" fontId="56" fillId="0" borderId="0">
      <alignment horizontal="right"/>
    </xf>
    <xf numFmtId="0" fontId="57" fillId="0" borderId="0">
      <alignment horizontal="left"/>
    </xf>
    <xf numFmtId="0" fontId="58" fillId="0" borderId="2">
      <alignment horizontal="center"/>
    </xf>
    <xf numFmtId="0" fontId="58" fillId="0" borderId="0">
      <alignment horizontal="center" vertical="center"/>
    </xf>
    <xf numFmtId="0" fontId="59" fillId="8" borderId="0" applyNumberFormat="0" applyFill="0">
      <alignment horizontal="left" vertical="center"/>
    </xf>
    <xf numFmtId="0" fontId="22" fillId="0" borderId="0" applyFill="0" applyBorder="0" applyProtection="0">
      <alignment horizontal="left" vertical="top"/>
    </xf>
    <xf numFmtId="0" fontId="60" fillId="0" borderId="0">
      <alignment horizontal="center"/>
    </xf>
    <xf numFmtId="0" fontId="61" fillId="0" borderId="0" applyNumberFormat="0" applyFont="0" applyFill="0" applyBorder="0" applyProtection="0">
      <alignment horizontal="center" vertical="center" wrapText="1"/>
    </xf>
    <xf numFmtId="9" fontId="62" fillId="0" borderId="0" applyFont="0" applyFill="0" applyBorder="0" applyAlignment="0" applyProtection="0"/>
    <xf numFmtId="4" fontId="63" fillId="0" borderId="0">
      <alignment horizontal="right"/>
    </xf>
    <xf numFmtId="0" fontId="64"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applyNumberFormat="0" applyFill="0" applyBorder="0" applyAlignment="0" applyProtection="0"/>
    <xf numFmtId="4" fontId="61" fillId="0" borderId="0" applyFont="0" applyFill="0" applyBorder="0" applyAlignment="0" applyProtection="0"/>
    <xf numFmtId="41" fontId="7" fillId="0" borderId="0" applyFont="0" applyFill="0" applyBorder="0" applyAlignment="0" applyProtection="0"/>
    <xf numFmtId="0" fontId="17" fillId="0" borderId="0"/>
    <xf numFmtId="41" fontId="17" fillId="0" borderId="0" applyFont="0" applyFill="0" applyBorder="0" applyAlignment="0" applyProtection="0"/>
    <xf numFmtId="43" fontId="17" fillId="0" borderId="0" applyFont="0" applyFill="0" applyBorder="0" applyAlignment="0" applyProtection="0"/>
    <xf numFmtId="200" fontId="7" fillId="0" borderId="0" applyFont="0" applyFill="0" applyBorder="0" applyAlignment="0" applyProtection="0"/>
    <xf numFmtId="204" fontId="61" fillId="0" borderId="0" applyFont="0" applyFill="0" applyBorder="0" applyAlignment="0" applyProtection="0"/>
    <xf numFmtId="187" fontId="47" fillId="0" borderId="0">
      <alignment vertical="top"/>
    </xf>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66" fillId="0" borderId="0"/>
    <xf numFmtId="0" fontId="67" fillId="0" borderId="0"/>
    <xf numFmtId="40" fontId="67" fillId="0" borderId="0" applyFont="0" applyFill="0" applyBorder="0" applyAlignment="0" applyProtection="0"/>
    <xf numFmtId="0" fontId="7" fillId="0" borderId="0"/>
    <xf numFmtId="37" fontId="7" fillId="0" borderId="0" applyFont="0" applyFill="0" applyBorder="0" applyAlignment="0" applyProtection="0"/>
    <xf numFmtId="0" fontId="34" fillId="2" borderId="0" applyNumberFormat="0" applyBorder="0" applyAlignment="0" applyProtection="0">
      <alignment vertical="center"/>
    </xf>
    <xf numFmtId="187" fontId="10" fillId="0" borderId="0">
      <protection locked="0"/>
    </xf>
    <xf numFmtId="49" fontId="17" fillId="0" borderId="0"/>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8" fillId="0" borderId="0"/>
    <xf numFmtId="187" fontId="68"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8" fillId="0" borderId="0">
      <protection locked="0"/>
    </xf>
    <xf numFmtId="187" fontId="68" fillId="0" borderId="0"/>
    <xf numFmtId="187" fontId="68"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protection locked="0"/>
    </xf>
    <xf numFmtId="187" fontId="68" fillId="0" borderId="0">
      <protection locked="0"/>
    </xf>
    <xf numFmtId="187" fontId="19" fillId="0" borderId="0">
      <protection locked="0"/>
    </xf>
    <xf numFmtId="187" fontId="68"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xf numFmtId="0" fontId="19"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19" fillId="0" borderId="0"/>
    <xf numFmtId="187" fontId="68" fillId="0" borderId="0">
      <protection locked="0"/>
    </xf>
    <xf numFmtId="187" fontId="7" fillId="0" borderId="0"/>
    <xf numFmtId="187" fontId="7" fillId="0" borderId="0">
      <protection locked="0"/>
    </xf>
    <xf numFmtId="187" fontId="7" fillId="0" borderId="0">
      <protection locked="0"/>
    </xf>
    <xf numFmtId="187" fontId="68" fillId="0" borderId="0">
      <protection locked="0"/>
    </xf>
    <xf numFmtId="187" fontId="7" fillId="0" borderId="0"/>
    <xf numFmtId="187" fontId="7" fillId="0" borderId="0">
      <protection locked="0"/>
    </xf>
    <xf numFmtId="187" fontId="7" fillId="0" borderId="0">
      <protection locked="0"/>
    </xf>
    <xf numFmtId="187" fontId="68" fillId="0" borderId="0">
      <protection locked="0"/>
    </xf>
    <xf numFmtId="187" fontId="68" fillId="0" borderId="0">
      <protection locked="0"/>
    </xf>
    <xf numFmtId="187" fontId="19" fillId="0" borderId="0"/>
    <xf numFmtId="187" fontId="7" fillId="0" borderId="0">
      <protection locked="0"/>
    </xf>
    <xf numFmtId="187" fontId="68" fillId="0" borderId="0">
      <protection locked="0"/>
    </xf>
    <xf numFmtId="187" fontId="7" fillId="0" borderId="0">
      <protection locked="0"/>
    </xf>
    <xf numFmtId="187" fontId="7" fillId="0" borderId="0">
      <protection locked="0"/>
    </xf>
    <xf numFmtId="187" fontId="68" fillId="0" borderId="0">
      <protection locked="0"/>
    </xf>
    <xf numFmtId="187" fontId="68" fillId="0" borderId="0">
      <protection locked="0"/>
    </xf>
    <xf numFmtId="187" fontId="68" fillId="0" borderId="0">
      <protection locked="0"/>
    </xf>
    <xf numFmtId="187" fontId="68" fillId="0" borderId="0">
      <protection locked="0"/>
    </xf>
    <xf numFmtId="187" fontId="47" fillId="0" borderId="0">
      <alignment vertical="top"/>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187" fontId="68" fillId="0" borderId="0">
      <protection locked="0"/>
    </xf>
    <xf numFmtId="187" fontId="68" fillId="0" borderId="0">
      <protection locked="0"/>
    </xf>
    <xf numFmtId="187" fontId="7" fillId="0" borderId="0">
      <protection locked="0"/>
    </xf>
    <xf numFmtId="187" fontId="7" fillId="0" borderId="0">
      <protection locked="0"/>
    </xf>
    <xf numFmtId="187" fontId="7" fillId="0" borderId="0">
      <protection locked="0"/>
    </xf>
    <xf numFmtId="187" fontId="68" fillId="0" borderId="0"/>
    <xf numFmtId="187" fontId="68" fillId="0" borderId="0">
      <protection locked="0"/>
    </xf>
    <xf numFmtId="0" fontId="10" fillId="0" borderId="0"/>
    <xf numFmtId="0" fontId="69" fillId="9" borderId="0" applyNumberFormat="0" applyBorder="0" applyAlignment="0" applyProtection="0"/>
    <xf numFmtId="0" fontId="69" fillId="10" borderId="0" applyNumberFormat="0" applyBorder="0" applyAlignment="0" applyProtection="0"/>
    <xf numFmtId="0" fontId="69" fillId="11" borderId="0" applyNumberFormat="0" applyBorder="0" applyAlignment="0" applyProtection="0"/>
    <xf numFmtId="0" fontId="69" fillId="12"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5"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12" borderId="0" applyNumberFormat="0" applyBorder="0" applyAlignment="0" applyProtection="0"/>
    <xf numFmtId="0" fontId="69" fillId="15" borderId="0" applyNumberFormat="0" applyBorder="0" applyAlignment="0" applyProtection="0"/>
    <xf numFmtId="0" fontId="69" fillId="18" borderId="0" applyNumberFormat="0" applyBorder="0" applyAlignment="0" applyProtection="0"/>
    <xf numFmtId="0" fontId="70" fillId="2" borderId="0" applyNumberFormat="0" applyBorder="0" applyAlignment="0" applyProtection="0"/>
    <xf numFmtId="0" fontId="70" fillId="16" borderId="0" applyNumberFormat="0" applyBorder="0" applyAlignment="0" applyProtection="0"/>
    <xf numFmtId="0" fontId="70" fillId="17" borderId="0" applyNumberFormat="0" applyBorder="0" applyAlignment="0" applyProtection="0"/>
    <xf numFmtId="0" fontId="70" fillId="19" borderId="0" applyNumberFormat="0" applyBorder="0" applyAlignment="0" applyProtection="0"/>
    <xf numFmtId="0" fontId="70" fillId="20" borderId="0" applyNumberFormat="0" applyBorder="0" applyAlignment="0" applyProtection="0"/>
    <xf numFmtId="0" fontId="70" fillId="21" borderId="0" applyNumberFormat="0" applyBorder="0" applyAlignment="0" applyProtection="0"/>
    <xf numFmtId="187" fontId="68" fillId="0" borderId="0"/>
    <xf numFmtId="0" fontId="70" fillId="22" borderId="0" applyNumberFormat="0" applyBorder="0" applyAlignment="0" applyProtection="0"/>
    <xf numFmtId="0" fontId="70" fillId="23" borderId="0" applyNumberFormat="0" applyBorder="0" applyAlignment="0" applyProtection="0"/>
    <xf numFmtId="0" fontId="70" fillId="24" borderId="0" applyNumberFormat="0" applyBorder="0" applyAlignment="0" applyProtection="0"/>
    <xf numFmtId="0" fontId="70" fillId="19" borderId="0" applyNumberFormat="0" applyBorder="0" applyAlignment="0" applyProtection="0"/>
    <xf numFmtId="0" fontId="70" fillId="20" borderId="0" applyNumberFormat="0" applyBorder="0" applyAlignment="0" applyProtection="0"/>
    <xf numFmtId="0" fontId="70" fillId="25" borderId="0" applyNumberFormat="0" applyBorder="0" applyAlignment="0" applyProtection="0"/>
    <xf numFmtId="0" fontId="71" fillId="10" borderId="0" applyNumberFormat="0" applyBorder="0" applyAlignment="0" applyProtection="0"/>
    <xf numFmtId="187" fontId="72" fillId="0" borderId="0" applyNumberFormat="0" applyFill="0" applyBorder="0" applyAlignment="0" applyProtection="0"/>
    <xf numFmtId="205" fontId="7" fillId="0" borderId="0" applyFill="0" applyBorder="0" applyAlignment="0"/>
    <xf numFmtId="206" fontId="7" fillId="0" borderId="0" applyFill="0" applyBorder="0" applyAlignment="0"/>
    <xf numFmtId="207" fontId="7" fillId="0" borderId="0" applyFill="0" applyBorder="0" applyAlignment="0"/>
    <xf numFmtId="208"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73" fillId="26" borderId="14" applyNumberFormat="0" applyAlignment="0" applyProtection="0"/>
    <xf numFmtId="0" fontId="74" fillId="0" borderId="0"/>
    <xf numFmtId="3" fontId="51" fillId="0" borderId="2">
      <protection locked="0"/>
    </xf>
    <xf numFmtId="0" fontId="75" fillId="27" borderId="15" applyNumberFormat="0" applyAlignment="0" applyProtection="0"/>
    <xf numFmtId="187" fontId="76" fillId="0" borderId="0" applyFill="0" applyBorder="0">
      <alignment horizontal="right"/>
    </xf>
    <xf numFmtId="187" fontId="19" fillId="0" borderId="0" applyFill="0" applyBorder="0">
      <alignment horizontal="right"/>
    </xf>
    <xf numFmtId="209" fontId="7" fillId="0" borderId="0" applyFont="0" applyFill="0" applyBorder="0" applyAlignment="0" applyProtection="0"/>
    <xf numFmtId="43" fontId="10" fillId="0" borderId="0" applyFont="0" applyFill="0" applyBorder="0" applyAlignment="0" applyProtection="0"/>
    <xf numFmtId="211" fontId="17" fillId="0" borderId="0"/>
    <xf numFmtId="212" fontId="17" fillId="0" borderId="0"/>
    <xf numFmtId="205" fontId="7" fillId="0" borderId="0" applyFont="0" applyFill="0" applyBorder="0" applyAlignment="0" applyProtection="0"/>
    <xf numFmtId="213" fontId="17" fillId="0" borderId="0"/>
    <xf numFmtId="187" fontId="19" fillId="0" borderId="0" applyFont="0" applyFill="0" applyBorder="0" applyAlignment="0" applyProtection="0"/>
    <xf numFmtId="14" fontId="47" fillId="0" borderId="0" applyFill="0" applyBorder="0" applyAlignment="0"/>
    <xf numFmtId="214" fontId="17" fillId="0" borderId="0"/>
    <xf numFmtId="187" fontId="7" fillId="0" borderId="0">
      <protection locked="0"/>
    </xf>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77" fillId="0" borderId="0" applyNumberFormat="0" applyFill="0" applyBorder="0" applyAlignment="0" applyProtection="0"/>
    <xf numFmtId="187" fontId="7" fillId="0" borderId="0">
      <protection locked="0"/>
    </xf>
    <xf numFmtId="187" fontId="7" fillId="0" borderId="0">
      <protection locked="0"/>
    </xf>
    <xf numFmtId="187" fontId="7" fillId="0" borderId="0">
      <protection locked="0"/>
    </xf>
    <xf numFmtId="187" fontId="7" fillId="0" borderId="0">
      <protection locked="0"/>
    </xf>
    <xf numFmtId="187" fontId="7" fillId="0" borderId="0">
      <protection locked="0"/>
    </xf>
    <xf numFmtId="2" fontId="19" fillId="0" borderId="0" applyFont="0" applyFill="0" applyBorder="0" applyAlignment="0" applyProtection="0"/>
    <xf numFmtId="215" fontId="78" fillId="0" borderId="0">
      <alignment horizontal="right"/>
    </xf>
    <xf numFmtId="187" fontId="7" fillId="0" borderId="0"/>
    <xf numFmtId="0" fontId="79" fillId="11" borderId="0" applyNumberFormat="0" applyBorder="0" applyAlignment="0" applyProtection="0"/>
    <xf numFmtId="0" fontId="80" fillId="0" borderId="0">
      <alignment horizontal="left"/>
    </xf>
    <xf numFmtId="0" fontId="81" fillId="0" borderId="16" applyNumberFormat="0" applyFill="0" applyAlignment="0" applyProtection="0"/>
    <xf numFmtId="0" fontId="82" fillId="0" borderId="17" applyNumberFormat="0" applyFill="0" applyAlignment="0" applyProtection="0"/>
    <xf numFmtId="0" fontId="83" fillId="0" borderId="18" applyNumberFormat="0" applyFill="0" applyAlignment="0" applyProtection="0"/>
    <xf numFmtId="0" fontId="83" fillId="0" borderId="0" applyNumberFormat="0" applyFill="0" applyBorder="0" applyAlignment="0" applyProtection="0"/>
    <xf numFmtId="187" fontId="19" fillId="0" borderId="0" applyNumberFormat="0" applyFont="0" applyFill="0" applyBorder="0" applyAlignment="0" applyProtection="0"/>
    <xf numFmtId="187" fontId="19" fillId="0" borderId="0" applyNumberFormat="0" applyFont="0" applyFill="0" applyBorder="0" applyAlignment="0" applyProtection="0"/>
    <xf numFmtId="187" fontId="84" fillId="0" borderId="0" applyNumberFormat="0" applyFill="0" applyBorder="0" applyAlignment="0" applyProtection="0">
      <alignment vertical="top"/>
      <protection locked="0"/>
    </xf>
    <xf numFmtId="0" fontId="85" fillId="14" borderId="14" applyNumberFormat="0" applyAlignment="0" applyProtection="0"/>
    <xf numFmtId="187" fontId="76" fillId="28" borderId="0" applyNumberFormat="0" applyFont="0" applyBorder="0" applyAlignment="0" applyProtection="0">
      <alignment horizontal="right"/>
    </xf>
    <xf numFmtId="38" fontId="86" fillId="0" borderId="0"/>
    <xf numFmtId="38" fontId="87" fillId="0" borderId="0"/>
    <xf numFmtId="38" fontId="88" fillId="0" borderId="0"/>
    <xf numFmtId="38" fontId="76" fillId="0" borderId="0"/>
    <xf numFmtId="187" fontId="78" fillId="0" borderId="0"/>
    <xf numFmtId="187" fontId="78" fillId="0" borderId="0"/>
    <xf numFmtId="187" fontId="7" fillId="0" borderId="0"/>
    <xf numFmtId="187" fontId="19" fillId="0" borderId="0" applyFont="0" applyFill="0">
      <alignment horizontal="fill"/>
    </xf>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89" fillId="0" borderId="19" applyNumberFormat="0" applyFill="0" applyAlignment="0" applyProtection="0"/>
    <xf numFmtId="0" fontId="90" fillId="0" borderId="12"/>
    <xf numFmtId="216" fontId="78" fillId="0" borderId="0" applyFont="0" applyFill="0" applyBorder="0" applyAlignment="0" applyProtection="0"/>
    <xf numFmtId="217" fontId="78" fillId="0" borderId="0" applyFont="0" applyFill="0" applyBorder="0" applyAlignment="0" applyProtection="0"/>
    <xf numFmtId="0" fontId="91" fillId="29" borderId="0" applyNumberFormat="0" applyBorder="0" applyAlignment="0" applyProtection="0"/>
    <xf numFmtId="177" fontId="10" fillId="0" borderId="0"/>
    <xf numFmtId="177" fontId="10" fillId="0" borderId="0"/>
    <xf numFmtId="0" fontId="10" fillId="0" borderId="0"/>
    <xf numFmtId="0" fontId="7" fillId="30" borderId="20" applyNumberFormat="0" applyFont="0" applyAlignment="0" applyProtection="0"/>
    <xf numFmtId="0" fontId="92" fillId="26" borderId="21" applyNumberFormat="0" applyAlignment="0" applyProtection="0"/>
    <xf numFmtId="40" fontId="93" fillId="31" borderId="0">
      <alignment horizontal="right"/>
    </xf>
    <xf numFmtId="187" fontId="94" fillId="31" borderId="0">
      <alignment horizontal="right"/>
    </xf>
    <xf numFmtId="187" fontId="95" fillId="31" borderId="9"/>
    <xf numFmtId="187" fontId="95" fillId="0" borderId="0" applyBorder="0">
      <alignment horizontal="centerContinuous"/>
    </xf>
    <xf numFmtId="187" fontId="96" fillId="0" borderId="0" applyBorder="0">
      <alignment horizontal="centerContinuous"/>
    </xf>
    <xf numFmtId="208" fontId="7" fillId="0" borderId="0" applyFont="0" applyFill="0" applyBorder="0" applyAlignment="0" applyProtection="0"/>
    <xf numFmtId="191" fontId="7" fillId="0" borderId="0" applyFont="0" applyFill="0" applyBorder="0" applyAlignment="0" applyProtection="0"/>
    <xf numFmtId="9" fontId="17" fillId="0" borderId="0" applyFont="0" applyFill="0" applyBorder="0" applyAlignment="0" applyProtection="0"/>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4" fontId="51" fillId="0" borderId="0" applyFont="0" applyFill="0" applyBorder="0" applyAlignment="0" applyProtection="0"/>
    <xf numFmtId="218" fontId="7" fillId="0" borderId="0" applyFont="0" applyFill="0" applyBorder="0" applyAlignment="0" applyProtection="0"/>
    <xf numFmtId="219" fontId="7" fillId="0" borderId="0" applyFont="0" applyFill="0" applyBorder="0" applyAlignment="0" applyProtection="0"/>
    <xf numFmtId="187" fontId="97" fillId="32" borderId="0" applyNumberFormat="0"/>
    <xf numFmtId="43" fontId="9" fillId="0" borderId="3"/>
    <xf numFmtId="0" fontId="90" fillId="0" borderId="0"/>
    <xf numFmtId="187" fontId="7" fillId="0" borderId="0"/>
    <xf numFmtId="49" fontId="47" fillId="0" borderId="0" applyFill="0" applyBorder="0" applyAlignment="0"/>
    <xf numFmtId="220" fontId="47" fillId="0" borderId="0" applyFill="0" applyBorder="0" applyAlignment="0"/>
    <xf numFmtId="221" fontId="7" fillId="0" borderId="0" applyFill="0" applyBorder="0" applyAlignment="0"/>
    <xf numFmtId="0" fontId="98" fillId="0" borderId="22" applyNumberFormat="0" applyFill="0" applyAlignment="0" applyProtection="0"/>
    <xf numFmtId="222" fontId="7" fillId="0" borderId="0" applyFont="0" applyFill="0" applyBorder="0" applyAlignment="0" applyProtection="0"/>
    <xf numFmtId="223" fontId="7" fillId="0" borderId="0" applyFont="0" applyFill="0" applyBorder="0" applyAlignment="0" applyProtection="0"/>
    <xf numFmtId="224" fontId="19" fillId="0" borderId="0" applyFont="0" applyFill="0" applyBorder="0" applyAlignment="0" applyProtection="0"/>
    <xf numFmtId="225" fontId="19" fillId="0" borderId="0" applyFont="0" applyFill="0" applyBorder="0" applyAlignment="0" applyProtection="0"/>
    <xf numFmtId="0" fontId="99" fillId="0" borderId="0" applyNumberFormat="0" applyFill="0" applyBorder="0" applyAlignment="0" applyProtection="0"/>
    <xf numFmtId="0" fontId="19" fillId="0" borderId="0"/>
    <xf numFmtId="226" fontId="19" fillId="0" borderId="0" applyFont="0" applyFill="0" applyBorder="0" applyAlignment="0" applyProtection="0"/>
    <xf numFmtId="227" fontId="19" fillId="0" borderId="0" applyFont="0" applyFill="0" applyBorder="0" applyAlignment="0" applyProtection="0"/>
    <xf numFmtId="41" fontId="7"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49" fontId="7" fillId="0" borderId="0" applyNumberFormat="0" applyFont="0">
      <alignment horizontal="left"/>
    </xf>
    <xf numFmtId="49" fontId="7" fillId="0" borderId="0" applyNumberFormat="0" applyFont="0" applyBorder="0" applyAlignment="0" applyProtection="0">
      <alignment horizontal="left"/>
      <protection hidden="1"/>
    </xf>
    <xf numFmtId="0" fontId="100" fillId="10" borderId="0" applyNumberFormat="0" applyBorder="0" applyAlignment="0" applyProtection="0">
      <alignment vertical="center"/>
    </xf>
    <xf numFmtId="0" fontId="101" fillId="0" borderId="0">
      <alignment vertical="center"/>
    </xf>
    <xf numFmtId="0" fontId="101" fillId="0" borderId="0">
      <alignment vertical="center"/>
    </xf>
    <xf numFmtId="0" fontId="15" fillId="0" borderId="0"/>
    <xf numFmtId="187" fontId="15" fillId="0" borderId="0"/>
    <xf numFmtId="187" fontId="10" fillId="0" borderId="0">
      <protection locked="0"/>
    </xf>
    <xf numFmtId="187" fontId="15" fillId="0" borderId="0"/>
    <xf numFmtId="0" fontId="13"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187" fontId="13" fillId="0" borderId="0" applyNumberFormat="0" applyFill="0" applyBorder="0" applyAlignment="0" applyProtection="0">
      <alignment vertical="top"/>
      <protection locked="0"/>
    </xf>
    <xf numFmtId="187" fontId="102" fillId="0" borderId="0" applyNumberFormat="0" applyFill="0" applyBorder="0" applyAlignment="0" applyProtection="0"/>
    <xf numFmtId="187" fontId="15" fillId="0" borderId="0" applyFill="0" applyBorder="0" applyAlignment="0"/>
    <xf numFmtId="0" fontId="103" fillId="11" borderId="0" applyNumberFormat="0" applyBorder="0" applyAlignment="0" applyProtection="0">
      <alignment vertical="center"/>
    </xf>
    <xf numFmtId="228" fontId="104" fillId="0" borderId="0" applyFont="0" applyFill="0" applyBorder="0" applyAlignment="0" applyProtection="0"/>
    <xf numFmtId="229" fontId="52" fillId="0" borderId="0" applyFont="0" applyFill="0" applyBorder="0" applyAlignment="0" applyProtection="0"/>
    <xf numFmtId="228" fontId="19" fillId="0" borderId="0" applyFont="0" applyFill="0" applyBorder="0" applyAlignment="0" applyProtection="0"/>
    <xf numFmtId="229"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15" fillId="0" borderId="0" applyFont="0" applyFill="0" applyBorder="0" applyAlignment="0" applyProtection="0"/>
    <xf numFmtId="41" fontId="10" fillId="0" borderId="0" applyFont="0" applyFill="0" applyBorder="0" applyAlignment="0" applyProtection="0"/>
    <xf numFmtId="187" fontId="105" fillId="0" borderId="0" applyNumberFormat="0" applyFill="0" applyBorder="0" applyAlignment="0" applyProtection="0">
      <alignment vertical="top"/>
      <protection locked="0"/>
    </xf>
    <xf numFmtId="187" fontId="106" fillId="33" borderId="2">
      <alignment horizontal="center" vertical="center"/>
    </xf>
    <xf numFmtId="187" fontId="68" fillId="0" borderId="0">
      <protection locked="0"/>
    </xf>
    <xf numFmtId="187" fontId="7" fillId="0" borderId="0"/>
    <xf numFmtId="41" fontId="17" fillId="0" borderId="0" applyFont="0" applyFill="0" applyBorder="0" applyAlignment="0" applyProtection="0"/>
    <xf numFmtId="0" fontId="25" fillId="0" borderId="0"/>
    <xf numFmtId="9" fontId="19" fillId="0" borderId="0" applyFont="0" applyFill="0" applyBorder="0" applyAlignment="0" applyProtection="0"/>
    <xf numFmtId="0" fontId="107" fillId="0" borderId="0" applyFont="0" applyFill="0" applyBorder="0" applyAlignment="0" applyProtection="0"/>
    <xf numFmtId="0" fontId="107" fillId="0" borderId="0" applyFont="0" applyFill="0" applyBorder="0" applyAlignment="0" applyProtection="0"/>
    <xf numFmtId="0" fontId="108" fillId="35" borderId="0" applyNumberFormat="0" applyBorder="0" applyAlignment="0" applyProtection="0">
      <alignment vertical="center"/>
    </xf>
    <xf numFmtId="0" fontId="109" fillId="34" borderId="0" applyNumberFormat="0" applyBorder="0" applyAlignment="0" applyProtection="0">
      <alignment vertical="center"/>
    </xf>
    <xf numFmtId="178" fontId="7" fillId="0" borderId="0" applyFont="0" applyFill="0" applyBorder="0" applyAlignment="0" applyProtection="0"/>
    <xf numFmtId="230" fontId="7" fillId="0" borderId="0" applyFont="0" applyFill="0" applyBorder="0" applyAlignment="0" applyProtection="0"/>
    <xf numFmtId="231" fontId="110" fillId="0" borderId="0" applyFont="0" applyFill="0" applyBorder="0" applyAlignment="0" applyProtection="0"/>
    <xf numFmtId="232" fontId="110" fillId="0" borderId="0" applyFont="0" applyFill="0" applyBorder="0" applyAlignment="0" applyProtection="0"/>
    <xf numFmtId="0" fontId="111" fillId="0" borderId="0"/>
    <xf numFmtId="0" fontId="112" fillId="0" borderId="0"/>
    <xf numFmtId="40" fontId="107" fillId="0" borderId="0" applyFont="0" applyFill="0" applyBorder="0" applyAlignment="0" applyProtection="0"/>
    <xf numFmtId="38" fontId="107" fillId="0" borderId="0" applyFont="0" applyFill="0" applyBorder="0" applyAlignment="0" applyProtection="0"/>
    <xf numFmtId="0" fontId="10" fillId="0" borderId="0">
      <protection locked="0"/>
    </xf>
    <xf numFmtId="187" fontId="3" fillId="0" borderId="0">
      <alignment vertical="center"/>
    </xf>
    <xf numFmtId="0" fontId="10" fillId="0" borderId="0">
      <protection locked="0"/>
    </xf>
    <xf numFmtId="43" fontId="113" fillId="0" borderId="0" applyFont="0" applyFill="0" applyBorder="0" applyAlignment="0" applyProtection="0">
      <alignment vertical="center"/>
    </xf>
    <xf numFmtId="187" fontId="2" fillId="0" borderId="0">
      <alignment vertical="center"/>
    </xf>
    <xf numFmtId="187" fontId="1" fillId="0" borderId="0">
      <alignment vertical="center"/>
    </xf>
    <xf numFmtId="43" fontId="10"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9" fontId="10" fillId="0" borderId="0" applyFont="0" applyFill="0" applyBorder="0" applyAlignment="0" applyProtection="0"/>
  </cellStyleXfs>
  <cellXfs count="165">
    <xf numFmtId="0" fontId="0" fillId="0" borderId="0" xfId="0">
      <protection locked="0"/>
    </xf>
    <xf numFmtId="0" fontId="15" fillId="5" borderId="0" xfId="0" applyFont="1" applyFill="1" applyBorder="1" applyAlignment="1">
      <alignment horizontal="justify" vertical="center" wrapText="1"/>
      <protection locked="0"/>
    </xf>
    <xf numFmtId="0" fontId="16" fillId="0" borderId="0" xfId="0" applyFont="1" applyAlignment="1">
      <alignment vertical="center"/>
      <protection locked="0"/>
    </xf>
    <xf numFmtId="0" fontId="15" fillId="0" borderId="0" xfId="0" applyFont="1" applyAlignment="1">
      <alignment horizontal="center" vertical="center"/>
      <protection locked="0"/>
    </xf>
    <xf numFmtId="0" fontId="20" fillId="0" borderId="0" xfId="0" applyFont="1" applyAlignment="1">
      <alignment vertical="center"/>
      <protection locked="0"/>
    </xf>
    <xf numFmtId="0" fontId="25" fillId="0" borderId="0" xfId="28" applyFont="1" applyBorder="1" applyAlignment="1">
      <alignment vertical="center"/>
      <protection locked="0"/>
    </xf>
    <xf numFmtId="0" fontId="25" fillId="0" borderId="0" xfId="28" applyFont="1" applyAlignment="1">
      <alignment vertical="center" wrapText="1"/>
      <protection locked="0"/>
    </xf>
    <xf numFmtId="0" fontId="29" fillId="0" borderId="0" xfId="28" applyFont="1" applyAlignment="1">
      <alignment vertical="center"/>
      <protection locked="0"/>
    </xf>
    <xf numFmtId="0" fontId="37" fillId="0" borderId="0" xfId="28" applyFont="1" applyAlignment="1">
      <alignment vertical="center"/>
      <protection locked="0"/>
    </xf>
    <xf numFmtId="0" fontId="15" fillId="0" borderId="0" xfId="28" applyFont="1" applyBorder="1" applyAlignment="1">
      <alignment vertical="center"/>
      <protection locked="0"/>
    </xf>
    <xf numFmtId="0" fontId="25" fillId="0" borderId="0" xfId="28" applyFont="1">
      <protection locked="0"/>
    </xf>
    <xf numFmtId="0" fontId="24" fillId="0" borderId="0" xfId="28" applyFont="1">
      <protection locked="0"/>
    </xf>
    <xf numFmtId="0" fontId="25" fillId="0" borderId="0" xfId="28" applyFont="1" applyBorder="1" applyAlignment="1">
      <alignment horizontal="right" vertical="center"/>
      <protection locked="0"/>
    </xf>
    <xf numFmtId="0" fontId="25" fillId="0" borderId="0" xfId="28" applyFont="1" applyBorder="1" applyAlignment="1">
      <alignment vertical="center" wrapText="1"/>
      <protection locked="0"/>
    </xf>
    <xf numFmtId="0" fontId="36" fillId="0" borderId="0" xfId="28" applyFont="1" applyAlignment="1">
      <alignment vertical="center" wrapText="1"/>
      <protection locked="0"/>
    </xf>
    <xf numFmtId="0" fontId="26" fillId="0" borderId="0" xfId="28" applyFont="1" applyBorder="1" applyAlignment="1">
      <alignment vertical="center"/>
      <protection locked="0"/>
    </xf>
    <xf numFmtId="0" fontId="26" fillId="0" borderId="0" xfId="28" applyFont="1" applyBorder="1" applyAlignment="1">
      <alignment horizontal="right" vertical="center"/>
      <protection locked="0"/>
    </xf>
    <xf numFmtId="0" fontId="28" fillId="0" borderId="0" xfId="28" applyFont="1" applyAlignment="1" applyProtection="1">
      <alignment vertical="center"/>
    </xf>
    <xf numFmtId="0" fontId="26" fillId="0" borderId="0" xfId="28" applyFont="1" applyAlignment="1" applyProtection="1">
      <alignment vertical="center"/>
    </xf>
    <xf numFmtId="0" fontId="32" fillId="0" borderId="0" xfId="28" applyFont="1" applyAlignment="1" applyProtection="1">
      <alignment vertical="center"/>
    </xf>
    <xf numFmtId="0" fontId="38" fillId="0" borderId="0" xfId="28" applyFont="1" applyAlignment="1" applyProtection="1">
      <alignment vertical="center"/>
    </xf>
    <xf numFmtId="43" fontId="26" fillId="0" borderId="3" xfId="32" applyFont="1" applyBorder="1" applyAlignment="1">
      <alignment vertical="center"/>
    </xf>
    <xf numFmtId="0" fontId="46" fillId="0" borderId="0" xfId="28" applyFont="1" applyBorder="1" applyAlignment="1" applyProtection="1">
      <alignment vertical="center"/>
    </xf>
    <xf numFmtId="0" fontId="26" fillId="0" borderId="0" xfId="28" applyFont="1" applyBorder="1" applyAlignment="1" applyProtection="1">
      <alignment vertical="center"/>
    </xf>
    <xf numFmtId="0" fontId="32" fillId="0" borderId="0" xfId="28" applyFont="1" applyBorder="1" applyAlignment="1">
      <alignment horizontal="right" vertical="center"/>
      <protection locked="0"/>
    </xf>
    <xf numFmtId="0" fontId="26" fillId="0" borderId="0" xfId="28" applyFont="1" applyAlignment="1" applyProtection="1">
      <alignment horizontal="center" vertical="center"/>
    </xf>
    <xf numFmtId="49" fontId="26" fillId="0" borderId="3" xfId="28" applyNumberFormat="1" applyFont="1" applyBorder="1" applyAlignment="1" applyProtection="1">
      <alignment vertical="center"/>
    </xf>
    <xf numFmtId="43" fontId="26" fillId="0" borderId="3" xfId="83" applyFont="1" applyBorder="1">
      <alignment vertical="center"/>
    </xf>
    <xf numFmtId="43" fontId="26" fillId="0" borderId="0" xfId="32" applyFont="1" applyAlignment="1">
      <alignment vertical="center"/>
    </xf>
    <xf numFmtId="0" fontId="26" fillId="0" borderId="0" xfId="28" applyFont="1" applyAlignment="1" applyProtection="1">
      <alignment horizontal="left" vertical="center"/>
    </xf>
    <xf numFmtId="0" fontId="25" fillId="0" borderId="0" xfId="28" applyFont="1" applyBorder="1">
      <protection locked="0"/>
    </xf>
    <xf numFmtId="0" fontId="28" fillId="0" borderId="0" xfId="28" applyFont="1" applyBorder="1" applyAlignment="1" applyProtection="1">
      <alignment vertical="center"/>
    </xf>
    <xf numFmtId="0" fontId="7" fillId="0" borderId="0" xfId="0" applyFont="1" applyAlignment="1">
      <alignment vertical="center"/>
      <protection locked="0"/>
    </xf>
    <xf numFmtId="0" fontId="21" fillId="0" borderId="0" xfId="0" applyFont="1" applyBorder="1" applyAlignment="1">
      <alignment horizontal="justify" vertical="center" wrapText="1"/>
      <protection locked="0"/>
    </xf>
    <xf numFmtId="0" fontId="20" fillId="0" borderId="0" xfId="0" applyFont="1" applyBorder="1" applyAlignment="1">
      <alignment vertical="center"/>
      <protection locked="0"/>
    </xf>
    <xf numFmtId="0" fontId="23" fillId="0" borderId="0" xfId="0" applyFont="1" applyAlignment="1">
      <alignment horizontal="justify" vertical="center"/>
      <protection locked="0"/>
    </xf>
    <xf numFmtId="0" fontId="18" fillId="0" borderId="0" xfId="0" applyFont="1" applyAlignment="1">
      <alignment horizontal="center" vertical="center"/>
      <protection locked="0"/>
    </xf>
    <xf numFmtId="0" fontId="10" fillId="0" borderId="0" xfId="0" applyFont="1" applyAlignment="1">
      <alignment horizontal="justify" vertical="center"/>
      <protection locked="0"/>
    </xf>
    <xf numFmtId="0" fontId="10" fillId="0" borderId="0" xfId="0" applyFont="1" applyAlignment="1">
      <alignment vertical="center"/>
      <protection locked="0"/>
    </xf>
    <xf numFmtId="0" fontId="27" fillId="0" borderId="0" xfId="28" applyFont="1" applyBorder="1" applyAlignment="1">
      <alignment vertical="center"/>
      <protection locked="0"/>
    </xf>
    <xf numFmtId="0" fontId="28" fillId="36" borderId="3" xfId="28" applyFont="1" applyFill="1" applyBorder="1" applyAlignment="1" applyProtection="1">
      <alignment horizontal="center" vertical="center"/>
    </xf>
    <xf numFmtId="190" fontId="28" fillId="36" borderId="3" xfId="28" applyNumberFormat="1" applyFont="1" applyFill="1" applyBorder="1" applyAlignment="1" applyProtection="1">
      <alignment horizontal="center" vertical="center"/>
    </xf>
    <xf numFmtId="0" fontId="25" fillId="0" borderId="0" xfId="28" applyFont="1" applyBorder="1" applyAlignment="1" applyProtection="1">
      <alignment vertical="center"/>
    </xf>
    <xf numFmtId="0" fontId="26" fillId="0" borderId="25" xfId="28" applyFont="1" applyBorder="1" applyAlignment="1" applyProtection="1">
      <alignment vertical="center"/>
    </xf>
    <xf numFmtId="0" fontId="25" fillId="0" borderId="25" xfId="28" applyFont="1" applyBorder="1">
      <protection locked="0"/>
    </xf>
    <xf numFmtId="0" fontId="28" fillId="0" borderId="25" xfId="28" applyFont="1" applyBorder="1" applyAlignment="1" applyProtection="1">
      <alignment vertical="center"/>
    </xf>
    <xf numFmtId="0" fontId="7" fillId="0" borderId="2" xfId="0" applyFont="1" applyBorder="1" applyAlignment="1">
      <alignment horizontal="center" vertical="center"/>
      <protection locked="0"/>
    </xf>
    <xf numFmtId="0" fontId="13" fillId="0" borderId="2" xfId="31" applyBorder="1" applyAlignment="1">
      <alignment vertical="center"/>
      <protection locked="0"/>
    </xf>
    <xf numFmtId="43" fontId="28" fillId="0" borderId="0" xfId="32" applyFont="1" applyAlignment="1" applyProtection="1">
      <alignment vertical="center"/>
    </xf>
    <xf numFmtId="43" fontId="28" fillId="36" borderId="3" xfId="32" applyFont="1" applyFill="1" applyBorder="1" applyAlignment="1" applyProtection="1">
      <alignment horizontal="center" vertical="center"/>
    </xf>
    <xf numFmtId="43" fontId="38" fillId="0" borderId="0" xfId="32" applyFont="1" applyAlignment="1" applyProtection="1">
      <alignment vertical="center"/>
    </xf>
    <xf numFmtId="0" fontId="15" fillId="5" borderId="0" xfId="0" applyFont="1" applyFill="1" applyBorder="1" applyAlignment="1" applyProtection="1">
      <alignment horizontal="justify" vertical="center" wrapText="1"/>
      <protection locked="0"/>
    </xf>
    <xf numFmtId="0" fontId="10" fillId="0" borderId="0" xfId="0" applyFont="1" applyAlignment="1">
      <alignment horizontal="center" vertical="center"/>
      <protection locked="0"/>
    </xf>
    <xf numFmtId="0" fontId="25" fillId="0" borderId="0" xfId="29" applyFont="1" applyBorder="1" applyAlignment="1">
      <alignment vertical="center" wrapText="1"/>
    </xf>
    <xf numFmtId="0" fontId="24" fillId="0" borderId="0" xfId="29" applyFont="1" applyBorder="1" applyAlignment="1">
      <alignment vertical="center" wrapText="1"/>
    </xf>
    <xf numFmtId="0" fontId="25" fillId="0" borderId="0" xfId="30" applyFont="1" applyBorder="1" applyAlignment="1">
      <alignment vertical="center"/>
    </xf>
    <xf numFmtId="0" fontId="27" fillId="0" borderId="0" xfId="28" applyFont="1" applyBorder="1" applyAlignment="1">
      <alignment vertical="center" wrapText="1"/>
      <protection locked="0"/>
    </xf>
    <xf numFmtId="43" fontId="27" fillId="0" borderId="3" xfId="32" applyFont="1" applyBorder="1" applyAlignment="1" applyProtection="1">
      <alignment horizontal="center" vertical="center" wrapText="1"/>
      <protection locked="0"/>
    </xf>
    <xf numFmtId="0" fontId="28" fillId="0" borderId="3" xfId="28" applyFont="1" applyBorder="1" applyAlignment="1">
      <alignment horizontal="centerContinuous" vertical="center"/>
      <protection locked="0"/>
    </xf>
    <xf numFmtId="0" fontId="25" fillId="0" borderId="3" xfId="28" quotePrefix="1" applyFont="1" applyBorder="1" applyAlignment="1">
      <alignment horizontal="center" vertical="center" wrapText="1"/>
      <protection locked="0"/>
    </xf>
    <xf numFmtId="0" fontId="25" fillId="0" borderId="0" xfId="28" applyFont="1" applyBorder="1" applyAlignment="1">
      <alignment horizontal="center" vertical="center" wrapText="1"/>
      <protection locked="0"/>
    </xf>
    <xf numFmtId="0" fontId="25" fillId="0" borderId="0" xfId="28" applyFont="1" applyBorder="1" applyAlignment="1">
      <alignment horizontal="left" vertical="center" wrapText="1"/>
      <protection locked="0"/>
    </xf>
    <xf numFmtId="0" fontId="27" fillId="0" borderId="0" xfId="28" applyFont="1" applyBorder="1" applyAlignment="1">
      <alignment horizontal="left" vertical="center" wrapText="1"/>
      <protection locked="0"/>
    </xf>
    <xf numFmtId="43" fontId="27" fillId="0" borderId="0" xfId="32" applyFont="1" applyBorder="1" applyAlignment="1" applyProtection="1">
      <alignment horizontal="center" vertical="center" wrapText="1"/>
      <protection locked="0"/>
    </xf>
    <xf numFmtId="0" fontId="46" fillId="0" borderId="0" xfId="28" applyFont="1" applyBorder="1" applyAlignment="1">
      <alignment vertical="center"/>
      <protection locked="0"/>
    </xf>
    <xf numFmtId="0" fontId="29" fillId="0" borderId="0" xfId="28" applyFont="1" applyBorder="1" applyAlignment="1">
      <alignment vertical="center" wrapText="1"/>
      <protection locked="0"/>
    </xf>
    <xf numFmtId="0" fontId="29" fillId="0" borderId="0" xfId="28" applyFont="1" applyBorder="1" applyAlignment="1">
      <alignment vertical="center"/>
      <protection locked="0"/>
    </xf>
    <xf numFmtId="0" fontId="28" fillId="0" borderId="0" xfId="28" applyFont="1" applyFill="1" applyBorder="1" applyAlignment="1">
      <alignment horizontal="center" vertical="center"/>
      <protection locked="0"/>
    </xf>
    <xf numFmtId="43" fontId="27" fillId="0" borderId="0" xfId="32" applyFont="1" applyFill="1" applyBorder="1" applyAlignment="1" applyProtection="1">
      <alignment horizontal="center" vertical="center" wrapText="1"/>
      <protection locked="0"/>
    </xf>
    <xf numFmtId="10" fontId="27" fillId="0" borderId="0" xfId="619" applyNumberFormat="1" applyFont="1" applyFill="1" applyBorder="1" applyAlignment="1" applyProtection="1">
      <alignment horizontal="center" vertical="center" wrapText="1"/>
      <protection locked="0"/>
    </xf>
    <xf numFmtId="0" fontId="28" fillId="0" borderId="25" xfId="28" applyFont="1" applyFill="1" applyBorder="1" applyAlignment="1">
      <alignment horizontal="center" vertical="center"/>
      <protection locked="0"/>
    </xf>
    <xf numFmtId="43" fontId="27" fillId="0" borderId="25" xfId="32" applyFont="1" applyFill="1" applyBorder="1" applyAlignment="1" applyProtection="1">
      <alignment horizontal="center" vertical="center" wrapText="1"/>
      <protection locked="0"/>
    </xf>
    <xf numFmtId="10" fontId="27" fillId="0" borderId="25" xfId="619" applyNumberFormat="1" applyFont="1" applyFill="1" applyBorder="1" applyAlignment="1" applyProtection="1">
      <alignment horizontal="center" vertical="center" wrapText="1"/>
      <protection locked="0"/>
    </xf>
    <xf numFmtId="0" fontId="25" fillId="0" borderId="28" xfId="28" quotePrefix="1" applyFont="1" applyFill="1" applyBorder="1" applyAlignment="1">
      <alignment horizontal="center" vertical="center" wrapText="1"/>
      <protection locked="0"/>
    </xf>
    <xf numFmtId="0" fontId="25" fillId="0" borderId="29" xfId="28" quotePrefix="1" applyFont="1" applyFill="1" applyBorder="1" applyAlignment="1">
      <alignment horizontal="center" vertical="center" wrapText="1"/>
      <protection locked="0"/>
    </xf>
    <xf numFmtId="0" fontId="28" fillId="0" borderId="4" xfId="28" applyFont="1" applyFill="1" applyBorder="1" applyAlignment="1">
      <alignment horizontal="center" vertical="center"/>
      <protection locked="0"/>
    </xf>
    <xf numFmtId="0" fontId="28" fillId="0" borderId="23" xfId="28" applyFont="1" applyFill="1" applyBorder="1" applyAlignment="1">
      <alignment horizontal="center" vertical="center"/>
      <protection locked="0"/>
    </xf>
    <xf numFmtId="43" fontId="27" fillId="0" borderId="23" xfId="32" applyFont="1" applyFill="1" applyBorder="1" applyAlignment="1" applyProtection="1">
      <alignment horizontal="center" vertical="center" wrapText="1"/>
      <protection locked="0"/>
    </xf>
    <xf numFmtId="10" fontId="27" fillId="0" borderId="23" xfId="619" applyNumberFormat="1" applyFont="1" applyFill="1" applyBorder="1" applyAlignment="1" applyProtection="1">
      <alignment horizontal="center" vertical="center" wrapText="1"/>
      <protection locked="0"/>
    </xf>
    <xf numFmtId="0" fontId="25" fillId="0" borderId="30" xfId="28" quotePrefix="1" applyFont="1" applyFill="1" applyBorder="1" applyAlignment="1">
      <alignment horizontal="center" vertical="center" wrapText="1"/>
      <protection locked="0"/>
    </xf>
    <xf numFmtId="0" fontId="46" fillId="0" borderId="0" xfId="28" applyFont="1" applyBorder="1" applyAlignment="1">
      <alignment vertical="center" wrapText="1"/>
      <protection locked="0"/>
    </xf>
    <xf numFmtId="0" fontId="42" fillId="0" borderId="0" xfId="28" applyFont="1" applyBorder="1" applyAlignment="1">
      <alignment vertical="center" wrapText="1"/>
      <protection locked="0"/>
    </xf>
    <xf numFmtId="10" fontId="25" fillId="0" borderId="0" xfId="619" applyNumberFormat="1" applyFont="1" applyFill="1" applyBorder="1" applyAlignment="1" applyProtection="1">
      <alignment horizontal="center" vertical="center" wrapText="1"/>
      <protection locked="0"/>
    </xf>
    <xf numFmtId="0" fontId="15" fillId="0" borderId="0" xfId="28" applyFont="1">
      <protection locked="0"/>
    </xf>
    <xf numFmtId="0" fontId="42" fillId="0" borderId="0" xfId="28" applyFont="1">
      <protection locked="0"/>
    </xf>
    <xf numFmtId="0" fontId="114" fillId="0" borderId="0" xfId="28" applyFont="1" applyAlignment="1">
      <alignment vertical="center"/>
      <protection locked="0"/>
    </xf>
    <xf numFmtId="0" fontId="27" fillId="36" borderId="3" xfId="28" applyFont="1" applyFill="1" applyBorder="1" applyAlignment="1">
      <alignment horizontal="center" vertical="center" wrapText="1"/>
      <protection locked="0"/>
    </xf>
    <xf numFmtId="0" fontId="15" fillId="0" borderId="3" xfId="28" quotePrefix="1" applyFont="1" applyBorder="1" applyAlignment="1">
      <alignment horizontal="center" vertical="center" wrapText="1"/>
      <protection locked="0"/>
    </xf>
    <xf numFmtId="0" fontId="27" fillId="0" borderId="26" xfId="0" applyFont="1" applyFill="1" applyBorder="1" applyAlignment="1">
      <alignment vertical="center"/>
      <protection locked="0"/>
    </xf>
    <xf numFmtId="0" fontId="115" fillId="0" borderId="27" xfId="28" applyFont="1" applyFill="1" applyBorder="1" applyAlignment="1">
      <alignment horizontal="left" vertical="center"/>
      <protection locked="0"/>
    </xf>
    <xf numFmtId="0" fontId="27" fillId="0" borderId="26" xfId="0" applyFont="1" applyFill="1" applyBorder="1" applyAlignment="1">
      <alignment horizontal="left" vertical="center"/>
      <protection locked="0"/>
    </xf>
    <xf numFmtId="43" fontId="25" fillId="0" borderId="3" xfId="32" applyFont="1" applyBorder="1" applyAlignment="1" applyProtection="1">
      <alignment horizontal="center" vertical="center" wrapText="1"/>
      <protection locked="0"/>
    </xf>
    <xf numFmtId="43" fontId="25" fillId="0" borderId="3" xfId="32" applyFont="1" applyBorder="1" applyAlignment="1" applyProtection="1">
      <alignment horizontal="right" vertical="center" wrapText="1"/>
      <protection locked="0"/>
    </xf>
    <xf numFmtId="10" fontId="25" fillId="0" borderId="3" xfId="27" applyNumberFormat="1" applyFont="1" applyBorder="1" applyAlignment="1" applyProtection="1">
      <alignment horizontal="right" vertical="center" wrapText="1"/>
      <protection locked="0"/>
    </xf>
    <xf numFmtId="10" fontId="25" fillId="0" borderId="0" xfId="27" applyNumberFormat="1" applyFont="1" applyBorder="1" applyAlignment="1" applyProtection="1">
      <alignment horizontal="right" vertical="center" wrapText="1"/>
      <protection locked="0"/>
    </xf>
    <xf numFmtId="43" fontId="15" fillId="0" borderId="3" xfId="32" applyFont="1" applyBorder="1" applyAlignment="1" applyProtection="1">
      <alignment horizontal="center" vertical="center" wrapText="1"/>
      <protection locked="0"/>
    </xf>
    <xf numFmtId="43" fontId="25" fillId="0" borderId="3" xfId="32" applyNumberFormat="1" applyFont="1" applyBorder="1" applyAlignment="1" applyProtection="1">
      <alignment horizontal="center" vertical="center" wrapText="1"/>
      <protection locked="0"/>
    </xf>
    <xf numFmtId="0" fontId="25" fillId="0" borderId="3" xfId="28" applyFont="1" applyBorder="1" applyAlignment="1">
      <alignment vertical="center" wrapText="1"/>
      <protection locked="0"/>
    </xf>
    <xf numFmtId="43" fontId="25" fillId="0" borderId="3" xfId="32" applyFont="1" applyBorder="1" applyAlignment="1" applyProtection="1">
      <alignment horizontal="left" vertical="center" wrapText="1"/>
      <protection locked="0"/>
    </xf>
    <xf numFmtId="43" fontId="25" fillId="0" borderId="3" xfId="32" applyFont="1" applyBorder="1" applyAlignment="1" applyProtection="1">
      <alignment vertical="center" wrapText="1"/>
      <protection locked="0"/>
    </xf>
    <xf numFmtId="10" fontId="25" fillId="36" borderId="3" xfId="619" applyNumberFormat="1" applyFont="1" applyFill="1" applyBorder="1" applyAlignment="1" applyProtection="1">
      <alignment horizontal="center" vertical="center" wrapText="1"/>
      <protection locked="0"/>
    </xf>
    <xf numFmtId="43" fontId="27" fillId="36" borderId="3" xfId="32" applyFont="1" applyFill="1" applyBorder="1" applyAlignment="1" applyProtection="1">
      <alignment horizontal="center" vertical="center" wrapText="1"/>
      <protection locked="0"/>
    </xf>
    <xf numFmtId="10" fontId="27" fillId="36" borderId="3" xfId="619" applyNumberFormat="1" applyFont="1" applyFill="1" applyBorder="1" applyAlignment="1" applyProtection="1">
      <alignment horizontal="center" vertical="center" wrapText="1"/>
      <protection locked="0"/>
    </xf>
    <xf numFmtId="233" fontId="25" fillId="36" borderId="3" xfId="619" applyNumberFormat="1" applyFont="1" applyFill="1" applyBorder="1" applyAlignment="1" applyProtection="1">
      <alignment horizontal="center" vertical="center" wrapText="1"/>
      <protection locked="0"/>
    </xf>
    <xf numFmtId="43" fontId="32" fillId="0" borderId="7" xfId="28" applyNumberFormat="1" applyFont="1" applyBorder="1" applyAlignment="1">
      <alignment vertical="center"/>
      <protection locked="0"/>
    </xf>
    <xf numFmtId="0" fontId="26" fillId="0" borderId="5" xfId="28" applyFont="1" applyBorder="1" applyAlignment="1">
      <alignment vertical="center"/>
      <protection locked="0"/>
    </xf>
    <xf numFmtId="49" fontId="32" fillId="0" borderId="3" xfId="28" applyNumberFormat="1" applyFont="1" applyBorder="1" applyAlignment="1" applyProtection="1">
      <alignment vertical="center"/>
    </xf>
    <xf numFmtId="43" fontId="26" fillId="36" borderId="3" xfId="32" applyFont="1" applyFill="1" applyBorder="1" applyAlignment="1">
      <alignment vertical="center"/>
    </xf>
    <xf numFmtId="43" fontId="28" fillId="36" borderId="3" xfId="32" applyFont="1" applyFill="1" applyBorder="1" applyAlignment="1">
      <alignment vertical="center"/>
    </xf>
    <xf numFmtId="10" fontId="28" fillId="36" borderId="3" xfId="27" applyNumberFormat="1" applyFont="1" applyFill="1" applyBorder="1" applyAlignment="1">
      <alignment vertical="center"/>
    </xf>
    <xf numFmtId="10" fontId="26" fillId="36" borderId="3" xfId="27" applyNumberFormat="1" applyFont="1" applyFill="1" applyBorder="1" applyAlignment="1">
      <alignment vertical="center"/>
    </xf>
    <xf numFmtId="234" fontId="26" fillId="36" borderId="3" xfId="32" applyNumberFormat="1" applyFont="1" applyFill="1" applyBorder="1" applyAlignment="1" applyProtection="1">
      <alignment horizontal="left" vertical="center"/>
    </xf>
    <xf numFmtId="235" fontId="26" fillId="36" borderId="3" xfId="32" applyNumberFormat="1" applyFont="1" applyFill="1" applyBorder="1" applyAlignment="1" applyProtection="1">
      <alignment horizontal="left" vertical="center"/>
    </xf>
    <xf numFmtId="49" fontId="26" fillId="36" borderId="3" xfId="32" applyNumberFormat="1" applyFont="1" applyFill="1" applyBorder="1" applyAlignment="1" applyProtection="1">
      <alignment vertical="center"/>
    </xf>
    <xf numFmtId="0" fontId="26" fillId="36" borderId="3" xfId="32" applyNumberFormat="1" applyFont="1" applyFill="1" applyBorder="1" applyAlignment="1" applyProtection="1">
      <alignment horizontal="left" vertical="center"/>
    </xf>
    <xf numFmtId="43" fontId="26" fillId="36" borderId="3" xfId="32" applyFont="1" applyFill="1" applyBorder="1" applyAlignment="1" applyProtection="1">
      <alignment horizontal="center" vertical="center"/>
    </xf>
    <xf numFmtId="190" fontId="26" fillId="36" borderId="3" xfId="28" applyNumberFormat="1" applyFont="1" applyFill="1" applyBorder="1" applyAlignment="1" applyProtection="1">
      <alignment horizontal="center" vertical="center"/>
    </xf>
    <xf numFmtId="0" fontId="26" fillId="36" borderId="3" xfId="28" applyFont="1" applyFill="1" applyBorder="1" applyAlignment="1" applyProtection="1">
      <alignment horizontal="center" vertical="center"/>
    </xf>
    <xf numFmtId="0" fontId="114" fillId="0" borderId="0" xfId="28" applyFont="1" applyBorder="1" applyAlignment="1">
      <alignment vertical="center"/>
      <protection locked="0"/>
    </xf>
    <xf numFmtId="0" fontId="24" fillId="0" borderId="0" xfId="50" applyFont="1">
      <alignment vertical="center"/>
    </xf>
    <xf numFmtId="0" fontId="24" fillId="0" borderId="0" xfId="50" applyFont="1" applyFill="1">
      <alignment vertical="center"/>
    </xf>
    <xf numFmtId="0" fontId="25" fillId="0" borderId="0" xfId="50" applyFont="1" applyFill="1" applyBorder="1" applyAlignment="1">
      <alignment horizontal="left" vertical="center"/>
    </xf>
    <xf numFmtId="0" fontId="25" fillId="0" borderId="0" xfId="50" applyFont="1" applyFill="1" applyBorder="1" applyAlignment="1">
      <alignment horizontal="center" vertical="center"/>
    </xf>
    <xf numFmtId="0" fontId="25" fillId="0" borderId="0" xfId="50" applyFont="1" applyFill="1" applyBorder="1" applyAlignment="1">
      <alignment vertical="center"/>
    </xf>
    <xf numFmtId="14" fontId="25" fillId="0" borderId="0" xfId="50" applyNumberFormat="1" applyFont="1" applyFill="1" applyBorder="1" applyAlignment="1">
      <alignment vertical="center"/>
    </xf>
    <xf numFmtId="0" fontId="27" fillId="36" borderId="3" xfId="50" applyFont="1" applyFill="1" applyBorder="1" applyAlignment="1">
      <alignment horizontal="centerContinuous" vertical="center"/>
    </xf>
    <xf numFmtId="0" fontId="27" fillId="36" borderId="3" xfId="50" applyFont="1" applyFill="1" applyBorder="1" applyAlignment="1">
      <alignment horizontal="center" vertical="center" wrapText="1"/>
    </xf>
    <xf numFmtId="0" fontId="15" fillId="0" borderId="3" xfId="50" applyFont="1" applyBorder="1">
      <alignment vertical="center"/>
    </xf>
    <xf numFmtId="233" fontId="25" fillId="0" borderId="3" xfId="50" applyNumberFormat="1" applyFont="1" applyBorder="1">
      <alignment vertical="center"/>
    </xf>
    <xf numFmtId="43" fontId="25" fillId="36" borderId="3" xfId="32" applyFont="1" applyFill="1" applyBorder="1" applyAlignment="1">
      <alignment vertical="center"/>
    </xf>
    <xf numFmtId="43" fontId="25" fillId="0" borderId="3" xfId="32" applyFont="1" applyFill="1" applyBorder="1" applyAlignment="1">
      <alignment vertical="center"/>
    </xf>
    <xf numFmtId="10" fontId="25" fillId="36" borderId="3" xfId="32" applyNumberFormat="1" applyFont="1" applyFill="1" applyBorder="1" applyAlignment="1">
      <alignment vertical="center"/>
    </xf>
    <xf numFmtId="0" fontId="15" fillId="0" borderId="3" xfId="50" applyFont="1" applyBorder="1" applyAlignment="1">
      <alignment horizontal="center" vertical="center"/>
    </xf>
    <xf numFmtId="0" fontId="25" fillId="0" borderId="3" xfId="50" applyFont="1" applyBorder="1" applyAlignment="1">
      <alignment horizontal="center" vertical="center"/>
    </xf>
    <xf numFmtId="0" fontId="25" fillId="0" borderId="3" xfId="50" applyFont="1" applyBorder="1">
      <alignment vertical="center"/>
    </xf>
    <xf numFmtId="0" fontId="35" fillId="0" borderId="0" xfId="50" applyFont="1">
      <alignment vertical="center"/>
    </xf>
    <xf numFmtId="0" fontId="46" fillId="0" borderId="0" xfId="28" applyFont="1" applyBorder="1" applyAlignment="1" applyProtection="1">
      <alignment horizontal="left" vertical="center"/>
    </xf>
    <xf numFmtId="0" fontId="46" fillId="0" borderId="0" xfId="50" applyFont="1" applyAlignment="1">
      <alignment horizontal="left" vertical="center"/>
    </xf>
    <xf numFmtId="0" fontId="7" fillId="0" borderId="0" xfId="0" applyFont="1" applyBorder="1" applyAlignment="1">
      <alignment horizontal="center" vertical="center"/>
      <protection locked="0"/>
    </xf>
    <xf numFmtId="0" fontId="13" fillId="0" borderId="0" xfId="31" applyBorder="1" applyAlignment="1">
      <alignment vertical="center"/>
      <protection locked="0"/>
    </xf>
    <xf numFmtId="0" fontId="29" fillId="0" borderId="0" xfId="31" applyFont="1" applyBorder="1" applyAlignment="1">
      <alignment vertical="center"/>
      <protection locked="0"/>
    </xf>
    <xf numFmtId="0" fontId="29" fillId="0" borderId="0" xfId="31" applyFont="1" applyFill="1" applyBorder="1" applyAlignment="1" applyProtection="1">
      <alignment vertical="center"/>
    </xf>
    <xf numFmtId="0" fontId="122" fillId="0" borderId="2" xfId="31" applyFont="1" applyBorder="1" applyAlignment="1">
      <alignment vertical="center"/>
      <protection locked="0"/>
    </xf>
    <xf numFmtId="0" fontId="37" fillId="0" borderId="0" xfId="28" applyFont="1" applyBorder="1" applyAlignment="1">
      <alignment vertical="center" wrapText="1"/>
      <protection locked="0"/>
    </xf>
    <xf numFmtId="0" fontId="15" fillId="0" borderId="0" xfId="50" applyFont="1">
      <alignment vertical="center"/>
    </xf>
    <xf numFmtId="0" fontId="25" fillId="0" borderId="2" xfId="0" applyFont="1" applyBorder="1" applyAlignment="1">
      <alignment horizontal="center" vertical="center"/>
      <protection locked="0"/>
    </xf>
    <xf numFmtId="0" fontId="15" fillId="0" borderId="0" xfId="0" applyFont="1" applyBorder="1" applyAlignment="1">
      <alignment horizontal="center" vertical="center"/>
      <protection locked="0"/>
    </xf>
    <xf numFmtId="0" fontId="7" fillId="0" borderId="0" xfId="0" applyFont="1" applyAlignment="1">
      <alignment horizontal="center" vertical="center"/>
      <protection locked="0"/>
    </xf>
    <xf numFmtId="43" fontId="25" fillId="0" borderId="3" xfId="32" applyFont="1" applyFill="1" applyBorder="1" applyAlignment="1" applyProtection="1">
      <alignment horizontal="center" vertical="center" wrapText="1"/>
      <protection locked="0"/>
    </xf>
    <xf numFmtId="0" fontId="27" fillId="36" borderId="3" xfId="28" applyFont="1" applyFill="1" applyBorder="1" applyAlignment="1">
      <alignment horizontal="center" vertical="center" wrapText="1"/>
      <protection locked="0"/>
    </xf>
    <xf numFmtId="0" fontId="27" fillId="36" borderId="24" xfId="28" applyFont="1" applyFill="1" applyBorder="1" applyAlignment="1">
      <alignment horizontal="center" vertical="center" wrapText="1"/>
      <protection locked="0"/>
    </xf>
    <xf numFmtId="0" fontId="27" fillId="36" borderId="8" xfId="28" applyFont="1" applyFill="1" applyBorder="1" applyAlignment="1">
      <alignment horizontal="center" vertical="center" wrapText="1"/>
      <protection locked="0"/>
    </xf>
    <xf numFmtId="0" fontId="25" fillId="0" borderId="3" xfId="28" applyFont="1" applyBorder="1" applyAlignment="1">
      <alignment horizontal="left" vertical="center" wrapText="1"/>
      <protection locked="0"/>
    </xf>
    <xf numFmtId="0" fontId="27" fillId="36" borderId="7" xfId="28" applyFont="1" applyFill="1" applyBorder="1" applyAlignment="1">
      <alignment horizontal="center" vertical="center" wrapText="1"/>
      <protection locked="0"/>
    </xf>
    <xf numFmtId="0" fontId="27" fillId="36" borderId="5" xfId="28" applyFont="1" applyFill="1" applyBorder="1" applyAlignment="1">
      <alignment horizontal="center" vertical="center" wrapText="1"/>
      <protection locked="0"/>
    </xf>
    <xf numFmtId="0" fontId="25" fillId="0" borderId="0" xfId="28" applyFont="1" applyBorder="1" applyAlignment="1">
      <alignment horizontal="left" vertical="center" wrapText="1"/>
      <protection locked="0"/>
    </xf>
    <xf numFmtId="0" fontId="16" fillId="0" borderId="0" xfId="29" applyFont="1" applyBorder="1" applyAlignment="1">
      <alignment horizontal="center" vertical="center" wrapText="1"/>
    </xf>
    <xf numFmtId="0" fontId="120" fillId="0" borderId="0" xfId="29" applyFont="1" applyBorder="1" applyAlignment="1">
      <alignment horizontal="center" vertical="center" wrapText="1"/>
    </xf>
    <xf numFmtId="14" fontId="27" fillId="36" borderId="3" xfId="28" applyNumberFormat="1" applyFont="1" applyFill="1" applyBorder="1" applyAlignment="1">
      <alignment horizontal="center" vertical="center" wrapText="1"/>
      <protection locked="0"/>
    </xf>
    <xf numFmtId="0" fontId="40" fillId="0" borderId="0" xfId="29" applyFont="1" applyAlignment="1">
      <alignment horizontal="center" vertical="center" wrapText="1"/>
    </xf>
    <xf numFmtId="0" fontId="121" fillId="0" borderId="0" xfId="29" applyFont="1" applyAlignment="1">
      <alignment horizontal="center" vertical="center" wrapText="1"/>
    </xf>
    <xf numFmtId="0" fontId="16" fillId="0" borderId="0" xfId="50" applyFont="1" applyAlignment="1">
      <alignment horizontal="center" vertical="center"/>
    </xf>
    <xf numFmtId="0" fontId="120" fillId="0" borderId="0" xfId="50" applyFont="1" applyFill="1" applyBorder="1" applyAlignment="1">
      <alignment horizontal="center" vertical="center"/>
    </xf>
    <xf numFmtId="0" fontId="27" fillId="36" borderId="3" xfId="50" applyFont="1" applyFill="1" applyBorder="1" applyAlignment="1">
      <alignment horizontal="center" vertical="center" wrapText="1"/>
    </xf>
    <xf numFmtId="0" fontId="35" fillId="36" borderId="3" xfId="50" applyFont="1" applyFill="1" applyBorder="1" applyAlignment="1">
      <alignment horizontal="center" vertical="center" wrapText="1"/>
    </xf>
  </cellXfs>
  <cellStyles count="620">
    <cellStyle name="%" xfId="189"/>
    <cellStyle name="(0)" xfId="190"/>
    <cellStyle name="?" xfId="1"/>
    <cellStyle name="? 2" xfId="191"/>
    <cellStyle name="??" xfId="192"/>
    <cellStyle name="?餡_x000c_k" xfId="86"/>
    <cellStyle name="?餡_x000c_k?_x000d_^" xfId="87"/>
    <cellStyle name="?餡_x000c_k?_x000d_^黇_x0001_??_x0007__x0001__x0001_" xfId="88"/>
    <cellStyle name="@_text" xfId="2"/>
    <cellStyle name="@_text_050302.Becker 2004.TB and Cash flow.JZ" xfId="193"/>
    <cellStyle name="@_text_061219..Valin.Disclosure package.ry.v2" xfId="194"/>
    <cellStyle name="@_text_Disclosure" xfId="195"/>
    <cellStyle name="@_text_Long term payables" xfId="196"/>
    <cellStyle name="@_text_Sheet1" xfId="197"/>
    <cellStyle name="@_text_Sheet1_Long term payables" xfId="198"/>
    <cellStyle name="@_text_Sheet3" xfId="199"/>
    <cellStyle name="@_text_Sheet4" xfId="200"/>
    <cellStyle name="@_text_Sheet6" xfId="201"/>
    <cellStyle name="@_text_Sheet7" xfId="202"/>
    <cellStyle name="@_text_涟钢" xfId="203"/>
    <cellStyle name="@_text_湘钢" xfId="204"/>
    <cellStyle name="_(中企华)审计评估联合申报明细表.V1" xfId="205"/>
    <cellStyle name="_005.v9" xfId="206"/>
    <cellStyle name="_005.v9_070124.valin.loudi.disclosure notes-other op" xfId="207"/>
    <cellStyle name="_005.v9_Sheet1" xfId="208"/>
    <cellStyle name="_005.v9_财务费用" xfId="209"/>
    <cellStyle name="_005.v9_存货" xfId="210"/>
    <cellStyle name="_005.v9_短期借款" xfId="211"/>
    <cellStyle name="_005.v9_货币资金" xfId="212"/>
    <cellStyle name="_005.v9_连轧管.报表披露(中文）2package" xfId="213"/>
    <cellStyle name="_005.v9_连轧管.报表披露(中文）package" xfId="214"/>
    <cellStyle name="_005.v9_请修改正副本华菱钢管合并国贸 报表披露 package" xfId="215"/>
    <cellStyle name="_005.v9_销售科" xfId="216"/>
    <cellStyle name="_005.v9_一年内到期长期负债" xfId="217"/>
    <cellStyle name="_005.v9_长期借款" xfId="218"/>
    <cellStyle name="_051231.CTE SH.023" xfId="219"/>
    <cellStyle name="_051231.CTE SH.023_061219..Valin.Disclosure package.ry.v2" xfId="220"/>
    <cellStyle name="_051231.CTE SH.023_061219..Valin.Disclosure package.ry.v2_1" xfId="221"/>
    <cellStyle name="_051231.CTE SH.023_061219..Valin.Disclosure package.ry.v2_Book2" xfId="222"/>
    <cellStyle name="_051231.CTE SH.023_070124.valin.consol.after interco elimination" xfId="223"/>
    <cellStyle name="_051231.CTE SH.023_2006" xfId="224"/>
    <cellStyle name="_051231.CTE SH.023_consol disclosure-final" xfId="225"/>
    <cellStyle name="_051231.CTE SH.023_非正常性损益表" xfId="226"/>
    <cellStyle name="_051231.CTE SH.023_连轧管.报表披露(中文）package" xfId="227"/>
    <cellStyle name="_060410.MMXM.AR,stock,sales,tax updated" xfId="228"/>
    <cellStyle name="_060417.Allied.cut off" xfId="229"/>
    <cellStyle name="_060930 valin-ez" xfId="230"/>
    <cellStyle name="_060930 valin-ez_070124.valin.loudi.disclosure notes-other op" xfId="231"/>
    <cellStyle name="_060930 valin-ez_Sheet1" xfId="232"/>
    <cellStyle name="_060930 valin-ez_财务费用" xfId="233"/>
    <cellStyle name="_060930 valin-ez_存货" xfId="234"/>
    <cellStyle name="_060930 valin-ez_短期借款" xfId="235"/>
    <cellStyle name="_060930 valin-ez_货币资金" xfId="236"/>
    <cellStyle name="_060930 valin-ez_连轧管.报表披露(中文）2package" xfId="237"/>
    <cellStyle name="_060930 valin-ez_连轧管.报表披露(中文）package" xfId="238"/>
    <cellStyle name="_060930 valin-ez_请修改正副本华菱钢管合并国贸 报表披露 package" xfId="239"/>
    <cellStyle name="_060930 valin-ez_一年内到期长期负债" xfId="240"/>
    <cellStyle name="_060930 valin-ez_长期借款" xfId="241"/>
    <cellStyle name="_061118.valin.K.hardclose" xfId="242"/>
    <cellStyle name="_061118.valin-XG.O.hardclose" xfId="243"/>
    <cellStyle name="_061119.valin.Q.hardclose" xfId="244"/>
    <cellStyle name="_0612.连轧管.Q section.taxation" xfId="245"/>
    <cellStyle name="_0612.连轧管.Q section.taxation_070124.valin.loudi.disclosure notes-other op" xfId="246"/>
    <cellStyle name="_0612.连轧管.Q section.taxation_Sheet1" xfId="247"/>
    <cellStyle name="_0612.连轧管.Q section.taxation_财务费用" xfId="248"/>
    <cellStyle name="_0612.连轧管.Q section.taxation_存货" xfId="249"/>
    <cellStyle name="_0612.连轧管.Q section.taxation_短期借款" xfId="250"/>
    <cellStyle name="_0612.连轧管.Q section.taxation_货币资金" xfId="251"/>
    <cellStyle name="_0612.连轧管.Q section.taxation_连轧管.报表披露(中文）2package" xfId="252"/>
    <cellStyle name="_0612.连轧管.Q section.taxation_连轧管.报表披露(中文）package" xfId="253"/>
    <cellStyle name="_0612.连轧管.Q section.taxation_请修改正副本华菱钢管合并国贸 报表披露 package" xfId="254"/>
    <cellStyle name="_0612.连轧管.Q section.taxation_一年内到期长期负债" xfId="255"/>
    <cellStyle name="_0612.连轧管.Q section.taxation_长期借款" xfId="256"/>
    <cellStyle name="_061204.Valin Info.Spreadsheet" xfId="257"/>
    <cellStyle name="_061214.Valin.XX.sales.tax.tw" xfId="258"/>
    <cellStyle name="_061214.Valin.XX.sales.tax.tw_070124.valin.loudi.disclosure notes-other op" xfId="259"/>
    <cellStyle name="_061214.Valin.XX.sales.tax.tw_Sheet1" xfId="260"/>
    <cellStyle name="_061214.Valin.XX.sales.tax.tw_财务费用" xfId="261"/>
    <cellStyle name="_061214.Valin.XX.sales.tax.tw_存货" xfId="262"/>
    <cellStyle name="_061214.Valin.XX.sales.tax.tw_短期借款" xfId="263"/>
    <cellStyle name="_061214.Valin.XX.sales.tax.tw_货币资金" xfId="264"/>
    <cellStyle name="_061214.Valin.XX.sales.tax.tw_连轧管.报表披露(中文）2package" xfId="265"/>
    <cellStyle name="_061214.Valin.XX.sales.tax.tw_连轧管.报表披露(中文）package" xfId="266"/>
    <cellStyle name="_061214.Valin.XX.sales.tax.tw_请修改正副本华菱钢管合并国贸 报表披露 package" xfId="267"/>
    <cellStyle name="_061214.Valin.XX.sales.tax.tw_一年内到期长期负债" xfId="268"/>
    <cellStyle name="_061214.Valin.XX.sales.tax.tw_长期借款" xfId="269"/>
    <cellStyle name="_2005审计报表及附注-中国建材股份模板（房屋）" xfId="89"/>
    <cellStyle name="_2006年年报审计PBC表-XXX" xfId="90"/>
    <cellStyle name="_2006年年报审计填报资料" xfId="91"/>
    <cellStyle name="_50存货移动表" xfId="270"/>
    <cellStyle name="_Book1" xfId="92"/>
    <cellStyle name="_Disclosure" xfId="271"/>
    <cellStyle name="_Exchange rate adj" xfId="272"/>
    <cellStyle name="_exp&amp;loan Disclosure format" xfId="273"/>
    <cellStyle name="_HY exp disclousure" xfId="274"/>
    <cellStyle name="_HY exp disclousure_070124.valin.loudi.disclosure notes-other op" xfId="275"/>
    <cellStyle name="_HY exp disclousure_Sheet1" xfId="276"/>
    <cellStyle name="_HY exp disclousure_财务费用" xfId="277"/>
    <cellStyle name="_HY exp disclousure_存货" xfId="278"/>
    <cellStyle name="_HY exp disclousure_短期借款" xfId="279"/>
    <cellStyle name="_HY exp disclousure_货币资金" xfId="280"/>
    <cellStyle name="_HY exp disclousure_连轧管.报表披露(中文）2package" xfId="281"/>
    <cellStyle name="_HY exp disclousure_连轧管.报表披露(中文）package" xfId="282"/>
    <cellStyle name="_HY exp disclousure_请修改正副本华菱钢管合并国贸 报表披露 package" xfId="283"/>
    <cellStyle name="_HY exp disclousure_一年内到期长期负债" xfId="284"/>
    <cellStyle name="_HY exp disclousure_长期借款" xfId="285"/>
    <cellStyle name="_interest rate of Holding" xfId="286"/>
    <cellStyle name="_J1000-存货-ZHHG" xfId="287"/>
    <cellStyle name="_KPMG original version" xfId="288"/>
    <cellStyle name="_KPMG original version_(中企华)审计评估联合申报明细表.V1" xfId="289"/>
    <cellStyle name="_KPMG original version_附件1：审计评估联合申报明细表" xfId="290"/>
    <cellStyle name="_long term loan - others 300504" xfId="291"/>
    <cellStyle name="_long term loan - others 300504_(中企华)审计评估联合申报明细表.V1" xfId="292"/>
    <cellStyle name="_long term loan - others 300504_051231.CTE SH.023" xfId="293"/>
    <cellStyle name="_long term loan - others 300504_051231.CTE SH.023_061219..Valin.Disclosure package.ry.v2" xfId="294"/>
    <cellStyle name="_long term loan - others 300504_051231.CTE SH.023_061219..Valin.Disclosure package.ry.v2_1" xfId="295"/>
    <cellStyle name="_long term loan - others 300504_051231.CTE SH.023_061219..Valin.Disclosure package.ry.v2_Book2" xfId="296"/>
    <cellStyle name="_long term loan - others 300504_051231.CTE SH.023_070124.valin.consol.after interco elimination" xfId="297"/>
    <cellStyle name="_long term loan - others 300504_051231.CTE SH.023_2006" xfId="298"/>
    <cellStyle name="_long term loan - others 300504_051231.CTE SH.023_consol disclosure-final" xfId="299"/>
    <cellStyle name="_long term loan - others 300504_051231.CTE SH.023_非正常性损益表" xfId="300"/>
    <cellStyle name="_long term loan - others 300504_051231.CTE SH.023_连轧管.报表披露(中文）package" xfId="301"/>
    <cellStyle name="_long term loan - others 300504_070124.valin.loudi.disclosure notes-other op" xfId="302"/>
    <cellStyle name="_long term loan - others 300504_KPMG original version" xfId="303"/>
    <cellStyle name="_long term loan - others 300504_KPMG original version_(中企华)审计评估联合申报明细表.V1" xfId="304"/>
    <cellStyle name="_long term loan - others 300504_KPMG original version_附件1：审计评估联合申报明细表" xfId="305"/>
    <cellStyle name="_long term loan - others 300504_Sheet1" xfId="306"/>
    <cellStyle name="_long term loan - others 300504_Shenhua PBC package 050530" xfId="307"/>
    <cellStyle name="_long term loan - others 300504_Shenhua PBC package 050530_(中企华)审计评估联合申报明细表.V1" xfId="308"/>
    <cellStyle name="_long term loan - others 300504_Shenhua PBC package 050530_附件1：审计评估联合申报明细表" xfId="309"/>
    <cellStyle name="_long term loan - others 300504_财务费用" xfId="310"/>
    <cellStyle name="_long term loan - others 300504_存货" xfId="311"/>
    <cellStyle name="_long term loan - others 300504_短期借款" xfId="312"/>
    <cellStyle name="_long term loan - others 300504_附件1：审计评估联合申报明细表" xfId="313"/>
    <cellStyle name="_long term loan - others 300504_货币资金" xfId="314"/>
    <cellStyle name="_long term loan - others 300504_连轧管.报表披露(中文）2package" xfId="315"/>
    <cellStyle name="_long term loan - others 300504_连轧管.报表披露(中文）package" xfId="316"/>
    <cellStyle name="_long term loan - others 300504_请修改正副本华菱钢管合并国贸 报表披露 package" xfId="317"/>
    <cellStyle name="_long term loan - others 300504_审计调查表.V3" xfId="318"/>
    <cellStyle name="_long term loan - others 300504_销售科" xfId="319"/>
    <cellStyle name="_long term loan - others 300504_一年内到期长期负债" xfId="320"/>
    <cellStyle name="_long term loan - others 300504_长期借款" xfId="321"/>
    <cellStyle name="_Notes payable" xfId="322"/>
    <cellStyle name="_Part III.200406.Loan and Liabilities details.(Site Name)" xfId="323"/>
    <cellStyle name="_Part III.200406.Loan and Liabilities details.(Site Name)_(中企华)审计评估联合申报明细表.V1" xfId="324"/>
    <cellStyle name="_Part III.200406.Loan and Liabilities details.(Site Name)_051231.CTE SH.023" xfId="325"/>
    <cellStyle name="_Part III.200406.Loan and Liabilities details.(Site Name)_051231.CTE SH.023_061219..Valin.Disclosure package.ry.v2" xfId="326"/>
    <cellStyle name="_Part III.200406.Loan and Liabilities details.(Site Name)_051231.CTE SH.023_061219..Valin.Disclosure package.ry.v2_1" xfId="327"/>
    <cellStyle name="_Part III.200406.Loan and Liabilities details.(Site Name)_051231.CTE SH.023_061219..Valin.Disclosure package.ry.v2_Book2" xfId="328"/>
    <cellStyle name="_Part III.200406.Loan and Liabilities details.(Site Name)_051231.CTE SH.023_070124.valin.consol.after interco elimination" xfId="329"/>
    <cellStyle name="_Part III.200406.Loan and Liabilities details.(Site Name)_051231.CTE SH.023_2006" xfId="330"/>
    <cellStyle name="_Part III.200406.Loan and Liabilities details.(Site Name)_051231.CTE SH.023_consol disclosure-final" xfId="331"/>
    <cellStyle name="_Part III.200406.Loan and Liabilities details.(Site Name)_051231.CTE SH.023_非正常性损益表" xfId="332"/>
    <cellStyle name="_Part III.200406.Loan and Liabilities details.(Site Name)_051231.CTE SH.023_连轧管.报表披露(中文）package" xfId="333"/>
    <cellStyle name="_Part III.200406.Loan and Liabilities details.(Site Name)_070124.valin.loudi.disclosure notes-other op" xfId="334"/>
    <cellStyle name="_Part III.200406.Loan and Liabilities details.(Site Name)_KPMG original version" xfId="335"/>
    <cellStyle name="_Part III.200406.Loan and Liabilities details.(Site Name)_KPMG original version_(中企华)审计评估联合申报明细表.V1" xfId="336"/>
    <cellStyle name="_Part III.200406.Loan and Liabilities details.(Site Name)_KPMG original version_附件1：审计评估联合申报明细表" xfId="337"/>
    <cellStyle name="_Part III.200406.Loan and Liabilities details.(Site Name)_Sheet1" xfId="338"/>
    <cellStyle name="_Part III.200406.Loan and Liabilities details.(Site Name)_Shenhua PBC package 050530" xfId="339"/>
    <cellStyle name="_Part III.200406.Loan and Liabilities details.(Site Name)_Shenhua PBC package 050530_(中企华)审计评估联合申报明细表.V1" xfId="340"/>
    <cellStyle name="_Part III.200406.Loan and Liabilities details.(Site Name)_Shenhua PBC package 050530_附件1：审计评估联合申报明细表" xfId="341"/>
    <cellStyle name="_Part III.200406.Loan and Liabilities details.(Site Name)_财务费用" xfId="342"/>
    <cellStyle name="_Part III.200406.Loan and Liabilities details.(Site Name)_存货" xfId="343"/>
    <cellStyle name="_Part III.200406.Loan and Liabilities details.(Site Name)_短期借款" xfId="344"/>
    <cellStyle name="_Part III.200406.Loan and Liabilities details.(Site Name)_附件1：审计评估联合申报明细表" xfId="345"/>
    <cellStyle name="_Part III.200406.Loan and Liabilities details.(Site Name)_货币资金" xfId="346"/>
    <cellStyle name="_Part III.200406.Loan and Liabilities details.(Site Name)_连轧管.报表披露(中文）2package" xfId="347"/>
    <cellStyle name="_Part III.200406.Loan and Liabilities details.(Site Name)_连轧管.报表披露(中文）package" xfId="348"/>
    <cellStyle name="_Part III.200406.Loan and Liabilities details.(Site Name)_请修改正副本华菱钢管合并国贸 报表披露 package" xfId="349"/>
    <cellStyle name="_Part III.200406.Loan and Liabilities details.(Site Name)_审计调查表.V3" xfId="350"/>
    <cellStyle name="_Part III.200406.Loan and Liabilities details.(Site Name)_销售科" xfId="351"/>
    <cellStyle name="_Part III.200406.Loan and Liabilities details.(Site Name)_一年内到期长期负债" xfId="352"/>
    <cellStyle name="_Part III.200406.Loan and Liabilities details.(Site Name)_长期借款" xfId="353"/>
    <cellStyle name="_PBC审核提示" xfId="93"/>
    <cellStyle name="_Sheet1" xfId="354"/>
    <cellStyle name="_Sheet3" xfId="355"/>
    <cellStyle name="_Sheet5" xfId="356"/>
    <cellStyle name="_Shenhua PBC package 050530" xfId="357"/>
    <cellStyle name="_Shenhua PBC package 050530_(中企华)审计评估联合申报明细表.V1" xfId="358"/>
    <cellStyle name="_Shenhua PBC package 050530_附件1：审计评估联合申报明细表" xfId="359"/>
    <cellStyle name="_Short Bank detail-06" xfId="360"/>
    <cellStyle name="_Tax recon.v11" xfId="361"/>
    <cellStyle name="_Tax recon.v11_连轧管.报表披露(中文）package" xfId="362"/>
    <cellStyle name="_宝丽华房地产20051231" xfId="94"/>
    <cellStyle name="_保证金-企业填写部分" xfId="95"/>
    <cellStyle name="_北新房屋2004年审-刘" xfId="96"/>
    <cellStyle name="_北新股份2005年审工作底稿" xfId="97"/>
    <cellStyle name="_北新建材关连交易基础表051230（10－12月版）更新稿" xfId="98"/>
    <cellStyle name="_北新建材-会计报表附注模版" xfId="99"/>
    <cellStyle name="_北新龙之星2004年审工作底稿" xfId="100"/>
    <cellStyle name="_北新物流2005底稿-刘" xfId="101"/>
    <cellStyle name="_北新置换memo" xfId="102"/>
    <cellStyle name="_变动" xfId="363"/>
    <cellStyle name="_变动_070124.valin.loudi.disclosure notes-other op" xfId="364"/>
    <cellStyle name="_变动_Sheet1" xfId="365"/>
    <cellStyle name="_变动_财务费用" xfId="366"/>
    <cellStyle name="_变动_存货" xfId="367"/>
    <cellStyle name="_变动_短期借款" xfId="368"/>
    <cellStyle name="_变动_货币资金" xfId="369"/>
    <cellStyle name="_变动_连轧管.报表披露(中文）2package" xfId="370"/>
    <cellStyle name="_变动_连轧管.报表披露(中文）package" xfId="371"/>
    <cellStyle name="_变动_请修改正副本华菱钢管合并国贸 报表披露 package" xfId="372"/>
    <cellStyle name="_变动_一年内到期长期负债" xfId="373"/>
    <cellStyle name="_变动_长期借款" xfId="374"/>
    <cellStyle name="_补充表格" xfId="375"/>
    <cellStyle name="_财务公司" xfId="376"/>
    <cellStyle name="_存货结转测试" xfId="103"/>
    <cellStyle name="_存货数量与明细05.12" xfId="104"/>
    <cellStyle name="_动力厂2004年审工作底稿-刘" xfId="105"/>
    <cellStyle name="_分工" xfId="106"/>
    <cellStyle name="_负债、所有者权益类工作底稿" xfId="377"/>
    <cellStyle name="_附件1：审计评估联合申报明细表" xfId="378"/>
    <cellStyle name="_副本审计资料利润表附表-衡阳钢管" xfId="379"/>
    <cellStyle name="_工程施工项目现场审计提示" xfId="107"/>
    <cellStyle name="_关联交易" xfId="108"/>
    <cellStyle name="_关联交易、往来统计表" xfId="109"/>
    <cellStyle name="_光远" xfId="380"/>
    <cellStyle name="_函证表" xfId="381"/>
    <cellStyle name="_合并" xfId="382"/>
    <cellStyle name="_合并_Advance to suppliers" xfId="383"/>
    <cellStyle name="_合并_ELLEY" xfId="384"/>
    <cellStyle name="_合并_Sheet1" xfId="385"/>
    <cellStyle name="_合并底稿.xls" xfId="386"/>
    <cellStyle name="_衡管" xfId="387"/>
    <cellStyle name="_衡管_ELLEY" xfId="388"/>
    <cellStyle name="_华菱湘钢（合并）2" xfId="389"/>
    <cellStyle name="_华菱湘钢（合并）2_Book2" xfId="390"/>
    <cellStyle name="_华菱信息" xfId="391"/>
    <cellStyle name="_会计附注2007年6月（连轧管）" xfId="392"/>
    <cellStyle name="_建造合同-宜万指（正式版）" xfId="110"/>
    <cellStyle name="_科目核对表" xfId="111"/>
    <cellStyle name="_连轧管" xfId="393"/>
    <cellStyle name="_涟钢" xfId="394"/>
    <cellStyle name="_母PL" xfId="112"/>
    <cellStyle name="_内退和退休" xfId="395"/>
    <cellStyle name="_其他应付款" xfId="396"/>
    <cellStyle name="_其他应交款" xfId="397"/>
    <cellStyle name="_人员分工备忘录" xfId="113"/>
    <cellStyle name="_审计调查表.V3" xfId="398"/>
    <cellStyle name="_审计所需资料清单－子公司" xfId="114"/>
    <cellStyle name="_审计资料利润表附表" xfId="399"/>
    <cellStyle name="_审计资料利润表附表_070124.valin.loudi.disclosure notes-other op" xfId="400"/>
    <cellStyle name="_审计资料利润表附表_Sheet1" xfId="401"/>
    <cellStyle name="_审计资料利润表附表_财务费用" xfId="402"/>
    <cellStyle name="_审计资料利润表附表_存货" xfId="403"/>
    <cellStyle name="_审计资料利润表附表_短期借款" xfId="404"/>
    <cellStyle name="_审计资料利润表附表_货币资金" xfId="405"/>
    <cellStyle name="_审计资料利润表附表_连轧管.报表披露(中文）2package" xfId="406"/>
    <cellStyle name="_审计资料利润表附表_连轧管.报表披露(中文）package" xfId="407"/>
    <cellStyle name="_审计资料利润表附表_请修改正副本华菱钢管合并国贸 报表披露 package" xfId="408"/>
    <cellStyle name="_审计资料利润表附表_一年内到期长期负债" xfId="409"/>
    <cellStyle name="_审计资料利润表附表_长期借款" xfId="410"/>
    <cellStyle name="_实际可能支付的税款" xfId="411"/>
    <cellStyle name="_实际可能支付的税款_连轧管.报表披露(中文）package" xfId="412"/>
    <cellStyle name="_现金流量类" xfId="413"/>
    <cellStyle name="_湘钢" xfId="414"/>
    <cellStyle name="_一公司建造合同前5名" xfId="115"/>
    <cellStyle name="_一公司－刘丰收" xfId="116"/>
    <cellStyle name="_应交税金2005disclosure" xfId="415"/>
    <cellStyle name="_应交税金2005disclosure_连轧管.报表披露(中文）package" xfId="416"/>
    <cellStyle name="_预收账款" xfId="417"/>
    <cellStyle name="_长期借款－江阴" xfId="117"/>
    <cellStyle name="_资产负债表-注册资本12.27" xfId="418"/>
    <cellStyle name="_子公司审计提示模版-Liufs" xfId="118"/>
    <cellStyle name="_总部" xfId="419"/>
    <cellStyle name="{Comma [0]}" xfId="3"/>
    <cellStyle name="{Comma}" xfId="4"/>
    <cellStyle name="{Date}" xfId="5"/>
    <cellStyle name="{Month}" xfId="6"/>
    <cellStyle name="{Percent}" xfId="7"/>
    <cellStyle name="{Thousand [0]}" xfId="8"/>
    <cellStyle name="{Thousand}" xfId="9"/>
    <cellStyle name="{Z'0000(1 dec)}" xfId="10"/>
    <cellStyle name="{Z'0000(4 dec)}" xfId="11"/>
    <cellStyle name="0%" xfId="119"/>
    <cellStyle name="0,0_x000d__x000a_NA_x000d__x000a_" xfId="12"/>
    <cellStyle name="0,0_x000d__x000a_NA_x000d__x000a_ 2" xfId="420"/>
    <cellStyle name="0.0%" xfId="120"/>
    <cellStyle name="0.00%" xfId="121"/>
    <cellStyle name="20% - Accent1" xfId="421"/>
    <cellStyle name="20% - Accent2" xfId="422"/>
    <cellStyle name="20% - Accent3" xfId="423"/>
    <cellStyle name="20% - Accent4" xfId="424"/>
    <cellStyle name="20% - Accent5" xfId="425"/>
    <cellStyle name="20% - Accent6" xfId="426"/>
    <cellStyle name="40% - Accent1" xfId="427"/>
    <cellStyle name="40% - Accent2" xfId="428"/>
    <cellStyle name="40% - Accent3" xfId="429"/>
    <cellStyle name="40% - Accent4" xfId="430"/>
    <cellStyle name="40% - Accent5" xfId="431"/>
    <cellStyle name="40% - Accent6" xfId="432"/>
    <cellStyle name="60% - Accent1" xfId="433"/>
    <cellStyle name="60% - Accent2" xfId="434"/>
    <cellStyle name="60% - Accent3" xfId="435"/>
    <cellStyle name="60% - Accent4" xfId="436"/>
    <cellStyle name="60% - Accent5" xfId="437"/>
    <cellStyle name="60% - Accent6" xfId="438"/>
    <cellStyle name="A4 Small 210 x 297 mm" xfId="439"/>
    <cellStyle name="Accent1" xfId="440"/>
    <cellStyle name="Accent2" xfId="441"/>
    <cellStyle name="Accent3" xfId="442"/>
    <cellStyle name="Accent4" xfId="443"/>
    <cellStyle name="Accent5" xfId="444"/>
    <cellStyle name="Accent6" xfId="445"/>
    <cellStyle name="Bad" xfId="446"/>
    <cellStyle name="Black" xfId="13"/>
    <cellStyle name="Body" xfId="447"/>
    <cellStyle name="Border" xfId="14"/>
    <cellStyle name="Calc Currency (0)" xfId="122"/>
    <cellStyle name="Calc Currency (2)" xfId="448"/>
    <cellStyle name="Calc Percent (0)" xfId="449"/>
    <cellStyle name="Calc Percent (1)" xfId="450"/>
    <cellStyle name="Calc Percent (2)" xfId="451"/>
    <cellStyle name="Calc Units (0)" xfId="452"/>
    <cellStyle name="Calc Units (1)" xfId="453"/>
    <cellStyle name="Calc Units (2)" xfId="454"/>
    <cellStyle name="Calculation" xfId="455"/>
    <cellStyle name="category" xfId="456"/>
    <cellStyle name="Change A&amp;ll" xfId="457"/>
    <cellStyle name="Check Cell" xfId="458"/>
    <cellStyle name="Col Heads" xfId="123"/>
    <cellStyle name="Column Headings" xfId="459"/>
    <cellStyle name="Column$Headings" xfId="460"/>
    <cellStyle name="Column_Title" xfId="124"/>
    <cellStyle name="Comma  - Style1" xfId="125"/>
    <cellStyle name="Comma  - Style2" xfId="126"/>
    <cellStyle name="Comma  - Style3" xfId="127"/>
    <cellStyle name="Comma  - Style4" xfId="128"/>
    <cellStyle name="Comma  - Style5" xfId="129"/>
    <cellStyle name="Comma  - Style6" xfId="130"/>
    <cellStyle name="Comma  - Style7" xfId="131"/>
    <cellStyle name="Comma  - Style8" xfId="132"/>
    <cellStyle name="Comma [0]_ rislugp" xfId="133"/>
    <cellStyle name="Comma [00]" xfId="461"/>
    <cellStyle name="Comma 28" xfId="462"/>
    <cellStyle name="comma zerodec" xfId="463"/>
    <cellStyle name="Comma,0" xfId="134"/>
    <cellStyle name="Comma,1" xfId="135"/>
    <cellStyle name="Comma,2" xfId="136"/>
    <cellStyle name="Comma_ rislugp" xfId="137"/>
    <cellStyle name="comma-d" xfId="464"/>
    <cellStyle name="Currency [0]_ rislugp" xfId="138"/>
    <cellStyle name="Currency [00]" xfId="465"/>
    <cellStyle name="Currency,0" xfId="139"/>
    <cellStyle name="Currency,2" xfId="140"/>
    <cellStyle name="Currency_ rislugp" xfId="141"/>
    <cellStyle name="Currency1" xfId="466"/>
    <cellStyle name="Date" xfId="467"/>
    <cellStyle name="Date Short" xfId="468"/>
    <cellStyle name="Dezimal [0]_laroux" xfId="15"/>
    <cellStyle name="Dezimal_laroux" xfId="16"/>
    <cellStyle name="Dollar (zero dec)" xfId="469"/>
    <cellStyle name="e" xfId="470"/>
    <cellStyle name="Enter Currency (0)" xfId="471"/>
    <cellStyle name="Enter Currency (2)" xfId="472"/>
    <cellStyle name="Enter Units (0)" xfId="473"/>
    <cellStyle name="Enter Units (1)" xfId="474"/>
    <cellStyle name="Enter Units (2)" xfId="475"/>
    <cellStyle name="entry" xfId="142"/>
    <cellStyle name="entry box" xfId="143"/>
    <cellStyle name="Euro" xfId="17"/>
    <cellStyle name="Explanatory Text" xfId="476"/>
    <cellStyle name="e鯪" xfId="477"/>
    <cellStyle name="e鯪9" xfId="478"/>
    <cellStyle name="e鯪9Y" xfId="479"/>
    <cellStyle name="e鯪9Y_x000b_" xfId="480"/>
    <cellStyle name="e鯪9Y_061219..Valin.Disclosure package.ry.v2" xfId="481"/>
    <cellStyle name="Fixed" xfId="482"/>
    <cellStyle name="Followed Hyperlink_AheadBehind.xls Chart 23" xfId="18"/>
    <cellStyle name="Format Number Column" xfId="483"/>
    <cellStyle name="gcd" xfId="484"/>
    <cellStyle name="Good" xfId="485"/>
    <cellStyle name="Grey" xfId="19"/>
    <cellStyle name="HEADER" xfId="486"/>
    <cellStyle name="Header1" xfId="144"/>
    <cellStyle name="Header2" xfId="145"/>
    <cellStyle name="Heading" xfId="146"/>
    <cellStyle name="Heading 1" xfId="487"/>
    <cellStyle name="Heading 2" xfId="488"/>
    <cellStyle name="Heading 3" xfId="489"/>
    <cellStyle name="Heading 4" xfId="490"/>
    <cellStyle name="HEADING1" xfId="491"/>
    <cellStyle name="HEADING2" xfId="492"/>
    <cellStyle name="Hyperlink_071231 Valin disclosure-equity" xfId="493"/>
    <cellStyle name="Input" xfId="494"/>
    <cellStyle name="Input [yellow]" xfId="20"/>
    <cellStyle name="InputArea" xfId="495"/>
    <cellStyle name="KPMG Heading 1" xfId="496"/>
    <cellStyle name="KPMG Heading 2" xfId="497"/>
    <cellStyle name="KPMG Heading 3" xfId="498"/>
    <cellStyle name="KPMG Heading 4" xfId="499"/>
    <cellStyle name="KPMG Normal" xfId="500"/>
    <cellStyle name="KPMG Normal Text" xfId="501"/>
    <cellStyle name="l]_x000d__x000a_Path=h:_x000d__x000a_Name=Diana Chang_x000d__x000a_DDEApps=nsf,nsg,nsh,ntf,ns2,ors,org_x000d__x000a_SmartIcons=Read Message_x000d__x000a__x000d__x000a__x000d__x000a_[cc:Edit" xfId="502"/>
    <cellStyle name="left" xfId="147"/>
    <cellStyle name="Lines Fill" xfId="503"/>
    <cellStyle name="Link Currency (0)" xfId="504"/>
    <cellStyle name="Link Currency (2)" xfId="505"/>
    <cellStyle name="Link Units (0)" xfId="506"/>
    <cellStyle name="Link Units (1)" xfId="507"/>
    <cellStyle name="Link Units (2)" xfId="508"/>
    <cellStyle name="Linked Cell" xfId="509"/>
    <cellStyle name="Millares [0]_laroux" xfId="148"/>
    <cellStyle name="Millares_laroux" xfId="149"/>
    <cellStyle name="Milliers [0]_laroux" xfId="21"/>
    <cellStyle name="Milliers_laroux" xfId="22"/>
    <cellStyle name="Model" xfId="510"/>
    <cellStyle name="Moeda [0]_aola" xfId="511"/>
    <cellStyle name="Moeda_aola" xfId="512"/>
    <cellStyle name="Moneda [0]_laroux" xfId="150"/>
    <cellStyle name="Moneda_laroux" xfId="151"/>
    <cellStyle name="Mon閠aire [0]_laroux" xfId="152"/>
    <cellStyle name="Mon閠aire_laroux" xfId="153"/>
    <cellStyle name="Neutral" xfId="513"/>
    <cellStyle name="no dec" xfId="154"/>
    <cellStyle name="Non défini" xfId="23"/>
    <cellStyle name="Normal - Style1" xfId="24"/>
    <cellStyle name="Normal - Style1 2" xfId="514"/>
    <cellStyle name="Normal - Style1 3" xfId="515"/>
    <cellStyle name="Normal 2" xfId="35"/>
    <cellStyle name="Normal 21" xfId="516"/>
    <cellStyle name="Normal 3 2" xfId="34"/>
    <cellStyle name="Normal_ rislugp" xfId="155"/>
    <cellStyle name="Normalny_Arkusz1" xfId="156"/>
    <cellStyle name="Note" xfId="517"/>
    <cellStyle name="Output" xfId="518"/>
    <cellStyle name="Output Amounts" xfId="519"/>
    <cellStyle name="Output Column Headings" xfId="520"/>
    <cellStyle name="Output Line Items" xfId="521"/>
    <cellStyle name="Output Report Heading" xfId="522"/>
    <cellStyle name="Output Report Title" xfId="523"/>
    <cellStyle name="Percent (0)" xfId="157"/>
    <cellStyle name="Percent [0]" xfId="524"/>
    <cellStyle name="Percent [00]" xfId="525"/>
    <cellStyle name="Percent [2]" xfId="25"/>
    <cellStyle name="Percent_PICC package Sept2002 (V120021005)1" xfId="526"/>
    <cellStyle name="Prefilled" xfId="158"/>
    <cellStyle name="PrePop Currency (0)" xfId="527"/>
    <cellStyle name="PrePop Currency (2)" xfId="528"/>
    <cellStyle name="PrePop Units (0)" xfId="529"/>
    <cellStyle name="PrePop Units (1)" xfId="530"/>
    <cellStyle name="PrePop Units (2)" xfId="531"/>
    <cellStyle name="price" xfId="159"/>
    <cellStyle name="PSDec" xfId="532"/>
    <cellStyle name="Red" xfId="26"/>
    <cellStyle name="revised" xfId="160"/>
    <cellStyle name="row_def_array" xfId="594"/>
    <cellStyle name="section" xfId="161"/>
    <cellStyle name="Separador de milhares [0]_Person" xfId="533"/>
    <cellStyle name="Separador de milhares_Person" xfId="534"/>
    <cellStyle name="Sheet Head" xfId="535"/>
    <cellStyle name="SOR" xfId="536"/>
    <cellStyle name="style" xfId="162"/>
    <cellStyle name="style1" xfId="163"/>
    <cellStyle name="style2" xfId="164"/>
    <cellStyle name="subhead" xfId="537"/>
    <cellStyle name="t]_x000d__x000a_color schemes=默认 Windows_x000d__x000a__x000d__x000a_[color schemes]_x000d__x000a_Arizona=804000,FFFFFF,FFFFFF,0,FFFFFF,0,808040,C0C0C0,FFFFF" xfId="538"/>
    <cellStyle name="Text Indent A" xfId="539"/>
    <cellStyle name="Text Indent B" xfId="540"/>
    <cellStyle name="Text Indent C" xfId="541"/>
    <cellStyle name="Tickmark" xfId="165"/>
    <cellStyle name="title" xfId="166"/>
    <cellStyle name="Total" xfId="542"/>
    <cellStyle name="Tusental (0)_pldt" xfId="543"/>
    <cellStyle name="Tusental_pldt" xfId="544"/>
    <cellStyle name="Valuta (0)_pldt" xfId="545"/>
    <cellStyle name="Valuta_pldt" xfId="546"/>
    <cellStyle name="Warning Text" xfId="547"/>
    <cellStyle name="wrap" xfId="167"/>
    <cellStyle name="パーセント_laroux" xfId="168"/>
    <cellStyle name="_PLDT" xfId="548"/>
    <cellStyle name="_laroux" xfId="595"/>
    <cellStyle name="だ[0]_PLDT" xfId="549"/>
    <cellStyle name="だ_PLDT" xfId="550"/>
    <cellStyle name="だ[0]_Total (2)" xfId="551"/>
    <cellStyle name="だ_laroux" xfId="596"/>
    <cellStyle name="百分比" xfId="27" builtinId="5"/>
    <cellStyle name="百分比 2" xfId="552"/>
    <cellStyle name="百分比 2 2" xfId="553"/>
    <cellStyle name="百分比 2 3" xfId="554"/>
    <cellStyle name="百分比 2 4" xfId="619"/>
    <cellStyle name="百分比 3" xfId="555"/>
    <cellStyle name="百分比 4" xfId="556"/>
    <cellStyle name="百分比 5" xfId="618"/>
    <cellStyle name="捠壿 [0.00]_PRODUCT DETAIL Q1" xfId="597"/>
    <cellStyle name="捠壿_PRODUCT DETAIL Q1" xfId="598"/>
    <cellStyle name="標準_１１月価格表" xfId="169"/>
    <cellStyle name="表头" xfId="557"/>
    <cellStyle name="表头1" xfId="558"/>
    <cellStyle name="差_StartUp" xfId="599"/>
    <cellStyle name="差_T1000-主营业务收入-LJCH" xfId="559"/>
    <cellStyle name="常规" xfId="0" builtinId="0"/>
    <cellStyle name="常规 10" xfId="36"/>
    <cellStyle name="常规 10 2" xfId="37"/>
    <cellStyle name="常规 10 3" xfId="38"/>
    <cellStyle name="常规 10 4" xfId="39"/>
    <cellStyle name="常规 11" xfId="84"/>
    <cellStyle name="常规 11 2" xfId="40"/>
    <cellStyle name="常规 11 3" xfId="41"/>
    <cellStyle name="常规 11 4" xfId="42"/>
    <cellStyle name="常规 11 5" xfId="610"/>
    <cellStyle name="常规 12" xfId="614"/>
    <cellStyle name="常规 12 2" xfId="43"/>
    <cellStyle name="常规 12 3" xfId="44"/>
    <cellStyle name="常规 12 4" xfId="45"/>
    <cellStyle name="常规 13" xfId="616"/>
    <cellStyle name="常规 13 2" xfId="46"/>
    <cellStyle name="常规 13 3" xfId="47"/>
    <cellStyle name="常规 13 4" xfId="48"/>
    <cellStyle name="常规 14" xfId="560"/>
    <cellStyle name="常规 14 2" xfId="561"/>
    <cellStyle name="常规 2" xfId="28"/>
    <cellStyle name="常规 2 2" xfId="49"/>
    <cellStyle name="常规 2 2 2" xfId="562"/>
    <cellStyle name="常规 2 2 2 2" xfId="563"/>
    <cellStyle name="常规 2 2 3" xfId="611"/>
    <cellStyle name="常规 2 3" xfId="50"/>
    <cellStyle name="常规 2 4" xfId="51"/>
    <cellStyle name="常规 2 4 2" xfId="564"/>
    <cellStyle name="常规 2 5" xfId="52"/>
    <cellStyle name="常规 2 6" xfId="53"/>
    <cellStyle name="常规 2 7" xfId="187"/>
    <cellStyle name="常规 2 8" xfId="609"/>
    <cellStyle name="常规 2 9" xfId="613"/>
    <cellStyle name="常规 2_经销商信息-1-原始表" xfId="54"/>
    <cellStyle name="常规 3" xfId="55"/>
    <cellStyle name="常规 3 2" xfId="56"/>
    <cellStyle name="常规 3 2 2" xfId="565"/>
    <cellStyle name="常规 3 3" xfId="57"/>
    <cellStyle name="常规 3 4" xfId="58"/>
    <cellStyle name="常规 3 5" xfId="85"/>
    <cellStyle name="常规 4" xfId="59"/>
    <cellStyle name="常规 4 2" xfId="60"/>
    <cellStyle name="常规 4 3" xfId="61"/>
    <cellStyle name="常规 4 4" xfId="62"/>
    <cellStyle name="常规 5" xfId="63"/>
    <cellStyle name="常规 5 2" xfId="64"/>
    <cellStyle name="常规 5 3" xfId="65"/>
    <cellStyle name="常规 5 4" xfId="66"/>
    <cellStyle name="常规 6" xfId="67"/>
    <cellStyle name="常规 6 2" xfId="68"/>
    <cellStyle name="常规 6 3" xfId="69"/>
    <cellStyle name="常规 6 4" xfId="70"/>
    <cellStyle name="常规 7" xfId="71"/>
    <cellStyle name="常规 7 2" xfId="72"/>
    <cellStyle name="常规 7 3" xfId="73"/>
    <cellStyle name="常规 7 4" xfId="74"/>
    <cellStyle name="常规 8" xfId="75"/>
    <cellStyle name="常规 8 2" xfId="76"/>
    <cellStyle name="常规 8 3" xfId="77"/>
    <cellStyle name="常规 8 4" xfId="78"/>
    <cellStyle name="常规 9" xfId="79"/>
    <cellStyle name="常规 9 2" xfId="80"/>
    <cellStyle name="常规 9 3" xfId="81"/>
    <cellStyle name="常规 9 4" xfId="82"/>
    <cellStyle name="常规_Book1" xfId="29"/>
    <cellStyle name="常规_制造费用" xfId="30"/>
    <cellStyle name="超级链接_B4-1审计项目工时预算与控制表(集团)" xfId="170"/>
    <cellStyle name="超链接" xfId="31" builtinId="8"/>
    <cellStyle name="超链接 2" xfId="171"/>
    <cellStyle name="超链接 2 2" xfId="172"/>
    <cellStyle name="超链接 3" xfId="566"/>
    <cellStyle name="超链接 4" xfId="567"/>
    <cellStyle name="超链接 4 2" xfId="568"/>
    <cellStyle name="分级显示列_1_Book1" xfId="569"/>
    <cellStyle name="分级显示行_1_4附件二凯旋评估表" xfId="173"/>
    <cellStyle name="公司标准表" xfId="570"/>
    <cellStyle name="好_StartUp" xfId="600"/>
    <cellStyle name="好_T1000-主营业务收入" xfId="571"/>
    <cellStyle name="桁区切り [0.00]_１１月価格表" xfId="174"/>
    <cellStyle name="桁区切り_１１月価格表" xfId="175"/>
    <cellStyle name="貨幣 [0]_SGV" xfId="572"/>
    <cellStyle name="貨幣_2004-09" xfId="573"/>
    <cellStyle name="霓付 [0]_1202" xfId="601"/>
    <cellStyle name="霓付_1202" xfId="602"/>
    <cellStyle name="烹拳 [0]_1202" xfId="603"/>
    <cellStyle name="烹拳_1202" xfId="604"/>
    <cellStyle name="砯刽 [0]_PLDT" xfId="574"/>
    <cellStyle name="砯刽_PLDT" xfId="575"/>
    <cellStyle name="普通_ 白土" xfId="176"/>
    <cellStyle name="千分位[0]_ 白土" xfId="177"/>
    <cellStyle name="千分位_ 白土" xfId="178"/>
    <cellStyle name="千位[0]_ 应交税金审定表" xfId="576"/>
    <cellStyle name="千位_ 应交税金审定表" xfId="577"/>
    <cellStyle name="千位分隔" xfId="32" builtinId="3"/>
    <cellStyle name="千位分隔 10" xfId="578"/>
    <cellStyle name="千位分隔 11" xfId="579"/>
    <cellStyle name="千位分隔 12" xfId="612"/>
    <cellStyle name="千位分隔 13" xfId="617"/>
    <cellStyle name="千位分隔 2" xfId="33"/>
    <cellStyle name="千位分隔 2 2" xfId="83"/>
    <cellStyle name="千位分隔 2 3" xfId="188"/>
    <cellStyle name="千位分隔 2 4" xfId="615"/>
    <cellStyle name="千位分隔 3" xfId="580"/>
    <cellStyle name="千位分隔 4" xfId="581"/>
    <cellStyle name="千位分隔 5" xfId="582"/>
    <cellStyle name="千位分隔 6" xfId="583"/>
    <cellStyle name="千位分隔 7" xfId="584"/>
    <cellStyle name="千位分隔 8" xfId="585"/>
    <cellStyle name="千位分隔 8 2" xfId="586"/>
    <cellStyle name="千位分隔 8 3" xfId="587"/>
    <cellStyle name="千位分隔 9" xfId="588"/>
    <cellStyle name="千位分隔[0] 2" xfId="589"/>
    <cellStyle name="钎霖_(沥焊何巩)岿喊牢盔拌裙" xfId="605"/>
    <cellStyle name="隨後的超連結_Book4" xfId="590"/>
    <cellStyle name="索引" xfId="591"/>
    <cellStyle name="通貨 [0.00]_１１月価格表" xfId="179"/>
    <cellStyle name="通貨_１１月価格表" xfId="180"/>
    <cellStyle name="样式 1" xfId="181"/>
    <cellStyle name="样式 2" xfId="592"/>
    <cellStyle name="一般_BTG307" xfId="593"/>
    <cellStyle name="昗弨_BOOKSHIP" xfId="606"/>
    <cellStyle name="寘嬫愗傝 [0.00]_PRODUCT DETAIL Q1" xfId="607"/>
    <cellStyle name="寘嬫愗傝_PRODUCT DETAIL Q1" xfId="608"/>
    <cellStyle name="콤마 [0]_BOILER-CO1" xfId="182"/>
    <cellStyle name="콤마_BOILER-CO1" xfId="183"/>
    <cellStyle name="통화 [0]_BOILER-CO1" xfId="184"/>
    <cellStyle name="통화_BOILER-CO1" xfId="185"/>
    <cellStyle name="표준_0N-HANDLING " xfId="186"/>
  </cellStyles>
  <dxfs count="0"/>
  <tableStyles count="0" defaultTableStyle="TableStyleMedium9" defaultPivotStyle="PivotStyleLight16"/>
  <colors>
    <mruColors>
      <color rgb="FF0000FF"/>
      <color rgb="FF3333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24213;&#31295;&#27169;&#26495;/2025&#24180;&#24213;&#31295;&#20462;&#35746;/1.&#24050;&#20462;&#35746;&#24213;&#31295;/G%20&#23384;&#36135;&#24490;&#29615;/G2&#23384;&#36135;/G2%20G2-1%20G2-2%20G2-3%20&#23384;&#36135;&#21450;&#36300;&#20215;&#20934;&#22791;-&#23457;&#23450;&#26126;&#32454;&#34920;&#31867;&#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修订说明"/>
      <sheetName val="底稿目录"/>
      <sheetName val="存货实质性程序表F2A"/>
      <sheetName val="存货实质性程序表G2A -原"/>
      <sheetName val="存货审定表F2-1"/>
      <sheetName val="附注披露信息（上市公司）"/>
      <sheetName val="附注披露信息（国企）"/>
      <sheetName val="明细汇总表F2-2"/>
      <sheetName val="存货总体分析表G2-3-移至分析程序"/>
      <sheetName val="一、原材料明细表F2-3"/>
      <sheetName val="二、材料采购、在途物资明细表F2-4"/>
      <sheetName val="三、周转材料、低值易耗品，包装物明细表F2-5"/>
      <sheetName val="四、自制半成品明细表F2-6"/>
      <sheetName val="五、委托加工物资明细表F2-7"/>
      <sheetName val="六、库存商品明细表F2-8"/>
      <sheetName val="七、发出商品F2-9"/>
      <sheetName val="八、开发产品F2-10"/>
      <sheetName val="九、开发成本F2-11"/>
      <sheetName val="十、合同履约成本F2-12"/>
      <sheetName val="十一、消耗性生物资产F2-13"/>
      <sheetName val="调整分录汇总F2-14"/>
      <sheetName val="GT_Custom"/>
    </sheetNames>
    <sheetDataSet>
      <sheetData sheetId="0" refreshError="1"/>
      <sheetData sheetId="1">
        <row r="2">
          <cell r="A2" t="str">
            <v>被审计单位：ABC公司</v>
          </cell>
        </row>
      </sheetData>
      <sheetData sheetId="2" refreshError="1"/>
      <sheetData sheetId="3" refreshError="1"/>
      <sheetData sheetId="4" refreshError="1"/>
      <sheetData sheetId="5" refreshError="1"/>
      <sheetData sheetId="6" refreshError="1"/>
      <sheetData sheetId="7">
        <row r="17">
          <cell r="A17" t="str">
            <v>原材料</v>
          </cell>
        </row>
        <row r="18">
          <cell r="A18" t="str">
            <v>材料采购/在途物资</v>
          </cell>
        </row>
        <row r="19">
          <cell r="A19" t="str">
            <v>周转材料/低值易耗品/包装物</v>
          </cell>
        </row>
        <row r="20">
          <cell r="A20" t="str">
            <v>在产品</v>
          </cell>
        </row>
        <row r="21">
          <cell r="A21" t="str">
            <v>自制半成品</v>
          </cell>
        </row>
        <row r="22">
          <cell r="A22" t="str">
            <v>委托加工物资</v>
          </cell>
        </row>
        <row r="23">
          <cell r="A23" t="str">
            <v>库存商品</v>
          </cell>
        </row>
        <row r="24">
          <cell r="A24" t="str">
            <v>发出商品</v>
          </cell>
        </row>
        <row r="25">
          <cell r="A25" t="str">
            <v>开发产品</v>
          </cell>
        </row>
        <row r="26">
          <cell r="A26" t="str">
            <v>开发成本</v>
          </cell>
        </row>
        <row r="27">
          <cell r="A27" t="str">
            <v>合同履约成本</v>
          </cell>
        </row>
        <row r="28">
          <cell r="A28" t="str">
            <v>消耗性生物资产</v>
          </cell>
        </row>
        <row r="29">
          <cell r="A29" t="str">
            <v>数据资源</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6"/>
  <sheetViews>
    <sheetView tabSelected="1" workbookViewId="0">
      <selection activeCell="A14" sqref="A14"/>
    </sheetView>
  </sheetViews>
  <sheetFormatPr defaultColWidth="9" defaultRowHeight="18" customHeight="1"/>
  <cols>
    <col min="1" max="1" width="78.09765625" style="4" customWidth="1"/>
    <col min="2" max="2" width="2" style="4" customWidth="1"/>
    <col min="3" max="3" width="2.09765625" style="4" customWidth="1"/>
    <col min="4" max="4" width="6.09765625" style="32" customWidth="1"/>
    <col min="5" max="5" width="44.796875" style="32" customWidth="1"/>
    <col min="6" max="6" width="13.3984375" style="147" customWidth="1"/>
    <col min="7" max="16384" width="9" style="4"/>
  </cols>
  <sheetData>
    <row r="1" spans="1:6" ht="18" customHeight="1">
      <c r="A1" s="2" t="s">
        <v>1</v>
      </c>
      <c r="D1" s="3" t="s">
        <v>2</v>
      </c>
      <c r="E1" s="3" t="s">
        <v>20</v>
      </c>
      <c r="F1" s="52" t="s">
        <v>37</v>
      </c>
    </row>
    <row r="2" spans="1:6" ht="18" customHeight="1">
      <c r="A2" s="1" t="s">
        <v>169</v>
      </c>
      <c r="B2" s="33"/>
      <c r="C2" s="33"/>
      <c r="D2" s="46">
        <v>1</v>
      </c>
      <c r="E2" s="142" t="s">
        <v>147</v>
      </c>
      <c r="F2" s="145" t="s">
        <v>151</v>
      </c>
    </row>
    <row r="3" spans="1:6" ht="18" customHeight="1">
      <c r="A3" s="1" t="s">
        <v>174</v>
      </c>
      <c r="B3" s="33"/>
      <c r="C3" s="33"/>
      <c r="D3" s="46">
        <f t="shared" ref="D3:D4" si="0">D2+1</f>
        <v>2</v>
      </c>
      <c r="E3" s="142" t="s">
        <v>149</v>
      </c>
      <c r="F3" s="145" t="s">
        <v>152</v>
      </c>
    </row>
    <row r="4" spans="1:6" ht="18" customHeight="1">
      <c r="A4" s="51" t="s">
        <v>172</v>
      </c>
      <c r="B4" s="33"/>
      <c r="C4" s="33"/>
      <c r="D4" s="46">
        <f t="shared" si="0"/>
        <v>3</v>
      </c>
      <c r="E4" s="47" t="s">
        <v>150</v>
      </c>
      <c r="F4" s="145" t="s">
        <v>153</v>
      </c>
    </row>
    <row r="5" spans="1:6" ht="18" customHeight="1">
      <c r="A5" s="51" t="s">
        <v>170</v>
      </c>
      <c r="B5" s="34"/>
      <c r="C5" s="34"/>
      <c r="D5" s="46"/>
      <c r="E5" s="47"/>
      <c r="F5" s="145"/>
    </row>
    <row r="6" spans="1:6" ht="18" customHeight="1">
      <c r="A6" s="51" t="s">
        <v>173</v>
      </c>
      <c r="D6" s="138"/>
      <c r="E6" s="139"/>
      <c r="F6" s="146"/>
    </row>
    <row r="7" spans="1:6" ht="18" customHeight="1">
      <c r="A7" s="51" t="s">
        <v>171</v>
      </c>
      <c r="D7" s="138"/>
      <c r="E7" s="139"/>
      <c r="F7" s="146"/>
    </row>
    <row r="8" spans="1:6" ht="18" customHeight="1">
      <c r="A8" s="35"/>
      <c r="D8" s="138"/>
      <c r="E8" s="139"/>
      <c r="F8" s="146"/>
    </row>
    <row r="9" spans="1:6" ht="18" customHeight="1">
      <c r="D9" s="138"/>
      <c r="E9" s="139"/>
      <c r="F9" s="146"/>
    </row>
    <row r="10" spans="1:6" ht="20.25" customHeight="1">
      <c r="A10" s="36"/>
    </row>
    <row r="11" spans="1:6" ht="19.5" customHeight="1">
      <c r="A11" s="35"/>
    </row>
    <row r="12" spans="1:6" ht="19.5" customHeight="1">
      <c r="A12" s="37"/>
    </row>
    <row r="13" spans="1:6" ht="19.5" customHeight="1">
      <c r="A13" s="35"/>
    </row>
    <row r="14" spans="1:6" ht="19.5" customHeight="1">
      <c r="A14" s="37"/>
    </row>
    <row r="15" spans="1:6" ht="19.5" customHeight="1">
      <c r="A15" s="38"/>
    </row>
    <row r="16" spans="1:6" ht="19.5" customHeight="1">
      <c r="A16" s="38"/>
    </row>
  </sheetData>
  <phoneticPr fontId="14" type="noConversion"/>
  <hyperlinks>
    <hyperlink ref="E2" location="'存货总体分析表F2-18'!A1" display="存货总体分析表"/>
    <hyperlink ref="E3" location="'存货产销量变动分析表F2-19'!A1" display="存货产销量变动分析表"/>
    <hyperlink ref="E4" location="'产品年度成本比较分析F2-20'!A1" display="产成品单位成本年度比较表"/>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4</v>
      </c>
      <c r="B1" t="s">
        <v>5</v>
      </c>
    </row>
    <row r="2" spans="1:2">
      <c r="A2" t="s">
        <v>6</v>
      </c>
      <c r="B2" t="s">
        <v>7</v>
      </c>
    </row>
    <row r="3" spans="1:2">
      <c r="A3" t="s">
        <v>8</v>
      </c>
      <c r="B3" t="s">
        <v>9</v>
      </c>
    </row>
    <row r="4" spans="1:2">
      <c r="A4" t="s">
        <v>10</v>
      </c>
      <c r="B4" t="s">
        <v>11</v>
      </c>
    </row>
    <row r="5" spans="1:2">
      <c r="A5" t="s">
        <v>12</v>
      </c>
      <c r="B5" t="s">
        <v>13</v>
      </c>
    </row>
    <row r="6" spans="1:2">
      <c r="A6" t="s">
        <v>14</v>
      </c>
      <c r="B6" t="s">
        <v>15</v>
      </c>
    </row>
    <row r="7" spans="1:2">
      <c r="A7" t="s">
        <v>16</v>
      </c>
      <c r="B7" t="s">
        <v>17</v>
      </c>
    </row>
    <row r="8" spans="1:2">
      <c r="A8" t="s">
        <v>18</v>
      </c>
      <c r="B8" t="s">
        <v>19</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L78"/>
  <sheetViews>
    <sheetView view="pageBreakPreview" topLeftCell="A25" zoomScaleNormal="130" zoomScaleSheetLayoutView="100" workbookViewId="0">
      <selection sqref="A1:H1"/>
    </sheetView>
  </sheetViews>
  <sheetFormatPr defaultColWidth="9" defaultRowHeight="13.8"/>
  <cols>
    <col min="1" max="1" width="14.09765625" style="13" customWidth="1"/>
    <col min="2" max="2" width="12.09765625" style="13" customWidth="1"/>
    <col min="3" max="3" width="13.09765625" style="13" customWidth="1"/>
    <col min="4" max="4" width="11.59765625" style="13" customWidth="1"/>
    <col min="5" max="8" width="10.59765625" style="13" customWidth="1"/>
    <col min="9" max="9" width="8.296875" style="13" customWidth="1"/>
    <col min="10" max="10" width="9" style="13"/>
    <col min="11" max="11" width="12.19921875" style="13" customWidth="1"/>
    <col min="12" max="16384" width="9" style="13"/>
  </cols>
  <sheetData>
    <row r="1" spans="1:9" s="53" customFormat="1" ht="20.100000000000001" customHeight="1">
      <c r="A1" s="156" t="s">
        <v>159</v>
      </c>
      <c r="B1" s="156"/>
      <c r="C1" s="156"/>
      <c r="D1" s="156"/>
      <c r="E1" s="156"/>
      <c r="F1" s="156"/>
      <c r="G1" s="156"/>
      <c r="H1" s="156"/>
    </row>
    <row r="2" spans="1:9" s="54" customFormat="1" ht="25.05" customHeight="1">
      <c r="A2" s="157" t="s">
        <v>146</v>
      </c>
      <c r="B2" s="157"/>
      <c r="C2" s="157"/>
      <c r="D2" s="157"/>
      <c r="E2" s="157"/>
      <c r="F2" s="157"/>
      <c r="G2" s="157"/>
      <c r="H2" s="157"/>
    </row>
    <row r="3" spans="1:9" ht="20.100000000000001" customHeight="1">
      <c r="A3" s="5" t="str">
        <f>底稿目录!A2</f>
        <v>被审计单位：</v>
      </c>
      <c r="C3" s="5" t="str">
        <f>底稿目录!A4</f>
        <v>编制人：</v>
      </c>
      <c r="D3" s="30"/>
      <c r="E3" s="5" t="str">
        <f>底稿目录!A5</f>
        <v>编制日期：</v>
      </c>
      <c r="F3" s="5"/>
      <c r="H3" s="5" t="s">
        <v>3</v>
      </c>
      <c r="I3" s="140" t="str">
        <f>底稿目录!F2</f>
        <v>F2-18</v>
      </c>
    </row>
    <row r="4" spans="1:9" ht="20.100000000000001" customHeight="1">
      <c r="A4" s="5" t="str">
        <f>底稿目录!A3</f>
        <v>截止日：202X年12月31日</v>
      </c>
      <c r="C4" s="5" t="str">
        <f>底稿目录!A6</f>
        <v>复核人：</v>
      </c>
      <c r="D4" s="30"/>
      <c r="E4" s="5" t="str">
        <f>底稿目录!A7</f>
        <v>复核日期：</v>
      </c>
      <c r="F4" s="5"/>
      <c r="H4" s="5" t="s">
        <v>50</v>
      </c>
      <c r="I4" s="5"/>
    </row>
    <row r="5" spans="1:9" ht="20.100000000000001" customHeight="1">
      <c r="A5" s="39" t="s">
        <v>76</v>
      </c>
      <c r="B5" s="5"/>
      <c r="C5" s="5"/>
      <c r="D5" s="55"/>
      <c r="E5" s="5"/>
      <c r="F5" s="5"/>
      <c r="G5" s="12"/>
      <c r="H5" s="5"/>
    </row>
    <row r="6" spans="1:9" ht="20.100000000000001" customHeight="1">
      <c r="A6" s="5" t="s">
        <v>75</v>
      </c>
      <c r="B6" s="5"/>
      <c r="C6" s="5"/>
      <c r="D6" s="55"/>
      <c r="E6" s="5"/>
      <c r="F6" s="5"/>
      <c r="G6" s="12"/>
      <c r="H6" s="5"/>
    </row>
    <row r="7" spans="1:9" ht="20.100000000000001" customHeight="1">
      <c r="A7" s="5" t="s">
        <v>81</v>
      </c>
      <c r="B7" s="5"/>
      <c r="C7" s="5"/>
      <c r="D7" s="55"/>
      <c r="E7" s="5"/>
      <c r="F7" s="5"/>
      <c r="G7" s="12"/>
      <c r="H7" s="5"/>
    </row>
    <row r="8" spans="1:9" ht="20.100000000000001" customHeight="1">
      <c r="A8" s="39" t="s">
        <v>93</v>
      </c>
      <c r="B8" s="5"/>
      <c r="C8" s="5"/>
      <c r="D8" s="55"/>
      <c r="E8" s="5"/>
      <c r="F8" s="5"/>
      <c r="G8" s="12"/>
      <c r="H8" s="5"/>
    </row>
    <row r="9" spans="1:9" s="56" customFormat="1" ht="20.100000000000001" customHeight="1">
      <c r="A9" s="39" t="s">
        <v>94</v>
      </c>
    </row>
    <row r="10" spans="1:9" ht="16.8" customHeight="1">
      <c r="A10" s="149" t="s">
        <v>51</v>
      </c>
      <c r="B10" s="149"/>
      <c r="C10" s="158" t="s">
        <v>68</v>
      </c>
      <c r="D10" s="149"/>
      <c r="E10" s="158" t="s">
        <v>69</v>
      </c>
      <c r="F10" s="149"/>
      <c r="G10" s="158" t="s">
        <v>70</v>
      </c>
      <c r="H10" s="149"/>
      <c r="I10" s="149" t="s">
        <v>82</v>
      </c>
    </row>
    <row r="11" spans="1:9" ht="16.8" customHeight="1">
      <c r="A11" s="149"/>
      <c r="B11" s="149"/>
      <c r="C11" s="86" t="s">
        <v>52</v>
      </c>
      <c r="D11" s="86" t="s">
        <v>53</v>
      </c>
      <c r="E11" s="86" t="s">
        <v>52</v>
      </c>
      <c r="F11" s="86" t="s">
        <v>53</v>
      </c>
      <c r="G11" s="86" t="s">
        <v>52</v>
      </c>
      <c r="H11" s="86" t="s">
        <v>53</v>
      </c>
      <c r="I11" s="149"/>
    </row>
    <row r="12" spans="1:9" ht="20.100000000000001" customHeight="1">
      <c r="A12" s="104" t="str">
        <f>'[1]明细汇总表F2-2'!A17</f>
        <v>原材料</v>
      </c>
      <c r="B12" s="105"/>
      <c r="C12" s="148"/>
      <c r="D12" s="100">
        <f>IF($C$25=0,0,C12/$C$25)</f>
        <v>0</v>
      </c>
      <c r="E12" s="148"/>
      <c r="F12" s="100">
        <f t="shared" ref="F12:F24" si="0">IF($E$25=0,0,E12/$E$25)</f>
        <v>0</v>
      </c>
      <c r="G12" s="57"/>
      <c r="H12" s="100">
        <f>IF($G$25=0,0,G12/$G$25)</f>
        <v>0</v>
      </c>
      <c r="I12" s="95"/>
    </row>
    <row r="13" spans="1:9" ht="20.100000000000001" customHeight="1">
      <c r="A13" s="104" t="str">
        <f>'[1]明细汇总表F2-2'!A18</f>
        <v>材料采购/在途物资</v>
      </c>
      <c r="B13" s="105"/>
      <c r="C13" s="148"/>
      <c r="D13" s="100">
        <f t="shared" ref="D13:D24" si="1">IF($C$25=0,0,C13/$C$25)</f>
        <v>0</v>
      </c>
      <c r="E13" s="148"/>
      <c r="F13" s="100">
        <f t="shared" si="0"/>
        <v>0</v>
      </c>
      <c r="G13" s="57"/>
      <c r="H13" s="100">
        <f>IF($G$25=0,0,#REF!/$G$25)</f>
        <v>0</v>
      </c>
      <c r="I13" s="95"/>
    </row>
    <row r="14" spans="1:9" ht="20.100000000000001" customHeight="1">
      <c r="A14" s="104" t="str">
        <f>'[1]明细汇总表F2-2'!A19</f>
        <v>周转材料/低值易耗品/包装物</v>
      </c>
      <c r="B14" s="105"/>
      <c r="C14" s="148"/>
      <c r="D14" s="100">
        <f t="shared" si="1"/>
        <v>0</v>
      </c>
      <c r="E14" s="148"/>
      <c r="F14" s="100">
        <f t="shared" si="0"/>
        <v>0</v>
      </c>
      <c r="G14" s="57"/>
      <c r="H14" s="100">
        <f>IF($G$25=0,0,G29/$G$25)</f>
        <v>0</v>
      </c>
      <c r="I14" s="95"/>
    </row>
    <row r="15" spans="1:9" ht="20.100000000000001" customHeight="1">
      <c r="A15" s="104" t="str">
        <f>'[1]明细汇总表F2-2'!A20</f>
        <v>在产品</v>
      </c>
      <c r="B15" s="105"/>
      <c r="C15" s="148"/>
      <c r="D15" s="100">
        <f t="shared" si="1"/>
        <v>0</v>
      </c>
      <c r="E15" s="148"/>
      <c r="F15" s="100">
        <f t="shared" si="0"/>
        <v>0</v>
      </c>
      <c r="G15" s="57"/>
      <c r="H15" s="100">
        <f>IF($G$25=0,0,G30/$G$25)</f>
        <v>0</v>
      </c>
      <c r="I15" s="95"/>
    </row>
    <row r="16" spans="1:9" ht="20.100000000000001" customHeight="1">
      <c r="A16" s="104" t="str">
        <f>'[1]明细汇总表F2-2'!A21</f>
        <v>自制半成品</v>
      </c>
      <c r="B16" s="105"/>
      <c r="C16" s="148"/>
      <c r="D16" s="100">
        <f t="shared" si="1"/>
        <v>0</v>
      </c>
      <c r="E16" s="148"/>
      <c r="F16" s="100">
        <f t="shared" si="0"/>
        <v>0</v>
      </c>
      <c r="G16" s="57"/>
      <c r="H16" s="100">
        <f>IF($G$25=0,0,G32/$G$25)</f>
        <v>0</v>
      </c>
      <c r="I16" s="95"/>
    </row>
    <row r="17" spans="1:12" ht="20.100000000000001" customHeight="1">
      <c r="A17" s="104" t="str">
        <f>'[1]明细汇总表F2-2'!A22</f>
        <v>委托加工物资</v>
      </c>
      <c r="B17" s="105"/>
      <c r="C17" s="148"/>
      <c r="D17" s="100">
        <f t="shared" si="1"/>
        <v>0</v>
      </c>
      <c r="E17" s="148"/>
      <c r="F17" s="100">
        <f t="shared" si="0"/>
        <v>0</v>
      </c>
      <c r="G17" s="57"/>
      <c r="H17" s="100">
        <f>IF($G$25=0,0,#REF!/$G$25)</f>
        <v>0</v>
      </c>
      <c r="I17" s="95"/>
    </row>
    <row r="18" spans="1:12" ht="20.100000000000001" customHeight="1">
      <c r="A18" s="104" t="str">
        <f>'[1]明细汇总表F2-2'!A23</f>
        <v>库存商品</v>
      </c>
      <c r="B18" s="105"/>
      <c r="C18" s="148"/>
      <c r="D18" s="100">
        <f t="shared" si="1"/>
        <v>0</v>
      </c>
      <c r="E18" s="148"/>
      <c r="F18" s="100">
        <f t="shared" si="0"/>
        <v>0</v>
      </c>
      <c r="G18" s="57"/>
      <c r="H18" s="100">
        <f>IF($G$25=0,0,#REF!/$G$25)</f>
        <v>0</v>
      </c>
      <c r="I18" s="95"/>
    </row>
    <row r="19" spans="1:12" ht="20.100000000000001" customHeight="1">
      <c r="A19" s="104" t="str">
        <f>'[1]明细汇总表F2-2'!A24</f>
        <v>发出商品</v>
      </c>
      <c r="B19" s="105"/>
      <c r="C19" s="148"/>
      <c r="D19" s="100">
        <f t="shared" si="1"/>
        <v>0</v>
      </c>
      <c r="E19" s="148"/>
      <c r="F19" s="100">
        <f t="shared" si="0"/>
        <v>0</v>
      </c>
      <c r="G19" s="57"/>
      <c r="H19" s="100">
        <f>IF($G$25=0,0,#REF!/$G$25)</f>
        <v>0</v>
      </c>
      <c r="I19" s="95"/>
    </row>
    <row r="20" spans="1:12" ht="20.100000000000001" customHeight="1">
      <c r="A20" s="104" t="str">
        <f>'[1]明细汇总表F2-2'!A25</f>
        <v>开发产品</v>
      </c>
      <c r="B20" s="105"/>
      <c r="C20" s="148"/>
      <c r="D20" s="100">
        <f t="shared" si="1"/>
        <v>0</v>
      </c>
      <c r="E20" s="148"/>
      <c r="F20" s="100">
        <f t="shared" si="0"/>
        <v>0</v>
      </c>
      <c r="G20" s="57"/>
      <c r="H20" s="100">
        <f>IF($G$25=0,0,#REF!/$G$25)</f>
        <v>0</v>
      </c>
      <c r="I20" s="95"/>
    </row>
    <row r="21" spans="1:12" ht="20.100000000000001" customHeight="1">
      <c r="A21" s="104" t="str">
        <f>'[1]明细汇总表F2-2'!A26</f>
        <v>开发成本</v>
      </c>
      <c r="B21" s="105"/>
      <c r="C21" s="148"/>
      <c r="D21" s="100">
        <f t="shared" si="1"/>
        <v>0</v>
      </c>
      <c r="E21" s="148"/>
      <c r="F21" s="100">
        <f t="shared" si="0"/>
        <v>0</v>
      </c>
      <c r="G21" s="57"/>
      <c r="H21" s="100">
        <f>IF($G$25=0,0,#REF!/$G$25)</f>
        <v>0</v>
      </c>
      <c r="I21" s="95"/>
    </row>
    <row r="22" spans="1:12" ht="20.100000000000001" customHeight="1">
      <c r="A22" s="104" t="str">
        <f>'[1]明细汇总表F2-2'!A27</f>
        <v>合同履约成本</v>
      </c>
      <c r="B22" s="105"/>
      <c r="C22" s="148"/>
      <c r="D22" s="100">
        <f t="shared" si="1"/>
        <v>0</v>
      </c>
      <c r="E22" s="148"/>
      <c r="F22" s="100">
        <f t="shared" si="0"/>
        <v>0</v>
      </c>
      <c r="G22" s="57"/>
      <c r="H22" s="100">
        <f>IF($G$25=0,0,#REF!/$G$25)</f>
        <v>0</v>
      </c>
      <c r="I22" s="95"/>
    </row>
    <row r="23" spans="1:12" ht="20.100000000000001" customHeight="1">
      <c r="A23" s="104" t="str">
        <f>'[1]明细汇总表F2-2'!A28</f>
        <v>消耗性生物资产</v>
      </c>
      <c r="B23" s="105"/>
      <c r="C23" s="148"/>
      <c r="D23" s="100">
        <f t="shared" si="1"/>
        <v>0</v>
      </c>
      <c r="E23" s="148"/>
      <c r="F23" s="100">
        <f t="shared" si="0"/>
        <v>0</v>
      </c>
      <c r="G23" s="57"/>
      <c r="H23" s="100">
        <f>IF($G$25=0,0,#REF!/$G$25)</f>
        <v>0</v>
      </c>
      <c r="I23" s="95"/>
    </row>
    <row r="24" spans="1:12" ht="20.100000000000001" customHeight="1">
      <c r="A24" s="104" t="str">
        <f>'[1]明细汇总表F2-2'!A29</f>
        <v>数据资源</v>
      </c>
      <c r="B24" s="105"/>
      <c r="C24" s="148"/>
      <c r="D24" s="100">
        <f t="shared" si="1"/>
        <v>0</v>
      </c>
      <c r="E24" s="148"/>
      <c r="F24" s="100">
        <f t="shared" si="0"/>
        <v>0</v>
      </c>
      <c r="G24" s="57"/>
      <c r="H24" s="100">
        <f>IF($G$25=0,0,#REF!/$G$25)</f>
        <v>0</v>
      </c>
      <c r="I24" s="95"/>
    </row>
    <row r="25" spans="1:12" ht="20.100000000000001" customHeight="1">
      <c r="A25" s="58" t="s">
        <v>54</v>
      </c>
      <c r="B25" s="58"/>
      <c r="C25" s="101">
        <f t="shared" ref="C25:H25" si="2">SUM(C12:C23)</f>
        <v>0</v>
      </c>
      <c r="D25" s="102">
        <f t="shared" si="2"/>
        <v>0</v>
      </c>
      <c r="E25" s="101">
        <f t="shared" si="2"/>
        <v>0</v>
      </c>
      <c r="F25" s="102">
        <f t="shared" si="2"/>
        <v>0</v>
      </c>
      <c r="G25" s="101">
        <f t="shared" si="2"/>
        <v>0</v>
      </c>
      <c r="H25" s="102">
        <f t="shared" si="2"/>
        <v>0</v>
      </c>
      <c r="I25" s="87" t="s">
        <v>55</v>
      </c>
    </row>
    <row r="26" spans="1:12" ht="20.100000000000001" customHeight="1">
      <c r="A26" s="88" t="s">
        <v>95</v>
      </c>
      <c r="B26" s="70"/>
      <c r="C26" s="71"/>
      <c r="D26" s="72"/>
      <c r="E26" s="71"/>
      <c r="F26" s="72"/>
      <c r="G26" s="71"/>
      <c r="H26" s="72"/>
      <c r="I26" s="73"/>
    </row>
    <row r="27" spans="1:12" ht="20.100000000000001" customHeight="1">
      <c r="A27" s="89" t="s">
        <v>77</v>
      </c>
      <c r="B27" s="67"/>
      <c r="C27" s="68"/>
      <c r="D27" s="69"/>
      <c r="E27" s="68"/>
      <c r="F27" s="69"/>
      <c r="G27" s="68"/>
      <c r="H27" s="69"/>
      <c r="I27" s="74"/>
    </row>
    <row r="28" spans="1:12" ht="20.100000000000001" customHeight="1">
      <c r="A28" s="75"/>
      <c r="B28" s="76"/>
      <c r="C28" s="77"/>
      <c r="D28" s="78"/>
      <c r="E28" s="77"/>
      <c r="F28" s="78"/>
      <c r="G28" s="77"/>
      <c r="H28" s="78"/>
      <c r="I28" s="79"/>
    </row>
    <row r="29" spans="1:12" s="56" customFormat="1" ht="20.100000000000001" customHeight="1">
      <c r="A29" s="39" t="s">
        <v>83</v>
      </c>
    </row>
    <row r="30" spans="1:12" ht="16.2" customHeight="1">
      <c r="A30" s="149" t="s">
        <v>56</v>
      </c>
      <c r="B30" s="149"/>
      <c r="C30" s="149" t="s">
        <v>96</v>
      </c>
      <c r="D30" s="149"/>
      <c r="E30" s="149" t="s">
        <v>71</v>
      </c>
      <c r="F30" s="149"/>
      <c r="G30" s="149" t="s">
        <v>85</v>
      </c>
      <c r="H30" s="149"/>
      <c r="I30" s="150" t="s">
        <v>82</v>
      </c>
    </row>
    <row r="31" spans="1:12" ht="16.2" customHeight="1">
      <c r="A31" s="149"/>
      <c r="B31" s="149"/>
      <c r="C31" s="86" t="s">
        <v>57</v>
      </c>
      <c r="D31" s="86" t="s">
        <v>92</v>
      </c>
      <c r="E31" s="86" t="s">
        <v>57</v>
      </c>
      <c r="F31" s="86" t="s">
        <v>92</v>
      </c>
      <c r="G31" s="86" t="s">
        <v>97</v>
      </c>
      <c r="H31" s="86" t="s">
        <v>58</v>
      </c>
      <c r="I31" s="151"/>
    </row>
    <row r="32" spans="1:12" ht="23.4" customHeight="1">
      <c r="A32" s="152" t="s">
        <v>98</v>
      </c>
      <c r="B32" s="152"/>
      <c r="C32" s="92"/>
      <c r="D32" s="100">
        <f>IF(E32=0,0,(C32-E32)/E32)</f>
        <v>0</v>
      </c>
      <c r="E32" s="92"/>
      <c r="F32" s="100">
        <f>IF(G32=0,0,(E32-G32)/G32)</f>
        <v>0</v>
      </c>
      <c r="G32" s="92"/>
      <c r="H32" s="59" t="s">
        <v>59</v>
      </c>
      <c r="I32" s="95"/>
      <c r="L32" s="81"/>
    </row>
    <row r="33" spans="1:12" ht="23.4" customHeight="1">
      <c r="A33" s="152" t="s">
        <v>66</v>
      </c>
      <c r="B33" s="152"/>
      <c r="C33" s="92"/>
      <c r="D33" s="100">
        <f t="shared" ref="D33:D36" si="3">IF(E33=0,0,(C33-E33)/E33)</f>
        <v>0</v>
      </c>
      <c r="E33" s="92"/>
      <c r="F33" s="100">
        <f t="shared" ref="F33:F36" si="4">IF(G33=0,0,(E33-G33)/G33)</f>
        <v>0</v>
      </c>
      <c r="G33" s="92"/>
      <c r="H33" s="59" t="s">
        <v>59</v>
      </c>
      <c r="I33" s="95"/>
    </row>
    <row r="34" spans="1:12" ht="28.5" customHeight="1">
      <c r="A34" s="152" t="s">
        <v>60</v>
      </c>
      <c r="B34" s="152"/>
      <c r="C34" s="93"/>
      <c r="D34" s="100">
        <f t="shared" si="3"/>
        <v>0</v>
      </c>
      <c r="E34" s="93"/>
      <c r="F34" s="100">
        <f t="shared" si="4"/>
        <v>0</v>
      </c>
      <c r="G34" s="93"/>
      <c r="H34" s="59" t="s">
        <v>55</v>
      </c>
      <c r="I34" s="95"/>
      <c r="K34" s="81"/>
      <c r="L34" s="81"/>
    </row>
    <row r="35" spans="1:12" ht="28.5" customHeight="1">
      <c r="A35" s="152" t="s">
        <v>61</v>
      </c>
      <c r="B35" s="152"/>
      <c r="C35" s="93"/>
      <c r="D35" s="100">
        <f t="shared" si="3"/>
        <v>0</v>
      </c>
      <c r="E35" s="93"/>
      <c r="F35" s="100">
        <f t="shared" si="4"/>
        <v>0</v>
      </c>
      <c r="G35" s="93"/>
      <c r="H35" s="59" t="s">
        <v>59</v>
      </c>
      <c r="I35" s="95"/>
      <c r="K35" s="80"/>
      <c r="L35" s="81"/>
    </row>
    <row r="36" spans="1:12" ht="21.6" customHeight="1">
      <c r="A36" s="155" t="s">
        <v>86</v>
      </c>
      <c r="B36" s="155"/>
      <c r="C36" s="94"/>
      <c r="D36" s="100">
        <f t="shared" si="3"/>
        <v>0</v>
      </c>
      <c r="E36" s="94"/>
      <c r="F36" s="100">
        <f t="shared" si="4"/>
        <v>0</v>
      </c>
      <c r="G36" s="94"/>
      <c r="H36" s="59" t="s">
        <v>59</v>
      </c>
      <c r="I36" s="95"/>
    </row>
    <row r="37" spans="1:12" ht="21.6" customHeight="1">
      <c r="A37" s="88" t="s">
        <v>87</v>
      </c>
      <c r="B37" s="70"/>
      <c r="C37" s="71"/>
      <c r="D37" s="72"/>
      <c r="E37" s="71"/>
      <c r="F37" s="72"/>
      <c r="G37" s="71"/>
      <c r="H37" s="72"/>
      <c r="I37" s="73"/>
    </row>
    <row r="38" spans="1:12" ht="21.6" customHeight="1">
      <c r="A38" s="89" t="s">
        <v>99</v>
      </c>
      <c r="B38" s="67"/>
      <c r="C38" s="68"/>
      <c r="D38" s="69"/>
      <c r="E38" s="68"/>
      <c r="F38" s="69"/>
      <c r="G38" s="68"/>
      <c r="H38" s="69"/>
      <c r="I38" s="74"/>
    </row>
    <row r="39" spans="1:12" ht="21.6" customHeight="1">
      <c r="A39" s="75"/>
      <c r="B39" s="76"/>
      <c r="C39" s="77"/>
      <c r="D39" s="78"/>
      <c r="E39" s="77"/>
      <c r="F39" s="78"/>
      <c r="G39" s="77"/>
      <c r="H39" s="78"/>
      <c r="I39" s="79"/>
    </row>
    <row r="40" spans="1:12" ht="20.100000000000001" customHeight="1">
      <c r="A40" s="39" t="s">
        <v>67</v>
      </c>
      <c r="B40" s="56"/>
      <c r="C40" s="56"/>
      <c r="D40" s="56"/>
      <c r="E40" s="5"/>
      <c r="F40" s="5"/>
      <c r="G40" s="5"/>
      <c r="H40" s="5"/>
    </row>
    <row r="41" spans="1:12" ht="15.6" customHeight="1">
      <c r="A41" s="149" t="s">
        <v>56</v>
      </c>
      <c r="B41" s="149"/>
      <c r="C41" s="149" t="s">
        <v>100</v>
      </c>
      <c r="D41" s="149"/>
      <c r="E41" s="149" t="s">
        <v>88</v>
      </c>
      <c r="F41" s="149" t="s">
        <v>101</v>
      </c>
      <c r="G41" s="149" t="s">
        <v>62</v>
      </c>
      <c r="H41" s="149" t="s">
        <v>89</v>
      </c>
      <c r="I41" s="150" t="s">
        <v>102</v>
      </c>
    </row>
    <row r="42" spans="1:12" ht="15.6" customHeight="1">
      <c r="A42" s="149"/>
      <c r="B42" s="149"/>
      <c r="C42" s="86" t="s">
        <v>79</v>
      </c>
      <c r="D42" s="86" t="s">
        <v>90</v>
      </c>
      <c r="E42" s="149"/>
      <c r="F42" s="149"/>
      <c r="G42" s="149"/>
      <c r="H42" s="149"/>
      <c r="I42" s="151"/>
    </row>
    <row r="43" spans="1:12" ht="21.6" customHeight="1">
      <c r="A43" s="152" t="s">
        <v>65</v>
      </c>
      <c r="B43" s="152"/>
      <c r="C43" s="96"/>
      <c r="D43" s="100">
        <f>IF(E43=0,0,(C43-E43)/E43)</f>
        <v>0</v>
      </c>
      <c r="E43" s="98"/>
      <c r="F43" s="99"/>
      <c r="G43" s="91"/>
      <c r="H43" s="91"/>
      <c r="I43" s="95"/>
    </row>
    <row r="44" spans="1:12" ht="21.6" customHeight="1">
      <c r="A44" s="152" t="s">
        <v>103</v>
      </c>
      <c r="B44" s="152"/>
      <c r="C44" s="96"/>
      <c r="D44" s="100">
        <f t="shared" ref="D44:D45" si="5">IF(E44=0,0,(C44-E44)/E44)</f>
        <v>0</v>
      </c>
      <c r="E44" s="98"/>
      <c r="F44" s="99"/>
      <c r="G44" s="91"/>
      <c r="H44" s="91"/>
      <c r="I44" s="95"/>
    </row>
    <row r="45" spans="1:12" ht="29.25" customHeight="1">
      <c r="A45" s="152" t="s">
        <v>60</v>
      </c>
      <c r="B45" s="152"/>
      <c r="C45" s="93"/>
      <c r="D45" s="100">
        <f t="shared" si="5"/>
        <v>0</v>
      </c>
      <c r="E45" s="93"/>
      <c r="F45" s="93"/>
      <c r="G45" s="93"/>
      <c r="H45" s="93"/>
      <c r="I45" s="95"/>
      <c r="J45" s="118" t="s">
        <v>131</v>
      </c>
    </row>
    <row r="46" spans="1:12" ht="29.25" customHeight="1">
      <c r="A46" s="152" t="s">
        <v>104</v>
      </c>
      <c r="B46" s="152"/>
      <c r="C46" s="93"/>
      <c r="D46" s="100">
        <f>IF(E46=0,0,(C46-E46)/E46)</f>
        <v>0</v>
      </c>
      <c r="E46" s="93"/>
      <c r="F46" s="93"/>
      <c r="G46" s="93"/>
      <c r="H46" s="93"/>
      <c r="I46" s="95"/>
    </row>
    <row r="47" spans="1:12" ht="21.6" customHeight="1">
      <c r="A47" s="90" t="s">
        <v>87</v>
      </c>
      <c r="B47" s="70"/>
      <c r="C47" s="71"/>
      <c r="D47" s="72"/>
      <c r="E47" s="71"/>
      <c r="F47" s="72"/>
      <c r="G47" s="71"/>
      <c r="H47" s="72"/>
      <c r="I47" s="73"/>
    </row>
    <row r="48" spans="1:12" ht="21.6" customHeight="1">
      <c r="A48" s="89" t="s">
        <v>99</v>
      </c>
      <c r="B48" s="67"/>
      <c r="C48" s="68"/>
      <c r="D48" s="69"/>
      <c r="E48" s="68"/>
      <c r="F48" s="69"/>
      <c r="G48" s="68"/>
      <c r="H48" s="69"/>
      <c r="I48" s="74"/>
    </row>
    <row r="49" spans="1:9" ht="21.6" customHeight="1">
      <c r="A49" s="75"/>
      <c r="B49" s="76"/>
      <c r="C49" s="77"/>
      <c r="D49" s="78"/>
      <c r="E49" s="77"/>
      <c r="F49" s="78"/>
      <c r="G49" s="77"/>
      <c r="H49" s="78"/>
      <c r="I49" s="79"/>
    </row>
    <row r="50" spans="1:9" ht="18.75" customHeight="1">
      <c r="A50" s="39" t="s">
        <v>105</v>
      </c>
      <c r="B50" s="61"/>
      <c r="C50" s="60"/>
      <c r="D50" s="82"/>
      <c r="E50" s="62"/>
      <c r="F50" s="62"/>
      <c r="G50" s="60"/>
      <c r="H50" s="60"/>
      <c r="I50" s="63"/>
    </row>
    <row r="51" spans="1:9" ht="18" customHeight="1">
      <c r="A51" s="150" t="s">
        <v>91</v>
      </c>
      <c r="B51" s="150" t="s">
        <v>72</v>
      </c>
      <c r="C51" s="150" t="s">
        <v>73</v>
      </c>
      <c r="D51" s="153" t="s">
        <v>84</v>
      </c>
      <c r="E51" s="154"/>
      <c r="F51" s="153" t="s">
        <v>106</v>
      </c>
      <c r="G51" s="154"/>
      <c r="H51" s="150" t="s">
        <v>80</v>
      </c>
      <c r="I51" s="150" t="s">
        <v>78</v>
      </c>
    </row>
    <row r="52" spans="1:9" ht="18" customHeight="1">
      <c r="A52" s="151"/>
      <c r="B52" s="151"/>
      <c r="C52" s="151"/>
      <c r="D52" s="86" t="s">
        <v>107</v>
      </c>
      <c r="E52" s="86" t="s">
        <v>92</v>
      </c>
      <c r="F52" s="86" t="s">
        <v>107</v>
      </c>
      <c r="G52" s="86" t="s">
        <v>92</v>
      </c>
      <c r="H52" s="151"/>
      <c r="I52" s="151"/>
    </row>
    <row r="53" spans="1:9" ht="18.75" customHeight="1">
      <c r="A53" s="97"/>
      <c r="B53" s="99"/>
      <c r="C53" s="99"/>
      <c r="D53" s="103">
        <f>IF(C53=0,0,C53/B53)</f>
        <v>0</v>
      </c>
      <c r="E53" s="100">
        <f>IF(F53=0,0,(D53-F53)/F53)</f>
        <v>0</v>
      </c>
      <c r="F53" s="98"/>
      <c r="G53" s="100">
        <f>IF(H53=0,0,(F53-H53)/H53)</f>
        <v>0</v>
      </c>
      <c r="H53" s="98"/>
      <c r="I53" s="95"/>
    </row>
    <row r="54" spans="1:9" ht="18.75" customHeight="1">
      <c r="A54" s="97"/>
      <c r="B54" s="99"/>
      <c r="C54" s="99"/>
      <c r="D54" s="103">
        <f t="shared" ref="D54:D60" si="6">IF(C54=0,0,C54/B54)</f>
        <v>0</v>
      </c>
      <c r="E54" s="100">
        <f t="shared" ref="E54:E60" si="7">IF(F54=0,0,(D54-F54)/F54)</f>
        <v>0</v>
      </c>
      <c r="F54" s="98"/>
      <c r="G54" s="100">
        <f t="shared" ref="G54:G60" si="8">IF(H54=0,0,(F54-H54)/H54)</f>
        <v>0</v>
      </c>
      <c r="H54" s="98"/>
      <c r="I54" s="95"/>
    </row>
    <row r="55" spans="1:9" ht="18.75" customHeight="1">
      <c r="A55" s="97"/>
      <c r="B55" s="99"/>
      <c r="C55" s="99"/>
      <c r="D55" s="103">
        <f t="shared" si="6"/>
        <v>0</v>
      </c>
      <c r="E55" s="100">
        <f t="shared" si="7"/>
        <v>0</v>
      </c>
      <c r="F55" s="98"/>
      <c r="G55" s="100">
        <f t="shared" si="8"/>
        <v>0</v>
      </c>
      <c r="H55" s="98"/>
      <c r="I55" s="95"/>
    </row>
    <row r="56" spans="1:9" ht="18.75" customHeight="1">
      <c r="A56" s="97"/>
      <c r="B56" s="99"/>
      <c r="C56" s="99"/>
      <c r="D56" s="103">
        <f t="shared" si="6"/>
        <v>0</v>
      </c>
      <c r="E56" s="100">
        <f t="shared" si="7"/>
        <v>0</v>
      </c>
      <c r="F56" s="98"/>
      <c r="G56" s="100">
        <f t="shared" si="8"/>
        <v>0</v>
      </c>
      <c r="H56" s="98"/>
      <c r="I56" s="95"/>
    </row>
    <row r="57" spans="1:9" ht="18.75" customHeight="1">
      <c r="A57" s="97"/>
      <c r="B57" s="99"/>
      <c r="C57" s="99"/>
      <c r="D57" s="103">
        <f t="shared" si="6"/>
        <v>0</v>
      </c>
      <c r="E57" s="100">
        <f t="shared" si="7"/>
        <v>0</v>
      </c>
      <c r="F57" s="98"/>
      <c r="G57" s="100">
        <f t="shared" si="8"/>
        <v>0</v>
      </c>
      <c r="H57" s="98"/>
      <c r="I57" s="95"/>
    </row>
    <row r="58" spans="1:9" ht="18.75" customHeight="1">
      <c r="A58" s="97"/>
      <c r="B58" s="99"/>
      <c r="C58" s="99"/>
      <c r="D58" s="103">
        <f t="shared" si="6"/>
        <v>0</v>
      </c>
      <c r="E58" s="100">
        <f t="shared" si="7"/>
        <v>0</v>
      </c>
      <c r="F58" s="98"/>
      <c r="G58" s="100">
        <f t="shared" si="8"/>
        <v>0</v>
      </c>
      <c r="H58" s="98"/>
      <c r="I58" s="95"/>
    </row>
    <row r="59" spans="1:9" ht="18.75" customHeight="1">
      <c r="A59" s="97"/>
      <c r="B59" s="99"/>
      <c r="C59" s="99"/>
      <c r="D59" s="103">
        <f t="shared" si="6"/>
        <v>0</v>
      </c>
      <c r="E59" s="100">
        <f t="shared" si="7"/>
        <v>0</v>
      </c>
      <c r="F59" s="98"/>
      <c r="G59" s="100">
        <f t="shared" si="8"/>
        <v>0</v>
      </c>
      <c r="H59" s="98"/>
      <c r="I59" s="95"/>
    </row>
    <row r="60" spans="1:9" ht="18.75" customHeight="1">
      <c r="A60" s="97"/>
      <c r="B60" s="99"/>
      <c r="C60" s="99"/>
      <c r="D60" s="103">
        <f t="shared" si="6"/>
        <v>0</v>
      </c>
      <c r="E60" s="100">
        <f t="shared" si="7"/>
        <v>0</v>
      </c>
      <c r="F60" s="98"/>
      <c r="G60" s="100">
        <f t="shared" si="8"/>
        <v>0</v>
      </c>
      <c r="H60" s="98"/>
      <c r="I60" s="95"/>
    </row>
    <row r="61" spans="1:9" ht="20.100000000000001" customHeight="1">
      <c r="A61" s="90" t="s">
        <v>87</v>
      </c>
      <c r="B61" s="70"/>
      <c r="C61" s="71"/>
      <c r="D61" s="72"/>
      <c r="E61" s="71"/>
      <c r="F61" s="72"/>
      <c r="G61" s="71"/>
      <c r="H61" s="72"/>
      <c r="I61" s="73"/>
    </row>
    <row r="62" spans="1:9" ht="20.100000000000001" customHeight="1">
      <c r="A62" s="89" t="s">
        <v>77</v>
      </c>
      <c r="B62" s="67"/>
      <c r="C62" s="68"/>
      <c r="D62" s="69"/>
      <c r="E62" s="68"/>
      <c r="F62" s="69"/>
      <c r="G62" s="68"/>
      <c r="H62" s="69"/>
      <c r="I62" s="74"/>
    </row>
    <row r="63" spans="1:9" ht="20.100000000000001" customHeight="1">
      <c r="A63" s="75"/>
      <c r="B63" s="76"/>
      <c r="C63" s="77"/>
      <c r="D63" s="78"/>
      <c r="E63" s="77"/>
      <c r="F63" s="78"/>
      <c r="G63" s="77"/>
      <c r="H63" s="78"/>
      <c r="I63" s="79"/>
    </row>
    <row r="64" spans="1:9" ht="20.100000000000001" customHeight="1">
      <c r="A64" s="64"/>
      <c r="B64" s="5"/>
      <c r="C64" s="5"/>
      <c r="D64" s="5"/>
      <c r="E64" s="5"/>
      <c r="F64" s="5"/>
      <c r="G64" s="5"/>
      <c r="H64" s="5"/>
    </row>
    <row r="65" spans="1:8" ht="20.100000000000001" customHeight="1">
      <c r="A65" s="39" t="s">
        <v>63</v>
      </c>
      <c r="B65" s="5"/>
      <c r="C65" s="5"/>
      <c r="D65" s="5"/>
      <c r="E65" s="5"/>
      <c r="F65" s="5"/>
      <c r="G65" s="5"/>
      <c r="H65" s="5"/>
    </row>
    <row r="66" spans="1:8" ht="20.100000000000001" customHeight="1">
      <c r="A66" s="5"/>
      <c r="B66" s="5"/>
      <c r="C66" s="5"/>
      <c r="D66" s="5"/>
      <c r="E66" s="5"/>
      <c r="F66" s="5"/>
      <c r="G66" s="5"/>
      <c r="H66" s="5"/>
    </row>
    <row r="67" spans="1:8" ht="20.100000000000001" customHeight="1">
      <c r="A67" s="5"/>
      <c r="B67" s="5"/>
      <c r="C67" s="5"/>
      <c r="D67" s="5"/>
      <c r="E67" s="5"/>
      <c r="F67" s="5"/>
      <c r="G67" s="5"/>
      <c r="H67" s="5"/>
    </row>
    <row r="68" spans="1:8" ht="17.100000000000001" customHeight="1"/>
    <row r="69" spans="1:8" s="65" customFormat="1" ht="17.100000000000001" customHeight="1">
      <c r="A69" s="143" t="s">
        <v>160</v>
      </c>
    </row>
    <row r="70" spans="1:8" s="65" customFormat="1" ht="17.100000000000001" customHeight="1">
      <c r="A70" s="66" t="s">
        <v>161</v>
      </c>
      <c r="B70" s="66"/>
      <c r="C70" s="66"/>
      <c r="D70" s="66"/>
      <c r="E70" s="66"/>
      <c r="F70" s="66"/>
      <c r="G70" s="66"/>
      <c r="H70" s="66"/>
    </row>
    <row r="71" spans="1:8" s="65" customFormat="1" ht="17.100000000000001" customHeight="1">
      <c r="A71" s="66" t="s">
        <v>162</v>
      </c>
      <c r="B71" s="66"/>
      <c r="C71" s="66"/>
      <c r="D71" s="66"/>
      <c r="E71" s="66"/>
      <c r="F71" s="66"/>
      <c r="G71" s="66"/>
      <c r="H71" s="66"/>
    </row>
    <row r="72" spans="1:8" s="65" customFormat="1" ht="17.100000000000001" customHeight="1">
      <c r="A72" s="66" t="s">
        <v>64</v>
      </c>
      <c r="B72" s="66"/>
      <c r="C72" s="66"/>
      <c r="D72" s="66"/>
      <c r="E72" s="66"/>
      <c r="F72" s="66"/>
      <c r="G72" s="66"/>
      <c r="H72" s="66"/>
    </row>
    <row r="73" spans="1:8" s="65" customFormat="1" ht="17.100000000000001" customHeight="1">
      <c r="A73" s="66"/>
      <c r="B73" s="66"/>
      <c r="C73" s="66"/>
      <c r="D73" s="66"/>
      <c r="E73" s="66"/>
      <c r="F73" s="66"/>
      <c r="G73" s="66"/>
      <c r="H73" s="66"/>
    </row>
    <row r="74" spans="1:8" s="65" customFormat="1" ht="17.100000000000001" customHeight="1">
      <c r="A74" s="66"/>
      <c r="B74" s="66"/>
      <c r="C74" s="66"/>
      <c r="D74" s="66"/>
      <c r="E74" s="66"/>
      <c r="F74" s="66"/>
      <c r="G74" s="66"/>
      <c r="H74" s="66"/>
    </row>
    <row r="75" spans="1:8" s="65" customFormat="1" ht="17.100000000000001" customHeight="1">
      <c r="A75" s="66"/>
      <c r="B75" s="66"/>
      <c r="C75" s="66"/>
      <c r="D75" s="66"/>
      <c r="E75" s="66"/>
      <c r="F75" s="66"/>
      <c r="G75" s="66"/>
      <c r="H75" s="66"/>
    </row>
    <row r="76" spans="1:8" ht="17.100000000000001" customHeight="1">
      <c r="A76" s="5"/>
      <c r="B76" s="5"/>
      <c r="C76" s="5"/>
      <c r="D76" s="5"/>
      <c r="E76" s="5"/>
      <c r="F76" s="5"/>
      <c r="G76" s="5"/>
      <c r="H76" s="5"/>
    </row>
    <row r="77" spans="1:8" ht="17.100000000000001" customHeight="1"/>
    <row r="78" spans="1:8" ht="17.100000000000001" customHeight="1"/>
  </sheetData>
  <mergeCells count="35">
    <mergeCell ref="A1:H1"/>
    <mergeCell ref="A2:H2"/>
    <mergeCell ref="A10:B11"/>
    <mergeCell ref="C10:D10"/>
    <mergeCell ref="E10:F10"/>
    <mergeCell ref="G10:H10"/>
    <mergeCell ref="A32:B32"/>
    <mergeCell ref="A33:B33"/>
    <mergeCell ref="A34:B34"/>
    <mergeCell ref="A35:B35"/>
    <mergeCell ref="I10:I11"/>
    <mergeCell ref="A30:B31"/>
    <mergeCell ref="C30:D30"/>
    <mergeCell ref="E30:F30"/>
    <mergeCell ref="G30:H30"/>
    <mergeCell ref="I30:I31"/>
    <mergeCell ref="A36:B36"/>
    <mergeCell ref="A41:B42"/>
    <mergeCell ref="C41:D41"/>
    <mergeCell ref="E41:E42"/>
    <mergeCell ref="F41:F42"/>
    <mergeCell ref="H41:H42"/>
    <mergeCell ref="H51:H52"/>
    <mergeCell ref="I41:I42"/>
    <mergeCell ref="A43:B43"/>
    <mergeCell ref="A44:B44"/>
    <mergeCell ref="G41:G42"/>
    <mergeCell ref="I51:I52"/>
    <mergeCell ref="A45:B45"/>
    <mergeCell ref="A46:B46"/>
    <mergeCell ref="A51:A52"/>
    <mergeCell ref="B51:B52"/>
    <mergeCell ref="C51:C52"/>
    <mergeCell ref="D51:E51"/>
    <mergeCell ref="F51:G51"/>
  </mergeCells>
  <phoneticPr fontId="14" type="noConversion"/>
  <dataValidations count="1">
    <dataValidation type="list" allowBlank="1" showInputMessage="1" showErrorMessage="1" sqref="I12:I24 I32:I36 I43:I46 I53:I60">
      <formula1>"是,否"</formula1>
    </dataValidation>
  </dataValidations>
  <hyperlinks>
    <hyperlink ref="I3" location="底稿目录!A1" display="底稿目录!A1"/>
  </hyperlinks>
  <printOptions horizontalCentered="1"/>
  <pageMargins left="0.47244094488188981" right="0.31496062992125984" top="0.51181102362204722" bottom="0.39370078740157483" header="0.47244094488188981" footer="0.23622047244094491"/>
  <pageSetup paperSize="9" scale="80" fitToHeight="5" orientation="portrait" blackAndWhite="1" r:id="rId1"/>
  <headerFooter alignWithMargins="0">
    <oddFooter>&amp;C&amp;P/&amp;N</oddFooter>
  </headerFooter>
  <rowBreaks count="1" manualBreakCount="1">
    <brk id="39" max="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Q104"/>
  <sheetViews>
    <sheetView view="pageBreakPreview" topLeftCell="A2" zoomScaleSheetLayoutView="100" workbookViewId="0">
      <selection activeCell="Q58" sqref="Q58"/>
    </sheetView>
  </sheetViews>
  <sheetFormatPr defaultColWidth="9" defaultRowHeight="13.8"/>
  <cols>
    <col min="1" max="1" width="12.5" style="10" customWidth="1"/>
    <col min="2" max="13" width="9.296875" style="10" customWidth="1"/>
    <col min="14" max="15" width="11" style="10" bestFit="1" customWidth="1"/>
    <col min="16" max="16" width="7.19921875" style="10" customWidth="1"/>
    <col min="17" max="16384" width="9" style="10"/>
  </cols>
  <sheetData>
    <row r="1" spans="1:17" ht="20.100000000000001" customHeight="1">
      <c r="A1" s="159" t="s">
        <v>159</v>
      </c>
      <c r="B1" s="159"/>
      <c r="C1" s="159"/>
      <c r="D1" s="159"/>
      <c r="E1" s="159"/>
      <c r="F1" s="159"/>
      <c r="G1" s="159"/>
      <c r="H1" s="159"/>
      <c r="I1" s="159"/>
      <c r="J1" s="159"/>
      <c r="K1" s="159"/>
      <c r="L1" s="159"/>
      <c r="M1" s="159"/>
      <c r="N1" s="159"/>
      <c r="O1" s="159"/>
      <c r="P1" s="159"/>
    </row>
    <row r="2" spans="1:17" s="11" customFormat="1" ht="25.05" customHeight="1">
      <c r="A2" s="160" t="s">
        <v>148</v>
      </c>
      <c r="B2" s="160"/>
      <c r="C2" s="160"/>
      <c r="D2" s="160"/>
      <c r="E2" s="160"/>
      <c r="F2" s="160"/>
      <c r="G2" s="160"/>
      <c r="H2" s="160"/>
      <c r="I2" s="160"/>
      <c r="J2" s="160"/>
      <c r="K2" s="160"/>
      <c r="L2" s="160"/>
      <c r="M2" s="160"/>
      <c r="N2" s="160"/>
      <c r="O2" s="160"/>
      <c r="P2" s="160"/>
    </row>
    <row r="3" spans="1:17" ht="20.100000000000001" customHeight="1">
      <c r="A3" s="5" t="str">
        <f>底稿目录!A2</f>
        <v>被审计单位：</v>
      </c>
      <c r="B3" s="6"/>
      <c r="E3" s="5" t="str">
        <f>底稿目录!A4</f>
        <v>编制人：</v>
      </c>
      <c r="K3" s="5" t="str">
        <f>底稿目录!A5</f>
        <v>编制日期：</v>
      </c>
      <c r="O3" s="16" t="s">
        <v>21</v>
      </c>
      <c r="P3" s="140" t="str">
        <f>底稿目录!F3</f>
        <v>F2-19</v>
      </c>
    </row>
    <row r="4" spans="1:17" ht="20.100000000000001" customHeight="1">
      <c r="A4" s="5" t="str">
        <f>底稿目录!A3</f>
        <v>截止日：202X年12月31日</v>
      </c>
      <c r="B4" s="6"/>
      <c r="E4" s="9" t="str">
        <f>底稿目录!A6</f>
        <v>复核人：</v>
      </c>
      <c r="K4" s="9" t="str">
        <f>底稿目录!A7</f>
        <v>复核日期：</v>
      </c>
      <c r="O4" s="24" t="s">
        <v>46</v>
      </c>
      <c r="P4" s="15"/>
    </row>
    <row r="5" spans="1:17" ht="20.100000000000001" customHeight="1">
      <c r="A5" s="17" t="s">
        <v>38</v>
      </c>
      <c r="B5" s="18"/>
      <c r="C5" s="18"/>
      <c r="D5" s="18"/>
      <c r="E5" s="18"/>
      <c r="F5" s="18"/>
      <c r="G5" s="18"/>
      <c r="H5" s="18"/>
      <c r="I5" s="18"/>
      <c r="J5" s="18"/>
      <c r="K5" s="18"/>
      <c r="L5" s="18"/>
      <c r="M5" s="18"/>
      <c r="N5" s="18"/>
    </row>
    <row r="6" spans="1:17" ht="20.100000000000001" customHeight="1">
      <c r="A6" s="5" t="s">
        <v>75</v>
      </c>
      <c r="B6" s="19"/>
      <c r="C6" s="18"/>
      <c r="D6" s="18"/>
      <c r="E6" s="18"/>
      <c r="F6" s="18"/>
      <c r="G6" s="18"/>
      <c r="H6" s="18"/>
      <c r="I6" s="18"/>
      <c r="J6" s="18"/>
      <c r="K6" s="18"/>
      <c r="L6" s="18"/>
      <c r="M6" s="18"/>
      <c r="N6" s="18"/>
      <c r="O6" s="18"/>
    </row>
    <row r="7" spans="1:17" ht="20.100000000000001" customHeight="1">
      <c r="A7" s="5" t="s">
        <v>81</v>
      </c>
      <c r="B7" s="19"/>
      <c r="C7" s="18"/>
      <c r="D7" s="18"/>
      <c r="E7" s="18"/>
      <c r="F7" s="18"/>
      <c r="G7" s="18"/>
      <c r="H7" s="18"/>
      <c r="I7" s="18"/>
      <c r="J7" s="18"/>
      <c r="K7" s="18"/>
      <c r="L7" s="18"/>
      <c r="M7" s="18"/>
      <c r="N7" s="18"/>
      <c r="O7" s="18"/>
    </row>
    <row r="8" spans="1:17" ht="20.100000000000001" customHeight="1">
      <c r="A8" s="20" t="s">
        <v>108</v>
      </c>
      <c r="B8" s="18"/>
      <c r="C8" s="18"/>
      <c r="D8" s="18"/>
      <c r="E8" s="18"/>
      <c r="F8" s="18"/>
      <c r="G8" s="18"/>
      <c r="H8" s="18"/>
      <c r="I8" s="18"/>
      <c r="J8" s="18"/>
      <c r="K8" s="18"/>
      <c r="L8" s="18"/>
      <c r="M8" s="18"/>
      <c r="N8" s="18"/>
      <c r="O8" s="18"/>
    </row>
    <row r="9" spans="1:17" ht="20.100000000000001" customHeight="1">
      <c r="A9" s="18" t="s">
        <v>110</v>
      </c>
      <c r="B9" s="18"/>
      <c r="C9" s="18"/>
      <c r="D9" s="18"/>
      <c r="E9" s="18"/>
      <c r="F9" s="18"/>
      <c r="G9" s="18"/>
      <c r="H9" s="18"/>
      <c r="I9" s="18"/>
      <c r="J9" s="18"/>
      <c r="K9" s="18"/>
      <c r="L9" s="18"/>
      <c r="M9" s="18"/>
      <c r="N9" s="18"/>
      <c r="O9" s="18"/>
    </row>
    <row r="10" spans="1:17" ht="20.100000000000001" customHeight="1">
      <c r="A10" s="18" t="s">
        <v>109</v>
      </c>
      <c r="B10" s="19"/>
      <c r="C10" s="18"/>
      <c r="D10" s="18"/>
      <c r="E10" s="18"/>
      <c r="F10" s="18"/>
      <c r="G10" s="18"/>
      <c r="H10" s="18"/>
      <c r="I10" s="18"/>
      <c r="J10" s="18"/>
      <c r="K10" s="18"/>
      <c r="L10" s="18"/>
      <c r="M10" s="18"/>
      <c r="N10" s="18"/>
      <c r="O10" s="18"/>
    </row>
    <row r="11" spans="1:17" ht="20.100000000000001" customHeight="1">
      <c r="A11" s="17" t="s">
        <v>33</v>
      </c>
      <c r="B11" s="18"/>
      <c r="C11" s="18"/>
      <c r="D11" s="18"/>
      <c r="E11" s="18"/>
      <c r="F11" s="18"/>
      <c r="G11" s="18"/>
      <c r="H11" s="18"/>
      <c r="I11" s="18"/>
      <c r="J11" s="18"/>
      <c r="K11" s="18"/>
      <c r="L11" s="18"/>
      <c r="M11" s="18"/>
      <c r="N11" s="18"/>
      <c r="O11" s="18"/>
    </row>
    <row r="12" spans="1:17" ht="20.100000000000001" customHeight="1">
      <c r="A12" s="40" t="s">
        <v>0</v>
      </c>
      <c r="B12" s="41" t="s">
        <v>39</v>
      </c>
      <c r="C12" s="41" t="s">
        <v>22</v>
      </c>
      <c r="D12" s="41" t="s">
        <v>23</v>
      </c>
      <c r="E12" s="41" t="s">
        <v>24</v>
      </c>
      <c r="F12" s="41" t="s">
        <v>25</v>
      </c>
      <c r="G12" s="41" t="s">
        <v>26</v>
      </c>
      <c r="H12" s="41" t="s">
        <v>27</v>
      </c>
      <c r="I12" s="41" t="s">
        <v>28</v>
      </c>
      <c r="J12" s="41" t="s">
        <v>29</v>
      </c>
      <c r="K12" s="41" t="s">
        <v>30</v>
      </c>
      <c r="L12" s="41" t="s">
        <v>31</v>
      </c>
      <c r="M12" s="41" t="s">
        <v>32</v>
      </c>
      <c r="N12" s="40" t="s">
        <v>40</v>
      </c>
      <c r="O12" s="40" t="s">
        <v>41</v>
      </c>
      <c r="P12" s="40" t="s">
        <v>42</v>
      </c>
      <c r="Q12" s="83"/>
    </row>
    <row r="13" spans="1:17" ht="20.100000000000001" customHeight="1">
      <c r="A13" s="106"/>
      <c r="B13" s="21"/>
      <c r="C13" s="21"/>
      <c r="D13" s="21"/>
      <c r="E13" s="21"/>
      <c r="F13" s="21"/>
      <c r="G13" s="21"/>
      <c r="H13" s="21"/>
      <c r="I13" s="21"/>
      <c r="J13" s="21"/>
      <c r="K13" s="21"/>
      <c r="L13" s="21"/>
      <c r="M13" s="21"/>
      <c r="N13" s="107">
        <f t="shared" ref="N13:N19" si="0">SUM(B13:M13)</f>
        <v>0</v>
      </c>
      <c r="O13" s="21"/>
      <c r="P13" s="110">
        <f t="shared" ref="P13:P19" si="1">IF(AND(O13=0,N13-O13=0),0,IF(AND(O13=0,N13-O13&gt;0),1,(N13-O13)/O13))</f>
        <v>0</v>
      </c>
    </row>
    <row r="14" spans="1:17" ht="20.100000000000001" customHeight="1">
      <c r="A14" s="26"/>
      <c r="B14" s="21"/>
      <c r="C14" s="21"/>
      <c r="D14" s="21"/>
      <c r="E14" s="21"/>
      <c r="F14" s="21"/>
      <c r="G14" s="21"/>
      <c r="H14" s="27"/>
      <c r="I14" s="27"/>
      <c r="J14" s="27"/>
      <c r="K14" s="27"/>
      <c r="L14" s="27"/>
      <c r="M14" s="21"/>
      <c r="N14" s="107">
        <f t="shared" si="0"/>
        <v>0</v>
      </c>
      <c r="O14" s="21"/>
      <c r="P14" s="110">
        <f t="shared" si="1"/>
        <v>0</v>
      </c>
    </row>
    <row r="15" spans="1:17" ht="20.100000000000001" customHeight="1">
      <c r="A15" s="26"/>
      <c r="B15" s="21"/>
      <c r="C15" s="21"/>
      <c r="D15" s="21"/>
      <c r="E15" s="21"/>
      <c r="F15" s="21"/>
      <c r="G15" s="21"/>
      <c r="H15" s="27"/>
      <c r="I15" s="27"/>
      <c r="J15" s="27"/>
      <c r="K15" s="27"/>
      <c r="L15" s="27"/>
      <c r="M15" s="21"/>
      <c r="N15" s="107">
        <f t="shared" si="0"/>
        <v>0</v>
      </c>
      <c r="O15" s="21"/>
      <c r="P15" s="110">
        <f t="shared" si="1"/>
        <v>0</v>
      </c>
    </row>
    <row r="16" spans="1:17" ht="20.100000000000001" customHeight="1">
      <c r="A16" s="26"/>
      <c r="B16" s="21"/>
      <c r="C16" s="21"/>
      <c r="D16" s="21"/>
      <c r="E16" s="21"/>
      <c r="F16" s="21"/>
      <c r="G16" s="21"/>
      <c r="H16" s="27"/>
      <c r="I16" s="27"/>
      <c r="J16" s="27"/>
      <c r="K16" s="27"/>
      <c r="L16" s="27"/>
      <c r="M16" s="21"/>
      <c r="N16" s="107">
        <f t="shared" si="0"/>
        <v>0</v>
      </c>
      <c r="O16" s="21"/>
      <c r="P16" s="110">
        <f t="shared" si="1"/>
        <v>0</v>
      </c>
    </row>
    <row r="17" spans="1:16" ht="20.100000000000001" customHeight="1">
      <c r="A17" s="26"/>
      <c r="B17" s="21"/>
      <c r="C17" s="21"/>
      <c r="D17" s="21"/>
      <c r="E17" s="21"/>
      <c r="F17" s="21"/>
      <c r="G17" s="21"/>
      <c r="H17" s="27"/>
      <c r="I17" s="27"/>
      <c r="J17" s="27"/>
      <c r="K17" s="27"/>
      <c r="L17" s="27"/>
      <c r="M17" s="21"/>
      <c r="N17" s="107">
        <f t="shared" si="0"/>
        <v>0</v>
      </c>
      <c r="O17" s="21"/>
      <c r="P17" s="110">
        <f t="shared" si="1"/>
        <v>0</v>
      </c>
    </row>
    <row r="18" spans="1:16" ht="20.100000000000001" customHeight="1">
      <c r="A18" s="26"/>
      <c r="B18" s="21"/>
      <c r="C18" s="21"/>
      <c r="D18" s="21"/>
      <c r="E18" s="21"/>
      <c r="F18" s="21"/>
      <c r="G18" s="21"/>
      <c r="H18" s="27"/>
      <c r="I18" s="27"/>
      <c r="J18" s="27"/>
      <c r="K18" s="27"/>
      <c r="L18" s="27"/>
      <c r="M18" s="21"/>
      <c r="N18" s="107">
        <f t="shared" si="0"/>
        <v>0</v>
      </c>
      <c r="O18" s="21"/>
      <c r="P18" s="110">
        <f t="shared" si="1"/>
        <v>0</v>
      </c>
    </row>
    <row r="19" spans="1:16" ht="20.100000000000001" customHeight="1">
      <c r="A19" s="40" t="s">
        <v>40</v>
      </c>
      <c r="B19" s="108">
        <f t="shared" ref="B19:M19" si="2">SUM(B13:B18)</f>
        <v>0</v>
      </c>
      <c r="C19" s="108">
        <f t="shared" si="2"/>
        <v>0</v>
      </c>
      <c r="D19" s="108">
        <f t="shared" si="2"/>
        <v>0</v>
      </c>
      <c r="E19" s="108">
        <f t="shared" si="2"/>
        <v>0</v>
      </c>
      <c r="F19" s="108">
        <f t="shared" si="2"/>
        <v>0</v>
      </c>
      <c r="G19" s="108">
        <f t="shared" si="2"/>
        <v>0</v>
      </c>
      <c r="H19" s="108">
        <f t="shared" si="2"/>
        <v>0</v>
      </c>
      <c r="I19" s="108">
        <f t="shared" si="2"/>
        <v>0</v>
      </c>
      <c r="J19" s="108">
        <f t="shared" si="2"/>
        <v>0</v>
      </c>
      <c r="K19" s="108">
        <f t="shared" si="2"/>
        <v>0</v>
      </c>
      <c r="L19" s="108">
        <f t="shared" si="2"/>
        <v>0</v>
      </c>
      <c r="M19" s="108">
        <f t="shared" si="2"/>
        <v>0</v>
      </c>
      <c r="N19" s="108">
        <f t="shared" si="0"/>
        <v>0</v>
      </c>
      <c r="O19" s="108">
        <f>SUM(C19:N19)</f>
        <v>0</v>
      </c>
      <c r="P19" s="109">
        <f t="shared" si="1"/>
        <v>0</v>
      </c>
    </row>
    <row r="20" spans="1:16" ht="20.100000000000001" customHeight="1">
      <c r="A20" s="20" t="s">
        <v>47</v>
      </c>
      <c r="B20" s="18"/>
      <c r="C20" s="18"/>
      <c r="D20" s="18"/>
      <c r="E20" s="18"/>
      <c r="F20" s="18"/>
      <c r="G20" s="18"/>
      <c r="H20" s="18"/>
      <c r="I20" s="18"/>
      <c r="J20" s="18"/>
      <c r="K20" s="18"/>
      <c r="L20" s="18"/>
      <c r="M20" s="18"/>
      <c r="N20" s="18"/>
      <c r="O20" s="18"/>
    </row>
    <row r="21" spans="1:16" ht="20.100000000000001" customHeight="1">
      <c r="A21" s="40" t="s">
        <v>0</v>
      </c>
      <c r="B21" s="41" t="s">
        <v>39</v>
      </c>
      <c r="C21" s="41" t="s">
        <v>22</v>
      </c>
      <c r="D21" s="41" t="s">
        <v>23</v>
      </c>
      <c r="E21" s="41" t="s">
        <v>24</v>
      </c>
      <c r="F21" s="41" t="s">
        <v>25</v>
      </c>
      <c r="G21" s="41" t="s">
        <v>26</v>
      </c>
      <c r="H21" s="41" t="s">
        <v>27</v>
      </c>
      <c r="I21" s="41" t="s">
        <v>28</v>
      </c>
      <c r="J21" s="41" t="s">
        <v>29</v>
      </c>
      <c r="K21" s="41" t="s">
        <v>30</v>
      </c>
      <c r="L21" s="41" t="s">
        <v>31</v>
      </c>
      <c r="M21" s="41" t="s">
        <v>32</v>
      </c>
      <c r="N21" s="40" t="s">
        <v>40</v>
      </c>
      <c r="O21" s="40" t="s">
        <v>41</v>
      </c>
      <c r="P21" s="40" t="s">
        <v>42</v>
      </c>
    </row>
    <row r="22" spans="1:16" ht="20.100000000000001" customHeight="1">
      <c r="A22" s="111">
        <f>A13</f>
        <v>0</v>
      </c>
      <c r="B22" s="21"/>
      <c r="C22" s="21"/>
      <c r="D22" s="21"/>
      <c r="E22" s="21"/>
      <c r="F22" s="21"/>
      <c r="G22" s="21"/>
      <c r="H22" s="21"/>
      <c r="I22" s="21"/>
      <c r="J22" s="21"/>
      <c r="K22" s="21"/>
      <c r="L22" s="21"/>
      <c r="M22" s="21"/>
      <c r="N22" s="107">
        <f t="shared" ref="N22:N28" si="3">SUM(B22:M22)</f>
        <v>0</v>
      </c>
      <c r="O22" s="21"/>
      <c r="P22" s="110">
        <f t="shared" ref="P22:P28" si="4">IF(AND(O22=0,N22-O22=0),0,IF(AND(O22=0,N22-O22&gt;0),1,(N22-O22)/O22))</f>
        <v>0</v>
      </c>
    </row>
    <row r="23" spans="1:16" ht="20.100000000000001" customHeight="1">
      <c r="A23" s="112">
        <f t="shared" ref="A23:A27" si="5">A14</f>
        <v>0</v>
      </c>
      <c r="B23" s="21"/>
      <c r="C23" s="21"/>
      <c r="D23" s="21"/>
      <c r="E23" s="21"/>
      <c r="F23" s="21"/>
      <c r="G23" s="21"/>
      <c r="H23" s="27"/>
      <c r="I23" s="27"/>
      <c r="J23" s="27"/>
      <c r="K23" s="27"/>
      <c r="L23" s="27"/>
      <c r="M23" s="21"/>
      <c r="N23" s="107">
        <f t="shared" si="3"/>
        <v>0</v>
      </c>
      <c r="O23" s="21"/>
      <c r="P23" s="110">
        <f t="shared" si="4"/>
        <v>0</v>
      </c>
    </row>
    <row r="24" spans="1:16" ht="20.100000000000001" customHeight="1">
      <c r="A24" s="112">
        <f t="shared" si="5"/>
        <v>0</v>
      </c>
      <c r="B24" s="21"/>
      <c r="C24" s="21"/>
      <c r="D24" s="21"/>
      <c r="E24" s="21"/>
      <c r="F24" s="21"/>
      <c r="G24" s="21"/>
      <c r="H24" s="27"/>
      <c r="I24" s="27"/>
      <c r="J24" s="27"/>
      <c r="K24" s="27"/>
      <c r="L24" s="27"/>
      <c r="M24" s="21"/>
      <c r="N24" s="107">
        <f t="shared" si="3"/>
        <v>0</v>
      </c>
      <c r="O24" s="21"/>
      <c r="P24" s="110">
        <f t="shared" si="4"/>
        <v>0</v>
      </c>
    </row>
    <row r="25" spans="1:16" ht="20.100000000000001" customHeight="1">
      <c r="A25" s="112">
        <f t="shared" si="5"/>
        <v>0</v>
      </c>
      <c r="B25" s="21"/>
      <c r="C25" s="21"/>
      <c r="D25" s="21"/>
      <c r="E25" s="21"/>
      <c r="F25" s="21"/>
      <c r="G25" s="21"/>
      <c r="H25" s="27"/>
      <c r="I25" s="27"/>
      <c r="J25" s="27"/>
      <c r="K25" s="27"/>
      <c r="L25" s="27"/>
      <c r="M25" s="21"/>
      <c r="N25" s="107">
        <f t="shared" si="3"/>
        <v>0</v>
      </c>
      <c r="O25" s="21"/>
      <c r="P25" s="110">
        <f t="shared" si="4"/>
        <v>0</v>
      </c>
    </row>
    <row r="26" spans="1:16" ht="20.100000000000001" customHeight="1">
      <c r="A26" s="112">
        <f t="shared" si="5"/>
        <v>0</v>
      </c>
      <c r="B26" s="21"/>
      <c r="C26" s="21"/>
      <c r="D26" s="21"/>
      <c r="E26" s="21"/>
      <c r="F26" s="21"/>
      <c r="G26" s="21"/>
      <c r="H26" s="27"/>
      <c r="I26" s="27"/>
      <c r="J26" s="27"/>
      <c r="K26" s="27"/>
      <c r="L26" s="27"/>
      <c r="M26" s="21"/>
      <c r="N26" s="107">
        <f t="shared" si="3"/>
        <v>0</v>
      </c>
      <c r="O26" s="21"/>
      <c r="P26" s="110">
        <f t="shared" si="4"/>
        <v>0</v>
      </c>
    </row>
    <row r="27" spans="1:16" ht="20.100000000000001" customHeight="1">
      <c r="A27" s="112">
        <f t="shared" si="5"/>
        <v>0</v>
      </c>
      <c r="B27" s="21"/>
      <c r="C27" s="21"/>
      <c r="D27" s="21"/>
      <c r="E27" s="21"/>
      <c r="F27" s="21"/>
      <c r="G27" s="21"/>
      <c r="H27" s="27"/>
      <c r="I27" s="27"/>
      <c r="J27" s="27"/>
      <c r="K27" s="27"/>
      <c r="L27" s="27"/>
      <c r="M27" s="21"/>
      <c r="N27" s="107">
        <f t="shared" si="3"/>
        <v>0</v>
      </c>
      <c r="O27" s="21"/>
      <c r="P27" s="110">
        <f t="shared" si="4"/>
        <v>0</v>
      </c>
    </row>
    <row r="28" spans="1:16" ht="20.100000000000001" customHeight="1">
      <c r="A28" s="49" t="s">
        <v>40</v>
      </c>
      <c r="B28" s="108">
        <f t="shared" ref="B28:M28" si="6">SUM(B22:B27)</f>
        <v>0</v>
      </c>
      <c r="C28" s="108">
        <f t="shared" si="6"/>
        <v>0</v>
      </c>
      <c r="D28" s="108">
        <f t="shared" si="6"/>
        <v>0</v>
      </c>
      <c r="E28" s="108">
        <f t="shared" si="6"/>
        <v>0</v>
      </c>
      <c r="F28" s="108">
        <f t="shared" si="6"/>
        <v>0</v>
      </c>
      <c r="G28" s="108">
        <f t="shared" si="6"/>
        <v>0</v>
      </c>
      <c r="H28" s="108">
        <f t="shared" si="6"/>
        <v>0</v>
      </c>
      <c r="I28" s="108">
        <f t="shared" si="6"/>
        <v>0</v>
      </c>
      <c r="J28" s="108">
        <f t="shared" si="6"/>
        <v>0</v>
      </c>
      <c r="K28" s="108">
        <f t="shared" si="6"/>
        <v>0</v>
      </c>
      <c r="L28" s="108">
        <f t="shared" si="6"/>
        <v>0</v>
      </c>
      <c r="M28" s="108">
        <f t="shared" si="6"/>
        <v>0</v>
      </c>
      <c r="N28" s="108">
        <f t="shared" si="3"/>
        <v>0</v>
      </c>
      <c r="O28" s="108">
        <f>SUM(C28:N28)</f>
        <v>0</v>
      </c>
      <c r="P28" s="109">
        <f t="shared" si="4"/>
        <v>0</v>
      </c>
    </row>
    <row r="29" spans="1:16" ht="20.100000000000001" customHeight="1">
      <c r="A29" s="20" t="s">
        <v>74</v>
      </c>
      <c r="B29" s="18"/>
      <c r="C29" s="18"/>
      <c r="D29" s="18"/>
      <c r="E29" s="18"/>
      <c r="F29" s="18"/>
      <c r="G29" s="18"/>
      <c r="H29" s="18"/>
      <c r="I29" s="18"/>
      <c r="J29" s="18"/>
      <c r="K29" s="18"/>
      <c r="L29" s="18"/>
      <c r="M29" s="18"/>
      <c r="N29" s="18"/>
      <c r="O29" s="18"/>
    </row>
    <row r="30" spans="1:16" ht="20.100000000000001" customHeight="1">
      <c r="A30" s="40" t="s">
        <v>0</v>
      </c>
      <c r="B30" s="41" t="s">
        <v>39</v>
      </c>
      <c r="C30" s="41" t="s">
        <v>22</v>
      </c>
      <c r="D30" s="41" t="s">
        <v>23</v>
      </c>
      <c r="E30" s="41" t="s">
        <v>24</v>
      </c>
      <c r="F30" s="41" t="s">
        <v>25</v>
      </c>
      <c r="G30" s="41" t="s">
        <v>26</v>
      </c>
      <c r="H30" s="41" t="s">
        <v>27</v>
      </c>
      <c r="I30" s="41" t="s">
        <v>28</v>
      </c>
      <c r="J30" s="41" t="s">
        <v>29</v>
      </c>
      <c r="K30" s="41" t="s">
        <v>30</v>
      </c>
      <c r="L30" s="41" t="s">
        <v>31</v>
      </c>
      <c r="M30" s="41" t="s">
        <v>32</v>
      </c>
      <c r="N30" s="40" t="s">
        <v>40</v>
      </c>
      <c r="O30" s="40" t="s">
        <v>41</v>
      </c>
      <c r="P30" s="40" t="s">
        <v>42</v>
      </c>
    </row>
    <row r="31" spans="1:16" ht="20.100000000000001" customHeight="1">
      <c r="A31" s="113">
        <f>A13</f>
        <v>0</v>
      </c>
      <c r="B31" s="110">
        <f>IF(B13=0,0,B22/B13)</f>
        <v>0</v>
      </c>
      <c r="C31" s="110">
        <f t="shared" ref="C31:N31" si="7">IF(C13=0,0,C22/C13)</f>
        <v>0</v>
      </c>
      <c r="D31" s="110">
        <f t="shared" si="7"/>
        <v>0</v>
      </c>
      <c r="E31" s="110">
        <f t="shared" si="7"/>
        <v>0</v>
      </c>
      <c r="F31" s="110">
        <f t="shared" si="7"/>
        <v>0</v>
      </c>
      <c r="G31" s="110">
        <f t="shared" si="7"/>
        <v>0</v>
      </c>
      <c r="H31" s="110">
        <f t="shared" si="7"/>
        <v>0</v>
      </c>
      <c r="I31" s="110">
        <f t="shared" si="7"/>
        <v>0</v>
      </c>
      <c r="J31" s="110">
        <f t="shared" si="7"/>
        <v>0</v>
      </c>
      <c r="K31" s="110">
        <f t="shared" si="7"/>
        <v>0</v>
      </c>
      <c r="L31" s="110">
        <f t="shared" si="7"/>
        <v>0</v>
      </c>
      <c r="M31" s="110">
        <f t="shared" si="7"/>
        <v>0</v>
      </c>
      <c r="N31" s="110">
        <f t="shared" si="7"/>
        <v>0</v>
      </c>
      <c r="O31" s="110">
        <f>IF(O13=0,0,O22/O13)</f>
        <v>0</v>
      </c>
      <c r="P31" s="110">
        <f>IF(AND(O31=0,N31-O31=0),0,IF(AND(O31=0,N31-O31&gt;0),1,(N31-O31)/O31))</f>
        <v>0</v>
      </c>
    </row>
    <row r="32" spans="1:16" ht="20.100000000000001" customHeight="1">
      <c r="A32" s="113">
        <f t="shared" ref="A32:A36" si="8">A14</f>
        <v>0</v>
      </c>
      <c r="B32" s="110">
        <f t="shared" ref="B32:O32" si="9">IF(B14=0,0,B23/B14)</f>
        <v>0</v>
      </c>
      <c r="C32" s="110">
        <f t="shared" si="9"/>
        <v>0</v>
      </c>
      <c r="D32" s="110">
        <f t="shared" si="9"/>
        <v>0</v>
      </c>
      <c r="E32" s="110">
        <f t="shared" si="9"/>
        <v>0</v>
      </c>
      <c r="F32" s="110">
        <f t="shared" si="9"/>
        <v>0</v>
      </c>
      <c r="G32" s="110">
        <f t="shared" si="9"/>
        <v>0</v>
      </c>
      <c r="H32" s="110">
        <f t="shared" si="9"/>
        <v>0</v>
      </c>
      <c r="I32" s="110">
        <f t="shared" si="9"/>
        <v>0</v>
      </c>
      <c r="J32" s="110">
        <f t="shared" si="9"/>
        <v>0</v>
      </c>
      <c r="K32" s="110">
        <f t="shared" si="9"/>
        <v>0</v>
      </c>
      <c r="L32" s="110">
        <f t="shared" si="9"/>
        <v>0</v>
      </c>
      <c r="M32" s="110">
        <f t="shared" si="9"/>
        <v>0</v>
      </c>
      <c r="N32" s="110">
        <f t="shared" si="9"/>
        <v>0</v>
      </c>
      <c r="O32" s="110">
        <f t="shared" si="9"/>
        <v>0</v>
      </c>
      <c r="P32" s="110">
        <f t="shared" ref="P32:P37" si="10">IF(AND(O32=0,N32-O32=0),0,IF(AND(O32=0,N32-O32&gt;0),1,(N32-O32)/O32))</f>
        <v>0</v>
      </c>
    </row>
    <row r="33" spans="1:17" ht="20.100000000000001" customHeight="1">
      <c r="A33" s="113">
        <f t="shared" si="8"/>
        <v>0</v>
      </c>
      <c r="B33" s="110">
        <f t="shared" ref="B33:O33" si="11">IF(B15=0,0,B24/B15)</f>
        <v>0</v>
      </c>
      <c r="C33" s="110">
        <f t="shared" si="11"/>
        <v>0</v>
      </c>
      <c r="D33" s="110">
        <f t="shared" si="11"/>
        <v>0</v>
      </c>
      <c r="E33" s="110">
        <f t="shared" si="11"/>
        <v>0</v>
      </c>
      <c r="F33" s="110">
        <f t="shared" si="11"/>
        <v>0</v>
      </c>
      <c r="G33" s="110">
        <f t="shared" si="11"/>
        <v>0</v>
      </c>
      <c r="H33" s="110">
        <f t="shared" si="11"/>
        <v>0</v>
      </c>
      <c r="I33" s="110">
        <f t="shared" si="11"/>
        <v>0</v>
      </c>
      <c r="J33" s="110">
        <f t="shared" si="11"/>
        <v>0</v>
      </c>
      <c r="K33" s="110">
        <f t="shared" si="11"/>
        <v>0</v>
      </c>
      <c r="L33" s="110">
        <f t="shared" si="11"/>
        <v>0</v>
      </c>
      <c r="M33" s="110">
        <f t="shared" si="11"/>
        <v>0</v>
      </c>
      <c r="N33" s="110">
        <f t="shared" si="11"/>
        <v>0</v>
      </c>
      <c r="O33" s="110">
        <f t="shared" si="11"/>
        <v>0</v>
      </c>
      <c r="P33" s="110">
        <f t="shared" si="10"/>
        <v>0</v>
      </c>
    </row>
    <row r="34" spans="1:17" ht="20.100000000000001" customHeight="1">
      <c r="A34" s="113">
        <f t="shared" si="8"/>
        <v>0</v>
      </c>
      <c r="B34" s="110">
        <f t="shared" ref="B34:O34" si="12">IF(B16=0,0,B25/B16)</f>
        <v>0</v>
      </c>
      <c r="C34" s="110">
        <f t="shared" si="12"/>
        <v>0</v>
      </c>
      <c r="D34" s="110">
        <f t="shared" si="12"/>
        <v>0</v>
      </c>
      <c r="E34" s="110">
        <f t="shared" si="12"/>
        <v>0</v>
      </c>
      <c r="F34" s="110">
        <f t="shared" si="12"/>
        <v>0</v>
      </c>
      <c r="G34" s="110">
        <f t="shared" si="12"/>
        <v>0</v>
      </c>
      <c r="H34" s="110">
        <f t="shared" si="12"/>
        <v>0</v>
      </c>
      <c r="I34" s="110">
        <f t="shared" si="12"/>
        <v>0</v>
      </c>
      <c r="J34" s="110">
        <f t="shared" si="12"/>
        <v>0</v>
      </c>
      <c r="K34" s="110">
        <f t="shared" si="12"/>
        <v>0</v>
      </c>
      <c r="L34" s="110">
        <f t="shared" si="12"/>
        <v>0</v>
      </c>
      <c r="M34" s="110">
        <f t="shared" si="12"/>
        <v>0</v>
      </c>
      <c r="N34" s="110">
        <f t="shared" si="12"/>
        <v>0</v>
      </c>
      <c r="O34" s="110">
        <f t="shared" si="12"/>
        <v>0</v>
      </c>
      <c r="P34" s="110">
        <f t="shared" si="10"/>
        <v>0</v>
      </c>
    </row>
    <row r="35" spans="1:17" ht="20.100000000000001" customHeight="1">
      <c r="A35" s="113">
        <f t="shared" si="8"/>
        <v>0</v>
      </c>
      <c r="B35" s="110">
        <f t="shared" ref="B35:O35" si="13">IF(B17=0,0,B26/B17)</f>
        <v>0</v>
      </c>
      <c r="C35" s="110">
        <f t="shared" si="13"/>
        <v>0</v>
      </c>
      <c r="D35" s="110">
        <f t="shared" si="13"/>
        <v>0</v>
      </c>
      <c r="E35" s="110">
        <f t="shared" si="13"/>
        <v>0</v>
      </c>
      <c r="F35" s="110">
        <f t="shared" si="13"/>
        <v>0</v>
      </c>
      <c r="G35" s="110">
        <f t="shared" si="13"/>
        <v>0</v>
      </c>
      <c r="H35" s="110">
        <f t="shared" si="13"/>
        <v>0</v>
      </c>
      <c r="I35" s="110">
        <f t="shared" si="13"/>
        <v>0</v>
      </c>
      <c r="J35" s="110">
        <f t="shared" si="13"/>
        <v>0</v>
      </c>
      <c r="K35" s="110">
        <f t="shared" si="13"/>
        <v>0</v>
      </c>
      <c r="L35" s="110">
        <f t="shared" si="13"/>
        <v>0</v>
      </c>
      <c r="M35" s="110">
        <f t="shared" si="13"/>
        <v>0</v>
      </c>
      <c r="N35" s="110">
        <f t="shared" si="13"/>
        <v>0</v>
      </c>
      <c r="O35" s="110">
        <f t="shared" si="13"/>
        <v>0</v>
      </c>
      <c r="P35" s="110">
        <f t="shared" si="10"/>
        <v>0</v>
      </c>
    </row>
    <row r="36" spans="1:17" ht="20.100000000000001" customHeight="1">
      <c r="A36" s="113">
        <f t="shared" si="8"/>
        <v>0</v>
      </c>
      <c r="B36" s="110">
        <f t="shared" ref="B36" si="14">IF(B18=0,0,B27/B18)</f>
        <v>0</v>
      </c>
      <c r="C36" s="110">
        <f t="shared" ref="C36:O36" si="15">IF(C18=0,0,C27/C18)</f>
        <v>0</v>
      </c>
      <c r="D36" s="110">
        <f t="shared" si="15"/>
        <v>0</v>
      </c>
      <c r="E36" s="110">
        <f t="shared" si="15"/>
        <v>0</v>
      </c>
      <c r="F36" s="110">
        <f t="shared" si="15"/>
        <v>0</v>
      </c>
      <c r="G36" s="110">
        <f t="shared" si="15"/>
        <v>0</v>
      </c>
      <c r="H36" s="110">
        <f t="shared" si="15"/>
        <v>0</v>
      </c>
      <c r="I36" s="110">
        <f t="shared" si="15"/>
        <v>0</v>
      </c>
      <c r="J36" s="110">
        <f t="shared" si="15"/>
        <v>0</v>
      </c>
      <c r="K36" s="110">
        <f t="shared" si="15"/>
        <v>0</v>
      </c>
      <c r="L36" s="110">
        <f t="shared" si="15"/>
        <v>0</v>
      </c>
      <c r="M36" s="110">
        <f t="shared" si="15"/>
        <v>0</v>
      </c>
      <c r="N36" s="110">
        <f t="shared" si="15"/>
        <v>0</v>
      </c>
      <c r="O36" s="110">
        <f t="shared" si="15"/>
        <v>0</v>
      </c>
      <c r="P36" s="110">
        <f t="shared" si="10"/>
        <v>0</v>
      </c>
    </row>
    <row r="37" spans="1:17" ht="20.100000000000001" customHeight="1">
      <c r="A37" s="49" t="s">
        <v>40</v>
      </c>
      <c r="B37" s="109">
        <f>IF(B19=0,0,B28/B19)</f>
        <v>0</v>
      </c>
      <c r="C37" s="109">
        <f t="shared" ref="C37:N37" si="16">IF(C19=0,0,C28/C19)</f>
        <v>0</v>
      </c>
      <c r="D37" s="109">
        <f t="shared" si="16"/>
        <v>0</v>
      </c>
      <c r="E37" s="109">
        <f t="shared" si="16"/>
        <v>0</v>
      </c>
      <c r="F37" s="109">
        <f t="shared" si="16"/>
        <v>0</v>
      </c>
      <c r="G37" s="109">
        <f t="shared" si="16"/>
        <v>0</v>
      </c>
      <c r="H37" s="109">
        <f t="shared" si="16"/>
        <v>0</v>
      </c>
      <c r="I37" s="109">
        <f t="shared" si="16"/>
        <v>0</v>
      </c>
      <c r="J37" s="109">
        <f t="shared" si="16"/>
        <v>0</v>
      </c>
      <c r="K37" s="109">
        <f t="shared" si="16"/>
        <v>0</v>
      </c>
      <c r="L37" s="109">
        <f t="shared" si="16"/>
        <v>0</v>
      </c>
      <c r="M37" s="109">
        <f t="shared" si="16"/>
        <v>0</v>
      </c>
      <c r="N37" s="109">
        <f t="shared" si="16"/>
        <v>0</v>
      </c>
      <c r="O37" s="109">
        <f>IF(O19=0,0,O28/O19)</f>
        <v>0</v>
      </c>
      <c r="P37" s="109">
        <f t="shared" si="10"/>
        <v>0</v>
      </c>
    </row>
    <row r="38" spans="1:17" ht="20.100000000000001" customHeight="1">
      <c r="A38" s="50" t="s">
        <v>48</v>
      </c>
      <c r="B38" s="28"/>
      <c r="C38" s="28"/>
      <c r="D38" s="28"/>
      <c r="E38" s="28"/>
      <c r="F38" s="28"/>
      <c r="G38" s="28"/>
      <c r="H38" s="28"/>
      <c r="I38" s="28"/>
      <c r="J38" s="28"/>
      <c r="K38" s="28"/>
      <c r="L38" s="28"/>
      <c r="M38" s="28"/>
      <c r="N38" s="28"/>
      <c r="O38" s="28"/>
    </row>
    <row r="39" spans="1:17" ht="20.100000000000001" customHeight="1">
      <c r="A39" s="49" t="s">
        <v>0</v>
      </c>
      <c r="B39" s="41" t="s">
        <v>39</v>
      </c>
      <c r="C39" s="41" t="s">
        <v>22</v>
      </c>
      <c r="D39" s="41" t="s">
        <v>23</v>
      </c>
      <c r="E39" s="41" t="s">
        <v>24</v>
      </c>
      <c r="F39" s="41" t="s">
        <v>25</v>
      </c>
      <c r="G39" s="41" t="s">
        <v>26</v>
      </c>
      <c r="H39" s="41" t="s">
        <v>27</v>
      </c>
      <c r="I39" s="41" t="s">
        <v>28</v>
      </c>
      <c r="J39" s="41" t="s">
        <v>29</v>
      </c>
      <c r="K39" s="41" t="s">
        <v>30</v>
      </c>
      <c r="L39" s="41" t="s">
        <v>31</v>
      </c>
      <c r="M39" s="41" t="s">
        <v>32</v>
      </c>
      <c r="N39" s="40" t="s">
        <v>40</v>
      </c>
      <c r="O39" s="40" t="s">
        <v>41</v>
      </c>
      <c r="P39" s="40" t="s">
        <v>42</v>
      </c>
      <c r="Q39" s="84"/>
    </row>
    <row r="40" spans="1:17" ht="20.100000000000001" customHeight="1">
      <c r="A40" s="113">
        <f>A13</f>
        <v>0</v>
      </c>
      <c r="B40" s="21"/>
      <c r="C40" s="21"/>
      <c r="D40" s="21"/>
      <c r="E40" s="21"/>
      <c r="F40" s="21"/>
      <c r="G40" s="21"/>
      <c r="H40" s="21"/>
      <c r="I40" s="21"/>
      <c r="J40" s="21"/>
      <c r="K40" s="21"/>
      <c r="L40" s="21"/>
      <c r="M40" s="21"/>
      <c r="N40" s="107">
        <f t="shared" ref="N40:N46" si="17">SUM(B40:M40)</f>
        <v>0</v>
      </c>
      <c r="O40" s="21"/>
      <c r="P40" s="110">
        <f t="shared" ref="P40:P46" si="18">IF(AND(O40=0,N40-O40=0),0,IF(AND(O40=0,N40-O40&gt;0),1,(N40-O40)/O40))</f>
        <v>0</v>
      </c>
    </row>
    <row r="41" spans="1:17" ht="20.100000000000001" customHeight="1">
      <c r="A41" s="113">
        <f t="shared" ref="A41:A45" si="19">A14</f>
        <v>0</v>
      </c>
      <c r="B41" s="21"/>
      <c r="C41" s="21"/>
      <c r="D41" s="21"/>
      <c r="E41" s="21"/>
      <c r="F41" s="21"/>
      <c r="G41" s="21"/>
      <c r="H41" s="27"/>
      <c r="I41" s="27"/>
      <c r="J41" s="27"/>
      <c r="K41" s="27"/>
      <c r="L41" s="27"/>
      <c r="M41" s="21"/>
      <c r="N41" s="107">
        <f t="shared" si="17"/>
        <v>0</v>
      </c>
      <c r="O41" s="21"/>
      <c r="P41" s="110">
        <f t="shared" si="18"/>
        <v>0</v>
      </c>
    </row>
    <row r="42" spans="1:17" ht="20.100000000000001" customHeight="1">
      <c r="A42" s="113">
        <f t="shared" si="19"/>
        <v>0</v>
      </c>
      <c r="B42" s="21"/>
      <c r="C42" s="21"/>
      <c r="D42" s="21"/>
      <c r="E42" s="21"/>
      <c r="F42" s="21"/>
      <c r="G42" s="21"/>
      <c r="H42" s="27"/>
      <c r="I42" s="27"/>
      <c r="J42" s="27"/>
      <c r="K42" s="27"/>
      <c r="L42" s="27"/>
      <c r="M42" s="21"/>
      <c r="N42" s="107">
        <f t="shared" si="17"/>
        <v>0</v>
      </c>
      <c r="O42" s="21"/>
      <c r="P42" s="110">
        <f>IF(AND(O42=0,N42-O42=0),0,IF(AND(O42=0,N42-O42&gt;0),1,(N42-O42)/O42))</f>
        <v>0</v>
      </c>
    </row>
    <row r="43" spans="1:17" ht="20.100000000000001" customHeight="1">
      <c r="A43" s="113">
        <f t="shared" si="19"/>
        <v>0</v>
      </c>
      <c r="B43" s="21"/>
      <c r="C43" s="21"/>
      <c r="D43" s="21"/>
      <c r="E43" s="21"/>
      <c r="F43" s="21"/>
      <c r="G43" s="21"/>
      <c r="H43" s="27"/>
      <c r="I43" s="27"/>
      <c r="J43" s="27"/>
      <c r="K43" s="27"/>
      <c r="L43" s="27"/>
      <c r="M43" s="21"/>
      <c r="N43" s="107">
        <f>SUM(B43:M43)</f>
        <v>0</v>
      </c>
      <c r="O43" s="21"/>
      <c r="P43" s="110">
        <f t="shared" si="18"/>
        <v>0</v>
      </c>
    </row>
    <row r="44" spans="1:17" ht="20.100000000000001" customHeight="1">
      <c r="A44" s="113">
        <f t="shared" si="19"/>
        <v>0</v>
      </c>
      <c r="B44" s="21"/>
      <c r="C44" s="21"/>
      <c r="D44" s="21"/>
      <c r="E44" s="21"/>
      <c r="F44" s="21"/>
      <c r="G44" s="21"/>
      <c r="H44" s="27"/>
      <c r="I44" s="27"/>
      <c r="J44" s="27"/>
      <c r="K44" s="27"/>
      <c r="L44" s="27"/>
      <c r="M44" s="21"/>
      <c r="N44" s="107">
        <f t="shared" si="17"/>
        <v>0</v>
      </c>
      <c r="O44" s="21"/>
      <c r="P44" s="110">
        <f t="shared" si="18"/>
        <v>0</v>
      </c>
    </row>
    <row r="45" spans="1:17" ht="20.100000000000001" customHeight="1">
      <c r="A45" s="113">
        <f t="shared" si="19"/>
        <v>0</v>
      </c>
      <c r="B45" s="21"/>
      <c r="C45" s="21"/>
      <c r="D45" s="21"/>
      <c r="E45" s="21"/>
      <c r="F45" s="21"/>
      <c r="G45" s="21"/>
      <c r="H45" s="27"/>
      <c r="I45" s="27"/>
      <c r="J45" s="27"/>
      <c r="K45" s="27"/>
      <c r="L45" s="27"/>
      <c r="M45" s="21"/>
      <c r="N45" s="107">
        <f t="shared" si="17"/>
        <v>0</v>
      </c>
      <c r="O45" s="21"/>
      <c r="P45" s="110">
        <f t="shared" si="18"/>
        <v>0</v>
      </c>
    </row>
    <row r="46" spans="1:17" ht="20.100000000000001" customHeight="1">
      <c r="A46" s="49" t="s">
        <v>40</v>
      </c>
      <c r="B46" s="108">
        <f t="shared" ref="B46:M46" si="20">SUM(B40:B45)</f>
        <v>0</v>
      </c>
      <c r="C46" s="108">
        <f t="shared" si="20"/>
        <v>0</v>
      </c>
      <c r="D46" s="108">
        <f t="shared" si="20"/>
        <v>0</v>
      </c>
      <c r="E46" s="108">
        <f t="shared" si="20"/>
        <v>0</v>
      </c>
      <c r="F46" s="108">
        <f t="shared" si="20"/>
        <v>0</v>
      </c>
      <c r="G46" s="108">
        <f t="shared" si="20"/>
        <v>0</v>
      </c>
      <c r="H46" s="108">
        <f t="shared" si="20"/>
        <v>0</v>
      </c>
      <c r="I46" s="108">
        <f t="shared" si="20"/>
        <v>0</v>
      </c>
      <c r="J46" s="108">
        <f t="shared" si="20"/>
        <v>0</v>
      </c>
      <c r="K46" s="108">
        <f t="shared" si="20"/>
        <v>0</v>
      </c>
      <c r="L46" s="108">
        <f t="shared" si="20"/>
        <v>0</v>
      </c>
      <c r="M46" s="108">
        <f t="shared" si="20"/>
        <v>0</v>
      </c>
      <c r="N46" s="108">
        <f t="shared" si="17"/>
        <v>0</v>
      </c>
      <c r="O46" s="108">
        <f>SUM(C46:N46)</f>
        <v>0</v>
      </c>
      <c r="P46" s="109">
        <f t="shared" si="18"/>
        <v>0</v>
      </c>
    </row>
    <row r="47" spans="1:17" ht="20.100000000000001" customHeight="1">
      <c r="A47" s="48" t="s">
        <v>34</v>
      </c>
      <c r="B47" s="28"/>
      <c r="C47" s="28"/>
      <c r="D47" s="28"/>
      <c r="E47" s="28"/>
      <c r="F47" s="28"/>
      <c r="G47" s="28"/>
      <c r="H47" s="28"/>
      <c r="I47" s="28"/>
      <c r="J47" s="28"/>
      <c r="K47" s="28"/>
      <c r="L47" s="28"/>
      <c r="M47" s="28"/>
      <c r="N47" s="28"/>
      <c r="O47" s="28"/>
    </row>
    <row r="48" spans="1:17" ht="20.100000000000001" customHeight="1">
      <c r="A48" s="49" t="s">
        <v>0</v>
      </c>
      <c r="B48" s="41" t="s">
        <v>39</v>
      </c>
      <c r="C48" s="41" t="s">
        <v>22</v>
      </c>
      <c r="D48" s="41" t="s">
        <v>23</v>
      </c>
      <c r="E48" s="41" t="s">
        <v>24</v>
      </c>
      <c r="F48" s="41" t="s">
        <v>25</v>
      </c>
      <c r="G48" s="41" t="s">
        <v>26</v>
      </c>
      <c r="H48" s="41" t="s">
        <v>27</v>
      </c>
      <c r="I48" s="41" t="s">
        <v>28</v>
      </c>
      <c r="J48" s="41" t="s">
        <v>29</v>
      </c>
      <c r="K48" s="41" t="s">
        <v>30</v>
      </c>
      <c r="L48" s="41" t="s">
        <v>31</v>
      </c>
      <c r="M48" s="41" t="s">
        <v>32</v>
      </c>
      <c r="N48" s="40" t="s">
        <v>40</v>
      </c>
      <c r="O48" s="40" t="s">
        <v>41</v>
      </c>
      <c r="P48" s="40" t="s">
        <v>42</v>
      </c>
      <c r="Q48" s="84"/>
    </row>
    <row r="49" spans="1:17" ht="20.100000000000001" customHeight="1">
      <c r="A49" s="114">
        <f>A13</f>
        <v>0</v>
      </c>
      <c r="B49" s="21"/>
      <c r="C49" s="21"/>
      <c r="D49" s="21"/>
      <c r="E49" s="21"/>
      <c r="F49" s="21"/>
      <c r="G49" s="21"/>
      <c r="H49" s="21"/>
      <c r="I49" s="21"/>
      <c r="J49" s="21"/>
      <c r="K49" s="21"/>
      <c r="L49" s="21"/>
      <c r="M49" s="21"/>
      <c r="N49" s="107">
        <f>SUM(B49:M49)</f>
        <v>0</v>
      </c>
      <c r="O49" s="21"/>
      <c r="P49" s="110">
        <f t="shared" ref="P49:P55" si="21">IF(AND(O49=0,N49-O49=0),0,IF(AND(O49=0,N49-O49&gt;0),1,(N49-O49)/O49))</f>
        <v>0</v>
      </c>
    </row>
    <row r="50" spans="1:17" ht="20.100000000000001" customHeight="1">
      <c r="A50" s="114">
        <f t="shared" ref="A50:A54" si="22">A14</f>
        <v>0</v>
      </c>
      <c r="B50" s="21"/>
      <c r="C50" s="21"/>
      <c r="D50" s="21"/>
      <c r="E50" s="21"/>
      <c r="F50" s="21"/>
      <c r="G50" s="21"/>
      <c r="H50" s="27"/>
      <c r="I50" s="27"/>
      <c r="J50" s="27"/>
      <c r="K50" s="27"/>
      <c r="L50" s="27"/>
      <c r="M50" s="21"/>
      <c r="N50" s="107">
        <f t="shared" ref="N50:N55" si="23">SUM(B50:M50)</f>
        <v>0</v>
      </c>
      <c r="O50" s="21"/>
      <c r="P50" s="110">
        <f t="shared" si="21"/>
        <v>0</v>
      </c>
    </row>
    <row r="51" spans="1:17" ht="20.100000000000001" customHeight="1">
      <c r="A51" s="114">
        <f t="shared" si="22"/>
        <v>0</v>
      </c>
      <c r="B51" s="21"/>
      <c r="C51" s="21"/>
      <c r="D51" s="21"/>
      <c r="E51" s="21"/>
      <c r="F51" s="21"/>
      <c r="G51" s="21"/>
      <c r="H51" s="27"/>
      <c r="I51" s="27"/>
      <c r="J51" s="27"/>
      <c r="K51" s="27"/>
      <c r="L51" s="27"/>
      <c r="M51" s="21"/>
      <c r="N51" s="107">
        <f t="shared" si="23"/>
        <v>0</v>
      </c>
      <c r="O51" s="21"/>
      <c r="P51" s="110">
        <f t="shared" si="21"/>
        <v>0</v>
      </c>
    </row>
    <row r="52" spans="1:17" ht="20.100000000000001" customHeight="1">
      <c r="A52" s="114">
        <f t="shared" si="22"/>
        <v>0</v>
      </c>
      <c r="B52" s="21"/>
      <c r="C52" s="21"/>
      <c r="D52" s="21"/>
      <c r="E52" s="21"/>
      <c r="F52" s="21"/>
      <c r="G52" s="21"/>
      <c r="H52" s="27"/>
      <c r="I52" s="27"/>
      <c r="J52" s="27"/>
      <c r="K52" s="27"/>
      <c r="L52" s="27"/>
      <c r="M52" s="21"/>
      <c r="N52" s="107">
        <f t="shared" si="23"/>
        <v>0</v>
      </c>
      <c r="O52" s="21"/>
      <c r="P52" s="110">
        <f t="shared" si="21"/>
        <v>0</v>
      </c>
    </row>
    <row r="53" spans="1:17" ht="20.100000000000001" customHeight="1">
      <c r="A53" s="114">
        <f t="shared" si="22"/>
        <v>0</v>
      </c>
      <c r="B53" s="21"/>
      <c r="C53" s="21"/>
      <c r="D53" s="21"/>
      <c r="E53" s="21"/>
      <c r="F53" s="21"/>
      <c r="G53" s="21"/>
      <c r="H53" s="27"/>
      <c r="I53" s="27"/>
      <c r="J53" s="27"/>
      <c r="K53" s="27"/>
      <c r="L53" s="27"/>
      <c r="M53" s="21"/>
      <c r="N53" s="107">
        <f t="shared" si="23"/>
        <v>0</v>
      </c>
      <c r="O53" s="21"/>
      <c r="P53" s="110">
        <f t="shared" si="21"/>
        <v>0</v>
      </c>
    </row>
    <row r="54" spans="1:17" ht="20.100000000000001" customHeight="1">
      <c r="A54" s="114">
        <f t="shared" si="22"/>
        <v>0</v>
      </c>
      <c r="B54" s="21"/>
      <c r="C54" s="21"/>
      <c r="D54" s="21"/>
      <c r="E54" s="21"/>
      <c r="F54" s="21"/>
      <c r="G54" s="21"/>
      <c r="H54" s="27"/>
      <c r="I54" s="27"/>
      <c r="J54" s="27"/>
      <c r="K54" s="27"/>
      <c r="L54" s="27"/>
      <c r="M54" s="21"/>
      <c r="N54" s="107">
        <f t="shared" si="23"/>
        <v>0</v>
      </c>
      <c r="O54" s="21"/>
      <c r="P54" s="110">
        <f t="shared" si="21"/>
        <v>0</v>
      </c>
    </row>
    <row r="55" spans="1:17" ht="20.100000000000001" customHeight="1">
      <c r="A55" s="49" t="s">
        <v>40</v>
      </c>
      <c r="B55" s="108">
        <f t="shared" ref="B55:M55" si="24">SUM(B49:B54)</f>
        <v>0</v>
      </c>
      <c r="C55" s="108">
        <f t="shared" si="24"/>
        <v>0</v>
      </c>
      <c r="D55" s="108">
        <f t="shared" si="24"/>
        <v>0</v>
      </c>
      <c r="E55" s="108">
        <f t="shared" si="24"/>
        <v>0</v>
      </c>
      <c r="F55" s="108">
        <f t="shared" si="24"/>
        <v>0</v>
      </c>
      <c r="G55" s="108">
        <f t="shared" si="24"/>
        <v>0</v>
      </c>
      <c r="H55" s="108">
        <f t="shared" si="24"/>
        <v>0</v>
      </c>
      <c r="I55" s="108">
        <f t="shared" si="24"/>
        <v>0</v>
      </c>
      <c r="J55" s="108">
        <f t="shared" si="24"/>
        <v>0</v>
      </c>
      <c r="K55" s="108">
        <f t="shared" si="24"/>
        <v>0</v>
      </c>
      <c r="L55" s="108">
        <f t="shared" si="24"/>
        <v>0</v>
      </c>
      <c r="M55" s="108">
        <f t="shared" si="24"/>
        <v>0</v>
      </c>
      <c r="N55" s="108">
        <f t="shared" si="23"/>
        <v>0</v>
      </c>
      <c r="O55" s="108">
        <f>SUM(C55:N55)</f>
        <v>0</v>
      </c>
      <c r="P55" s="109">
        <f t="shared" si="21"/>
        <v>0</v>
      </c>
    </row>
    <row r="56" spans="1:17" ht="20.100000000000001" customHeight="1">
      <c r="A56" s="50" t="s">
        <v>112</v>
      </c>
      <c r="B56" s="28"/>
      <c r="C56" s="28"/>
      <c r="D56" s="28"/>
      <c r="E56" s="28"/>
      <c r="F56" s="28"/>
      <c r="G56" s="28"/>
      <c r="H56" s="28"/>
      <c r="I56" s="28"/>
      <c r="J56" s="28"/>
      <c r="K56" s="28"/>
      <c r="L56" s="28"/>
      <c r="M56" s="28"/>
      <c r="N56" s="28"/>
      <c r="O56" s="28"/>
    </row>
    <row r="57" spans="1:17" ht="20.100000000000001" customHeight="1">
      <c r="A57" s="49" t="s">
        <v>0</v>
      </c>
      <c r="B57" s="41" t="s">
        <v>39</v>
      </c>
      <c r="C57" s="41" t="s">
        <v>22</v>
      </c>
      <c r="D57" s="41" t="s">
        <v>23</v>
      </c>
      <c r="E57" s="41" t="s">
        <v>24</v>
      </c>
      <c r="F57" s="41" t="s">
        <v>25</v>
      </c>
      <c r="G57" s="41" t="s">
        <v>26</v>
      </c>
      <c r="H57" s="41" t="s">
        <v>27</v>
      </c>
      <c r="I57" s="41" t="s">
        <v>28</v>
      </c>
      <c r="J57" s="41" t="s">
        <v>29</v>
      </c>
      <c r="K57" s="41" t="s">
        <v>30</v>
      </c>
      <c r="L57" s="41" t="s">
        <v>31</v>
      </c>
      <c r="M57" s="41" t="s">
        <v>32</v>
      </c>
      <c r="N57" s="40" t="s">
        <v>40</v>
      </c>
      <c r="O57" s="40" t="s">
        <v>41</v>
      </c>
      <c r="P57" s="40" t="s">
        <v>42</v>
      </c>
    </row>
    <row r="58" spans="1:17" ht="20.100000000000001" customHeight="1">
      <c r="A58" s="113">
        <f>A13</f>
        <v>0</v>
      </c>
      <c r="B58" s="110">
        <f>IF(B40=0,0,B40/B13)</f>
        <v>0</v>
      </c>
      <c r="C58" s="110">
        <f>IF(C40=0,0,C40/C13)</f>
        <v>0</v>
      </c>
      <c r="D58" s="110">
        <f>IF(D40=0,0,D40/D13)</f>
        <v>0</v>
      </c>
      <c r="E58" s="110">
        <f>IF(E40=0,0,E40/E13)</f>
        <v>0</v>
      </c>
      <c r="F58" s="110">
        <f t="shared" ref="F58:N58" si="25">IF(F40=0,0,F40/F13)</f>
        <v>0</v>
      </c>
      <c r="G58" s="110">
        <f t="shared" si="25"/>
        <v>0</v>
      </c>
      <c r="H58" s="110">
        <f t="shared" si="25"/>
        <v>0</v>
      </c>
      <c r="I58" s="110">
        <f t="shared" si="25"/>
        <v>0</v>
      </c>
      <c r="J58" s="110">
        <f t="shared" si="25"/>
        <v>0</v>
      </c>
      <c r="K58" s="110">
        <f t="shared" si="25"/>
        <v>0</v>
      </c>
      <c r="L58" s="110">
        <f t="shared" si="25"/>
        <v>0</v>
      </c>
      <c r="M58" s="110">
        <f t="shared" si="25"/>
        <v>0</v>
      </c>
      <c r="N58" s="110">
        <f t="shared" si="25"/>
        <v>0</v>
      </c>
      <c r="O58" s="110">
        <f>IF(O40=0,0,O40/O13)</f>
        <v>0</v>
      </c>
      <c r="P58" s="110">
        <f t="shared" ref="P58:P64" si="26">IF(AND(O58=0,N58-O58=0),0,IF(AND(O58=0,N58-O58&gt;0),1,(N58-O58)/O58))</f>
        <v>0</v>
      </c>
      <c r="Q58" s="85" t="s">
        <v>164</v>
      </c>
    </row>
    <row r="59" spans="1:17" ht="20.100000000000001" customHeight="1">
      <c r="A59" s="113">
        <f t="shared" ref="A59:A63" si="27">A14</f>
        <v>0</v>
      </c>
      <c r="B59" s="110">
        <f t="shared" ref="B59:O59" si="28">IF(B41=0,0,B41/B14)</f>
        <v>0</v>
      </c>
      <c r="C59" s="110">
        <f t="shared" si="28"/>
        <v>0</v>
      </c>
      <c r="D59" s="110">
        <f t="shared" si="28"/>
        <v>0</v>
      </c>
      <c r="E59" s="110">
        <f t="shared" si="28"/>
        <v>0</v>
      </c>
      <c r="F59" s="110">
        <f t="shared" si="28"/>
        <v>0</v>
      </c>
      <c r="G59" s="110">
        <f t="shared" si="28"/>
        <v>0</v>
      </c>
      <c r="H59" s="110">
        <f t="shared" si="28"/>
        <v>0</v>
      </c>
      <c r="I59" s="110">
        <f t="shared" si="28"/>
        <v>0</v>
      </c>
      <c r="J59" s="110">
        <f t="shared" si="28"/>
        <v>0</v>
      </c>
      <c r="K59" s="110">
        <f t="shared" si="28"/>
        <v>0</v>
      </c>
      <c r="L59" s="110">
        <f t="shared" si="28"/>
        <v>0</v>
      </c>
      <c r="M59" s="110">
        <f t="shared" si="28"/>
        <v>0</v>
      </c>
      <c r="N59" s="110">
        <f t="shared" si="28"/>
        <v>0</v>
      </c>
      <c r="O59" s="110">
        <f t="shared" si="28"/>
        <v>0</v>
      </c>
      <c r="P59" s="110">
        <f t="shared" si="26"/>
        <v>0</v>
      </c>
    </row>
    <row r="60" spans="1:17" ht="20.100000000000001" customHeight="1">
      <c r="A60" s="113">
        <f t="shared" si="27"/>
        <v>0</v>
      </c>
      <c r="B60" s="110">
        <f t="shared" ref="B60:O60" si="29">IF(B42=0,0,B42/B15)</f>
        <v>0</v>
      </c>
      <c r="C60" s="110">
        <f t="shared" si="29"/>
        <v>0</v>
      </c>
      <c r="D60" s="110">
        <f t="shared" si="29"/>
        <v>0</v>
      </c>
      <c r="E60" s="110">
        <f t="shared" si="29"/>
        <v>0</v>
      </c>
      <c r="F60" s="110">
        <f t="shared" si="29"/>
        <v>0</v>
      </c>
      <c r="G60" s="110">
        <f t="shared" si="29"/>
        <v>0</v>
      </c>
      <c r="H60" s="110">
        <f t="shared" si="29"/>
        <v>0</v>
      </c>
      <c r="I60" s="110">
        <f t="shared" si="29"/>
        <v>0</v>
      </c>
      <c r="J60" s="110">
        <f t="shared" si="29"/>
        <v>0</v>
      </c>
      <c r="K60" s="110">
        <f t="shared" si="29"/>
        <v>0</v>
      </c>
      <c r="L60" s="110">
        <f t="shared" si="29"/>
        <v>0</v>
      </c>
      <c r="M60" s="110">
        <f t="shared" si="29"/>
        <v>0</v>
      </c>
      <c r="N60" s="110">
        <f t="shared" si="29"/>
        <v>0</v>
      </c>
      <c r="O60" s="110">
        <f t="shared" si="29"/>
        <v>0</v>
      </c>
      <c r="P60" s="110">
        <f t="shared" si="26"/>
        <v>0</v>
      </c>
    </row>
    <row r="61" spans="1:17" ht="20.100000000000001" customHeight="1">
      <c r="A61" s="113">
        <f t="shared" si="27"/>
        <v>0</v>
      </c>
      <c r="B61" s="110">
        <f>IF(B43=0,0,B43/B16)</f>
        <v>0</v>
      </c>
      <c r="C61" s="110" t="s">
        <v>49</v>
      </c>
      <c r="D61" s="110">
        <f t="shared" ref="D61:O61" si="30">IF(D43=0,0,D43/D16)</f>
        <v>0</v>
      </c>
      <c r="E61" s="110">
        <f t="shared" si="30"/>
        <v>0</v>
      </c>
      <c r="F61" s="110">
        <f t="shared" si="30"/>
        <v>0</v>
      </c>
      <c r="G61" s="110">
        <f t="shared" si="30"/>
        <v>0</v>
      </c>
      <c r="H61" s="110">
        <f t="shared" si="30"/>
        <v>0</v>
      </c>
      <c r="I61" s="110">
        <f t="shared" si="30"/>
        <v>0</v>
      </c>
      <c r="J61" s="110">
        <f t="shared" si="30"/>
        <v>0</v>
      </c>
      <c r="K61" s="110">
        <f t="shared" si="30"/>
        <v>0</v>
      </c>
      <c r="L61" s="110">
        <f t="shared" si="30"/>
        <v>0</v>
      </c>
      <c r="M61" s="110">
        <f t="shared" si="30"/>
        <v>0</v>
      </c>
      <c r="N61" s="110">
        <f t="shared" si="30"/>
        <v>0</v>
      </c>
      <c r="O61" s="110">
        <f t="shared" si="30"/>
        <v>0</v>
      </c>
      <c r="P61" s="110">
        <f t="shared" si="26"/>
        <v>0</v>
      </c>
    </row>
    <row r="62" spans="1:17" ht="20.100000000000001" customHeight="1">
      <c r="A62" s="113">
        <f t="shared" si="27"/>
        <v>0</v>
      </c>
      <c r="B62" s="110">
        <f>IF(B44=0,0,B44/B17)</f>
        <v>0</v>
      </c>
      <c r="C62" s="110">
        <f>IF(C44=0,0,C44/C17)</f>
        <v>0</v>
      </c>
      <c r="D62" s="110">
        <f t="shared" ref="D62:O62" si="31">IF(D44=0,0,D44/D17)</f>
        <v>0</v>
      </c>
      <c r="E62" s="110">
        <f t="shared" si="31"/>
        <v>0</v>
      </c>
      <c r="F62" s="110">
        <f t="shared" si="31"/>
        <v>0</v>
      </c>
      <c r="G62" s="110">
        <f t="shared" si="31"/>
        <v>0</v>
      </c>
      <c r="H62" s="110">
        <f t="shared" si="31"/>
        <v>0</v>
      </c>
      <c r="I62" s="110">
        <f t="shared" si="31"/>
        <v>0</v>
      </c>
      <c r="J62" s="110">
        <f t="shared" si="31"/>
        <v>0</v>
      </c>
      <c r="K62" s="110">
        <f t="shared" si="31"/>
        <v>0</v>
      </c>
      <c r="L62" s="110">
        <f t="shared" si="31"/>
        <v>0</v>
      </c>
      <c r="M62" s="110">
        <f t="shared" si="31"/>
        <v>0</v>
      </c>
      <c r="N62" s="110">
        <f t="shared" si="31"/>
        <v>0</v>
      </c>
      <c r="O62" s="110">
        <f t="shared" si="31"/>
        <v>0</v>
      </c>
      <c r="P62" s="110">
        <f t="shared" si="26"/>
        <v>0</v>
      </c>
    </row>
    <row r="63" spans="1:17" ht="20.100000000000001" customHeight="1">
      <c r="A63" s="113">
        <f t="shared" si="27"/>
        <v>0</v>
      </c>
      <c r="B63" s="110">
        <f>IF(B45=0,0,B45/B18)</f>
        <v>0</v>
      </c>
      <c r="C63" s="110">
        <f>IF(C45=0,0,C45/C18)</f>
        <v>0</v>
      </c>
      <c r="D63" s="110">
        <f t="shared" ref="D63:O63" si="32">IF(D45=0,0,D45/D18)</f>
        <v>0</v>
      </c>
      <c r="E63" s="110">
        <f t="shared" si="32"/>
        <v>0</v>
      </c>
      <c r="F63" s="110">
        <f t="shared" si="32"/>
        <v>0</v>
      </c>
      <c r="G63" s="110">
        <f t="shared" si="32"/>
        <v>0</v>
      </c>
      <c r="H63" s="110">
        <f t="shared" si="32"/>
        <v>0</v>
      </c>
      <c r="I63" s="110">
        <f t="shared" si="32"/>
        <v>0</v>
      </c>
      <c r="J63" s="110">
        <f t="shared" si="32"/>
        <v>0</v>
      </c>
      <c r="K63" s="110">
        <f t="shared" si="32"/>
        <v>0</v>
      </c>
      <c r="L63" s="110">
        <f t="shared" si="32"/>
        <v>0</v>
      </c>
      <c r="M63" s="110">
        <f t="shared" si="32"/>
        <v>0</v>
      </c>
      <c r="N63" s="110">
        <f>IF(N45=0,0,N45/N18)</f>
        <v>0</v>
      </c>
      <c r="O63" s="110">
        <f t="shared" si="32"/>
        <v>0</v>
      </c>
      <c r="P63" s="110">
        <f t="shared" si="26"/>
        <v>0</v>
      </c>
    </row>
    <row r="64" spans="1:17" ht="20.100000000000001" customHeight="1">
      <c r="A64" s="40" t="s">
        <v>130</v>
      </c>
      <c r="B64" s="109">
        <f>IF(B46=0,0,B46/B19)</f>
        <v>0</v>
      </c>
      <c r="C64" s="109">
        <f>IF(C46=0,0,C46/C19)</f>
        <v>0</v>
      </c>
      <c r="D64" s="109">
        <f t="shared" ref="D64:O64" si="33">IF(D46=0,0,D46/D19)</f>
        <v>0</v>
      </c>
      <c r="E64" s="109">
        <f t="shared" si="33"/>
        <v>0</v>
      </c>
      <c r="F64" s="109">
        <f t="shared" si="33"/>
        <v>0</v>
      </c>
      <c r="G64" s="109">
        <f t="shared" si="33"/>
        <v>0</v>
      </c>
      <c r="H64" s="109">
        <f t="shared" si="33"/>
        <v>0</v>
      </c>
      <c r="I64" s="109">
        <f t="shared" si="33"/>
        <v>0</v>
      </c>
      <c r="J64" s="109">
        <f t="shared" si="33"/>
        <v>0</v>
      </c>
      <c r="K64" s="109">
        <f t="shared" si="33"/>
        <v>0</v>
      </c>
      <c r="L64" s="109">
        <f t="shared" si="33"/>
        <v>0</v>
      </c>
      <c r="M64" s="109">
        <f t="shared" si="33"/>
        <v>0</v>
      </c>
      <c r="N64" s="109">
        <f t="shared" si="33"/>
        <v>0</v>
      </c>
      <c r="O64" s="109">
        <f t="shared" si="33"/>
        <v>0</v>
      </c>
      <c r="P64" s="109">
        <f t="shared" si="26"/>
        <v>0</v>
      </c>
    </row>
    <row r="65" spans="1:17" ht="20.100000000000001" customHeight="1">
      <c r="A65" s="50" t="s">
        <v>113</v>
      </c>
      <c r="B65" s="28"/>
      <c r="C65" s="28"/>
      <c r="D65" s="28"/>
      <c r="E65" s="28"/>
      <c r="F65" s="28"/>
      <c r="G65" s="28"/>
      <c r="H65" s="28"/>
      <c r="I65" s="28"/>
      <c r="J65" s="28"/>
      <c r="K65" s="28"/>
      <c r="L65" s="28"/>
      <c r="M65" s="28"/>
      <c r="N65" s="28"/>
      <c r="O65" s="28"/>
    </row>
    <row r="66" spans="1:17" ht="20.100000000000001" customHeight="1">
      <c r="A66" s="115" t="s">
        <v>114</v>
      </c>
      <c r="B66" s="116" t="s">
        <v>115</v>
      </c>
      <c r="C66" s="116" t="s">
        <v>116</v>
      </c>
      <c r="D66" s="116" t="s">
        <v>117</v>
      </c>
      <c r="E66" s="116" t="s">
        <v>118</v>
      </c>
      <c r="F66" s="116" t="s">
        <v>119</v>
      </c>
      <c r="G66" s="116" t="s">
        <v>120</v>
      </c>
      <c r="H66" s="116" t="s">
        <v>121</v>
      </c>
      <c r="I66" s="116" t="s">
        <v>122</v>
      </c>
      <c r="J66" s="116" t="s">
        <v>123</v>
      </c>
      <c r="K66" s="116" t="s">
        <v>124</v>
      </c>
      <c r="L66" s="116" t="s">
        <v>125</v>
      </c>
      <c r="M66" s="116" t="s">
        <v>126</v>
      </c>
      <c r="N66" s="117" t="s">
        <v>111</v>
      </c>
      <c r="O66" s="117" t="s">
        <v>127</v>
      </c>
      <c r="P66" s="117" t="s">
        <v>128</v>
      </c>
    </row>
    <row r="67" spans="1:17" ht="20.100000000000001" customHeight="1">
      <c r="A67" s="113">
        <f>A13</f>
        <v>0</v>
      </c>
      <c r="B67" s="110">
        <f>IF(B49=0,0,B13/B49)</f>
        <v>0</v>
      </c>
      <c r="C67" s="110">
        <f t="shared" ref="C67:M67" si="34">IF(C49=0,0,C13/C49)</f>
        <v>0</v>
      </c>
      <c r="D67" s="110">
        <f t="shared" si="34"/>
        <v>0</v>
      </c>
      <c r="E67" s="110">
        <f t="shared" si="34"/>
        <v>0</v>
      </c>
      <c r="F67" s="110">
        <f t="shared" si="34"/>
        <v>0</v>
      </c>
      <c r="G67" s="110">
        <f t="shared" si="34"/>
        <v>0</v>
      </c>
      <c r="H67" s="110">
        <f t="shared" si="34"/>
        <v>0</v>
      </c>
      <c r="I67" s="110">
        <f t="shared" si="34"/>
        <v>0</v>
      </c>
      <c r="J67" s="110">
        <f t="shared" si="34"/>
        <v>0</v>
      </c>
      <c r="K67" s="110">
        <f t="shared" si="34"/>
        <v>0</v>
      </c>
      <c r="L67" s="110">
        <f t="shared" si="34"/>
        <v>0</v>
      </c>
      <c r="M67" s="110">
        <f t="shared" si="34"/>
        <v>0</v>
      </c>
      <c r="N67" s="110">
        <f>IF(N49=0,0,N13/N49)</f>
        <v>0</v>
      </c>
      <c r="O67" s="110">
        <f>IF(O49=0,0,O13/O49)</f>
        <v>0</v>
      </c>
      <c r="P67" s="110">
        <f>IF(AND(O67=0,N67-O67=0),0,IF(AND(O67=0,N67-O67&gt;0),1,(N67-O67)/O67))</f>
        <v>0</v>
      </c>
      <c r="Q67" s="85" t="s">
        <v>164</v>
      </c>
    </row>
    <row r="68" spans="1:17" ht="20.100000000000001" customHeight="1">
      <c r="A68" s="113">
        <f t="shared" ref="A68:A72" si="35">A14</f>
        <v>0</v>
      </c>
      <c r="B68" s="110">
        <f t="shared" ref="B68:O68" si="36">IF(B50=0,0,B14/B50)</f>
        <v>0</v>
      </c>
      <c r="C68" s="110">
        <f t="shared" si="36"/>
        <v>0</v>
      </c>
      <c r="D68" s="110">
        <f t="shared" si="36"/>
        <v>0</v>
      </c>
      <c r="E68" s="110">
        <f t="shared" si="36"/>
        <v>0</v>
      </c>
      <c r="F68" s="110">
        <f t="shared" si="36"/>
        <v>0</v>
      </c>
      <c r="G68" s="110">
        <f t="shared" si="36"/>
        <v>0</v>
      </c>
      <c r="H68" s="110">
        <f t="shared" si="36"/>
        <v>0</v>
      </c>
      <c r="I68" s="110">
        <f t="shared" si="36"/>
        <v>0</v>
      </c>
      <c r="J68" s="110">
        <f t="shared" si="36"/>
        <v>0</v>
      </c>
      <c r="K68" s="110">
        <f t="shared" si="36"/>
        <v>0</v>
      </c>
      <c r="L68" s="110">
        <f t="shared" si="36"/>
        <v>0</v>
      </c>
      <c r="M68" s="110">
        <f t="shared" si="36"/>
        <v>0</v>
      </c>
      <c r="N68" s="110">
        <f t="shared" si="36"/>
        <v>0</v>
      </c>
      <c r="O68" s="110">
        <f t="shared" si="36"/>
        <v>0</v>
      </c>
      <c r="P68" s="110">
        <f>IF(AND(O68=0,N68-O68=0),0,IF(AND(O68=0,N68-O68&gt;0),1,(N68-O68)/O68))</f>
        <v>0</v>
      </c>
    </row>
    <row r="69" spans="1:17" ht="20.100000000000001" customHeight="1">
      <c r="A69" s="113">
        <f t="shared" si="35"/>
        <v>0</v>
      </c>
      <c r="B69" s="110">
        <f t="shared" ref="B69:O69" si="37">IF(B51=0,0,B15/B51)</f>
        <v>0</v>
      </c>
      <c r="C69" s="110">
        <f t="shared" si="37"/>
        <v>0</v>
      </c>
      <c r="D69" s="110">
        <f t="shared" si="37"/>
        <v>0</v>
      </c>
      <c r="E69" s="110">
        <f t="shared" si="37"/>
        <v>0</v>
      </c>
      <c r="F69" s="110">
        <f t="shared" si="37"/>
        <v>0</v>
      </c>
      <c r="G69" s="110">
        <f t="shared" si="37"/>
        <v>0</v>
      </c>
      <c r="H69" s="110">
        <f t="shared" si="37"/>
        <v>0</v>
      </c>
      <c r="I69" s="110">
        <f t="shared" si="37"/>
        <v>0</v>
      </c>
      <c r="J69" s="110">
        <f t="shared" si="37"/>
        <v>0</v>
      </c>
      <c r="K69" s="110">
        <f t="shared" si="37"/>
        <v>0</v>
      </c>
      <c r="L69" s="110">
        <f t="shared" si="37"/>
        <v>0</v>
      </c>
      <c r="M69" s="110">
        <f t="shared" si="37"/>
        <v>0</v>
      </c>
      <c r="N69" s="110">
        <f t="shared" si="37"/>
        <v>0</v>
      </c>
      <c r="O69" s="110">
        <f t="shared" si="37"/>
        <v>0</v>
      </c>
      <c r="P69" s="110">
        <f t="shared" ref="P69:P73" si="38">IF(AND(O69=0,N69-O69=0),0,IF(AND(O69=0,N69-O69&gt;0),1,(N69-O69)/O69))</f>
        <v>0</v>
      </c>
    </row>
    <row r="70" spans="1:17" ht="20.100000000000001" customHeight="1">
      <c r="A70" s="113">
        <f t="shared" si="35"/>
        <v>0</v>
      </c>
      <c r="B70" s="110">
        <f t="shared" ref="B70:O70" si="39">IF(B52=0,0,B16/B52)</f>
        <v>0</v>
      </c>
      <c r="C70" s="110">
        <f t="shared" si="39"/>
        <v>0</v>
      </c>
      <c r="D70" s="110">
        <f t="shared" si="39"/>
        <v>0</v>
      </c>
      <c r="E70" s="110">
        <f t="shared" si="39"/>
        <v>0</v>
      </c>
      <c r="F70" s="110">
        <f t="shared" si="39"/>
        <v>0</v>
      </c>
      <c r="G70" s="110">
        <f t="shared" si="39"/>
        <v>0</v>
      </c>
      <c r="H70" s="110">
        <f t="shared" si="39"/>
        <v>0</v>
      </c>
      <c r="I70" s="110">
        <f t="shared" si="39"/>
        <v>0</v>
      </c>
      <c r="J70" s="110">
        <f t="shared" si="39"/>
        <v>0</v>
      </c>
      <c r="K70" s="110">
        <f t="shared" si="39"/>
        <v>0</v>
      </c>
      <c r="L70" s="110">
        <f t="shared" si="39"/>
        <v>0</v>
      </c>
      <c r="M70" s="110">
        <f t="shared" si="39"/>
        <v>0</v>
      </c>
      <c r="N70" s="110">
        <f t="shared" si="39"/>
        <v>0</v>
      </c>
      <c r="O70" s="110">
        <f t="shared" si="39"/>
        <v>0</v>
      </c>
      <c r="P70" s="110">
        <f t="shared" si="38"/>
        <v>0</v>
      </c>
    </row>
    <row r="71" spans="1:17" ht="20.100000000000001" customHeight="1">
      <c r="A71" s="113">
        <f t="shared" si="35"/>
        <v>0</v>
      </c>
      <c r="B71" s="110">
        <f t="shared" ref="B71:O71" si="40">IF(B53=0,0,B17/B53)</f>
        <v>0</v>
      </c>
      <c r="C71" s="110">
        <f t="shared" si="40"/>
        <v>0</v>
      </c>
      <c r="D71" s="110">
        <f t="shared" si="40"/>
        <v>0</v>
      </c>
      <c r="E71" s="110">
        <f t="shared" si="40"/>
        <v>0</v>
      </c>
      <c r="F71" s="110">
        <f t="shared" si="40"/>
        <v>0</v>
      </c>
      <c r="G71" s="110">
        <f t="shared" si="40"/>
        <v>0</v>
      </c>
      <c r="H71" s="110">
        <f t="shared" si="40"/>
        <v>0</v>
      </c>
      <c r="I71" s="110">
        <f t="shared" si="40"/>
        <v>0</v>
      </c>
      <c r="J71" s="110">
        <f t="shared" si="40"/>
        <v>0</v>
      </c>
      <c r="K71" s="110">
        <f t="shared" si="40"/>
        <v>0</v>
      </c>
      <c r="L71" s="110">
        <f t="shared" si="40"/>
        <v>0</v>
      </c>
      <c r="M71" s="110">
        <f t="shared" si="40"/>
        <v>0</v>
      </c>
      <c r="N71" s="110">
        <f t="shared" si="40"/>
        <v>0</v>
      </c>
      <c r="O71" s="110">
        <f t="shared" si="40"/>
        <v>0</v>
      </c>
      <c r="P71" s="110">
        <f t="shared" si="38"/>
        <v>0</v>
      </c>
    </row>
    <row r="72" spans="1:17" ht="20.100000000000001" customHeight="1">
      <c r="A72" s="113">
        <f t="shared" si="35"/>
        <v>0</v>
      </c>
      <c r="B72" s="110">
        <f t="shared" ref="B72:M73" si="41">IF(B54=0,0,B18/B54)</f>
        <v>0</v>
      </c>
      <c r="C72" s="110">
        <f t="shared" si="41"/>
        <v>0</v>
      </c>
      <c r="D72" s="110">
        <f t="shared" si="41"/>
        <v>0</v>
      </c>
      <c r="E72" s="110">
        <f t="shared" si="41"/>
        <v>0</v>
      </c>
      <c r="F72" s="110">
        <f t="shared" si="41"/>
        <v>0</v>
      </c>
      <c r="G72" s="110">
        <f t="shared" si="41"/>
        <v>0</v>
      </c>
      <c r="H72" s="110">
        <f t="shared" si="41"/>
        <v>0</v>
      </c>
      <c r="I72" s="110">
        <f t="shared" si="41"/>
        <v>0</v>
      </c>
      <c r="J72" s="110">
        <f t="shared" si="41"/>
        <v>0</v>
      </c>
      <c r="K72" s="110">
        <f t="shared" si="41"/>
        <v>0</v>
      </c>
      <c r="L72" s="110">
        <f t="shared" si="41"/>
        <v>0</v>
      </c>
      <c r="M72" s="110">
        <f t="shared" si="41"/>
        <v>0</v>
      </c>
      <c r="N72" s="110">
        <f>IF(N54=0,0,N18/N54)</f>
        <v>0</v>
      </c>
      <c r="O72" s="110">
        <f>IF(O54=0,0,O18/O54)</f>
        <v>0</v>
      </c>
      <c r="P72" s="110">
        <f t="shared" si="38"/>
        <v>0</v>
      </c>
    </row>
    <row r="73" spans="1:17" ht="20.100000000000001" customHeight="1">
      <c r="A73" s="40" t="s">
        <v>129</v>
      </c>
      <c r="B73" s="109">
        <f t="shared" si="41"/>
        <v>0</v>
      </c>
      <c r="C73" s="109">
        <f t="shared" si="41"/>
        <v>0</v>
      </c>
      <c r="D73" s="109">
        <f t="shared" si="41"/>
        <v>0</v>
      </c>
      <c r="E73" s="109">
        <f t="shared" si="41"/>
        <v>0</v>
      </c>
      <c r="F73" s="109">
        <f t="shared" si="41"/>
        <v>0</v>
      </c>
      <c r="G73" s="109">
        <f t="shared" si="41"/>
        <v>0</v>
      </c>
      <c r="H73" s="109">
        <f t="shared" si="41"/>
        <v>0</v>
      </c>
      <c r="I73" s="109">
        <f t="shared" si="41"/>
        <v>0</v>
      </c>
      <c r="J73" s="109">
        <f t="shared" si="41"/>
        <v>0</v>
      </c>
      <c r="K73" s="109">
        <f t="shared" si="41"/>
        <v>0</v>
      </c>
      <c r="L73" s="109">
        <f t="shared" si="41"/>
        <v>0</v>
      </c>
      <c r="M73" s="109">
        <f t="shared" si="41"/>
        <v>0</v>
      </c>
      <c r="N73" s="109">
        <f>IF(N55=0,0,N19/N55)</f>
        <v>0</v>
      </c>
      <c r="O73" s="109">
        <f>IF(O55=0,0,O19/O55)</f>
        <v>0</v>
      </c>
      <c r="P73" s="109">
        <f t="shared" si="38"/>
        <v>0</v>
      </c>
    </row>
    <row r="74" spans="1:17" ht="20.100000000000001" customHeight="1">
      <c r="A74" s="45" t="s">
        <v>45</v>
      </c>
      <c r="B74" s="43"/>
      <c r="C74" s="43"/>
      <c r="D74" s="43"/>
      <c r="E74" s="43"/>
      <c r="F74" s="43"/>
      <c r="G74" s="43"/>
      <c r="H74" s="43"/>
      <c r="I74" s="43"/>
      <c r="J74" s="43"/>
      <c r="K74" s="43"/>
      <c r="L74" s="43"/>
      <c r="M74" s="43"/>
      <c r="N74" s="43"/>
      <c r="O74" s="43"/>
      <c r="P74" s="44"/>
    </row>
    <row r="75" spans="1:17" ht="20.100000000000001" customHeight="1">
      <c r="A75" s="136" t="s">
        <v>154</v>
      </c>
      <c r="B75" s="22"/>
      <c r="C75" s="23"/>
      <c r="D75" s="23"/>
      <c r="E75" s="23"/>
      <c r="F75" s="23"/>
      <c r="G75" s="23"/>
      <c r="H75" s="23"/>
      <c r="I75" s="23"/>
      <c r="J75" s="23"/>
      <c r="K75" s="23"/>
      <c r="L75" s="23"/>
      <c r="M75" s="23"/>
      <c r="N75" s="23"/>
      <c r="O75" s="23"/>
      <c r="P75" s="30"/>
    </row>
    <row r="76" spans="1:17" ht="20.100000000000001" customHeight="1">
      <c r="A76" s="136" t="s">
        <v>155</v>
      </c>
      <c r="B76" s="22"/>
      <c r="C76" s="23"/>
      <c r="D76" s="23"/>
      <c r="E76" s="23"/>
      <c r="F76" s="23"/>
      <c r="G76" s="23"/>
      <c r="H76" s="23"/>
      <c r="I76" s="23"/>
      <c r="J76" s="23"/>
      <c r="K76" s="23"/>
      <c r="L76" s="23"/>
      <c r="M76" s="23"/>
      <c r="N76" s="23"/>
      <c r="O76" s="23"/>
      <c r="P76" s="30"/>
    </row>
    <row r="77" spans="1:17" ht="20.100000000000001" customHeight="1">
      <c r="A77" s="136" t="s">
        <v>156</v>
      </c>
      <c r="B77" s="22"/>
      <c r="C77" s="23"/>
      <c r="D77" s="23"/>
      <c r="E77" s="23"/>
      <c r="F77" s="23"/>
      <c r="G77" s="23"/>
      <c r="H77" s="23"/>
      <c r="I77" s="23"/>
      <c r="J77" s="23"/>
      <c r="K77" s="23"/>
      <c r="L77" s="23"/>
      <c r="M77" s="23"/>
      <c r="N77" s="23"/>
      <c r="O77" s="23"/>
      <c r="P77" s="30"/>
    </row>
    <row r="78" spans="1:17" ht="20.100000000000001" customHeight="1">
      <c r="A78" s="136" t="s">
        <v>157</v>
      </c>
      <c r="B78" s="22"/>
      <c r="C78" s="23"/>
      <c r="D78" s="23"/>
      <c r="E78" s="23"/>
      <c r="F78" s="23"/>
      <c r="G78" s="23"/>
      <c r="H78" s="23"/>
      <c r="I78" s="23"/>
      <c r="J78" s="23"/>
      <c r="K78" s="23"/>
      <c r="L78" s="23"/>
      <c r="M78" s="23"/>
      <c r="N78" s="23"/>
      <c r="O78" s="23"/>
      <c r="P78" s="30"/>
    </row>
    <row r="79" spans="1:17" ht="20.100000000000001" customHeight="1">
      <c r="A79" s="136" t="s">
        <v>163</v>
      </c>
      <c r="B79" s="22"/>
      <c r="C79" s="23"/>
      <c r="D79" s="23"/>
      <c r="E79" s="23"/>
      <c r="F79" s="23"/>
      <c r="G79" s="23"/>
      <c r="H79" s="23"/>
      <c r="I79" s="23"/>
      <c r="J79" s="23"/>
      <c r="K79" s="23"/>
      <c r="L79" s="23"/>
      <c r="M79" s="23"/>
      <c r="N79" s="23"/>
      <c r="O79" s="23"/>
      <c r="P79" s="30"/>
    </row>
    <row r="80" spans="1:17" ht="20.100000000000001" customHeight="1">
      <c r="A80" s="31" t="s">
        <v>44</v>
      </c>
      <c r="B80" s="23"/>
      <c r="C80" s="42"/>
      <c r="D80" s="42"/>
      <c r="E80" s="42"/>
      <c r="F80" s="42"/>
      <c r="G80" s="42"/>
      <c r="H80" s="42"/>
      <c r="I80" s="42"/>
      <c r="J80" s="42"/>
      <c r="K80" s="42"/>
      <c r="L80" s="42"/>
      <c r="M80" s="42"/>
      <c r="N80" s="42"/>
      <c r="O80" s="42"/>
      <c r="P80" s="30"/>
    </row>
    <row r="81" spans="1:16" ht="20.100000000000001" customHeight="1">
      <c r="A81" s="23"/>
      <c r="B81" s="23"/>
      <c r="C81" s="23"/>
      <c r="D81" s="23"/>
      <c r="E81" s="23"/>
      <c r="F81" s="23"/>
      <c r="G81" s="23"/>
      <c r="H81" s="23"/>
      <c r="I81" s="23"/>
      <c r="J81" s="23"/>
      <c r="K81" s="23"/>
      <c r="L81" s="23"/>
      <c r="M81" s="23"/>
      <c r="N81" s="23"/>
      <c r="O81" s="23"/>
      <c r="P81" s="30"/>
    </row>
    <row r="82" spans="1:16" ht="20.100000000000001" customHeight="1">
      <c r="A82" s="23"/>
      <c r="B82" s="23"/>
      <c r="C82" s="23"/>
      <c r="D82" s="23"/>
      <c r="E82" s="23"/>
      <c r="F82" s="23"/>
      <c r="G82" s="23"/>
      <c r="H82" s="23"/>
      <c r="I82" s="23"/>
      <c r="J82" s="23"/>
      <c r="K82" s="23"/>
      <c r="L82" s="23"/>
      <c r="M82" s="23"/>
      <c r="N82" s="23"/>
      <c r="O82" s="23"/>
      <c r="P82" s="30"/>
    </row>
    <row r="83" spans="1:16" ht="18" customHeight="1">
      <c r="A83" s="29"/>
      <c r="B83" s="29"/>
      <c r="C83" s="18"/>
      <c r="D83" s="18"/>
      <c r="E83" s="18"/>
      <c r="F83" s="18"/>
      <c r="G83" s="18"/>
      <c r="H83" s="18"/>
      <c r="I83" s="18"/>
      <c r="J83" s="18"/>
      <c r="K83" s="18"/>
      <c r="L83" s="18"/>
      <c r="M83" s="18"/>
      <c r="N83" s="18"/>
      <c r="O83" s="18"/>
    </row>
    <row r="84" spans="1:16" ht="18" customHeight="1">
      <c r="A84" s="14" t="s">
        <v>43</v>
      </c>
      <c r="B84" s="29"/>
      <c r="C84" s="18"/>
      <c r="D84" s="18"/>
      <c r="E84" s="18"/>
      <c r="F84" s="18"/>
      <c r="G84" s="18"/>
      <c r="H84" s="18"/>
      <c r="I84" s="18"/>
      <c r="J84" s="18"/>
      <c r="K84" s="18"/>
      <c r="L84" s="18"/>
      <c r="M84" s="18"/>
      <c r="N84" s="18"/>
      <c r="O84" s="18"/>
    </row>
    <row r="85" spans="1:16" ht="18.75" customHeight="1">
      <c r="A85" s="8" t="s">
        <v>36</v>
      </c>
      <c r="B85" s="18"/>
      <c r="C85" s="18"/>
      <c r="D85" s="18"/>
      <c r="E85" s="18"/>
      <c r="F85" s="18"/>
      <c r="G85" s="18"/>
      <c r="H85" s="18"/>
      <c r="I85" s="18"/>
      <c r="J85" s="18"/>
      <c r="K85" s="18"/>
      <c r="L85" s="18"/>
      <c r="M85" s="18"/>
      <c r="N85" s="18"/>
      <c r="O85" s="18"/>
    </row>
    <row r="86" spans="1:16" ht="18.75" customHeight="1">
      <c r="A86" s="8" t="s">
        <v>35</v>
      </c>
      <c r="B86" s="25"/>
      <c r="C86" s="18"/>
      <c r="D86" s="18"/>
      <c r="E86" s="18"/>
      <c r="F86" s="18"/>
      <c r="G86" s="18"/>
      <c r="H86" s="18"/>
      <c r="I86" s="18"/>
      <c r="J86" s="18"/>
      <c r="K86" s="18"/>
      <c r="L86" s="18"/>
      <c r="M86" s="18"/>
      <c r="N86" s="18"/>
      <c r="O86" s="18"/>
    </row>
    <row r="87" spans="1:16" ht="18.75" customHeight="1">
      <c r="A87" s="7"/>
      <c r="B87" s="18"/>
      <c r="C87" s="18"/>
      <c r="D87" s="18"/>
      <c r="E87" s="18"/>
      <c r="F87" s="18"/>
      <c r="G87" s="18"/>
      <c r="H87" s="18"/>
      <c r="I87" s="18"/>
      <c r="J87" s="18"/>
      <c r="K87" s="18"/>
      <c r="L87" s="18"/>
      <c r="M87" s="18"/>
      <c r="N87" s="18"/>
      <c r="O87" s="18"/>
    </row>
    <row r="88" spans="1:16" ht="18.75" customHeight="1">
      <c r="A88" s="7"/>
    </row>
    <row r="89" spans="1:16" ht="18.75" customHeight="1"/>
    <row r="90" spans="1:16" ht="18.75" customHeight="1"/>
    <row r="91" spans="1:16" ht="18.75" customHeight="1"/>
    <row r="92" spans="1:16" ht="18.75" customHeight="1"/>
    <row r="93" spans="1:16" ht="18.75" customHeight="1"/>
    <row r="94" spans="1:16" ht="18.75" customHeight="1"/>
    <row r="95" spans="1:16" ht="18.75" customHeight="1"/>
    <row r="96" spans="1:16" ht="18.75" customHeight="1"/>
    <row r="97" ht="18.75" customHeight="1"/>
    <row r="98" ht="18.75" customHeight="1"/>
    <row r="99" ht="18.75" customHeight="1"/>
    <row r="100" ht="18.75" customHeight="1"/>
    <row r="101" ht="18.75" customHeight="1"/>
    <row r="102" ht="18.75" customHeight="1"/>
    <row r="103" ht="18.75" customHeight="1"/>
    <row r="104" ht="18.75" customHeight="1"/>
  </sheetData>
  <mergeCells count="2">
    <mergeCell ref="A1:P1"/>
    <mergeCell ref="A2:P2"/>
  </mergeCells>
  <phoneticPr fontId="14" type="noConversion"/>
  <hyperlinks>
    <hyperlink ref="P3" location="底稿目录!A1" display="底稿目录!A1"/>
  </hyperlinks>
  <printOptions horizontalCentered="1"/>
  <pageMargins left="0.47244094488188981" right="0.31496062992125984" top="0.51181102362204722" bottom="0.39370078740157483" header="0.47244094488188981" footer="0.23622047244094491"/>
  <pageSetup paperSize="9" scale="75" fitToHeight="100" orientation="landscape" blackAndWhite="1" cellComments="atEnd" r:id="rId1"/>
  <headerFooter>
    <oddFooter>&amp;C&amp;P/&amp;N</oddFooter>
  </headerFooter>
  <rowBreaks count="1" manualBreakCount="1">
    <brk id="64" max="15"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pageSetUpPr fitToPage="1"/>
  </sheetPr>
  <dimension ref="A1:S22"/>
  <sheetViews>
    <sheetView view="pageBreakPreview" zoomScaleSheetLayoutView="100" workbookViewId="0">
      <selection activeCell="S7" sqref="S7"/>
    </sheetView>
  </sheetViews>
  <sheetFormatPr defaultRowHeight="15.6"/>
  <cols>
    <col min="1" max="1" width="16" style="119" customWidth="1"/>
    <col min="2" max="256" width="8.796875" style="119"/>
    <col min="257" max="257" width="16" style="119" customWidth="1"/>
    <col min="258" max="512" width="8.796875" style="119"/>
    <col min="513" max="513" width="16" style="119" customWidth="1"/>
    <col min="514" max="768" width="8.796875" style="119"/>
    <col min="769" max="769" width="16" style="119" customWidth="1"/>
    <col min="770" max="1024" width="8.796875" style="119"/>
    <col min="1025" max="1025" width="16" style="119" customWidth="1"/>
    <col min="1026" max="1280" width="8.796875" style="119"/>
    <col min="1281" max="1281" width="16" style="119" customWidth="1"/>
    <col min="1282" max="1536" width="8.796875" style="119"/>
    <col min="1537" max="1537" width="16" style="119" customWidth="1"/>
    <col min="1538" max="1792" width="8.796875" style="119"/>
    <col min="1793" max="1793" width="16" style="119" customWidth="1"/>
    <col min="1794" max="2048" width="8.796875" style="119"/>
    <col min="2049" max="2049" width="16" style="119" customWidth="1"/>
    <col min="2050" max="2304" width="8.796875" style="119"/>
    <col min="2305" max="2305" width="16" style="119" customWidth="1"/>
    <col min="2306" max="2560" width="8.796875" style="119"/>
    <col min="2561" max="2561" width="16" style="119" customWidth="1"/>
    <col min="2562" max="2816" width="8.796875" style="119"/>
    <col min="2817" max="2817" width="16" style="119" customWidth="1"/>
    <col min="2818" max="3072" width="8.796875" style="119"/>
    <col min="3073" max="3073" width="16" style="119" customWidth="1"/>
    <col min="3074" max="3328" width="8.796875" style="119"/>
    <col min="3329" max="3329" width="16" style="119" customWidth="1"/>
    <col min="3330" max="3584" width="8.796875" style="119"/>
    <col min="3585" max="3585" width="16" style="119" customWidth="1"/>
    <col min="3586" max="3840" width="8.796875" style="119"/>
    <col min="3841" max="3841" width="16" style="119" customWidth="1"/>
    <col min="3842" max="4096" width="8.796875" style="119"/>
    <col min="4097" max="4097" width="16" style="119" customWidth="1"/>
    <col min="4098" max="4352" width="8.796875" style="119"/>
    <col min="4353" max="4353" width="16" style="119" customWidth="1"/>
    <col min="4354" max="4608" width="8.796875" style="119"/>
    <col min="4609" max="4609" width="16" style="119" customWidth="1"/>
    <col min="4610" max="4864" width="8.796875" style="119"/>
    <col min="4865" max="4865" width="16" style="119" customWidth="1"/>
    <col min="4866" max="5120" width="8.796875" style="119"/>
    <col min="5121" max="5121" width="16" style="119" customWidth="1"/>
    <col min="5122" max="5376" width="8.796875" style="119"/>
    <col min="5377" max="5377" width="16" style="119" customWidth="1"/>
    <col min="5378" max="5632" width="8.796875" style="119"/>
    <col min="5633" max="5633" width="16" style="119" customWidth="1"/>
    <col min="5634" max="5888" width="8.796875" style="119"/>
    <col min="5889" max="5889" width="16" style="119" customWidth="1"/>
    <col min="5890" max="6144" width="8.796875" style="119"/>
    <col min="6145" max="6145" width="16" style="119" customWidth="1"/>
    <col min="6146" max="6400" width="8.796875" style="119"/>
    <col min="6401" max="6401" width="16" style="119" customWidth="1"/>
    <col min="6402" max="6656" width="8.796875" style="119"/>
    <col min="6657" max="6657" width="16" style="119" customWidth="1"/>
    <col min="6658" max="6912" width="8.796875" style="119"/>
    <col min="6913" max="6913" width="16" style="119" customWidth="1"/>
    <col min="6914" max="7168" width="8.796875" style="119"/>
    <col min="7169" max="7169" width="16" style="119" customWidth="1"/>
    <col min="7170" max="7424" width="8.796875" style="119"/>
    <col min="7425" max="7425" width="16" style="119" customWidth="1"/>
    <col min="7426" max="7680" width="8.796875" style="119"/>
    <col min="7681" max="7681" width="16" style="119" customWidth="1"/>
    <col min="7682" max="7936" width="8.796875" style="119"/>
    <col min="7937" max="7937" width="16" style="119" customWidth="1"/>
    <col min="7938" max="8192" width="8.796875" style="119"/>
    <col min="8193" max="8193" width="16" style="119" customWidth="1"/>
    <col min="8194" max="8448" width="8.796875" style="119"/>
    <col min="8449" max="8449" width="16" style="119" customWidth="1"/>
    <col min="8450" max="8704" width="8.796875" style="119"/>
    <col min="8705" max="8705" width="16" style="119" customWidth="1"/>
    <col min="8706" max="8960" width="8.796875" style="119"/>
    <col min="8961" max="8961" width="16" style="119" customWidth="1"/>
    <col min="8962" max="9216" width="8.796875" style="119"/>
    <col min="9217" max="9217" width="16" style="119" customWidth="1"/>
    <col min="9218" max="9472" width="8.796875" style="119"/>
    <col min="9473" max="9473" width="16" style="119" customWidth="1"/>
    <col min="9474" max="9728" width="8.796875" style="119"/>
    <col min="9729" max="9729" width="16" style="119" customWidth="1"/>
    <col min="9730" max="9984" width="8.796875" style="119"/>
    <col min="9985" max="9985" width="16" style="119" customWidth="1"/>
    <col min="9986" max="10240" width="8.796875" style="119"/>
    <col min="10241" max="10241" width="16" style="119" customWidth="1"/>
    <col min="10242" max="10496" width="8.796875" style="119"/>
    <col min="10497" max="10497" width="16" style="119" customWidth="1"/>
    <col min="10498" max="10752" width="8.796875" style="119"/>
    <col min="10753" max="10753" width="16" style="119" customWidth="1"/>
    <col min="10754" max="11008" width="8.796875" style="119"/>
    <col min="11009" max="11009" width="16" style="119" customWidth="1"/>
    <col min="11010" max="11264" width="8.796875" style="119"/>
    <col min="11265" max="11265" width="16" style="119" customWidth="1"/>
    <col min="11266" max="11520" width="8.796875" style="119"/>
    <col min="11521" max="11521" width="16" style="119" customWidth="1"/>
    <col min="11522" max="11776" width="8.796875" style="119"/>
    <col min="11777" max="11777" width="16" style="119" customWidth="1"/>
    <col min="11778" max="12032" width="8.796875" style="119"/>
    <col min="12033" max="12033" width="16" style="119" customWidth="1"/>
    <col min="12034" max="12288" width="8.796875" style="119"/>
    <col min="12289" max="12289" width="16" style="119" customWidth="1"/>
    <col min="12290" max="12544" width="8.796875" style="119"/>
    <col min="12545" max="12545" width="16" style="119" customWidth="1"/>
    <col min="12546" max="12800" width="8.796875" style="119"/>
    <col min="12801" max="12801" width="16" style="119" customWidth="1"/>
    <col min="12802" max="13056" width="8.796875" style="119"/>
    <col min="13057" max="13057" width="16" style="119" customWidth="1"/>
    <col min="13058" max="13312" width="8.796875" style="119"/>
    <col min="13313" max="13313" width="16" style="119" customWidth="1"/>
    <col min="13314" max="13568" width="8.796875" style="119"/>
    <col min="13569" max="13569" width="16" style="119" customWidth="1"/>
    <col min="13570" max="13824" width="8.796875" style="119"/>
    <col min="13825" max="13825" width="16" style="119" customWidth="1"/>
    <col min="13826" max="14080" width="8.796875" style="119"/>
    <col min="14081" max="14081" width="16" style="119" customWidth="1"/>
    <col min="14082" max="14336" width="8.796875" style="119"/>
    <col min="14337" max="14337" width="16" style="119" customWidth="1"/>
    <col min="14338" max="14592" width="8.796875" style="119"/>
    <col min="14593" max="14593" width="16" style="119" customWidth="1"/>
    <col min="14594" max="14848" width="8.796875" style="119"/>
    <col min="14849" max="14849" width="16" style="119" customWidth="1"/>
    <col min="14850" max="15104" width="8.796875" style="119"/>
    <col min="15105" max="15105" width="16" style="119" customWidth="1"/>
    <col min="15106" max="15360" width="8.796875" style="119"/>
    <col min="15361" max="15361" width="16" style="119" customWidth="1"/>
    <col min="15362" max="15616" width="8.796875" style="119"/>
    <col min="15617" max="15617" width="16" style="119" customWidth="1"/>
    <col min="15618" max="15872" width="8.796875" style="119"/>
    <col min="15873" max="15873" width="16" style="119" customWidth="1"/>
    <col min="15874" max="16128" width="8.796875" style="119"/>
    <col min="16129" max="16129" width="16" style="119" customWidth="1"/>
    <col min="16130" max="16384" width="8.796875" style="119"/>
  </cols>
  <sheetData>
    <row r="1" spans="1:19" ht="20.100000000000001" customHeight="1">
      <c r="A1" s="161" t="s">
        <v>158</v>
      </c>
      <c r="B1" s="161"/>
      <c r="C1" s="161"/>
      <c r="D1" s="161"/>
      <c r="E1" s="161"/>
      <c r="F1" s="161"/>
      <c r="G1" s="161"/>
      <c r="H1" s="161"/>
      <c r="I1" s="161"/>
      <c r="J1" s="161"/>
      <c r="K1" s="161"/>
      <c r="L1" s="161"/>
      <c r="M1" s="161"/>
      <c r="N1" s="161"/>
      <c r="O1" s="161"/>
      <c r="P1" s="161"/>
      <c r="Q1" s="161"/>
      <c r="R1" s="161"/>
    </row>
    <row r="2" spans="1:19" s="120" customFormat="1" ht="25.05" customHeight="1">
      <c r="A2" s="162" t="s">
        <v>168</v>
      </c>
      <c r="B2" s="162"/>
      <c r="C2" s="162"/>
      <c r="D2" s="162"/>
      <c r="E2" s="162"/>
      <c r="F2" s="162"/>
      <c r="G2" s="162"/>
      <c r="H2" s="162"/>
      <c r="I2" s="162"/>
      <c r="J2" s="162"/>
      <c r="K2" s="162"/>
      <c r="L2" s="162"/>
      <c r="M2" s="162"/>
      <c r="N2" s="162"/>
      <c r="O2" s="162"/>
      <c r="P2" s="162"/>
      <c r="Q2" s="162"/>
      <c r="R2" s="162"/>
    </row>
    <row r="3" spans="1:19" s="120" customFormat="1" ht="20.100000000000001" customHeight="1">
      <c r="A3" s="121" t="str">
        <f>底稿目录!A2</f>
        <v>被审计单位：</v>
      </c>
      <c r="B3" s="122"/>
      <c r="C3" s="122"/>
      <c r="D3" s="122"/>
      <c r="E3" s="122"/>
      <c r="F3" s="121" t="str">
        <f>底稿目录!A4</f>
        <v>编制人：</v>
      </c>
      <c r="H3" s="122"/>
      <c r="I3" s="122"/>
      <c r="J3" s="122"/>
      <c r="K3" s="123"/>
      <c r="L3" s="123" t="str">
        <f>底稿目录!A5</f>
        <v>编制日期：</v>
      </c>
      <c r="M3" s="124"/>
      <c r="O3" s="123"/>
      <c r="P3" s="123"/>
      <c r="Q3" s="123" t="s">
        <v>132</v>
      </c>
      <c r="R3" s="141" t="str">
        <f>底稿目录!F4</f>
        <v>F2-20</v>
      </c>
    </row>
    <row r="4" spans="1:19" s="120" customFormat="1" ht="20.100000000000001" customHeight="1">
      <c r="A4" s="121" t="str">
        <f>底稿目录!A3</f>
        <v>截止日：202X年12月31日</v>
      </c>
      <c r="B4" s="122"/>
      <c r="C4" s="122"/>
      <c r="D4" s="122"/>
      <c r="E4" s="122"/>
      <c r="F4" s="121" t="str">
        <f>底稿目录!A6</f>
        <v>复核人：</v>
      </c>
      <c r="H4" s="122"/>
      <c r="I4" s="122"/>
      <c r="J4" s="122"/>
      <c r="K4" s="123"/>
      <c r="L4" s="123" t="str">
        <f>底稿目录!A7</f>
        <v>复核日期：</v>
      </c>
      <c r="M4" s="124"/>
      <c r="O4" s="123"/>
      <c r="P4" s="123"/>
      <c r="Q4" s="123" t="s">
        <v>133</v>
      </c>
      <c r="R4" s="123"/>
    </row>
    <row r="5" spans="1:19" ht="20.100000000000001" customHeight="1">
      <c r="A5" s="163" t="s">
        <v>134</v>
      </c>
      <c r="B5" s="125" t="s">
        <v>135</v>
      </c>
      <c r="C5" s="125"/>
      <c r="D5" s="125"/>
      <c r="E5" s="125"/>
      <c r="F5" s="125"/>
      <c r="G5" s="125" t="s">
        <v>136</v>
      </c>
      <c r="H5" s="125"/>
      <c r="I5" s="125"/>
      <c r="J5" s="125"/>
      <c r="K5" s="125"/>
      <c r="L5" s="125" t="s">
        <v>137</v>
      </c>
      <c r="M5" s="125"/>
      <c r="N5" s="125"/>
      <c r="O5" s="125"/>
      <c r="P5" s="125"/>
      <c r="Q5" s="163" t="s">
        <v>138</v>
      </c>
      <c r="R5" s="164" t="s">
        <v>139</v>
      </c>
    </row>
    <row r="6" spans="1:19" ht="20.100000000000001" customHeight="1">
      <c r="A6" s="163"/>
      <c r="B6" s="126" t="s">
        <v>140</v>
      </c>
      <c r="C6" s="126" t="s">
        <v>141</v>
      </c>
      <c r="D6" s="126" t="s">
        <v>142</v>
      </c>
      <c r="E6" s="126"/>
      <c r="F6" s="126" t="s">
        <v>143</v>
      </c>
      <c r="G6" s="126" t="s">
        <v>140</v>
      </c>
      <c r="H6" s="126" t="s">
        <v>141</v>
      </c>
      <c r="I6" s="126" t="s">
        <v>142</v>
      </c>
      <c r="J6" s="126"/>
      <c r="K6" s="126" t="s">
        <v>143</v>
      </c>
      <c r="L6" s="126" t="s">
        <v>140</v>
      </c>
      <c r="M6" s="126" t="s">
        <v>141</v>
      </c>
      <c r="N6" s="126" t="s">
        <v>142</v>
      </c>
      <c r="O6" s="126"/>
      <c r="P6" s="126" t="s">
        <v>143</v>
      </c>
      <c r="Q6" s="163"/>
      <c r="R6" s="163"/>
    </row>
    <row r="7" spans="1:19" ht="20.100000000000001" customHeight="1">
      <c r="A7" s="127"/>
      <c r="B7" s="128"/>
      <c r="C7" s="128"/>
      <c r="D7" s="128"/>
      <c r="E7" s="128"/>
      <c r="F7" s="129">
        <f>SUM(B7:E7)</f>
        <v>0</v>
      </c>
      <c r="G7" s="130"/>
      <c r="H7" s="130"/>
      <c r="I7" s="130"/>
      <c r="J7" s="130"/>
      <c r="K7" s="129">
        <f>SUM(G7:J7)</f>
        <v>0</v>
      </c>
      <c r="L7" s="131">
        <f>IF(G7=0,0,(B7-G7)/G7)</f>
        <v>0</v>
      </c>
      <c r="M7" s="131">
        <f>IF(H7=0,0,(C7-H7)/H7)</f>
        <v>0</v>
      </c>
      <c r="N7" s="131">
        <f>IF(I7=0,0,(D7-I7)/I7)</f>
        <v>0</v>
      </c>
      <c r="O7" s="131">
        <f>IF(J7=0,0,(E7-J7)/J7)</f>
        <v>0</v>
      </c>
      <c r="P7" s="131">
        <f>IF(K7=0,0,(F7-K7)/K7)</f>
        <v>0</v>
      </c>
      <c r="Q7" s="132"/>
      <c r="R7" s="133"/>
      <c r="S7" s="85" t="s">
        <v>167</v>
      </c>
    </row>
    <row r="8" spans="1:19" ht="20.100000000000001" customHeight="1">
      <c r="A8" s="134"/>
      <c r="B8" s="128"/>
      <c r="C8" s="128"/>
      <c r="D8" s="128"/>
      <c r="E8" s="128"/>
      <c r="F8" s="129">
        <f t="shared" ref="F8:F16" si="0">SUM(B8:E8)</f>
        <v>0</v>
      </c>
      <c r="G8" s="130"/>
      <c r="H8" s="130"/>
      <c r="I8" s="130"/>
      <c r="J8" s="130"/>
      <c r="K8" s="129">
        <f t="shared" ref="K8:K16" si="1">SUM(G8:J8)</f>
        <v>0</v>
      </c>
      <c r="L8" s="131">
        <f t="shared" ref="L8:P16" si="2">IF(G8=0,0,(B8-G8)/G8)</f>
        <v>0</v>
      </c>
      <c r="M8" s="131">
        <f t="shared" si="2"/>
        <v>0</v>
      </c>
      <c r="N8" s="131">
        <f t="shared" si="2"/>
        <v>0</v>
      </c>
      <c r="O8" s="131">
        <f t="shared" si="2"/>
        <v>0</v>
      </c>
      <c r="P8" s="131">
        <f t="shared" si="2"/>
        <v>0</v>
      </c>
      <c r="Q8" s="133"/>
      <c r="R8" s="133"/>
    </row>
    <row r="9" spans="1:19" ht="20.100000000000001" customHeight="1">
      <c r="A9" s="134"/>
      <c r="B9" s="128"/>
      <c r="C9" s="128"/>
      <c r="D9" s="128"/>
      <c r="E9" s="128"/>
      <c r="F9" s="129">
        <f t="shared" si="0"/>
        <v>0</v>
      </c>
      <c r="G9" s="130"/>
      <c r="H9" s="130"/>
      <c r="I9" s="130"/>
      <c r="J9" s="130"/>
      <c r="K9" s="129">
        <f t="shared" si="1"/>
        <v>0</v>
      </c>
      <c r="L9" s="131">
        <f t="shared" si="2"/>
        <v>0</v>
      </c>
      <c r="M9" s="131">
        <f t="shared" si="2"/>
        <v>0</v>
      </c>
      <c r="N9" s="131">
        <f t="shared" si="2"/>
        <v>0</v>
      </c>
      <c r="O9" s="131">
        <f t="shared" si="2"/>
        <v>0</v>
      </c>
      <c r="P9" s="131">
        <f t="shared" si="2"/>
        <v>0</v>
      </c>
      <c r="Q9" s="133"/>
      <c r="R9" s="133"/>
    </row>
    <row r="10" spans="1:19" ht="20.100000000000001" customHeight="1">
      <c r="A10" s="134"/>
      <c r="B10" s="128"/>
      <c r="C10" s="128"/>
      <c r="D10" s="128"/>
      <c r="E10" s="128"/>
      <c r="F10" s="129">
        <f t="shared" si="0"/>
        <v>0</v>
      </c>
      <c r="G10" s="130"/>
      <c r="H10" s="130"/>
      <c r="I10" s="130"/>
      <c r="J10" s="130"/>
      <c r="K10" s="129">
        <f t="shared" si="1"/>
        <v>0</v>
      </c>
      <c r="L10" s="131">
        <f t="shared" si="2"/>
        <v>0</v>
      </c>
      <c r="M10" s="131">
        <f t="shared" si="2"/>
        <v>0</v>
      </c>
      <c r="N10" s="131">
        <f t="shared" si="2"/>
        <v>0</v>
      </c>
      <c r="O10" s="131">
        <f t="shared" si="2"/>
        <v>0</v>
      </c>
      <c r="P10" s="131">
        <f t="shared" si="2"/>
        <v>0</v>
      </c>
      <c r="Q10" s="133"/>
      <c r="R10" s="133"/>
    </row>
    <row r="11" spans="1:19" ht="20.100000000000001" customHeight="1">
      <c r="A11" s="134"/>
      <c r="B11" s="128"/>
      <c r="C11" s="128"/>
      <c r="D11" s="128"/>
      <c r="E11" s="128"/>
      <c r="F11" s="129">
        <f t="shared" si="0"/>
        <v>0</v>
      </c>
      <c r="G11" s="130"/>
      <c r="H11" s="130"/>
      <c r="I11" s="130"/>
      <c r="J11" s="130"/>
      <c r="K11" s="129">
        <f t="shared" si="1"/>
        <v>0</v>
      </c>
      <c r="L11" s="131">
        <f t="shared" si="2"/>
        <v>0</v>
      </c>
      <c r="M11" s="131">
        <f t="shared" si="2"/>
        <v>0</v>
      </c>
      <c r="N11" s="131">
        <f t="shared" si="2"/>
        <v>0</v>
      </c>
      <c r="O11" s="131">
        <f t="shared" si="2"/>
        <v>0</v>
      </c>
      <c r="P11" s="131">
        <f t="shared" si="2"/>
        <v>0</v>
      </c>
      <c r="Q11" s="133"/>
      <c r="R11" s="133"/>
    </row>
    <row r="12" spans="1:19" ht="20.100000000000001" customHeight="1">
      <c r="A12" s="134"/>
      <c r="B12" s="128"/>
      <c r="C12" s="128"/>
      <c r="D12" s="128"/>
      <c r="E12" s="128"/>
      <c r="F12" s="129">
        <f t="shared" si="0"/>
        <v>0</v>
      </c>
      <c r="G12" s="130"/>
      <c r="H12" s="130"/>
      <c r="I12" s="130"/>
      <c r="J12" s="130"/>
      <c r="K12" s="129">
        <f t="shared" si="1"/>
        <v>0</v>
      </c>
      <c r="L12" s="131">
        <f t="shared" si="2"/>
        <v>0</v>
      </c>
      <c r="M12" s="131">
        <f t="shared" si="2"/>
        <v>0</v>
      </c>
      <c r="N12" s="131">
        <f t="shared" si="2"/>
        <v>0</v>
      </c>
      <c r="O12" s="131">
        <f t="shared" si="2"/>
        <v>0</v>
      </c>
      <c r="P12" s="131">
        <f t="shared" si="2"/>
        <v>0</v>
      </c>
      <c r="Q12" s="133"/>
      <c r="R12" s="133"/>
    </row>
    <row r="13" spans="1:19" ht="20.100000000000001" customHeight="1">
      <c r="A13" s="134"/>
      <c r="B13" s="128"/>
      <c r="C13" s="128"/>
      <c r="D13" s="128"/>
      <c r="E13" s="128"/>
      <c r="F13" s="129">
        <f t="shared" si="0"/>
        <v>0</v>
      </c>
      <c r="G13" s="130"/>
      <c r="H13" s="130"/>
      <c r="I13" s="130"/>
      <c r="J13" s="130"/>
      <c r="K13" s="129">
        <f t="shared" si="1"/>
        <v>0</v>
      </c>
      <c r="L13" s="131">
        <f t="shared" si="2"/>
        <v>0</v>
      </c>
      <c r="M13" s="131">
        <f t="shared" si="2"/>
        <v>0</v>
      </c>
      <c r="N13" s="131">
        <f t="shared" si="2"/>
        <v>0</v>
      </c>
      <c r="O13" s="131">
        <f t="shared" si="2"/>
        <v>0</v>
      </c>
      <c r="P13" s="131">
        <f t="shared" si="2"/>
        <v>0</v>
      </c>
      <c r="Q13" s="133"/>
      <c r="R13" s="133"/>
    </row>
    <row r="14" spans="1:19" ht="20.100000000000001" customHeight="1">
      <c r="A14" s="134"/>
      <c r="B14" s="128"/>
      <c r="C14" s="128"/>
      <c r="D14" s="128"/>
      <c r="E14" s="128"/>
      <c r="F14" s="129">
        <f t="shared" si="0"/>
        <v>0</v>
      </c>
      <c r="G14" s="130"/>
      <c r="H14" s="130"/>
      <c r="I14" s="130"/>
      <c r="J14" s="130"/>
      <c r="K14" s="129">
        <f t="shared" si="1"/>
        <v>0</v>
      </c>
      <c r="L14" s="131">
        <f t="shared" si="2"/>
        <v>0</v>
      </c>
      <c r="M14" s="131">
        <f t="shared" si="2"/>
        <v>0</v>
      </c>
      <c r="N14" s="131">
        <f t="shared" si="2"/>
        <v>0</v>
      </c>
      <c r="O14" s="131">
        <f t="shared" si="2"/>
        <v>0</v>
      </c>
      <c r="P14" s="131">
        <f t="shared" si="2"/>
        <v>0</v>
      </c>
      <c r="Q14" s="133"/>
      <c r="R14" s="133"/>
    </row>
    <row r="15" spans="1:19" ht="20.100000000000001" customHeight="1">
      <c r="A15" s="134"/>
      <c r="B15" s="128"/>
      <c r="C15" s="128"/>
      <c r="D15" s="128"/>
      <c r="E15" s="128"/>
      <c r="F15" s="129">
        <f t="shared" si="0"/>
        <v>0</v>
      </c>
      <c r="G15" s="130"/>
      <c r="H15" s="130"/>
      <c r="I15" s="130"/>
      <c r="J15" s="130"/>
      <c r="K15" s="129">
        <f t="shared" si="1"/>
        <v>0</v>
      </c>
      <c r="L15" s="131">
        <f t="shared" si="2"/>
        <v>0</v>
      </c>
      <c r="M15" s="131">
        <f t="shared" si="2"/>
        <v>0</v>
      </c>
      <c r="N15" s="131">
        <f t="shared" si="2"/>
        <v>0</v>
      </c>
      <c r="O15" s="131">
        <f t="shared" si="2"/>
        <v>0</v>
      </c>
      <c r="P15" s="131">
        <f t="shared" si="2"/>
        <v>0</v>
      </c>
      <c r="Q15" s="133"/>
      <c r="R15" s="133"/>
    </row>
    <row r="16" spans="1:19" ht="20.100000000000001" customHeight="1">
      <c r="A16" s="134"/>
      <c r="B16" s="128"/>
      <c r="C16" s="128"/>
      <c r="D16" s="128"/>
      <c r="E16" s="128"/>
      <c r="F16" s="129">
        <f t="shared" si="0"/>
        <v>0</v>
      </c>
      <c r="G16" s="130"/>
      <c r="H16" s="130"/>
      <c r="I16" s="130"/>
      <c r="J16" s="130"/>
      <c r="K16" s="129">
        <f t="shared" si="1"/>
        <v>0</v>
      </c>
      <c r="L16" s="131">
        <f t="shared" si="2"/>
        <v>0</v>
      </c>
      <c r="M16" s="131">
        <f t="shared" si="2"/>
        <v>0</v>
      </c>
      <c r="N16" s="131">
        <f t="shared" si="2"/>
        <v>0</v>
      </c>
      <c r="O16" s="131">
        <f t="shared" si="2"/>
        <v>0</v>
      </c>
      <c r="P16" s="131">
        <f t="shared" si="2"/>
        <v>0</v>
      </c>
      <c r="Q16" s="133"/>
      <c r="R16" s="133"/>
    </row>
    <row r="18" spans="1:1">
      <c r="A18" s="135" t="s">
        <v>144</v>
      </c>
    </row>
    <row r="19" spans="1:1">
      <c r="A19" s="137" t="s">
        <v>165</v>
      </c>
    </row>
    <row r="20" spans="1:1" s="144" customFormat="1" ht="13.8">
      <c r="A20" s="137" t="s">
        <v>166</v>
      </c>
    </row>
    <row r="21" spans="1:1" s="144" customFormat="1" ht="12"/>
    <row r="22" spans="1:1">
      <c r="A22" s="135" t="s">
        <v>145</v>
      </c>
    </row>
  </sheetData>
  <mergeCells count="5">
    <mergeCell ref="A1:R1"/>
    <mergeCell ref="A2:R2"/>
    <mergeCell ref="A5:A6"/>
    <mergeCell ref="Q5:Q6"/>
    <mergeCell ref="R5:R6"/>
  </mergeCells>
  <phoneticPr fontId="119" type="noConversion"/>
  <hyperlinks>
    <hyperlink ref="R3" location="底稿目录!A1" display="底稿目录!A1"/>
  </hyperlinks>
  <printOptions horizontalCentered="1"/>
  <pageMargins left="0.74803149606299213" right="0.74803149606299213" top="0.98425196850393704" bottom="0.98425196850393704" header="0.51181102362204722" footer="0.51181102362204722"/>
  <pageSetup paperSize="9" scale="73" orientation="landscape" blackAndWhite="1"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底稿目录</vt:lpstr>
      <vt:lpstr>GT_Custom</vt:lpstr>
      <vt:lpstr>存货总体分析表F2-18</vt:lpstr>
      <vt:lpstr>存货产销量变动分析表F2-19</vt:lpstr>
      <vt:lpstr>产品年度成本比较分析F2-20</vt:lpstr>
      <vt:lpstr>'产品年度成本比较分析F2-20'!Print_Area</vt:lpstr>
      <vt:lpstr>'存货产销量变动分析表F2-19'!Print_Area</vt:lpstr>
      <vt:lpstr>'存货总体分析表F2-18'!Print_Area</vt:lpstr>
      <vt:lpstr>'存货产销量变动分析表F2-19'!Print_Titles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2025-08-22T06:55:49Z</cp:lastPrinted>
  <dcterms:created xsi:type="dcterms:W3CDTF">2007-05-20T08:51:05Z</dcterms:created>
  <dcterms:modified xsi:type="dcterms:W3CDTF">2025-10-17T09:08:26Z</dcterms:modified>
</cp:coreProperties>
</file>