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F 存货循环\F2存货\"/>
    </mc:Choice>
  </mc:AlternateContent>
  <bookViews>
    <workbookView xWindow="0" yWindow="0" windowWidth="23040" windowHeight="8520" tabRatio="803" firstSheet="1" activeTab="1"/>
  </bookViews>
  <sheets>
    <sheet name="GT_Custom" sheetId="63" state="hidden" r:id="rId1"/>
    <sheet name="关联采购分析表F2-52" sheetId="96" r:id="rId2"/>
    <sheet name="采购定价公允性测算（询价函）G2-10-1-删除" sheetId="112" state="hidden" r:id="rId3"/>
    <sheet name="采购定价公允性测算（市场价）G2-10-2-删除" sheetId="113" state="hidden" r:id="rId4"/>
    <sheet name="识别未披露的关联方G2-10-3-删除" sheetId="102" state="hidden" r:id="rId5"/>
  </sheets>
  <externalReferences>
    <externalReference r:id="rId6"/>
    <externalReference r:id="rId7"/>
    <externalReference r:id="rId8"/>
  </externalReferences>
  <definedNames>
    <definedName name="_xlnm._FilterDatabase" localSheetId="4" hidden="1">'识别未披露的关联方G2-10-3-删除'!$A$9:$Q$27</definedName>
    <definedName name="AFV" hidden="1">#REF!</definedName>
    <definedName name="AS2DocOpenMode" hidden="1">"AS2DocumentEdit"</definedName>
    <definedName name="bs" hidden="1">{#N/A,#N/A,FALSE,"BBPREP"}</definedName>
    <definedName name="bs_1" hidden="1">{#N/A,#N/A,FALSE,"BBPREP"}</definedName>
    <definedName name="CCD" hidden="1">#REF!</definedName>
    <definedName name="CDE" hidden="1">#REF!</definedName>
    <definedName name="DEX" hidden="1">#REF!</definedName>
    <definedName name="EDC" hidden="1">#REF!</definedName>
    <definedName name="FAD" hidden="1">[1]Breakdown!#REF!</definedName>
    <definedName name="FASD" hidden="1">#REF!</definedName>
    <definedName name="FEDC" hidden="1">'[2]2004'!#REF!</definedName>
    <definedName name="_xlnm.Print_Area" localSheetId="3">'采购定价公允性测算（市场价）G2-10-2-删除'!$A$1:$E$45</definedName>
    <definedName name="_xlnm.Print_Area" localSheetId="2">'采购定价公允性测算（询价函）G2-10-1-删除'!$A$1:$I$46</definedName>
    <definedName name="_xlnm.Print_Area" localSheetId="1">'关联采购分析表F2-52'!$A$1:$Q$24</definedName>
    <definedName name="_xlnm.Print_Area" localSheetId="4">'识别未披露的关联方G2-10-3-删除'!$A$1:$R$40</definedName>
    <definedName name="RDES" hidden="1">#REF!</definedName>
    <definedName name="TextRefCopyRangeCount" hidden="1">136</definedName>
    <definedName name="VFE"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_47D4C474_81EA_4562_A03B_66488F80C527_.wvu.FilterData" hidden="1">#REF!</definedName>
    <definedName name="Z_85E7D15F_9559_4B54_A2EE_DCCECE011EC4_.wvu.Cols" hidden="1">#REF!</definedName>
    <definedName name="本循环科目" hidden="1">[3]索引!$D$15:$D$76</definedName>
    <definedName name="底稿目录" hidden="1">#REF!</definedName>
    <definedName name="新目录" hidden="1">#REF!</definedName>
  </definedNames>
  <calcPr calcId="162913"/>
</workbook>
</file>

<file path=xl/calcChain.xml><?xml version="1.0" encoding="utf-8"?>
<calcChain xmlns="http://schemas.openxmlformats.org/spreadsheetml/2006/main">
  <c r="M17" i="96" l="1"/>
  <c r="N7" i="96"/>
  <c r="N8" i="96"/>
  <c r="N9" i="96"/>
  <c r="N10" i="96"/>
  <c r="N11" i="96"/>
  <c r="N12" i="96"/>
  <c r="N13" i="96"/>
  <c r="N14" i="96"/>
  <c r="N15" i="96"/>
  <c r="N16" i="96"/>
  <c r="M6" i="96"/>
  <c r="J6" i="96"/>
  <c r="I6" i="96"/>
  <c r="N6" i="96"/>
  <c r="O6" i="96" s="1"/>
  <c r="H17" i="96" l="1"/>
  <c r="F17" i="96"/>
  <c r="N17" i="96" l="1"/>
  <c r="O17" i="96" s="1"/>
  <c r="O7" i="96"/>
  <c r="O8" i="96"/>
  <c r="O9" i="96"/>
  <c r="O10" i="96"/>
  <c r="O11" i="96"/>
  <c r="O12" i="96"/>
  <c r="O13" i="96"/>
  <c r="O14" i="96"/>
  <c r="O15" i="96"/>
  <c r="O16" i="96"/>
  <c r="M7" i="96"/>
  <c r="M8" i="96"/>
  <c r="M9" i="96"/>
  <c r="M10" i="96"/>
  <c r="M11" i="96"/>
  <c r="M12" i="96"/>
  <c r="M13" i="96"/>
  <c r="M14" i="96"/>
  <c r="M15" i="96"/>
  <c r="M16" i="96"/>
  <c r="C4" i="113" l="1"/>
  <c r="F4" i="112"/>
  <c r="I4" i="102"/>
  <c r="B4" i="113"/>
  <c r="C4" i="112"/>
  <c r="A4" i="102" l="1"/>
  <c r="I3" i="102"/>
  <c r="N3" i="102"/>
  <c r="A4" i="113"/>
  <c r="B3" i="113"/>
  <c r="C3" i="113"/>
  <c r="A4" i="112"/>
  <c r="C3" i="112"/>
  <c r="F3" i="112"/>
  <c r="J7" i="96" l="1"/>
  <c r="J8" i="96"/>
  <c r="J9" i="96"/>
  <c r="J10" i="96"/>
  <c r="J11" i="96"/>
  <c r="J12" i="96"/>
  <c r="J13" i="96"/>
  <c r="J14" i="96"/>
  <c r="J15" i="96"/>
  <c r="J16" i="96"/>
  <c r="J17" i="96"/>
  <c r="I7" i="96"/>
  <c r="I8" i="96"/>
  <c r="I9" i="96"/>
  <c r="I10" i="96"/>
  <c r="I11" i="96"/>
  <c r="I12" i="96"/>
  <c r="I13" i="96"/>
  <c r="I14" i="96"/>
  <c r="I15" i="96"/>
  <c r="I16" i="96"/>
  <c r="I17" i="96"/>
  <c r="A3" i="113" l="1"/>
  <c r="A3" i="112"/>
  <c r="A3" i="102" l="1"/>
  <c r="M11" i="102"/>
  <c r="M10" i="102"/>
</calcChain>
</file>

<file path=xl/comments1.xml><?xml version="1.0" encoding="utf-8"?>
<comments xmlns="http://schemas.openxmlformats.org/spreadsheetml/2006/main">
  <authors>
    <author>何先琴</author>
  </authors>
  <commentList>
    <comment ref="N5" authorId="0" shapeId="0">
      <text>
        <r>
          <rPr>
            <b/>
            <sz val="9"/>
            <color indexed="81"/>
            <rFont val="宋体"/>
            <family val="3"/>
            <charset val="134"/>
          </rPr>
          <t>专业技术部:</t>
        </r>
        <r>
          <rPr>
            <sz val="9"/>
            <color indexed="81"/>
            <rFont val="宋体"/>
            <family val="3"/>
            <charset val="134"/>
          </rPr>
          <t xml:space="preserve">
如果不存在非关联方采购信息，考虑获取市场价格进行比较</t>
        </r>
      </text>
    </comment>
  </commentList>
</comments>
</file>

<file path=xl/sharedStrings.xml><?xml version="1.0" encoding="utf-8"?>
<sst xmlns="http://schemas.openxmlformats.org/spreadsheetml/2006/main" count="208" uniqueCount="173">
  <si>
    <t>索引号：</t>
    <phoneticPr fontId="15" type="noConversion"/>
  </si>
  <si>
    <t>编制说明：</t>
    <phoneticPr fontId="15" type="noConversion"/>
  </si>
  <si>
    <t>日期：</t>
  </si>
  <si>
    <t>三、审计说明：</t>
    <phoneticPr fontId="15" type="noConversion"/>
  </si>
  <si>
    <t>C1</t>
  </si>
  <si>
    <t>Custom 1</t>
  </si>
  <si>
    <t>C2</t>
  </si>
  <si>
    <t>Custom 2</t>
  </si>
  <si>
    <t>C3</t>
  </si>
  <si>
    <t>Custom 3</t>
  </si>
  <si>
    <t>C4</t>
  </si>
  <si>
    <t>Custom 4</t>
  </si>
  <si>
    <t>C5</t>
  </si>
  <si>
    <t>Custom 5</t>
  </si>
  <si>
    <t>C6</t>
  </si>
  <si>
    <t>Custom 6</t>
  </si>
  <si>
    <t>C7</t>
  </si>
  <si>
    <t>Custom 7</t>
  </si>
  <si>
    <t>C8</t>
  </si>
  <si>
    <t>Custom 8</t>
  </si>
  <si>
    <t>四、审计结论：</t>
    <phoneticPr fontId="15" type="noConversion"/>
  </si>
  <si>
    <r>
      <rPr>
        <b/>
        <sz val="10"/>
        <rFont val="宋体"/>
        <family val="3"/>
        <charset val="134"/>
      </rPr>
      <t>索引号</t>
    </r>
    <phoneticPr fontId="15" type="noConversion"/>
  </si>
  <si>
    <r>
      <t>2</t>
    </r>
    <r>
      <rPr>
        <sz val="10"/>
        <rFont val="宋体"/>
        <family val="3"/>
        <charset val="134"/>
      </rPr>
      <t>、</t>
    </r>
    <phoneticPr fontId="15" type="noConversion"/>
  </si>
  <si>
    <r>
      <rPr>
        <b/>
        <sz val="10"/>
        <color indexed="8"/>
        <rFont val="宋体"/>
        <family val="3"/>
        <charset val="134"/>
      </rPr>
      <t>一、审计目标：</t>
    </r>
    <phoneticPr fontId="15" type="noConversion"/>
  </si>
  <si>
    <t>页  次：</t>
    <phoneticPr fontId="15" type="noConversion"/>
  </si>
  <si>
    <t>月份</t>
    <phoneticPr fontId="15" type="noConversion"/>
  </si>
  <si>
    <t>存货关联采购分析表</t>
    <phoneticPr fontId="15" type="noConversion"/>
  </si>
  <si>
    <r>
      <rPr>
        <b/>
        <sz val="10"/>
        <color indexed="8"/>
        <rFont val="宋体"/>
        <family val="3"/>
        <charset val="134"/>
      </rPr>
      <t>关联方名称</t>
    </r>
    <phoneticPr fontId="15" type="noConversion"/>
  </si>
  <si>
    <t>本年关联采购数量</t>
    <phoneticPr fontId="15" type="noConversion"/>
  </si>
  <si>
    <t>本年关联采购金额</t>
    <phoneticPr fontId="15" type="noConversion"/>
  </si>
  <si>
    <r>
      <rPr>
        <b/>
        <sz val="10"/>
        <color indexed="8"/>
        <rFont val="宋体"/>
        <family val="3"/>
        <charset val="134"/>
      </rPr>
      <t>本年采购
总量</t>
    </r>
    <phoneticPr fontId="15" type="noConversion"/>
  </si>
  <si>
    <r>
      <rPr>
        <b/>
        <sz val="10"/>
        <color indexed="8"/>
        <rFont val="宋体"/>
        <family val="3"/>
        <charset val="134"/>
      </rPr>
      <t>本年采购
总金额</t>
    </r>
    <phoneticPr fontId="15" type="noConversion"/>
  </si>
  <si>
    <r>
      <rPr>
        <b/>
        <sz val="10"/>
        <color indexed="8"/>
        <rFont val="宋体"/>
        <family val="3"/>
        <charset val="134"/>
      </rPr>
      <t>本年关联交易
占同类交易数量的比例</t>
    </r>
    <phoneticPr fontId="15" type="noConversion"/>
  </si>
  <si>
    <r>
      <rPr>
        <b/>
        <sz val="10"/>
        <color indexed="8"/>
        <rFont val="宋体"/>
        <family val="3"/>
        <charset val="134"/>
      </rPr>
      <t>本年关联交易
占同类交易金额的比例</t>
    </r>
    <phoneticPr fontId="15" type="noConversion"/>
  </si>
  <si>
    <r>
      <rPr>
        <b/>
        <sz val="10"/>
        <color indexed="8"/>
        <rFont val="宋体"/>
        <family val="3"/>
        <charset val="134"/>
      </rPr>
      <t>上年关联交易
占同类交易数量的比例</t>
    </r>
    <phoneticPr fontId="15" type="noConversion"/>
  </si>
  <si>
    <t>单价差异率</t>
    <phoneticPr fontId="15" type="noConversion"/>
  </si>
  <si>
    <t>上年采购
平均单价</t>
    <phoneticPr fontId="15" type="noConversion"/>
  </si>
  <si>
    <r>
      <rPr>
        <b/>
        <sz val="10"/>
        <rFont val="宋体"/>
        <family val="3"/>
        <charset val="134"/>
      </rPr>
      <t>一、审计目标：</t>
    </r>
    <phoneticPr fontId="15" type="noConversion"/>
  </si>
  <si>
    <r>
      <rPr>
        <b/>
        <sz val="10"/>
        <rFont val="宋体"/>
        <family val="3"/>
        <charset val="134"/>
      </rPr>
      <t>致同会计师事务所</t>
    </r>
    <phoneticPr fontId="15" type="noConversion"/>
  </si>
  <si>
    <r>
      <rPr>
        <b/>
        <sz val="14"/>
        <rFont val="宋体"/>
        <family val="3"/>
        <charset val="134"/>
      </rPr>
      <t>识别未披露的关联方</t>
    </r>
    <phoneticPr fontId="15" type="noConversion"/>
  </si>
  <si>
    <r>
      <rPr>
        <sz val="10"/>
        <color indexed="8"/>
        <rFont val="宋体"/>
        <family val="3"/>
        <charset val="134"/>
      </rPr>
      <t>索引号：</t>
    </r>
    <phoneticPr fontId="15" type="noConversion"/>
  </si>
  <si>
    <r>
      <rPr>
        <sz val="10"/>
        <color indexed="8"/>
        <rFont val="宋体"/>
        <family val="3"/>
        <charset val="134"/>
      </rPr>
      <t>页</t>
    </r>
    <r>
      <rPr>
        <sz val="10"/>
        <color indexed="8"/>
        <rFont val="Arial Narrow"/>
        <family val="2"/>
      </rPr>
      <t xml:space="preserve">    </t>
    </r>
    <r>
      <rPr>
        <sz val="10"/>
        <color indexed="8"/>
        <rFont val="宋体"/>
        <family val="3"/>
        <charset val="134"/>
      </rPr>
      <t>次：</t>
    </r>
    <phoneticPr fontId="15" type="noConversion"/>
  </si>
  <si>
    <t>检查公司的供应商（包括施工单位）的法人及关键管理人员与公司的主要股东、高管、股东及高管的家属、公司员工是否存在关联方关系。</t>
    <phoneticPr fontId="15" type="noConversion"/>
  </si>
  <si>
    <r>
      <rPr>
        <b/>
        <sz val="10"/>
        <rFont val="宋体"/>
        <family val="3"/>
        <charset val="134"/>
      </rPr>
      <t>二、审计过程：</t>
    </r>
    <phoneticPr fontId="15" type="noConversion"/>
  </si>
  <si>
    <r>
      <rPr>
        <sz val="10"/>
        <rFont val="宋体"/>
        <family val="3"/>
        <charset val="134"/>
      </rPr>
      <t>根据公司提供的供应商信息表，选择合同签订人、法人、供应商个人，与公司提供的高管及近亲属名单、公司员工名单做交叉对比：</t>
    </r>
    <phoneticPr fontId="15" type="noConversion"/>
  </si>
  <si>
    <r>
      <rPr>
        <b/>
        <sz val="10"/>
        <rFont val="宋体"/>
        <family val="3"/>
        <charset val="134"/>
      </rPr>
      <t>序号</t>
    </r>
    <phoneticPr fontId="15" type="noConversion"/>
  </si>
  <si>
    <r>
      <rPr>
        <b/>
        <sz val="10"/>
        <rFont val="宋体"/>
        <family val="3"/>
        <charset val="134"/>
      </rPr>
      <t>姓名</t>
    </r>
  </si>
  <si>
    <r>
      <rPr>
        <b/>
        <sz val="10"/>
        <rFont val="宋体"/>
        <family val="3"/>
        <charset val="134"/>
      </rPr>
      <t>个人供应商</t>
    </r>
    <phoneticPr fontId="15" type="noConversion"/>
  </si>
  <si>
    <r>
      <rPr>
        <b/>
        <sz val="10"/>
        <rFont val="宋体"/>
        <family val="3"/>
        <charset val="134"/>
      </rPr>
      <t>供应商法人</t>
    </r>
    <phoneticPr fontId="15" type="noConversion"/>
  </si>
  <si>
    <r>
      <rPr>
        <b/>
        <sz val="10"/>
        <rFont val="宋体"/>
        <family val="3"/>
        <charset val="134"/>
      </rPr>
      <t>合同签订人</t>
    </r>
    <phoneticPr fontId="15" type="noConversion"/>
  </si>
  <si>
    <r>
      <rPr>
        <b/>
        <sz val="10"/>
        <rFont val="宋体"/>
        <family val="3"/>
        <charset val="134"/>
      </rPr>
      <t>高管亲属</t>
    </r>
  </si>
  <si>
    <r>
      <rPr>
        <b/>
        <sz val="10"/>
        <rFont val="宋体"/>
        <family val="3"/>
        <charset val="134"/>
      </rPr>
      <t>财务部门</t>
    </r>
    <phoneticPr fontId="15" type="noConversion"/>
  </si>
  <si>
    <r>
      <rPr>
        <b/>
        <sz val="10"/>
        <rFont val="宋体"/>
        <family val="3"/>
        <charset val="134"/>
      </rPr>
      <t>管理部门</t>
    </r>
    <phoneticPr fontId="15" type="noConversion"/>
  </si>
  <si>
    <r>
      <rPr>
        <b/>
        <sz val="10"/>
        <rFont val="宋体"/>
        <family val="3"/>
        <charset val="134"/>
      </rPr>
      <t>技术部门</t>
    </r>
    <phoneticPr fontId="15" type="noConversion"/>
  </si>
  <si>
    <r>
      <rPr>
        <b/>
        <sz val="10"/>
        <rFont val="宋体"/>
        <family val="3"/>
        <charset val="134"/>
      </rPr>
      <t>生产部门</t>
    </r>
    <phoneticPr fontId="15" type="noConversion"/>
  </si>
  <si>
    <r>
      <rPr>
        <b/>
        <sz val="10"/>
        <rFont val="宋体"/>
        <family val="3"/>
        <charset val="134"/>
      </rPr>
      <t>营销部门</t>
    </r>
    <phoneticPr fontId="15" type="noConversion"/>
  </si>
  <si>
    <t>…</t>
    <phoneticPr fontId="15" type="noConversion"/>
  </si>
  <si>
    <r>
      <rPr>
        <b/>
        <sz val="10"/>
        <rFont val="宋体"/>
        <family val="3"/>
        <charset val="134"/>
      </rPr>
      <t>总计</t>
    </r>
  </si>
  <si>
    <r>
      <rPr>
        <b/>
        <sz val="10"/>
        <rFont val="宋体"/>
        <family val="3"/>
        <charset val="134"/>
      </rPr>
      <t>供应商与公司员工或高管或</t>
    </r>
    <r>
      <rPr>
        <b/>
        <sz val="10"/>
        <rFont val="Arial Narrow"/>
        <family val="2"/>
      </rPr>
      <t>/</t>
    </r>
    <r>
      <rPr>
        <b/>
        <sz val="10"/>
        <rFont val="宋体"/>
        <family val="3"/>
        <charset val="134"/>
      </rPr>
      <t>和亲属重名（</t>
    </r>
    <r>
      <rPr>
        <b/>
        <sz val="10"/>
        <rFont val="Arial Narrow"/>
        <family val="2"/>
      </rPr>
      <t>Y/N</t>
    </r>
    <r>
      <rPr>
        <b/>
        <sz val="10"/>
        <rFont val="宋体"/>
        <family val="3"/>
        <charset val="134"/>
      </rPr>
      <t>）</t>
    </r>
    <phoneticPr fontId="15" type="noConversion"/>
  </si>
  <si>
    <r>
      <rPr>
        <b/>
        <sz val="10"/>
        <rFont val="宋体"/>
        <family val="3"/>
        <charset val="134"/>
      </rPr>
      <t>公司股东</t>
    </r>
    <r>
      <rPr>
        <b/>
        <sz val="10"/>
        <rFont val="Arial Narrow"/>
        <family val="2"/>
      </rPr>
      <t>/</t>
    </r>
    <r>
      <rPr>
        <b/>
        <sz val="10"/>
        <rFont val="宋体"/>
        <family val="3"/>
        <charset val="134"/>
      </rPr>
      <t>高管</t>
    </r>
    <r>
      <rPr>
        <b/>
        <sz val="10"/>
        <rFont val="Arial Narrow"/>
        <family val="2"/>
      </rPr>
      <t>/</t>
    </r>
    <r>
      <rPr>
        <b/>
        <sz val="10"/>
        <rFont val="宋体"/>
        <family val="3"/>
        <charset val="134"/>
      </rPr>
      <t>亲属</t>
    </r>
    <r>
      <rPr>
        <b/>
        <sz val="10"/>
        <rFont val="Arial Narrow"/>
        <family val="2"/>
      </rPr>
      <t>/</t>
    </r>
    <r>
      <rPr>
        <b/>
        <sz val="10"/>
        <rFont val="宋体"/>
        <family val="3"/>
        <charset val="134"/>
      </rPr>
      <t>员工</t>
    </r>
    <phoneticPr fontId="15" type="noConversion"/>
  </si>
  <si>
    <r>
      <t>2013</t>
    </r>
    <r>
      <rPr>
        <b/>
        <sz val="10"/>
        <rFont val="宋体"/>
        <family val="3"/>
        <charset val="134"/>
      </rPr>
      <t>年度采购额</t>
    </r>
    <phoneticPr fontId="15" type="noConversion"/>
  </si>
  <si>
    <r>
      <rPr>
        <b/>
        <sz val="10"/>
        <rFont val="宋体"/>
        <family val="3"/>
        <charset val="134"/>
      </rPr>
      <t>说明</t>
    </r>
    <phoneticPr fontId="15" type="noConversion"/>
  </si>
  <si>
    <r>
      <rPr>
        <sz val="10"/>
        <color rgb="FFFF0000"/>
        <rFont val="宋体"/>
        <family val="3"/>
        <charset val="134"/>
      </rPr>
      <t>陈</t>
    </r>
    <r>
      <rPr>
        <sz val="10"/>
        <color rgb="FFFF0000"/>
        <rFont val="Arial Narrow"/>
        <family val="2"/>
      </rPr>
      <t>XX</t>
    </r>
    <phoneticPr fontId="15" type="noConversion"/>
  </si>
  <si>
    <t>Y</t>
  </si>
  <si>
    <r>
      <rPr>
        <sz val="10"/>
        <color rgb="FFFF0000"/>
        <rFont val="宋体"/>
        <family val="3"/>
        <charset val="134"/>
      </rPr>
      <t>公司员工</t>
    </r>
    <phoneticPr fontId="15" type="noConversion"/>
  </si>
  <si>
    <r>
      <rPr>
        <sz val="10"/>
        <color rgb="FFFF0000"/>
        <rFont val="宋体"/>
        <family val="3"/>
        <charset val="134"/>
      </rPr>
      <t>李</t>
    </r>
    <r>
      <rPr>
        <sz val="10"/>
        <color rgb="FFFF0000"/>
        <rFont val="Arial Narrow"/>
        <family val="2"/>
      </rPr>
      <t>YY</t>
    </r>
    <phoneticPr fontId="15" type="noConversion"/>
  </si>
  <si>
    <r>
      <rPr>
        <sz val="10"/>
        <color rgb="FFFF0000"/>
        <rFont val="宋体"/>
        <family val="3"/>
        <charset val="134"/>
      </rPr>
      <t>公司股东</t>
    </r>
    <phoneticPr fontId="15" type="noConversion"/>
  </si>
  <si>
    <t>1、</t>
    <phoneticPr fontId="15" type="noConversion"/>
  </si>
  <si>
    <r>
      <t>XX</t>
    </r>
    <r>
      <rPr>
        <sz val="10"/>
        <color rgb="FFFF0000"/>
        <rFont val="宋体"/>
        <family val="3"/>
        <charset val="134"/>
      </rPr>
      <t>公司：高管亲属</t>
    </r>
    <r>
      <rPr>
        <sz val="10"/>
        <color rgb="FFFF0000"/>
        <rFont val="Arial Narrow"/>
        <family val="2"/>
      </rPr>
      <t>338</t>
    </r>
    <r>
      <rPr>
        <sz val="10"/>
        <color rgb="FFFF0000"/>
        <rFont val="宋体"/>
        <family val="3"/>
        <charset val="134"/>
      </rPr>
      <t>；之财务部门</t>
    </r>
    <r>
      <rPr>
        <sz val="10"/>
        <color rgb="FFFF0000"/>
        <rFont val="Arial Narrow"/>
        <family val="2"/>
      </rPr>
      <t>65</t>
    </r>
    <r>
      <rPr>
        <sz val="10"/>
        <color rgb="FFFF0000"/>
        <rFont val="宋体"/>
        <family val="3"/>
        <charset val="134"/>
      </rPr>
      <t>；之管理部门</t>
    </r>
    <r>
      <rPr>
        <sz val="10"/>
        <color rgb="FFFF0000"/>
        <rFont val="Arial Narrow"/>
        <family val="2"/>
      </rPr>
      <t>323</t>
    </r>
    <r>
      <rPr>
        <sz val="10"/>
        <color rgb="FFFF0000"/>
        <rFont val="宋体"/>
        <family val="3"/>
        <charset val="134"/>
      </rPr>
      <t>；之技术部门</t>
    </r>
    <r>
      <rPr>
        <sz val="10"/>
        <color rgb="FFFF0000"/>
        <rFont val="Arial Narrow"/>
        <family val="2"/>
      </rPr>
      <t>686</t>
    </r>
    <r>
      <rPr>
        <sz val="10"/>
        <color rgb="FFFF0000"/>
        <rFont val="宋体"/>
        <family val="3"/>
        <charset val="134"/>
      </rPr>
      <t>；之生产部门</t>
    </r>
    <r>
      <rPr>
        <sz val="10"/>
        <color rgb="FFFF0000"/>
        <rFont val="Arial Narrow"/>
        <family val="2"/>
      </rPr>
      <t>1344</t>
    </r>
    <r>
      <rPr>
        <sz val="10"/>
        <color rgb="FFFF0000"/>
        <rFont val="宋体"/>
        <family val="3"/>
        <charset val="134"/>
      </rPr>
      <t>；之营销部门</t>
    </r>
    <r>
      <rPr>
        <sz val="10"/>
        <color rgb="FFFF0000"/>
        <rFont val="Arial Narrow"/>
        <family val="2"/>
      </rPr>
      <t>1165</t>
    </r>
    <r>
      <rPr>
        <sz val="10"/>
        <color rgb="FFFF0000"/>
        <rFont val="宋体"/>
        <family val="3"/>
        <charset val="134"/>
      </rPr>
      <t>；</t>
    </r>
    <phoneticPr fontId="15" type="noConversion"/>
  </si>
  <si>
    <r>
      <rPr>
        <sz val="10"/>
        <color rgb="FFFF0000"/>
        <rFont val="宋体"/>
        <family val="3"/>
        <charset val="134"/>
      </rPr>
      <t>个人供应商</t>
    </r>
    <r>
      <rPr>
        <sz val="10"/>
        <color rgb="FFFF0000"/>
        <rFont val="Arial Narrow"/>
        <family val="2"/>
      </rPr>
      <t>70</t>
    </r>
    <r>
      <rPr>
        <sz val="10"/>
        <color rgb="FFFF0000"/>
        <rFont val="宋体"/>
        <family val="3"/>
        <charset val="134"/>
      </rPr>
      <t>；供应商法人</t>
    </r>
    <r>
      <rPr>
        <sz val="10"/>
        <color rgb="FFFF0000"/>
        <rFont val="Arial Narrow"/>
        <family val="2"/>
      </rPr>
      <t>1697</t>
    </r>
    <r>
      <rPr>
        <sz val="10"/>
        <color rgb="FFFF0000"/>
        <rFont val="宋体"/>
        <family val="3"/>
        <charset val="134"/>
      </rPr>
      <t>；供应商合同签订人</t>
    </r>
    <r>
      <rPr>
        <sz val="10"/>
        <color rgb="FFFF0000"/>
        <rFont val="Arial Narrow"/>
        <family val="2"/>
      </rPr>
      <t>39</t>
    </r>
    <r>
      <rPr>
        <sz val="10"/>
        <color rgb="FFFF0000"/>
        <rFont val="宋体"/>
        <family val="3"/>
        <charset val="134"/>
      </rPr>
      <t>。</t>
    </r>
    <phoneticPr fontId="15" type="noConversion"/>
  </si>
  <si>
    <r>
      <t>3</t>
    </r>
    <r>
      <rPr>
        <sz val="10"/>
        <rFont val="宋体"/>
        <family val="3"/>
        <charset val="134"/>
      </rPr>
      <t>、</t>
    </r>
    <phoneticPr fontId="15" type="noConversion"/>
  </si>
  <si>
    <r>
      <rPr>
        <sz val="10"/>
        <color rgb="FFFF0000"/>
        <rFont val="宋体"/>
        <family val="3"/>
        <charset val="134"/>
      </rPr>
      <t>对比后，有</t>
    </r>
    <r>
      <rPr>
        <sz val="10"/>
        <color rgb="FFFF0000"/>
        <rFont val="Arial Narrow"/>
        <family val="2"/>
      </rPr>
      <t>54</t>
    </r>
    <r>
      <rPr>
        <sz val="10"/>
        <color rgb="FFFF0000"/>
        <rFont val="宋体"/>
        <family val="3"/>
        <charset val="134"/>
      </rPr>
      <t>个姓名存在重复，涉及</t>
    </r>
    <r>
      <rPr>
        <sz val="10"/>
        <color rgb="FFFF0000"/>
        <rFont val="Arial Narrow"/>
        <family val="2"/>
      </rPr>
      <t>127</t>
    </r>
    <r>
      <rPr>
        <sz val="10"/>
        <color rgb="FFFF0000"/>
        <rFont val="宋体"/>
        <family val="3"/>
        <charset val="134"/>
      </rPr>
      <t>人，其中供应商</t>
    </r>
    <r>
      <rPr>
        <sz val="10"/>
        <color rgb="FFFF0000"/>
        <rFont val="Arial Narrow"/>
        <family val="2"/>
      </rPr>
      <t>60</t>
    </r>
    <r>
      <rPr>
        <sz val="10"/>
        <color rgb="FFFF0000"/>
        <rFont val="宋体"/>
        <family val="3"/>
        <charset val="134"/>
      </rPr>
      <t>个；涉及</t>
    </r>
    <r>
      <rPr>
        <sz val="10"/>
        <color rgb="FFFF0000"/>
        <rFont val="Arial Narrow"/>
        <family val="2"/>
      </rPr>
      <t>2013</t>
    </r>
    <r>
      <rPr>
        <sz val="10"/>
        <color rgb="FFFF0000"/>
        <rFont val="宋体"/>
        <family val="3"/>
        <charset val="134"/>
      </rPr>
      <t>年采购额约</t>
    </r>
    <r>
      <rPr>
        <sz val="10"/>
        <color rgb="FFFF0000"/>
        <rFont val="Arial Narrow"/>
        <family val="2"/>
      </rPr>
      <t>2.1</t>
    </r>
    <r>
      <rPr>
        <sz val="10"/>
        <color rgb="FFFF0000"/>
        <rFont val="宋体"/>
        <family val="3"/>
        <charset val="134"/>
      </rPr>
      <t>亿元；</t>
    </r>
    <phoneticPr fontId="15" type="noConversion"/>
  </si>
  <si>
    <r>
      <rPr>
        <sz val="10"/>
        <color rgb="FFFF0000"/>
        <rFont val="宋体"/>
        <family val="3"/>
        <charset val="134"/>
      </rPr>
      <t>抽取采购额大于</t>
    </r>
    <r>
      <rPr>
        <sz val="10"/>
        <color rgb="FFFF0000"/>
        <rFont val="Arial Narrow"/>
        <family val="2"/>
      </rPr>
      <t>500</t>
    </r>
    <r>
      <rPr>
        <sz val="10"/>
        <color rgb="FFFF0000"/>
        <rFont val="宋体"/>
        <family val="3"/>
        <charset val="134"/>
      </rPr>
      <t>万的个人供应商约</t>
    </r>
    <r>
      <rPr>
        <sz val="10"/>
        <color rgb="FFFF0000"/>
        <rFont val="Arial Narrow"/>
        <family val="2"/>
      </rPr>
      <t>11</t>
    </r>
    <r>
      <rPr>
        <sz val="10"/>
        <color rgb="FFFF0000"/>
        <rFont val="宋体"/>
        <family val="3"/>
        <charset val="134"/>
      </rPr>
      <t>个，涉及</t>
    </r>
    <r>
      <rPr>
        <sz val="10"/>
        <color rgb="FFFF0000"/>
        <rFont val="Arial Narrow"/>
        <family val="2"/>
      </rPr>
      <t>27</t>
    </r>
    <r>
      <rPr>
        <sz val="10"/>
        <color rgb="FFFF0000"/>
        <rFont val="宋体"/>
        <family val="3"/>
        <charset val="134"/>
      </rPr>
      <t>人；涉及</t>
    </r>
    <r>
      <rPr>
        <sz val="10"/>
        <color rgb="FFFF0000"/>
        <rFont val="Arial Narrow"/>
        <family val="2"/>
      </rPr>
      <t>2013</t>
    </r>
    <r>
      <rPr>
        <sz val="10"/>
        <color rgb="FFFF0000"/>
        <rFont val="宋体"/>
        <family val="3"/>
        <charset val="134"/>
      </rPr>
      <t>年采购额约为</t>
    </r>
    <r>
      <rPr>
        <sz val="10"/>
        <color rgb="FFFF0000"/>
        <rFont val="Arial Narrow"/>
        <family val="2"/>
      </rPr>
      <t>1.43</t>
    </r>
    <r>
      <rPr>
        <sz val="10"/>
        <color rgb="FFFF0000"/>
        <rFont val="宋体"/>
        <family val="3"/>
        <charset val="134"/>
      </rPr>
      <t>亿，占</t>
    </r>
    <r>
      <rPr>
        <sz val="10"/>
        <color rgb="FFFF0000"/>
        <rFont val="Arial Narrow"/>
        <family val="2"/>
      </rPr>
      <t>2013</t>
    </r>
    <r>
      <rPr>
        <sz val="10"/>
        <color rgb="FFFF0000"/>
        <rFont val="宋体"/>
        <family val="3"/>
        <charset val="134"/>
      </rPr>
      <t>年总采购额的比例约为</t>
    </r>
    <r>
      <rPr>
        <sz val="10"/>
        <color rgb="FFFF0000"/>
        <rFont val="Arial Narrow"/>
        <family val="2"/>
      </rPr>
      <t>67.58%</t>
    </r>
    <r>
      <rPr>
        <sz val="10"/>
        <color rgb="FFFF0000"/>
        <rFont val="宋体"/>
        <family val="3"/>
        <charset val="134"/>
      </rPr>
      <t>。</t>
    </r>
    <phoneticPr fontId="15" type="noConversion"/>
  </si>
  <si>
    <r>
      <t>4</t>
    </r>
    <r>
      <rPr>
        <sz val="10"/>
        <rFont val="宋体"/>
        <family val="3"/>
        <charset val="134"/>
      </rPr>
      <t>、</t>
    </r>
    <phoneticPr fontId="15" type="noConversion"/>
  </si>
  <si>
    <r>
      <rPr>
        <sz val="10"/>
        <color rgb="FFFF0000"/>
        <rFont val="宋体"/>
        <family val="3"/>
        <charset val="134"/>
      </rPr>
      <t>获取</t>
    </r>
    <r>
      <rPr>
        <sz val="10"/>
        <color rgb="FFFF0000"/>
        <rFont val="Arial Narrow"/>
        <family val="2"/>
      </rPr>
      <t>27</t>
    </r>
    <r>
      <rPr>
        <sz val="10"/>
        <color rgb="FFFF0000"/>
        <rFont val="宋体"/>
        <family val="3"/>
        <charset val="134"/>
      </rPr>
      <t>人的身份证复印件；对身份证信息的身份证号码、家庭地址，做交叉对比。</t>
    </r>
    <phoneticPr fontId="15" type="noConversion"/>
  </si>
  <si>
    <t>核对未发现身份证号码、登记地址有和公司员工重复的现象。</t>
    <phoneticPr fontId="15" type="noConversion"/>
  </si>
  <si>
    <r>
      <rPr>
        <b/>
        <sz val="10"/>
        <rFont val="宋体"/>
        <family val="3"/>
        <charset val="134"/>
      </rPr>
      <t>四、审计结论：</t>
    </r>
    <phoneticPr fontId="15" type="noConversion"/>
  </si>
  <si>
    <r>
      <rPr>
        <sz val="10"/>
        <color rgb="FFFF0000"/>
        <rFont val="宋体"/>
        <family val="3"/>
        <charset val="134"/>
      </rPr>
      <t>未识别出重要供应商与公司存在关联方关系。</t>
    </r>
    <phoneticPr fontId="15" type="noConversion"/>
  </si>
  <si>
    <r>
      <rPr>
        <sz val="10"/>
        <color rgb="FF0000FF"/>
        <rFont val="宋体"/>
        <family val="3"/>
        <charset val="134"/>
      </rPr>
      <t>识别未披露的关联方可以参考收入循环相应底稿。</t>
    </r>
    <phoneticPr fontId="15" type="noConversion"/>
  </si>
  <si>
    <t>二、审计过程：</t>
    <phoneticPr fontId="15" type="noConversion"/>
  </si>
  <si>
    <t>致同会计师事务所</t>
    <phoneticPr fontId="15" type="noConversion"/>
  </si>
  <si>
    <t>致同会计师事务所</t>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</si>
  <si>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</si>
  <si>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t>1</t>
    </r>
    <r>
      <rPr>
        <sz val="10"/>
        <color indexed="72"/>
        <rFont val="宋体"/>
        <family val="3"/>
        <charset val="134"/>
      </rPr>
      <t>月份</t>
    </r>
    <phoneticPr fontId="15" type="noConversion"/>
  </si>
  <si>
    <r>
      <t>2</t>
    </r>
    <r>
      <rPr>
        <sz val="10"/>
        <color indexed="72"/>
        <rFont val="宋体"/>
        <family val="3"/>
        <charset val="134"/>
      </rPr>
      <t>月份</t>
    </r>
    <phoneticPr fontId="15" type="noConversion"/>
  </si>
  <si>
    <t>月份</t>
    <phoneticPr fontId="15" type="noConversion"/>
  </si>
  <si>
    <t>采购价格是否处于市场价区间</t>
    <phoneticPr fontId="15" type="noConversion"/>
  </si>
  <si>
    <t>月初</t>
    <phoneticPr fontId="15" type="noConversion"/>
  </si>
  <si>
    <t>中旬末</t>
    <phoneticPr fontId="15" type="noConversion"/>
  </si>
  <si>
    <r>
      <t>3月份</t>
    </r>
    <r>
      <rPr>
        <sz val="10"/>
        <color indexed="72"/>
        <rFont val="宋体"/>
        <family val="3"/>
        <charset val="134"/>
      </rPr>
      <t/>
    </r>
  </si>
  <si>
    <r>
      <t>4月份</t>
    </r>
    <r>
      <rPr>
        <sz val="10"/>
        <color indexed="72"/>
        <rFont val="宋体"/>
        <family val="3"/>
        <charset val="134"/>
      </rPr>
      <t/>
    </r>
  </si>
  <si>
    <r>
      <t>5月份</t>
    </r>
    <r>
      <rPr>
        <sz val="10"/>
        <color indexed="72"/>
        <rFont val="宋体"/>
        <family val="3"/>
        <charset val="134"/>
      </rPr>
      <t/>
    </r>
  </si>
  <si>
    <r>
      <t>6月份</t>
    </r>
    <r>
      <rPr>
        <sz val="10"/>
        <color indexed="72"/>
        <rFont val="宋体"/>
        <family val="3"/>
        <charset val="134"/>
      </rPr>
      <t/>
    </r>
  </si>
  <si>
    <r>
      <t>7月份</t>
    </r>
    <r>
      <rPr>
        <sz val="10"/>
        <color indexed="72"/>
        <rFont val="宋体"/>
        <family val="3"/>
        <charset val="134"/>
      </rPr>
      <t/>
    </r>
  </si>
  <si>
    <r>
      <t>8月份</t>
    </r>
    <r>
      <rPr>
        <sz val="10"/>
        <color indexed="72"/>
        <rFont val="宋体"/>
        <family val="3"/>
        <charset val="134"/>
      </rPr>
      <t/>
    </r>
  </si>
  <si>
    <r>
      <t>9月份</t>
    </r>
    <r>
      <rPr>
        <sz val="10"/>
        <color indexed="72"/>
        <rFont val="宋体"/>
        <family val="3"/>
        <charset val="134"/>
      </rPr>
      <t/>
    </r>
  </si>
  <si>
    <r>
      <t>10月份</t>
    </r>
    <r>
      <rPr>
        <sz val="10"/>
        <color indexed="72"/>
        <rFont val="宋体"/>
        <family val="3"/>
        <charset val="134"/>
      </rPr>
      <t/>
    </r>
  </si>
  <si>
    <r>
      <t>11月份</t>
    </r>
    <r>
      <rPr>
        <sz val="10"/>
        <color indexed="72"/>
        <rFont val="宋体"/>
        <family val="3"/>
        <charset val="134"/>
      </rPr>
      <t/>
    </r>
  </si>
  <si>
    <r>
      <t>12月份</t>
    </r>
    <r>
      <rPr>
        <sz val="10"/>
        <color indexed="72"/>
        <rFont val="宋体"/>
        <family val="3"/>
        <charset val="134"/>
      </rPr>
      <t/>
    </r>
  </si>
  <si>
    <t>单位1</t>
    <phoneticPr fontId="15" type="noConversion"/>
  </si>
  <si>
    <t>单位2</t>
    <phoneticPr fontId="15" type="noConversion"/>
  </si>
  <si>
    <t>单位3</t>
    <phoneticPr fontId="15" type="noConversion"/>
  </si>
  <si>
    <t>指标1</t>
    <phoneticPr fontId="15" type="noConversion"/>
  </si>
  <si>
    <t>指标</t>
    <phoneticPr fontId="15" type="noConversion"/>
  </si>
  <si>
    <t>指标2</t>
    <phoneticPr fontId="15" type="noConversion"/>
  </si>
  <si>
    <t>指标3</t>
    <phoneticPr fontId="15" type="noConversion"/>
  </si>
  <si>
    <t>产品名称或类别</t>
    <phoneticPr fontId="15" type="noConversion"/>
  </si>
  <si>
    <t>可比采购价格</t>
    <phoneticPr fontId="15" type="noConversion"/>
  </si>
  <si>
    <t>单位4</t>
    <phoneticPr fontId="15" type="noConversion"/>
  </si>
  <si>
    <r>
      <t>1</t>
    </r>
    <r>
      <rPr>
        <sz val="10"/>
        <rFont val="宋体"/>
        <family val="3"/>
        <charset val="134"/>
      </rPr>
      <t>、向可比公司寄发询证函，获取公司相同或相似产品销售价格；</t>
    </r>
    <phoneticPr fontId="15" type="noConversion"/>
  </si>
  <si>
    <r>
      <t>2</t>
    </r>
    <r>
      <rPr>
        <sz val="10"/>
        <rFont val="宋体"/>
        <family val="3"/>
        <charset val="134"/>
      </rPr>
      <t>、将公司的采购价格扣除运费等采购费用；</t>
    </r>
    <phoneticPr fontId="15" type="noConversion"/>
  </si>
  <si>
    <r>
      <t>4</t>
    </r>
    <r>
      <rPr>
        <sz val="10"/>
        <rFont val="宋体"/>
        <family val="3"/>
        <charset val="134"/>
      </rPr>
      <t>、通过上述比较检验公司采购价格的公允性。</t>
    </r>
    <phoneticPr fontId="15" type="noConversion"/>
  </si>
  <si>
    <r>
      <t>3</t>
    </r>
    <r>
      <rPr>
        <sz val="10"/>
        <rFont val="宋体"/>
        <family val="3"/>
        <charset val="134"/>
      </rPr>
      <t>、将公司的采购单价与可比公司的销售价格进行比较；</t>
    </r>
    <phoneticPr fontId="15" type="noConversion"/>
  </si>
  <si>
    <r>
      <t>B</t>
    </r>
    <r>
      <rPr>
        <b/>
        <u/>
        <sz val="10"/>
        <rFont val="宋体"/>
        <family val="3"/>
        <charset val="134"/>
      </rPr>
      <t>产品</t>
    </r>
    <phoneticPr fontId="15" type="noConversion"/>
  </si>
  <si>
    <r>
      <t>A</t>
    </r>
    <r>
      <rPr>
        <b/>
        <u/>
        <sz val="10"/>
        <rFont val="宋体"/>
        <family val="3"/>
        <charset val="134"/>
      </rPr>
      <t>产品</t>
    </r>
    <phoneticPr fontId="15" type="noConversion"/>
  </si>
  <si>
    <t>G2-10-2</t>
    <phoneticPr fontId="15" type="noConversion"/>
  </si>
  <si>
    <t>采购均价</t>
    <phoneticPr fontId="15" type="noConversion"/>
  </si>
  <si>
    <t>市场价格（挂牌价）</t>
    <phoneticPr fontId="15" type="noConversion"/>
  </si>
  <si>
    <t>产品B</t>
    <phoneticPr fontId="15" type="noConversion"/>
  </si>
  <si>
    <r>
      <t>3</t>
    </r>
    <r>
      <rPr>
        <sz val="10"/>
        <rFont val="宋体"/>
        <family val="3"/>
        <charset val="134"/>
      </rPr>
      <t>、通过上述比较检验公司采购价格的公允性。</t>
    </r>
    <phoneticPr fontId="15" type="noConversion"/>
  </si>
  <si>
    <r>
      <t>2</t>
    </r>
    <r>
      <rPr>
        <sz val="10"/>
        <rFont val="宋体"/>
        <family val="3"/>
        <charset val="134"/>
      </rPr>
      <t>、将公司的采购价格与可比市场价格进行比较。</t>
    </r>
    <phoneticPr fontId="15" type="noConversion"/>
  </si>
  <si>
    <t>G2-10-3</t>
    <phoneticPr fontId="15" type="noConversion"/>
  </si>
  <si>
    <t>检查关联采购价格公允性。</t>
    <phoneticPr fontId="15" type="noConversion"/>
  </si>
  <si>
    <r>
      <rPr>
        <sz val="10"/>
        <rFont val="宋体"/>
        <family val="3"/>
        <charset val="134"/>
      </rPr>
      <t>索引号：</t>
    </r>
    <r>
      <rPr>
        <sz val="10"/>
        <rFont val="Arial Narrow"/>
        <family val="2"/>
      </rPr>
      <t>G2-10-1</t>
    </r>
    <phoneticPr fontId="15" type="noConversion"/>
  </si>
  <si>
    <r>
      <rPr>
        <b/>
        <u/>
        <sz val="10"/>
        <rFont val="宋体"/>
        <family val="3"/>
        <charset val="134"/>
      </rPr>
      <t>产品</t>
    </r>
    <r>
      <rPr>
        <b/>
        <u/>
        <sz val="10"/>
        <rFont val="Arial Narrow"/>
        <family val="2"/>
      </rPr>
      <t>A</t>
    </r>
    <phoneticPr fontId="15" type="noConversion"/>
  </si>
  <si>
    <t>采购定价公允性测算（询价函）</t>
    <phoneticPr fontId="15" type="noConversion"/>
  </si>
  <si>
    <t>采购定价公允性测算（市场价）</t>
    <phoneticPr fontId="15" type="noConversion"/>
  </si>
  <si>
    <t>说明：</t>
    <phoneticPr fontId="15" type="noConversion"/>
  </si>
  <si>
    <t>该底稿也适用于非关联方之间采购交易的价格公允性测试。</t>
    <phoneticPr fontId="15" type="noConversion"/>
  </si>
  <si>
    <t>市场价格（挂牌价）采购均价</t>
    <phoneticPr fontId="15" type="noConversion"/>
  </si>
  <si>
    <t>公司的主要股东、高管、股东及高管的家属、公司员工名单见&lt;   &gt;，主要概况：</t>
    <phoneticPr fontId="15" type="noConversion"/>
  </si>
  <si>
    <t>供应商的法人及关键管理人员名单见&lt;   &gt;，主要概况：</t>
    <phoneticPr fontId="15" type="noConversion"/>
  </si>
  <si>
    <t>三、审计说明：</t>
    <phoneticPr fontId="15" type="noConversion"/>
  </si>
  <si>
    <r>
      <rPr>
        <sz val="10"/>
        <color rgb="FF0000FF"/>
        <rFont val="宋体"/>
        <family val="3"/>
        <charset val="134"/>
      </rPr>
      <t>（含外协厂商）是否存在关联方关系，如按邮编或地址索引</t>
    </r>
    <r>
      <rPr>
        <sz val="10"/>
        <color rgb="FF0000FF"/>
        <rFont val="Arial Narrow"/>
        <family val="2"/>
      </rPr>
      <t>(</t>
    </r>
    <r>
      <rPr>
        <sz val="10"/>
        <color rgb="FF0000FF"/>
        <rFont val="宋体"/>
        <family val="3"/>
        <charset val="134"/>
      </rPr>
      <t>搜索</t>
    </r>
    <r>
      <rPr>
        <sz val="10"/>
        <color rgb="FF0000FF"/>
        <rFont val="Arial Narrow"/>
        <family val="2"/>
      </rPr>
      <t>)</t>
    </r>
    <r>
      <rPr>
        <sz val="10"/>
        <color rgb="FF0000FF"/>
        <rFont val="宋体"/>
        <family val="3"/>
        <charset val="134"/>
      </rPr>
      <t>供应商档案，并与被审计单位管理层等关联方的联系地址比对，并确定有无异常。</t>
    </r>
  </si>
  <si>
    <r>
      <t>1.</t>
    </r>
    <r>
      <rPr>
        <sz val="10"/>
        <color rgb="FF0000FF"/>
        <rFont val="宋体"/>
        <family val="3"/>
        <charset val="134"/>
      </rPr>
      <t>甄别客户和供应商的实际控制人及关键经办人员与被审计单位是否存在关联方关系，关注与被审计单位实际控制人、董事、监事、高级管理人员关系密切的家庭成员与发行人的供应商</t>
    </r>
    <phoneticPr fontId="15" type="noConversion"/>
  </si>
  <si>
    <r>
      <t>2.</t>
    </r>
    <r>
      <rPr>
        <sz val="10"/>
        <color rgb="FF0000FF"/>
        <rFont val="宋体"/>
        <family val="3"/>
        <charset val="134"/>
      </rPr>
      <t>获取公司的征信报告（人民银行系统），通过征信信息显示的公司高管任职或投资的公司，识别是否存在未披露的关联方以及关联交易。</t>
    </r>
    <phoneticPr fontId="15" type="noConversion"/>
  </si>
  <si>
    <r>
      <t>1</t>
    </r>
    <r>
      <rPr>
        <sz val="10"/>
        <rFont val="宋体"/>
        <family val="3"/>
        <charset val="134"/>
      </rPr>
      <t>、获取关联采购产品可比市场价格。</t>
    </r>
    <phoneticPr fontId="15" type="noConversion"/>
  </si>
  <si>
    <t>上年关联交易
占同类交易金额的比例</t>
    <phoneticPr fontId="15" type="noConversion"/>
  </si>
  <si>
    <t>采购存货名称/规格</t>
    <phoneticPr fontId="15" type="noConversion"/>
  </si>
  <si>
    <t>关联关系</t>
    <phoneticPr fontId="15" type="noConversion"/>
  </si>
  <si>
    <t>提示1：关联关系</t>
    <phoneticPr fontId="15" type="noConversion"/>
  </si>
  <si>
    <r>
      <t>3.</t>
    </r>
    <r>
      <rPr>
        <sz val="10"/>
        <color rgb="FF3333FF"/>
        <rFont val="宋体"/>
        <family val="3"/>
        <charset val="134"/>
      </rPr>
      <t>到工商行政管理部门或聘请律师查询重要供货商的工商登记资料，或者通过工商信息查询网（</t>
    </r>
    <r>
      <rPr>
        <sz val="10"/>
        <color rgb="FF3333FF"/>
        <rFont val="Arial Narrow"/>
        <family val="2"/>
      </rPr>
      <t>http://gsxt.saic.gov.cn/</t>
    </r>
    <r>
      <rPr>
        <sz val="10"/>
        <color rgb="FF3333FF"/>
        <rFont val="宋体"/>
        <family val="3"/>
        <charset val="134"/>
      </rPr>
      <t>）查询相关资料，确定重要供货商与被审计单位是否属于关联方；必要时，向公司管理层索取关联交易的声明书。</t>
    </r>
    <phoneticPr fontId="15" type="noConversion"/>
  </si>
  <si>
    <r>
      <rPr>
        <b/>
        <sz val="10"/>
        <color rgb="FF3333FF"/>
        <rFont val="宋体"/>
        <family val="3"/>
        <charset val="134"/>
      </rPr>
      <t>提示</t>
    </r>
    <r>
      <rPr>
        <b/>
        <sz val="10"/>
        <color rgb="FF3333FF"/>
        <rFont val="Arial Narrow"/>
        <family val="2"/>
      </rPr>
      <t>2</t>
    </r>
    <r>
      <rPr>
        <b/>
        <sz val="10"/>
        <color rgb="FF3333FF"/>
        <rFont val="宋体"/>
        <family val="3"/>
        <charset val="134"/>
      </rPr>
      <t>：大额关联交易</t>
    </r>
    <phoneticPr fontId="15" type="noConversion"/>
  </si>
  <si>
    <r>
      <t>1.</t>
    </r>
    <r>
      <rPr>
        <sz val="10"/>
        <color rgb="FF3333FF"/>
        <rFont val="宋体"/>
        <family val="3"/>
        <charset val="134"/>
      </rPr>
      <t>将与关联方发生存货交易的频率、规模、价格和账款结算条件，与非关联方对比，分析被审计单位利用关联方交易虚构业务或调节利润的可能性。</t>
    </r>
    <phoneticPr fontId="15" type="noConversion"/>
  </si>
  <si>
    <r>
      <t>2.</t>
    </r>
    <r>
      <rPr>
        <sz val="10"/>
        <color rgb="FF3333FF"/>
        <rFont val="宋体"/>
        <family val="3"/>
        <charset val="134"/>
      </rPr>
      <t>了解关联交易事项的目的、价格和条件，检查关联方采购合同等有关原始文件。</t>
    </r>
    <phoneticPr fontId="15" type="noConversion"/>
  </si>
  <si>
    <t>关联采购
单价</t>
    <phoneticPr fontId="15" type="noConversion"/>
  </si>
  <si>
    <t>致同会计师事务所</t>
  </si>
  <si>
    <r>
      <rPr>
        <sz val="10"/>
        <rFont val="宋体"/>
        <family val="3"/>
        <charset val="134"/>
      </rPr>
      <t>被审计单位：</t>
    </r>
    <r>
      <rPr>
        <sz val="10"/>
        <rFont val="Arial Narrow"/>
        <family val="2"/>
      </rPr>
      <t/>
    </r>
    <phoneticPr fontId="15" type="noConversion"/>
  </si>
  <si>
    <t>编制人：</t>
    <phoneticPr fontId="15" type="noConversion"/>
  </si>
  <si>
    <t>复核人：</t>
    <phoneticPr fontId="15" type="noConversion"/>
  </si>
  <si>
    <t>编制日期：</t>
    <phoneticPr fontId="15" type="noConversion"/>
  </si>
  <si>
    <t>复核日期：</t>
    <phoneticPr fontId="15" type="noConversion"/>
  </si>
  <si>
    <t>索引号</t>
    <phoneticPr fontId="15" type="noConversion"/>
  </si>
  <si>
    <t>1、审计说明：</t>
    <phoneticPr fontId="15" type="noConversion"/>
  </si>
  <si>
    <t>2、审计结论：</t>
    <phoneticPr fontId="15" type="noConversion"/>
  </si>
  <si>
    <t>合计</t>
    <phoneticPr fontId="15" type="noConversion"/>
  </si>
  <si>
    <t>单位</t>
    <phoneticPr fontId="15" type="noConversion"/>
  </si>
  <si>
    <t>实际控制人</t>
    <phoneticPr fontId="15" type="noConversion"/>
  </si>
  <si>
    <t>控股股东</t>
    <phoneticPr fontId="15" type="noConversion"/>
  </si>
  <si>
    <t>控股股东、实际控制人的附属企业</t>
    <phoneticPr fontId="15" type="noConversion"/>
  </si>
  <si>
    <r>
      <rPr>
        <sz val="10"/>
        <rFont val="宋体"/>
        <family val="3"/>
        <charset val="134"/>
      </rPr>
      <t>持有</t>
    </r>
    <r>
      <rPr>
        <sz val="10"/>
        <rFont val="Arial Narrow"/>
        <family val="2"/>
      </rPr>
      <t>5%</t>
    </r>
    <r>
      <rPr>
        <sz val="10"/>
        <rFont val="宋体"/>
        <family val="3"/>
        <charset val="134"/>
      </rPr>
      <t>以上股份的法人或其他组织</t>
    </r>
    <phoneticPr fontId="15" type="noConversion"/>
  </si>
  <si>
    <t>联营企业</t>
    <phoneticPr fontId="15" type="noConversion"/>
  </si>
  <si>
    <t>合营企业</t>
    <phoneticPr fontId="15" type="noConversion"/>
  </si>
  <si>
    <t>董高监等关键管理人员</t>
    <phoneticPr fontId="15" type="noConversion"/>
  </si>
  <si>
    <t>其他关联方</t>
    <phoneticPr fontId="15" type="noConversion"/>
  </si>
  <si>
    <t>F2-52</t>
    <phoneticPr fontId="15" type="noConversion"/>
  </si>
  <si>
    <t>非关联方采购
平均单价</t>
    <phoneticPr fontId="15" type="noConversion"/>
  </si>
  <si>
    <r>
      <t>2.</t>
    </r>
    <r>
      <rPr>
        <sz val="10"/>
        <color rgb="FFFF0000"/>
        <rFont val="宋体"/>
        <family val="3"/>
        <charset val="134"/>
      </rPr>
      <t>关联采购比重变动较大的原因：</t>
    </r>
    <phoneticPr fontId="15" type="noConversion"/>
  </si>
  <si>
    <r>
      <t>3.</t>
    </r>
    <r>
      <rPr>
        <sz val="10"/>
        <color rgb="FFFF0000"/>
        <rFont val="宋体"/>
        <family val="3"/>
        <charset val="134"/>
      </rPr>
      <t>关联采购价格异常原因：</t>
    </r>
    <r>
      <rPr>
        <sz val="10"/>
        <color rgb="FFFF0000"/>
        <rFont val="Arial Narrow"/>
        <family val="2"/>
      </rPr>
      <t xml:space="preserve">                                                       </t>
    </r>
    <r>
      <rPr>
        <sz val="10"/>
        <color rgb="FFFF0000"/>
        <rFont val="宋体"/>
        <family val="3"/>
        <charset val="134"/>
      </rPr>
      <t>对重大异常关联方采购价格进一步核查价格的公允性见</t>
    </r>
    <r>
      <rPr>
        <sz val="10"/>
        <color rgb="FFFF0000"/>
        <rFont val="Arial Narrow"/>
        <family val="2"/>
      </rPr>
      <t>&lt;F2-65&gt;</t>
    </r>
    <r>
      <rPr>
        <sz val="10"/>
        <color rgb="FFFF0000"/>
        <rFont val="宋体"/>
        <family val="3"/>
        <charset val="134"/>
      </rPr>
      <t>、</t>
    </r>
    <r>
      <rPr>
        <sz val="10"/>
        <color rgb="FFFF0000"/>
        <rFont val="Arial Narrow"/>
        <family val="2"/>
      </rPr>
      <t>&lt;F2-66&gt;</t>
    </r>
    <phoneticPr fontId="15" type="noConversion"/>
  </si>
  <si>
    <r>
      <t>1.</t>
    </r>
    <r>
      <rPr>
        <sz val="10"/>
        <color rgb="FFFF0000"/>
        <rFont val="宋体"/>
        <family val="3"/>
        <charset val="134"/>
      </rPr>
      <t>关联采购比重情况说明：</t>
    </r>
    <phoneticPr fontId="15" type="noConversion"/>
  </si>
  <si>
    <r>
      <t>4.</t>
    </r>
    <r>
      <rPr>
        <sz val="10"/>
        <color rgb="FFFF0000"/>
        <rFont val="宋体"/>
        <family val="3"/>
        <charset val="134"/>
      </rPr>
      <t>如存在未披露关联方舞弊迹象，识别未披露的关联方核查见</t>
    </r>
    <r>
      <rPr>
        <sz val="10"/>
        <color rgb="FFFF0000"/>
        <rFont val="Arial Narrow"/>
        <family val="2"/>
      </rPr>
      <t>&lt;F2-67&gt;</t>
    </r>
    <phoneticPr fontId="15" type="noConversion"/>
  </si>
  <si>
    <t>勿删、勿改</t>
    <phoneticPr fontId="15" type="noConversion"/>
  </si>
  <si>
    <r>
      <rPr>
        <sz val="10"/>
        <rFont val="宋体"/>
        <family val="3"/>
        <charset val="134"/>
      </rPr>
      <t>截止日：</t>
    </r>
    <r>
      <rPr>
        <sz val="10"/>
        <rFont val="Arial Narrow"/>
        <family val="2"/>
      </rPr>
      <t/>
    </r>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</si>
</sst>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8">
    <numFmt numFmtId="41" formatCode="_ * #,##0_ ;_ * \-#,##0_ ;_ * &quot;-&quot;_ ;_ @_ "/>
    <numFmt numFmtId="43" formatCode="_ * #,##0.00_ ;_ * \-#,##0.00_ ;_ * &quot;-&quot;??_ ;_ @_ "/>
    <numFmt numFmtId="176" formatCode="&quot;$&quot;#,##0_);\(&quot;$&quot;#,##0\)"/>
    <numFmt numFmtId="177" formatCode="&quot;\&quot;#,##0;&quot;\&quot;&quot;\&quot;\-#,##0"/>
    <numFmt numFmtId="178" formatCode="&quot;\&quot;#,##0;[Red]&quot;\&quot;&quot;\&quot;\-#,##0"/>
    <numFmt numFmtId="179" formatCode="&quot;\&quot;#,##0.00;[Red]&quot;\&quot;&quot;\&quot;\-#,##0.00"/>
    <numFmt numFmtId="180" formatCode="_-#,##0.00_-;\(#,##0.00\);_-\ \ &quot;-&quot;_-;_-@_-"/>
    <numFmt numFmtId="181" formatCode="mmm/yyyy;_-\ &quot;N/A&quot;_-;_-\ &quot;-&quot;_-"/>
    <numFmt numFmtId="182" formatCode="mmm/dd/yyyy;_-\ &quot;N/A&quot;_-;_-\ &quot;-&quot;_-"/>
    <numFmt numFmtId="183" formatCode="_-#,##0_-;\(#,##0\);_-\ \ &quot;-&quot;_-;_-@_-"/>
    <numFmt numFmtId="184" formatCode="_-#,##0%_-;\(#,##0%\);_-\ &quot;-&quot;_-"/>
    <numFmt numFmtId="185" formatCode="_-#,###,_-;\(#,###,\);_-\ \ &quot;-&quot;_-;_-@_-"/>
    <numFmt numFmtId="186" formatCode="_-#,###.00,_-;\(#,###.00,\);_-\ \ &quot;-&quot;_-;_-@_-"/>
    <numFmt numFmtId="187" formatCode="_([$€-2]* #,##0.00_);_([$€-2]* \(#,##0.00\);_([$€-2]* &quot;-&quot;??_)"/>
    <numFmt numFmtId="188" formatCode="_-#0&quot;.&quot;0000_-;\(#0&quot;.&quot;0000\);_-\ \ &quot;-&quot;_-;_-@_-"/>
    <numFmt numFmtId="189" formatCode="_-#0&quot;.&quot;0,_-;\(#0&quot;.&quot;0,\);_-\ \ &quot;-&quot;_-;_-@_-"/>
    <numFmt numFmtId="190" formatCode="0%;\(0%\)"/>
    <numFmt numFmtId="191" formatCode="0.0%"/>
    <numFmt numFmtId="192" formatCode="#,##0;\-#,##0;&quot;-&quot;"/>
    <numFmt numFmtId="193" formatCode="&quot;$&quot;#,##0;[Red]&quot;$&quot;&quot;$&quot;&quot;$&quot;&quot;$&quot;&quot;$&quot;&quot;$&quot;&quot;$&quot;\-#,##0"/>
    <numFmt numFmtId="194" formatCode="#,##0.0_);\(#,##0.0\)"/>
    <numFmt numFmtId="195" formatCode="hh:mm\ AM/PM_)"/>
    <numFmt numFmtId="196" formatCode="&quot;$&quot;#,##0.00_);\(&quot;$&quot;#,##0.00\)"/>
    <numFmt numFmtId="197" formatCode=";;;"/>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0%_);\(0%\)"/>
    <numFmt numFmtId="20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4" formatCode="\(#,##0\)\ "/>
    <numFmt numFmtId="205" formatCode="[Blue]0.0%;[Blue]\(0.0%\)"/>
    <numFmt numFmtId="206" formatCode="0.0%;\(0.0%\)"/>
    <numFmt numFmtId="207" formatCode="[Red]0.0%;[Red]\(0.0%\)"/>
    <numFmt numFmtId="208" formatCode="[Blue]#,##0_);[Blue]\(#,##0\)"/>
    <numFmt numFmtId="209" formatCode="#,##0_);[Blue]\(#,##0\)"/>
    <numFmt numFmtId="210" formatCode="#,##0;\(#,##0\)"/>
    <numFmt numFmtId="211" formatCode="#,##0.0"/>
    <numFmt numFmtId="212" formatCode="\$#,##0.00;\(\$#,##0.00\)"/>
    <numFmt numFmtId="213" formatCode="\$#,##0;\(\$#,##0\)"/>
    <numFmt numFmtId="214" formatCode="#,##0\ &quot; &quot;;\(#,##0\)\ ;&quot;—&quot;&quot; &quot;&quot; &quot;&quot; &quot;&quot; &quot;"/>
    <numFmt numFmtId="215" formatCode="_(&quot;Cr$&quot;* #,##0_);_(&quot;Cr$&quot;* \(#,##0\);_(&quot;Cr$&quot;* &quot;-&quot;_);_(@_)"/>
    <numFmt numFmtId="216" formatCode="_(&quot;Cr$&quot;* #,##0.00_);_(&quot;Cr$&quot;* \(#,##0.00\);_(&quot;Cr$&quot;* &quot;-&quot;??_);_(@_)"/>
    <numFmt numFmtId="217" formatCode="_ * #,##0_)\ _R_$_ ;_ * \(#,##0\)\ _R_$_ ;_ * &quot;-&quot;_)\ _R_$_ ;_ @_ "/>
    <numFmt numFmtId="218" formatCode="_ * #,##0.00_)\ _R_$_ ;_ * \(#,##0.00\)\ _R_$_ ;_ * &quot;-&quot;??_)\ _R_$_ ;_ @_ "/>
    <numFmt numFmtId="219" formatCode="\ \ @"/>
    <numFmt numFmtId="220" formatCode="#,##0_);\(#,##0_)"/>
    <numFmt numFmtId="221" formatCode="_-* #,##0\ _k_r_-;\-* #,##0\ _k_r_-;_-* &quot;-&quot;\ _k_r_-;_-@_-"/>
    <numFmt numFmtId="222" formatCode="_-* #,##0.00\ _k_r_-;\-* #,##0.00\ _k_r_-;_-* &quot;-&quot;??\ _k_r_-;_-@_-"/>
    <numFmt numFmtId="223" formatCode="&quot;綅&quot;\t#,##0_);[Red]\(&quot;綅&quot;\t#,##0\)"/>
    <numFmt numFmtId="224" formatCode="&quot;?\t#,##0_);[Red]\(&quot;&quot;?&quot;\t#,##0\)"/>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00;[Red]&quot;\&quot;&quot;\&quot;&quot;\&quot;&quot;\&quot;&quot;\&quot;&quot;\&quot;\-#,##0.00"/>
    <numFmt numFmtId="230" formatCode="&quot;\&quot;#,##0.00;[Red]&quot;\&quot;\-#,##0.00"/>
    <numFmt numFmtId="231" formatCode="&quot;\&quot;#,##0;[Red]&quot;\&quot;\-#,##0"/>
  </numFmts>
  <fonts count="128">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
      <name val="Times New Roman"/>
      <family val="1"/>
    </font>
    <font>
      <sz val="12"/>
      <name val="Times New Roman"/>
      <family val="1"/>
    </font>
    <font>
      <b/>
      <sz val="10"/>
      <color indexed="10"/>
      <name val="Arial"/>
      <family val="2"/>
    </font>
    <font>
      <b/>
      <sz val="12"/>
      <name val="Arial"/>
      <family val="2"/>
    </font>
    <font>
      <b/>
      <sz val="12"/>
      <name val="Arial Narrow"/>
      <family val="2"/>
    </font>
    <font>
      <sz val="12"/>
      <name val="Arial Narrow"/>
      <family val="2"/>
    </font>
    <font>
      <sz val="10"/>
      <name val="Arial Narrow"/>
      <family val="2"/>
    </font>
    <font>
      <sz val="10"/>
      <color indexed="8"/>
      <name val="Arial Narrow"/>
      <family val="2"/>
    </font>
    <font>
      <b/>
      <sz val="10"/>
      <name val="Arial Narrow"/>
      <family val="2"/>
    </font>
    <font>
      <b/>
      <sz val="10"/>
      <color indexed="8"/>
      <name val="Arial Narrow"/>
      <family val="2"/>
    </font>
    <font>
      <u val="singleAccounting"/>
      <vertAlign val="subscript"/>
      <sz val="10"/>
      <name val="Times New Roman"/>
      <family val="1"/>
    </font>
    <font>
      <i/>
      <sz val="9"/>
      <name val="Times New Roman"/>
      <family val="1"/>
    </font>
    <font>
      <sz val="10"/>
      <color indexed="8"/>
      <name val="宋体"/>
      <family val="3"/>
      <charset val="134"/>
    </font>
    <font>
      <b/>
      <u/>
      <sz val="10"/>
      <name val="Arial Narrow"/>
      <family val="2"/>
    </font>
    <font>
      <sz val="11"/>
      <color indexed="9"/>
      <name val="宋体"/>
      <family val="3"/>
      <charset val="134"/>
    </font>
    <font>
      <b/>
      <sz val="10"/>
      <name val="宋体"/>
      <family val="3"/>
      <charset val="134"/>
    </font>
    <font>
      <b/>
      <sz val="10"/>
      <color indexed="8"/>
      <name val="宋体"/>
      <family val="3"/>
      <charset val="134"/>
    </font>
    <font>
      <b/>
      <u/>
      <sz val="10"/>
      <name val="宋体"/>
      <family val="3"/>
      <charset val="134"/>
    </font>
    <font>
      <sz val="10"/>
      <color indexed="8"/>
      <name val="宋体"/>
      <family val="3"/>
      <charset val="134"/>
    </font>
    <font>
      <b/>
      <sz val="12"/>
      <color indexed="8"/>
      <name val="宋体"/>
      <family val="3"/>
      <charset val="134"/>
    </font>
    <font>
      <sz val="12"/>
      <color indexed="8"/>
      <name val="宋体"/>
      <family val="3"/>
      <charset val="134"/>
    </font>
    <font>
      <sz val="10"/>
      <color rgb="FFFF0000"/>
      <name val="宋体"/>
      <family val="3"/>
      <charset val="134"/>
    </font>
    <font>
      <sz val="11"/>
      <color theme="1"/>
      <name val="宋体"/>
      <family val="3"/>
      <charset val="134"/>
      <scheme val="minor"/>
    </font>
    <font>
      <sz val="11"/>
      <color theme="1"/>
      <name val="宋体"/>
      <family val="2"/>
      <scheme val="minor"/>
    </font>
    <font>
      <sz val="10"/>
      <color rgb="FFFF0000"/>
      <name val="Arial Narrow"/>
      <family val="2"/>
    </font>
    <font>
      <sz val="10"/>
      <color rgb="FF0000FF"/>
      <name val="宋体"/>
      <family val="3"/>
      <charset val="134"/>
    </font>
    <font>
      <sz val="10"/>
      <color rgb="FF0000FF"/>
      <name val="Arial Narrow"/>
      <family val="2"/>
    </font>
    <font>
      <b/>
      <sz val="14"/>
      <name val="Arial Narrow"/>
      <family val="2"/>
    </font>
    <font>
      <b/>
      <sz val="14"/>
      <name val="宋体"/>
      <family val="3"/>
      <charset val="134"/>
    </font>
    <font>
      <sz val="14"/>
      <name val="Arial Narrow"/>
      <family val="2"/>
    </font>
    <font>
      <sz val="11"/>
      <name val="Arial Narrow"/>
      <family val="2"/>
    </font>
    <font>
      <b/>
      <sz val="10"/>
      <color rgb="FF0000FF"/>
      <name val="Arial Narrow"/>
      <family val="2"/>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b/>
      <sz val="10"/>
      <name val="Arial"/>
      <family val="2"/>
    </font>
    <font>
      <sz val="7"/>
      <name val="Small Fonts"/>
      <family val="2"/>
    </font>
    <font>
      <sz val="10"/>
      <color indexed="8"/>
      <name val="MS Sans Serif"/>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sz val="10"/>
      <name val="Geneva"/>
      <family val="2"/>
    </font>
    <font>
      <sz val="11"/>
      <name val="明朝"/>
      <family val="2"/>
    </font>
    <font>
      <sz val="8"/>
      <name val="Century Schoolbook"/>
      <family val="1"/>
    </font>
    <font>
      <u/>
      <sz val="10"/>
      <color indexed="12"/>
      <name val="宋体"/>
      <family val="3"/>
      <charset val="134"/>
    </font>
    <font>
      <sz val="11"/>
      <name val="ＭＳ Ｐゴシック"/>
      <family val="2"/>
    </font>
    <font>
      <sz val="12"/>
      <name val="바탕체"/>
      <family val="3"/>
    </font>
    <font>
      <sz val="10"/>
      <color indexed="72"/>
      <name val="宋体"/>
      <family val="3"/>
      <charset val="134"/>
    </font>
    <font>
      <b/>
      <sz val="10"/>
      <color indexed="72"/>
      <name val="Arial Narrow"/>
      <family val="2"/>
    </font>
    <font>
      <b/>
      <sz val="10"/>
      <color indexed="72"/>
      <name val="宋体"/>
      <family val="3"/>
      <charset val="134"/>
    </font>
    <font>
      <sz val="10"/>
      <color indexed="72"/>
      <name val="Arial Narrow"/>
      <family val="2"/>
    </font>
    <font>
      <sz val="10"/>
      <name val="Helv"/>
      <family val="2"/>
    </font>
    <font>
      <sz val="11"/>
      <color indexed="8"/>
      <name val="Calibri"/>
      <family val="2"/>
    </font>
    <font>
      <sz val="11"/>
      <color indexed="9"/>
      <name val="Calibri"/>
      <family val="2"/>
    </font>
    <font>
      <sz val="11"/>
      <color indexed="20"/>
      <name val="Calibri"/>
      <family val="2"/>
    </font>
    <font>
      <sz val="12"/>
      <name val="Tms Rmn"/>
      <family val="1"/>
    </font>
    <font>
      <b/>
      <sz val="11"/>
      <color indexed="52"/>
      <name val="Calibri"/>
      <family val="2"/>
    </font>
    <font>
      <b/>
      <sz val="10"/>
      <name val="Helv"/>
      <family val="2"/>
    </font>
    <font>
      <b/>
      <sz val="11"/>
      <color indexed="9"/>
      <name val="Calibri"/>
      <family val="2"/>
    </font>
    <font>
      <i/>
      <sz val="12"/>
      <name val="Times New Roman"/>
      <family val="1"/>
    </font>
    <font>
      <i/>
      <sz val="11"/>
      <color indexed="23"/>
      <name val="Calibri"/>
      <family val="2"/>
    </font>
    <font>
      <sz val="11"/>
      <name val="Times New Roman"/>
      <family val="1"/>
    </font>
    <font>
      <sz val="11"/>
      <color indexed="17"/>
      <name val="Calibri"/>
      <family val="2"/>
    </font>
    <font>
      <b/>
      <sz val="12"/>
      <name val="Helv"/>
      <family val="2"/>
    </font>
    <font>
      <b/>
      <sz val="15"/>
      <color indexed="56"/>
      <name val="Calibri"/>
      <family val="2"/>
    </font>
    <font>
      <b/>
      <sz val="13"/>
      <color indexed="56"/>
      <name val="Calibri"/>
      <family val="2"/>
    </font>
    <font>
      <b/>
      <sz val="11"/>
      <color indexed="56"/>
      <name val="Calibri"/>
      <family val="2"/>
    </font>
    <font>
      <u/>
      <sz val="10"/>
      <color indexed="12"/>
      <name val="Times New Roman"/>
      <family val="1"/>
    </font>
    <font>
      <sz val="11"/>
      <color indexed="62"/>
      <name val="Calibri"/>
      <family val="2"/>
    </font>
    <font>
      <sz val="18"/>
      <name val="Times New Roman"/>
      <family val="1"/>
    </font>
    <font>
      <b/>
      <sz val="13"/>
      <name val="Times New Roman"/>
      <family val="1"/>
    </font>
    <font>
      <b/>
      <i/>
      <sz val="12"/>
      <name val="Times New Roman"/>
      <family val="1"/>
    </font>
    <font>
      <sz val="11"/>
      <color indexed="52"/>
      <name val="Calibri"/>
      <family val="2"/>
    </font>
    <font>
      <b/>
      <sz val="11"/>
      <name val="Helv"/>
      <family val="2"/>
    </font>
    <font>
      <sz val="11"/>
      <color indexed="60"/>
      <name val="Calibri"/>
      <family val="2"/>
    </font>
    <font>
      <b/>
      <sz val="11"/>
      <color indexed="63"/>
      <name val="Calibri"/>
      <family val="2"/>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b/>
      <sz val="14"/>
      <color indexed="9"/>
      <name val="Times New Roman"/>
      <family val="1"/>
    </font>
    <font>
      <b/>
      <sz val="11"/>
      <color indexed="8"/>
      <name val="Calibri"/>
      <family val="2"/>
    </font>
    <font>
      <sz val="11"/>
      <color indexed="10"/>
      <name val="Calibri"/>
      <family val="2"/>
    </font>
    <font>
      <sz val="12"/>
      <color indexed="20"/>
      <name val="宋体"/>
      <family val="3"/>
      <charset val="134"/>
    </font>
    <font>
      <sz val="10"/>
      <color theme="1"/>
      <name val="宋体"/>
      <family val="3"/>
      <charset val="134"/>
      <scheme val="minor"/>
    </font>
    <font>
      <b/>
      <sz val="12"/>
      <name val="Times New Roman"/>
      <family val="1"/>
    </font>
    <font>
      <sz val="10"/>
      <color indexed="17"/>
      <name val="Times New Roman"/>
      <family val="1"/>
    </font>
    <font>
      <sz val="12"/>
      <name val="新細明體"/>
      <family val="1"/>
      <charset val="134"/>
    </font>
    <font>
      <u/>
      <sz val="10"/>
      <color indexed="36"/>
      <name val="新細明體"/>
      <family val="1"/>
      <charset val="134"/>
    </font>
    <font>
      <u/>
      <sz val="10"/>
      <color indexed="12"/>
      <name val="Arial"/>
      <family val="2"/>
    </font>
    <font>
      <sz val="14"/>
      <name val="柧挬"/>
      <family val="2"/>
    </font>
    <font>
      <sz val="11"/>
      <color rgb="FF9C0006"/>
      <name val="宋体"/>
      <family val="3"/>
      <charset val="134"/>
      <scheme val="minor"/>
    </font>
    <font>
      <sz val="11"/>
      <color rgb="FF006100"/>
      <name val="宋体"/>
      <family val="3"/>
      <charset val="134"/>
      <scheme val="minor"/>
    </font>
    <font>
      <sz val="12"/>
      <name val="官帕眉"/>
      <family val="2"/>
    </font>
    <font>
      <sz val="10"/>
      <name val="奔覆眉"/>
      <family val="2"/>
    </font>
    <font>
      <sz val="12"/>
      <name val="柧挬"/>
      <family val="2"/>
    </font>
    <font>
      <sz val="11"/>
      <color indexed="8"/>
      <name val="宋体"/>
      <family val="3"/>
      <charset val="134"/>
    </font>
    <font>
      <b/>
      <sz val="10"/>
      <color rgb="FF0000FF"/>
      <name val="宋体"/>
      <family val="3"/>
      <charset val="134"/>
    </font>
    <font>
      <sz val="10"/>
      <color rgb="FF3333FF"/>
      <name val="Arial Narrow"/>
      <family val="2"/>
    </font>
    <font>
      <sz val="10"/>
      <color rgb="FF3333FF"/>
      <name val="宋体"/>
      <family val="3"/>
      <charset val="134"/>
    </font>
    <font>
      <b/>
      <sz val="10"/>
      <color rgb="FF3333FF"/>
      <name val="Arial Narrow"/>
      <family val="2"/>
    </font>
    <font>
      <b/>
      <sz val="10"/>
      <color rgb="FF3333FF"/>
      <name val="宋体"/>
      <family val="3"/>
      <charset val="134"/>
    </font>
    <font>
      <b/>
      <sz val="14"/>
      <color indexed="8"/>
      <name val="宋体"/>
      <family val="3"/>
      <charset val="134"/>
    </font>
    <font>
      <sz val="9"/>
      <color indexed="81"/>
      <name val="宋体"/>
      <family val="3"/>
      <charset val="134"/>
    </font>
    <font>
      <b/>
      <sz val="9"/>
      <color indexed="81"/>
      <name val="宋体"/>
      <family val="3"/>
      <charset val="134"/>
    </font>
  </fonts>
  <fills count="36">
    <fill>
      <patternFill patternType="none"/>
    </fill>
    <fill>
      <patternFill patternType="gray125"/>
    </fill>
    <fill>
      <patternFill patternType="solid">
        <fgColor indexed="30"/>
      </patternFill>
    </fill>
    <fill>
      <patternFill patternType="solid">
        <fgColor indexed="22"/>
        <bgColor indexed="64"/>
      </patternFill>
    </fill>
    <fill>
      <patternFill patternType="solid">
        <fgColor indexed="26"/>
        <bgColor indexed="64"/>
      </patternFill>
    </fill>
    <fill>
      <patternFill patternType="solid">
        <fgColor indexed="13"/>
        <bgColor indexed="64"/>
      </patternFill>
    </fill>
    <fill>
      <patternFill patternType="solid">
        <fgColor indexed="27"/>
        <bgColor indexed="64"/>
      </patternFill>
    </fill>
    <fill>
      <patternFill patternType="solid">
        <fgColor indexed="9"/>
        <bgColor indexed="9"/>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31"/>
        <bgColor indexed="64"/>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54"/>
        <bgColor indexed="64"/>
      </patternFill>
    </fill>
    <fill>
      <patternFill patternType="solid">
        <fgColor indexed="55"/>
        <bgColor indexed="64"/>
      </patternFill>
    </fill>
    <fill>
      <patternFill patternType="solid">
        <fgColor rgb="FFC6EFCE"/>
      </patternFill>
    </fill>
    <fill>
      <patternFill patternType="solid">
        <fgColor rgb="FFFFC7CE"/>
      </patternFill>
    </fill>
    <fill>
      <patternFill patternType="solid">
        <fgColor theme="7" tint="0.79998168889431442"/>
        <bgColor indexed="64"/>
      </patternFill>
    </fill>
  </fills>
  <borders count="22">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thin">
        <color indexed="64"/>
      </top>
      <bottom style="thin">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619">
    <xf numFmtId="0" fontId="0" fillId="0" borderId="0">
      <protection locked="0"/>
    </xf>
    <xf numFmtId="0" fontId="32" fillId="2" borderId="0" applyNumberFormat="0" applyBorder="0" applyAlignment="0" applyProtection="0">
      <alignment vertical="center"/>
    </xf>
    <xf numFmtId="49" fontId="18" fillId="0" borderId="0" applyProtection="0">
      <alignment horizontal="left"/>
    </xf>
    <xf numFmtId="183" fontId="18" fillId="0" borderId="0" applyFill="0" applyBorder="0" applyProtection="0">
      <alignment horizontal="right"/>
    </xf>
    <xf numFmtId="180" fontId="18" fillId="0" borderId="0" applyFill="0" applyBorder="0" applyProtection="0">
      <alignment horizontal="right"/>
    </xf>
    <xf numFmtId="182" fontId="28" fillId="0" borderId="0" applyFill="0" applyBorder="0" applyProtection="0">
      <alignment horizontal="center"/>
    </xf>
    <xf numFmtId="181" fontId="28" fillId="0" borderId="0" applyFill="0" applyBorder="0" applyProtection="0">
      <alignment horizontal="center"/>
    </xf>
    <xf numFmtId="184" fontId="29" fillId="0" borderId="0" applyFill="0" applyBorder="0" applyProtection="0">
      <alignment horizontal="right"/>
    </xf>
    <xf numFmtId="185" fontId="18" fillId="0" borderId="0" applyFill="0" applyBorder="0" applyProtection="0">
      <alignment horizontal="right"/>
    </xf>
    <xf numFmtId="186" fontId="18" fillId="0" borderId="0" applyFill="0" applyBorder="0" applyProtection="0">
      <alignment horizontal="right"/>
    </xf>
    <xf numFmtId="189" fontId="18" fillId="0" borderId="0" applyFill="0" applyBorder="0" applyProtection="0">
      <alignment horizontal="right"/>
    </xf>
    <xf numFmtId="188" fontId="18" fillId="0" borderId="0" applyFill="0" applyBorder="0" applyProtection="0">
      <alignment horizontal="right"/>
    </xf>
    <xf numFmtId="0" fontId="11" fillId="0" borderId="0"/>
    <xf numFmtId="3" fontId="6" fillId="0" borderId="0"/>
    <xf numFmtId="176" fontId="7" fillId="0" borderId="1" applyAlignment="0" applyProtection="0"/>
    <xf numFmtId="41" fontId="8" fillId="0" borderId="0" applyFont="0" applyFill="0" applyBorder="0" applyAlignment="0" applyProtection="0"/>
    <xf numFmtId="43" fontId="8" fillId="0" borderId="0" applyFont="0" applyFill="0" applyBorder="0" applyAlignment="0" applyProtection="0"/>
    <xf numFmtId="187" fontId="18" fillId="0" borderId="0" applyFont="0" applyFill="0" applyBorder="0" applyAlignment="0" applyProtection="0"/>
    <xf numFmtId="0" fontId="9" fillId="0" borderId="0" applyNumberFormat="0" applyFill="0" applyBorder="0" applyAlignment="0" applyProtection="0">
      <alignment vertical="top"/>
      <protection locked="0"/>
    </xf>
    <xf numFmtId="38" fontId="10" fillId="3" borderId="0" applyNumberFormat="0" applyBorder="0" applyAlignment="0" applyProtection="0"/>
    <xf numFmtId="10" fontId="10" fillId="4" borderId="2" applyNumberFormat="0" applyBorder="0" applyAlignment="0" applyProtection="0"/>
    <xf numFmtId="178" fontId="11" fillId="0" borderId="0" applyFont="0" applyFill="0" applyBorder="0" applyAlignment="0" applyProtection="0"/>
    <xf numFmtId="179" fontId="11" fillId="0" borderId="0" applyFont="0" applyFill="0" applyBorder="0" applyAlignment="0" applyProtection="0"/>
    <xf numFmtId="0" fontId="12" fillId="0" borderId="0"/>
    <xf numFmtId="177" fontId="11" fillId="0" borderId="0"/>
    <xf numFmtId="10" fontId="8" fillId="0" borderId="0" applyFont="0" applyFill="0" applyBorder="0" applyAlignment="0" applyProtection="0"/>
    <xf numFmtId="3" fontId="13" fillId="0" borderId="0"/>
    <xf numFmtId="9" fontId="11" fillId="0" borderId="0" applyFont="0" applyFill="0" applyBorder="0" applyAlignment="0" applyProtection="0"/>
    <xf numFmtId="0" fontId="11" fillId="0" borderId="0">
      <protection locked="0"/>
    </xf>
    <xf numFmtId="0" fontId="11" fillId="0" borderId="0">
      <alignment vertical="center"/>
    </xf>
    <xf numFmtId="0" fontId="11" fillId="0" borderId="0">
      <alignment vertical="center"/>
    </xf>
    <xf numFmtId="43" fontId="11" fillId="0" borderId="0" applyFont="0" applyFill="0" applyBorder="0" applyAlignment="0" applyProtection="0"/>
    <xf numFmtId="43" fontId="36" fillId="0" borderId="0" applyFont="0" applyFill="0" applyBorder="0" applyAlignment="0" applyProtection="0">
      <alignment vertical="center"/>
    </xf>
    <xf numFmtId="0" fontId="11" fillId="0" borderId="0">
      <alignment vertical="center"/>
    </xf>
    <xf numFmtId="0" fontId="8" fillId="0" borderId="0"/>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11" fillId="0" borderId="0">
      <alignment vertical="center"/>
    </xf>
    <xf numFmtId="0" fontId="11" fillId="0" borderId="0">
      <alignment vertical="center"/>
    </xf>
    <xf numFmtId="0" fontId="11"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38" fillId="0" borderId="0" applyNumberFormat="0" applyBorder="0" applyAlignment="0">
      <alignment vertical="center"/>
      <protection locked="0"/>
    </xf>
    <xf numFmtId="0" fontId="11" fillId="0" borderId="0">
      <alignment vertical="center"/>
    </xf>
    <xf numFmtId="0" fontId="11" fillId="0" borderId="0">
      <alignment vertical="center"/>
    </xf>
    <xf numFmtId="0" fontId="38" fillId="0" borderId="0" applyNumberFormat="0" applyBorder="0" applyAlignment="0" applyProtection="0">
      <alignment vertical="center"/>
    </xf>
    <xf numFmtId="0" fontId="11" fillId="0" borderId="0">
      <alignment vertical="center"/>
    </xf>
    <xf numFmtId="0" fontId="11" fillId="0" borderId="0">
      <alignment vertical="center"/>
    </xf>
    <xf numFmtId="0" fontId="11" fillId="0" borderId="0">
      <alignment vertical="center"/>
    </xf>
    <xf numFmtId="0" fontId="11" fillId="0" borderId="0"/>
    <xf numFmtId="0" fontId="40" fillId="0" borderId="0">
      <alignment vertical="center"/>
    </xf>
    <xf numFmtId="0" fontId="40" fillId="0" borderId="0">
      <alignment vertical="center"/>
    </xf>
    <xf numFmtId="0" fontId="40" fillId="0" borderId="0">
      <alignment vertical="center"/>
    </xf>
    <xf numFmtId="0" fontId="38" fillId="0" borderId="0" applyNumberFormat="0" applyBorder="0" applyAlignment="0" applyProtection="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0" fontId="40" fillId="0" borderId="0">
      <alignment vertical="center"/>
    </xf>
    <xf numFmtId="43" fontId="30" fillId="0" borderId="0" applyFont="0" applyFill="0" applyBorder="0" applyAlignment="0" applyProtection="0">
      <alignment vertical="center"/>
    </xf>
    <xf numFmtId="187" fontId="5" fillId="0" borderId="0">
      <alignment vertical="center"/>
    </xf>
    <xf numFmtId="0" fontId="11" fillId="0" borderId="0">
      <protection locked="0"/>
    </xf>
    <xf numFmtId="0" fontId="8" fillId="0" borderId="0"/>
    <xf numFmtId="0" fontId="8" fillId="0" borderId="0"/>
    <xf numFmtId="0" fontId="8" fillId="0" borderId="0"/>
    <xf numFmtId="0" fontId="50" fillId="0" borderId="0">
      <alignment vertical="top"/>
      <protection locked="0"/>
    </xf>
    <xf numFmtId="0" fontId="50" fillId="0" borderId="0">
      <alignment vertical="top"/>
      <protection locked="0"/>
    </xf>
    <xf numFmtId="0" fontId="50" fillId="0" borderId="0">
      <alignment vertical="top"/>
      <protection locked="0"/>
    </xf>
    <xf numFmtId="0" fontId="50" fillId="0" borderId="0">
      <alignment vertical="top"/>
    </xf>
    <xf numFmtId="0" fontId="50" fillId="0" borderId="0">
      <alignment vertical="top"/>
    </xf>
    <xf numFmtId="0" fontId="50" fillId="0" borderId="0">
      <alignment vertical="top"/>
      <protection locked="0"/>
    </xf>
    <xf numFmtId="0" fontId="50" fillId="0" borderId="0">
      <alignment vertical="top"/>
    </xf>
    <xf numFmtId="0" fontId="50" fillId="0" borderId="0">
      <alignment vertical="top"/>
    </xf>
    <xf numFmtId="0" fontId="50" fillId="0" borderId="0">
      <alignment vertical="top"/>
      <protection locked="0"/>
    </xf>
    <xf numFmtId="0" fontId="50" fillId="0" borderId="0">
      <alignment vertical="top"/>
      <protection locked="0"/>
    </xf>
    <xf numFmtId="0" fontId="50" fillId="0" borderId="0">
      <alignment vertical="top"/>
      <protection locked="0"/>
    </xf>
    <xf numFmtId="0" fontId="50" fillId="0" borderId="0">
      <alignment vertical="top"/>
    </xf>
    <xf numFmtId="0" fontId="50" fillId="0" borderId="0">
      <alignment vertical="top"/>
    </xf>
    <xf numFmtId="0" fontId="50" fillId="0" borderId="0">
      <alignment vertical="top"/>
      <protection locked="0"/>
    </xf>
    <xf numFmtId="0" fontId="50" fillId="0" borderId="0">
      <alignment vertical="top"/>
    </xf>
    <xf numFmtId="0" fontId="50" fillId="0" borderId="0">
      <alignment vertical="top"/>
    </xf>
    <xf numFmtId="0" fontId="50" fillId="0" borderId="0">
      <alignment vertical="top"/>
    </xf>
    <xf numFmtId="0" fontId="50" fillId="0" borderId="0">
      <alignment vertical="top"/>
      <protection locked="0"/>
    </xf>
    <xf numFmtId="0" fontId="50" fillId="0" borderId="0">
      <alignment vertical="top"/>
    </xf>
    <xf numFmtId="0" fontId="50" fillId="0" borderId="0">
      <alignment vertical="top"/>
      <protection locked="0"/>
    </xf>
    <xf numFmtId="0" fontId="50" fillId="0" borderId="0">
      <alignment vertical="top"/>
      <protection locked="0"/>
    </xf>
    <xf numFmtId="0" fontId="50" fillId="0" borderId="0">
      <alignment vertical="top"/>
      <protection locked="0"/>
    </xf>
    <xf numFmtId="0" fontId="50" fillId="0" borderId="0">
      <alignment vertical="top"/>
    </xf>
    <xf numFmtId="0" fontId="50" fillId="0" borderId="0">
      <alignment vertical="top"/>
    </xf>
    <xf numFmtId="0" fontId="50" fillId="0" borderId="0">
      <alignment vertical="top"/>
    </xf>
    <xf numFmtId="0" fontId="50" fillId="0" borderId="0">
      <alignment vertical="top"/>
    </xf>
    <xf numFmtId="0" fontId="50" fillId="0" borderId="0">
      <alignment vertical="top"/>
      <protection locked="0"/>
    </xf>
    <xf numFmtId="0" fontId="50" fillId="0" borderId="0">
      <alignment vertical="top"/>
      <protection locked="0"/>
    </xf>
    <xf numFmtId="0" fontId="50" fillId="0" borderId="0">
      <alignment vertical="top"/>
    </xf>
    <xf numFmtId="0" fontId="50" fillId="0" borderId="0">
      <alignment vertical="top"/>
      <protection locked="0"/>
    </xf>
    <xf numFmtId="190" fontId="51" fillId="0" borderId="0" applyFont="0" applyFill="0" applyBorder="0" applyAlignment="0" applyProtection="0"/>
    <xf numFmtId="191" fontId="51" fillId="0" borderId="0" applyFont="0" applyFill="0" applyBorder="0" applyAlignment="0" applyProtection="0"/>
    <xf numFmtId="10" fontId="51" fillId="0" borderId="0" applyFont="0" applyFill="0" applyBorder="0" applyAlignment="0" applyProtection="0"/>
    <xf numFmtId="192" fontId="50" fillId="0" borderId="0" applyFill="0" applyBorder="0" applyAlignment="0"/>
    <xf numFmtId="0" fontId="52" fillId="0" borderId="9" applyNumberFormat="0" applyFill="0" applyProtection="0">
      <alignment horizontal="center"/>
    </xf>
    <xf numFmtId="0" fontId="53" fillId="0" borderId="12">
      <alignment horizontal="center"/>
    </xf>
    <xf numFmtId="193" fontId="8" fillId="0" borderId="0"/>
    <xf numFmtId="193" fontId="8" fillId="0" borderId="0"/>
    <xf numFmtId="193" fontId="8" fillId="0" borderId="0"/>
    <xf numFmtId="193" fontId="8" fillId="0" borderId="0"/>
    <xf numFmtId="193" fontId="8" fillId="0" borderId="0"/>
    <xf numFmtId="193" fontId="8" fillId="0" borderId="0"/>
    <xf numFmtId="193" fontId="8" fillId="0" borderId="0"/>
    <xf numFmtId="193" fontId="8" fillId="0" borderId="0"/>
    <xf numFmtId="38" fontId="54" fillId="0" borderId="0" applyFont="0" applyFill="0" applyBorder="0" applyAlignment="0" applyProtection="0"/>
    <xf numFmtId="37" fontId="51" fillId="0" borderId="0" applyFont="0" applyFill="0" applyBorder="0" applyAlignment="0" applyProtection="0"/>
    <xf numFmtId="194" fontId="51" fillId="0" borderId="0" applyFont="0" applyFill="0" applyBorder="0" applyAlignment="0" applyProtection="0"/>
    <xf numFmtId="39" fontId="51" fillId="0" borderId="0" applyFont="0" applyFill="0" applyBorder="0" applyAlignment="0" applyProtection="0"/>
    <xf numFmtId="40" fontId="54" fillId="0" borderId="0" applyFont="0" applyFill="0" applyBorder="0" applyAlignment="0" applyProtection="0"/>
    <xf numFmtId="195" fontId="11" fillId="0" borderId="0" applyFont="0" applyFill="0" applyBorder="0" applyAlignment="0" applyProtection="0"/>
    <xf numFmtId="176" fontId="51" fillId="0" borderId="0" applyFont="0" applyFill="0" applyBorder="0" applyAlignment="0" applyProtection="0"/>
    <xf numFmtId="196" fontId="51" fillId="0" borderId="0" applyFont="0" applyFill="0" applyBorder="0" applyAlignment="0" applyProtection="0"/>
    <xf numFmtId="197" fontId="11" fillId="0" borderId="0" applyFont="0" applyFill="0" applyBorder="0" applyAlignment="0" applyProtection="0"/>
    <xf numFmtId="0" fontId="55" fillId="0" borderId="0">
      <alignment horizontal="left"/>
    </xf>
    <xf numFmtId="0" fontId="10" fillId="5" borderId="2"/>
    <xf numFmtId="0" fontId="21" fillId="0" borderId="10" applyNumberFormat="0" applyAlignment="0" applyProtection="0">
      <alignment horizontal="left" vertical="center"/>
    </xf>
    <xf numFmtId="0" fontId="21" fillId="0" borderId="5">
      <alignment horizontal="left" vertical="center"/>
    </xf>
    <xf numFmtId="14" fontId="56" fillId="6" borderId="11">
      <alignment horizontal="center" vertical="center" wrapText="1"/>
    </xf>
    <xf numFmtId="0" fontId="18" fillId="0" borderId="0" applyNumberFormat="0" applyFont="0" applyFill="0" applyBorder="0" applyProtection="0">
      <alignment horizontal="left" vertical="center"/>
    </xf>
    <xf numFmtId="41" fontId="8" fillId="0" borderId="0" applyFont="0" applyFill="0" applyBorder="0" applyAlignment="0" applyProtection="0"/>
    <xf numFmtId="43" fontId="8" fillId="0" borderId="0" applyFont="0" applyFill="0" applyBorder="0" applyAlignment="0" applyProtection="0"/>
    <xf numFmtId="198" fontId="8" fillId="0" borderId="0" applyFont="0" applyFill="0" applyBorder="0" applyAlignment="0" applyProtection="0"/>
    <xf numFmtId="199" fontId="8" fillId="0" borderId="0" applyFont="0" applyFill="0" applyBorder="0" applyAlignment="0" applyProtection="0"/>
    <xf numFmtId="200" fontId="8" fillId="0" borderId="0" applyFont="0" applyFill="0" applyBorder="0" applyAlignment="0" applyProtection="0"/>
    <xf numFmtId="201" fontId="11" fillId="0" borderId="0" applyFont="0" applyFill="0" applyBorder="0" applyAlignment="0" applyProtection="0"/>
    <xf numFmtId="37" fontId="57" fillId="0" borderId="0"/>
    <xf numFmtId="0" fontId="54" fillId="0" borderId="0"/>
    <xf numFmtId="0" fontId="58" fillId="0" borderId="0"/>
    <xf numFmtId="202" fontId="8" fillId="0" borderId="0" applyFont="0" applyFill="0" applyBorder="0" applyAlignment="0" applyProtection="0"/>
    <xf numFmtId="0" fontId="10" fillId="3" borderId="2"/>
    <xf numFmtId="4" fontId="55" fillId="0" borderId="0">
      <alignment horizontal="right"/>
    </xf>
    <xf numFmtId="4" fontId="59" fillId="0" borderId="0">
      <alignment horizontal="right"/>
    </xf>
    <xf numFmtId="0" fontId="60" fillId="0" borderId="0">
      <alignment horizontal="left"/>
    </xf>
    <xf numFmtId="0" fontId="61" fillId="0" borderId="2">
      <alignment horizontal="center"/>
    </xf>
    <xf numFmtId="0" fontId="61" fillId="0" borderId="0">
      <alignment horizontal="center" vertical="center"/>
    </xf>
    <xf numFmtId="0" fontId="62" fillId="7" borderId="0" applyNumberFormat="0" applyFill="0">
      <alignment horizontal="left" vertical="center"/>
    </xf>
    <xf numFmtId="0" fontId="20" fillId="0" borderId="0" applyFill="0" applyBorder="0" applyProtection="0">
      <alignment horizontal="left" vertical="top"/>
    </xf>
    <xf numFmtId="0" fontId="63" fillId="0" borderId="0">
      <alignment horizontal="center"/>
    </xf>
    <xf numFmtId="0" fontId="64" fillId="0" borderId="0" applyNumberFormat="0" applyFont="0" applyFill="0" applyBorder="0" applyProtection="0">
      <alignment horizontal="center" vertical="center" wrapText="1"/>
    </xf>
    <xf numFmtId="9" fontId="65" fillId="0" borderId="0" applyFont="0" applyFill="0" applyBorder="0" applyAlignment="0" applyProtection="0"/>
    <xf numFmtId="4" fontId="66" fillId="0" borderId="0">
      <alignment horizontal="right"/>
    </xf>
    <xf numFmtId="0" fontId="67"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7" fillId="0" borderId="0" applyNumberFormat="0" applyFill="0" applyBorder="0" applyAlignment="0" applyProtection="0"/>
    <xf numFmtId="4" fontId="64" fillId="0" borderId="0" applyFont="0" applyFill="0" applyBorder="0" applyAlignment="0" applyProtection="0"/>
    <xf numFmtId="41" fontId="8" fillId="0" borderId="0" applyFont="0" applyFill="0" applyBorder="0" applyAlignment="0" applyProtection="0"/>
    <xf numFmtId="0" fontId="18" fillId="0" borderId="0"/>
    <xf numFmtId="41" fontId="18" fillId="0" borderId="0" applyFont="0" applyFill="0" applyBorder="0" applyAlignment="0" applyProtection="0"/>
    <xf numFmtId="43" fontId="18" fillId="0" borderId="0" applyFont="0" applyFill="0" applyBorder="0" applyAlignment="0" applyProtection="0"/>
    <xf numFmtId="199" fontId="8" fillId="0" borderId="0" applyFont="0" applyFill="0" applyBorder="0" applyAlignment="0" applyProtection="0"/>
    <xf numFmtId="203" fontId="64" fillId="0" borderId="0" applyFont="0" applyFill="0" applyBorder="0" applyAlignment="0" applyProtection="0"/>
    <xf numFmtId="187" fontId="50" fillId="0" borderId="0">
      <alignment vertical="top"/>
    </xf>
    <xf numFmtId="38" fontId="68" fillId="0" borderId="0" applyFont="0" applyFill="0" applyBorder="0" applyAlignment="0" applyProtection="0"/>
    <xf numFmtId="40" fontId="68" fillId="0" borderId="0" applyFont="0" applyFill="0" applyBorder="0" applyAlignment="0" applyProtection="0"/>
    <xf numFmtId="0" fontId="68" fillId="0" borderId="0" applyFont="0" applyFill="0" applyBorder="0" applyAlignment="0" applyProtection="0"/>
    <xf numFmtId="0" fontId="68" fillId="0" borderId="0" applyFont="0" applyFill="0" applyBorder="0" applyAlignment="0" applyProtection="0"/>
    <xf numFmtId="0" fontId="69" fillId="0" borderId="0"/>
    <xf numFmtId="0" fontId="70" fillId="0" borderId="0"/>
    <xf numFmtId="40" fontId="70" fillId="0" borderId="0" applyFont="0" applyFill="0" applyBorder="0" applyAlignment="0" applyProtection="0"/>
    <xf numFmtId="0" fontId="8" fillId="0" borderId="0"/>
    <xf numFmtId="37" fontId="8" fillId="0" borderId="0" applyFont="0" applyFill="0" applyBorder="0" applyAlignment="0" applyProtection="0"/>
    <xf numFmtId="0" fontId="32" fillId="2" borderId="0" applyNumberFormat="0" applyBorder="0" applyAlignment="0" applyProtection="0">
      <alignment vertical="center"/>
    </xf>
    <xf numFmtId="187" fontId="11" fillId="0" borderId="0">
      <protection locked="0"/>
    </xf>
    <xf numFmtId="49" fontId="18" fillId="0" borderId="0"/>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49" fontId="18" fillId="0" borderId="0" applyProtection="0">
      <alignment horizontal="left"/>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74" fillId="0" borderId="0"/>
    <xf numFmtId="187" fontId="74"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74" fillId="0" borderId="0">
      <protection locked="0"/>
    </xf>
    <xf numFmtId="187" fontId="74" fillId="0" borderId="0"/>
    <xf numFmtId="187" fontId="74"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19" fillId="0" borderId="0">
      <protection locked="0"/>
    </xf>
    <xf numFmtId="187" fontId="74" fillId="0" borderId="0">
      <protection locked="0"/>
    </xf>
    <xf numFmtId="187" fontId="19" fillId="0" borderId="0">
      <protection locked="0"/>
    </xf>
    <xf numFmtId="187" fontId="74"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xf numFmtId="0" fontId="19"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19"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19" fillId="0" borderId="0"/>
    <xf numFmtId="187" fontId="74" fillId="0" borderId="0">
      <protection locked="0"/>
    </xf>
    <xf numFmtId="187" fontId="8" fillId="0" borderId="0"/>
    <xf numFmtId="187" fontId="8" fillId="0" borderId="0">
      <protection locked="0"/>
    </xf>
    <xf numFmtId="187" fontId="8" fillId="0" borderId="0">
      <protection locked="0"/>
    </xf>
    <xf numFmtId="187" fontId="74" fillId="0" borderId="0">
      <protection locked="0"/>
    </xf>
    <xf numFmtId="187" fontId="8" fillId="0" borderId="0"/>
    <xf numFmtId="187" fontId="8" fillId="0" borderId="0">
      <protection locked="0"/>
    </xf>
    <xf numFmtId="187" fontId="8" fillId="0" borderId="0">
      <protection locked="0"/>
    </xf>
    <xf numFmtId="187" fontId="74" fillId="0" borderId="0">
      <protection locked="0"/>
    </xf>
    <xf numFmtId="187" fontId="74" fillId="0" borderId="0">
      <protection locked="0"/>
    </xf>
    <xf numFmtId="187" fontId="19" fillId="0" borderId="0"/>
    <xf numFmtId="187" fontId="8" fillId="0" borderId="0">
      <protection locked="0"/>
    </xf>
    <xf numFmtId="187" fontId="74" fillId="0" borderId="0">
      <protection locked="0"/>
    </xf>
    <xf numFmtId="187" fontId="8" fillId="0" borderId="0">
      <protection locked="0"/>
    </xf>
    <xf numFmtId="187" fontId="8" fillId="0" borderId="0">
      <protection locked="0"/>
    </xf>
    <xf numFmtId="187" fontId="74" fillId="0" borderId="0">
      <protection locked="0"/>
    </xf>
    <xf numFmtId="187" fontId="74" fillId="0" borderId="0">
      <protection locked="0"/>
    </xf>
    <xf numFmtId="187" fontId="74" fillId="0" borderId="0">
      <protection locked="0"/>
    </xf>
    <xf numFmtId="187" fontId="74" fillId="0" borderId="0">
      <protection locked="0"/>
    </xf>
    <xf numFmtId="187" fontId="50" fillId="0" borderId="0">
      <alignment vertical="top"/>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187" fontId="74" fillId="0" borderId="0">
      <protection locked="0"/>
    </xf>
    <xf numFmtId="187" fontId="74" fillId="0" borderId="0">
      <protection locked="0"/>
    </xf>
    <xf numFmtId="187" fontId="8" fillId="0" borderId="0">
      <protection locked="0"/>
    </xf>
    <xf numFmtId="187" fontId="8" fillId="0" borderId="0">
      <protection locked="0"/>
    </xf>
    <xf numFmtId="187" fontId="8" fillId="0" borderId="0">
      <protection locked="0"/>
    </xf>
    <xf numFmtId="187" fontId="74" fillId="0" borderId="0"/>
    <xf numFmtId="187" fontId="74" fillId="0" borderId="0">
      <protection locked="0"/>
    </xf>
    <xf numFmtId="0" fontId="11" fillId="0" borderId="0"/>
    <xf numFmtId="0" fontId="75" fillId="8" borderId="0" applyNumberFormat="0" applyBorder="0" applyAlignment="0" applyProtection="0"/>
    <xf numFmtId="0" fontId="75" fillId="9" borderId="0" applyNumberFormat="0" applyBorder="0" applyAlignment="0" applyProtection="0"/>
    <xf numFmtId="0" fontId="75" fillId="10" borderId="0" applyNumberFormat="0" applyBorder="0" applyAlignment="0" applyProtection="0"/>
    <xf numFmtId="0" fontId="75" fillId="11" borderId="0" applyNumberFormat="0" applyBorder="0" applyAlignment="0" applyProtection="0"/>
    <xf numFmtId="0" fontId="75" fillId="12" borderId="0" applyNumberFormat="0" applyBorder="0" applyAlignment="0" applyProtection="0"/>
    <xf numFmtId="0" fontId="75" fillId="13" borderId="0" applyNumberFormat="0" applyBorder="0" applyAlignment="0" applyProtection="0"/>
    <xf numFmtId="0" fontId="75" fillId="14" borderId="0" applyNumberFormat="0" applyBorder="0" applyAlignment="0" applyProtection="0"/>
    <xf numFmtId="0" fontId="75" fillId="15" borderId="0" applyNumberFormat="0" applyBorder="0" applyAlignment="0" applyProtection="0"/>
    <xf numFmtId="0" fontId="75" fillId="16" borderId="0" applyNumberFormat="0" applyBorder="0" applyAlignment="0" applyProtection="0"/>
    <xf numFmtId="0" fontId="75" fillId="11" borderId="0" applyNumberFormat="0" applyBorder="0" applyAlignment="0" applyProtection="0"/>
    <xf numFmtId="0" fontId="75" fillId="14" borderId="0" applyNumberFormat="0" applyBorder="0" applyAlignment="0" applyProtection="0"/>
    <xf numFmtId="0" fontId="75" fillId="17" borderId="0" applyNumberFormat="0" applyBorder="0" applyAlignment="0" applyProtection="0"/>
    <xf numFmtId="0" fontId="76" fillId="2" borderId="0" applyNumberFormat="0" applyBorder="0" applyAlignment="0" applyProtection="0"/>
    <xf numFmtId="0" fontId="76" fillId="15" borderId="0" applyNumberFormat="0" applyBorder="0" applyAlignment="0" applyProtection="0"/>
    <xf numFmtId="0" fontId="76" fillId="16" borderId="0" applyNumberFormat="0" applyBorder="0" applyAlignment="0" applyProtection="0"/>
    <xf numFmtId="0" fontId="76" fillId="18" borderId="0" applyNumberFormat="0" applyBorder="0" applyAlignment="0" applyProtection="0"/>
    <xf numFmtId="0" fontId="76" fillId="19" borderId="0" applyNumberFormat="0" applyBorder="0" applyAlignment="0" applyProtection="0"/>
    <xf numFmtId="0" fontId="76" fillId="20" borderId="0" applyNumberFormat="0" applyBorder="0" applyAlignment="0" applyProtection="0"/>
    <xf numFmtId="187" fontId="74" fillId="0" borderId="0"/>
    <xf numFmtId="0" fontId="76" fillId="21" borderId="0" applyNumberFormat="0" applyBorder="0" applyAlignment="0" applyProtection="0"/>
    <xf numFmtId="0" fontId="76" fillId="22" borderId="0" applyNumberFormat="0" applyBorder="0" applyAlignment="0" applyProtection="0"/>
    <xf numFmtId="0" fontId="76" fillId="23" borderId="0" applyNumberFormat="0" applyBorder="0" applyAlignment="0" applyProtection="0"/>
    <xf numFmtId="0" fontId="76" fillId="18" borderId="0" applyNumberFormat="0" applyBorder="0" applyAlignment="0" applyProtection="0"/>
    <xf numFmtId="0" fontId="76" fillId="19" borderId="0" applyNumberFormat="0" applyBorder="0" applyAlignment="0" applyProtection="0"/>
    <xf numFmtId="0" fontId="76" fillId="24" borderId="0" applyNumberFormat="0" applyBorder="0" applyAlignment="0" applyProtection="0"/>
    <xf numFmtId="0" fontId="77" fillId="9" borderId="0" applyNumberFormat="0" applyBorder="0" applyAlignment="0" applyProtection="0"/>
    <xf numFmtId="187" fontId="78" fillId="0" borderId="0" applyNumberFormat="0" applyFill="0" applyBorder="0" applyAlignment="0" applyProtection="0"/>
    <xf numFmtId="204" fontId="8" fillId="0" borderId="0" applyFill="0" applyBorder="0" applyAlignment="0"/>
    <xf numFmtId="205" fontId="8" fillId="0" borderId="0" applyFill="0" applyBorder="0" applyAlignment="0"/>
    <xf numFmtId="206" fontId="8" fillId="0" borderId="0" applyFill="0" applyBorder="0" applyAlignment="0"/>
    <xf numFmtId="207"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0" fontId="79" fillId="25" borderId="13" applyNumberFormat="0" applyAlignment="0" applyProtection="0"/>
    <xf numFmtId="0" fontId="80" fillId="0" borderId="0"/>
    <xf numFmtId="3" fontId="54" fillId="0" borderId="2">
      <protection locked="0"/>
    </xf>
    <xf numFmtId="0" fontId="81" fillId="26" borderId="14" applyNumberFormat="0" applyAlignment="0" applyProtection="0"/>
    <xf numFmtId="187" fontId="82" fillId="0" borderId="0" applyFill="0" applyBorder="0">
      <alignment horizontal="right"/>
    </xf>
    <xf numFmtId="187" fontId="19" fillId="0" borderId="0" applyFill="0" applyBorder="0">
      <alignment horizontal="right"/>
    </xf>
    <xf numFmtId="208" fontId="8" fillId="0" borderId="0" applyFont="0" applyFill="0" applyBorder="0" applyAlignment="0" applyProtection="0"/>
    <xf numFmtId="43" fontId="11" fillId="0" borderId="0" applyFont="0" applyFill="0" applyBorder="0" applyAlignment="0" applyProtection="0"/>
    <xf numFmtId="210" fontId="18" fillId="0" borderId="0"/>
    <xf numFmtId="211" fontId="18" fillId="0" borderId="0"/>
    <xf numFmtId="204" fontId="8" fillId="0" borderId="0" applyFont="0" applyFill="0" applyBorder="0" applyAlignment="0" applyProtection="0"/>
    <xf numFmtId="212" fontId="18" fillId="0" borderId="0"/>
    <xf numFmtId="187" fontId="19" fillId="0" borderId="0" applyFont="0" applyFill="0" applyBorder="0" applyAlignment="0" applyProtection="0"/>
    <xf numFmtId="14" fontId="50" fillId="0" borderId="0" applyFill="0" applyBorder="0" applyAlignment="0"/>
    <xf numFmtId="213" fontId="18" fillId="0" borderId="0"/>
    <xf numFmtId="187" fontId="8" fillId="0" borderId="0">
      <protection locked="0"/>
    </xf>
    <xf numFmtId="208" fontId="8" fillId="0" borderId="0" applyFill="0" applyBorder="0" applyAlignment="0"/>
    <xf numFmtId="204"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0" fontId="83" fillId="0" borderId="0" applyNumberFormat="0" applyFill="0" applyBorder="0" applyAlignment="0" applyProtection="0"/>
    <xf numFmtId="187" fontId="8" fillId="0" borderId="0">
      <protection locked="0"/>
    </xf>
    <xf numFmtId="187" fontId="8" fillId="0" borderId="0">
      <protection locked="0"/>
    </xf>
    <xf numFmtId="187" fontId="8" fillId="0" borderId="0">
      <protection locked="0"/>
    </xf>
    <xf numFmtId="187" fontId="8" fillId="0" borderId="0">
      <protection locked="0"/>
    </xf>
    <xf numFmtId="187" fontId="8" fillId="0" borderId="0">
      <protection locked="0"/>
    </xf>
    <xf numFmtId="2" fontId="19" fillId="0" borderId="0" applyFont="0" applyFill="0" applyBorder="0" applyAlignment="0" applyProtection="0"/>
    <xf numFmtId="214" fontId="84" fillId="0" borderId="0">
      <alignment horizontal="right"/>
    </xf>
    <xf numFmtId="187" fontId="8" fillId="0" borderId="0"/>
    <xf numFmtId="0" fontId="85" fillId="10" borderId="0" applyNumberFormat="0" applyBorder="0" applyAlignment="0" applyProtection="0"/>
    <xf numFmtId="0" fontId="86" fillId="0" borderId="0">
      <alignment horizontal="left"/>
    </xf>
    <xf numFmtId="0" fontId="87" fillId="0" borderId="15" applyNumberFormat="0" applyFill="0" applyAlignment="0" applyProtection="0"/>
    <xf numFmtId="0" fontId="88" fillId="0" borderId="16" applyNumberFormat="0" applyFill="0" applyAlignment="0" applyProtection="0"/>
    <xf numFmtId="0" fontId="89" fillId="0" borderId="17" applyNumberFormat="0" applyFill="0" applyAlignment="0" applyProtection="0"/>
    <xf numFmtId="0" fontId="89" fillId="0" borderId="0" applyNumberFormat="0" applyFill="0" applyBorder="0" applyAlignment="0" applyProtection="0"/>
    <xf numFmtId="187" fontId="19" fillId="0" borderId="0" applyNumberFormat="0" applyFont="0" applyFill="0" applyBorder="0" applyAlignment="0" applyProtection="0"/>
    <xf numFmtId="187" fontId="19" fillId="0" borderId="0" applyNumberFormat="0" applyFont="0" applyFill="0" applyBorder="0" applyAlignment="0" applyProtection="0"/>
    <xf numFmtId="187" fontId="90" fillId="0" borderId="0" applyNumberFormat="0" applyFill="0" applyBorder="0" applyAlignment="0" applyProtection="0">
      <alignment vertical="top"/>
      <protection locked="0"/>
    </xf>
    <xf numFmtId="0" fontId="91" fillId="13" borderId="13" applyNumberFormat="0" applyAlignment="0" applyProtection="0"/>
    <xf numFmtId="187" fontId="82" fillId="27" borderId="0" applyNumberFormat="0" applyFont="0" applyBorder="0" applyAlignment="0" applyProtection="0">
      <alignment horizontal="right"/>
    </xf>
    <xf numFmtId="38" fontId="92" fillId="0" borderId="0"/>
    <xf numFmtId="38" fontId="93" fillId="0" borderId="0"/>
    <xf numFmtId="38" fontId="94" fillId="0" borderId="0"/>
    <xf numFmtId="38" fontId="82" fillId="0" borderId="0"/>
    <xf numFmtId="187" fontId="84" fillId="0" borderId="0"/>
    <xf numFmtId="187" fontId="84" fillId="0" borderId="0"/>
    <xf numFmtId="187" fontId="8" fillId="0" borderId="0"/>
    <xf numFmtId="187" fontId="19" fillId="0" borderId="0" applyFont="0" applyFill="0">
      <alignment horizontal="fill"/>
    </xf>
    <xf numFmtId="208" fontId="8" fillId="0" borderId="0" applyFill="0" applyBorder="0" applyAlignment="0"/>
    <xf numFmtId="204"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0" fontId="95" fillId="0" borderId="18" applyNumberFormat="0" applyFill="0" applyAlignment="0" applyProtection="0"/>
    <xf numFmtId="0" fontId="96" fillId="0" borderId="11"/>
    <xf numFmtId="215" fontId="84" fillId="0" borderId="0" applyFont="0" applyFill="0" applyBorder="0" applyAlignment="0" applyProtection="0"/>
    <xf numFmtId="216" fontId="84" fillId="0" borderId="0" applyFont="0" applyFill="0" applyBorder="0" applyAlignment="0" applyProtection="0"/>
    <xf numFmtId="0" fontId="97" fillId="28" borderId="0" applyNumberFormat="0" applyBorder="0" applyAlignment="0" applyProtection="0"/>
    <xf numFmtId="177" fontId="11" fillId="0" borderId="0"/>
    <xf numFmtId="177" fontId="11" fillId="0" borderId="0"/>
    <xf numFmtId="0" fontId="11" fillId="0" borderId="0"/>
    <xf numFmtId="0" fontId="8" fillId="29" borderId="19" applyNumberFormat="0" applyFont="0" applyAlignment="0" applyProtection="0"/>
    <xf numFmtId="0" fontId="98" fillId="25" borderId="20" applyNumberFormat="0" applyAlignment="0" applyProtection="0"/>
    <xf numFmtId="40" fontId="99" fillId="30" borderId="0">
      <alignment horizontal="right"/>
    </xf>
    <xf numFmtId="187" fontId="100" fillId="30" borderId="0">
      <alignment horizontal="right"/>
    </xf>
    <xf numFmtId="187" fontId="101" fillId="30" borderId="8"/>
    <xf numFmtId="187" fontId="101" fillId="0" borderId="0" applyBorder="0">
      <alignment horizontal="centerContinuous"/>
    </xf>
    <xf numFmtId="187" fontId="102" fillId="0" borderId="0" applyBorder="0">
      <alignment horizontal="centerContinuous"/>
    </xf>
    <xf numFmtId="207" fontId="8" fillId="0" borderId="0" applyFont="0" applyFill="0" applyBorder="0" applyAlignment="0" applyProtection="0"/>
    <xf numFmtId="190" fontId="8" fillId="0" borderId="0" applyFont="0" applyFill="0" applyBorder="0" applyAlignment="0" applyProtection="0"/>
    <xf numFmtId="9" fontId="18" fillId="0" borderId="0" applyFont="0" applyFill="0" applyBorder="0" applyAlignment="0" applyProtection="0"/>
    <xf numFmtId="208" fontId="8" fillId="0" borderId="0" applyFill="0" applyBorder="0" applyAlignment="0"/>
    <xf numFmtId="204" fontId="8" fillId="0" borderId="0" applyFill="0" applyBorder="0" applyAlignment="0"/>
    <xf numFmtId="208" fontId="8" fillId="0" borderId="0" applyFill="0" applyBorder="0" applyAlignment="0"/>
    <xf numFmtId="209" fontId="8" fillId="0" borderId="0" applyFill="0" applyBorder="0" applyAlignment="0"/>
    <xf numFmtId="204" fontId="8" fillId="0" borderId="0" applyFill="0" applyBorder="0" applyAlignment="0"/>
    <xf numFmtId="4" fontId="54" fillId="0" borderId="0" applyFont="0" applyFill="0" applyBorder="0" applyAlignment="0" applyProtection="0"/>
    <xf numFmtId="217" fontId="8" fillId="0" borderId="0" applyFont="0" applyFill="0" applyBorder="0" applyAlignment="0" applyProtection="0"/>
    <xf numFmtId="218" fontId="8" fillId="0" borderId="0" applyFont="0" applyFill="0" applyBorder="0" applyAlignment="0" applyProtection="0"/>
    <xf numFmtId="187" fontId="103" fillId="31" borderId="0" applyNumberFormat="0"/>
    <xf numFmtId="43" fontId="10" fillId="0" borderId="3"/>
    <xf numFmtId="0" fontId="96" fillId="0" borderId="0"/>
    <xf numFmtId="187" fontId="8" fillId="0" borderId="0"/>
    <xf numFmtId="49" fontId="50" fillId="0" borderId="0" applyFill="0" applyBorder="0" applyAlignment="0"/>
    <xf numFmtId="219" fontId="50" fillId="0" borderId="0" applyFill="0" applyBorder="0" applyAlignment="0"/>
    <xf numFmtId="220" fontId="8" fillId="0" borderId="0" applyFill="0" applyBorder="0" applyAlignment="0"/>
    <xf numFmtId="0" fontId="104" fillId="0" borderId="21" applyNumberFormat="0" applyFill="0" applyAlignment="0" applyProtection="0"/>
    <xf numFmtId="221" fontId="8" fillId="0" borderId="0" applyFont="0" applyFill="0" applyBorder="0" applyAlignment="0" applyProtection="0"/>
    <xf numFmtId="222" fontId="8" fillId="0" borderId="0" applyFont="0" applyFill="0" applyBorder="0" applyAlignment="0" applyProtection="0"/>
    <xf numFmtId="223" fontId="19" fillId="0" borderId="0" applyFont="0" applyFill="0" applyBorder="0" applyAlignment="0" applyProtection="0"/>
    <xf numFmtId="224" fontId="19" fillId="0" borderId="0" applyFont="0" applyFill="0" applyBorder="0" applyAlignment="0" applyProtection="0"/>
    <xf numFmtId="0" fontId="105" fillId="0" borderId="0" applyNumberFormat="0" applyFill="0" applyBorder="0" applyAlignment="0" applyProtection="0"/>
    <xf numFmtId="0" fontId="19" fillId="0" borderId="0"/>
    <xf numFmtId="225" fontId="19" fillId="0" borderId="0" applyFont="0" applyFill="0" applyBorder="0" applyAlignment="0" applyProtection="0"/>
    <xf numFmtId="226" fontId="19" fillId="0" borderId="0" applyFont="0" applyFill="0" applyBorder="0" applyAlignment="0" applyProtection="0"/>
    <xf numFmtId="41" fontId="8" fillId="0" borderId="0" applyFont="0" applyFill="0" applyBorder="0" applyAlignment="0" applyProtection="0"/>
    <xf numFmtId="9" fontId="11" fillId="0" borderId="0" applyFont="0" applyFill="0" applyBorder="0" applyAlignment="0" applyProtection="0">
      <alignment vertical="center"/>
    </xf>
    <xf numFmtId="9" fontId="11" fillId="0" borderId="0" applyFont="0" applyFill="0" applyBorder="0" applyAlignment="0" applyProtection="0">
      <alignment vertical="center"/>
    </xf>
    <xf numFmtId="9" fontId="11" fillId="0" borderId="0" applyFont="0" applyFill="0" applyBorder="0" applyAlignment="0" applyProtection="0">
      <alignment vertical="center"/>
    </xf>
    <xf numFmtId="9" fontId="11" fillId="0" borderId="0" applyFont="0" applyFill="0" applyBorder="0" applyAlignment="0" applyProtection="0"/>
    <xf numFmtId="9" fontId="11" fillId="0" borderId="0" applyFont="0" applyFill="0" applyBorder="0" applyAlignment="0" applyProtection="0"/>
    <xf numFmtId="49" fontId="8" fillId="0" borderId="0" applyNumberFormat="0" applyFont="0">
      <alignment horizontal="left"/>
    </xf>
    <xf numFmtId="49" fontId="8" fillId="0" borderId="0" applyNumberFormat="0" applyFont="0" applyBorder="0" applyAlignment="0" applyProtection="0">
      <alignment horizontal="left"/>
      <protection hidden="1"/>
    </xf>
    <xf numFmtId="0" fontId="106" fillId="9" borderId="0" applyNumberFormat="0" applyBorder="0" applyAlignment="0" applyProtection="0">
      <alignment vertical="center"/>
    </xf>
    <xf numFmtId="0" fontId="107" fillId="0" borderId="0">
      <alignment vertical="center"/>
    </xf>
    <xf numFmtId="0" fontId="107" fillId="0" borderId="0">
      <alignment vertical="center"/>
    </xf>
    <xf numFmtId="0" fontId="16" fillId="0" borderId="0"/>
    <xf numFmtId="187" fontId="16" fillId="0" borderId="0"/>
    <xf numFmtId="187" fontId="11" fillId="0" borderId="0">
      <protection locked="0"/>
    </xf>
    <xf numFmtId="187" fontId="16" fillId="0" borderId="0"/>
    <xf numFmtId="0" fontId="14"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187" fontId="14" fillId="0" borderId="0" applyNumberFormat="0" applyFill="0" applyBorder="0" applyAlignment="0" applyProtection="0">
      <alignment vertical="top"/>
      <protection locked="0"/>
    </xf>
    <xf numFmtId="187" fontId="108" fillId="0" borderId="0" applyNumberFormat="0" applyFill="0" applyBorder="0" applyAlignment="0" applyProtection="0"/>
    <xf numFmtId="187" fontId="16" fillId="0" borderId="0" applyFill="0" applyBorder="0" applyAlignment="0"/>
    <xf numFmtId="0" fontId="109" fillId="10" borderId="0" applyNumberFormat="0" applyBorder="0" applyAlignment="0" applyProtection="0">
      <alignment vertical="center"/>
    </xf>
    <xf numFmtId="227" fontId="110" fillId="0" borderId="0" applyFont="0" applyFill="0" applyBorder="0" applyAlignment="0" applyProtection="0"/>
    <xf numFmtId="228" fontId="55" fillId="0" borderId="0" applyFont="0" applyFill="0" applyBorder="0" applyAlignment="0" applyProtection="0"/>
    <xf numFmtId="227" fontId="19" fillId="0" borderId="0" applyFont="0" applyFill="0" applyBorder="0" applyAlignment="0" applyProtection="0"/>
    <xf numFmtId="228" fontId="19" fillId="0" borderId="0" applyFont="0" applyFill="0" applyBorder="0" applyAlignment="0" applyProtection="0"/>
    <xf numFmtId="41" fontId="19" fillId="0" borderId="0" applyFont="0" applyFill="0" applyBorder="0" applyAlignment="0" applyProtection="0"/>
    <xf numFmtId="43" fontId="19" fillId="0" borderId="0" applyFont="0" applyFill="0" applyBorder="0" applyAlignment="0" applyProtection="0"/>
    <xf numFmtId="43" fontId="40" fillId="0" borderId="0" applyFont="0" applyFill="0" applyBorder="0" applyAlignment="0" applyProtection="0">
      <alignment vertical="center"/>
    </xf>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40" fillId="0" borderId="0" applyFont="0" applyFill="0" applyBorder="0" applyAlignment="0" applyProtection="0">
      <alignment vertical="center"/>
    </xf>
    <xf numFmtId="43" fontId="16" fillId="0" borderId="0" applyFont="0" applyFill="0" applyBorder="0" applyAlignment="0" applyProtection="0"/>
    <xf numFmtId="41" fontId="11" fillId="0" borderId="0" applyFont="0" applyFill="0" applyBorder="0" applyAlignment="0" applyProtection="0"/>
    <xf numFmtId="187" fontId="111" fillId="0" borderId="0" applyNumberFormat="0" applyFill="0" applyBorder="0" applyAlignment="0" applyProtection="0">
      <alignment vertical="top"/>
      <protection locked="0"/>
    </xf>
    <xf numFmtId="187" fontId="112" fillId="32" borderId="2">
      <alignment horizontal="center" vertical="center"/>
    </xf>
    <xf numFmtId="187" fontId="74" fillId="0" borderId="0">
      <protection locked="0"/>
    </xf>
    <xf numFmtId="187" fontId="8" fillId="0" borderId="0"/>
    <xf numFmtId="41" fontId="18" fillId="0" borderId="0" applyFont="0" applyFill="0" applyBorder="0" applyAlignment="0" applyProtection="0"/>
    <xf numFmtId="0" fontId="24" fillId="0" borderId="0"/>
    <xf numFmtId="9" fontId="19" fillId="0" borderId="0" applyFont="0" applyFill="0" applyBorder="0" applyAlignment="0" applyProtection="0"/>
    <xf numFmtId="0" fontId="113" fillId="0" borderId="0" applyFont="0" applyFill="0" applyBorder="0" applyAlignment="0" applyProtection="0"/>
    <xf numFmtId="0" fontId="113" fillId="0" borderId="0" applyFont="0" applyFill="0" applyBorder="0" applyAlignment="0" applyProtection="0"/>
    <xf numFmtId="0" fontId="114" fillId="34" borderId="0" applyNumberFormat="0" applyBorder="0" applyAlignment="0" applyProtection="0">
      <alignment vertical="center"/>
    </xf>
    <xf numFmtId="0" fontId="115" fillId="33" borderId="0" applyNumberFormat="0" applyBorder="0" applyAlignment="0" applyProtection="0">
      <alignment vertical="center"/>
    </xf>
    <xf numFmtId="178" fontId="8" fillId="0" borderId="0" applyFont="0" applyFill="0" applyBorder="0" applyAlignment="0" applyProtection="0"/>
    <xf numFmtId="229" fontId="8" fillId="0" borderId="0" applyFont="0" applyFill="0" applyBorder="0" applyAlignment="0" applyProtection="0"/>
    <xf numFmtId="230" fontId="116" fillId="0" borderId="0" applyFont="0" applyFill="0" applyBorder="0" applyAlignment="0" applyProtection="0"/>
    <xf numFmtId="231" fontId="116" fillId="0" borderId="0" applyFont="0" applyFill="0" applyBorder="0" applyAlignment="0" applyProtection="0"/>
    <xf numFmtId="0" fontId="117" fillId="0" borderId="0"/>
    <xf numFmtId="0" fontId="118" fillId="0" borderId="0"/>
    <xf numFmtId="40" fontId="113" fillId="0" borderId="0" applyFont="0" applyFill="0" applyBorder="0" applyAlignment="0" applyProtection="0"/>
    <xf numFmtId="38" fontId="113" fillId="0" borderId="0" applyFont="0" applyFill="0" applyBorder="0" applyAlignment="0" applyProtection="0"/>
    <xf numFmtId="0" fontId="11" fillId="0" borderId="0">
      <protection locked="0"/>
    </xf>
    <xf numFmtId="187" fontId="4" fillId="0" borderId="0">
      <alignment vertical="center"/>
    </xf>
    <xf numFmtId="0" fontId="11" fillId="0" borderId="0">
      <protection locked="0"/>
    </xf>
    <xf numFmtId="43" fontId="119" fillId="0" borderId="0" applyFont="0" applyFill="0" applyBorder="0" applyAlignment="0" applyProtection="0">
      <alignment vertical="center"/>
    </xf>
    <xf numFmtId="187" fontId="3" fillId="0" borderId="0">
      <alignment vertical="center"/>
    </xf>
    <xf numFmtId="187" fontId="2" fillId="0" borderId="0">
      <alignment vertical="center"/>
    </xf>
    <xf numFmtId="43" fontId="11" fillId="0" borderId="0" applyFont="0" applyFill="0" applyBorder="0" applyAlignment="0" applyProtection="0"/>
    <xf numFmtId="0" fontId="2" fillId="0" borderId="0">
      <alignment vertical="center"/>
    </xf>
    <xf numFmtId="43" fontId="2" fillId="0" borderId="0" applyFont="0" applyFill="0" applyBorder="0" applyAlignment="0" applyProtection="0">
      <alignment vertical="center"/>
    </xf>
    <xf numFmtId="9" fontId="2" fillId="0" borderId="0" applyFont="0" applyFill="0" applyBorder="0" applyAlignment="0" applyProtection="0">
      <alignment vertical="center"/>
    </xf>
    <xf numFmtId="187" fontId="1" fillId="0" borderId="0">
      <alignment vertical="center"/>
    </xf>
  </cellStyleXfs>
  <cellXfs count="152">
    <xf numFmtId="0" fontId="0" fillId="0" borderId="0" xfId="0">
      <protection locked="0"/>
    </xf>
    <xf numFmtId="0" fontId="24" fillId="0" borderId="0" xfId="30" applyFont="1" applyAlignment="1">
      <alignment vertical="center"/>
    </xf>
    <xf numFmtId="43" fontId="24" fillId="0" borderId="3" xfId="31" applyFont="1" applyBorder="1" applyAlignment="1">
      <alignment vertical="center"/>
    </xf>
    <xf numFmtId="43" fontId="24" fillId="0" borderId="3" xfId="31" applyFont="1" applyBorder="1" applyAlignment="1" applyProtection="1">
      <alignment vertical="center"/>
      <protection locked="0"/>
    </xf>
    <xf numFmtId="0" fontId="24" fillId="0" borderId="0" xfId="28" applyFont="1" applyBorder="1" applyAlignment="1">
      <alignment vertical="center"/>
      <protection locked="0"/>
    </xf>
    <xf numFmtId="0" fontId="24" fillId="0" borderId="0" xfId="28" applyFont="1" applyAlignment="1">
      <alignment vertical="center"/>
      <protection locked="0"/>
    </xf>
    <xf numFmtId="0" fontId="24" fillId="0" borderId="0" xfId="28" applyFont="1" applyAlignment="1">
      <alignment vertical="center" wrapText="1"/>
      <protection locked="0"/>
    </xf>
    <xf numFmtId="0" fontId="16" fillId="0" borderId="0" xfId="28" applyFont="1" applyBorder="1" applyAlignment="1">
      <alignment vertical="center"/>
      <protection locked="0"/>
    </xf>
    <xf numFmtId="0" fontId="27" fillId="0" borderId="0" xfId="28" applyFont="1" applyAlignment="1" applyProtection="1">
      <alignment vertical="center"/>
    </xf>
    <xf numFmtId="43" fontId="25" fillId="0" borderId="3" xfId="31" applyFont="1" applyBorder="1" applyAlignment="1" applyProtection="1">
      <alignment vertical="center"/>
    </xf>
    <xf numFmtId="0" fontId="25" fillId="0" borderId="0" xfId="28" applyFont="1" applyBorder="1" applyAlignment="1" applyProtection="1">
      <alignment vertical="center"/>
    </xf>
    <xf numFmtId="0" fontId="23" fillId="0" borderId="0" xfId="28" applyFont="1" applyAlignment="1">
      <alignment vertical="center"/>
      <protection locked="0"/>
    </xf>
    <xf numFmtId="0" fontId="16" fillId="0" borderId="0" xfId="28" applyFont="1" applyAlignment="1">
      <alignment vertical="center"/>
      <protection locked="0"/>
    </xf>
    <xf numFmtId="0" fontId="24" fillId="0" borderId="0" xfId="62" applyFont="1" applyAlignment="1">
      <alignment vertical="center"/>
    </xf>
    <xf numFmtId="0" fontId="26" fillId="0" borderId="0" xfId="62" applyFont="1" applyAlignment="1">
      <alignment vertical="center"/>
    </xf>
    <xf numFmtId="0" fontId="24" fillId="0" borderId="0" xfId="62" applyFont="1"/>
    <xf numFmtId="0" fontId="24" fillId="0" borderId="0" xfId="62" applyFont="1" applyAlignment="1">
      <alignment horizontal="center" vertical="center"/>
    </xf>
    <xf numFmtId="0" fontId="24" fillId="0" borderId="0" xfId="62" applyFont="1" applyAlignment="1">
      <alignment horizontal="center"/>
    </xf>
    <xf numFmtId="0" fontId="24" fillId="0" borderId="0" xfId="62" applyFont="1" applyAlignment="1">
      <alignment horizontal="left" vertical="center"/>
    </xf>
    <xf numFmtId="0" fontId="25" fillId="0" borderId="0" xfId="66" applyFont="1" applyFill="1" applyAlignment="1">
      <alignment horizontal="right" vertical="center"/>
    </xf>
    <xf numFmtId="43" fontId="24" fillId="0" borderId="0" xfId="31" applyFont="1" applyAlignment="1">
      <alignment vertical="center"/>
    </xf>
    <xf numFmtId="0" fontId="16" fillId="0" borderId="0" xfId="62" applyFont="1" applyAlignment="1">
      <alignment vertical="center"/>
    </xf>
    <xf numFmtId="0" fontId="26" fillId="0" borderId="0" xfId="62" applyFont="1" applyAlignment="1">
      <alignment horizontal="center" vertical="center"/>
    </xf>
    <xf numFmtId="43" fontId="26" fillId="0" borderId="0" xfId="31" applyFont="1" applyAlignment="1">
      <alignment vertical="center"/>
    </xf>
    <xf numFmtId="0" fontId="24" fillId="0" borderId="0" xfId="62" applyFont="1" applyAlignment="1">
      <alignment horizontal="right" vertical="center"/>
    </xf>
    <xf numFmtId="0" fontId="48" fillId="0" borderId="0" xfId="62" applyFont="1" applyAlignment="1">
      <alignment horizontal="center"/>
    </xf>
    <xf numFmtId="0" fontId="24" fillId="0" borderId="0" xfId="62" applyFont="1" applyAlignment="1">
      <alignment vertical="center" wrapText="1"/>
    </xf>
    <xf numFmtId="0" fontId="26" fillId="0" borderId="0" xfId="62" applyFont="1" applyAlignment="1">
      <alignment vertical="center" wrapText="1"/>
    </xf>
    <xf numFmtId="0" fontId="24" fillId="0" borderId="3" xfId="62" applyFont="1" applyBorder="1" applyAlignment="1">
      <alignment horizontal="center" vertical="center"/>
    </xf>
    <xf numFmtId="0" fontId="42" fillId="0" borderId="3" xfId="62" applyFont="1" applyBorder="1" applyAlignment="1">
      <alignment vertical="center"/>
    </xf>
    <xf numFmtId="0" fontId="42" fillId="0" borderId="3" xfId="62" applyNumberFormat="1" applyFont="1" applyFill="1" applyBorder="1" applyAlignment="1">
      <alignment horizontal="center"/>
    </xf>
    <xf numFmtId="0" fontId="42" fillId="0" borderId="3" xfId="62" applyNumberFormat="1" applyFont="1" applyFill="1" applyBorder="1" applyAlignment="1">
      <alignment horizontal="center" vertical="center"/>
    </xf>
    <xf numFmtId="0" fontId="42" fillId="0" borderId="3" xfId="62" applyFont="1" applyBorder="1" applyAlignment="1">
      <alignment horizontal="center"/>
    </xf>
    <xf numFmtId="43" fontId="42" fillId="0" borderId="3" xfId="31" applyFont="1" applyBorder="1" applyAlignment="1">
      <alignment vertical="center"/>
    </xf>
    <xf numFmtId="0" fontId="42" fillId="0" borderId="3" xfId="62" applyFont="1" applyBorder="1" applyAlignment="1">
      <alignment vertical="center" wrapText="1"/>
    </xf>
    <xf numFmtId="0" fontId="24" fillId="0" borderId="3" xfId="62" applyFont="1" applyBorder="1" applyAlignment="1">
      <alignment vertical="center"/>
    </xf>
    <xf numFmtId="0" fontId="24" fillId="0" borderId="3" xfId="62" applyNumberFormat="1" applyFont="1" applyFill="1" applyBorder="1" applyAlignment="1">
      <alignment horizontal="center"/>
    </xf>
    <xf numFmtId="0" fontId="24" fillId="0" borderId="3" xfId="62" applyNumberFormat="1" applyFont="1" applyFill="1" applyBorder="1" applyAlignment="1">
      <alignment horizontal="center" vertical="center"/>
    </xf>
    <xf numFmtId="0" fontId="24" fillId="0" borderId="3" xfId="62" applyFont="1" applyBorder="1" applyAlignment="1">
      <alignment horizontal="center"/>
    </xf>
    <xf numFmtId="0" fontId="24" fillId="0" borderId="3" xfId="62" applyFont="1" applyBorder="1" applyAlignment="1">
      <alignment vertical="center" wrapText="1"/>
    </xf>
    <xf numFmtId="0" fontId="39" fillId="0" borderId="0" xfId="62" applyFont="1" applyBorder="1" applyAlignment="1">
      <alignment vertical="center"/>
    </xf>
    <xf numFmtId="0" fontId="24" fillId="0" borderId="0" xfId="62" applyFont="1" applyBorder="1" applyAlignment="1">
      <alignment horizontal="center" vertical="center"/>
    </xf>
    <xf numFmtId="0" fontId="24" fillId="0" borderId="0" xfId="62" applyFont="1" applyBorder="1" applyAlignment="1">
      <alignment horizontal="left" vertical="center" wrapText="1"/>
    </xf>
    <xf numFmtId="0" fontId="42" fillId="0" borderId="0" xfId="62" applyFont="1" applyBorder="1" applyAlignment="1">
      <alignment vertical="center"/>
    </xf>
    <xf numFmtId="0" fontId="24" fillId="0" borderId="0" xfId="62" applyFont="1" applyBorder="1"/>
    <xf numFmtId="0" fontId="24" fillId="0" borderId="0" xfId="62" applyFont="1" applyBorder="1" applyAlignment="1">
      <alignment vertical="center"/>
    </xf>
    <xf numFmtId="0" fontId="24" fillId="0" borderId="0" xfId="62" applyFont="1" applyBorder="1" applyAlignment="1">
      <alignment horizontal="center"/>
    </xf>
    <xf numFmtId="43" fontId="24" fillId="0" borderId="0" xfId="31" applyFont="1" applyBorder="1" applyAlignment="1">
      <alignment vertical="center"/>
    </xf>
    <xf numFmtId="0" fontId="49" fillId="0" borderId="0" xfId="62" applyFont="1" applyAlignment="1">
      <alignment vertical="center"/>
    </xf>
    <xf numFmtId="0" fontId="44" fillId="0" borderId="0" xfId="62" applyFont="1" applyAlignment="1">
      <alignment vertical="center"/>
    </xf>
    <xf numFmtId="0" fontId="16" fillId="0" borderId="0" xfId="28" applyFont="1" applyAlignment="1">
      <alignment vertical="center" wrapText="1"/>
      <protection locked="0"/>
    </xf>
    <xf numFmtId="0" fontId="34" fillId="0" borderId="0" xfId="28" applyFont="1" applyBorder="1" applyAlignment="1" applyProtection="1">
      <alignment vertical="center"/>
    </xf>
    <xf numFmtId="0" fontId="24" fillId="0" borderId="0" xfId="62" applyFont="1" applyAlignment="1">
      <alignment vertical="center"/>
    </xf>
    <xf numFmtId="0" fontId="24" fillId="0" borderId="0" xfId="28" applyFont="1" applyFill="1" applyBorder="1" applyAlignment="1">
      <alignment vertical="center"/>
      <protection locked="0"/>
    </xf>
    <xf numFmtId="0" fontId="23" fillId="0" borderId="0" xfId="29" applyFont="1" applyFill="1" applyAlignment="1">
      <alignment horizontal="right" vertical="center"/>
    </xf>
    <xf numFmtId="0" fontId="23" fillId="0" borderId="0" xfId="29" applyFont="1" applyFill="1" applyAlignment="1">
      <alignment vertical="center"/>
    </xf>
    <xf numFmtId="0" fontId="24" fillId="0" borderId="0" xfId="28" applyFont="1" applyFill="1" applyBorder="1" applyAlignment="1">
      <alignment vertical="center" wrapText="1"/>
      <protection locked="0"/>
    </xf>
    <xf numFmtId="43" fontId="24" fillId="0" borderId="0" xfId="31" applyFont="1" applyFill="1" applyBorder="1" applyAlignment="1" applyProtection="1">
      <alignment vertical="center"/>
      <protection locked="0"/>
    </xf>
    <xf numFmtId="43" fontId="24" fillId="0" borderId="0" xfId="31" applyFont="1" applyFill="1" applyBorder="1" applyAlignment="1" applyProtection="1">
      <alignment horizontal="left" vertical="center"/>
      <protection locked="0"/>
    </xf>
    <xf numFmtId="43" fontId="24" fillId="0" borderId="0" xfId="31" applyFont="1" applyFill="1" applyBorder="1" applyAlignment="1" applyProtection="1">
      <alignment horizontal="right" vertical="center"/>
      <protection locked="0"/>
    </xf>
    <xf numFmtId="0" fontId="24" fillId="0" borderId="0" xfId="28" applyFont="1" applyFill="1" applyAlignment="1">
      <alignment horizontal="right" vertical="center"/>
      <protection locked="0"/>
    </xf>
    <xf numFmtId="0" fontId="24" fillId="0" borderId="0" xfId="28" applyFont="1" applyFill="1" applyAlignment="1">
      <alignment vertical="center"/>
      <protection locked="0"/>
    </xf>
    <xf numFmtId="0" fontId="71" fillId="0" borderId="0" xfId="186" applyFont="1" applyFill="1" applyAlignment="1">
      <alignment vertical="center"/>
    </xf>
    <xf numFmtId="0" fontId="73" fillId="0" borderId="0" xfId="186" applyFont="1" applyFill="1" applyAlignment="1">
      <alignment horizontal="right" vertical="center"/>
    </xf>
    <xf numFmtId="0" fontId="73" fillId="0" borderId="0" xfId="186" applyFont="1" applyFill="1" applyAlignment="1">
      <alignment vertical="center"/>
    </xf>
    <xf numFmtId="43" fontId="23" fillId="0" borderId="0" xfId="31" applyFont="1" applyFill="1" applyAlignment="1">
      <alignment vertical="center"/>
    </xf>
    <xf numFmtId="43" fontId="23" fillId="0" borderId="0" xfId="31" applyFont="1" applyFill="1" applyAlignment="1">
      <alignment horizontal="right" vertical="center"/>
    </xf>
    <xf numFmtId="40" fontId="23" fillId="0" borderId="0" xfId="187" applyFont="1" applyFill="1" applyAlignment="1">
      <alignment vertical="center"/>
    </xf>
    <xf numFmtId="40" fontId="11" fillId="0" borderId="3" xfId="187" applyFont="1" applyFill="1" applyBorder="1" applyAlignment="1">
      <alignment vertical="center"/>
    </xf>
    <xf numFmtId="0" fontId="73" fillId="0" borderId="3" xfId="186" applyFont="1" applyFill="1" applyBorder="1" applyAlignment="1">
      <alignment vertical="center"/>
    </xf>
    <xf numFmtId="43" fontId="23" fillId="0" borderId="3" xfId="31" applyFont="1" applyFill="1" applyBorder="1" applyAlignment="1">
      <alignment vertical="center"/>
    </xf>
    <xf numFmtId="43" fontId="23" fillId="0" borderId="3" xfId="31" applyFont="1" applyFill="1" applyBorder="1" applyAlignment="1">
      <alignment horizontal="right" vertical="center"/>
    </xf>
    <xf numFmtId="40" fontId="23" fillId="0" borderId="3" xfId="187" applyFont="1" applyFill="1" applyBorder="1" applyAlignment="1">
      <alignment horizontal="right" vertical="center"/>
    </xf>
    <xf numFmtId="40" fontId="23" fillId="0" borderId="3" xfId="187" applyFont="1" applyFill="1" applyBorder="1" applyAlignment="1">
      <alignment vertical="center"/>
    </xf>
    <xf numFmtId="0" fontId="11" fillId="0" borderId="0" xfId="28" applyFont="1" applyAlignment="1">
      <alignment vertical="center"/>
      <protection locked="0"/>
    </xf>
    <xf numFmtId="0" fontId="33" fillId="0" borderId="0" xfId="28" applyFont="1" applyFill="1" applyBorder="1" applyAlignment="1">
      <alignment vertical="center"/>
      <protection locked="0"/>
    </xf>
    <xf numFmtId="43" fontId="23" fillId="0" borderId="3" xfId="31" applyFont="1" applyFill="1" applyBorder="1" applyAlignment="1">
      <alignment horizontal="center" vertical="center"/>
    </xf>
    <xf numFmtId="0" fontId="31" fillId="0" borderId="0" xfId="28" applyFont="1" applyFill="1" applyBorder="1" applyAlignment="1">
      <alignment vertical="center"/>
      <protection locked="0"/>
    </xf>
    <xf numFmtId="0" fontId="33" fillId="0" borderId="0" xfId="186" applyFont="1" applyFill="1" applyAlignment="1">
      <alignment vertical="center"/>
    </xf>
    <xf numFmtId="43" fontId="24" fillId="0" borderId="0" xfId="31" applyFont="1" applyFill="1" applyAlignment="1">
      <alignment vertical="center"/>
    </xf>
    <xf numFmtId="0" fontId="24" fillId="0" borderId="3" xfId="28" applyFont="1" applyBorder="1" applyAlignment="1">
      <alignment horizontal="center" vertical="center" wrapText="1"/>
      <protection locked="0"/>
    </xf>
    <xf numFmtId="0" fontId="24" fillId="0" borderId="3" xfId="28" applyFont="1" applyBorder="1" applyAlignment="1">
      <alignment horizontal="center" vertical="center"/>
      <protection locked="0"/>
    </xf>
    <xf numFmtId="0" fontId="27" fillId="35" borderId="3" xfId="28" applyFont="1" applyFill="1" applyBorder="1" applyAlignment="1" applyProtection="1">
      <alignment horizontal="center" vertical="center"/>
    </xf>
    <xf numFmtId="0" fontId="34" fillId="35" borderId="3" xfId="28" applyFont="1" applyFill="1" applyBorder="1" applyAlignment="1" applyProtection="1">
      <alignment horizontal="center" vertical="center"/>
    </xf>
    <xf numFmtId="0" fontId="33" fillId="35" borderId="3" xfId="28" applyFont="1" applyFill="1" applyBorder="1" applyAlignment="1">
      <alignment horizontal="center" vertical="center" wrapText="1"/>
      <protection locked="0"/>
    </xf>
    <xf numFmtId="0" fontId="27" fillId="35" borderId="3" xfId="28" applyFont="1" applyFill="1" applyBorder="1" applyAlignment="1" applyProtection="1">
      <alignment horizontal="center" vertical="center" wrapText="1"/>
    </xf>
    <xf numFmtId="0" fontId="34" fillId="35" borderId="3" xfId="28" applyFont="1" applyFill="1" applyBorder="1" applyAlignment="1" applyProtection="1">
      <alignment horizontal="center" vertical="center" wrapText="1"/>
    </xf>
    <xf numFmtId="40" fontId="33" fillId="35" borderId="3" xfId="187" applyFont="1" applyFill="1" applyBorder="1" applyAlignment="1">
      <alignment horizontal="center" vertical="center"/>
    </xf>
    <xf numFmtId="43" fontId="33" fillId="35" borderId="3" xfId="31" applyFont="1" applyFill="1" applyBorder="1" applyAlignment="1">
      <alignment horizontal="center" vertical="center"/>
    </xf>
    <xf numFmtId="0" fontId="16" fillId="0" borderId="0" xfId="28" applyFont="1" applyFill="1" applyBorder="1" applyAlignment="1">
      <alignment horizontal="left" vertical="center" indent="1"/>
      <protection locked="0"/>
    </xf>
    <xf numFmtId="0" fontId="24" fillId="0" borderId="0" xfId="28" applyFont="1" applyFill="1" applyBorder="1" applyAlignment="1">
      <alignment horizontal="left" vertical="center" indent="1"/>
      <protection locked="0"/>
    </xf>
    <xf numFmtId="0" fontId="71" fillId="0" borderId="0" xfId="186" applyFont="1" applyFill="1" applyAlignment="1">
      <alignment horizontal="center" vertical="center"/>
    </xf>
    <xf numFmtId="0" fontId="26" fillId="35" borderId="3" xfId="62" applyFont="1" applyFill="1" applyBorder="1" applyAlignment="1">
      <alignment horizontal="center" vertical="center" wrapText="1"/>
    </xf>
    <xf numFmtId="43" fontId="26" fillId="35" borderId="3" xfId="31" applyFont="1" applyFill="1" applyBorder="1" applyAlignment="1">
      <alignment horizontal="center" vertical="center" wrapText="1"/>
    </xf>
    <xf numFmtId="0" fontId="24" fillId="0" borderId="0" xfId="62" applyFont="1" applyBorder="1" applyAlignment="1">
      <alignment horizontal="right" vertical="center"/>
    </xf>
    <xf numFmtId="0" fontId="26" fillId="0" borderId="0" xfId="62" applyFont="1" applyBorder="1" applyAlignment="1">
      <alignment vertical="center"/>
    </xf>
    <xf numFmtId="0" fontId="24" fillId="0" borderId="3" xfId="31" applyNumberFormat="1" applyFont="1" applyBorder="1" applyAlignment="1" applyProtection="1">
      <alignment horizontal="center" vertical="center" wrapText="1"/>
      <protection locked="0"/>
    </xf>
    <xf numFmtId="0" fontId="35" fillId="0" borderId="0" xfId="28" applyFont="1" applyFill="1" applyBorder="1" applyAlignment="1">
      <alignment vertical="center"/>
      <protection locked="0"/>
    </xf>
    <xf numFmtId="40" fontId="24" fillId="0" borderId="0" xfId="187" applyFont="1" applyFill="1" applyAlignment="1">
      <alignment vertical="center"/>
    </xf>
    <xf numFmtId="43" fontId="24" fillId="0" borderId="0" xfId="31" applyFont="1" applyFill="1" applyAlignment="1">
      <alignment horizontal="right" vertical="center"/>
    </xf>
    <xf numFmtId="14" fontId="24" fillId="0" borderId="0" xfId="62" applyNumberFormat="1" applyFont="1" applyAlignment="1">
      <alignment horizontal="left" vertical="center"/>
    </xf>
    <xf numFmtId="0" fontId="70" fillId="0" borderId="0" xfId="186" applyFont="1" applyFill="1" applyAlignment="1">
      <alignment vertical="center"/>
    </xf>
    <xf numFmtId="0" fontId="33" fillId="35" borderId="3" xfId="28" applyFont="1" applyFill="1" applyBorder="1" applyAlignment="1">
      <alignment horizontal="center" vertical="center" wrapText="1"/>
      <protection locked="0"/>
    </xf>
    <xf numFmtId="0" fontId="33" fillId="0" borderId="0" xfId="62" applyFont="1" applyBorder="1" applyAlignment="1">
      <alignment vertical="center"/>
    </xf>
    <xf numFmtId="0" fontId="120" fillId="0" borderId="0" xfId="28" applyFont="1" applyAlignment="1">
      <alignment vertical="center"/>
      <protection locked="0"/>
    </xf>
    <xf numFmtId="0" fontId="44" fillId="0" borderId="0" xfId="28" applyFont="1" applyAlignment="1">
      <alignment vertical="center"/>
      <protection locked="0"/>
    </xf>
    <xf numFmtId="0" fontId="121" fillId="0" borderId="0" xfId="28" applyFont="1" applyAlignment="1">
      <alignment vertical="center"/>
      <protection locked="0"/>
    </xf>
    <xf numFmtId="0" fontId="123" fillId="0" borderId="0" xfId="28" applyFont="1" applyAlignment="1">
      <alignment vertical="center"/>
      <protection locked="0"/>
    </xf>
    <xf numFmtId="0" fontId="30" fillId="0" borderId="3" xfId="28" applyFont="1" applyBorder="1" applyAlignment="1" applyProtection="1">
      <alignment vertical="center"/>
    </xf>
    <xf numFmtId="0" fontId="30" fillId="0" borderId="3" xfId="28" applyFont="1" applyBorder="1" applyAlignment="1" applyProtection="1">
      <alignment horizontal="center" vertical="center"/>
    </xf>
    <xf numFmtId="0" fontId="16" fillId="0" borderId="0" xfId="0" applyFont="1" applyBorder="1" applyAlignment="1">
      <alignment vertical="center" wrapText="1"/>
      <protection locked="0"/>
    </xf>
    <xf numFmtId="0" fontId="24" fillId="35" borderId="0" xfId="0" applyFont="1" applyFill="1" applyBorder="1" applyAlignment="1">
      <alignment vertical="center" wrapText="1"/>
      <protection locked="0"/>
    </xf>
    <xf numFmtId="0" fontId="16" fillId="0" borderId="0" xfId="0" applyFont="1" applyBorder="1" applyAlignment="1">
      <alignment vertical="center"/>
      <protection locked="0"/>
    </xf>
    <xf numFmtId="0" fontId="16" fillId="0" borderId="3" xfId="0" applyFont="1" applyFill="1" applyBorder="1" applyAlignment="1">
      <alignment horizontal="left" vertical="center" wrapText="1"/>
      <protection locked="0"/>
    </xf>
    <xf numFmtId="10" fontId="24" fillId="0" borderId="3" xfId="27" applyNumberFormat="1" applyFont="1" applyBorder="1" applyAlignment="1" applyProtection="1">
      <alignment horizontal="center" vertical="center"/>
      <protection locked="0"/>
    </xf>
    <xf numFmtId="43" fontId="25" fillId="0" borderId="3" xfId="31" applyFont="1" applyBorder="1" applyAlignment="1" applyProtection="1">
      <alignment horizontal="center" vertical="center"/>
    </xf>
    <xf numFmtId="0" fontId="24" fillId="35" borderId="0" xfId="28" applyFont="1" applyFill="1" applyAlignment="1">
      <alignment vertical="center"/>
      <protection locked="0"/>
    </xf>
    <xf numFmtId="0" fontId="34" fillId="35" borderId="3" xfId="28" applyFont="1" applyFill="1" applyBorder="1" applyAlignment="1" applyProtection="1">
      <alignment vertical="center"/>
    </xf>
    <xf numFmtId="43" fontId="27" fillId="35" borderId="3" xfId="31" applyFont="1" applyFill="1" applyBorder="1" applyAlignment="1" applyProtection="1">
      <alignment vertical="center"/>
    </xf>
    <xf numFmtId="10" fontId="26" fillId="35" borderId="3" xfId="27" applyNumberFormat="1" applyFont="1" applyFill="1" applyBorder="1" applyAlignment="1" applyProtection="1">
      <alignment vertical="center"/>
      <protection locked="0"/>
    </xf>
    <xf numFmtId="10" fontId="26" fillId="35" borderId="3" xfId="27" applyNumberFormat="1" applyFont="1" applyFill="1" applyBorder="1" applyAlignment="1" applyProtection="1">
      <alignment horizontal="center" vertical="center"/>
      <protection locked="0"/>
    </xf>
    <xf numFmtId="43" fontId="27" fillId="35" borderId="3" xfId="31" applyFont="1" applyFill="1" applyBorder="1" applyAlignment="1" applyProtection="1">
      <alignment horizontal="center" vertical="center"/>
    </xf>
    <xf numFmtId="10" fontId="27" fillId="35" borderId="3" xfId="27" applyNumberFormat="1" applyFont="1" applyFill="1" applyBorder="1" applyAlignment="1" applyProtection="1">
      <alignment horizontal="center" vertical="center"/>
    </xf>
    <xf numFmtId="0" fontId="26" fillId="35" borderId="3" xfId="28" applyFont="1" applyFill="1" applyBorder="1" applyAlignment="1">
      <alignment horizontal="center" vertical="center"/>
      <protection locked="0"/>
    </xf>
    <xf numFmtId="10" fontId="24" fillId="35" borderId="3" xfId="27" applyNumberFormat="1" applyFont="1" applyFill="1" applyBorder="1" applyAlignment="1" applyProtection="1">
      <alignment vertical="center"/>
      <protection locked="0"/>
    </xf>
    <xf numFmtId="43" fontId="25" fillId="35" borderId="3" xfId="31" applyFont="1" applyFill="1" applyBorder="1" applyAlignment="1" applyProtection="1">
      <alignment horizontal="center" vertical="center"/>
    </xf>
    <xf numFmtId="10" fontId="25" fillId="35" borderId="3" xfId="27" applyNumberFormat="1" applyFont="1" applyFill="1" applyBorder="1" applyAlignment="1" applyProtection="1">
      <alignment horizontal="center" vertical="center"/>
    </xf>
    <xf numFmtId="0" fontId="42" fillId="0" borderId="0" xfId="28" applyFont="1" applyBorder="1" applyAlignment="1" applyProtection="1">
      <alignment horizontal="left" vertical="center"/>
    </xf>
    <xf numFmtId="0" fontId="122" fillId="0" borderId="0" xfId="28" applyFont="1" applyAlignment="1">
      <alignment vertical="center"/>
      <protection locked="0"/>
    </xf>
    <xf numFmtId="0" fontId="33" fillId="35" borderId="3" xfId="0" applyFont="1" applyFill="1" applyBorder="1" applyAlignment="1">
      <alignment horizontal="center" vertical="center" wrapText="1"/>
      <protection locked="0"/>
    </xf>
    <xf numFmtId="0" fontId="37" fillId="0" borderId="0" xfId="29" applyFont="1" applyAlignment="1">
      <alignment horizontal="center" vertical="center" wrapText="1"/>
    </xf>
    <xf numFmtId="0" fontId="125" fillId="0" borderId="0" xfId="29" applyFont="1" applyAlignment="1">
      <alignment horizontal="center" vertical="center" wrapText="1"/>
    </xf>
    <xf numFmtId="0" fontId="33" fillId="0" borderId="0" xfId="29" applyFont="1" applyFill="1" applyAlignment="1">
      <alignment horizontal="center" vertical="center"/>
    </xf>
    <xf numFmtId="0" fontId="17" fillId="0" borderId="0" xfId="29" applyFont="1" applyFill="1" applyAlignment="1">
      <alignment horizontal="center" vertical="center"/>
    </xf>
    <xf numFmtId="0" fontId="72" fillId="35" borderId="3" xfId="186" applyFont="1" applyFill="1" applyBorder="1" applyAlignment="1">
      <alignment horizontal="center" vertical="center"/>
    </xf>
    <xf numFmtId="40" fontId="33" fillId="35" borderId="3" xfId="187" applyFont="1" applyFill="1" applyBorder="1" applyAlignment="1">
      <alignment horizontal="center" vertical="center"/>
    </xf>
    <xf numFmtId="40" fontId="33" fillId="35" borderId="7" xfId="187" applyFont="1" applyFill="1" applyBorder="1" applyAlignment="1">
      <alignment horizontal="center" vertical="center"/>
    </xf>
    <xf numFmtId="40" fontId="26" fillId="35" borderId="6" xfId="187" applyFont="1" applyFill="1" applyBorder="1" applyAlignment="1">
      <alignment horizontal="center" vertical="center"/>
    </xf>
    <xf numFmtId="40" fontId="26" fillId="35" borderId="4" xfId="187" applyFont="1" applyFill="1" applyBorder="1" applyAlignment="1">
      <alignment horizontal="center" vertical="center"/>
    </xf>
    <xf numFmtId="0" fontId="16" fillId="0" borderId="3" xfId="28" applyFont="1" applyBorder="1" applyAlignment="1">
      <alignment horizontal="center" vertical="center" wrapText="1"/>
      <protection locked="0"/>
    </xf>
    <xf numFmtId="0" fontId="24" fillId="0" borderId="3" xfId="28" applyFont="1" applyBorder="1" applyAlignment="1">
      <alignment horizontal="center" vertical="center" wrapText="1"/>
      <protection locked="0"/>
    </xf>
    <xf numFmtId="0" fontId="33" fillId="35" borderId="3" xfId="28" applyFont="1" applyFill="1" applyBorder="1" applyAlignment="1">
      <alignment horizontal="center" vertical="center" wrapText="1"/>
      <protection locked="0"/>
    </xf>
    <xf numFmtId="43" fontId="33" fillId="35" borderId="3" xfId="31" applyFont="1" applyFill="1" applyBorder="1" applyAlignment="1" applyProtection="1">
      <alignment horizontal="center" vertical="center" wrapText="1"/>
      <protection locked="0"/>
    </xf>
    <xf numFmtId="43" fontId="26" fillId="35" borderId="3" xfId="31" applyFont="1" applyFill="1" applyBorder="1" applyAlignment="1" applyProtection="1">
      <alignment horizontal="center" vertical="center" wrapText="1"/>
      <protection locked="0"/>
    </xf>
    <xf numFmtId="0" fontId="26" fillId="0" borderId="0" xfId="29" applyFont="1" applyFill="1" applyAlignment="1">
      <alignment horizontal="center" vertical="center"/>
    </xf>
    <xf numFmtId="0" fontId="22" fillId="0" borderId="0" xfId="29" applyFont="1" applyFill="1" applyAlignment="1">
      <alignment horizontal="center" vertical="center"/>
    </xf>
    <xf numFmtId="0" fontId="26" fillId="0" borderId="0" xfId="62" applyFont="1" applyAlignment="1">
      <alignment horizontal="center" vertical="center"/>
    </xf>
    <xf numFmtId="0" fontId="24" fillId="0" borderId="0" xfId="62" applyFont="1" applyAlignment="1">
      <alignment vertical="center"/>
    </xf>
    <xf numFmtId="0" fontId="45" fillId="0" borderId="0" xfId="62" applyFont="1" applyAlignment="1">
      <alignment horizontal="center" vertical="center"/>
    </xf>
    <xf numFmtId="0" fontId="24" fillId="0" borderId="0" xfId="62" applyFont="1" applyAlignment="1">
      <alignment horizontal="center" vertical="center"/>
    </xf>
    <xf numFmtId="0" fontId="47" fillId="0" borderId="0" xfId="62" applyFont="1" applyAlignment="1">
      <alignment horizontal="center" vertical="center"/>
    </xf>
    <xf numFmtId="43" fontId="24" fillId="0" borderId="0" xfId="28" applyNumberFormat="1" applyFont="1" applyBorder="1" applyAlignment="1">
      <alignment vertical="center"/>
      <protection locked="0"/>
    </xf>
  </cellXfs>
  <cellStyles count="619">
    <cellStyle name="%" xfId="188"/>
    <cellStyle name="(0)" xfId="189"/>
    <cellStyle name="?" xfId="1"/>
    <cellStyle name="? 2" xfId="190"/>
    <cellStyle name="??" xfId="191"/>
    <cellStyle name="?餡_x000c_k" xfId="85"/>
    <cellStyle name="?餡_x000c_k?_x000d_^" xfId="86"/>
    <cellStyle name="?餡_x000c_k?_x000d_^黇_x0001_??_x0007__x0001__x0001_" xfId="87"/>
    <cellStyle name="@_text" xfId="2"/>
    <cellStyle name="@_text_050302.Becker 2004.TB and Cash flow.JZ" xfId="192"/>
    <cellStyle name="@_text_061219..Valin.Disclosure package.ry.v2" xfId="193"/>
    <cellStyle name="@_text_Disclosure" xfId="194"/>
    <cellStyle name="@_text_Long term payables" xfId="195"/>
    <cellStyle name="@_text_Sheet1" xfId="196"/>
    <cellStyle name="@_text_Sheet1_Long term payables" xfId="197"/>
    <cellStyle name="@_text_Sheet3" xfId="198"/>
    <cellStyle name="@_text_Sheet4" xfId="199"/>
    <cellStyle name="@_text_Sheet6" xfId="200"/>
    <cellStyle name="@_text_Sheet7" xfId="201"/>
    <cellStyle name="@_text_涟钢" xfId="202"/>
    <cellStyle name="@_text_湘钢" xfId="203"/>
    <cellStyle name="_(中企华)审计评估联合申报明细表.V1" xfId="204"/>
    <cellStyle name="_005.v9" xfId="205"/>
    <cellStyle name="_005.v9_070124.valin.loudi.disclosure notes-other op" xfId="206"/>
    <cellStyle name="_005.v9_Sheet1" xfId="207"/>
    <cellStyle name="_005.v9_财务费用" xfId="208"/>
    <cellStyle name="_005.v9_存货" xfId="209"/>
    <cellStyle name="_005.v9_短期借款" xfId="210"/>
    <cellStyle name="_005.v9_货币资金" xfId="211"/>
    <cellStyle name="_005.v9_连轧管.报表披露(中文）2package" xfId="212"/>
    <cellStyle name="_005.v9_连轧管.报表披露(中文）package" xfId="213"/>
    <cellStyle name="_005.v9_请修改正副本华菱钢管合并国贸 报表披露 package" xfId="214"/>
    <cellStyle name="_005.v9_销售科" xfId="215"/>
    <cellStyle name="_005.v9_一年内到期长期负债" xfId="216"/>
    <cellStyle name="_005.v9_长期借款" xfId="217"/>
    <cellStyle name="_051231.CTE SH.023" xfId="218"/>
    <cellStyle name="_051231.CTE SH.023_061219..Valin.Disclosure package.ry.v2" xfId="219"/>
    <cellStyle name="_051231.CTE SH.023_061219..Valin.Disclosure package.ry.v2_1" xfId="220"/>
    <cellStyle name="_051231.CTE SH.023_061219..Valin.Disclosure package.ry.v2_Book2" xfId="221"/>
    <cellStyle name="_051231.CTE SH.023_070124.valin.consol.after interco elimination" xfId="222"/>
    <cellStyle name="_051231.CTE SH.023_2006" xfId="223"/>
    <cellStyle name="_051231.CTE SH.023_consol disclosure-final" xfId="224"/>
    <cellStyle name="_051231.CTE SH.023_非正常性损益表" xfId="225"/>
    <cellStyle name="_051231.CTE SH.023_连轧管.报表披露(中文）package" xfId="226"/>
    <cellStyle name="_060410.MMXM.AR,stock,sales,tax updated" xfId="227"/>
    <cellStyle name="_060417.Allied.cut off" xfId="228"/>
    <cellStyle name="_060930 valin-ez" xfId="229"/>
    <cellStyle name="_060930 valin-ez_070124.valin.loudi.disclosure notes-other op" xfId="230"/>
    <cellStyle name="_060930 valin-ez_Sheet1" xfId="231"/>
    <cellStyle name="_060930 valin-ez_财务费用" xfId="232"/>
    <cellStyle name="_060930 valin-ez_存货" xfId="233"/>
    <cellStyle name="_060930 valin-ez_短期借款" xfId="234"/>
    <cellStyle name="_060930 valin-ez_货币资金" xfId="235"/>
    <cellStyle name="_060930 valin-ez_连轧管.报表披露(中文）2package" xfId="236"/>
    <cellStyle name="_060930 valin-ez_连轧管.报表披露(中文）package" xfId="237"/>
    <cellStyle name="_060930 valin-ez_请修改正副本华菱钢管合并国贸 报表披露 package" xfId="238"/>
    <cellStyle name="_060930 valin-ez_一年内到期长期负债" xfId="239"/>
    <cellStyle name="_060930 valin-ez_长期借款" xfId="240"/>
    <cellStyle name="_061118.valin.K.hardclose" xfId="241"/>
    <cellStyle name="_061118.valin-XG.O.hardclose" xfId="242"/>
    <cellStyle name="_061119.valin.Q.hardclose" xfId="243"/>
    <cellStyle name="_0612.连轧管.Q section.taxation" xfId="244"/>
    <cellStyle name="_0612.连轧管.Q section.taxation_070124.valin.loudi.disclosure notes-other op" xfId="245"/>
    <cellStyle name="_0612.连轧管.Q section.taxation_Sheet1" xfId="246"/>
    <cellStyle name="_0612.连轧管.Q section.taxation_财务费用" xfId="247"/>
    <cellStyle name="_0612.连轧管.Q section.taxation_存货" xfId="248"/>
    <cellStyle name="_0612.连轧管.Q section.taxation_短期借款" xfId="249"/>
    <cellStyle name="_0612.连轧管.Q section.taxation_货币资金" xfId="250"/>
    <cellStyle name="_0612.连轧管.Q section.taxation_连轧管.报表披露(中文）2package" xfId="251"/>
    <cellStyle name="_0612.连轧管.Q section.taxation_连轧管.报表披露(中文）package" xfId="252"/>
    <cellStyle name="_0612.连轧管.Q section.taxation_请修改正副本华菱钢管合并国贸 报表披露 package" xfId="253"/>
    <cellStyle name="_0612.连轧管.Q section.taxation_一年内到期长期负债" xfId="254"/>
    <cellStyle name="_0612.连轧管.Q section.taxation_长期借款" xfId="255"/>
    <cellStyle name="_061204.Valin Info.Spreadsheet" xfId="256"/>
    <cellStyle name="_061214.Valin.XX.sales.tax.tw" xfId="257"/>
    <cellStyle name="_061214.Valin.XX.sales.tax.tw_070124.valin.loudi.disclosure notes-other op" xfId="258"/>
    <cellStyle name="_061214.Valin.XX.sales.tax.tw_Sheet1" xfId="259"/>
    <cellStyle name="_061214.Valin.XX.sales.tax.tw_财务费用" xfId="260"/>
    <cellStyle name="_061214.Valin.XX.sales.tax.tw_存货" xfId="261"/>
    <cellStyle name="_061214.Valin.XX.sales.tax.tw_短期借款" xfId="262"/>
    <cellStyle name="_061214.Valin.XX.sales.tax.tw_货币资金" xfId="263"/>
    <cellStyle name="_061214.Valin.XX.sales.tax.tw_连轧管.报表披露(中文）2package" xfId="264"/>
    <cellStyle name="_061214.Valin.XX.sales.tax.tw_连轧管.报表披露(中文）package" xfId="265"/>
    <cellStyle name="_061214.Valin.XX.sales.tax.tw_请修改正副本华菱钢管合并国贸 报表披露 package" xfId="266"/>
    <cellStyle name="_061214.Valin.XX.sales.tax.tw_一年内到期长期负债" xfId="267"/>
    <cellStyle name="_061214.Valin.XX.sales.tax.tw_长期借款" xfId="268"/>
    <cellStyle name="_2005审计报表及附注-中国建材股份模板（房屋）" xfId="88"/>
    <cellStyle name="_2006年年报审计PBC表-XXX" xfId="89"/>
    <cellStyle name="_2006年年报审计填报资料" xfId="90"/>
    <cellStyle name="_50存货移动表" xfId="269"/>
    <cellStyle name="_Book1" xfId="91"/>
    <cellStyle name="_Disclosure" xfId="270"/>
    <cellStyle name="_Exchange rate adj" xfId="271"/>
    <cellStyle name="_exp&amp;loan Disclosure format" xfId="272"/>
    <cellStyle name="_HY exp disclousure" xfId="273"/>
    <cellStyle name="_HY exp disclousure_070124.valin.loudi.disclosure notes-other op" xfId="274"/>
    <cellStyle name="_HY exp disclousure_Sheet1" xfId="275"/>
    <cellStyle name="_HY exp disclousure_财务费用" xfId="276"/>
    <cellStyle name="_HY exp disclousure_存货" xfId="277"/>
    <cellStyle name="_HY exp disclousure_短期借款" xfId="278"/>
    <cellStyle name="_HY exp disclousure_货币资金" xfId="279"/>
    <cellStyle name="_HY exp disclousure_连轧管.报表披露(中文）2package" xfId="280"/>
    <cellStyle name="_HY exp disclousure_连轧管.报表披露(中文）package" xfId="281"/>
    <cellStyle name="_HY exp disclousure_请修改正副本华菱钢管合并国贸 报表披露 package" xfId="282"/>
    <cellStyle name="_HY exp disclousure_一年内到期长期负债" xfId="283"/>
    <cellStyle name="_HY exp disclousure_长期借款" xfId="284"/>
    <cellStyle name="_interest rate of Holding" xfId="285"/>
    <cellStyle name="_J1000-存货-ZHHG" xfId="286"/>
    <cellStyle name="_KPMG original version" xfId="287"/>
    <cellStyle name="_KPMG original version_(中企华)审计评估联合申报明细表.V1" xfId="288"/>
    <cellStyle name="_KPMG original version_附件1：审计评估联合申报明细表" xfId="289"/>
    <cellStyle name="_long term loan - others 300504" xfId="290"/>
    <cellStyle name="_long term loan - others 300504_(中企华)审计评估联合申报明细表.V1" xfId="291"/>
    <cellStyle name="_long term loan - others 300504_051231.CTE SH.023" xfId="292"/>
    <cellStyle name="_long term loan - others 300504_051231.CTE SH.023_061219..Valin.Disclosure package.ry.v2" xfId="293"/>
    <cellStyle name="_long term loan - others 300504_051231.CTE SH.023_061219..Valin.Disclosure package.ry.v2_1" xfId="294"/>
    <cellStyle name="_long term loan - others 300504_051231.CTE SH.023_061219..Valin.Disclosure package.ry.v2_Book2" xfId="295"/>
    <cellStyle name="_long term loan - others 300504_051231.CTE SH.023_070124.valin.consol.after interco elimination" xfId="296"/>
    <cellStyle name="_long term loan - others 300504_051231.CTE SH.023_2006" xfId="297"/>
    <cellStyle name="_long term loan - others 300504_051231.CTE SH.023_consol disclosure-final" xfId="298"/>
    <cellStyle name="_long term loan - others 300504_051231.CTE SH.023_非正常性损益表" xfId="299"/>
    <cellStyle name="_long term loan - others 300504_051231.CTE SH.023_连轧管.报表披露(中文）package" xfId="300"/>
    <cellStyle name="_long term loan - others 300504_070124.valin.loudi.disclosure notes-other op" xfId="301"/>
    <cellStyle name="_long term loan - others 300504_KPMG original version" xfId="302"/>
    <cellStyle name="_long term loan - others 300504_KPMG original version_(中企华)审计评估联合申报明细表.V1" xfId="303"/>
    <cellStyle name="_long term loan - others 300504_KPMG original version_附件1：审计评估联合申报明细表" xfId="304"/>
    <cellStyle name="_long term loan - others 300504_Sheet1" xfId="305"/>
    <cellStyle name="_long term loan - others 300504_Shenhua PBC package 050530" xfId="306"/>
    <cellStyle name="_long term loan - others 300504_Shenhua PBC package 050530_(中企华)审计评估联合申报明细表.V1" xfId="307"/>
    <cellStyle name="_long term loan - others 300504_Shenhua PBC package 050530_附件1：审计评估联合申报明细表" xfId="308"/>
    <cellStyle name="_long term loan - others 300504_财务费用" xfId="309"/>
    <cellStyle name="_long term loan - others 300504_存货" xfId="310"/>
    <cellStyle name="_long term loan - others 300504_短期借款" xfId="311"/>
    <cellStyle name="_long term loan - others 300504_附件1：审计评估联合申报明细表" xfId="312"/>
    <cellStyle name="_long term loan - others 300504_货币资金" xfId="313"/>
    <cellStyle name="_long term loan - others 300504_连轧管.报表披露(中文）2package" xfId="314"/>
    <cellStyle name="_long term loan - others 300504_连轧管.报表披露(中文）package" xfId="315"/>
    <cellStyle name="_long term loan - others 300504_请修改正副本华菱钢管合并国贸 报表披露 package" xfId="316"/>
    <cellStyle name="_long term loan - others 300504_审计调查表.V3" xfId="317"/>
    <cellStyle name="_long term loan - others 300504_销售科" xfId="318"/>
    <cellStyle name="_long term loan - others 300504_一年内到期长期负债" xfId="319"/>
    <cellStyle name="_long term loan - others 300504_长期借款" xfId="320"/>
    <cellStyle name="_Notes payable" xfId="321"/>
    <cellStyle name="_Part III.200406.Loan and Liabilities details.(Site Name)" xfId="322"/>
    <cellStyle name="_Part III.200406.Loan and Liabilities details.(Site Name)_(中企华)审计评估联合申报明细表.V1" xfId="323"/>
    <cellStyle name="_Part III.200406.Loan and Liabilities details.(Site Name)_051231.CTE SH.023" xfId="324"/>
    <cellStyle name="_Part III.200406.Loan and Liabilities details.(Site Name)_051231.CTE SH.023_061219..Valin.Disclosure package.ry.v2" xfId="325"/>
    <cellStyle name="_Part III.200406.Loan and Liabilities details.(Site Name)_051231.CTE SH.023_061219..Valin.Disclosure package.ry.v2_1" xfId="326"/>
    <cellStyle name="_Part III.200406.Loan and Liabilities details.(Site Name)_051231.CTE SH.023_061219..Valin.Disclosure package.ry.v2_Book2" xfId="327"/>
    <cellStyle name="_Part III.200406.Loan and Liabilities details.(Site Name)_051231.CTE SH.023_070124.valin.consol.after interco elimination" xfId="328"/>
    <cellStyle name="_Part III.200406.Loan and Liabilities details.(Site Name)_051231.CTE SH.023_2006" xfId="329"/>
    <cellStyle name="_Part III.200406.Loan and Liabilities details.(Site Name)_051231.CTE SH.023_consol disclosure-final" xfId="330"/>
    <cellStyle name="_Part III.200406.Loan and Liabilities details.(Site Name)_051231.CTE SH.023_非正常性损益表" xfId="331"/>
    <cellStyle name="_Part III.200406.Loan and Liabilities details.(Site Name)_051231.CTE SH.023_连轧管.报表披露(中文）package" xfId="332"/>
    <cellStyle name="_Part III.200406.Loan and Liabilities details.(Site Name)_070124.valin.loudi.disclosure notes-other op" xfId="333"/>
    <cellStyle name="_Part III.200406.Loan and Liabilities details.(Site Name)_KPMG original version" xfId="334"/>
    <cellStyle name="_Part III.200406.Loan and Liabilities details.(Site Name)_KPMG original version_(中企华)审计评估联合申报明细表.V1" xfId="335"/>
    <cellStyle name="_Part III.200406.Loan and Liabilities details.(Site Name)_KPMG original version_附件1：审计评估联合申报明细表" xfId="336"/>
    <cellStyle name="_Part III.200406.Loan and Liabilities details.(Site Name)_Sheet1" xfId="337"/>
    <cellStyle name="_Part III.200406.Loan and Liabilities details.(Site Name)_Shenhua PBC package 050530" xfId="338"/>
    <cellStyle name="_Part III.200406.Loan and Liabilities details.(Site Name)_Shenhua PBC package 050530_(中企华)审计评估联合申报明细表.V1" xfId="339"/>
    <cellStyle name="_Part III.200406.Loan and Liabilities details.(Site Name)_Shenhua PBC package 050530_附件1：审计评估联合申报明细表" xfId="340"/>
    <cellStyle name="_Part III.200406.Loan and Liabilities details.(Site Name)_财务费用" xfId="341"/>
    <cellStyle name="_Part III.200406.Loan and Liabilities details.(Site Name)_存货" xfId="342"/>
    <cellStyle name="_Part III.200406.Loan and Liabilities details.(Site Name)_短期借款" xfId="343"/>
    <cellStyle name="_Part III.200406.Loan and Liabilities details.(Site Name)_附件1：审计评估联合申报明细表" xfId="344"/>
    <cellStyle name="_Part III.200406.Loan and Liabilities details.(Site Name)_货币资金" xfId="345"/>
    <cellStyle name="_Part III.200406.Loan and Liabilities details.(Site Name)_连轧管.报表披露(中文）2package" xfId="346"/>
    <cellStyle name="_Part III.200406.Loan and Liabilities details.(Site Name)_连轧管.报表披露(中文）package" xfId="347"/>
    <cellStyle name="_Part III.200406.Loan and Liabilities details.(Site Name)_请修改正副本华菱钢管合并国贸 报表披露 package" xfId="348"/>
    <cellStyle name="_Part III.200406.Loan and Liabilities details.(Site Name)_审计调查表.V3" xfId="349"/>
    <cellStyle name="_Part III.200406.Loan and Liabilities details.(Site Name)_销售科" xfId="350"/>
    <cellStyle name="_Part III.200406.Loan and Liabilities details.(Site Name)_一年内到期长期负债" xfId="351"/>
    <cellStyle name="_Part III.200406.Loan and Liabilities details.(Site Name)_长期借款" xfId="352"/>
    <cellStyle name="_PBC审核提示" xfId="92"/>
    <cellStyle name="_Sheet1" xfId="353"/>
    <cellStyle name="_Sheet3" xfId="354"/>
    <cellStyle name="_Sheet5" xfId="355"/>
    <cellStyle name="_Shenhua PBC package 050530" xfId="356"/>
    <cellStyle name="_Shenhua PBC package 050530_(中企华)审计评估联合申报明细表.V1" xfId="357"/>
    <cellStyle name="_Shenhua PBC package 050530_附件1：审计评估联合申报明细表" xfId="358"/>
    <cellStyle name="_Short Bank detail-06" xfId="359"/>
    <cellStyle name="_Tax recon.v11" xfId="360"/>
    <cellStyle name="_Tax recon.v11_连轧管.报表披露(中文）package" xfId="361"/>
    <cellStyle name="_宝丽华房地产20051231" xfId="93"/>
    <cellStyle name="_保证金-企业填写部分" xfId="94"/>
    <cellStyle name="_北新房屋2004年审-刘" xfId="95"/>
    <cellStyle name="_北新股份2005年审工作底稿" xfId="96"/>
    <cellStyle name="_北新建材关连交易基础表051230（10－12月版）更新稿" xfId="97"/>
    <cellStyle name="_北新建材-会计报表附注模版" xfId="98"/>
    <cellStyle name="_北新龙之星2004年审工作底稿" xfId="99"/>
    <cellStyle name="_北新物流2005底稿-刘" xfId="100"/>
    <cellStyle name="_北新置换memo" xfId="101"/>
    <cellStyle name="_变动" xfId="362"/>
    <cellStyle name="_变动_070124.valin.loudi.disclosure notes-other op" xfId="363"/>
    <cellStyle name="_变动_Sheet1" xfId="364"/>
    <cellStyle name="_变动_财务费用" xfId="365"/>
    <cellStyle name="_变动_存货" xfId="366"/>
    <cellStyle name="_变动_短期借款" xfId="367"/>
    <cellStyle name="_变动_货币资金" xfId="368"/>
    <cellStyle name="_变动_连轧管.报表披露(中文）2package" xfId="369"/>
    <cellStyle name="_变动_连轧管.报表披露(中文）package" xfId="370"/>
    <cellStyle name="_变动_请修改正副本华菱钢管合并国贸 报表披露 package" xfId="371"/>
    <cellStyle name="_变动_一年内到期长期负债" xfId="372"/>
    <cellStyle name="_变动_长期借款" xfId="373"/>
    <cellStyle name="_补充表格" xfId="374"/>
    <cellStyle name="_财务公司" xfId="375"/>
    <cellStyle name="_存货结转测试" xfId="102"/>
    <cellStyle name="_存货数量与明细05.12" xfId="103"/>
    <cellStyle name="_动力厂2004年审工作底稿-刘" xfId="104"/>
    <cellStyle name="_分工" xfId="105"/>
    <cellStyle name="_负债、所有者权益类工作底稿" xfId="376"/>
    <cellStyle name="_附件1：审计评估联合申报明细表" xfId="377"/>
    <cellStyle name="_副本审计资料利润表附表-衡阳钢管" xfId="378"/>
    <cellStyle name="_工程施工项目现场审计提示" xfId="106"/>
    <cellStyle name="_关联交易" xfId="107"/>
    <cellStyle name="_关联交易、往来统计表" xfId="108"/>
    <cellStyle name="_光远" xfId="379"/>
    <cellStyle name="_函证表" xfId="380"/>
    <cellStyle name="_合并" xfId="381"/>
    <cellStyle name="_合并_Advance to suppliers" xfId="382"/>
    <cellStyle name="_合并_ELLEY" xfId="383"/>
    <cellStyle name="_合并_Sheet1" xfId="384"/>
    <cellStyle name="_合并底稿.xls" xfId="385"/>
    <cellStyle name="_衡管" xfId="386"/>
    <cellStyle name="_衡管_ELLEY" xfId="387"/>
    <cellStyle name="_华菱湘钢（合并）2" xfId="388"/>
    <cellStyle name="_华菱湘钢（合并）2_Book2" xfId="389"/>
    <cellStyle name="_华菱信息" xfId="390"/>
    <cellStyle name="_会计附注2007年6月（连轧管）" xfId="391"/>
    <cellStyle name="_建造合同-宜万指（正式版）" xfId="109"/>
    <cellStyle name="_科目核对表" xfId="110"/>
    <cellStyle name="_连轧管" xfId="392"/>
    <cellStyle name="_涟钢" xfId="393"/>
    <cellStyle name="_母PL" xfId="111"/>
    <cellStyle name="_内退和退休" xfId="394"/>
    <cellStyle name="_其他应付款" xfId="395"/>
    <cellStyle name="_其他应交款" xfId="396"/>
    <cellStyle name="_人员分工备忘录" xfId="112"/>
    <cellStyle name="_审计调查表.V3" xfId="397"/>
    <cellStyle name="_审计所需资料清单－子公司" xfId="113"/>
    <cellStyle name="_审计资料利润表附表" xfId="398"/>
    <cellStyle name="_审计资料利润表附表_070124.valin.loudi.disclosure notes-other op" xfId="399"/>
    <cellStyle name="_审计资料利润表附表_Sheet1" xfId="400"/>
    <cellStyle name="_审计资料利润表附表_财务费用" xfId="401"/>
    <cellStyle name="_审计资料利润表附表_存货" xfId="402"/>
    <cellStyle name="_审计资料利润表附表_短期借款" xfId="403"/>
    <cellStyle name="_审计资料利润表附表_货币资金" xfId="404"/>
    <cellStyle name="_审计资料利润表附表_连轧管.报表披露(中文）2package" xfId="405"/>
    <cellStyle name="_审计资料利润表附表_连轧管.报表披露(中文）package" xfId="406"/>
    <cellStyle name="_审计资料利润表附表_请修改正副本华菱钢管合并国贸 报表披露 package" xfId="407"/>
    <cellStyle name="_审计资料利润表附表_一年内到期长期负债" xfId="408"/>
    <cellStyle name="_审计资料利润表附表_长期借款" xfId="409"/>
    <cellStyle name="_实际可能支付的税款" xfId="410"/>
    <cellStyle name="_实际可能支付的税款_连轧管.报表披露(中文）package" xfId="411"/>
    <cellStyle name="_现金流量类" xfId="412"/>
    <cellStyle name="_湘钢" xfId="413"/>
    <cellStyle name="_一公司建造合同前5名" xfId="114"/>
    <cellStyle name="_一公司－刘丰收" xfId="115"/>
    <cellStyle name="_应交税金2005disclosure" xfId="414"/>
    <cellStyle name="_应交税金2005disclosure_连轧管.报表披露(中文）package" xfId="415"/>
    <cellStyle name="_预收账款" xfId="416"/>
    <cellStyle name="_长期借款－江阴" xfId="116"/>
    <cellStyle name="_资产负债表-注册资本12.27" xfId="417"/>
    <cellStyle name="_子公司审计提示模版-Liufs" xfId="117"/>
    <cellStyle name="_总部" xfId="418"/>
    <cellStyle name="{Comma [0]}" xfId="3"/>
    <cellStyle name="{Comma}" xfId="4"/>
    <cellStyle name="{Date}" xfId="5"/>
    <cellStyle name="{Month}" xfId="6"/>
    <cellStyle name="{Percent}" xfId="7"/>
    <cellStyle name="{Thousand [0]}" xfId="8"/>
    <cellStyle name="{Thousand}" xfId="9"/>
    <cellStyle name="{Z'0000(1 dec)}" xfId="10"/>
    <cellStyle name="{Z'0000(4 dec)}" xfId="11"/>
    <cellStyle name="0%" xfId="118"/>
    <cellStyle name="0,0_x000d__x000a_NA_x000d__x000a_" xfId="12"/>
    <cellStyle name="0,0_x000d__x000a_NA_x000d__x000a_ 2" xfId="419"/>
    <cellStyle name="0.0%" xfId="119"/>
    <cellStyle name="0.00%" xfId="120"/>
    <cellStyle name="20% - Accent1" xfId="420"/>
    <cellStyle name="20% - Accent2" xfId="421"/>
    <cellStyle name="20% - Accent3" xfId="422"/>
    <cellStyle name="20% - Accent4" xfId="423"/>
    <cellStyle name="20% - Accent5" xfId="424"/>
    <cellStyle name="20% - Accent6" xfId="425"/>
    <cellStyle name="40% - Accent1" xfId="426"/>
    <cellStyle name="40% - Accent2" xfId="427"/>
    <cellStyle name="40% - Accent3" xfId="428"/>
    <cellStyle name="40% - Accent4" xfId="429"/>
    <cellStyle name="40% - Accent5" xfId="430"/>
    <cellStyle name="40% - Accent6" xfId="431"/>
    <cellStyle name="60% - Accent1" xfId="432"/>
    <cellStyle name="60% - Accent2" xfId="433"/>
    <cellStyle name="60% - Accent3" xfId="434"/>
    <cellStyle name="60% - Accent4" xfId="435"/>
    <cellStyle name="60% - Accent5" xfId="436"/>
    <cellStyle name="60% - Accent6" xfId="437"/>
    <cellStyle name="A4 Small 210 x 297 mm" xfId="438"/>
    <cellStyle name="Accent1" xfId="439"/>
    <cellStyle name="Accent2" xfId="440"/>
    <cellStyle name="Accent3" xfId="441"/>
    <cellStyle name="Accent4" xfId="442"/>
    <cellStyle name="Accent5" xfId="443"/>
    <cellStyle name="Accent6" xfId="444"/>
    <cellStyle name="Bad" xfId="445"/>
    <cellStyle name="Black" xfId="13"/>
    <cellStyle name="Body" xfId="446"/>
    <cellStyle name="Border" xfId="14"/>
    <cellStyle name="Calc Currency (0)" xfId="121"/>
    <cellStyle name="Calc Currency (2)" xfId="447"/>
    <cellStyle name="Calc Percent (0)" xfId="448"/>
    <cellStyle name="Calc Percent (1)" xfId="449"/>
    <cellStyle name="Calc Percent (2)" xfId="450"/>
    <cellStyle name="Calc Units (0)" xfId="451"/>
    <cellStyle name="Calc Units (1)" xfId="452"/>
    <cellStyle name="Calc Units (2)" xfId="453"/>
    <cellStyle name="Calculation" xfId="454"/>
    <cellStyle name="category" xfId="455"/>
    <cellStyle name="Change A&amp;ll" xfId="456"/>
    <cellStyle name="Check Cell" xfId="457"/>
    <cellStyle name="Col Heads" xfId="122"/>
    <cellStyle name="Column Headings" xfId="458"/>
    <cellStyle name="Column$Headings" xfId="459"/>
    <cellStyle name="Column_Title" xfId="123"/>
    <cellStyle name="Comma  - Style1" xfId="124"/>
    <cellStyle name="Comma  - Style2" xfId="125"/>
    <cellStyle name="Comma  - Style3" xfId="126"/>
    <cellStyle name="Comma  - Style4" xfId="127"/>
    <cellStyle name="Comma  - Style5" xfId="128"/>
    <cellStyle name="Comma  - Style6" xfId="129"/>
    <cellStyle name="Comma  - Style7" xfId="130"/>
    <cellStyle name="Comma  - Style8" xfId="131"/>
    <cellStyle name="Comma [0]_ rislugp" xfId="132"/>
    <cellStyle name="Comma [00]" xfId="460"/>
    <cellStyle name="Comma 28" xfId="461"/>
    <cellStyle name="comma zerodec" xfId="462"/>
    <cellStyle name="Comma,0" xfId="133"/>
    <cellStyle name="Comma,1" xfId="134"/>
    <cellStyle name="Comma,2" xfId="135"/>
    <cellStyle name="Comma_ rislugp" xfId="136"/>
    <cellStyle name="comma-d" xfId="463"/>
    <cellStyle name="Currency [0]_ rislugp" xfId="137"/>
    <cellStyle name="Currency [00]" xfId="464"/>
    <cellStyle name="Currency,0" xfId="138"/>
    <cellStyle name="Currency,2" xfId="139"/>
    <cellStyle name="Currency_ rislugp" xfId="140"/>
    <cellStyle name="Currency1" xfId="465"/>
    <cellStyle name="Date" xfId="466"/>
    <cellStyle name="Date Short" xfId="467"/>
    <cellStyle name="Dezimal [0]_laroux" xfId="15"/>
    <cellStyle name="Dezimal_laroux" xfId="16"/>
    <cellStyle name="Dollar (zero dec)" xfId="468"/>
    <cellStyle name="e" xfId="469"/>
    <cellStyle name="Enter Currency (0)" xfId="470"/>
    <cellStyle name="Enter Currency (2)" xfId="471"/>
    <cellStyle name="Enter Units (0)" xfId="472"/>
    <cellStyle name="Enter Units (1)" xfId="473"/>
    <cellStyle name="Enter Units (2)" xfId="474"/>
    <cellStyle name="entry" xfId="141"/>
    <cellStyle name="entry box" xfId="142"/>
    <cellStyle name="Euro" xfId="17"/>
    <cellStyle name="Explanatory Text" xfId="475"/>
    <cellStyle name="e鯪" xfId="476"/>
    <cellStyle name="e鯪9" xfId="477"/>
    <cellStyle name="e鯪9Y" xfId="478"/>
    <cellStyle name="e鯪9Y_x000b_" xfId="479"/>
    <cellStyle name="e鯪9Y_061219..Valin.Disclosure package.ry.v2" xfId="480"/>
    <cellStyle name="Fixed" xfId="481"/>
    <cellStyle name="Followed Hyperlink_AheadBehind.xls Chart 23" xfId="18"/>
    <cellStyle name="Format Number Column" xfId="482"/>
    <cellStyle name="gcd" xfId="483"/>
    <cellStyle name="Good" xfId="484"/>
    <cellStyle name="Grey" xfId="19"/>
    <cellStyle name="HEADER" xfId="485"/>
    <cellStyle name="Header1" xfId="143"/>
    <cellStyle name="Header2" xfId="144"/>
    <cellStyle name="Heading" xfId="145"/>
    <cellStyle name="Heading 1" xfId="486"/>
    <cellStyle name="Heading 2" xfId="487"/>
    <cellStyle name="Heading 3" xfId="488"/>
    <cellStyle name="Heading 4" xfId="489"/>
    <cellStyle name="HEADING1" xfId="490"/>
    <cellStyle name="HEADING2" xfId="491"/>
    <cellStyle name="Hyperlink_071231 Valin disclosure-equity" xfId="492"/>
    <cellStyle name="Input" xfId="493"/>
    <cellStyle name="Input [yellow]" xfId="20"/>
    <cellStyle name="InputArea" xfId="494"/>
    <cellStyle name="KPMG Heading 1" xfId="495"/>
    <cellStyle name="KPMG Heading 2" xfId="496"/>
    <cellStyle name="KPMG Heading 3" xfId="497"/>
    <cellStyle name="KPMG Heading 4" xfId="498"/>
    <cellStyle name="KPMG Normal" xfId="499"/>
    <cellStyle name="KPMG Normal Text" xfId="500"/>
    <cellStyle name="l]_x000d__x000a_Path=h:_x000d__x000a_Name=Diana Chang_x000d__x000a_DDEApps=nsf,nsg,nsh,ntf,ns2,ors,org_x000d__x000a_SmartIcons=Read Message_x000d__x000a__x000d__x000a__x000d__x000a_[cc:Edit" xfId="501"/>
    <cellStyle name="left" xfId="146"/>
    <cellStyle name="Lines Fill" xfId="502"/>
    <cellStyle name="Link Currency (0)" xfId="503"/>
    <cellStyle name="Link Currency (2)" xfId="504"/>
    <cellStyle name="Link Units (0)" xfId="505"/>
    <cellStyle name="Link Units (1)" xfId="506"/>
    <cellStyle name="Link Units (2)" xfId="507"/>
    <cellStyle name="Linked Cell" xfId="508"/>
    <cellStyle name="Millares [0]_laroux" xfId="147"/>
    <cellStyle name="Millares_laroux" xfId="148"/>
    <cellStyle name="Milliers [0]_laroux" xfId="21"/>
    <cellStyle name="Milliers_laroux" xfId="22"/>
    <cellStyle name="Model" xfId="509"/>
    <cellStyle name="Moeda [0]_aola" xfId="510"/>
    <cellStyle name="Moeda_aola" xfId="511"/>
    <cellStyle name="Moneda [0]_laroux" xfId="149"/>
    <cellStyle name="Moneda_laroux" xfId="150"/>
    <cellStyle name="Mon閠aire [0]_laroux" xfId="151"/>
    <cellStyle name="Mon閠aire_laroux" xfId="152"/>
    <cellStyle name="Neutral" xfId="512"/>
    <cellStyle name="no dec" xfId="153"/>
    <cellStyle name="Non défini" xfId="23"/>
    <cellStyle name="Normal - Style1" xfId="24"/>
    <cellStyle name="Normal - Style1 2" xfId="513"/>
    <cellStyle name="Normal - Style1 3" xfId="514"/>
    <cellStyle name="Normal 2" xfId="34"/>
    <cellStyle name="Normal 21" xfId="515"/>
    <cellStyle name="Normal 3 2" xfId="33"/>
    <cellStyle name="Normal_ rislugp" xfId="154"/>
    <cellStyle name="Normalny_Arkusz1" xfId="155"/>
    <cellStyle name="Note" xfId="516"/>
    <cellStyle name="Output" xfId="517"/>
    <cellStyle name="Output Amounts" xfId="518"/>
    <cellStyle name="Output Column Headings" xfId="519"/>
    <cellStyle name="Output Line Items" xfId="520"/>
    <cellStyle name="Output Report Heading" xfId="521"/>
    <cellStyle name="Output Report Title" xfId="522"/>
    <cellStyle name="Percent (0)" xfId="156"/>
    <cellStyle name="Percent [0]" xfId="523"/>
    <cellStyle name="Percent [00]" xfId="524"/>
    <cellStyle name="Percent [2]" xfId="25"/>
    <cellStyle name="Percent_PICC package Sept2002 (V120021005)1" xfId="525"/>
    <cellStyle name="Prefilled" xfId="157"/>
    <cellStyle name="PrePop Currency (0)" xfId="526"/>
    <cellStyle name="PrePop Currency (2)" xfId="527"/>
    <cellStyle name="PrePop Units (0)" xfId="528"/>
    <cellStyle name="PrePop Units (1)" xfId="529"/>
    <cellStyle name="PrePop Units (2)" xfId="530"/>
    <cellStyle name="price" xfId="158"/>
    <cellStyle name="PSDec" xfId="531"/>
    <cellStyle name="Red" xfId="26"/>
    <cellStyle name="revised" xfId="159"/>
    <cellStyle name="row_def_array" xfId="593"/>
    <cellStyle name="section" xfId="160"/>
    <cellStyle name="Separador de milhares [0]_Person" xfId="532"/>
    <cellStyle name="Separador de milhares_Person" xfId="533"/>
    <cellStyle name="Sheet Head" xfId="534"/>
    <cellStyle name="SOR" xfId="535"/>
    <cellStyle name="style" xfId="161"/>
    <cellStyle name="style1" xfId="162"/>
    <cellStyle name="style2" xfId="163"/>
    <cellStyle name="subhead" xfId="536"/>
    <cellStyle name="t]_x000d__x000a_color schemes=默认 Windows_x000d__x000a__x000d__x000a_[color schemes]_x000d__x000a_Arizona=804000,FFFFFF,FFFFFF,0,FFFFFF,0,808040,C0C0C0,FFFFF" xfId="537"/>
    <cellStyle name="Text Indent A" xfId="538"/>
    <cellStyle name="Text Indent B" xfId="539"/>
    <cellStyle name="Text Indent C" xfId="540"/>
    <cellStyle name="Tickmark" xfId="164"/>
    <cellStyle name="title" xfId="165"/>
    <cellStyle name="Total" xfId="541"/>
    <cellStyle name="Tusental (0)_pldt" xfId="542"/>
    <cellStyle name="Tusental_pldt" xfId="543"/>
    <cellStyle name="Valuta (0)_pldt" xfId="544"/>
    <cellStyle name="Valuta_pldt" xfId="545"/>
    <cellStyle name="Warning Text" xfId="546"/>
    <cellStyle name="wrap" xfId="166"/>
    <cellStyle name="パーセント_laroux" xfId="167"/>
    <cellStyle name="_PLDT" xfId="547"/>
    <cellStyle name="_laroux" xfId="594"/>
    <cellStyle name="だ[0]_PLDT" xfId="548"/>
    <cellStyle name="だ_PLDT" xfId="549"/>
    <cellStyle name="だ[0]_Total (2)" xfId="550"/>
    <cellStyle name="だ_laroux" xfId="595"/>
    <cellStyle name="百分比" xfId="27" builtinId="5"/>
    <cellStyle name="百分比 2" xfId="551"/>
    <cellStyle name="百分比 2 2" xfId="552"/>
    <cellStyle name="百分比 2 3" xfId="553"/>
    <cellStyle name="百分比 3" xfId="554"/>
    <cellStyle name="百分比 4" xfId="555"/>
    <cellStyle name="百分比 5" xfId="617"/>
    <cellStyle name="捠壿 [0.00]_PRODUCT DETAIL Q1" xfId="596"/>
    <cellStyle name="捠壿_PRODUCT DETAIL Q1" xfId="597"/>
    <cellStyle name="標準_１１月価格表" xfId="168"/>
    <cellStyle name="表头" xfId="556"/>
    <cellStyle name="表头1" xfId="557"/>
    <cellStyle name="差_StartUp" xfId="598"/>
    <cellStyle name="差_T1000-主营业务收入-LJCH" xfId="558"/>
    <cellStyle name="常规" xfId="0" builtinId="0"/>
    <cellStyle name="常规 10" xfId="35"/>
    <cellStyle name="常规 10 2" xfId="36"/>
    <cellStyle name="常规 10 3" xfId="37"/>
    <cellStyle name="常规 10 4" xfId="38"/>
    <cellStyle name="常规 11" xfId="83"/>
    <cellStyle name="常规 11 2" xfId="39"/>
    <cellStyle name="常规 11 3" xfId="40"/>
    <cellStyle name="常规 11 4" xfId="41"/>
    <cellStyle name="常规 11 5" xfId="609"/>
    <cellStyle name="常规 12" xfId="613"/>
    <cellStyle name="常规 12 2" xfId="42"/>
    <cellStyle name="常规 12 3" xfId="43"/>
    <cellStyle name="常规 12 4" xfId="44"/>
    <cellStyle name="常规 12 5" xfId="618"/>
    <cellStyle name="常规 13" xfId="615"/>
    <cellStyle name="常规 13 2" xfId="45"/>
    <cellStyle name="常规 13 3" xfId="46"/>
    <cellStyle name="常规 13 4" xfId="47"/>
    <cellStyle name="常规 14" xfId="559"/>
    <cellStyle name="常规 14 2" xfId="560"/>
    <cellStyle name="常规 2" xfId="28"/>
    <cellStyle name="常规 2 2" xfId="48"/>
    <cellStyle name="常规 2 2 2" xfId="561"/>
    <cellStyle name="常规 2 2 2 2" xfId="562"/>
    <cellStyle name="常规 2 2 3" xfId="610"/>
    <cellStyle name="常规 2 3" xfId="49"/>
    <cellStyle name="常规 2 4" xfId="50"/>
    <cellStyle name="常规 2 4 2" xfId="563"/>
    <cellStyle name="常规 2 5" xfId="51"/>
    <cellStyle name="常规 2 6" xfId="52"/>
    <cellStyle name="常规 2 7" xfId="186"/>
    <cellStyle name="常规 2 8" xfId="608"/>
    <cellStyle name="常规 2 9" xfId="612"/>
    <cellStyle name="常规 2_经销商信息-1-原始表" xfId="53"/>
    <cellStyle name="常规 3" xfId="54"/>
    <cellStyle name="常规 3 2" xfId="55"/>
    <cellStyle name="常规 3 2 2" xfId="564"/>
    <cellStyle name="常规 3 3" xfId="56"/>
    <cellStyle name="常规 3 4" xfId="57"/>
    <cellStyle name="常规 3 5" xfId="84"/>
    <cellStyle name="常规 4" xfId="58"/>
    <cellStyle name="常规 4 2" xfId="59"/>
    <cellStyle name="常规 4 3" xfId="60"/>
    <cellStyle name="常规 4 4" xfId="61"/>
    <cellStyle name="常规 5" xfId="62"/>
    <cellStyle name="常规 5 2" xfId="63"/>
    <cellStyle name="常规 5 3" xfId="64"/>
    <cellStyle name="常规 5 4" xfId="65"/>
    <cellStyle name="常规 6" xfId="66"/>
    <cellStyle name="常规 6 2" xfId="67"/>
    <cellStyle name="常规 6 3" xfId="68"/>
    <cellStyle name="常规 6 4" xfId="69"/>
    <cellStyle name="常规 7" xfId="70"/>
    <cellStyle name="常规 7 2" xfId="71"/>
    <cellStyle name="常规 7 3" xfId="72"/>
    <cellStyle name="常规 7 4" xfId="73"/>
    <cellStyle name="常规 8" xfId="74"/>
    <cellStyle name="常规 8 2" xfId="75"/>
    <cellStyle name="常规 8 3" xfId="76"/>
    <cellStyle name="常规 8 4" xfId="77"/>
    <cellStyle name="常规 9" xfId="78"/>
    <cellStyle name="常规 9 2" xfId="79"/>
    <cellStyle name="常规 9 3" xfId="80"/>
    <cellStyle name="常规 9 4" xfId="81"/>
    <cellStyle name="常规_Book1" xfId="29"/>
    <cellStyle name="常规_制造费用" xfId="30"/>
    <cellStyle name="超级链接_B4-1审计项目工时预算与控制表(集团)" xfId="169"/>
    <cellStyle name="超链接 2" xfId="170"/>
    <cellStyle name="超链接 2 2" xfId="171"/>
    <cellStyle name="超链接 3" xfId="565"/>
    <cellStyle name="超链接 4" xfId="566"/>
    <cellStyle name="超链接 4 2" xfId="567"/>
    <cellStyle name="分级显示列_1_Book1" xfId="568"/>
    <cellStyle name="分级显示行_1_4附件二凯旋评估表" xfId="172"/>
    <cellStyle name="公司标准表" xfId="569"/>
    <cellStyle name="好_StartUp" xfId="599"/>
    <cellStyle name="好_T1000-主营业务收入" xfId="570"/>
    <cellStyle name="桁区切り [0.00]_１１月価格表" xfId="173"/>
    <cellStyle name="桁区切り_１１月価格表" xfId="174"/>
    <cellStyle name="貨幣 [0]_SGV" xfId="571"/>
    <cellStyle name="貨幣_2004-09" xfId="572"/>
    <cellStyle name="霓付 [0]_1202" xfId="600"/>
    <cellStyle name="霓付_1202" xfId="601"/>
    <cellStyle name="烹拳 [0]_1202" xfId="602"/>
    <cellStyle name="烹拳_1202" xfId="603"/>
    <cellStyle name="砯刽 [0]_PLDT" xfId="573"/>
    <cellStyle name="砯刽_PLDT" xfId="574"/>
    <cellStyle name="普通_ 白土" xfId="175"/>
    <cellStyle name="千分位[0]_ 白土" xfId="176"/>
    <cellStyle name="千分位_ 白土" xfId="177"/>
    <cellStyle name="千位[0]_ 应交税金审定表" xfId="575"/>
    <cellStyle name="千位_ 应交税金审定表" xfId="576"/>
    <cellStyle name="千位分隔" xfId="31" builtinId="3"/>
    <cellStyle name="千位分隔 10" xfId="577"/>
    <cellStyle name="千位分隔 11" xfId="578"/>
    <cellStyle name="千位分隔 12" xfId="611"/>
    <cellStyle name="千位分隔 13" xfId="616"/>
    <cellStyle name="千位分隔 2" xfId="32"/>
    <cellStyle name="千位分隔 2 2" xfId="82"/>
    <cellStyle name="千位分隔 2 3" xfId="187"/>
    <cellStyle name="千位分隔 2 4" xfId="614"/>
    <cellStyle name="千位分隔 3" xfId="579"/>
    <cellStyle name="千位分隔 4" xfId="580"/>
    <cellStyle name="千位分隔 5" xfId="581"/>
    <cellStyle name="千位分隔 6" xfId="582"/>
    <cellStyle name="千位分隔 7" xfId="583"/>
    <cellStyle name="千位分隔 8" xfId="584"/>
    <cellStyle name="千位分隔 8 2" xfId="585"/>
    <cellStyle name="千位分隔 8 3" xfId="586"/>
    <cellStyle name="千位分隔 9" xfId="587"/>
    <cellStyle name="千位分隔[0] 2" xfId="588"/>
    <cellStyle name="钎霖_(沥焊何巩)岿喊牢盔拌裙" xfId="604"/>
    <cellStyle name="隨後的超連結_Book4" xfId="589"/>
    <cellStyle name="索引" xfId="590"/>
    <cellStyle name="通貨 [0.00]_１１月価格表" xfId="178"/>
    <cellStyle name="通貨_１１月価格表" xfId="179"/>
    <cellStyle name="样式 1" xfId="180"/>
    <cellStyle name="样式 2" xfId="591"/>
    <cellStyle name="一般_BTG307" xfId="592"/>
    <cellStyle name="昗弨_BOOKSHIP" xfId="605"/>
    <cellStyle name="寘嬫愗傝 [0.00]_PRODUCT DETAIL Q1" xfId="606"/>
    <cellStyle name="寘嬫愗傝_PRODUCT DETAIL Q1" xfId="607"/>
    <cellStyle name="콤마 [0]_BOILER-CO1" xfId="181"/>
    <cellStyle name="콤마_BOILER-CO1" xfId="182"/>
    <cellStyle name="통화 [0]_BOILER-CO1" xfId="183"/>
    <cellStyle name="통화_BOILER-CO1" xfId="184"/>
    <cellStyle name="표준_0N-HANDLING " xfId="185"/>
  </cellStyles>
  <dxfs count="0"/>
  <tableStyles count="0" defaultTableStyle="TableStyleMedium9" defaultPivotStyle="PivotStyleLight16"/>
  <colors>
    <mruColors>
      <color rgb="FF3333FF"/>
      <color rgb="FFFFFF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8"/>
  <sheetViews>
    <sheetView workbookViewId="0"/>
  </sheetViews>
  <sheetFormatPr defaultRowHeight="15.6"/>
  <sheetData>
    <row r="1" spans="1:2">
      <c r="A1" t="s">
        <v>4</v>
      </c>
      <c r="B1" t="s">
        <v>5</v>
      </c>
    </row>
    <row r="2" spans="1:2">
      <c r="A2" t="s">
        <v>6</v>
      </c>
      <c r="B2" t="s">
        <v>7</v>
      </c>
    </row>
    <row r="3" spans="1:2">
      <c r="A3" t="s">
        <v>8</v>
      </c>
      <c r="B3" t="s">
        <v>9</v>
      </c>
    </row>
    <row r="4" spans="1:2">
      <c r="A4" t="s">
        <v>10</v>
      </c>
      <c r="B4" t="s">
        <v>11</v>
      </c>
    </row>
    <row r="5" spans="1:2">
      <c r="A5" t="s">
        <v>12</v>
      </c>
      <c r="B5" t="s">
        <v>13</v>
      </c>
    </row>
    <row r="6" spans="1:2">
      <c r="A6" t="s">
        <v>14</v>
      </c>
      <c r="B6" t="s">
        <v>15</v>
      </c>
    </row>
    <row r="7" spans="1:2">
      <c r="A7" t="s">
        <v>16</v>
      </c>
      <c r="B7" t="s">
        <v>17</v>
      </c>
    </row>
    <row r="8" spans="1:2">
      <c r="A8" t="s">
        <v>18</v>
      </c>
      <c r="B8" t="s">
        <v>19</v>
      </c>
    </row>
  </sheetData>
  <phoneticPr fontId="1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Q41"/>
  <sheetViews>
    <sheetView tabSelected="1" view="pageBreakPreview" zoomScaleSheetLayoutView="100" workbookViewId="0">
      <selection activeCell="G9" sqref="G9"/>
    </sheetView>
  </sheetViews>
  <sheetFormatPr defaultColWidth="9" defaultRowHeight="13.8"/>
  <cols>
    <col min="1" max="1" width="18" style="5" customWidth="1"/>
    <col min="2" max="2" width="10.59765625" style="5" customWidth="1"/>
    <col min="3" max="3" width="11" style="5" customWidth="1"/>
    <col min="4" max="4" width="5.796875" style="5" customWidth="1"/>
    <col min="5" max="5" width="8.59765625" style="5" customWidth="1"/>
    <col min="6" max="6" width="9.796875" style="5" customWidth="1"/>
    <col min="7" max="7" width="8" style="5" customWidth="1"/>
    <col min="8" max="8" width="10.09765625" style="5" customWidth="1"/>
    <col min="9" max="9" width="11.59765625" style="5" customWidth="1"/>
    <col min="10" max="10" width="11.69921875" style="5" customWidth="1"/>
    <col min="11" max="11" width="11.3984375" style="5" customWidth="1"/>
    <col min="12" max="12" width="11.796875" style="5" customWidth="1"/>
    <col min="13" max="13" width="8.19921875" style="5" customWidth="1"/>
    <col min="14" max="14" width="8.09765625" style="5" customWidth="1"/>
    <col min="15" max="15" width="7.69921875" style="5" customWidth="1"/>
    <col min="16" max="16" width="8.09765625" style="5" customWidth="1"/>
    <col min="17" max="17" width="7.5" style="5" customWidth="1"/>
    <col min="18" max="16384" width="9" style="5"/>
  </cols>
  <sheetData>
    <row r="1" spans="1:17" ht="19.95" customHeight="1">
      <c r="A1" s="130" t="s">
        <v>146</v>
      </c>
      <c r="B1" s="130"/>
      <c r="C1" s="130"/>
      <c r="D1" s="130"/>
      <c r="E1" s="130"/>
      <c r="F1" s="130"/>
      <c r="G1" s="130"/>
      <c r="H1" s="130"/>
      <c r="I1" s="130"/>
      <c r="J1" s="130"/>
      <c r="K1" s="130"/>
      <c r="L1" s="130"/>
      <c r="M1" s="130"/>
      <c r="N1" s="130"/>
      <c r="O1" s="130"/>
      <c r="P1" s="130"/>
      <c r="Q1" s="130"/>
    </row>
    <row r="2" spans="1:17" s="11" customFormat="1" ht="19.95" customHeight="1">
      <c r="A2" s="131" t="s">
        <v>26</v>
      </c>
      <c r="B2" s="131"/>
      <c r="C2" s="131"/>
      <c r="D2" s="131"/>
      <c r="E2" s="131"/>
      <c r="F2" s="131"/>
      <c r="G2" s="131"/>
      <c r="H2" s="131"/>
      <c r="I2" s="131"/>
      <c r="J2" s="131"/>
      <c r="K2" s="131"/>
      <c r="L2" s="131"/>
      <c r="M2" s="131"/>
      <c r="N2" s="131"/>
      <c r="O2" s="131"/>
      <c r="P2" s="131"/>
      <c r="Q2" s="131"/>
    </row>
    <row r="3" spans="1:17" ht="19.95" customHeight="1">
      <c r="A3" s="4" t="s">
        <v>147</v>
      </c>
      <c r="G3" s="7" t="s">
        <v>148</v>
      </c>
      <c r="H3" s="1"/>
      <c r="K3" s="7" t="s">
        <v>150</v>
      </c>
      <c r="P3" s="7" t="s">
        <v>0</v>
      </c>
      <c r="Q3" s="5" t="s">
        <v>165</v>
      </c>
    </row>
    <row r="4" spans="1:17" ht="19.95" customHeight="1">
      <c r="A4" s="4" t="s">
        <v>172</v>
      </c>
      <c r="G4" s="7" t="s">
        <v>149</v>
      </c>
      <c r="H4" s="1"/>
      <c r="K4" s="7" t="s">
        <v>151</v>
      </c>
      <c r="P4" s="7" t="s">
        <v>24</v>
      </c>
    </row>
    <row r="5" spans="1:17" s="116" customFormat="1" ht="36" customHeight="1">
      <c r="A5" s="82" t="s">
        <v>27</v>
      </c>
      <c r="B5" s="129" t="s">
        <v>139</v>
      </c>
      <c r="C5" s="86" t="s">
        <v>138</v>
      </c>
      <c r="D5" s="86" t="s">
        <v>156</v>
      </c>
      <c r="E5" s="86" t="s">
        <v>28</v>
      </c>
      <c r="F5" s="86" t="s">
        <v>29</v>
      </c>
      <c r="G5" s="85" t="s">
        <v>30</v>
      </c>
      <c r="H5" s="85" t="s">
        <v>31</v>
      </c>
      <c r="I5" s="85" t="s">
        <v>32</v>
      </c>
      <c r="J5" s="85" t="s">
        <v>33</v>
      </c>
      <c r="K5" s="85" t="s">
        <v>34</v>
      </c>
      <c r="L5" s="86" t="s">
        <v>137</v>
      </c>
      <c r="M5" s="86" t="s">
        <v>145</v>
      </c>
      <c r="N5" s="86" t="s">
        <v>166</v>
      </c>
      <c r="O5" s="86" t="s">
        <v>35</v>
      </c>
      <c r="P5" s="86" t="s">
        <v>36</v>
      </c>
      <c r="Q5" s="86" t="s">
        <v>152</v>
      </c>
    </row>
    <row r="6" spans="1:17" ht="19.95" customHeight="1">
      <c r="A6" s="108"/>
      <c r="B6" s="113"/>
      <c r="C6" s="108"/>
      <c r="D6" s="109"/>
      <c r="E6" s="9"/>
      <c r="F6" s="9"/>
      <c r="G6" s="9"/>
      <c r="H6" s="3"/>
      <c r="I6" s="124">
        <f>IF(G6=0,0,E6/G6)</f>
        <v>0</v>
      </c>
      <c r="J6" s="124">
        <f>IF(H6=0,0,F6/H6)</f>
        <v>0</v>
      </c>
      <c r="K6" s="114"/>
      <c r="L6" s="114"/>
      <c r="M6" s="125">
        <f>IF(E6=0,0,F6/E6)</f>
        <v>0</v>
      </c>
      <c r="N6" s="125" t="e">
        <f>((H6-F6)/(G6-E6))</f>
        <v>#DIV/0!</v>
      </c>
      <c r="O6" s="126" t="e">
        <f>IF(N6=0,0,(M6-N6)/N6)</f>
        <v>#DIV/0!</v>
      </c>
      <c r="P6" s="115"/>
      <c r="Q6" s="81"/>
    </row>
    <row r="7" spans="1:17" ht="19.95" customHeight="1">
      <c r="A7" s="108"/>
      <c r="B7" s="113"/>
      <c r="C7" s="108"/>
      <c r="D7" s="109"/>
      <c r="E7" s="9"/>
      <c r="F7" s="9"/>
      <c r="G7" s="9"/>
      <c r="H7" s="3"/>
      <c r="I7" s="124">
        <f t="shared" ref="I7:I17" si="0">IF(G7=0,0,E7/G7)</f>
        <v>0</v>
      </c>
      <c r="J7" s="124">
        <f t="shared" ref="J7:J17" si="1">IF(H7=0,0,F7/H7)</f>
        <v>0</v>
      </c>
      <c r="K7" s="114"/>
      <c r="L7" s="114"/>
      <c r="M7" s="125">
        <f t="shared" ref="M7:M16" si="2">IF(E7=0,0,F7/E7)</f>
        <v>0</v>
      </c>
      <c r="N7" s="125" t="e">
        <f t="shared" ref="N7:N17" si="3">((H7-F7)/(G7-E7))</f>
        <v>#DIV/0!</v>
      </c>
      <c r="O7" s="126" t="e">
        <f t="shared" ref="O7:O17" si="4">IF(N7=0,0,(M7-N7)/N7)</f>
        <v>#DIV/0!</v>
      </c>
      <c r="P7" s="115"/>
      <c r="Q7" s="81"/>
    </row>
    <row r="8" spans="1:17" ht="19.95" customHeight="1">
      <c r="A8" s="108"/>
      <c r="B8" s="113"/>
      <c r="C8" s="108"/>
      <c r="D8" s="109"/>
      <c r="E8" s="9"/>
      <c r="F8" s="9"/>
      <c r="G8" s="9"/>
      <c r="H8" s="3"/>
      <c r="I8" s="124">
        <f t="shared" si="0"/>
        <v>0</v>
      </c>
      <c r="J8" s="124">
        <f t="shared" si="1"/>
        <v>0</v>
      </c>
      <c r="K8" s="114"/>
      <c r="L8" s="114"/>
      <c r="M8" s="125">
        <f t="shared" si="2"/>
        <v>0</v>
      </c>
      <c r="N8" s="125" t="e">
        <f t="shared" si="3"/>
        <v>#DIV/0!</v>
      </c>
      <c r="O8" s="126" t="e">
        <f t="shared" si="4"/>
        <v>#DIV/0!</v>
      </c>
      <c r="P8" s="115"/>
      <c r="Q8" s="81"/>
    </row>
    <row r="9" spans="1:17" ht="19.95" customHeight="1">
      <c r="A9" s="108"/>
      <c r="B9" s="113"/>
      <c r="C9" s="108"/>
      <c r="D9" s="109"/>
      <c r="E9" s="9"/>
      <c r="F9" s="9"/>
      <c r="G9" s="9"/>
      <c r="H9" s="3"/>
      <c r="I9" s="124">
        <f t="shared" si="0"/>
        <v>0</v>
      </c>
      <c r="J9" s="124">
        <f t="shared" si="1"/>
        <v>0</v>
      </c>
      <c r="K9" s="114"/>
      <c r="L9" s="114"/>
      <c r="M9" s="125">
        <f t="shared" si="2"/>
        <v>0</v>
      </c>
      <c r="N9" s="125" t="e">
        <f t="shared" si="3"/>
        <v>#DIV/0!</v>
      </c>
      <c r="O9" s="126" t="e">
        <f t="shared" si="4"/>
        <v>#DIV/0!</v>
      </c>
      <c r="P9" s="115"/>
      <c r="Q9" s="81"/>
    </row>
    <row r="10" spans="1:17" ht="19.95" customHeight="1">
      <c r="A10" s="108"/>
      <c r="B10" s="113"/>
      <c r="C10" s="108"/>
      <c r="D10" s="109"/>
      <c r="E10" s="9"/>
      <c r="F10" s="9"/>
      <c r="G10" s="9"/>
      <c r="H10" s="3"/>
      <c r="I10" s="124">
        <f t="shared" si="0"/>
        <v>0</v>
      </c>
      <c r="J10" s="124">
        <f t="shared" si="1"/>
        <v>0</v>
      </c>
      <c r="K10" s="114"/>
      <c r="L10" s="114"/>
      <c r="M10" s="125">
        <f t="shared" si="2"/>
        <v>0</v>
      </c>
      <c r="N10" s="125" t="e">
        <f t="shared" si="3"/>
        <v>#DIV/0!</v>
      </c>
      <c r="O10" s="126" t="e">
        <f t="shared" si="4"/>
        <v>#DIV/0!</v>
      </c>
      <c r="P10" s="115"/>
      <c r="Q10" s="81"/>
    </row>
    <row r="11" spans="1:17" ht="19.95" customHeight="1">
      <c r="A11" s="108"/>
      <c r="B11" s="113"/>
      <c r="C11" s="108"/>
      <c r="D11" s="109"/>
      <c r="E11" s="9"/>
      <c r="F11" s="9"/>
      <c r="G11" s="9"/>
      <c r="H11" s="3"/>
      <c r="I11" s="124">
        <f t="shared" si="0"/>
        <v>0</v>
      </c>
      <c r="J11" s="124">
        <f t="shared" si="1"/>
        <v>0</v>
      </c>
      <c r="K11" s="114"/>
      <c r="L11" s="114"/>
      <c r="M11" s="125">
        <f t="shared" si="2"/>
        <v>0</v>
      </c>
      <c r="N11" s="125" t="e">
        <f t="shared" si="3"/>
        <v>#DIV/0!</v>
      </c>
      <c r="O11" s="126" t="e">
        <f t="shared" si="4"/>
        <v>#DIV/0!</v>
      </c>
      <c r="P11" s="115"/>
      <c r="Q11" s="81"/>
    </row>
    <row r="12" spans="1:17" ht="19.95" customHeight="1">
      <c r="A12" s="108"/>
      <c r="B12" s="113"/>
      <c r="C12" s="108"/>
      <c r="D12" s="109"/>
      <c r="E12" s="9"/>
      <c r="F12" s="9"/>
      <c r="G12" s="9"/>
      <c r="H12" s="3"/>
      <c r="I12" s="124">
        <f t="shared" si="0"/>
        <v>0</v>
      </c>
      <c r="J12" s="124">
        <f t="shared" si="1"/>
        <v>0</v>
      </c>
      <c r="K12" s="114"/>
      <c r="L12" s="114"/>
      <c r="M12" s="125">
        <f t="shared" si="2"/>
        <v>0</v>
      </c>
      <c r="N12" s="125" t="e">
        <f t="shared" si="3"/>
        <v>#DIV/0!</v>
      </c>
      <c r="O12" s="126" t="e">
        <f t="shared" si="4"/>
        <v>#DIV/0!</v>
      </c>
      <c r="P12" s="115"/>
      <c r="Q12" s="81"/>
    </row>
    <row r="13" spans="1:17" ht="19.95" customHeight="1">
      <c r="A13" s="108"/>
      <c r="B13" s="113"/>
      <c r="C13" s="108"/>
      <c r="D13" s="109"/>
      <c r="E13" s="9"/>
      <c r="F13" s="9"/>
      <c r="G13" s="9"/>
      <c r="H13" s="3"/>
      <c r="I13" s="124">
        <f t="shared" si="0"/>
        <v>0</v>
      </c>
      <c r="J13" s="124">
        <f t="shared" si="1"/>
        <v>0</v>
      </c>
      <c r="K13" s="114"/>
      <c r="L13" s="114"/>
      <c r="M13" s="125">
        <f t="shared" si="2"/>
        <v>0</v>
      </c>
      <c r="N13" s="125" t="e">
        <f t="shared" si="3"/>
        <v>#DIV/0!</v>
      </c>
      <c r="O13" s="126" t="e">
        <f t="shared" si="4"/>
        <v>#DIV/0!</v>
      </c>
      <c r="P13" s="115"/>
      <c r="Q13" s="81"/>
    </row>
    <row r="14" spans="1:17" ht="19.95" customHeight="1">
      <c r="A14" s="108"/>
      <c r="B14" s="113"/>
      <c r="C14" s="108"/>
      <c r="D14" s="109"/>
      <c r="E14" s="9"/>
      <c r="F14" s="9"/>
      <c r="G14" s="9"/>
      <c r="H14" s="3"/>
      <c r="I14" s="124">
        <f t="shared" si="0"/>
        <v>0</v>
      </c>
      <c r="J14" s="124">
        <f t="shared" si="1"/>
        <v>0</v>
      </c>
      <c r="K14" s="114"/>
      <c r="L14" s="114"/>
      <c r="M14" s="125">
        <f t="shared" si="2"/>
        <v>0</v>
      </c>
      <c r="N14" s="125" t="e">
        <f t="shared" si="3"/>
        <v>#DIV/0!</v>
      </c>
      <c r="O14" s="126" t="e">
        <f t="shared" si="4"/>
        <v>#DIV/0!</v>
      </c>
      <c r="P14" s="115"/>
      <c r="Q14" s="81"/>
    </row>
    <row r="15" spans="1:17" ht="19.95" customHeight="1">
      <c r="A15" s="108"/>
      <c r="B15" s="113"/>
      <c r="C15" s="108"/>
      <c r="D15" s="109"/>
      <c r="E15" s="9"/>
      <c r="F15" s="9"/>
      <c r="G15" s="9"/>
      <c r="H15" s="3"/>
      <c r="I15" s="124">
        <f t="shared" si="0"/>
        <v>0</v>
      </c>
      <c r="J15" s="124">
        <f t="shared" si="1"/>
        <v>0</v>
      </c>
      <c r="K15" s="114"/>
      <c r="L15" s="114"/>
      <c r="M15" s="125">
        <f t="shared" si="2"/>
        <v>0</v>
      </c>
      <c r="N15" s="125" t="e">
        <f t="shared" si="3"/>
        <v>#DIV/0!</v>
      </c>
      <c r="O15" s="126" t="e">
        <f t="shared" si="4"/>
        <v>#DIV/0!</v>
      </c>
      <c r="P15" s="115"/>
      <c r="Q15" s="81"/>
    </row>
    <row r="16" spans="1:17" ht="19.95" customHeight="1">
      <c r="A16" s="108"/>
      <c r="B16" s="113"/>
      <c r="C16" s="108"/>
      <c r="D16" s="109"/>
      <c r="E16" s="9"/>
      <c r="F16" s="9"/>
      <c r="G16" s="9"/>
      <c r="H16" s="3"/>
      <c r="I16" s="124">
        <f t="shared" si="0"/>
        <v>0</v>
      </c>
      <c r="J16" s="124">
        <f t="shared" si="1"/>
        <v>0</v>
      </c>
      <c r="K16" s="114"/>
      <c r="L16" s="114"/>
      <c r="M16" s="125">
        <f t="shared" si="2"/>
        <v>0</v>
      </c>
      <c r="N16" s="125" t="e">
        <f t="shared" si="3"/>
        <v>#DIV/0!</v>
      </c>
      <c r="O16" s="126" t="e">
        <f t="shared" si="4"/>
        <v>#DIV/0!</v>
      </c>
      <c r="P16" s="115"/>
      <c r="Q16" s="81"/>
    </row>
    <row r="17" spans="1:17" s="116" customFormat="1" ht="19.95" customHeight="1">
      <c r="A17" s="83" t="s">
        <v>155</v>
      </c>
      <c r="B17" s="117"/>
      <c r="C17" s="117"/>
      <c r="D17" s="83"/>
      <c r="E17" s="118"/>
      <c r="F17" s="118">
        <f>SUM(F6:F16)</f>
        <v>0</v>
      </c>
      <c r="G17" s="118"/>
      <c r="H17" s="118">
        <f>SUM(H6:H16)</f>
        <v>0</v>
      </c>
      <c r="I17" s="119">
        <f t="shared" si="0"/>
        <v>0</v>
      </c>
      <c r="J17" s="119">
        <f t="shared" si="1"/>
        <v>0</v>
      </c>
      <c r="K17" s="120"/>
      <c r="L17" s="120"/>
      <c r="M17" s="121">
        <f>IF(E17=0,0,F17/E17)</f>
        <v>0</v>
      </c>
      <c r="N17" s="121" t="e">
        <f>((H17-F17)/(G17-E17))</f>
        <v>#DIV/0!</v>
      </c>
      <c r="O17" s="122" t="e">
        <f t="shared" si="4"/>
        <v>#DIV/0!</v>
      </c>
      <c r="P17" s="121"/>
      <c r="Q17" s="123"/>
    </row>
    <row r="18" spans="1:17" ht="19.95" customHeight="1">
      <c r="A18" s="51" t="s">
        <v>153</v>
      </c>
      <c r="B18" s="10"/>
      <c r="C18" s="10"/>
      <c r="D18" s="10"/>
      <c r="E18" s="10"/>
      <c r="F18" s="10"/>
      <c r="G18" s="10"/>
      <c r="H18" s="151"/>
      <c r="I18" s="4"/>
      <c r="J18" s="4"/>
      <c r="K18" s="4"/>
      <c r="L18" s="4"/>
    </row>
    <row r="19" spans="1:17" ht="19.95" customHeight="1">
      <c r="A19" s="127" t="s">
        <v>169</v>
      </c>
      <c r="B19" s="10"/>
      <c r="C19" s="10"/>
      <c r="D19" s="10"/>
      <c r="E19" s="10"/>
      <c r="F19" s="10"/>
      <c r="G19" s="10"/>
      <c r="H19" s="151"/>
      <c r="I19" s="4"/>
      <c r="J19" s="4"/>
      <c r="K19" s="4"/>
      <c r="L19" s="4"/>
    </row>
    <row r="20" spans="1:17" ht="19.95" customHeight="1">
      <c r="A20" s="127" t="s">
        <v>167</v>
      </c>
      <c r="B20" s="10"/>
      <c r="C20" s="10"/>
      <c r="D20" s="10"/>
      <c r="E20" s="10"/>
      <c r="F20" s="10"/>
      <c r="G20" s="10"/>
      <c r="H20" s="4"/>
      <c r="I20" s="4"/>
      <c r="J20" s="4"/>
      <c r="K20" s="4"/>
      <c r="L20" s="4"/>
    </row>
    <row r="21" spans="1:17" ht="19.95" customHeight="1">
      <c r="A21" s="127" t="s">
        <v>168</v>
      </c>
      <c r="B21" s="10"/>
      <c r="C21" s="10"/>
      <c r="D21" s="10"/>
      <c r="E21" s="10"/>
      <c r="F21" s="10"/>
      <c r="G21" s="10"/>
      <c r="H21" s="4"/>
      <c r="I21" s="4"/>
      <c r="J21" s="4"/>
      <c r="K21" s="4"/>
      <c r="L21" s="4"/>
    </row>
    <row r="22" spans="1:17" ht="19.95" customHeight="1">
      <c r="A22" s="127" t="s">
        <v>170</v>
      </c>
      <c r="B22" s="10"/>
      <c r="C22" s="10"/>
      <c r="D22" s="10"/>
      <c r="E22" s="10"/>
      <c r="F22" s="10"/>
      <c r="G22" s="10"/>
      <c r="H22" s="4"/>
      <c r="I22" s="4"/>
      <c r="J22" s="4"/>
      <c r="K22" s="4"/>
      <c r="L22" s="4"/>
    </row>
    <row r="23" spans="1:17" ht="19.95" customHeight="1">
      <c r="A23" s="51" t="s">
        <v>154</v>
      </c>
      <c r="B23" s="10"/>
      <c r="C23" s="10"/>
      <c r="D23" s="10"/>
      <c r="E23" s="10"/>
      <c r="F23" s="10"/>
      <c r="G23" s="10"/>
      <c r="H23" s="4"/>
      <c r="I23" s="4"/>
      <c r="J23" s="4"/>
      <c r="K23" s="4"/>
      <c r="L23" s="4"/>
    </row>
    <row r="24" spans="1:17" ht="19.95" customHeight="1">
      <c r="A24" s="10"/>
      <c r="B24" s="10"/>
      <c r="C24" s="10"/>
      <c r="D24" s="10"/>
      <c r="E24" s="10"/>
      <c r="F24" s="10"/>
      <c r="G24" s="10"/>
      <c r="H24" s="4"/>
      <c r="I24" s="4"/>
      <c r="J24" s="4"/>
      <c r="K24" s="4"/>
      <c r="L24" s="4"/>
    </row>
    <row r="25" spans="1:17" ht="19.95" customHeight="1">
      <c r="A25" s="104" t="s">
        <v>140</v>
      </c>
    </row>
    <row r="26" spans="1:17" ht="19.95" customHeight="1">
      <c r="A26" s="105" t="s">
        <v>134</v>
      </c>
    </row>
    <row r="27" spans="1:17" ht="19.95" customHeight="1">
      <c r="A27" s="105" t="s">
        <v>133</v>
      </c>
    </row>
    <row r="28" spans="1:17" ht="19.95" customHeight="1">
      <c r="A28" s="105" t="s">
        <v>135</v>
      </c>
    </row>
    <row r="29" spans="1:17" ht="19.95" customHeight="1">
      <c r="A29" s="106" t="s">
        <v>141</v>
      </c>
    </row>
    <row r="30" spans="1:17" ht="19.95" customHeight="1">
      <c r="A30" s="107" t="s">
        <v>142</v>
      </c>
    </row>
    <row r="31" spans="1:17" ht="19.95" customHeight="1">
      <c r="A31" s="106" t="s">
        <v>143</v>
      </c>
    </row>
    <row r="32" spans="1:17" ht="19.95" customHeight="1">
      <c r="A32" s="106" t="s">
        <v>144</v>
      </c>
    </row>
    <row r="33" spans="1:2" ht="19.95" customHeight="1">
      <c r="A33" s="106"/>
      <c r="B33" s="128" t="s">
        <v>171</v>
      </c>
    </row>
    <row r="34" spans="1:2" ht="19.95" customHeight="1">
      <c r="B34" s="110" t="s">
        <v>157</v>
      </c>
    </row>
    <row r="35" spans="1:2">
      <c r="B35" s="110" t="s">
        <v>158</v>
      </c>
    </row>
    <row r="36" spans="1:2" ht="36">
      <c r="B36" s="110" t="s">
        <v>159</v>
      </c>
    </row>
    <row r="37" spans="1:2" ht="37.799999999999997">
      <c r="B37" s="111" t="s">
        <v>160</v>
      </c>
    </row>
    <row r="38" spans="1:2">
      <c r="B38" s="110" t="s">
        <v>161</v>
      </c>
    </row>
    <row r="39" spans="1:2">
      <c r="B39" s="112" t="s">
        <v>162</v>
      </c>
    </row>
    <row r="40" spans="1:2" ht="24">
      <c r="B40" s="110" t="s">
        <v>163</v>
      </c>
    </row>
    <row r="41" spans="1:2">
      <c r="B41" s="110" t="s">
        <v>164</v>
      </c>
    </row>
  </sheetData>
  <mergeCells count="2">
    <mergeCell ref="A1:Q1"/>
    <mergeCell ref="A2:Q2"/>
  </mergeCells>
  <phoneticPr fontId="15" type="noConversion"/>
  <dataValidations count="1">
    <dataValidation type="list" allowBlank="1" showInputMessage="1" showErrorMessage="1" sqref="B6:B16">
      <formula1>$B$34:$B$41</formula1>
    </dataValidation>
  </dataValidations>
  <printOptions horizontalCentered="1"/>
  <pageMargins left="0.55118110236220474" right="0.43307086614173229" top="0.74803149606299213" bottom="0.51181102362204722" header="0.31496062992125984" footer="0.31496062992125984"/>
  <pageSetup paperSize="9" scale="75" fitToHeight="2" orientation="landscape" blackAndWhite="1" cellComments="atEnd" r:id="rId1"/>
  <headerFooter>
    <oddFooter>&amp;C&amp;P/&amp;N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FF0000"/>
    <pageSetUpPr fitToPage="1"/>
  </sheetPr>
  <dimension ref="A1:I48"/>
  <sheetViews>
    <sheetView view="pageBreakPreview" zoomScaleSheetLayoutView="100" workbookViewId="0">
      <selection activeCell="B15" sqref="B15"/>
    </sheetView>
  </sheetViews>
  <sheetFormatPr defaultRowHeight="15.6"/>
  <cols>
    <col min="1" max="1" width="18.796875" style="64" customWidth="1"/>
    <col min="2" max="2" width="16" style="67" customWidth="1"/>
    <col min="3" max="4" width="11.69921875" style="67" customWidth="1"/>
    <col min="5" max="6" width="11.69921875" style="65" customWidth="1"/>
    <col min="7" max="8" width="11.69921875" style="66" customWidth="1"/>
    <col min="9" max="9" width="11.69921875" style="63" customWidth="1"/>
    <col min="10" max="254" width="9" style="64"/>
    <col min="255" max="255" width="18.796875" style="64" customWidth="1"/>
    <col min="256" max="256" width="14.09765625" style="64" bestFit="1" customWidth="1"/>
    <col min="257" max="257" width="19.69921875" style="64" customWidth="1"/>
    <col min="258" max="258" width="18.09765625" style="64" customWidth="1"/>
    <col min="259" max="260" width="19.296875" style="64" customWidth="1"/>
    <col min="261" max="261" width="18.09765625" style="64" customWidth="1"/>
    <col min="262" max="262" width="13.59765625" style="64" customWidth="1"/>
    <col min="263" max="263" width="17.09765625" style="64" customWidth="1"/>
    <col min="264" max="264" width="14.59765625" style="64" customWidth="1"/>
    <col min="265" max="265" width="9.5" style="64" customWidth="1"/>
    <col min="266" max="510" width="9" style="64"/>
    <col min="511" max="511" width="18.796875" style="64" customWidth="1"/>
    <col min="512" max="512" width="14.09765625" style="64" bestFit="1" customWidth="1"/>
    <col min="513" max="513" width="19.69921875" style="64" customWidth="1"/>
    <col min="514" max="514" width="18.09765625" style="64" customWidth="1"/>
    <col min="515" max="516" width="19.296875" style="64" customWidth="1"/>
    <col min="517" max="517" width="18.09765625" style="64" customWidth="1"/>
    <col min="518" max="518" width="13.59765625" style="64" customWidth="1"/>
    <col min="519" max="519" width="17.09765625" style="64" customWidth="1"/>
    <col min="520" max="520" width="14.59765625" style="64" customWidth="1"/>
    <col min="521" max="521" width="9.5" style="64" customWidth="1"/>
    <col min="522" max="766" width="9" style="64"/>
    <col min="767" max="767" width="18.796875" style="64" customWidth="1"/>
    <col min="768" max="768" width="14.09765625" style="64" bestFit="1" customWidth="1"/>
    <col min="769" max="769" width="19.69921875" style="64" customWidth="1"/>
    <col min="770" max="770" width="18.09765625" style="64" customWidth="1"/>
    <col min="771" max="772" width="19.296875" style="64" customWidth="1"/>
    <col min="773" max="773" width="18.09765625" style="64" customWidth="1"/>
    <col min="774" max="774" width="13.59765625" style="64" customWidth="1"/>
    <col min="775" max="775" width="17.09765625" style="64" customWidth="1"/>
    <col min="776" max="776" width="14.59765625" style="64" customWidth="1"/>
    <col min="777" max="777" width="9.5" style="64" customWidth="1"/>
    <col min="778" max="1022" width="9" style="64"/>
    <col min="1023" max="1023" width="18.796875" style="64" customWidth="1"/>
    <col min="1024" max="1024" width="14.09765625" style="64" bestFit="1" customWidth="1"/>
    <col min="1025" max="1025" width="19.69921875" style="64" customWidth="1"/>
    <col min="1026" max="1026" width="18.09765625" style="64" customWidth="1"/>
    <col min="1027" max="1028" width="19.296875" style="64" customWidth="1"/>
    <col min="1029" max="1029" width="18.09765625" style="64" customWidth="1"/>
    <col min="1030" max="1030" width="13.59765625" style="64" customWidth="1"/>
    <col min="1031" max="1031" width="17.09765625" style="64" customWidth="1"/>
    <col min="1032" max="1032" width="14.59765625" style="64" customWidth="1"/>
    <col min="1033" max="1033" width="9.5" style="64" customWidth="1"/>
    <col min="1034" max="1278" width="9" style="64"/>
    <col min="1279" max="1279" width="18.796875" style="64" customWidth="1"/>
    <col min="1280" max="1280" width="14.09765625" style="64" bestFit="1" customWidth="1"/>
    <col min="1281" max="1281" width="19.69921875" style="64" customWidth="1"/>
    <col min="1282" max="1282" width="18.09765625" style="64" customWidth="1"/>
    <col min="1283" max="1284" width="19.296875" style="64" customWidth="1"/>
    <col min="1285" max="1285" width="18.09765625" style="64" customWidth="1"/>
    <col min="1286" max="1286" width="13.59765625" style="64" customWidth="1"/>
    <col min="1287" max="1287" width="17.09765625" style="64" customWidth="1"/>
    <col min="1288" max="1288" width="14.59765625" style="64" customWidth="1"/>
    <col min="1289" max="1289" width="9.5" style="64" customWidth="1"/>
    <col min="1290" max="1534" width="9" style="64"/>
    <col min="1535" max="1535" width="18.796875" style="64" customWidth="1"/>
    <col min="1536" max="1536" width="14.09765625" style="64" bestFit="1" customWidth="1"/>
    <col min="1537" max="1537" width="19.69921875" style="64" customWidth="1"/>
    <col min="1538" max="1538" width="18.09765625" style="64" customWidth="1"/>
    <col min="1539" max="1540" width="19.296875" style="64" customWidth="1"/>
    <col min="1541" max="1541" width="18.09765625" style="64" customWidth="1"/>
    <col min="1542" max="1542" width="13.59765625" style="64" customWidth="1"/>
    <col min="1543" max="1543" width="17.09765625" style="64" customWidth="1"/>
    <col min="1544" max="1544" width="14.59765625" style="64" customWidth="1"/>
    <col min="1545" max="1545" width="9.5" style="64" customWidth="1"/>
    <col min="1546" max="1790" width="9" style="64"/>
    <col min="1791" max="1791" width="18.796875" style="64" customWidth="1"/>
    <col min="1792" max="1792" width="14.09765625" style="64" bestFit="1" customWidth="1"/>
    <col min="1793" max="1793" width="19.69921875" style="64" customWidth="1"/>
    <col min="1794" max="1794" width="18.09765625" style="64" customWidth="1"/>
    <col min="1795" max="1796" width="19.296875" style="64" customWidth="1"/>
    <col min="1797" max="1797" width="18.09765625" style="64" customWidth="1"/>
    <col min="1798" max="1798" width="13.59765625" style="64" customWidth="1"/>
    <col min="1799" max="1799" width="17.09765625" style="64" customWidth="1"/>
    <col min="1800" max="1800" width="14.59765625" style="64" customWidth="1"/>
    <col min="1801" max="1801" width="9.5" style="64" customWidth="1"/>
    <col min="1802" max="2046" width="9" style="64"/>
    <col min="2047" max="2047" width="18.796875" style="64" customWidth="1"/>
    <col min="2048" max="2048" width="14.09765625" style="64" bestFit="1" customWidth="1"/>
    <col min="2049" max="2049" width="19.69921875" style="64" customWidth="1"/>
    <col min="2050" max="2050" width="18.09765625" style="64" customWidth="1"/>
    <col min="2051" max="2052" width="19.296875" style="64" customWidth="1"/>
    <col min="2053" max="2053" width="18.09765625" style="64" customWidth="1"/>
    <col min="2054" max="2054" width="13.59765625" style="64" customWidth="1"/>
    <col min="2055" max="2055" width="17.09765625" style="64" customWidth="1"/>
    <col min="2056" max="2056" width="14.59765625" style="64" customWidth="1"/>
    <col min="2057" max="2057" width="9.5" style="64" customWidth="1"/>
    <col min="2058" max="2302" width="9" style="64"/>
    <col min="2303" max="2303" width="18.796875" style="64" customWidth="1"/>
    <col min="2304" max="2304" width="14.09765625" style="64" bestFit="1" customWidth="1"/>
    <col min="2305" max="2305" width="19.69921875" style="64" customWidth="1"/>
    <col min="2306" max="2306" width="18.09765625" style="64" customWidth="1"/>
    <col min="2307" max="2308" width="19.296875" style="64" customWidth="1"/>
    <col min="2309" max="2309" width="18.09765625" style="64" customWidth="1"/>
    <col min="2310" max="2310" width="13.59765625" style="64" customWidth="1"/>
    <col min="2311" max="2311" width="17.09765625" style="64" customWidth="1"/>
    <col min="2312" max="2312" width="14.59765625" style="64" customWidth="1"/>
    <col min="2313" max="2313" width="9.5" style="64" customWidth="1"/>
    <col min="2314" max="2558" width="9" style="64"/>
    <col min="2559" max="2559" width="18.796875" style="64" customWidth="1"/>
    <col min="2560" max="2560" width="14.09765625" style="64" bestFit="1" customWidth="1"/>
    <col min="2561" max="2561" width="19.69921875" style="64" customWidth="1"/>
    <col min="2562" max="2562" width="18.09765625" style="64" customWidth="1"/>
    <col min="2563" max="2564" width="19.296875" style="64" customWidth="1"/>
    <col min="2565" max="2565" width="18.09765625" style="64" customWidth="1"/>
    <col min="2566" max="2566" width="13.59765625" style="64" customWidth="1"/>
    <col min="2567" max="2567" width="17.09765625" style="64" customWidth="1"/>
    <col min="2568" max="2568" width="14.59765625" style="64" customWidth="1"/>
    <col min="2569" max="2569" width="9.5" style="64" customWidth="1"/>
    <col min="2570" max="2814" width="9" style="64"/>
    <col min="2815" max="2815" width="18.796875" style="64" customWidth="1"/>
    <col min="2816" max="2816" width="14.09765625" style="64" bestFit="1" customWidth="1"/>
    <col min="2817" max="2817" width="19.69921875" style="64" customWidth="1"/>
    <col min="2818" max="2818" width="18.09765625" style="64" customWidth="1"/>
    <col min="2819" max="2820" width="19.296875" style="64" customWidth="1"/>
    <col min="2821" max="2821" width="18.09765625" style="64" customWidth="1"/>
    <col min="2822" max="2822" width="13.59765625" style="64" customWidth="1"/>
    <col min="2823" max="2823" width="17.09765625" style="64" customWidth="1"/>
    <col min="2824" max="2824" width="14.59765625" style="64" customWidth="1"/>
    <col min="2825" max="2825" width="9.5" style="64" customWidth="1"/>
    <col min="2826" max="3070" width="9" style="64"/>
    <col min="3071" max="3071" width="18.796875" style="64" customWidth="1"/>
    <col min="3072" max="3072" width="14.09765625" style="64" bestFit="1" customWidth="1"/>
    <col min="3073" max="3073" width="19.69921875" style="64" customWidth="1"/>
    <col min="3074" max="3074" width="18.09765625" style="64" customWidth="1"/>
    <col min="3075" max="3076" width="19.296875" style="64" customWidth="1"/>
    <col min="3077" max="3077" width="18.09765625" style="64" customWidth="1"/>
    <col min="3078" max="3078" width="13.59765625" style="64" customWidth="1"/>
    <col min="3079" max="3079" width="17.09765625" style="64" customWidth="1"/>
    <col min="3080" max="3080" width="14.59765625" style="64" customWidth="1"/>
    <col min="3081" max="3081" width="9.5" style="64" customWidth="1"/>
    <col min="3082" max="3326" width="9" style="64"/>
    <col min="3327" max="3327" width="18.796875" style="64" customWidth="1"/>
    <col min="3328" max="3328" width="14.09765625" style="64" bestFit="1" customWidth="1"/>
    <col min="3329" max="3329" width="19.69921875" style="64" customWidth="1"/>
    <col min="3330" max="3330" width="18.09765625" style="64" customWidth="1"/>
    <col min="3331" max="3332" width="19.296875" style="64" customWidth="1"/>
    <col min="3333" max="3333" width="18.09765625" style="64" customWidth="1"/>
    <col min="3334" max="3334" width="13.59765625" style="64" customWidth="1"/>
    <col min="3335" max="3335" width="17.09765625" style="64" customWidth="1"/>
    <col min="3336" max="3336" width="14.59765625" style="64" customWidth="1"/>
    <col min="3337" max="3337" width="9.5" style="64" customWidth="1"/>
    <col min="3338" max="3582" width="9" style="64"/>
    <col min="3583" max="3583" width="18.796875" style="64" customWidth="1"/>
    <col min="3584" max="3584" width="14.09765625" style="64" bestFit="1" customWidth="1"/>
    <col min="3585" max="3585" width="19.69921875" style="64" customWidth="1"/>
    <col min="3586" max="3586" width="18.09765625" style="64" customWidth="1"/>
    <col min="3587" max="3588" width="19.296875" style="64" customWidth="1"/>
    <col min="3589" max="3589" width="18.09765625" style="64" customWidth="1"/>
    <col min="3590" max="3590" width="13.59765625" style="64" customWidth="1"/>
    <col min="3591" max="3591" width="17.09765625" style="64" customWidth="1"/>
    <col min="3592" max="3592" width="14.59765625" style="64" customWidth="1"/>
    <col min="3593" max="3593" width="9.5" style="64" customWidth="1"/>
    <col min="3594" max="3838" width="9" style="64"/>
    <col min="3839" max="3839" width="18.796875" style="64" customWidth="1"/>
    <col min="3840" max="3840" width="14.09765625" style="64" bestFit="1" customWidth="1"/>
    <col min="3841" max="3841" width="19.69921875" style="64" customWidth="1"/>
    <col min="3842" max="3842" width="18.09765625" style="64" customWidth="1"/>
    <col min="3843" max="3844" width="19.296875" style="64" customWidth="1"/>
    <col min="3845" max="3845" width="18.09765625" style="64" customWidth="1"/>
    <col min="3846" max="3846" width="13.59765625" style="64" customWidth="1"/>
    <col min="3847" max="3847" width="17.09765625" style="64" customWidth="1"/>
    <col min="3848" max="3848" width="14.59765625" style="64" customWidth="1"/>
    <col min="3849" max="3849" width="9.5" style="64" customWidth="1"/>
    <col min="3850" max="4094" width="9" style="64"/>
    <col min="4095" max="4095" width="18.796875" style="64" customWidth="1"/>
    <col min="4096" max="4096" width="14.09765625" style="64" bestFit="1" customWidth="1"/>
    <col min="4097" max="4097" width="19.69921875" style="64" customWidth="1"/>
    <col min="4098" max="4098" width="18.09765625" style="64" customWidth="1"/>
    <col min="4099" max="4100" width="19.296875" style="64" customWidth="1"/>
    <col min="4101" max="4101" width="18.09765625" style="64" customWidth="1"/>
    <col min="4102" max="4102" width="13.59765625" style="64" customWidth="1"/>
    <col min="4103" max="4103" width="17.09765625" style="64" customWidth="1"/>
    <col min="4104" max="4104" width="14.59765625" style="64" customWidth="1"/>
    <col min="4105" max="4105" width="9.5" style="64" customWidth="1"/>
    <col min="4106" max="4350" width="9" style="64"/>
    <col min="4351" max="4351" width="18.796875" style="64" customWidth="1"/>
    <col min="4352" max="4352" width="14.09765625" style="64" bestFit="1" customWidth="1"/>
    <col min="4353" max="4353" width="19.69921875" style="64" customWidth="1"/>
    <col min="4354" max="4354" width="18.09765625" style="64" customWidth="1"/>
    <col min="4355" max="4356" width="19.296875" style="64" customWidth="1"/>
    <col min="4357" max="4357" width="18.09765625" style="64" customWidth="1"/>
    <col min="4358" max="4358" width="13.59765625" style="64" customWidth="1"/>
    <col min="4359" max="4359" width="17.09765625" style="64" customWidth="1"/>
    <col min="4360" max="4360" width="14.59765625" style="64" customWidth="1"/>
    <col min="4361" max="4361" width="9.5" style="64" customWidth="1"/>
    <col min="4362" max="4606" width="9" style="64"/>
    <col min="4607" max="4607" width="18.796875" style="64" customWidth="1"/>
    <col min="4608" max="4608" width="14.09765625" style="64" bestFit="1" customWidth="1"/>
    <col min="4609" max="4609" width="19.69921875" style="64" customWidth="1"/>
    <col min="4610" max="4610" width="18.09765625" style="64" customWidth="1"/>
    <col min="4611" max="4612" width="19.296875" style="64" customWidth="1"/>
    <col min="4613" max="4613" width="18.09765625" style="64" customWidth="1"/>
    <col min="4614" max="4614" width="13.59765625" style="64" customWidth="1"/>
    <col min="4615" max="4615" width="17.09765625" style="64" customWidth="1"/>
    <col min="4616" max="4616" width="14.59765625" style="64" customWidth="1"/>
    <col min="4617" max="4617" width="9.5" style="64" customWidth="1"/>
    <col min="4618" max="4862" width="9" style="64"/>
    <col min="4863" max="4863" width="18.796875" style="64" customWidth="1"/>
    <col min="4864" max="4864" width="14.09765625" style="64" bestFit="1" customWidth="1"/>
    <col min="4865" max="4865" width="19.69921875" style="64" customWidth="1"/>
    <col min="4866" max="4866" width="18.09765625" style="64" customWidth="1"/>
    <col min="4867" max="4868" width="19.296875" style="64" customWidth="1"/>
    <col min="4869" max="4869" width="18.09765625" style="64" customWidth="1"/>
    <col min="4870" max="4870" width="13.59765625" style="64" customWidth="1"/>
    <col min="4871" max="4871" width="17.09765625" style="64" customWidth="1"/>
    <col min="4872" max="4872" width="14.59765625" style="64" customWidth="1"/>
    <col min="4873" max="4873" width="9.5" style="64" customWidth="1"/>
    <col min="4874" max="5118" width="9" style="64"/>
    <col min="5119" max="5119" width="18.796875" style="64" customWidth="1"/>
    <col min="5120" max="5120" width="14.09765625" style="64" bestFit="1" customWidth="1"/>
    <col min="5121" max="5121" width="19.69921875" style="64" customWidth="1"/>
    <col min="5122" max="5122" width="18.09765625" style="64" customWidth="1"/>
    <col min="5123" max="5124" width="19.296875" style="64" customWidth="1"/>
    <col min="5125" max="5125" width="18.09765625" style="64" customWidth="1"/>
    <col min="5126" max="5126" width="13.59765625" style="64" customWidth="1"/>
    <col min="5127" max="5127" width="17.09765625" style="64" customWidth="1"/>
    <col min="5128" max="5128" width="14.59765625" style="64" customWidth="1"/>
    <col min="5129" max="5129" width="9.5" style="64" customWidth="1"/>
    <col min="5130" max="5374" width="9" style="64"/>
    <col min="5375" max="5375" width="18.796875" style="64" customWidth="1"/>
    <col min="5376" max="5376" width="14.09765625" style="64" bestFit="1" customWidth="1"/>
    <col min="5377" max="5377" width="19.69921875" style="64" customWidth="1"/>
    <col min="5378" max="5378" width="18.09765625" style="64" customWidth="1"/>
    <col min="5379" max="5380" width="19.296875" style="64" customWidth="1"/>
    <col min="5381" max="5381" width="18.09765625" style="64" customWidth="1"/>
    <col min="5382" max="5382" width="13.59765625" style="64" customWidth="1"/>
    <col min="5383" max="5383" width="17.09765625" style="64" customWidth="1"/>
    <col min="5384" max="5384" width="14.59765625" style="64" customWidth="1"/>
    <col min="5385" max="5385" width="9.5" style="64" customWidth="1"/>
    <col min="5386" max="5630" width="9" style="64"/>
    <col min="5631" max="5631" width="18.796875" style="64" customWidth="1"/>
    <col min="5632" max="5632" width="14.09765625" style="64" bestFit="1" customWidth="1"/>
    <col min="5633" max="5633" width="19.69921875" style="64" customWidth="1"/>
    <col min="5634" max="5634" width="18.09765625" style="64" customWidth="1"/>
    <col min="5635" max="5636" width="19.296875" style="64" customWidth="1"/>
    <col min="5637" max="5637" width="18.09765625" style="64" customWidth="1"/>
    <col min="5638" max="5638" width="13.59765625" style="64" customWidth="1"/>
    <col min="5639" max="5639" width="17.09765625" style="64" customWidth="1"/>
    <col min="5640" max="5640" width="14.59765625" style="64" customWidth="1"/>
    <col min="5641" max="5641" width="9.5" style="64" customWidth="1"/>
    <col min="5642" max="5886" width="9" style="64"/>
    <col min="5887" max="5887" width="18.796875" style="64" customWidth="1"/>
    <col min="5888" max="5888" width="14.09765625" style="64" bestFit="1" customWidth="1"/>
    <col min="5889" max="5889" width="19.69921875" style="64" customWidth="1"/>
    <col min="5890" max="5890" width="18.09765625" style="64" customWidth="1"/>
    <col min="5891" max="5892" width="19.296875" style="64" customWidth="1"/>
    <col min="5893" max="5893" width="18.09765625" style="64" customWidth="1"/>
    <col min="5894" max="5894" width="13.59765625" style="64" customWidth="1"/>
    <col min="5895" max="5895" width="17.09765625" style="64" customWidth="1"/>
    <col min="5896" max="5896" width="14.59765625" style="64" customWidth="1"/>
    <col min="5897" max="5897" width="9.5" style="64" customWidth="1"/>
    <col min="5898" max="6142" width="9" style="64"/>
    <col min="6143" max="6143" width="18.796875" style="64" customWidth="1"/>
    <col min="6144" max="6144" width="14.09765625" style="64" bestFit="1" customWidth="1"/>
    <col min="6145" max="6145" width="19.69921875" style="64" customWidth="1"/>
    <col min="6146" max="6146" width="18.09765625" style="64" customWidth="1"/>
    <col min="6147" max="6148" width="19.296875" style="64" customWidth="1"/>
    <col min="6149" max="6149" width="18.09765625" style="64" customWidth="1"/>
    <col min="6150" max="6150" width="13.59765625" style="64" customWidth="1"/>
    <col min="6151" max="6151" width="17.09765625" style="64" customWidth="1"/>
    <col min="6152" max="6152" width="14.59765625" style="64" customWidth="1"/>
    <col min="6153" max="6153" width="9.5" style="64" customWidth="1"/>
    <col min="6154" max="6398" width="9" style="64"/>
    <col min="6399" max="6399" width="18.796875" style="64" customWidth="1"/>
    <col min="6400" max="6400" width="14.09765625" style="64" bestFit="1" customWidth="1"/>
    <col min="6401" max="6401" width="19.69921875" style="64" customWidth="1"/>
    <col min="6402" max="6402" width="18.09765625" style="64" customWidth="1"/>
    <col min="6403" max="6404" width="19.296875" style="64" customWidth="1"/>
    <col min="6405" max="6405" width="18.09765625" style="64" customWidth="1"/>
    <col min="6406" max="6406" width="13.59765625" style="64" customWidth="1"/>
    <col min="6407" max="6407" width="17.09765625" style="64" customWidth="1"/>
    <col min="6408" max="6408" width="14.59765625" style="64" customWidth="1"/>
    <col min="6409" max="6409" width="9.5" style="64" customWidth="1"/>
    <col min="6410" max="6654" width="9" style="64"/>
    <col min="6655" max="6655" width="18.796875" style="64" customWidth="1"/>
    <col min="6656" max="6656" width="14.09765625" style="64" bestFit="1" customWidth="1"/>
    <col min="6657" max="6657" width="19.69921875" style="64" customWidth="1"/>
    <col min="6658" max="6658" width="18.09765625" style="64" customWidth="1"/>
    <col min="6659" max="6660" width="19.296875" style="64" customWidth="1"/>
    <col min="6661" max="6661" width="18.09765625" style="64" customWidth="1"/>
    <col min="6662" max="6662" width="13.59765625" style="64" customWidth="1"/>
    <col min="6663" max="6663" width="17.09765625" style="64" customWidth="1"/>
    <col min="6664" max="6664" width="14.59765625" style="64" customWidth="1"/>
    <col min="6665" max="6665" width="9.5" style="64" customWidth="1"/>
    <col min="6666" max="6910" width="9" style="64"/>
    <col min="6911" max="6911" width="18.796875" style="64" customWidth="1"/>
    <col min="6912" max="6912" width="14.09765625" style="64" bestFit="1" customWidth="1"/>
    <col min="6913" max="6913" width="19.69921875" style="64" customWidth="1"/>
    <col min="6914" max="6914" width="18.09765625" style="64" customWidth="1"/>
    <col min="6915" max="6916" width="19.296875" style="64" customWidth="1"/>
    <col min="6917" max="6917" width="18.09765625" style="64" customWidth="1"/>
    <col min="6918" max="6918" width="13.59765625" style="64" customWidth="1"/>
    <col min="6919" max="6919" width="17.09765625" style="64" customWidth="1"/>
    <col min="6920" max="6920" width="14.59765625" style="64" customWidth="1"/>
    <col min="6921" max="6921" width="9.5" style="64" customWidth="1"/>
    <col min="6922" max="7166" width="9" style="64"/>
    <col min="7167" max="7167" width="18.796875" style="64" customWidth="1"/>
    <col min="7168" max="7168" width="14.09765625" style="64" bestFit="1" customWidth="1"/>
    <col min="7169" max="7169" width="19.69921875" style="64" customWidth="1"/>
    <col min="7170" max="7170" width="18.09765625" style="64" customWidth="1"/>
    <col min="7171" max="7172" width="19.296875" style="64" customWidth="1"/>
    <col min="7173" max="7173" width="18.09765625" style="64" customWidth="1"/>
    <col min="7174" max="7174" width="13.59765625" style="64" customWidth="1"/>
    <col min="7175" max="7175" width="17.09765625" style="64" customWidth="1"/>
    <col min="7176" max="7176" width="14.59765625" style="64" customWidth="1"/>
    <col min="7177" max="7177" width="9.5" style="64" customWidth="1"/>
    <col min="7178" max="7422" width="9" style="64"/>
    <col min="7423" max="7423" width="18.796875" style="64" customWidth="1"/>
    <col min="7424" max="7424" width="14.09765625" style="64" bestFit="1" customWidth="1"/>
    <col min="7425" max="7425" width="19.69921875" style="64" customWidth="1"/>
    <col min="7426" max="7426" width="18.09765625" style="64" customWidth="1"/>
    <col min="7427" max="7428" width="19.296875" style="64" customWidth="1"/>
    <col min="7429" max="7429" width="18.09765625" style="64" customWidth="1"/>
    <col min="7430" max="7430" width="13.59765625" style="64" customWidth="1"/>
    <col min="7431" max="7431" width="17.09765625" style="64" customWidth="1"/>
    <col min="7432" max="7432" width="14.59765625" style="64" customWidth="1"/>
    <col min="7433" max="7433" width="9.5" style="64" customWidth="1"/>
    <col min="7434" max="7678" width="9" style="64"/>
    <col min="7679" max="7679" width="18.796875" style="64" customWidth="1"/>
    <col min="7680" max="7680" width="14.09765625" style="64" bestFit="1" customWidth="1"/>
    <col min="7681" max="7681" width="19.69921875" style="64" customWidth="1"/>
    <col min="7682" max="7682" width="18.09765625" style="64" customWidth="1"/>
    <col min="7683" max="7684" width="19.296875" style="64" customWidth="1"/>
    <col min="7685" max="7685" width="18.09765625" style="64" customWidth="1"/>
    <col min="7686" max="7686" width="13.59765625" style="64" customWidth="1"/>
    <col min="7687" max="7687" width="17.09765625" style="64" customWidth="1"/>
    <col min="7688" max="7688" width="14.59765625" style="64" customWidth="1"/>
    <col min="7689" max="7689" width="9.5" style="64" customWidth="1"/>
    <col min="7690" max="7934" width="9" style="64"/>
    <col min="7935" max="7935" width="18.796875" style="64" customWidth="1"/>
    <col min="7936" max="7936" width="14.09765625" style="64" bestFit="1" customWidth="1"/>
    <col min="7937" max="7937" width="19.69921875" style="64" customWidth="1"/>
    <col min="7938" max="7938" width="18.09765625" style="64" customWidth="1"/>
    <col min="7939" max="7940" width="19.296875" style="64" customWidth="1"/>
    <col min="7941" max="7941" width="18.09765625" style="64" customWidth="1"/>
    <col min="7942" max="7942" width="13.59765625" style="64" customWidth="1"/>
    <col min="7943" max="7943" width="17.09765625" style="64" customWidth="1"/>
    <col min="7944" max="7944" width="14.59765625" style="64" customWidth="1"/>
    <col min="7945" max="7945" width="9.5" style="64" customWidth="1"/>
    <col min="7946" max="8190" width="9" style="64"/>
    <col min="8191" max="8191" width="18.796875" style="64" customWidth="1"/>
    <col min="8192" max="8192" width="14.09765625" style="64" bestFit="1" customWidth="1"/>
    <col min="8193" max="8193" width="19.69921875" style="64" customWidth="1"/>
    <col min="8194" max="8194" width="18.09765625" style="64" customWidth="1"/>
    <col min="8195" max="8196" width="19.296875" style="64" customWidth="1"/>
    <col min="8197" max="8197" width="18.09765625" style="64" customWidth="1"/>
    <col min="8198" max="8198" width="13.59765625" style="64" customWidth="1"/>
    <col min="8199" max="8199" width="17.09765625" style="64" customWidth="1"/>
    <col min="8200" max="8200" width="14.59765625" style="64" customWidth="1"/>
    <col min="8201" max="8201" width="9.5" style="64" customWidth="1"/>
    <col min="8202" max="8446" width="9" style="64"/>
    <col min="8447" max="8447" width="18.796875" style="64" customWidth="1"/>
    <col min="8448" max="8448" width="14.09765625" style="64" bestFit="1" customWidth="1"/>
    <col min="8449" max="8449" width="19.69921875" style="64" customWidth="1"/>
    <col min="8450" max="8450" width="18.09765625" style="64" customWidth="1"/>
    <col min="8451" max="8452" width="19.296875" style="64" customWidth="1"/>
    <col min="8453" max="8453" width="18.09765625" style="64" customWidth="1"/>
    <col min="8454" max="8454" width="13.59765625" style="64" customWidth="1"/>
    <col min="8455" max="8455" width="17.09765625" style="64" customWidth="1"/>
    <col min="8456" max="8456" width="14.59765625" style="64" customWidth="1"/>
    <col min="8457" max="8457" width="9.5" style="64" customWidth="1"/>
    <col min="8458" max="8702" width="9" style="64"/>
    <col min="8703" max="8703" width="18.796875" style="64" customWidth="1"/>
    <col min="8704" max="8704" width="14.09765625" style="64" bestFit="1" customWidth="1"/>
    <col min="8705" max="8705" width="19.69921875" style="64" customWidth="1"/>
    <col min="8706" max="8706" width="18.09765625" style="64" customWidth="1"/>
    <col min="8707" max="8708" width="19.296875" style="64" customWidth="1"/>
    <col min="8709" max="8709" width="18.09765625" style="64" customWidth="1"/>
    <col min="8710" max="8710" width="13.59765625" style="64" customWidth="1"/>
    <col min="8711" max="8711" width="17.09765625" style="64" customWidth="1"/>
    <col min="8712" max="8712" width="14.59765625" style="64" customWidth="1"/>
    <col min="8713" max="8713" width="9.5" style="64" customWidth="1"/>
    <col min="8714" max="8958" width="9" style="64"/>
    <col min="8959" max="8959" width="18.796875" style="64" customWidth="1"/>
    <col min="8960" max="8960" width="14.09765625" style="64" bestFit="1" customWidth="1"/>
    <col min="8961" max="8961" width="19.69921875" style="64" customWidth="1"/>
    <col min="8962" max="8962" width="18.09765625" style="64" customWidth="1"/>
    <col min="8963" max="8964" width="19.296875" style="64" customWidth="1"/>
    <col min="8965" max="8965" width="18.09765625" style="64" customWidth="1"/>
    <col min="8966" max="8966" width="13.59765625" style="64" customWidth="1"/>
    <col min="8967" max="8967" width="17.09765625" style="64" customWidth="1"/>
    <col min="8968" max="8968" width="14.59765625" style="64" customWidth="1"/>
    <col min="8969" max="8969" width="9.5" style="64" customWidth="1"/>
    <col min="8970" max="9214" width="9" style="64"/>
    <col min="9215" max="9215" width="18.796875" style="64" customWidth="1"/>
    <col min="9216" max="9216" width="14.09765625" style="64" bestFit="1" customWidth="1"/>
    <col min="9217" max="9217" width="19.69921875" style="64" customWidth="1"/>
    <col min="9218" max="9218" width="18.09765625" style="64" customWidth="1"/>
    <col min="9219" max="9220" width="19.296875" style="64" customWidth="1"/>
    <col min="9221" max="9221" width="18.09765625" style="64" customWidth="1"/>
    <col min="9222" max="9222" width="13.59765625" style="64" customWidth="1"/>
    <col min="9223" max="9223" width="17.09765625" style="64" customWidth="1"/>
    <col min="9224" max="9224" width="14.59765625" style="64" customWidth="1"/>
    <col min="9225" max="9225" width="9.5" style="64" customWidth="1"/>
    <col min="9226" max="9470" width="9" style="64"/>
    <col min="9471" max="9471" width="18.796875" style="64" customWidth="1"/>
    <col min="9472" max="9472" width="14.09765625" style="64" bestFit="1" customWidth="1"/>
    <col min="9473" max="9473" width="19.69921875" style="64" customWidth="1"/>
    <col min="9474" max="9474" width="18.09765625" style="64" customWidth="1"/>
    <col min="9475" max="9476" width="19.296875" style="64" customWidth="1"/>
    <col min="9477" max="9477" width="18.09765625" style="64" customWidth="1"/>
    <col min="9478" max="9478" width="13.59765625" style="64" customWidth="1"/>
    <col min="9479" max="9479" width="17.09765625" style="64" customWidth="1"/>
    <col min="9480" max="9480" width="14.59765625" style="64" customWidth="1"/>
    <col min="9481" max="9481" width="9.5" style="64" customWidth="1"/>
    <col min="9482" max="9726" width="9" style="64"/>
    <col min="9727" max="9727" width="18.796875" style="64" customWidth="1"/>
    <col min="9728" max="9728" width="14.09765625" style="64" bestFit="1" customWidth="1"/>
    <col min="9729" max="9729" width="19.69921875" style="64" customWidth="1"/>
    <col min="9730" max="9730" width="18.09765625" style="64" customWidth="1"/>
    <col min="9731" max="9732" width="19.296875" style="64" customWidth="1"/>
    <col min="9733" max="9733" width="18.09765625" style="64" customWidth="1"/>
    <col min="9734" max="9734" width="13.59765625" style="64" customWidth="1"/>
    <col min="9735" max="9735" width="17.09765625" style="64" customWidth="1"/>
    <col min="9736" max="9736" width="14.59765625" style="64" customWidth="1"/>
    <col min="9737" max="9737" width="9.5" style="64" customWidth="1"/>
    <col min="9738" max="9982" width="9" style="64"/>
    <col min="9983" max="9983" width="18.796875" style="64" customWidth="1"/>
    <col min="9984" max="9984" width="14.09765625" style="64" bestFit="1" customWidth="1"/>
    <col min="9985" max="9985" width="19.69921875" style="64" customWidth="1"/>
    <col min="9986" max="9986" width="18.09765625" style="64" customWidth="1"/>
    <col min="9987" max="9988" width="19.296875" style="64" customWidth="1"/>
    <col min="9989" max="9989" width="18.09765625" style="64" customWidth="1"/>
    <col min="9990" max="9990" width="13.59765625" style="64" customWidth="1"/>
    <col min="9991" max="9991" width="17.09765625" style="64" customWidth="1"/>
    <col min="9992" max="9992" width="14.59765625" style="64" customWidth="1"/>
    <col min="9993" max="9993" width="9.5" style="64" customWidth="1"/>
    <col min="9994" max="10238" width="9" style="64"/>
    <col min="10239" max="10239" width="18.796875" style="64" customWidth="1"/>
    <col min="10240" max="10240" width="14.09765625" style="64" bestFit="1" customWidth="1"/>
    <col min="10241" max="10241" width="19.69921875" style="64" customWidth="1"/>
    <col min="10242" max="10242" width="18.09765625" style="64" customWidth="1"/>
    <col min="10243" max="10244" width="19.296875" style="64" customWidth="1"/>
    <col min="10245" max="10245" width="18.09765625" style="64" customWidth="1"/>
    <col min="10246" max="10246" width="13.59765625" style="64" customWidth="1"/>
    <col min="10247" max="10247" width="17.09765625" style="64" customWidth="1"/>
    <col min="10248" max="10248" width="14.59765625" style="64" customWidth="1"/>
    <col min="10249" max="10249" width="9.5" style="64" customWidth="1"/>
    <col min="10250" max="10494" width="9" style="64"/>
    <col min="10495" max="10495" width="18.796875" style="64" customWidth="1"/>
    <col min="10496" max="10496" width="14.09765625" style="64" bestFit="1" customWidth="1"/>
    <col min="10497" max="10497" width="19.69921875" style="64" customWidth="1"/>
    <col min="10498" max="10498" width="18.09765625" style="64" customWidth="1"/>
    <col min="10499" max="10500" width="19.296875" style="64" customWidth="1"/>
    <col min="10501" max="10501" width="18.09765625" style="64" customWidth="1"/>
    <col min="10502" max="10502" width="13.59765625" style="64" customWidth="1"/>
    <col min="10503" max="10503" width="17.09765625" style="64" customWidth="1"/>
    <col min="10504" max="10504" width="14.59765625" style="64" customWidth="1"/>
    <col min="10505" max="10505" width="9.5" style="64" customWidth="1"/>
    <col min="10506" max="10750" width="9" style="64"/>
    <col min="10751" max="10751" width="18.796875" style="64" customWidth="1"/>
    <col min="10752" max="10752" width="14.09765625" style="64" bestFit="1" customWidth="1"/>
    <col min="10753" max="10753" width="19.69921875" style="64" customWidth="1"/>
    <col min="10754" max="10754" width="18.09765625" style="64" customWidth="1"/>
    <col min="10755" max="10756" width="19.296875" style="64" customWidth="1"/>
    <col min="10757" max="10757" width="18.09765625" style="64" customWidth="1"/>
    <col min="10758" max="10758" width="13.59765625" style="64" customWidth="1"/>
    <col min="10759" max="10759" width="17.09765625" style="64" customWidth="1"/>
    <col min="10760" max="10760" width="14.59765625" style="64" customWidth="1"/>
    <col min="10761" max="10761" width="9.5" style="64" customWidth="1"/>
    <col min="10762" max="11006" width="9" style="64"/>
    <col min="11007" max="11007" width="18.796875" style="64" customWidth="1"/>
    <col min="11008" max="11008" width="14.09765625" style="64" bestFit="1" customWidth="1"/>
    <col min="11009" max="11009" width="19.69921875" style="64" customWidth="1"/>
    <col min="11010" max="11010" width="18.09765625" style="64" customWidth="1"/>
    <col min="11011" max="11012" width="19.296875" style="64" customWidth="1"/>
    <col min="11013" max="11013" width="18.09765625" style="64" customWidth="1"/>
    <col min="11014" max="11014" width="13.59765625" style="64" customWidth="1"/>
    <col min="11015" max="11015" width="17.09765625" style="64" customWidth="1"/>
    <col min="11016" max="11016" width="14.59765625" style="64" customWidth="1"/>
    <col min="11017" max="11017" width="9.5" style="64" customWidth="1"/>
    <col min="11018" max="11262" width="9" style="64"/>
    <col min="11263" max="11263" width="18.796875" style="64" customWidth="1"/>
    <col min="11264" max="11264" width="14.09765625" style="64" bestFit="1" customWidth="1"/>
    <col min="11265" max="11265" width="19.69921875" style="64" customWidth="1"/>
    <col min="11266" max="11266" width="18.09765625" style="64" customWidth="1"/>
    <col min="11267" max="11268" width="19.296875" style="64" customWidth="1"/>
    <col min="11269" max="11269" width="18.09765625" style="64" customWidth="1"/>
    <col min="11270" max="11270" width="13.59765625" style="64" customWidth="1"/>
    <col min="11271" max="11271" width="17.09765625" style="64" customWidth="1"/>
    <col min="11272" max="11272" width="14.59765625" style="64" customWidth="1"/>
    <col min="11273" max="11273" width="9.5" style="64" customWidth="1"/>
    <col min="11274" max="11518" width="9" style="64"/>
    <col min="11519" max="11519" width="18.796875" style="64" customWidth="1"/>
    <col min="11520" max="11520" width="14.09765625" style="64" bestFit="1" customWidth="1"/>
    <col min="11521" max="11521" width="19.69921875" style="64" customWidth="1"/>
    <col min="11522" max="11522" width="18.09765625" style="64" customWidth="1"/>
    <col min="11523" max="11524" width="19.296875" style="64" customWidth="1"/>
    <col min="11525" max="11525" width="18.09765625" style="64" customWidth="1"/>
    <col min="11526" max="11526" width="13.59765625" style="64" customWidth="1"/>
    <col min="11527" max="11527" width="17.09765625" style="64" customWidth="1"/>
    <col min="11528" max="11528" width="14.59765625" style="64" customWidth="1"/>
    <col min="11529" max="11529" width="9.5" style="64" customWidth="1"/>
    <col min="11530" max="11774" width="9" style="64"/>
    <col min="11775" max="11775" width="18.796875" style="64" customWidth="1"/>
    <col min="11776" max="11776" width="14.09765625" style="64" bestFit="1" customWidth="1"/>
    <col min="11777" max="11777" width="19.69921875" style="64" customWidth="1"/>
    <col min="11778" max="11778" width="18.09765625" style="64" customWidth="1"/>
    <col min="11779" max="11780" width="19.296875" style="64" customWidth="1"/>
    <col min="11781" max="11781" width="18.09765625" style="64" customWidth="1"/>
    <col min="11782" max="11782" width="13.59765625" style="64" customWidth="1"/>
    <col min="11783" max="11783" width="17.09765625" style="64" customWidth="1"/>
    <col min="11784" max="11784" width="14.59765625" style="64" customWidth="1"/>
    <col min="11785" max="11785" width="9.5" style="64" customWidth="1"/>
    <col min="11786" max="12030" width="9" style="64"/>
    <col min="12031" max="12031" width="18.796875" style="64" customWidth="1"/>
    <col min="12032" max="12032" width="14.09765625" style="64" bestFit="1" customWidth="1"/>
    <col min="12033" max="12033" width="19.69921875" style="64" customWidth="1"/>
    <col min="12034" max="12034" width="18.09765625" style="64" customWidth="1"/>
    <col min="12035" max="12036" width="19.296875" style="64" customWidth="1"/>
    <col min="12037" max="12037" width="18.09765625" style="64" customWidth="1"/>
    <col min="12038" max="12038" width="13.59765625" style="64" customWidth="1"/>
    <col min="12039" max="12039" width="17.09765625" style="64" customWidth="1"/>
    <col min="12040" max="12040" width="14.59765625" style="64" customWidth="1"/>
    <col min="12041" max="12041" width="9.5" style="64" customWidth="1"/>
    <col min="12042" max="12286" width="9" style="64"/>
    <col min="12287" max="12287" width="18.796875" style="64" customWidth="1"/>
    <col min="12288" max="12288" width="14.09765625" style="64" bestFit="1" customWidth="1"/>
    <col min="12289" max="12289" width="19.69921875" style="64" customWidth="1"/>
    <col min="12290" max="12290" width="18.09765625" style="64" customWidth="1"/>
    <col min="12291" max="12292" width="19.296875" style="64" customWidth="1"/>
    <col min="12293" max="12293" width="18.09765625" style="64" customWidth="1"/>
    <col min="12294" max="12294" width="13.59765625" style="64" customWidth="1"/>
    <col min="12295" max="12295" width="17.09765625" style="64" customWidth="1"/>
    <col min="12296" max="12296" width="14.59765625" style="64" customWidth="1"/>
    <col min="12297" max="12297" width="9.5" style="64" customWidth="1"/>
    <col min="12298" max="12542" width="9" style="64"/>
    <col min="12543" max="12543" width="18.796875" style="64" customWidth="1"/>
    <col min="12544" max="12544" width="14.09765625" style="64" bestFit="1" customWidth="1"/>
    <col min="12545" max="12545" width="19.69921875" style="64" customWidth="1"/>
    <col min="12546" max="12546" width="18.09765625" style="64" customWidth="1"/>
    <col min="12547" max="12548" width="19.296875" style="64" customWidth="1"/>
    <col min="12549" max="12549" width="18.09765625" style="64" customWidth="1"/>
    <col min="12550" max="12550" width="13.59765625" style="64" customWidth="1"/>
    <col min="12551" max="12551" width="17.09765625" style="64" customWidth="1"/>
    <col min="12552" max="12552" width="14.59765625" style="64" customWidth="1"/>
    <col min="12553" max="12553" width="9.5" style="64" customWidth="1"/>
    <col min="12554" max="12798" width="9" style="64"/>
    <col min="12799" max="12799" width="18.796875" style="64" customWidth="1"/>
    <col min="12800" max="12800" width="14.09765625" style="64" bestFit="1" customWidth="1"/>
    <col min="12801" max="12801" width="19.69921875" style="64" customWidth="1"/>
    <col min="12802" max="12802" width="18.09765625" style="64" customWidth="1"/>
    <col min="12803" max="12804" width="19.296875" style="64" customWidth="1"/>
    <col min="12805" max="12805" width="18.09765625" style="64" customWidth="1"/>
    <col min="12806" max="12806" width="13.59765625" style="64" customWidth="1"/>
    <col min="12807" max="12807" width="17.09765625" style="64" customWidth="1"/>
    <col min="12808" max="12808" width="14.59765625" style="64" customWidth="1"/>
    <col min="12809" max="12809" width="9.5" style="64" customWidth="1"/>
    <col min="12810" max="13054" width="9" style="64"/>
    <col min="13055" max="13055" width="18.796875" style="64" customWidth="1"/>
    <col min="13056" max="13056" width="14.09765625" style="64" bestFit="1" customWidth="1"/>
    <col min="13057" max="13057" width="19.69921875" style="64" customWidth="1"/>
    <col min="13058" max="13058" width="18.09765625" style="64" customWidth="1"/>
    <col min="13059" max="13060" width="19.296875" style="64" customWidth="1"/>
    <col min="13061" max="13061" width="18.09765625" style="64" customWidth="1"/>
    <col min="13062" max="13062" width="13.59765625" style="64" customWidth="1"/>
    <col min="13063" max="13063" width="17.09765625" style="64" customWidth="1"/>
    <col min="13064" max="13064" width="14.59765625" style="64" customWidth="1"/>
    <col min="13065" max="13065" width="9.5" style="64" customWidth="1"/>
    <col min="13066" max="13310" width="9" style="64"/>
    <col min="13311" max="13311" width="18.796875" style="64" customWidth="1"/>
    <col min="13312" max="13312" width="14.09765625" style="64" bestFit="1" customWidth="1"/>
    <col min="13313" max="13313" width="19.69921875" style="64" customWidth="1"/>
    <col min="13314" max="13314" width="18.09765625" style="64" customWidth="1"/>
    <col min="13315" max="13316" width="19.296875" style="64" customWidth="1"/>
    <col min="13317" max="13317" width="18.09765625" style="64" customWidth="1"/>
    <col min="13318" max="13318" width="13.59765625" style="64" customWidth="1"/>
    <col min="13319" max="13319" width="17.09765625" style="64" customWidth="1"/>
    <col min="13320" max="13320" width="14.59765625" style="64" customWidth="1"/>
    <col min="13321" max="13321" width="9.5" style="64" customWidth="1"/>
    <col min="13322" max="13566" width="9" style="64"/>
    <col min="13567" max="13567" width="18.796875" style="64" customWidth="1"/>
    <col min="13568" max="13568" width="14.09765625" style="64" bestFit="1" customWidth="1"/>
    <col min="13569" max="13569" width="19.69921875" style="64" customWidth="1"/>
    <col min="13570" max="13570" width="18.09765625" style="64" customWidth="1"/>
    <col min="13571" max="13572" width="19.296875" style="64" customWidth="1"/>
    <col min="13573" max="13573" width="18.09765625" style="64" customWidth="1"/>
    <col min="13574" max="13574" width="13.59765625" style="64" customWidth="1"/>
    <col min="13575" max="13575" width="17.09765625" style="64" customWidth="1"/>
    <col min="13576" max="13576" width="14.59765625" style="64" customWidth="1"/>
    <col min="13577" max="13577" width="9.5" style="64" customWidth="1"/>
    <col min="13578" max="13822" width="9" style="64"/>
    <col min="13823" max="13823" width="18.796875" style="64" customWidth="1"/>
    <col min="13824" max="13824" width="14.09765625" style="64" bestFit="1" customWidth="1"/>
    <col min="13825" max="13825" width="19.69921875" style="64" customWidth="1"/>
    <col min="13826" max="13826" width="18.09765625" style="64" customWidth="1"/>
    <col min="13827" max="13828" width="19.296875" style="64" customWidth="1"/>
    <col min="13829" max="13829" width="18.09765625" style="64" customWidth="1"/>
    <col min="13830" max="13830" width="13.59765625" style="64" customWidth="1"/>
    <col min="13831" max="13831" width="17.09765625" style="64" customWidth="1"/>
    <col min="13832" max="13832" width="14.59765625" style="64" customWidth="1"/>
    <col min="13833" max="13833" width="9.5" style="64" customWidth="1"/>
    <col min="13834" max="14078" width="9" style="64"/>
    <col min="14079" max="14079" width="18.796875" style="64" customWidth="1"/>
    <col min="14080" max="14080" width="14.09765625" style="64" bestFit="1" customWidth="1"/>
    <col min="14081" max="14081" width="19.69921875" style="64" customWidth="1"/>
    <col min="14082" max="14082" width="18.09765625" style="64" customWidth="1"/>
    <col min="14083" max="14084" width="19.296875" style="64" customWidth="1"/>
    <col min="14085" max="14085" width="18.09765625" style="64" customWidth="1"/>
    <col min="14086" max="14086" width="13.59765625" style="64" customWidth="1"/>
    <col min="14087" max="14087" width="17.09765625" style="64" customWidth="1"/>
    <col min="14088" max="14088" width="14.59765625" style="64" customWidth="1"/>
    <col min="14089" max="14089" width="9.5" style="64" customWidth="1"/>
    <col min="14090" max="14334" width="9" style="64"/>
    <col min="14335" max="14335" width="18.796875" style="64" customWidth="1"/>
    <col min="14336" max="14336" width="14.09765625" style="64" bestFit="1" customWidth="1"/>
    <col min="14337" max="14337" width="19.69921875" style="64" customWidth="1"/>
    <col min="14338" max="14338" width="18.09765625" style="64" customWidth="1"/>
    <col min="14339" max="14340" width="19.296875" style="64" customWidth="1"/>
    <col min="14341" max="14341" width="18.09765625" style="64" customWidth="1"/>
    <col min="14342" max="14342" width="13.59765625" style="64" customWidth="1"/>
    <col min="14343" max="14343" width="17.09765625" style="64" customWidth="1"/>
    <col min="14344" max="14344" width="14.59765625" style="64" customWidth="1"/>
    <col min="14345" max="14345" width="9.5" style="64" customWidth="1"/>
    <col min="14346" max="14590" width="9" style="64"/>
    <col min="14591" max="14591" width="18.796875" style="64" customWidth="1"/>
    <col min="14592" max="14592" width="14.09765625" style="64" bestFit="1" customWidth="1"/>
    <col min="14593" max="14593" width="19.69921875" style="64" customWidth="1"/>
    <col min="14594" max="14594" width="18.09765625" style="64" customWidth="1"/>
    <col min="14595" max="14596" width="19.296875" style="64" customWidth="1"/>
    <col min="14597" max="14597" width="18.09765625" style="64" customWidth="1"/>
    <col min="14598" max="14598" width="13.59765625" style="64" customWidth="1"/>
    <col min="14599" max="14599" width="17.09765625" style="64" customWidth="1"/>
    <col min="14600" max="14600" width="14.59765625" style="64" customWidth="1"/>
    <col min="14601" max="14601" width="9.5" style="64" customWidth="1"/>
    <col min="14602" max="14846" width="9" style="64"/>
    <col min="14847" max="14847" width="18.796875" style="64" customWidth="1"/>
    <col min="14848" max="14848" width="14.09765625" style="64" bestFit="1" customWidth="1"/>
    <col min="14849" max="14849" width="19.69921875" style="64" customWidth="1"/>
    <col min="14850" max="14850" width="18.09765625" style="64" customWidth="1"/>
    <col min="14851" max="14852" width="19.296875" style="64" customWidth="1"/>
    <col min="14853" max="14853" width="18.09765625" style="64" customWidth="1"/>
    <col min="14854" max="14854" width="13.59765625" style="64" customWidth="1"/>
    <col min="14855" max="14855" width="17.09765625" style="64" customWidth="1"/>
    <col min="14856" max="14856" width="14.59765625" style="64" customWidth="1"/>
    <col min="14857" max="14857" width="9.5" style="64" customWidth="1"/>
    <col min="14858" max="15102" width="9" style="64"/>
    <col min="15103" max="15103" width="18.796875" style="64" customWidth="1"/>
    <col min="15104" max="15104" width="14.09765625" style="64" bestFit="1" customWidth="1"/>
    <col min="15105" max="15105" width="19.69921875" style="64" customWidth="1"/>
    <col min="15106" max="15106" width="18.09765625" style="64" customWidth="1"/>
    <col min="15107" max="15108" width="19.296875" style="64" customWidth="1"/>
    <col min="15109" max="15109" width="18.09765625" style="64" customWidth="1"/>
    <col min="15110" max="15110" width="13.59765625" style="64" customWidth="1"/>
    <col min="15111" max="15111" width="17.09765625" style="64" customWidth="1"/>
    <col min="15112" max="15112" width="14.59765625" style="64" customWidth="1"/>
    <col min="15113" max="15113" width="9.5" style="64" customWidth="1"/>
    <col min="15114" max="15358" width="9" style="64"/>
    <col min="15359" max="15359" width="18.796875" style="64" customWidth="1"/>
    <col min="15360" max="15360" width="14.09765625" style="64" bestFit="1" customWidth="1"/>
    <col min="15361" max="15361" width="19.69921875" style="64" customWidth="1"/>
    <col min="15362" max="15362" width="18.09765625" style="64" customWidth="1"/>
    <col min="15363" max="15364" width="19.296875" style="64" customWidth="1"/>
    <col min="15365" max="15365" width="18.09765625" style="64" customWidth="1"/>
    <col min="15366" max="15366" width="13.59765625" style="64" customWidth="1"/>
    <col min="15367" max="15367" width="17.09765625" style="64" customWidth="1"/>
    <col min="15368" max="15368" width="14.59765625" style="64" customWidth="1"/>
    <col min="15369" max="15369" width="9.5" style="64" customWidth="1"/>
    <col min="15370" max="15614" width="9" style="64"/>
    <col min="15615" max="15615" width="18.796875" style="64" customWidth="1"/>
    <col min="15616" max="15616" width="14.09765625" style="64" bestFit="1" customWidth="1"/>
    <col min="15617" max="15617" width="19.69921875" style="64" customWidth="1"/>
    <col min="15618" max="15618" width="18.09765625" style="64" customWidth="1"/>
    <col min="15619" max="15620" width="19.296875" style="64" customWidth="1"/>
    <col min="15621" max="15621" width="18.09765625" style="64" customWidth="1"/>
    <col min="15622" max="15622" width="13.59765625" style="64" customWidth="1"/>
    <col min="15623" max="15623" width="17.09765625" style="64" customWidth="1"/>
    <col min="15624" max="15624" width="14.59765625" style="64" customWidth="1"/>
    <col min="15625" max="15625" width="9.5" style="64" customWidth="1"/>
    <col min="15626" max="15870" width="9" style="64"/>
    <col min="15871" max="15871" width="18.796875" style="64" customWidth="1"/>
    <col min="15872" max="15872" width="14.09765625" style="64" bestFit="1" customWidth="1"/>
    <col min="15873" max="15873" width="19.69921875" style="64" customWidth="1"/>
    <col min="15874" max="15874" width="18.09765625" style="64" customWidth="1"/>
    <col min="15875" max="15876" width="19.296875" style="64" customWidth="1"/>
    <col min="15877" max="15877" width="18.09765625" style="64" customWidth="1"/>
    <col min="15878" max="15878" width="13.59765625" style="64" customWidth="1"/>
    <col min="15879" max="15879" width="17.09765625" style="64" customWidth="1"/>
    <col min="15880" max="15880" width="14.59765625" style="64" customWidth="1"/>
    <col min="15881" max="15881" width="9.5" style="64" customWidth="1"/>
    <col min="15882" max="16126" width="9" style="64"/>
    <col min="16127" max="16127" width="18.796875" style="64" customWidth="1"/>
    <col min="16128" max="16128" width="14.09765625" style="64" bestFit="1" customWidth="1"/>
    <col min="16129" max="16129" width="19.69921875" style="64" customWidth="1"/>
    <col min="16130" max="16130" width="18.09765625" style="64" customWidth="1"/>
    <col min="16131" max="16132" width="19.296875" style="64" customWidth="1"/>
    <col min="16133" max="16133" width="18.09765625" style="64" customWidth="1"/>
    <col min="16134" max="16134" width="13.59765625" style="64" customWidth="1"/>
    <col min="16135" max="16135" width="17.09765625" style="64" customWidth="1"/>
    <col min="16136" max="16136" width="14.59765625" style="64" customWidth="1"/>
    <col min="16137" max="16137" width="9.5" style="64" customWidth="1"/>
    <col min="16138" max="16384" width="9" style="64"/>
  </cols>
  <sheetData>
    <row r="1" spans="1:9" s="55" customFormat="1" ht="20.100000000000001" customHeight="1">
      <c r="A1" s="132" t="s">
        <v>80</v>
      </c>
      <c r="B1" s="132"/>
      <c r="C1" s="132"/>
      <c r="D1" s="132"/>
      <c r="E1" s="132"/>
      <c r="F1" s="132"/>
      <c r="G1" s="132"/>
      <c r="H1" s="132"/>
      <c r="I1" s="132"/>
    </row>
    <row r="2" spans="1:9" s="55" customFormat="1" ht="25.05" customHeight="1">
      <c r="A2" s="133" t="s">
        <v>125</v>
      </c>
      <c r="B2" s="133"/>
      <c r="C2" s="133"/>
      <c r="D2" s="133"/>
      <c r="E2" s="133"/>
      <c r="F2" s="133"/>
      <c r="G2" s="133"/>
      <c r="H2" s="133"/>
      <c r="I2" s="133"/>
    </row>
    <row r="3" spans="1:9" s="61" customFormat="1" ht="20.100000000000001" customHeight="1">
      <c r="A3" s="53" t="e">
        <f>#REF!</f>
        <v>#REF!</v>
      </c>
      <c r="B3" s="56"/>
      <c r="C3" s="57" t="e">
        <f>#REF!</f>
        <v>#REF!</v>
      </c>
      <c r="D3" s="57"/>
      <c r="F3" s="58" t="e">
        <f>#REF!</f>
        <v>#REF!</v>
      </c>
      <c r="H3" s="58" t="s">
        <v>123</v>
      </c>
    </row>
    <row r="4" spans="1:9" s="61" customFormat="1" ht="20.100000000000001" customHeight="1">
      <c r="A4" s="53" t="e">
        <f>#REF!</f>
        <v>#REF!</v>
      </c>
      <c r="B4" s="56"/>
      <c r="C4" s="57" t="e">
        <f>#REF!</f>
        <v>#REF!</v>
      </c>
      <c r="D4" s="57"/>
      <c r="F4" s="58" t="e">
        <f>#REF!</f>
        <v>#REF!</v>
      </c>
      <c r="H4" s="58" t="s">
        <v>82</v>
      </c>
    </row>
    <row r="5" spans="1:9" s="61" customFormat="1" ht="20.100000000000001" customHeight="1">
      <c r="A5" s="8" t="s">
        <v>23</v>
      </c>
      <c r="B5" s="56"/>
      <c r="C5" s="57"/>
      <c r="D5" s="57"/>
      <c r="E5" s="58"/>
      <c r="F5" s="59"/>
      <c r="H5" s="59"/>
      <c r="I5" s="60"/>
    </row>
    <row r="6" spans="1:9" s="61" customFormat="1" ht="20.100000000000001" customHeight="1">
      <c r="A6" s="89" t="s">
        <v>122</v>
      </c>
      <c r="B6" s="56"/>
      <c r="C6" s="57"/>
      <c r="D6" s="57"/>
      <c r="E6" s="58"/>
      <c r="F6" s="59"/>
      <c r="H6" s="59"/>
      <c r="I6" s="60"/>
    </row>
    <row r="7" spans="1:9" s="61" customFormat="1" ht="20.100000000000001" customHeight="1">
      <c r="A7" s="75" t="s">
        <v>79</v>
      </c>
      <c r="B7" s="56"/>
      <c r="C7" s="57"/>
      <c r="D7" s="57"/>
      <c r="E7" s="58"/>
      <c r="F7" s="59"/>
      <c r="H7" s="59"/>
      <c r="I7" s="60"/>
    </row>
    <row r="8" spans="1:9" s="61" customFormat="1" ht="20.100000000000001" customHeight="1">
      <c r="A8" s="90" t="s">
        <v>109</v>
      </c>
      <c r="B8" s="56"/>
      <c r="C8" s="57"/>
      <c r="D8" s="57"/>
      <c r="E8" s="58"/>
      <c r="F8" s="59"/>
      <c r="H8" s="59"/>
      <c r="I8" s="60"/>
    </row>
    <row r="9" spans="1:9" s="61" customFormat="1" ht="20.100000000000001" customHeight="1">
      <c r="A9" s="90" t="s">
        <v>110</v>
      </c>
      <c r="B9" s="56"/>
      <c r="C9" s="57"/>
      <c r="D9" s="57"/>
      <c r="E9" s="58"/>
      <c r="F9" s="59"/>
      <c r="H9" s="59"/>
      <c r="I9" s="60"/>
    </row>
    <row r="10" spans="1:9" s="61" customFormat="1" ht="20.100000000000001" customHeight="1">
      <c r="A10" s="90" t="s">
        <v>112</v>
      </c>
      <c r="B10" s="56"/>
      <c r="C10" s="57"/>
      <c r="D10" s="57"/>
      <c r="E10" s="58"/>
      <c r="F10" s="59"/>
      <c r="H10" s="59"/>
      <c r="I10" s="60"/>
    </row>
    <row r="11" spans="1:9" s="61" customFormat="1" ht="20.100000000000001" customHeight="1">
      <c r="A11" s="90" t="s">
        <v>111</v>
      </c>
      <c r="B11" s="56"/>
      <c r="C11" s="57"/>
      <c r="D11" s="57"/>
      <c r="E11" s="58"/>
      <c r="F11" s="59"/>
      <c r="H11" s="59"/>
      <c r="I11" s="60"/>
    </row>
    <row r="12" spans="1:9" s="61" customFormat="1" ht="20.100000000000001" customHeight="1">
      <c r="A12" s="77" t="s">
        <v>114</v>
      </c>
      <c r="B12" s="56"/>
      <c r="C12" s="57"/>
      <c r="D12" s="57"/>
      <c r="E12" s="58"/>
      <c r="F12" s="59"/>
      <c r="H12" s="59"/>
      <c r="I12" s="60"/>
    </row>
    <row r="13" spans="1:9" s="62" customFormat="1" ht="20.100000000000001" customHeight="1">
      <c r="A13" s="134" t="s">
        <v>25</v>
      </c>
      <c r="B13" s="135" t="s">
        <v>106</v>
      </c>
      <c r="C13" s="135" t="s">
        <v>107</v>
      </c>
      <c r="D13" s="135"/>
      <c r="E13" s="135"/>
      <c r="F13" s="135"/>
      <c r="G13" s="136" t="s">
        <v>103</v>
      </c>
      <c r="H13" s="137"/>
      <c r="I13" s="138"/>
    </row>
    <row r="14" spans="1:9" s="91" customFormat="1" ht="20.100000000000001" customHeight="1">
      <c r="A14" s="134"/>
      <c r="B14" s="135"/>
      <c r="C14" s="87" t="s">
        <v>99</v>
      </c>
      <c r="D14" s="87" t="s">
        <v>100</v>
      </c>
      <c r="E14" s="88" t="s">
        <v>101</v>
      </c>
      <c r="F14" s="88" t="s">
        <v>108</v>
      </c>
      <c r="G14" s="88" t="s">
        <v>102</v>
      </c>
      <c r="H14" s="88" t="s">
        <v>104</v>
      </c>
      <c r="I14" s="87" t="s">
        <v>105</v>
      </c>
    </row>
    <row r="15" spans="1:9" ht="20.100000000000001" customHeight="1">
      <c r="A15" s="69" t="s">
        <v>83</v>
      </c>
      <c r="B15" s="68"/>
      <c r="C15" s="76"/>
      <c r="D15" s="76"/>
      <c r="E15" s="76"/>
      <c r="F15" s="76"/>
      <c r="G15" s="71"/>
      <c r="H15" s="71"/>
      <c r="I15" s="72"/>
    </row>
    <row r="16" spans="1:9" ht="20.100000000000001" customHeight="1">
      <c r="A16" s="69" t="s">
        <v>84</v>
      </c>
      <c r="B16" s="68"/>
      <c r="C16" s="70"/>
      <c r="D16" s="70"/>
      <c r="E16" s="70"/>
      <c r="F16" s="70"/>
      <c r="G16" s="71"/>
      <c r="H16" s="71"/>
      <c r="I16" s="72"/>
    </row>
    <row r="17" spans="1:9" ht="20.100000000000001" customHeight="1">
      <c r="A17" s="69" t="s">
        <v>89</v>
      </c>
      <c r="B17" s="73"/>
      <c r="C17" s="70"/>
      <c r="D17" s="70"/>
      <c r="E17" s="70"/>
      <c r="F17" s="70"/>
      <c r="G17" s="71"/>
      <c r="H17" s="71"/>
      <c r="I17" s="72"/>
    </row>
    <row r="18" spans="1:9" ht="20.100000000000001" customHeight="1">
      <c r="A18" s="69" t="s">
        <v>90</v>
      </c>
      <c r="B18" s="68"/>
      <c r="C18" s="70"/>
      <c r="D18" s="70"/>
      <c r="E18" s="70"/>
      <c r="F18" s="70"/>
      <c r="G18" s="71"/>
      <c r="H18" s="71"/>
      <c r="I18" s="72"/>
    </row>
    <row r="19" spans="1:9" ht="20.100000000000001" customHeight="1">
      <c r="A19" s="69" t="s">
        <v>91</v>
      </c>
      <c r="B19" s="68"/>
      <c r="C19" s="70"/>
      <c r="D19" s="70"/>
      <c r="E19" s="70"/>
      <c r="F19" s="70"/>
      <c r="G19" s="71"/>
      <c r="H19" s="71"/>
      <c r="I19" s="72"/>
    </row>
    <row r="20" spans="1:9" ht="20.100000000000001" customHeight="1">
      <c r="A20" s="69" t="s">
        <v>92</v>
      </c>
      <c r="B20" s="68"/>
      <c r="C20" s="70"/>
      <c r="D20" s="70"/>
      <c r="E20" s="70"/>
      <c r="F20" s="70"/>
      <c r="G20" s="71"/>
      <c r="H20" s="71"/>
      <c r="I20" s="72"/>
    </row>
    <row r="21" spans="1:9" ht="20.100000000000001" customHeight="1">
      <c r="A21" s="69" t="s">
        <v>93</v>
      </c>
      <c r="B21" s="68"/>
      <c r="C21" s="70"/>
      <c r="D21" s="70"/>
      <c r="E21" s="70"/>
      <c r="F21" s="70"/>
      <c r="G21" s="71"/>
      <c r="H21" s="71"/>
      <c r="I21" s="72"/>
    </row>
    <row r="22" spans="1:9" ht="20.100000000000001" customHeight="1">
      <c r="A22" s="69" t="s">
        <v>94</v>
      </c>
      <c r="B22" s="68"/>
      <c r="C22" s="70"/>
      <c r="D22" s="70"/>
      <c r="E22" s="70"/>
      <c r="F22" s="70"/>
      <c r="G22" s="71"/>
      <c r="H22" s="71"/>
      <c r="I22" s="72"/>
    </row>
    <row r="23" spans="1:9" ht="20.100000000000001" customHeight="1">
      <c r="A23" s="69" t="s">
        <v>95</v>
      </c>
      <c r="B23" s="68"/>
      <c r="C23" s="70"/>
      <c r="D23" s="70"/>
      <c r="E23" s="70"/>
      <c r="F23" s="70"/>
      <c r="G23" s="71"/>
      <c r="H23" s="71"/>
      <c r="I23" s="72"/>
    </row>
    <row r="24" spans="1:9" ht="20.100000000000001" customHeight="1">
      <c r="A24" s="69" t="s">
        <v>96</v>
      </c>
      <c r="B24" s="68"/>
      <c r="C24" s="70"/>
      <c r="D24" s="70"/>
      <c r="E24" s="70"/>
      <c r="F24" s="70"/>
      <c r="G24" s="71"/>
      <c r="H24" s="71"/>
      <c r="I24" s="72"/>
    </row>
    <row r="25" spans="1:9" ht="20.100000000000001" customHeight="1">
      <c r="A25" s="69" t="s">
        <v>97</v>
      </c>
      <c r="B25" s="68"/>
      <c r="C25" s="70"/>
      <c r="D25" s="70"/>
      <c r="E25" s="70"/>
      <c r="F25" s="70"/>
      <c r="G25" s="71"/>
      <c r="H25" s="71"/>
      <c r="I25" s="72"/>
    </row>
    <row r="26" spans="1:9" ht="20.100000000000001" customHeight="1">
      <c r="A26" s="69" t="s">
        <v>98</v>
      </c>
      <c r="B26" s="68"/>
      <c r="C26" s="70"/>
      <c r="D26" s="70"/>
      <c r="E26" s="70"/>
      <c r="F26" s="70"/>
      <c r="G26" s="71"/>
      <c r="H26" s="71"/>
      <c r="I26" s="72"/>
    </row>
    <row r="27" spans="1:9" s="61" customFormat="1" ht="20.100000000000001" customHeight="1">
      <c r="A27" s="77" t="s">
        <v>113</v>
      </c>
      <c r="B27" s="56"/>
      <c r="C27" s="57"/>
      <c r="D27" s="57"/>
      <c r="E27" s="58"/>
      <c r="F27" s="59"/>
      <c r="H27" s="59"/>
      <c r="I27" s="60"/>
    </row>
    <row r="28" spans="1:9" s="62" customFormat="1" ht="20.100000000000001" customHeight="1">
      <c r="A28" s="134" t="s">
        <v>25</v>
      </c>
      <c r="B28" s="135" t="s">
        <v>106</v>
      </c>
      <c r="C28" s="135" t="s">
        <v>107</v>
      </c>
      <c r="D28" s="135"/>
      <c r="E28" s="135"/>
      <c r="F28" s="135"/>
      <c r="G28" s="136" t="s">
        <v>103</v>
      </c>
      <c r="H28" s="137"/>
      <c r="I28" s="138"/>
    </row>
    <row r="29" spans="1:9" s="62" customFormat="1" ht="20.100000000000001" customHeight="1">
      <c r="A29" s="134"/>
      <c r="B29" s="135"/>
      <c r="C29" s="87" t="s">
        <v>99</v>
      </c>
      <c r="D29" s="87" t="s">
        <v>100</v>
      </c>
      <c r="E29" s="88" t="s">
        <v>101</v>
      </c>
      <c r="F29" s="88" t="s">
        <v>108</v>
      </c>
      <c r="G29" s="88" t="s">
        <v>102</v>
      </c>
      <c r="H29" s="88" t="s">
        <v>104</v>
      </c>
      <c r="I29" s="87" t="s">
        <v>105</v>
      </c>
    </row>
    <row r="30" spans="1:9" ht="20.100000000000001" customHeight="1">
      <c r="A30" s="69" t="s">
        <v>83</v>
      </c>
      <c r="B30" s="68"/>
      <c r="C30" s="76"/>
      <c r="D30" s="76"/>
      <c r="E30" s="76"/>
      <c r="F30" s="76"/>
      <c r="G30" s="71"/>
      <c r="H30" s="71"/>
      <c r="I30" s="72"/>
    </row>
    <row r="31" spans="1:9" ht="20.100000000000001" customHeight="1">
      <c r="A31" s="69" t="s">
        <v>84</v>
      </c>
      <c r="B31" s="68"/>
      <c r="C31" s="70"/>
      <c r="D31" s="70"/>
      <c r="E31" s="70"/>
      <c r="F31" s="70"/>
      <c r="G31" s="71"/>
      <c r="H31" s="71"/>
      <c r="I31" s="72"/>
    </row>
    <row r="32" spans="1:9" ht="20.100000000000001" customHeight="1">
      <c r="A32" s="69" t="s">
        <v>89</v>
      </c>
      <c r="B32" s="73"/>
      <c r="C32" s="70"/>
      <c r="D32" s="70"/>
      <c r="E32" s="70"/>
      <c r="F32" s="70"/>
      <c r="G32" s="71"/>
      <c r="H32" s="71"/>
      <c r="I32" s="72"/>
    </row>
    <row r="33" spans="1:9" ht="20.100000000000001" customHeight="1">
      <c r="A33" s="69" t="s">
        <v>90</v>
      </c>
      <c r="B33" s="68"/>
      <c r="C33" s="70"/>
      <c r="D33" s="70"/>
      <c r="E33" s="70"/>
      <c r="F33" s="70"/>
      <c r="G33" s="71"/>
      <c r="H33" s="71"/>
      <c r="I33" s="72"/>
    </row>
    <row r="34" spans="1:9" ht="20.100000000000001" customHeight="1">
      <c r="A34" s="69" t="s">
        <v>91</v>
      </c>
      <c r="B34" s="68"/>
      <c r="C34" s="70"/>
      <c r="D34" s="70"/>
      <c r="E34" s="70"/>
      <c r="F34" s="70"/>
      <c r="G34" s="71"/>
      <c r="H34" s="71"/>
      <c r="I34" s="72"/>
    </row>
    <row r="35" spans="1:9" ht="20.100000000000001" customHeight="1">
      <c r="A35" s="69" t="s">
        <v>92</v>
      </c>
      <c r="B35" s="68"/>
      <c r="C35" s="70"/>
      <c r="D35" s="70"/>
      <c r="E35" s="70"/>
      <c r="F35" s="70"/>
      <c r="G35" s="71"/>
      <c r="H35" s="71"/>
      <c r="I35" s="72"/>
    </row>
    <row r="36" spans="1:9" ht="20.100000000000001" customHeight="1">
      <c r="A36" s="69" t="s">
        <v>93</v>
      </c>
      <c r="B36" s="68"/>
      <c r="C36" s="70"/>
      <c r="D36" s="70"/>
      <c r="E36" s="70"/>
      <c r="F36" s="70"/>
      <c r="G36" s="71"/>
      <c r="H36" s="71"/>
      <c r="I36" s="72"/>
    </row>
    <row r="37" spans="1:9" ht="20.100000000000001" customHeight="1">
      <c r="A37" s="69" t="s">
        <v>94</v>
      </c>
      <c r="B37" s="68"/>
      <c r="C37" s="70"/>
      <c r="D37" s="70"/>
      <c r="E37" s="70"/>
      <c r="F37" s="70"/>
      <c r="G37" s="71"/>
      <c r="H37" s="71"/>
      <c r="I37" s="72"/>
    </row>
    <row r="38" spans="1:9" ht="20.100000000000001" customHeight="1">
      <c r="A38" s="69" t="s">
        <v>95</v>
      </c>
      <c r="B38" s="68"/>
      <c r="C38" s="70"/>
      <c r="D38" s="70"/>
      <c r="E38" s="70"/>
      <c r="F38" s="70"/>
      <c r="G38" s="71"/>
      <c r="H38" s="71"/>
      <c r="I38" s="72"/>
    </row>
    <row r="39" spans="1:9" ht="20.100000000000001" customHeight="1">
      <c r="A39" s="69" t="s">
        <v>96</v>
      </c>
      <c r="B39" s="68"/>
      <c r="C39" s="70"/>
      <c r="D39" s="70"/>
      <c r="E39" s="70"/>
      <c r="F39" s="70"/>
      <c r="G39" s="71"/>
      <c r="H39" s="71"/>
      <c r="I39" s="72"/>
    </row>
    <row r="40" spans="1:9" ht="20.100000000000001" customHeight="1">
      <c r="A40" s="69" t="s">
        <v>97</v>
      </c>
      <c r="B40" s="68"/>
      <c r="C40" s="70"/>
      <c r="D40" s="70"/>
      <c r="E40" s="70"/>
      <c r="F40" s="70"/>
      <c r="G40" s="71"/>
      <c r="H40" s="71"/>
      <c r="I40" s="72"/>
    </row>
    <row r="41" spans="1:9" ht="20.100000000000001" customHeight="1">
      <c r="A41" s="69" t="s">
        <v>98</v>
      </c>
      <c r="B41" s="68"/>
      <c r="C41" s="70"/>
      <c r="D41" s="70"/>
      <c r="E41" s="70"/>
      <c r="F41" s="70"/>
      <c r="G41" s="71"/>
      <c r="H41" s="71"/>
      <c r="I41" s="72"/>
    </row>
    <row r="42" spans="1:9" ht="20.100000000000001" customHeight="1">
      <c r="A42" s="78" t="s">
        <v>3</v>
      </c>
    </row>
    <row r="43" spans="1:9" ht="20.100000000000001" customHeight="1"/>
    <row r="44" spans="1:9" ht="20.100000000000001" customHeight="1"/>
    <row r="45" spans="1:9" ht="20.100000000000001" customHeight="1">
      <c r="A45" s="78" t="s">
        <v>20</v>
      </c>
    </row>
    <row r="46" spans="1:9" ht="20.100000000000001" customHeight="1"/>
    <row r="47" spans="1:9">
      <c r="A47" s="78" t="s">
        <v>127</v>
      </c>
    </row>
    <row r="48" spans="1:9">
      <c r="A48" s="101" t="s">
        <v>128</v>
      </c>
    </row>
  </sheetData>
  <mergeCells count="10">
    <mergeCell ref="A1:I1"/>
    <mergeCell ref="A2:I2"/>
    <mergeCell ref="A28:A29"/>
    <mergeCell ref="B28:B29"/>
    <mergeCell ref="C28:F28"/>
    <mergeCell ref="G28:I28"/>
    <mergeCell ref="A13:A14"/>
    <mergeCell ref="B13:B14"/>
    <mergeCell ref="C13:F13"/>
    <mergeCell ref="G13:I13"/>
  </mergeCells>
  <phoneticPr fontId="15" type="noConversion"/>
  <printOptions horizontalCentered="1"/>
  <pageMargins left="0.70866141732283472" right="0.70866141732283472" top="0.74803149606299213" bottom="0.74803149606299213" header="0.31496062992125984" footer="0.31496062992125984"/>
  <pageSetup paperSize="9" fitToHeight="0" orientation="landscape" blackAndWhite="1" r:id="rId1"/>
  <rowBreaks count="1" manualBreakCount="1">
    <brk id="2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FF0000"/>
    <pageSetUpPr fitToPage="1"/>
  </sheetPr>
  <dimension ref="A1:F47"/>
  <sheetViews>
    <sheetView view="pageBreakPreview" zoomScaleSheetLayoutView="100" workbookViewId="0">
      <selection activeCell="H11" sqref="H11"/>
    </sheetView>
  </sheetViews>
  <sheetFormatPr defaultRowHeight="15.6"/>
  <cols>
    <col min="1" max="1" width="17.69921875" style="74" customWidth="1"/>
    <col min="2" max="3" width="20.59765625" style="74" customWidth="1"/>
    <col min="4" max="4" width="11.796875" style="74" customWidth="1"/>
    <col min="5" max="253" width="9" style="74"/>
    <col min="254" max="254" width="17.69921875" style="74" customWidth="1"/>
    <col min="255" max="255" width="18.59765625" style="74" customWidth="1"/>
    <col min="256" max="256" width="20.59765625" style="74" customWidth="1"/>
    <col min="257" max="257" width="17" style="74" customWidth="1"/>
    <col min="258" max="259" width="20.59765625" style="74" customWidth="1"/>
    <col min="260" max="260" width="11.796875" style="74" customWidth="1"/>
    <col min="261" max="509" width="9" style="74"/>
    <col min="510" max="510" width="17.69921875" style="74" customWidth="1"/>
    <col min="511" max="511" width="18.59765625" style="74" customWidth="1"/>
    <col min="512" max="512" width="20.59765625" style="74" customWidth="1"/>
    <col min="513" max="513" width="17" style="74" customWidth="1"/>
    <col min="514" max="515" width="20.59765625" style="74" customWidth="1"/>
    <col min="516" max="516" width="11.796875" style="74" customWidth="1"/>
    <col min="517" max="765" width="9" style="74"/>
    <col min="766" max="766" width="17.69921875" style="74" customWidth="1"/>
    <col min="767" max="767" width="18.59765625" style="74" customWidth="1"/>
    <col min="768" max="768" width="20.59765625" style="74" customWidth="1"/>
    <col min="769" max="769" width="17" style="74" customWidth="1"/>
    <col min="770" max="771" width="20.59765625" style="74" customWidth="1"/>
    <col min="772" max="772" width="11.796875" style="74" customWidth="1"/>
    <col min="773" max="1021" width="9" style="74"/>
    <col min="1022" max="1022" width="17.69921875" style="74" customWidth="1"/>
    <col min="1023" max="1023" width="18.59765625" style="74" customWidth="1"/>
    <col min="1024" max="1024" width="20.59765625" style="74" customWidth="1"/>
    <col min="1025" max="1025" width="17" style="74" customWidth="1"/>
    <col min="1026" max="1027" width="20.59765625" style="74" customWidth="1"/>
    <col min="1028" max="1028" width="11.796875" style="74" customWidth="1"/>
    <col min="1029" max="1277" width="9" style="74"/>
    <col min="1278" max="1278" width="17.69921875" style="74" customWidth="1"/>
    <col min="1279" max="1279" width="18.59765625" style="74" customWidth="1"/>
    <col min="1280" max="1280" width="20.59765625" style="74" customWidth="1"/>
    <col min="1281" max="1281" width="17" style="74" customWidth="1"/>
    <col min="1282" max="1283" width="20.59765625" style="74" customWidth="1"/>
    <col min="1284" max="1284" width="11.796875" style="74" customWidth="1"/>
    <col min="1285" max="1533" width="9" style="74"/>
    <col min="1534" max="1534" width="17.69921875" style="74" customWidth="1"/>
    <col min="1535" max="1535" width="18.59765625" style="74" customWidth="1"/>
    <col min="1536" max="1536" width="20.59765625" style="74" customWidth="1"/>
    <col min="1537" max="1537" width="17" style="74" customWidth="1"/>
    <col min="1538" max="1539" width="20.59765625" style="74" customWidth="1"/>
    <col min="1540" max="1540" width="11.796875" style="74" customWidth="1"/>
    <col min="1541" max="1789" width="9" style="74"/>
    <col min="1790" max="1790" width="17.69921875" style="74" customWidth="1"/>
    <col min="1791" max="1791" width="18.59765625" style="74" customWidth="1"/>
    <col min="1792" max="1792" width="20.59765625" style="74" customWidth="1"/>
    <col min="1793" max="1793" width="17" style="74" customWidth="1"/>
    <col min="1794" max="1795" width="20.59765625" style="74" customWidth="1"/>
    <col min="1796" max="1796" width="11.796875" style="74" customWidth="1"/>
    <col min="1797" max="2045" width="9" style="74"/>
    <col min="2046" max="2046" width="17.69921875" style="74" customWidth="1"/>
    <col min="2047" max="2047" width="18.59765625" style="74" customWidth="1"/>
    <col min="2048" max="2048" width="20.59765625" style="74" customWidth="1"/>
    <col min="2049" max="2049" width="17" style="74" customWidth="1"/>
    <col min="2050" max="2051" width="20.59765625" style="74" customWidth="1"/>
    <col min="2052" max="2052" width="11.796875" style="74" customWidth="1"/>
    <col min="2053" max="2301" width="9" style="74"/>
    <col min="2302" max="2302" width="17.69921875" style="74" customWidth="1"/>
    <col min="2303" max="2303" width="18.59765625" style="74" customWidth="1"/>
    <col min="2304" max="2304" width="20.59765625" style="74" customWidth="1"/>
    <col min="2305" max="2305" width="17" style="74" customWidth="1"/>
    <col min="2306" max="2307" width="20.59765625" style="74" customWidth="1"/>
    <col min="2308" max="2308" width="11.796875" style="74" customWidth="1"/>
    <col min="2309" max="2557" width="9" style="74"/>
    <col min="2558" max="2558" width="17.69921875" style="74" customWidth="1"/>
    <col min="2559" max="2559" width="18.59765625" style="74" customWidth="1"/>
    <col min="2560" max="2560" width="20.59765625" style="74" customWidth="1"/>
    <col min="2561" max="2561" width="17" style="74" customWidth="1"/>
    <col min="2562" max="2563" width="20.59765625" style="74" customWidth="1"/>
    <col min="2564" max="2564" width="11.796875" style="74" customWidth="1"/>
    <col min="2565" max="2813" width="9" style="74"/>
    <col min="2814" max="2814" width="17.69921875" style="74" customWidth="1"/>
    <col min="2815" max="2815" width="18.59765625" style="74" customWidth="1"/>
    <col min="2816" max="2816" width="20.59765625" style="74" customWidth="1"/>
    <col min="2817" max="2817" width="17" style="74" customWidth="1"/>
    <col min="2818" max="2819" width="20.59765625" style="74" customWidth="1"/>
    <col min="2820" max="2820" width="11.796875" style="74" customWidth="1"/>
    <col min="2821" max="3069" width="9" style="74"/>
    <col min="3070" max="3070" width="17.69921875" style="74" customWidth="1"/>
    <col min="3071" max="3071" width="18.59765625" style="74" customWidth="1"/>
    <col min="3072" max="3072" width="20.59765625" style="74" customWidth="1"/>
    <col min="3073" max="3073" width="17" style="74" customWidth="1"/>
    <col min="3074" max="3075" width="20.59765625" style="74" customWidth="1"/>
    <col min="3076" max="3076" width="11.796875" style="74" customWidth="1"/>
    <col min="3077" max="3325" width="9" style="74"/>
    <col min="3326" max="3326" width="17.69921875" style="74" customWidth="1"/>
    <col min="3327" max="3327" width="18.59765625" style="74" customWidth="1"/>
    <col min="3328" max="3328" width="20.59765625" style="74" customWidth="1"/>
    <col min="3329" max="3329" width="17" style="74" customWidth="1"/>
    <col min="3330" max="3331" width="20.59765625" style="74" customWidth="1"/>
    <col min="3332" max="3332" width="11.796875" style="74" customWidth="1"/>
    <col min="3333" max="3581" width="9" style="74"/>
    <col min="3582" max="3582" width="17.69921875" style="74" customWidth="1"/>
    <col min="3583" max="3583" width="18.59765625" style="74" customWidth="1"/>
    <col min="3584" max="3584" width="20.59765625" style="74" customWidth="1"/>
    <col min="3585" max="3585" width="17" style="74" customWidth="1"/>
    <col min="3586" max="3587" width="20.59765625" style="74" customWidth="1"/>
    <col min="3588" max="3588" width="11.796875" style="74" customWidth="1"/>
    <col min="3589" max="3837" width="9" style="74"/>
    <col min="3838" max="3838" width="17.69921875" style="74" customWidth="1"/>
    <col min="3839" max="3839" width="18.59765625" style="74" customWidth="1"/>
    <col min="3840" max="3840" width="20.59765625" style="74" customWidth="1"/>
    <col min="3841" max="3841" width="17" style="74" customWidth="1"/>
    <col min="3842" max="3843" width="20.59765625" style="74" customWidth="1"/>
    <col min="3844" max="3844" width="11.796875" style="74" customWidth="1"/>
    <col min="3845" max="4093" width="9" style="74"/>
    <col min="4094" max="4094" width="17.69921875" style="74" customWidth="1"/>
    <col min="4095" max="4095" width="18.59765625" style="74" customWidth="1"/>
    <col min="4096" max="4096" width="20.59765625" style="74" customWidth="1"/>
    <col min="4097" max="4097" width="17" style="74" customWidth="1"/>
    <col min="4098" max="4099" width="20.59765625" style="74" customWidth="1"/>
    <col min="4100" max="4100" width="11.796875" style="74" customWidth="1"/>
    <col min="4101" max="4349" width="9" style="74"/>
    <col min="4350" max="4350" width="17.69921875" style="74" customWidth="1"/>
    <col min="4351" max="4351" width="18.59765625" style="74" customWidth="1"/>
    <col min="4352" max="4352" width="20.59765625" style="74" customWidth="1"/>
    <col min="4353" max="4353" width="17" style="74" customWidth="1"/>
    <col min="4354" max="4355" width="20.59765625" style="74" customWidth="1"/>
    <col min="4356" max="4356" width="11.796875" style="74" customWidth="1"/>
    <col min="4357" max="4605" width="9" style="74"/>
    <col min="4606" max="4606" width="17.69921875" style="74" customWidth="1"/>
    <col min="4607" max="4607" width="18.59765625" style="74" customWidth="1"/>
    <col min="4608" max="4608" width="20.59765625" style="74" customWidth="1"/>
    <col min="4609" max="4609" width="17" style="74" customWidth="1"/>
    <col min="4610" max="4611" width="20.59765625" style="74" customWidth="1"/>
    <col min="4612" max="4612" width="11.796875" style="74" customWidth="1"/>
    <col min="4613" max="4861" width="9" style="74"/>
    <col min="4862" max="4862" width="17.69921875" style="74" customWidth="1"/>
    <col min="4863" max="4863" width="18.59765625" style="74" customWidth="1"/>
    <col min="4864" max="4864" width="20.59765625" style="74" customWidth="1"/>
    <col min="4865" max="4865" width="17" style="74" customWidth="1"/>
    <col min="4866" max="4867" width="20.59765625" style="74" customWidth="1"/>
    <col min="4868" max="4868" width="11.796875" style="74" customWidth="1"/>
    <col min="4869" max="5117" width="9" style="74"/>
    <col min="5118" max="5118" width="17.69921875" style="74" customWidth="1"/>
    <col min="5119" max="5119" width="18.59765625" style="74" customWidth="1"/>
    <col min="5120" max="5120" width="20.59765625" style="74" customWidth="1"/>
    <col min="5121" max="5121" width="17" style="74" customWidth="1"/>
    <col min="5122" max="5123" width="20.59765625" style="74" customWidth="1"/>
    <col min="5124" max="5124" width="11.796875" style="74" customWidth="1"/>
    <col min="5125" max="5373" width="9" style="74"/>
    <col min="5374" max="5374" width="17.69921875" style="74" customWidth="1"/>
    <col min="5375" max="5375" width="18.59765625" style="74" customWidth="1"/>
    <col min="5376" max="5376" width="20.59765625" style="74" customWidth="1"/>
    <col min="5377" max="5377" width="17" style="74" customWidth="1"/>
    <col min="5378" max="5379" width="20.59765625" style="74" customWidth="1"/>
    <col min="5380" max="5380" width="11.796875" style="74" customWidth="1"/>
    <col min="5381" max="5629" width="9" style="74"/>
    <col min="5630" max="5630" width="17.69921875" style="74" customWidth="1"/>
    <col min="5631" max="5631" width="18.59765625" style="74" customWidth="1"/>
    <col min="5632" max="5632" width="20.59765625" style="74" customWidth="1"/>
    <col min="5633" max="5633" width="17" style="74" customWidth="1"/>
    <col min="5634" max="5635" width="20.59765625" style="74" customWidth="1"/>
    <col min="5636" max="5636" width="11.796875" style="74" customWidth="1"/>
    <col min="5637" max="5885" width="9" style="74"/>
    <col min="5886" max="5886" width="17.69921875" style="74" customWidth="1"/>
    <col min="5887" max="5887" width="18.59765625" style="74" customWidth="1"/>
    <col min="5888" max="5888" width="20.59765625" style="74" customWidth="1"/>
    <col min="5889" max="5889" width="17" style="74" customWidth="1"/>
    <col min="5890" max="5891" width="20.59765625" style="74" customWidth="1"/>
    <col min="5892" max="5892" width="11.796875" style="74" customWidth="1"/>
    <col min="5893" max="6141" width="9" style="74"/>
    <col min="6142" max="6142" width="17.69921875" style="74" customWidth="1"/>
    <col min="6143" max="6143" width="18.59765625" style="74" customWidth="1"/>
    <col min="6144" max="6144" width="20.59765625" style="74" customWidth="1"/>
    <col min="6145" max="6145" width="17" style="74" customWidth="1"/>
    <col min="6146" max="6147" width="20.59765625" style="74" customWidth="1"/>
    <col min="6148" max="6148" width="11.796875" style="74" customWidth="1"/>
    <col min="6149" max="6397" width="9" style="74"/>
    <col min="6398" max="6398" width="17.69921875" style="74" customWidth="1"/>
    <col min="6399" max="6399" width="18.59765625" style="74" customWidth="1"/>
    <col min="6400" max="6400" width="20.59765625" style="74" customWidth="1"/>
    <col min="6401" max="6401" width="17" style="74" customWidth="1"/>
    <col min="6402" max="6403" width="20.59765625" style="74" customWidth="1"/>
    <col min="6404" max="6404" width="11.796875" style="74" customWidth="1"/>
    <col min="6405" max="6653" width="9" style="74"/>
    <col min="6654" max="6654" width="17.69921875" style="74" customWidth="1"/>
    <col min="6655" max="6655" width="18.59765625" style="74" customWidth="1"/>
    <col min="6656" max="6656" width="20.59765625" style="74" customWidth="1"/>
    <col min="6657" max="6657" width="17" style="74" customWidth="1"/>
    <col min="6658" max="6659" width="20.59765625" style="74" customWidth="1"/>
    <col min="6660" max="6660" width="11.796875" style="74" customWidth="1"/>
    <col min="6661" max="6909" width="9" style="74"/>
    <col min="6910" max="6910" width="17.69921875" style="74" customWidth="1"/>
    <col min="6911" max="6911" width="18.59765625" style="74" customWidth="1"/>
    <col min="6912" max="6912" width="20.59765625" style="74" customWidth="1"/>
    <col min="6913" max="6913" width="17" style="74" customWidth="1"/>
    <col min="6914" max="6915" width="20.59765625" style="74" customWidth="1"/>
    <col min="6916" max="6916" width="11.796875" style="74" customWidth="1"/>
    <col min="6917" max="7165" width="9" style="74"/>
    <col min="7166" max="7166" width="17.69921875" style="74" customWidth="1"/>
    <col min="7167" max="7167" width="18.59765625" style="74" customWidth="1"/>
    <col min="7168" max="7168" width="20.59765625" style="74" customWidth="1"/>
    <col min="7169" max="7169" width="17" style="74" customWidth="1"/>
    <col min="7170" max="7171" width="20.59765625" style="74" customWidth="1"/>
    <col min="7172" max="7172" width="11.796875" style="74" customWidth="1"/>
    <col min="7173" max="7421" width="9" style="74"/>
    <col min="7422" max="7422" width="17.69921875" style="74" customWidth="1"/>
    <col min="7423" max="7423" width="18.59765625" style="74" customWidth="1"/>
    <col min="7424" max="7424" width="20.59765625" style="74" customWidth="1"/>
    <col min="7425" max="7425" width="17" style="74" customWidth="1"/>
    <col min="7426" max="7427" width="20.59765625" style="74" customWidth="1"/>
    <col min="7428" max="7428" width="11.796875" style="74" customWidth="1"/>
    <col min="7429" max="7677" width="9" style="74"/>
    <col min="7678" max="7678" width="17.69921875" style="74" customWidth="1"/>
    <col min="7679" max="7679" width="18.59765625" style="74" customWidth="1"/>
    <col min="7680" max="7680" width="20.59765625" style="74" customWidth="1"/>
    <col min="7681" max="7681" width="17" style="74" customWidth="1"/>
    <col min="7682" max="7683" width="20.59765625" style="74" customWidth="1"/>
    <col min="7684" max="7684" width="11.796875" style="74" customWidth="1"/>
    <col min="7685" max="7933" width="9" style="74"/>
    <col min="7934" max="7934" width="17.69921875" style="74" customWidth="1"/>
    <col min="7935" max="7935" width="18.59765625" style="74" customWidth="1"/>
    <col min="7936" max="7936" width="20.59765625" style="74" customWidth="1"/>
    <col min="7937" max="7937" width="17" style="74" customWidth="1"/>
    <col min="7938" max="7939" width="20.59765625" style="74" customWidth="1"/>
    <col min="7940" max="7940" width="11.796875" style="74" customWidth="1"/>
    <col min="7941" max="8189" width="9" style="74"/>
    <col min="8190" max="8190" width="17.69921875" style="74" customWidth="1"/>
    <col min="8191" max="8191" width="18.59765625" style="74" customWidth="1"/>
    <col min="8192" max="8192" width="20.59765625" style="74" customWidth="1"/>
    <col min="8193" max="8193" width="17" style="74" customWidth="1"/>
    <col min="8194" max="8195" width="20.59765625" style="74" customWidth="1"/>
    <col min="8196" max="8196" width="11.796875" style="74" customWidth="1"/>
    <col min="8197" max="8445" width="9" style="74"/>
    <col min="8446" max="8446" width="17.69921875" style="74" customWidth="1"/>
    <col min="8447" max="8447" width="18.59765625" style="74" customWidth="1"/>
    <col min="8448" max="8448" width="20.59765625" style="74" customWidth="1"/>
    <col min="8449" max="8449" width="17" style="74" customWidth="1"/>
    <col min="8450" max="8451" width="20.59765625" style="74" customWidth="1"/>
    <col min="8452" max="8452" width="11.796875" style="74" customWidth="1"/>
    <col min="8453" max="8701" width="9" style="74"/>
    <col min="8702" max="8702" width="17.69921875" style="74" customWidth="1"/>
    <col min="8703" max="8703" width="18.59765625" style="74" customWidth="1"/>
    <col min="8704" max="8704" width="20.59765625" style="74" customWidth="1"/>
    <col min="8705" max="8705" width="17" style="74" customWidth="1"/>
    <col min="8706" max="8707" width="20.59765625" style="74" customWidth="1"/>
    <col min="8708" max="8708" width="11.796875" style="74" customWidth="1"/>
    <col min="8709" max="8957" width="9" style="74"/>
    <col min="8958" max="8958" width="17.69921875" style="74" customWidth="1"/>
    <col min="8959" max="8959" width="18.59765625" style="74" customWidth="1"/>
    <col min="8960" max="8960" width="20.59765625" style="74" customWidth="1"/>
    <col min="8961" max="8961" width="17" style="74" customWidth="1"/>
    <col min="8962" max="8963" width="20.59765625" style="74" customWidth="1"/>
    <col min="8964" max="8964" width="11.796875" style="74" customWidth="1"/>
    <col min="8965" max="9213" width="9" style="74"/>
    <col min="9214" max="9214" width="17.69921875" style="74" customWidth="1"/>
    <col min="9215" max="9215" width="18.59765625" style="74" customWidth="1"/>
    <col min="9216" max="9216" width="20.59765625" style="74" customWidth="1"/>
    <col min="9217" max="9217" width="17" style="74" customWidth="1"/>
    <col min="9218" max="9219" width="20.59765625" style="74" customWidth="1"/>
    <col min="9220" max="9220" width="11.796875" style="74" customWidth="1"/>
    <col min="9221" max="9469" width="9" style="74"/>
    <col min="9470" max="9470" width="17.69921875" style="74" customWidth="1"/>
    <col min="9471" max="9471" width="18.59765625" style="74" customWidth="1"/>
    <col min="9472" max="9472" width="20.59765625" style="74" customWidth="1"/>
    <col min="9473" max="9473" width="17" style="74" customWidth="1"/>
    <col min="9474" max="9475" width="20.59765625" style="74" customWidth="1"/>
    <col min="9476" max="9476" width="11.796875" style="74" customWidth="1"/>
    <col min="9477" max="9725" width="9" style="74"/>
    <col min="9726" max="9726" width="17.69921875" style="74" customWidth="1"/>
    <col min="9727" max="9727" width="18.59765625" style="74" customWidth="1"/>
    <col min="9728" max="9728" width="20.59765625" style="74" customWidth="1"/>
    <col min="9729" max="9729" width="17" style="74" customWidth="1"/>
    <col min="9730" max="9731" width="20.59765625" style="74" customWidth="1"/>
    <col min="9732" max="9732" width="11.796875" style="74" customWidth="1"/>
    <col min="9733" max="9981" width="9" style="74"/>
    <col min="9982" max="9982" width="17.69921875" style="74" customWidth="1"/>
    <col min="9983" max="9983" width="18.59765625" style="74" customWidth="1"/>
    <col min="9984" max="9984" width="20.59765625" style="74" customWidth="1"/>
    <col min="9985" max="9985" width="17" style="74" customWidth="1"/>
    <col min="9986" max="9987" width="20.59765625" style="74" customWidth="1"/>
    <col min="9988" max="9988" width="11.796875" style="74" customWidth="1"/>
    <col min="9989" max="10237" width="9" style="74"/>
    <col min="10238" max="10238" width="17.69921875" style="74" customWidth="1"/>
    <col min="10239" max="10239" width="18.59765625" style="74" customWidth="1"/>
    <col min="10240" max="10240" width="20.59765625" style="74" customWidth="1"/>
    <col min="10241" max="10241" width="17" style="74" customWidth="1"/>
    <col min="10242" max="10243" width="20.59765625" style="74" customWidth="1"/>
    <col min="10244" max="10244" width="11.796875" style="74" customWidth="1"/>
    <col min="10245" max="10493" width="9" style="74"/>
    <col min="10494" max="10494" width="17.69921875" style="74" customWidth="1"/>
    <col min="10495" max="10495" width="18.59765625" style="74" customWidth="1"/>
    <col min="10496" max="10496" width="20.59765625" style="74" customWidth="1"/>
    <col min="10497" max="10497" width="17" style="74" customWidth="1"/>
    <col min="10498" max="10499" width="20.59765625" style="74" customWidth="1"/>
    <col min="10500" max="10500" width="11.796875" style="74" customWidth="1"/>
    <col min="10501" max="10749" width="9" style="74"/>
    <col min="10750" max="10750" width="17.69921875" style="74" customWidth="1"/>
    <col min="10751" max="10751" width="18.59765625" style="74" customWidth="1"/>
    <col min="10752" max="10752" width="20.59765625" style="74" customWidth="1"/>
    <col min="10753" max="10753" width="17" style="74" customWidth="1"/>
    <col min="10754" max="10755" width="20.59765625" style="74" customWidth="1"/>
    <col min="10756" max="10756" width="11.796875" style="74" customWidth="1"/>
    <col min="10757" max="11005" width="9" style="74"/>
    <col min="11006" max="11006" width="17.69921875" style="74" customWidth="1"/>
    <col min="11007" max="11007" width="18.59765625" style="74" customWidth="1"/>
    <col min="11008" max="11008" width="20.59765625" style="74" customWidth="1"/>
    <col min="11009" max="11009" width="17" style="74" customWidth="1"/>
    <col min="11010" max="11011" width="20.59765625" style="74" customWidth="1"/>
    <col min="11012" max="11012" width="11.796875" style="74" customWidth="1"/>
    <col min="11013" max="11261" width="9" style="74"/>
    <col min="11262" max="11262" width="17.69921875" style="74" customWidth="1"/>
    <col min="11263" max="11263" width="18.59765625" style="74" customWidth="1"/>
    <col min="11264" max="11264" width="20.59765625" style="74" customWidth="1"/>
    <col min="11265" max="11265" width="17" style="74" customWidth="1"/>
    <col min="11266" max="11267" width="20.59765625" style="74" customWidth="1"/>
    <col min="11268" max="11268" width="11.796875" style="74" customWidth="1"/>
    <col min="11269" max="11517" width="9" style="74"/>
    <col min="11518" max="11518" width="17.69921875" style="74" customWidth="1"/>
    <col min="11519" max="11519" width="18.59765625" style="74" customWidth="1"/>
    <col min="11520" max="11520" width="20.59765625" style="74" customWidth="1"/>
    <col min="11521" max="11521" width="17" style="74" customWidth="1"/>
    <col min="11522" max="11523" width="20.59765625" style="74" customWidth="1"/>
    <col min="11524" max="11524" width="11.796875" style="74" customWidth="1"/>
    <col min="11525" max="11773" width="9" style="74"/>
    <col min="11774" max="11774" width="17.69921875" style="74" customWidth="1"/>
    <col min="11775" max="11775" width="18.59765625" style="74" customWidth="1"/>
    <col min="11776" max="11776" width="20.59765625" style="74" customWidth="1"/>
    <col min="11777" max="11777" width="17" style="74" customWidth="1"/>
    <col min="11778" max="11779" width="20.59765625" style="74" customWidth="1"/>
    <col min="11780" max="11780" width="11.796875" style="74" customWidth="1"/>
    <col min="11781" max="12029" width="9" style="74"/>
    <col min="12030" max="12030" width="17.69921875" style="74" customWidth="1"/>
    <col min="12031" max="12031" width="18.59765625" style="74" customWidth="1"/>
    <col min="12032" max="12032" width="20.59765625" style="74" customWidth="1"/>
    <col min="12033" max="12033" width="17" style="74" customWidth="1"/>
    <col min="12034" max="12035" width="20.59765625" style="74" customWidth="1"/>
    <col min="12036" max="12036" width="11.796875" style="74" customWidth="1"/>
    <col min="12037" max="12285" width="9" style="74"/>
    <col min="12286" max="12286" width="17.69921875" style="74" customWidth="1"/>
    <col min="12287" max="12287" width="18.59765625" style="74" customWidth="1"/>
    <col min="12288" max="12288" width="20.59765625" style="74" customWidth="1"/>
    <col min="12289" max="12289" width="17" style="74" customWidth="1"/>
    <col min="12290" max="12291" width="20.59765625" style="74" customWidth="1"/>
    <col min="12292" max="12292" width="11.796875" style="74" customWidth="1"/>
    <col min="12293" max="12541" width="9" style="74"/>
    <col min="12542" max="12542" width="17.69921875" style="74" customWidth="1"/>
    <col min="12543" max="12543" width="18.59765625" style="74" customWidth="1"/>
    <col min="12544" max="12544" width="20.59765625" style="74" customWidth="1"/>
    <col min="12545" max="12545" width="17" style="74" customWidth="1"/>
    <col min="12546" max="12547" width="20.59765625" style="74" customWidth="1"/>
    <col min="12548" max="12548" width="11.796875" style="74" customWidth="1"/>
    <col min="12549" max="12797" width="9" style="74"/>
    <col min="12798" max="12798" width="17.69921875" style="74" customWidth="1"/>
    <col min="12799" max="12799" width="18.59765625" style="74" customWidth="1"/>
    <col min="12800" max="12800" width="20.59765625" style="74" customWidth="1"/>
    <col min="12801" max="12801" width="17" style="74" customWidth="1"/>
    <col min="12802" max="12803" width="20.59765625" style="74" customWidth="1"/>
    <col min="12804" max="12804" width="11.796875" style="74" customWidth="1"/>
    <col min="12805" max="13053" width="9" style="74"/>
    <col min="13054" max="13054" width="17.69921875" style="74" customWidth="1"/>
    <col min="13055" max="13055" width="18.59765625" style="74" customWidth="1"/>
    <col min="13056" max="13056" width="20.59765625" style="74" customWidth="1"/>
    <col min="13057" max="13057" width="17" style="74" customWidth="1"/>
    <col min="13058" max="13059" width="20.59765625" style="74" customWidth="1"/>
    <col min="13060" max="13060" width="11.796875" style="74" customWidth="1"/>
    <col min="13061" max="13309" width="9" style="74"/>
    <col min="13310" max="13310" width="17.69921875" style="74" customWidth="1"/>
    <col min="13311" max="13311" width="18.59765625" style="74" customWidth="1"/>
    <col min="13312" max="13312" width="20.59765625" style="74" customWidth="1"/>
    <col min="13313" max="13313" width="17" style="74" customWidth="1"/>
    <col min="13314" max="13315" width="20.59765625" style="74" customWidth="1"/>
    <col min="13316" max="13316" width="11.796875" style="74" customWidth="1"/>
    <col min="13317" max="13565" width="9" style="74"/>
    <col min="13566" max="13566" width="17.69921875" style="74" customWidth="1"/>
    <col min="13567" max="13567" width="18.59765625" style="74" customWidth="1"/>
    <col min="13568" max="13568" width="20.59765625" style="74" customWidth="1"/>
    <col min="13569" max="13569" width="17" style="74" customWidth="1"/>
    <col min="13570" max="13571" width="20.59765625" style="74" customWidth="1"/>
    <col min="13572" max="13572" width="11.796875" style="74" customWidth="1"/>
    <col min="13573" max="13821" width="9" style="74"/>
    <col min="13822" max="13822" width="17.69921875" style="74" customWidth="1"/>
    <col min="13823" max="13823" width="18.59765625" style="74" customWidth="1"/>
    <col min="13824" max="13824" width="20.59765625" style="74" customWidth="1"/>
    <col min="13825" max="13825" width="17" style="74" customWidth="1"/>
    <col min="13826" max="13827" width="20.59765625" style="74" customWidth="1"/>
    <col min="13828" max="13828" width="11.796875" style="74" customWidth="1"/>
    <col min="13829" max="14077" width="9" style="74"/>
    <col min="14078" max="14078" width="17.69921875" style="74" customWidth="1"/>
    <col min="14079" max="14079" width="18.59765625" style="74" customWidth="1"/>
    <col min="14080" max="14080" width="20.59765625" style="74" customWidth="1"/>
    <col min="14081" max="14081" width="17" style="74" customWidth="1"/>
    <col min="14082" max="14083" width="20.59765625" style="74" customWidth="1"/>
    <col min="14084" max="14084" width="11.796875" style="74" customWidth="1"/>
    <col min="14085" max="14333" width="9" style="74"/>
    <col min="14334" max="14334" width="17.69921875" style="74" customWidth="1"/>
    <col min="14335" max="14335" width="18.59765625" style="74" customWidth="1"/>
    <col min="14336" max="14336" width="20.59765625" style="74" customWidth="1"/>
    <col min="14337" max="14337" width="17" style="74" customWidth="1"/>
    <col min="14338" max="14339" width="20.59765625" style="74" customWidth="1"/>
    <col min="14340" max="14340" width="11.796875" style="74" customWidth="1"/>
    <col min="14341" max="14589" width="9" style="74"/>
    <col min="14590" max="14590" width="17.69921875" style="74" customWidth="1"/>
    <col min="14591" max="14591" width="18.59765625" style="74" customWidth="1"/>
    <col min="14592" max="14592" width="20.59765625" style="74" customWidth="1"/>
    <col min="14593" max="14593" width="17" style="74" customWidth="1"/>
    <col min="14594" max="14595" width="20.59765625" style="74" customWidth="1"/>
    <col min="14596" max="14596" width="11.796875" style="74" customWidth="1"/>
    <col min="14597" max="14845" width="9" style="74"/>
    <col min="14846" max="14846" width="17.69921875" style="74" customWidth="1"/>
    <col min="14847" max="14847" width="18.59765625" style="74" customWidth="1"/>
    <col min="14848" max="14848" width="20.59765625" style="74" customWidth="1"/>
    <col min="14849" max="14849" width="17" style="74" customWidth="1"/>
    <col min="14850" max="14851" width="20.59765625" style="74" customWidth="1"/>
    <col min="14852" max="14852" width="11.796875" style="74" customWidth="1"/>
    <col min="14853" max="15101" width="9" style="74"/>
    <col min="15102" max="15102" width="17.69921875" style="74" customWidth="1"/>
    <col min="15103" max="15103" width="18.59765625" style="74" customWidth="1"/>
    <col min="15104" max="15104" width="20.59765625" style="74" customWidth="1"/>
    <col min="15105" max="15105" width="17" style="74" customWidth="1"/>
    <col min="15106" max="15107" width="20.59765625" style="74" customWidth="1"/>
    <col min="15108" max="15108" width="11.796875" style="74" customWidth="1"/>
    <col min="15109" max="15357" width="9" style="74"/>
    <col min="15358" max="15358" width="17.69921875" style="74" customWidth="1"/>
    <col min="15359" max="15359" width="18.59765625" style="74" customWidth="1"/>
    <col min="15360" max="15360" width="20.59765625" style="74" customWidth="1"/>
    <col min="15361" max="15361" width="17" style="74" customWidth="1"/>
    <col min="15362" max="15363" width="20.59765625" style="74" customWidth="1"/>
    <col min="15364" max="15364" width="11.796875" style="74" customWidth="1"/>
    <col min="15365" max="15613" width="9" style="74"/>
    <col min="15614" max="15614" width="17.69921875" style="74" customWidth="1"/>
    <col min="15615" max="15615" width="18.59765625" style="74" customWidth="1"/>
    <col min="15616" max="15616" width="20.59765625" style="74" customWidth="1"/>
    <col min="15617" max="15617" width="17" style="74" customWidth="1"/>
    <col min="15618" max="15619" width="20.59765625" style="74" customWidth="1"/>
    <col min="15620" max="15620" width="11.796875" style="74" customWidth="1"/>
    <col min="15621" max="15869" width="9" style="74"/>
    <col min="15870" max="15870" width="17.69921875" style="74" customWidth="1"/>
    <col min="15871" max="15871" width="18.59765625" style="74" customWidth="1"/>
    <col min="15872" max="15872" width="20.59765625" style="74" customWidth="1"/>
    <col min="15873" max="15873" width="17" style="74" customWidth="1"/>
    <col min="15874" max="15875" width="20.59765625" style="74" customWidth="1"/>
    <col min="15876" max="15876" width="11.796875" style="74" customWidth="1"/>
    <col min="15877" max="16125" width="9" style="74"/>
    <col min="16126" max="16126" width="17.69921875" style="74" customWidth="1"/>
    <col min="16127" max="16127" width="18.59765625" style="74" customWidth="1"/>
    <col min="16128" max="16128" width="20.59765625" style="74" customWidth="1"/>
    <col min="16129" max="16129" width="17" style="74" customWidth="1"/>
    <col min="16130" max="16131" width="20.59765625" style="74" customWidth="1"/>
    <col min="16132" max="16132" width="11.796875" style="74" customWidth="1"/>
    <col min="16133" max="16381" width="9" style="74"/>
    <col min="16382" max="16384" width="9" style="74" customWidth="1"/>
  </cols>
  <sheetData>
    <row r="1" spans="1:6" s="55" customFormat="1" ht="20.100000000000001" customHeight="1">
      <c r="A1" s="132" t="s">
        <v>81</v>
      </c>
      <c r="B1" s="144"/>
      <c r="C1" s="144"/>
      <c r="D1" s="144"/>
      <c r="E1" s="144"/>
      <c r="F1" s="54"/>
    </row>
    <row r="2" spans="1:6" s="55" customFormat="1" ht="25.05" customHeight="1">
      <c r="A2" s="133" t="s">
        <v>126</v>
      </c>
      <c r="B2" s="145"/>
      <c r="C2" s="145"/>
      <c r="D2" s="145"/>
      <c r="E2" s="145"/>
      <c r="F2" s="54"/>
    </row>
    <row r="3" spans="1:6" s="61" customFormat="1" ht="20.100000000000001" customHeight="1">
      <c r="A3" s="53" t="e">
        <f>#REF!</f>
        <v>#REF!</v>
      </c>
      <c r="B3" s="57" t="e">
        <f>#REF!</f>
        <v>#REF!</v>
      </c>
      <c r="C3" s="58" t="e">
        <f>#REF!</f>
        <v>#REF!</v>
      </c>
      <c r="D3" s="58" t="s">
        <v>0</v>
      </c>
      <c r="E3" s="58" t="s">
        <v>115</v>
      </c>
      <c r="F3" s="60"/>
    </row>
    <row r="4" spans="1:6" s="61" customFormat="1" ht="20.100000000000001" customHeight="1">
      <c r="A4" s="53" t="e">
        <f>#REF!</f>
        <v>#REF!</v>
      </c>
      <c r="B4" s="57" t="e">
        <f>#REF!</f>
        <v>#REF!</v>
      </c>
      <c r="C4" s="58" t="e">
        <f>#REF!</f>
        <v>#REF!</v>
      </c>
      <c r="D4" s="58" t="s">
        <v>82</v>
      </c>
      <c r="E4" s="59"/>
      <c r="F4" s="60"/>
    </row>
    <row r="5" spans="1:6" s="61" customFormat="1" ht="20.100000000000001" customHeight="1">
      <c r="A5" s="8" t="s">
        <v>23</v>
      </c>
      <c r="B5" s="57"/>
      <c r="C5" s="58"/>
      <c r="E5" s="59"/>
      <c r="F5" s="60"/>
    </row>
    <row r="6" spans="1:6" s="61" customFormat="1" ht="20.100000000000001" customHeight="1">
      <c r="A6" s="89" t="s">
        <v>122</v>
      </c>
      <c r="B6" s="57"/>
      <c r="C6" s="58"/>
      <c r="E6" s="59"/>
      <c r="F6" s="60"/>
    </row>
    <row r="7" spans="1:6" s="61" customFormat="1" ht="20.100000000000001" customHeight="1">
      <c r="A7" s="75" t="s">
        <v>79</v>
      </c>
      <c r="B7" s="57"/>
      <c r="C7" s="58"/>
      <c r="E7" s="59"/>
      <c r="F7" s="60"/>
    </row>
    <row r="8" spans="1:6" s="61" customFormat="1" ht="20.100000000000001" customHeight="1">
      <c r="A8" s="90" t="s">
        <v>136</v>
      </c>
      <c r="B8" s="57"/>
      <c r="C8" s="58"/>
      <c r="E8" s="59"/>
      <c r="F8" s="60"/>
    </row>
    <row r="9" spans="1:6" s="61" customFormat="1" ht="20.100000000000001" customHeight="1">
      <c r="A9" s="90" t="s">
        <v>120</v>
      </c>
      <c r="B9" s="57"/>
      <c r="C9" s="58"/>
      <c r="E9" s="59"/>
      <c r="F9" s="60"/>
    </row>
    <row r="10" spans="1:6" s="61" customFormat="1" ht="20.100000000000001" customHeight="1">
      <c r="A10" s="90" t="s">
        <v>119</v>
      </c>
      <c r="B10" s="57"/>
      <c r="C10" s="58"/>
      <c r="E10" s="59"/>
      <c r="F10" s="60"/>
    </row>
    <row r="11" spans="1:6" s="61" customFormat="1" ht="20.100000000000001" customHeight="1">
      <c r="A11" s="77" t="s">
        <v>124</v>
      </c>
      <c r="B11" s="57"/>
      <c r="C11" s="58"/>
      <c r="D11" s="59"/>
      <c r="E11" s="59"/>
      <c r="F11" s="60"/>
    </row>
    <row r="12" spans="1:6" s="61" customFormat="1" ht="20.100000000000001" customHeight="1">
      <c r="A12" s="102" t="s">
        <v>85</v>
      </c>
      <c r="B12" s="102" t="s">
        <v>116</v>
      </c>
      <c r="C12" s="102" t="s">
        <v>129</v>
      </c>
      <c r="D12" s="142" t="s">
        <v>86</v>
      </c>
      <c r="E12" s="143"/>
      <c r="F12" s="60"/>
    </row>
    <row r="13" spans="1:6" s="50" customFormat="1" ht="20.100000000000001" customHeight="1">
      <c r="A13" s="96">
        <v>1</v>
      </c>
      <c r="B13" s="80"/>
      <c r="C13" s="80"/>
      <c r="D13" s="139"/>
      <c r="E13" s="140"/>
    </row>
    <row r="14" spans="1:6" s="50" customFormat="1" ht="20.100000000000001" customHeight="1">
      <c r="A14" s="96">
        <v>2</v>
      </c>
      <c r="B14" s="80"/>
      <c r="C14" s="80"/>
      <c r="D14" s="139"/>
      <c r="E14" s="140"/>
    </row>
    <row r="15" spans="1:6" s="50" customFormat="1" ht="20.100000000000001" customHeight="1">
      <c r="A15" s="96">
        <v>3</v>
      </c>
      <c r="B15" s="80"/>
      <c r="C15" s="80"/>
      <c r="D15" s="139"/>
      <c r="E15" s="140"/>
    </row>
    <row r="16" spans="1:6" s="50" customFormat="1" ht="20.100000000000001" customHeight="1">
      <c r="A16" s="96">
        <v>4</v>
      </c>
      <c r="B16" s="80"/>
      <c r="C16" s="80"/>
      <c r="D16" s="139"/>
      <c r="E16" s="140"/>
    </row>
    <row r="17" spans="1:6" s="50" customFormat="1" ht="20.100000000000001" customHeight="1">
      <c r="A17" s="96">
        <v>5</v>
      </c>
      <c r="B17" s="80"/>
      <c r="C17" s="80"/>
      <c r="D17" s="139"/>
      <c r="E17" s="140"/>
    </row>
    <row r="18" spans="1:6" s="50" customFormat="1" ht="20.100000000000001" customHeight="1">
      <c r="A18" s="96">
        <v>6</v>
      </c>
      <c r="B18" s="80"/>
      <c r="C18" s="80"/>
      <c r="D18" s="139"/>
      <c r="E18" s="140"/>
    </row>
    <row r="19" spans="1:6" s="50" customFormat="1" ht="20.100000000000001" customHeight="1">
      <c r="A19" s="96">
        <v>7</v>
      </c>
      <c r="B19" s="80"/>
      <c r="C19" s="80"/>
      <c r="D19" s="139"/>
      <c r="E19" s="140"/>
    </row>
    <row r="20" spans="1:6" s="50" customFormat="1" ht="20.100000000000001" customHeight="1">
      <c r="A20" s="96">
        <v>8</v>
      </c>
      <c r="B20" s="80"/>
      <c r="C20" s="80"/>
      <c r="D20" s="139"/>
      <c r="E20" s="140"/>
    </row>
    <row r="21" spans="1:6" s="50" customFormat="1" ht="20.100000000000001" customHeight="1">
      <c r="A21" s="96">
        <v>9</v>
      </c>
      <c r="B21" s="81"/>
      <c r="C21" s="81"/>
      <c r="D21" s="139"/>
      <c r="E21" s="140"/>
    </row>
    <row r="22" spans="1:6" s="12" customFormat="1" ht="20.100000000000001" customHeight="1">
      <c r="A22" s="96">
        <v>10</v>
      </c>
      <c r="B22" s="81"/>
      <c r="C22" s="81"/>
      <c r="D22" s="139"/>
      <c r="E22" s="140"/>
    </row>
    <row r="23" spans="1:6" s="12" customFormat="1" ht="20.100000000000001" customHeight="1">
      <c r="A23" s="96">
        <v>11</v>
      </c>
      <c r="B23" s="81"/>
      <c r="C23" s="81"/>
      <c r="D23" s="139"/>
      <c r="E23" s="140"/>
    </row>
    <row r="24" spans="1:6" s="12" customFormat="1" ht="20.100000000000001" customHeight="1">
      <c r="A24" s="96">
        <v>12</v>
      </c>
      <c r="B24" s="81"/>
      <c r="C24" s="81"/>
      <c r="D24" s="139"/>
      <c r="E24" s="140"/>
    </row>
    <row r="25" spans="1:6" s="61" customFormat="1" ht="20.100000000000001" customHeight="1">
      <c r="A25" s="97" t="s">
        <v>118</v>
      </c>
      <c r="B25" s="57"/>
      <c r="C25" s="58"/>
      <c r="D25" s="59"/>
      <c r="E25" s="59"/>
      <c r="F25" s="60"/>
    </row>
    <row r="26" spans="1:6" s="61" customFormat="1" ht="20.100000000000001" customHeight="1">
      <c r="A26" s="141" t="s">
        <v>85</v>
      </c>
      <c r="B26" s="141" t="s">
        <v>117</v>
      </c>
      <c r="C26" s="141"/>
      <c r="D26" s="142" t="s">
        <v>86</v>
      </c>
      <c r="E26" s="143"/>
      <c r="F26" s="60"/>
    </row>
    <row r="27" spans="1:6" s="50" customFormat="1" ht="20.100000000000001" customHeight="1">
      <c r="A27" s="141"/>
      <c r="B27" s="84" t="s">
        <v>87</v>
      </c>
      <c r="C27" s="84" t="s">
        <v>88</v>
      </c>
      <c r="D27" s="143"/>
      <c r="E27" s="143"/>
    </row>
    <row r="28" spans="1:6" s="50" customFormat="1" ht="20.100000000000001" customHeight="1">
      <c r="A28" s="96">
        <v>1</v>
      </c>
      <c r="B28" s="80"/>
      <c r="C28" s="80"/>
      <c r="D28" s="139"/>
      <c r="E28" s="140"/>
    </row>
    <row r="29" spans="1:6" s="50" customFormat="1" ht="20.100000000000001" customHeight="1">
      <c r="A29" s="96">
        <v>2</v>
      </c>
      <c r="B29" s="80"/>
      <c r="C29" s="80"/>
      <c r="D29" s="139"/>
      <c r="E29" s="140"/>
    </row>
    <row r="30" spans="1:6" s="50" customFormat="1" ht="20.100000000000001" customHeight="1">
      <c r="A30" s="96">
        <v>3</v>
      </c>
      <c r="B30" s="80"/>
      <c r="C30" s="80"/>
      <c r="D30" s="139"/>
      <c r="E30" s="140"/>
    </row>
    <row r="31" spans="1:6" s="50" customFormat="1" ht="20.100000000000001" customHeight="1">
      <c r="A31" s="96">
        <v>4</v>
      </c>
      <c r="B31" s="80"/>
      <c r="C31" s="80"/>
      <c r="D31" s="139"/>
      <c r="E31" s="140"/>
    </row>
    <row r="32" spans="1:6" s="50" customFormat="1" ht="20.100000000000001" customHeight="1">
      <c r="A32" s="96">
        <v>5</v>
      </c>
      <c r="B32" s="80"/>
      <c r="C32" s="80"/>
      <c r="D32" s="139"/>
      <c r="E32" s="140"/>
    </row>
    <row r="33" spans="1:6" s="50" customFormat="1" ht="20.100000000000001" customHeight="1">
      <c r="A33" s="96">
        <v>6</v>
      </c>
      <c r="B33" s="80"/>
      <c r="C33" s="80"/>
      <c r="D33" s="139"/>
      <c r="E33" s="140"/>
    </row>
    <row r="34" spans="1:6" s="50" customFormat="1" ht="20.100000000000001" customHeight="1">
      <c r="A34" s="96">
        <v>7</v>
      </c>
      <c r="B34" s="80"/>
      <c r="C34" s="80"/>
      <c r="D34" s="139"/>
      <c r="E34" s="140"/>
    </row>
    <row r="35" spans="1:6" s="50" customFormat="1" ht="20.100000000000001" customHeight="1">
      <c r="A35" s="96">
        <v>8</v>
      </c>
      <c r="B35" s="80"/>
      <c r="C35" s="80"/>
      <c r="D35" s="139"/>
      <c r="E35" s="140"/>
    </row>
    <row r="36" spans="1:6" s="50" customFormat="1" ht="20.100000000000001" customHeight="1">
      <c r="A36" s="96">
        <v>9</v>
      </c>
      <c r="B36" s="81"/>
      <c r="C36" s="81"/>
      <c r="D36" s="139"/>
      <c r="E36" s="140"/>
    </row>
    <row r="37" spans="1:6" s="12" customFormat="1" ht="20.100000000000001" customHeight="1">
      <c r="A37" s="96">
        <v>10</v>
      </c>
      <c r="B37" s="81"/>
      <c r="C37" s="81"/>
      <c r="D37" s="139"/>
      <c r="E37" s="140"/>
    </row>
    <row r="38" spans="1:6" s="12" customFormat="1" ht="20.100000000000001" customHeight="1">
      <c r="A38" s="96">
        <v>11</v>
      </c>
      <c r="B38" s="81"/>
      <c r="C38" s="81"/>
      <c r="D38" s="139"/>
      <c r="E38" s="140"/>
    </row>
    <row r="39" spans="1:6" s="12" customFormat="1" ht="20.100000000000001" customHeight="1">
      <c r="A39" s="96">
        <v>12</v>
      </c>
      <c r="B39" s="81"/>
      <c r="C39" s="81"/>
      <c r="D39" s="139"/>
      <c r="E39" s="140"/>
    </row>
    <row r="40" spans="1:6" s="64" customFormat="1" ht="20.100000000000001" customHeight="1">
      <c r="A40" s="78" t="s">
        <v>3</v>
      </c>
      <c r="B40" s="98"/>
      <c r="C40" s="79"/>
      <c r="D40" s="99"/>
      <c r="E40" s="99"/>
      <c r="F40" s="63"/>
    </row>
    <row r="41" spans="1:6" s="64" customFormat="1" ht="20.100000000000001" customHeight="1">
      <c r="B41" s="98"/>
      <c r="C41" s="79"/>
      <c r="D41" s="99"/>
      <c r="E41" s="99"/>
      <c r="F41" s="63"/>
    </row>
    <row r="42" spans="1:6" s="64" customFormat="1" ht="20.100000000000001" customHeight="1">
      <c r="B42" s="98"/>
      <c r="C42" s="79"/>
      <c r="D42" s="99"/>
      <c r="E42" s="99"/>
      <c r="F42" s="63"/>
    </row>
    <row r="43" spans="1:6" s="64" customFormat="1" ht="20.100000000000001" customHeight="1">
      <c r="B43" s="98"/>
      <c r="C43" s="79"/>
      <c r="D43" s="99"/>
      <c r="E43" s="99"/>
      <c r="F43" s="63"/>
    </row>
    <row r="44" spans="1:6" s="64" customFormat="1" ht="20.100000000000001" customHeight="1">
      <c r="A44" s="78" t="s">
        <v>20</v>
      </c>
      <c r="B44" s="98"/>
      <c r="C44" s="79"/>
      <c r="D44" s="99"/>
      <c r="E44" s="99"/>
      <c r="F44" s="63"/>
    </row>
    <row r="45" spans="1:6" s="12" customFormat="1" ht="20.100000000000001" customHeight="1"/>
    <row r="46" spans="1:6">
      <c r="A46" s="78" t="s">
        <v>127</v>
      </c>
    </row>
    <row r="47" spans="1:6">
      <c r="A47" s="101" t="s">
        <v>128</v>
      </c>
    </row>
  </sheetData>
  <mergeCells count="30">
    <mergeCell ref="D24:E24"/>
    <mergeCell ref="D18:E18"/>
    <mergeCell ref="A1:E1"/>
    <mergeCell ref="A2:E2"/>
    <mergeCell ref="D12:E12"/>
    <mergeCell ref="D13:E13"/>
    <mergeCell ref="D14:E14"/>
    <mergeCell ref="D15:E15"/>
    <mergeCell ref="D16:E16"/>
    <mergeCell ref="D17:E17"/>
    <mergeCell ref="D19:E19"/>
    <mergeCell ref="D20:E20"/>
    <mergeCell ref="D21:E21"/>
    <mergeCell ref="D22:E22"/>
    <mergeCell ref="D23:E23"/>
    <mergeCell ref="A26:A27"/>
    <mergeCell ref="B26:C26"/>
    <mergeCell ref="D26:E27"/>
    <mergeCell ref="D28:E28"/>
    <mergeCell ref="D29:E29"/>
    <mergeCell ref="D36:E36"/>
    <mergeCell ref="D37:E37"/>
    <mergeCell ref="D38:E38"/>
    <mergeCell ref="D39:E39"/>
    <mergeCell ref="D30:E30"/>
    <mergeCell ref="D31:E31"/>
    <mergeCell ref="D32:E32"/>
    <mergeCell ref="D33:E33"/>
    <mergeCell ref="D34:E34"/>
    <mergeCell ref="D35:E35"/>
  </mergeCells>
  <phoneticPr fontId="15" type="noConversion"/>
  <printOptions horizontalCentered="1"/>
  <pageMargins left="0.70866141732283472" right="0.70866141732283472" top="0.74803149606299213" bottom="0.74803149606299213" header="0.31496062992125984" footer="0.31496062992125984"/>
  <pageSetup paperSize="9" fitToHeight="0" orientation="landscape" blackAndWhite="1" r:id="rId1"/>
  <rowBreaks count="1" manualBreakCount="1">
    <brk id="24" max="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R43"/>
  <sheetViews>
    <sheetView view="pageBreakPreview" zoomScaleSheetLayoutView="100" workbookViewId="0">
      <selection activeCell="T38" sqref="T38"/>
    </sheetView>
  </sheetViews>
  <sheetFormatPr defaultColWidth="9" defaultRowHeight="13.8"/>
  <cols>
    <col min="1" max="1" width="5" style="13" bestFit="1" customWidth="1"/>
    <col min="2" max="2" width="6.69921875" style="13" customWidth="1"/>
    <col min="3" max="3" width="5.796875" style="15" customWidth="1"/>
    <col min="4" max="4" width="7.19921875" style="13" customWidth="1"/>
    <col min="5" max="5" width="6.796875" style="13" customWidth="1"/>
    <col min="6" max="6" width="5.5" style="15" customWidth="1"/>
    <col min="7" max="7" width="5.5" style="13" customWidth="1"/>
    <col min="8" max="8" width="5.5" style="15" customWidth="1"/>
    <col min="9" max="11" width="5.5" style="13" customWidth="1"/>
    <col min="12" max="12" width="4.796875" style="13" customWidth="1"/>
    <col min="13" max="13" width="5" style="16" bestFit="1" customWidth="1"/>
    <col min="14" max="14" width="15.19921875" style="17" customWidth="1"/>
    <col min="15" max="15" width="11.09765625" style="17" customWidth="1"/>
    <col min="16" max="16" width="8.796875" style="20" customWidth="1"/>
    <col min="17" max="17" width="20.69921875" style="13" customWidth="1"/>
    <col min="18" max="18" width="9.69921875" style="13" customWidth="1"/>
    <col min="19" max="16384" width="9" style="13"/>
  </cols>
  <sheetData>
    <row r="1" spans="1:18" ht="20.100000000000001" customHeight="1">
      <c r="A1" s="146" t="s">
        <v>38</v>
      </c>
      <c r="B1" s="146"/>
      <c r="C1" s="147"/>
      <c r="D1" s="146"/>
      <c r="E1" s="147"/>
      <c r="F1" s="147"/>
      <c r="G1" s="146"/>
      <c r="H1" s="147"/>
      <c r="I1" s="146"/>
      <c r="J1" s="146"/>
      <c r="K1" s="146"/>
      <c r="L1" s="146"/>
      <c r="M1" s="146"/>
      <c r="N1" s="146"/>
      <c r="O1" s="146"/>
      <c r="P1" s="146"/>
      <c r="Q1" s="146"/>
      <c r="R1" s="146"/>
    </row>
    <row r="2" spans="1:18" s="14" customFormat="1" ht="25.05" customHeight="1">
      <c r="A2" s="148" t="s">
        <v>39</v>
      </c>
      <c r="B2" s="148"/>
      <c r="C2" s="149"/>
      <c r="D2" s="148"/>
      <c r="E2" s="150"/>
      <c r="F2" s="149"/>
      <c r="G2" s="148"/>
      <c r="H2" s="149"/>
      <c r="I2" s="148"/>
      <c r="J2" s="148"/>
      <c r="K2" s="148"/>
      <c r="L2" s="148"/>
      <c r="M2" s="148"/>
      <c r="N2" s="149"/>
      <c r="O2" s="149"/>
      <c r="P2" s="148"/>
      <c r="Q2" s="148"/>
      <c r="R2" s="148"/>
    </row>
    <row r="3" spans="1:18" ht="20.100000000000001" customHeight="1">
      <c r="A3" s="4" t="e">
        <f>#REF!</f>
        <v>#REF!</v>
      </c>
      <c r="B3" s="6"/>
      <c r="C3" s="5"/>
      <c r="D3" s="5"/>
      <c r="E3" s="5"/>
      <c r="I3" s="4" t="e">
        <f>#REF!</f>
        <v>#REF!</v>
      </c>
      <c r="J3" s="1"/>
      <c r="N3" s="4" t="e">
        <f>#REF!</f>
        <v>#REF!</v>
      </c>
      <c r="O3" s="100"/>
      <c r="P3" s="13"/>
      <c r="Q3" s="19" t="s">
        <v>40</v>
      </c>
      <c r="R3" s="52" t="s">
        <v>121</v>
      </c>
    </row>
    <row r="4" spans="1:18" ht="20.100000000000001" customHeight="1">
      <c r="A4" s="4" t="e">
        <f>#REF!</f>
        <v>#REF!</v>
      </c>
      <c r="B4" s="6"/>
      <c r="C4" s="5"/>
      <c r="D4" s="5"/>
      <c r="E4" s="5"/>
      <c r="I4" s="7" t="e">
        <f>#REF!</f>
        <v>#REF!</v>
      </c>
      <c r="J4" s="1"/>
      <c r="N4" s="7" t="s">
        <v>2</v>
      </c>
      <c r="O4" s="100"/>
      <c r="P4" s="13"/>
      <c r="Q4" s="19" t="s">
        <v>41</v>
      </c>
    </row>
    <row r="5" spans="1:18" ht="20.100000000000001" customHeight="1">
      <c r="A5" s="14" t="s">
        <v>37</v>
      </c>
    </row>
    <row r="6" spans="1:18" ht="20.100000000000001" customHeight="1">
      <c r="B6" s="21" t="s">
        <v>42</v>
      </c>
    </row>
    <row r="7" spans="1:18" s="14" customFormat="1" ht="20.100000000000001" customHeight="1">
      <c r="A7" s="14" t="s">
        <v>43</v>
      </c>
      <c r="C7" s="15"/>
      <c r="F7" s="15"/>
      <c r="H7" s="15"/>
      <c r="M7" s="22"/>
      <c r="N7" s="17"/>
      <c r="O7" s="17"/>
      <c r="P7" s="23"/>
    </row>
    <row r="8" spans="1:18" s="18" customFormat="1" ht="20.100000000000001" customHeight="1">
      <c r="A8" s="24"/>
      <c r="B8" s="13" t="s">
        <v>44</v>
      </c>
      <c r="C8" s="25"/>
      <c r="D8" s="26"/>
      <c r="E8" s="26"/>
      <c r="F8" s="25"/>
      <c r="G8" s="26"/>
      <c r="H8" s="25"/>
      <c r="I8" s="26"/>
      <c r="J8" s="26"/>
      <c r="K8" s="26"/>
      <c r="L8" s="26"/>
      <c r="M8" s="26"/>
      <c r="N8" s="25"/>
      <c r="O8" s="25"/>
      <c r="P8" s="26"/>
      <c r="Q8" s="26"/>
      <c r="R8" s="26"/>
    </row>
    <row r="9" spans="1:18" s="27" customFormat="1" ht="39" customHeight="1">
      <c r="A9" s="92" t="s">
        <v>45</v>
      </c>
      <c r="B9" s="92" t="s">
        <v>46</v>
      </c>
      <c r="C9" s="92" t="s">
        <v>47</v>
      </c>
      <c r="D9" s="92" t="s">
        <v>48</v>
      </c>
      <c r="E9" s="92" t="s">
        <v>49</v>
      </c>
      <c r="F9" s="92" t="s">
        <v>50</v>
      </c>
      <c r="G9" s="92" t="s">
        <v>51</v>
      </c>
      <c r="H9" s="92" t="s">
        <v>52</v>
      </c>
      <c r="I9" s="92" t="s">
        <v>53</v>
      </c>
      <c r="J9" s="92" t="s">
        <v>54</v>
      </c>
      <c r="K9" s="92" t="s">
        <v>55</v>
      </c>
      <c r="L9" s="92" t="s">
        <v>56</v>
      </c>
      <c r="M9" s="92" t="s">
        <v>57</v>
      </c>
      <c r="N9" s="92" t="s">
        <v>58</v>
      </c>
      <c r="O9" s="92" t="s">
        <v>59</v>
      </c>
      <c r="P9" s="93" t="s">
        <v>60</v>
      </c>
      <c r="Q9" s="92" t="s">
        <v>61</v>
      </c>
      <c r="R9" s="92" t="s">
        <v>21</v>
      </c>
    </row>
    <row r="10" spans="1:18" ht="20.100000000000001" customHeight="1">
      <c r="A10" s="28">
        <v>1</v>
      </c>
      <c r="B10" s="29" t="s">
        <v>62</v>
      </c>
      <c r="C10" s="30"/>
      <c r="D10" s="31">
        <v>1</v>
      </c>
      <c r="E10" s="31"/>
      <c r="F10" s="30"/>
      <c r="G10" s="31"/>
      <c r="H10" s="30"/>
      <c r="I10" s="31"/>
      <c r="J10" s="31">
        <v>1</v>
      </c>
      <c r="K10" s="31"/>
      <c r="L10" s="31"/>
      <c r="M10" s="31">
        <f>SUM(C10:L10)</f>
        <v>2</v>
      </c>
      <c r="N10" s="32" t="s">
        <v>63</v>
      </c>
      <c r="O10" s="32" t="s">
        <v>64</v>
      </c>
      <c r="P10" s="33">
        <v>942.91</v>
      </c>
      <c r="Q10" s="34"/>
      <c r="R10" s="35"/>
    </row>
    <row r="11" spans="1:18" ht="20.100000000000001" customHeight="1">
      <c r="A11" s="28">
        <v>2</v>
      </c>
      <c r="B11" s="29" t="s">
        <v>65</v>
      </c>
      <c r="C11" s="30">
        <v>1</v>
      </c>
      <c r="D11" s="31"/>
      <c r="E11" s="31"/>
      <c r="F11" s="30"/>
      <c r="G11" s="31">
        <v>1</v>
      </c>
      <c r="H11" s="30"/>
      <c r="I11" s="31"/>
      <c r="J11" s="31"/>
      <c r="K11" s="31"/>
      <c r="L11" s="31"/>
      <c r="M11" s="31">
        <f t="shared" ref="M11" si="0">SUM(C11:L11)</f>
        <v>2</v>
      </c>
      <c r="N11" s="32" t="s">
        <v>63</v>
      </c>
      <c r="O11" s="32" t="s">
        <v>66</v>
      </c>
      <c r="P11" s="33">
        <v>557.16</v>
      </c>
      <c r="Q11" s="34"/>
      <c r="R11" s="35"/>
    </row>
    <row r="12" spans="1:18" ht="20.100000000000001" customHeight="1">
      <c r="A12" s="28">
        <v>3</v>
      </c>
      <c r="B12" s="35"/>
      <c r="C12" s="36"/>
      <c r="D12" s="37"/>
      <c r="E12" s="37"/>
      <c r="F12" s="36"/>
      <c r="G12" s="37"/>
      <c r="H12" s="36"/>
      <c r="I12" s="37"/>
      <c r="J12" s="37"/>
      <c r="K12" s="37"/>
      <c r="L12" s="37"/>
      <c r="M12" s="37"/>
      <c r="N12" s="38"/>
      <c r="O12" s="38"/>
      <c r="P12" s="2"/>
      <c r="Q12" s="39"/>
      <c r="R12" s="35"/>
    </row>
    <row r="13" spans="1:18" ht="20.100000000000001" customHeight="1">
      <c r="A13" s="28">
        <v>4</v>
      </c>
      <c r="B13" s="35"/>
      <c r="C13" s="36"/>
      <c r="D13" s="37"/>
      <c r="E13" s="37"/>
      <c r="F13" s="36"/>
      <c r="G13" s="37"/>
      <c r="H13" s="36"/>
      <c r="I13" s="37"/>
      <c r="J13" s="37"/>
      <c r="K13" s="37"/>
      <c r="L13" s="37"/>
      <c r="M13" s="37"/>
      <c r="N13" s="38"/>
      <c r="O13" s="38"/>
      <c r="P13" s="2"/>
      <c r="Q13" s="39"/>
      <c r="R13" s="35"/>
    </row>
    <row r="14" spans="1:18" ht="20.100000000000001" customHeight="1">
      <c r="A14" s="28">
        <v>5</v>
      </c>
      <c r="B14" s="35"/>
      <c r="C14" s="36"/>
      <c r="D14" s="37"/>
      <c r="E14" s="37"/>
      <c r="F14" s="36"/>
      <c r="G14" s="37"/>
      <c r="H14" s="36"/>
      <c r="I14" s="37"/>
      <c r="J14" s="37"/>
      <c r="K14" s="37"/>
      <c r="L14" s="37"/>
      <c r="M14" s="37"/>
      <c r="N14" s="38"/>
      <c r="O14" s="38"/>
      <c r="P14" s="2"/>
      <c r="Q14" s="39"/>
      <c r="R14" s="35"/>
    </row>
    <row r="15" spans="1:18" ht="20.100000000000001" customHeight="1">
      <c r="A15" s="28">
        <v>6</v>
      </c>
      <c r="B15" s="35"/>
      <c r="C15" s="36"/>
      <c r="D15" s="37"/>
      <c r="E15" s="37"/>
      <c r="F15" s="36"/>
      <c r="G15" s="37"/>
      <c r="H15" s="36"/>
      <c r="I15" s="37"/>
      <c r="J15" s="37"/>
      <c r="K15" s="37"/>
      <c r="L15" s="37"/>
      <c r="M15" s="37"/>
      <c r="N15" s="38"/>
      <c r="O15" s="38"/>
      <c r="P15" s="2"/>
      <c r="Q15" s="39"/>
      <c r="R15" s="35"/>
    </row>
    <row r="16" spans="1:18" ht="20.100000000000001" customHeight="1">
      <c r="A16" s="28">
        <v>7</v>
      </c>
      <c r="B16" s="35"/>
      <c r="C16" s="36"/>
      <c r="D16" s="37"/>
      <c r="E16" s="37"/>
      <c r="F16" s="36"/>
      <c r="G16" s="37"/>
      <c r="H16" s="36"/>
      <c r="I16" s="37"/>
      <c r="J16" s="37"/>
      <c r="K16" s="37"/>
      <c r="L16" s="37"/>
      <c r="M16" s="37"/>
      <c r="N16" s="38"/>
      <c r="O16" s="38"/>
      <c r="P16" s="2"/>
      <c r="Q16" s="39"/>
      <c r="R16" s="35"/>
    </row>
    <row r="17" spans="1:18" ht="20.100000000000001" customHeight="1">
      <c r="A17" s="28">
        <v>8</v>
      </c>
      <c r="B17" s="35"/>
      <c r="C17" s="36"/>
      <c r="D17" s="37"/>
      <c r="E17" s="37"/>
      <c r="F17" s="36"/>
      <c r="G17" s="37"/>
      <c r="H17" s="36"/>
      <c r="I17" s="37"/>
      <c r="J17" s="37"/>
      <c r="K17" s="37"/>
      <c r="L17" s="37"/>
      <c r="M17" s="37"/>
      <c r="N17" s="38"/>
      <c r="O17" s="38"/>
      <c r="P17" s="2"/>
      <c r="Q17" s="39"/>
      <c r="R17" s="35"/>
    </row>
    <row r="18" spans="1:18" ht="20.100000000000001" customHeight="1">
      <c r="A18" s="28">
        <v>9</v>
      </c>
      <c r="B18" s="35"/>
      <c r="C18" s="36"/>
      <c r="D18" s="37"/>
      <c r="E18" s="37"/>
      <c r="F18" s="36"/>
      <c r="G18" s="37"/>
      <c r="H18" s="36"/>
      <c r="I18" s="37"/>
      <c r="J18" s="37"/>
      <c r="K18" s="37"/>
      <c r="L18" s="37"/>
      <c r="M18" s="37"/>
      <c r="N18" s="38"/>
      <c r="O18" s="38"/>
      <c r="P18" s="2"/>
      <c r="Q18" s="39"/>
      <c r="R18" s="35"/>
    </row>
    <row r="19" spans="1:18" ht="20.100000000000001" customHeight="1">
      <c r="A19" s="28">
        <v>10</v>
      </c>
      <c r="B19" s="35"/>
      <c r="C19" s="36"/>
      <c r="D19" s="37"/>
      <c r="E19" s="37"/>
      <c r="F19" s="36"/>
      <c r="G19" s="37"/>
      <c r="H19" s="36"/>
      <c r="I19" s="37"/>
      <c r="J19" s="37"/>
      <c r="K19" s="37"/>
      <c r="L19" s="37"/>
      <c r="M19" s="37"/>
      <c r="N19" s="38"/>
      <c r="O19" s="38"/>
      <c r="P19" s="2"/>
      <c r="Q19" s="39"/>
      <c r="R19" s="35"/>
    </row>
    <row r="20" spans="1:18" ht="20.100000000000001" customHeight="1">
      <c r="A20" s="28"/>
      <c r="B20" s="35"/>
      <c r="C20" s="36"/>
      <c r="D20" s="37"/>
      <c r="E20" s="37"/>
      <c r="F20" s="36"/>
      <c r="G20" s="37"/>
      <c r="H20" s="36"/>
      <c r="I20" s="37"/>
      <c r="J20" s="37"/>
      <c r="K20" s="37"/>
      <c r="L20" s="37"/>
      <c r="M20" s="37"/>
      <c r="N20" s="38"/>
      <c r="O20" s="38"/>
      <c r="P20" s="2"/>
      <c r="Q20" s="39"/>
      <c r="R20" s="35"/>
    </row>
    <row r="21" spans="1:18" ht="20.100000000000001" customHeight="1">
      <c r="A21" s="28"/>
      <c r="B21" s="35"/>
      <c r="C21" s="36"/>
      <c r="D21" s="37"/>
      <c r="E21" s="37"/>
      <c r="F21" s="36"/>
      <c r="G21" s="37"/>
      <c r="H21" s="36"/>
      <c r="I21" s="37"/>
      <c r="J21" s="37"/>
      <c r="K21" s="37"/>
      <c r="L21" s="37"/>
      <c r="M21" s="37"/>
      <c r="N21" s="38"/>
      <c r="O21" s="38"/>
      <c r="P21" s="2"/>
      <c r="Q21" s="39"/>
      <c r="R21" s="35"/>
    </row>
    <row r="22" spans="1:18" ht="20.100000000000001" customHeight="1">
      <c r="A22" s="28"/>
      <c r="B22" s="35"/>
      <c r="C22" s="36"/>
      <c r="D22" s="37"/>
      <c r="E22" s="37"/>
      <c r="F22" s="36"/>
      <c r="G22" s="37"/>
      <c r="H22" s="36"/>
      <c r="I22" s="37"/>
      <c r="J22" s="37"/>
      <c r="K22" s="37"/>
      <c r="L22" s="37"/>
      <c r="M22" s="37"/>
      <c r="N22" s="38"/>
      <c r="O22" s="38"/>
      <c r="P22" s="2"/>
      <c r="Q22" s="39"/>
      <c r="R22" s="35"/>
    </row>
    <row r="23" spans="1:18" ht="20.100000000000001" customHeight="1">
      <c r="A23" s="28"/>
      <c r="B23" s="35"/>
      <c r="C23" s="36"/>
      <c r="D23" s="37"/>
      <c r="E23" s="37"/>
      <c r="F23" s="36"/>
      <c r="G23" s="37"/>
      <c r="H23" s="36"/>
      <c r="I23" s="37"/>
      <c r="J23" s="37"/>
      <c r="K23" s="37"/>
      <c r="L23" s="37"/>
      <c r="M23" s="37"/>
      <c r="N23" s="38"/>
      <c r="O23" s="38"/>
      <c r="P23" s="2"/>
      <c r="Q23" s="39"/>
      <c r="R23" s="35"/>
    </row>
    <row r="24" spans="1:18" ht="20.100000000000001" customHeight="1">
      <c r="A24" s="28"/>
      <c r="B24" s="35"/>
      <c r="C24" s="36"/>
      <c r="D24" s="37"/>
      <c r="E24" s="37"/>
      <c r="F24" s="36"/>
      <c r="G24" s="37"/>
      <c r="H24" s="36"/>
      <c r="I24" s="37"/>
      <c r="J24" s="37"/>
      <c r="K24" s="37"/>
      <c r="L24" s="37"/>
      <c r="M24" s="37"/>
      <c r="N24" s="38"/>
      <c r="O24" s="38"/>
      <c r="P24" s="2"/>
      <c r="Q24" s="39"/>
      <c r="R24" s="35"/>
    </row>
    <row r="25" spans="1:18" ht="20.100000000000001" customHeight="1">
      <c r="A25" s="28"/>
      <c r="B25" s="35"/>
      <c r="C25" s="36"/>
      <c r="D25" s="37"/>
      <c r="E25" s="37"/>
      <c r="F25" s="36"/>
      <c r="G25" s="37"/>
      <c r="H25" s="36"/>
      <c r="I25" s="37"/>
      <c r="J25" s="37"/>
      <c r="K25" s="37"/>
      <c r="L25" s="37"/>
      <c r="M25" s="37"/>
      <c r="N25" s="38"/>
      <c r="O25" s="38"/>
      <c r="P25" s="2"/>
      <c r="Q25" s="39"/>
      <c r="R25" s="35"/>
    </row>
    <row r="26" spans="1:18" ht="20.100000000000001" customHeight="1">
      <c r="A26" s="28"/>
      <c r="B26" s="35"/>
      <c r="C26" s="36"/>
      <c r="D26" s="37"/>
      <c r="E26" s="37"/>
      <c r="F26" s="36"/>
      <c r="G26" s="37"/>
      <c r="H26" s="36"/>
      <c r="I26" s="37"/>
      <c r="J26" s="37"/>
      <c r="K26" s="37"/>
      <c r="L26" s="37"/>
      <c r="M26" s="37"/>
      <c r="N26" s="38"/>
      <c r="O26" s="38"/>
      <c r="P26" s="2"/>
      <c r="Q26" s="39"/>
      <c r="R26" s="35"/>
    </row>
    <row r="27" spans="1:18" ht="20.100000000000001" customHeight="1">
      <c r="A27" s="28"/>
      <c r="B27" s="35"/>
      <c r="C27" s="36"/>
      <c r="D27" s="37"/>
      <c r="E27" s="37"/>
      <c r="F27" s="36"/>
      <c r="G27" s="37"/>
      <c r="H27" s="36"/>
      <c r="I27" s="37"/>
      <c r="J27" s="37"/>
      <c r="K27" s="37"/>
      <c r="L27" s="37"/>
      <c r="M27" s="37"/>
      <c r="N27" s="38"/>
      <c r="O27" s="38"/>
      <c r="P27" s="2"/>
      <c r="Q27" s="39"/>
      <c r="R27" s="35"/>
    </row>
    <row r="28" spans="1:18" ht="20.100000000000001" customHeight="1">
      <c r="A28" s="103" t="s">
        <v>132</v>
      </c>
      <c r="B28" s="45"/>
      <c r="C28" s="44"/>
      <c r="D28" s="45"/>
      <c r="E28" s="45"/>
      <c r="F28" s="44"/>
      <c r="G28" s="45"/>
      <c r="H28" s="44"/>
      <c r="I28" s="45"/>
      <c r="J28" s="45"/>
      <c r="K28" s="45"/>
      <c r="L28" s="45"/>
      <c r="M28" s="41"/>
      <c r="N28" s="46"/>
      <c r="O28" s="46"/>
      <c r="P28" s="47"/>
      <c r="Q28" s="45"/>
      <c r="R28" s="45"/>
    </row>
    <row r="29" spans="1:18" ht="20.100000000000001" customHeight="1">
      <c r="A29" s="94" t="s">
        <v>67</v>
      </c>
      <c r="B29" s="40" t="s">
        <v>130</v>
      </c>
      <c r="C29" s="41"/>
      <c r="D29" s="42"/>
      <c r="E29" s="42"/>
      <c r="F29" s="41"/>
      <c r="G29" s="42"/>
      <c r="H29" s="41"/>
      <c r="I29" s="42"/>
      <c r="J29" s="42"/>
      <c r="K29" s="42"/>
      <c r="L29" s="42"/>
      <c r="M29" s="42"/>
      <c r="N29" s="41"/>
      <c r="O29" s="41"/>
      <c r="P29" s="42"/>
      <c r="Q29" s="42"/>
      <c r="R29" s="42"/>
    </row>
    <row r="30" spans="1:18" ht="20.100000000000001" customHeight="1">
      <c r="A30" s="45"/>
      <c r="B30" s="43" t="s">
        <v>68</v>
      </c>
      <c r="C30" s="44"/>
      <c r="D30" s="45"/>
      <c r="E30" s="45"/>
      <c r="F30" s="44"/>
      <c r="G30" s="45"/>
      <c r="H30" s="44"/>
      <c r="I30" s="45"/>
      <c r="J30" s="45"/>
      <c r="K30" s="45"/>
      <c r="L30" s="45"/>
      <c r="M30" s="41"/>
      <c r="N30" s="46"/>
      <c r="O30" s="46"/>
      <c r="P30" s="47"/>
      <c r="Q30" s="45"/>
      <c r="R30" s="45"/>
    </row>
    <row r="31" spans="1:18" ht="20.100000000000001" customHeight="1">
      <c r="A31" s="94" t="s">
        <v>22</v>
      </c>
      <c r="B31" s="40" t="s">
        <v>131</v>
      </c>
      <c r="C31" s="44"/>
      <c r="D31" s="45"/>
      <c r="E31" s="45"/>
      <c r="F31" s="44"/>
      <c r="G31" s="45"/>
      <c r="H31" s="44"/>
      <c r="I31" s="45"/>
      <c r="J31" s="45"/>
      <c r="K31" s="45"/>
      <c r="L31" s="45"/>
      <c r="M31" s="41"/>
      <c r="N31" s="46"/>
      <c r="O31" s="46"/>
      <c r="P31" s="47"/>
      <c r="Q31" s="45"/>
      <c r="R31" s="45"/>
    </row>
    <row r="32" spans="1:18" ht="20.100000000000001" customHeight="1">
      <c r="A32" s="45"/>
      <c r="B32" s="43" t="s">
        <v>69</v>
      </c>
      <c r="C32" s="44"/>
      <c r="D32" s="45"/>
      <c r="E32" s="45"/>
      <c r="F32" s="44"/>
      <c r="G32" s="45"/>
      <c r="H32" s="44"/>
      <c r="I32" s="45"/>
      <c r="J32" s="45"/>
      <c r="K32" s="45"/>
      <c r="L32" s="45"/>
      <c r="M32" s="41"/>
      <c r="N32" s="46"/>
      <c r="O32" s="46"/>
      <c r="P32" s="47"/>
      <c r="Q32" s="45"/>
      <c r="R32" s="45"/>
    </row>
    <row r="33" spans="1:18" ht="20.100000000000001" customHeight="1">
      <c r="A33" s="94" t="s">
        <v>70</v>
      </c>
      <c r="B33" s="43" t="s">
        <v>71</v>
      </c>
      <c r="C33" s="44"/>
      <c r="D33" s="45"/>
      <c r="E33" s="45"/>
      <c r="F33" s="44"/>
      <c r="G33" s="45"/>
      <c r="H33" s="44"/>
      <c r="I33" s="45"/>
      <c r="J33" s="45"/>
      <c r="K33" s="45"/>
      <c r="L33" s="45"/>
      <c r="M33" s="41"/>
      <c r="N33" s="46"/>
      <c r="O33" s="46"/>
      <c r="P33" s="47"/>
      <c r="Q33" s="45"/>
      <c r="R33" s="45"/>
    </row>
    <row r="34" spans="1:18" ht="20.100000000000001" customHeight="1">
      <c r="A34" s="45"/>
      <c r="B34" s="43" t="s">
        <v>72</v>
      </c>
      <c r="C34" s="44"/>
      <c r="D34" s="45"/>
      <c r="E34" s="45"/>
      <c r="F34" s="44"/>
      <c r="G34" s="45"/>
      <c r="H34" s="44"/>
      <c r="I34" s="45"/>
      <c r="J34" s="45"/>
      <c r="K34" s="45"/>
      <c r="L34" s="45"/>
      <c r="M34" s="41"/>
      <c r="N34" s="46"/>
      <c r="O34" s="46"/>
      <c r="P34" s="47"/>
      <c r="Q34" s="45"/>
      <c r="R34" s="45"/>
    </row>
    <row r="35" spans="1:18" ht="20.100000000000001" customHeight="1">
      <c r="A35" s="94" t="s">
        <v>73</v>
      </c>
      <c r="B35" s="43" t="s">
        <v>74</v>
      </c>
      <c r="C35" s="44"/>
      <c r="D35" s="45"/>
      <c r="E35" s="45"/>
      <c r="F35" s="44"/>
      <c r="G35" s="45"/>
      <c r="H35" s="44"/>
      <c r="I35" s="45"/>
      <c r="J35" s="45"/>
      <c r="K35" s="45"/>
      <c r="L35" s="45"/>
      <c r="M35" s="41"/>
      <c r="N35" s="46"/>
      <c r="O35" s="46"/>
      <c r="P35" s="47"/>
      <c r="Q35" s="45"/>
      <c r="R35" s="45"/>
    </row>
    <row r="36" spans="1:18" ht="20.100000000000001" customHeight="1">
      <c r="A36" s="94"/>
      <c r="B36" s="40" t="s">
        <v>75</v>
      </c>
      <c r="C36" s="44"/>
      <c r="D36" s="45"/>
      <c r="E36" s="45"/>
      <c r="F36" s="44"/>
      <c r="G36" s="45"/>
      <c r="H36" s="44"/>
      <c r="I36" s="45"/>
      <c r="J36" s="45"/>
      <c r="K36" s="45"/>
      <c r="L36" s="45"/>
      <c r="M36" s="41"/>
      <c r="N36" s="46"/>
      <c r="O36" s="46"/>
      <c r="P36" s="47"/>
      <c r="Q36" s="45"/>
      <c r="R36" s="45"/>
    </row>
    <row r="37" spans="1:18" ht="20.100000000000001" customHeight="1">
      <c r="A37" s="95" t="s">
        <v>76</v>
      </c>
      <c r="B37" s="45"/>
      <c r="C37" s="44"/>
      <c r="D37" s="45"/>
      <c r="E37" s="45"/>
      <c r="F37" s="44"/>
      <c r="G37" s="45"/>
      <c r="H37" s="44"/>
      <c r="I37" s="45"/>
      <c r="J37" s="45"/>
      <c r="K37" s="45"/>
      <c r="L37" s="45"/>
      <c r="M37" s="41"/>
      <c r="N37" s="46"/>
      <c r="O37" s="46"/>
      <c r="P37" s="47"/>
      <c r="Q37" s="45"/>
      <c r="R37" s="45"/>
    </row>
    <row r="38" spans="1:18" ht="20.100000000000001" customHeight="1">
      <c r="A38" s="45"/>
      <c r="B38" s="43" t="s">
        <v>77</v>
      </c>
      <c r="C38" s="44"/>
      <c r="D38" s="45"/>
      <c r="E38" s="45"/>
      <c r="F38" s="44"/>
      <c r="G38" s="45"/>
      <c r="H38" s="44"/>
      <c r="I38" s="45"/>
      <c r="J38" s="45"/>
      <c r="K38" s="45"/>
      <c r="L38" s="45"/>
      <c r="M38" s="41"/>
      <c r="N38" s="46"/>
      <c r="O38" s="46"/>
      <c r="P38" s="47"/>
      <c r="Q38" s="45"/>
      <c r="R38" s="45"/>
    </row>
    <row r="39" spans="1:18" ht="20.100000000000001" customHeight="1">
      <c r="A39" s="45"/>
      <c r="B39" s="45"/>
      <c r="C39" s="44"/>
      <c r="D39" s="45"/>
      <c r="E39" s="45"/>
      <c r="F39" s="44"/>
      <c r="G39" s="45"/>
      <c r="H39" s="44"/>
      <c r="I39" s="45"/>
      <c r="J39" s="45"/>
      <c r="K39" s="45"/>
      <c r="L39" s="45"/>
      <c r="M39" s="41"/>
      <c r="N39" s="46"/>
      <c r="O39" s="46"/>
      <c r="P39" s="47"/>
      <c r="Q39" s="45"/>
      <c r="R39" s="45"/>
    </row>
    <row r="40" spans="1:18" ht="20.100000000000001" customHeight="1">
      <c r="A40" s="45"/>
      <c r="B40" s="45"/>
      <c r="C40" s="44"/>
      <c r="D40" s="45"/>
      <c r="E40" s="45"/>
      <c r="F40" s="44"/>
      <c r="G40" s="45"/>
      <c r="H40" s="44"/>
      <c r="I40" s="45"/>
      <c r="J40" s="45"/>
      <c r="K40" s="45"/>
      <c r="L40" s="45"/>
      <c r="M40" s="41"/>
      <c r="N40" s="46"/>
      <c r="O40" s="46"/>
      <c r="P40" s="47"/>
      <c r="Q40" s="45"/>
      <c r="R40" s="45"/>
    </row>
    <row r="41" spans="1:18" ht="18" customHeight="1"/>
    <row r="42" spans="1:18">
      <c r="A42" s="48" t="s">
        <v>1</v>
      </c>
    </row>
    <row r="43" spans="1:18">
      <c r="A43" s="49" t="s">
        <v>78</v>
      </c>
    </row>
  </sheetData>
  <mergeCells count="2">
    <mergeCell ref="A1:R1"/>
    <mergeCell ref="A2:R2"/>
  </mergeCells>
  <phoneticPr fontId="15" type="noConversion"/>
  <printOptions horizontalCentered="1"/>
  <pageMargins left="0.39370078740157483" right="0.39370078740157483" top="0.59055118110236227" bottom="0.51181102362204722" header="0.39370078740157483" footer="0.31496062992125984"/>
  <pageSetup paperSize="9" scale="88" fitToHeight="10" orientation="landscape" blackAndWhite="1" r:id="rId1"/>
  <headerFooter>
    <oddHeader>&amp;R&amp;10&amp;P/&amp;N</oddHeader>
  </headerFooter>
  <rowBreaks count="1" manualBreakCount="1">
    <brk id="27"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GT_Custom</vt:lpstr>
      <vt:lpstr>关联采购分析表F2-52</vt:lpstr>
      <vt:lpstr>采购定价公允性测算（询价函）G2-10-1-删除</vt:lpstr>
      <vt:lpstr>采购定价公允性测算（市场价）G2-10-2-删除</vt:lpstr>
      <vt:lpstr>识别未披露的关联方G2-10-3-删除</vt:lpstr>
      <vt:lpstr>'采购定价公允性测算（市场价）G2-10-2-删除'!Print_Area</vt:lpstr>
      <vt:lpstr>'采购定价公允性测算（询价函）G2-10-1-删除'!Print_Area</vt:lpstr>
      <vt:lpstr>'关联采购分析表F2-52'!Print_Area</vt:lpstr>
      <vt:lpstr>'识别未披露的关联方G2-10-3-删除'!Print_Area</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2025-08-25T01:53:19Z</cp:lastPrinted>
  <dcterms:created xsi:type="dcterms:W3CDTF">2007-05-20T08:51:05Z</dcterms:created>
  <dcterms:modified xsi:type="dcterms:W3CDTF">2025-10-17T08:51:16Z</dcterms:modified>
</cp:coreProperties>
</file>