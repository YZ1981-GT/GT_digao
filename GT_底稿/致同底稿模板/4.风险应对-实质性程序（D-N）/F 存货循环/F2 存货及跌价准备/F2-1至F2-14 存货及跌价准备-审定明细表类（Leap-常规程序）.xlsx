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F 存货循环\F2存货\"/>
    </mc:Choice>
  </mc:AlternateContent>
  <bookViews>
    <workbookView xWindow="0" yWindow="0" windowWidth="23040" windowHeight="9144" tabRatio="871" firstSheet="1" activeTab="1"/>
  </bookViews>
  <sheets>
    <sheet name="修订说明" sheetId="33" state="hidden" r:id="rId1"/>
    <sheet name="底稿目录" sheetId="11" r:id="rId2"/>
    <sheet name="存货实质性程序表F2A" sheetId="25" r:id="rId3"/>
    <sheet name="存货审定表F2-1" sheetId="26" r:id="rId4"/>
    <sheet name="附注披露信息（上市公司）" sheetId="27" r:id="rId5"/>
    <sheet name="附注披露信息（国企）" sheetId="28" r:id="rId6"/>
    <sheet name="明细汇总表F2-2" sheetId="29" r:id="rId7"/>
    <sheet name="一、原材料明细表F2-3" sheetId="2" r:id="rId8"/>
    <sheet name="二、材料采购、在途物资明细表F2-4" sheetId="12" r:id="rId9"/>
    <sheet name="三、周转材料、低值易耗品，包装物明细表F2-5" sheetId="13" r:id="rId10"/>
    <sheet name="四、自制半成品明细表F2-6" sheetId="14" r:id="rId11"/>
    <sheet name="五、委托加工物资明细表F2-7" sheetId="5" r:id="rId12"/>
    <sheet name="六、库存商品明细表F2-8" sheetId="15" r:id="rId13"/>
    <sheet name="七、发出商品F2-9" sheetId="16" r:id="rId14"/>
    <sheet name="八、开发产品F2-10" sheetId="17" r:id="rId15"/>
    <sheet name="九、开发成本F2-11" sheetId="18" r:id="rId16"/>
    <sheet name="十、合同履约成本F2-12" sheetId="19" r:id="rId17"/>
    <sheet name="十一、消耗性生物资产F2-13" sheetId="24" r:id="rId18"/>
    <sheet name="调整分录汇总F2-14" sheetId="30" r:id="rId19"/>
    <sheet name="GT_Custom" sheetId="20" state="hidden" r:id="rId20"/>
  </sheets>
  <definedNames>
    <definedName name="_xlnm._FilterDatabase" localSheetId="2">存货实质性程序表F2A!$A$15:$J$48</definedName>
    <definedName name="_xlnm.Print_Area" localSheetId="14">'八、开发产品F2-10'!$A$1:$AA$50</definedName>
    <definedName name="_xlnm.Print_Area" localSheetId="3">'存货审定表F2-1'!$A$1:$F$124</definedName>
    <definedName name="_xlnm.Print_Area" localSheetId="2">存货实质性程序表F2A!$A$1:$J$48</definedName>
    <definedName name="_xlnm.Print_Area" localSheetId="18">'调整分录汇总F2-14'!$A$1:$J$20</definedName>
    <definedName name="_xlnm.Print_Area" localSheetId="8">'二、材料采购、在途物资明细表F2-4'!$A$1:$W$30</definedName>
    <definedName name="_xlnm.Print_Area" localSheetId="5">'附注披露信息（国企）'!$A$1:$H$47</definedName>
    <definedName name="_xlnm.Print_Area" localSheetId="4">'附注披露信息（上市公司）'!$A$1:$G$88</definedName>
    <definedName name="_xlnm.Print_Area" localSheetId="15">'九、开发成本F2-11'!$A$1:$V$50</definedName>
    <definedName name="_xlnm.Print_Area" localSheetId="12">'六、库存商品明细表F2-8'!$A$1:$X$32</definedName>
    <definedName name="_xlnm.Print_Area" localSheetId="6">'明细汇总表F2-2'!$A$1:$Q$72</definedName>
    <definedName name="_xlnm.Print_Area" localSheetId="13">'七、发出商品F2-9'!$A$1:$W$33</definedName>
    <definedName name="_xlnm.Print_Area" localSheetId="9">'三、周转材料、低值易耗品，包装物明细表F2-5'!$A$1:$U$32</definedName>
    <definedName name="_xlnm.Print_Area" localSheetId="16">'十、合同履约成本F2-12'!$A$1:$N$25</definedName>
    <definedName name="_xlnm.Print_Area" localSheetId="17">'十一、消耗性生物资产F2-13'!$A$1:$T$59</definedName>
    <definedName name="_xlnm.Print_Area" localSheetId="10">'四、自制半成品明细表F2-6'!$A$1:$U$30</definedName>
    <definedName name="_xlnm.Print_Area" localSheetId="11">'五、委托加工物资明细表F2-7'!$A$1:$O$22</definedName>
    <definedName name="_xlnm.Print_Area" localSheetId="7">'一、原材料明细表F2-3'!$A$1:$U$31</definedName>
    <definedName name="_xlnm.Print_Titles" localSheetId="2">存货实质性程序表F2A!$15:$16</definedName>
  </definedNames>
  <calcPr calcId="162913"/>
</workbook>
</file>

<file path=xl/calcChain.xml><?xml version="1.0" encoding="utf-8"?>
<calcChain xmlns="http://schemas.openxmlformats.org/spreadsheetml/2006/main">
  <c r="D63" i="29" l="1"/>
  <c r="B63" i="29"/>
  <c r="C63" i="29"/>
  <c r="E63" i="29"/>
  <c r="F63" i="29"/>
  <c r="G63" i="29"/>
  <c r="B62" i="29"/>
  <c r="Q45" i="29"/>
  <c r="P45" i="29"/>
  <c r="M45" i="29"/>
  <c r="L45" i="29"/>
  <c r="L44" i="29"/>
  <c r="J45" i="29"/>
  <c r="I45" i="29"/>
  <c r="I44" i="29"/>
  <c r="E45" i="29"/>
  <c r="D45" i="29"/>
  <c r="C45" i="29"/>
  <c r="B45" i="29"/>
  <c r="I27" i="29"/>
  <c r="E27" i="29"/>
  <c r="D27" i="29"/>
  <c r="C27" i="29"/>
  <c r="B27" i="29"/>
  <c r="B75" i="26" l="1"/>
  <c r="E75" i="26" s="1"/>
  <c r="C75" i="26"/>
  <c r="D75" i="26"/>
  <c r="B61" i="26"/>
  <c r="C61" i="26"/>
  <c r="C89" i="26" s="1"/>
  <c r="D61" i="26"/>
  <c r="B32" i="26"/>
  <c r="E32" i="26" s="1"/>
  <c r="C32" i="26"/>
  <c r="C46" i="26" s="1"/>
  <c r="D32" i="26"/>
  <c r="D18" i="26"/>
  <c r="D46" i="26" s="1"/>
  <c r="C18" i="26"/>
  <c r="B18" i="26"/>
  <c r="B46" i="26" l="1"/>
  <c r="D89" i="26"/>
  <c r="B89" i="26"/>
  <c r="B104" i="26"/>
  <c r="E18" i="26"/>
  <c r="E46" i="26" s="1"/>
  <c r="A3" i="29"/>
  <c r="A3" i="25"/>
  <c r="J3" i="30" l="1"/>
  <c r="T3" i="24"/>
  <c r="N3" i="19"/>
  <c r="V3" i="18"/>
  <c r="AA3" i="17"/>
  <c r="W3" i="16"/>
  <c r="X3" i="15"/>
  <c r="O3" i="5"/>
  <c r="U3" i="14"/>
  <c r="U3" i="13"/>
  <c r="W3" i="12"/>
  <c r="U3" i="2"/>
  <c r="Q3" i="29"/>
  <c r="F3" i="26"/>
  <c r="J3" i="25"/>
  <c r="S25" i="24"/>
  <c r="R25" i="24"/>
  <c r="P25" i="24"/>
  <c r="Q25" i="24"/>
  <c r="M20" i="19"/>
  <c r="L20" i="19"/>
  <c r="K20" i="19"/>
  <c r="J20" i="19"/>
  <c r="S25" i="16" l="1"/>
  <c r="S27" i="16" s="1"/>
  <c r="R25" i="16"/>
  <c r="T25" i="16"/>
  <c r="T27" i="16" s="1"/>
  <c r="U25" i="16"/>
  <c r="U27" i="16" s="1"/>
  <c r="V25" i="16"/>
  <c r="V27" i="16" s="1"/>
  <c r="Q25" i="15"/>
  <c r="Q27" i="15" s="1"/>
  <c r="R25" i="15"/>
  <c r="R27" i="15" s="1"/>
  <c r="S25" i="15"/>
  <c r="S27" i="15" s="1"/>
  <c r="T25" i="15"/>
  <c r="T27" i="15" s="1"/>
  <c r="H17" i="5"/>
  <c r="I17" i="5"/>
  <c r="J17" i="5"/>
  <c r="K17" i="5"/>
  <c r="L17" i="5"/>
  <c r="L19" i="5" s="1"/>
  <c r="M17" i="5"/>
  <c r="M19" i="5" s="1"/>
  <c r="N17" i="5"/>
  <c r="N19" i="5" s="1"/>
  <c r="O17" i="5"/>
  <c r="O19" i="5" s="1"/>
  <c r="T27" i="14"/>
  <c r="T25" i="14"/>
  <c r="Q25" i="14"/>
  <c r="Q27" i="14" s="1"/>
  <c r="R25" i="14"/>
  <c r="R27" i="14" s="1"/>
  <c r="S25" i="14"/>
  <c r="S27" i="14" s="1"/>
  <c r="S27" i="13"/>
  <c r="S29" i="13" s="1"/>
  <c r="T26" i="13"/>
  <c r="Q26" i="13"/>
  <c r="R26" i="13"/>
  <c r="S26" i="13"/>
  <c r="R16" i="13"/>
  <c r="Q16" i="13"/>
  <c r="S16" i="13"/>
  <c r="T16" i="13"/>
  <c r="Q12" i="13"/>
  <c r="Q27" i="13" s="1"/>
  <c r="Q29" i="13" s="1"/>
  <c r="R12" i="13"/>
  <c r="R27" i="13" s="1"/>
  <c r="R29" i="13" s="1"/>
  <c r="S12" i="13"/>
  <c r="T12" i="13"/>
  <c r="T27" i="13" s="1"/>
  <c r="T29" i="13" s="1"/>
  <c r="S25" i="12"/>
  <c r="S27" i="12" s="1"/>
  <c r="T25" i="12"/>
  <c r="T27" i="12" s="1"/>
  <c r="U25" i="12"/>
  <c r="U27" i="12" s="1"/>
  <c r="V25" i="12"/>
  <c r="V27" i="12" s="1"/>
  <c r="Q25" i="2"/>
  <c r="Q27" i="2" s="1"/>
  <c r="R25" i="2"/>
  <c r="R27" i="2" s="1"/>
  <c r="S25" i="2"/>
  <c r="S27" i="2" s="1"/>
  <c r="T25" i="2"/>
  <c r="T27" i="2" s="1"/>
  <c r="I8" i="19" l="1"/>
  <c r="U9" i="17" l="1"/>
  <c r="Y9" i="17" s="1"/>
  <c r="B56" i="29"/>
  <c r="F43" i="29"/>
  <c r="E40" i="24"/>
  <c r="D40" i="24"/>
  <c r="C40" i="24"/>
  <c r="G33" i="17"/>
  <c r="H33" i="17"/>
  <c r="J33" i="17"/>
  <c r="K33" i="17"/>
  <c r="L33" i="17"/>
  <c r="G43" i="29" s="1"/>
  <c r="M33" i="17"/>
  <c r="H43" i="29" s="1"/>
  <c r="N33" i="17"/>
  <c r="O33" i="17"/>
  <c r="F33" i="17"/>
  <c r="B43" i="29"/>
  <c r="C43" i="29"/>
  <c r="D43" i="29"/>
  <c r="D42" i="29"/>
  <c r="C42" i="29"/>
  <c r="B42" i="29"/>
  <c r="D41" i="29"/>
  <c r="C41" i="29"/>
  <c r="B41" i="29"/>
  <c r="C39" i="29"/>
  <c r="D39" i="29"/>
  <c r="B39" i="29"/>
  <c r="D37" i="29"/>
  <c r="C37" i="29"/>
  <c r="B37" i="29"/>
  <c r="D36" i="29"/>
  <c r="C36" i="29"/>
  <c r="B36" i="29"/>
  <c r="D35" i="29"/>
  <c r="C35" i="29"/>
  <c r="B35" i="29"/>
  <c r="J27" i="29"/>
  <c r="K27" i="29"/>
  <c r="E20" i="29"/>
  <c r="R27" i="16"/>
  <c r="L25" i="24"/>
  <c r="I25" i="24"/>
  <c r="F25" i="24"/>
  <c r="L27" i="29" l="1"/>
  <c r="M43" i="29"/>
  <c r="P33" i="18"/>
  <c r="I33" i="18"/>
  <c r="J23" i="18"/>
  <c r="J33" i="18" s="1"/>
  <c r="H33" i="18"/>
  <c r="G33" i="18"/>
  <c r="K33" i="18"/>
  <c r="F44" i="29" s="1"/>
  <c r="L33" i="18"/>
  <c r="M33" i="18"/>
  <c r="G44" i="29" s="1"/>
  <c r="N33" i="18"/>
  <c r="H44" i="29" s="1"/>
  <c r="O33" i="18"/>
  <c r="P19" i="18"/>
  <c r="F19" i="18"/>
  <c r="L19" i="18"/>
  <c r="M19" i="18"/>
  <c r="G26" i="29" s="1"/>
  <c r="N19" i="18"/>
  <c r="H26" i="29" s="1"/>
  <c r="O19" i="18"/>
  <c r="K19" i="18"/>
  <c r="F26" i="29" s="1"/>
  <c r="I19" i="18"/>
  <c r="H19" i="18"/>
  <c r="G19" i="18"/>
  <c r="R23" i="17" l="1"/>
  <c r="R33" i="17" s="1"/>
  <c r="Q23" i="17"/>
  <c r="Q33" i="17" s="1"/>
  <c r="P23" i="17"/>
  <c r="S9" i="17"/>
  <c r="S19" i="17" s="1"/>
  <c r="S23" i="17" l="1"/>
  <c r="S33" i="17" s="1"/>
  <c r="P33" i="17"/>
  <c r="G25" i="15"/>
  <c r="G8" i="5" l="1"/>
  <c r="L9" i="14" l="1"/>
  <c r="G27" i="13"/>
  <c r="F10" i="13"/>
  <c r="I10" i="13"/>
  <c r="L10" i="13"/>
  <c r="M26" i="13"/>
  <c r="J26" i="13"/>
  <c r="G26" i="13"/>
  <c r="N14" i="13"/>
  <c r="O14" i="13" s="1"/>
  <c r="P14" i="13"/>
  <c r="P16" i="13" s="1"/>
  <c r="L14" i="13"/>
  <c r="I14" i="13"/>
  <c r="F14" i="13"/>
  <c r="M16" i="13"/>
  <c r="J16" i="13"/>
  <c r="G16" i="13"/>
  <c r="M12" i="13"/>
  <c r="J12" i="13"/>
  <c r="G12" i="13"/>
  <c r="P10" i="13"/>
  <c r="N10" i="13"/>
  <c r="O18" i="13"/>
  <c r="P25" i="13"/>
  <c r="N25" i="13"/>
  <c r="O25" i="13" s="1"/>
  <c r="P24" i="13"/>
  <c r="O24" i="13"/>
  <c r="N24" i="13"/>
  <c r="P23" i="13"/>
  <c r="N23" i="13"/>
  <c r="O23" i="13" s="1"/>
  <c r="P22" i="13"/>
  <c r="O22" i="13"/>
  <c r="N22" i="13"/>
  <c r="P21" i="13"/>
  <c r="N21" i="13"/>
  <c r="O21" i="13" s="1"/>
  <c r="P20" i="13"/>
  <c r="N20" i="13"/>
  <c r="O20" i="13" s="1"/>
  <c r="P19" i="13"/>
  <c r="N19" i="13"/>
  <c r="O19" i="13" s="1"/>
  <c r="P18" i="13"/>
  <c r="P26" i="13" s="1"/>
  <c r="N18" i="13"/>
  <c r="P15" i="13"/>
  <c r="N15" i="13"/>
  <c r="O15" i="13" s="1"/>
  <c r="N11" i="13"/>
  <c r="P11" i="13"/>
  <c r="O9" i="12"/>
  <c r="M9" i="12"/>
  <c r="G25" i="2"/>
  <c r="P12" i="13" l="1"/>
  <c r="P27" i="13" s="1"/>
  <c r="P30" i="13" s="1"/>
  <c r="O10" i="13"/>
  <c r="O11" i="13"/>
  <c r="A91" i="26" l="1"/>
  <c r="A77" i="26"/>
  <c r="A63" i="26"/>
  <c r="D61" i="27" l="1"/>
  <c r="F61" i="27" s="1"/>
  <c r="B61" i="27"/>
  <c r="C60" i="27" s="1"/>
  <c r="G60" i="27"/>
  <c r="F60" i="27"/>
  <c r="G59" i="27"/>
  <c r="F59" i="27"/>
  <c r="G53" i="27"/>
  <c r="G52" i="27"/>
  <c r="D54" i="27"/>
  <c r="F53" i="27"/>
  <c r="F52" i="27"/>
  <c r="B54" i="27"/>
  <c r="C53" i="27" s="1"/>
  <c r="C52" i="27" l="1"/>
  <c r="G54" i="27"/>
  <c r="G61" i="27"/>
  <c r="C59" i="27"/>
  <c r="C44" i="27"/>
  <c r="B44" i="27"/>
  <c r="E32" i="27" l="1"/>
  <c r="C32" i="27"/>
  <c r="F37" i="28"/>
  <c r="E37" i="28"/>
  <c r="C37" i="28"/>
  <c r="B77" i="26"/>
  <c r="C77" i="26"/>
  <c r="D77" i="26"/>
  <c r="E61" i="26"/>
  <c r="E89" i="26" s="1"/>
  <c r="B63" i="26"/>
  <c r="C63" i="26"/>
  <c r="D63" i="26"/>
  <c r="B34" i="26"/>
  <c r="C34" i="26"/>
  <c r="D34" i="26"/>
  <c r="B20" i="26"/>
  <c r="C20" i="26"/>
  <c r="D20" i="26"/>
  <c r="B65" i="29"/>
  <c r="F65" i="29" s="1"/>
  <c r="M47" i="29"/>
  <c r="P47" i="29" s="1"/>
  <c r="I47" i="29"/>
  <c r="B37" i="28" s="1"/>
  <c r="J47" i="29"/>
  <c r="E47" i="29"/>
  <c r="J29" i="29"/>
  <c r="I29" i="29"/>
  <c r="K29" i="29"/>
  <c r="E29" i="29"/>
  <c r="B91" i="26" l="1"/>
  <c r="F19" i="28" s="1"/>
  <c r="C65" i="29"/>
  <c r="L29" i="29"/>
  <c r="Q47" i="29"/>
  <c r="G37" i="28"/>
  <c r="F32" i="27"/>
  <c r="D65" i="29"/>
  <c r="G65" i="29" s="1"/>
  <c r="D91" i="26"/>
  <c r="L47" i="29"/>
  <c r="E77" i="26"/>
  <c r="E91" i="26" s="1"/>
  <c r="C91" i="26"/>
  <c r="C48" i="26"/>
  <c r="D48" i="26"/>
  <c r="B48" i="26"/>
  <c r="E34" i="26"/>
  <c r="E20" i="26"/>
  <c r="Q24" i="16"/>
  <c r="Q23" i="16"/>
  <c r="Q22" i="16"/>
  <c r="Q21" i="16"/>
  <c r="Q20" i="16"/>
  <c r="Q19" i="16"/>
  <c r="Q18" i="16"/>
  <c r="Q17" i="16"/>
  <c r="Q16" i="16"/>
  <c r="Q15" i="16"/>
  <c r="Q14" i="16"/>
  <c r="Q13" i="16"/>
  <c r="Q12" i="16"/>
  <c r="Q11" i="16"/>
  <c r="Q10" i="16"/>
  <c r="Q9" i="16"/>
  <c r="Q10" i="12"/>
  <c r="Q11" i="12"/>
  <c r="Q12" i="12"/>
  <c r="Q13" i="12"/>
  <c r="Q14" i="12"/>
  <c r="Q15" i="12"/>
  <c r="Q16" i="12"/>
  <c r="Q17" i="12"/>
  <c r="Q18" i="12"/>
  <c r="Q19" i="12"/>
  <c r="Q20" i="12"/>
  <c r="Q21" i="12"/>
  <c r="Q22" i="12"/>
  <c r="Q23" i="12"/>
  <c r="Q24" i="12"/>
  <c r="Q9" i="12"/>
  <c r="R25" i="12"/>
  <c r="R27" i="12" s="1"/>
  <c r="D106" i="26" l="1"/>
  <c r="B32" i="27"/>
  <c r="E65" i="29"/>
  <c r="F18" i="27"/>
  <c r="C106" i="26"/>
  <c r="D32" i="27"/>
  <c r="D37" i="28"/>
  <c r="H37" i="28" s="1"/>
  <c r="E18" i="27"/>
  <c r="B106" i="26"/>
  <c r="E19" i="28"/>
  <c r="G19" i="28" s="1"/>
  <c r="C19" i="28"/>
  <c r="C18" i="27"/>
  <c r="E48" i="26"/>
  <c r="G36" i="28"/>
  <c r="F36" i="28"/>
  <c r="E36" i="28"/>
  <c r="D36" i="28"/>
  <c r="C36" i="28"/>
  <c r="B36" i="28"/>
  <c r="B30" i="27"/>
  <c r="A36" i="28"/>
  <c r="A38" i="28"/>
  <c r="E35" i="28"/>
  <c r="F28" i="28"/>
  <c r="E28" i="28"/>
  <c r="C28" i="28"/>
  <c r="F32" i="28"/>
  <c r="E32" i="28"/>
  <c r="C32" i="28"/>
  <c r="F29" i="28"/>
  <c r="E29" i="28"/>
  <c r="C29" i="28"/>
  <c r="F33" i="28"/>
  <c r="E33" i="28"/>
  <c r="C33" i="28"/>
  <c r="A32" i="28"/>
  <c r="A33" i="28"/>
  <c r="F27" i="28"/>
  <c r="E27" i="28"/>
  <c r="C27" i="28"/>
  <c r="E18" i="28"/>
  <c r="E16" i="27"/>
  <c r="F18" i="28"/>
  <c r="F16" i="27"/>
  <c r="C18" i="28"/>
  <c r="C16" i="27"/>
  <c r="B18" i="28"/>
  <c r="B16" i="27"/>
  <c r="C37" i="27"/>
  <c r="B37" i="27"/>
  <c r="E25" i="27"/>
  <c r="C25" i="27"/>
  <c r="C41" i="27"/>
  <c r="B41" i="27"/>
  <c r="C36" i="27"/>
  <c r="B36" i="27"/>
  <c r="E29" i="27"/>
  <c r="C29" i="27"/>
  <c r="E24" i="27"/>
  <c r="C24" i="27"/>
  <c r="G32" i="27" l="1"/>
  <c r="G18" i="27"/>
  <c r="B18" i="27"/>
  <c r="D18" i="27" s="1"/>
  <c r="E106" i="26"/>
  <c r="B19" i="28"/>
  <c r="D19" i="28" s="1"/>
  <c r="H36" i="28"/>
  <c r="G18" i="28"/>
  <c r="D18" i="28"/>
  <c r="G4" i="30" l="1"/>
  <c r="G3" i="30"/>
  <c r="D4" i="30"/>
  <c r="D3" i="30"/>
  <c r="A4" i="30"/>
  <c r="A3" i="30"/>
  <c r="K4" i="29"/>
  <c r="K3" i="29"/>
  <c r="F4" i="29"/>
  <c r="F3" i="29"/>
  <c r="A4" i="29"/>
  <c r="E3" i="28"/>
  <c r="E4" i="28"/>
  <c r="B4" i="28"/>
  <c r="B3" i="28"/>
  <c r="A4" i="28"/>
  <c r="A3" i="28"/>
  <c r="E4" i="27"/>
  <c r="E3" i="27"/>
  <c r="C4" i="27"/>
  <c r="C3" i="27"/>
  <c r="A4" i="27"/>
  <c r="A3" i="27"/>
  <c r="B4" i="26"/>
  <c r="C4" i="26"/>
  <c r="C3" i="26"/>
  <c r="B3" i="26"/>
  <c r="A4" i="26"/>
  <c r="A3" i="26"/>
  <c r="F4" i="25"/>
  <c r="F3" i="25"/>
  <c r="D4" i="25"/>
  <c r="D3" i="25"/>
  <c r="A4" i="25"/>
  <c r="D81" i="27"/>
  <c r="B81" i="27"/>
  <c r="A81" i="27"/>
  <c r="D80" i="27"/>
  <c r="B80" i="27"/>
  <c r="A80" i="27"/>
  <c r="D79" i="27"/>
  <c r="B79" i="27"/>
  <c r="A79" i="27"/>
  <c r="D78" i="27"/>
  <c r="B78" i="27"/>
  <c r="A78" i="27"/>
  <c r="D77" i="27"/>
  <c r="B77" i="27"/>
  <c r="A77" i="27"/>
  <c r="D76" i="27"/>
  <c r="B76" i="27"/>
  <c r="A76" i="27"/>
  <c r="D72" i="27"/>
  <c r="C72" i="27"/>
  <c r="B72" i="27"/>
  <c r="A72" i="27"/>
  <c r="D71" i="27"/>
  <c r="C71" i="27"/>
  <c r="B71" i="27"/>
  <c r="A71" i="27"/>
  <c r="D70" i="27"/>
  <c r="C70" i="27"/>
  <c r="B70" i="27"/>
  <c r="A70" i="27"/>
  <c r="D69" i="27"/>
  <c r="C69" i="27"/>
  <c r="B69" i="27"/>
  <c r="A69" i="27"/>
  <c r="D68" i="27"/>
  <c r="C68" i="27"/>
  <c r="B68" i="27"/>
  <c r="A68" i="27"/>
  <c r="B66" i="29" l="1"/>
  <c r="F66" i="29" s="1"/>
  <c r="B58" i="29"/>
  <c r="F58" i="29" s="1"/>
  <c r="F56" i="29"/>
  <c r="O49" i="29"/>
  <c r="N49" i="29"/>
  <c r="K49" i="29"/>
  <c r="M48" i="29"/>
  <c r="P48" i="29" s="1"/>
  <c r="J48" i="29"/>
  <c r="L48" i="29" s="1"/>
  <c r="I48" i="29"/>
  <c r="E48" i="29"/>
  <c r="M42" i="29"/>
  <c r="P42" i="29" s="1"/>
  <c r="J42" i="29"/>
  <c r="L42" i="29" s="1"/>
  <c r="D34" i="28" s="1"/>
  <c r="I42" i="29"/>
  <c r="M41" i="29"/>
  <c r="P41" i="29" s="1"/>
  <c r="J41" i="29"/>
  <c r="L41" i="29" s="1"/>
  <c r="I41" i="29"/>
  <c r="B31" i="28" s="1"/>
  <c r="M40" i="29"/>
  <c r="P40" i="29" s="1"/>
  <c r="J40" i="29"/>
  <c r="L40" i="29" s="1"/>
  <c r="I40" i="29"/>
  <c r="B30" i="28" s="1"/>
  <c r="E40" i="29"/>
  <c r="D55" i="26"/>
  <c r="J39" i="29"/>
  <c r="L39" i="29" s="1"/>
  <c r="I39" i="29"/>
  <c r="M38" i="29"/>
  <c r="P38" i="29" s="1"/>
  <c r="J38" i="29"/>
  <c r="L38" i="29" s="1"/>
  <c r="I38" i="29"/>
  <c r="E38" i="29"/>
  <c r="M37" i="29"/>
  <c r="P37" i="29" s="1"/>
  <c r="J37" i="29"/>
  <c r="L37" i="29" s="1"/>
  <c r="I37" i="29"/>
  <c r="B33" i="28" s="1"/>
  <c r="M36" i="29"/>
  <c r="P36" i="29" s="1"/>
  <c r="J36" i="29"/>
  <c r="L36" i="29" s="1"/>
  <c r="J35" i="29"/>
  <c r="L35" i="29" s="1"/>
  <c r="I35" i="29"/>
  <c r="K30" i="29"/>
  <c r="J30" i="29"/>
  <c r="I30" i="29"/>
  <c r="E30" i="29"/>
  <c r="H31" i="29"/>
  <c r="K22" i="29"/>
  <c r="J22" i="29"/>
  <c r="I22" i="29"/>
  <c r="E22" i="29"/>
  <c r="K20" i="29"/>
  <c r="J20" i="29"/>
  <c r="I20" i="29"/>
  <c r="F35" i="28"/>
  <c r="C35" i="28"/>
  <c r="F34" i="28"/>
  <c r="E34" i="28"/>
  <c r="C34" i="28"/>
  <c r="F31" i="28"/>
  <c r="E31" i="28"/>
  <c r="C31" i="28"/>
  <c r="F30" i="28"/>
  <c r="E30" i="28"/>
  <c r="C30" i="28"/>
  <c r="C43" i="27"/>
  <c r="B43" i="27"/>
  <c r="C42" i="27"/>
  <c r="B42" i="27"/>
  <c r="C40" i="27"/>
  <c r="B40" i="27"/>
  <c r="C39" i="27"/>
  <c r="B39" i="27"/>
  <c r="C38" i="27"/>
  <c r="B38" i="27"/>
  <c r="E31" i="27"/>
  <c r="C31" i="27"/>
  <c r="E30" i="27"/>
  <c r="C30" i="27"/>
  <c r="E28" i="27"/>
  <c r="C28" i="27"/>
  <c r="E27" i="27"/>
  <c r="C27" i="27"/>
  <c r="E26" i="27"/>
  <c r="C26" i="27"/>
  <c r="D16" i="27"/>
  <c r="E104" i="26"/>
  <c r="D104" i="26"/>
  <c r="C104" i="26"/>
  <c r="A104" i="26"/>
  <c r="D72" i="26"/>
  <c r="C72" i="26"/>
  <c r="B72" i="26"/>
  <c r="D71" i="26"/>
  <c r="C71" i="26"/>
  <c r="B71" i="26"/>
  <c r="D70" i="26"/>
  <c r="C70" i="26"/>
  <c r="B70" i="26"/>
  <c r="D69" i="26"/>
  <c r="C69" i="26"/>
  <c r="B69" i="26"/>
  <c r="D68" i="26"/>
  <c r="C68" i="26"/>
  <c r="B68" i="26"/>
  <c r="D67" i="26"/>
  <c r="C67" i="26"/>
  <c r="B67" i="26"/>
  <c r="D66" i="26"/>
  <c r="C66" i="26"/>
  <c r="B66" i="26"/>
  <c r="D65" i="26"/>
  <c r="C65" i="26"/>
  <c r="B65" i="26"/>
  <c r="A61" i="26"/>
  <c r="D58" i="26"/>
  <c r="D86" i="26" s="1"/>
  <c r="C58" i="26"/>
  <c r="B58" i="26"/>
  <c r="D57" i="26"/>
  <c r="B57" i="26"/>
  <c r="D56" i="26"/>
  <c r="C56" i="26"/>
  <c r="B56" i="26"/>
  <c r="C55" i="26"/>
  <c r="D54" i="26"/>
  <c r="C54" i="26"/>
  <c r="B54" i="26"/>
  <c r="D53" i="26"/>
  <c r="B53" i="26"/>
  <c r="D52" i="26"/>
  <c r="C52" i="26"/>
  <c r="B52" i="26"/>
  <c r="C51" i="26"/>
  <c r="B51" i="26"/>
  <c r="A46" i="26"/>
  <c r="A89" i="26" s="1"/>
  <c r="D33" i="26"/>
  <c r="C33" i="26"/>
  <c r="B33" i="26"/>
  <c r="A32" i="26"/>
  <c r="A75" i="26" s="1"/>
  <c r="D31" i="26"/>
  <c r="C31" i="26"/>
  <c r="D30" i="26"/>
  <c r="D29" i="26"/>
  <c r="C29" i="26"/>
  <c r="B29" i="26"/>
  <c r="D28" i="26"/>
  <c r="C28" i="26"/>
  <c r="B28" i="26"/>
  <c r="D27" i="26"/>
  <c r="C27" i="26"/>
  <c r="B27" i="26"/>
  <c r="D26" i="26"/>
  <c r="C26" i="26"/>
  <c r="B26" i="26"/>
  <c r="D25" i="26"/>
  <c r="C25" i="26"/>
  <c r="B25" i="26"/>
  <c r="D24" i="26"/>
  <c r="C24" i="26"/>
  <c r="B24" i="26"/>
  <c r="D23" i="26"/>
  <c r="C23" i="26"/>
  <c r="B23" i="26"/>
  <c r="D22" i="26"/>
  <c r="C22" i="26"/>
  <c r="B22" i="26"/>
  <c r="A19" i="26"/>
  <c r="A105" i="26" s="1"/>
  <c r="A17" i="28" s="1"/>
  <c r="A35" i="28" s="1"/>
  <c r="A17" i="26"/>
  <c r="A103" i="26" s="1"/>
  <c r="A16" i="26"/>
  <c r="A102" i="26" s="1"/>
  <c r="A15" i="26"/>
  <c r="A58" i="26" s="1"/>
  <c r="A14" i="26"/>
  <c r="A100" i="26" s="1"/>
  <c r="A31" i="28" s="1"/>
  <c r="D13" i="26"/>
  <c r="C13" i="26"/>
  <c r="B13" i="26"/>
  <c r="A13" i="26"/>
  <c r="A99" i="26" s="1"/>
  <c r="A12" i="28" s="1"/>
  <c r="A30" i="28" s="1"/>
  <c r="A12" i="26"/>
  <c r="A55" i="26" s="1"/>
  <c r="D11" i="26"/>
  <c r="C11" i="26"/>
  <c r="B11" i="26"/>
  <c r="A11" i="26"/>
  <c r="A97" i="26" s="1"/>
  <c r="A28" i="28" s="1"/>
  <c r="A10" i="26"/>
  <c r="A53" i="26" s="1"/>
  <c r="A9" i="26"/>
  <c r="A52" i="26" s="1"/>
  <c r="A8" i="26"/>
  <c r="A94" i="26" s="1"/>
  <c r="A9" i="28" s="1"/>
  <c r="A27" i="28" s="1"/>
  <c r="D39" i="26" l="1"/>
  <c r="E52" i="26"/>
  <c r="E33" i="27"/>
  <c r="C33" i="27"/>
  <c r="E54" i="26"/>
  <c r="B86" i="26"/>
  <c r="B28" i="27" s="1"/>
  <c r="E58" i="26"/>
  <c r="B84" i="26"/>
  <c r="F12" i="28" s="1"/>
  <c r="E56" i="26"/>
  <c r="B85" i="26"/>
  <c r="F13" i="27" s="1"/>
  <c r="B81" i="26"/>
  <c r="F15" i="28" s="1"/>
  <c r="D21" i="26"/>
  <c r="C82" i="26"/>
  <c r="E69" i="26"/>
  <c r="E33" i="26"/>
  <c r="C86" i="26"/>
  <c r="E22" i="26"/>
  <c r="D85" i="26"/>
  <c r="D56" i="29"/>
  <c r="G56" i="29" s="1"/>
  <c r="D66" i="29"/>
  <c r="G66" i="29" s="1"/>
  <c r="D41" i="26"/>
  <c r="B39" i="26"/>
  <c r="B80" i="26"/>
  <c r="C83" i="26"/>
  <c r="F40" i="28"/>
  <c r="D82" i="26"/>
  <c r="C39" i="26"/>
  <c r="C80" i="26"/>
  <c r="E40" i="28"/>
  <c r="D80" i="26"/>
  <c r="D28" i="27"/>
  <c r="E65" i="26"/>
  <c r="E13" i="26"/>
  <c r="E24" i="26"/>
  <c r="C84" i="26"/>
  <c r="E71" i="26"/>
  <c r="Q48" i="29"/>
  <c r="C41" i="26"/>
  <c r="E27" i="26"/>
  <c r="E29" i="26"/>
  <c r="D84" i="26"/>
  <c r="E66" i="26"/>
  <c r="L20" i="29"/>
  <c r="C66" i="29"/>
  <c r="D81" i="26"/>
  <c r="D25" i="27"/>
  <c r="B82" i="26"/>
  <c r="D29" i="27"/>
  <c r="D33" i="28"/>
  <c r="E28" i="26"/>
  <c r="B79" i="26"/>
  <c r="C40" i="28"/>
  <c r="F29" i="27"/>
  <c r="G33" i="28"/>
  <c r="E23" i="26"/>
  <c r="L22" i="29"/>
  <c r="Q40" i="29"/>
  <c r="G16" i="27"/>
  <c r="E25" i="26"/>
  <c r="A30" i="26"/>
  <c r="A73" i="26" s="1"/>
  <c r="A51" i="26"/>
  <c r="E68" i="26"/>
  <c r="A98" i="26"/>
  <c r="A29" i="28" s="1"/>
  <c r="A28" i="26"/>
  <c r="A71" i="26" s="1"/>
  <c r="A38" i="26"/>
  <c r="A81" i="26" s="1"/>
  <c r="E67" i="26"/>
  <c r="E26" i="26"/>
  <c r="A40" i="26"/>
  <c r="A83" i="26" s="1"/>
  <c r="E72" i="26"/>
  <c r="A22" i="26"/>
  <c r="A65" i="26" s="1"/>
  <c r="B41" i="26"/>
  <c r="E12" i="28" s="1"/>
  <c r="A59" i="26"/>
  <c r="E70" i="26"/>
  <c r="A57" i="26"/>
  <c r="A96" i="26"/>
  <c r="D51" i="26"/>
  <c r="E51" i="26" s="1"/>
  <c r="M35" i="29"/>
  <c r="P35" i="29" s="1"/>
  <c r="C57" i="26"/>
  <c r="C85" i="26" s="1"/>
  <c r="E36" i="29"/>
  <c r="E37" i="29"/>
  <c r="B55" i="26"/>
  <c r="I36" i="29"/>
  <c r="B27" i="28" s="1"/>
  <c r="C53" i="26"/>
  <c r="C81" i="26" s="1"/>
  <c r="D83" i="26"/>
  <c r="D31" i="28"/>
  <c r="D27" i="27"/>
  <c r="A25" i="26"/>
  <c r="A68" i="26" s="1"/>
  <c r="A43" i="26"/>
  <c r="A47" i="26"/>
  <c r="A54" i="26"/>
  <c r="A101" i="26"/>
  <c r="A16" i="28" s="1"/>
  <c r="A34" i="28" s="1"/>
  <c r="G31" i="28"/>
  <c r="F27" i="27"/>
  <c r="A27" i="26"/>
  <c r="A70" i="26" s="1"/>
  <c r="A37" i="26"/>
  <c r="A45" i="26"/>
  <c r="A56" i="26"/>
  <c r="A95" i="26"/>
  <c r="Q37" i="29"/>
  <c r="Q42" i="29"/>
  <c r="B34" i="28"/>
  <c r="C58" i="29"/>
  <c r="Q41" i="29"/>
  <c r="A24" i="26"/>
  <c r="A67" i="26" s="1"/>
  <c r="A42" i="26"/>
  <c r="C79" i="26"/>
  <c r="E11" i="26"/>
  <c r="M39" i="29"/>
  <c r="P39" i="29" s="1"/>
  <c r="E39" i="29"/>
  <c r="A29" i="26"/>
  <c r="A72" i="26" s="1"/>
  <c r="A33" i="26"/>
  <c r="A76" i="26" s="1"/>
  <c r="A39" i="26"/>
  <c r="A62" i="26"/>
  <c r="D82" i="27"/>
  <c r="Q38" i="29"/>
  <c r="E56" i="29" s="1"/>
  <c r="D26" i="27"/>
  <c r="D30" i="28"/>
  <c r="A26" i="26"/>
  <c r="A69" i="26" s="1"/>
  <c r="A36" i="26"/>
  <c r="A44" i="26"/>
  <c r="G30" i="28"/>
  <c r="F26" i="27"/>
  <c r="G34" i="28"/>
  <c r="F28" i="27"/>
  <c r="A23" i="26"/>
  <c r="A66" i="26" s="1"/>
  <c r="A31" i="26"/>
  <c r="A74" i="26" s="1"/>
  <c r="A41" i="26"/>
  <c r="A60" i="26"/>
  <c r="D58" i="29"/>
  <c r="G58" i="29" s="1"/>
  <c r="E41" i="29"/>
  <c r="E35" i="29"/>
  <c r="E42" i="29"/>
  <c r="C56" i="29"/>
  <c r="L30" i="29"/>
  <c r="L4" i="24"/>
  <c r="F4" i="24"/>
  <c r="H4" i="19"/>
  <c r="E4" i="19"/>
  <c r="P4" i="18"/>
  <c r="H4" i="18"/>
  <c r="Q4" i="17"/>
  <c r="H4" i="17"/>
  <c r="J4" i="16"/>
  <c r="F4" i="16"/>
  <c r="M4" i="15"/>
  <c r="G4" i="15"/>
  <c r="J4" i="5"/>
  <c r="E4" i="5"/>
  <c r="K4" i="14"/>
  <c r="G4" i="14"/>
  <c r="K4" i="13"/>
  <c r="G4" i="13"/>
  <c r="N4" i="12"/>
  <c r="F4" i="12"/>
  <c r="M4" i="2"/>
  <c r="F4" i="2"/>
  <c r="D97" i="26" l="1"/>
  <c r="B26" i="27"/>
  <c r="G26" i="27" s="1"/>
  <c r="F12" i="27"/>
  <c r="F15" i="27"/>
  <c r="B29" i="27"/>
  <c r="G29" i="27" s="1"/>
  <c r="F14" i="27"/>
  <c r="C97" i="26"/>
  <c r="F16" i="28"/>
  <c r="B83" i="26"/>
  <c r="B25" i="27" s="1"/>
  <c r="E55" i="26"/>
  <c r="E53" i="26"/>
  <c r="B27" i="27"/>
  <c r="G27" i="27" s="1"/>
  <c r="D79" i="26"/>
  <c r="E57" i="26"/>
  <c r="B99" i="26"/>
  <c r="D99" i="26"/>
  <c r="B97" i="26"/>
  <c r="E66" i="29"/>
  <c r="E12" i="27"/>
  <c r="G12" i="27" s="1"/>
  <c r="H33" i="28"/>
  <c r="E39" i="26"/>
  <c r="Q36" i="29"/>
  <c r="G27" i="28"/>
  <c r="F24" i="27"/>
  <c r="F25" i="27"/>
  <c r="E58" i="29"/>
  <c r="C99" i="26"/>
  <c r="E41" i="26"/>
  <c r="D24" i="27"/>
  <c r="D27" i="28"/>
  <c r="B24" i="27"/>
  <c r="F10" i="27"/>
  <c r="F9" i="28"/>
  <c r="H31" i="28"/>
  <c r="H30" i="28"/>
  <c r="G12" i="28"/>
  <c r="Q35" i="29"/>
  <c r="A80" i="26"/>
  <c r="A29" i="27"/>
  <c r="A41" i="27" s="1"/>
  <c r="A87" i="26"/>
  <c r="A10" i="27"/>
  <c r="A24" i="27" s="1"/>
  <c r="A36" i="27" s="1"/>
  <c r="A79" i="26"/>
  <c r="H34" i="28"/>
  <c r="A17" i="27"/>
  <c r="A31" i="27" s="1"/>
  <c r="A43" i="27" s="1"/>
  <c r="A90" i="26"/>
  <c r="A14" i="27"/>
  <c r="A28" i="27" s="1"/>
  <c r="A40" i="27" s="1"/>
  <c r="A86" i="26"/>
  <c r="A13" i="27"/>
  <c r="A27" i="27" s="1"/>
  <c r="A39" i="27" s="1"/>
  <c r="A85" i="26"/>
  <c r="G28" i="27"/>
  <c r="A12" i="27"/>
  <c r="A26" i="27" s="1"/>
  <c r="A38" i="27" s="1"/>
  <c r="A84" i="26"/>
  <c r="A11" i="27"/>
  <c r="A25" i="27" s="1"/>
  <c r="A37" i="27" s="1"/>
  <c r="A82" i="26"/>
  <c r="A88" i="26"/>
  <c r="Q39" i="29"/>
  <c r="J25" i="16"/>
  <c r="J29" i="16" s="1"/>
  <c r="K25" i="15"/>
  <c r="K29" i="15" s="1"/>
  <c r="F11" i="27" l="1"/>
  <c r="G25" i="27"/>
  <c r="G24" i="27"/>
  <c r="B12" i="27"/>
  <c r="B12" i="28"/>
  <c r="H27" i="28"/>
  <c r="B45" i="24"/>
  <c r="B54" i="24"/>
  <c r="B30" i="24"/>
  <c r="B31" i="24"/>
  <c r="B46" i="24" s="1"/>
  <c r="B32" i="24"/>
  <c r="B47" i="24" s="1"/>
  <c r="B33" i="24"/>
  <c r="B48" i="24" s="1"/>
  <c r="B34" i="24"/>
  <c r="B49" i="24" s="1"/>
  <c r="B35" i="24"/>
  <c r="B50" i="24" s="1"/>
  <c r="B36" i="24"/>
  <c r="B51" i="24" s="1"/>
  <c r="B37" i="24"/>
  <c r="B52" i="24" s="1"/>
  <c r="B38" i="24"/>
  <c r="B53" i="24" s="1"/>
  <c r="B39" i="24"/>
  <c r="B29" i="24"/>
  <c r="B44" i="24" s="1"/>
  <c r="E9" i="24"/>
  <c r="E10" i="24"/>
  <c r="E11" i="24"/>
  <c r="E12" i="24"/>
  <c r="E13" i="24"/>
  <c r="E14" i="24"/>
  <c r="E15" i="24"/>
  <c r="E16" i="24"/>
  <c r="E17" i="24"/>
  <c r="E18" i="24"/>
  <c r="E19" i="24"/>
  <c r="E20" i="24"/>
  <c r="E21" i="24"/>
  <c r="E22" i="24"/>
  <c r="E23" i="24"/>
  <c r="E24" i="24"/>
  <c r="A29" i="24"/>
  <c r="A44" i="24" s="1"/>
  <c r="F29" i="24"/>
  <c r="E44" i="24" s="1"/>
  <c r="M29" i="24"/>
  <c r="N29" i="24"/>
  <c r="O29" i="24"/>
  <c r="A30" i="24"/>
  <c r="F30" i="24"/>
  <c r="E45" i="24" s="1"/>
  <c r="M30" i="24"/>
  <c r="N30" i="24"/>
  <c r="O30" i="24"/>
  <c r="A31" i="24"/>
  <c r="A46" i="24" s="1"/>
  <c r="F31" i="24"/>
  <c r="E46" i="24" s="1"/>
  <c r="M31" i="24"/>
  <c r="N31" i="24"/>
  <c r="O31" i="24"/>
  <c r="A32" i="24"/>
  <c r="A47" i="24" s="1"/>
  <c r="F32" i="24"/>
  <c r="E47" i="24" s="1"/>
  <c r="M32" i="24"/>
  <c r="N32" i="24"/>
  <c r="O32" i="24"/>
  <c r="A33" i="24"/>
  <c r="A48" i="24" s="1"/>
  <c r="F33" i="24"/>
  <c r="E48" i="24" s="1"/>
  <c r="M33" i="24"/>
  <c r="N33" i="24"/>
  <c r="O33" i="24"/>
  <c r="A34" i="24"/>
  <c r="A49" i="24" s="1"/>
  <c r="F34" i="24"/>
  <c r="E49" i="24" s="1"/>
  <c r="M34" i="24"/>
  <c r="N34" i="24"/>
  <c r="O34" i="24"/>
  <c r="A35" i="24"/>
  <c r="A50" i="24" s="1"/>
  <c r="F35" i="24"/>
  <c r="E50" i="24" s="1"/>
  <c r="M35" i="24"/>
  <c r="N35" i="24"/>
  <c r="O35" i="24"/>
  <c r="A36" i="24"/>
  <c r="A51" i="24" s="1"/>
  <c r="F36" i="24"/>
  <c r="E51" i="24" s="1"/>
  <c r="M36" i="24"/>
  <c r="N36" i="24"/>
  <c r="O36" i="24"/>
  <c r="A37" i="24"/>
  <c r="A52" i="24" s="1"/>
  <c r="F37" i="24"/>
  <c r="E52" i="24" s="1"/>
  <c r="M37" i="24"/>
  <c r="N37" i="24"/>
  <c r="O37" i="24"/>
  <c r="A38" i="24"/>
  <c r="A53" i="24" s="1"/>
  <c r="F38" i="24"/>
  <c r="E53" i="24" s="1"/>
  <c r="M38" i="24"/>
  <c r="N38" i="24"/>
  <c r="O38" i="24"/>
  <c r="A39" i="24"/>
  <c r="A54" i="24" s="1"/>
  <c r="F39" i="24"/>
  <c r="E54" i="24" s="1"/>
  <c r="M39" i="24"/>
  <c r="N39" i="24"/>
  <c r="O39" i="24"/>
  <c r="A40" i="24"/>
  <c r="C46" i="29"/>
  <c r="D46" i="29"/>
  <c r="G40" i="24"/>
  <c r="H40" i="24"/>
  <c r="I40" i="24"/>
  <c r="J40" i="24"/>
  <c r="K40" i="24"/>
  <c r="L40" i="24"/>
  <c r="C44" i="24"/>
  <c r="C45" i="24"/>
  <c r="D45" i="24" s="1"/>
  <c r="C46" i="24"/>
  <c r="D46" i="24" s="1"/>
  <c r="C47" i="24"/>
  <c r="D47" i="24" s="1"/>
  <c r="C48" i="24"/>
  <c r="D48" i="24" s="1"/>
  <c r="C49" i="24"/>
  <c r="D49" i="24" s="1"/>
  <c r="C50" i="24"/>
  <c r="D50" i="24" s="1"/>
  <c r="C51" i="24"/>
  <c r="D51" i="24" s="1"/>
  <c r="C52" i="24"/>
  <c r="D52" i="24" s="1"/>
  <c r="C53" i="24"/>
  <c r="D53" i="24" s="1"/>
  <c r="C54" i="24"/>
  <c r="D54" i="24" s="1"/>
  <c r="A55" i="24"/>
  <c r="A45" i="24"/>
  <c r="D28" i="29"/>
  <c r="C28" i="29"/>
  <c r="B28" i="29"/>
  <c r="I28" i="29" s="1"/>
  <c r="O24" i="24"/>
  <c r="M24" i="24"/>
  <c r="N24" i="24" s="1"/>
  <c r="K24" i="24"/>
  <c r="H24" i="24"/>
  <c r="O23" i="24"/>
  <c r="M23" i="24"/>
  <c r="N23" i="24" s="1"/>
  <c r="K23" i="24"/>
  <c r="H23" i="24"/>
  <c r="O22" i="24"/>
  <c r="M22" i="24"/>
  <c r="N22" i="24" s="1"/>
  <c r="K22" i="24"/>
  <c r="H22" i="24"/>
  <c r="O21" i="24"/>
  <c r="M21" i="24"/>
  <c r="N21" i="24" s="1"/>
  <c r="K21" i="24"/>
  <c r="H21" i="24"/>
  <c r="O20" i="24"/>
  <c r="M20" i="24"/>
  <c r="N20" i="24" s="1"/>
  <c r="K20" i="24"/>
  <c r="H20" i="24"/>
  <c r="O19" i="24"/>
  <c r="M19" i="24"/>
  <c r="N19" i="24" s="1"/>
  <c r="K19" i="24"/>
  <c r="H19" i="24"/>
  <c r="O18" i="24"/>
  <c r="M18" i="24"/>
  <c r="N18" i="24" s="1"/>
  <c r="K18" i="24"/>
  <c r="H18" i="24"/>
  <c r="O17" i="24"/>
  <c r="M17" i="24"/>
  <c r="N17" i="24" s="1"/>
  <c r="K17" i="24"/>
  <c r="H17" i="24"/>
  <c r="O16" i="24"/>
  <c r="M16" i="24"/>
  <c r="N16" i="24" s="1"/>
  <c r="K16" i="24"/>
  <c r="H16" i="24"/>
  <c r="O15" i="24"/>
  <c r="M15" i="24"/>
  <c r="N15" i="24" s="1"/>
  <c r="K15" i="24"/>
  <c r="H15" i="24"/>
  <c r="O14" i="24"/>
  <c r="M14" i="24"/>
  <c r="N14" i="24" s="1"/>
  <c r="K14" i="24"/>
  <c r="H14" i="24"/>
  <c r="O13" i="24"/>
  <c r="M13" i="24"/>
  <c r="N13" i="24" s="1"/>
  <c r="K13" i="24"/>
  <c r="H13" i="24"/>
  <c r="O12" i="24"/>
  <c r="M12" i="24"/>
  <c r="N12" i="24" s="1"/>
  <c r="K12" i="24"/>
  <c r="H12" i="24"/>
  <c r="O11" i="24"/>
  <c r="M11" i="24"/>
  <c r="N11" i="24" s="1"/>
  <c r="K11" i="24"/>
  <c r="H11" i="24"/>
  <c r="O10" i="24"/>
  <c r="M10" i="24"/>
  <c r="N10" i="24" s="1"/>
  <c r="K10" i="24"/>
  <c r="H10" i="24"/>
  <c r="O9" i="24"/>
  <c r="O25" i="24" s="1"/>
  <c r="O26" i="24" s="1"/>
  <c r="M9" i="24"/>
  <c r="K9" i="24"/>
  <c r="H9" i="24"/>
  <c r="A4" i="24"/>
  <c r="L3" i="24"/>
  <c r="F3" i="24"/>
  <c r="A3" i="24"/>
  <c r="P9" i="2"/>
  <c r="P25" i="2" s="1"/>
  <c r="P28" i="2" s="1"/>
  <c r="N9" i="2"/>
  <c r="P10" i="15"/>
  <c r="P11" i="15"/>
  <c r="P12" i="15"/>
  <c r="P13" i="15"/>
  <c r="P14" i="15"/>
  <c r="P15" i="15"/>
  <c r="P16" i="15"/>
  <c r="P17" i="15"/>
  <c r="P18" i="15"/>
  <c r="P19" i="15"/>
  <c r="P20" i="15"/>
  <c r="P21" i="15"/>
  <c r="P22" i="15"/>
  <c r="P23" i="15"/>
  <c r="P24" i="15"/>
  <c r="N10" i="15"/>
  <c r="N9" i="15"/>
  <c r="G16" i="5"/>
  <c r="J25" i="14"/>
  <c r="C21" i="29" s="1"/>
  <c r="M25" i="14"/>
  <c r="D21" i="29" s="1"/>
  <c r="G25" i="14"/>
  <c r="B21" i="29" s="1"/>
  <c r="B57" i="29" s="1"/>
  <c r="C76" i="26" l="1"/>
  <c r="G46" i="29"/>
  <c r="F46" i="29"/>
  <c r="B76" i="26" s="1"/>
  <c r="D76" i="26"/>
  <c r="H46" i="29"/>
  <c r="M46" i="29" s="1"/>
  <c r="P46" i="29" s="1"/>
  <c r="B46" i="29"/>
  <c r="E46" i="29" s="1"/>
  <c r="F40" i="24"/>
  <c r="D44" i="24"/>
  <c r="B64" i="29"/>
  <c r="N9" i="24"/>
  <c r="O9" i="2"/>
  <c r="E28" i="29"/>
  <c r="K21" i="29"/>
  <c r="D12" i="26"/>
  <c r="D40" i="26" s="1"/>
  <c r="D98" i="26" s="1"/>
  <c r="J21" i="29"/>
  <c r="C12" i="26"/>
  <c r="C40" i="26" s="1"/>
  <c r="C98" i="26" s="1"/>
  <c r="C62" i="26"/>
  <c r="J46" i="29"/>
  <c r="L46" i="29" s="1"/>
  <c r="B19" i="26"/>
  <c r="B62" i="26"/>
  <c r="D62" i="26"/>
  <c r="J28" i="29"/>
  <c r="C19" i="26"/>
  <c r="C47" i="26" s="1"/>
  <c r="K28" i="29"/>
  <c r="D19" i="26"/>
  <c r="D47" i="26" s="1"/>
  <c r="B12" i="26"/>
  <c r="I21" i="29"/>
  <c r="E21" i="29"/>
  <c r="G27" i="2"/>
  <c r="B17" i="29"/>
  <c r="F51" i="24"/>
  <c r="G51" i="24" s="1"/>
  <c r="D55" i="24"/>
  <c r="E55" i="24"/>
  <c r="F48" i="24"/>
  <c r="F53" i="24"/>
  <c r="F45" i="24"/>
  <c r="O40" i="24"/>
  <c r="M40" i="24"/>
  <c r="P35" i="24"/>
  <c r="H50" i="24" s="1"/>
  <c r="F50" i="24"/>
  <c r="F47" i="24"/>
  <c r="F52" i="24"/>
  <c r="F44" i="24"/>
  <c r="F49" i="24"/>
  <c r="P39" i="24"/>
  <c r="H54" i="24" s="1"/>
  <c r="P31" i="24"/>
  <c r="H46" i="24" s="1"/>
  <c r="F54" i="24"/>
  <c r="F46" i="24"/>
  <c r="P30" i="24"/>
  <c r="P36" i="24"/>
  <c r="H51" i="24" s="1"/>
  <c r="P33" i="24"/>
  <c r="H48" i="24" s="1"/>
  <c r="P37" i="24"/>
  <c r="H52" i="24" s="1"/>
  <c r="P34" i="24"/>
  <c r="H49" i="24" s="1"/>
  <c r="P29" i="24"/>
  <c r="H44" i="24" s="1"/>
  <c r="P38" i="24"/>
  <c r="H53" i="24" s="1"/>
  <c r="N40" i="24"/>
  <c r="P32" i="24"/>
  <c r="H45" i="24"/>
  <c r="C55" i="24"/>
  <c r="H47" i="24"/>
  <c r="F38" i="17"/>
  <c r="G38" i="17" s="1"/>
  <c r="F39" i="17"/>
  <c r="G39" i="17" s="1"/>
  <c r="F40" i="17"/>
  <c r="G40" i="17" s="1"/>
  <c r="F41" i="17"/>
  <c r="G41" i="17" s="1"/>
  <c r="F42" i="17"/>
  <c r="G42" i="17" s="1"/>
  <c r="F43" i="17"/>
  <c r="G43" i="17" s="1"/>
  <c r="F44" i="17"/>
  <c r="G44" i="17" s="1"/>
  <c r="F45" i="17"/>
  <c r="G45" i="17" s="1"/>
  <c r="F46" i="17"/>
  <c r="G46" i="17" s="1"/>
  <c r="F37" i="17"/>
  <c r="F47" i="17" s="1"/>
  <c r="H38" i="17"/>
  <c r="H39" i="17"/>
  <c r="H40" i="17"/>
  <c r="H41" i="17"/>
  <c r="H42" i="17"/>
  <c r="H43" i="17"/>
  <c r="H44" i="17"/>
  <c r="H45" i="17"/>
  <c r="C77" i="27" s="1"/>
  <c r="H46" i="17"/>
  <c r="C78" i="27" s="1"/>
  <c r="C79" i="27"/>
  <c r="C80" i="27"/>
  <c r="C81" i="27"/>
  <c r="H37" i="17"/>
  <c r="C43" i="17"/>
  <c r="D43" i="17"/>
  <c r="E43" i="17"/>
  <c r="C44" i="17"/>
  <c r="D44" i="17"/>
  <c r="E44" i="17"/>
  <c r="C45" i="17"/>
  <c r="D45" i="17"/>
  <c r="E45" i="17"/>
  <c r="C46" i="17"/>
  <c r="D46" i="17"/>
  <c r="E46" i="17"/>
  <c r="C38" i="17"/>
  <c r="D38" i="17"/>
  <c r="E38" i="17"/>
  <c r="C39" i="17"/>
  <c r="D39" i="17"/>
  <c r="E39" i="17"/>
  <c r="C40" i="17"/>
  <c r="D40" i="17"/>
  <c r="E40" i="17"/>
  <c r="C41" i="17"/>
  <c r="D41" i="17"/>
  <c r="E41" i="17"/>
  <c r="C42" i="17"/>
  <c r="D42" i="17"/>
  <c r="E42" i="17"/>
  <c r="E37" i="17"/>
  <c r="C37" i="17"/>
  <c r="D37" i="17"/>
  <c r="A47" i="17"/>
  <c r="B46" i="17"/>
  <c r="A46" i="17"/>
  <c r="B45" i="17"/>
  <c r="A45" i="17"/>
  <c r="B44" i="17"/>
  <c r="A44" i="17"/>
  <c r="B43" i="17"/>
  <c r="A43" i="17"/>
  <c r="B42" i="17"/>
  <c r="A42" i="17"/>
  <c r="B41" i="17"/>
  <c r="A41" i="17"/>
  <c r="B40" i="17"/>
  <c r="A40" i="17"/>
  <c r="B39" i="17"/>
  <c r="A39" i="17"/>
  <c r="B38" i="17"/>
  <c r="A38" i="17"/>
  <c r="B37" i="17"/>
  <c r="A37" i="17"/>
  <c r="B32" i="17"/>
  <c r="C32" i="17"/>
  <c r="D32" i="17"/>
  <c r="E32" i="17"/>
  <c r="B28" i="17"/>
  <c r="C28" i="17"/>
  <c r="D28" i="17"/>
  <c r="E28" i="17"/>
  <c r="B29" i="17"/>
  <c r="C29" i="17"/>
  <c r="D29" i="17"/>
  <c r="E29" i="17"/>
  <c r="B30" i="17"/>
  <c r="C30" i="17"/>
  <c r="D30" i="17"/>
  <c r="E30" i="17"/>
  <c r="B31" i="17"/>
  <c r="C31" i="17"/>
  <c r="D31" i="17"/>
  <c r="E31" i="17"/>
  <c r="B24" i="17"/>
  <c r="C24" i="17"/>
  <c r="D24" i="17"/>
  <c r="E24" i="17"/>
  <c r="B25" i="17"/>
  <c r="C25" i="17"/>
  <c r="D25" i="17"/>
  <c r="E25" i="17"/>
  <c r="B26" i="17"/>
  <c r="C26" i="17"/>
  <c r="D26" i="17"/>
  <c r="E26" i="17"/>
  <c r="B27" i="17"/>
  <c r="C27" i="17"/>
  <c r="D27" i="17"/>
  <c r="E27" i="17"/>
  <c r="C23" i="17"/>
  <c r="D23" i="17"/>
  <c r="E23" i="17"/>
  <c r="B23" i="17"/>
  <c r="A24" i="17"/>
  <c r="A25" i="17"/>
  <c r="A26" i="17"/>
  <c r="A27" i="17"/>
  <c r="A28" i="17"/>
  <c r="A29" i="17"/>
  <c r="A30" i="17"/>
  <c r="A31" i="17"/>
  <c r="A32" i="17"/>
  <c r="A33" i="17"/>
  <c r="A23" i="17"/>
  <c r="R32" i="17"/>
  <c r="Q32" i="17"/>
  <c r="P32" i="17"/>
  <c r="I32" i="17"/>
  <c r="R31" i="17"/>
  <c r="Q31" i="17"/>
  <c r="P31" i="17"/>
  <c r="I31" i="17"/>
  <c r="R30" i="17"/>
  <c r="Q30" i="17"/>
  <c r="P30" i="17"/>
  <c r="I30" i="17"/>
  <c r="R29" i="17"/>
  <c r="Q29" i="17"/>
  <c r="P29" i="17"/>
  <c r="I29" i="17"/>
  <c r="R28" i="17"/>
  <c r="Q28" i="17"/>
  <c r="P28" i="17"/>
  <c r="I28" i="17"/>
  <c r="R27" i="17"/>
  <c r="Q27" i="17"/>
  <c r="P27" i="17"/>
  <c r="I27" i="17"/>
  <c r="R26" i="17"/>
  <c r="Q26" i="17"/>
  <c r="P26" i="17"/>
  <c r="I26" i="17"/>
  <c r="R25" i="17"/>
  <c r="Q25" i="17"/>
  <c r="P25" i="17"/>
  <c r="I25" i="17"/>
  <c r="R24" i="17"/>
  <c r="Q24" i="17"/>
  <c r="P24" i="17"/>
  <c r="I24" i="17"/>
  <c r="I23" i="17"/>
  <c r="I33" i="17" s="1"/>
  <c r="W19" i="17"/>
  <c r="G25" i="29" s="1"/>
  <c r="V19" i="17"/>
  <c r="I19" i="17"/>
  <c r="F25" i="29" s="1"/>
  <c r="F31" i="29" s="1"/>
  <c r="J19" i="17"/>
  <c r="K10" i="17"/>
  <c r="K11" i="17"/>
  <c r="K12" i="17"/>
  <c r="K13" i="17"/>
  <c r="K14" i="17"/>
  <c r="K15" i="17"/>
  <c r="K16" i="17"/>
  <c r="K17" i="17"/>
  <c r="K18" i="17"/>
  <c r="G9" i="17"/>
  <c r="L10" i="17"/>
  <c r="N38" i="17" s="1"/>
  <c r="L11" i="17"/>
  <c r="L12" i="17"/>
  <c r="L13" i="17"/>
  <c r="L14" i="17"/>
  <c r="L15" i="17"/>
  <c r="L16" i="17"/>
  <c r="L17" i="17"/>
  <c r="L18" i="17"/>
  <c r="N46" i="17" s="1"/>
  <c r="L9" i="17"/>
  <c r="G38" i="18"/>
  <c r="G39" i="18"/>
  <c r="G40" i="18"/>
  <c r="G41" i="18"/>
  <c r="G42" i="18"/>
  <c r="G43" i="18"/>
  <c r="G44" i="18"/>
  <c r="G45" i="18"/>
  <c r="G46" i="18"/>
  <c r="G37" i="18"/>
  <c r="G47" i="18" s="1"/>
  <c r="A38" i="18"/>
  <c r="B38" i="18"/>
  <c r="C38" i="18"/>
  <c r="D38" i="18"/>
  <c r="E38" i="18"/>
  <c r="F38" i="18"/>
  <c r="A39" i="18"/>
  <c r="B39" i="18"/>
  <c r="C39" i="18"/>
  <c r="D39" i="18"/>
  <c r="E39" i="18"/>
  <c r="F39" i="18"/>
  <c r="A40" i="18"/>
  <c r="B40" i="18"/>
  <c r="C40" i="18"/>
  <c r="D40" i="18"/>
  <c r="E40" i="18"/>
  <c r="F40" i="18"/>
  <c r="A41" i="18"/>
  <c r="B41" i="18"/>
  <c r="C41" i="18"/>
  <c r="D41" i="18"/>
  <c r="E41" i="18"/>
  <c r="F41" i="18"/>
  <c r="A42" i="18"/>
  <c r="B42" i="18"/>
  <c r="C42" i="18"/>
  <c r="D42" i="18"/>
  <c r="E42" i="18"/>
  <c r="F42" i="18"/>
  <c r="A43" i="18"/>
  <c r="B43" i="18"/>
  <c r="C43" i="18"/>
  <c r="D43" i="18"/>
  <c r="E43" i="18"/>
  <c r="F43" i="18"/>
  <c r="A44" i="18"/>
  <c r="B44" i="18"/>
  <c r="C44" i="18"/>
  <c r="D44" i="18"/>
  <c r="E44" i="18"/>
  <c r="F44" i="18"/>
  <c r="A45" i="18"/>
  <c r="B45" i="18"/>
  <c r="C45" i="18"/>
  <c r="D45" i="18"/>
  <c r="E45" i="18"/>
  <c r="F45" i="18"/>
  <c r="A46" i="18"/>
  <c r="B46" i="18"/>
  <c r="C46" i="18"/>
  <c r="D46" i="18"/>
  <c r="E46" i="18"/>
  <c r="F46" i="18"/>
  <c r="B37" i="18"/>
  <c r="C37" i="18"/>
  <c r="D37" i="18"/>
  <c r="E37" i="18"/>
  <c r="F37" i="18"/>
  <c r="F47" i="18" s="1"/>
  <c r="A47" i="18"/>
  <c r="A37" i="18"/>
  <c r="B29" i="18"/>
  <c r="C29" i="18"/>
  <c r="D29" i="18"/>
  <c r="E29" i="18"/>
  <c r="F29" i="18"/>
  <c r="B30" i="18"/>
  <c r="C30" i="18"/>
  <c r="D30" i="18"/>
  <c r="E30" i="18"/>
  <c r="F30" i="18"/>
  <c r="B31" i="18"/>
  <c r="C31" i="18"/>
  <c r="D31" i="18"/>
  <c r="E31" i="18"/>
  <c r="F31" i="18"/>
  <c r="B32" i="18"/>
  <c r="C32" i="18"/>
  <c r="D32" i="18"/>
  <c r="E32" i="18"/>
  <c r="F32" i="18"/>
  <c r="B24" i="18"/>
  <c r="C24" i="18"/>
  <c r="D24" i="18"/>
  <c r="E24" i="18"/>
  <c r="F24" i="18"/>
  <c r="B25" i="18"/>
  <c r="C25" i="18"/>
  <c r="D25" i="18"/>
  <c r="E25" i="18"/>
  <c r="F25" i="18"/>
  <c r="B26" i="18"/>
  <c r="C26" i="18"/>
  <c r="D26" i="18"/>
  <c r="E26" i="18"/>
  <c r="F26" i="18"/>
  <c r="B27" i="18"/>
  <c r="C27" i="18"/>
  <c r="D27" i="18"/>
  <c r="E27" i="18"/>
  <c r="F27" i="18"/>
  <c r="B28" i="18"/>
  <c r="C28" i="18"/>
  <c r="D28" i="18"/>
  <c r="E28" i="18"/>
  <c r="F28" i="18"/>
  <c r="C23" i="18"/>
  <c r="D23" i="18"/>
  <c r="E23" i="18"/>
  <c r="F23" i="18"/>
  <c r="F33" i="18" s="1"/>
  <c r="B23" i="18"/>
  <c r="A24" i="18"/>
  <c r="A25" i="18"/>
  <c r="A26" i="18"/>
  <c r="A27" i="18"/>
  <c r="A28" i="18"/>
  <c r="A29" i="18"/>
  <c r="A30" i="18"/>
  <c r="A31" i="18"/>
  <c r="A32" i="18"/>
  <c r="A23" i="18"/>
  <c r="C74" i="26"/>
  <c r="D74" i="26"/>
  <c r="B74" i="26"/>
  <c r="B44" i="29"/>
  <c r="S32" i="18"/>
  <c r="R32" i="18"/>
  <c r="Q32" i="18"/>
  <c r="J32" i="18"/>
  <c r="S31" i="18"/>
  <c r="R31" i="18"/>
  <c r="Q31" i="18"/>
  <c r="J31" i="18"/>
  <c r="S30" i="18"/>
  <c r="R30" i="18"/>
  <c r="Q30" i="18"/>
  <c r="J30" i="18"/>
  <c r="S29" i="18"/>
  <c r="R29" i="18"/>
  <c r="Q29" i="18"/>
  <c r="J29" i="18"/>
  <c r="S28" i="18"/>
  <c r="R28" i="18"/>
  <c r="Q28" i="18"/>
  <c r="J28" i="18"/>
  <c r="S27" i="18"/>
  <c r="R27" i="18"/>
  <c r="Q27" i="18"/>
  <c r="J27" i="18"/>
  <c r="S26" i="18"/>
  <c r="R26" i="18"/>
  <c r="Q26" i="18"/>
  <c r="J26" i="18"/>
  <c r="S25" i="18"/>
  <c r="R25" i="18"/>
  <c r="Q25" i="18"/>
  <c r="J25" i="18"/>
  <c r="S24" i="18"/>
  <c r="R24" i="18"/>
  <c r="Q24" i="18"/>
  <c r="J24" i="18"/>
  <c r="S23" i="18"/>
  <c r="S33" i="18" s="1"/>
  <c r="R23" i="18"/>
  <c r="R33" i="18" s="1"/>
  <c r="Q23" i="18"/>
  <c r="Q33" i="18" s="1"/>
  <c r="S16" i="18"/>
  <c r="S17" i="18"/>
  <c r="S18" i="18"/>
  <c r="S10" i="18"/>
  <c r="S11" i="18"/>
  <c r="S12" i="18"/>
  <c r="S13" i="18"/>
  <c r="S14" i="18"/>
  <c r="S15" i="18"/>
  <c r="S9" i="18"/>
  <c r="S19" i="18" s="1"/>
  <c r="R10" i="18"/>
  <c r="R11" i="18"/>
  <c r="R12" i="18"/>
  <c r="R13" i="18"/>
  <c r="R14" i="18"/>
  <c r="R15" i="18"/>
  <c r="R16" i="18"/>
  <c r="R17" i="18"/>
  <c r="R18" i="18"/>
  <c r="R9" i="18"/>
  <c r="R19" i="18" s="1"/>
  <c r="M25" i="2"/>
  <c r="J25" i="2"/>
  <c r="P24" i="2"/>
  <c r="N24" i="2"/>
  <c r="O24" i="2" s="1"/>
  <c r="L24" i="2"/>
  <c r="I24" i="2"/>
  <c r="F24" i="2"/>
  <c r="P23" i="2"/>
  <c r="N23" i="2"/>
  <c r="O23" i="2" s="1"/>
  <c r="L23" i="2"/>
  <c r="I23" i="2"/>
  <c r="F23" i="2"/>
  <c r="P22" i="2"/>
  <c r="N22" i="2"/>
  <c r="O22" i="2" s="1"/>
  <c r="L22" i="2"/>
  <c r="I22" i="2"/>
  <c r="F22" i="2"/>
  <c r="P21" i="2"/>
  <c r="N21" i="2"/>
  <c r="O21" i="2" s="1"/>
  <c r="L21" i="2"/>
  <c r="I21" i="2"/>
  <c r="F21" i="2"/>
  <c r="P20" i="2"/>
  <c r="N20" i="2"/>
  <c r="O20" i="2" s="1"/>
  <c r="L20" i="2"/>
  <c r="I20" i="2"/>
  <c r="F20" i="2"/>
  <c r="P19" i="2"/>
  <c r="N19" i="2"/>
  <c r="O19" i="2" s="1"/>
  <c r="L19" i="2"/>
  <c r="I19" i="2"/>
  <c r="F19" i="2"/>
  <c r="P18" i="2"/>
  <c r="N18" i="2"/>
  <c r="O18" i="2" s="1"/>
  <c r="L18" i="2"/>
  <c r="I18" i="2"/>
  <c r="F18" i="2"/>
  <c r="P17" i="2"/>
  <c r="N17" i="2"/>
  <c r="O17" i="2" s="1"/>
  <c r="L17" i="2"/>
  <c r="I17" i="2"/>
  <c r="F17" i="2"/>
  <c r="P16" i="2"/>
  <c r="N16" i="2"/>
  <c r="O16" i="2" s="1"/>
  <c r="L16" i="2"/>
  <c r="I16" i="2"/>
  <c r="F16" i="2"/>
  <c r="P15" i="2"/>
  <c r="N15" i="2"/>
  <c r="O15" i="2" s="1"/>
  <c r="L15" i="2"/>
  <c r="I15" i="2"/>
  <c r="F15" i="2"/>
  <c r="P14" i="2"/>
  <c r="N14" i="2"/>
  <c r="O14" i="2" s="1"/>
  <c r="L14" i="2"/>
  <c r="I14" i="2"/>
  <c r="F14" i="2"/>
  <c r="P13" i="2"/>
  <c r="N13" i="2"/>
  <c r="O13" i="2" s="1"/>
  <c r="L13" i="2"/>
  <c r="I13" i="2"/>
  <c r="F13" i="2"/>
  <c r="P12" i="2"/>
  <c r="N12" i="2"/>
  <c r="O12" i="2" s="1"/>
  <c r="L12" i="2"/>
  <c r="I12" i="2"/>
  <c r="F12" i="2"/>
  <c r="P11" i="2"/>
  <c r="N11" i="2"/>
  <c r="O11" i="2" s="1"/>
  <c r="L11" i="2"/>
  <c r="I11" i="2"/>
  <c r="F11" i="2"/>
  <c r="P10" i="2"/>
  <c r="N10" i="2"/>
  <c r="O10" i="2" s="1"/>
  <c r="L10" i="2"/>
  <c r="I10" i="2"/>
  <c r="F10" i="2"/>
  <c r="L9" i="2"/>
  <c r="I9" i="2"/>
  <c r="F9" i="2"/>
  <c r="L25" i="12"/>
  <c r="L27" i="12" s="1"/>
  <c r="I25" i="12"/>
  <c r="C18" i="29" s="1"/>
  <c r="F25" i="12"/>
  <c r="O24" i="12"/>
  <c r="M24" i="12"/>
  <c r="K24" i="12"/>
  <c r="H24" i="12"/>
  <c r="E24" i="12"/>
  <c r="O23" i="12"/>
  <c r="M23" i="12"/>
  <c r="K23" i="12"/>
  <c r="H23" i="12"/>
  <c r="E23" i="12"/>
  <c r="O22" i="12"/>
  <c r="M22" i="12"/>
  <c r="K22" i="12"/>
  <c r="H22" i="12"/>
  <c r="E22" i="12"/>
  <c r="O21" i="12"/>
  <c r="M21" i="12"/>
  <c r="K21" i="12"/>
  <c r="H21" i="12"/>
  <c r="E21" i="12"/>
  <c r="O20" i="12"/>
  <c r="M20" i="12"/>
  <c r="K20" i="12"/>
  <c r="H20" i="12"/>
  <c r="E20" i="12"/>
  <c r="O19" i="12"/>
  <c r="M19" i="12"/>
  <c r="K19" i="12"/>
  <c r="H19" i="12"/>
  <c r="E19" i="12"/>
  <c r="O18" i="12"/>
  <c r="M18" i="12"/>
  <c r="K18" i="12"/>
  <c r="H18" i="12"/>
  <c r="E18" i="12"/>
  <c r="O17" i="12"/>
  <c r="M17" i="12"/>
  <c r="K17" i="12"/>
  <c r="H17" i="12"/>
  <c r="E17" i="12"/>
  <c r="O16" i="12"/>
  <c r="M16" i="12"/>
  <c r="K16" i="12"/>
  <c r="H16" i="12"/>
  <c r="E16" i="12"/>
  <c r="O15" i="12"/>
  <c r="M15" i="12"/>
  <c r="K15" i="12"/>
  <c r="H15" i="12"/>
  <c r="E15" i="12"/>
  <c r="O14" i="12"/>
  <c r="M14" i="12"/>
  <c r="K14" i="12"/>
  <c r="H14" i="12"/>
  <c r="E14" i="12"/>
  <c r="O13" i="12"/>
  <c r="M13" i="12"/>
  <c r="K13" i="12"/>
  <c r="H13" i="12"/>
  <c r="E13" i="12"/>
  <c r="O12" i="12"/>
  <c r="M12" i="12"/>
  <c r="K12" i="12"/>
  <c r="H12" i="12"/>
  <c r="E12" i="12"/>
  <c r="O11" i="12"/>
  <c r="M11" i="12"/>
  <c r="K11" i="12"/>
  <c r="H11" i="12"/>
  <c r="E11" i="12"/>
  <c r="O10" i="12"/>
  <c r="M10" i="12"/>
  <c r="K10" i="12"/>
  <c r="H10" i="12"/>
  <c r="E10" i="12"/>
  <c r="K9" i="12"/>
  <c r="H9" i="12"/>
  <c r="E9" i="12"/>
  <c r="L25" i="13"/>
  <c r="L24" i="13"/>
  <c r="L23" i="13"/>
  <c r="L22" i="13"/>
  <c r="L21" i="13"/>
  <c r="L20" i="13"/>
  <c r="L19" i="13"/>
  <c r="L18" i="13"/>
  <c r="L15" i="13"/>
  <c r="L11" i="13"/>
  <c r="I25" i="13"/>
  <c r="I24" i="13"/>
  <c r="I23" i="13"/>
  <c r="I22" i="13"/>
  <c r="I21" i="13"/>
  <c r="I20" i="13"/>
  <c r="I19" i="13"/>
  <c r="I18" i="13"/>
  <c r="I15" i="13"/>
  <c r="I11" i="13"/>
  <c r="F11" i="13"/>
  <c r="F15" i="13"/>
  <c r="F18" i="13"/>
  <c r="F19" i="13"/>
  <c r="F20" i="13"/>
  <c r="F21" i="13"/>
  <c r="F22" i="13"/>
  <c r="F23" i="13"/>
  <c r="F24" i="13"/>
  <c r="F25" i="13"/>
  <c r="G29" i="13"/>
  <c r="M27" i="14"/>
  <c r="J27" i="14"/>
  <c r="G27" i="14"/>
  <c r="P24" i="14"/>
  <c r="N24" i="14"/>
  <c r="O24" i="14" s="1"/>
  <c r="L24" i="14"/>
  <c r="I24" i="14"/>
  <c r="F24" i="14"/>
  <c r="P23" i="14"/>
  <c r="N23" i="14"/>
  <c r="O23" i="14" s="1"/>
  <c r="L23" i="14"/>
  <c r="I23" i="14"/>
  <c r="F23" i="14"/>
  <c r="P22" i="14"/>
  <c r="N22" i="14"/>
  <c r="O22" i="14" s="1"/>
  <c r="L22" i="14"/>
  <c r="I22" i="14"/>
  <c r="F22" i="14"/>
  <c r="P21" i="14"/>
  <c r="N21" i="14"/>
  <c r="O21" i="14" s="1"/>
  <c r="L21" i="14"/>
  <c r="I21" i="14"/>
  <c r="F21" i="14"/>
  <c r="P20" i="14"/>
  <c r="N20" i="14"/>
  <c r="O20" i="14" s="1"/>
  <c r="L20" i="14"/>
  <c r="I20" i="14"/>
  <c r="F20" i="14"/>
  <c r="P19" i="14"/>
  <c r="N19" i="14"/>
  <c r="O19" i="14" s="1"/>
  <c r="L19" i="14"/>
  <c r="I19" i="14"/>
  <c r="F19" i="14"/>
  <c r="P18" i="14"/>
  <c r="N18" i="14"/>
  <c r="O18" i="14" s="1"/>
  <c r="L18" i="14"/>
  <c r="I18" i="14"/>
  <c r="F18" i="14"/>
  <c r="P17" i="14"/>
  <c r="N17" i="14"/>
  <c r="O17" i="14" s="1"/>
  <c r="L17" i="14"/>
  <c r="I17" i="14"/>
  <c r="F17" i="14"/>
  <c r="P16" i="14"/>
  <c r="N16" i="14"/>
  <c r="O16" i="14" s="1"/>
  <c r="L16" i="14"/>
  <c r="I16" i="14"/>
  <c r="F16" i="14"/>
  <c r="P15" i="14"/>
  <c r="N15" i="14"/>
  <c r="O15" i="14" s="1"/>
  <c r="L15" i="14"/>
  <c r="I15" i="14"/>
  <c r="F15" i="14"/>
  <c r="P14" i="14"/>
  <c r="N14" i="14"/>
  <c r="O14" i="14" s="1"/>
  <c r="L14" i="14"/>
  <c r="I14" i="14"/>
  <c r="F14" i="14"/>
  <c r="P13" i="14"/>
  <c r="N13" i="14"/>
  <c r="O13" i="14" s="1"/>
  <c r="L13" i="14"/>
  <c r="I13" i="14"/>
  <c r="F13" i="14"/>
  <c r="P12" i="14"/>
  <c r="N12" i="14"/>
  <c r="O12" i="14" s="1"/>
  <c r="L12" i="14"/>
  <c r="I12" i="14"/>
  <c r="F12" i="14"/>
  <c r="P11" i="14"/>
  <c r="N11" i="14"/>
  <c r="O11" i="14" s="1"/>
  <c r="L11" i="14"/>
  <c r="I11" i="14"/>
  <c r="F11" i="14"/>
  <c r="P10" i="14"/>
  <c r="N10" i="14"/>
  <c r="O10" i="14" s="1"/>
  <c r="L10" i="14"/>
  <c r="I10" i="14"/>
  <c r="F10" i="14"/>
  <c r="P9" i="14"/>
  <c r="N9" i="14"/>
  <c r="I9" i="14"/>
  <c r="F9" i="14"/>
  <c r="M25" i="15"/>
  <c r="J25" i="15"/>
  <c r="L24" i="15"/>
  <c r="L23" i="15"/>
  <c r="L22" i="15"/>
  <c r="L21" i="15"/>
  <c r="L20" i="15"/>
  <c r="L19" i="15"/>
  <c r="L18" i="15"/>
  <c r="L17" i="15"/>
  <c r="L16" i="15"/>
  <c r="L15" i="15"/>
  <c r="L14" i="15"/>
  <c r="L13" i="15"/>
  <c r="L12" i="15"/>
  <c r="L11" i="15"/>
  <c r="L10" i="15"/>
  <c r="L9" i="15"/>
  <c r="I24" i="15"/>
  <c r="I23" i="15"/>
  <c r="I22" i="15"/>
  <c r="I21" i="15"/>
  <c r="I20" i="15"/>
  <c r="I19" i="15"/>
  <c r="I18" i="15"/>
  <c r="I17" i="15"/>
  <c r="I16" i="15"/>
  <c r="I15" i="15"/>
  <c r="I14" i="15"/>
  <c r="I13" i="15"/>
  <c r="I12" i="15"/>
  <c r="I11" i="15"/>
  <c r="I10" i="15"/>
  <c r="I9" i="15"/>
  <c r="F19" i="15"/>
  <c r="F20" i="15"/>
  <c r="F21" i="15"/>
  <c r="F22" i="15"/>
  <c r="F23" i="15"/>
  <c r="F24" i="15"/>
  <c r="F10" i="15"/>
  <c r="F11" i="15"/>
  <c r="F12" i="15"/>
  <c r="F13" i="15"/>
  <c r="F14" i="15"/>
  <c r="F15" i="15"/>
  <c r="F16" i="15"/>
  <c r="F17" i="15"/>
  <c r="F18" i="15"/>
  <c r="F9" i="15"/>
  <c r="K24" i="16"/>
  <c r="K23" i="16"/>
  <c r="K22" i="16"/>
  <c r="K21" i="16"/>
  <c r="K20" i="16"/>
  <c r="K19" i="16"/>
  <c r="K18" i="16"/>
  <c r="K17" i="16"/>
  <c r="K16" i="16"/>
  <c r="K15" i="16"/>
  <c r="K14" i="16"/>
  <c r="K13" i="16"/>
  <c r="K12" i="16"/>
  <c r="K11" i="16"/>
  <c r="K10" i="16"/>
  <c r="K9" i="16"/>
  <c r="H24" i="16"/>
  <c r="H23" i="16"/>
  <c r="H22" i="16"/>
  <c r="H21" i="16"/>
  <c r="H20" i="16"/>
  <c r="H19" i="16"/>
  <c r="H18" i="16"/>
  <c r="H17" i="16"/>
  <c r="H16" i="16"/>
  <c r="H15" i="16"/>
  <c r="H14" i="16"/>
  <c r="H13" i="16"/>
  <c r="H12" i="16"/>
  <c r="H11" i="16"/>
  <c r="H10" i="16"/>
  <c r="H9" i="16"/>
  <c r="E10" i="16"/>
  <c r="E11" i="16"/>
  <c r="E12" i="16"/>
  <c r="E13" i="16"/>
  <c r="E14" i="16"/>
  <c r="E15" i="16"/>
  <c r="E16" i="16"/>
  <c r="E17" i="16"/>
  <c r="E18" i="16"/>
  <c r="E19" i="16"/>
  <c r="E20" i="16"/>
  <c r="E21" i="16"/>
  <c r="E22" i="16"/>
  <c r="E23" i="16"/>
  <c r="E24" i="16"/>
  <c r="E9" i="16"/>
  <c r="Q18" i="17"/>
  <c r="Q17" i="17"/>
  <c r="Q16" i="17"/>
  <c r="Q15" i="17"/>
  <c r="Q14" i="17"/>
  <c r="Q13" i="17"/>
  <c r="Q12" i="17"/>
  <c r="Q11" i="17"/>
  <c r="Q10" i="17"/>
  <c r="Q9" i="17"/>
  <c r="N18" i="17"/>
  <c r="N17" i="17"/>
  <c r="N16" i="17"/>
  <c r="N15" i="17"/>
  <c r="N14" i="17"/>
  <c r="N13" i="17"/>
  <c r="N12" i="17"/>
  <c r="N11" i="17"/>
  <c r="N10" i="17"/>
  <c r="N9" i="17"/>
  <c r="G10" i="17"/>
  <c r="G11" i="17"/>
  <c r="G12" i="17"/>
  <c r="G13" i="17"/>
  <c r="G14" i="17"/>
  <c r="G15" i="17"/>
  <c r="G16" i="17"/>
  <c r="G17" i="17"/>
  <c r="G18" i="17"/>
  <c r="P9" i="15"/>
  <c r="O10" i="15"/>
  <c r="N11" i="15"/>
  <c r="O11" i="15" s="1"/>
  <c r="N12" i="15"/>
  <c r="O12" i="15" s="1"/>
  <c r="N13" i="15"/>
  <c r="O13" i="15" s="1"/>
  <c r="N14" i="15"/>
  <c r="O14" i="15" s="1"/>
  <c r="N15" i="15"/>
  <c r="O15" i="15" s="1"/>
  <c r="N16" i="15"/>
  <c r="O16" i="15" s="1"/>
  <c r="N17" i="15"/>
  <c r="O17" i="15" s="1"/>
  <c r="N18" i="15"/>
  <c r="O18" i="15" s="1"/>
  <c r="N19" i="15"/>
  <c r="O19" i="15" s="1"/>
  <c r="N20" i="15"/>
  <c r="O20" i="15" s="1"/>
  <c r="N21" i="15"/>
  <c r="O21" i="15" s="1"/>
  <c r="N22" i="15"/>
  <c r="O22" i="15" s="1"/>
  <c r="N23" i="15"/>
  <c r="O23" i="15" s="1"/>
  <c r="N24" i="15"/>
  <c r="O24" i="15" s="1"/>
  <c r="O10" i="16"/>
  <c r="O11" i="16"/>
  <c r="O12" i="16"/>
  <c r="O13" i="16"/>
  <c r="O14" i="16"/>
  <c r="O15" i="16"/>
  <c r="O16" i="16"/>
  <c r="O17" i="16"/>
  <c r="O18" i="16"/>
  <c r="O19" i="16"/>
  <c r="O20" i="16"/>
  <c r="O21" i="16"/>
  <c r="O22" i="16"/>
  <c r="O23" i="16"/>
  <c r="O24" i="16"/>
  <c r="O9" i="16"/>
  <c r="M10" i="16"/>
  <c r="N10" i="16" s="1"/>
  <c r="M11" i="16"/>
  <c r="N11" i="16" s="1"/>
  <c r="M12" i="16"/>
  <c r="N12" i="16" s="1"/>
  <c r="M13" i="16"/>
  <c r="N13" i="16" s="1"/>
  <c r="M14" i="16"/>
  <c r="N14" i="16" s="1"/>
  <c r="M15" i="16"/>
  <c r="N15" i="16" s="1"/>
  <c r="M16" i="16"/>
  <c r="N16" i="16" s="1"/>
  <c r="M17" i="16"/>
  <c r="N17" i="16" s="1"/>
  <c r="M18" i="16"/>
  <c r="N18" i="16" s="1"/>
  <c r="M19" i="16"/>
  <c r="N19" i="16" s="1"/>
  <c r="M20" i="16"/>
  <c r="N20" i="16" s="1"/>
  <c r="M21" i="16"/>
  <c r="N21" i="16" s="1"/>
  <c r="M22" i="16"/>
  <c r="N22" i="16" s="1"/>
  <c r="M23" i="16"/>
  <c r="N23" i="16" s="1"/>
  <c r="M24" i="16"/>
  <c r="N24" i="16" s="1"/>
  <c r="M9" i="16"/>
  <c r="U10" i="17"/>
  <c r="Y10" i="17" s="1"/>
  <c r="U11" i="17"/>
  <c r="Y11" i="17" s="1"/>
  <c r="U12" i="17"/>
  <c r="Y12" i="17" s="1"/>
  <c r="U13" i="17"/>
  <c r="Y13" i="17" s="1"/>
  <c r="U14" i="17"/>
  <c r="Y14" i="17" s="1"/>
  <c r="U15" i="17"/>
  <c r="Y15" i="17" s="1"/>
  <c r="U16" i="17"/>
  <c r="Y16" i="17" s="1"/>
  <c r="U17" i="17"/>
  <c r="Y17" i="17" s="1"/>
  <c r="U18" i="17"/>
  <c r="Y18" i="17" s="1"/>
  <c r="S10" i="17"/>
  <c r="X10" i="17" s="1"/>
  <c r="S11" i="17"/>
  <c r="T11" i="17" s="1"/>
  <c r="S12" i="17"/>
  <c r="T12" i="17" s="1"/>
  <c r="S13" i="17"/>
  <c r="X13" i="17" s="1"/>
  <c r="S14" i="17"/>
  <c r="X14" i="17" s="1"/>
  <c r="S15" i="17"/>
  <c r="T15" i="17" s="1"/>
  <c r="S16" i="17"/>
  <c r="T16" i="17" s="1"/>
  <c r="S17" i="17"/>
  <c r="X17" i="17" s="1"/>
  <c r="S18" i="17"/>
  <c r="X18" i="17" s="1"/>
  <c r="I9" i="19"/>
  <c r="I10" i="19"/>
  <c r="I11" i="19"/>
  <c r="I12" i="19"/>
  <c r="I13" i="19"/>
  <c r="I14" i="19"/>
  <c r="I15" i="19"/>
  <c r="I16" i="19"/>
  <c r="I17" i="19"/>
  <c r="I18" i="19"/>
  <c r="I19" i="19"/>
  <c r="J9" i="18"/>
  <c r="J19" i="18" s="1"/>
  <c r="B31" i="26"/>
  <c r="E31" i="26" s="1"/>
  <c r="J10" i="18"/>
  <c r="J11" i="18"/>
  <c r="J12" i="18"/>
  <c r="J13" i="18"/>
  <c r="J14" i="18"/>
  <c r="J15" i="18"/>
  <c r="J16" i="18"/>
  <c r="J17" i="18"/>
  <c r="J18" i="18"/>
  <c r="Q10" i="18"/>
  <c r="Q11" i="18"/>
  <c r="Q12" i="18"/>
  <c r="Q13" i="18"/>
  <c r="Q14" i="18"/>
  <c r="Q15" i="18"/>
  <c r="Q16" i="18"/>
  <c r="Q17" i="18"/>
  <c r="Q18" i="18"/>
  <c r="Q9" i="18"/>
  <c r="Q19" i="18" s="1"/>
  <c r="D90" i="26" l="1"/>
  <c r="E76" i="26"/>
  <c r="I46" i="29"/>
  <c r="C90" i="26"/>
  <c r="C105" i="26" s="1"/>
  <c r="C76" i="27"/>
  <c r="H47" i="17"/>
  <c r="O9" i="15"/>
  <c r="P25" i="15"/>
  <c r="P28" i="15" s="1"/>
  <c r="B53" i="29"/>
  <c r="I17" i="29"/>
  <c r="C30" i="26"/>
  <c r="G31" i="29"/>
  <c r="N37" i="17"/>
  <c r="X9" i="17"/>
  <c r="K9" i="17"/>
  <c r="G37" i="17"/>
  <c r="N9" i="16"/>
  <c r="O9" i="14"/>
  <c r="B90" i="26"/>
  <c r="F17" i="28" s="1"/>
  <c r="E62" i="26"/>
  <c r="D105" i="26"/>
  <c r="N14" i="12"/>
  <c r="N22" i="12"/>
  <c r="N11" i="12"/>
  <c r="N19" i="12"/>
  <c r="N17" i="12"/>
  <c r="N16" i="12"/>
  <c r="N24" i="12"/>
  <c r="N9" i="12"/>
  <c r="N13" i="12"/>
  <c r="N21" i="12"/>
  <c r="N15" i="12"/>
  <c r="N23" i="12"/>
  <c r="N10" i="12"/>
  <c r="N18" i="12"/>
  <c r="N12" i="12"/>
  <c r="N20" i="12"/>
  <c r="D57" i="29"/>
  <c r="L21" i="29"/>
  <c r="E57" i="29" s="1"/>
  <c r="J27" i="15"/>
  <c r="C23" i="29"/>
  <c r="D18" i="29"/>
  <c r="M27" i="2"/>
  <c r="D17" i="29"/>
  <c r="K17" i="29" s="1"/>
  <c r="B30" i="26"/>
  <c r="B21" i="26" s="1"/>
  <c r="F30" i="27"/>
  <c r="F31" i="27"/>
  <c r="G35" i="28"/>
  <c r="B47" i="26"/>
  <c r="E19" i="26"/>
  <c r="E47" i="26" s="1"/>
  <c r="M27" i="15"/>
  <c r="D23" i="29"/>
  <c r="E74" i="26"/>
  <c r="B73" i="26"/>
  <c r="B64" i="26" s="1"/>
  <c r="F49" i="29"/>
  <c r="C57" i="29"/>
  <c r="F57" i="29" s="1"/>
  <c r="D73" i="26"/>
  <c r="D64" i="26" s="1"/>
  <c r="H49" i="29"/>
  <c r="B40" i="26"/>
  <c r="E12" i="26"/>
  <c r="E40" i="26" s="1"/>
  <c r="B35" i="28"/>
  <c r="Q46" i="29"/>
  <c r="D30" i="27"/>
  <c r="D35" i="28"/>
  <c r="D31" i="27"/>
  <c r="B19" i="29"/>
  <c r="B55" i="29" s="1"/>
  <c r="C82" i="27"/>
  <c r="B8" i="26"/>
  <c r="C64" i="29"/>
  <c r="F64" i="29" s="1"/>
  <c r="F27" i="12"/>
  <c r="B18" i="29"/>
  <c r="D64" i="29"/>
  <c r="L28" i="29"/>
  <c r="C73" i="26"/>
  <c r="C64" i="26" s="1"/>
  <c r="G49" i="29"/>
  <c r="G27" i="15"/>
  <c r="B23" i="29"/>
  <c r="B59" i="29" s="1"/>
  <c r="C9" i="26"/>
  <c r="C37" i="26" s="1"/>
  <c r="C95" i="26" s="1"/>
  <c r="J18" i="29"/>
  <c r="J27" i="2"/>
  <c r="C17" i="29"/>
  <c r="J17" i="29" s="1"/>
  <c r="B60" i="26"/>
  <c r="B59" i="26"/>
  <c r="I43" i="29"/>
  <c r="B49" i="29"/>
  <c r="H45" i="18"/>
  <c r="H41" i="18"/>
  <c r="H39" i="18"/>
  <c r="F55" i="24"/>
  <c r="P40" i="24"/>
  <c r="H55" i="24"/>
  <c r="G48" i="24"/>
  <c r="G54" i="24"/>
  <c r="G50" i="24"/>
  <c r="G46" i="24"/>
  <c r="G47" i="24"/>
  <c r="G52" i="24"/>
  <c r="G44" i="24"/>
  <c r="G45" i="24"/>
  <c r="G49" i="24"/>
  <c r="G53" i="24"/>
  <c r="I44" i="18"/>
  <c r="N42" i="17"/>
  <c r="H46" i="18"/>
  <c r="N43" i="17"/>
  <c r="N39" i="17"/>
  <c r="L43" i="17"/>
  <c r="M43" i="17" s="1"/>
  <c r="O25" i="12"/>
  <c r="H43" i="18"/>
  <c r="I40" i="18"/>
  <c r="F71" i="27" s="1"/>
  <c r="N44" i="17"/>
  <c r="N40" i="17"/>
  <c r="N45" i="17"/>
  <c r="N41" i="17"/>
  <c r="L39" i="17"/>
  <c r="M39" i="17" s="1"/>
  <c r="H44" i="18"/>
  <c r="H40" i="18"/>
  <c r="H37" i="18"/>
  <c r="H47" i="18" s="1"/>
  <c r="H42" i="18"/>
  <c r="H38" i="18"/>
  <c r="K39" i="17"/>
  <c r="L37" i="17"/>
  <c r="L42" i="17"/>
  <c r="M42" i="17" s="1"/>
  <c r="L45" i="17"/>
  <c r="M45" i="17" s="1"/>
  <c r="L41" i="17"/>
  <c r="M41" i="17" s="1"/>
  <c r="L46" i="17"/>
  <c r="M46" i="17" s="1"/>
  <c r="L38" i="17"/>
  <c r="M38" i="17" s="1"/>
  <c r="L44" i="17"/>
  <c r="M44" i="17" s="1"/>
  <c r="L40" i="17"/>
  <c r="M40" i="17" s="1"/>
  <c r="P27" i="2"/>
  <c r="K42" i="17"/>
  <c r="K37" i="17"/>
  <c r="K38" i="17"/>
  <c r="I43" i="17"/>
  <c r="I39" i="17"/>
  <c r="I44" i="17"/>
  <c r="K41" i="17"/>
  <c r="K44" i="17"/>
  <c r="K46" i="17"/>
  <c r="I37" i="17"/>
  <c r="I46" i="17"/>
  <c r="I42" i="17"/>
  <c r="I38" i="17"/>
  <c r="I40" i="17"/>
  <c r="K40" i="17"/>
  <c r="K43" i="17"/>
  <c r="K45" i="17"/>
  <c r="I45" i="17"/>
  <c r="I41" i="17"/>
  <c r="S24" i="17"/>
  <c r="Q38" i="17" s="1"/>
  <c r="S25" i="17"/>
  <c r="Q39" i="17" s="1"/>
  <c r="S26" i="17"/>
  <c r="Q40" i="17" s="1"/>
  <c r="S27" i="17"/>
  <c r="Q41" i="17" s="1"/>
  <c r="S28" i="17"/>
  <c r="Q42" i="17" s="1"/>
  <c r="S30" i="17"/>
  <c r="Q44" i="17" s="1"/>
  <c r="X16" i="17"/>
  <c r="T18" i="17"/>
  <c r="T10" i="17"/>
  <c r="T17" i="17"/>
  <c r="X12" i="17"/>
  <c r="S29" i="17"/>
  <c r="Q43" i="17" s="1"/>
  <c r="T14" i="17"/>
  <c r="S31" i="17"/>
  <c r="S32" i="17"/>
  <c r="T9" i="17"/>
  <c r="T13" i="17"/>
  <c r="L19" i="17"/>
  <c r="Y19" i="17"/>
  <c r="X11" i="17"/>
  <c r="X15" i="17"/>
  <c r="I43" i="18"/>
  <c r="I39" i="18"/>
  <c r="F70" i="27" s="1"/>
  <c r="I37" i="18"/>
  <c r="I46" i="18"/>
  <c r="I42" i="18"/>
  <c r="I38" i="18"/>
  <c r="F69" i="27" s="1"/>
  <c r="I45" i="18"/>
  <c r="I41" i="18"/>
  <c r="F72" i="27" s="1"/>
  <c r="C44" i="29"/>
  <c r="T18" i="18"/>
  <c r="T10" i="18"/>
  <c r="T23" i="18"/>
  <c r="T33" i="18" s="1"/>
  <c r="T25" i="18"/>
  <c r="G70" i="27" s="1"/>
  <c r="T27" i="18"/>
  <c r="G72" i="27" s="1"/>
  <c r="T29" i="18"/>
  <c r="T31" i="18"/>
  <c r="T17" i="18"/>
  <c r="T13" i="18"/>
  <c r="T24" i="18"/>
  <c r="G69" i="27" s="1"/>
  <c r="T26" i="18"/>
  <c r="G71" i="27" s="1"/>
  <c r="T28" i="18"/>
  <c r="T30" i="18"/>
  <c r="T32" i="18"/>
  <c r="T14" i="18"/>
  <c r="T11" i="18"/>
  <c r="T16" i="18"/>
  <c r="T12" i="18"/>
  <c r="T15" i="18"/>
  <c r="C26" i="29"/>
  <c r="T9" i="18"/>
  <c r="T19" i="18" s="1"/>
  <c r="I27" i="12"/>
  <c r="P25" i="14"/>
  <c r="G20" i="19"/>
  <c r="H20" i="19"/>
  <c r="I20" i="19"/>
  <c r="F20" i="19"/>
  <c r="F22" i="19" s="1"/>
  <c r="P27" i="15" l="1"/>
  <c r="I22" i="19"/>
  <c r="I23" i="19"/>
  <c r="F68" i="27"/>
  <c r="F73" i="27" s="1"/>
  <c r="I47" i="18"/>
  <c r="P27" i="14"/>
  <c r="P28" i="14"/>
  <c r="O27" i="12"/>
  <c r="O28" i="12"/>
  <c r="B54" i="29"/>
  <c r="I18" i="29"/>
  <c r="E18" i="29"/>
  <c r="L17" i="29"/>
  <c r="E17" i="29"/>
  <c r="C53" i="29" s="1"/>
  <c r="E30" i="26"/>
  <c r="E21" i="26" s="1"/>
  <c r="C21" i="26"/>
  <c r="E64" i="29"/>
  <c r="G64" i="29" s="1"/>
  <c r="G68" i="27"/>
  <c r="G73" i="27" s="1"/>
  <c r="J44" i="18"/>
  <c r="G47" i="17"/>
  <c r="G57" i="29"/>
  <c r="B31" i="27"/>
  <c r="B33" i="27" s="1"/>
  <c r="F17" i="27"/>
  <c r="F19" i="27" s="1"/>
  <c r="B105" i="26"/>
  <c r="F33" i="27"/>
  <c r="D33" i="27"/>
  <c r="B50" i="26"/>
  <c r="B88" i="26"/>
  <c r="F11" i="28" s="1"/>
  <c r="C8" i="26"/>
  <c r="J43" i="29"/>
  <c r="C49" i="29"/>
  <c r="C59" i="26"/>
  <c r="Q37" i="17"/>
  <c r="F76" i="27" s="1"/>
  <c r="G76" i="27"/>
  <c r="B17" i="28"/>
  <c r="B17" i="27"/>
  <c r="D8" i="26"/>
  <c r="F80" i="27"/>
  <c r="E80" i="27" s="1"/>
  <c r="G80" i="27"/>
  <c r="B10" i="26"/>
  <c r="I19" i="29"/>
  <c r="E17" i="27"/>
  <c r="E17" i="28"/>
  <c r="G17" i="28" s="1"/>
  <c r="D53" i="29"/>
  <c r="B11" i="27"/>
  <c r="C17" i="26"/>
  <c r="C45" i="26" s="1"/>
  <c r="J26" i="29"/>
  <c r="E11" i="27"/>
  <c r="G11" i="27" s="1"/>
  <c r="B98" i="26"/>
  <c r="E73" i="26"/>
  <c r="E64" i="26" s="1"/>
  <c r="C14" i="26"/>
  <c r="C42" i="26" s="1"/>
  <c r="C100" i="26" s="1"/>
  <c r="J23" i="29"/>
  <c r="D9" i="26"/>
  <c r="D37" i="26" s="1"/>
  <c r="D95" i="26" s="1"/>
  <c r="K18" i="29"/>
  <c r="F79" i="27"/>
  <c r="E79" i="27" s="1"/>
  <c r="G79" i="27"/>
  <c r="B32" i="28"/>
  <c r="I49" i="29"/>
  <c r="B9" i="26"/>
  <c r="G30" i="27"/>
  <c r="Q46" i="17"/>
  <c r="F78" i="27" s="1"/>
  <c r="E78" i="27" s="1"/>
  <c r="G78" i="27"/>
  <c r="B87" i="26"/>
  <c r="B14" i="26"/>
  <c r="I23" i="29"/>
  <c r="E23" i="29"/>
  <c r="B36" i="26"/>
  <c r="K23" i="29"/>
  <c r="D14" i="26"/>
  <c r="D42" i="26" s="1"/>
  <c r="D100" i="26" s="1"/>
  <c r="J44" i="29"/>
  <c r="C60" i="26"/>
  <c r="C88" i="26" s="1"/>
  <c r="F81" i="27"/>
  <c r="E81" i="27" s="1"/>
  <c r="G81" i="27"/>
  <c r="Q45" i="17"/>
  <c r="F77" i="27" s="1"/>
  <c r="E77" i="27" s="1"/>
  <c r="G77" i="27"/>
  <c r="B29" i="28"/>
  <c r="B28" i="28"/>
  <c r="H35" i="28"/>
  <c r="G55" i="24"/>
  <c r="J39" i="18"/>
  <c r="E70" i="27" s="1"/>
  <c r="N47" i="17"/>
  <c r="J42" i="18"/>
  <c r="J41" i="18"/>
  <c r="E72" i="27" s="1"/>
  <c r="J46" i="17"/>
  <c r="O46" i="17"/>
  <c r="P46" i="17" s="1"/>
  <c r="K47" i="17"/>
  <c r="J45" i="17"/>
  <c r="O45" i="17"/>
  <c r="P45" i="17" s="1"/>
  <c r="J42" i="17"/>
  <c r="O42" i="17"/>
  <c r="P42" i="17" s="1"/>
  <c r="J39" i="17"/>
  <c r="O39" i="17"/>
  <c r="P39" i="17" s="1"/>
  <c r="J40" i="17"/>
  <c r="O40" i="17"/>
  <c r="P40" i="17" s="1"/>
  <c r="J43" i="17"/>
  <c r="O43" i="17"/>
  <c r="P43" i="17" s="1"/>
  <c r="J37" i="17"/>
  <c r="O37" i="17"/>
  <c r="I47" i="17"/>
  <c r="J44" i="17"/>
  <c r="O44" i="17"/>
  <c r="P44" i="17" s="1"/>
  <c r="J41" i="17"/>
  <c r="O41" i="17"/>
  <c r="P41" i="17" s="1"/>
  <c r="J38" i="17"/>
  <c r="O38" i="17"/>
  <c r="P38" i="17" s="1"/>
  <c r="L47" i="17"/>
  <c r="M47" i="17" s="1"/>
  <c r="M37" i="17"/>
  <c r="E43" i="29"/>
  <c r="J45" i="18"/>
  <c r="J43" i="18"/>
  <c r="J38" i="18"/>
  <c r="E69" i="27" s="1"/>
  <c r="J37" i="18"/>
  <c r="J40" i="18"/>
  <c r="E71" i="27" s="1"/>
  <c r="D44" i="29"/>
  <c r="E44" i="29" s="1"/>
  <c r="J46" i="18"/>
  <c r="D26" i="29"/>
  <c r="B26" i="29"/>
  <c r="I26" i="29" s="1"/>
  <c r="H19" i="17"/>
  <c r="B25" i="29" s="1"/>
  <c r="I25" i="29" s="1"/>
  <c r="M19" i="17"/>
  <c r="O19" i="17"/>
  <c r="C25" i="29" s="1"/>
  <c r="J25" i="29" s="1"/>
  <c r="P19" i="17"/>
  <c r="R19" i="17"/>
  <c r="D25" i="29" s="1"/>
  <c r="K25" i="29" s="1"/>
  <c r="U19" i="17"/>
  <c r="F19" i="17"/>
  <c r="A3" i="19"/>
  <c r="E3" i="19"/>
  <c r="H3" i="19"/>
  <c r="A4" i="19"/>
  <c r="A3" i="18"/>
  <c r="H3" i="18"/>
  <c r="P3" i="18"/>
  <c r="A4" i="18"/>
  <c r="A3" i="17"/>
  <c r="H3" i="17"/>
  <c r="Q3" i="17"/>
  <c r="A4" i="17"/>
  <c r="A3" i="16"/>
  <c r="F3" i="16"/>
  <c r="J3" i="16"/>
  <c r="A4" i="16"/>
  <c r="F25" i="16"/>
  <c r="I25" i="16"/>
  <c r="L25" i="16"/>
  <c r="O25" i="16"/>
  <c r="A3" i="15"/>
  <c r="G3" i="15"/>
  <c r="M3" i="15"/>
  <c r="A4" i="15"/>
  <c r="A3" i="5"/>
  <c r="E3" i="5"/>
  <c r="J3" i="5"/>
  <c r="A4" i="5"/>
  <c r="G9" i="5"/>
  <c r="G10" i="5"/>
  <c r="G11" i="5"/>
  <c r="G12" i="5"/>
  <c r="G13" i="5"/>
  <c r="G14" i="5"/>
  <c r="G15" i="5"/>
  <c r="A3" i="14"/>
  <c r="G3" i="14"/>
  <c r="K3" i="14"/>
  <c r="A4" i="14"/>
  <c r="A3" i="13"/>
  <c r="G3" i="13"/>
  <c r="K3" i="13"/>
  <c r="A4" i="13"/>
  <c r="J27" i="13"/>
  <c r="J29" i="13" s="1"/>
  <c r="M27" i="13"/>
  <c r="M29" i="13" s="1"/>
  <c r="P29" i="13"/>
  <c r="A3" i="12"/>
  <c r="F3" i="12"/>
  <c r="N3" i="12"/>
  <c r="A4" i="12"/>
  <c r="A3" i="2"/>
  <c r="F3" i="2"/>
  <c r="M3" i="2"/>
  <c r="A4" i="2"/>
  <c r="E68" i="27" l="1"/>
  <c r="J47" i="18"/>
  <c r="O27" i="16"/>
  <c r="O28" i="16"/>
  <c r="L23" i="29"/>
  <c r="L25" i="29"/>
  <c r="Q19" i="17"/>
  <c r="N19" i="17"/>
  <c r="J47" i="17"/>
  <c r="Q47" i="17"/>
  <c r="G31" i="27"/>
  <c r="G33" i="27" s="1"/>
  <c r="B78" i="26"/>
  <c r="B40" i="28"/>
  <c r="F10" i="28"/>
  <c r="E53" i="29"/>
  <c r="G53" i="29" s="1"/>
  <c r="G17" i="27"/>
  <c r="E73" i="27"/>
  <c r="C50" i="26"/>
  <c r="E8" i="26"/>
  <c r="E36" i="26" s="1"/>
  <c r="E49" i="29"/>
  <c r="L27" i="16"/>
  <c r="D24" i="29"/>
  <c r="C16" i="26"/>
  <c r="C44" i="26" s="1"/>
  <c r="L43" i="29"/>
  <c r="J49" i="29"/>
  <c r="B16" i="26"/>
  <c r="B61" i="29"/>
  <c r="E25" i="29"/>
  <c r="I27" i="16"/>
  <c r="C24" i="29"/>
  <c r="B42" i="26"/>
  <c r="E14" i="26"/>
  <c r="E42" i="26" s="1"/>
  <c r="E90" i="26"/>
  <c r="F27" i="16"/>
  <c r="B24" i="29"/>
  <c r="B37" i="26"/>
  <c r="B95" i="26" s="1"/>
  <c r="E9" i="26"/>
  <c r="E37" i="26" s="1"/>
  <c r="D62" i="29"/>
  <c r="B17" i="26"/>
  <c r="E26" i="29"/>
  <c r="F14" i="28"/>
  <c r="F13" i="28"/>
  <c r="D17" i="26"/>
  <c r="D45" i="26" s="1"/>
  <c r="K26" i="29"/>
  <c r="L26" i="29" s="1"/>
  <c r="B94" i="26"/>
  <c r="L18" i="29"/>
  <c r="E54" i="29" s="1"/>
  <c r="D54" i="29"/>
  <c r="D55" i="29"/>
  <c r="G82" i="27"/>
  <c r="C59" i="29"/>
  <c r="F59" i="29" s="1"/>
  <c r="F82" i="27"/>
  <c r="E76" i="27"/>
  <c r="E82" i="27" s="1"/>
  <c r="C36" i="26"/>
  <c r="D19" i="29"/>
  <c r="D16" i="26"/>
  <c r="D44" i="26" s="1"/>
  <c r="E59" i="29"/>
  <c r="D59" i="29"/>
  <c r="C54" i="29"/>
  <c r="F54" i="29" s="1"/>
  <c r="B38" i="26"/>
  <c r="D36" i="26"/>
  <c r="C87" i="26"/>
  <c r="C78" i="26" s="1"/>
  <c r="C19" i="29"/>
  <c r="M44" i="29"/>
  <c r="P44" i="29" s="1"/>
  <c r="D60" i="26"/>
  <c r="D88" i="26" s="1"/>
  <c r="D49" i="29"/>
  <c r="D59" i="26"/>
  <c r="D29" i="28"/>
  <c r="D28" i="28"/>
  <c r="C103" i="26"/>
  <c r="F53" i="29"/>
  <c r="G17" i="5"/>
  <c r="O47" i="17"/>
  <c r="P47" i="17" s="1"/>
  <c r="P37" i="17"/>
  <c r="G19" i="17"/>
  <c r="K19" i="17"/>
  <c r="X19" i="17"/>
  <c r="T19" i="17"/>
  <c r="G19" i="5" l="1"/>
  <c r="G20" i="5"/>
  <c r="G54" i="29"/>
  <c r="B31" i="29"/>
  <c r="B60" i="29"/>
  <c r="G59" i="29"/>
  <c r="D50" i="26"/>
  <c r="E59" i="26"/>
  <c r="E60" i="26"/>
  <c r="F22" i="28"/>
  <c r="E9" i="28"/>
  <c r="G9" i="28" s="1"/>
  <c r="E10" i="27"/>
  <c r="E15" i="27"/>
  <c r="G15" i="27" s="1"/>
  <c r="E15" i="28"/>
  <c r="G15" i="28" s="1"/>
  <c r="B96" i="26"/>
  <c r="P43" i="29"/>
  <c r="M49" i="29"/>
  <c r="Q43" i="29"/>
  <c r="G29" i="28"/>
  <c r="G28" i="28"/>
  <c r="H28" i="28" s="1"/>
  <c r="K19" i="29"/>
  <c r="D10" i="26"/>
  <c r="D31" i="29"/>
  <c r="B45" i="26"/>
  <c r="E17" i="26"/>
  <c r="E45" i="26" s="1"/>
  <c r="C61" i="29"/>
  <c r="F61" i="29" s="1"/>
  <c r="D94" i="26"/>
  <c r="C10" i="26"/>
  <c r="J19" i="29"/>
  <c r="C31" i="29"/>
  <c r="E19" i="29"/>
  <c r="C17" i="28"/>
  <c r="D17" i="28" s="1"/>
  <c r="C17" i="27"/>
  <c r="D17" i="27" s="1"/>
  <c r="E105" i="26"/>
  <c r="D61" i="29"/>
  <c r="C62" i="29"/>
  <c r="F62" i="29" s="1"/>
  <c r="C94" i="26"/>
  <c r="B9" i="28"/>
  <c r="B10" i="27"/>
  <c r="B44" i="26"/>
  <c r="B102" i="26" s="1"/>
  <c r="E16" i="26"/>
  <c r="D32" i="28"/>
  <c r="L49" i="29"/>
  <c r="D87" i="26"/>
  <c r="D78" i="26" s="1"/>
  <c r="C102" i="26"/>
  <c r="I24" i="29"/>
  <c r="E24" i="29"/>
  <c r="B15" i="26"/>
  <c r="B7" i="26" s="1"/>
  <c r="B13" i="27"/>
  <c r="K24" i="29"/>
  <c r="D15" i="26"/>
  <c r="D43" i="26" s="1"/>
  <c r="D101" i="26" s="1"/>
  <c r="C15" i="26"/>
  <c r="C43" i="26" s="1"/>
  <c r="C101" i="26" s="1"/>
  <c r="J24" i="29"/>
  <c r="Q44" i="29"/>
  <c r="D103" i="26"/>
  <c r="E13" i="27"/>
  <c r="G13" i="27" s="1"/>
  <c r="B100" i="26"/>
  <c r="E44" i="26" l="1"/>
  <c r="B13" i="28" s="1"/>
  <c r="E61" i="29"/>
  <c r="G61" i="29" s="1"/>
  <c r="G10" i="27"/>
  <c r="E50" i="26"/>
  <c r="D7" i="26"/>
  <c r="C7" i="26"/>
  <c r="J31" i="29"/>
  <c r="D38" i="26"/>
  <c r="D35" i="26" s="1"/>
  <c r="D102" i="26"/>
  <c r="E62" i="29"/>
  <c r="G62" i="29" s="1"/>
  <c r="E15" i="26"/>
  <c r="E43" i="26" s="1"/>
  <c r="B43" i="26"/>
  <c r="B35" i="26" s="1"/>
  <c r="K31" i="29"/>
  <c r="E14" i="28"/>
  <c r="G14" i="28" s="1"/>
  <c r="C60" i="29"/>
  <c r="F60" i="29" s="1"/>
  <c r="C38" i="26"/>
  <c r="C35" i="26" s="1"/>
  <c r="E10" i="26"/>
  <c r="C55" i="29"/>
  <c r="F55" i="29" s="1"/>
  <c r="E31" i="29"/>
  <c r="B11" i="28"/>
  <c r="B10" i="28"/>
  <c r="Q49" i="29"/>
  <c r="D40" i="28"/>
  <c r="E11" i="28"/>
  <c r="B103" i="26"/>
  <c r="E10" i="28"/>
  <c r="G10" i="28" s="1"/>
  <c r="H29" i="28"/>
  <c r="D60" i="29"/>
  <c r="L24" i="29"/>
  <c r="E60" i="29" s="1"/>
  <c r="I31" i="29"/>
  <c r="B67" i="29"/>
  <c r="E13" i="28"/>
  <c r="G13" i="28" s="1"/>
  <c r="L19" i="29"/>
  <c r="G32" i="28"/>
  <c r="H32" i="28" s="1"/>
  <c r="P49" i="29"/>
  <c r="B14" i="28" l="1"/>
  <c r="E7" i="26"/>
  <c r="C67" i="29"/>
  <c r="F67" i="29" s="1"/>
  <c r="G40" i="28"/>
  <c r="G11" i="28"/>
  <c r="E16" i="28"/>
  <c r="G16" i="28" s="1"/>
  <c r="E14" i="27"/>
  <c r="E19" i="27" s="1"/>
  <c r="B101" i="26"/>
  <c r="B93" i="26" s="1"/>
  <c r="B108" i="26" s="1"/>
  <c r="B16" i="28"/>
  <c r="B14" i="27"/>
  <c r="G60" i="29"/>
  <c r="D67" i="29"/>
  <c r="E55" i="29"/>
  <c r="L31" i="29"/>
  <c r="H40" i="28"/>
  <c r="E38" i="26"/>
  <c r="E35" i="26" s="1"/>
  <c r="D96" i="26"/>
  <c r="D93" i="26" s="1"/>
  <c r="C96" i="26"/>
  <c r="C93" i="26" s="1"/>
  <c r="E67" i="29" l="1"/>
  <c r="G67" i="29" s="1"/>
  <c r="G55" i="29"/>
  <c r="E22" i="28"/>
  <c r="B15" i="27"/>
  <c r="B19" i="27" s="1"/>
  <c r="B15" i="28"/>
  <c r="B22" i="28" s="1"/>
  <c r="G14" i="27"/>
  <c r="G19" i="27" s="1"/>
  <c r="G22" i="28"/>
  <c r="E88" i="26" l="1"/>
  <c r="E103" i="26" l="1"/>
  <c r="C11" i="28"/>
  <c r="D11" i="28" l="1"/>
  <c r="E87" i="26"/>
  <c r="E86" i="26" l="1"/>
  <c r="C14" i="28"/>
  <c r="E102" i="26"/>
  <c r="D14" i="28" l="1"/>
  <c r="C14" i="27"/>
  <c r="D14" i="27" s="1"/>
  <c r="C16" i="28"/>
  <c r="D16" i="28" s="1"/>
  <c r="E101" i="26"/>
  <c r="E85" i="26"/>
  <c r="E84" i="26" l="1"/>
  <c r="C13" i="27"/>
  <c r="D13" i="27" s="1"/>
  <c r="E100" i="26"/>
  <c r="C13" i="28"/>
  <c r="D13" i="28" s="1"/>
  <c r="E99" i="26" l="1"/>
  <c r="C12" i="27"/>
  <c r="D12" i="27" s="1"/>
  <c r="C12" i="28"/>
  <c r="D12" i="28" s="1"/>
  <c r="E83" i="26"/>
  <c r="E98" i="26" s="1"/>
  <c r="E82" i="26" l="1"/>
  <c r="E81" i="26" l="1"/>
  <c r="E97" i="26"/>
  <c r="C11" i="27"/>
  <c r="D11" i="27" s="1"/>
  <c r="C10" i="28"/>
  <c r="D10" i="28" s="1"/>
  <c r="C15" i="28" l="1"/>
  <c r="D15" i="28" s="1"/>
  <c r="E96" i="26"/>
  <c r="C15" i="27"/>
  <c r="D15" i="27" s="1"/>
  <c r="E80" i="26"/>
  <c r="E95" i="26" s="1"/>
  <c r="E79" i="26" l="1"/>
  <c r="E78" i="26" s="1"/>
  <c r="C10" i="27" l="1"/>
  <c r="C19" i="27" s="1"/>
  <c r="C9" i="28"/>
  <c r="C22" i="28" s="1"/>
  <c r="E94" i="26"/>
  <c r="E93" i="26" l="1"/>
  <c r="D9" i="28"/>
  <c r="D22" i="28" s="1"/>
  <c r="D10" i="27"/>
  <c r="D19" i="27" s="1"/>
  <c r="F54" i="27"/>
  <c r="D110" i="26" l="1"/>
  <c r="E108" i="26"/>
</calcChain>
</file>

<file path=xl/comments1.xml><?xml version="1.0" encoding="utf-8"?>
<comments xmlns="http://schemas.openxmlformats.org/spreadsheetml/2006/main">
  <authors>
    <author>何先琴</author>
  </authors>
  <commentList>
    <comment ref="C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公式</author>
    <author>1</author>
  </authors>
  <commentList>
    <comment ref="F7" authorId="0" shapeId="0">
      <text>
        <r>
          <rPr>
            <b/>
            <sz val="9"/>
            <color indexed="81"/>
            <rFont val="宋体"/>
            <family val="3"/>
            <charset val="134"/>
          </rPr>
          <t>公式:审计标识</t>
        </r>
        <r>
          <rPr>
            <sz val="9"/>
            <color indexed="81"/>
            <rFont val="宋体"/>
            <family val="3"/>
            <charset val="134"/>
          </rPr>
          <t xml:space="preserve">
与报表、总帐、明细帐核对一致：B/SGS
</t>
        </r>
      </text>
    </comment>
    <comment ref="F35" authorId="0" shapeId="0">
      <text>
        <r>
          <rPr>
            <b/>
            <sz val="9"/>
            <color indexed="81"/>
            <rFont val="宋体"/>
            <family val="3"/>
            <charset val="134"/>
          </rPr>
          <t>公式:审计标识</t>
        </r>
        <r>
          <rPr>
            <sz val="9"/>
            <color indexed="81"/>
            <rFont val="宋体"/>
            <family val="3"/>
            <charset val="134"/>
          </rPr>
          <t xml:space="preserve">
与试算平衡表核对一致：T/B</t>
        </r>
      </text>
    </comment>
    <comment ref="F50" authorId="0" shapeId="0">
      <text>
        <r>
          <rPr>
            <b/>
            <sz val="9"/>
            <color indexed="81"/>
            <rFont val="宋体"/>
            <family val="3"/>
            <charset val="134"/>
          </rPr>
          <t>公式:审计标识</t>
        </r>
        <r>
          <rPr>
            <sz val="9"/>
            <color indexed="81"/>
            <rFont val="宋体"/>
            <family val="3"/>
            <charset val="134"/>
          </rPr>
          <t xml:space="preserve">
与报表、总帐、明细帐核对一致：B/SGS
</t>
        </r>
      </text>
    </comment>
    <comment ref="F78" authorId="0" shapeId="0">
      <text>
        <r>
          <rPr>
            <b/>
            <sz val="9"/>
            <color indexed="81"/>
            <rFont val="宋体"/>
            <family val="3"/>
            <charset val="134"/>
          </rPr>
          <t>公式:审计标识</t>
        </r>
        <r>
          <rPr>
            <sz val="9"/>
            <color indexed="81"/>
            <rFont val="宋体"/>
            <family val="3"/>
            <charset val="134"/>
          </rPr>
          <t xml:space="preserve">
与试算平衡表核对一致：T/B</t>
        </r>
      </text>
    </comment>
    <comment ref="F93" authorId="0" shapeId="0">
      <text>
        <r>
          <rPr>
            <b/>
            <sz val="9"/>
            <color indexed="81"/>
            <rFont val="宋体"/>
            <family val="3"/>
            <charset val="134"/>
          </rPr>
          <t>公式:审计标识</t>
        </r>
        <r>
          <rPr>
            <sz val="9"/>
            <color indexed="81"/>
            <rFont val="宋体"/>
            <family val="3"/>
            <charset val="134"/>
          </rPr>
          <t xml:space="preserve">
与试算平衡表核对一致：T/B</t>
        </r>
      </text>
    </comment>
    <comment ref="B108" authorId="1"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 ref="E108" authorId="1"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List>
</comments>
</file>

<file path=xl/sharedStrings.xml><?xml version="1.0" encoding="utf-8"?>
<sst xmlns="http://schemas.openxmlformats.org/spreadsheetml/2006/main" count="1615" uniqueCount="923">
  <si>
    <t>存货明细表</t>
    <phoneticPr fontId="17" type="noConversion"/>
  </si>
  <si>
    <t>索引号：</t>
  </si>
  <si>
    <t>数量</t>
  </si>
  <si>
    <t>…</t>
  </si>
  <si>
    <t>金额</t>
  </si>
  <si>
    <t>底稿开列时，可先在以下单元格填写有关内容，以便其他底稿引用有关数据：</t>
    <phoneticPr fontId="17" type="noConversion"/>
  </si>
  <si>
    <t>存货名称</t>
    <phoneticPr fontId="17" type="noConversion"/>
  </si>
  <si>
    <t>单位</t>
    <phoneticPr fontId="17" type="noConversion"/>
  </si>
  <si>
    <t>期初库存</t>
    <phoneticPr fontId="17" type="noConversion"/>
  </si>
  <si>
    <t>本期购进</t>
    <phoneticPr fontId="17" type="noConversion"/>
  </si>
  <si>
    <t>本期发出</t>
    <phoneticPr fontId="17" type="noConversion"/>
  </si>
  <si>
    <t>期末结存</t>
    <phoneticPr fontId="17" type="noConversion"/>
  </si>
  <si>
    <t>单价</t>
    <phoneticPr fontId="17" type="noConversion"/>
  </si>
  <si>
    <t>存货明细表</t>
    <phoneticPr fontId="17" type="noConversion"/>
  </si>
  <si>
    <t>存货明细表</t>
    <phoneticPr fontId="17" type="noConversion"/>
  </si>
  <si>
    <t>单位</t>
    <phoneticPr fontId="17" type="noConversion"/>
  </si>
  <si>
    <t>期初库存</t>
    <phoneticPr fontId="17" type="noConversion"/>
  </si>
  <si>
    <t>期末结存</t>
    <phoneticPr fontId="17" type="noConversion"/>
  </si>
  <si>
    <t>单价</t>
    <phoneticPr fontId="17" type="noConversion"/>
  </si>
  <si>
    <t>减：存货跌价准备</t>
    <phoneticPr fontId="17" type="noConversion"/>
  </si>
  <si>
    <t>本期转入</t>
    <phoneticPr fontId="17" type="noConversion"/>
  </si>
  <si>
    <t>本期转出</t>
    <phoneticPr fontId="17" type="noConversion"/>
  </si>
  <si>
    <t>四、自制半成品明细表</t>
    <phoneticPr fontId="17" type="noConversion"/>
  </si>
  <si>
    <t>存货明细表</t>
    <phoneticPr fontId="17" type="noConversion"/>
  </si>
  <si>
    <t>发出商品净额</t>
    <phoneticPr fontId="17" type="noConversion"/>
  </si>
  <si>
    <t>发出商品名称及规格</t>
    <phoneticPr fontId="17" type="noConversion"/>
  </si>
  <si>
    <t>购货单位</t>
    <phoneticPr fontId="17" type="noConversion"/>
  </si>
  <si>
    <t>项目名称</t>
  </si>
  <si>
    <t>预计竣工时间</t>
  </si>
  <si>
    <t>单位成本</t>
    <phoneticPr fontId="17" type="noConversion"/>
  </si>
  <si>
    <t>品质状况（正常、残次、毁损、滞销等）</t>
    <phoneticPr fontId="17" type="noConversion"/>
  </si>
  <si>
    <t>八、开发产品</t>
    <phoneticPr fontId="17" type="noConversion"/>
  </si>
  <si>
    <t>期末余额</t>
    <phoneticPr fontId="17" type="noConversion"/>
  </si>
  <si>
    <t>十、工程施工</t>
    <phoneticPr fontId="17" type="noConversion"/>
  </si>
  <si>
    <t>审计说明：</t>
    <phoneticPr fontId="17" type="noConversion"/>
  </si>
  <si>
    <t>审计说明：</t>
    <phoneticPr fontId="17" type="noConversion"/>
  </si>
  <si>
    <t>C1</t>
  </si>
  <si>
    <t>Custom 1</t>
  </si>
  <si>
    <t>C2</t>
  </si>
  <si>
    <t>Custom 2</t>
  </si>
  <si>
    <t>C3</t>
  </si>
  <si>
    <t>Custom 3</t>
  </si>
  <si>
    <t>C4</t>
  </si>
  <si>
    <t>Custom 4</t>
  </si>
  <si>
    <t>C5</t>
  </si>
  <si>
    <t>Custom 5</t>
  </si>
  <si>
    <t>C6</t>
  </si>
  <si>
    <t>Custom 6</t>
  </si>
  <si>
    <t>C7</t>
  </si>
  <si>
    <t>Custom 7</t>
  </si>
  <si>
    <t>C8</t>
  </si>
  <si>
    <t>Custom 8</t>
  </si>
  <si>
    <t>页次：</t>
  </si>
  <si>
    <t>……</t>
  </si>
  <si>
    <t>合计</t>
  </si>
  <si>
    <t>致同会计师事务所</t>
  </si>
  <si>
    <t>页 次：</t>
    <phoneticPr fontId="17" type="noConversion"/>
  </si>
  <si>
    <r>
      <rPr>
        <b/>
        <sz val="10"/>
        <rFont val="宋体"/>
        <family val="3"/>
        <charset val="134"/>
      </rPr>
      <t>合计</t>
    </r>
  </si>
  <si>
    <r>
      <rPr>
        <b/>
        <sz val="10"/>
        <rFont val="宋体"/>
        <family val="3"/>
        <charset val="134"/>
      </rPr>
      <t>减：存货跌价准备</t>
    </r>
    <phoneticPr fontId="17" type="noConversion"/>
  </si>
  <si>
    <r>
      <rPr>
        <b/>
        <sz val="10"/>
        <rFont val="宋体"/>
        <family val="3"/>
        <charset val="134"/>
      </rPr>
      <t>库存商品净额</t>
    </r>
    <phoneticPr fontId="17" type="noConversion"/>
  </si>
  <si>
    <r>
      <rPr>
        <b/>
        <sz val="10"/>
        <rFont val="宋体"/>
        <family val="3"/>
        <charset val="134"/>
      </rPr>
      <t>致同会计师事务所</t>
    </r>
  </si>
  <si>
    <r>
      <rPr>
        <sz val="10"/>
        <rFont val="宋体"/>
        <family val="3"/>
        <charset val="134"/>
      </rPr>
      <t>页次：</t>
    </r>
  </si>
  <si>
    <t>G2-2-1</t>
  </si>
  <si>
    <t>G2-2-2</t>
  </si>
  <si>
    <t>G2-2-3</t>
  </si>
  <si>
    <t>G2-2-4</t>
  </si>
  <si>
    <t>G2-2-5</t>
  </si>
  <si>
    <t>G2-2-6</t>
  </si>
  <si>
    <t>G2-2-7</t>
  </si>
  <si>
    <t>G2-2-8</t>
  </si>
  <si>
    <t>G2-2-9</t>
  </si>
  <si>
    <t>G2-2-10</t>
  </si>
  <si>
    <r>
      <rPr>
        <b/>
        <sz val="10"/>
        <rFont val="宋体"/>
        <family val="3"/>
        <charset val="134"/>
      </rPr>
      <t>数量</t>
    </r>
  </si>
  <si>
    <r>
      <rPr>
        <b/>
        <sz val="10"/>
        <rFont val="宋体"/>
        <family val="3"/>
        <charset val="134"/>
      </rPr>
      <t>金额</t>
    </r>
  </si>
  <si>
    <r>
      <rPr>
        <b/>
        <sz val="12"/>
        <rFont val="宋体"/>
        <family val="3"/>
        <charset val="134"/>
      </rPr>
      <t>存货明细表</t>
    </r>
    <phoneticPr fontId="17" type="noConversion"/>
  </si>
  <si>
    <r>
      <rPr>
        <b/>
        <sz val="10"/>
        <rFont val="宋体"/>
        <family val="3"/>
        <charset val="134"/>
      </rPr>
      <t>规格</t>
    </r>
    <phoneticPr fontId="17" type="noConversion"/>
  </si>
  <si>
    <r>
      <rPr>
        <b/>
        <sz val="10"/>
        <rFont val="宋体"/>
        <family val="3"/>
        <charset val="134"/>
      </rPr>
      <t>期初库存</t>
    </r>
    <phoneticPr fontId="17" type="noConversion"/>
  </si>
  <si>
    <r>
      <rPr>
        <b/>
        <sz val="10"/>
        <rFont val="宋体"/>
        <family val="3"/>
        <charset val="134"/>
      </rPr>
      <t>本期购进</t>
    </r>
    <phoneticPr fontId="17" type="noConversion"/>
  </si>
  <si>
    <r>
      <rPr>
        <b/>
        <sz val="10"/>
        <rFont val="宋体"/>
        <family val="3"/>
        <charset val="134"/>
      </rPr>
      <t>本期发出</t>
    </r>
    <phoneticPr fontId="17" type="noConversion"/>
  </si>
  <si>
    <r>
      <rPr>
        <b/>
        <sz val="10"/>
        <rFont val="宋体"/>
        <family val="3"/>
        <charset val="134"/>
      </rPr>
      <t>期末结存</t>
    </r>
    <phoneticPr fontId="17" type="noConversion"/>
  </si>
  <si>
    <r>
      <rPr>
        <b/>
        <sz val="10"/>
        <rFont val="宋体"/>
        <family val="3"/>
        <charset val="134"/>
      </rPr>
      <t>单价</t>
    </r>
    <phoneticPr fontId="17" type="noConversion"/>
  </si>
  <si>
    <r>
      <t>4</t>
    </r>
    <r>
      <rPr>
        <sz val="10"/>
        <color rgb="FFFF0000"/>
        <rFont val="宋体"/>
        <family val="3"/>
        <charset val="134"/>
      </rPr>
      <t>、计提跌价准备的主要项目及原因：</t>
    </r>
    <phoneticPr fontId="17" type="noConversion"/>
  </si>
  <si>
    <r>
      <t>1</t>
    </r>
    <r>
      <rPr>
        <sz val="10"/>
        <color rgb="FFFF0000"/>
        <rFont val="宋体"/>
        <family val="3"/>
        <charset val="134"/>
      </rPr>
      <t>、自制半成品的计价方法：</t>
    </r>
    <phoneticPr fontId="17" type="noConversion"/>
  </si>
  <si>
    <r>
      <rPr>
        <sz val="10"/>
        <rFont val="宋体"/>
        <family val="3"/>
        <charset val="134"/>
      </rPr>
      <t>索引号：</t>
    </r>
  </si>
  <si>
    <r>
      <rPr>
        <sz val="10"/>
        <rFont val="宋体"/>
        <family val="3"/>
        <charset val="134"/>
      </rPr>
      <t>五、委托加工物资明细表</t>
    </r>
  </si>
  <si>
    <r>
      <rPr>
        <b/>
        <sz val="10"/>
        <rFont val="宋体"/>
        <family val="3"/>
        <charset val="134"/>
      </rPr>
      <t>加工单位名称</t>
    </r>
  </si>
  <si>
    <r>
      <rPr>
        <b/>
        <sz val="10"/>
        <rFont val="宋体"/>
        <family val="3"/>
        <charset val="134"/>
      </rPr>
      <t>发出加工物资名称</t>
    </r>
  </si>
  <si>
    <r>
      <rPr>
        <b/>
        <sz val="10"/>
        <rFont val="宋体"/>
        <family val="3"/>
        <charset val="134"/>
      </rPr>
      <t>单价</t>
    </r>
  </si>
  <si>
    <r>
      <rPr>
        <b/>
        <sz val="10"/>
        <rFont val="宋体"/>
        <family val="3"/>
        <charset val="134"/>
      </rPr>
      <t>加工费用</t>
    </r>
  </si>
  <si>
    <r>
      <rPr>
        <b/>
        <sz val="10"/>
        <rFont val="宋体"/>
        <family val="3"/>
        <charset val="134"/>
      </rPr>
      <t>运杂费</t>
    </r>
  </si>
  <si>
    <r>
      <rPr>
        <b/>
        <sz val="10"/>
        <rFont val="宋体"/>
        <family val="3"/>
        <charset val="134"/>
      </rPr>
      <t>计入加工物资成本的税金</t>
    </r>
  </si>
  <si>
    <r>
      <rPr>
        <b/>
        <sz val="10"/>
        <rFont val="宋体"/>
        <family val="3"/>
        <charset val="134"/>
      </rPr>
      <t>加工物资成本</t>
    </r>
  </si>
  <si>
    <r>
      <rPr>
        <b/>
        <sz val="10"/>
        <rFont val="宋体"/>
        <family val="3"/>
        <charset val="134"/>
      </rPr>
      <t>库龄</t>
    </r>
    <phoneticPr fontId="17" type="noConversion"/>
  </si>
  <si>
    <r>
      <rPr>
        <b/>
        <sz val="10"/>
        <color indexed="8"/>
        <rFont val="宋体"/>
        <family val="3"/>
        <charset val="134"/>
      </rPr>
      <t>合计</t>
    </r>
  </si>
  <si>
    <r>
      <rPr>
        <b/>
        <sz val="10"/>
        <color indexed="8"/>
        <rFont val="宋体"/>
        <family val="3"/>
        <charset val="134"/>
      </rPr>
      <t>减：存货减值准备</t>
    </r>
  </si>
  <si>
    <r>
      <rPr>
        <b/>
        <sz val="10"/>
        <color indexed="8"/>
        <rFont val="宋体"/>
        <family val="3"/>
        <charset val="134"/>
      </rPr>
      <t>存货净额</t>
    </r>
  </si>
  <si>
    <r>
      <rPr>
        <b/>
        <sz val="10"/>
        <rFont val="宋体"/>
        <family val="3"/>
        <charset val="134"/>
      </rPr>
      <t>审计说明：</t>
    </r>
    <phoneticPr fontId="17" type="noConversion"/>
  </si>
  <si>
    <r>
      <rPr>
        <sz val="10"/>
        <rFont val="宋体"/>
        <family val="3"/>
        <charset val="134"/>
      </rPr>
      <t>页</t>
    </r>
    <r>
      <rPr>
        <sz val="10"/>
        <rFont val="Arial Narrow"/>
        <family val="2"/>
      </rPr>
      <t xml:space="preserve"> </t>
    </r>
    <r>
      <rPr>
        <sz val="10"/>
        <rFont val="宋体"/>
        <family val="3"/>
        <charset val="134"/>
      </rPr>
      <t>次：</t>
    </r>
    <phoneticPr fontId="17" type="noConversion"/>
  </si>
  <si>
    <r>
      <rPr>
        <b/>
        <sz val="10"/>
        <rFont val="宋体"/>
        <family val="3"/>
        <charset val="134"/>
      </rPr>
      <t>序号</t>
    </r>
  </si>
  <si>
    <r>
      <rPr>
        <b/>
        <sz val="10"/>
        <rFont val="宋体"/>
        <family val="3"/>
        <charset val="134"/>
      </rPr>
      <t>项目名称</t>
    </r>
  </si>
  <si>
    <r>
      <rPr>
        <b/>
        <sz val="10"/>
        <rFont val="宋体"/>
        <family val="3"/>
        <charset val="134"/>
      </rPr>
      <t>总建筑面积</t>
    </r>
    <r>
      <rPr>
        <b/>
        <sz val="10"/>
        <rFont val="Arial Narrow"/>
        <family val="2"/>
      </rPr>
      <t>/</t>
    </r>
    <r>
      <rPr>
        <b/>
        <sz val="10"/>
        <rFont val="宋体"/>
        <family val="3"/>
        <charset val="134"/>
      </rPr>
      <t>万平米</t>
    </r>
  </si>
  <si>
    <r>
      <rPr>
        <b/>
        <sz val="10"/>
        <rFont val="宋体"/>
        <family val="3"/>
        <charset val="134"/>
      </rPr>
      <t>预计开工时间</t>
    </r>
    <phoneticPr fontId="17" type="noConversion"/>
  </si>
  <si>
    <r>
      <rPr>
        <b/>
        <sz val="10"/>
        <rFont val="宋体"/>
        <family val="3"/>
        <charset val="134"/>
      </rPr>
      <t>预计竣工时间</t>
    </r>
  </si>
  <si>
    <r>
      <rPr>
        <b/>
        <sz val="10"/>
        <rFont val="宋体"/>
        <family val="3"/>
        <charset val="134"/>
      </rPr>
      <t>预计总投资</t>
    </r>
    <phoneticPr fontId="17" type="noConversion"/>
  </si>
  <si>
    <r>
      <rPr>
        <b/>
        <sz val="10"/>
        <rFont val="宋体"/>
        <family val="3"/>
        <charset val="134"/>
      </rPr>
      <t>品质状况（正常、停建、毁损、报废等）</t>
    </r>
  </si>
  <si>
    <t>期初调整</t>
    <phoneticPr fontId="17" type="noConversion"/>
  </si>
  <si>
    <t>--</t>
    <phoneticPr fontId="17" type="noConversion"/>
  </si>
  <si>
    <t>账项调整</t>
    <phoneticPr fontId="17" type="noConversion"/>
  </si>
  <si>
    <t>重分类调整</t>
    <phoneticPr fontId="17" type="noConversion"/>
  </si>
  <si>
    <t>未审数</t>
    <phoneticPr fontId="17" type="noConversion"/>
  </si>
  <si>
    <t>（二）跌价准备</t>
    <phoneticPr fontId="17" type="noConversion"/>
  </si>
  <si>
    <t>期初余额</t>
    <phoneticPr fontId="17" type="noConversion"/>
  </si>
  <si>
    <t>审定数</t>
    <phoneticPr fontId="17" type="noConversion"/>
  </si>
  <si>
    <t>备注</t>
    <phoneticPr fontId="17" type="noConversion"/>
  </si>
  <si>
    <t>索引号</t>
    <phoneticPr fontId="17" type="noConversion"/>
  </si>
  <si>
    <t>（三）净值</t>
    <phoneticPr fontId="17" type="noConversion"/>
  </si>
  <si>
    <t>期末数</t>
    <phoneticPr fontId="17" type="noConversion"/>
  </si>
  <si>
    <t>期初数</t>
    <phoneticPr fontId="17" type="noConversion"/>
  </si>
  <si>
    <t>期末调整</t>
    <phoneticPr fontId="17" type="noConversion"/>
  </si>
  <si>
    <t>本期增加</t>
    <phoneticPr fontId="17" type="noConversion"/>
  </si>
  <si>
    <t>本期减少</t>
    <phoneticPr fontId="17" type="noConversion"/>
  </si>
  <si>
    <t>期初未审数</t>
    <phoneticPr fontId="17" type="noConversion"/>
  </si>
  <si>
    <t>期末未审数</t>
    <phoneticPr fontId="17" type="noConversion"/>
  </si>
  <si>
    <t>序号</t>
    <phoneticPr fontId="17" type="noConversion"/>
  </si>
  <si>
    <t>内容</t>
    <phoneticPr fontId="17" type="noConversion"/>
  </si>
  <si>
    <t>G2-2-11</t>
    <phoneticPr fontId="17" type="noConversion"/>
  </si>
  <si>
    <t>存栏数</t>
    <phoneticPr fontId="17" type="noConversion"/>
  </si>
  <si>
    <t>十一、消耗性生物资产明细表</t>
    <phoneticPr fontId="17" type="noConversion"/>
  </si>
  <si>
    <t>消耗性生物资产明细表</t>
    <phoneticPr fontId="17" type="noConversion"/>
  </si>
  <si>
    <t>品种</t>
    <phoneticPr fontId="17" type="noConversion"/>
  </si>
  <si>
    <t>状况</t>
    <phoneticPr fontId="17" type="noConversion"/>
  </si>
  <si>
    <t>十一、消耗性生物资产</t>
    <phoneticPr fontId="17" type="noConversion"/>
  </si>
  <si>
    <t>审计提示：</t>
    <phoneticPr fontId="17" type="noConversion"/>
  </si>
  <si>
    <t>关注产品退换货情况</t>
    <phoneticPr fontId="17" type="noConversion"/>
  </si>
  <si>
    <t>存货编码</t>
    <phoneticPr fontId="17" type="noConversion"/>
  </si>
  <si>
    <t>销售出库数量（销售台账）</t>
    <phoneticPr fontId="17" type="noConversion"/>
  </si>
  <si>
    <t>差异</t>
    <phoneticPr fontId="17" type="noConversion"/>
  </si>
  <si>
    <r>
      <rPr>
        <b/>
        <sz val="12"/>
        <rFont val="宋体"/>
        <family val="3"/>
        <charset val="134"/>
      </rPr>
      <t>致同会计师事务所</t>
    </r>
  </si>
  <si>
    <t>存货实质性程序</t>
    <phoneticPr fontId="17" type="noConversion"/>
  </si>
  <si>
    <r>
      <rPr>
        <b/>
        <sz val="10"/>
        <rFont val="宋体"/>
        <family val="3"/>
        <charset val="134"/>
      </rPr>
      <t>财务报表的认定　</t>
    </r>
  </si>
  <si>
    <r>
      <t xml:space="preserve">A. </t>
    </r>
    <r>
      <rPr>
        <sz val="10"/>
        <rFont val="宋体"/>
        <family val="3"/>
        <charset val="134"/>
      </rPr>
      <t>资产负债表中记录的存货是存在的，且已经记录在恰当的账户中</t>
    </r>
    <phoneticPr fontId="17" type="noConversion"/>
  </si>
  <si>
    <r>
      <t xml:space="preserve">C. </t>
    </r>
    <r>
      <rPr>
        <sz val="10"/>
        <rFont val="宋体"/>
        <family val="3"/>
        <charset val="134"/>
      </rPr>
      <t>记录的存货由被审计单位拥有或控制</t>
    </r>
    <phoneticPr fontId="17" type="noConversion"/>
  </si>
  <si>
    <t>程序分类</t>
    <phoneticPr fontId="17" type="noConversion"/>
  </si>
  <si>
    <t>常规★</t>
    <phoneticPr fontId="46" type="noConversion"/>
  </si>
  <si>
    <t>存货及跌价准备审定表</t>
    <phoneticPr fontId="17" type="noConversion"/>
  </si>
  <si>
    <t>索引号：</t>
    <phoneticPr fontId="17" type="noConversion"/>
  </si>
  <si>
    <r>
      <t xml:space="preserve">页 </t>
    </r>
    <r>
      <rPr>
        <sz val="10"/>
        <rFont val="宋体"/>
        <family val="3"/>
        <charset val="134"/>
      </rPr>
      <t xml:space="preserve"> </t>
    </r>
    <r>
      <rPr>
        <sz val="10"/>
        <rFont val="宋体"/>
        <family val="3"/>
        <charset val="134"/>
      </rPr>
      <t>次：</t>
    </r>
    <phoneticPr fontId="17" type="noConversion"/>
  </si>
  <si>
    <t>项目</t>
    <phoneticPr fontId="17" type="noConversion"/>
  </si>
  <si>
    <t>索引</t>
    <phoneticPr fontId="17" type="noConversion"/>
  </si>
  <si>
    <t>一、原值</t>
    <phoneticPr fontId="17" type="noConversion"/>
  </si>
  <si>
    <t>合同履约成本</t>
    <phoneticPr fontId="17" type="noConversion"/>
  </si>
  <si>
    <t>审定数（原值）</t>
    <phoneticPr fontId="17" type="noConversion"/>
  </si>
  <si>
    <t>二、跌价准备</t>
    <phoneticPr fontId="17" type="noConversion"/>
  </si>
  <si>
    <t>审定数（跌价准备）</t>
    <phoneticPr fontId="17" type="noConversion"/>
  </si>
  <si>
    <t>三、净值</t>
    <phoneticPr fontId="17" type="noConversion"/>
  </si>
  <si>
    <t>审定数（净值）</t>
    <phoneticPr fontId="17" type="noConversion"/>
  </si>
  <si>
    <t>试算平衡表数</t>
    <phoneticPr fontId="17" type="noConversion"/>
  </si>
  <si>
    <t>差异数</t>
    <phoneticPr fontId="17" type="noConversion"/>
  </si>
  <si>
    <t>1、审计说明：</t>
    <phoneticPr fontId="17" type="noConversion"/>
  </si>
  <si>
    <r>
      <t>（</t>
    </r>
    <r>
      <rPr>
        <sz val="10"/>
        <rFont val="Arial Narrow"/>
        <family val="2"/>
      </rPr>
      <t>1</t>
    </r>
    <r>
      <rPr>
        <sz val="10"/>
        <rFont val="宋体"/>
        <family val="3"/>
        <charset val="134"/>
      </rPr>
      <t>）公司存货期末净值较期初净值增加（负数为减少）：</t>
    </r>
    <phoneticPr fontId="17" type="noConversion"/>
  </si>
  <si>
    <r>
      <t>主要原因</t>
    </r>
    <r>
      <rPr>
        <sz val="10"/>
        <color indexed="10"/>
        <rFont val="宋体"/>
        <family val="3"/>
        <charset val="134"/>
      </rPr>
      <t>（比例超过30%的）</t>
    </r>
    <r>
      <rPr>
        <sz val="10"/>
        <rFont val="宋体"/>
        <family val="3"/>
        <charset val="134"/>
      </rPr>
      <t>：</t>
    </r>
    <phoneticPr fontId="17" type="noConversion"/>
  </si>
  <si>
    <r>
      <t>（</t>
    </r>
    <r>
      <rPr>
        <sz val="10"/>
        <rFont val="Arial Narrow"/>
        <family val="2"/>
      </rPr>
      <t>2</t>
    </r>
    <r>
      <rPr>
        <sz val="10"/>
        <rFont val="宋体"/>
        <family val="3"/>
        <charset val="134"/>
      </rPr>
      <t>）抵押情况说明：</t>
    </r>
    <phoneticPr fontId="17" type="noConversion"/>
  </si>
  <si>
    <t>编制说明：</t>
    <phoneticPr fontId="17" type="noConversion"/>
  </si>
  <si>
    <r>
      <t>1</t>
    </r>
    <r>
      <rPr>
        <sz val="10"/>
        <color indexed="12"/>
        <rFont val="宋体"/>
        <family val="3"/>
        <charset val="134"/>
      </rPr>
      <t>、如适用，根据</t>
    </r>
    <r>
      <rPr>
        <sz val="10"/>
        <color indexed="12"/>
        <rFont val="Arial Narrow"/>
        <family val="2"/>
      </rPr>
      <t>1131</t>
    </r>
    <r>
      <rPr>
        <sz val="10"/>
        <color indexed="12"/>
        <rFont val="宋体"/>
        <family val="3"/>
        <charset val="134"/>
      </rPr>
      <t>号等审计准则和指南的要求编制，说明涉及事项内容、应对措施、审计结论或解决方法，</t>
    </r>
    <phoneticPr fontId="17" type="noConversion"/>
  </si>
  <si>
    <t>以及可能对审计报告的影响。</t>
    <phoneticPr fontId="17" type="noConversion"/>
  </si>
  <si>
    <r>
      <t>A</t>
    </r>
    <r>
      <rPr>
        <sz val="10"/>
        <color indexed="12"/>
        <rFont val="宋体"/>
        <family val="3"/>
        <charset val="134"/>
      </rPr>
      <t>、风险评估结果和内控了解、测试情况（不适用则说明：不存在重大错报风险。</t>
    </r>
    <r>
      <rPr>
        <sz val="10"/>
        <color indexed="12"/>
        <rFont val="Arial Narrow"/>
        <family val="2"/>
      </rPr>
      <t>)</t>
    </r>
    <phoneticPr fontId="17" type="noConversion"/>
  </si>
  <si>
    <r>
      <t>(</t>
    </r>
    <r>
      <rPr>
        <sz val="10"/>
        <color indexed="12"/>
        <rFont val="宋体"/>
        <family val="3"/>
        <charset val="134"/>
      </rPr>
      <t>识别和实际评估的重大错报风险、尤其识特别风险，以及对内控了解和控制测试情况〔采用综合方案时〕）；</t>
    </r>
    <phoneticPr fontId="17" type="noConversion"/>
  </si>
  <si>
    <r>
      <t>提示：</t>
    </r>
    <r>
      <rPr>
        <sz val="10"/>
        <color indexed="12"/>
        <rFont val="Arial Narrow"/>
        <family val="2"/>
      </rPr>
      <t>a</t>
    </r>
    <r>
      <rPr>
        <sz val="10"/>
        <color indexed="12"/>
        <rFont val="宋体"/>
        <family val="3"/>
        <charset val="134"/>
      </rPr>
      <t>、收入科目应当假定存在舞弊的特别风险，如不存在，应说明理由；</t>
    </r>
    <phoneticPr fontId="17" type="noConversion"/>
  </si>
  <si>
    <t>b、涉及特别风险时，应当重点说明有关事项、应当措施、结果〔可索引有关底稿〕。</t>
  </si>
  <si>
    <r>
      <t>特别风险涉及的事项包括但不限于：</t>
    </r>
    <r>
      <rPr>
        <sz val="10"/>
        <color indexed="12"/>
        <rFont val="Arial Narrow"/>
        <family val="2"/>
      </rPr>
      <t/>
    </r>
    <phoneticPr fontId="17" type="noConversion"/>
  </si>
  <si>
    <r>
      <t>（1</t>
    </r>
    <r>
      <rPr>
        <sz val="10"/>
        <color indexed="12"/>
        <rFont val="宋体"/>
        <family val="3"/>
        <charset val="134"/>
      </rPr>
      <t>）舞弊风险（如</t>
    </r>
    <r>
      <rPr>
        <sz val="10"/>
        <color indexed="12"/>
        <rFont val="Arial Narrow"/>
        <family val="2"/>
      </rPr>
      <t>1141</t>
    </r>
    <r>
      <rPr>
        <sz val="10"/>
        <color indexed="12"/>
        <rFont val="宋体"/>
        <family val="3"/>
        <charset val="134"/>
      </rPr>
      <t>准则的示例）；（</t>
    </r>
    <r>
      <rPr>
        <sz val="10"/>
        <color indexed="12"/>
        <rFont val="Arial Narrow"/>
        <family val="2"/>
      </rPr>
      <t>2</t>
    </r>
    <r>
      <rPr>
        <sz val="10"/>
        <color indexed="12"/>
        <rFont val="宋体"/>
        <family val="3"/>
        <charset val="134"/>
      </rPr>
      <t>）重大非常规交易（如企业购并、债务重组、非货币性资产交换、</t>
    </r>
    <phoneticPr fontId="17" type="noConversion"/>
  </si>
  <si>
    <t>重大或有事项、持续经营、违反法律法规等）；(3)重大关联交易；(4)重大判断事项（如重大会计估计、</t>
  </si>
  <si>
    <t>会计政策及其变更）；(5)重大复杂交易；(6)仅通过实质性程序无法应对的重大错报风险（如日常交易采用</t>
  </si>
  <si>
    <t>高度自动化处理）等等。</t>
    <phoneticPr fontId="17" type="noConversion"/>
  </si>
  <si>
    <t>B、发现的重大不符事项（如适用）</t>
    <phoneticPr fontId="17" type="noConversion"/>
  </si>
  <si>
    <t>按调整事项，逐笔概述调整原因及对本科目的调整金额，并说明相关底稿的索引号。</t>
    <phoneticPr fontId="17" type="noConversion"/>
  </si>
  <si>
    <t>〔即具体事项内容和调整分录，见经索引的本科目或相关科目的检查表或测算表〕</t>
    <phoneticPr fontId="17" type="noConversion"/>
  </si>
  <si>
    <r>
      <rPr>
        <sz val="10"/>
        <rFont val="宋体"/>
        <family val="2"/>
        <charset val="134"/>
      </rPr>
      <t>2、本底稿核算内容不包括</t>
    </r>
    <r>
      <rPr>
        <sz val="10"/>
        <rFont val="Arial Narrow"/>
        <family val="2"/>
      </rPr>
      <t>BOT</t>
    </r>
    <r>
      <rPr>
        <sz val="10"/>
        <rFont val="宋体"/>
        <family val="2"/>
        <charset val="134"/>
      </rPr>
      <t>在建项目。</t>
    </r>
    <phoneticPr fontId="17" type="noConversion"/>
  </si>
  <si>
    <t>3、说明基于获取的审计证据，在有关认定方面，是否发现重大错报或存在重大异常。</t>
    <phoneticPr fontId="17" type="noConversion"/>
  </si>
  <si>
    <t>参考结论：</t>
    <phoneticPr fontId="17" type="noConversion"/>
  </si>
  <si>
    <t>A、</t>
  </si>
  <si>
    <t>B、</t>
  </si>
  <si>
    <t>C、</t>
  </si>
  <si>
    <r>
      <rPr>
        <b/>
        <sz val="12"/>
        <rFont val="宋体"/>
        <family val="3"/>
        <charset val="134"/>
      </rPr>
      <t>存货附注披露信息（上市公司）</t>
    </r>
    <phoneticPr fontId="17" type="noConversion"/>
  </si>
  <si>
    <t>存货附注披露信息：</t>
    <phoneticPr fontId="17" type="noConversion"/>
  </si>
  <si>
    <t>存货</t>
  </si>
  <si>
    <t>（1）存货分类</t>
  </si>
  <si>
    <t>存货种类</t>
  </si>
  <si>
    <t>期末数</t>
  </si>
  <si>
    <t>期初数</t>
  </si>
  <si>
    <t>账面余额</t>
  </si>
  <si>
    <t>账面价值</t>
  </si>
  <si>
    <t>合  计</t>
  </si>
  <si>
    <t>（注：根据企业具体情况分类，房地产开发企业应增加“开发成本”、“开发产品”等种类）</t>
  </si>
  <si>
    <t>本期增加</t>
  </si>
  <si>
    <t>本期减少</t>
  </si>
  <si>
    <t>计提</t>
  </si>
  <si>
    <t>其他</t>
  </si>
  <si>
    <t>转回或转销</t>
  </si>
  <si>
    <t>--</t>
  </si>
  <si>
    <t>【披露确定可变现净值的具体依据及本期转回或转销存货跌价准备的原因。】</t>
  </si>
  <si>
    <t>（房地产开发企业，应按下列格式披露“开发成本”、“开发产品”等相关信息)</t>
  </si>
  <si>
    <t>开工时间</t>
  </si>
  <si>
    <t>预计总投资</t>
    <phoneticPr fontId="17" type="noConversion"/>
  </si>
  <si>
    <t>期末跌价准备</t>
  </si>
  <si>
    <t>竣工时间</t>
  </si>
  <si>
    <t>（房地产开发企业列示存货跌价准备时，对于开发中项目，可以合并列示。对“停工”、“烂尾”“空置”项目，如果不计提或计提跌价比例较低，应详细说明理由。）</t>
  </si>
  <si>
    <r>
      <rPr>
        <b/>
        <sz val="12"/>
        <rFont val="宋体"/>
        <family val="3"/>
        <charset val="134"/>
      </rPr>
      <t>存货附注披露信息（国企）</t>
    </r>
    <phoneticPr fontId="17" type="noConversion"/>
  </si>
  <si>
    <t>（注：其他项中应说明房地产企业土地储备的情况，包括土地储备的面积、本期增加及土地储备年末余额。）</t>
  </si>
  <si>
    <t>转回</t>
  </si>
  <si>
    <t>转销</t>
  </si>
  <si>
    <t>存货明细汇总表</t>
    <phoneticPr fontId="17" type="noConversion"/>
  </si>
  <si>
    <t>……</t>
    <phoneticPr fontId="17" type="noConversion"/>
  </si>
  <si>
    <t>G2-2-12</t>
    <phoneticPr fontId="17" type="noConversion"/>
  </si>
  <si>
    <r>
      <rPr>
        <b/>
        <sz val="10"/>
        <rFont val="宋体"/>
        <family val="3"/>
        <charset val="134"/>
      </rPr>
      <t>三、审计说明：</t>
    </r>
    <phoneticPr fontId="17" type="noConversion"/>
  </si>
  <si>
    <t>存货及跌价准备调整分录汇总表</t>
    <phoneticPr fontId="17" type="noConversion"/>
  </si>
  <si>
    <t>调整事项说明</t>
    <phoneticPr fontId="17" type="noConversion"/>
  </si>
  <si>
    <t>类别（报表调整/账项调整/其他）</t>
    <phoneticPr fontId="17" type="noConversion"/>
  </si>
  <si>
    <t>科目名称</t>
    <phoneticPr fontId="17" type="noConversion"/>
  </si>
  <si>
    <t>附注项目</t>
    <phoneticPr fontId="17" type="noConversion"/>
  </si>
  <si>
    <t>借方调整金额</t>
    <phoneticPr fontId="17" type="noConversion"/>
  </si>
  <si>
    <t>贷方调整金额</t>
    <phoneticPr fontId="17" type="noConversion"/>
  </si>
  <si>
    <t>存货实质性程序表</t>
    <phoneticPr fontId="17" type="noConversion"/>
  </si>
  <si>
    <t>G2A</t>
  </si>
  <si>
    <t>存货审定表</t>
    <phoneticPr fontId="17" type="noConversion"/>
  </si>
  <si>
    <t>G2</t>
  </si>
  <si>
    <t>附注披露信息(上市公司）</t>
    <phoneticPr fontId="17" type="noConversion"/>
  </si>
  <si>
    <t>G2-1</t>
  </si>
  <si>
    <t>附注披露信息(国企）</t>
    <phoneticPr fontId="17" type="noConversion"/>
  </si>
  <si>
    <t>G2-2</t>
  </si>
  <si>
    <t>调整分录汇总</t>
  </si>
  <si>
    <t>存货总体分析</t>
    <phoneticPr fontId="17" type="noConversion"/>
  </si>
  <si>
    <t>G2-3</t>
  </si>
  <si>
    <t>一、原材料明细表</t>
    <phoneticPr fontId="17" type="noConversion"/>
  </si>
  <si>
    <t>九、开发成本</t>
    <phoneticPr fontId="17" type="noConversion"/>
  </si>
  <si>
    <t>二、材料采购、在途物资明细表</t>
    <phoneticPr fontId="17" type="noConversion"/>
  </si>
  <si>
    <t>三、周转材料、低值易耗品，包装物明细表</t>
    <phoneticPr fontId="17" type="noConversion"/>
  </si>
  <si>
    <t>五、委托加工物资明细表</t>
    <phoneticPr fontId="17" type="noConversion"/>
  </si>
  <si>
    <t>六、库存商品明细表</t>
    <phoneticPr fontId="17" type="noConversion"/>
  </si>
  <si>
    <t>七、发出商品</t>
    <phoneticPr fontId="17" type="noConversion"/>
  </si>
  <si>
    <t>跌价准备/合同履约成本减值准备</t>
    <phoneticPr fontId="17" type="noConversion"/>
  </si>
  <si>
    <t>上年年末数</t>
    <phoneticPr fontId="17" type="noConversion"/>
  </si>
  <si>
    <t>周转材料</t>
    <phoneticPr fontId="17" type="noConversion"/>
  </si>
  <si>
    <t>上年年末数</t>
    <phoneticPr fontId="17" type="noConversion"/>
  </si>
  <si>
    <t>（2）存货跌价准备及合同履约成本减值准备</t>
    <phoneticPr fontId="17" type="noConversion"/>
  </si>
  <si>
    <t>存货跌价准备及合同履约成本减值准备（续）</t>
    <phoneticPr fontId="17" type="noConversion"/>
  </si>
  <si>
    <t>确定可变现净值/剩余对价与将要发生的成本的具体依据</t>
    <phoneticPr fontId="17" type="noConversion"/>
  </si>
  <si>
    <t>本期转回或转销存货跌价准备/合同履约成本减值准备的原因</t>
    <phoneticPr fontId="17" type="noConversion"/>
  </si>
  <si>
    <t>（5）开发成本</t>
    <phoneticPr fontId="17" type="noConversion"/>
  </si>
  <si>
    <t>（6）开发产品</t>
    <phoneticPr fontId="17" type="noConversion"/>
  </si>
  <si>
    <t>（7）周转房</t>
    <phoneticPr fontId="17" type="noConversion"/>
  </si>
  <si>
    <t>（3）借款费用资本化</t>
    <phoneticPr fontId="17" type="noConversion"/>
  </si>
  <si>
    <t>库存商品（产成品）</t>
    <phoneticPr fontId="17" type="noConversion"/>
  </si>
  <si>
    <t xml:space="preserve">    其中：开发产品</t>
    <phoneticPr fontId="17" type="noConversion"/>
  </si>
  <si>
    <t xml:space="preserve">    其中：开发成本</t>
    <phoneticPr fontId="17" type="noConversion"/>
  </si>
  <si>
    <t>自制半成品及在产品</t>
    <phoneticPr fontId="17" type="noConversion"/>
  </si>
  <si>
    <t>周转材料（包装物、低值易耗品等）</t>
    <phoneticPr fontId="17" type="noConversion"/>
  </si>
  <si>
    <t>合同履约成本</t>
    <phoneticPr fontId="17" type="noConversion"/>
  </si>
  <si>
    <t>其他</t>
    <phoneticPr fontId="17" type="noConversion"/>
  </si>
  <si>
    <t xml:space="preserve">    其中：尚未开发的土地储备(由房地产开发企业填列）</t>
    <phoneticPr fontId="17" type="noConversion"/>
  </si>
  <si>
    <t>跌价准备/合同履约成本减值准备</t>
    <phoneticPr fontId="17" type="noConversion"/>
  </si>
  <si>
    <t>跌价准备/合同履约成本减值准备</t>
    <phoneticPr fontId="17" type="noConversion"/>
  </si>
  <si>
    <t>期初数</t>
    <phoneticPr fontId="17" type="noConversion"/>
  </si>
  <si>
    <t>项  目</t>
  </si>
  <si>
    <t>存货期末余额中含有借款费用资本化金额为XXX元。</t>
    <phoneticPr fontId="17" type="noConversion"/>
  </si>
  <si>
    <t>（4）合同履约成本本期摊销金额的说明</t>
    <phoneticPr fontId="17" type="noConversion"/>
  </si>
  <si>
    <t xml:space="preserve">常规程序  </t>
  </si>
  <si>
    <t>期后结转</t>
    <phoneticPr fontId="17" type="noConversion"/>
  </si>
  <si>
    <t>IPE程序</t>
  </si>
  <si>
    <t>存货程序（选择“被审计单位执行定期盘点”“存货存放在多个地点”）、LEAP应对措施-检查（存货监盘）</t>
  </si>
  <si>
    <t>常规程序、应对措施-会计估计</t>
    <phoneticPr fontId="17" type="noConversion"/>
  </si>
  <si>
    <t>应对措施-检查</t>
  </si>
  <si>
    <t>存货程序（存货成本）</t>
    <phoneticPr fontId="17" type="noConversion"/>
  </si>
  <si>
    <t>应对措施-会计估计</t>
  </si>
  <si>
    <t>常规程序（选择“存在关联交易”）</t>
  </si>
  <si>
    <t>与Leap对应</t>
    <phoneticPr fontId="17" type="noConversion"/>
  </si>
  <si>
    <t>数据资源</t>
  </si>
  <si>
    <t>数据资源</t>
    <phoneticPr fontId="17" type="noConversion"/>
  </si>
  <si>
    <t>数据资源</t>
    <phoneticPr fontId="17" type="noConversion"/>
  </si>
  <si>
    <t>数据资源</t>
    <phoneticPr fontId="17" type="noConversion"/>
  </si>
  <si>
    <t>（3）按组合计提存货跌价准备</t>
    <phoneticPr fontId="17" type="noConversion"/>
  </si>
  <si>
    <t>（15号文第十九条（六）按组合计提存货跌价准备的，应分类披露不同组合存货的期初余额、期末余额，对应的跌价准备的期初余额、期末余额、计提标准和比例。）</t>
    <phoneticPr fontId="17" type="noConversion"/>
  </si>
  <si>
    <t>组 合</t>
    <phoneticPr fontId="17" type="noConversion"/>
  </si>
  <si>
    <t>期末余额</t>
    <phoneticPr fontId="17" type="noConversion"/>
  </si>
  <si>
    <t>账面余额</t>
    <phoneticPr fontId="17" type="noConversion"/>
  </si>
  <si>
    <t>金额</t>
    <phoneticPr fontId="17" type="noConversion"/>
  </si>
  <si>
    <t>比例(%)</t>
    <phoneticPr fontId="17" type="noConversion"/>
  </si>
  <si>
    <t>存货跌价准备</t>
    <phoneticPr fontId="17" type="noConversion"/>
  </si>
  <si>
    <t>金额</t>
    <phoneticPr fontId="17" type="noConversion"/>
  </si>
  <si>
    <t>计提标准</t>
    <phoneticPr fontId="17" type="noConversion"/>
  </si>
  <si>
    <t>比例(%</t>
    <phoneticPr fontId="17" type="noConversion"/>
  </si>
  <si>
    <t>账面价值</t>
    <phoneticPr fontId="17" type="noConversion"/>
  </si>
  <si>
    <t>合计</t>
    <phoneticPr fontId="17" type="noConversion"/>
  </si>
  <si>
    <t>续</t>
    <phoneticPr fontId="17" type="noConversion"/>
  </si>
  <si>
    <t>上年年末余额</t>
    <phoneticPr fontId="17" type="noConversion"/>
  </si>
  <si>
    <t>（15号文第十九条（六）披露存货期末余额中含有的借款费用资本化金额及其计算标准和依据。）</t>
    <phoneticPr fontId="17" type="noConversion"/>
  </si>
  <si>
    <t>（4）存货期末余额中含有借款费用资本化金额的说明：</t>
    <phoneticPr fontId="17" type="noConversion"/>
  </si>
  <si>
    <t>期末余额</t>
  </si>
  <si>
    <t>期末余额</t>
    <phoneticPr fontId="17" type="noConversion"/>
  </si>
  <si>
    <t>期末余额</t>
    <phoneticPr fontId="17" type="noConversion"/>
  </si>
  <si>
    <t>期初余额</t>
    <phoneticPr fontId="17" type="noConversion"/>
  </si>
  <si>
    <t>一、本账户涉及的科目</t>
    <phoneticPr fontId="46" type="noConversion"/>
  </si>
  <si>
    <t>二、审计目标与认定的对应关系</t>
    <phoneticPr fontId="17" type="noConversion"/>
  </si>
  <si>
    <t>审计目标</t>
    <phoneticPr fontId="17" type="noConversion"/>
  </si>
  <si>
    <t>存在</t>
    <phoneticPr fontId="17" type="noConversion"/>
  </si>
  <si>
    <t>准确性、计价和分摊</t>
    <phoneticPr fontId="17" type="noConversion"/>
  </si>
  <si>
    <t>列报</t>
    <phoneticPr fontId="17" type="noConversion"/>
  </si>
  <si>
    <t>序号</t>
    <phoneticPr fontId="17" type="noConversion"/>
  </si>
  <si>
    <t>财务报表的认定</t>
    <phoneticPr fontId="17" type="noConversion"/>
  </si>
  <si>
    <t>存在</t>
    <phoneticPr fontId="17" type="noConversion"/>
  </si>
  <si>
    <t>完整性</t>
    <phoneticPr fontId="17" type="noConversion"/>
  </si>
  <si>
    <t>权利和
义务</t>
    <phoneticPr fontId="17" type="noConversion"/>
  </si>
  <si>
    <t>准确性、计价和分摊</t>
  </si>
  <si>
    <t>列报</t>
    <phoneticPr fontId="17" type="noConversion"/>
  </si>
  <si>
    <t>底稿索引号</t>
    <phoneticPr fontId="17"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</si>
  <si>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phoneticPr fontId="46" type="noConversion"/>
  </si>
  <si>
    <t>备选</t>
    <phoneticPr fontId="17" type="noConversion"/>
  </si>
  <si>
    <t>存货单价分析表</t>
    <phoneticPr fontId="17" type="noConversion"/>
  </si>
  <si>
    <t>G2-3-1</t>
  </si>
  <si>
    <t>存货产量变动分析表</t>
    <phoneticPr fontId="17" type="noConversion"/>
  </si>
  <si>
    <t>G2-3-2</t>
  </si>
  <si>
    <t>存货产量与产能分析表</t>
    <phoneticPr fontId="17" type="noConversion"/>
  </si>
  <si>
    <t>G2-3-3</t>
  </si>
  <si>
    <t>生产成本明细分析表</t>
    <phoneticPr fontId="17" type="noConversion"/>
  </si>
  <si>
    <t>G2-3-4</t>
  </si>
  <si>
    <t>制造费用明细分析表</t>
    <phoneticPr fontId="17" type="noConversion"/>
  </si>
  <si>
    <t>G2-3-5</t>
  </si>
  <si>
    <t>直接人工分析表</t>
    <phoneticPr fontId="17" type="noConversion"/>
  </si>
  <si>
    <t>G2-3-6</t>
  </si>
  <si>
    <t>重要供应商结构分析</t>
    <phoneticPr fontId="17" type="noConversion"/>
  </si>
  <si>
    <t>G2-3-7</t>
  </si>
  <si>
    <t>重要供应商采购成本情况分析</t>
    <phoneticPr fontId="17" type="noConversion"/>
  </si>
  <si>
    <t>G2-3-8</t>
  </si>
  <si>
    <t>应对措施-实质性/非实质性分析程序</t>
    <phoneticPr fontId="17" type="noConversion"/>
  </si>
  <si>
    <t>应对措施-实质性/非实质性分析程序</t>
    <phoneticPr fontId="17" type="noConversion"/>
  </si>
  <si>
    <t>保留原材料采购单价，产成品入库单价在单耗分析中包含</t>
    <phoneticPr fontId="17" type="noConversion"/>
  </si>
  <si>
    <t>√</t>
    <phoneticPr fontId="17" type="noConversion"/>
  </si>
  <si>
    <t>如果在存货盘点现场实施存货监盘不可行，实施替代审计程序。如果不能实施替代审计程序或实施替代审计程序无法获取有关存货的存在和状况的充分、适当的审计证据，考虑对审计意见的影响。替代程序主要包括：
（1）检查进货交易凭证或生产记录以及其他相关资料；
（2）检查资产负债表日后发生的销货交易凭证；
（3）向顾客或供应商函证。</t>
    <phoneticPr fontId="17" type="noConversion"/>
  </si>
  <si>
    <t>备选</t>
    <phoneticPr fontId="17" type="noConversion"/>
  </si>
  <si>
    <t>存货及跌价准备</t>
  </si>
  <si>
    <t>如果存在他人委托被审计单位代售的商品（寄售商品），考虑：
（1）该寄售商品未包含在被审计单位存货盘点范围内；
（2）向寄售品所有者函证寄售商品；
（3）检查受托代销的商品临近期末的重大销售，账务处理是否正确。</t>
    <phoneticPr fontId="17" type="noConversion"/>
  </si>
  <si>
    <r>
      <rPr>
        <sz val="10"/>
        <rFont val="宋体"/>
        <family val="3"/>
        <charset val="134"/>
      </rPr>
      <t>对期初余额的审计，取得存货期初余额明细表复核加计是否正确，与总账、明细账合计数是否相符，检查期初存货在本期结转情况，取得上期存货盘点表核对差异，通过监盘当前的存货数量并调节至期初存货数量、对期初存货项目的计价实施审计程序、对毛利进行分析和存货截止实施审计程序。</t>
    </r>
    <r>
      <rPr>
        <sz val="10"/>
        <color rgb="FFFF0000"/>
        <rFont val="宋体"/>
        <family val="3"/>
        <charset val="134"/>
      </rPr>
      <t>（适用于首次承接）</t>
    </r>
    <phoneticPr fontId="46" type="noConversion"/>
  </si>
  <si>
    <t>期初余额程序</t>
    <phoneticPr fontId="17" type="noConversion"/>
  </si>
  <si>
    <t>√</t>
    <phoneticPr fontId="17" type="noConversion"/>
  </si>
  <si>
    <t>√</t>
    <phoneticPr fontId="17" type="noConversion"/>
  </si>
  <si>
    <t>√</t>
    <phoneticPr fontId="17" type="noConversion"/>
  </si>
  <si>
    <t>√</t>
    <phoneticPr fontId="17" type="noConversion"/>
  </si>
  <si>
    <t>√</t>
    <phoneticPr fontId="17" type="noConversion"/>
  </si>
  <si>
    <t>√</t>
    <phoneticPr fontId="17" type="noConversion"/>
  </si>
  <si>
    <t>√</t>
    <phoneticPr fontId="17" type="noConversion"/>
  </si>
  <si>
    <t>√</t>
  </si>
  <si>
    <r>
      <rPr>
        <sz val="10"/>
        <color theme="1"/>
        <rFont val="宋体"/>
        <family val="3"/>
        <charset val="134"/>
      </rPr>
      <t>如果由第三方保管或控制的存货对财务报表是重要的，考虑：
（</t>
    </r>
    <r>
      <rPr>
        <sz val="10"/>
        <color theme="1"/>
        <rFont val="Arial Narrow"/>
        <family val="2"/>
      </rPr>
      <t>1</t>
    </r>
    <r>
      <rPr>
        <sz val="10"/>
        <color theme="1"/>
        <rFont val="宋体"/>
        <family val="3"/>
        <charset val="134"/>
      </rPr>
      <t>）现场盘点第三方保管或控制的存货；
（</t>
    </r>
    <r>
      <rPr>
        <sz val="10"/>
        <color theme="1"/>
        <rFont val="Arial Narrow"/>
        <family val="2"/>
      </rPr>
      <t>2</t>
    </r>
    <r>
      <rPr>
        <sz val="10"/>
        <color theme="1"/>
        <rFont val="宋体"/>
        <family val="3"/>
        <charset val="134"/>
      </rPr>
      <t>）向持有被审计单位存货的第三方函证存货的数量和状况；
（</t>
    </r>
    <r>
      <rPr>
        <sz val="10"/>
        <color theme="1"/>
        <rFont val="Arial Narrow"/>
        <family val="2"/>
      </rPr>
      <t>3</t>
    </r>
    <r>
      <rPr>
        <sz val="10"/>
        <color theme="1"/>
        <rFont val="宋体"/>
        <family val="3"/>
        <charset val="134"/>
      </rPr>
      <t>）实施检查或其他适合具体情况的审计程序。</t>
    </r>
    <phoneticPr fontId="17" type="noConversion"/>
  </si>
  <si>
    <t>实施存货监盘程序：
（1）初步了解存货形态、存货存放地点等，初步确定监盘方式、时间和范围；
（2）参与被审计单位存货盘点规划完成存货盘点问卷，获取盘点计划，评价被审计单位盘点内部控制、程序和指令是否恰当；
（3）确定监盘时间、范围、人员、重点关注事项等，编制存货监盘计划；
（4）观察被审计单位制定的盘点程序的执行情况，并检查存货的状况，是否存在过时、毁损或陈旧的存货；
（5）执行抽盘，从存货盘点记录中选取项目追查至存货实物，以及从存货实物中选取项目追查至盘点记录，将抽盘结果与账面核对；
（6）评价存货盘点结果，完成存货监盘小结。</t>
    <phoneticPr fontId="17" type="noConversion"/>
  </si>
  <si>
    <r>
      <t xml:space="preserve">E. </t>
    </r>
    <r>
      <rPr>
        <sz val="10"/>
        <rFont val="宋体"/>
        <family val="3"/>
        <charset val="134"/>
      </rPr>
      <t>存货已被恰当地汇总或分解且表述清楚，相关披露在按照企业会计准则的编制基础下是相关的、可理解的</t>
    </r>
    <phoneticPr fontId="17" type="noConversion"/>
  </si>
  <si>
    <t>备选</t>
    <phoneticPr fontId="17" type="noConversion"/>
  </si>
  <si>
    <t>存货程序（存货成本）</t>
    <phoneticPr fontId="17" type="noConversion"/>
  </si>
  <si>
    <t>对于计入生产成本的借款费用，结合对长短期借款、应付债券或长期应付款等付息债务的审计，检查借款费用资本化的计算方法和资本化金额以及会计处理是否正确。</t>
    <phoneticPr fontId="17" type="noConversion"/>
  </si>
  <si>
    <t>在以标准成本计价时，应考虑标准成本的合理性并测试实际成本与标准成本差异的归集和分摊：
（1）评价标准成本的合理性，检查标准成本在本期有无重大变动；
（2）对直接材料结合采购等入库检查，测试材料成本差异的构成和分摊是否合理、正确；评估人工和间接费用分配方法和假设的合理性；评价标准制造费用中所包含的成本的适当性；
（3）结合产成品成本计算单等，检查产成品实际价格与标准成本的差异分配是否正确；</t>
    <phoneticPr fontId="17" type="noConversion"/>
  </si>
  <si>
    <t>如果存在委托加工物资：
（1）选取委托加工合同，检查有关发料凭证、加工费、运费结算凭证，关注所有权归属，核对其计费、计价是否正确，会计处理是否及时、正确；
（2）检查加工完成物资的验收入库手续是否齐全，会计处理是否正确；
（3）函证委托加工物资，必要时现场查看或利用其他注册会计师的工作。</t>
    <phoneticPr fontId="17" type="noConversion"/>
  </si>
  <si>
    <t>如果存在劳务成本：
（1）选取劳务成本项目，检查有关劳务合同、劳务费结算等原始凭证，关注是否存在资本性支出，核对会计处理是否正确；
（2）结合成本计算单等，检查劳务成本的分配是否合理、正确；
（3）必要时对劳务成本实施截止测试，以确定被记录在正确的会计期间。</t>
    <phoneticPr fontId="17" type="noConversion"/>
  </si>
  <si>
    <t>如果存在材料采购或在途物资：
（1）选取期末物资采购或在途物资，检查有关原始单据；
（2）抽取资产负债表日前后若干天物资采购或在途物资增减变动的有关账簿记录和收料报告单等资料，以确定被记录在正确的会计期间；
（3）如采用标准成本计价，检查物资采购有关的材料成本差异归集和分配是否正确。</t>
    <phoneticPr fontId="17" type="noConversion"/>
  </si>
  <si>
    <t>如果存在周转材料（低值易耗品、包装物）：
（1）检查周转材料的入库和领用的手续是否齐全，关注是否存在包装物押金，会计处理是否正确；
（2）检查周转材料摊销方法是否正确，前后期是否一致；</t>
    <phoneticPr fontId="17" type="noConversion"/>
  </si>
  <si>
    <t>删除</t>
    <phoneticPr fontId="17" type="noConversion"/>
  </si>
  <si>
    <r>
      <rPr>
        <sz val="10"/>
        <color theme="1"/>
        <rFont val="宋体"/>
        <family val="3"/>
        <charset val="134"/>
      </rPr>
      <t>检查关联方采购：</t>
    </r>
    <r>
      <rPr>
        <sz val="10"/>
        <color theme="1"/>
        <rFont val="宋体"/>
        <family val="3"/>
        <charset val="134"/>
      </rPr>
      <t xml:space="preserve">
（</t>
    </r>
    <r>
      <rPr>
        <sz val="10"/>
        <color theme="1"/>
        <rFont val="Arial Narrow"/>
        <family val="2"/>
      </rPr>
      <t>1</t>
    </r>
    <r>
      <rPr>
        <sz val="10"/>
        <color theme="1"/>
        <rFont val="宋体"/>
        <family val="3"/>
        <charset val="134"/>
      </rPr>
      <t>）了解交易的商业理由、交易事项的目的、价格和条件，确定关联交易价格是否远高于或低于非关联方交易价格，考虑对关联方应付账款的合理性、合法性；
（</t>
    </r>
    <r>
      <rPr>
        <sz val="10"/>
        <color theme="1"/>
        <rFont val="Arial Narrow"/>
        <family val="2"/>
      </rPr>
      <t>2</t>
    </r>
    <r>
      <rPr>
        <sz val="10"/>
        <color theme="1"/>
        <rFont val="宋体"/>
        <family val="3"/>
        <charset val="134"/>
      </rPr>
      <t>）检查对关联方应付账款的真实性相关的支持性文件、检查会计处理是否正确；
（</t>
    </r>
    <r>
      <rPr>
        <sz val="10"/>
        <color theme="1"/>
        <rFont val="Arial Narrow"/>
        <family val="2"/>
      </rPr>
      <t>3</t>
    </r>
    <r>
      <rPr>
        <sz val="10"/>
        <color theme="1"/>
        <rFont val="宋体"/>
        <family val="3"/>
        <charset val="134"/>
      </rPr>
      <t>）考虑向关联方或其他注册会计师函证重大的关联采购交易和余额（包括担保和其他重要信息）；
（</t>
    </r>
    <r>
      <rPr>
        <sz val="10"/>
        <color theme="1"/>
        <rFont val="Arial Narrow"/>
        <family val="2"/>
      </rPr>
      <t>4</t>
    </r>
    <r>
      <rPr>
        <sz val="10"/>
        <color theme="1"/>
        <rFont val="宋体"/>
        <family val="3"/>
        <charset val="134"/>
      </rPr>
      <t>）必要时，向与交易相关的人员和机构（如银行、律师）函证或与其讨论有关信息；
（</t>
    </r>
    <r>
      <rPr>
        <sz val="10"/>
        <color theme="1"/>
        <rFont val="Arial Narrow"/>
        <family val="2"/>
      </rPr>
      <t>5</t>
    </r>
    <r>
      <rPr>
        <sz val="10"/>
        <color theme="1"/>
        <rFont val="宋体"/>
        <family val="3"/>
        <charset val="134"/>
      </rPr>
      <t>）考虑是否存在未识别的关联方，关联交易和余额披露是否正确。</t>
    </r>
    <phoneticPr fontId="17" type="noConversion"/>
  </si>
  <si>
    <t>新增</t>
    <phoneticPr fontId="17" type="noConversion"/>
  </si>
  <si>
    <t>涉及异常或超出正常经营过程重大交易有关的存货项目（如债务重组、非货币性资产交换、企业合并等），询问管理层交易的性质和商业目的、期限和条件、交易对手，检查交易的支持性文件，考虑交易的商业理由是否合理，是否存在特别风险。</t>
    <phoneticPr fontId="17" type="noConversion"/>
  </si>
  <si>
    <t>备选</t>
    <phoneticPr fontId="17" type="noConversion"/>
  </si>
  <si>
    <t>针对涉及重大调整、销售退回、复杂交易、重大判断或估计、计量结果具有高度不确定性的存货项目考虑额外的审计程序</t>
    <phoneticPr fontId="17" type="noConversion"/>
  </si>
  <si>
    <t>关注或有、承诺事项：
（1）询问管理层，检查有关合同协议、董事会会议记录等，确定存货是否存在用于抵押、担保的情况；
（2）结合银行借款等科目的审计，了解是否有用于债务担保的存货，如有，则应取证并作相应的记录，同时核查被审计单位财务报表是否已作恰当披露。</t>
    <phoneticPr fontId="17" type="noConversion"/>
  </si>
  <si>
    <t>检查存货是否已按企业会计准则或其他适用的规定在财务报表中做出恰当列报和披露。</t>
    <phoneticPr fontId="17" type="noConversion"/>
  </si>
  <si>
    <t>2、审计结论：</t>
    <phoneticPr fontId="17" type="noConversion"/>
  </si>
  <si>
    <t>报表项目</t>
    <phoneticPr fontId="17" type="noConversion"/>
  </si>
  <si>
    <t>提示：本底稿适用于调整分录较多、较复杂的项目，且仅列示与本报表项目相关的审计调整。项目组可根据项目实际情况选择是否使用该底稿。</t>
    <phoneticPr fontId="17" type="noConversion"/>
  </si>
  <si>
    <t>获取或编制存货的（收发存）明细表，完成以下工作，并编制审定表
（1）复核加计是否正确，与总账、明细账合计数核对是否相符，期初余额与上期审定期末余额是否相符；
（2）获取管理层编制的存货库龄分析表，检查库龄划分是否正确；
（3）检查存货明细表中是否有异常或负余额（包括数量为负或金额为负）的项目。</t>
    <phoneticPr fontId="17" type="noConversion"/>
  </si>
  <si>
    <r>
      <rPr>
        <sz val="10"/>
        <color theme="1"/>
        <rFont val="宋体"/>
        <family val="3"/>
        <charset val="134"/>
      </rPr>
      <t>抽查核对存货收发存明细账是否与仓储台账（</t>
    </r>
    <r>
      <rPr>
        <sz val="10"/>
        <color theme="1"/>
        <rFont val="Arial Narrow"/>
        <family val="2"/>
      </rPr>
      <t>ERP</t>
    </r>
    <r>
      <rPr>
        <sz val="10"/>
        <color theme="1"/>
        <rFont val="宋体"/>
        <family val="3"/>
        <charset val="134"/>
      </rPr>
      <t>业务数据）、卡片记录相符（双向核对），存货是否及时入账，存货编号存在漏记、重复等。</t>
    </r>
    <r>
      <rPr>
        <sz val="10"/>
        <color theme="1"/>
        <rFont val="Arial Narrow"/>
        <family val="2"/>
      </rPr>
      <t xml:space="preserve"> </t>
    </r>
    <phoneticPr fontId="46" type="noConversion"/>
  </si>
  <si>
    <r>
      <t>3.</t>
    </r>
    <r>
      <rPr>
        <sz val="10"/>
        <rFont val="宋体"/>
        <family val="3"/>
        <charset val="134"/>
      </rPr>
      <t>存货以恰当的金额包括在财务报表中，与之相关的计价或分摊调整已恰当记录，相关披露已得到恰当计量和描述</t>
    </r>
    <r>
      <rPr>
        <sz val="10"/>
        <rFont val="Arial Narrow"/>
        <family val="2"/>
      </rPr>
      <t xml:space="preserve"> </t>
    </r>
    <phoneticPr fontId="17" type="noConversion"/>
  </si>
  <si>
    <r>
      <rPr>
        <b/>
        <sz val="10"/>
        <rFont val="宋体"/>
        <family val="3"/>
        <charset val="134"/>
      </rPr>
      <t>一、审计目标：</t>
    </r>
    <phoneticPr fontId="17" type="noConversion"/>
  </si>
  <si>
    <r>
      <t>1.</t>
    </r>
    <r>
      <rPr>
        <sz val="10"/>
        <rFont val="宋体"/>
        <family val="3"/>
        <charset val="134"/>
      </rPr>
      <t>资产负债表中记录的存货是存在的，且已经记录在恰当的账户中</t>
    </r>
    <phoneticPr fontId="17" type="noConversion"/>
  </si>
  <si>
    <r>
      <t>2.</t>
    </r>
    <r>
      <rPr>
        <sz val="10"/>
        <rFont val="宋体"/>
        <family val="3"/>
        <charset val="134"/>
      </rPr>
      <t>所有应记录的存货均已记录，所有应当包括在财务报表中的相关披露均已包括</t>
    </r>
    <phoneticPr fontId="17" type="noConversion"/>
  </si>
  <si>
    <r>
      <rPr>
        <b/>
        <sz val="10"/>
        <rFont val="宋体"/>
        <family val="3"/>
        <charset val="134"/>
      </rPr>
      <t>二、审计过程：</t>
    </r>
    <phoneticPr fontId="17" type="noConversion"/>
  </si>
  <si>
    <r>
      <t>2.</t>
    </r>
    <r>
      <rPr>
        <sz val="10"/>
        <color theme="1"/>
        <rFont val="宋体"/>
        <family val="3"/>
        <charset val="134"/>
      </rPr>
      <t>抽查核对存货收发存明细账是否与仓储台账（</t>
    </r>
    <r>
      <rPr>
        <sz val="10"/>
        <color theme="1"/>
        <rFont val="Arial Narrow"/>
        <family val="2"/>
      </rPr>
      <t>ERP</t>
    </r>
    <r>
      <rPr>
        <sz val="10"/>
        <color theme="1"/>
        <rFont val="宋体"/>
        <family val="3"/>
        <charset val="134"/>
      </rPr>
      <t>业务数据）、卡片记录相符（双向核对），存货是否及时入账，存货编号存在漏记、重复等；</t>
    </r>
    <phoneticPr fontId="46" type="noConversion"/>
  </si>
  <si>
    <r>
      <t>3.</t>
    </r>
    <r>
      <rPr>
        <sz val="10"/>
        <color theme="1"/>
        <rFont val="宋体"/>
        <family val="3"/>
        <charset val="134"/>
      </rPr>
      <t>检查存货明细表中是否有异常或负余额（包括数量为负或金额为负）的项目；</t>
    </r>
    <phoneticPr fontId="46" type="noConversion"/>
  </si>
  <si>
    <r>
      <t>4.</t>
    </r>
    <r>
      <rPr>
        <sz val="10"/>
        <color theme="1"/>
        <rFont val="宋体"/>
        <family val="3"/>
        <charset val="134"/>
      </rPr>
      <t>获取管理层编制的存货库龄分析表，检查库龄划分是否正确；检查有无长期挂账的存货，如有，应查明原因，必要时作调整。</t>
    </r>
    <phoneticPr fontId="46" type="noConversion"/>
  </si>
  <si>
    <r>
      <rPr>
        <b/>
        <sz val="10"/>
        <color theme="1"/>
        <rFont val="宋体"/>
        <family val="3"/>
        <charset val="134"/>
      </rPr>
      <t>（一）原值</t>
    </r>
    <phoneticPr fontId="17" type="noConversion"/>
  </si>
  <si>
    <r>
      <rPr>
        <b/>
        <sz val="10"/>
        <color theme="1"/>
        <rFont val="宋体"/>
        <family val="3"/>
        <charset val="134"/>
      </rPr>
      <t>项目</t>
    </r>
    <phoneticPr fontId="17" type="noConversion"/>
  </si>
  <si>
    <r>
      <rPr>
        <b/>
        <sz val="10"/>
        <rFont val="宋体"/>
        <family val="3"/>
        <charset val="134"/>
      </rPr>
      <t>未审数</t>
    </r>
    <phoneticPr fontId="17" type="noConversion"/>
  </si>
  <si>
    <r>
      <rPr>
        <b/>
        <sz val="10"/>
        <rFont val="宋体"/>
        <family val="3"/>
        <charset val="134"/>
      </rPr>
      <t>期初调整</t>
    </r>
    <phoneticPr fontId="17" type="noConversion"/>
  </si>
  <si>
    <r>
      <rPr>
        <b/>
        <sz val="10"/>
        <rFont val="宋体"/>
        <family val="3"/>
        <charset val="134"/>
      </rPr>
      <t>审定数</t>
    </r>
    <phoneticPr fontId="17" type="noConversion"/>
  </si>
  <si>
    <r>
      <rPr>
        <b/>
        <sz val="10"/>
        <rFont val="宋体"/>
        <family val="3"/>
        <charset val="134"/>
      </rPr>
      <t>备注</t>
    </r>
    <phoneticPr fontId="17" type="noConversion"/>
  </si>
  <si>
    <r>
      <rPr>
        <b/>
        <sz val="10"/>
        <rFont val="宋体"/>
        <family val="3"/>
        <charset val="134"/>
      </rPr>
      <t>索引号</t>
    </r>
    <phoneticPr fontId="17" type="noConversion"/>
  </si>
  <si>
    <r>
      <rPr>
        <b/>
        <sz val="10"/>
        <rFont val="宋体"/>
        <family val="3"/>
        <charset val="134"/>
      </rPr>
      <t>期初余额</t>
    </r>
    <phoneticPr fontId="17" type="noConversion"/>
  </si>
  <si>
    <r>
      <rPr>
        <b/>
        <sz val="10"/>
        <rFont val="宋体"/>
        <family val="3"/>
        <charset val="134"/>
      </rPr>
      <t>本期增加</t>
    </r>
    <phoneticPr fontId="17" type="noConversion"/>
  </si>
  <si>
    <r>
      <rPr>
        <b/>
        <sz val="10"/>
        <rFont val="宋体"/>
        <family val="3"/>
        <charset val="134"/>
      </rPr>
      <t>本期减少</t>
    </r>
    <phoneticPr fontId="17" type="noConversion"/>
  </si>
  <si>
    <r>
      <rPr>
        <b/>
        <sz val="10"/>
        <rFont val="宋体"/>
        <family val="3"/>
        <charset val="134"/>
      </rPr>
      <t>期末数</t>
    </r>
    <phoneticPr fontId="17" type="noConversion"/>
  </si>
  <si>
    <r>
      <rPr>
        <b/>
        <sz val="10"/>
        <rFont val="宋体"/>
        <family val="3"/>
        <charset val="134"/>
      </rPr>
      <t>账项调整</t>
    </r>
    <phoneticPr fontId="17" type="noConversion"/>
  </si>
  <si>
    <r>
      <rPr>
        <b/>
        <sz val="10"/>
        <rFont val="宋体"/>
        <family val="3"/>
        <charset val="134"/>
      </rPr>
      <t>本期增加</t>
    </r>
    <phoneticPr fontId="17" type="noConversion"/>
  </si>
  <si>
    <r>
      <rPr>
        <b/>
        <sz val="10"/>
        <rFont val="宋体"/>
        <family val="3"/>
        <charset val="134"/>
      </rPr>
      <t>本期减少</t>
    </r>
    <phoneticPr fontId="17" type="noConversion"/>
  </si>
  <si>
    <r>
      <rPr>
        <b/>
        <sz val="10"/>
        <rFont val="宋体"/>
        <family val="3"/>
        <charset val="134"/>
      </rPr>
      <t>期初余额</t>
    </r>
    <phoneticPr fontId="17" type="noConversion"/>
  </si>
  <si>
    <r>
      <rPr>
        <b/>
        <sz val="10"/>
        <rFont val="宋体"/>
        <family val="3"/>
        <charset val="134"/>
      </rPr>
      <t>本期增加</t>
    </r>
    <phoneticPr fontId="17" type="noConversion"/>
  </si>
  <si>
    <r>
      <rPr>
        <b/>
        <sz val="10"/>
        <rFont val="宋体"/>
        <family val="3"/>
        <charset val="134"/>
      </rPr>
      <t>本期减少</t>
    </r>
    <phoneticPr fontId="17" type="noConversion"/>
  </si>
  <si>
    <r>
      <rPr>
        <b/>
        <sz val="10"/>
        <rFont val="宋体"/>
        <family val="3"/>
        <charset val="134"/>
      </rPr>
      <t>期末数</t>
    </r>
    <phoneticPr fontId="17" type="noConversion"/>
  </si>
  <si>
    <r>
      <rPr>
        <sz val="10"/>
        <color theme="1"/>
        <rFont val="宋体"/>
        <family val="3"/>
        <charset val="134"/>
      </rPr>
      <t>原材料</t>
    </r>
  </si>
  <si>
    <r>
      <rPr>
        <sz val="10"/>
        <color theme="1"/>
        <rFont val="宋体"/>
        <family val="3"/>
        <charset val="134"/>
      </rPr>
      <t>材料采购</t>
    </r>
    <r>
      <rPr>
        <sz val="10"/>
        <color theme="1"/>
        <rFont val="Arial Narrow"/>
        <family val="2"/>
      </rPr>
      <t>/</t>
    </r>
    <r>
      <rPr>
        <sz val="10"/>
        <color theme="1"/>
        <rFont val="宋体"/>
        <family val="3"/>
        <charset val="134"/>
      </rPr>
      <t>在途物资</t>
    </r>
  </si>
  <si>
    <r>
      <rPr>
        <sz val="10"/>
        <color theme="1"/>
        <rFont val="宋体"/>
        <family val="3"/>
        <charset val="134"/>
      </rPr>
      <t>周转材料</t>
    </r>
    <r>
      <rPr>
        <sz val="10"/>
        <color theme="1"/>
        <rFont val="Arial Narrow"/>
        <family val="2"/>
      </rPr>
      <t>/</t>
    </r>
    <r>
      <rPr>
        <sz val="10"/>
        <color theme="1"/>
        <rFont val="宋体"/>
        <family val="3"/>
        <charset val="134"/>
      </rPr>
      <t>低值易耗品</t>
    </r>
    <r>
      <rPr>
        <sz val="10"/>
        <color theme="1"/>
        <rFont val="Arial Narrow"/>
        <family val="2"/>
      </rPr>
      <t>/</t>
    </r>
    <r>
      <rPr>
        <sz val="10"/>
        <color theme="1"/>
        <rFont val="宋体"/>
        <family val="3"/>
        <charset val="134"/>
      </rPr>
      <t>包装物</t>
    </r>
  </si>
  <si>
    <r>
      <rPr>
        <sz val="10"/>
        <color theme="1"/>
        <rFont val="宋体"/>
        <family val="3"/>
        <charset val="134"/>
      </rPr>
      <t>在产品</t>
    </r>
  </si>
  <si>
    <r>
      <rPr>
        <sz val="10"/>
        <color theme="1"/>
        <rFont val="宋体"/>
        <family val="3"/>
        <charset val="134"/>
      </rPr>
      <t>自制半成品</t>
    </r>
  </si>
  <si>
    <r>
      <rPr>
        <sz val="10"/>
        <color theme="1"/>
        <rFont val="宋体"/>
        <family val="3"/>
        <charset val="134"/>
      </rPr>
      <t>委托加工物资</t>
    </r>
  </si>
  <si>
    <r>
      <rPr>
        <sz val="10"/>
        <color theme="1"/>
        <rFont val="宋体"/>
        <family val="3"/>
        <charset val="134"/>
      </rPr>
      <t>库存商品</t>
    </r>
  </si>
  <si>
    <r>
      <rPr>
        <sz val="10"/>
        <color theme="1"/>
        <rFont val="宋体"/>
        <family val="3"/>
        <charset val="134"/>
      </rPr>
      <t>发出商品</t>
    </r>
  </si>
  <si>
    <r>
      <rPr>
        <sz val="10"/>
        <color theme="1"/>
        <rFont val="宋体"/>
        <family val="3"/>
        <charset val="134"/>
      </rPr>
      <t>开发产品</t>
    </r>
    <phoneticPr fontId="17" type="noConversion"/>
  </si>
  <si>
    <r>
      <rPr>
        <sz val="10"/>
        <color theme="1"/>
        <rFont val="宋体"/>
        <family val="3"/>
        <charset val="134"/>
      </rPr>
      <t>开发成本</t>
    </r>
    <phoneticPr fontId="17" type="noConversion"/>
  </si>
  <si>
    <r>
      <rPr>
        <sz val="10"/>
        <color theme="1"/>
        <rFont val="宋体"/>
        <family val="3"/>
        <charset val="134"/>
      </rPr>
      <t>合同履约成本</t>
    </r>
    <phoneticPr fontId="17" type="noConversion"/>
  </si>
  <si>
    <r>
      <rPr>
        <sz val="10"/>
        <color theme="1"/>
        <rFont val="宋体"/>
        <family val="3"/>
        <charset val="134"/>
      </rPr>
      <t>消耗性生物资产</t>
    </r>
    <phoneticPr fontId="17" type="noConversion"/>
  </si>
  <si>
    <r>
      <rPr>
        <sz val="10"/>
        <color theme="1"/>
        <rFont val="宋体"/>
        <family val="3"/>
        <charset val="134"/>
      </rPr>
      <t>数据资源</t>
    </r>
    <phoneticPr fontId="17" type="noConversion"/>
  </si>
  <si>
    <r>
      <rPr>
        <b/>
        <sz val="10"/>
        <color theme="1"/>
        <rFont val="宋体"/>
        <family val="3"/>
        <charset val="134"/>
      </rPr>
      <t>合计</t>
    </r>
    <phoneticPr fontId="17" type="noConversion"/>
  </si>
  <si>
    <r>
      <rPr>
        <b/>
        <sz val="10"/>
        <color theme="1"/>
        <rFont val="宋体"/>
        <family val="3"/>
        <charset val="134"/>
      </rPr>
      <t>（二）跌价准备</t>
    </r>
    <phoneticPr fontId="17" type="noConversion"/>
  </si>
  <si>
    <r>
      <rPr>
        <b/>
        <sz val="10"/>
        <rFont val="宋体"/>
        <family val="3"/>
        <charset val="134"/>
      </rPr>
      <t>未审数</t>
    </r>
    <phoneticPr fontId="17" type="noConversion"/>
  </si>
  <si>
    <r>
      <rPr>
        <b/>
        <sz val="10"/>
        <rFont val="宋体"/>
        <family val="3"/>
        <charset val="134"/>
      </rPr>
      <t>期初调整</t>
    </r>
    <phoneticPr fontId="17" type="noConversion"/>
  </si>
  <si>
    <r>
      <rPr>
        <b/>
        <sz val="10"/>
        <rFont val="宋体"/>
        <family val="3"/>
        <charset val="134"/>
      </rPr>
      <t>审定数</t>
    </r>
    <phoneticPr fontId="17" type="noConversion"/>
  </si>
  <si>
    <r>
      <rPr>
        <b/>
        <sz val="10"/>
        <rFont val="宋体"/>
        <family val="3"/>
        <charset val="134"/>
      </rPr>
      <t>期初余额</t>
    </r>
    <phoneticPr fontId="17" type="noConversion"/>
  </si>
  <si>
    <r>
      <rPr>
        <b/>
        <sz val="10"/>
        <rFont val="宋体"/>
        <family val="3"/>
        <charset val="134"/>
      </rPr>
      <t>本期增加</t>
    </r>
    <phoneticPr fontId="17" type="noConversion"/>
  </si>
  <si>
    <r>
      <rPr>
        <b/>
        <sz val="10"/>
        <rFont val="宋体"/>
        <family val="3"/>
        <charset val="134"/>
      </rPr>
      <t>本期减少</t>
    </r>
    <phoneticPr fontId="17" type="noConversion"/>
  </si>
  <si>
    <r>
      <rPr>
        <b/>
        <sz val="10"/>
        <rFont val="宋体"/>
        <family val="3"/>
        <charset val="134"/>
      </rPr>
      <t>本期增加</t>
    </r>
    <phoneticPr fontId="17" type="noConversion"/>
  </si>
  <si>
    <r>
      <rPr>
        <b/>
        <sz val="10"/>
        <rFont val="宋体"/>
        <family val="3"/>
        <charset val="134"/>
      </rPr>
      <t>本期减少</t>
    </r>
    <phoneticPr fontId="17" type="noConversion"/>
  </si>
  <si>
    <r>
      <rPr>
        <b/>
        <sz val="10"/>
        <rFont val="宋体"/>
        <family val="3"/>
        <charset val="134"/>
      </rPr>
      <t>期初余额</t>
    </r>
    <phoneticPr fontId="17" type="noConversion"/>
  </si>
  <si>
    <r>
      <rPr>
        <b/>
        <sz val="10"/>
        <rFont val="宋体"/>
        <family val="3"/>
        <charset val="134"/>
      </rPr>
      <t>本期增加</t>
    </r>
    <phoneticPr fontId="17" type="noConversion"/>
  </si>
  <si>
    <r>
      <rPr>
        <b/>
        <sz val="10"/>
        <rFont val="宋体"/>
        <family val="3"/>
        <charset val="134"/>
      </rPr>
      <t>其中：</t>
    </r>
    <r>
      <rPr>
        <b/>
        <sz val="10"/>
        <rFont val="Arial Narrow"/>
        <family val="2"/>
      </rPr>
      <t>(1)</t>
    </r>
    <r>
      <rPr>
        <b/>
        <sz val="10"/>
        <rFont val="宋体"/>
        <family val="3"/>
        <charset val="134"/>
      </rPr>
      <t>计提</t>
    </r>
    <phoneticPr fontId="17" type="noConversion"/>
  </si>
  <si>
    <r>
      <t>(2)</t>
    </r>
    <r>
      <rPr>
        <b/>
        <sz val="10"/>
        <rFont val="宋体"/>
        <family val="3"/>
        <charset val="134"/>
      </rPr>
      <t>其他</t>
    </r>
    <phoneticPr fontId="17" type="noConversion"/>
  </si>
  <si>
    <r>
      <rPr>
        <b/>
        <sz val="10"/>
        <rFont val="宋体"/>
        <family val="3"/>
        <charset val="134"/>
      </rPr>
      <t>本期减少</t>
    </r>
    <phoneticPr fontId="17" type="noConversion"/>
  </si>
  <si>
    <r>
      <rPr>
        <b/>
        <sz val="10"/>
        <rFont val="宋体"/>
        <family val="3"/>
        <charset val="134"/>
      </rPr>
      <t>其中：</t>
    </r>
    <r>
      <rPr>
        <b/>
        <sz val="10"/>
        <rFont val="Arial Narrow"/>
        <family val="2"/>
      </rPr>
      <t>(1)</t>
    </r>
    <r>
      <rPr>
        <b/>
        <sz val="10"/>
        <rFont val="宋体"/>
        <family val="3"/>
        <charset val="134"/>
      </rPr>
      <t>转回</t>
    </r>
    <phoneticPr fontId="17" type="noConversion"/>
  </si>
  <si>
    <r>
      <t>(2)</t>
    </r>
    <r>
      <rPr>
        <b/>
        <sz val="10"/>
        <rFont val="宋体"/>
        <family val="3"/>
        <charset val="134"/>
      </rPr>
      <t>转销</t>
    </r>
    <phoneticPr fontId="17" type="noConversion"/>
  </si>
  <si>
    <r>
      <t>(3)</t>
    </r>
    <r>
      <rPr>
        <b/>
        <sz val="10"/>
        <rFont val="宋体"/>
        <family val="3"/>
        <charset val="134"/>
      </rPr>
      <t>其他</t>
    </r>
    <phoneticPr fontId="17" type="noConversion"/>
  </si>
  <si>
    <r>
      <rPr>
        <b/>
        <sz val="10"/>
        <rFont val="宋体"/>
        <family val="3"/>
        <charset val="134"/>
      </rPr>
      <t>期末数</t>
    </r>
    <phoneticPr fontId="17" type="noConversion"/>
  </si>
  <si>
    <r>
      <rPr>
        <sz val="10"/>
        <color theme="1"/>
        <rFont val="宋体"/>
        <family val="3"/>
        <charset val="134"/>
      </rPr>
      <t>开发产品</t>
    </r>
    <phoneticPr fontId="17" type="noConversion"/>
  </si>
  <si>
    <r>
      <rPr>
        <sz val="10"/>
        <color theme="1"/>
        <rFont val="宋体"/>
        <family val="3"/>
        <charset val="134"/>
      </rPr>
      <t>开发成本</t>
    </r>
    <phoneticPr fontId="17" type="noConversion"/>
  </si>
  <si>
    <r>
      <rPr>
        <sz val="10"/>
        <color theme="1"/>
        <rFont val="宋体"/>
        <family val="3"/>
        <charset val="134"/>
      </rPr>
      <t>消耗性生物资产</t>
    </r>
    <phoneticPr fontId="17" type="noConversion"/>
  </si>
  <si>
    <r>
      <rPr>
        <sz val="10"/>
        <color theme="1"/>
        <rFont val="宋体"/>
        <family val="3"/>
        <charset val="134"/>
      </rPr>
      <t>数据资源</t>
    </r>
  </si>
  <si>
    <r>
      <rPr>
        <b/>
        <sz val="10"/>
        <color theme="1"/>
        <rFont val="宋体"/>
        <family val="3"/>
        <charset val="134"/>
      </rPr>
      <t>（三）账面价值</t>
    </r>
    <phoneticPr fontId="17" type="noConversion"/>
  </si>
  <si>
    <r>
      <rPr>
        <b/>
        <sz val="10"/>
        <color theme="1"/>
        <rFont val="宋体"/>
        <family val="3"/>
        <charset val="134"/>
      </rPr>
      <t>项目</t>
    </r>
    <phoneticPr fontId="17" type="noConversion"/>
  </si>
  <si>
    <r>
      <rPr>
        <b/>
        <sz val="10"/>
        <rFont val="宋体"/>
        <family val="3"/>
        <charset val="134"/>
      </rPr>
      <t>未审数</t>
    </r>
    <phoneticPr fontId="17" type="noConversion"/>
  </si>
  <si>
    <r>
      <rPr>
        <b/>
        <sz val="10"/>
        <rFont val="宋体"/>
        <family val="3"/>
        <charset val="134"/>
      </rPr>
      <t>审定数</t>
    </r>
    <phoneticPr fontId="17" type="noConversion"/>
  </si>
  <si>
    <r>
      <rPr>
        <b/>
        <sz val="10"/>
        <rFont val="宋体"/>
        <family val="3"/>
        <charset val="134"/>
      </rPr>
      <t>变动率</t>
    </r>
    <phoneticPr fontId="17" type="noConversion"/>
  </si>
  <si>
    <r>
      <rPr>
        <b/>
        <sz val="10"/>
        <rFont val="宋体"/>
        <family val="3"/>
        <charset val="134"/>
      </rPr>
      <t>变动原因分析</t>
    </r>
    <phoneticPr fontId="17" type="noConversion"/>
  </si>
  <si>
    <r>
      <rPr>
        <b/>
        <sz val="10"/>
        <rFont val="宋体"/>
        <family val="3"/>
        <charset val="134"/>
      </rPr>
      <t>确定可变现净值的具体依据</t>
    </r>
  </si>
  <si>
    <r>
      <rPr>
        <b/>
        <sz val="10"/>
        <rFont val="宋体"/>
        <family val="3"/>
        <charset val="134"/>
      </rPr>
      <t>本期转回或转销存货跌价准备的原因</t>
    </r>
  </si>
  <si>
    <r>
      <rPr>
        <b/>
        <sz val="10"/>
        <rFont val="宋体"/>
        <family val="3"/>
        <charset val="134"/>
      </rPr>
      <t>索引号</t>
    </r>
    <phoneticPr fontId="17" type="noConversion"/>
  </si>
  <si>
    <r>
      <rPr>
        <b/>
        <sz val="10"/>
        <rFont val="宋体"/>
        <family val="3"/>
        <charset val="134"/>
      </rPr>
      <t>期初数</t>
    </r>
    <phoneticPr fontId="17" type="noConversion"/>
  </si>
  <si>
    <r>
      <rPr>
        <b/>
        <sz val="10"/>
        <rFont val="宋体"/>
        <family val="3"/>
        <charset val="134"/>
      </rPr>
      <t>期初数</t>
    </r>
    <phoneticPr fontId="17" type="noConversion"/>
  </si>
  <si>
    <r>
      <rPr>
        <b/>
        <sz val="10"/>
        <rFont val="宋体"/>
        <family val="3"/>
        <charset val="134"/>
      </rPr>
      <t>期末数</t>
    </r>
    <phoneticPr fontId="17" type="noConversion"/>
  </si>
  <si>
    <r>
      <rPr>
        <b/>
        <sz val="10"/>
        <rFont val="宋体"/>
        <family val="3"/>
        <charset val="134"/>
      </rPr>
      <t>未审变动率</t>
    </r>
    <phoneticPr fontId="17" type="noConversion"/>
  </si>
  <si>
    <r>
      <rPr>
        <b/>
        <sz val="10"/>
        <rFont val="宋体"/>
        <family val="3"/>
        <charset val="134"/>
      </rPr>
      <t>审定变动率</t>
    </r>
    <phoneticPr fontId="17" type="noConversion"/>
  </si>
  <si>
    <r>
      <rPr>
        <sz val="10"/>
        <color theme="1"/>
        <rFont val="宋体"/>
        <family val="3"/>
        <charset val="134"/>
      </rPr>
      <t>开发产品</t>
    </r>
    <phoneticPr fontId="17" type="noConversion"/>
  </si>
  <si>
    <r>
      <rPr>
        <sz val="10"/>
        <color theme="1"/>
        <rFont val="宋体"/>
        <family val="3"/>
        <charset val="134"/>
      </rPr>
      <t>开发成本</t>
    </r>
    <phoneticPr fontId="17" type="noConversion"/>
  </si>
  <si>
    <r>
      <rPr>
        <sz val="10"/>
        <color theme="1"/>
        <rFont val="宋体"/>
        <family val="3"/>
        <charset val="134"/>
      </rPr>
      <t>合同履约成本</t>
    </r>
    <phoneticPr fontId="17" type="noConversion"/>
  </si>
  <si>
    <r>
      <rPr>
        <sz val="10"/>
        <color theme="1"/>
        <rFont val="宋体"/>
        <family val="3"/>
        <charset val="134"/>
      </rPr>
      <t>消耗性生物资产</t>
    </r>
    <phoneticPr fontId="17" type="noConversion"/>
  </si>
  <si>
    <r>
      <rPr>
        <b/>
        <sz val="10"/>
        <color theme="1"/>
        <rFont val="宋体"/>
        <family val="3"/>
        <charset val="134"/>
      </rPr>
      <t>合计</t>
    </r>
    <phoneticPr fontId="17" type="noConversion"/>
  </si>
  <si>
    <r>
      <rPr>
        <b/>
        <sz val="10"/>
        <rFont val="宋体"/>
        <family val="3"/>
        <charset val="134"/>
      </rPr>
      <t>四、审计结论：</t>
    </r>
    <phoneticPr fontId="17" type="noConversion"/>
  </si>
  <si>
    <t>移至分析性程序</t>
    <phoneticPr fontId="17" type="noConversion"/>
  </si>
  <si>
    <t>明细汇总表G2-2</t>
    <phoneticPr fontId="17" type="noConversion"/>
  </si>
  <si>
    <t>明细汇总表G2-2</t>
    <phoneticPr fontId="17" type="noConversion"/>
  </si>
  <si>
    <t>G2 G2-1 G2-2 G2-3 存货及跌价准备-审定明细表类（Leap-常规程序）</t>
    <phoneticPr fontId="17" type="noConversion"/>
  </si>
  <si>
    <t>删除毛利率分析、主要产品单位成本与同行业分析移至舞弊中、售后服务费占比移至成本分析中</t>
    <phoneticPr fontId="17" type="noConversion"/>
  </si>
  <si>
    <r>
      <rPr>
        <b/>
        <sz val="10"/>
        <rFont val="宋体"/>
        <family val="3"/>
        <charset val="134"/>
      </rPr>
      <t>库龄</t>
    </r>
    <phoneticPr fontId="17" type="noConversion"/>
  </si>
  <si>
    <r>
      <rPr>
        <b/>
        <sz val="10"/>
        <rFont val="宋体"/>
        <family val="3"/>
        <charset val="134"/>
      </rPr>
      <t>本期发出</t>
    </r>
    <phoneticPr fontId="17" type="noConversion"/>
  </si>
  <si>
    <r>
      <rPr>
        <b/>
        <sz val="10"/>
        <rFont val="宋体"/>
        <family val="3"/>
        <charset val="134"/>
      </rPr>
      <t>单位</t>
    </r>
    <phoneticPr fontId="17" type="noConversion"/>
  </si>
  <si>
    <r>
      <rPr>
        <b/>
        <sz val="10"/>
        <rFont val="宋体"/>
        <family val="3"/>
        <charset val="134"/>
      </rPr>
      <t>本期购进</t>
    </r>
    <phoneticPr fontId="17" type="noConversion"/>
  </si>
  <si>
    <r>
      <rPr>
        <b/>
        <sz val="10"/>
        <rFont val="宋体"/>
        <family val="3"/>
        <charset val="134"/>
      </rPr>
      <t>库龄</t>
    </r>
    <phoneticPr fontId="17" type="noConversion"/>
  </si>
  <si>
    <r>
      <rPr>
        <b/>
        <sz val="10"/>
        <rFont val="宋体"/>
        <family val="3"/>
        <charset val="134"/>
      </rPr>
      <t>存货编码</t>
    </r>
    <phoneticPr fontId="17" type="noConversion"/>
  </si>
  <si>
    <r>
      <rPr>
        <b/>
        <sz val="10"/>
        <rFont val="宋体"/>
        <family val="3"/>
        <charset val="134"/>
      </rPr>
      <t>存货名称</t>
    </r>
    <phoneticPr fontId="17" type="noConversion"/>
  </si>
  <si>
    <r>
      <rPr>
        <b/>
        <sz val="10"/>
        <rFont val="宋体"/>
        <family val="3"/>
        <charset val="134"/>
      </rPr>
      <t>原材料净额</t>
    </r>
    <phoneticPr fontId="17" type="noConversion"/>
  </si>
  <si>
    <r>
      <rPr>
        <b/>
        <sz val="10"/>
        <rFont val="宋体"/>
        <family val="3"/>
        <charset val="134"/>
      </rPr>
      <t>期初库存</t>
    </r>
    <phoneticPr fontId="17" type="noConversion"/>
  </si>
  <si>
    <r>
      <rPr>
        <b/>
        <sz val="10"/>
        <rFont val="宋体"/>
        <family val="3"/>
        <charset val="134"/>
      </rPr>
      <t>品质状况（正常、残次、毁损、滞销等）</t>
    </r>
    <phoneticPr fontId="17" type="noConversion"/>
  </si>
  <si>
    <r>
      <rPr>
        <b/>
        <sz val="10"/>
        <rFont val="宋体"/>
        <family val="3"/>
        <charset val="134"/>
      </rPr>
      <t>单价</t>
    </r>
    <phoneticPr fontId="17" type="noConversion"/>
  </si>
  <si>
    <r>
      <rPr>
        <b/>
        <sz val="10"/>
        <rFont val="宋体"/>
        <family val="3"/>
        <charset val="134"/>
      </rPr>
      <t>存货编码</t>
    </r>
    <phoneticPr fontId="17" type="noConversion"/>
  </si>
  <si>
    <r>
      <rPr>
        <b/>
        <sz val="10"/>
        <rFont val="宋体"/>
        <family val="3"/>
        <charset val="134"/>
      </rPr>
      <t>规格</t>
    </r>
    <phoneticPr fontId="17" type="noConversion"/>
  </si>
  <si>
    <r>
      <rPr>
        <b/>
        <sz val="10"/>
        <rFont val="宋体"/>
        <family val="3"/>
        <charset val="134"/>
      </rPr>
      <t>期末结存</t>
    </r>
    <phoneticPr fontId="17" type="noConversion"/>
  </si>
  <si>
    <r>
      <rPr>
        <b/>
        <sz val="10"/>
        <rFont val="宋体"/>
        <family val="3"/>
        <charset val="134"/>
      </rPr>
      <t>审计说明：</t>
    </r>
    <phoneticPr fontId="17" type="noConversion"/>
  </si>
  <si>
    <t>一、原材料明细表</t>
    <phoneticPr fontId="17" type="noConversion"/>
  </si>
  <si>
    <r>
      <rPr>
        <b/>
        <sz val="10"/>
        <rFont val="宋体"/>
        <family val="3"/>
        <charset val="134"/>
      </rPr>
      <t>采购物资名称及规格</t>
    </r>
    <phoneticPr fontId="17" type="noConversion"/>
  </si>
  <si>
    <r>
      <rPr>
        <b/>
        <sz val="10"/>
        <rFont val="宋体"/>
        <family val="3"/>
        <charset val="134"/>
      </rPr>
      <t>期后结转</t>
    </r>
    <phoneticPr fontId="17" type="noConversion"/>
  </si>
  <si>
    <r>
      <rPr>
        <b/>
        <sz val="10"/>
        <rFont val="宋体"/>
        <family val="3"/>
        <charset val="134"/>
      </rPr>
      <t>本期转出</t>
    </r>
    <phoneticPr fontId="17" type="noConversion"/>
  </si>
  <si>
    <r>
      <rPr>
        <b/>
        <sz val="10"/>
        <rFont val="宋体"/>
        <family val="3"/>
        <charset val="134"/>
      </rPr>
      <t>单价</t>
    </r>
    <phoneticPr fontId="17" type="noConversion"/>
  </si>
  <si>
    <r>
      <rPr>
        <b/>
        <sz val="10"/>
        <rFont val="宋体"/>
        <family val="3"/>
        <charset val="134"/>
      </rPr>
      <t>供货单位</t>
    </r>
    <phoneticPr fontId="17" type="noConversion"/>
  </si>
  <si>
    <r>
      <rPr>
        <sz val="10"/>
        <rFont val="宋体"/>
        <family val="3"/>
        <charset val="134"/>
      </rPr>
      <t>二、材料采购</t>
    </r>
    <r>
      <rPr>
        <sz val="10"/>
        <rFont val="Arial Narrow"/>
        <family val="2"/>
      </rPr>
      <t>/</t>
    </r>
    <r>
      <rPr>
        <sz val="10"/>
        <rFont val="宋体"/>
        <family val="3"/>
        <charset val="134"/>
      </rPr>
      <t>在途物资明细表</t>
    </r>
    <phoneticPr fontId="17" type="noConversion"/>
  </si>
  <si>
    <r>
      <rPr>
        <b/>
        <sz val="10"/>
        <rFont val="宋体"/>
        <family val="3"/>
        <charset val="134"/>
      </rPr>
      <t>本期转出</t>
    </r>
    <phoneticPr fontId="17" type="noConversion"/>
  </si>
  <si>
    <r>
      <rPr>
        <b/>
        <sz val="10"/>
        <rFont val="宋体"/>
        <family val="3"/>
        <charset val="134"/>
      </rPr>
      <t>减：存货跌价准备</t>
    </r>
    <phoneticPr fontId="17" type="noConversion"/>
  </si>
  <si>
    <r>
      <rPr>
        <b/>
        <sz val="10"/>
        <rFont val="宋体"/>
        <family val="3"/>
        <charset val="134"/>
      </rPr>
      <t>材料采购</t>
    </r>
    <r>
      <rPr>
        <b/>
        <sz val="10"/>
        <rFont val="Arial Narrow"/>
        <family val="2"/>
      </rPr>
      <t>/</t>
    </r>
    <r>
      <rPr>
        <b/>
        <sz val="10"/>
        <rFont val="宋体"/>
        <family val="3"/>
        <charset val="134"/>
      </rPr>
      <t>在途物资净额</t>
    </r>
    <phoneticPr fontId="17" type="noConversion"/>
  </si>
  <si>
    <r>
      <rPr>
        <b/>
        <sz val="10"/>
        <rFont val="宋体"/>
        <family val="3"/>
        <charset val="134"/>
      </rPr>
      <t>名称及规格</t>
    </r>
    <phoneticPr fontId="17" type="noConversion"/>
  </si>
  <si>
    <r>
      <rPr>
        <sz val="10"/>
        <rFont val="宋体"/>
        <family val="3"/>
        <charset val="134"/>
      </rPr>
      <t>（一）周转材料</t>
    </r>
  </si>
  <si>
    <r>
      <rPr>
        <sz val="10"/>
        <rFont val="宋体"/>
        <family val="3"/>
        <charset val="134"/>
      </rPr>
      <t>小计</t>
    </r>
  </si>
  <si>
    <r>
      <rPr>
        <sz val="10"/>
        <rFont val="宋体"/>
        <family val="3"/>
        <charset val="134"/>
      </rPr>
      <t>（二）低值易耗品</t>
    </r>
  </si>
  <si>
    <r>
      <rPr>
        <sz val="10"/>
        <rFont val="宋体"/>
        <family val="3"/>
        <charset val="134"/>
      </rPr>
      <t>（三）包装物</t>
    </r>
  </si>
  <si>
    <r>
      <t>1.</t>
    </r>
    <r>
      <rPr>
        <sz val="10"/>
        <rFont val="宋体"/>
        <family val="3"/>
        <charset val="134"/>
      </rPr>
      <t>生产过程中用于包装产品作为产品组成部分的包装物</t>
    </r>
  </si>
  <si>
    <r>
      <t>2.</t>
    </r>
    <r>
      <rPr>
        <sz val="10"/>
        <rFont val="宋体"/>
        <family val="3"/>
        <charset val="134"/>
      </rPr>
      <t>随同商品出售而不单独计价的包装物</t>
    </r>
  </si>
  <si>
    <r>
      <t>3.</t>
    </r>
    <r>
      <rPr>
        <sz val="10"/>
        <rFont val="宋体"/>
        <family val="3"/>
        <charset val="134"/>
      </rPr>
      <t>随同商品出售而单独计价的包装物</t>
    </r>
  </si>
  <si>
    <r>
      <t>4.</t>
    </r>
    <r>
      <rPr>
        <sz val="10"/>
        <rFont val="宋体"/>
        <family val="3"/>
        <charset val="134"/>
      </rPr>
      <t>出租或出借给购买单位使用的包装物</t>
    </r>
  </si>
  <si>
    <r>
      <rPr>
        <b/>
        <sz val="10"/>
        <rFont val="宋体"/>
        <family val="3"/>
        <charset val="134"/>
      </rPr>
      <t>单位</t>
    </r>
    <phoneticPr fontId="17" type="noConversion"/>
  </si>
  <si>
    <r>
      <rPr>
        <b/>
        <sz val="10"/>
        <rFont val="宋体"/>
        <family val="3"/>
        <charset val="134"/>
      </rPr>
      <t>品质状况（正常、残次、毁损、滞销等）</t>
    </r>
    <phoneticPr fontId="17" type="noConversion"/>
  </si>
  <si>
    <r>
      <rPr>
        <b/>
        <sz val="10"/>
        <rFont val="宋体"/>
        <family val="3"/>
        <charset val="134"/>
      </rPr>
      <t>减：存货跌价准备</t>
    </r>
    <phoneticPr fontId="17" type="noConversion"/>
  </si>
  <si>
    <r>
      <rPr>
        <b/>
        <sz val="10"/>
        <rFont val="宋体"/>
        <family val="3"/>
        <charset val="134"/>
      </rPr>
      <t>周转材料</t>
    </r>
    <r>
      <rPr>
        <b/>
        <sz val="10"/>
        <rFont val="Arial Narrow"/>
        <family val="2"/>
      </rPr>
      <t>/</t>
    </r>
    <r>
      <rPr>
        <b/>
        <sz val="10"/>
        <rFont val="宋体"/>
        <family val="3"/>
        <charset val="134"/>
      </rPr>
      <t>低值易耗品</t>
    </r>
    <r>
      <rPr>
        <b/>
        <sz val="10"/>
        <rFont val="Arial Narrow"/>
        <family val="2"/>
      </rPr>
      <t>/</t>
    </r>
    <r>
      <rPr>
        <b/>
        <sz val="10"/>
        <rFont val="宋体"/>
        <family val="3"/>
        <charset val="134"/>
      </rPr>
      <t>包装物净额</t>
    </r>
    <phoneticPr fontId="17" type="noConversion"/>
  </si>
  <si>
    <r>
      <rPr>
        <sz val="10"/>
        <rFont val="宋体"/>
        <family val="3"/>
        <charset val="134"/>
      </rPr>
      <t>三、周转材料</t>
    </r>
    <r>
      <rPr>
        <sz val="10"/>
        <rFont val="Arial Narrow"/>
        <family val="2"/>
      </rPr>
      <t>/</t>
    </r>
    <r>
      <rPr>
        <sz val="10"/>
        <rFont val="宋体"/>
        <family val="3"/>
        <charset val="134"/>
      </rPr>
      <t>低值易耗品</t>
    </r>
    <r>
      <rPr>
        <sz val="10"/>
        <rFont val="Arial Narrow"/>
        <family val="2"/>
      </rPr>
      <t>/</t>
    </r>
    <r>
      <rPr>
        <sz val="10"/>
        <rFont val="宋体"/>
        <family val="3"/>
        <charset val="134"/>
      </rPr>
      <t>包装物明细表</t>
    </r>
    <phoneticPr fontId="17" type="noConversion"/>
  </si>
  <si>
    <r>
      <rPr>
        <b/>
        <sz val="10"/>
        <rFont val="宋体"/>
        <family val="3"/>
        <charset val="134"/>
      </rPr>
      <t>类别</t>
    </r>
    <phoneticPr fontId="17" type="noConversion"/>
  </si>
  <si>
    <r>
      <rPr>
        <b/>
        <sz val="10"/>
        <rFont val="宋体"/>
        <family val="3"/>
        <charset val="134"/>
      </rPr>
      <t>期初库存</t>
    </r>
    <phoneticPr fontId="17" type="noConversion"/>
  </si>
  <si>
    <r>
      <rPr>
        <b/>
        <sz val="10"/>
        <rFont val="宋体"/>
        <family val="3"/>
        <charset val="134"/>
      </rPr>
      <t>单价</t>
    </r>
    <phoneticPr fontId="17" type="noConversion"/>
  </si>
  <si>
    <t>提示：摊销方法采用五五、分次摊销法摊销时，金额按摊余价值列示，并作出说明。</t>
    <phoneticPr fontId="17" type="noConversion"/>
  </si>
  <si>
    <r>
      <rPr>
        <b/>
        <sz val="10"/>
        <rFont val="宋体"/>
        <family val="3"/>
        <charset val="134"/>
      </rPr>
      <t>自制半成品净额</t>
    </r>
    <phoneticPr fontId="17" type="noConversion"/>
  </si>
  <si>
    <r>
      <t>2</t>
    </r>
    <r>
      <rPr>
        <sz val="10"/>
        <color rgb="FFFF0000"/>
        <rFont val="宋体"/>
        <family val="3"/>
        <charset val="134"/>
      </rPr>
      <t>、自制半成品本期发生重大变动的原因：</t>
    </r>
    <phoneticPr fontId="17" type="noConversion"/>
  </si>
  <si>
    <r>
      <rPr>
        <sz val="10"/>
        <rFont val="宋体"/>
        <family val="3"/>
        <charset val="134"/>
      </rPr>
      <t>四、自制半成品明细表</t>
    </r>
    <phoneticPr fontId="17" type="noConversion"/>
  </si>
  <si>
    <r>
      <rPr>
        <b/>
        <sz val="10"/>
        <rFont val="宋体"/>
        <family val="3"/>
        <charset val="134"/>
      </rPr>
      <t>自制半成品名称</t>
    </r>
    <phoneticPr fontId="17" type="noConversion"/>
  </si>
  <si>
    <r>
      <rPr>
        <b/>
        <sz val="10"/>
        <rFont val="宋体"/>
        <family val="3"/>
        <charset val="134"/>
      </rPr>
      <t>期初库存</t>
    </r>
    <phoneticPr fontId="17" type="noConversion"/>
  </si>
  <si>
    <r>
      <rPr>
        <b/>
        <sz val="10"/>
        <rFont val="宋体"/>
        <family val="3"/>
        <charset val="134"/>
      </rPr>
      <t>减：存货跌价准备</t>
    </r>
    <phoneticPr fontId="17" type="noConversion"/>
  </si>
  <si>
    <r>
      <t>3</t>
    </r>
    <r>
      <rPr>
        <sz val="10"/>
        <color rgb="FFFF0000"/>
        <rFont val="宋体"/>
        <family val="3"/>
        <charset val="134"/>
      </rPr>
      <t>、自制半成品</t>
    </r>
    <r>
      <rPr>
        <sz val="10"/>
        <color rgb="FFFF0000"/>
        <rFont val="Arial Narrow"/>
        <family val="2"/>
      </rPr>
      <t>——**</t>
    </r>
    <r>
      <rPr>
        <sz val="10"/>
        <color rgb="FFFF0000"/>
        <rFont val="宋体"/>
        <family val="3"/>
        <charset val="134"/>
      </rPr>
      <t>库龄较长的原因：</t>
    </r>
    <phoneticPr fontId="17" type="noConversion"/>
  </si>
  <si>
    <r>
      <rPr>
        <b/>
        <sz val="10"/>
        <rFont val="宋体"/>
        <family val="3"/>
        <charset val="134"/>
      </rPr>
      <t>加工合同号</t>
    </r>
    <phoneticPr fontId="17" type="noConversion"/>
  </si>
  <si>
    <r>
      <rPr>
        <b/>
        <sz val="10"/>
        <rFont val="宋体"/>
        <family val="3"/>
        <charset val="134"/>
      </rPr>
      <t>审计说明：</t>
    </r>
    <phoneticPr fontId="17" type="noConversion"/>
  </si>
  <si>
    <r>
      <rPr>
        <sz val="10"/>
        <rFont val="宋体"/>
        <family val="3"/>
        <charset val="134"/>
      </rPr>
      <t>六、库存商品明细表</t>
    </r>
  </si>
  <si>
    <r>
      <rPr>
        <b/>
        <sz val="10"/>
        <rFont val="宋体"/>
        <family val="3"/>
        <charset val="134"/>
      </rPr>
      <t>销售出库数量（销售台账）</t>
    </r>
    <phoneticPr fontId="17" type="noConversion"/>
  </si>
  <si>
    <r>
      <rPr>
        <b/>
        <sz val="10"/>
        <rFont val="宋体"/>
        <family val="3"/>
        <charset val="134"/>
      </rPr>
      <t>差异</t>
    </r>
    <phoneticPr fontId="17" type="noConversion"/>
  </si>
  <si>
    <r>
      <rPr>
        <b/>
        <sz val="10"/>
        <rFont val="宋体"/>
        <family val="3"/>
        <charset val="134"/>
      </rPr>
      <t>存货编码</t>
    </r>
    <phoneticPr fontId="17" type="noConversion"/>
  </si>
  <si>
    <r>
      <rPr>
        <b/>
        <sz val="10"/>
        <rFont val="宋体"/>
        <family val="3"/>
        <charset val="134"/>
      </rPr>
      <t>存货名称</t>
    </r>
    <phoneticPr fontId="17" type="noConversion"/>
  </si>
  <si>
    <r>
      <rPr>
        <b/>
        <sz val="10"/>
        <rFont val="宋体"/>
        <family val="3"/>
        <charset val="134"/>
      </rPr>
      <t>规格</t>
    </r>
    <phoneticPr fontId="17" type="noConversion"/>
  </si>
  <si>
    <r>
      <rPr>
        <b/>
        <sz val="10"/>
        <rFont val="宋体"/>
        <family val="3"/>
        <charset val="134"/>
      </rPr>
      <t>单位</t>
    </r>
    <phoneticPr fontId="17" type="noConversion"/>
  </si>
  <si>
    <r>
      <rPr>
        <b/>
        <sz val="10"/>
        <rFont val="宋体"/>
        <family val="3"/>
        <charset val="134"/>
      </rPr>
      <t>期初库存</t>
    </r>
    <phoneticPr fontId="17" type="noConversion"/>
  </si>
  <si>
    <r>
      <rPr>
        <b/>
        <sz val="10"/>
        <rFont val="宋体"/>
        <family val="3"/>
        <charset val="134"/>
      </rPr>
      <t>本期购进</t>
    </r>
    <phoneticPr fontId="17" type="noConversion"/>
  </si>
  <si>
    <r>
      <rPr>
        <b/>
        <sz val="10"/>
        <rFont val="宋体"/>
        <family val="3"/>
        <charset val="134"/>
      </rPr>
      <t>本期发出</t>
    </r>
    <phoneticPr fontId="17" type="noConversion"/>
  </si>
  <si>
    <r>
      <rPr>
        <b/>
        <sz val="10"/>
        <rFont val="宋体"/>
        <family val="3"/>
        <charset val="134"/>
      </rPr>
      <t>期末结存</t>
    </r>
    <phoneticPr fontId="17" type="noConversion"/>
  </si>
  <si>
    <r>
      <rPr>
        <b/>
        <sz val="10"/>
        <rFont val="宋体"/>
        <family val="3"/>
        <charset val="134"/>
      </rPr>
      <t>品质状况（正常、残次、毁损、滞销等）</t>
    </r>
    <phoneticPr fontId="17" type="noConversion"/>
  </si>
  <si>
    <r>
      <rPr>
        <b/>
        <sz val="10"/>
        <rFont val="宋体"/>
        <family val="3"/>
        <charset val="134"/>
      </rPr>
      <t>单价</t>
    </r>
    <phoneticPr fontId="17" type="noConversion"/>
  </si>
  <si>
    <r>
      <rPr>
        <b/>
        <sz val="10"/>
        <rFont val="宋体"/>
        <family val="3"/>
        <charset val="134"/>
      </rPr>
      <t>单价</t>
    </r>
    <phoneticPr fontId="17" type="noConversion"/>
  </si>
  <si>
    <r>
      <rPr>
        <b/>
        <sz val="10"/>
        <rFont val="宋体"/>
        <family val="3"/>
        <charset val="134"/>
      </rPr>
      <t>单价</t>
    </r>
    <phoneticPr fontId="17" type="noConversion"/>
  </si>
  <si>
    <r>
      <rPr>
        <b/>
        <sz val="10"/>
        <rFont val="宋体"/>
        <family val="3"/>
        <charset val="134"/>
      </rPr>
      <t>减：存货跌价准备</t>
    </r>
    <phoneticPr fontId="17" type="noConversion"/>
  </si>
  <si>
    <t>2.发出商品本期发生重大变动的原因：</t>
    <phoneticPr fontId="17" type="noConversion"/>
  </si>
  <si>
    <r>
      <rPr>
        <sz val="10"/>
        <rFont val="宋体"/>
        <family val="3"/>
        <charset val="134"/>
      </rPr>
      <t>（一）原值</t>
    </r>
    <phoneticPr fontId="17" type="noConversion"/>
  </si>
  <si>
    <r>
      <rPr>
        <b/>
        <sz val="10"/>
        <rFont val="宋体"/>
        <family val="3"/>
        <charset val="134"/>
      </rPr>
      <t>开工时间</t>
    </r>
    <phoneticPr fontId="17" type="noConversion"/>
  </si>
  <si>
    <r>
      <rPr>
        <b/>
        <sz val="10"/>
        <rFont val="宋体"/>
        <family val="3"/>
        <charset val="134"/>
      </rPr>
      <t>竣工时间</t>
    </r>
    <phoneticPr fontId="17" type="noConversion"/>
  </si>
  <si>
    <r>
      <rPr>
        <b/>
        <sz val="10"/>
        <rFont val="宋体"/>
        <family val="3"/>
        <charset val="134"/>
      </rPr>
      <t>期初结存（未审）</t>
    </r>
    <phoneticPr fontId="17" type="noConversion"/>
  </si>
  <si>
    <r>
      <rPr>
        <b/>
        <sz val="10"/>
        <rFont val="宋体"/>
        <family val="3"/>
        <charset val="134"/>
      </rPr>
      <t>期初调整</t>
    </r>
    <phoneticPr fontId="17" type="noConversion"/>
  </si>
  <si>
    <r>
      <rPr>
        <b/>
        <sz val="10"/>
        <rFont val="宋体"/>
        <family val="3"/>
        <charset val="134"/>
      </rPr>
      <t>期初审定</t>
    </r>
    <phoneticPr fontId="17" type="noConversion"/>
  </si>
  <si>
    <r>
      <rPr>
        <b/>
        <sz val="10"/>
        <rFont val="宋体"/>
        <family val="3"/>
        <charset val="134"/>
      </rPr>
      <t>本期转入</t>
    </r>
    <phoneticPr fontId="17" type="noConversion"/>
  </si>
  <si>
    <r>
      <rPr>
        <b/>
        <sz val="10"/>
        <rFont val="宋体"/>
        <family val="3"/>
        <charset val="134"/>
      </rPr>
      <t>本期转出</t>
    </r>
    <phoneticPr fontId="17" type="noConversion"/>
  </si>
  <si>
    <r>
      <rPr>
        <b/>
        <sz val="10"/>
        <rFont val="宋体"/>
        <family val="3"/>
        <charset val="134"/>
      </rPr>
      <t>期末结存（未审）</t>
    </r>
    <phoneticPr fontId="17" type="noConversion"/>
  </si>
  <si>
    <r>
      <rPr>
        <b/>
        <sz val="10"/>
        <rFont val="宋体"/>
        <family val="3"/>
        <charset val="134"/>
      </rPr>
      <t>期末调整</t>
    </r>
    <phoneticPr fontId="17" type="noConversion"/>
  </si>
  <si>
    <r>
      <rPr>
        <b/>
        <sz val="10"/>
        <rFont val="宋体"/>
        <family val="3"/>
        <charset val="134"/>
      </rPr>
      <t>期末审定</t>
    </r>
    <phoneticPr fontId="17" type="noConversion"/>
  </si>
  <si>
    <r>
      <rPr>
        <b/>
        <sz val="10"/>
        <rFont val="宋体"/>
        <family val="3"/>
        <charset val="134"/>
      </rPr>
      <t>库龄</t>
    </r>
    <phoneticPr fontId="17" type="noConversion"/>
  </si>
  <si>
    <r>
      <rPr>
        <b/>
        <sz val="10"/>
        <rFont val="宋体"/>
        <family val="3"/>
        <charset val="134"/>
      </rPr>
      <t>面积
（平方米）</t>
    </r>
    <phoneticPr fontId="17" type="noConversion"/>
  </si>
  <si>
    <r>
      <rPr>
        <b/>
        <sz val="10"/>
        <rFont val="宋体"/>
        <family val="3"/>
        <charset val="134"/>
      </rPr>
      <t>单位成本</t>
    </r>
    <phoneticPr fontId="17" type="noConversion"/>
  </si>
  <si>
    <r>
      <rPr>
        <b/>
        <sz val="10"/>
        <rFont val="宋体"/>
        <family val="3"/>
        <charset val="134"/>
      </rPr>
      <t>金额</t>
    </r>
    <phoneticPr fontId="17" type="noConversion"/>
  </si>
  <si>
    <r>
      <rPr>
        <b/>
        <sz val="10"/>
        <rFont val="宋体"/>
        <family val="3"/>
        <charset val="134"/>
      </rPr>
      <t>账项调整</t>
    </r>
    <phoneticPr fontId="17" type="noConversion"/>
  </si>
  <si>
    <r>
      <rPr>
        <b/>
        <sz val="10"/>
        <rFont val="宋体"/>
        <family val="3"/>
        <charset val="134"/>
      </rPr>
      <t>重分类调整</t>
    </r>
    <phoneticPr fontId="17" type="noConversion"/>
  </si>
  <si>
    <r>
      <rPr>
        <b/>
        <sz val="10"/>
        <rFont val="宋体"/>
        <family val="3"/>
        <charset val="134"/>
      </rPr>
      <t>面积
（平方米）</t>
    </r>
    <phoneticPr fontId="17" type="noConversion"/>
  </si>
  <si>
    <r>
      <rPr>
        <b/>
        <sz val="10"/>
        <rFont val="宋体"/>
        <family val="3"/>
        <charset val="134"/>
      </rPr>
      <t>单位成本</t>
    </r>
    <phoneticPr fontId="17" type="noConversion"/>
  </si>
  <si>
    <r>
      <rPr>
        <sz val="10"/>
        <rFont val="宋体"/>
        <family val="3"/>
        <charset val="134"/>
      </rPr>
      <t>（二）跌价准备</t>
    </r>
    <phoneticPr fontId="17" type="noConversion"/>
  </si>
  <si>
    <r>
      <rPr>
        <b/>
        <sz val="10"/>
        <rFont val="宋体"/>
        <family val="3"/>
        <charset val="134"/>
      </rPr>
      <t>竣工时间</t>
    </r>
    <phoneticPr fontId="17" type="noConversion"/>
  </si>
  <si>
    <r>
      <rPr>
        <b/>
        <sz val="10"/>
        <rFont val="宋体"/>
        <family val="3"/>
        <charset val="134"/>
      </rPr>
      <t>未审数</t>
    </r>
    <phoneticPr fontId="17" type="noConversion"/>
  </si>
  <si>
    <r>
      <rPr>
        <b/>
        <sz val="10"/>
        <rFont val="宋体"/>
        <family val="3"/>
        <charset val="134"/>
      </rPr>
      <t>期初调整</t>
    </r>
    <phoneticPr fontId="17" type="noConversion"/>
  </si>
  <si>
    <r>
      <rPr>
        <b/>
        <sz val="10"/>
        <rFont val="宋体"/>
        <family val="3"/>
        <charset val="134"/>
      </rPr>
      <t>审定数</t>
    </r>
    <phoneticPr fontId="17" type="noConversion"/>
  </si>
  <si>
    <r>
      <rPr>
        <b/>
        <sz val="10"/>
        <rFont val="宋体"/>
        <family val="3"/>
        <charset val="134"/>
      </rPr>
      <t>备注</t>
    </r>
    <phoneticPr fontId="17" type="noConversion"/>
  </si>
  <si>
    <r>
      <rPr>
        <b/>
        <sz val="10"/>
        <rFont val="宋体"/>
        <family val="3"/>
        <charset val="134"/>
      </rPr>
      <t>期初余额</t>
    </r>
    <phoneticPr fontId="17" type="noConversion"/>
  </si>
  <si>
    <r>
      <rPr>
        <b/>
        <sz val="10"/>
        <rFont val="宋体"/>
        <family val="3"/>
        <charset val="134"/>
      </rPr>
      <t>本期增加</t>
    </r>
    <phoneticPr fontId="17" type="noConversion"/>
  </si>
  <si>
    <r>
      <rPr>
        <b/>
        <sz val="10"/>
        <rFont val="宋体"/>
        <family val="3"/>
        <charset val="134"/>
      </rPr>
      <t>本期减少</t>
    </r>
    <phoneticPr fontId="17" type="noConversion"/>
  </si>
  <si>
    <r>
      <rPr>
        <b/>
        <sz val="10"/>
        <rFont val="宋体"/>
        <family val="3"/>
        <charset val="134"/>
      </rPr>
      <t>期末余额</t>
    </r>
    <phoneticPr fontId="17" type="noConversion"/>
  </si>
  <si>
    <r>
      <rPr>
        <b/>
        <sz val="10"/>
        <rFont val="宋体"/>
        <family val="3"/>
        <charset val="134"/>
      </rPr>
      <t>重分类调整</t>
    </r>
    <phoneticPr fontId="17" type="noConversion"/>
  </si>
  <si>
    <r>
      <rPr>
        <b/>
        <sz val="10"/>
        <rFont val="宋体"/>
        <family val="3"/>
        <charset val="134"/>
      </rPr>
      <t>本期增加</t>
    </r>
    <phoneticPr fontId="17" type="noConversion"/>
  </si>
  <si>
    <r>
      <rPr>
        <b/>
        <sz val="10"/>
        <rFont val="宋体"/>
        <family val="3"/>
        <charset val="134"/>
      </rPr>
      <t>期初余额</t>
    </r>
    <phoneticPr fontId="17" type="noConversion"/>
  </si>
  <si>
    <r>
      <rPr>
        <b/>
        <sz val="10"/>
        <rFont val="宋体"/>
        <family val="3"/>
        <charset val="134"/>
      </rPr>
      <t>本期增加</t>
    </r>
    <phoneticPr fontId="17" type="noConversion"/>
  </si>
  <si>
    <r>
      <rPr>
        <b/>
        <sz val="10"/>
        <rFont val="宋体"/>
        <family val="3"/>
        <charset val="134"/>
      </rPr>
      <t>本期减少</t>
    </r>
    <phoneticPr fontId="17" type="noConversion"/>
  </si>
  <si>
    <r>
      <rPr>
        <sz val="10"/>
        <rFont val="宋体"/>
        <family val="3"/>
        <charset val="134"/>
      </rPr>
      <t>（三）净值</t>
    </r>
    <phoneticPr fontId="17" type="noConversion"/>
  </si>
  <si>
    <r>
      <rPr>
        <b/>
        <sz val="10"/>
        <rFont val="宋体"/>
        <family val="3"/>
        <charset val="134"/>
      </rPr>
      <t>期初未审数</t>
    </r>
    <phoneticPr fontId="17" type="noConversion"/>
  </si>
  <si>
    <r>
      <rPr>
        <b/>
        <sz val="10"/>
        <rFont val="宋体"/>
        <family val="3"/>
        <charset val="134"/>
      </rPr>
      <t>期末未审数</t>
    </r>
    <phoneticPr fontId="17" type="noConversion"/>
  </si>
  <si>
    <r>
      <rPr>
        <b/>
        <sz val="10"/>
        <rFont val="宋体"/>
        <family val="3"/>
        <charset val="134"/>
      </rPr>
      <t>期初审定数</t>
    </r>
    <phoneticPr fontId="17" type="noConversion"/>
  </si>
  <si>
    <r>
      <rPr>
        <b/>
        <sz val="10"/>
        <rFont val="宋体"/>
        <family val="3"/>
        <charset val="134"/>
      </rPr>
      <t>期末审定数</t>
    </r>
    <phoneticPr fontId="17" type="noConversion"/>
  </si>
  <si>
    <r>
      <rPr>
        <b/>
        <sz val="10"/>
        <rFont val="宋体"/>
        <family val="3"/>
        <charset val="134"/>
      </rPr>
      <t>期初数</t>
    </r>
    <phoneticPr fontId="17" type="noConversion"/>
  </si>
  <si>
    <t>2.开发产品本期发生重大变动的原因：</t>
    <phoneticPr fontId="17" type="noConversion"/>
  </si>
  <si>
    <r>
      <rPr>
        <sz val="10"/>
        <rFont val="宋体"/>
        <family val="3"/>
        <charset val="134"/>
      </rPr>
      <t>九、开发成本</t>
    </r>
    <phoneticPr fontId="17" type="noConversion"/>
  </si>
  <si>
    <r>
      <rPr>
        <sz val="10"/>
        <rFont val="宋体"/>
        <family val="3"/>
        <charset val="134"/>
      </rPr>
      <t>（一）原值</t>
    </r>
    <phoneticPr fontId="17" type="noConversion"/>
  </si>
  <si>
    <r>
      <rPr>
        <b/>
        <sz val="10"/>
        <rFont val="宋体"/>
        <family val="3"/>
        <charset val="134"/>
      </rPr>
      <t>开工时间</t>
    </r>
    <phoneticPr fontId="17" type="noConversion"/>
  </si>
  <si>
    <r>
      <rPr>
        <b/>
        <sz val="10"/>
        <rFont val="宋体"/>
        <family val="3"/>
        <charset val="134"/>
      </rPr>
      <t>预计总投资</t>
    </r>
    <phoneticPr fontId="17" type="noConversion"/>
  </si>
  <si>
    <r>
      <rPr>
        <b/>
        <sz val="10"/>
        <rFont val="宋体"/>
        <family val="3"/>
        <charset val="134"/>
      </rPr>
      <t>未审数</t>
    </r>
    <phoneticPr fontId="17" type="noConversion"/>
  </si>
  <si>
    <r>
      <rPr>
        <b/>
        <sz val="10"/>
        <rFont val="宋体"/>
        <family val="3"/>
        <charset val="134"/>
      </rPr>
      <t>期初调整</t>
    </r>
    <phoneticPr fontId="17" type="noConversion"/>
  </si>
  <si>
    <r>
      <rPr>
        <b/>
        <sz val="10"/>
        <rFont val="宋体"/>
        <family val="3"/>
        <charset val="134"/>
      </rPr>
      <t>账项调整</t>
    </r>
    <phoneticPr fontId="17" type="noConversion"/>
  </si>
  <si>
    <r>
      <rPr>
        <b/>
        <sz val="10"/>
        <rFont val="宋体"/>
        <family val="3"/>
        <charset val="134"/>
      </rPr>
      <t>重分类调整</t>
    </r>
    <phoneticPr fontId="17" type="noConversion"/>
  </si>
  <si>
    <r>
      <rPr>
        <b/>
        <sz val="10"/>
        <rFont val="宋体"/>
        <family val="3"/>
        <charset val="134"/>
      </rPr>
      <t>期初余额</t>
    </r>
    <phoneticPr fontId="17" type="noConversion"/>
  </si>
  <si>
    <r>
      <rPr>
        <b/>
        <sz val="10"/>
        <rFont val="宋体"/>
        <family val="3"/>
        <charset val="134"/>
      </rPr>
      <t>本期转入</t>
    </r>
    <phoneticPr fontId="17" type="noConversion"/>
  </si>
  <si>
    <r>
      <rPr>
        <b/>
        <sz val="10"/>
        <rFont val="宋体"/>
        <family val="3"/>
        <charset val="134"/>
      </rPr>
      <t>期末余额</t>
    </r>
    <phoneticPr fontId="17" type="noConversion"/>
  </si>
  <si>
    <r>
      <rPr>
        <b/>
        <sz val="10"/>
        <rFont val="宋体"/>
        <family val="3"/>
        <charset val="134"/>
      </rPr>
      <t>账项调整</t>
    </r>
    <phoneticPr fontId="17" type="noConversion"/>
  </si>
  <si>
    <r>
      <rPr>
        <b/>
        <sz val="10"/>
        <rFont val="宋体"/>
        <family val="3"/>
        <charset val="134"/>
      </rPr>
      <t>本期转入</t>
    </r>
    <phoneticPr fontId="17" type="noConversion"/>
  </si>
  <si>
    <r>
      <rPr>
        <b/>
        <sz val="10"/>
        <rFont val="宋体"/>
        <family val="3"/>
        <charset val="134"/>
      </rPr>
      <t>本期转出</t>
    </r>
    <phoneticPr fontId="17" type="noConversion"/>
  </si>
  <si>
    <r>
      <rPr>
        <b/>
        <sz val="10"/>
        <rFont val="宋体"/>
        <family val="3"/>
        <charset val="134"/>
      </rPr>
      <t>本期转入</t>
    </r>
    <phoneticPr fontId="17" type="noConversion"/>
  </si>
  <si>
    <r>
      <rPr>
        <b/>
        <sz val="10"/>
        <rFont val="宋体"/>
        <family val="3"/>
        <charset val="134"/>
      </rPr>
      <t>本期转出</t>
    </r>
    <phoneticPr fontId="17" type="noConversion"/>
  </si>
  <si>
    <r>
      <rPr>
        <b/>
        <sz val="10"/>
        <rFont val="宋体"/>
        <family val="3"/>
        <charset val="134"/>
      </rPr>
      <t>期末余额</t>
    </r>
    <phoneticPr fontId="17" type="noConversion"/>
  </si>
  <si>
    <r>
      <rPr>
        <sz val="10"/>
        <rFont val="宋体"/>
        <family val="3"/>
        <charset val="134"/>
      </rPr>
      <t>（二）跌价准备</t>
    </r>
    <phoneticPr fontId="17" type="noConversion"/>
  </si>
  <si>
    <r>
      <rPr>
        <b/>
        <sz val="10"/>
        <rFont val="宋体"/>
        <family val="3"/>
        <charset val="134"/>
      </rPr>
      <t>预计开工时间</t>
    </r>
    <phoneticPr fontId="17" type="noConversion"/>
  </si>
  <si>
    <r>
      <rPr>
        <b/>
        <sz val="10"/>
        <rFont val="宋体"/>
        <family val="3"/>
        <charset val="134"/>
      </rPr>
      <t>未审数</t>
    </r>
    <phoneticPr fontId="17" type="noConversion"/>
  </si>
  <si>
    <r>
      <rPr>
        <b/>
        <sz val="10"/>
        <rFont val="宋体"/>
        <family val="3"/>
        <charset val="134"/>
      </rPr>
      <t>账项调整</t>
    </r>
    <phoneticPr fontId="17" type="noConversion"/>
  </si>
  <si>
    <r>
      <rPr>
        <b/>
        <sz val="10"/>
        <rFont val="宋体"/>
        <family val="3"/>
        <charset val="134"/>
      </rPr>
      <t>审定数</t>
    </r>
    <phoneticPr fontId="17" type="noConversion"/>
  </si>
  <si>
    <r>
      <rPr>
        <b/>
        <sz val="10"/>
        <rFont val="宋体"/>
        <family val="3"/>
        <charset val="134"/>
      </rPr>
      <t>备注</t>
    </r>
    <phoneticPr fontId="17" type="noConversion"/>
  </si>
  <si>
    <r>
      <rPr>
        <b/>
        <sz val="10"/>
        <rFont val="宋体"/>
        <family val="3"/>
        <charset val="134"/>
      </rPr>
      <t>索引号</t>
    </r>
    <phoneticPr fontId="17" type="noConversion"/>
  </si>
  <si>
    <r>
      <rPr>
        <b/>
        <sz val="10"/>
        <rFont val="宋体"/>
        <family val="3"/>
        <charset val="134"/>
      </rPr>
      <t>期末余额</t>
    </r>
    <phoneticPr fontId="17" type="noConversion"/>
  </si>
  <si>
    <r>
      <rPr>
        <b/>
        <sz val="10"/>
        <rFont val="宋体"/>
        <family val="3"/>
        <charset val="134"/>
      </rPr>
      <t>本期减少</t>
    </r>
    <phoneticPr fontId="17" type="noConversion"/>
  </si>
  <si>
    <r>
      <rPr>
        <b/>
        <sz val="10"/>
        <rFont val="宋体"/>
        <family val="3"/>
        <charset val="134"/>
      </rPr>
      <t>本期增加</t>
    </r>
    <phoneticPr fontId="17" type="noConversion"/>
  </si>
  <si>
    <r>
      <rPr>
        <sz val="10"/>
        <rFont val="宋体"/>
        <family val="3"/>
        <charset val="134"/>
      </rPr>
      <t>（三）净值</t>
    </r>
    <phoneticPr fontId="17" type="noConversion"/>
  </si>
  <si>
    <r>
      <rPr>
        <b/>
        <sz val="10"/>
        <rFont val="宋体"/>
        <family val="3"/>
        <charset val="134"/>
      </rPr>
      <t>期末数</t>
    </r>
    <phoneticPr fontId="17" type="noConversion"/>
  </si>
  <si>
    <r>
      <rPr>
        <b/>
        <sz val="10"/>
        <rFont val="宋体"/>
        <family val="3"/>
        <charset val="134"/>
      </rPr>
      <t>期初数</t>
    </r>
    <phoneticPr fontId="17" type="noConversion"/>
  </si>
  <si>
    <t>合计</t>
    <phoneticPr fontId="17" type="noConversion"/>
  </si>
  <si>
    <t>期末调整</t>
    <phoneticPr fontId="17" type="noConversion"/>
  </si>
  <si>
    <t>存货产销量变动分析表</t>
    <phoneticPr fontId="17" type="noConversion"/>
  </si>
  <si>
    <t>移至舞弊应对中</t>
    <phoneticPr fontId="17" type="noConversion"/>
  </si>
  <si>
    <t>移至计价测试中</t>
    <phoneticPr fontId="17" type="noConversion"/>
  </si>
  <si>
    <t>存货截止测试-入库</t>
    <phoneticPr fontId="17" type="noConversion"/>
  </si>
  <si>
    <t>存货截止测试-出库</t>
    <phoneticPr fontId="17" type="noConversion"/>
  </si>
  <si>
    <t>交易背景和商业目的调查（IPO、上市公司）</t>
    <phoneticPr fontId="17" type="noConversion"/>
  </si>
  <si>
    <t>委托加工物资核查表</t>
    <phoneticPr fontId="17" type="noConversion"/>
  </si>
  <si>
    <t>合同履约成本测试表</t>
    <phoneticPr fontId="17" type="noConversion"/>
  </si>
  <si>
    <t>G2-7-1</t>
  </si>
  <si>
    <t>G2-7-2</t>
  </si>
  <si>
    <t>G2-11</t>
  </si>
  <si>
    <t>G2-12</t>
  </si>
  <si>
    <t>结合存货监盘程序，执行存货入库截止性测试：
（1）从存货明细账借方发生额中抽取资产负债表日前后若干天、一定金额以上的凭证，与入库记录（如入库单，或购货发票，或运输单据）核对，以确定存货入库被记录在正确的会计期间；
（2）从入库记录（如入库单或购货发票或运输单据）或其他表明所有权转移的单据中选取资产负债表日前后若干天、一定金额以上的凭据，与存货明细账的借方发生额进行核对，以确定存货人库被记录在正确的会计期间；
（3）检查入库记录编号是否与执行存货监盘程序中获取的截止性资料编号存在冲突。</t>
    <phoneticPr fontId="17" type="noConversion"/>
  </si>
  <si>
    <t>截止测试-出库（记账凭证至原始凭证）G2-7-2</t>
    <phoneticPr fontId="17" type="noConversion"/>
  </si>
  <si>
    <t>截止测试-入库（记账凭证至原始凭证）G2-7-1</t>
    <phoneticPr fontId="17" type="noConversion"/>
  </si>
  <si>
    <t xml:space="preserve">截止测试-入库（原始凭证至记账凭证）G2-7-1 </t>
    <phoneticPr fontId="17" type="noConversion"/>
  </si>
  <si>
    <t>截止测试-出库（原始凭证至记账凭证）G2-7-2</t>
    <phoneticPr fontId="17" type="noConversion"/>
  </si>
  <si>
    <t>拆分为从记账凭证至原始凭证、从原始凭证至记账凭证两个方向</t>
    <phoneticPr fontId="17" type="noConversion"/>
  </si>
  <si>
    <t>移至舞弊应对中</t>
    <phoneticPr fontId="17" type="noConversion"/>
  </si>
  <si>
    <t>1、修改审计过程；2、增加加工费索引、函证编号列</t>
    <phoneticPr fontId="17" type="noConversion"/>
  </si>
  <si>
    <t>√</t>
    <phoneticPr fontId="17" type="noConversion"/>
  </si>
  <si>
    <t>新增</t>
    <phoneticPr fontId="17" type="noConversion"/>
  </si>
  <si>
    <t>存货采购检查表</t>
    <phoneticPr fontId="17" type="noConversion"/>
  </si>
  <si>
    <t>修订前</t>
    <phoneticPr fontId="17" type="noConversion"/>
  </si>
  <si>
    <t>修订后</t>
    <phoneticPr fontId="17" type="noConversion"/>
  </si>
  <si>
    <t>G2-8 存货及跌价准备 -计价测试（Leap-存货程序）</t>
    <phoneticPr fontId="17" type="noConversion"/>
  </si>
  <si>
    <t>存货计价测试程序</t>
    <phoneticPr fontId="17" type="noConversion"/>
  </si>
  <si>
    <t>G2-8</t>
    <phoneticPr fontId="17" type="noConversion"/>
  </si>
  <si>
    <t>G2-8-1</t>
  </si>
  <si>
    <t>G2-8-2</t>
  </si>
  <si>
    <t>计价方法测试表-成本差异</t>
    <phoneticPr fontId="17" type="noConversion"/>
  </si>
  <si>
    <t>G2-8-3</t>
  </si>
  <si>
    <t>产品年度成本比较</t>
    <phoneticPr fontId="17" type="noConversion"/>
  </si>
  <si>
    <t>G2-8-4</t>
  </si>
  <si>
    <t>产品月度成本比较</t>
    <phoneticPr fontId="17" type="noConversion"/>
  </si>
  <si>
    <t>G2-8-5</t>
  </si>
  <si>
    <t>生产成本分配</t>
    <phoneticPr fontId="17" type="noConversion"/>
  </si>
  <si>
    <t>G2-8-6</t>
  </si>
  <si>
    <t>产品同行业成本比较</t>
    <phoneticPr fontId="17" type="noConversion"/>
  </si>
  <si>
    <t>G2-8-7</t>
  </si>
  <si>
    <t>删除，与存货程序表整合</t>
    <phoneticPr fontId="17" type="noConversion"/>
  </si>
  <si>
    <t>计价方法测试表-月末一次加权平均法</t>
    <phoneticPr fontId="17" type="noConversion"/>
  </si>
  <si>
    <t>存货发出计价测试（先进先出法）</t>
    <phoneticPr fontId="17" type="noConversion"/>
  </si>
  <si>
    <t>存货发出计价测试（先进先出法）</t>
    <phoneticPr fontId="17" type="noConversion"/>
  </si>
  <si>
    <t>从分析类底稿移入</t>
    <phoneticPr fontId="17" type="noConversion"/>
  </si>
  <si>
    <t>生产成本明细表</t>
    <phoneticPr fontId="17" type="noConversion"/>
  </si>
  <si>
    <t>移至舞弊应对中单耗分析中</t>
    <phoneticPr fontId="17" type="noConversion"/>
  </si>
  <si>
    <t>结合营业成本审计，检查发出库存商品的品种、数量和实际成本与“主营业务成本”是否相符。</t>
    <phoneticPr fontId="17" type="noConversion"/>
  </si>
  <si>
    <t>材料领用检查表</t>
    <phoneticPr fontId="17" type="noConversion"/>
  </si>
  <si>
    <t>存货跌价准备测试表</t>
    <phoneticPr fontId="17" type="noConversion"/>
  </si>
  <si>
    <t>跌价转回G2-9-1</t>
  </si>
  <si>
    <t>库龄表G2-9-2</t>
  </si>
  <si>
    <t>同行业存货跌价计提情况G2-9-3</t>
  </si>
  <si>
    <t>G2-9</t>
  </si>
  <si>
    <t>G2-9-1</t>
    <phoneticPr fontId="17" type="noConversion"/>
  </si>
  <si>
    <t>G2-9-2</t>
    <phoneticPr fontId="17" type="noConversion"/>
  </si>
  <si>
    <t>G2-9-3</t>
    <phoneticPr fontId="17" type="noConversion"/>
  </si>
  <si>
    <t>删除</t>
    <phoneticPr fontId="17" type="noConversion"/>
  </si>
  <si>
    <t>在存货总体分析表G2-3中已提现存货跌价准备与同行业分析，总体分析表中增加提示：对存货跌价准备错报风险高的项目，可拆分为原材料、产成品等跌价准备分别占原材料、产成品等余额的比例与同行业对比分析</t>
    <phoneticPr fontId="17" type="noConversion"/>
  </si>
  <si>
    <t>G2-10 存货及跌价准备 -关联交易（Leap-常规程序）</t>
    <phoneticPr fontId="17" type="noConversion"/>
  </si>
  <si>
    <t>关联采购分析表</t>
    <phoneticPr fontId="17" type="noConversion"/>
  </si>
  <si>
    <t>G2-10</t>
  </si>
  <si>
    <t>采购定价公允性测算（询价函）</t>
    <phoneticPr fontId="17" type="noConversion"/>
  </si>
  <si>
    <t>G2-10-1</t>
  </si>
  <si>
    <t>采购定价公允性测算（市场价）</t>
    <phoneticPr fontId="17" type="noConversion"/>
  </si>
  <si>
    <t>G2-10-2</t>
  </si>
  <si>
    <t>识别未披露的关联方</t>
    <phoneticPr fontId="17" type="noConversion"/>
  </si>
  <si>
    <t>G2-10-3</t>
  </si>
  <si>
    <t>姓名汇总</t>
    <phoneticPr fontId="17" type="noConversion"/>
  </si>
  <si>
    <t>G2-10-4</t>
  </si>
  <si>
    <t>公司高管亲属名单</t>
    <phoneticPr fontId="17" type="noConversion"/>
  </si>
  <si>
    <t>G2-10-5</t>
  </si>
  <si>
    <t>职工花名册</t>
    <phoneticPr fontId="17" type="noConversion"/>
  </si>
  <si>
    <t>G2-10-6</t>
  </si>
  <si>
    <t>经销商负责人名单</t>
    <phoneticPr fontId="17" type="noConversion"/>
  </si>
  <si>
    <t>G2-10-7</t>
  </si>
  <si>
    <t>在未识别的关联方汇总审计说明中增加人员名单见&lt;&gt;，名单项目组自行附附件，不提供模板</t>
    <phoneticPr fontId="17" type="noConversion"/>
  </si>
  <si>
    <t>程序表</t>
    <phoneticPr fontId="17" type="noConversion"/>
  </si>
  <si>
    <t>原材料采购价格分析表G2-3-1</t>
    <phoneticPr fontId="17" type="noConversion"/>
  </si>
  <si>
    <t>原材料单价分析G2-14</t>
    <phoneticPr fontId="17" type="noConversion"/>
  </si>
  <si>
    <t>存货产量与产能分析表G2-3-3</t>
    <phoneticPr fontId="17" type="noConversion"/>
  </si>
  <si>
    <t>主要产品生产成本及单耗分析表</t>
    <phoneticPr fontId="17" type="noConversion"/>
  </si>
  <si>
    <t>重要供应商结构分析G2-3-7</t>
    <phoneticPr fontId="17" type="noConversion"/>
  </si>
  <si>
    <t>关联方采购定价公允性核查（询价函）G2-10-1</t>
    <phoneticPr fontId="17" type="noConversion"/>
  </si>
  <si>
    <t>关联方采购定价公允性核查（市场价）G2-10-2</t>
    <phoneticPr fontId="17" type="noConversion"/>
  </si>
  <si>
    <t>删除各项原材料采购数量及金额统计（包含在原材料入库单价分析中）；××原材料单价分析-供应商维度包含在供应商分析中</t>
    <phoneticPr fontId="17" type="noConversion"/>
  </si>
  <si>
    <t>识别未披露的关联方G2-10-3</t>
    <phoneticPr fontId="17" type="noConversion"/>
  </si>
  <si>
    <t>供应商核查清单D4-13</t>
    <phoneticPr fontId="17" type="noConversion"/>
  </si>
  <si>
    <t>供应商信息检查表</t>
    <phoneticPr fontId="17" type="noConversion"/>
  </si>
  <si>
    <t>G2-4 存货及跌价准备-会计政策（Leap-常规程序）</t>
    <phoneticPr fontId="17" type="noConversion"/>
  </si>
  <si>
    <t>会计政策、核算流程G2-4</t>
    <phoneticPr fontId="17" type="noConversion"/>
  </si>
  <si>
    <t>函证过程控制</t>
    <phoneticPr fontId="17" type="noConversion"/>
  </si>
  <si>
    <t>函证差异调节表检查表</t>
    <phoneticPr fontId="17" type="noConversion"/>
  </si>
  <si>
    <t>存货监盘小结</t>
    <phoneticPr fontId="17" type="noConversion"/>
  </si>
  <si>
    <t>存货监盘计划</t>
    <phoneticPr fontId="17" type="noConversion"/>
  </si>
  <si>
    <t>双向核对表</t>
    <phoneticPr fontId="17" type="noConversion"/>
  </si>
  <si>
    <t>函证结果汇总表</t>
    <phoneticPr fontId="17" type="noConversion"/>
  </si>
  <si>
    <t>核实被函证客户信息</t>
    <phoneticPr fontId="17" type="noConversion"/>
  </si>
  <si>
    <t>回函核对记录</t>
    <phoneticPr fontId="17" type="noConversion"/>
  </si>
  <si>
    <t>存货监盘程序表</t>
    <phoneticPr fontId="17" type="noConversion"/>
  </si>
  <si>
    <t>存货盘点计划问卷</t>
    <phoneticPr fontId="17" type="noConversion"/>
  </si>
  <si>
    <t>盘点倒轧表</t>
    <phoneticPr fontId="17" type="noConversion"/>
  </si>
  <si>
    <t>存货抽盘表</t>
    <phoneticPr fontId="17" type="noConversion"/>
  </si>
  <si>
    <t>移至采购循环函证中</t>
    <phoneticPr fontId="17" type="noConversion"/>
  </si>
  <si>
    <t>将原118条程序、过程、关注点进行整理，整后为存货盘点6个步骤、26条程序</t>
    <phoneticPr fontId="17" type="noConversion"/>
  </si>
  <si>
    <t>将三、盘点参加人员的财务处改为财务部门，供销处改为仓储部门</t>
    <phoneticPr fontId="17" type="noConversion"/>
  </si>
  <si>
    <t>删除下方编制人、复核人、编制日期等</t>
    <phoneticPr fontId="17" type="noConversion"/>
  </si>
  <si>
    <t>存货监盘程序表</t>
    <phoneticPr fontId="17" type="noConversion"/>
  </si>
  <si>
    <t>存货盘点计划问卷</t>
    <phoneticPr fontId="17" type="noConversion"/>
  </si>
  <si>
    <t>存货监盘计划</t>
    <phoneticPr fontId="17" type="noConversion"/>
  </si>
  <si>
    <t>存货监盘小结</t>
    <phoneticPr fontId="17" type="noConversion"/>
  </si>
  <si>
    <t>增加</t>
    <phoneticPr fontId="17" type="noConversion"/>
  </si>
  <si>
    <t>盘点倒轧表G2-6-5</t>
    <phoneticPr fontId="17" type="noConversion"/>
  </si>
  <si>
    <t>存货账面余额与仓储台账（ERP业务数据)核对记录</t>
    <phoneticPr fontId="17" type="noConversion"/>
  </si>
  <si>
    <t>存货抽盘表</t>
    <phoneticPr fontId="17" type="noConversion"/>
  </si>
  <si>
    <t>删除，整合至抽盘表中</t>
    <phoneticPr fontId="17" type="noConversion"/>
  </si>
  <si>
    <t>将原200条存货程序、75条计价测试程序整合为31条存货程序，存货盘点、舞弊程序单独体现</t>
    <phoneticPr fontId="17" type="noConversion"/>
  </si>
  <si>
    <t>增加合计行，修改跌价转回金额公式</t>
    <phoneticPr fontId="17" type="noConversion"/>
  </si>
  <si>
    <t>年度改为日期，需结合出入库日期、数量、单价计算，改为开放式底稿</t>
    <phoneticPr fontId="17" type="noConversion"/>
  </si>
  <si>
    <t>主要修订内容</t>
    <phoneticPr fontId="17" type="noConversion"/>
  </si>
  <si>
    <t>备注</t>
    <phoneticPr fontId="17" type="noConversion"/>
  </si>
  <si>
    <t>由于计划单价是不断调整的，将计划单价移至购入列中，修改购入、发出计划成本公式</t>
    <phoneticPr fontId="17" type="noConversion"/>
  </si>
  <si>
    <t>增加抽样过程、修改审计过程，表格增加存货名称，将质保期改为库龄，删除临期数量，删除农产品进项税、内部未实现损益列改为账面成本调整提示；销售单价、销售费用率、税率、售价依据纳入计算表；增加提示考虑亏损合同</t>
    <phoneticPr fontId="17" type="noConversion"/>
  </si>
  <si>
    <t>单产人工成本（当月计入库存商品的直接人工/产量）移至舞弊应对单耗分析中</t>
    <phoneticPr fontId="17" type="noConversion"/>
  </si>
  <si>
    <t>1.合同履约成本核算方法：</t>
    <phoneticPr fontId="17" type="noConversion"/>
  </si>
  <si>
    <r>
      <t>3.</t>
    </r>
    <r>
      <rPr>
        <sz val="10"/>
        <color rgb="FFFF0000"/>
        <rFont val="宋体"/>
        <family val="3"/>
        <charset val="134"/>
      </rPr>
      <t>合同履约成本</t>
    </r>
    <r>
      <rPr>
        <sz val="10"/>
        <color rgb="FFFF0000"/>
        <rFont val="Arial Narrow"/>
        <family val="2"/>
      </rPr>
      <t>**</t>
    </r>
    <r>
      <rPr>
        <sz val="10"/>
        <color rgb="FFFF0000"/>
        <rFont val="宋体"/>
        <family val="3"/>
        <charset val="134"/>
      </rPr>
      <t>停建的原因：</t>
    </r>
    <phoneticPr fontId="17" type="noConversion"/>
  </si>
  <si>
    <t>2.合同履约成本本期发生的重大变动及原因：</t>
    <phoneticPr fontId="17" type="noConversion"/>
  </si>
  <si>
    <r>
      <t>4.</t>
    </r>
    <r>
      <rPr>
        <sz val="10"/>
        <color rgb="FFFF0000"/>
        <rFont val="宋体"/>
        <family val="3"/>
        <charset val="134"/>
      </rPr>
      <t>计提跌价准备的主要项目及原因：</t>
    </r>
    <phoneticPr fontId="17" type="noConversion"/>
  </si>
  <si>
    <t>十、合同履约成本</t>
    <phoneticPr fontId="17" type="noConversion"/>
  </si>
  <si>
    <t>十、合同履约成本</t>
    <phoneticPr fontId="17" type="noConversion"/>
  </si>
  <si>
    <t>修改为合同履约成本</t>
    <phoneticPr fontId="17" type="noConversion"/>
  </si>
  <si>
    <r>
      <rPr>
        <b/>
        <sz val="10"/>
        <rFont val="宋体"/>
        <family val="3"/>
        <charset val="134"/>
      </rPr>
      <t>项目编码</t>
    </r>
    <phoneticPr fontId="17" type="noConversion"/>
  </si>
  <si>
    <r>
      <rPr>
        <b/>
        <sz val="10"/>
        <rFont val="宋体"/>
        <family val="3"/>
        <charset val="134"/>
      </rPr>
      <t>本期转出</t>
    </r>
    <phoneticPr fontId="17" type="noConversion"/>
  </si>
  <si>
    <r>
      <rPr>
        <b/>
        <sz val="10"/>
        <rFont val="宋体"/>
        <family val="3"/>
        <charset val="134"/>
      </rPr>
      <t>期末余额</t>
    </r>
    <phoneticPr fontId="17" type="noConversion"/>
  </si>
  <si>
    <r>
      <rPr>
        <b/>
        <sz val="10"/>
        <rFont val="宋体"/>
        <family val="3"/>
        <charset val="134"/>
      </rPr>
      <t>品质状况（正常、停建、毁损、报废等）</t>
    </r>
    <phoneticPr fontId="17" type="noConversion"/>
  </si>
  <si>
    <r>
      <rPr>
        <b/>
        <sz val="10"/>
        <rFont val="宋体"/>
        <family val="3"/>
        <charset val="134"/>
      </rPr>
      <t>项目名称</t>
    </r>
    <phoneticPr fontId="17" type="noConversion"/>
  </si>
  <si>
    <r>
      <rPr>
        <b/>
        <sz val="10"/>
        <rFont val="宋体"/>
        <family val="3"/>
        <charset val="134"/>
      </rPr>
      <t>开工时间</t>
    </r>
    <phoneticPr fontId="17" type="noConversion"/>
  </si>
  <si>
    <r>
      <rPr>
        <b/>
        <sz val="10"/>
        <rFont val="宋体"/>
        <family val="3"/>
        <charset val="134"/>
      </rPr>
      <t>期初金额</t>
    </r>
    <phoneticPr fontId="17" type="noConversion"/>
  </si>
  <si>
    <r>
      <rPr>
        <b/>
        <sz val="10"/>
        <rFont val="宋体"/>
        <family val="3"/>
        <charset val="134"/>
      </rPr>
      <t>本期转入</t>
    </r>
    <phoneticPr fontId="17" type="noConversion"/>
  </si>
  <si>
    <r>
      <rPr>
        <b/>
        <sz val="10"/>
        <rFont val="宋体"/>
        <family val="3"/>
        <charset val="134"/>
      </rPr>
      <t>金额</t>
    </r>
    <phoneticPr fontId="17" type="noConversion"/>
  </si>
  <si>
    <r>
      <rPr>
        <b/>
        <sz val="10"/>
        <rFont val="宋体"/>
        <family val="3"/>
        <charset val="134"/>
      </rPr>
      <t>合同履约成本净额</t>
    </r>
    <phoneticPr fontId="17" type="noConversion"/>
  </si>
  <si>
    <t>合同履约成本测试（示例）</t>
    <phoneticPr fontId="17" type="noConversion"/>
  </si>
  <si>
    <t>将原摊销类型的测试表作为示例</t>
    <phoneticPr fontId="17" type="noConversion"/>
  </si>
  <si>
    <r>
      <t>1.</t>
    </r>
    <r>
      <rPr>
        <sz val="10"/>
        <color theme="1"/>
        <rFont val="宋体"/>
        <family val="3"/>
        <charset val="134"/>
      </rPr>
      <t>获取或编制存货（收发存）数量金额式明细表，复核加计正确，与总账、明细账合计数核对是否相符，期初余额与上期审定期末余额是否相符；</t>
    </r>
    <phoneticPr fontId="46" type="noConversion"/>
  </si>
  <si>
    <t>F2A</t>
  </si>
  <si>
    <t>索引号：</t>
    <phoneticPr fontId="17" type="noConversion"/>
  </si>
  <si>
    <t>索引号：</t>
    <phoneticPr fontId="17" type="noConversion"/>
  </si>
  <si>
    <r>
      <rPr>
        <sz val="10"/>
        <rFont val="宋体"/>
        <family val="3"/>
        <charset val="134"/>
      </rPr>
      <t>页</t>
    </r>
    <r>
      <rPr>
        <sz val="10"/>
        <rFont val="Arial Narrow"/>
        <family val="2"/>
      </rPr>
      <t xml:space="preserve">    </t>
    </r>
    <r>
      <rPr>
        <sz val="10"/>
        <rFont val="宋体"/>
        <family val="3"/>
        <charset val="134"/>
      </rPr>
      <t>次：</t>
    </r>
    <phoneticPr fontId="17" type="noConversion"/>
  </si>
  <si>
    <r>
      <t>1</t>
    </r>
    <r>
      <rPr>
        <b/>
        <sz val="10"/>
        <color rgb="FFFF0000"/>
        <rFont val="宋体"/>
        <family val="3"/>
        <charset val="134"/>
      </rPr>
      <t>年以内</t>
    </r>
    <phoneticPr fontId="17" type="noConversion"/>
  </si>
  <si>
    <r>
      <t>1-2</t>
    </r>
    <r>
      <rPr>
        <b/>
        <sz val="10"/>
        <color rgb="FFFF0000"/>
        <rFont val="宋体"/>
        <family val="3"/>
        <charset val="134"/>
      </rPr>
      <t>年</t>
    </r>
    <phoneticPr fontId="17" type="noConversion"/>
  </si>
  <si>
    <r>
      <t>2-3</t>
    </r>
    <r>
      <rPr>
        <b/>
        <sz val="10"/>
        <color rgb="FFFF0000"/>
        <rFont val="宋体"/>
        <family val="3"/>
        <charset val="134"/>
      </rPr>
      <t>年</t>
    </r>
    <phoneticPr fontId="17" type="noConversion"/>
  </si>
  <si>
    <r>
      <t>3</t>
    </r>
    <r>
      <rPr>
        <b/>
        <sz val="10"/>
        <color rgb="FFFF0000"/>
        <rFont val="宋体"/>
        <family val="3"/>
        <charset val="134"/>
      </rPr>
      <t>年以上</t>
    </r>
    <phoneticPr fontId="17" type="noConversion"/>
  </si>
  <si>
    <t>F2-2</t>
  </si>
  <si>
    <t>库龄改为1年以内、1-2年、2-3年、3年以上，增加库龄校验公式</t>
    <phoneticPr fontId="17" type="noConversion"/>
  </si>
  <si>
    <t>F2-3</t>
  </si>
  <si>
    <t>F2-4</t>
  </si>
  <si>
    <t>F2-5</t>
  </si>
  <si>
    <t>F2-6</t>
  </si>
  <si>
    <r>
      <t>1</t>
    </r>
    <r>
      <rPr>
        <b/>
        <sz val="10"/>
        <color rgb="FFFF0000"/>
        <rFont val="宋体"/>
        <family val="3"/>
        <charset val="134"/>
      </rPr>
      <t>年以内</t>
    </r>
    <phoneticPr fontId="17" type="noConversion"/>
  </si>
  <si>
    <r>
      <t>2-3</t>
    </r>
    <r>
      <rPr>
        <b/>
        <sz val="10"/>
        <color rgb="FFFF0000"/>
        <rFont val="宋体"/>
        <family val="3"/>
        <charset val="134"/>
      </rPr>
      <t>年</t>
    </r>
    <phoneticPr fontId="17" type="noConversion"/>
  </si>
  <si>
    <t>F2-7</t>
  </si>
  <si>
    <r>
      <t>1</t>
    </r>
    <r>
      <rPr>
        <b/>
        <sz val="10"/>
        <color rgb="FFFF0000"/>
        <rFont val="宋体"/>
        <family val="3"/>
        <charset val="134"/>
      </rPr>
      <t>年以内</t>
    </r>
    <phoneticPr fontId="17" type="noConversion"/>
  </si>
  <si>
    <r>
      <t>1-2</t>
    </r>
    <r>
      <rPr>
        <b/>
        <sz val="10"/>
        <color rgb="FFFF0000"/>
        <rFont val="宋体"/>
        <family val="3"/>
        <charset val="134"/>
      </rPr>
      <t>年</t>
    </r>
    <phoneticPr fontId="17" type="noConversion"/>
  </si>
  <si>
    <r>
      <t>2-3</t>
    </r>
    <r>
      <rPr>
        <b/>
        <sz val="10"/>
        <color rgb="FFFF0000"/>
        <rFont val="宋体"/>
        <family val="3"/>
        <charset val="134"/>
      </rPr>
      <t>年</t>
    </r>
    <phoneticPr fontId="17" type="noConversion"/>
  </si>
  <si>
    <r>
      <t>3</t>
    </r>
    <r>
      <rPr>
        <b/>
        <sz val="10"/>
        <color rgb="FFFF0000"/>
        <rFont val="宋体"/>
        <family val="3"/>
        <charset val="134"/>
      </rPr>
      <t>年以上</t>
    </r>
    <phoneticPr fontId="17" type="noConversion"/>
  </si>
  <si>
    <t>F2-8</t>
  </si>
  <si>
    <t>F2-9</t>
  </si>
  <si>
    <t>F2-10</t>
  </si>
  <si>
    <t>F2-13</t>
  </si>
  <si>
    <t>页  次：</t>
    <phoneticPr fontId="17" type="noConversion"/>
  </si>
  <si>
    <t>F2-1</t>
    <phoneticPr fontId="17" type="noConversion"/>
  </si>
  <si>
    <t>F2-11</t>
  </si>
  <si>
    <t>F2-14</t>
  </si>
  <si>
    <t>存货明细汇总表</t>
    <phoneticPr fontId="17" type="noConversion"/>
  </si>
  <si>
    <t>七、发出商品明细表</t>
    <phoneticPr fontId="17" type="noConversion"/>
  </si>
  <si>
    <t>八、开发产品明细表</t>
    <phoneticPr fontId="17" type="noConversion"/>
  </si>
  <si>
    <t>六、库存商品明细表</t>
    <phoneticPr fontId="17" type="noConversion"/>
  </si>
  <si>
    <t>七、发出商品明细表</t>
    <phoneticPr fontId="17" type="noConversion"/>
  </si>
  <si>
    <t>八、开发产品明细表</t>
    <phoneticPr fontId="17" type="noConversion"/>
  </si>
  <si>
    <t>九、开发成本明细表</t>
    <phoneticPr fontId="17" type="noConversion"/>
  </si>
  <si>
    <t>十、合同履约成本明细表</t>
    <phoneticPr fontId="17" type="noConversion"/>
  </si>
  <si>
    <t>十一、消耗性生物资产明细表</t>
    <phoneticPr fontId="17" type="noConversion"/>
  </si>
  <si>
    <t>提示：</t>
    <phoneticPr fontId="17" type="noConversion"/>
  </si>
  <si>
    <r>
      <t>1.</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phoneticPr fontId="17" type="noConversion"/>
  </si>
  <si>
    <r>
      <t>2.</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t>
    </r>
    <r>
      <rPr>
        <sz val="10"/>
        <color indexed="12"/>
        <rFont val="Arial Narrow"/>
        <family val="2"/>
      </rPr>
      <t xml:space="preserve">  C</t>
    </r>
    <r>
      <rPr>
        <sz val="10"/>
        <color indexed="12"/>
        <rFont val="宋体"/>
        <family val="3"/>
        <charset val="134"/>
      </rPr>
      <t>、由于存在以下重大未调整事项（或审计范围受到限制无法获取充分、适当证据），不可确认。</t>
    </r>
    <phoneticPr fontId="17" type="noConversion"/>
  </si>
  <si>
    <r>
      <t>4.</t>
    </r>
    <r>
      <rPr>
        <sz val="10"/>
        <color rgb="FFFF0000"/>
        <rFont val="宋体"/>
        <family val="3"/>
        <charset val="134"/>
      </rPr>
      <t>计提跌价准备的主要项目及原因：</t>
    </r>
    <phoneticPr fontId="17" type="noConversion"/>
  </si>
  <si>
    <r>
      <t>1.</t>
    </r>
    <r>
      <rPr>
        <sz val="10"/>
        <color rgb="FFFF0000"/>
        <rFont val="宋体"/>
        <family val="3"/>
        <charset val="134"/>
      </rPr>
      <t>原材料计价方法：</t>
    </r>
    <phoneticPr fontId="17" type="noConversion"/>
  </si>
  <si>
    <r>
      <t>2.</t>
    </r>
    <r>
      <rPr>
        <sz val="10"/>
        <color rgb="FFFF0000"/>
        <rFont val="宋体"/>
        <family val="3"/>
        <charset val="134"/>
      </rPr>
      <t>原材料本期发生重大变动的原因：</t>
    </r>
    <phoneticPr fontId="17" type="noConversion"/>
  </si>
  <si>
    <r>
      <t>3.</t>
    </r>
    <r>
      <rPr>
        <sz val="10"/>
        <color rgb="FFFF0000"/>
        <rFont val="宋体"/>
        <family val="3"/>
        <charset val="134"/>
      </rPr>
      <t>原材料</t>
    </r>
    <r>
      <rPr>
        <sz val="10"/>
        <color rgb="FFFF0000"/>
        <rFont val="Arial Narrow"/>
        <family val="2"/>
      </rPr>
      <t>——**</t>
    </r>
    <r>
      <rPr>
        <sz val="10"/>
        <color rgb="FFFF0000"/>
        <rFont val="宋体"/>
        <family val="3"/>
        <charset val="134"/>
      </rPr>
      <t>库龄较长的原因：</t>
    </r>
    <phoneticPr fontId="17" type="noConversion"/>
  </si>
  <si>
    <r>
      <t>1.</t>
    </r>
    <r>
      <rPr>
        <sz val="10"/>
        <color rgb="FFFF0000"/>
        <rFont val="宋体"/>
        <family val="3"/>
        <charset val="134"/>
      </rPr>
      <t>在途物资资产负债表日后入库情况：</t>
    </r>
    <phoneticPr fontId="17" type="noConversion"/>
  </si>
  <si>
    <r>
      <t>2.</t>
    </r>
    <r>
      <rPr>
        <sz val="10"/>
        <color rgb="FFFF0000"/>
        <rFont val="宋体"/>
        <family val="3"/>
        <charset val="134"/>
      </rPr>
      <t>物资采购</t>
    </r>
    <r>
      <rPr>
        <sz val="10"/>
        <color rgb="FFFF0000"/>
        <rFont val="Arial Narrow"/>
        <family val="2"/>
      </rPr>
      <t>/</t>
    </r>
    <r>
      <rPr>
        <sz val="10"/>
        <color rgb="FFFF0000"/>
        <rFont val="宋体"/>
        <family val="3"/>
        <charset val="134"/>
      </rPr>
      <t>在途物资本期发生重大变动的原因：</t>
    </r>
    <phoneticPr fontId="17" type="noConversion"/>
  </si>
  <si>
    <r>
      <t>3.</t>
    </r>
    <r>
      <rPr>
        <sz val="10"/>
        <color rgb="FFFF0000"/>
        <rFont val="宋体"/>
        <family val="3"/>
        <charset val="134"/>
      </rPr>
      <t>物资采购</t>
    </r>
    <r>
      <rPr>
        <sz val="10"/>
        <color rgb="FFFF0000"/>
        <rFont val="Arial Narrow"/>
        <family val="2"/>
      </rPr>
      <t>/</t>
    </r>
    <r>
      <rPr>
        <sz val="10"/>
        <color rgb="FFFF0000"/>
        <rFont val="宋体"/>
        <family val="3"/>
        <charset val="134"/>
      </rPr>
      <t>在途物资</t>
    </r>
    <r>
      <rPr>
        <sz val="10"/>
        <color rgb="FFFF0000"/>
        <rFont val="Arial Narrow"/>
        <family val="2"/>
      </rPr>
      <t>——**</t>
    </r>
    <r>
      <rPr>
        <sz val="10"/>
        <color rgb="FFFF0000"/>
        <rFont val="宋体"/>
        <family val="3"/>
        <charset val="134"/>
      </rPr>
      <t>库龄较长的原因：</t>
    </r>
    <phoneticPr fontId="17" type="noConversion"/>
  </si>
  <si>
    <r>
      <t>1.</t>
    </r>
    <r>
      <rPr>
        <sz val="10"/>
        <color rgb="FFFF0000"/>
        <rFont val="宋体"/>
        <family val="3"/>
        <charset val="134"/>
      </rPr>
      <t>摊销方法说明：</t>
    </r>
    <phoneticPr fontId="17" type="noConversion"/>
  </si>
  <si>
    <r>
      <t>2.</t>
    </r>
    <r>
      <rPr>
        <sz val="10"/>
        <color rgb="FFFF0000"/>
        <rFont val="宋体"/>
        <family val="3"/>
        <charset val="134"/>
      </rPr>
      <t>周转材料</t>
    </r>
    <r>
      <rPr>
        <sz val="10"/>
        <color rgb="FFFF0000"/>
        <rFont val="Arial Narrow"/>
        <family val="2"/>
      </rPr>
      <t>/</t>
    </r>
    <r>
      <rPr>
        <sz val="10"/>
        <color rgb="FFFF0000"/>
        <rFont val="宋体"/>
        <family val="3"/>
        <charset val="134"/>
      </rPr>
      <t>低值易耗品</t>
    </r>
    <r>
      <rPr>
        <sz val="10"/>
        <color rgb="FFFF0000"/>
        <rFont val="Arial Narrow"/>
        <family val="2"/>
      </rPr>
      <t>/</t>
    </r>
    <r>
      <rPr>
        <sz val="10"/>
        <color rgb="FFFF0000"/>
        <rFont val="宋体"/>
        <family val="3"/>
        <charset val="134"/>
      </rPr>
      <t>包装物本期发生重大变动的原因：</t>
    </r>
    <phoneticPr fontId="17" type="noConversion"/>
  </si>
  <si>
    <r>
      <t>3.</t>
    </r>
    <r>
      <rPr>
        <sz val="10"/>
        <color rgb="FFFF0000"/>
        <rFont val="宋体"/>
        <family val="3"/>
        <charset val="134"/>
      </rPr>
      <t>周转材料</t>
    </r>
    <r>
      <rPr>
        <sz val="10"/>
        <color rgb="FFFF0000"/>
        <rFont val="Arial Narrow"/>
        <family val="2"/>
      </rPr>
      <t>/</t>
    </r>
    <r>
      <rPr>
        <sz val="10"/>
        <color rgb="FFFF0000"/>
        <rFont val="宋体"/>
        <family val="3"/>
        <charset val="134"/>
      </rPr>
      <t>低值易耗品</t>
    </r>
    <r>
      <rPr>
        <sz val="10"/>
        <color rgb="FFFF0000"/>
        <rFont val="Arial Narrow"/>
        <family val="2"/>
      </rPr>
      <t>/</t>
    </r>
    <r>
      <rPr>
        <sz val="10"/>
        <color rgb="FFFF0000"/>
        <rFont val="宋体"/>
        <family val="3"/>
        <charset val="134"/>
      </rPr>
      <t>包装物</t>
    </r>
    <r>
      <rPr>
        <sz val="10"/>
        <color rgb="FFFF0000"/>
        <rFont val="Arial Narrow"/>
        <family val="2"/>
      </rPr>
      <t>——**</t>
    </r>
    <r>
      <rPr>
        <sz val="10"/>
        <color rgb="FFFF0000"/>
        <rFont val="宋体"/>
        <family val="3"/>
        <charset val="134"/>
      </rPr>
      <t>库龄较长的原因：</t>
    </r>
    <phoneticPr fontId="17" type="noConversion"/>
  </si>
  <si>
    <r>
      <t>1.</t>
    </r>
    <r>
      <rPr>
        <sz val="10"/>
        <color rgb="FFFF0000"/>
        <rFont val="宋体"/>
        <family val="3"/>
        <charset val="134"/>
      </rPr>
      <t>委托加工物资的成本核算方法：</t>
    </r>
    <phoneticPr fontId="17" type="noConversion"/>
  </si>
  <si>
    <r>
      <t>2.</t>
    </r>
    <r>
      <rPr>
        <sz val="10"/>
        <color rgb="FFFF0000"/>
        <rFont val="宋体"/>
        <family val="3"/>
        <charset val="134"/>
      </rPr>
      <t>委托加工物资本期发生重大变动的原因：</t>
    </r>
    <phoneticPr fontId="17" type="noConversion"/>
  </si>
  <si>
    <r>
      <t>3.</t>
    </r>
    <r>
      <rPr>
        <sz val="10"/>
        <color rgb="FFFF0000"/>
        <rFont val="宋体"/>
        <family val="3"/>
        <charset val="134"/>
      </rPr>
      <t>委托加工物资</t>
    </r>
    <r>
      <rPr>
        <sz val="10"/>
        <color rgb="FFFF0000"/>
        <rFont val="Arial Narrow"/>
        <family val="2"/>
      </rPr>
      <t>——**</t>
    </r>
    <r>
      <rPr>
        <sz val="10"/>
        <color rgb="FFFF0000"/>
        <rFont val="宋体"/>
        <family val="3"/>
        <charset val="134"/>
      </rPr>
      <t>库龄较长的原因：</t>
    </r>
    <phoneticPr fontId="17" type="noConversion"/>
  </si>
  <si>
    <r>
      <t>1.</t>
    </r>
    <r>
      <rPr>
        <sz val="10"/>
        <color rgb="FFFF0000"/>
        <rFont val="宋体"/>
        <family val="3"/>
        <charset val="134"/>
      </rPr>
      <t>库存商品的计价方法：</t>
    </r>
    <phoneticPr fontId="17" type="noConversion"/>
  </si>
  <si>
    <r>
      <t>2.</t>
    </r>
    <r>
      <rPr>
        <sz val="10"/>
        <color rgb="FFFF0000"/>
        <rFont val="宋体"/>
        <family val="3"/>
        <charset val="134"/>
      </rPr>
      <t>库存商品本期发生重大变动的原因：</t>
    </r>
    <phoneticPr fontId="17" type="noConversion"/>
  </si>
  <si>
    <r>
      <t>3.</t>
    </r>
    <r>
      <rPr>
        <sz val="10"/>
        <color rgb="FFFF0000"/>
        <rFont val="宋体"/>
        <family val="3"/>
        <charset val="134"/>
      </rPr>
      <t>库存商品</t>
    </r>
    <r>
      <rPr>
        <sz val="10"/>
        <color rgb="FFFF0000"/>
        <rFont val="Arial Narrow"/>
        <family val="2"/>
      </rPr>
      <t>——**</t>
    </r>
    <r>
      <rPr>
        <sz val="10"/>
        <color rgb="FFFF0000"/>
        <rFont val="宋体"/>
        <family val="3"/>
        <charset val="134"/>
      </rPr>
      <t>库龄较长的原因：</t>
    </r>
    <phoneticPr fontId="17" type="noConversion"/>
  </si>
  <si>
    <r>
      <t>1.</t>
    </r>
    <r>
      <rPr>
        <sz val="10"/>
        <color rgb="FFFF0000"/>
        <rFont val="宋体"/>
        <family val="3"/>
        <charset val="134"/>
      </rPr>
      <t>发出商品资产负债表日后销售情况：</t>
    </r>
    <phoneticPr fontId="17" type="noConversion"/>
  </si>
  <si>
    <r>
      <t>3.</t>
    </r>
    <r>
      <rPr>
        <sz val="10"/>
        <color rgb="FFFF0000"/>
        <rFont val="宋体"/>
        <family val="3"/>
        <charset val="134"/>
      </rPr>
      <t>发出商品——</t>
    </r>
    <r>
      <rPr>
        <sz val="10"/>
        <color rgb="FFFF0000"/>
        <rFont val="Arial Narrow"/>
        <family val="2"/>
      </rPr>
      <t>**</t>
    </r>
    <r>
      <rPr>
        <sz val="10"/>
        <color rgb="FFFF0000"/>
        <rFont val="宋体"/>
        <family val="3"/>
        <charset val="134"/>
      </rPr>
      <t>库龄较长的原因：</t>
    </r>
    <phoneticPr fontId="17" type="noConversion"/>
  </si>
  <si>
    <r>
      <t>1.</t>
    </r>
    <r>
      <rPr>
        <sz val="10"/>
        <color rgb="FFFF0000"/>
        <rFont val="宋体"/>
        <family val="3"/>
        <charset val="134"/>
      </rPr>
      <t>开发产品的计价方法：</t>
    </r>
    <phoneticPr fontId="17" type="noConversion"/>
  </si>
  <si>
    <r>
      <t>3.</t>
    </r>
    <r>
      <rPr>
        <sz val="10"/>
        <color rgb="FFFF0000"/>
        <rFont val="宋体"/>
        <family val="3"/>
        <charset val="134"/>
      </rPr>
      <t>开发产品</t>
    </r>
    <r>
      <rPr>
        <sz val="10"/>
        <color rgb="FFFF0000"/>
        <rFont val="Arial Narrow"/>
        <family val="2"/>
      </rPr>
      <t>——**</t>
    </r>
    <r>
      <rPr>
        <sz val="10"/>
        <color rgb="FFFF0000"/>
        <rFont val="宋体"/>
        <family val="3"/>
        <charset val="134"/>
      </rPr>
      <t>库龄较长的原因：</t>
    </r>
    <phoneticPr fontId="17" type="noConversion"/>
  </si>
  <si>
    <r>
      <t>1.</t>
    </r>
    <r>
      <rPr>
        <sz val="10"/>
        <color rgb="FFFF0000"/>
        <rFont val="宋体"/>
        <family val="3"/>
        <charset val="134"/>
      </rPr>
      <t>开发成本核算方法：</t>
    </r>
    <phoneticPr fontId="17" type="noConversion"/>
  </si>
  <si>
    <r>
      <t>2.</t>
    </r>
    <r>
      <rPr>
        <sz val="10"/>
        <color rgb="FFFF0000"/>
        <rFont val="宋体"/>
        <family val="3"/>
        <charset val="134"/>
      </rPr>
      <t>开发成本本期发生的重大变动及原因：</t>
    </r>
    <phoneticPr fontId="17" type="noConversion"/>
  </si>
  <si>
    <r>
      <t>3.</t>
    </r>
    <r>
      <rPr>
        <sz val="10"/>
        <color rgb="FFFF0000"/>
        <rFont val="宋体"/>
        <family val="3"/>
        <charset val="134"/>
      </rPr>
      <t>开发成本</t>
    </r>
    <r>
      <rPr>
        <sz val="10"/>
        <color rgb="FFFF0000"/>
        <rFont val="Arial Narrow"/>
        <family val="2"/>
      </rPr>
      <t>——**</t>
    </r>
    <r>
      <rPr>
        <sz val="10"/>
        <color rgb="FFFF0000"/>
        <rFont val="宋体"/>
        <family val="3"/>
        <charset val="134"/>
      </rPr>
      <t>库龄较长的原因：</t>
    </r>
    <phoneticPr fontId="17" type="noConversion"/>
  </si>
  <si>
    <r>
      <t>F2-1/F2-2</t>
    </r>
    <r>
      <rPr>
        <sz val="10"/>
        <rFont val="宋体"/>
        <family val="3"/>
        <charset val="134"/>
      </rPr>
      <t>至</t>
    </r>
    <r>
      <rPr>
        <sz val="10"/>
        <rFont val="Arial Narrow"/>
        <family val="2"/>
      </rPr>
      <t>F2-14</t>
    </r>
    <phoneticPr fontId="17" type="noConversion"/>
  </si>
  <si>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phoneticPr fontId="46" type="noConversion"/>
  </si>
  <si>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phoneticPr fontId="46" type="noConversion"/>
  </si>
  <si>
    <t>了解会计政策、会计估计合理性、一贯性，关注其是否利用会计政策和会计估计及其变更操纵利润。主要的会计政策和会计估计包括：
（1）存货购入和发出的入账基础和计价方法、周转材料与固定资产的划分标准和摊销方法等；
（2）生产工艺流程、辅助生产成本和制造费用摊销方法、自制半成品与完工产品的分配方法等；
（3）存货跌价准备的计提方法、可变现净值的估计方法等；</t>
    <phoneticPr fontId="46" type="noConversion"/>
  </si>
  <si>
    <t>√</t>
    <phoneticPr fontId="17" type="noConversion"/>
  </si>
  <si>
    <t>√</t>
    <phoneticPr fontId="17" type="noConversion"/>
  </si>
  <si>
    <t>F2-16</t>
    <phoneticPr fontId="17" type="noConversion"/>
  </si>
  <si>
    <t>转移至分析底稿中</t>
    <phoneticPr fontId="17" type="noConversion"/>
  </si>
  <si>
    <t>产品年度成本比较</t>
    <phoneticPr fontId="17" type="noConversion"/>
  </si>
  <si>
    <t>F2-18</t>
    <phoneticPr fontId="17" type="noConversion"/>
  </si>
  <si>
    <t>分析本期各月及前期主要产品的产量与销售量情况，分析前期及本期各月主要原材料本期采购与耗用情况，分析单位成本构成及变化情况，关注是否存在异常；</t>
    <phoneticPr fontId="17" type="noConversion"/>
  </si>
  <si>
    <t>总体分析存货构成及重要指标：
（1）分析本期及前期的构成，结构比变化情况；
（2）分析整体存货周转率、存货跌价准备比率等存货关键指标的本期与前期变化、与同行业公司对比情况，主要产品的存货周转率本期与前期的变化情况；</t>
    <phoneticPr fontId="17" type="noConversion"/>
  </si>
  <si>
    <t>F2-19
/F2-20</t>
    <phoneticPr fontId="17" type="noConversion"/>
  </si>
  <si>
    <t>1、修改盘点时间、监盘人、盘点人格式；2、改为从盘点记录到实物、从实物到盘点记录两个方向；3、修改表头，删除盘点金额、抽盘金额、金额差异，将差异分为抽盘与账面差异、抽盘与企业盘点差异；4、将原双向核对表G2-6-7中财务账面与盘点数量核对整合至抽盘表中，5、修改审计目标</t>
    <phoneticPr fontId="17" type="noConversion"/>
  </si>
  <si>
    <t>增加存货编码、参加、仓库、数量差异、金额差异、是否调整列，删除审计目标、审计过程</t>
    <phoneticPr fontId="17" type="noConversion"/>
  </si>
  <si>
    <t>F2-24</t>
    <phoneticPr fontId="17" type="noConversion"/>
  </si>
  <si>
    <t>F2-29
/F2-30</t>
    <phoneticPr fontId="17" type="noConversion"/>
  </si>
  <si>
    <t>F2-31
/F2-32</t>
    <phoneticPr fontId="17" type="noConversion"/>
  </si>
  <si>
    <t>F2-33</t>
    <phoneticPr fontId="17" type="noConversion"/>
  </si>
  <si>
    <t>F2-34</t>
    <phoneticPr fontId="17" type="noConversion"/>
  </si>
  <si>
    <t>F2-35
/F0</t>
    <phoneticPr fontId="17" type="noConversion"/>
  </si>
  <si>
    <t>采用恰当的抽样方法，从存货明细表中选择样本测试存货计价：
（1）对原材料等外购存货，基于被审计单位原材料计价方法(如先进先出法，加权平均法等)，结合原材料的历史购买成本，测试其账面入库、出库、结存金额是否准确。
（2）对产成品，基于被审计单位产成品计价方法(如先进先出法，加权平均法等)，结合产成品入库成本，测试其账面入库、出库、结存金额是否准确。</t>
    <phoneticPr fontId="17" type="noConversion"/>
  </si>
  <si>
    <t>F2-38
/F2-39</t>
    <phoneticPr fontId="17" type="noConversion"/>
  </si>
  <si>
    <t>检查生产成本/制造费用归集、分配是否合理、正确：
（1）取得本期各月及前期的存货成本构成（料、工、费）明细情况，评价本期发生额和余额的总体合理性，将直接材料与材料耗用、直接人工与工资分配表等核对一致，检查生产成本分配方法，以及在完工产品与在产品间分配是否合理、一致、正确；
（2）分析主要产品本期与上期的单位成本的变化，是否存在异常波动；
（3）分析本期各月及前期产品计入生产成本的直接人工成本、单位人工成本情况，关注直接人工分摊是否合理，是否存在异常；
（4）取得本期各月及前期制造费用明细情况，将资产折旧与折旧分配表、资产摊销与各项资产摊销分配表等核对一致，检查制造费用分配方法是否合理、适当，制造费用截止是否正确；
（4）抽取成本计算单，检查直接材料、直接人工及制造费用的计算和分配是否正确。</t>
    <phoneticPr fontId="17" type="noConversion"/>
  </si>
  <si>
    <t>采用恰当的抽样方法，从原材料、外购库存商品明细表中选择样本，检查入库单等支持性证据，确认会计处理是否正确。</t>
    <phoneticPr fontId="17" type="noConversion"/>
  </si>
  <si>
    <t>采用恰当的抽样方法，从原材料发出明细账中选择样本，检查材料发出及领用的原始凭证，检查领料单的签发是否经过授权批准，手续是否齐全，会计处理是否正确。</t>
    <phoneticPr fontId="17" type="noConversion"/>
  </si>
  <si>
    <t>长库龄/呆滞/超过保质期存货明细表</t>
    <phoneticPr fontId="17" type="noConversion"/>
  </si>
  <si>
    <t>修订底稿表页名称，改为只体现有减值迹象的存货（库龄明细表在存货明细表中已体现），删除重复的存货类别列，将是否单独计提存货跌价准备改为是否存在过时冷背呆滞等各种减值迹象，增加合计行</t>
    <phoneticPr fontId="17" type="noConversion"/>
  </si>
  <si>
    <t>F2-41
/F2-20
/F2-42
/F2-43
/F2-44</t>
    <phoneticPr fontId="17" type="noConversion"/>
  </si>
  <si>
    <t>F2-47
/F2-48
/F2-49</t>
    <phoneticPr fontId="17" type="noConversion"/>
  </si>
  <si>
    <t>F2-52</t>
    <phoneticPr fontId="17" type="noConversion"/>
  </si>
  <si>
    <t>简化审计过程，对隐藏关联方的核查方式移至提示中，将采购统计占比与单价分析整合为一张表</t>
    <phoneticPr fontId="17" type="noConversion"/>
  </si>
  <si>
    <t>F2-12</t>
    <phoneticPr fontId="17" type="noConversion"/>
  </si>
  <si>
    <t>F2-21A</t>
    <phoneticPr fontId="17" type="noConversion"/>
  </si>
  <si>
    <t>存货跌价准备：
（1）取得被审计单位存货跌价准备明细表、计算过程，评价存货跌价准备所依据的资料、假设及计提方法是否合理、是否符合会计准则的规定，会计处理是否正确；
（2）分析存货的库龄、结合盘点结果识别滞销积压/停止经营/超出保质期或陈旧过时的存货；
（3）选取样本重新计算期末存货跌价准备的金额；
（4）检查存货跌价准备的转回是否合理，转回金额、会计处理是否正确。</t>
    <phoneticPr fontId="17" type="noConversion"/>
  </si>
  <si>
    <t>如果存在合同履约成本，检查合同履约成本的构成是否合理、检查相关记账凭证和支持性证据、检查减值准备计提是否合理，考虑亏损合同等，检查合同履约成本的会计处理是否符合会计准则的规定等。</t>
    <phoneticPr fontId="17" type="noConversion"/>
  </si>
  <si>
    <t>F2-55A</t>
    <phoneticPr fontId="17" type="noConversion"/>
  </si>
  <si>
    <t>T1/</t>
    <phoneticPr fontId="17" type="noConversion"/>
  </si>
  <si>
    <r>
      <rPr>
        <sz val="10"/>
        <rFont val="宋体"/>
        <family val="3"/>
        <charset val="134"/>
      </rPr>
      <t>页</t>
    </r>
    <r>
      <rPr>
        <sz val="10"/>
        <rFont val="Arial Narrow"/>
        <family val="2"/>
      </rPr>
      <t xml:space="preserve">  </t>
    </r>
    <r>
      <rPr>
        <sz val="10"/>
        <rFont val="宋体"/>
        <family val="3"/>
        <charset val="134"/>
      </rPr>
      <t>次：</t>
    </r>
    <phoneticPr fontId="46" type="noConversion"/>
  </si>
  <si>
    <t>合同履约成本实质性程序表</t>
  </si>
  <si>
    <t>合同履约成本构成明细表</t>
  </si>
  <si>
    <t>合同履约成本检查表</t>
  </si>
  <si>
    <t>合同履约成本减值准备测算表</t>
  </si>
  <si>
    <t>亏损合同预计损失测算表</t>
  </si>
  <si>
    <t>合同履约成本测试（示例）</t>
    <phoneticPr fontId="17" type="noConversion"/>
  </si>
  <si>
    <t>新增</t>
    <phoneticPr fontId="17" type="noConversion"/>
  </si>
  <si>
    <t>增加合同履约成本程序表和底稿</t>
    <phoneticPr fontId="17" type="noConversion"/>
  </si>
  <si>
    <t>移至合同履约成本</t>
    <phoneticPr fontId="17" type="noConversion"/>
  </si>
  <si>
    <t>删除</t>
    <phoneticPr fontId="17" type="noConversion"/>
  </si>
  <si>
    <t>增加关联方名称、产品规格、采购价格、采购价格是否合理列，删除指标</t>
    <phoneticPr fontId="17" type="noConversion"/>
  </si>
  <si>
    <t>删除审计目标、审计过程、删除经营范围、规模等列，增加产品名称、交货方式列，增加采购金额是否与公司规模匹配等列，增加与供应商信息检查表的索引</t>
    <phoneticPr fontId="17" type="noConversion"/>
  </si>
  <si>
    <t>供应商访谈记录</t>
  </si>
  <si>
    <t>访谈记录与核对示例</t>
  </si>
  <si>
    <t>增加</t>
    <phoneticPr fontId="17" type="noConversion"/>
  </si>
  <si>
    <t>修改核查方式、审计目标、审计过程，将审计过程的提示内容增加至提示</t>
    <phoneticPr fontId="17" type="noConversion"/>
  </si>
  <si>
    <t>增加</t>
    <phoneticPr fontId="17" type="noConversion"/>
  </si>
  <si>
    <t>增加访谈提纲</t>
    <phoneticPr fontId="17" type="noConversion"/>
  </si>
  <si>
    <t>供应商访谈记录汇总表</t>
    <phoneticPr fontId="17" type="noConversion"/>
  </si>
  <si>
    <t>F2-40</t>
    <phoneticPr fontId="17" type="noConversion"/>
  </si>
  <si>
    <t>F5-6</t>
    <phoneticPr fontId="17" type="noConversion"/>
  </si>
  <si>
    <t>修改审计过程，删除行业惯例，增加成本结转时点、方法与分配</t>
    <phoneticPr fontId="17" type="noConversion"/>
  </si>
  <si>
    <t>存货程序（选择“被审计单位存在由第三方保管或控制的存货”）</t>
    <phoneticPr fontId="17" type="noConversion"/>
  </si>
  <si>
    <t>存货程序（选择“被审计单位存在寄售货物”）</t>
    <phoneticPr fontId="17" type="noConversion"/>
  </si>
  <si>
    <t>存货程序（选择“期末存在在途货物”）</t>
    <phoneticPr fontId="17" type="noConversion"/>
  </si>
  <si>
    <t>增加项目编码，删除工程结算等列，删除合同名称、合同金额列（移至合同履约成本构成明细表中）</t>
    <phoneticPr fontId="17" type="noConversion"/>
  </si>
  <si>
    <t>G2-3 存货及跌价准备-分析类（Leap应对措施-分析程序）</t>
    <phoneticPr fontId="17" type="noConversion"/>
  </si>
  <si>
    <t>增加如果存在异常应进一步进行执行舞弊应对程序单耗分析的说明</t>
    <phoneticPr fontId="17" type="noConversion"/>
  </si>
  <si>
    <t>删除，与舞弊应对程序中原材料单价分析重复</t>
    <phoneticPr fontId="17" type="noConversion"/>
  </si>
  <si>
    <t>G2-5 G2-6 存货及跌价准备 - 盘点类（Leap应对措施- 存货监盘）</t>
    <phoneticPr fontId="17" type="noConversion"/>
  </si>
  <si>
    <t>G2-7 G2-11 G2-12 G2-13 存货及跌价准备 -检查类（Leap应对措施-检查）</t>
    <phoneticPr fontId="17" type="noConversion"/>
  </si>
  <si>
    <t>从分析类底稿移入</t>
    <phoneticPr fontId="17" type="noConversion"/>
  </si>
  <si>
    <t>修改合计公式、修改占比格式</t>
    <phoneticPr fontId="17" type="noConversion"/>
  </si>
  <si>
    <t>G2-9 存货及跌价准备 -跌价准备测试（Leap应对措施-会计估计）</t>
    <phoneticPr fontId="17" type="noConversion"/>
  </si>
  <si>
    <t>G2-合同履约成本</t>
    <phoneticPr fontId="17" type="noConversion"/>
  </si>
  <si>
    <t>G2-14 G-15 G-16 存货及跌价准备-舞弊应对审计程序</t>
    <phoneticPr fontId="17" type="noConversion"/>
  </si>
  <si>
    <t>梳理整合为12条存货舞弊应对审计程序</t>
    <phoneticPr fontId="17" type="noConversion"/>
  </si>
  <si>
    <t>保留核对示例，其他内容移至供应商访谈记录汇总表和访谈提纲</t>
    <phoneticPr fontId="17" type="noConversion"/>
  </si>
  <si>
    <r>
      <t>A1-1/</t>
    </r>
    <r>
      <rPr>
        <sz val="10"/>
        <color rgb="FFFF0000"/>
        <rFont val="Arial Narrow"/>
        <family val="2"/>
      </rPr>
      <t>A1-15 /A1-16</t>
    </r>
    <phoneticPr fontId="46" type="noConversion"/>
  </si>
  <si>
    <t>三、计划实施的实质性程序</t>
    <phoneticPr fontId="17" type="noConversion"/>
  </si>
  <si>
    <t>IPO/上市/新三板/重组/舞弊应对</t>
    <phoneticPr fontId="46" type="noConversion"/>
  </si>
  <si>
    <t>被审计单位：</t>
    <phoneticPr fontId="17" type="noConversion"/>
  </si>
  <si>
    <t>编制人：</t>
    <phoneticPr fontId="17" type="noConversion"/>
  </si>
  <si>
    <t>编制日期：</t>
    <phoneticPr fontId="17" type="noConversion"/>
  </si>
  <si>
    <t>复核人：</t>
    <phoneticPr fontId="17" type="noConversion"/>
  </si>
  <si>
    <t>复核日期：</t>
    <phoneticPr fontId="17" type="noConversion"/>
  </si>
  <si>
    <t>完整性</t>
    <phoneticPr fontId="17" type="noConversion"/>
  </si>
  <si>
    <t>权利和义务</t>
    <phoneticPr fontId="17" type="noConversion"/>
  </si>
  <si>
    <r>
      <t xml:space="preserve">B. </t>
    </r>
    <r>
      <rPr>
        <sz val="10"/>
        <rFont val="宋体"/>
        <family val="3"/>
        <charset val="134"/>
      </rPr>
      <t>所有应记录的存货均已记录，所有应当包括在财务报表中的相关披露均已包括</t>
    </r>
    <phoneticPr fontId="17" type="noConversion"/>
  </si>
  <si>
    <r>
      <t xml:space="preserve">D. </t>
    </r>
    <r>
      <rPr>
        <sz val="10"/>
        <rFont val="宋体"/>
        <family val="3"/>
        <charset val="134"/>
      </rPr>
      <t>存货以恰当的金额包括在财务报表中，与之相关的计价或分摊调整已恰当记录，相关披露已得到恰当计量和描述</t>
    </r>
    <r>
      <rPr>
        <sz val="10"/>
        <rFont val="Arial"/>
        <family val="2"/>
      </rPr>
      <t xml:space="preserve"> </t>
    </r>
    <phoneticPr fontId="17" type="noConversion"/>
  </si>
  <si>
    <t>根据评估的舞弊风险等因素增加的审计程序。</t>
    <phoneticPr fontId="17" type="noConversion"/>
  </si>
  <si>
    <t>F2-61A</t>
    <phoneticPr fontId="17" type="noConversion"/>
  </si>
  <si>
    <t>无需打印</t>
    <phoneticPr fontId="17" type="noConversion"/>
  </si>
  <si>
    <t>截止日：202X年12月21日</t>
    <phoneticPr fontId="17" type="noConversion"/>
  </si>
  <si>
    <t>（3）实际执行的审计程序和完成的底稿概述</t>
    <phoneticPr fontId="17" type="noConversion"/>
  </si>
  <si>
    <t>实施的实质性程序概述</t>
    <phoneticPr fontId="17" type="noConversion"/>
  </si>
  <si>
    <t>执行结果</t>
    <phoneticPr fontId="17" type="noConversion"/>
  </si>
  <si>
    <t>底稿索引号</t>
    <phoneticPr fontId="17" type="noConversion"/>
  </si>
  <si>
    <t>关于工作底稿与审计程序索引号对应的说明</t>
    <phoneticPr fontId="17"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</si>
  <si>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7"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</si>
  <si>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7"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</si>
  <si>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7" type="noConversion"/>
  </si>
  <si>
    <t>根据被审计单位实际情况和风险评估情况裁剪、修改或增加审计程序</t>
    <phoneticPr fontId="17" type="noConversion"/>
  </si>
  <si>
    <t>审计程序</t>
    <phoneticPr fontId="46" type="noConversion"/>
  </si>
  <si>
    <r>
      <t>1</t>
    </r>
    <r>
      <rPr>
        <b/>
        <sz val="10"/>
        <color rgb="FFFF0000"/>
        <rFont val="宋体"/>
        <family val="3"/>
        <charset val="134"/>
      </rPr>
      <t>年以内</t>
    </r>
    <phoneticPr fontId="17" type="noConversion"/>
  </si>
  <si>
    <r>
      <t>1-2</t>
    </r>
    <r>
      <rPr>
        <b/>
        <sz val="10"/>
        <color rgb="FFFF0000"/>
        <rFont val="宋体"/>
        <family val="3"/>
        <charset val="134"/>
      </rPr>
      <t>年</t>
    </r>
    <phoneticPr fontId="17" type="noConversion"/>
  </si>
  <si>
    <r>
      <t>2-3</t>
    </r>
    <r>
      <rPr>
        <b/>
        <sz val="10"/>
        <color rgb="FFFF0000"/>
        <rFont val="宋体"/>
        <family val="3"/>
        <charset val="134"/>
      </rPr>
      <t>年</t>
    </r>
    <phoneticPr fontId="17" type="noConversion"/>
  </si>
  <si>
    <r>
      <t>3</t>
    </r>
    <r>
      <rPr>
        <b/>
        <sz val="10"/>
        <color rgb="FFFF0000"/>
        <rFont val="宋体"/>
        <family val="3"/>
        <charset val="134"/>
      </rPr>
      <t>年以上</t>
    </r>
    <phoneticPr fontId="17" type="noConversion"/>
  </si>
  <si>
    <t>是否有在手订单</t>
    <phoneticPr fontId="17" type="noConversion"/>
  </si>
  <si>
    <t>订单编号</t>
    <phoneticPr fontId="17" type="noConversion"/>
  </si>
  <si>
    <t>销售单价</t>
    <phoneticPr fontId="17" type="noConversion"/>
  </si>
  <si>
    <t>结合存货监盘、产成品结合营业收入截止程序，执行存货出库截止性测试：
（1）从存货明细账贷方发生额中抽取资产负债表日前后若干张、一定金额以上的凭证，与出库记录（如出库单、原材料领用单）核对，以确定存货出库被记录在正确的会计期间；
（2）从出库记录（如出库单、原材料领用单）中选取资产负债表日前后若干张、一定金额以上的凭据，与存货明细账的贷方发生额进行核对，以确定存货出库被记录在正确的会计期间；
（3）检查出库记录编号是否与执行存货监盘程序中获取的截止性资料编号存在冲突。</t>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</si>
</sst>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4">
    <numFmt numFmtId="41" formatCode="_ * #,##0_ ;_ * \-#,##0_ ;_ * &quot;-&quot;_ ;_ @_ "/>
    <numFmt numFmtId="43" formatCode="_ * #,##0.00_ ;_ * \-#,##0.00_ ;_ * &quot;-&quot;??_ ;_ @_ "/>
    <numFmt numFmtId="176" formatCode="_-* #,##0_-;\-* #,##0_-;_-* &quot;-&quot;_-;_-@_-"/>
    <numFmt numFmtId="177" formatCode="_-* #,##0.00_-;\-* #,##0.00_-;_-* &quot;-&quot;??_-;_-@_-"/>
    <numFmt numFmtId="178" formatCode="_(* #,##0_);_(* \(#,##0\);_(* &quot;-&quot;_);_(@_)"/>
    <numFmt numFmtId="179" formatCode="_(* #,##0.00_);_(* \(#,##0.00\);_(* &quot;-&quot;??_);_(@_)"/>
    <numFmt numFmtId="180" formatCode="&quot;$&quot;#,##0_);\(&quot;$&quot;#,##0\)"/>
    <numFmt numFmtId="181" formatCode="_-&quot;$&quot;* #,##0_-;\-&quot;$&quot;* #,##0_-;_-&quot;$&quot;* &quot;-&quot;_-;_-@_-"/>
    <numFmt numFmtId="182" formatCode="_-&quot;$&quot;* #,##0.00_-;\-&quot;$&quot;* #,##0.00_-;_-&quot;$&quot;* &quot;-&quot;??_-;_-@_-"/>
    <numFmt numFmtId="183" formatCode="&quot;\&quot;#,##0;&quot;\&quot;&quot;\&quot;\-#,##0"/>
    <numFmt numFmtId="184" formatCode="&quot;\&quot;#,##0;[Red]&quot;\&quot;&quot;\&quot;\-#,##0"/>
    <numFmt numFmtId="185" formatCode="&quot;\&quot;#,##0.00;[Red]&quot;\&quot;&quot;\&quot;\-#,##0.00"/>
    <numFmt numFmtId="186" formatCode="_-#,##0_-;\(#,##0\);_-\ \ &quot;-&quot;_-;_-@_-"/>
    <numFmt numFmtId="187" formatCode="_-#,##0.00_-;\(#,##0.00\);_-\ \ &quot;-&quot;_-;_-@_-"/>
    <numFmt numFmtId="188" formatCode="mmm/dd/yyyy;_-\ &quot;N/A&quot;_-;_-\ &quot;-&quot;_-"/>
    <numFmt numFmtId="189" formatCode="mmm/yyyy;_-\ &quot;N/A&quot;_-;_-\ &quot;-&quot;_-"/>
    <numFmt numFmtId="190" formatCode="_-#,##0%_-;\(#,##0%\);_-\ &quot;-&quot;_-"/>
    <numFmt numFmtId="191" formatCode="_-#,###,_-;\(#,###,\);_-\ \ &quot;-&quot;_-;_-@_-"/>
    <numFmt numFmtId="192" formatCode="_-#,###.00,_-;\(#,###.00,\);_-\ \ &quot;-&quot;_-;_-@_-"/>
    <numFmt numFmtId="193" formatCode="_-#0&quot;.&quot;0,_-;\(#0&quot;.&quot;0,\);_-\ \ &quot;-&quot;_-;_-@_-"/>
    <numFmt numFmtId="194" formatCode="_-#0&quot;.&quot;0000_-;\(#0&quot;.&quot;0000\);_-\ \ &quot;-&quot;_-;_-@_-"/>
    <numFmt numFmtId="195" formatCode="_([$€-2]* #,##0.00_);_([$€-2]* \(#,##0.00\);_([$€-2]* &quot;-&quot;??_)"/>
    <numFmt numFmtId="196" formatCode="#,##0.00_);[Red]\(#,##0.00\)"/>
    <numFmt numFmtId="197" formatCode="0_);[Red]\(0\)"/>
  </numFmts>
  <fonts count="92">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scheme val="minor"/>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12"/>
      <name val="Garamond"/>
      <family val="1"/>
    </font>
    <font>
      <sz val="7"/>
      <color indexed="10"/>
      <name val="Helv"/>
      <family val="2"/>
    </font>
    <font>
      <u/>
      <sz val="12"/>
      <color indexed="12"/>
      <name val="宋体"/>
      <family val="3"/>
      <charset val="134"/>
    </font>
    <font>
      <sz val="12"/>
      <name val="楷体"/>
      <family val="3"/>
      <charset val="134"/>
    </font>
    <font>
      <sz val="12"/>
      <name val="楷体_GB2312"/>
      <family val="3"/>
      <charset val="134"/>
    </font>
    <font>
      <sz val="9"/>
      <name val="宋体"/>
      <family val="3"/>
      <charset val="134"/>
    </font>
    <font>
      <b/>
      <sz val="12"/>
      <name val="宋体"/>
      <family val="3"/>
      <charset val="134"/>
    </font>
    <font>
      <sz val="10"/>
      <name val="宋体"/>
      <family val="3"/>
      <charset val="134"/>
    </font>
    <font>
      <b/>
      <sz val="10"/>
      <color indexed="8"/>
      <name val="宋体"/>
      <family val="3"/>
      <charset val="134"/>
    </font>
    <font>
      <b/>
      <sz val="10"/>
      <name val="宋体"/>
      <family val="3"/>
      <charset val="134"/>
    </font>
    <font>
      <sz val="10"/>
      <color indexed="12"/>
      <name val="宋体"/>
      <family val="3"/>
      <charset val="134"/>
    </font>
    <font>
      <sz val="12"/>
      <name val="Arial"/>
      <family val="2"/>
    </font>
    <font>
      <sz val="10.5"/>
      <name val="Arial"/>
      <family val="2"/>
    </font>
    <font>
      <sz val="12"/>
      <name val="Arial Narrow"/>
      <family val="2"/>
    </font>
    <font>
      <sz val="10"/>
      <name val="Arial Narrow"/>
      <family val="2"/>
    </font>
    <font>
      <b/>
      <sz val="10"/>
      <color indexed="8"/>
      <name val="Arial Narrow"/>
      <family val="2"/>
    </font>
    <font>
      <sz val="10"/>
      <color indexed="8"/>
      <name val="Arial Narrow"/>
      <family val="2"/>
    </font>
    <font>
      <b/>
      <sz val="10"/>
      <name val="Arial Narrow"/>
      <family val="2"/>
    </font>
    <font>
      <sz val="9"/>
      <name val="Arial Narrow"/>
      <family val="2"/>
    </font>
    <font>
      <b/>
      <sz val="10"/>
      <name val="宋体"/>
      <family val="3"/>
      <charset val="134"/>
    </font>
    <font>
      <i/>
      <sz val="10"/>
      <name val="Arial Narrow"/>
      <family val="2"/>
    </font>
    <font>
      <i/>
      <sz val="10"/>
      <color indexed="30"/>
      <name val="Arial Narrow"/>
      <family val="2"/>
    </font>
    <font>
      <b/>
      <sz val="10"/>
      <color indexed="8"/>
      <name val="宋体"/>
      <family val="3"/>
      <charset val="134"/>
    </font>
    <font>
      <b/>
      <sz val="12"/>
      <name val="Arial Narrow"/>
      <family val="2"/>
    </font>
    <font>
      <sz val="11"/>
      <color indexed="9"/>
      <name val="宋体"/>
      <family val="3"/>
      <charset val="134"/>
    </font>
    <font>
      <sz val="10"/>
      <name val="Times New Roman"/>
      <family val="1"/>
    </font>
    <font>
      <u val="singleAccounting"/>
      <vertAlign val="subscript"/>
      <sz val="10"/>
      <name val="Times New Roman"/>
      <family val="1"/>
    </font>
    <font>
      <i/>
      <sz val="9"/>
      <name val="Times New Roman"/>
      <family val="1"/>
    </font>
    <font>
      <sz val="11"/>
      <color theme="1"/>
      <name val="宋体"/>
      <family val="3"/>
      <charset val="134"/>
      <scheme val="minor"/>
    </font>
    <font>
      <sz val="11"/>
      <color theme="1"/>
      <name val="宋体"/>
      <family val="2"/>
      <scheme val="minor"/>
    </font>
    <font>
      <sz val="12"/>
      <color indexed="8"/>
      <name val="宋体"/>
      <family val="3"/>
      <charset val="134"/>
    </font>
    <font>
      <sz val="10"/>
      <color indexed="8"/>
      <name val="宋体"/>
      <family val="3"/>
      <charset val="134"/>
    </font>
    <font>
      <sz val="10"/>
      <color theme="1"/>
      <name val="Arial Narrow"/>
      <family val="2"/>
    </font>
    <font>
      <sz val="10"/>
      <color theme="1"/>
      <name val="宋体"/>
      <family val="3"/>
      <charset val="134"/>
    </font>
    <font>
      <sz val="9"/>
      <name val="宋体"/>
      <family val="2"/>
      <charset val="134"/>
      <scheme val="minor"/>
    </font>
    <font>
      <sz val="10"/>
      <color rgb="FFFF0000"/>
      <name val="Arial Narrow"/>
      <family val="2"/>
    </font>
    <font>
      <sz val="10"/>
      <color rgb="FFFF0000"/>
      <name val="宋体"/>
      <family val="3"/>
      <charset val="134"/>
    </font>
    <font>
      <sz val="10"/>
      <name val="宋体"/>
      <family val="2"/>
      <charset val="134"/>
    </font>
    <font>
      <sz val="10"/>
      <color rgb="FF3333FF"/>
      <name val="宋体"/>
      <family val="2"/>
      <charset val="134"/>
    </font>
    <font>
      <i/>
      <sz val="10"/>
      <color rgb="FF3333FF"/>
      <name val="宋体"/>
      <family val="2"/>
      <charset val="134"/>
    </font>
    <font>
      <b/>
      <sz val="10"/>
      <name val="宋体"/>
      <family val="3"/>
      <charset val="134"/>
      <scheme val="minor"/>
    </font>
    <font>
      <sz val="11"/>
      <color theme="1"/>
      <name val="宋体"/>
      <family val="2"/>
      <charset val="134"/>
      <scheme val="minor"/>
    </font>
    <font>
      <sz val="11"/>
      <color theme="1"/>
      <name val="Arial Narrow"/>
      <family val="2"/>
    </font>
    <font>
      <b/>
      <sz val="14"/>
      <name val="宋体"/>
      <family val="3"/>
      <charset val="134"/>
    </font>
    <font>
      <b/>
      <sz val="14"/>
      <name val="Arial Narrow"/>
      <family val="2"/>
    </font>
    <font>
      <sz val="10"/>
      <color rgb="FF000000"/>
      <name val="宋体"/>
      <family val="3"/>
      <charset val="134"/>
    </font>
    <font>
      <b/>
      <sz val="10"/>
      <color rgb="FFFF0000"/>
      <name val="Arial Narrow"/>
      <family val="2"/>
    </font>
    <font>
      <b/>
      <sz val="10"/>
      <name val="Arial"/>
      <family val="2"/>
    </font>
    <font>
      <b/>
      <sz val="10"/>
      <color theme="0" tint="-0.499984740745262"/>
      <name val="Arial Narrow"/>
      <family val="2"/>
    </font>
    <font>
      <b/>
      <sz val="10"/>
      <color theme="1"/>
      <name val="Arial Narrow"/>
      <family val="2"/>
    </font>
    <font>
      <b/>
      <sz val="10"/>
      <color theme="1"/>
      <name val="宋体"/>
      <family val="3"/>
      <charset val="134"/>
    </font>
    <font>
      <sz val="12"/>
      <name val="Times New Roman"/>
      <family val="1"/>
    </font>
    <font>
      <u/>
      <sz val="10"/>
      <name val="Arial Narrow"/>
      <family val="2"/>
    </font>
    <font>
      <sz val="10"/>
      <color indexed="10"/>
      <name val="宋体"/>
      <family val="3"/>
      <charset val="134"/>
    </font>
    <font>
      <i/>
      <sz val="10"/>
      <color indexed="12"/>
      <name val="宋体"/>
      <family val="3"/>
      <charset val="134"/>
    </font>
    <font>
      <sz val="10"/>
      <color indexed="12"/>
      <name val="Arial Narrow"/>
      <family val="2"/>
    </font>
    <font>
      <b/>
      <sz val="10"/>
      <color indexed="12"/>
      <name val="宋体"/>
      <family val="3"/>
      <charset val="134"/>
    </font>
    <font>
      <b/>
      <sz val="9"/>
      <color indexed="81"/>
      <name val="宋体"/>
      <family val="3"/>
      <charset val="134"/>
    </font>
    <font>
      <sz val="9"/>
      <color indexed="81"/>
      <name val="宋体"/>
      <family val="3"/>
      <charset val="134"/>
    </font>
    <font>
      <b/>
      <sz val="10"/>
      <color rgb="FFE92841"/>
      <name val="Arial Narrow"/>
      <family val="2"/>
    </font>
    <font>
      <i/>
      <u/>
      <sz val="10"/>
      <color indexed="12"/>
      <name val="Arial Narrow"/>
      <family val="2"/>
    </font>
    <font>
      <sz val="12"/>
      <color indexed="12"/>
      <name val="仿宋_GB2312"/>
      <family val="3"/>
      <charset val="134"/>
    </font>
    <font>
      <sz val="12"/>
      <name val="宋体"/>
      <family val="3"/>
      <charset val="134"/>
      <scheme val="minor"/>
    </font>
    <font>
      <sz val="10"/>
      <name val="宋体"/>
      <family val="3"/>
      <charset val="134"/>
      <scheme val="minor"/>
    </font>
    <font>
      <b/>
      <sz val="10"/>
      <color rgb="FF000000"/>
      <name val="宋体"/>
      <family val="3"/>
      <charset val="134"/>
      <scheme val="minor"/>
    </font>
    <font>
      <sz val="10"/>
      <color rgb="FF000000"/>
      <name val="宋体"/>
      <family val="3"/>
      <charset val="134"/>
      <scheme val="minor"/>
    </font>
    <font>
      <sz val="10"/>
      <color rgb="FF0000FF"/>
      <name val="宋体"/>
      <family val="3"/>
      <charset val="134"/>
      <scheme val="minor"/>
    </font>
    <font>
      <b/>
      <sz val="10"/>
      <color rgb="FFFF0000"/>
      <name val="宋体"/>
      <family val="3"/>
      <charset val="134"/>
    </font>
    <font>
      <sz val="11"/>
      <color theme="1"/>
      <name val="宋体"/>
      <family val="3"/>
      <charset val="134"/>
    </font>
    <font>
      <sz val="10"/>
      <color rgb="FF0000CC"/>
      <name val="宋体"/>
      <family val="3"/>
      <charset val="134"/>
      <scheme val="minor"/>
    </font>
    <font>
      <b/>
      <sz val="12"/>
      <color rgb="FFFF0000"/>
      <name val="宋体"/>
      <family val="3"/>
      <charset val="134"/>
    </font>
    <font>
      <sz val="10"/>
      <color rgb="FF0000FF"/>
      <name val="Arial Narrow"/>
      <family val="2"/>
    </font>
    <font>
      <sz val="10"/>
      <color rgb="FF0000FF"/>
      <name val="宋体"/>
      <family val="3"/>
      <charset val="134"/>
    </font>
    <font>
      <i/>
      <sz val="10"/>
      <color rgb="FF0000FF"/>
      <name val="Arial Narrow"/>
      <family val="2"/>
    </font>
    <font>
      <sz val="12"/>
      <color rgb="FF0000FF"/>
      <name val="Arial Narrow"/>
      <family val="2"/>
    </font>
    <font>
      <sz val="12"/>
      <color rgb="FFFF0000"/>
      <name val="宋体"/>
      <family val="3"/>
      <charset val="134"/>
    </font>
    <font>
      <sz val="12"/>
      <color indexed="12"/>
      <name val="宋体"/>
      <family val="3"/>
      <charset val="134"/>
    </font>
    <font>
      <sz val="12"/>
      <color indexed="12"/>
      <name val="Arial Narrow"/>
      <family val="2"/>
    </font>
    <font>
      <sz val="10"/>
      <color rgb="FF000000"/>
      <name val="Arial Narrow"/>
      <family val="2"/>
    </font>
    <font>
      <u/>
      <sz val="12"/>
      <color rgb="FF0000FF"/>
      <name val="宋体"/>
      <family val="3"/>
      <charset val="134"/>
    </font>
  </fonts>
  <fills count="1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indexed="30"/>
      </patternFill>
    </fill>
    <fill>
      <patternFill patternType="solid">
        <fgColor theme="7" tint="0.79998168889431442"/>
        <bgColor indexed="64"/>
      </patternFill>
    </fill>
    <fill>
      <patternFill patternType="solid">
        <fgColor theme="0" tint="-0.14999847407452621"/>
        <bgColor indexed="64"/>
      </patternFill>
    </fill>
    <fill>
      <patternFill patternType="solid">
        <fgColor rgb="FF00B050"/>
        <bgColor indexed="64"/>
      </patternFill>
    </fill>
    <fill>
      <patternFill patternType="solid">
        <fgColor rgb="FFE4DFEC"/>
        <bgColor indexed="64"/>
      </patternFill>
    </fill>
  </fills>
  <borders count="20">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style="hair">
        <color indexed="64"/>
      </left>
      <right/>
      <top/>
      <bottom style="hair">
        <color indexed="64"/>
      </bottom>
      <diagonal/>
    </border>
    <border>
      <left/>
      <right style="hair">
        <color indexed="64"/>
      </right>
      <top/>
      <bottom style="hair">
        <color indexed="64"/>
      </bottom>
      <diagonal/>
    </border>
    <border>
      <left/>
      <right/>
      <top/>
      <bottom style="hair">
        <color auto="1"/>
      </bottom>
      <diagonal/>
    </border>
  </borders>
  <cellStyleXfs count="108">
    <xf numFmtId="0" fontId="0" fillId="0" borderId="0">
      <protection locked="0"/>
    </xf>
    <xf numFmtId="3" fontId="4" fillId="0" borderId="0"/>
    <xf numFmtId="180" fontId="5" fillId="0" borderId="1" applyAlignment="0" applyProtection="0"/>
    <xf numFmtId="176" fontId="6" fillId="0" borderId="0" applyFont="0" applyFill="0" applyBorder="0" applyAlignment="0" applyProtection="0"/>
    <xf numFmtId="177" fontId="6" fillId="0" borderId="0" applyFont="0" applyFill="0" applyBorder="0" applyAlignment="0" applyProtection="0"/>
    <xf numFmtId="181" fontId="6" fillId="0" borderId="0" applyFont="0" applyFill="0" applyBorder="0" applyAlignment="0" applyProtection="0"/>
    <xf numFmtId="182" fontId="6" fillId="0" borderId="0" applyFont="0" applyFill="0" applyBorder="0" applyAlignment="0" applyProtection="0"/>
    <xf numFmtId="41" fontId="6" fillId="0" borderId="0" applyFont="0" applyFill="0" applyBorder="0" applyAlignment="0" applyProtection="0"/>
    <xf numFmtId="43" fontId="6" fillId="0" borderId="0" applyFont="0" applyFill="0" applyBorder="0" applyAlignment="0" applyProtection="0"/>
    <xf numFmtId="0" fontId="7" fillId="0" borderId="0" applyNumberFormat="0" applyFill="0" applyBorder="0" applyAlignment="0" applyProtection="0">
      <alignment vertical="top"/>
      <protection locked="0"/>
    </xf>
    <xf numFmtId="38" fontId="8" fillId="2" borderId="0" applyNumberFormat="0" applyBorder="0" applyAlignment="0" applyProtection="0"/>
    <xf numFmtId="0" fontId="9" fillId="0" borderId="0" applyNumberFormat="0" applyFill="0" applyBorder="0" applyAlignment="0" applyProtection="0">
      <alignment vertical="top"/>
      <protection locked="0"/>
    </xf>
    <xf numFmtId="10" fontId="8" fillId="3" borderId="2" applyNumberFormat="0" applyBorder="0" applyAlignment="0" applyProtection="0"/>
    <xf numFmtId="184" fontId="10" fillId="0" borderId="0" applyFont="0" applyFill="0" applyBorder="0" applyAlignment="0" applyProtection="0"/>
    <xf numFmtId="185" fontId="10" fillId="0" borderId="0" applyFont="0" applyFill="0" applyBorder="0" applyAlignment="0" applyProtection="0"/>
    <xf numFmtId="0" fontId="11" fillId="0" borderId="0"/>
    <xf numFmtId="183" fontId="10" fillId="0" borderId="0"/>
    <xf numFmtId="0" fontId="12" fillId="0" borderId="0"/>
    <xf numFmtId="10" fontId="6" fillId="0" borderId="0" applyFont="0" applyFill="0" applyBorder="0" applyAlignment="0" applyProtection="0"/>
    <xf numFmtId="3" fontId="13" fillId="0" borderId="0"/>
    <xf numFmtId="0" fontId="10" fillId="0" borderId="0">
      <alignment vertical="center"/>
    </xf>
    <xf numFmtId="0" fontId="30" fillId="0" borderId="0">
      <alignment vertical="center"/>
    </xf>
    <xf numFmtId="0" fontId="10" fillId="0" borderId="0">
      <alignment vertical="center"/>
    </xf>
    <xf numFmtId="0" fontId="14" fillId="0" borderId="0" applyNumberFormat="0" applyFill="0" applyBorder="0" applyAlignment="0" applyProtection="0">
      <alignment vertical="top"/>
      <protection locked="0"/>
    </xf>
    <xf numFmtId="0" fontId="15" fillId="0" borderId="0"/>
    <xf numFmtId="178" fontId="10" fillId="0" borderId="0" applyFont="0" applyFill="0" applyBorder="0" applyAlignment="0" applyProtection="0"/>
    <xf numFmtId="179" fontId="10" fillId="0" borderId="0" applyFont="0" applyFill="0" applyBorder="0" applyAlignment="0" applyProtection="0"/>
    <xf numFmtId="41" fontId="16" fillId="0" borderId="0" applyFont="0" applyFill="0" applyBorder="0" applyAlignment="0" applyProtection="0"/>
    <xf numFmtId="43" fontId="16" fillId="0" borderId="0" applyFont="0" applyFill="0" applyBorder="0" applyAlignment="0" applyProtection="0"/>
    <xf numFmtId="43" fontId="10" fillId="0" borderId="0" applyFont="0" applyFill="0" applyBorder="0" applyAlignment="0" applyProtection="0"/>
    <xf numFmtId="0" fontId="10" fillId="0" borderId="0">
      <protection locked="0"/>
    </xf>
    <xf numFmtId="0" fontId="36" fillId="5" borderId="0" applyNumberFormat="0" applyBorder="0" applyAlignment="0" applyProtection="0">
      <alignment vertical="center"/>
    </xf>
    <xf numFmtId="49" fontId="37" fillId="0" borderId="0" applyProtection="0">
      <alignment horizontal="left"/>
    </xf>
    <xf numFmtId="186" fontId="37" fillId="0" borderId="0" applyFill="0" applyBorder="0" applyProtection="0">
      <alignment horizontal="right"/>
    </xf>
    <xf numFmtId="187" fontId="37" fillId="0" borderId="0" applyFill="0" applyBorder="0" applyProtection="0">
      <alignment horizontal="right"/>
    </xf>
    <xf numFmtId="188" fontId="38" fillId="0" borderId="0" applyFill="0" applyBorder="0" applyProtection="0">
      <alignment horizontal="center"/>
    </xf>
    <xf numFmtId="189" fontId="38" fillId="0" borderId="0" applyFill="0" applyBorder="0" applyProtection="0">
      <alignment horizontal="center"/>
    </xf>
    <xf numFmtId="190" fontId="39" fillId="0" borderId="0" applyFill="0" applyBorder="0" applyProtection="0">
      <alignment horizontal="right"/>
    </xf>
    <xf numFmtId="191" fontId="37" fillId="0" borderId="0" applyFill="0" applyBorder="0" applyProtection="0">
      <alignment horizontal="right"/>
    </xf>
    <xf numFmtId="192" fontId="37" fillId="0" borderId="0" applyFill="0" applyBorder="0" applyProtection="0">
      <alignment horizontal="right"/>
    </xf>
    <xf numFmtId="193" fontId="37" fillId="0" borderId="0" applyFill="0" applyBorder="0" applyProtection="0">
      <alignment horizontal="right"/>
    </xf>
    <xf numFmtId="194" fontId="37" fillId="0" borderId="0" applyFill="0" applyBorder="0" applyProtection="0">
      <alignment horizontal="right"/>
    </xf>
    <xf numFmtId="0" fontId="10" fillId="0" borderId="0"/>
    <xf numFmtId="195" fontId="37" fillId="0" borderId="0" applyFont="0" applyFill="0" applyBorder="0" applyAlignment="0" applyProtection="0"/>
    <xf numFmtId="0" fontId="6" fillId="0" borderId="0"/>
    <xf numFmtId="0" fontId="1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10" fillId="0" borderId="0">
      <alignment vertical="center"/>
    </xf>
    <xf numFmtId="0" fontId="10" fillId="0" borderId="0">
      <alignment vertical="center"/>
    </xf>
    <xf numFmtId="0" fontId="1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1"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42" fillId="0" borderId="0" applyNumberFormat="0" applyBorder="0" applyAlignment="0">
      <alignment vertical="center"/>
      <protection locked="0"/>
    </xf>
    <xf numFmtId="0" fontId="10" fillId="0" borderId="0">
      <alignment vertical="center"/>
    </xf>
    <xf numFmtId="0" fontId="10" fillId="0" borderId="0">
      <alignment vertical="center"/>
    </xf>
    <xf numFmtId="0" fontId="42" fillId="0"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40" fillId="0" borderId="0">
      <alignment vertical="center"/>
    </xf>
    <xf numFmtId="0" fontId="40" fillId="0" borderId="0">
      <alignment vertical="center"/>
    </xf>
    <xf numFmtId="0" fontId="40" fillId="0" borderId="0">
      <alignment vertical="center"/>
    </xf>
    <xf numFmtId="0" fontId="42" fillId="0" borderId="0" applyNumberFormat="0" applyBorder="0" applyAlignment="0" applyProtection="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43" fontId="43" fillId="0" borderId="0" applyFont="0" applyFill="0" applyBorder="0" applyAlignment="0" applyProtection="0">
      <alignment vertical="center"/>
    </xf>
    <xf numFmtId="43" fontId="43" fillId="0" borderId="0" applyFont="0" applyFill="0" applyBorder="0" applyAlignment="0" applyProtection="0">
      <alignment vertical="center"/>
    </xf>
    <xf numFmtId="195" fontId="10" fillId="0" borderId="0">
      <alignment vertical="center"/>
    </xf>
    <xf numFmtId="195" fontId="53" fillId="0" borderId="0">
      <alignment vertical="center"/>
    </xf>
    <xf numFmtId="0" fontId="10" fillId="0" borderId="0">
      <protection locked="0"/>
    </xf>
    <xf numFmtId="0" fontId="63" fillId="0" borderId="0"/>
    <xf numFmtId="0" fontId="10" fillId="0" borderId="0" applyFill="0" applyBorder="0"/>
    <xf numFmtId="0" fontId="10" fillId="0" borderId="0">
      <alignment vertical="center"/>
    </xf>
    <xf numFmtId="43" fontId="10" fillId="0" borderId="0" applyFont="0" applyFill="0" applyBorder="0" applyAlignment="0" applyProtection="0"/>
    <xf numFmtId="9" fontId="10" fillId="0" borderId="0" applyFont="0" applyFill="0" applyBorder="0" applyAlignment="0" applyProtection="0"/>
    <xf numFmtId="0" fontId="3" fillId="0" borderId="0"/>
    <xf numFmtId="195" fontId="14" fillId="0" borderId="0" applyNumberFormat="0" applyFill="0" applyBorder="0" applyAlignment="0" applyProtection="0">
      <alignment vertical="top"/>
      <protection locked="0"/>
    </xf>
    <xf numFmtId="9" fontId="10" fillId="0" borderId="0" applyFont="0" applyFill="0" applyBorder="0" applyAlignment="0" applyProtection="0">
      <alignment vertical="center"/>
    </xf>
    <xf numFmtId="195" fontId="2" fillId="0" borderId="0">
      <alignment vertical="center"/>
    </xf>
    <xf numFmtId="195" fontId="1" fillId="0" borderId="0">
      <alignment vertical="center"/>
    </xf>
  </cellStyleXfs>
  <cellXfs count="571">
    <xf numFmtId="0" fontId="0" fillId="0" borderId="0" xfId="0">
      <protection locked="0"/>
    </xf>
    <xf numFmtId="0" fontId="18" fillId="0" borderId="0" xfId="0" applyFont="1" applyAlignment="1">
      <alignment vertical="center"/>
      <protection locked="0"/>
    </xf>
    <xf numFmtId="0" fontId="19" fillId="0" borderId="0" xfId="0" applyFont="1" applyAlignment="1">
      <alignment horizontal="left" vertical="center"/>
      <protection locked="0"/>
    </xf>
    <xf numFmtId="0" fontId="23" fillId="0" borderId="0" xfId="0" applyFont="1" applyAlignment="1">
      <alignment vertical="center"/>
      <protection locked="0"/>
    </xf>
    <xf numFmtId="0" fontId="24" fillId="0" borderId="0" xfId="0" applyFont="1" applyBorder="1" applyAlignment="1">
      <alignment horizontal="justify" wrapText="1"/>
      <protection locked="0"/>
    </xf>
    <xf numFmtId="0" fontId="23" fillId="0" borderId="0" xfId="0" applyFont="1">
      <protection locked="0"/>
    </xf>
    <xf numFmtId="0" fontId="23" fillId="0" borderId="0" xfId="0" applyFont="1" applyBorder="1">
      <protection locked="0"/>
    </xf>
    <xf numFmtId="0" fontId="19" fillId="0" borderId="0" xfId="0" applyFont="1" applyBorder="1" applyAlignment="1">
      <alignment vertical="center"/>
      <protection locked="0"/>
    </xf>
    <xf numFmtId="0" fontId="25" fillId="0" borderId="0" xfId="20" applyFont="1" applyAlignment="1">
      <alignment vertical="center"/>
    </xf>
    <xf numFmtId="0" fontId="26" fillId="0" borderId="0" xfId="0" applyFont="1" applyBorder="1" applyAlignment="1">
      <alignment vertical="center"/>
      <protection locked="0"/>
    </xf>
    <xf numFmtId="0" fontId="26" fillId="0" borderId="0" xfId="22" applyFont="1" applyAlignment="1">
      <alignment vertical="center"/>
    </xf>
    <xf numFmtId="0" fontId="26" fillId="0" borderId="0" xfId="0" applyFont="1" applyAlignment="1">
      <alignment vertical="center"/>
      <protection locked="0"/>
    </xf>
    <xf numFmtId="0" fontId="26" fillId="0" borderId="0" xfId="0" applyFont="1" applyAlignment="1">
      <alignment horizontal="left" vertical="center"/>
      <protection locked="0"/>
    </xf>
    <xf numFmtId="0" fontId="28" fillId="0" borderId="3" xfId="0" applyFont="1" applyBorder="1" applyAlignment="1">
      <alignment horizontal="left" vertical="center"/>
      <protection locked="0"/>
    </xf>
    <xf numFmtId="43" fontId="28" fillId="0" borderId="3" xfId="0" applyNumberFormat="1" applyFont="1" applyBorder="1" applyAlignment="1">
      <alignment horizontal="left" vertical="center"/>
      <protection locked="0"/>
    </xf>
    <xf numFmtId="0" fontId="25" fillId="0" borderId="0" xfId="0" applyFont="1" applyAlignment="1">
      <alignment vertical="center"/>
      <protection locked="0"/>
    </xf>
    <xf numFmtId="43" fontId="26" fillId="0" borderId="3" xfId="0" applyNumberFormat="1" applyFont="1" applyBorder="1" applyAlignment="1">
      <alignment horizontal="left" vertical="center" wrapText="1"/>
      <protection locked="0"/>
    </xf>
    <xf numFmtId="0" fontId="28" fillId="0" borderId="3" xfId="0" applyFont="1" applyBorder="1" applyAlignment="1">
      <alignment horizontal="center" vertical="center"/>
      <protection locked="0"/>
    </xf>
    <xf numFmtId="0" fontId="26" fillId="0" borderId="3" xfId="0" applyFont="1" applyBorder="1" applyAlignment="1">
      <alignment horizontal="center" vertical="center"/>
      <protection locked="0"/>
    </xf>
    <xf numFmtId="0" fontId="19" fillId="0" borderId="3" xfId="0" applyFont="1" applyBorder="1" applyAlignment="1">
      <alignment vertical="center"/>
      <protection locked="0"/>
    </xf>
    <xf numFmtId="0" fontId="19" fillId="0" borderId="3" xfId="0" applyFont="1" applyBorder="1" applyAlignment="1">
      <alignment vertical="center" shrinkToFit="1"/>
      <protection locked="0"/>
    </xf>
    <xf numFmtId="0" fontId="28" fillId="0" borderId="3" xfId="0" applyFont="1" applyBorder="1" applyAlignment="1">
      <alignment horizontal="center" vertical="center" shrinkToFit="1"/>
      <protection locked="0"/>
    </xf>
    <xf numFmtId="0" fontId="26" fillId="0" borderId="3" xfId="0" applyFont="1" applyBorder="1" applyAlignment="1">
      <alignment vertical="center"/>
      <protection locked="0"/>
    </xf>
    <xf numFmtId="0" fontId="26" fillId="0" borderId="3" xfId="0" applyFont="1" applyBorder="1" applyAlignment="1">
      <alignment horizontal="left" vertical="center"/>
      <protection locked="0"/>
    </xf>
    <xf numFmtId="0" fontId="26" fillId="0" borderId="3" xfId="0" applyFont="1" applyBorder="1" applyAlignment="1">
      <alignment horizontal="center" vertical="center" shrinkToFit="1"/>
      <protection locked="0"/>
    </xf>
    <xf numFmtId="43" fontId="26" fillId="0" borderId="3" xfId="0" applyNumberFormat="1" applyFont="1" applyBorder="1" applyAlignment="1">
      <alignment vertical="center"/>
      <protection locked="0"/>
    </xf>
    <xf numFmtId="0" fontId="22" fillId="0" borderId="0" xfId="0" applyFont="1" applyAlignment="1">
      <alignment vertical="center"/>
      <protection locked="0"/>
    </xf>
    <xf numFmtId="0" fontId="19" fillId="0" borderId="0" xfId="0" applyFont="1">
      <protection locked="0"/>
    </xf>
    <xf numFmtId="0" fontId="33" fillId="0" borderId="0" xfId="0" applyFont="1" applyAlignment="1">
      <alignment vertical="center"/>
      <protection locked="0"/>
    </xf>
    <xf numFmtId="0" fontId="32" fillId="0" borderId="0" xfId="0" applyFont="1" applyAlignment="1">
      <alignment vertical="center"/>
      <protection locked="0"/>
    </xf>
    <xf numFmtId="0" fontId="26" fillId="0" borderId="11" xfId="0" applyFont="1" applyBorder="1" applyAlignment="1">
      <alignment vertical="center"/>
      <protection locked="0"/>
    </xf>
    <xf numFmtId="0" fontId="32" fillId="0" borderId="0" xfId="0" applyFont="1" applyBorder="1" applyAlignment="1">
      <alignment vertical="center"/>
      <protection locked="0"/>
    </xf>
    <xf numFmtId="0" fontId="0" fillId="0" borderId="11" xfId="0" applyBorder="1">
      <protection locked="0"/>
    </xf>
    <xf numFmtId="0" fontId="0" fillId="0" borderId="0" xfId="0" applyBorder="1">
      <protection locked="0"/>
    </xf>
    <xf numFmtId="0" fontId="26" fillId="0" borderId="3" xfId="0" applyFont="1" applyBorder="1">
      <protection locked="0"/>
    </xf>
    <xf numFmtId="0" fontId="26" fillId="0" borderId="3" xfId="0" applyFont="1" applyBorder="1" applyAlignment="1">
      <alignment vertical="center" shrinkToFit="1"/>
      <protection locked="0"/>
    </xf>
    <xf numFmtId="0" fontId="26" fillId="0" borderId="0" xfId="20" applyFont="1" applyAlignment="1">
      <alignment vertical="center"/>
    </xf>
    <xf numFmtId="0" fontId="26" fillId="0" borderId="0" xfId="30" applyFont="1" applyBorder="1" applyAlignment="1">
      <alignment vertical="center"/>
      <protection locked="0"/>
    </xf>
    <xf numFmtId="0" fontId="26" fillId="0" borderId="0" xfId="30" applyFont="1" applyAlignment="1">
      <alignment vertical="center"/>
      <protection locked="0"/>
    </xf>
    <xf numFmtId="0" fontId="26" fillId="0" borderId="0" xfId="30" applyFont="1" applyBorder="1" applyAlignment="1">
      <alignment horizontal="justify" vertical="center" wrapText="1"/>
      <protection locked="0"/>
    </xf>
    <xf numFmtId="0" fontId="26" fillId="0" borderId="3" xfId="30" applyFont="1" applyBorder="1" applyAlignment="1">
      <alignment vertical="center"/>
      <protection locked="0"/>
    </xf>
    <xf numFmtId="43" fontId="26" fillId="0" borderId="3" xfId="30" applyNumberFormat="1" applyFont="1" applyBorder="1" applyAlignment="1">
      <alignment vertical="center"/>
      <protection locked="0"/>
    </xf>
    <xf numFmtId="0" fontId="29" fillId="0" borderId="3" xfId="30" applyFont="1" applyBorder="1" applyAlignment="1">
      <alignment vertical="center"/>
      <protection locked="0"/>
    </xf>
    <xf numFmtId="0" fontId="19" fillId="0" borderId="0" xfId="30" applyFont="1" applyBorder="1" applyAlignment="1">
      <alignment vertical="center"/>
      <protection locked="0"/>
    </xf>
    <xf numFmtId="0" fontId="26" fillId="0" borderId="0" xfId="22" applyFont="1" applyBorder="1" applyAlignment="1">
      <alignment vertical="center"/>
    </xf>
    <xf numFmtId="0" fontId="26" fillId="0" borderId="0" xfId="30" applyFont="1" applyBorder="1" applyAlignment="1">
      <alignment horizontal="left" vertical="center"/>
      <protection locked="0"/>
    </xf>
    <xf numFmtId="0" fontId="47" fillId="0" borderId="0" xfId="0" applyFont="1" applyBorder="1" applyAlignment="1">
      <alignment vertical="center"/>
      <protection locked="0"/>
    </xf>
    <xf numFmtId="0" fontId="25" fillId="0" borderId="0" xfId="0" applyFont="1">
      <protection locked="0"/>
    </xf>
    <xf numFmtId="0" fontId="26" fillId="0" borderId="0" xfId="0" applyFont="1" applyBorder="1" applyAlignment="1">
      <alignment horizontal="right" vertical="center"/>
      <protection locked="0"/>
    </xf>
    <xf numFmtId="0" fontId="26" fillId="0" borderId="0" xfId="0" applyFont="1">
      <protection locked="0"/>
    </xf>
    <xf numFmtId="0" fontId="29" fillId="0" borderId="11" xfId="0" applyFont="1" applyBorder="1" applyAlignment="1">
      <alignment vertical="center"/>
      <protection locked="0"/>
    </xf>
    <xf numFmtId="0" fontId="29" fillId="0" borderId="11" xfId="0" applyFont="1" applyFill="1" applyBorder="1" applyAlignment="1">
      <alignment horizontal="center" vertical="center"/>
      <protection locked="0"/>
    </xf>
    <xf numFmtId="0" fontId="29" fillId="0" borderId="11" xfId="0" applyFont="1" applyFill="1" applyBorder="1" applyAlignment="1">
      <alignment vertical="center"/>
      <protection locked="0"/>
    </xf>
    <xf numFmtId="43" fontId="26" fillId="0" borderId="11" xfId="29" applyFont="1" applyFill="1" applyBorder="1" applyAlignment="1" applyProtection="1">
      <alignment vertical="center"/>
      <protection locked="0"/>
    </xf>
    <xf numFmtId="43" fontId="26" fillId="0" borderId="13" xfId="29" applyFont="1" applyFill="1" applyBorder="1" applyAlignment="1" applyProtection="1">
      <alignment vertical="center"/>
      <protection locked="0"/>
    </xf>
    <xf numFmtId="43" fontId="26" fillId="0" borderId="0" xfId="29" applyFont="1" applyFill="1" applyBorder="1" applyAlignment="1" applyProtection="1">
      <alignment vertical="center"/>
      <protection locked="0"/>
    </xf>
    <xf numFmtId="0" fontId="47" fillId="0" borderId="0" xfId="0" applyFont="1" applyBorder="1" applyAlignment="1" applyProtection="1">
      <alignment vertical="center"/>
    </xf>
    <xf numFmtId="0" fontId="26" fillId="0" borderId="3" xfId="0" applyFont="1" applyBorder="1" applyAlignment="1">
      <alignment vertical="center" wrapText="1"/>
      <protection locked="0"/>
    </xf>
    <xf numFmtId="0" fontId="19" fillId="0" borderId="0" xfId="0" applyFont="1" applyBorder="1" applyAlignment="1">
      <alignment vertical="center" wrapText="1"/>
      <protection locked="0"/>
    </xf>
    <xf numFmtId="0" fontId="26" fillId="0" borderId="0" xfId="0" applyFont="1" applyFill="1" applyBorder="1" applyAlignment="1">
      <alignment vertical="center"/>
      <protection locked="0"/>
    </xf>
    <xf numFmtId="0" fontId="21" fillId="0" borderId="0" xfId="0" applyFont="1" applyBorder="1" applyAlignment="1">
      <alignment vertical="center"/>
      <protection locked="0"/>
    </xf>
    <xf numFmtId="0" fontId="48" fillId="0" borderId="0" xfId="0" applyFont="1" applyBorder="1" applyAlignment="1" applyProtection="1">
      <alignment vertical="center"/>
    </xf>
    <xf numFmtId="14" fontId="26" fillId="0" borderId="0" xfId="0" applyNumberFormat="1" applyFont="1" applyAlignment="1">
      <alignment vertical="center"/>
      <protection locked="0"/>
    </xf>
    <xf numFmtId="0" fontId="0" fillId="0" borderId="0" xfId="0" applyBorder="1" applyAlignment="1">
      <alignment vertical="center"/>
      <protection locked="0"/>
    </xf>
    <xf numFmtId="0" fontId="19" fillId="0" borderId="0" xfId="0" applyFont="1" applyFill="1" applyBorder="1" applyAlignment="1">
      <alignment horizontal="left" vertical="center"/>
      <protection locked="0"/>
    </xf>
    <xf numFmtId="0" fontId="29" fillId="0" borderId="0" xfId="0" applyFont="1" applyFill="1" applyBorder="1" applyAlignment="1">
      <alignment horizontal="center" vertical="center"/>
      <protection locked="0"/>
    </xf>
    <xf numFmtId="0" fontId="0" fillId="0" borderId="0" xfId="0" applyBorder="1" applyAlignment="1">
      <alignment vertical="center" wrapText="1"/>
      <protection locked="0"/>
    </xf>
    <xf numFmtId="0" fontId="34" fillId="0" borderId="11" xfId="0" applyFont="1" applyBorder="1" applyAlignment="1">
      <alignment vertical="center"/>
      <protection locked="0"/>
    </xf>
    <xf numFmtId="0" fontId="48" fillId="0" borderId="0" xfId="0" applyFont="1" applyBorder="1" applyAlignment="1">
      <alignment vertical="center"/>
      <protection locked="0"/>
    </xf>
    <xf numFmtId="14" fontId="0" fillId="0" borderId="0" xfId="0" applyNumberFormat="1">
      <protection locked="0"/>
    </xf>
    <xf numFmtId="14" fontId="26" fillId="0" borderId="3" xfId="0" applyNumberFormat="1" applyFont="1" applyBorder="1">
      <protection locked="0"/>
    </xf>
    <xf numFmtId="14" fontId="26" fillId="0" borderId="3" xfId="0" applyNumberFormat="1" applyFont="1" applyBorder="1" applyAlignment="1">
      <alignment vertical="center"/>
      <protection locked="0"/>
    </xf>
    <xf numFmtId="43" fontId="28" fillId="0" borderId="3" xfId="0" applyNumberFormat="1" applyFont="1" applyFill="1" applyBorder="1" applyAlignment="1">
      <alignment horizontal="left" vertical="center"/>
      <protection locked="0"/>
    </xf>
    <xf numFmtId="43" fontId="26" fillId="0" borderId="3" xfId="0" applyNumberFormat="1" applyFont="1" applyFill="1" applyBorder="1" applyAlignment="1">
      <alignment vertical="center"/>
      <protection locked="0"/>
    </xf>
    <xf numFmtId="0" fontId="10" fillId="0" borderId="0" xfId="0" applyFont="1" applyAlignment="1">
      <alignment horizontal="center"/>
      <protection locked="0"/>
    </xf>
    <xf numFmtId="0" fontId="21" fillId="6" borderId="3" xfId="0" applyFont="1" applyFill="1" applyBorder="1" applyAlignment="1">
      <alignment horizontal="center" vertical="center" wrapText="1"/>
      <protection locked="0"/>
    </xf>
    <xf numFmtId="0" fontId="21" fillId="6" borderId="3" xfId="0" applyFont="1" applyFill="1" applyBorder="1" applyAlignment="1">
      <alignment horizontal="center" vertical="center"/>
      <protection locked="0"/>
    </xf>
    <xf numFmtId="0" fontId="26" fillId="0" borderId="3" xfId="0" applyFont="1" applyBorder="1" applyAlignment="1">
      <alignment horizontal="center" vertical="center"/>
      <protection locked="0"/>
    </xf>
    <xf numFmtId="0" fontId="21" fillId="6" borderId="3" xfId="30" applyFont="1" applyFill="1" applyBorder="1" applyAlignment="1">
      <alignment horizontal="center" vertical="center"/>
      <protection locked="0"/>
    </xf>
    <xf numFmtId="49" fontId="26" fillId="0" borderId="3" xfId="0" applyNumberFormat="1" applyFont="1" applyBorder="1" applyAlignment="1">
      <alignment vertical="center"/>
      <protection locked="0"/>
    </xf>
    <xf numFmtId="0" fontId="49" fillId="0" borderId="0" xfId="0" applyFont="1" applyAlignment="1">
      <alignment vertical="center"/>
      <protection locked="0"/>
    </xf>
    <xf numFmtId="0" fontId="50" fillId="0" borderId="0" xfId="0" applyFont="1" applyAlignment="1">
      <alignment vertical="center"/>
      <protection locked="0"/>
    </xf>
    <xf numFmtId="0" fontId="51" fillId="0" borderId="0" xfId="0" applyFont="1" applyAlignment="1">
      <alignment vertical="center"/>
      <protection locked="0"/>
    </xf>
    <xf numFmtId="0" fontId="19" fillId="4" borderId="0" xfId="0" applyFont="1" applyFill="1" applyBorder="1" applyAlignment="1" applyProtection="1">
      <alignment horizontal="justify" vertical="center" wrapText="1"/>
      <protection locked="0"/>
    </xf>
    <xf numFmtId="43" fontId="28" fillId="0" borderId="11" xfId="0" applyNumberFormat="1" applyFont="1" applyFill="1" applyBorder="1" applyAlignment="1">
      <alignment horizontal="left" vertical="center"/>
      <protection locked="0"/>
    </xf>
    <xf numFmtId="0" fontId="26" fillId="0" borderId="11" xfId="0" applyFont="1" applyFill="1" applyBorder="1" applyAlignment="1">
      <alignment vertical="center"/>
      <protection locked="0"/>
    </xf>
    <xf numFmtId="0" fontId="26" fillId="0" borderId="0" xfId="0" applyFont="1" applyFill="1" applyAlignment="1">
      <alignment vertical="center"/>
      <protection locked="0"/>
    </xf>
    <xf numFmtId="195" fontId="44" fillId="0" borderId="0" xfId="96" applyFont="1" applyFill="1">
      <alignment vertical="center"/>
    </xf>
    <xf numFmtId="195" fontId="54" fillId="0" borderId="0" xfId="96" applyFont="1" applyFill="1">
      <alignment vertical="center"/>
    </xf>
    <xf numFmtId="195" fontId="26" fillId="0" borderId="0" xfId="96" applyFont="1" applyFill="1" applyBorder="1" applyAlignment="1" applyProtection="1">
      <alignment vertical="center"/>
      <protection locked="0"/>
    </xf>
    <xf numFmtId="0" fontId="26" fillId="0" borderId="0" xfId="97" applyFont="1" applyFill="1" applyBorder="1" applyAlignment="1">
      <alignment horizontal="left" vertical="center"/>
      <protection locked="0"/>
    </xf>
    <xf numFmtId="195" fontId="26" fillId="0" borderId="0" xfId="96" applyFont="1" applyFill="1" applyAlignment="1" applyProtection="1">
      <alignment vertical="center"/>
      <protection locked="0"/>
    </xf>
    <xf numFmtId="195" fontId="58" fillId="0" borderId="0" xfId="96" applyFont="1" applyFill="1" applyAlignment="1" applyProtection="1">
      <alignment horizontal="center" vertical="center"/>
      <protection locked="0"/>
    </xf>
    <xf numFmtId="195" fontId="60" fillId="7" borderId="0" xfId="96" applyFont="1" applyFill="1" applyAlignment="1" applyProtection="1">
      <alignment horizontal="center" vertical="center"/>
      <protection locked="0"/>
    </xf>
    <xf numFmtId="195" fontId="60" fillId="7" borderId="0" xfId="96" applyFont="1" applyFill="1" applyAlignment="1" applyProtection="1">
      <alignment horizontal="left" vertical="center"/>
      <protection locked="0"/>
    </xf>
    <xf numFmtId="195" fontId="45" fillId="0" borderId="3" xfId="96" applyFont="1" applyFill="1" applyBorder="1" applyAlignment="1">
      <alignment horizontal="center" vertical="center" wrapText="1"/>
    </xf>
    <xf numFmtId="195" fontId="44" fillId="0" borderId="3" xfId="96" applyFont="1" applyFill="1" applyBorder="1" applyAlignment="1">
      <alignment horizontal="center" vertical="center" wrapText="1"/>
    </xf>
    <xf numFmtId="43" fontId="26" fillId="0" borderId="0" xfId="99" applyNumberFormat="1" applyFont="1" applyBorder="1" applyAlignment="1">
      <alignment vertical="center"/>
    </xf>
    <xf numFmtId="43" fontId="25" fillId="0" borderId="0" xfId="99" applyNumberFormat="1" applyFont="1" applyBorder="1" applyAlignment="1">
      <alignment vertical="center"/>
    </xf>
    <xf numFmtId="43" fontId="21" fillId="6" borderId="3" xfId="29" applyFont="1" applyFill="1" applyBorder="1" applyAlignment="1">
      <alignment horizontal="center" vertical="center"/>
    </xf>
    <xf numFmtId="43" fontId="21" fillId="6" borderId="3" xfId="29" applyFont="1" applyFill="1" applyBorder="1" applyAlignment="1">
      <alignment horizontal="center" vertical="center" shrinkToFit="1"/>
    </xf>
    <xf numFmtId="43" fontId="19" fillId="6" borderId="3" xfId="29" applyFont="1" applyFill="1" applyBorder="1" applyAlignment="1">
      <alignment horizontal="centerContinuous" vertical="center"/>
    </xf>
    <xf numFmtId="43" fontId="26" fillId="6" borderId="3" xfId="29" applyFont="1" applyFill="1" applyBorder="1" applyAlignment="1">
      <alignment horizontal="centerContinuous" vertical="center"/>
    </xf>
    <xf numFmtId="43" fontId="21" fillId="0" borderId="3" xfId="29" applyFont="1" applyFill="1" applyBorder="1" applyAlignment="1">
      <alignment horizontal="center" vertical="center"/>
    </xf>
    <xf numFmtId="43" fontId="28" fillId="0" borderId="3" xfId="29" applyFont="1" applyFill="1" applyBorder="1" applyAlignment="1">
      <alignment horizontal="right" vertical="center"/>
    </xf>
    <xf numFmtId="43" fontId="29" fillId="0" borderId="0" xfId="99" applyNumberFormat="1" applyFont="1" applyBorder="1" applyAlignment="1">
      <alignment vertical="center"/>
    </xf>
    <xf numFmtId="0" fontId="26" fillId="0" borderId="0" xfId="100" applyFont="1" applyBorder="1" applyAlignment="1">
      <alignment vertical="center" wrapText="1"/>
    </xf>
    <xf numFmtId="43" fontId="21" fillId="0" borderId="0" xfId="99" applyNumberFormat="1" applyFont="1" applyFill="1" applyBorder="1" applyAlignment="1">
      <alignment vertical="center"/>
    </xf>
    <xf numFmtId="43" fontId="29" fillId="0" borderId="0" xfId="99" applyNumberFormat="1" applyFont="1" applyFill="1" applyBorder="1" applyAlignment="1">
      <alignment vertical="center"/>
    </xf>
    <xf numFmtId="0" fontId="25" fillId="0" borderId="0" xfId="30" applyFont="1" applyAlignment="1">
      <alignment vertical="center"/>
      <protection locked="0"/>
    </xf>
    <xf numFmtId="43" fontId="29" fillId="8" borderId="0" xfId="99" applyNumberFormat="1" applyFont="1" applyFill="1" applyBorder="1" applyAlignment="1">
      <alignment vertical="center"/>
    </xf>
    <xf numFmtId="43" fontId="21" fillId="0" borderId="0" xfId="99" applyNumberFormat="1" applyFont="1" applyBorder="1" applyAlignment="1">
      <alignment vertical="center"/>
    </xf>
    <xf numFmtId="0" fontId="19" fillId="0" borderId="0" xfId="98" applyFont="1" applyBorder="1" applyAlignment="1">
      <alignment vertical="center"/>
    </xf>
    <xf numFmtId="10" fontId="64" fillId="0" borderId="0" xfId="102" applyNumberFormat="1" applyFont="1" applyBorder="1" applyAlignment="1">
      <alignment horizontal="left" vertical="center"/>
    </xf>
    <xf numFmtId="43" fontId="19" fillId="0" borderId="0" xfId="99" applyNumberFormat="1" applyFont="1" applyBorder="1" applyAlignment="1">
      <alignment vertical="center"/>
    </xf>
    <xf numFmtId="43" fontId="66" fillId="0" borderId="0" xfId="99" applyNumberFormat="1" applyFont="1" applyBorder="1" applyAlignment="1">
      <alignment vertical="center"/>
    </xf>
    <xf numFmtId="43" fontId="67" fillId="0" borderId="0" xfId="99" applyNumberFormat="1" applyFont="1" applyBorder="1" applyAlignment="1">
      <alignment vertical="center"/>
    </xf>
    <xf numFmtId="43" fontId="22" fillId="0" borderId="0" xfId="99" applyNumberFormat="1" applyFont="1" applyBorder="1" applyAlignment="1">
      <alignment vertical="center"/>
    </xf>
    <xf numFmtId="43" fontId="68" fillId="0" borderId="0" xfId="99" applyNumberFormat="1" applyFont="1" applyBorder="1" applyAlignment="1">
      <alignment vertical="center"/>
    </xf>
    <xf numFmtId="43" fontId="22" fillId="0" borderId="0" xfId="99" applyNumberFormat="1" applyFont="1" applyBorder="1" applyAlignment="1">
      <alignment horizontal="right" vertical="center"/>
    </xf>
    <xf numFmtId="0" fontId="29" fillId="0" borderId="0" xfId="30" applyFont="1" applyAlignment="1">
      <alignment vertical="center"/>
      <protection locked="0"/>
    </xf>
    <xf numFmtId="0" fontId="35" fillId="0" borderId="0" xfId="30" applyFont="1" applyAlignment="1">
      <alignment vertical="center"/>
      <protection locked="0"/>
    </xf>
    <xf numFmtId="14" fontId="26" fillId="0" borderId="0" xfId="30" applyNumberFormat="1" applyFont="1" applyAlignment="1">
      <alignment vertical="center"/>
      <protection locked="0"/>
    </xf>
    <xf numFmtId="0" fontId="26" fillId="0" borderId="0" xfId="30" applyFont="1">
      <protection locked="0"/>
    </xf>
    <xf numFmtId="0" fontId="25" fillId="0" borderId="0" xfId="30" applyFont="1">
      <protection locked="0"/>
    </xf>
    <xf numFmtId="14" fontId="26" fillId="0" borderId="0" xfId="30" applyNumberFormat="1" applyFont="1">
      <protection locked="0"/>
    </xf>
    <xf numFmtId="0" fontId="25" fillId="0" borderId="0" xfId="30" applyFont="1" applyAlignment="1">
      <protection locked="0"/>
    </xf>
    <xf numFmtId="0" fontId="29" fillId="0" borderId="0" xfId="30" applyFont="1" applyBorder="1" applyAlignment="1">
      <alignment vertical="center"/>
      <protection locked="0"/>
    </xf>
    <xf numFmtId="0" fontId="26" fillId="0" borderId="3" xfId="30" applyFont="1" applyBorder="1" applyAlignment="1">
      <alignment horizontal="justify" vertical="center" wrapText="1"/>
      <protection locked="0"/>
    </xf>
    <xf numFmtId="43" fontId="26" fillId="0" borderId="3" xfId="29" applyFont="1" applyFill="1" applyBorder="1" applyAlignment="1" applyProtection="1">
      <alignment vertical="center"/>
      <protection locked="0"/>
    </xf>
    <xf numFmtId="0" fontId="10" fillId="0" borderId="0" xfId="30">
      <protection locked="0"/>
    </xf>
    <xf numFmtId="43" fontId="26" fillId="0" borderId="0" xfId="99" applyNumberFormat="1" applyFont="1" applyBorder="1" applyAlignment="1">
      <alignment horizontal="left" vertical="center"/>
    </xf>
    <xf numFmtId="0" fontId="20" fillId="6" borderId="3" xfId="103" applyFont="1" applyFill="1" applyBorder="1" applyAlignment="1" applyProtection="1">
      <alignment vertical="center"/>
    </xf>
    <xf numFmtId="0" fontId="21" fillId="6" borderId="3" xfId="70" applyFont="1" applyFill="1" applyBorder="1" applyAlignment="1" applyProtection="1">
      <alignment horizontal="center" vertical="center" wrapText="1"/>
      <protection locked="0"/>
    </xf>
    <xf numFmtId="0" fontId="71" fillId="6" borderId="3" xfId="70" applyFont="1" applyFill="1" applyBorder="1" applyAlignment="1" applyProtection="1">
      <alignment horizontal="center" vertical="center" wrapText="1"/>
      <protection locked="0"/>
    </xf>
    <xf numFmtId="0" fontId="43" fillId="0" borderId="3" xfId="103" applyFont="1" applyFill="1" applyBorder="1" applyAlignment="1" applyProtection="1">
      <alignment vertical="center"/>
    </xf>
    <xf numFmtId="0" fontId="19" fillId="0" borderId="3" xfId="103" applyFont="1" applyFill="1" applyBorder="1" applyAlignment="1" applyProtection="1">
      <alignment vertical="center"/>
    </xf>
    <xf numFmtId="0" fontId="48" fillId="0" borderId="3" xfId="103" applyFont="1" applyFill="1" applyBorder="1" applyAlignment="1" applyProtection="1">
      <alignment horizontal="left" vertical="center" indent="1"/>
    </xf>
    <xf numFmtId="0" fontId="27" fillId="0" borderId="3" xfId="103" applyFont="1" applyFill="1" applyBorder="1" applyAlignment="1" applyProtection="1">
      <alignment horizontal="center" vertical="center"/>
    </xf>
    <xf numFmtId="43" fontId="29" fillId="0" borderId="11" xfId="99" applyNumberFormat="1" applyFont="1" applyBorder="1" applyAlignment="1">
      <alignment horizontal="left" vertical="center"/>
    </xf>
    <xf numFmtId="43" fontId="26" fillId="0" borderId="11" xfId="99" applyNumberFormat="1" applyFont="1" applyBorder="1" applyAlignment="1">
      <alignment horizontal="left" vertical="center"/>
    </xf>
    <xf numFmtId="43" fontId="72" fillId="0" borderId="11" xfId="104" applyNumberFormat="1" applyFont="1" applyBorder="1" applyAlignment="1" applyProtection="1">
      <alignment horizontal="center" vertical="center"/>
    </xf>
    <xf numFmtId="0" fontId="29" fillId="0" borderId="0" xfId="98" applyFont="1" applyBorder="1" applyAlignment="1">
      <alignment vertical="center"/>
    </xf>
    <xf numFmtId="0" fontId="26" fillId="0" borderId="0" xfId="98" applyFont="1" applyBorder="1" applyAlignment="1">
      <alignment vertical="center"/>
    </xf>
    <xf numFmtId="0" fontId="6" fillId="0" borderId="2" xfId="0" applyFont="1" applyBorder="1" applyAlignment="1">
      <alignment horizontal="center" vertical="center"/>
      <protection locked="0"/>
    </xf>
    <xf numFmtId="0" fontId="74" fillId="0" borderId="0" xfId="30" applyFont="1" applyAlignment="1">
      <alignment vertical="center"/>
      <protection locked="0"/>
    </xf>
    <xf numFmtId="0" fontId="75" fillId="0" borderId="0" xfId="30" applyFont="1" applyAlignment="1">
      <alignment vertical="center"/>
      <protection locked="0"/>
    </xf>
    <xf numFmtId="0" fontId="75" fillId="0" borderId="0" xfId="30" applyFont="1" applyAlignment="1">
      <alignment horizontal="justify" vertical="center"/>
      <protection locked="0"/>
    </xf>
    <xf numFmtId="0" fontId="76" fillId="0" borderId="16" xfId="30" applyFont="1" applyBorder="1" applyAlignment="1">
      <alignment horizontal="right" vertical="center" wrapText="1"/>
      <protection locked="0"/>
    </xf>
    <xf numFmtId="43" fontId="75" fillId="0" borderId="0" xfId="30" applyNumberFormat="1" applyFont="1" applyAlignment="1">
      <alignment horizontal="justify" vertical="center" wrapText="1"/>
      <protection locked="0"/>
    </xf>
    <xf numFmtId="43" fontId="77" fillId="0" borderId="0" xfId="30" applyNumberFormat="1" applyFont="1" applyAlignment="1">
      <alignment horizontal="right" vertical="center" wrapText="1"/>
      <protection locked="0"/>
    </xf>
    <xf numFmtId="0" fontId="52" fillId="0" borderId="15" xfId="30" applyFont="1" applyBorder="1" applyAlignment="1">
      <alignment horizontal="justify" vertical="center" wrapText="1"/>
      <protection locked="0"/>
    </xf>
    <xf numFmtId="43" fontId="52" fillId="0" borderId="15" xfId="29" applyFont="1" applyBorder="1" applyAlignment="1" applyProtection="1">
      <alignment horizontal="right" vertical="center" wrapText="1"/>
      <protection locked="0"/>
    </xf>
    <xf numFmtId="0" fontId="76" fillId="0" borderId="16" xfId="30" applyFont="1" applyBorder="1" applyAlignment="1">
      <alignment horizontal="center" vertical="center" wrapText="1"/>
      <protection locked="0"/>
    </xf>
    <xf numFmtId="43" fontId="77" fillId="0" borderId="0" xfId="29" applyFont="1" applyBorder="1" applyAlignment="1" applyProtection="1">
      <alignment horizontal="right" vertical="center" wrapText="1"/>
      <protection locked="0"/>
    </xf>
    <xf numFmtId="43" fontId="52" fillId="0" borderId="15" xfId="30" applyNumberFormat="1" applyFont="1" applyBorder="1" applyAlignment="1">
      <alignment horizontal="right" vertical="center" wrapText="1"/>
      <protection locked="0"/>
    </xf>
    <xf numFmtId="0" fontId="76" fillId="0" borderId="15" xfId="30" applyFont="1" applyBorder="1" applyAlignment="1">
      <alignment horizontal="justify" vertical="center" wrapText="1"/>
      <protection locked="0"/>
    </xf>
    <xf numFmtId="0" fontId="52" fillId="0" borderId="15" xfId="30" applyFont="1" applyBorder="1" applyAlignment="1">
      <alignment horizontal="right" vertical="center" wrapText="1"/>
      <protection locked="0"/>
    </xf>
    <xf numFmtId="0" fontId="75" fillId="0" borderId="0" xfId="30" applyFont="1" applyAlignment="1">
      <alignment horizontal="justify" vertical="center" wrapText="1"/>
      <protection locked="0"/>
    </xf>
    <xf numFmtId="0" fontId="75" fillId="0" borderId="0" xfId="30" applyFont="1" applyBorder="1" applyAlignment="1">
      <alignment horizontal="justify" vertical="center" wrapText="1"/>
      <protection locked="0"/>
    </xf>
    <xf numFmtId="0" fontId="78" fillId="0" borderId="0" xfId="30" applyFont="1" applyBorder="1" applyAlignment="1">
      <alignment horizontal="justify" vertical="center" wrapText="1"/>
      <protection locked="0"/>
    </xf>
    <xf numFmtId="0" fontId="52" fillId="0" borderId="15" xfId="30" quotePrefix="1" applyFont="1" applyBorder="1" applyAlignment="1">
      <alignment horizontal="right" vertical="center" wrapText="1"/>
      <protection locked="0"/>
    </xf>
    <xf numFmtId="0" fontId="78" fillId="0" borderId="14" xfId="30" applyFont="1" applyBorder="1" applyAlignment="1">
      <alignment horizontal="left" vertical="center"/>
      <protection locked="0"/>
    </xf>
    <xf numFmtId="0" fontId="75" fillId="0" borderId="0" xfId="30" applyFont="1" applyAlignment="1">
      <alignment vertical="center" wrapText="1"/>
      <protection locked="0"/>
    </xf>
    <xf numFmtId="0" fontId="78" fillId="0" borderId="0" xfId="30" applyFont="1" applyAlignment="1">
      <alignment vertical="center"/>
      <protection locked="0"/>
    </xf>
    <xf numFmtId="0" fontId="78" fillId="0" borderId="0" xfId="30" applyFont="1" applyAlignment="1">
      <alignment horizontal="justify" vertical="center" wrapText="1"/>
      <protection locked="0"/>
    </xf>
    <xf numFmtId="14" fontId="78" fillId="0" borderId="0" xfId="30" applyNumberFormat="1" applyFont="1" applyAlignment="1">
      <alignment horizontal="right" vertical="center" wrapText="1"/>
      <protection locked="0"/>
    </xf>
    <xf numFmtId="0" fontId="78" fillId="0" borderId="0" xfId="30" applyFont="1" applyAlignment="1">
      <alignment horizontal="right" vertical="center" wrapText="1"/>
      <protection locked="0"/>
    </xf>
    <xf numFmtId="43" fontId="78" fillId="0" borderId="0" xfId="30" applyNumberFormat="1" applyFont="1" applyAlignment="1">
      <alignment horizontal="right" vertical="center" wrapText="1"/>
      <protection locked="0"/>
    </xf>
    <xf numFmtId="43" fontId="78" fillId="0" borderId="0" xfId="29" applyFont="1" applyAlignment="1" applyProtection="1">
      <alignment horizontal="right" vertical="center" wrapText="1"/>
      <protection locked="0"/>
    </xf>
    <xf numFmtId="0" fontId="52" fillId="0" borderId="15" xfId="30" applyFont="1" applyBorder="1" applyAlignment="1">
      <alignment horizontal="left" vertical="center" wrapText="1"/>
      <protection locked="0"/>
    </xf>
    <xf numFmtId="0" fontId="75" fillId="0" borderId="0" xfId="30" applyFont="1" applyAlignment="1">
      <alignment horizontal="center" vertical="center" wrapText="1"/>
      <protection locked="0"/>
    </xf>
    <xf numFmtId="0" fontId="75" fillId="0" borderId="0" xfId="30" applyFont="1" applyAlignment="1">
      <alignment horizontal="right" vertical="center" wrapText="1"/>
      <protection locked="0"/>
    </xf>
    <xf numFmtId="0" fontId="75" fillId="0" borderId="16" xfId="30" applyFont="1" applyBorder="1" applyAlignment="1">
      <alignment horizontal="center" vertical="center" wrapText="1"/>
      <protection locked="0"/>
    </xf>
    <xf numFmtId="0" fontId="75" fillId="0" borderId="16" xfId="30" applyFont="1" applyBorder="1" applyAlignment="1">
      <alignment horizontal="right" vertical="center" wrapText="1"/>
      <protection locked="0"/>
    </xf>
    <xf numFmtId="0" fontId="52" fillId="0" borderId="16" xfId="30" applyFont="1" applyBorder="1" applyAlignment="1">
      <alignment horizontal="left" vertical="center" wrapText="1"/>
      <protection locked="0"/>
    </xf>
    <xf numFmtId="0" fontId="52" fillId="0" borderId="16" xfId="30" applyFont="1" applyBorder="1" applyAlignment="1">
      <alignment horizontal="right" vertical="center" wrapText="1"/>
      <protection locked="0"/>
    </xf>
    <xf numFmtId="0" fontId="78" fillId="0" borderId="14" xfId="30" applyFont="1" applyBorder="1" applyAlignment="1">
      <alignment vertical="center"/>
      <protection locked="0"/>
    </xf>
    <xf numFmtId="43" fontId="75" fillId="0" borderId="0" xfId="30" applyNumberFormat="1" applyFont="1" applyFill="1" applyAlignment="1">
      <alignment horizontal="justify" vertical="center" wrapText="1"/>
      <protection locked="0"/>
    </xf>
    <xf numFmtId="0" fontId="74" fillId="0" borderId="0" xfId="30" applyFont="1" applyAlignment="1">
      <protection locked="0"/>
    </xf>
    <xf numFmtId="0" fontId="75" fillId="0" borderId="0" xfId="30" applyFont="1">
      <protection locked="0"/>
    </xf>
    <xf numFmtId="0" fontId="75" fillId="0" borderId="0" xfId="30" applyFont="1" applyAlignment="1">
      <alignment horizontal="justify"/>
      <protection locked="0"/>
    </xf>
    <xf numFmtId="0" fontId="52" fillId="0" borderId="16" xfId="30" applyFont="1" applyBorder="1" applyAlignment="1">
      <alignment horizontal="center" wrapText="1"/>
      <protection locked="0"/>
    </xf>
    <xf numFmtId="43" fontId="75" fillId="0" borderId="0" xfId="30" applyNumberFormat="1" applyFont="1" applyAlignment="1">
      <alignment horizontal="justify" wrapText="1"/>
      <protection locked="0"/>
    </xf>
    <xf numFmtId="43" fontId="75" fillId="0" borderId="0" xfId="30" applyNumberFormat="1" applyFont="1" applyFill="1" applyAlignment="1">
      <alignment horizontal="justify" wrapText="1"/>
      <protection locked="0"/>
    </xf>
    <xf numFmtId="0" fontId="52" fillId="0" borderId="15" xfId="30" applyFont="1" applyBorder="1" applyAlignment="1">
      <alignment horizontal="center" wrapText="1"/>
      <protection locked="0"/>
    </xf>
    <xf numFmtId="0" fontId="78" fillId="0" borderId="14" xfId="30" applyFont="1" applyBorder="1" applyAlignment="1">
      <protection locked="0"/>
    </xf>
    <xf numFmtId="0" fontId="75" fillId="0" borderId="0" xfId="30" applyFont="1" applyAlignment="1">
      <protection locked="0"/>
    </xf>
    <xf numFmtId="0" fontId="76" fillId="0" borderId="16" xfId="30" applyFont="1" applyBorder="1" applyAlignment="1">
      <alignment horizontal="right" wrapText="1"/>
      <protection locked="0"/>
    </xf>
    <xf numFmtId="0" fontId="76" fillId="0" borderId="15" xfId="30" applyFont="1" applyBorder="1" applyAlignment="1">
      <alignment horizontal="right" wrapText="1"/>
      <protection locked="0"/>
    </xf>
    <xf numFmtId="0" fontId="52" fillId="0" borderId="15" xfId="30" applyFont="1" applyBorder="1" applyAlignment="1">
      <alignment horizontal="justify" wrapText="1"/>
      <protection locked="0"/>
    </xf>
    <xf numFmtId="0" fontId="78" fillId="0" borderId="0" xfId="30" applyFont="1" applyAlignment="1">
      <alignment horizontal="left"/>
      <protection locked="0"/>
    </xf>
    <xf numFmtId="195" fontId="80" fillId="0" borderId="0" xfId="96" applyFont="1" applyFill="1">
      <alignment vertical="center"/>
    </xf>
    <xf numFmtId="43" fontId="26" fillId="0" borderId="3" xfId="30" applyNumberFormat="1" applyFont="1" applyFill="1" applyBorder="1" applyAlignment="1">
      <alignment vertical="center"/>
      <protection locked="0"/>
    </xf>
    <xf numFmtId="43" fontId="19" fillId="0" borderId="3" xfId="29" applyFont="1" applyFill="1" applyBorder="1" applyAlignment="1">
      <alignment horizontal="left" vertical="center"/>
    </xf>
    <xf numFmtId="0" fontId="78" fillId="0" borderId="0" xfId="30" applyFont="1" applyBorder="1" applyAlignment="1">
      <alignment horizontal="left" vertical="center"/>
      <protection locked="0"/>
    </xf>
    <xf numFmtId="0" fontId="75" fillId="0" borderId="0" xfId="30" applyFont="1" applyBorder="1" applyAlignment="1">
      <alignment horizontal="left" vertical="center"/>
      <protection locked="0"/>
    </xf>
    <xf numFmtId="0" fontId="75" fillId="0" borderId="0" xfId="30" applyFont="1" applyBorder="1" applyAlignment="1">
      <alignment vertical="center"/>
      <protection locked="0"/>
    </xf>
    <xf numFmtId="0" fontId="52" fillId="0" borderId="0" xfId="30" applyFont="1" applyBorder="1" applyAlignment="1">
      <alignment horizontal="center" vertical="center"/>
      <protection locked="0"/>
    </xf>
    <xf numFmtId="0" fontId="52" fillId="0" borderId="16" xfId="30" applyFont="1" applyBorder="1" applyAlignment="1">
      <alignment horizontal="center" vertical="center"/>
      <protection locked="0"/>
    </xf>
    <xf numFmtId="0" fontId="52" fillId="0" borderId="15" xfId="30" applyFont="1" applyBorder="1" applyAlignment="1">
      <alignment horizontal="center" vertical="center"/>
      <protection locked="0"/>
    </xf>
    <xf numFmtId="43" fontId="75" fillId="0" borderId="0" xfId="29" applyFont="1" applyBorder="1" applyAlignment="1" applyProtection="1">
      <alignment horizontal="left" vertical="center"/>
      <protection locked="0"/>
    </xf>
    <xf numFmtId="43" fontId="52" fillId="0" borderId="15" xfId="29" applyFont="1" applyBorder="1" applyAlignment="1" applyProtection="1">
      <alignment horizontal="left" vertical="center"/>
      <protection locked="0"/>
    </xf>
    <xf numFmtId="9" fontId="52" fillId="0" borderId="15" xfId="30" applyNumberFormat="1" applyFont="1" applyBorder="1" applyAlignment="1">
      <alignment horizontal="left" vertical="center"/>
      <protection locked="0"/>
    </xf>
    <xf numFmtId="0" fontId="52" fillId="0" borderId="15" xfId="30" applyFont="1" applyBorder="1" applyAlignment="1">
      <alignment vertical="center"/>
      <protection locked="0"/>
    </xf>
    <xf numFmtId="0" fontId="52" fillId="0" borderId="0" xfId="30" applyFont="1" applyAlignment="1">
      <alignment vertical="center"/>
      <protection locked="0"/>
    </xf>
    <xf numFmtId="43" fontId="75" fillId="0" borderId="0" xfId="30" applyNumberFormat="1" applyFont="1" applyBorder="1" applyAlignment="1">
      <alignment vertical="center"/>
      <protection locked="0"/>
    </xf>
    <xf numFmtId="0" fontId="75" fillId="0" borderId="0" xfId="30" applyNumberFormat="1" applyFont="1" applyBorder="1" applyAlignment="1">
      <alignment vertical="center"/>
      <protection locked="0"/>
    </xf>
    <xf numFmtId="43" fontId="52" fillId="0" borderId="15" xfId="30" applyNumberFormat="1" applyFont="1" applyBorder="1" applyAlignment="1">
      <alignment vertical="center"/>
      <protection locked="0"/>
    </xf>
    <xf numFmtId="0" fontId="52" fillId="0" borderId="15" xfId="30" applyNumberFormat="1" applyFont="1" applyBorder="1" applyAlignment="1">
      <alignment vertical="center"/>
      <protection locked="0"/>
    </xf>
    <xf numFmtId="43" fontId="75" fillId="0" borderId="0" xfId="29" applyFont="1" applyBorder="1" applyAlignment="1" applyProtection="1">
      <alignment vertical="center"/>
      <protection locked="0"/>
    </xf>
    <xf numFmtId="43" fontId="52" fillId="0" borderId="15" xfId="29" applyFont="1" applyBorder="1" applyAlignment="1" applyProtection="1">
      <alignment vertical="center"/>
      <protection locked="0"/>
    </xf>
    <xf numFmtId="0" fontId="81" fillId="0" borderId="0" xfId="30" applyFont="1" applyAlignment="1">
      <alignment vertical="center"/>
      <protection locked="0"/>
    </xf>
    <xf numFmtId="0" fontId="82" fillId="0" borderId="0" xfId="0" applyFont="1" applyBorder="1" applyAlignment="1">
      <alignment vertical="center"/>
      <protection locked="0"/>
    </xf>
    <xf numFmtId="0" fontId="10" fillId="0" borderId="0" xfId="0" applyFont="1">
      <protection locked="0"/>
    </xf>
    <xf numFmtId="0" fontId="21" fillId="0" borderId="0" xfId="0" applyFont="1" applyFill="1" applyBorder="1" applyAlignment="1" applyProtection="1">
      <alignment vertical="center"/>
      <protection locked="0"/>
    </xf>
    <xf numFmtId="0" fontId="26" fillId="0" borderId="0" xfId="81" applyFont="1" applyFill="1" applyBorder="1" applyAlignment="1" applyProtection="1">
      <alignment vertical="center"/>
      <protection locked="0"/>
    </xf>
    <xf numFmtId="0" fontId="26" fillId="0" borderId="0" xfId="81" applyFont="1" applyFill="1" applyAlignment="1" applyProtection="1">
      <alignment vertical="center"/>
      <protection locked="0"/>
    </xf>
    <xf numFmtId="0" fontId="57" fillId="0" borderId="0" xfId="81" applyFont="1">
      <alignment vertical="center"/>
    </xf>
    <xf numFmtId="49" fontId="21" fillId="0" borderId="0" xfId="81" applyNumberFormat="1" applyFont="1" applyFill="1" applyAlignment="1" applyProtection="1">
      <alignment horizontal="left" vertical="center"/>
      <protection locked="0"/>
    </xf>
    <xf numFmtId="0" fontId="29" fillId="0" borderId="0" xfId="81" applyFont="1" applyFill="1" applyAlignment="1" applyProtection="1">
      <alignment horizontal="justify" vertical="center"/>
      <protection locked="0"/>
    </xf>
    <xf numFmtId="0" fontId="6" fillId="0" borderId="0" xfId="81" applyFont="1" applyFill="1" applyBorder="1" applyAlignment="1" applyProtection="1">
      <alignment horizontal="center" vertical="center" wrapText="1"/>
      <protection locked="0"/>
    </xf>
    <xf numFmtId="195" fontId="60" fillId="0" borderId="0" xfId="96" applyFont="1" applyFill="1" applyAlignment="1" applyProtection="1">
      <alignment horizontal="center" vertical="center"/>
      <protection locked="0"/>
    </xf>
    <xf numFmtId="0" fontId="45" fillId="0" borderId="3" xfId="81" applyFont="1" applyFill="1" applyBorder="1" applyAlignment="1">
      <alignment vertical="center" wrapText="1"/>
    </xf>
    <xf numFmtId="195" fontId="79" fillId="0" borderId="0" xfId="96" applyFont="1" applyFill="1" applyAlignment="1" applyProtection="1">
      <alignment horizontal="left" vertical="center"/>
      <protection locked="0"/>
    </xf>
    <xf numFmtId="0" fontId="10" fillId="0" borderId="0" xfId="0" applyFont="1" applyAlignment="1">
      <alignment wrapText="1"/>
      <protection locked="0"/>
    </xf>
    <xf numFmtId="195" fontId="45" fillId="0" borderId="3" xfId="106" applyFont="1" applyFill="1" applyBorder="1" applyAlignment="1">
      <alignment vertical="center" wrapText="1"/>
    </xf>
    <xf numFmtId="0" fontId="62" fillId="0" borderId="3" xfId="81" applyFont="1" applyFill="1" applyBorder="1" applyAlignment="1">
      <alignment horizontal="center" vertical="center" wrapText="1"/>
    </xf>
    <xf numFmtId="0" fontId="45" fillId="0" borderId="3" xfId="81" applyFont="1" applyFill="1" applyBorder="1" applyAlignment="1">
      <alignment horizontal="center" vertical="center" wrapText="1"/>
    </xf>
    <xf numFmtId="195" fontId="44" fillId="0" borderId="3" xfId="106" applyFont="1" applyFill="1" applyBorder="1" applyAlignment="1">
      <alignment vertical="center" wrapText="1"/>
    </xf>
    <xf numFmtId="0" fontId="44" fillId="0" borderId="3" xfId="81" applyFont="1" applyFill="1" applyBorder="1" applyAlignment="1">
      <alignment horizontal="center" vertical="center" wrapText="1"/>
    </xf>
    <xf numFmtId="195" fontId="58" fillId="0" borderId="0" xfId="96" applyFont="1" applyFill="1" applyAlignment="1" applyProtection="1">
      <alignment horizontal="left" vertical="center"/>
      <protection locked="0"/>
    </xf>
    <xf numFmtId="0" fontId="29" fillId="6" borderId="3" xfId="30" applyFont="1" applyFill="1" applyBorder="1" applyAlignment="1">
      <alignment horizontal="center" vertical="center"/>
      <protection locked="0"/>
    </xf>
    <xf numFmtId="0" fontId="29" fillId="6" borderId="3" xfId="30" applyFont="1" applyFill="1" applyBorder="1" applyAlignment="1">
      <alignment horizontal="center" vertical="center" wrapText="1"/>
      <protection locked="0"/>
    </xf>
    <xf numFmtId="0" fontId="26" fillId="0" borderId="3" xfId="0" applyFont="1" applyBorder="1" applyAlignment="1">
      <alignment horizontal="center" vertical="center"/>
      <protection locked="0"/>
    </xf>
    <xf numFmtId="0" fontId="29" fillId="6" borderId="3" xfId="0" applyFont="1" applyFill="1" applyBorder="1" applyAlignment="1">
      <alignment horizontal="center" vertical="center" wrapText="1"/>
      <protection locked="0"/>
    </xf>
    <xf numFmtId="0" fontId="29" fillId="6" borderId="3" xfId="0" applyFont="1" applyFill="1" applyBorder="1" applyAlignment="1">
      <alignment horizontal="center" vertical="center"/>
      <protection locked="0"/>
    </xf>
    <xf numFmtId="0" fontId="21" fillId="0" borderId="3" xfId="81" applyFont="1" applyFill="1" applyBorder="1" applyAlignment="1">
      <alignment horizontal="center" vertical="center" wrapText="1"/>
    </xf>
    <xf numFmtId="43" fontId="19" fillId="0" borderId="3" xfId="29" applyFont="1" applyFill="1" applyBorder="1" applyAlignment="1">
      <alignment vertical="center"/>
    </xf>
    <xf numFmtId="43" fontId="19" fillId="0" borderId="0" xfId="29" applyFont="1" applyFill="1" applyBorder="1" applyAlignment="1">
      <alignment horizontal="left" vertical="center"/>
    </xf>
    <xf numFmtId="43" fontId="28" fillId="6" borderId="3" xfId="29" applyFont="1" applyFill="1" applyBorder="1" applyAlignment="1">
      <alignment horizontal="right" vertical="center"/>
    </xf>
    <xf numFmtId="43" fontId="28" fillId="6" borderId="3" xfId="101" applyFont="1" applyFill="1" applyBorder="1" applyAlignment="1">
      <alignment horizontal="right" vertical="center"/>
    </xf>
    <xf numFmtId="43" fontId="28" fillId="0" borderId="3" xfId="101" applyFont="1" applyFill="1" applyBorder="1" applyAlignment="1">
      <alignment horizontal="right" vertical="center"/>
    </xf>
    <xf numFmtId="0" fontId="20" fillId="6" borderId="3" xfId="103" applyFont="1" applyFill="1" applyBorder="1" applyAlignment="1" applyProtection="1">
      <alignment vertical="center" wrapText="1"/>
    </xf>
    <xf numFmtId="0" fontId="26" fillId="0" borderId="0" xfId="30" applyFont="1" applyAlignment="1">
      <alignment vertical="center" wrapText="1"/>
      <protection locked="0"/>
    </xf>
    <xf numFmtId="0" fontId="44" fillId="0" borderId="0" xfId="30" applyFont="1" applyBorder="1" applyAlignment="1">
      <alignment vertical="center"/>
      <protection locked="0"/>
    </xf>
    <xf numFmtId="43" fontId="26" fillId="6" borderId="3" xfId="30" applyNumberFormat="1" applyFont="1" applyFill="1" applyBorder="1" applyAlignment="1">
      <alignment vertical="center"/>
      <protection locked="0"/>
    </xf>
    <xf numFmtId="43" fontId="26" fillId="6" borderId="3" xfId="29" applyFont="1" applyFill="1" applyBorder="1" applyAlignment="1" applyProtection="1">
      <alignment vertical="center"/>
      <protection locked="0"/>
    </xf>
    <xf numFmtId="10" fontId="26" fillId="6" borderId="3" xfId="102" applyNumberFormat="1" applyFont="1" applyFill="1" applyBorder="1" applyAlignment="1" applyProtection="1">
      <alignment horizontal="right" vertical="center" wrapText="1"/>
      <protection locked="0"/>
    </xf>
    <xf numFmtId="10" fontId="26" fillId="6" borderId="3" xfId="102" applyNumberFormat="1" applyFont="1" applyFill="1" applyBorder="1" applyAlignment="1" applyProtection="1">
      <alignment horizontal="right" vertical="center"/>
      <protection locked="0"/>
    </xf>
    <xf numFmtId="43" fontId="29" fillId="6" borderId="3" xfId="29" applyFont="1" applyFill="1" applyBorder="1" applyAlignment="1" applyProtection="1">
      <alignment vertical="center"/>
      <protection locked="0"/>
    </xf>
    <xf numFmtId="10" fontId="29" fillId="6" borderId="3" xfId="102" applyNumberFormat="1" applyFont="1" applyFill="1" applyBorder="1" applyAlignment="1" applyProtection="1">
      <alignment horizontal="right" vertical="center" wrapText="1"/>
      <protection locked="0"/>
    </xf>
    <xf numFmtId="10" fontId="29" fillId="6" borderId="3" xfId="102" applyNumberFormat="1" applyFont="1" applyFill="1" applyBorder="1" applyAlignment="1" applyProtection="1">
      <alignment horizontal="right" vertical="center"/>
      <protection locked="0"/>
    </xf>
    <xf numFmtId="0" fontId="61" fillId="0" borderId="0" xfId="30" applyFont="1" applyBorder="1" applyAlignment="1">
      <alignment vertical="center"/>
      <protection locked="0"/>
    </xf>
    <xf numFmtId="0" fontId="61" fillId="0" borderId="3" xfId="30" applyFont="1" applyBorder="1" applyAlignment="1">
      <alignment horizontal="center" vertical="center"/>
      <protection locked="0"/>
    </xf>
    <xf numFmtId="0" fontId="29" fillId="6" borderId="3" xfId="30" applyFont="1" applyFill="1" applyBorder="1" applyAlignment="1">
      <alignment vertical="center"/>
      <protection locked="0"/>
    </xf>
    <xf numFmtId="0" fontId="19" fillId="0" borderId="3" xfId="0" applyFont="1" applyBorder="1" applyAlignment="1">
      <alignment horizontal="center" vertical="center"/>
      <protection locked="0"/>
    </xf>
    <xf numFmtId="0" fontId="29" fillId="0" borderId="0" xfId="0" applyFont="1" applyBorder="1" applyAlignment="1">
      <alignment vertical="center"/>
      <protection locked="0"/>
    </xf>
    <xf numFmtId="43" fontId="26" fillId="0" borderId="3" xfId="29" applyFont="1" applyBorder="1" applyAlignment="1" applyProtection="1">
      <alignment vertical="center"/>
      <protection locked="0"/>
    </xf>
    <xf numFmtId="43" fontId="28" fillId="0" borderId="3" xfId="29" applyFont="1" applyBorder="1" applyAlignment="1" applyProtection="1">
      <alignment horizontal="left" vertical="center"/>
      <protection locked="0"/>
    </xf>
    <xf numFmtId="0" fontId="83" fillId="0" borderId="0" xfId="0" applyFont="1" applyBorder="1" applyAlignment="1">
      <alignment vertical="center"/>
      <protection locked="0"/>
    </xf>
    <xf numFmtId="43" fontId="26" fillId="6" borderId="3" xfId="29" applyFont="1" applyFill="1" applyBorder="1" applyProtection="1">
      <protection locked="0"/>
    </xf>
    <xf numFmtId="43" fontId="29" fillId="6" borderId="3" xfId="29" quotePrefix="1" applyFont="1" applyFill="1" applyBorder="1" applyAlignment="1" applyProtection="1">
      <alignment horizontal="center" vertical="center"/>
      <protection locked="0"/>
    </xf>
    <xf numFmtId="43" fontId="27" fillId="6" borderId="3" xfId="29" applyFont="1" applyFill="1" applyBorder="1" applyAlignment="1" applyProtection="1">
      <alignment horizontal="left" vertical="center"/>
      <protection locked="0"/>
    </xf>
    <xf numFmtId="0" fontId="29" fillId="6" borderId="3" xfId="0" applyFont="1" applyFill="1" applyBorder="1" applyAlignment="1">
      <alignment horizontal="centerContinuous" vertical="center"/>
      <protection locked="0"/>
    </xf>
    <xf numFmtId="0" fontId="29" fillId="6" borderId="3" xfId="0" applyFont="1" applyFill="1" applyBorder="1" applyAlignment="1">
      <alignment horizontal="centerContinuous" vertical="center" shrinkToFit="1"/>
      <protection locked="0"/>
    </xf>
    <xf numFmtId="0" fontId="26" fillId="6" borderId="3" xfId="0" applyFont="1" applyFill="1" applyBorder="1" applyAlignment="1">
      <alignment vertical="center"/>
      <protection locked="0"/>
    </xf>
    <xf numFmtId="43" fontId="27" fillId="6" borderId="3" xfId="0" applyNumberFormat="1" applyFont="1" applyFill="1" applyBorder="1" applyAlignment="1">
      <alignment horizontal="left" vertical="center"/>
      <protection locked="0"/>
    </xf>
    <xf numFmtId="0" fontId="29" fillId="6" borderId="3" xfId="0" applyFont="1" applyFill="1" applyBorder="1" applyAlignment="1">
      <alignment vertical="center"/>
      <protection locked="0"/>
    </xf>
    <xf numFmtId="0" fontId="26" fillId="6" borderId="0" xfId="0" applyFont="1" applyFill="1" applyAlignment="1">
      <alignment vertical="center"/>
      <protection locked="0"/>
    </xf>
    <xf numFmtId="43" fontId="28" fillId="6" borderId="3" xfId="0" applyNumberFormat="1" applyFont="1" applyFill="1" applyBorder="1" applyAlignment="1">
      <alignment horizontal="left" vertical="center"/>
      <protection locked="0"/>
    </xf>
    <xf numFmtId="43" fontId="26" fillId="0" borderId="3" xfId="29" applyFont="1" applyBorder="1" applyAlignment="1" applyProtection="1">
      <alignment horizontal="center" vertical="center"/>
      <protection locked="0"/>
    </xf>
    <xf numFmtId="43" fontId="26" fillId="6" borderId="3" xfId="29" applyFont="1" applyFill="1" applyBorder="1" applyAlignment="1" applyProtection="1">
      <alignment horizontal="center" vertical="center"/>
      <protection locked="0"/>
    </xf>
    <xf numFmtId="43" fontId="26" fillId="0" borderId="3" xfId="0" applyNumberFormat="1" applyFont="1" applyBorder="1" applyAlignment="1">
      <alignment horizontal="center" vertical="center"/>
      <protection locked="0"/>
    </xf>
    <xf numFmtId="43" fontId="26" fillId="6" borderId="3" xfId="29" applyFont="1" applyFill="1" applyBorder="1" applyAlignment="1" applyProtection="1">
      <alignment horizontal="center"/>
      <protection locked="0"/>
    </xf>
    <xf numFmtId="43" fontId="28" fillId="0" borderId="3" xfId="29" applyFont="1" applyBorder="1" applyAlignment="1" applyProtection="1">
      <alignment horizontal="center" vertical="center"/>
      <protection locked="0"/>
    </xf>
    <xf numFmtId="43" fontId="27" fillId="6" borderId="3" xfId="29" applyFont="1" applyFill="1" applyBorder="1" applyAlignment="1" applyProtection="1">
      <alignment horizontal="center" vertical="center"/>
      <protection locked="0"/>
    </xf>
    <xf numFmtId="43" fontId="28" fillId="0" borderId="3" xfId="29" applyFont="1" applyFill="1" applyBorder="1" applyAlignment="1" applyProtection="1">
      <alignment horizontal="center" vertical="center"/>
      <protection locked="0"/>
    </xf>
    <xf numFmtId="43" fontId="26" fillId="0" borderId="3" xfId="29" applyFont="1" applyFill="1" applyBorder="1" applyAlignment="1" applyProtection="1">
      <alignment horizontal="center" vertical="center"/>
      <protection locked="0"/>
    </xf>
    <xf numFmtId="0" fontId="26" fillId="6" borderId="3" xfId="0" applyFont="1" applyFill="1" applyBorder="1" applyAlignment="1">
      <alignment horizontal="center" vertical="center"/>
      <protection locked="0"/>
    </xf>
    <xf numFmtId="43" fontId="26" fillId="6" borderId="3" xfId="0" applyNumberFormat="1" applyFont="1" applyFill="1" applyBorder="1" applyAlignment="1">
      <alignment vertical="center"/>
      <protection locked="0"/>
    </xf>
    <xf numFmtId="43" fontId="29" fillId="6" borderId="3" xfId="0" quotePrefix="1" applyNumberFormat="1" applyFont="1" applyFill="1" applyBorder="1" applyAlignment="1">
      <alignment horizontal="center" vertical="center"/>
      <protection locked="0"/>
    </xf>
    <xf numFmtId="43" fontId="29" fillId="6" borderId="3" xfId="0" applyNumberFormat="1" applyFont="1" applyFill="1" applyBorder="1" applyAlignment="1">
      <alignment horizontal="center" vertical="center"/>
      <protection locked="0"/>
    </xf>
    <xf numFmtId="0" fontId="83" fillId="0" borderId="0" xfId="0" applyFont="1" applyBorder="1" applyAlignment="1" applyProtection="1">
      <alignment vertical="center"/>
    </xf>
    <xf numFmtId="0" fontId="19" fillId="6" borderId="3" xfId="0" applyFont="1" applyFill="1" applyBorder="1" applyAlignment="1">
      <alignment vertical="center"/>
      <protection locked="0"/>
    </xf>
    <xf numFmtId="43" fontId="26" fillId="6" borderId="3" xfId="29" quotePrefix="1" applyFont="1" applyFill="1" applyBorder="1" applyAlignment="1" applyProtection="1">
      <alignment horizontal="center" vertical="center"/>
      <protection locked="0"/>
    </xf>
    <xf numFmtId="0" fontId="29" fillId="6" borderId="0" xfId="0" applyFont="1" applyFill="1" applyAlignment="1">
      <alignment vertical="center"/>
      <protection locked="0"/>
    </xf>
    <xf numFmtId="0" fontId="26" fillId="0" borderId="3" xfId="0" applyFont="1" applyFill="1" applyBorder="1" applyAlignment="1">
      <alignment vertical="center" shrinkToFit="1"/>
      <protection locked="0"/>
    </xf>
    <xf numFmtId="0" fontId="26" fillId="0" borderId="3" xfId="0" applyFont="1" applyFill="1" applyBorder="1" applyAlignment="1">
      <alignment vertical="center"/>
      <protection locked="0"/>
    </xf>
    <xf numFmtId="0" fontId="26" fillId="6" borderId="3" xfId="0" applyFont="1" applyFill="1" applyBorder="1" applyAlignment="1">
      <alignment horizontal="center" vertical="center" wrapText="1"/>
      <protection locked="0"/>
    </xf>
    <xf numFmtId="0" fontId="26" fillId="6" borderId="3" xfId="0" applyFont="1" applyFill="1" applyBorder="1" applyAlignment="1">
      <alignment vertical="center" shrinkToFit="1"/>
      <protection locked="0"/>
    </xf>
    <xf numFmtId="0" fontId="26" fillId="0" borderId="3" xfId="0" applyFont="1" applyFill="1" applyBorder="1" applyAlignment="1">
      <alignment vertical="center" wrapText="1"/>
      <protection locked="0"/>
    </xf>
    <xf numFmtId="0" fontId="26" fillId="0" borderId="3" xfId="0" applyFont="1" applyFill="1" applyBorder="1" applyAlignment="1">
      <alignment horizontal="center" vertical="center"/>
      <protection locked="0"/>
    </xf>
    <xf numFmtId="0" fontId="26" fillId="0" borderId="3" xfId="0" applyFont="1" applyBorder="1" applyAlignment="1">
      <alignment horizontal="left" vertical="center" shrinkToFit="1"/>
      <protection locked="0"/>
    </xf>
    <xf numFmtId="0" fontId="28" fillId="0" borderId="3" xfId="0" applyFont="1" applyBorder="1" applyAlignment="1">
      <alignment horizontal="left" vertical="center" shrinkToFit="1"/>
      <protection locked="0"/>
    </xf>
    <xf numFmtId="0" fontId="29" fillId="0" borderId="0" xfId="0" applyFont="1" applyAlignment="1">
      <alignment vertical="center"/>
      <protection locked="0"/>
    </xf>
    <xf numFmtId="43" fontId="29" fillId="6" borderId="3" xfId="29" applyFont="1" applyFill="1" applyBorder="1" applyAlignment="1" applyProtection="1">
      <alignment horizontal="center" vertical="center"/>
      <protection locked="0"/>
    </xf>
    <xf numFmtId="43" fontId="28" fillId="6" borderId="3" xfId="29" applyFont="1" applyFill="1" applyBorder="1" applyAlignment="1" applyProtection="1">
      <alignment horizontal="center" vertical="center"/>
      <protection locked="0"/>
    </xf>
    <xf numFmtId="0" fontId="84" fillId="0" borderId="0" xfId="0" applyFont="1" applyBorder="1" applyAlignment="1">
      <alignment vertical="center"/>
      <protection locked="0"/>
    </xf>
    <xf numFmtId="43" fontId="28" fillId="0" borderId="3" xfId="29" applyFont="1" applyBorder="1" applyAlignment="1" applyProtection="1">
      <alignment horizontal="left" vertical="center" wrapText="1"/>
      <protection locked="0"/>
    </xf>
    <xf numFmtId="43" fontId="28" fillId="6" borderId="3" xfId="29" applyFont="1" applyFill="1" applyBorder="1" applyAlignment="1" applyProtection="1">
      <alignment horizontal="left" vertical="center" wrapText="1"/>
      <protection locked="0"/>
    </xf>
    <xf numFmtId="43" fontId="27" fillId="6" borderId="3" xfId="29" applyFont="1" applyFill="1" applyBorder="1" applyAlignment="1" applyProtection="1">
      <alignment horizontal="left" vertical="center" wrapText="1"/>
      <protection locked="0"/>
    </xf>
    <xf numFmtId="43" fontId="29" fillId="6" borderId="3" xfId="0" applyNumberFormat="1" applyFont="1" applyFill="1" applyBorder="1" applyAlignment="1">
      <alignment horizontal="left" vertical="center" wrapText="1"/>
      <protection locked="0"/>
    </xf>
    <xf numFmtId="43" fontId="29" fillId="0" borderId="11" xfId="0" quotePrefix="1" applyNumberFormat="1" applyFont="1" applyFill="1" applyBorder="1" applyAlignment="1">
      <alignment horizontal="center" vertical="center"/>
      <protection locked="0"/>
    </xf>
    <xf numFmtId="43" fontId="29" fillId="6" borderId="11" xfId="0" quotePrefix="1" applyNumberFormat="1" applyFont="1" applyFill="1" applyBorder="1" applyAlignment="1">
      <alignment horizontal="center" vertical="center"/>
      <protection locked="0"/>
    </xf>
    <xf numFmtId="43" fontId="28" fillId="6" borderId="11" xfId="0" applyNumberFormat="1" applyFont="1" applyFill="1" applyBorder="1" applyAlignment="1">
      <alignment horizontal="left" vertical="center"/>
      <protection locked="0"/>
    </xf>
    <xf numFmtId="0" fontId="26" fillId="6" borderId="11" xfId="0" applyFont="1" applyFill="1" applyBorder="1" applyAlignment="1">
      <alignment vertical="center"/>
      <protection locked="0"/>
    </xf>
    <xf numFmtId="0" fontId="85" fillId="0" borderId="0" xfId="0" applyFont="1" applyBorder="1" applyAlignment="1">
      <alignment vertical="center"/>
      <protection locked="0"/>
    </xf>
    <xf numFmtId="0" fontId="21" fillId="6" borderId="3" xfId="0" applyFont="1" applyFill="1" applyBorder="1" applyAlignment="1">
      <alignment horizontal="centerContinuous" vertical="center"/>
      <protection locked="0"/>
    </xf>
    <xf numFmtId="0" fontId="21" fillId="6" borderId="3" xfId="0" applyFont="1" applyFill="1" applyBorder="1" applyAlignment="1">
      <alignment horizontal="centerContinuous" vertical="center" shrinkToFit="1"/>
      <protection locked="0"/>
    </xf>
    <xf numFmtId="43" fontId="21" fillId="6" borderId="3" xfId="0" quotePrefix="1" applyNumberFormat="1" applyFont="1" applyFill="1" applyBorder="1" applyAlignment="1">
      <alignment horizontal="center" vertical="center"/>
      <protection locked="0"/>
    </xf>
    <xf numFmtId="0" fontId="21" fillId="6" borderId="11" xfId="0" applyFont="1" applyFill="1" applyBorder="1" applyAlignment="1">
      <alignment horizontal="centerContinuous" vertical="center" shrinkToFit="1"/>
      <protection locked="0"/>
    </xf>
    <xf numFmtId="0" fontId="21" fillId="6" borderId="11" xfId="0" applyFont="1" applyFill="1" applyBorder="1" applyAlignment="1">
      <alignment horizontal="centerContinuous" vertical="center"/>
      <protection locked="0"/>
    </xf>
    <xf numFmtId="43" fontId="21" fillId="6" borderId="11" xfId="0" quotePrefix="1" applyNumberFormat="1" applyFont="1" applyFill="1" applyBorder="1" applyAlignment="1">
      <alignment horizontal="center" vertical="center"/>
      <protection locked="0"/>
    </xf>
    <xf numFmtId="0" fontId="52" fillId="6" borderId="11" xfId="0" applyFont="1" applyFill="1" applyBorder="1" applyAlignment="1">
      <alignment horizontal="centerContinuous" vertical="center"/>
      <protection locked="0"/>
    </xf>
    <xf numFmtId="0" fontId="85" fillId="0" borderId="0" xfId="0" applyFont="1" applyAlignment="1">
      <alignment vertical="center"/>
      <protection locked="0"/>
    </xf>
    <xf numFmtId="0" fontId="26" fillId="0" borderId="0" xfId="0" applyFont="1" applyFill="1" applyBorder="1" applyAlignment="1">
      <alignment horizontal="left" vertical="center"/>
      <protection locked="0"/>
    </xf>
    <xf numFmtId="43" fontId="26" fillId="0" borderId="3" xfId="29" applyFont="1" applyBorder="1" applyAlignment="1" applyProtection="1">
      <alignment vertical="center" wrapText="1"/>
      <protection locked="0"/>
    </xf>
    <xf numFmtId="14" fontId="26" fillId="0" borderId="3" xfId="0" applyNumberFormat="1" applyFont="1" applyBorder="1" applyAlignment="1">
      <alignment horizontal="center" vertical="center"/>
      <protection locked="0"/>
    </xf>
    <xf numFmtId="0" fontId="26" fillId="0" borderId="3" xfId="0" applyFont="1" applyFill="1" applyBorder="1" applyAlignment="1">
      <alignment horizontal="center" vertical="center" wrapText="1" shrinkToFit="1"/>
      <protection locked="0"/>
    </xf>
    <xf numFmtId="0" fontId="26" fillId="0" borderId="3" xfId="0" applyFont="1" applyBorder="1" applyAlignment="1">
      <alignment horizontal="center" vertical="center" wrapText="1" shrinkToFit="1"/>
      <protection locked="0"/>
    </xf>
    <xf numFmtId="0" fontId="26" fillId="6" borderId="3" xfId="0" applyFont="1" applyFill="1" applyBorder="1" applyAlignment="1">
      <alignment horizontal="left" vertical="center"/>
      <protection locked="0"/>
    </xf>
    <xf numFmtId="14" fontId="26" fillId="6" borderId="3" xfId="0" applyNumberFormat="1" applyFont="1" applyFill="1" applyBorder="1" applyAlignment="1">
      <alignment horizontal="left" vertical="center"/>
      <protection locked="0"/>
    </xf>
    <xf numFmtId="0" fontId="84" fillId="0" borderId="0" xfId="0" applyFont="1" applyBorder="1" applyAlignment="1">
      <alignment vertical="center" wrapText="1"/>
      <protection locked="0"/>
    </xf>
    <xf numFmtId="0" fontId="29" fillId="6" borderId="4" xfId="0" applyFont="1" applyFill="1" applyBorder="1" applyAlignment="1">
      <alignment horizontal="center" vertical="center"/>
      <protection locked="0"/>
    </xf>
    <xf numFmtId="0" fontId="29" fillId="6" borderId="4" xfId="0" applyFont="1" applyFill="1" applyBorder="1" applyAlignment="1">
      <alignment horizontal="center" vertical="center" wrapText="1"/>
      <protection locked="0"/>
    </xf>
    <xf numFmtId="0" fontId="26" fillId="0" borderId="10" xfId="0" applyFont="1" applyFill="1" applyBorder="1" applyAlignment="1">
      <alignment horizontal="left" vertical="center"/>
      <protection locked="0"/>
    </xf>
    <xf numFmtId="0" fontId="26" fillId="0" borderId="12" xfId="0" applyFont="1" applyFill="1" applyBorder="1" applyAlignment="1">
      <alignment vertical="center"/>
      <protection locked="0"/>
    </xf>
    <xf numFmtId="0" fontId="25" fillId="0" borderId="0" xfId="0" applyFont="1" applyFill="1" applyAlignment="1">
      <alignment vertical="center"/>
      <protection locked="0"/>
    </xf>
    <xf numFmtId="0" fontId="25" fillId="0" borderId="11" xfId="0" applyFont="1" applyBorder="1" applyAlignment="1">
      <alignment vertical="center"/>
      <protection locked="0"/>
    </xf>
    <xf numFmtId="0" fontId="25" fillId="0" borderId="0" xfId="0" applyFont="1" applyBorder="1" applyAlignment="1">
      <alignment vertical="center"/>
      <protection locked="0"/>
    </xf>
    <xf numFmtId="0" fontId="29" fillId="6" borderId="8" xfId="0" applyFont="1" applyFill="1" applyBorder="1" applyAlignment="1">
      <alignment vertical="center"/>
      <protection locked="0"/>
    </xf>
    <xf numFmtId="14" fontId="26" fillId="6" borderId="3" xfId="0" applyNumberFormat="1" applyFont="1" applyFill="1" applyBorder="1" applyAlignment="1">
      <alignment vertical="center"/>
      <protection locked="0"/>
    </xf>
    <xf numFmtId="43" fontId="29" fillId="6" borderId="8" xfId="29" applyFont="1" applyFill="1" applyBorder="1" applyAlignment="1" applyProtection="1">
      <alignment vertical="center"/>
      <protection locked="0"/>
    </xf>
    <xf numFmtId="0" fontId="35" fillId="6" borderId="0" xfId="0" applyFont="1" applyFill="1" applyAlignment="1">
      <alignment vertical="center"/>
      <protection locked="0"/>
    </xf>
    <xf numFmtId="43" fontId="29" fillId="0" borderId="13" xfId="29" applyFont="1" applyFill="1" applyBorder="1" applyAlignment="1" applyProtection="1">
      <alignment vertical="center"/>
      <protection locked="0"/>
    </xf>
    <xf numFmtId="43" fontId="29" fillId="0" borderId="0" xfId="29" applyFont="1" applyFill="1" applyBorder="1" applyAlignment="1" applyProtection="1">
      <alignment vertical="center"/>
      <protection locked="0"/>
    </xf>
    <xf numFmtId="0" fontId="29" fillId="0" borderId="0" xfId="0" applyFont="1" applyFill="1" applyBorder="1" applyAlignment="1">
      <alignment vertical="center"/>
      <protection locked="0"/>
    </xf>
    <xf numFmtId="0" fontId="35" fillId="0" borderId="0" xfId="0" applyFont="1" applyAlignment="1">
      <alignment vertical="center"/>
      <protection locked="0"/>
    </xf>
    <xf numFmtId="49" fontId="19" fillId="0" borderId="3" xfId="0" applyNumberFormat="1" applyFont="1" applyBorder="1" applyAlignment="1">
      <alignment vertical="center"/>
      <protection locked="0"/>
    </xf>
    <xf numFmtId="49" fontId="26" fillId="6" borderId="3" xfId="29" applyNumberFormat="1" applyFont="1" applyFill="1" applyBorder="1" applyAlignment="1" applyProtection="1">
      <alignment horizontal="left" vertical="center"/>
      <protection locked="0"/>
    </xf>
    <xf numFmtId="0" fontId="26" fillId="6" borderId="3" xfId="29" applyNumberFormat="1" applyFont="1" applyFill="1" applyBorder="1" applyAlignment="1" applyProtection="1">
      <alignment horizontal="left" vertical="center"/>
      <protection locked="0"/>
    </xf>
    <xf numFmtId="43" fontId="21" fillId="6" borderId="3" xfId="29" quotePrefix="1" applyFont="1" applyFill="1" applyBorder="1" applyAlignment="1" applyProtection="1">
      <alignment horizontal="center" vertical="center"/>
      <protection locked="0"/>
    </xf>
    <xf numFmtId="14" fontId="26" fillId="6" borderId="3" xfId="0" applyNumberFormat="1" applyFont="1" applyFill="1" applyBorder="1" applyAlignment="1">
      <alignment horizontal="center" vertical="center"/>
      <protection locked="0"/>
    </xf>
    <xf numFmtId="196" fontId="26" fillId="6" borderId="3" xfId="0" applyNumberFormat="1" applyFont="1" applyFill="1" applyBorder="1" applyAlignment="1">
      <alignment horizontal="center" vertical="center"/>
      <protection locked="0"/>
    </xf>
    <xf numFmtId="196" fontId="29" fillId="6" borderId="3" xfId="0" applyNumberFormat="1" applyFont="1" applyFill="1" applyBorder="1" applyAlignment="1">
      <alignment vertical="center"/>
      <protection locked="0"/>
    </xf>
    <xf numFmtId="0" fontId="44" fillId="0" borderId="3" xfId="30" applyFont="1" applyBorder="1" applyAlignment="1">
      <alignment vertical="center"/>
      <protection locked="0"/>
    </xf>
    <xf numFmtId="43" fontId="26" fillId="6" borderId="3" xfId="30" applyNumberFormat="1" applyFont="1" applyFill="1" applyBorder="1" applyAlignment="1">
      <alignment horizontal="justify" vertical="center" wrapText="1"/>
      <protection locked="0"/>
    </xf>
    <xf numFmtId="0" fontId="26" fillId="6" borderId="3" xfId="30" applyFont="1" applyFill="1" applyBorder="1" applyAlignment="1">
      <alignment vertical="center"/>
      <protection locked="0"/>
    </xf>
    <xf numFmtId="0" fontId="26" fillId="0" borderId="3" xfId="30" applyFont="1" applyFill="1" applyBorder="1" applyAlignment="1">
      <alignment vertical="center"/>
      <protection locked="0"/>
    </xf>
    <xf numFmtId="0" fontId="26" fillId="0" borderId="3" xfId="30" applyFont="1" applyFill="1" applyBorder="1" applyAlignment="1">
      <alignment horizontal="justify" vertical="center" wrapText="1"/>
      <protection locked="0"/>
    </xf>
    <xf numFmtId="0" fontId="86" fillId="0" borderId="0" xfId="0" applyFont="1" applyBorder="1" applyAlignment="1">
      <alignment vertical="center"/>
      <protection locked="0"/>
    </xf>
    <xf numFmtId="0" fontId="0" fillId="0" borderId="0" xfId="0" applyAlignment="1">
      <alignment horizontal="center" vertical="center"/>
      <protection locked="0"/>
    </xf>
    <xf numFmtId="197" fontId="26" fillId="0" borderId="3" xfId="81" applyNumberFormat="1" applyFont="1" applyFill="1" applyBorder="1" applyAlignment="1" applyProtection="1">
      <alignment horizontal="center" vertical="center"/>
      <protection locked="0"/>
    </xf>
    <xf numFmtId="197" fontId="26" fillId="0" borderId="3" xfId="96" applyNumberFormat="1" applyFont="1" applyFill="1" applyBorder="1" applyAlignment="1" applyProtection="1">
      <alignment horizontal="center" vertical="center"/>
      <protection locked="0"/>
    </xf>
    <xf numFmtId="0" fontId="18" fillId="0" borderId="3" xfId="0" applyFont="1" applyBorder="1">
      <protection locked="0"/>
    </xf>
    <xf numFmtId="0" fontId="10" fillId="0" borderId="3" xfId="0" applyFont="1" applyBorder="1">
      <protection locked="0"/>
    </xf>
    <xf numFmtId="0" fontId="10" fillId="0" borderId="3" xfId="0" applyFont="1" applyFill="1" applyBorder="1">
      <protection locked="0"/>
    </xf>
    <xf numFmtId="0" fontId="19" fillId="0" borderId="3" xfId="0" applyFont="1" applyFill="1" applyBorder="1" applyAlignment="1">
      <alignment vertical="center"/>
      <protection locked="0"/>
    </xf>
    <xf numFmtId="0" fontId="18" fillId="0" borderId="0" xfId="0" applyFont="1" applyAlignment="1">
      <alignment horizontal="center" vertical="center"/>
      <protection locked="0"/>
    </xf>
    <xf numFmtId="0" fontId="10" fillId="0" borderId="0" xfId="0" applyFont="1" applyAlignment="1">
      <alignment horizontal="center" vertical="center" wrapText="1"/>
      <protection locked="0"/>
    </xf>
    <xf numFmtId="0" fontId="10" fillId="0" borderId="3" xfId="0" applyFont="1" applyBorder="1" applyAlignment="1">
      <alignment wrapText="1"/>
      <protection locked="0"/>
    </xf>
    <xf numFmtId="0" fontId="10" fillId="0" borderId="3" xfId="0" applyFont="1" applyFill="1" applyBorder="1" applyAlignment="1">
      <alignment wrapText="1"/>
      <protection locked="0"/>
    </xf>
    <xf numFmtId="0" fontId="87" fillId="0" borderId="3" xfId="0" applyFont="1" applyBorder="1" applyAlignment="1">
      <alignment wrapText="1"/>
      <protection locked="0"/>
    </xf>
    <xf numFmtId="0" fontId="10" fillId="0" borderId="3" xfId="0" applyFont="1" applyBorder="1" applyAlignment="1">
      <alignment vertical="center" wrapText="1"/>
      <protection locked="0"/>
    </xf>
    <xf numFmtId="0" fontId="10" fillId="0" borderId="3" xfId="0" applyFont="1" applyBorder="1" applyAlignment="1">
      <alignment vertical="center"/>
      <protection locked="0"/>
    </xf>
    <xf numFmtId="0" fontId="0" fillId="0" borderId="0" xfId="0" applyAlignment="1">
      <alignment vertical="center"/>
      <protection locked="0"/>
    </xf>
    <xf numFmtId="0" fontId="10" fillId="0" borderId="3" xfId="23" applyFont="1" applyBorder="1" applyAlignment="1">
      <alignment vertical="center"/>
      <protection locked="0"/>
    </xf>
    <xf numFmtId="0" fontId="10" fillId="0" borderId="3" xfId="23" applyFont="1" applyBorder="1" applyAlignment="1">
      <protection locked="0"/>
    </xf>
    <xf numFmtId="0" fontId="10" fillId="0" borderId="3" xfId="23" quotePrefix="1" applyFont="1" applyBorder="1" applyAlignment="1">
      <alignment vertical="center"/>
      <protection locked="0"/>
    </xf>
    <xf numFmtId="0" fontId="88" fillId="0" borderId="3" xfId="23" applyFont="1" applyBorder="1" applyAlignment="1">
      <alignment vertical="center"/>
      <protection locked="0"/>
    </xf>
    <xf numFmtId="0" fontId="10" fillId="0" borderId="3" xfId="23" applyFont="1" applyFill="1" applyBorder="1" applyAlignment="1">
      <alignment vertical="center"/>
      <protection locked="0"/>
    </xf>
    <xf numFmtId="0" fontId="10" fillId="0" borderId="3" xfId="23" applyFont="1" applyFill="1" applyBorder="1" applyAlignment="1">
      <protection locked="0"/>
    </xf>
    <xf numFmtId="0" fontId="26" fillId="0" borderId="3" xfId="0" applyFont="1" applyBorder="1" applyAlignment="1">
      <alignment horizontal="center"/>
      <protection locked="0"/>
    </xf>
    <xf numFmtId="0" fontId="26" fillId="0" borderId="3" xfId="0" applyFont="1" applyBorder="1" applyAlignment="1">
      <alignment horizontal="left"/>
      <protection locked="0"/>
    </xf>
    <xf numFmtId="43" fontId="26" fillId="0" borderId="3" xfId="29" applyFont="1" applyBorder="1" applyProtection="1">
      <protection locked="0"/>
    </xf>
    <xf numFmtId="43" fontId="29" fillId="6" borderId="3" xfId="29" applyFont="1" applyFill="1" applyBorder="1" applyProtection="1">
      <protection locked="0"/>
    </xf>
    <xf numFmtId="0" fontId="29" fillId="0" borderId="3" xfId="0" applyFont="1" applyBorder="1">
      <protection locked="0"/>
    </xf>
    <xf numFmtId="0" fontId="29" fillId="0" borderId="0" xfId="0" applyFont="1">
      <protection locked="0"/>
    </xf>
    <xf numFmtId="43" fontId="29" fillId="6" borderId="3" xfId="0" applyNumberFormat="1" applyFont="1" applyFill="1" applyBorder="1">
      <protection locked="0"/>
    </xf>
    <xf numFmtId="0" fontId="87" fillId="0" borderId="0" xfId="0" applyFont="1" applyAlignment="1">
      <alignment wrapText="1"/>
      <protection locked="0"/>
    </xf>
    <xf numFmtId="0" fontId="21" fillId="6" borderId="3" xfId="81" applyFont="1" applyFill="1" applyBorder="1" applyAlignment="1" applyProtection="1">
      <alignment horizontal="center" vertical="center"/>
      <protection locked="0"/>
    </xf>
    <xf numFmtId="0" fontId="21" fillId="6" borderId="3" xfId="81" applyFont="1" applyFill="1" applyBorder="1" applyAlignment="1" applyProtection="1">
      <alignment horizontal="center" vertical="center" wrapText="1"/>
      <protection locked="0"/>
    </xf>
    <xf numFmtId="0" fontId="75" fillId="0" borderId="3" xfId="96" applyNumberFormat="1" applyFont="1" applyFill="1" applyBorder="1" applyAlignment="1" applyProtection="1">
      <alignment horizontal="left" vertical="center"/>
      <protection locked="0"/>
    </xf>
    <xf numFmtId="195" fontId="19" fillId="0" borderId="3" xfId="96" applyFont="1" applyFill="1" applyBorder="1" applyAlignment="1" applyProtection="1">
      <alignment horizontal="left" vertical="center" wrapText="1"/>
      <protection locked="0"/>
    </xf>
    <xf numFmtId="0" fontId="21" fillId="0" borderId="3" xfId="81" applyFont="1" applyFill="1" applyBorder="1" applyAlignment="1" applyProtection="1">
      <alignment horizontal="center" vertical="center" wrapText="1"/>
      <protection locked="0"/>
    </xf>
    <xf numFmtId="195" fontId="44" fillId="0" borderId="3" xfId="96" applyFont="1" applyFill="1" applyBorder="1" applyAlignment="1">
      <alignment vertical="center" wrapText="1"/>
    </xf>
    <xf numFmtId="195" fontId="45" fillId="0" borderId="3" xfId="96" applyFont="1" applyFill="1" applyBorder="1" applyAlignment="1">
      <alignment vertical="center" wrapText="1"/>
    </xf>
    <xf numFmtId="0" fontId="75" fillId="0" borderId="3" xfId="96" applyNumberFormat="1" applyFont="1" applyFill="1" applyBorder="1" applyAlignment="1" applyProtection="1">
      <alignment horizontal="left" vertical="center" wrapText="1"/>
      <protection locked="0"/>
    </xf>
    <xf numFmtId="49" fontId="75" fillId="0" borderId="3" xfId="96" applyNumberFormat="1" applyFont="1" applyFill="1" applyBorder="1" applyAlignment="1" applyProtection="1">
      <alignment horizontal="left" vertical="center" wrapText="1"/>
      <protection locked="0"/>
    </xf>
    <xf numFmtId="195" fontId="19" fillId="0" borderId="3" xfId="106" applyFont="1" applyFill="1" applyBorder="1" applyAlignment="1">
      <alignment vertical="center" wrapText="1"/>
    </xf>
    <xf numFmtId="0" fontId="19" fillId="0" borderId="0" xfId="30" applyFont="1" applyBorder="1" applyAlignment="1">
      <alignment horizontal="right" vertical="center"/>
      <protection locked="0"/>
    </xf>
    <xf numFmtId="0" fontId="19" fillId="0" borderId="0" xfId="30" applyFont="1" applyAlignment="1">
      <alignment vertical="center"/>
      <protection locked="0"/>
    </xf>
    <xf numFmtId="0" fontId="58" fillId="6" borderId="8" xfId="0" applyFont="1" applyFill="1" applyBorder="1" applyAlignment="1">
      <alignment horizontal="center" vertical="center"/>
      <protection locked="0"/>
    </xf>
    <xf numFmtId="0" fontId="58" fillId="6" borderId="3" xfId="0" applyFont="1" applyFill="1" applyBorder="1" applyAlignment="1">
      <alignment horizontal="center" vertical="center" wrapText="1"/>
      <protection locked="0"/>
    </xf>
    <xf numFmtId="43" fontId="26" fillId="0" borderId="3" xfId="0" applyNumberFormat="1" applyFont="1" applyFill="1" applyBorder="1" applyAlignment="1">
      <alignment horizontal="center" vertical="center"/>
      <protection locked="0"/>
    </xf>
    <xf numFmtId="43" fontId="28" fillId="6" borderId="3" xfId="29" applyFont="1" applyFill="1" applyBorder="1" applyAlignment="1" applyProtection="1">
      <alignment horizontal="left" vertical="center"/>
      <protection locked="0"/>
    </xf>
    <xf numFmtId="43" fontId="28" fillId="0" borderId="3" xfId="29" applyFont="1" applyFill="1" applyBorder="1" applyAlignment="1" applyProtection="1">
      <alignment horizontal="left" vertical="center"/>
      <protection locked="0"/>
    </xf>
    <xf numFmtId="0" fontId="19" fillId="0" borderId="3" xfId="0" applyFont="1" applyBorder="1" applyAlignment="1">
      <alignment horizontal="left" vertical="center" shrinkToFit="1"/>
      <protection locked="0"/>
    </xf>
    <xf numFmtId="0" fontId="58" fillId="6" borderId="3" xfId="0" applyFont="1" applyFill="1" applyBorder="1" applyAlignment="1">
      <alignment horizontal="center" vertical="center" wrapText="1" shrinkToFit="1"/>
      <protection locked="0"/>
    </xf>
    <xf numFmtId="43" fontId="19" fillId="0" borderId="0" xfId="99" applyNumberFormat="1" applyFont="1" applyBorder="1" applyAlignment="1">
      <alignment horizontal="left" vertical="center"/>
    </xf>
    <xf numFmtId="0" fontId="21" fillId="0" borderId="0" xfId="0" applyFont="1" applyFill="1" applyBorder="1" applyAlignment="1">
      <alignment horizontal="center" vertical="center"/>
      <protection locked="0"/>
    </xf>
    <xf numFmtId="0" fontId="21" fillId="0" borderId="0" xfId="0" applyFont="1" applyFill="1" applyBorder="1" applyAlignment="1">
      <alignment horizontal="center" vertical="center" wrapText="1"/>
      <protection locked="0"/>
    </xf>
    <xf numFmtId="0" fontId="29" fillId="0" borderId="0" xfId="0" applyFont="1" applyFill="1" applyAlignment="1">
      <alignment vertical="center"/>
      <protection locked="0"/>
    </xf>
    <xf numFmtId="0" fontId="26" fillId="0" borderId="2" xfId="0" applyFont="1" applyBorder="1" applyAlignment="1">
      <alignment horizontal="center" vertical="center"/>
      <protection locked="0"/>
    </xf>
    <xf numFmtId="0" fontId="67" fillId="0" borderId="0" xfId="23" applyFont="1" applyBorder="1" applyAlignment="1">
      <alignment vertical="center"/>
      <protection locked="0"/>
    </xf>
    <xf numFmtId="0" fontId="89" fillId="0" borderId="0" xfId="23" applyFont="1" applyBorder="1" applyAlignment="1">
      <alignment vertical="center"/>
      <protection locked="0"/>
    </xf>
    <xf numFmtId="0" fontId="67" fillId="0" borderId="0" xfId="23" applyFont="1" applyAlignment="1">
      <alignment vertical="center"/>
      <protection locked="0"/>
    </xf>
    <xf numFmtId="43" fontId="67" fillId="0" borderId="0" xfId="23" applyNumberFormat="1" applyFont="1" applyBorder="1" applyAlignment="1" applyProtection="1">
      <alignment horizontal="left" vertical="center"/>
    </xf>
    <xf numFmtId="43" fontId="26" fillId="0" borderId="0" xfId="30" applyNumberFormat="1" applyFont="1" applyAlignment="1">
      <alignment horizontal="right" wrapText="1"/>
      <protection locked="0"/>
    </xf>
    <xf numFmtId="43" fontId="29" fillId="0" borderId="15" xfId="30" applyNumberFormat="1" applyFont="1" applyBorder="1" applyAlignment="1">
      <alignment horizontal="right" wrapText="1"/>
      <protection locked="0"/>
    </xf>
    <xf numFmtId="43" fontId="90" fillId="0" borderId="0" xfId="30" applyNumberFormat="1" applyFont="1" applyAlignment="1">
      <alignment horizontal="right" wrapText="1"/>
      <protection locked="0"/>
    </xf>
    <xf numFmtId="43" fontId="90" fillId="0" borderId="14" xfId="30" applyNumberFormat="1" applyFont="1" applyBorder="1" applyAlignment="1">
      <alignment wrapText="1"/>
      <protection locked="0"/>
    </xf>
    <xf numFmtId="43" fontId="90" fillId="0" borderId="0" xfId="30" applyNumberFormat="1" applyFont="1" applyBorder="1" applyAlignment="1">
      <alignment wrapText="1"/>
      <protection locked="0"/>
    </xf>
    <xf numFmtId="43" fontId="29" fillId="0" borderId="15" xfId="29" applyFont="1" applyBorder="1" applyAlignment="1" applyProtection="1">
      <alignment horizontal="right" wrapText="1"/>
      <protection locked="0"/>
    </xf>
    <xf numFmtId="0" fontId="58" fillId="6" borderId="11" xfId="0" applyFont="1" applyFill="1" applyBorder="1" applyAlignment="1">
      <alignment horizontal="center" vertical="center"/>
      <protection locked="0"/>
    </xf>
    <xf numFmtId="43" fontId="28" fillId="0" borderId="0" xfId="0" applyNumberFormat="1" applyFont="1" applyFill="1" applyBorder="1" applyAlignment="1">
      <alignment horizontal="left" vertical="center"/>
      <protection locked="0"/>
    </xf>
    <xf numFmtId="0" fontId="29" fillId="6" borderId="0" xfId="0" applyFont="1" applyFill="1" applyBorder="1" applyAlignment="1">
      <alignment horizontal="centerContinuous" vertical="center"/>
      <protection locked="0"/>
    </xf>
    <xf numFmtId="0" fontId="29" fillId="6" borderId="0" xfId="0" applyFont="1" applyFill="1" applyBorder="1" applyAlignment="1">
      <alignment horizontal="centerContinuous" vertical="center" shrinkToFit="1"/>
      <protection locked="0"/>
    </xf>
    <xf numFmtId="43" fontId="29" fillId="6" borderId="0" xfId="0" quotePrefix="1" applyNumberFormat="1" applyFont="1" applyFill="1" applyBorder="1" applyAlignment="1">
      <alignment horizontal="center" vertical="center"/>
      <protection locked="0"/>
    </xf>
    <xf numFmtId="43" fontId="28" fillId="6" borderId="0" xfId="0" applyNumberFormat="1" applyFont="1" applyFill="1" applyBorder="1" applyAlignment="1">
      <alignment horizontal="left" vertical="center"/>
      <protection locked="0"/>
    </xf>
    <xf numFmtId="43" fontId="27" fillId="6" borderId="0" xfId="0" applyNumberFormat="1" applyFont="1" applyFill="1" applyBorder="1" applyAlignment="1">
      <alignment horizontal="left" vertical="center"/>
      <protection locked="0"/>
    </xf>
    <xf numFmtId="0" fontId="26" fillId="6" borderId="0" xfId="0" applyFont="1" applyFill="1" applyBorder="1" applyAlignment="1">
      <alignment vertical="center"/>
      <protection locked="0"/>
    </xf>
    <xf numFmtId="0" fontId="52" fillId="6" borderId="0" xfId="0" applyFont="1" applyFill="1" applyBorder="1" applyAlignment="1">
      <alignment horizontal="centerContinuous" vertical="center"/>
      <protection locked="0"/>
    </xf>
    <xf numFmtId="0" fontId="21" fillId="6" borderId="0" xfId="0" applyFont="1" applyFill="1" applyBorder="1" applyAlignment="1">
      <alignment horizontal="centerContinuous" vertical="center" shrinkToFit="1"/>
      <protection locked="0"/>
    </xf>
    <xf numFmtId="0" fontId="21" fillId="6" borderId="0" xfId="0" applyFont="1" applyFill="1" applyBorder="1" applyAlignment="1">
      <alignment horizontal="centerContinuous" vertical="center"/>
      <protection locked="0"/>
    </xf>
    <xf numFmtId="43" fontId="21" fillId="6" borderId="0" xfId="0" quotePrefix="1" applyNumberFormat="1" applyFont="1" applyFill="1" applyBorder="1" applyAlignment="1">
      <alignment horizontal="center" vertical="center"/>
      <protection locked="0"/>
    </xf>
    <xf numFmtId="0" fontId="31" fillId="0" borderId="0" xfId="0" applyFont="1" applyFill="1" applyBorder="1" applyAlignment="1">
      <alignment horizontal="centerContinuous" vertical="center"/>
      <protection locked="0"/>
    </xf>
    <xf numFmtId="0" fontId="21" fillId="0" borderId="0" xfId="0" applyFont="1" applyFill="1" applyBorder="1" applyAlignment="1">
      <alignment horizontal="centerContinuous" vertical="center" shrinkToFit="1"/>
      <protection locked="0"/>
    </xf>
    <xf numFmtId="0" fontId="21" fillId="0" borderId="0" xfId="0" applyFont="1" applyFill="1" applyBorder="1" applyAlignment="1">
      <alignment horizontal="centerContinuous" vertical="center"/>
      <protection locked="0"/>
    </xf>
    <xf numFmtId="43" fontId="21" fillId="0" borderId="0" xfId="0" quotePrefix="1" applyNumberFormat="1" applyFont="1" applyFill="1" applyBorder="1" applyAlignment="1">
      <alignment horizontal="center" vertical="center"/>
      <protection locked="0"/>
    </xf>
    <xf numFmtId="0" fontId="67" fillId="0" borderId="0" xfId="0" applyFont="1" applyAlignment="1">
      <alignment vertical="center"/>
      <protection locked="0"/>
    </xf>
    <xf numFmtId="0" fontId="19" fillId="0" borderId="0" xfId="0" applyFont="1" applyFill="1" applyBorder="1" applyAlignment="1">
      <alignment vertical="center"/>
      <protection locked="0"/>
    </xf>
    <xf numFmtId="0" fontId="19" fillId="0" borderId="0" xfId="0" applyFont="1" applyFill="1" applyBorder="1" applyAlignment="1">
      <alignment vertical="center" wrapText="1"/>
      <protection locked="0"/>
    </xf>
    <xf numFmtId="0" fontId="83" fillId="7" borderId="0" xfId="81" applyFont="1" applyFill="1" applyAlignment="1" applyProtection="1">
      <alignment horizontal="left" vertical="center" wrapText="1"/>
      <protection locked="0"/>
    </xf>
    <xf numFmtId="0" fontId="83" fillId="7" borderId="0" xfId="81" applyFont="1" applyFill="1" applyAlignment="1" applyProtection="1">
      <alignment horizontal="left" vertical="center"/>
      <protection locked="0"/>
    </xf>
    <xf numFmtId="0" fontId="26" fillId="0" borderId="3" xfId="81" applyFont="1" applyFill="1" applyBorder="1" applyAlignment="1" applyProtection="1">
      <alignment horizontal="center" vertical="center" wrapText="1"/>
      <protection locked="0"/>
    </xf>
    <xf numFmtId="195" fontId="26" fillId="0" borderId="0" xfId="96" applyFont="1" applyFill="1" applyBorder="1" applyAlignment="1" applyProtection="1">
      <alignment horizontal="center" vertical="center"/>
      <protection locked="0"/>
    </xf>
    <xf numFmtId="195" fontId="54" fillId="0" borderId="0" xfId="96" applyFont="1" applyFill="1" applyAlignment="1">
      <alignment horizontal="center" vertical="center"/>
    </xf>
    <xf numFmtId="0" fontId="19" fillId="4" borderId="0" xfId="0" applyFont="1" applyFill="1" applyBorder="1" applyAlignment="1">
      <alignment horizontal="justify" vertical="center" wrapText="1"/>
      <protection locked="0"/>
    </xf>
    <xf numFmtId="0" fontId="26" fillId="0" borderId="3" xfId="81" applyFont="1" applyFill="1" applyBorder="1" applyAlignment="1">
      <alignment horizontal="center" vertical="center" wrapText="1"/>
    </xf>
    <xf numFmtId="195" fontId="67" fillId="0" borderId="0" xfId="23" applyNumberFormat="1" applyFont="1" applyFill="1" applyBorder="1" applyAlignment="1" applyProtection="1">
      <alignment horizontal="center" vertical="center" wrapText="1"/>
      <protection locked="0"/>
    </xf>
    <xf numFmtId="0" fontId="29" fillId="6" borderId="3" xfId="30" applyFont="1" applyFill="1" applyBorder="1" applyAlignment="1">
      <alignment horizontal="center" vertical="center"/>
      <protection locked="0"/>
    </xf>
    <xf numFmtId="0" fontId="29" fillId="6" borderId="3" xfId="30" applyFont="1" applyFill="1" applyBorder="1" applyAlignment="1">
      <alignment horizontal="center" vertical="center" wrapText="1"/>
      <protection locked="0"/>
    </xf>
    <xf numFmtId="0" fontId="91" fillId="0" borderId="2" xfId="23" applyFont="1" applyBorder="1" applyAlignment="1">
      <alignment vertical="center"/>
      <protection locked="0"/>
    </xf>
    <xf numFmtId="0" fontId="91" fillId="0" borderId="2" xfId="23" quotePrefix="1" applyFont="1" applyBorder="1" applyAlignment="1">
      <alignment vertical="center"/>
      <protection locked="0"/>
    </xf>
    <xf numFmtId="0" fontId="19" fillId="0" borderId="0" xfId="0" applyFont="1" applyFill="1" applyAlignment="1">
      <alignment horizontal="left" vertical="center"/>
      <protection locked="0"/>
    </xf>
    <xf numFmtId="0" fontId="21" fillId="6" borderId="3" xfId="103" applyFont="1" applyFill="1" applyBorder="1" applyAlignment="1" applyProtection="1">
      <alignment horizontal="center" vertical="center"/>
    </xf>
    <xf numFmtId="43" fontId="26" fillId="9" borderId="3" xfId="0" applyNumberFormat="1" applyFont="1" applyFill="1" applyBorder="1" applyAlignment="1">
      <alignment vertical="center"/>
      <protection locked="0"/>
    </xf>
    <xf numFmtId="43" fontId="26" fillId="9" borderId="3" xfId="29" applyFont="1" applyFill="1" applyBorder="1" applyAlignment="1" applyProtection="1">
      <alignment vertical="center"/>
      <protection locked="0"/>
    </xf>
    <xf numFmtId="195" fontId="47" fillId="0" borderId="3" xfId="96" applyFont="1" applyFill="1" applyBorder="1" applyAlignment="1">
      <alignment horizontal="center" vertical="center" wrapText="1"/>
    </xf>
    <xf numFmtId="0" fontId="21" fillId="0" borderId="19" xfId="81" applyFont="1" applyFill="1" applyBorder="1" applyAlignment="1" applyProtection="1">
      <alignment vertical="center"/>
      <protection locked="0"/>
    </xf>
    <xf numFmtId="0" fontId="29" fillId="6" borderId="3" xfId="0" applyFont="1" applyFill="1" applyBorder="1" applyAlignment="1">
      <alignment horizontal="center" vertical="center"/>
      <protection locked="0"/>
    </xf>
    <xf numFmtId="0" fontId="26" fillId="0" borderId="3" xfId="0" applyFont="1" applyBorder="1" applyAlignment="1">
      <alignment horizontal="center" vertical="center"/>
      <protection locked="0"/>
    </xf>
    <xf numFmtId="0" fontId="19" fillId="0" borderId="0" xfId="0" applyFont="1" applyAlignment="1">
      <alignment vertical="center"/>
      <protection locked="0"/>
    </xf>
    <xf numFmtId="43" fontId="48" fillId="0" borderId="0" xfId="99" applyNumberFormat="1" applyFont="1" applyBorder="1" applyAlignment="1">
      <alignment vertical="center"/>
    </xf>
    <xf numFmtId="43" fontId="48" fillId="0" borderId="3" xfId="99" applyNumberFormat="1" applyFont="1" applyBorder="1" applyAlignment="1">
      <alignment vertical="center"/>
    </xf>
    <xf numFmtId="43" fontId="47" fillId="0" borderId="3" xfId="99" applyNumberFormat="1" applyFont="1" applyBorder="1" applyAlignment="1">
      <alignment vertical="center"/>
    </xf>
    <xf numFmtId="0" fontId="55" fillId="0" borderId="0" xfId="0" applyFont="1" applyAlignment="1">
      <alignment horizontal="center" vertical="center"/>
      <protection locked="0"/>
    </xf>
    <xf numFmtId="195" fontId="84" fillId="0" borderId="0" xfId="107" applyFont="1" applyFill="1" applyAlignment="1">
      <alignment horizontal="left" vertical="center"/>
    </xf>
    <xf numFmtId="0" fontId="35" fillId="0" borderId="0" xfId="0" applyFont="1" applyAlignment="1">
      <alignment horizontal="left" vertical="center" wrapText="1"/>
      <protection locked="0"/>
    </xf>
    <xf numFmtId="0" fontId="25" fillId="0" borderId="0" xfId="0" applyFont="1" applyAlignment="1">
      <alignment horizontal="left" vertical="center" wrapText="1"/>
      <protection locked="0"/>
    </xf>
    <xf numFmtId="0" fontId="19" fillId="0" borderId="3" xfId="81" applyFont="1" applyFill="1" applyBorder="1" applyAlignment="1" applyProtection="1">
      <alignment horizontal="center" vertical="center" wrapText="1"/>
      <protection locked="0"/>
    </xf>
    <xf numFmtId="49" fontId="21" fillId="6" borderId="3" xfId="81" applyNumberFormat="1" applyFont="1" applyFill="1" applyBorder="1" applyAlignment="1" applyProtection="1">
      <alignment horizontal="center" vertical="center"/>
      <protection locked="0"/>
    </xf>
    <xf numFmtId="49" fontId="21" fillId="6" borderId="3" xfId="96" applyNumberFormat="1" applyFont="1" applyFill="1" applyBorder="1" applyAlignment="1" applyProtection="1">
      <alignment horizontal="center" vertical="center"/>
      <protection locked="0"/>
    </xf>
    <xf numFmtId="0" fontId="21" fillId="6" borderId="3" xfId="81" applyFont="1" applyFill="1" applyBorder="1" applyAlignment="1" applyProtection="1">
      <alignment horizontal="center" vertical="center" wrapText="1"/>
      <protection locked="0"/>
    </xf>
    <xf numFmtId="195" fontId="21" fillId="6" borderId="3" xfId="96" applyFont="1" applyFill="1" applyBorder="1" applyAlignment="1" applyProtection="1">
      <alignment horizontal="center" vertical="center" wrapText="1"/>
      <protection locked="0"/>
    </xf>
    <xf numFmtId="0" fontId="21" fillId="6" borderId="3" xfId="81" applyFont="1" applyFill="1" applyBorder="1" applyAlignment="1" applyProtection="1">
      <alignment horizontal="center" vertical="center"/>
      <protection locked="0"/>
    </xf>
    <xf numFmtId="0" fontId="29" fillId="6" borderId="3" xfId="81" applyFont="1" applyFill="1" applyBorder="1" applyAlignment="1" applyProtection="1">
      <alignment horizontal="center" vertical="center"/>
      <protection locked="0"/>
    </xf>
    <xf numFmtId="0" fontId="29" fillId="6" borderId="3" xfId="81" applyFont="1" applyFill="1" applyBorder="1" applyAlignment="1" applyProtection="1">
      <alignment horizontal="center" vertical="center" wrapText="1"/>
      <protection locked="0"/>
    </xf>
    <xf numFmtId="0" fontId="6" fillId="0" borderId="3" xfId="81" applyFont="1" applyFill="1" applyBorder="1" applyAlignment="1" applyProtection="1">
      <alignment horizontal="left" vertical="center"/>
      <protection locked="0"/>
    </xf>
    <xf numFmtId="195" fontId="18" fillId="0" borderId="0" xfId="95" applyFont="1" applyFill="1" applyAlignment="1">
      <alignment horizontal="center" vertical="center"/>
    </xf>
    <xf numFmtId="195" fontId="55" fillId="0" borderId="0" xfId="95" applyFont="1" applyFill="1" applyAlignment="1">
      <alignment horizontal="center" vertical="center"/>
    </xf>
    <xf numFmtId="0" fontId="59" fillId="6" borderId="3" xfId="81" applyFont="1" applyFill="1" applyBorder="1" applyAlignment="1" applyProtection="1">
      <alignment horizontal="center" vertical="center" wrapText="1"/>
      <protection locked="0"/>
    </xf>
    <xf numFmtId="0" fontId="18" fillId="0" borderId="0" xfId="98" applyFont="1" applyBorder="1" applyAlignment="1">
      <alignment horizontal="center" vertical="center"/>
    </xf>
    <xf numFmtId="43" fontId="55" fillId="0" borderId="0" xfId="99" applyNumberFormat="1" applyFont="1" applyBorder="1" applyAlignment="1">
      <alignment horizontal="center" vertical="center"/>
    </xf>
    <xf numFmtId="43" fontId="56" fillId="0" borderId="0" xfId="99" applyNumberFormat="1" applyFont="1" applyBorder="1" applyAlignment="1">
      <alignment horizontal="center" vertical="center"/>
    </xf>
    <xf numFmtId="0" fontId="29" fillId="0" borderId="0" xfId="98" applyFont="1" applyBorder="1" applyAlignment="1">
      <alignment horizontal="left" vertical="center" wrapText="1"/>
    </xf>
    <xf numFmtId="43" fontId="48" fillId="0" borderId="3" xfId="99" applyNumberFormat="1" applyFont="1" applyBorder="1" applyAlignment="1">
      <alignment horizontal="center" vertical="center"/>
    </xf>
    <xf numFmtId="43" fontId="47" fillId="0" borderId="7" xfId="99" applyNumberFormat="1" applyFont="1" applyBorder="1" applyAlignment="1">
      <alignment horizontal="left" vertical="center"/>
    </xf>
    <xf numFmtId="43" fontId="47" fillId="0" borderId="9" xfId="99" applyNumberFormat="1" applyFont="1" applyBorder="1" applyAlignment="1">
      <alignment horizontal="left" vertical="center"/>
    </xf>
    <xf numFmtId="43" fontId="47" fillId="0" borderId="7" xfId="99" applyNumberFormat="1" applyFont="1" applyBorder="1" applyAlignment="1">
      <alignment horizontal="center" vertical="center"/>
    </xf>
    <xf numFmtId="43" fontId="47" fillId="0" borderId="9" xfId="99" applyNumberFormat="1" applyFont="1" applyBorder="1" applyAlignment="1">
      <alignment horizontal="center" vertical="center"/>
    </xf>
    <xf numFmtId="0" fontId="52" fillId="0" borderId="14" xfId="30" applyFont="1" applyBorder="1" applyAlignment="1">
      <alignment horizontal="center" vertical="center"/>
      <protection locked="0"/>
    </xf>
    <xf numFmtId="0" fontId="52" fillId="0" borderId="0" xfId="30" applyFont="1" applyBorder="1" applyAlignment="1">
      <alignment horizontal="center" vertical="center"/>
      <protection locked="0"/>
    </xf>
    <xf numFmtId="0" fontId="52" fillId="0" borderId="16" xfId="30" applyFont="1" applyBorder="1" applyAlignment="1">
      <alignment horizontal="center" vertical="center"/>
      <protection locked="0"/>
    </xf>
    <xf numFmtId="0" fontId="76" fillId="0" borderId="14" xfId="30" applyFont="1" applyBorder="1" applyAlignment="1">
      <alignment horizontal="justify" vertical="center" wrapText="1"/>
      <protection locked="0"/>
    </xf>
    <xf numFmtId="0" fontId="76" fillId="0" borderId="16" xfId="30" applyFont="1" applyBorder="1" applyAlignment="1">
      <alignment horizontal="justify" vertical="center" wrapText="1"/>
      <protection locked="0"/>
    </xf>
    <xf numFmtId="0" fontId="76" fillId="0" borderId="14" xfId="30" applyFont="1" applyBorder="1" applyAlignment="1">
      <alignment horizontal="right" vertical="center" wrapText="1"/>
      <protection locked="0"/>
    </xf>
    <xf numFmtId="0" fontId="76" fillId="0" borderId="16" xfId="30" applyFont="1" applyBorder="1" applyAlignment="1">
      <alignment horizontal="right" vertical="center" wrapText="1"/>
      <protection locked="0"/>
    </xf>
    <xf numFmtId="0" fontId="76" fillId="0" borderId="14" xfId="30" applyFont="1" applyBorder="1" applyAlignment="1">
      <alignment horizontal="center" vertical="center" wrapText="1"/>
      <protection locked="0"/>
    </xf>
    <xf numFmtId="0" fontId="78" fillId="0" borderId="14" xfId="30" applyFont="1" applyBorder="1" applyAlignment="1">
      <alignment horizontal="left" vertical="center"/>
      <protection locked="0"/>
    </xf>
    <xf numFmtId="0" fontId="35" fillId="0" borderId="0" xfId="30" applyFont="1" applyAlignment="1">
      <alignment horizontal="center" vertical="center"/>
      <protection locked="0"/>
    </xf>
    <xf numFmtId="0" fontId="52" fillId="0" borderId="15" xfId="30" applyFont="1" applyBorder="1" applyAlignment="1">
      <alignment horizontal="center" vertical="center" wrapText="1"/>
      <protection locked="0"/>
    </xf>
    <xf numFmtId="0" fontId="76" fillId="0" borderId="15" xfId="30" applyFont="1" applyBorder="1" applyAlignment="1">
      <alignment horizontal="center" vertical="center" wrapText="1"/>
      <protection locked="0"/>
    </xf>
    <xf numFmtId="0" fontId="52" fillId="0" borderId="14" xfId="30" applyFont="1" applyBorder="1" applyAlignment="1">
      <alignment horizontal="center" wrapText="1"/>
      <protection locked="0"/>
    </xf>
    <xf numFmtId="0" fontId="52" fillId="0" borderId="16" xfId="30" applyFont="1" applyBorder="1" applyAlignment="1">
      <alignment horizontal="center" wrapText="1"/>
      <protection locked="0"/>
    </xf>
    <xf numFmtId="0" fontId="76" fillId="0" borderId="14" xfId="30" applyFont="1" applyBorder="1" applyAlignment="1">
      <alignment horizontal="right" wrapText="1"/>
      <protection locked="0"/>
    </xf>
    <xf numFmtId="0" fontId="76" fillId="0" borderId="16" xfId="30" applyFont="1" applyBorder="1" applyAlignment="1">
      <alignment horizontal="right" wrapText="1"/>
      <protection locked="0"/>
    </xf>
    <xf numFmtId="0" fontId="76" fillId="0" borderId="15" xfId="30" applyFont="1" applyBorder="1" applyAlignment="1">
      <alignment horizontal="center" wrapText="1"/>
      <protection locked="0"/>
    </xf>
    <xf numFmtId="0" fontId="61" fillId="6" borderId="3" xfId="30" applyFont="1" applyFill="1" applyBorder="1" applyAlignment="1">
      <alignment horizontal="center" vertical="center"/>
      <protection locked="0"/>
    </xf>
    <xf numFmtId="0" fontId="29" fillId="6" borderId="3" xfId="30" applyFont="1" applyFill="1" applyBorder="1" applyAlignment="1">
      <alignment horizontal="center" vertical="center"/>
      <protection locked="0"/>
    </xf>
    <xf numFmtId="0" fontId="21" fillId="6" borderId="3" xfId="30" applyFont="1" applyFill="1" applyBorder="1" applyAlignment="1">
      <alignment horizontal="center" vertical="center" wrapText="1"/>
      <protection locked="0"/>
    </xf>
    <xf numFmtId="0" fontId="29" fillId="6" borderId="3" xfId="30" applyFont="1" applyFill="1" applyBorder="1" applyAlignment="1">
      <alignment horizontal="center" vertical="center" wrapText="1"/>
      <protection locked="0"/>
    </xf>
    <xf numFmtId="0" fontId="29" fillId="6" borderId="7" xfId="30" applyFont="1" applyFill="1" applyBorder="1" applyAlignment="1">
      <alignment horizontal="center" vertical="center"/>
      <protection locked="0"/>
    </xf>
    <xf numFmtId="0" fontId="29" fillId="6" borderId="8" xfId="30" applyFont="1" applyFill="1" applyBorder="1" applyAlignment="1">
      <alignment horizontal="center" vertical="center"/>
      <protection locked="0"/>
    </xf>
    <xf numFmtId="0" fontId="29" fillId="6" borderId="9" xfId="30" applyFont="1" applyFill="1" applyBorder="1" applyAlignment="1">
      <alignment horizontal="center" vertical="center"/>
      <protection locked="0"/>
    </xf>
    <xf numFmtId="0" fontId="29" fillId="6" borderId="4" xfId="30" applyFont="1" applyFill="1" applyBorder="1" applyAlignment="1">
      <alignment horizontal="center" vertical="center" wrapText="1"/>
      <protection locked="0"/>
    </xf>
    <xf numFmtId="0" fontId="29" fillId="6" borderId="6" xfId="30" applyFont="1" applyFill="1" applyBorder="1" applyAlignment="1">
      <alignment horizontal="center" vertical="center" wrapText="1"/>
      <protection locked="0"/>
    </xf>
    <xf numFmtId="0" fontId="29" fillId="6" borderId="4" xfId="30" applyFont="1" applyFill="1" applyBorder="1" applyAlignment="1">
      <alignment horizontal="center" vertical="center"/>
      <protection locked="0"/>
    </xf>
    <xf numFmtId="0" fontId="29" fillId="6" borderId="6" xfId="30" applyFont="1" applyFill="1" applyBorder="1" applyAlignment="1">
      <alignment horizontal="center" vertical="center"/>
      <protection locked="0"/>
    </xf>
    <xf numFmtId="0" fontId="18" fillId="0" borderId="0" xfId="20" applyFont="1" applyAlignment="1">
      <alignment horizontal="center" vertical="center"/>
    </xf>
    <xf numFmtId="0" fontId="55" fillId="0" borderId="0" xfId="20" applyFont="1" applyAlignment="1">
      <alignment horizontal="center" vertical="center"/>
    </xf>
    <xf numFmtId="0" fontId="29" fillId="6" borderId="3" xfId="0" applyFont="1" applyFill="1" applyBorder="1" applyAlignment="1">
      <alignment horizontal="center" vertical="center" wrapText="1"/>
      <protection locked="0"/>
    </xf>
    <xf numFmtId="0" fontId="29" fillId="6" borderId="7" xfId="0" applyFont="1" applyFill="1" applyBorder="1" applyAlignment="1">
      <alignment horizontal="center" vertical="center" wrapText="1"/>
      <protection locked="0"/>
    </xf>
    <xf numFmtId="0" fontId="29" fillId="6" borderId="8" xfId="0" applyFont="1" applyFill="1" applyBorder="1" applyAlignment="1">
      <alignment horizontal="center" vertical="center" wrapText="1"/>
      <protection locked="0"/>
    </xf>
    <xf numFmtId="0" fontId="29" fillId="6" borderId="9" xfId="0" applyFont="1" applyFill="1" applyBorder="1" applyAlignment="1">
      <alignment horizontal="center" vertical="center" wrapText="1"/>
      <protection locked="0"/>
    </xf>
    <xf numFmtId="0" fontId="58" fillId="6" borderId="4" xfId="0" applyFont="1" applyFill="1" applyBorder="1" applyAlignment="1">
      <alignment horizontal="center" vertical="center" wrapText="1"/>
      <protection locked="0"/>
    </xf>
    <xf numFmtId="0" fontId="58" fillId="6" borderId="6" xfId="0" applyFont="1" applyFill="1" applyBorder="1" applyAlignment="1">
      <alignment horizontal="center" vertical="center" wrapText="1"/>
      <protection locked="0"/>
    </xf>
    <xf numFmtId="0" fontId="21" fillId="6" borderId="3" xfId="0" applyFont="1" applyFill="1" applyBorder="1" applyAlignment="1">
      <alignment horizontal="center" vertical="center" wrapText="1" shrinkToFit="1"/>
      <protection locked="0"/>
    </xf>
    <xf numFmtId="0" fontId="29" fillId="6" borderId="3" xfId="0" applyFont="1" applyFill="1" applyBorder="1" applyAlignment="1">
      <alignment horizontal="center" vertical="center" wrapText="1" shrinkToFit="1"/>
      <protection locked="0"/>
    </xf>
    <xf numFmtId="0" fontId="29" fillId="6" borderId="3" xfId="0" applyFont="1" applyFill="1" applyBorder="1" applyAlignment="1">
      <alignment horizontal="center" vertical="center"/>
      <protection locked="0"/>
    </xf>
    <xf numFmtId="0" fontId="29" fillId="6" borderId="4" xfId="0" applyFont="1" applyFill="1" applyBorder="1" applyAlignment="1">
      <alignment horizontal="center" vertical="center" wrapText="1"/>
      <protection locked="0"/>
    </xf>
    <xf numFmtId="0" fontId="29" fillId="6" borderId="5" xfId="0" applyFont="1" applyFill="1" applyBorder="1" applyAlignment="1">
      <alignment horizontal="center" vertical="center" wrapText="1"/>
      <protection locked="0"/>
    </xf>
    <xf numFmtId="0" fontId="29" fillId="6" borderId="6" xfId="0" applyFont="1" applyFill="1" applyBorder="1" applyAlignment="1">
      <alignment horizontal="center" vertical="center" wrapText="1"/>
      <protection locked="0"/>
    </xf>
    <xf numFmtId="0" fontId="21" fillId="6" borderId="3" xfId="0" applyFont="1" applyFill="1" applyBorder="1" applyAlignment="1">
      <alignment horizontal="center" vertical="center" wrapText="1"/>
      <protection locked="0"/>
    </xf>
    <xf numFmtId="0" fontId="21" fillId="0" borderId="0" xfId="20" applyFont="1" applyAlignment="1">
      <alignment horizontal="center" vertical="center"/>
    </xf>
    <xf numFmtId="0" fontId="27" fillId="6" borderId="3" xfId="0" applyFont="1" applyFill="1" applyBorder="1" applyAlignment="1">
      <alignment horizontal="center" vertical="center"/>
      <protection locked="0"/>
    </xf>
    <xf numFmtId="0" fontId="26" fillId="0" borderId="3" xfId="0" applyFont="1" applyBorder="1" applyAlignment="1">
      <alignment horizontal="center" vertical="center"/>
      <protection locked="0"/>
    </xf>
    <xf numFmtId="0" fontId="29" fillId="0" borderId="0" xfId="20" applyFont="1" applyAlignment="1">
      <alignment horizontal="center" vertical="center"/>
    </xf>
    <xf numFmtId="0" fontId="35" fillId="0" borderId="0" xfId="20" applyFont="1" applyAlignment="1">
      <alignment horizontal="center" vertical="center"/>
    </xf>
    <xf numFmtId="0" fontId="26" fillId="0" borderId="3" xfId="0" applyFont="1" applyBorder="1" applyAlignment="1">
      <alignment horizontal="left" vertical="center"/>
      <protection locked="0"/>
    </xf>
    <xf numFmtId="0" fontId="29" fillId="6" borderId="10" xfId="0" applyFont="1" applyFill="1" applyBorder="1" applyAlignment="1">
      <alignment horizontal="center" vertical="center" wrapText="1"/>
      <protection locked="0"/>
    </xf>
    <xf numFmtId="0" fontId="29" fillId="6" borderId="12" xfId="0" applyFont="1" applyFill="1" applyBorder="1" applyAlignment="1">
      <alignment horizontal="center" vertical="center" wrapText="1"/>
      <protection locked="0"/>
    </xf>
    <xf numFmtId="0" fontId="29" fillId="6" borderId="17" xfId="0" applyFont="1" applyFill="1" applyBorder="1" applyAlignment="1">
      <alignment horizontal="center" vertical="center" wrapText="1"/>
      <protection locked="0"/>
    </xf>
    <xf numFmtId="0" fontId="29" fillId="6" borderId="18" xfId="0" applyFont="1" applyFill="1" applyBorder="1" applyAlignment="1">
      <alignment horizontal="center" vertical="center" wrapText="1"/>
      <protection locked="0"/>
    </xf>
    <xf numFmtId="0" fontId="29" fillId="6" borderId="7" xfId="0" applyFont="1" applyFill="1" applyBorder="1" applyAlignment="1">
      <alignment horizontal="center" vertical="center"/>
      <protection locked="0"/>
    </xf>
    <xf numFmtId="0" fontId="29" fillId="6" borderId="8" xfId="0" applyFont="1" applyFill="1" applyBorder="1" applyAlignment="1">
      <alignment horizontal="center" vertical="center"/>
      <protection locked="0"/>
    </xf>
    <xf numFmtId="0" fontId="29" fillId="6" borderId="9" xfId="0" applyFont="1" applyFill="1" applyBorder="1" applyAlignment="1">
      <alignment horizontal="center" vertical="center"/>
      <protection locked="0"/>
    </xf>
    <xf numFmtId="0" fontId="29" fillId="6" borderId="11" xfId="0" applyFont="1" applyFill="1" applyBorder="1" applyAlignment="1">
      <alignment horizontal="center" vertical="center"/>
      <protection locked="0"/>
    </xf>
    <xf numFmtId="0" fontId="21" fillId="0" borderId="0" xfId="20" applyFont="1" applyBorder="1" applyAlignment="1">
      <alignment horizontal="center" vertical="center"/>
    </xf>
    <xf numFmtId="0" fontId="18" fillId="0" borderId="0" xfId="20" applyFont="1" applyBorder="1" applyAlignment="1">
      <alignment horizontal="center" vertical="center"/>
    </xf>
    <xf numFmtId="0" fontId="29" fillId="6" borderId="3" xfId="21" applyFont="1" applyFill="1" applyBorder="1" applyAlignment="1">
      <alignment horizontal="center" vertical="center" wrapText="1"/>
    </xf>
    <xf numFmtId="0" fontId="29" fillId="6" borderId="4" xfId="21" applyFont="1" applyFill="1" applyBorder="1" applyAlignment="1">
      <alignment horizontal="center" vertical="center" wrapText="1"/>
    </xf>
    <xf numFmtId="0" fontId="29" fillId="6" borderId="6" xfId="21" applyFont="1" applyFill="1" applyBorder="1" applyAlignment="1">
      <alignment horizontal="center" vertical="center" wrapText="1"/>
    </xf>
    <xf numFmtId="0" fontId="21" fillId="6" borderId="7" xfId="0" applyFont="1" applyFill="1" applyBorder="1" applyAlignment="1">
      <alignment horizontal="center" vertical="center"/>
      <protection locked="0"/>
    </xf>
    <xf numFmtId="0" fontId="29" fillId="6" borderId="4" xfId="0" applyFont="1" applyFill="1" applyBorder="1" applyAlignment="1">
      <alignment horizontal="center" vertical="center"/>
      <protection locked="0"/>
    </xf>
    <xf numFmtId="0" fontId="29" fillId="6" borderId="6" xfId="0" applyFont="1" applyFill="1" applyBorder="1" applyAlignment="1">
      <alignment horizontal="center" vertical="center"/>
      <protection locked="0"/>
    </xf>
    <xf numFmtId="0" fontId="29" fillId="6" borderId="7" xfId="0" applyFont="1" applyFill="1" applyBorder="1" applyAlignment="1">
      <alignment horizontal="center" vertical="center" wrapText="1" shrinkToFit="1"/>
      <protection locked="0"/>
    </xf>
    <xf numFmtId="0" fontId="29" fillId="6" borderId="8" xfId="0" applyFont="1" applyFill="1" applyBorder="1" applyAlignment="1">
      <alignment horizontal="center" vertical="center" wrapText="1" shrinkToFit="1"/>
      <protection locked="0"/>
    </xf>
    <xf numFmtId="0" fontId="29" fillId="6" borderId="9" xfId="0" applyFont="1" applyFill="1" applyBorder="1" applyAlignment="1">
      <alignment horizontal="center" vertical="center" wrapText="1" shrinkToFit="1"/>
      <protection locked="0"/>
    </xf>
    <xf numFmtId="0" fontId="29" fillId="0" borderId="7" xfId="0" applyFont="1" applyBorder="1" applyAlignment="1">
      <alignment horizontal="center" vertical="center"/>
      <protection locked="0"/>
    </xf>
    <xf numFmtId="0" fontId="29" fillId="0" borderId="8" xfId="0" applyFont="1" applyBorder="1" applyAlignment="1">
      <alignment horizontal="center" vertical="center"/>
      <protection locked="0"/>
    </xf>
    <xf numFmtId="0" fontId="21" fillId="6" borderId="4" xfId="0" applyFont="1" applyFill="1" applyBorder="1" applyAlignment="1">
      <alignment horizontal="center" vertical="center" wrapText="1"/>
      <protection locked="0"/>
    </xf>
    <xf numFmtId="0" fontId="21" fillId="6" borderId="5" xfId="0" applyFont="1" applyFill="1" applyBorder="1" applyAlignment="1">
      <alignment horizontal="center" vertical="center" wrapText="1"/>
      <protection locked="0"/>
    </xf>
    <xf numFmtId="0" fontId="21" fillId="6" borderId="6" xfId="0" applyFont="1" applyFill="1" applyBorder="1" applyAlignment="1">
      <alignment horizontal="center" vertical="center" wrapText="1"/>
      <protection locked="0"/>
    </xf>
    <xf numFmtId="0" fontId="21" fillId="6" borderId="7" xfId="0" applyFont="1" applyFill="1" applyBorder="1" applyAlignment="1">
      <alignment horizontal="center" vertical="center" wrapText="1"/>
      <protection locked="0"/>
    </xf>
    <xf numFmtId="0" fontId="21" fillId="6" borderId="8" xfId="0" applyFont="1" applyFill="1" applyBorder="1" applyAlignment="1">
      <alignment horizontal="center" vertical="center" wrapText="1"/>
      <protection locked="0"/>
    </xf>
    <xf numFmtId="0" fontId="21" fillId="6" borderId="9" xfId="0" applyFont="1" applyFill="1" applyBorder="1" applyAlignment="1">
      <alignment horizontal="center" vertical="center" wrapText="1"/>
      <protection locked="0"/>
    </xf>
    <xf numFmtId="0" fontId="21" fillId="6" borderId="9" xfId="0" applyFont="1" applyFill="1" applyBorder="1" applyAlignment="1">
      <alignment horizontal="center" vertical="center"/>
      <protection locked="0"/>
    </xf>
    <xf numFmtId="0" fontId="21" fillId="6" borderId="8" xfId="0" applyFont="1" applyFill="1" applyBorder="1" applyAlignment="1">
      <alignment horizontal="center" vertical="center"/>
      <protection locked="0"/>
    </xf>
    <xf numFmtId="0" fontId="21" fillId="6" borderId="4" xfId="21" applyFont="1" applyFill="1" applyBorder="1" applyAlignment="1">
      <alignment horizontal="center" vertical="center" wrapText="1"/>
    </xf>
    <xf numFmtId="0" fontId="21" fillId="6" borderId="6" xfId="21" applyFont="1" applyFill="1" applyBorder="1" applyAlignment="1">
      <alignment horizontal="center" vertical="center" wrapText="1"/>
    </xf>
    <xf numFmtId="0" fontId="21" fillId="6" borderId="7" xfId="30" applyFont="1" applyFill="1" applyBorder="1" applyAlignment="1">
      <alignment horizontal="center" vertical="center"/>
      <protection locked="0"/>
    </xf>
    <xf numFmtId="0" fontId="21" fillId="6" borderId="8" xfId="30" applyFont="1" applyFill="1" applyBorder="1" applyAlignment="1">
      <alignment horizontal="center" vertical="center"/>
      <protection locked="0"/>
    </xf>
    <xf numFmtId="0" fontId="21" fillId="6" borderId="9" xfId="30" applyFont="1" applyFill="1" applyBorder="1" applyAlignment="1">
      <alignment horizontal="center" vertical="center"/>
      <protection locked="0"/>
    </xf>
    <xf numFmtId="43" fontId="18" fillId="0" borderId="0" xfId="99" applyNumberFormat="1" applyFont="1" applyBorder="1" applyAlignment="1">
      <alignment horizontal="center" vertical="center"/>
    </xf>
    <xf numFmtId="0" fontId="73" fillId="0" borderId="0" xfId="103" applyFont="1" applyFill="1" applyBorder="1" applyAlignment="1" applyProtection="1">
      <alignment horizontal="left" vertical="center" wrapText="1"/>
      <protection locked="0"/>
    </xf>
    <xf numFmtId="0" fontId="25" fillId="0" borderId="0" xfId="103" applyFont="1" applyFill="1" applyBorder="1" applyAlignment="1" applyProtection="1">
      <alignment horizontal="left" vertical="center" wrapText="1"/>
      <protection locked="0"/>
    </xf>
    <xf numFmtId="0" fontId="22" fillId="0" borderId="0" xfId="103" applyFont="1" applyFill="1" applyBorder="1" applyAlignment="1" applyProtection="1">
      <alignment horizontal="left" vertical="center" wrapText="1"/>
      <protection locked="0"/>
    </xf>
    <xf numFmtId="0" fontId="19" fillId="0" borderId="0" xfId="103" applyFont="1" applyFill="1" applyBorder="1" applyAlignment="1" applyProtection="1">
      <alignment horizontal="left" vertical="center" wrapText="1"/>
      <protection locked="0"/>
    </xf>
  </cellXfs>
  <cellStyles count="108">
    <cellStyle name="?" xfId="31"/>
    <cellStyle name="@_text" xfId="32"/>
    <cellStyle name="{Comma [0]}" xfId="33"/>
    <cellStyle name="{Comma}" xfId="34"/>
    <cellStyle name="{Date}" xfId="35"/>
    <cellStyle name="{Month}" xfId="36"/>
    <cellStyle name="{Percent}" xfId="37"/>
    <cellStyle name="{Thousand [0]}" xfId="38"/>
    <cellStyle name="{Thousand}" xfId="39"/>
    <cellStyle name="{Z'0000(1 dec)}" xfId="40"/>
    <cellStyle name="{Z'0000(4 dec)}" xfId="41"/>
    <cellStyle name="0,0_x000d__x000a_NA_x000d__x000a_" xfId="42"/>
    <cellStyle name="Black" xfId="1"/>
    <cellStyle name="Border" xfId="2"/>
    <cellStyle name="Comma [0]_1995" xfId="3"/>
    <cellStyle name="Comma_1995" xfId="4"/>
    <cellStyle name="Currency [0]_1995" xfId="5"/>
    <cellStyle name="Currency_1995" xfId="6"/>
    <cellStyle name="Dezimal [0]_laroux" xfId="7"/>
    <cellStyle name="Dezimal_laroux" xfId="8"/>
    <cellStyle name="Euro" xfId="43"/>
    <cellStyle name="Followed Hyperlink_AheadBehind.xls Chart 23" xfId="9"/>
    <cellStyle name="Grey" xfId="10"/>
    <cellStyle name="Hyperlink_AheadBehind.xls Chart 23" xfId="11"/>
    <cellStyle name="Input [yellow]" xfId="12"/>
    <cellStyle name="Milliers [0]_laroux" xfId="13"/>
    <cellStyle name="Milliers_laroux" xfId="14"/>
    <cellStyle name="Non défini" xfId="15"/>
    <cellStyle name="Normal - Style1" xfId="16"/>
    <cellStyle name="Normal 2" xfId="44"/>
    <cellStyle name="Normal 3 2" xfId="45"/>
    <cellStyle name="Normal_22-Jun EUS Forecasts" xfId="17"/>
    <cellStyle name="Percent [2]" xfId="18"/>
    <cellStyle name="Red" xfId="19"/>
    <cellStyle name="百分比 2" xfId="102"/>
    <cellStyle name="百分比 2 2" xfId="105"/>
    <cellStyle name="常规" xfId="0" builtinId="0"/>
    <cellStyle name="常规 10" xfId="46"/>
    <cellStyle name="常规 10 2" xfId="47"/>
    <cellStyle name="常规 10 3" xfId="48"/>
    <cellStyle name="常规 10 4" xfId="49"/>
    <cellStyle name="常规 11 2" xfId="50"/>
    <cellStyle name="常规 11 3" xfId="51"/>
    <cellStyle name="常规 11 4" xfId="52"/>
    <cellStyle name="常规 11 5" xfId="107"/>
    <cellStyle name="常规 12" xfId="96"/>
    <cellStyle name="常规 12 2" xfId="53"/>
    <cellStyle name="常规 12 3" xfId="54"/>
    <cellStyle name="常规 12 4" xfId="55"/>
    <cellStyle name="常规 13" xfId="106"/>
    <cellStyle name="常规 13 2" xfId="56"/>
    <cellStyle name="常规 13 3" xfId="57"/>
    <cellStyle name="常规 13 4" xfId="58"/>
    <cellStyle name="常规 2" xfId="30"/>
    <cellStyle name="常规 2 2" xfId="59"/>
    <cellStyle name="常规 2 2 2" xfId="103"/>
    <cellStyle name="常规 2 3" xfId="60"/>
    <cellStyle name="常规 2 4" xfId="61"/>
    <cellStyle name="常规 2 5" xfId="62"/>
    <cellStyle name="常规 2 6" xfId="63"/>
    <cellStyle name="常规 2_经销商信息-1-原始表" xfId="64"/>
    <cellStyle name="常规 3" xfId="65"/>
    <cellStyle name="常规 3 2" xfId="66"/>
    <cellStyle name="常规 3 3" xfId="67"/>
    <cellStyle name="常规 3 4" xfId="68"/>
    <cellStyle name="常规 3 5" xfId="97"/>
    <cellStyle name="常规 4" xfId="69"/>
    <cellStyle name="常规 4 2" xfId="70"/>
    <cellStyle name="常规 4 3" xfId="71"/>
    <cellStyle name="常规 4 4" xfId="72"/>
    <cellStyle name="常规 5" xfId="73"/>
    <cellStyle name="常规 5 2" xfId="74"/>
    <cellStyle name="常规 5 3" xfId="75"/>
    <cellStyle name="常规 5 4" xfId="76"/>
    <cellStyle name="常规 6" xfId="77"/>
    <cellStyle name="常规 6 2" xfId="78"/>
    <cellStyle name="常规 6 3" xfId="79"/>
    <cellStyle name="常规 6 4" xfId="80"/>
    <cellStyle name="常规 7" xfId="81"/>
    <cellStyle name="常规 7 2" xfId="82"/>
    <cellStyle name="常规 7 3" xfId="83"/>
    <cellStyle name="常规 7 4" xfId="84"/>
    <cellStyle name="常规 8" xfId="85"/>
    <cellStyle name="常规 8 2" xfId="86"/>
    <cellStyle name="常规 8 3" xfId="87"/>
    <cellStyle name="常规 8 4" xfId="88"/>
    <cellStyle name="常规 9" xfId="89"/>
    <cellStyle name="常规 9 2" xfId="90"/>
    <cellStyle name="常规 9 3" xfId="91"/>
    <cellStyle name="常规 9 4" xfId="92"/>
    <cellStyle name="常规_2-1项目审定表－模板" xfId="100"/>
    <cellStyle name="常规_Book1" xfId="20"/>
    <cellStyle name="常规_Book1 2" xfId="95"/>
    <cellStyle name="常规_c-资产类" xfId="98"/>
    <cellStyle name="常规_开发成本&amp;开发产品" xfId="21"/>
    <cellStyle name="常规_新审定表" xfId="99"/>
    <cellStyle name="常规_制造费用" xfId="22"/>
    <cellStyle name="超链接" xfId="23" builtinId="8"/>
    <cellStyle name="超链接 2" xfId="104"/>
    <cellStyle name="普通_ 外G9(3)" xfId="24"/>
    <cellStyle name="千分位[0]_宁波" xfId="25"/>
    <cellStyle name="千分位_宁波" xfId="26"/>
    <cellStyle name="千位[0]_laroux" xfId="27"/>
    <cellStyle name="千位_laroux" xfId="28"/>
    <cellStyle name="千位分隔" xfId="29" builtinId="3"/>
    <cellStyle name="千位分隔 2" xfId="93"/>
    <cellStyle name="千位分隔 2 2" xfId="94"/>
    <cellStyle name="千位分隔 2 4" xfId="101"/>
  </cellStyles>
  <dxfs count="0"/>
  <tableStyles count="0" defaultTableStyle="TableStyleMedium9" defaultPivotStyle="PivotStyleLight16"/>
  <colors>
    <mruColors>
      <color rgb="FF0000FF"/>
      <color rgb="FF0000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FF0000"/>
  </sheetPr>
  <dimension ref="A1:E106"/>
  <sheetViews>
    <sheetView topLeftCell="A79" workbookViewId="0">
      <selection activeCell="D107" sqref="D107"/>
    </sheetView>
  </sheetViews>
  <sheetFormatPr defaultRowHeight="15.6"/>
  <cols>
    <col min="1" max="1" width="33.09765625" style="214" customWidth="1"/>
    <col min="2" max="2" width="11.5" style="214" hidden="1" customWidth="1"/>
    <col min="3" max="3" width="29.09765625" style="214" customWidth="1"/>
    <col min="4" max="4" width="27.296875" style="225" customWidth="1"/>
    <col min="5" max="5" width="92.69921875" style="225" customWidth="1"/>
  </cols>
  <sheetData>
    <row r="1" spans="1:5" s="352" customFormat="1" ht="18.600000000000001" customHeight="1">
      <c r="A1" s="359" t="s">
        <v>627</v>
      </c>
      <c r="B1" s="359"/>
      <c r="C1" s="359" t="s">
        <v>628</v>
      </c>
      <c r="D1" s="360" t="s">
        <v>724</v>
      </c>
      <c r="E1" s="360" t="s">
        <v>723</v>
      </c>
    </row>
    <row r="2" spans="1:5" ht="18.600000000000001" customHeight="1">
      <c r="A2" s="355" t="s">
        <v>460</v>
      </c>
      <c r="B2" s="356"/>
      <c r="C2" s="356"/>
      <c r="D2" s="361"/>
      <c r="E2" s="361"/>
    </row>
    <row r="3" spans="1:5" ht="18.600000000000001" customHeight="1">
      <c r="A3" s="367" t="s">
        <v>222</v>
      </c>
      <c r="B3" s="19" t="s">
        <v>223</v>
      </c>
      <c r="C3" s="367" t="s">
        <v>222</v>
      </c>
      <c r="D3" s="361"/>
      <c r="E3" s="361" t="s">
        <v>720</v>
      </c>
    </row>
    <row r="4" spans="1:5" ht="18.600000000000001" customHeight="1">
      <c r="A4" s="367" t="s">
        <v>224</v>
      </c>
      <c r="B4" s="19" t="s">
        <v>225</v>
      </c>
      <c r="C4" s="367" t="s">
        <v>224</v>
      </c>
      <c r="D4" s="361"/>
      <c r="E4" s="361"/>
    </row>
    <row r="5" spans="1:5" ht="18.600000000000001" customHeight="1">
      <c r="A5" s="367" t="s">
        <v>226</v>
      </c>
      <c r="B5" s="19" t="s">
        <v>227</v>
      </c>
      <c r="C5" s="367" t="s">
        <v>226</v>
      </c>
      <c r="D5" s="361"/>
      <c r="E5" s="361"/>
    </row>
    <row r="6" spans="1:5" ht="18.600000000000001" customHeight="1">
      <c r="A6" s="367" t="s">
        <v>228</v>
      </c>
      <c r="B6" s="19" t="s">
        <v>227</v>
      </c>
      <c r="C6" s="367" t="s">
        <v>228</v>
      </c>
      <c r="D6" s="361"/>
      <c r="E6" s="361"/>
    </row>
    <row r="7" spans="1:5" ht="18.600000000000001" customHeight="1">
      <c r="A7" s="367" t="s">
        <v>459</v>
      </c>
      <c r="B7" s="19" t="s">
        <v>229</v>
      </c>
      <c r="C7" s="367" t="s">
        <v>458</v>
      </c>
      <c r="D7" s="361"/>
      <c r="E7" s="361"/>
    </row>
    <row r="8" spans="1:5" ht="18.600000000000001" customHeight="1">
      <c r="A8" s="367" t="s">
        <v>231</v>
      </c>
      <c r="B8" s="19" t="s">
        <v>232</v>
      </c>
      <c r="C8" s="356"/>
      <c r="D8" s="361" t="s">
        <v>457</v>
      </c>
      <c r="E8" s="361"/>
    </row>
    <row r="9" spans="1:5" ht="18.600000000000001" customHeight="1">
      <c r="A9" s="368" t="s">
        <v>233</v>
      </c>
      <c r="B9" s="19" t="s">
        <v>62</v>
      </c>
      <c r="C9" s="368" t="s">
        <v>233</v>
      </c>
      <c r="D9" s="361"/>
      <c r="E9" s="361" t="s">
        <v>757</v>
      </c>
    </row>
    <row r="10" spans="1:5" ht="18.600000000000001" customHeight="1">
      <c r="A10" s="368" t="s">
        <v>235</v>
      </c>
      <c r="B10" s="19" t="s">
        <v>63</v>
      </c>
      <c r="C10" s="368" t="s">
        <v>235</v>
      </c>
      <c r="D10" s="361"/>
      <c r="E10" s="361" t="s">
        <v>757</v>
      </c>
    </row>
    <row r="11" spans="1:5" ht="18.600000000000001" customHeight="1">
      <c r="A11" s="368" t="s">
        <v>236</v>
      </c>
      <c r="B11" s="19" t="s">
        <v>64</v>
      </c>
      <c r="C11" s="368" t="s">
        <v>236</v>
      </c>
      <c r="D11" s="361"/>
      <c r="E11" s="361" t="s">
        <v>757</v>
      </c>
    </row>
    <row r="12" spans="1:5" ht="18.600000000000001" customHeight="1">
      <c r="A12" s="368" t="s">
        <v>22</v>
      </c>
      <c r="B12" s="19" t="s">
        <v>65</v>
      </c>
      <c r="C12" s="368" t="s">
        <v>22</v>
      </c>
      <c r="D12" s="361"/>
      <c r="E12" s="361" t="s">
        <v>757</v>
      </c>
    </row>
    <row r="13" spans="1:5" ht="18.600000000000001" customHeight="1">
      <c r="A13" s="368" t="s">
        <v>237</v>
      </c>
      <c r="B13" s="19" t="s">
        <v>66</v>
      </c>
      <c r="C13" s="368" t="s">
        <v>237</v>
      </c>
      <c r="D13" s="361"/>
      <c r="E13" s="361" t="s">
        <v>757</v>
      </c>
    </row>
    <row r="14" spans="1:5" ht="18.600000000000001" customHeight="1">
      <c r="A14" s="368" t="s">
        <v>238</v>
      </c>
      <c r="B14" s="19" t="s">
        <v>67</v>
      </c>
      <c r="C14" s="368" t="s">
        <v>238</v>
      </c>
      <c r="D14" s="361"/>
      <c r="E14" s="361" t="s">
        <v>757</v>
      </c>
    </row>
    <row r="15" spans="1:5" ht="18.600000000000001" customHeight="1">
      <c r="A15" s="368" t="s">
        <v>239</v>
      </c>
      <c r="B15" s="19" t="s">
        <v>68</v>
      </c>
      <c r="C15" s="368" t="s">
        <v>239</v>
      </c>
      <c r="D15" s="361"/>
      <c r="E15" s="361" t="s">
        <v>757</v>
      </c>
    </row>
    <row r="16" spans="1:5" ht="18.600000000000001" customHeight="1">
      <c r="A16" s="368" t="s">
        <v>31</v>
      </c>
      <c r="B16" s="19" t="s">
        <v>69</v>
      </c>
      <c r="C16" s="368" t="s">
        <v>31</v>
      </c>
      <c r="D16" s="361"/>
      <c r="E16" s="361"/>
    </row>
    <row r="17" spans="1:5" ht="18.600000000000001" customHeight="1">
      <c r="A17" s="368" t="s">
        <v>234</v>
      </c>
      <c r="B17" s="19" t="s">
        <v>70</v>
      </c>
      <c r="C17" s="368" t="s">
        <v>234</v>
      </c>
      <c r="D17" s="361"/>
      <c r="E17" s="361"/>
    </row>
    <row r="18" spans="1:5" ht="18.600000000000001" customHeight="1">
      <c r="A18" s="368" t="s">
        <v>33</v>
      </c>
      <c r="B18" s="19" t="s">
        <v>71</v>
      </c>
      <c r="C18" s="372" t="s">
        <v>733</v>
      </c>
      <c r="D18" s="361" t="s">
        <v>734</v>
      </c>
      <c r="E18" s="361" t="s">
        <v>876</v>
      </c>
    </row>
    <row r="19" spans="1:5" ht="18.600000000000001" customHeight="1">
      <c r="A19" s="368" t="s">
        <v>131</v>
      </c>
      <c r="B19" s="19" t="s">
        <v>125</v>
      </c>
      <c r="C19" s="368" t="s">
        <v>131</v>
      </c>
      <c r="D19" s="361"/>
      <c r="E19" s="361" t="s">
        <v>757</v>
      </c>
    </row>
    <row r="20" spans="1:5" ht="18.600000000000001" customHeight="1">
      <c r="A20" s="369" t="s">
        <v>230</v>
      </c>
      <c r="B20" s="19" t="s">
        <v>213</v>
      </c>
      <c r="C20" s="369" t="s">
        <v>230</v>
      </c>
      <c r="D20" s="361"/>
      <c r="E20" s="361"/>
    </row>
    <row r="21" spans="1:5" ht="18.600000000000001" customHeight="1">
      <c r="A21" s="355" t="s">
        <v>877</v>
      </c>
      <c r="B21" s="19"/>
      <c r="C21" s="356"/>
      <c r="D21" s="361"/>
      <c r="E21" s="361"/>
    </row>
    <row r="22" spans="1:5" ht="18.600000000000001" customHeight="1">
      <c r="A22" s="369"/>
      <c r="B22" s="19"/>
      <c r="C22" s="367" t="s">
        <v>231</v>
      </c>
      <c r="D22" s="361"/>
      <c r="E22" s="361" t="s">
        <v>461</v>
      </c>
    </row>
    <row r="23" spans="1:5" ht="18.600000000000001" customHeight="1">
      <c r="A23" s="367" t="s">
        <v>317</v>
      </c>
      <c r="B23" s="19" t="s">
        <v>318</v>
      </c>
      <c r="C23" s="356"/>
      <c r="D23" s="361" t="s">
        <v>605</v>
      </c>
      <c r="E23" s="361"/>
    </row>
    <row r="24" spans="1:5" ht="18.600000000000001" customHeight="1">
      <c r="A24" s="367" t="s">
        <v>319</v>
      </c>
      <c r="B24" s="19" t="s">
        <v>320</v>
      </c>
      <c r="C24" s="367" t="s">
        <v>604</v>
      </c>
      <c r="D24" s="361"/>
      <c r="E24" s="361"/>
    </row>
    <row r="25" spans="1:5" ht="18.600000000000001" customHeight="1">
      <c r="A25" s="367"/>
      <c r="B25" s="19"/>
      <c r="C25" s="367" t="s">
        <v>820</v>
      </c>
      <c r="D25" s="361"/>
      <c r="E25" s="361" t="s">
        <v>878</v>
      </c>
    </row>
    <row r="26" spans="1:5" ht="18.600000000000001" customHeight="1">
      <c r="A26" s="367" t="s">
        <v>321</v>
      </c>
      <c r="B26" s="19" t="s">
        <v>322</v>
      </c>
      <c r="C26" s="356"/>
      <c r="D26" s="361" t="s">
        <v>605</v>
      </c>
      <c r="E26" s="361"/>
    </row>
    <row r="27" spans="1:5" ht="18.600000000000001" customHeight="1">
      <c r="A27" s="367" t="s">
        <v>323</v>
      </c>
      <c r="B27" s="19" t="s">
        <v>324</v>
      </c>
      <c r="C27" s="356"/>
      <c r="D27" s="362" t="s">
        <v>606</v>
      </c>
      <c r="E27" s="361"/>
    </row>
    <row r="28" spans="1:5" ht="18.600000000000001" customHeight="1">
      <c r="A28" s="367" t="s">
        <v>325</v>
      </c>
      <c r="B28" s="19" t="s">
        <v>326</v>
      </c>
      <c r="C28" s="356"/>
      <c r="D28" s="362" t="s">
        <v>606</v>
      </c>
      <c r="E28" s="361"/>
    </row>
    <row r="29" spans="1:5" ht="18.600000000000001" customHeight="1">
      <c r="A29" s="367" t="s">
        <v>327</v>
      </c>
      <c r="B29" s="19" t="s">
        <v>328</v>
      </c>
      <c r="C29" s="356"/>
      <c r="D29" s="362" t="s">
        <v>606</v>
      </c>
      <c r="E29" s="361"/>
    </row>
    <row r="30" spans="1:5" ht="18.600000000000001" customHeight="1">
      <c r="A30" s="367" t="s">
        <v>329</v>
      </c>
      <c r="B30" s="19" t="s">
        <v>330</v>
      </c>
      <c r="C30" s="356"/>
      <c r="D30" s="361" t="s">
        <v>605</v>
      </c>
      <c r="E30" s="361"/>
    </row>
    <row r="31" spans="1:5" ht="18.600000000000001" customHeight="1">
      <c r="A31" s="367" t="s">
        <v>331</v>
      </c>
      <c r="B31" s="19" t="s">
        <v>332</v>
      </c>
      <c r="C31" s="356"/>
      <c r="D31" s="361" t="s">
        <v>860</v>
      </c>
      <c r="E31" s="361" t="s">
        <v>879</v>
      </c>
    </row>
    <row r="32" spans="1:5" ht="18.600000000000001" customHeight="1">
      <c r="A32" s="355" t="s">
        <v>693</v>
      </c>
      <c r="B32" s="19"/>
      <c r="C32" s="356"/>
      <c r="D32" s="361"/>
      <c r="E32" s="361"/>
    </row>
    <row r="33" spans="1:5" ht="18.600000000000001" customHeight="1">
      <c r="A33" s="367" t="s">
        <v>694</v>
      </c>
      <c r="B33" s="19"/>
      <c r="C33" s="367" t="s">
        <v>694</v>
      </c>
      <c r="D33" s="361"/>
      <c r="E33" s="361" t="s">
        <v>872</v>
      </c>
    </row>
    <row r="34" spans="1:5" ht="18.600000000000001" customHeight="1">
      <c r="A34" s="355" t="s">
        <v>880</v>
      </c>
      <c r="B34" s="19"/>
      <c r="C34" s="367"/>
      <c r="D34" s="361"/>
      <c r="E34" s="361"/>
    </row>
    <row r="35" spans="1:5" ht="18.600000000000001" customHeight="1">
      <c r="A35" s="370" t="s">
        <v>700</v>
      </c>
      <c r="B35" s="19"/>
      <c r="C35" s="367"/>
      <c r="D35" s="361" t="s">
        <v>707</v>
      </c>
      <c r="E35" s="361"/>
    </row>
    <row r="36" spans="1:5" ht="18.600000000000001" customHeight="1">
      <c r="A36" s="370" t="s">
        <v>701</v>
      </c>
      <c r="B36" s="19"/>
      <c r="C36" s="367"/>
      <c r="D36" s="361" t="s">
        <v>707</v>
      </c>
      <c r="E36" s="361"/>
    </row>
    <row r="37" spans="1:5" ht="18.600000000000001" customHeight="1">
      <c r="A37" s="370" t="s">
        <v>695</v>
      </c>
      <c r="B37" s="19"/>
      <c r="C37" s="367"/>
      <c r="D37" s="361" t="s">
        <v>707</v>
      </c>
      <c r="E37" s="361"/>
    </row>
    <row r="38" spans="1:5" ht="18.600000000000001" customHeight="1">
      <c r="A38" s="370" t="s">
        <v>696</v>
      </c>
      <c r="B38" s="19"/>
      <c r="C38" s="367"/>
      <c r="D38" s="361" t="s">
        <v>707</v>
      </c>
      <c r="E38" s="361"/>
    </row>
    <row r="39" spans="1:5" ht="18.600000000000001" customHeight="1">
      <c r="A39" s="370" t="s">
        <v>702</v>
      </c>
      <c r="B39" s="19"/>
      <c r="C39" s="367"/>
      <c r="D39" s="361" t="s">
        <v>707</v>
      </c>
      <c r="E39" s="361"/>
    </row>
    <row r="40" spans="1:5" ht="18.600000000000001" customHeight="1">
      <c r="A40" s="370" t="s">
        <v>703</v>
      </c>
      <c r="B40" s="19"/>
      <c r="C40" s="356" t="s">
        <v>711</v>
      </c>
      <c r="D40" s="361"/>
      <c r="E40" s="361" t="s">
        <v>708</v>
      </c>
    </row>
    <row r="41" spans="1:5" ht="18.600000000000001" customHeight="1">
      <c r="A41" s="370" t="s">
        <v>697</v>
      </c>
      <c r="B41" s="19"/>
      <c r="C41" s="356" t="s">
        <v>712</v>
      </c>
      <c r="D41" s="361"/>
      <c r="E41" s="361" t="s">
        <v>710</v>
      </c>
    </row>
    <row r="42" spans="1:5" ht="18.600000000000001" customHeight="1">
      <c r="A42" s="370" t="s">
        <v>698</v>
      </c>
      <c r="B42" s="19"/>
      <c r="C42" s="356" t="s">
        <v>713</v>
      </c>
      <c r="D42" s="361"/>
      <c r="E42" s="361"/>
    </row>
    <row r="43" spans="1:5" ht="18.600000000000001" customHeight="1">
      <c r="A43" s="370" t="s">
        <v>704</v>
      </c>
      <c r="B43" s="19"/>
      <c r="C43" s="356" t="s">
        <v>714</v>
      </c>
      <c r="D43" s="361"/>
      <c r="E43" s="361" t="s">
        <v>709</v>
      </c>
    </row>
    <row r="44" spans="1:5" ht="18.600000000000001" customHeight="1">
      <c r="A44" s="370"/>
      <c r="B44" s="19"/>
      <c r="C44" s="356" t="s">
        <v>717</v>
      </c>
      <c r="D44" s="361" t="s">
        <v>715</v>
      </c>
      <c r="E44" s="361"/>
    </row>
    <row r="45" spans="1:5" ht="51" customHeight="1">
      <c r="A45" s="370" t="s">
        <v>705</v>
      </c>
      <c r="B45" s="19"/>
      <c r="C45" s="356" t="s">
        <v>718</v>
      </c>
      <c r="D45" s="361"/>
      <c r="E45" s="361" t="s">
        <v>825</v>
      </c>
    </row>
    <row r="46" spans="1:5" ht="18.600000000000001" customHeight="1">
      <c r="A46" s="370" t="s">
        <v>706</v>
      </c>
      <c r="B46" s="19"/>
      <c r="C46" s="356" t="s">
        <v>716</v>
      </c>
      <c r="D46" s="361"/>
      <c r="E46" s="361" t="s">
        <v>826</v>
      </c>
    </row>
    <row r="47" spans="1:5" ht="18.600000000000001" customHeight="1">
      <c r="A47" s="370" t="s">
        <v>699</v>
      </c>
      <c r="B47" s="19"/>
      <c r="C47" s="356"/>
      <c r="D47" s="361" t="s">
        <v>719</v>
      </c>
      <c r="E47" s="361"/>
    </row>
    <row r="48" spans="1:5" ht="18.600000000000001" customHeight="1">
      <c r="A48" s="355" t="s">
        <v>881</v>
      </c>
      <c r="B48" s="356"/>
      <c r="C48" s="356"/>
      <c r="D48" s="361"/>
      <c r="E48" s="361"/>
    </row>
    <row r="49" spans="1:5" ht="18.600000000000001" customHeight="1">
      <c r="A49" s="367" t="s">
        <v>607</v>
      </c>
      <c r="B49" s="19" t="s">
        <v>612</v>
      </c>
      <c r="C49" s="356" t="s">
        <v>618</v>
      </c>
      <c r="D49" s="361"/>
      <c r="E49" s="361" t="s">
        <v>621</v>
      </c>
    </row>
    <row r="50" spans="1:5" ht="18.600000000000001" customHeight="1">
      <c r="A50" s="367"/>
      <c r="B50" s="19"/>
      <c r="C50" s="356" t="s">
        <v>619</v>
      </c>
      <c r="D50" s="361"/>
      <c r="E50" s="361" t="s">
        <v>621</v>
      </c>
    </row>
    <row r="51" spans="1:5" ht="18.600000000000001" customHeight="1">
      <c r="A51" s="367" t="s">
        <v>608</v>
      </c>
      <c r="B51" s="19" t="s">
        <v>613</v>
      </c>
      <c r="C51" s="356" t="s">
        <v>617</v>
      </c>
      <c r="D51" s="361"/>
      <c r="E51" s="361" t="s">
        <v>621</v>
      </c>
    </row>
    <row r="52" spans="1:5" ht="18.600000000000001" customHeight="1">
      <c r="A52" s="367"/>
      <c r="B52" s="19"/>
      <c r="C52" s="357" t="s">
        <v>620</v>
      </c>
      <c r="D52" s="361"/>
      <c r="E52" s="361" t="s">
        <v>621</v>
      </c>
    </row>
    <row r="53" spans="1:5" ht="18.600000000000001" customHeight="1">
      <c r="A53" s="367" t="s">
        <v>609</v>
      </c>
      <c r="B53" s="19" t="s">
        <v>614</v>
      </c>
      <c r="C53" s="356"/>
      <c r="D53" s="361" t="s">
        <v>622</v>
      </c>
      <c r="E53" s="361"/>
    </row>
    <row r="54" spans="1:5" ht="18.600000000000001" customHeight="1">
      <c r="A54" s="367"/>
      <c r="B54" s="19"/>
      <c r="C54" s="371" t="s">
        <v>626</v>
      </c>
      <c r="D54" s="362" t="s">
        <v>625</v>
      </c>
      <c r="E54" s="361"/>
    </row>
    <row r="55" spans="1:5" ht="18.600000000000001" customHeight="1">
      <c r="A55" s="367"/>
      <c r="B55" s="19"/>
      <c r="C55" s="371" t="s">
        <v>652</v>
      </c>
      <c r="D55" s="362" t="s">
        <v>625</v>
      </c>
      <c r="E55" s="363"/>
    </row>
    <row r="56" spans="1:5" ht="18.600000000000001" customHeight="1">
      <c r="A56" s="367" t="s">
        <v>610</v>
      </c>
      <c r="B56" s="19" t="s">
        <v>615</v>
      </c>
      <c r="C56" s="367" t="s">
        <v>610</v>
      </c>
      <c r="D56" s="361"/>
      <c r="E56" s="361" t="s">
        <v>623</v>
      </c>
    </row>
    <row r="57" spans="1:5" ht="18.600000000000001" customHeight="1">
      <c r="A57" s="367" t="s">
        <v>611</v>
      </c>
      <c r="B57" s="19"/>
      <c r="C57" s="371" t="s">
        <v>745</v>
      </c>
      <c r="D57" s="362" t="s">
        <v>859</v>
      </c>
      <c r="E57" s="362" t="s">
        <v>746</v>
      </c>
    </row>
    <row r="58" spans="1:5" ht="18.600000000000001" customHeight="1">
      <c r="A58" s="355" t="s">
        <v>629</v>
      </c>
      <c r="B58" s="356"/>
      <c r="C58" s="356"/>
      <c r="D58" s="361"/>
      <c r="E58" s="361"/>
    </row>
    <row r="59" spans="1:5" ht="18.600000000000001" customHeight="1">
      <c r="A59" s="367" t="s">
        <v>630</v>
      </c>
      <c r="B59" s="19" t="s">
        <v>631</v>
      </c>
      <c r="C59" s="356"/>
      <c r="D59" s="361" t="s">
        <v>644</v>
      </c>
      <c r="E59" s="361"/>
    </row>
    <row r="60" spans="1:5" ht="18.600000000000001" customHeight="1">
      <c r="A60" s="367" t="s">
        <v>645</v>
      </c>
      <c r="B60" s="19" t="s">
        <v>632</v>
      </c>
      <c r="C60" s="367" t="s">
        <v>645</v>
      </c>
      <c r="D60" s="361"/>
      <c r="E60" s="361"/>
    </row>
    <row r="61" spans="1:5" ht="18.600000000000001" customHeight="1">
      <c r="A61" s="367" t="s">
        <v>646</v>
      </c>
      <c r="B61" s="19" t="s">
        <v>633</v>
      </c>
      <c r="C61" s="357" t="s">
        <v>647</v>
      </c>
      <c r="D61" s="361"/>
      <c r="E61" s="361" t="s">
        <v>722</v>
      </c>
    </row>
    <row r="62" spans="1:5" ht="18.600000000000001" customHeight="1">
      <c r="A62" s="367" t="s">
        <v>634</v>
      </c>
      <c r="B62" s="19" t="s">
        <v>635</v>
      </c>
      <c r="C62" s="367" t="s">
        <v>634</v>
      </c>
      <c r="D62" s="361"/>
      <c r="E62" s="361" t="s">
        <v>725</v>
      </c>
    </row>
    <row r="63" spans="1:5" ht="18.600000000000001" customHeight="1">
      <c r="A63" s="367"/>
      <c r="B63" s="19"/>
      <c r="C63" s="367" t="s">
        <v>649</v>
      </c>
      <c r="D63" s="361" t="s">
        <v>648</v>
      </c>
      <c r="E63" s="361"/>
    </row>
    <row r="64" spans="1:5" ht="18.600000000000001" customHeight="1">
      <c r="A64" s="367" t="s">
        <v>636</v>
      </c>
      <c r="B64" s="19" t="s">
        <v>637</v>
      </c>
      <c r="C64" s="367" t="s">
        <v>636</v>
      </c>
      <c r="D64" s="361" t="s">
        <v>819</v>
      </c>
      <c r="E64" s="361"/>
    </row>
    <row r="65" spans="1:5" ht="18.600000000000001" customHeight="1">
      <c r="A65" s="367"/>
      <c r="B65" s="19"/>
      <c r="C65" s="367" t="s">
        <v>327</v>
      </c>
      <c r="D65" s="361" t="s">
        <v>882</v>
      </c>
      <c r="E65" s="361" t="s">
        <v>727</v>
      </c>
    </row>
    <row r="66" spans="1:5" ht="18.600000000000001" customHeight="1">
      <c r="A66" s="367"/>
      <c r="B66" s="19"/>
      <c r="C66" s="367" t="s">
        <v>325</v>
      </c>
      <c r="D66" s="361" t="s">
        <v>648</v>
      </c>
      <c r="E66" s="361" t="s">
        <v>883</v>
      </c>
    </row>
    <row r="67" spans="1:5" ht="18.600000000000001" customHeight="1">
      <c r="A67" s="367" t="s">
        <v>638</v>
      </c>
      <c r="B67" s="19" t="s">
        <v>639</v>
      </c>
      <c r="C67" s="367"/>
      <c r="D67" s="361" t="s">
        <v>650</v>
      </c>
      <c r="E67" s="363"/>
    </row>
    <row r="68" spans="1:5" ht="18.600000000000001" customHeight="1">
      <c r="A68" s="367" t="s">
        <v>640</v>
      </c>
      <c r="B68" s="19" t="s">
        <v>641</v>
      </c>
      <c r="C68" s="367" t="s">
        <v>640</v>
      </c>
      <c r="D68" s="361"/>
      <c r="E68" s="363"/>
    </row>
    <row r="69" spans="1:5" ht="18.600000000000001" customHeight="1">
      <c r="A69" s="367" t="s">
        <v>642</v>
      </c>
      <c r="B69" s="19" t="s">
        <v>643</v>
      </c>
      <c r="C69" s="356"/>
      <c r="D69" s="361" t="s">
        <v>650</v>
      </c>
      <c r="E69" s="361"/>
    </row>
    <row r="70" spans="1:5" ht="18.600000000000001" customHeight="1">
      <c r="A70" s="355" t="s">
        <v>884</v>
      </c>
      <c r="B70" s="356"/>
      <c r="C70" s="356"/>
      <c r="D70" s="361"/>
      <c r="E70" s="361"/>
    </row>
    <row r="71" spans="1:5" ht="50.4" customHeight="1">
      <c r="A71" s="367" t="s">
        <v>653</v>
      </c>
      <c r="B71" s="19" t="s">
        <v>657</v>
      </c>
      <c r="C71" s="367" t="s">
        <v>653</v>
      </c>
      <c r="D71" s="361"/>
      <c r="E71" s="361" t="s">
        <v>726</v>
      </c>
    </row>
    <row r="72" spans="1:5" ht="32.4" customHeight="1">
      <c r="A72" s="367" t="s">
        <v>654</v>
      </c>
      <c r="B72" s="19" t="s">
        <v>658</v>
      </c>
      <c r="C72" s="367" t="s">
        <v>838</v>
      </c>
      <c r="D72" s="361"/>
      <c r="E72" s="361" t="s">
        <v>839</v>
      </c>
    </row>
    <row r="73" spans="1:5" ht="18.600000000000001" customHeight="1">
      <c r="A73" s="367" t="s">
        <v>655</v>
      </c>
      <c r="B73" s="19" t="s">
        <v>659</v>
      </c>
      <c r="C73" s="367" t="s">
        <v>654</v>
      </c>
      <c r="D73" s="361"/>
      <c r="E73" s="361" t="s">
        <v>721</v>
      </c>
    </row>
    <row r="74" spans="1:5" ht="49.8" customHeight="1">
      <c r="A74" s="367" t="s">
        <v>656</v>
      </c>
      <c r="B74" s="19" t="s">
        <v>660</v>
      </c>
      <c r="C74" s="367"/>
      <c r="D74" s="364" t="s">
        <v>661</v>
      </c>
      <c r="E74" s="361" t="s">
        <v>662</v>
      </c>
    </row>
    <row r="75" spans="1:5" ht="18.600000000000001" customHeight="1">
      <c r="A75" s="355" t="s">
        <v>663</v>
      </c>
      <c r="B75" s="356"/>
      <c r="C75" s="356"/>
      <c r="D75" s="361"/>
      <c r="E75" s="361"/>
    </row>
    <row r="76" spans="1:5" ht="18.600000000000001" customHeight="1">
      <c r="A76" s="370" t="s">
        <v>664</v>
      </c>
      <c r="B76" s="19" t="s">
        <v>665</v>
      </c>
      <c r="C76" s="367" t="s">
        <v>664</v>
      </c>
      <c r="D76" s="361"/>
      <c r="E76" s="361" t="s">
        <v>843</v>
      </c>
    </row>
    <row r="77" spans="1:5" ht="18.600000000000001" customHeight="1">
      <c r="A77" s="370" t="s">
        <v>666</v>
      </c>
      <c r="B77" s="19" t="s">
        <v>667</v>
      </c>
      <c r="C77" s="356"/>
      <c r="D77" s="361" t="s">
        <v>605</v>
      </c>
      <c r="E77" s="363"/>
    </row>
    <row r="78" spans="1:5" ht="18.600000000000001" customHeight="1">
      <c r="A78" s="370" t="s">
        <v>668</v>
      </c>
      <c r="B78" s="19" t="s">
        <v>669</v>
      </c>
      <c r="C78" s="357"/>
      <c r="D78" s="361" t="s">
        <v>605</v>
      </c>
      <c r="E78" s="363"/>
    </row>
    <row r="79" spans="1:5" ht="18.600000000000001" customHeight="1">
      <c r="A79" s="370" t="s">
        <v>670</v>
      </c>
      <c r="B79" s="19" t="s">
        <v>671</v>
      </c>
      <c r="C79" s="367"/>
      <c r="D79" s="361" t="s">
        <v>605</v>
      </c>
      <c r="E79" s="361" t="s">
        <v>680</v>
      </c>
    </row>
    <row r="80" spans="1:5" ht="18.600000000000001" customHeight="1">
      <c r="A80" s="370" t="s">
        <v>672</v>
      </c>
      <c r="B80" s="19" t="s">
        <v>673</v>
      </c>
      <c r="C80" s="356"/>
      <c r="D80" s="361" t="s">
        <v>362</v>
      </c>
      <c r="E80" s="361" t="s">
        <v>680</v>
      </c>
    </row>
    <row r="81" spans="1:5" ht="18.600000000000001" customHeight="1">
      <c r="A81" s="370" t="s">
        <v>674</v>
      </c>
      <c r="B81" s="19" t="s">
        <v>675</v>
      </c>
      <c r="C81" s="356"/>
      <c r="D81" s="361" t="s">
        <v>362</v>
      </c>
      <c r="E81" s="361" t="s">
        <v>680</v>
      </c>
    </row>
    <row r="82" spans="1:5" ht="18.600000000000001" customHeight="1">
      <c r="A82" s="370" t="s">
        <v>676</v>
      </c>
      <c r="B82" s="19" t="s">
        <v>677</v>
      </c>
      <c r="C82" s="356"/>
      <c r="D82" s="361" t="s">
        <v>362</v>
      </c>
      <c r="E82" s="361" t="s">
        <v>680</v>
      </c>
    </row>
    <row r="83" spans="1:5" ht="18.600000000000001" customHeight="1">
      <c r="A83" s="370" t="s">
        <v>678</v>
      </c>
      <c r="B83" s="19" t="s">
        <v>679</v>
      </c>
      <c r="C83" s="356"/>
      <c r="D83" s="361" t="s">
        <v>362</v>
      </c>
      <c r="E83" s="361" t="s">
        <v>680</v>
      </c>
    </row>
    <row r="84" spans="1:5" ht="18.600000000000001" customHeight="1">
      <c r="A84" s="355" t="s">
        <v>885</v>
      </c>
      <c r="B84" s="19"/>
      <c r="C84" s="356"/>
      <c r="D84" s="361"/>
      <c r="E84" s="361"/>
    </row>
    <row r="85" spans="1:5" ht="18.600000000000001" customHeight="1">
      <c r="A85" s="370"/>
      <c r="B85" s="19"/>
      <c r="C85" s="356" t="s">
        <v>851</v>
      </c>
      <c r="D85" s="361" t="s">
        <v>857</v>
      </c>
      <c r="E85" s="361" t="s">
        <v>858</v>
      </c>
    </row>
    <row r="86" spans="1:5" ht="18.600000000000001" customHeight="1">
      <c r="A86" s="370"/>
      <c r="B86" s="19"/>
      <c r="C86" s="356" t="s">
        <v>852</v>
      </c>
      <c r="D86" s="361" t="s">
        <v>857</v>
      </c>
      <c r="E86" s="361" t="s">
        <v>858</v>
      </c>
    </row>
    <row r="87" spans="1:5" ht="18.600000000000001" customHeight="1">
      <c r="A87" s="370"/>
      <c r="B87" s="19"/>
      <c r="C87" s="356" t="s">
        <v>853</v>
      </c>
      <c r="D87" s="361" t="s">
        <v>857</v>
      </c>
      <c r="E87" s="361" t="s">
        <v>858</v>
      </c>
    </row>
    <row r="88" spans="1:5" ht="18.600000000000001" customHeight="1">
      <c r="A88" s="370"/>
      <c r="B88" s="19"/>
      <c r="C88" s="356" t="s">
        <v>854</v>
      </c>
      <c r="D88" s="361" t="s">
        <v>857</v>
      </c>
      <c r="E88" s="361" t="s">
        <v>858</v>
      </c>
    </row>
    <row r="89" spans="1:5" ht="18.600000000000001" customHeight="1">
      <c r="A89" s="370"/>
      <c r="B89" s="19"/>
      <c r="C89" s="356" t="s">
        <v>855</v>
      </c>
      <c r="D89" s="361" t="s">
        <v>857</v>
      </c>
      <c r="E89" s="361" t="s">
        <v>858</v>
      </c>
    </row>
    <row r="90" spans="1:5" ht="18.600000000000001" customHeight="1">
      <c r="A90" s="370"/>
      <c r="B90" s="19"/>
      <c r="C90" s="356" t="s">
        <v>856</v>
      </c>
      <c r="D90" s="361"/>
      <c r="E90" s="361"/>
    </row>
    <row r="91" spans="1:5" ht="18.600000000000001" customHeight="1">
      <c r="A91" s="355" t="s">
        <v>886</v>
      </c>
      <c r="B91" s="356"/>
      <c r="C91" s="356"/>
      <c r="D91" s="361"/>
      <c r="E91" s="363"/>
    </row>
    <row r="92" spans="1:5" ht="18.600000000000001" customHeight="1">
      <c r="A92" s="356"/>
      <c r="B92" s="356"/>
      <c r="C92" s="356" t="s">
        <v>681</v>
      </c>
      <c r="D92" s="361" t="s">
        <v>364</v>
      </c>
      <c r="E92" s="361" t="s">
        <v>887</v>
      </c>
    </row>
    <row r="93" spans="1:5" s="366" customFormat="1" ht="24.6" customHeight="1">
      <c r="A93" s="365"/>
      <c r="B93" s="365"/>
      <c r="C93" s="365" t="s">
        <v>682</v>
      </c>
      <c r="D93" s="364"/>
      <c r="E93" s="364" t="s">
        <v>335</v>
      </c>
    </row>
    <row r="94" spans="1:5" s="366" customFormat="1" ht="36.6" customHeight="1">
      <c r="A94" s="365"/>
      <c r="B94" s="365"/>
      <c r="C94" s="365" t="s">
        <v>683</v>
      </c>
      <c r="D94" s="364"/>
      <c r="E94" s="364" t="s">
        <v>689</v>
      </c>
    </row>
    <row r="95" spans="1:5" ht="18.600000000000001" customHeight="1">
      <c r="A95" s="356"/>
      <c r="B95" s="356"/>
      <c r="C95" s="357" t="s">
        <v>684</v>
      </c>
      <c r="D95" s="361"/>
      <c r="E95" s="361"/>
    </row>
    <row r="96" spans="1:5" ht="18.600000000000001" customHeight="1">
      <c r="A96" s="356"/>
      <c r="B96" s="356"/>
      <c r="C96" s="357" t="s">
        <v>685</v>
      </c>
      <c r="D96" s="361"/>
      <c r="E96" s="361"/>
    </row>
    <row r="97" spans="1:5" ht="18.600000000000001" customHeight="1">
      <c r="A97" s="356"/>
      <c r="B97" s="356"/>
      <c r="C97" s="357" t="s">
        <v>687</v>
      </c>
      <c r="D97" s="361"/>
      <c r="E97" s="361" t="s">
        <v>861</v>
      </c>
    </row>
    <row r="98" spans="1:5" ht="18.600000000000001" customHeight="1">
      <c r="A98" s="356"/>
      <c r="B98" s="356"/>
      <c r="C98" s="357" t="s">
        <v>688</v>
      </c>
      <c r="D98" s="361"/>
      <c r="E98" s="361"/>
    </row>
    <row r="99" spans="1:5" ht="18.600000000000001" customHeight="1">
      <c r="A99" s="356"/>
      <c r="B99" s="358"/>
      <c r="C99" s="357" t="s">
        <v>690</v>
      </c>
      <c r="D99" s="361"/>
      <c r="E99" s="361"/>
    </row>
    <row r="100" spans="1:5" ht="30.6" customHeight="1">
      <c r="A100" s="356"/>
      <c r="B100" s="356"/>
      <c r="C100" s="357" t="s">
        <v>686</v>
      </c>
      <c r="D100" s="361"/>
      <c r="E100" s="361" t="s">
        <v>862</v>
      </c>
    </row>
    <row r="101" spans="1:5" ht="18.600000000000001" customHeight="1">
      <c r="A101" s="356"/>
      <c r="B101" s="356"/>
      <c r="C101" s="357" t="s">
        <v>691</v>
      </c>
      <c r="D101" s="361"/>
      <c r="E101" s="361" t="s">
        <v>866</v>
      </c>
    </row>
    <row r="102" spans="1:5" ht="18.600000000000001" customHeight="1">
      <c r="A102" s="356"/>
      <c r="B102" s="356"/>
      <c r="C102" s="357" t="s">
        <v>692</v>
      </c>
      <c r="D102" s="361"/>
      <c r="E102" s="361" t="s">
        <v>867</v>
      </c>
    </row>
    <row r="103" spans="1:5" ht="18.600000000000001" customHeight="1">
      <c r="A103" s="356"/>
      <c r="B103" s="356"/>
      <c r="C103" s="357" t="s">
        <v>869</v>
      </c>
      <c r="D103" s="361"/>
      <c r="E103" s="361" t="s">
        <v>865</v>
      </c>
    </row>
    <row r="104" spans="1:5" ht="18.600000000000001" customHeight="1">
      <c r="A104" s="356"/>
      <c r="B104" s="356"/>
      <c r="C104" s="357" t="s">
        <v>863</v>
      </c>
      <c r="D104" s="361"/>
      <c r="E104" s="361" t="s">
        <v>868</v>
      </c>
    </row>
    <row r="105" spans="1:5" ht="18.600000000000001" customHeight="1">
      <c r="A105" s="356"/>
      <c r="B105" s="356"/>
      <c r="C105" s="357" t="s">
        <v>864</v>
      </c>
      <c r="D105" s="361"/>
      <c r="E105" s="361" t="s">
        <v>888</v>
      </c>
    </row>
    <row r="106" spans="1:5">
      <c r="E106" s="380"/>
    </row>
  </sheetData>
  <phoneticPr fontId="17" type="noConversion"/>
  <hyperlinks>
    <hyperlink ref="A9" location="'一、原材料明细表G2-2-1'!A1" display="一、原材料明细表G2-2-1"/>
    <hyperlink ref="A10" location="'二、材料采购、在途物资明细表G2-2-2'!A1" display="二、材料采购、在途物资明细表G2-2-2"/>
    <hyperlink ref="A11" location="'三、周转材料、低值易耗品，包装物明细表G2-2-3'!A1" display="三、周转材料、低值易耗品，包装物明细表G2-2-3"/>
    <hyperlink ref="A12" location="'四、自制半成品明细表G2-2-4'!A1" display="四、自制半成品明细表G2-2-4"/>
    <hyperlink ref="A13" location="'五、委托加工物资明细表G2-2-5'!A1" display="五、委托加工物资明细表G2-2-5"/>
    <hyperlink ref="A14" location="'六、库存商品明细表G2-2-6'!A1" display="六、库存商品明细表G2-2-6"/>
    <hyperlink ref="A15" location="'七、发出商品G2-2-7'!A1" display="七、发出商品G2-2-7"/>
    <hyperlink ref="A16" location="'八、开发产品G2-2-8'!A1" display="八、开发产品G2-2-8"/>
    <hyperlink ref="A17" location="'九、开发成本G2-2-9'!A1" display="九、开发成本G2-2-9"/>
    <hyperlink ref="A18" location="'十、工程施工G2-2-10'!A1" display="十、工程施工G2-2-10"/>
    <hyperlink ref="A3" location="存货实质性程序表G2A!A1" display="存货实质性程序表G2A"/>
    <hyperlink ref="A5" location="'附注披露信息（上市公司）G2-1'!A1" display="附注披露信息G2-1"/>
    <hyperlink ref="A7" location="'明细汇总表（见附件）G2-2'!A1" display="存货明细表G2-2"/>
    <hyperlink ref="A8" location="'存货总体分析表G2-3'!A1" display="存货总体分析G2-3"/>
    <hyperlink ref="A6" location="'附注披露信息（国企）G2-1'!A1" display="附注披露信息(国企）G2-2"/>
    <hyperlink ref="A4" location="存货审定表G2!A1" display="存货审定表G2"/>
    <hyperlink ref="A20" location="'调整分录汇总G2-2-12'!A1" display="调整分录汇总"/>
    <hyperlink ref="A19" location="'十一、消耗性生物资产G2-2-11'!A1" display="十一、消耗性生物资产G2-2-11"/>
    <hyperlink ref="A23" location="'存货单价分析表G2-3-1'!A1" display="存货单价分析表G2-3-1"/>
    <hyperlink ref="A24" location="'存货产量变动分析表G2-3-2'!A1" display="存货产量变动分析表G2-3-2"/>
    <hyperlink ref="A26" location="'存货产量与产能分析表G2-3-3'!A1" display="存货产量与产能分析表G2-3-3"/>
    <hyperlink ref="A27" location="'生产成本明细分析表G2-3-4'!A1" display="生产成本明细分析表G2-3-4"/>
    <hyperlink ref="A28" location="'制造费用明细分析表G2-3-5'!A1" display="制造费用明细分析表G2-3-5"/>
    <hyperlink ref="A29" location="'直接人工分析表G2-3-6'!A1" display="直接人工分析表G2-3-6"/>
    <hyperlink ref="A30" location="'重要供应商结构分析G2-3-7'!A1" display="重要供应商结构分析G2-3-7"/>
    <hyperlink ref="A31" location="'重要供应商采购成本情况分析G2-3-8'!A1" display="重要供应商采购成本情况分析G2-3-8"/>
    <hyperlink ref="C3" location="存货实质性程序表G2A!A1" display="存货实质性程序表G2A"/>
    <hyperlink ref="C5" location="'附注披露信息（上市公司）G2-1'!A1" display="附注披露信息G2-1"/>
    <hyperlink ref="C7" location="'明细汇总表（见附件）G2-2'!A1" display="存货明细表G2-2"/>
    <hyperlink ref="C22" location="'存货总体分析表G2-3'!A1" display="存货总体分析G2-3"/>
    <hyperlink ref="C6" location="'附注披露信息（国企）G2-1'!A1" display="附注披露信息(国企）G2-2"/>
    <hyperlink ref="C4" location="存货审定表G2!A1" display="存货审定表G2"/>
    <hyperlink ref="C9" location="'一、原材料明细表G2-2-1'!A1" display="一、原材料明细表G2-2-1"/>
    <hyperlink ref="C10" location="'二、材料采购、在途物资明细表G2-2-2'!A1" display="二、材料采购、在途物资明细表G2-2-2"/>
    <hyperlink ref="C11" location="'三、周转材料、低值易耗品，包装物明细表G2-2-3'!A1" display="三、周转材料、低值易耗品，包装物明细表G2-2-3"/>
    <hyperlink ref="C12" location="'四、自制半成品明细表G2-2-4'!A1" display="四、自制半成品明细表G2-2-4"/>
    <hyperlink ref="C13" location="'五、委托加工物资明细表G2-2-5'!A1" display="五、委托加工物资明细表G2-2-5"/>
    <hyperlink ref="C14" location="'六、库存商品明细表G2-2-6'!A1" display="六、库存商品明细表G2-2-6"/>
    <hyperlink ref="C15" location="'七、发出商品G2-2-7'!A1" display="七、发出商品G2-2-7"/>
    <hyperlink ref="C16" location="'八、开发产品G2-2-8'!A1" display="八、开发产品G2-2-8"/>
    <hyperlink ref="C17" location="'九、开发成本G2-2-9'!A1" display="九、开发成本G2-2-9"/>
    <hyperlink ref="C18" location="'十、工程施工G2-2-10'!A1" display="十、工程施工G2-2-10"/>
    <hyperlink ref="C20" location="'调整分录汇总G2-2-12'!A1" display="调整分录汇总"/>
    <hyperlink ref="C19" location="'十一、消耗性生物资产G2-2-11'!A1" display="十一、消耗性生物资产G2-2-11"/>
    <hyperlink ref="C24" location="'存货产量变动分析表G2-3-2'!A1" display="存货产量变动分析表G2-3-2"/>
    <hyperlink ref="A51" location="'截止测试-出库G2-7-2'!A1" display="存货截止测试-出库G2-7-2"/>
    <hyperlink ref="A53" location="'交易背景和商业目的调查G2-11（IPO、上市公司）'!A1" display="交易背景和商业目的调查G2-11（IPO、上市公司）"/>
    <hyperlink ref="A56" location="'委托加工物资核查表G2-12'!A1" display="委托加工物资核查表G2-12"/>
    <hyperlink ref="C56" location="'委托加工物资核查表G2-12'!A1" display="委托加工物资核查表G2-12"/>
    <hyperlink ref="A59" location="'存货计价测试程序G2-8'!A1" display="存货计价测试程序G8"/>
    <hyperlink ref="A60" location="'计价方法测试表-平均G2-8-1'!A1" display="计价方法测试表-平均G2-8-1"/>
    <hyperlink ref="A61" location="'计价方法测试表-FIFOG2-8-2'!A1" display="计价方法测试表-FIFOG2-8-2"/>
    <hyperlink ref="A62" location="'计价方法测试表-成本差异G2-8-3'!A1" display="计价方法测试表-成本差异G2-8-3"/>
    <hyperlink ref="A64" location="'产品年度成本比较G2-8-4'!A1" display="产品年度成本比较G2-8-4"/>
    <hyperlink ref="A67" location="'产品月度成本比较G2-8-5'!A1" display="产品月度成本比较G2-8-5"/>
    <hyperlink ref="A68" location="'生产成本分配G2-8-6'!A1" display="生产成本分配G2-8-6"/>
    <hyperlink ref="A69" location="'产品同行业成本比较G2-8-7'!A1" display="产品同行业成本比较"/>
    <hyperlink ref="C60" location="'计价方法测试表-平均G2-8-1'!A1" display="计价方法测试表-平均G2-8-1"/>
    <hyperlink ref="C64" location="'产品年度成本比较G2-8-4'!A1" display="产品年度成本比较G2-8-4"/>
    <hyperlink ref="C63" location="'生产成本明细分析表G2-3-4'!A1" display="生产成本明细分析表G2-3-4"/>
    <hyperlink ref="C66" location="'制造费用明细分析表G2-3-5'!A1" display="制造费用明细分析表G2-3-5"/>
    <hyperlink ref="C65" location="'直接人工分析表G2-3-6'!A1" display="直接人工分析表G2-3-6"/>
    <hyperlink ref="C62" location="'计价方法测试表-成本差异G2-8-3'!A1" display="计价方法测试表-成本差异G2-8-3"/>
    <hyperlink ref="C68" location="'生产成本分配G2-8-6'!A1" display="生产成本分配G2-8-6"/>
    <hyperlink ref="A71" location="'跌价准备测试表G2-9'!A1" display="存货跌价准备测试表G2-9"/>
    <hyperlink ref="A72" location="'跌价转回G2-9-1'!A1" display="跌价转回G2-9-1"/>
    <hyperlink ref="A73" location="'库龄表G2-9-2'!A1" display="库龄表G2-9-2"/>
    <hyperlink ref="A74" location="'同行业存货跌价计提情况G2-9-3'!A1" display="同行业存货跌价计提情况G2-9-3"/>
    <hyperlink ref="C71" location="'跌价准备测试表G2-9'!A1" display="存货跌价准备测试表G2-9"/>
    <hyperlink ref="A76" location="'关联采购分析表G2-10'!A1" display="关联采购分析表G2-10"/>
    <hyperlink ref="A77" location="'采购定价公允性测算（询价函）G2-10-1'!A1" display="采购定价公允性测算（询价函）G2-10-1"/>
    <hyperlink ref="A78" location="'采购定价公允性测算（市场价）G2-10-2'!A1" display="采购定价公允性测算（市场价）G2-10-2"/>
    <hyperlink ref="A79" location="'识别未披露的关联方G2-10-3'!A1" display="识别未披露的关联方G2-10-3"/>
    <hyperlink ref="A80" location="'姓名汇总G2-10-3-1'!A1" display="姓名汇总G2-10-3-1"/>
    <hyperlink ref="A81" location="'公司高管亲属名单G2-10-3-2'!A1" display="公司高管亲属名单G2-10-3-2"/>
    <hyperlink ref="A82" location="'职工花名册G2-10-3-3'!A1" display="职工花名册G2-10-3-3"/>
    <hyperlink ref="A83" location="'经销商负责人名单G2-10-3-4'!A1" display="经销商负责人名单G2-10-3-4"/>
    <hyperlink ref="C76" location="'关联采购分析表G2-10'!A1" display="关联采购分析表G2-10"/>
    <hyperlink ref="A49" location="'截止测试-入库G2-7-1'!A1" display="存货截止测试-入库G2-7-1"/>
    <hyperlink ref="A35" location="'函证结果汇总表G2-5'!A1" display="函证结果汇总表G2-5"/>
    <hyperlink ref="A41" location="'监盘小结G2-6-1'!A1" display="存货监盘小结G2-6-1"/>
    <hyperlink ref="A42" location="'监盘计划G2-6-2'!A1" display="存货监盘计划G2-6-2"/>
    <hyperlink ref="A43" location="'盘点计划问卷G2-6-3'!A1" display="存货盘点计划问卷G2-6-3"/>
    <hyperlink ref="A47" location="'双向核对表G2-6-7'!A1" display="双向核对表G2-6-7"/>
    <hyperlink ref="A45" location="'盘点倒轧表G2-6-5'!A1" display="盘点倒轧表G2-6-5"/>
    <hyperlink ref="A46" location="'抽盘表G2-6-6'!A1" display="存货抽盘表G2-6-6"/>
    <hyperlink ref="A40" location="'存货监盘程序表G2-6'!A1" display="存货监盘程序表G2-6"/>
    <hyperlink ref="A36" location="'核实被函证客户信息G2-5-2'!Print_Area" display="核实被函证客户信息G2-5-2"/>
    <hyperlink ref="A37" location="'函证过程控制G2-5-3'!Print_Area" display="函证过程控制G2-5-3"/>
    <hyperlink ref="A38" location="'函证差异调节表检查表G2-5-4'!Print_Area" display="函证差异调节表检查表G2-5-4"/>
    <hyperlink ref="A39" location="'回函核对记录G2-5-5'!Print_Area" display="回函核对记录G2-5-5"/>
    <hyperlink ref="C40" location="'存货监盘程序表G2-6'!A1" display="存货监盘程序表G2-6"/>
    <hyperlink ref="C41" location="'盘点计划问卷G2-6-3'!A1" display="存货盘点计划问卷G2-6-3"/>
    <hyperlink ref="C42" location="'监盘计划G2-6-2'!A1" display="存货监盘计划G2-6-2"/>
    <hyperlink ref="C43" location="'监盘小结G2-6-1'!A1" display="存货监盘小结G2-6-1"/>
    <hyperlink ref="C45" location="'抽盘表G2-6-6'!A1" display="存货抽盘表G2-6-6"/>
    <hyperlink ref="C73" location="'跌价转回G2-9-1'!A1" display="跌价转回G2-9-1"/>
    <hyperlink ref="C72" location="'关联采购分析表G2-10'!A1" display="关联采购分析表G2-10"/>
    <hyperlink ref="A57" location="'合同履约成本测试表G2-13'!A1" display="合同履约成本测试表G2-13"/>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25"/>
  <sheetViews>
    <sheetView tabSelected="1" workbookViewId="0"/>
  </sheetViews>
  <sheetFormatPr defaultColWidth="9" defaultRowHeight="18" customHeight="1"/>
  <cols>
    <col min="1" max="1" width="77.19921875" style="5" customWidth="1"/>
    <col min="2" max="2" width="2" style="5" customWidth="1"/>
    <col min="3" max="3" width="2.09765625" style="5" customWidth="1"/>
    <col min="4" max="4" width="6.19921875" style="5" customWidth="1"/>
    <col min="5" max="5" width="39.5" style="5" customWidth="1"/>
    <col min="6" max="16384" width="9" style="5"/>
  </cols>
  <sheetData>
    <row r="1" spans="1:7" s="3" customFormat="1" ht="19.95" customHeight="1">
      <c r="A1" s="1" t="s">
        <v>5</v>
      </c>
    </row>
    <row r="2" spans="1:7" ht="19.95" customHeight="1">
      <c r="A2" s="439" t="s">
        <v>892</v>
      </c>
      <c r="B2" s="4"/>
      <c r="C2" s="4"/>
      <c r="D2" s="74" t="s">
        <v>123</v>
      </c>
      <c r="E2" s="74" t="s">
        <v>124</v>
      </c>
      <c r="F2" s="74" t="s">
        <v>114</v>
      </c>
    </row>
    <row r="3" spans="1:7" ht="19.95" customHeight="1">
      <c r="A3" s="439" t="s">
        <v>904</v>
      </c>
      <c r="B3" s="4"/>
      <c r="C3" s="4"/>
      <c r="D3" s="144">
        <v>1</v>
      </c>
      <c r="E3" s="444" t="s">
        <v>222</v>
      </c>
      <c r="F3" s="404" t="s">
        <v>748</v>
      </c>
    </row>
    <row r="4" spans="1:7" ht="19.95" customHeight="1">
      <c r="A4" s="83" t="s">
        <v>893</v>
      </c>
      <c r="B4" s="6"/>
      <c r="C4" s="6"/>
      <c r="D4" s="144">
        <v>2</v>
      </c>
      <c r="E4" s="444" t="s">
        <v>224</v>
      </c>
      <c r="F4" s="404" t="s">
        <v>774</v>
      </c>
    </row>
    <row r="5" spans="1:7" ht="19.95" customHeight="1">
      <c r="A5" s="83" t="s">
        <v>894</v>
      </c>
      <c r="D5" s="144">
        <v>3</v>
      </c>
      <c r="E5" s="444" t="s">
        <v>226</v>
      </c>
      <c r="F5" s="404"/>
      <c r="G5" s="454" t="s">
        <v>903</v>
      </c>
    </row>
    <row r="6" spans="1:7" ht="19.95" customHeight="1">
      <c r="A6" s="83" t="s">
        <v>895</v>
      </c>
      <c r="D6" s="144">
        <v>4</v>
      </c>
      <c r="E6" s="444" t="s">
        <v>228</v>
      </c>
      <c r="F6" s="404"/>
      <c r="G6" s="454" t="s">
        <v>903</v>
      </c>
    </row>
    <row r="7" spans="1:7" ht="19.95" customHeight="1">
      <c r="A7" s="83" t="s">
        <v>896</v>
      </c>
      <c r="D7" s="144">
        <v>5</v>
      </c>
      <c r="E7" s="444" t="s">
        <v>777</v>
      </c>
      <c r="F7" s="404" t="s">
        <v>756</v>
      </c>
    </row>
    <row r="8" spans="1:7" ht="19.95" customHeight="1">
      <c r="D8" s="144">
        <v>6</v>
      </c>
      <c r="E8" s="444" t="s">
        <v>233</v>
      </c>
      <c r="F8" s="404" t="s">
        <v>758</v>
      </c>
    </row>
    <row r="9" spans="1:7" ht="19.95" customHeight="1">
      <c r="A9" s="458" t="s">
        <v>909</v>
      </c>
      <c r="D9" s="144">
        <v>7</v>
      </c>
      <c r="E9" s="444" t="s">
        <v>235</v>
      </c>
      <c r="F9" s="404" t="s">
        <v>759</v>
      </c>
    </row>
    <row r="10" spans="1:7" ht="19.95" customHeight="1">
      <c r="A10" s="460" t="s">
        <v>910</v>
      </c>
      <c r="D10" s="144">
        <v>8</v>
      </c>
      <c r="E10" s="444" t="s">
        <v>236</v>
      </c>
      <c r="F10" s="404" t="s">
        <v>760</v>
      </c>
    </row>
    <row r="11" spans="1:7" ht="19.95" customHeight="1">
      <c r="A11" s="460"/>
      <c r="D11" s="144">
        <v>9</v>
      </c>
      <c r="E11" s="444" t="s">
        <v>22</v>
      </c>
      <c r="F11" s="404" t="s">
        <v>761</v>
      </c>
    </row>
    <row r="12" spans="1:7" ht="19.95" customHeight="1">
      <c r="A12" s="460"/>
      <c r="D12" s="144">
        <v>10</v>
      </c>
      <c r="E12" s="444" t="s">
        <v>237</v>
      </c>
      <c r="F12" s="404" t="s">
        <v>764</v>
      </c>
    </row>
    <row r="13" spans="1:7" ht="19.95" customHeight="1">
      <c r="A13" s="460"/>
      <c r="D13" s="144">
        <v>11</v>
      </c>
      <c r="E13" s="444" t="s">
        <v>780</v>
      </c>
      <c r="F13" s="404" t="s">
        <v>769</v>
      </c>
    </row>
    <row r="14" spans="1:7" ht="19.95" customHeight="1">
      <c r="A14" s="460" t="s">
        <v>911</v>
      </c>
      <c r="D14" s="144">
        <v>12</v>
      </c>
      <c r="E14" s="444" t="s">
        <v>781</v>
      </c>
      <c r="F14" s="404" t="s">
        <v>770</v>
      </c>
    </row>
    <row r="15" spans="1:7" ht="19.95" customHeight="1">
      <c r="A15" s="460"/>
      <c r="D15" s="144">
        <v>13</v>
      </c>
      <c r="E15" s="444" t="s">
        <v>782</v>
      </c>
      <c r="F15" s="404" t="s">
        <v>771</v>
      </c>
    </row>
    <row r="16" spans="1:7" ht="19.95" customHeight="1">
      <c r="A16" s="460"/>
      <c r="D16" s="144">
        <v>14</v>
      </c>
      <c r="E16" s="444" t="s">
        <v>783</v>
      </c>
      <c r="F16" s="404" t="s">
        <v>775</v>
      </c>
    </row>
    <row r="17" spans="1:7" ht="19.95" customHeight="1">
      <c r="A17" s="461" t="s">
        <v>912</v>
      </c>
      <c r="D17" s="144">
        <v>15</v>
      </c>
      <c r="E17" s="444" t="s">
        <v>784</v>
      </c>
      <c r="F17" s="404" t="s">
        <v>844</v>
      </c>
      <c r="G17" s="214"/>
    </row>
    <row r="18" spans="1:7" ht="19.95" customHeight="1">
      <c r="A18" s="461"/>
      <c r="D18" s="144">
        <v>16</v>
      </c>
      <c r="E18" s="444" t="s">
        <v>785</v>
      </c>
      <c r="F18" s="404" t="s">
        <v>772</v>
      </c>
    </row>
    <row r="19" spans="1:7" ht="19.95" customHeight="1">
      <c r="A19" s="461"/>
      <c r="D19" s="144">
        <v>17</v>
      </c>
      <c r="E19" s="445" t="s">
        <v>230</v>
      </c>
      <c r="F19" s="404" t="s">
        <v>776</v>
      </c>
    </row>
    <row r="25" spans="1:7" ht="117" customHeight="1">
      <c r="A25" s="225"/>
    </row>
  </sheetData>
  <mergeCells count="3">
    <mergeCell ref="A10:A13"/>
    <mergeCell ref="A14:A16"/>
    <mergeCell ref="A17:A19"/>
  </mergeCells>
  <phoneticPr fontId="17" type="noConversion"/>
  <hyperlinks>
    <hyperlink ref="E8" location="'一、原材料明细表F2-3'!A1" display="一、原材料明细表"/>
    <hyperlink ref="E9" location="'二、材料采购、在途物资明细表F2-4'!A1" display="二、材料采购、在途物资明细表"/>
    <hyperlink ref="E10" location="'三、周转材料、低值易耗品，包装物明细表F2-5'!A1" display="三、周转材料、低值易耗品，包装物明细表"/>
    <hyperlink ref="E11" location="'四、自制半成品明细表F2-6'!A1" display="四、自制半成品明细表"/>
    <hyperlink ref="E12" location="'五、委托加工物资明细表F2-7'!A1" display="五、委托加工物资明细表"/>
    <hyperlink ref="E13" location="'六、库存商品明细表F2-8'!A1" display="六、库存商品明细表"/>
    <hyperlink ref="E14" location="'七、发出商品F2-9'!A1" display="七、发出商品明细表"/>
    <hyperlink ref="E15" location="'八、开发产品F2-10'!A1" display="八、开发产品明细表"/>
    <hyperlink ref="E16" location="'九、开发成本F2-11'!A1" display="九、开发成本明细表"/>
    <hyperlink ref="E17" location="'十、合同履约成本F2-12'!A1" display="十、合同履约成本明细表"/>
    <hyperlink ref="E3" location="存货实质性程序表F2A!A1" display="存货实质性程序表"/>
    <hyperlink ref="E5" location="'附注披露信息（上市公司）'!A1" display="附注披露信息(上市公司）"/>
    <hyperlink ref="E7" location="'明细汇总表F2-2'!A1" display="存货明细汇总表"/>
    <hyperlink ref="E6" location="'附注披露信息（国企）'!A1" display="附注披露信息(国企）"/>
    <hyperlink ref="E4" location="'存货审定表F2-1'!A1" display="存货审定表"/>
    <hyperlink ref="E19" location="'调整分录汇总F2-14'!A1" display="调整分录汇总"/>
    <hyperlink ref="E18" location="'十一、消耗性生物资产F2-13'!A1" display="十一、消耗性生物资产明细表"/>
  </hyperlinks>
  <pageMargins left="0.75" right="0.75" top="1" bottom="1" header="0.5" footer="0.5"/>
  <pageSetup paperSize="9" orientation="portrait" horizontalDpi="1200" verticalDpi="1200"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dimension ref="A1:N53"/>
  <sheetViews>
    <sheetView view="pageBreakPreview" zoomScaleNormal="115" zoomScaleSheetLayoutView="100" workbookViewId="0">
      <selection sqref="A1:J1"/>
    </sheetView>
  </sheetViews>
  <sheetFormatPr defaultColWidth="9" defaultRowHeight="13.8"/>
  <cols>
    <col min="1" max="1" width="4.5" style="88" customWidth="1"/>
    <col min="2" max="2" width="10.69921875" style="88" customWidth="1"/>
    <col min="3" max="3" width="57.3984375" style="88" customWidth="1"/>
    <col min="4" max="4" width="8.09765625" style="88" customWidth="1"/>
    <col min="5" max="5" width="5.296875" style="88" customWidth="1"/>
    <col min="6" max="6" width="5.69921875" style="88" customWidth="1"/>
    <col min="7" max="7" width="6" style="88" customWidth="1"/>
    <col min="8" max="8" width="7.796875" style="88" customWidth="1"/>
    <col min="9" max="9" width="5.296875" style="88" customWidth="1"/>
    <col min="10" max="10" width="7.19921875" style="438" customWidth="1"/>
    <col min="11" max="11" width="52.09765625" style="87" customWidth="1"/>
    <col min="12" max="12" width="30.296875" style="87" customWidth="1"/>
    <col min="13" max="16384" width="9" style="88"/>
  </cols>
  <sheetData>
    <row r="1" spans="1:14" ht="19.95" customHeight="1">
      <c r="A1" s="471" t="s">
        <v>55</v>
      </c>
      <c r="B1" s="471"/>
      <c r="C1" s="471"/>
      <c r="D1" s="471"/>
      <c r="E1" s="471"/>
      <c r="F1" s="471"/>
      <c r="G1" s="471"/>
      <c r="H1" s="471"/>
      <c r="I1" s="471"/>
      <c r="J1" s="471"/>
    </row>
    <row r="2" spans="1:14" ht="19.95" customHeight="1">
      <c r="A2" s="472" t="s">
        <v>138</v>
      </c>
      <c r="B2" s="472"/>
      <c r="C2" s="472"/>
      <c r="D2" s="472"/>
      <c r="E2" s="472"/>
      <c r="F2" s="472"/>
      <c r="G2" s="472"/>
      <c r="H2" s="472"/>
      <c r="I2" s="472"/>
      <c r="J2" s="472"/>
    </row>
    <row r="3" spans="1:14" ht="19.95" customHeight="1">
      <c r="A3" s="89" t="str">
        <f>底稿目录!A2</f>
        <v>被审计单位：</v>
      </c>
      <c r="B3" s="89"/>
      <c r="D3" s="90" t="str">
        <f>底稿目录!A4</f>
        <v>编制人：</v>
      </c>
      <c r="E3" s="91"/>
      <c r="F3" s="89" t="str">
        <f>底稿目录!A5</f>
        <v>编制日期：</v>
      </c>
      <c r="H3" s="89"/>
      <c r="I3" s="89" t="s">
        <v>83</v>
      </c>
      <c r="J3" s="441" t="str">
        <f>底稿目录!F3</f>
        <v>F2A</v>
      </c>
    </row>
    <row r="4" spans="1:14" ht="19.95" customHeight="1">
      <c r="A4" s="89" t="str">
        <f>底稿目录!A3</f>
        <v>截止日：202X年12月21日</v>
      </c>
      <c r="B4" s="89"/>
      <c r="D4" s="90" t="str">
        <f>底稿目录!A6</f>
        <v>复核人：</v>
      </c>
      <c r="E4" s="91"/>
      <c r="F4" s="89" t="str">
        <f>底稿目录!A7</f>
        <v>复核日期：</v>
      </c>
      <c r="H4" s="89"/>
      <c r="I4" s="89" t="s">
        <v>850</v>
      </c>
      <c r="J4" s="437"/>
    </row>
    <row r="5" spans="1:14" ht="19.95" customHeight="1">
      <c r="A5" s="215" t="s">
        <v>301</v>
      </c>
      <c r="B5" s="216"/>
      <c r="C5" s="217"/>
      <c r="D5" s="89"/>
      <c r="E5" s="91"/>
      <c r="F5" s="89"/>
      <c r="G5" s="89"/>
      <c r="H5" s="89"/>
      <c r="I5" s="91"/>
      <c r="J5" s="437"/>
    </row>
    <row r="6" spans="1:14" ht="19.95" customHeight="1">
      <c r="A6" s="218" t="s">
        <v>339</v>
      </c>
      <c r="B6" s="216"/>
      <c r="C6" s="217"/>
      <c r="D6" s="89"/>
      <c r="E6" s="91"/>
      <c r="F6" s="89"/>
      <c r="G6" s="89"/>
      <c r="H6" s="89"/>
      <c r="I6" s="91"/>
      <c r="J6" s="437"/>
    </row>
    <row r="7" spans="1:14" ht="19.95" customHeight="1">
      <c r="A7" s="219" t="s">
        <v>302</v>
      </c>
      <c r="B7" s="220"/>
      <c r="C7" s="217"/>
      <c r="D7" s="89"/>
      <c r="E7" s="91"/>
      <c r="F7" s="89"/>
      <c r="G7" s="89"/>
      <c r="H7" s="89"/>
      <c r="I7" s="91"/>
      <c r="J7" s="437"/>
    </row>
    <row r="8" spans="1:14" ht="22.2" customHeight="1">
      <c r="A8" s="465" t="s">
        <v>303</v>
      </c>
      <c r="B8" s="465"/>
      <c r="C8" s="465"/>
      <c r="D8" s="465"/>
      <c r="E8" s="465"/>
      <c r="F8" s="465"/>
      <c r="G8" s="465"/>
      <c r="H8" s="473" t="s">
        <v>139</v>
      </c>
      <c r="I8" s="473"/>
      <c r="J8" s="473"/>
    </row>
    <row r="9" spans="1:14" ht="19.95" customHeight="1">
      <c r="A9" s="470" t="s">
        <v>140</v>
      </c>
      <c r="B9" s="470"/>
      <c r="C9" s="470"/>
      <c r="D9" s="470"/>
      <c r="E9" s="470"/>
      <c r="F9" s="470"/>
      <c r="G9" s="470"/>
      <c r="H9" s="462" t="s">
        <v>304</v>
      </c>
      <c r="I9" s="462"/>
      <c r="J9" s="462"/>
    </row>
    <row r="10" spans="1:14" ht="19.95" customHeight="1">
      <c r="A10" s="470" t="s">
        <v>899</v>
      </c>
      <c r="B10" s="470"/>
      <c r="C10" s="470"/>
      <c r="D10" s="470"/>
      <c r="E10" s="470"/>
      <c r="F10" s="470"/>
      <c r="G10" s="470"/>
      <c r="H10" s="462" t="s">
        <v>897</v>
      </c>
      <c r="I10" s="462"/>
      <c r="J10" s="462"/>
    </row>
    <row r="11" spans="1:14" ht="23.4" customHeight="1">
      <c r="A11" s="470" t="s">
        <v>141</v>
      </c>
      <c r="B11" s="470"/>
      <c r="C11" s="470"/>
      <c r="D11" s="470"/>
      <c r="E11" s="470"/>
      <c r="F11" s="470"/>
      <c r="G11" s="470"/>
      <c r="H11" s="462" t="s">
        <v>898</v>
      </c>
      <c r="I11" s="462"/>
      <c r="J11" s="462"/>
    </row>
    <row r="12" spans="1:14" ht="25.8" customHeight="1">
      <c r="A12" s="470" t="s">
        <v>900</v>
      </c>
      <c r="B12" s="470"/>
      <c r="C12" s="470"/>
      <c r="D12" s="470"/>
      <c r="E12" s="470"/>
      <c r="F12" s="470"/>
      <c r="G12" s="470"/>
      <c r="H12" s="462" t="s">
        <v>305</v>
      </c>
      <c r="I12" s="462"/>
      <c r="J12" s="462"/>
    </row>
    <row r="13" spans="1:14" ht="24.6" customHeight="1">
      <c r="A13" s="470" t="s">
        <v>353</v>
      </c>
      <c r="B13" s="470"/>
      <c r="C13" s="470"/>
      <c r="D13" s="470"/>
      <c r="E13" s="470"/>
      <c r="F13" s="470"/>
      <c r="G13" s="470"/>
      <c r="H13" s="462" t="s">
        <v>306</v>
      </c>
      <c r="I13" s="462"/>
      <c r="J13" s="462"/>
    </row>
    <row r="14" spans="1:14" ht="19.95" customHeight="1">
      <c r="A14" s="451" t="s">
        <v>890</v>
      </c>
      <c r="B14" s="451"/>
      <c r="C14" s="221"/>
      <c r="D14" s="89"/>
      <c r="E14" s="91"/>
      <c r="F14" s="89"/>
      <c r="G14" s="89"/>
      <c r="H14" s="89"/>
      <c r="I14" s="91"/>
      <c r="J14" s="437"/>
    </row>
    <row r="15" spans="1:14" ht="19.95" customHeight="1">
      <c r="A15" s="463" t="s">
        <v>307</v>
      </c>
      <c r="B15" s="464" t="s">
        <v>275</v>
      </c>
      <c r="C15" s="465" t="s">
        <v>914</v>
      </c>
      <c r="D15" s="466" t="s">
        <v>142</v>
      </c>
      <c r="E15" s="467" t="s">
        <v>308</v>
      </c>
      <c r="F15" s="468"/>
      <c r="G15" s="468"/>
      <c r="H15" s="468"/>
      <c r="I15" s="468"/>
      <c r="J15" s="465" t="s">
        <v>314</v>
      </c>
      <c r="K15" s="92"/>
      <c r="L15" s="93"/>
      <c r="M15" s="93"/>
      <c r="N15" s="93"/>
    </row>
    <row r="16" spans="1:14" ht="36" customHeight="1">
      <c r="A16" s="463"/>
      <c r="B16" s="464"/>
      <c r="C16" s="465"/>
      <c r="D16" s="466"/>
      <c r="E16" s="381" t="s">
        <v>309</v>
      </c>
      <c r="F16" s="381" t="s">
        <v>310</v>
      </c>
      <c r="G16" s="382" t="s">
        <v>311</v>
      </c>
      <c r="H16" s="382" t="s">
        <v>312</v>
      </c>
      <c r="I16" s="382" t="s">
        <v>313</v>
      </c>
      <c r="J16" s="469"/>
      <c r="K16" s="459" t="s">
        <v>913</v>
      </c>
      <c r="L16" s="93"/>
      <c r="M16" s="93"/>
      <c r="N16" s="93"/>
    </row>
    <row r="17" spans="1:14" ht="80.400000000000006" customHeight="1">
      <c r="A17" s="353">
        <v>1</v>
      </c>
      <c r="B17" s="383" t="s">
        <v>266</v>
      </c>
      <c r="C17" s="384" t="s">
        <v>373</v>
      </c>
      <c r="D17" s="95" t="s">
        <v>143</v>
      </c>
      <c r="E17" s="228" t="s">
        <v>343</v>
      </c>
      <c r="F17" s="228" t="s">
        <v>344</v>
      </c>
      <c r="G17" s="230"/>
      <c r="H17" s="227" t="s">
        <v>343</v>
      </c>
      <c r="I17" s="385"/>
      <c r="J17" s="436" t="s">
        <v>812</v>
      </c>
      <c r="K17" s="92"/>
      <c r="L17" s="222"/>
      <c r="M17" s="222"/>
      <c r="N17" s="222"/>
    </row>
    <row r="18" spans="1:14" ht="34.799999999999997" customHeight="1">
      <c r="A18" s="354">
        <v>2</v>
      </c>
      <c r="B18" s="383" t="s">
        <v>266</v>
      </c>
      <c r="C18" s="386" t="s">
        <v>374</v>
      </c>
      <c r="D18" s="95" t="s">
        <v>143</v>
      </c>
      <c r="E18" s="227" t="s">
        <v>343</v>
      </c>
      <c r="F18" s="227" t="s">
        <v>344</v>
      </c>
      <c r="G18" s="386"/>
      <c r="H18" s="228" t="s">
        <v>343</v>
      </c>
      <c r="I18" s="386"/>
      <c r="J18" s="96" t="s">
        <v>827</v>
      </c>
      <c r="K18" s="435"/>
      <c r="L18" s="94"/>
      <c r="M18" s="93"/>
      <c r="N18" s="93"/>
    </row>
    <row r="19" spans="1:14" ht="53.4" customHeight="1">
      <c r="A19" s="353">
        <v>3</v>
      </c>
      <c r="B19" s="383" t="s">
        <v>268</v>
      </c>
      <c r="C19" s="387" t="s">
        <v>315</v>
      </c>
      <c r="D19" s="95" t="s">
        <v>143</v>
      </c>
      <c r="E19" s="230"/>
      <c r="F19" s="227" t="s">
        <v>345</v>
      </c>
      <c r="G19" s="230"/>
      <c r="H19" s="228" t="s">
        <v>345</v>
      </c>
      <c r="I19" s="386"/>
      <c r="J19" s="450" t="s">
        <v>849</v>
      </c>
      <c r="K19" s="434" t="s">
        <v>813</v>
      </c>
      <c r="L19" s="94"/>
      <c r="M19" s="93"/>
      <c r="N19" s="93"/>
    </row>
    <row r="20" spans="1:14" ht="64.2" customHeight="1">
      <c r="A20" s="353">
        <v>4</v>
      </c>
      <c r="B20" s="383" t="s">
        <v>342</v>
      </c>
      <c r="C20" s="223" t="s">
        <v>341</v>
      </c>
      <c r="D20" s="95" t="s">
        <v>316</v>
      </c>
      <c r="E20" s="227" t="s">
        <v>346</v>
      </c>
      <c r="F20" s="228" t="s">
        <v>816</v>
      </c>
      <c r="G20" s="228" t="s">
        <v>343</v>
      </c>
      <c r="H20" s="228" t="s">
        <v>343</v>
      </c>
      <c r="I20" s="386"/>
      <c r="J20" s="96"/>
      <c r="K20" s="434" t="s">
        <v>814</v>
      </c>
      <c r="L20" s="94"/>
      <c r="M20" s="93"/>
      <c r="N20" s="93"/>
    </row>
    <row r="21" spans="1:14" ht="87" customHeight="1">
      <c r="A21" s="354">
        <v>5</v>
      </c>
      <c r="B21" s="388" t="s">
        <v>270</v>
      </c>
      <c r="C21" s="223" t="s">
        <v>815</v>
      </c>
      <c r="D21" s="95" t="s">
        <v>143</v>
      </c>
      <c r="E21" s="228" t="s">
        <v>816</v>
      </c>
      <c r="F21" s="228" t="s">
        <v>817</v>
      </c>
      <c r="G21" s="230"/>
      <c r="H21" s="228" t="s">
        <v>347</v>
      </c>
      <c r="I21" s="386"/>
      <c r="J21" s="96" t="s">
        <v>818</v>
      </c>
      <c r="K21" s="92"/>
      <c r="L21" s="94"/>
      <c r="M21" s="93"/>
      <c r="N21" s="93"/>
    </row>
    <row r="22" spans="1:14" ht="63.6" customHeight="1">
      <c r="A22" s="353">
        <v>6</v>
      </c>
      <c r="B22" s="388" t="s">
        <v>333</v>
      </c>
      <c r="C22" s="223" t="s">
        <v>823</v>
      </c>
      <c r="D22" s="95" t="s">
        <v>143</v>
      </c>
      <c r="E22" s="227" t="s">
        <v>345</v>
      </c>
      <c r="F22" s="230"/>
      <c r="G22" s="230"/>
      <c r="H22" s="228" t="s">
        <v>348</v>
      </c>
      <c r="I22" s="386"/>
      <c r="J22" s="96" t="s">
        <v>821</v>
      </c>
      <c r="K22" s="92"/>
      <c r="L22" s="94"/>
      <c r="M22" s="93"/>
      <c r="N22" s="93"/>
    </row>
    <row r="23" spans="1:14" ht="43.8" customHeight="1">
      <c r="A23" s="353">
        <v>7</v>
      </c>
      <c r="B23" s="388" t="s">
        <v>334</v>
      </c>
      <c r="C23" s="223" t="s">
        <v>822</v>
      </c>
      <c r="D23" s="95" t="s">
        <v>143</v>
      </c>
      <c r="E23" s="227" t="s">
        <v>345</v>
      </c>
      <c r="F23" s="230"/>
      <c r="G23" s="230"/>
      <c r="H23" s="228" t="s">
        <v>348</v>
      </c>
      <c r="I23" s="386"/>
      <c r="J23" s="96" t="s">
        <v>824</v>
      </c>
      <c r="K23" s="224"/>
      <c r="L23" s="94"/>
      <c r="M23" s="93"/>
      <c r="N23" s="93"/>
    </row>
    <row r="24" spans="1:14" ht="135.6" customHeight="1">
      <c r="A24" s="354">
        <v>8</v>
      </c>
      <c r="B24" s="389" t="s">
        <v>269</v>
      </c>
      <c r="C24" s="226" t="s">
        <v>352</v>
      </c>
      <c r="D24" s="95" t="s">
        <v>143</v>
      </c>
      <c r="E24" s="227" t="s">
        <v>336</v>
      </c>
      <c r="F24" s="228" t="s">
        <v>336</v>
      </c>
      <c r="G24" s="228" t="s">
        <v>336</v>
      </c>
      <c r="H24" s="228" t="s">
        <v>336</v>
      </c>
      <c r="I24" s="386"/>
      <c r="J24" s="96" t="s">
        <v>845</v>
      </c>
      <c r="K24" s="92"/>
      <c r="L24" s="94"/>
      <c r="M24" s="93"/>
      <c r="N24" s="93"/>
    </row>
    <row r="25" spans="1:14" ht="79.2" customHeight="1">
      <c r="A25" s="353">
        <v>9</v>
      </c>
      <c r="B25" s="389" t="s">
        <v>269</v>
      </c>
      <c r="C25" s="226" t="s">
        <v>337</v>
      </c>
      <c r="D25" s="95" t="s">
        <v>143</v>
      </c>
      <c r="E25" s="227" t="s">
        <v>336</v>
      </c>
      <c r="F25" s="228" t="s">
        <v>336</v>
      </c>
      <c r="G25" s="228" t="s">
        <v>336</v>
      </c>
      <c r="H25" s="228" t="s">
        <v>336</v>
      </c>
      <c r="I25" s="386"/>
      <c r="J25" s="96"/>
      <c r="K25" s="92"/>
      <c r="L25" s="94"/>
      <c r="M25" s="93"/>
      <c r="N25" s="93"/>
    </row>
    <row r="26" spans="1:14" ht="77.400000000000006" customHeight="1">
      <c r="A26" s="353">
        <v>10</v>
      </c>
      <c r="B26" s="389" t="s">
        <v>873</v>
      </c>
      <c r="C26" s="229" t="s">
        <v>351</v>
      </c>
      <c r="D26" s="95" t="s">
        <v>338</v>
      </c>
      <c r="E26" s="227" t="s">
        <v>336</v>
      </c>
      <c r="F26" s="228" t="s">
        <v>336</v>
      </c>
      <c r="G26" s="228" t="s">
        <v>336</v>
      </c>
      <c r="H26" s="228" t="s">
        <v>336</v>
      </c>
      <c r="I26" s="386"/>
      <c r="J26" s="96"/>
      <c r="K26" s="224"/>
      <c r="L26" s="94"/>
      <c r="M26" s="93"/>
      <c r="N26" s="93"/>
    </row>
    <row r="27" spans="1:14" ht="73.2" customHeight="1">
      <c r="A27" s="354">
        <v>11</v>
      </c>
      <c r="B27" s="389" t="s">
        <v>874</v>
      </c>
      <c r="C27" s="226" t="s">
        <v>340</v>
      </c>
      <c r="D27" s="95" t="s">
        <v>316</v>
      </c>
      <c r="E27" s="228" t="s">
        <v>336</v>
      </c>
      <c r="F27" s="228" t="s">
        <v>336</v>
      </c>
      <c r="G27" s="227" t="s">
        <v>336</v>
      </c>
      <c r="H27" s="228" t="s">
        <v>336</v>
      </c>
      <c r="I27" s="386"/>
      <c r="J27" s="96"/>
      <c r="K27" s="224"/>
      <c r="L27" s="94"/>
      <c r="M27" s="93"/>
      <c r="N27" s="93"/>
    </row>
    <row r="28" spans="1:14" ht="110.4" customHeight="1">
      <c r="A28" s="353">
        <v>12</v>
      </c>
      <c r="B28" s="389" t="s">
        <v>271</v>
      </c>
      <c r="C28" s="226" t="s">
        <v>616</v>
      </c>
      <c r="D28" s="95" t="s">
        <v>143</v>
      </c>
      <c r="E28" s="227" t="s">
        <v>336</v>
      </c>
      <c r="F28" s="227" t="s">
        <v>336</v>
      </c>
      <c r="G28" s="386"/>
      <c r="H28" s="386"/>
      <c r="I28" s="386"/>
      <c r="J28" s="96" t="s">
        <v>828</v>
      </c>
      <c r="K28" s="92"/>
      <c r="L28" s="94"/>
      <c r="M28" s="93"/>
      <c r="N28" s="93"/>
    </row>
    <row r="29" spans="1:14" ht="114" customHeight="1">
      <c r="A29" s="353">
        <v>13</v>
      </c>
      <c r="B29" s="389" t="s">
        <v>271</v>
      </c>
      <c r="C29" s="226" t="s">
        <v>922</v>
      </c>
      <c r="D29" s="95" t="s">
        <v>143</v>
      </c>
      <c r="E29" s="227" t="s">
        <v>336</v>
      </c>
      <c r="F29" s="227" t="s">
        <v>336</v>
      </c>
      <c r="G29" s="386"/>
      <c r="H29" s="386"/>
      <c r="I29" s="386"/>
      <c r="J29" s="96" t="s">
        <v>829</v>
      </c>
      <c r="K29" s="92"/>
      <c r="L29" s="94"/>
      <c r="M29" s="93"/>
      <c r="N29" s="93"/>
    </row>
    <row r="30" spans="1:14" ht="32.4" customHeight="1">
      <c r="A30" s="354">
        <v>14</v>
      </c>
      <c r="B30" s="389" t="s">
        <v>271</v>
      </c>
      <c r="C30" s="390" t="s">
        <v>836</v>
      </c>
      <c r="D30" s="95" t="s">
        <v>143</v>
      </c>
      <c r="E30" s="227" t="s">
        <v>336</v>
      </c>
      <c r="F30" s="230"/>
      <c r="G30" s="228" t="s">
        <v>624</v>
      </c>
      <c r="H30" s="228" t="s">
        <v>336</v>
      </c>
      <c r="I30" s="230"/>
      <c r="J30" s="96" t="s">
        <v>830</v>
      </c>
      <c r="K30" s="224"/>
      <c r="L30" s="94"/>
      <c r="M30" s="93"/>
      <c r="N30" s="93"/>
    </row>
    <row r="31" spans="1:14" ht="39" customHeight="1">
      <c r="A31" s="353">
        <v>15</v>
      </c>
      <c r="B31" s="389" t="s">
        <v>271</v>
      </c>
      <c r="C31" s="390" t="s">
        <v>837</v>
      </c>
      <c r="D31" s="95" t="s">
        <v>143</v>
      </c>
      <c r="E31" s="228" t="s">
        <v>336</v>
      </c>
      <c r="F31" s="228" t="s">
        <v>336</v>
      </c>
      <c r="G31" s="228"/>
      <c r="H31" s="227" t="s">
        <v>336</v>
      </c>
      <c r="I31" s="386"/>
      <c r="J31" s="96" t="s">
        <v>831</v>
      </c>
      <c r="K31" s="224"/>
      <c r="L31" s="94"/>
      <c r="M31" s="93"/>
      <c r="N31" s="93"/>
    </row>
    <row r="32" spans="1:14" ht="87.6" customHeight="1">
      <c r="A32" s="353">
        <v>16</v>
      </c>
      <c r="B32" s="389" t="s">
        <v>355</v>
      </c>
      <c r="C32" s="226" t="s">
        <v>833</v>
      </c>
      <c r="D32" s="95" t="s">
        <v>143</v>
      </c>
      <c r="E32" s="227"/>
      <c r="F32" s="227"/>
      <c r="G32" s="386"/>
      <c r="H32" s="227" t="s">
        <v>336</v>
      </c>
      <c r="I32" s="386"/>
      <c r="J32" s="96" t="s">
        <v>834</v>
      </c>
      <c r="K32" s="92"/>
      <c r="L32" s="94"/>
      <c r="M32" s="93"/>
      <c r="N32" s="93"/>
    </row>
    <row r="33" spans="1:14" ht="103.2" customHeight="1">
      <c r="A33" s="354">
        <v>17</v>
      </c>
      <c r="B33" s="389" t="s">
        <v>272</v>
      </c>
      <c r="C33" s="226" t="s">
        <v>357</v>
      </c>
      <c r="D33" s="95" t="s">
        <v>354</v>
      </c>
      <c r="E33" s="227"/>
      <c r="F33" s="227"/>
      <c r="G33" s="386"/>
      <c r="H33" s="227" t="s">
        <v>336</v>
      </c>
      <c r="I33" s="386"/>
      <c r="J33" s="96" t="s">
        <v>870</v>
      </c>
      <c r="K33" s="92"/>
      <c r="L33" s="94"/>
      <c r="M33" s="93"/>
      <c r="N33" s="93"/>
    </row>
    <row r="34" spans="1:14" ht="160.19999999999999" customHeight="1">
      <c r="A34" s="353">
        <v>18</v>
      </c>
      <c r="B34" s="389" t="s">
        <v>272</v>
      </c>
      <c r="C34" s="226" t="s">
        <v>835</v>
      </c>
      <c r="D34" s="95" t="s">
        <v>143</v>
      </c>
      <c r="E34" s="228"/>
      <c r="F34" s="228"/>
      <c r="G34" s="386"/>
      <c r="H34" s="227" t="s">
        <v>336</v>
      </c>
      <c r="I34" s="386"/>
      <c r="J34" s="96" t="s">
        <v>840</v>
      </c>
      <c r="K34" s="231"/>
      <c r="L34" s="94"/>
      <c r="M34" s="93"/>
      <c r="N34" s="93"/>
    </row>
    <row r="35" spans="1:14" ht="69" customHeight="1">
      <c r="A35" s="353">
        <v>19</v>
      </c>
      <c r="B35" s="389"/>
      <c r="C35" s="226" t="s">
        <v>358</v>
      </c>
      <c r="D35" s="95" t="s">
        <v>354</v>
      </c>
      <c r="E35" s="227" t="s">
        <v>336</v>
      </c>
      <c r="F35" s="228" t="s">
        <v>336</v>
      </c>
      <c r="G35" s="228" t="s">
        <v>336</v>
      </c>
      <c r="H35" s="227" t="s">
        <v>336</v>
      </c>
      <c r="I35" s="386"/>
      <c r="J35" s="96" t="s">
        <v>832</v>
      </c>
      <c r="K35" s="92"/>
      <c r="L35" s="94"/>
      <c r="M35" s="93"/>
      <c r="N35" s="93"/>
    </row>
    <row r="36" spans="1:14" ht="67.2" customHeight="1">
      <c r="A36" s="354">
        <v>20</v>
      </c>
      <c r="B36" s="389" t="s">
        <v>272</v>
      </c>
      <c r="C36" s="226" t="s">
        <v>359</v>
      </c>
      <c r="D36" s="95" t="s">
        <v>354</v>
      </c>
      <c r="E36" s="228"/>
      <c r="F36" s="227"/>
      <c r="G36" s="386"/>
      <c r="H36" s="227" t="s">
        <v>336</v>
      </c>
      <c r="I36" s="386"/>
      <c r="J36" s="96"/>
      <c r="K36" s="231"/>
      <c r="L36" s="94"/>
      <c r="M36" s="93"/>
      <c r="N36" s="93"/>
    </row>
    <row r="37" spans="1:14" ht="40.799999999999997" customHeight="1">
      <c r="A37" s="353">
        <v>21</v>
      </c>
      <c r="B37" s="389" t="s">
        <v>272</v>
      </c>
      <c r="C37" s="226" t="s">
        <v>356</v>
      </c>
      <c r="D37" s="95" t="s">
        <v>354</v>
      </c>
      <c r="E37" s="228"/>
      <c r="F37" s="227"/>
      <c r="G37" s="386"/>
      <c r="H37" s="227" t="s">
        <v>336</v>
      </c>
      <c r="I37" s="386"/>
      <c r="J37" s="96"/>
      <c r="K37" s="231"/>
      <c r="L37" s="94"/>
      <c r="M37" s="93"/>
      <c r="N37" s="93"/>
    </row>
    <row r="38" spans="1:14" ht="75.599999999999994" customHeight="1">
      <c r="A38" s="353">
        <v>22</v>
      </c>
      <c r="B38" s="389" t="s">
        <v>875</v>
      </c>
      <c r="C38" s="226" t="s">
        <v>360</v>
      </c>
      <c r="D38" s="95" t="s">
        <v>354</v>
      </c>
      <c r="E38" s="227" t="s">
        <v>336</v>
      </c>
      <c r="F38" s="228" t="s">
        <v>336</v>
      </c>
      <c r="G38" s="228" t="s">
        <v>336</v>
      </c>
      <c r="H38" s="227" t="s">
        <v>336</v>
      </c>
      <c r="I38" s="386"/>
      <c r="J38" s="96"/>
      <c r="K38" s="92"/>
      <c r="L38" s="94"/>
      <c r="M38" s="93"/>
      <c r="N38" s="93"/>
    </row>
    <row r="39" spans="1:14" ht="56.4" customHeight="1">
      <c r="A39" s="354">
        <v>23</v>
      </c>
      <c r="B39" s="389"/>
      <c r="C39" s="226" t="s">
        <v>361</v>
      </c>
      <c r="D39" s="95" t="s">
        <v>354</v>
      </c>
      <c r="E39" s="227" t="s">
        <v>336</v>
      </c>
      <c r="F39" s="228" t="s">
        <v>336</v>
      </c>
      <c r="G39" s="228" t="s">
        <v>336</v>
      </c>
      <c r="H39" s="227" t="s">
        <v>336</v>
      </c>
      <c r="I39" s="386"/>
      <c r="J39" s="96"/>
      <c r="K39" s="92"/>
      <c r="L39" s="94"/>
      <c r="M39" s="93"/>
      <c r="N39" s="93"/>
    </row>
    <row r="40" spans="1:14" ht="30" customHeight="1">
      <c r="A40" s="353">
        <v>24</v>
      </c>
      <c r="B40" s="389" t="s">
        <v>271</v>
      </c>
      <c r="C40" s="390" t="s">
        <v>651</v>
      </c>
      <c r="D40" s="95" t="s">
        <v>143</v>
      </c>
      <c r="E40" s="228" t="s">
        <v>336</v>
      </c>
      <c r="F40" s="228" t="s">
        <v>336</v>
      </c>
      <c r="G40" s="228"/>
      <c r="H40" s="227" t="s">
        <v>336</v>
      </c>
      <c r="I40" s="386"/>
      <c r="J40" s="96" t="s">
        <v>871</v>
      </c>
      <c r="K40" s="224"/>
      <c r="L40" s="94"/>
      <c r="M40" s="93"/>
      <c r="N40" s="93"/>
    </row>
    <row r="41" spans="1:14" ht="103.2" customHeight="1">
      <c r="A41" s="353">
        <v>25</v>
      </c>
      <c r="B41" s="389" t="s">
        <v>273</v>
      </c>
      <c r="C41" s="226" t="s">
        <v>846</v>
      </c>
      <c r="D41" s="95" t="s">
        <v>143</v>
      </c>
      <c r="E41" s="227"/>
      <c r="F41" s="228"/>
      <c r="G41" s="228"/>
      <c r="H41" s="227" t="s">
        <v>336</v>
      </c>
      <c r="I41" s="386"/>
      <c r="J41" s="96" t="s">
        <v>841</v>
      </c>
      <c r="K41" s="92"/>
      <c r="L41" s="94"/>
      <c r="M41" s="93"/>
      <c r="N41" s="93"/>
    </row>
    <row r="42" spans="1:14" ht="146.4" customHeight="1">
      <c r="A42" s="354">
        <v>26</v>
      </c>
      <c r="B42" s="389" t="s">
        <v>274</v>
      </c>
      <c r="C42" s="229" t="s">
        <v>363</v>
      </c>
      <c r="D42" s="95" t="s">
        <v>143</v>
      </c>
      <c r="E42" s="227" t="s">
        <v>350</v>
      </c>
      <c r="F42" s="228" t="s">
        <v>350</v>
      </c>
      <c r="G42" s="228" t="s">
        <v>350</v>
      </c>
      <c r="H42" s="227" t="s">
        <v>350</v>
      </c>
      <c r="I42" s="228" t="s">
        <v>350</v>
      </c>
      <c r="J42" s="96" t="s">
        <v>842</v>
      </c>
      <c r="K42" s="224"/>
      <c r="L42" s="94"/>
      <c r="M42" s="93"/>
      <c r="N42" s="93"/>
    </row>
    <row r="43" spans="1:14" ht="58.8" customHeight="1">
      <c r="A43" s="353">
        <v>27</v>
      </c>
      <c r="B43" s="388"/>
      <c r="C43" s="226" t="s">
        <v>365</v>
      </c>
      <c r="D43" s="95" t="s">
        <v>366</v>
      </c>
      <c r="E43" s="227" t="s">
        <v>349</v>
      </c>
      <c r="F43" s="228" t="s">
        <v>348</v>
      </c>
      <c r="G43" s="228"/>
      <c r="H43" s="228" t="s">
        <v>348</v>
      </c>
      <c r="I43" s="386"/>
      <c r="J43" s="96"/>
      <c r="K43" s="92"/>
      <c r="L43" s="94"/>
      <c r="M43" s="93"/>
      <c r="N43" s="93"/>
    </row>
    <row r="44" spans="1:14" ht="31.8" customHeight="1">
      <c r="A44" s="353">
        <v>28</v>
      </c>
      <c r="B44" s="388"/>
      <c r="C44" s="226" t="s">
        <v>367</v>
      </c>
      <c r="D44" s="95" t="s">
        <v>366</v>
      </c>
      <c r="E44" s="227" t="s">
        <v>349</v>
      </c>
      <c r="F44" s="228" t="s">
        <v>348</v>
      </c>
      <c r="G44" s="228"/>
      <c r="H44" s="228" t="s">
        <v>348</v>
      </c>
      <c r="I44" s="386"/>
      <c r="J44" s="96"/>
      <c r="K44" s="92"/>
      <c r="L44" s="94"/>
      <c r="M44" s="93"/>
      <c r="N44" s="93"/>
    </row>
    <row r="45" spans="1:14" ht="43.2" customHeight="1">
      <c r="A45" s="354">
        <v>29</v>
      </c>
      <c r="B45" s="388"/>
      <c r="C45" s="226" t="s">
        <v>847</v>
      </c>
      <c r="D45" s="95" t="s">
        <v>316</v>
      </c>
      <c r="E45" s="227"/>
      <c r="F45" s="227"/>
      <c r="G45" s="228"/>
      <c r="H45" s="227"/>
      <c r="I45" s="228"/>
      <c r="J45" s="96" t="s">
        <v>848</v>
      </c>
      <c r="K45" s="224"/>
      <c r="L45" s="94"/>
      <c r="M45" s="93"/>
      <c r="N45" s="93"/>
    </row>
    <row r="46" spans="1:14" ht="76.8" customHeight="1">
      <c r="A46" s="353">
        <v>30</v>
      </c>
      <c r="B46" s="388"/>
      <c r="C46" s="226" t="s">
        <v>368</v>
      </c>
      <c r="D46" s="95" t="s">
        <v>143</v>
      </c>
      <c r="E46" s="227"/>
      <c r="F46" s="228"/>
      <c r="G46" s="237" t="s">
        <v>348</v>
      </c>
      <c r="H46" s="228" t="s">
        <v>348</v>
      </c>
      <c r="I46" s="228" t="s">
        <v>348</v>
      </c>
      <c r="J46" s="96"/>
      <c r="K46" s="92"/>
      <c r="L46" s="94"/>
      <c r="M46" s="93"/>
      <c r="N46" s="93"/>
    </row>
    <row r="47" spans="1:14" ht="49.8" customHeight="1">
      <c r="A47" s="353">
        <v>31</v>
      </c>
      <c r="B47" s="388"/>
      <c r="C47" s="226" t="s">
        <v>901</v>
      </c>
      <c r="D47" s="228" t="s">
        <v>891</v>
      </c>
      <c r="E47" s="227"/>
      <c r="F47" s="228"/>
      <c r="G47" s="228"/>
      <c r="H47" s="228"/>
      <c r="I47" s="386"/>
      <c r="J47" s="96" t="s">
        <v>902</v>
      </c>
      <c r="K47" s="92"/>
      <c r="L47" s="94"/>
      <c r="M47" s="93"/>
      <c r="N47" s="93"/>
    </row>
    <row r="48" spans="1:14" ht="33.6" customHeight="1">
      <c r="A48" s="354">
        <v>32</v>
      </c>
      <c r="B48" s="388"/>
      <c r="C48" s="226" t="s">
        <v>369</v>
      </c>
      <c r="D48" s="95" t="s">
        <v>143</v>
      </c>
      <c r="E48" s="227"/>
      <c r="F48" s="228"/>
      <c r="G48" s="228"/>
      <c r="H48" s="228"/>
      <c r="I48" s="227" t="s">
        <v>348</v>
      </c>
      <c r="J48" s="440" t="s">
        <v>889</v>
      </c>
      <c r="K48" s="224"/>
      <c r="L48" s="94"/>
      <c r="M48" s="93"/>
      <c r="N48" s="93"/>
    </row>
    <row r="49" spans="7:8" ht="14.4">
      <c r="H49" s="192"/>
    </row>
    <row r="50" spans="7:8" ht="14.4">
      <c r="H50" s="192"/>
    </row>
    <row r="51" spans="7:8" ht="14.4">
      <c r="H51" s="192"/>
    </row>
    <row r="52" spans="7:8" ht="14.4">
      <c r="G52" s="192"/>
      <c r="H52" s="192"/>
    </row>
    <row r="53" spans="7:8" ht="14.4">
      <c r="G53" s="192"/>
      <c r="H53" s="192"/>
    </row>
  </sheetData>
  <mergeCells count="20">
    <mergeCell ref="A1:J1"/>
    <mergeCell ref="A2:J2"/>
    <mergeCell ref="H8:J8"/>
    <mergeCell ref="H9:J9"/>
    <mergeCell ref="H10:J10"/>
    <mergeCell ref="A8:G8"/>
    <mergeCell ref="A9:G9"/>
    <mergeCell ref="A10:G10"/>
    <mergeCell ref="H11:J11"/>
    <mergeCell ref="H12:J12"/>
    <mergeCell ref="A15:A16"/>
    <mergeCell ref="B15:B16"/>
    <mergeCell ref="C15:C16"/>
    <mergeCell ref="D15:D16"/>
    <mergeCell ref="E15:I15"/>
    <mergeCell ref="J15:J16"/>
    <mergeCell ref="H13:J13"/>
    <mergeCell ref="A11:G11"/>
    <mergeCell ref="A12:G12"/>
    <mergeCell ref="A13:G13"/>
  </mergeCells>
  <phoneticPr fontId="17" type="noConversion"/>
  <hyperlinks>
    <hyperlink ref="J3" location="底稿目录!A1" display="底稿目录!A1"/>
  </hyperlinks>
  <printOptions horizontalCentered="1"/>
  <pageMargins left="0.70866141732283472" right="0.70866141732283472" top="0.74803149606299213" bottom="0.74803149606299213" header="0.31496062992125984" footer="0.31496062992125984"/>
  <pageSetup paperSize="9" scale="68" fitToHeight="100" orientation="portrait" blackAndWhite="1" cellComments="atEnd" r:id="rId1"/>
  <headerFooter alignWithMargins="0">
    <oddFooter>&amp;C&amp;P/&amp;N</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dimension ref="A1:K148"/>
  <sheetViews>
    <sheetView view="pageBreakPreview" zoomScaleNormal="130" zoomScaleSheetLayoutView="100" workbookViewId="0">
      <selection sqref="A1:F1"/>
    </sheetView>
  </sheetViews>
  <sheetFormatPr defaultColWidth="9" defaultRowHeight="23.25" customHeight="1"/>
  <cols>
    <col min="1" max="1" width="27.5" style="97" customWidth="1"/>
    <col min="2" max="2" width="15.59765625" style="97" customWidth="1"/>
    <col min="3" max="3" width="14.59765625" style="97" customWidth="1"/>
    <col min="4" max="4" width="13.19921875" style="97" customWidth="1"/>
    <col min="5" max="5" width="14.296875" style="97" customWidth="1"/>
    <col min="6" max="6" width="7.796875" style="97" customWidth="1"/>
    <col min="7" max="16384" width="9" style="97"/>
  </cols>
  <sheetData>
    <row r="1" spans="1:11" ht="20.100000000000001" customHeight="1">
      <c r="A1" s="474" t="s">
        <v>55</v>
      </c>
      <c r="B1" s="474"/>
      <c r="C1" s="474"/>
      <c r="D1" s="474"/>
      <c r="E1" s="474"/>
      <c r="F1" s="474"/>
    </row>
    <row r="2" spans="1:11" s="98" customFormat="1" ht="25.05" customHeight="1">
      <c r="A2" s="475" t="s">
        <v>144</v>
      </c>
      <c r="B2" s="476"/>
      <c r="C2" s="476"/>
      <c r="D2" s="476"/>
      <c r="E2" s="476"/>
      <c r="F2" s="476"/>
    </row>
    <row r="3" spans="1:11" ht="20.100000000000001" customHeight="1">
      <c r="A3" s="37" t="str">
        <f>底稿目录!A2</f>
        <v>被审计单位：</v>
      </c>
      <c r="B3" s="37" t="str">
        <f>底稿目录!A4</f>
        <v>编制人：</v>
      </c>
      <c r="C3" s="97" t="str">
        <f>底稿目录!A5</f>
        <v>编制日期：</v>
      </c>
      <c r="E3" s="391" t="s">
        <v>145</v>
      </c>
      <c r="F3" s="405" t="str">
        <f>底稿目录!F4</f>
        <v>F2-1</v>
      </c>
      <c r="G3" s="37"/>
      <c r="I3" s="37"/>
      <c r="J3" s="37"/>
      <c r="K3" s="37"/>
    </row>
    <row r="4" spans="1:11" ht="20.100000000000001" customHeight="1">
      <c r="A4" s="37" t="str">
        <f>底稿目录!A3</f>
        <v>截止日：202X年12月21日</v>
      </c>
      <c r="B4" s="43" t="str">
        <f>底稿目录!A6</f>
        <v>复核人：</v>
      </c>
      <c r="C4" s="43" t="str">
        <f>底稿目录!A7</f>
        <v>复核日期：</v>
      </c>
      <c r="E4" s="391" t="s">
        <v>146</v>
      </c>
      <c r="F4" s="37"/>
      <c r="G4" s="37"/>
      <c r="I4" s="37"/>
      <c r="J4" s="37"/>
      <c r="K4" s="37"/>
    </row>
    <row r="5" spans="1:11" ht="20.100000000000001" customHeight="1">
      <c r="A5" s="99" t="s">
        <v>147</v>
      </c>
      <c r="B5" s="99" t="s">
        <v>117</v>
      </c>
      <c r="C5" s="99" t="s">
        <v>119</v>
      </c>
      <c r="D5" s="99" t="s">
        <v>120</v>
      </c>
      <c r="E5" s="99" t="s">
        <v>116</v>
      </c>
      <c r="F5" s="100" t="s">
        <v>148</v>
      </c>
    </row>
    <row r="6" spans="1:11" ht="20.100000000000001" customHeight="1">
      <c r="A6" s="101" t="s">
        <v>149</v>
      </c>
      <c r="B6" s="102"/>
      <c r="C6" s="102"/>
      <c r="D6" s="102"/>
      <c r="E6" s="102"/>
      <c r="F6" s="102"/>
    </row>
    <row r="7" spans="1:11" ht="20.100000000000001" customHeight="1">
      <c r="A7" s="103" t="s">
        <v>109</v>
      </c>
      <c r="B7" s="240">
        <f>SUM(B8:B20)</f>
        <v>0</v>
      </c>
      <c r="C7" s="240">
        <f t="shared" ref="C7:D7" si="0">SUM(C8:C20)</f>
        <v>0</v>
      </c>
      <c r="D7" s="240">
        <f t="shared" si="0"/>
        <v>0</v>
      </c>
      <c r="E7" s="240">
        <f>SUM(E8:E20)</f>
        <v>0</v>
      </c>
      <c r="F7" s="104"/>
    </row>
    <row r="8" spans="1:11" ht="20.100000000000001" customHeight="1">
      <c r="A8" s="238" t="str">
        <f>'明细汇总表F2-2'!A17</f>
        <v>原材料</v>
      </c>
      <c r="B8" s="240">
        <f>'明细汇总表F2-2'!B17</f>
        <v>0</v>
      </c>
      <c r="C8" s="240">
        <f>'明细汇总表F2-2'!C17</f>
        <v>0</v>
      </c>
      <c r="D8" s="240">
        <f>'明细汇总表F2-2'!D17</f>
        <v>0</v>
      </c>
      <c r="E8" s="240">
        <f t="shared" ref="E8:E19" si="1">B8+C8-D8</f>
        <v>0</v>
      </c>
      <c r="F8" s="104"/>
    </row>
    <row r="9" spans="1:11" ht="20.100000000000001" customHeight="1">
      <c r="A9" s="238" t="str">
        <f>'明细汇总表F2-2'!A18</f>
        <v>材料采购/在途物资</v>
      </c>
      <c r="B9" s="240">
        <f>'明细汇总表F2-2'!B18</f>
        <v>0</v>
      </c>
      <c r="C9" s="240">
        <f>'明细汇总表F2-2'!C18</f>
        <v>0</v>
      </c>
      <c r="D9" s="240">
        <f>'明细汇总表F2-2'!D18</f>
        <v>0</v>
      </c>
      <c r="E9" s="240">
        <f t="shared" si="1"/>
        <v>0</v>
      </c>
      <c r="F9" s="104"/>
    </row>
    <row r="10" spans="1:11" ht="20.100000000000001" customHeight="1">
      <c r="A10" s="238" t="str">
        <f>'明细汇总表F2-2'!A19</f>
        <v>周转材料/低值易耗品/包装物</v>
      </c>
      <c r="B10" s="240">
        <f>'明细汇总表F2-2'!B19</f>
        <v>0</v>
      </c>
      <c r="C10" s="240">
        <f>'明细汇总表F2-2'!C19</f>
        <v>0</v>
      </c>
      <c r="D10" s="240">
        <f>'明细汇总表F2-2'!D19</f>
        <v>0</v>
      </c>
      <c r="E10" s="240">
        <f t="shared" si="1"/>
        <v>0</v>
      </c>
      <c r="F10" s="104"/>
    </row>
    <row r="11" spans="1:11" ht="20.100000000000001" customHeight="1">
      <c r="A11" s="238" t="str">
        <f>'明细汇总表F2-2'!A20</f>
        <v>在产品</v>
      </c>
      <c r="B11" s="240">
        <f>'明细汇总表F2-2'!B20</f>
        <v>0</v>
      </c>
      <c r="C11" s="240">
        <f>'明细汇总表F2-2'!C20</f>
        <v>0</v>
      </c>
      <c r="D11" s="240">
        <f>'明细汇总表F2-2'!D20</f>
        <v>0</v>
      </c>
      <c r="E11" s="240">
        <f t="shared" si="1"/>
        <v>0</v>
      </c>
      <c r="F11" s="104"/>
    </row>
    <row r="12" spans="1:11" ht="20.100000000000001" customHeight="1">
      <c r="A12" s="238" t="str">
        <f>'明细汇总表F2-2'!A21</f>
        <v>自制半成品</v>
      </c>
      <c r="B12" s="240">
        <f>'明细汇总表F2-2'!B21</f>
        <v>0</v>
      </c>
      <c r="C12" s="240">
        <f>'明细汇总表F2-2'!C21</f>
        <v>0</v>
      </c>
      <c r="D12" s="240">
        <f>'明细汇总表F2-2'!D21</f>
        <v>0</v>
      </c>
      <c r="E12" s="240">
        <f t="shared" si="1"/>
        <v>0</v>
      </c>
      <c r="F12" s="104"/>
    </row>
    <row r="13" spans="1:11" ht="20.100000000000001" customHeight="1">
      <c r="A13" s="238" t="str">
        <f>'明细汇总表F2-2'!A22</f>
        <v>委托加工物资</v>
      </c>
      <c r="B13" s="240">
        <f>'明细汇总表F2-2'!B22</f>
        <v>0</v>
      </c>
      <c r="C13" s="240">
        <f>'明细汇总表F2-2'!C22</f>
        <v>0</v>
      </c>
      <c r="D13" s="240">
        <f>'明细汇总表F2-2'!D22</f>
        <v>0</v>
      </c>
      <c r="E13" s="240">
        <f t="shared" si="1"/>
        <v>0</v>
      </c>
      <c r="F13" s="104"/>
    </row>
    <row r="14" spans="1:11" ht="20.100000000000001" customHeight="1">
      <c r="A14" s="238" t="str">
        <f>'明细汇总表F2-2'!A23</f>
        <v>库存商品</v>
      </c>
      <c r="B14" s="240">
        <f>'明细汇总表F2-2'!B23</f>
        <v>0</v>
      </c>
      <c r="C14" s="240">
        <f>'明细汇总表F2-2'!C23</f>
        <v>0</v>
      </c>
      <c r="D14" s="240">
        <f>'明细汇总表F2-2'!D23</f>
        <v>0</v>
      </c>
      <c r="E14" s="240">
        <f t="shared" si="1"/>
        <v>0</v>
      </c>
      <c r="F14" s="104"/>
    </row>
    <row r="15" spans="1:11" ht="20.100000000000001" customHeight="1">
      <c r="A15" s="238" t="str">
        <f>'明细汇总表F2-2'!A24</f>
        <v>发出商品</v>
      </c>
      <c r="B15" s="240">
        <f>'明细汇总表F2-2'!B24</f>
        <v>0</v>
      </c>
      <c r="C15" s="240">
        <f>'明细汇总表F2-2'!C24</f>
        <v>0</v>
      </c>
      <c r="D15" s="240">
        <f>'明细汇总表F2-2'!D24</f>
        <v>0</v>
      </c>
      <c r="E15" s="240">
        <f t="shared" si="1"/>
        <v>0</v>
      </c>
      <c r="F15" s="104"/>
    </row>
    <row r="16" spans="1:11" ht="20.100000000000001" customHeight="1">
      <c r="A16" s="238" t="str">
        <f>'明细汇总表F2-2'!A25</f>
        <v>开发产品</v>
      </c>
      <c r="B16" s="240">
        <f>'明细汇总表F2-2'!B25</f>
        <v>0</v>
      </c>
      <c r="C16" s="240">
        <f>'明细汇总表F2-2'!C25</f>
        <v>0</v>
      </c>
      <c r="D16" s="240">
        <f>'明细汇总表F2-2'!D25</f>
        <v>0</v>
      </c>
      <c r="E16" s="240">
        <f t="shared" si="1"/>
        <v>0</v>
      </c>
      <c r="F16" s="104"/>
    </row>
    <row r="17" spans="1:6" ht="20.100000000000001" customHeight="1">
      <c r="A17" s="238" t="str">
        <f>'明细汇总表F2-2'!A26</f>
        <v>开发成本</v>
      </c>
      <c r="B17" s="240">
        <f>'明细汇总表F2-2'!B26</f>
        <v>0</v>
      </c>
      <c r="C17" s="240">
        <f>'明细汇总表F2-2'!C26</f>
        <v>0</v>
      </c>
      <c r="D17" s="240">
        <f>'明细汇总表F2-2'!D26</f>
        <v>0</v>
      </c>
      <c r="E17" s="240">
        <f t="shared" si="1"/>
        <v>0</v>
      </c>
      <c r="F17" s="104"/>
    </row>
    <row r="18" spans="1:6" ht="20.100000000000001" customHeight="1">
      <c r="A18" s="238" t="s">
        <v>150</v>
      </c>
      <c r="B18" s="240">
        <f>'明细汇总表F2-2'!B27</f>
        <v>0</v>
      </c>
      <c r="C18" s="240">
        <f>'明细汇总表F2-2'!C27</f>
        <v>0</v>
      </c>
      <c r="D18" s="240">
        <f>'明细汇总表F2-2'!D27</f>
        <v>0</v>
      </c>
      <c r="E18" s="240">
        <f>B18+C18-D18</f>
        <v>0</v>
      </c>
      <c r="F18" s="104"/>
    </row>
    <row r="19" spans="1:6" ht="20.100000000000001" customHeight="1">
      <c r="A19" s="238" t="str">
        <f>'明细汇总表F2-2'!A28</f>
        <v>消耗性生物资产</v>
      </c>
      <c r="B19" s="240">
        <f>'明细汇总表F2-2'!B28</f>
        <v>0</v>
      </c>
      <c r="C19" s="240">
        <f>'明细汇总表F2-2'!C28</f>
        <v>0</v>
      </c>
      <c r="D19" s="240">
        <f>'明细汇总表F2-2'!D28</f>
        <v>0</v>
      </c>
      <c r="E19" s="240">
        <f t="shared" si="1"/>
        <v>0</v>
      </c>
      <c r="F19" s="104"/>
    </row>
    <row r="20" spans="1:6" ht="20.100000000000001" customHeight="1">
      <c r="A20" s="238" t="s">
        <v>276</v>
      </c>
      <c r="B20" s="240">
        <f>'明细汇总表F2-2'!B29</f>
        <v>0</v>
      </c>
      <c r="C20" s="240">
        <f>'明细汇总表F2-2'!C29</f>
        <v>0</v>
      </c>
      <c r="D20" s="240">
        <f>'明细汇总表F2-2'!D29</f>
        <v>0</v>
      </c>
      <c r="E20" s="240">
        <f t="shared" ref="E20" si="2">B20+C20-D20</f>
        <v>0</v>
      </c>
      <c r="F20" s="104"/>
    </row>
    <row r="21" spans="1:6" ht="20.100000000000001" customHeight="1">
      <c r="A21" s="103" t="s">
        <v>107</v>
      </c>
      <c r="B21" s="240">
        <f>SUM(B22:B34)</f>
        <v>0</v>
      </c>
      <c r="C21" s="240">
        <f t="shared" ref="C21:E21" si="3">SUM(C22:C34)</f>
        <v>0</v>
      </c>
      <c r="D21" s="240">
        <f t="shared" si="3"/>
        <v>0</v>
      </c>
      <c r="E21" s="240">
        <f t="shared" si="3"/>
        <v>0</v>
      </c>
      <c r="F21" s="104"/>
    </row>
    <row r="22" spans="1:6" ht="20.100000000000001" customHeight="1">
      <c r="A22" s="194" t="str">
        <f t="shared" ref="A22:A33" si="4">A8</f>
        <v>原材料</v>
      </c>
      <c r="B22" s="240">
        <f>'明细汇总表F2-2'!F17</f>
        <v>0</v>
      </c>
      <c r="C22" s="240">
        <f>'明细汇总表F2-2'!G17</f>
        <v>0</v>
      </c>
      <c r="D22" s="240">
        <f>'明细汇总表F2-2'!H17</f>
        <v>0</v>
      </c>
      <c r="E22" s="240">
        <f t="shared" ref="E22:E33" si="5">B22+C22-D22</f>
        <v>0</v>
      </c>
      <c r="F22" s="104"/>
    </row>
    <row r="23" spans="1:6" s="105" customFormat="1" ht="20.100000000000001" customHeight="1">
      <c r="A23" s="194" t="str">
        <f t="shared" si="4"/>
        <v>材料采购/在途物资</v>
      </c>
      <c r="B23" s="240">
        <f>'明细汇总表F2-2'!F18</f>
        <v>0</v>
      </c>
      <c r="C23" s="240">
        <f>'明细汇总表F2-2'!G18</f>
        <v>0</v>
      </c>
      <c r="D23" s="240">
        <f>'明细汇总表F2-2'!H18</f>
        <v>0</v>
      </c>
      <c r="E23" s="240">
        <f t="shared" si="5"/>
        <v>0</v>
      </c>
      <c r="F23" s="104"/>
    </row>
    <row r="24" spans="1:6" ht="20.100000000000001" customHeight="1">
      <c r="A24" s="194" t="str">
        <f t="shared" si="4"/>
        <v>周转材料/低值易耗品/包装物</v>
      </c>
      <c r="B24" s="240">
        <f>'明细汇总表F2-2'!F19</f>
        <v>0</v>
      </c>
      <c r="C24" s="240">
        <f>'明细汇总表F2-2'!G19</f>
        <v>0</v>
      </c>
      <c r="D24" s="240">
        <f>'明细汇总表F2-2'!H19</f>
        <v>0</v>
      </c>
      <c r="E24" s="240">
        <f t="shared" si="5"/>
        <v>0</v>
      </c>
      <c r="F24" s="104"/>
    </row>
    <row r="25" spans="1:6" ht="20.100000000000001" customHeight="1">
      <c r="A25" s="194" t="str">
        <f t="shared" si="4"/>
        <v>在产品</v>
      </c>
      <c r="B25" s="240">
        <f>'明细汇总表F2-2'!F20</f>
        <v>0</v>
      </c>
      <c r="C25" s="240">
        <f>'明细汇总表F2-2'!G20</f>
        <v>0</v>
      </c>
      <c r="D25" s="240">
        <f>'明细汇总表F2-2'!H20</f>
        <v>0</v>
      </c>
      <c r="E25" s="240">
        <f t="shared" si="5"/>
        <v>0</v>
      </c>
      <c r="F25" s="104"/>
    </row>
    <row r="26" spans="1:6" ht="20.100000000000001" customHeight="1">
      <c r="A26" s="194" t="str">
        <f t="shared" si="4"/>
        <v>自制半成品</v>
      </c>
      <c r="B26" s="240">
        <f>'明细汇总表F2-2'!F21</f>
        <v>0</v>
      </c>
      <c r="C26" s="240">
        <f>'明细汇总表F2-2'!G21</f>
        <v>0</v>
      </c>
      <c r="D26" s="240">
        <f>'明细汇总表F2-2'!H21</f>
        <v>0</v>
      </c>
      <c r="E26" s="240">
        <f t="shared" si="5"/>
        <v>0</v>
      </c>
      <c r="F26" s="104"/>
    </row>
    <row r="27" spans="1:6" ht="20.100000000000001" customHeight="1">
      <c r="A27" s="194" t="str">
        <f t="shared" si="4"/>
        <v>委托加工物资</v>
      </c>
      <c r="B27" s="240">
        <f>'明细汇总表F2-2'!F22</f>
        <v>0</v>
      </c>
      <c r="C27" s="240">
        <f>'明细汇总表F2-2'!G22</f>
        <v>0</v>
      </c>
      <c r="D27" s="240">
        <f>'明细汇总表F2-2'!H22</f>
        <v>0</v>
      </c>
      <c r="E27" s="240">
        <f t="shared" si="5"/>
        <v>0</v>
      </c>
      <c r="F27" s="104"/>
    </row>
    <row r="28" spans="1:6" ht="20.100000000000001" customHeight="1">
      <c r="A28" s="194" t="str">
        <f t="shared" si="4"/>
        <v>库存商品</v>
      </c>
      <c r="B28" s="240">
        <f>'明细汇总表F2-2'!F23</f>
        <v>0</v>
      </c>
      <c r="C28" s="240">
        <f>'明细汇总表F2-2'!G23</f>
        <v>0</v>
      </c>
      <c r="D28" s="240">
        <f>'明细汇总表F2-2'!H23</f>
        <v>0</v>
      </c>
      <c r="E28" s="240">
        <f t="shared" si="5"/>
        <v>0</v>
      </c>
      <c r="F28" s="104"/>
    </row>
    <row r="29" spans="1:6" ht="20.100000000000001" customHeight="1">
      <c r="A29" s="194" t="str">
        <f t="shared" si="4"/>
        <v>发出商品</v>
      </c>
      <c r="B29" s="240">
        <f>'明细汇总表F2-2'!F24</f>
        <v>0</v>
      </c>
      <c r="C29" s="240">
        <f>'明细汇总表F2-2'!G24</f>
        <v>0</v>
      </c>
      <c r="D29" s="240">
        <f>'明细汇总表F2-2'!H24</f>
        <v>0</v>
      </c>
      <c r="E29" s="240">
        <f t="shared" si="5"/>
        <v>0</v>
      </c>
      <c r="F29" s="104"/>
    </row>
    <row r="30" spans="1:6" ht="20.100000000000001" customHeight="1">
      <c r="A30" s="194" t="str">
        <f t="shared" si="4"/>
        <v>开发产品</v>
      </c>
      <c r="B30" s="240">
        <f>'明细汇总表F2-2'!F25</f>
        <v>0</v>
      </c>
      <c r="C30" s="240">
        <f>'明细汇总表F2-2'!G25</f>
        <v>0</v>
      </c>
      <c r="D30" s="240">
        <f>'明细汇总表F2-2'!H25</f>
        <v>0</v>
      </c>
      <c r="E30" s="240">
        <f>B30+C30-D30</f>
        <v>0</v>
      </c>
      <c r="F30" s="104"/>
    </row>
    <row r="31" spans="1:6" ht="20.100000000000001" customHeight="1">
      <c r="A31" s="194" t="str">
        <f t="shared" si="4"/>
        <v>开发成本</v>
      </c>
      <c r="B31" s="240">
        <f>'明细汇总表F2-2'!F26</f>
        <v>0</v>
      </c>
      <c r="C31" s="240">
        <f>'明细汇总表F2-2'!G26</f>
        <v>0</v>
      </c>
      <c r="D31" s="240">
        <f>'明细汇总表F2-2'!H26</f>
        <v>0</v>
      </c>
      <c r="E31" s="240">
        <f t="shared" si="5"/>
        <v>0</v>
      </c>
      <c r="F31" s="104"/>
    </row>
    <row r="32" spans="1:6" ht="20.100000000000001" customHeight="1">
      <c r="A32" s="194" t="str">
        <f t="shared" si="4"/>
        <v>合同履约成本</v>
      </c>
      <c r="B32" s="240">
        <f>'明细汇总表F2-2'!F27</f>
        <v>0</v>
      </c>
      <c r="C32" s="240">
        <f>'明细汇总表F2-2'!G27</f>
        <v>0</v>
      </c>
      <c r="D32" s="240">
        <f>'明细汇总表F2-2'!H27</f>
        <v>0</v>
      </c>
      <c r="E32" s="240">
        <f t="shared" si="5"/>
        <v>0</v>
      </c>
      <c r="F32" s="104"/>
    </row>
    <row r="33" spans="1:6" ht="20.100000000000001" customHeight="1">
      <c r="A33" s="194" t="str">
        <f t="shared" si="4"/>
        <v>消耗性生物资产</v>
      </c>
      <c r="B33" s="240">
        <f>'明细汇总表F2-2'!F28</f>
        <v>0</v>
      </c>
      <c r="C33" s="240">
        <f>'明细汇总表F2-2'!G28</f>
        <v>0</v>
      </c>
      <c r="D33" s="240">
        <f>'明细汇总表F2-2'!H28</f>
        <v>0</v>
      </c>
      <c r="E33" s="240">
        <f t="shared" si="5"/>
        <v>0</v>
      </c>
      <c r="F33" s="104"/>
    </row>
    <row r="34" spans="1:6" ht="20.100000000000001" customHeight="1">
      <c r="A34" s="194" t="s">
        <v>276</v>
      </c>
      <c r="B34" s="240">
        <f>'明细汇总表F2-2'!F29</f>
        <v>0</v>
      </c>
      <c r="C34" s="240">
        <f>'明细汇总表F2-2'!G29</f>
        <v>0</v>
      </c>
      <c r="D34" s="240">
        <f>'明细汇总表F2-2'!H29</f>
        <v>0</v>
      </c>
      <c r="E34" s="240">
        <f t="shared" ref="E34" si="6">B34+C34-D34</f>
        <v>0</v>
      </c>
      <c r="F34" s="104"/>
    </row>
    <row r="35" spans="1:6" ht="20.100000000000001" customHeight="1">
      <c r="A35" s="103" t="s">
        <v>151</v>
      </c>
      <c r="B35" s="240">
        <f>SUM(B36:B48)</f>
        <v>0</v>
      </c>
      <c r="C35" s="240">
        <f t="shared" ref="C35:D35" si="7">SUM(C36:C48)</f>
        <v>0</v>
      </c>
      <c r="D35" s="240">
        <f t="shared" si="7"/>
        <v>0</v>
      </c>
      <c r="E35" s="240">
        <f>SUM(E36:E48)</f>
        <v>0</v>
      </c>
      <c r="F35" s="104"/>
    </row>
    <row r="36" spans="1:6" ht="20.100000000000001" customHeight="1">
      <c r="A36" s="194" t="str">
        <f t="shared" ref="A36:A47" si="8">A8</f>
        <v>原材料</v>
      </c>
      <c r="B36" s="240">
        <f t="shared" ref="B36:E46" si="9">B8+B22</f>
        <v>0</v>
      </c>
      <c r="C36" s="240">
        <f t="shared" si="9"/>
        <v>0</v>
      </c>
      <c r="D36" s="240">
        <f t="shared" si="9"/>
        <v>0</v>
      </c>
      <c r="E36" s="240">
        <f t="shared" si="9"/>
        <v>0</v>
      </c>
      <c r="F36" s="104"/>
    </row>
    <row r="37" spans="1:6" ht="20.100000000000001" customHeight="1">
      <c r="A37" s="194" t="str">
        <f t="shared" si="8"/>
        <v>材料采购/在途物资</v>
      </c>
      <c r="B37" s="240">
        <f t="shared" si="9"/>
        <v>0</v>
      </c>
      <c r="C37" s="240">
        <f t="shared" si="9"/>
        <v>0</v>
      </c>
      <c r="D37" s="240">
        <f t="shared" si="9"/>
        <v>0</v>
      </c>
      <c r="E37" s="240">
        <f t="shared" si="9"/>
        <v>0</v>
      </c>
      <c r="F37" s="104"/>
    </row>
    <row r="38" spans="1:6" ht="20.100000000000001" customHeight="1">
      <c r="A38" s="194" t="str">
        <f t="shared" si="8"/>
        <v>周转材料/低值易耗品/包装物</v>
      </c>
      <c r="B38" s="240">
        <f t="shared" si="9"/>
        <v>0</v>
      </c>
      <c r="C38" s="240">
        <f t="shared" si="9"/>
        <v>0</v>
      </c>
      <c r="D38" s="240">
        <f t="shared" si="9"/>
        <v>0</v>
      </c>
      <c r="E38" s="240">
        <f t="shared" si="9"/>
        <v>0</v>
      </c>
      <c r="F38" s="104"/>
    </row>
    <row r="39" spans="1:6" s="105" customFormat="1" ht="20.100000000000001" customHeight="1">
      <c r="A39" s="194" t="str">
        <f t="shared" si="8"/>
        <v>在产品</v>
      </c>
      <c r="B39" s="240">
        <f t="shared" si="9"/>
        <v>0</v>
      </c>
      <c r="C39" s="240">
        <f t="shared" si="9"/>
        <v>0</v>
      </c>
      <c r="D39" s="240">
        <f t="shared" si="9"/>
        <v>0</v>
      </c>
      <c r="E39" s="240">
        <f t="shared" si="9"/>
        <v>0</v>
      </c>
      <c r="F39" s="104"/>
    </row>
    <row r="40" spans="1:6" ht="20.100000000000001" customHeight="1">
      <c r="A40" s="194" t="str">
        <f t="shared" si="8"/>
        <v>自制半成品</v>
      </c>
      <c r="B40" s="240">
        <f t="shared" si="9"/>
        <v>0</v>
      </c>
      <c r="C40" s="240">
        <f t="shared" si="9"/>
        <v>0</v>
      </c>
      <c r="D40" s="240">
        <f t="shared" si="9"/>
        <v>0</v>
      </c>
      <c r="E40" s="240">
        <f t="shared" si="9"/>
        <v>0</v>
      </c>
      <c r="F40" s="104"/>
    </row>
    <row r="41" spans="1:6" ht="20.100000000000001" customHeight="1">
      <c r="A41" s="194" t="str">
        <f t="shared" si="8"/>
        <v>委托加工物资</v>
      </c>
      <c r="B41" s="240">
        <f t="shared" si="9"/>
        <v>0</v>
      </c>
      <c r="C41" s="240">
        <f t="shared" si="9"/>
        <v>0</v>
      </c>
      <c r="D41" s="240">
        <f t="shared" si="9"/>
        <v>0</v>
      </c>
      <c r="E41" s="240">
        <f t="shared" si="9"/>
        <v>0</v>
      </c>
      <c r="F41" s="104"/>
    </row>
    <row r="42" spans="1:6" ht="20.100000000000001" customHeight="1">
      <c r="A42" s="194" t="str">
        <f t="shared" si="8"/>
        <v>库存商品</v>
      </c>
      <c r="B42" s="240">
        <f t="shared" si="9"/>
        <v>0</v>
      </c>
      <c r="C42" s="240">
        <f t="shared" si="9"/>
        <v>0</v>
      </c>
      <c r="D42" s="240">
        <f t="shared" si="9"/>
        <v>0</v>
      </c>
      <c r="E42" s="240">
        <f t="shared" si="9"/>
        <v>0</v>
      </c>
      <c r="F42" s="104"/>
    </row>
    <row r="43" spans="1:6" ht="20.100000000000001" customHeight="1">
      <c r="A43" s="194" t="str">
        <f t="shared" si="8"/>
        <v>发出商品</v>
      </c>
      <c r="B43" s="240">
        <f t="shared" si="9"/>
        <v>0</v>
      </c>
      <c r="C43" s="240">
        <f t="shared" si="9"/>
        <v>0</v>
      </c>
      <c r="D43" s="240">
        <f t="shared" si="9"/>
        <v>0</v>
      </c>
      <c r="E43" s="240">
        <f t="shared" si="9"/>
        <v>0</v>
      </c>
      <c r="F43" s="104"/>
    </row>
    <row r="44" spans="1:6" ht="20.100000000000001" customHeight="1">
      <c r="A44" s="194" t="str">
        <f t="shared" si="8"/>
        <v>开发产品</v>
      </c>
      <c r="B44" s="240">
        <f t="shared" si="9"/>
        <v>0</v>
      </c>
      <c r="C44" s="240">
        <f t="shared" si="9"/>
        <v>0</v>
      </c>
      <c r="D44" s="240">
        <f t="shared" si="9"/>
        <v>0</v>
      </c>
      <c r="E44" s="240">
        <f>E16+E30</f>
        <v>0</v>
      </c>
      <c r="F44" s="104"/>
    </row>
    <row r="45" spans="1:6" ht="20.100000000000001" customHeight="1">
      <c r="A45" s="194" t="str">
        <f t="shared" si="8"/>
        <v>开发成本</v>
      </c>
      <c r="B45" s="240">
        <f t="shared" si="9"/>
        <v>0</v>
      </c>
      <c r="C45" s="240">
        <f t="shared" si="9"/>
        <v>0</v>
      </c>
      <c r="D45" s="240">
        <f t="shared" si="9"/>
        <v>0</v>
      </c>
      <c r="E45" s="240">
        <f>E17+E31</f>
        <v>0</v>
      </c>
      <c r="F45" s="104"/>
    </row>
    <row r="46" spans="1:6" ht="20.100000000000001" customHeight="1">
      <c r="A46" s="194" t="str">
        <f t="shared" si="8"/>
        <v>合同履约成本</v>
      </c>
      <c r="B46" s="240">
        <f t="shared" si="9"/>
        <v>0</v>
      </c>
      <c r="C46" s="240">
        <f t="shared" si="9"/>
        <v>0</v>
      </c>
      <c r="D46" s="240">
        <f t="shared" si="9"/>
        <v>0</v>
      </c>
      <c r="E46" s="240">
        <f>E18+E32</f>
        <v>0</v>
      </c>
      <c r="F46" s="104"/>
    </row>
    <row r="47" spans="1:6" ht="20.100000000000001" customHeight="1">
      <c r="A47" s="194" t="str">
        <f t="shared" si="8"/>
        <v>消耗性生物资产</v>
      </c>
      <c r="B47" s="240">
        <f t="shared" ref="B47:E48" si="10">B19+B33</f>
        <v>0</v>
      </c>
      <c r="C47" s="240">
        <f t="shared" si="10"/>
        <v>0</v>
      </c>
      <c r="D47" s="240">
        <f t="shared" si="10"/>
        <v>0</v>
      </c>
      <c r="E47" s="240">
        <f t="shared" si="10"/>
        <v>0</v>
      </c>
      <c r="F47" s="104"/>
    </row>
    <row r="48" spans="1:6" ht="20.100000000000001" customHeight="1">
      <c r="A48" s="194" t="s">
        <v>276</v>
      </c>
      <c r="B48" s="240">
        <f t="shared" si="10"/>
        <v>0</v>
      </c>
      <c r="C48" s="240">
        <f t="shared" si="10"/>
        <v>0</v>
      </c>
      <c r="D48" s="240">
        <f t="shared" si="10"/>
        <v>0</v>
      </c>
      <c r="E48" s="240">
        <f t="shared" si="10"/>
        <v>0</v>
      </c>
      <c r="F48" s="104"/>
    </row>
    <row r="49" spans="1:10" ht="20.100000000000001" customHeight="1">
      <c r="A49" s="101" t="s">
        <v>152</v>
      </c>
      <c r="B49" s="102"/>
      <c r="C49" s="102"/>
      <c r="D49" s="102"/>
      <c r="E49" s="102"/>
      <c r="F49" s="102"/>
    </row>
    <row r="50" spans="1:10" ht="20.100000000000001" customHeight="1">
      <c r="A50" s="103" t="s">
        <v>109</v>
      </c>
      <c r="B50" s="240">
        <f>SUM(B51:B63)</f>
        <v>0</v>
      </c>
      <c r="C50" s="240">
        <f t="shared" ref="C50:E50" si="11">SUM(C51:C63)</f>
        <v>0</v>
      </c>
      <c r="D50" s="240">
        <f t="shared" si="11"/>
        <v>0</v>
      </c>
      <c r="E50" s="240">
        <f t="shared" si="11"/>
        <v>0</v>
      </c>
      <c r="F50" s="104"/>
    </row>
    <row r="51" spans="1:10" ht="20.100000000000001" customHeight="1">
      <c r="A51" s="194" t="str">
        <f t="shared" ref="A51:A63" si="12">A8</f>
        <v>原材料</v>
      </c>
      <c r="B51" s="240">
        <f>'明细汇总表F2-2'!B35</f>
        <v>0</v>
      </c>
      <c r="C51" s="240">
        <f>'明细汇总表F2-2'!C35</f>
        <v>0</v>
      </c>
      <c r="D51" s="240">
        <f>'明细汇总表F2-2'!D35</f>
        <v>0</v>
      </c>
      <c r="E51" s="240">
        <f>B51+C51-D51</f>
        <v>0</v>
      </c>
      <c r="F51" s="104"/>
    </row>
    <row r="52" spans="1:10" ht="20.100000000000001" customHeight="1">
      <c r="A52" s="194" t="str">
        <f t="shared" si="12"/>
        <v>材料采购/在途物资</v>
      </c>
      <c r="B52" s="240">
        <f>'明细汇总表F2-2'!B36</f>
        <v>0</v>
      </c>
      <c r="C52" s="240">
        <f>'明细汇总表F2-2'!C36</f>
        <v>0</v>
      </c>
      <c r="D52" s="240">
        <f>'明细汇总表F2-2'!D36</f>
        <v>0</v>
      </c>
      <c r="E52" s="240">
        <f t="shared" ref="E52:E61" si="13">B52+C52-D52</f>
        <v>0</v>
      </c>
      <c r="F52" s="104"/>
    </row>
    <row r="53" spans="1:10" ht="20.100000000000001" customHeight="1">
      <c r="A53" s="194" t="str">
        <f t="shared" si="12"/>
        <v>周转材料/低值易耗品/包装物</v>
      </c>
      <c r="B53" s="240">
        <f>'明细汇总表F2-2'!B37</f>
        <v>0</v>
      </c>
      <c r="C53" s="240">
        <f>'明细汇总表F2-2'!C37</f>
        <v>0</v>
      </c>
      <c r="D53" s="240">
        <f>'明细汇总表F2-2'!D37</f>
        <v>0</v>
      </c>
      <c r="E53" s="240">
        <f t="shared" si="13"/>
        <v>0</v>
      </c>
      <c r="F53" s="104"/>
    </row>
    <row r="54" spans="1:10" ht="20.100000000000001" customHeight="1">
      <c r="A54" s="194" t="str">
        <f t="shared" si="12"/>
        <v>在产品</v>
      </c>
      <c r="B54" s="240">
        <f>'明细汇总表F2-2'!B38</f>
        <v>0</v>
      </c>
      <c r="C54" s="240">
        <f>'明细汇总表F2-2'!C38</f>
        <v>0</v>
      </c>
      <c r="D54" s="240">
        <f>'明细汇总表F2-2'!D38</f>
        <v>0</v>
      </c>
      <c r="E54" s="240">
        <f t="shared" si="13"/>
        <v>0</v>
      </c>
      <c r="F54" s="104"/>
    </row>
    <row r="55" spans="1:10" s="106" customFormat="1" ht="20.100000000000001" customHeight="1">
      <c r="A55" s="194" t="str">
        <f t="shared" si="12"/>
        <v>自制半成品</v>
      </c>
      <c r="B55" s="240">
        <f>'明细汇总表F2-2'!B39</f>
        <v>0</v>
      </c>
      <c r="C55" s="240">
        <f>'明细汇总表F2-2'!C39</f>
        <v>0</v>
      </c>
      <c r="D55" s="240">
        <f>'明细汇总表F2-2'!D39</f>
        <v>0</v>
      </c>
      <c r="E55" s="240">
        <f t="shared" si="13"/>
        <v>0</v>
      </c>
      <c r="F55" s="104"/>
      <c r="G55" s="477"/>
      <c r="H55" s="477"/>
      <c r="I55" s="477"/>
      <c r="J55" s="477"/>
    </row>
    <row r="56" spans="1:10" s="106" customFormat="1" ht="20.100000000000001" customHeight="1">
      <c r="A56" s="194" t="str">
        <f t="shared" si="12"/>
        <v>委托加工物资</v>
      </c>
      <c r="B56" s="240">
        <f>'明细汇总表F2-2'!B40</f>
        <v>0</v>
      </c>
      <c r="C56" s="240">
        <f>'明细汇总表F2-2'!C40</f>
        <v>0</v>
      </c>
      <c r="D56" s="240">
        <f>'明细汇总表F2-2'!D40</f>
        <v>0</v>
      </c>
      <c r="E56" s="240">
        <f t="shared" si="13"/>
        <v>0</v>
      </c>
      <c r="F56" s="104"/>
      <c r="G56" s="477"/>
      <c r="H56" s="477"/>
      <c r="I56" s="477"/>
      <c r="J56" s="477"/>
    </row>
    <row r="57" spans="1:10" s="106" customFormat="1" ht="20.100000000000001" customHeight="1">
      <c r="A57" s="194" t="str">
        <f t="shared" si="12"/>
        <v>库存商品</v>
      </c>
      <c r="B57" s="240">
        <f>'明细汇总表F2-2'!B41</f>
        <v>0</v>
      </c>
      <c r="C57" s="240">
        <f>'明细汇总表F2-2'!C41</f>
        <v>0</v>
      </c>
      <c r="D57" s="240">
        <f>'明细汇总表F2-2'!D41</f>
        <v>0</v>
      </c>
      <c r="E57" s="240">
        <f t="shared" si="13"/>
        <v>0</v>
      </c>
      <c r="F57" s="104"/>
      <c r="G57" s="477"/>
      <c r="H57" s="477"/>
      <c r="I57" s="477"/>
      <c r="J57" s="477"/>
    </row>
    <row r="58" spans="1:10" ht="20.100000000000001" customHeight="1">
      <c r="A58" s="194" t="str">
        <f t="shared" si="12"/>
        <v>发出商品</v>
      </c>
      <c r="B58" s="240">
        <f>'明细汇总表F2-2'!B42</f>
        <v>0</v>
      </c>
      <c r="C58" s="240">
        <f>'明细汇总表F2-2'!C42</f>
        <v>0</v>
      </c>
      <c r="D58" s="240">
        <f>'明细汇总表F2-2'!D42</f>
        <v>0</v>
      </c>
      <c r="E58" s="240">
        <f t="shared" si="13"/>
        <v>0</v>
      </c>
      <c r="F58" s="104"/>
    </row>
    <row r="59" spans="1:10" ht="20.100000000000001" customHeight="1">
      <c r="A59" s="194" t="str">
        <f t="shared" si="12"/>
        <v>开发产品</v>
      </c>
      <c r="B59" s="240">
        <f>'明细汇总表F2-2'!B43</f>
        <v>0</v>
      </c>
      <c r="C59" s="240">
        <f>'明细汇总表F2-2'!C43</f>
        <v>0</v>
      </c>
      <c r="D59" s="240">
        <f>'明细汇总表F2-2'!D43</f>
        <v>0</v>
      </c>
      <c r="E59" s="240">
        <f t="shared" si="13"/>
        <v>0</v>
      </c>
      <c r="F59" s="104"/>
    </row>
    <row r="60" spans="1:10" ht="20.100000000000001" customHeight="1">
      <c r="A60" s="194" t="str">
        <f t="shared" si="12"/>
        <v>开发成本</v>
      </c>
      <c r="B60" s="240">
        <f>'明细汇总表F2-2'!B44</f>
        <v>0</v>
      </c>
      <c r="C60" s="240">
        <f>'明细汇总表F2-2'!C44</f>
        <v>0</v>
      </c>
      <c r="D60" s="240">
        <f>'明细汇总表F2-2'!D44</f>
        <v>0</v>
      </c>
      <c r="E60" s="240">
        <f t="shared" si="13"/>
        <v>0</v>
      </c>
      <c r="F60" s="104"/>
    </row>
    <row r="61" spans="1:10" ht="20.100000000000001" customHeight="1">
      <c r="A61" s="194" t="str">
        <f t="shared" si="12"/>
        <v>合同履约成本</v>
      </c>
      <c r="B61" s="240">
        <f>'明细汇总表F2-2'!B45</f>
        <v>0</v>
      </c>
      <c r="C61" s="240">
        <f>'明细汇总表F2-2'!C45</f>
        <v>0</v>
      </c>
      <c r="D61" s="240">
        <f>'明细汇总表F2-2'!D45</f>
        <v>0</v>
      </c>
      <c r="E61" s="240">
        <f t="shared" si="13"/>
        <v>0</v>
      </c>
      <c r="F61" s="104"/>
    </row>
    <row r="62" spans="1:10" ht="20.100000000000001" customHeight="1">
      <c r="A62" s="194" t="str">
        <f t="shared" si="12"/>
        <v>消耗性生物资产</v>
      </c>
      <c r="B62" s="240">
        <f>'明细汇总表F2-2'!B46</f>
        <v>0</v>
      </c>
      <c r="C62" s="240">
        <f>'明细汇总表F2-2'!C46</f>
        <v>0</v>
      </c>
      <c r="D62" s="240">
        <f>'明细汇总表F2-2'!D46</f>
        <v>0</v>
      </c>
      <c r="E62" s="240">
        <f>B62+C62-D62</f>
        <v>0</v>
      </c>
      <c r="F62" s="104"/>
    </row>
    <row r="63" spans="1:10" ht="20.100000000000001" customHeight="1">
      <c r="A63" s="194" t="str">
        <f t="shared" si="12"/>
        <v>数据资源</v>
      </c>
      <c r="B63" s="240">
        <f>'明细汇总表F2-2'!B47</f>
        <v>0</v>
      </c>
      <c r="C63" s="240">
        <f>'明细汇总表F2-2'!C47</f>
        <v>0</v>
      </c>
      <c r="D63" s="240">
        <f>'明细汇总表F2-2'!D47</f>
        <v>0</v>
      </c>
      <c r="E63" s="240"/>
      <c r="F63" s="104"/>
    </row>
    <row r="64" spans="1:10" ht="20.100000000000001" customHeight="1">
      <c r="A64" s="103" t="s">
        <v>107</v>
      </c>
      <c r="B64" s="240">
        <f>SUM(B65:B77)</f>
        <v>0</v>
      </c>
      <c r="C64" s="240">
        <f t="shared" ref="C64:E64" si="14">SUM(C65:C77)</f>
        <v>0</v>
      </c>
      <c r="D64" s="240">
        <f t="shared" si="14"/>
        <v>0</v>
      </c>
      <c r="E64" s="240">
        <f t="shared" si="14"/>
        <v>0</v>
      </c>
      <c r="F64" s="104"/>
    </row>
    <row r="65" spans="1:6" ht="20.100000000000001" customHeight="1">
      <c r="A65" s="194" t="str">
        <f t="shared" ref="A65:A77" si="15">A22</f>
        <v>原材料</v>
      </c>
      <c r="B65" s="240">
        <f>'明细汇总表F2-2'!F35</f>
        <v>0</v>
      </c>
      <c r="C65" s="240">
        <f>'明细汇总表F2-2'!G35</f>
        <v>0</v>
      </c>
      <c r="D65" s="240">
        <f>'明细汇总表F2-2'!H35</f>
        <v>0</v>
      </c>
      <c r="E65" s="240">
        <f t="shared" ref="E65:E76" si="16">B65+C65-D65</f>
        <v>0</v>
      </c>
      <c r="F65" s="104"/>
    </row>
    <row r="66" spans="1:6" ht="20.100000000000001" customHeight="1">
      <c r="A66" s="194" t="str">
        <f t="shared" si="15"/>
        <v>材料采购/在途物资</v>
      </c>
      <c r="B66" s="240">
        <f>'明细汇总表F2-2'!F36</f>
        <v>0</v>
      </c>
      <c r="C66" s="240">
        <f>'明细汇总表F2-2'!G36</f>
        <v>0</v>
      </c>
      <c r="D66" s="240">
        <f>'明细汇总表F2-2'!H36</f>
        <v>0</v>
      </c>
      <c r="E66" s="240">
        <f t="shared" si="16"/>
        <v>0</v>
      </c>
      <c r="F66" s="104"/>
    </row>
    <row r="67" spans="1:6" ht="20.100000000000001" customHeight="1">
      <c r="A67" s="194" t="str">
        <f t="shared" si="15"/>
        <v>周转材料/低值易耗品/包装物</v>
      </c>
      <c r="B67" s="240">
        <f>'明细汇总表F2-2'!F37</f>
        <v>0</v>
      </c>
      <c r="C67" s="240">
        <f>'明细汇总表F2-2'!G37</f>
        <v>0</v>
      </c>
      <c r="D67" s="240">
        <f>'明细汇总表F2-2'!H37</f>
        <v>0</v>
      </c>
      <c r="E67" s="240">
        <f t="shared" si="16"/>
        <v>0</v>
      </c>
      <c r="F67" s="104"/>
    </row>
    <row r="68" spans="1:6" ht="20.100000000000001" customHeight="1">
      <c r="A68" s="194" t="str">
        <f t="shared" si="15"/>
        <v>在产品</v>
      </c>
      <c r="B68" s="240">
        <f>'明细汇总表F2-2'!F38</f>
        <v>0</v>
      </c>
      <c r="C68" s="240">
        <f>'明细汇总表F2-2'!G38</f>
        <v>0</v>
      </c>
      <c r="D68" s="240">
        <f>'明细汇总表F2-2'!H38</f>
        <v>0</v>
      </c>
      <c r="E68" s="240">
        <f t="shared" si="16"/>
        <v>0</v>
      </c>
      <c r="F68" s="104"/>
    </row>
    <row r="69" spans="1:6" ht="20.100000000000001" customHeight="1">
      <c r="A69" s="194" t="str">
        <f t="shared" si="15"/>
        <v>自制半成品</v>
      </c>
      <c r="B69" s="240">
        <f>'明细汇总表F2-2'!F39</f>
        <v>0</v>
      </c>
      <c r="C69" s="240">
        <f>'明细汇总表F2-2'!G39</f>
        <v>0</v>
      </c>
      <c r="D69" s="240">
        <f>'明细汇总表F2-2'!H39</f>
        <v>0</v>
      </c>
      <c r="E69" s="240">
        <f t="shared" si="16"/>
        <v>0</v>
      </c>
      <c r="F69" s="104"/>
    </row>
    <row r="70" spans="1:6" ht="20.100000000000001" customHeight="1">
      <c r="A70" s="194" t="str">
        <f t="shared" si="15"/>
        <v>委托加工物资</v>
      </c>
      <c r="B70" s="240">
        <f>'明细汇总表F2-2'!F40</f>
        <v>0</v>
      </c>
      <c r="C70" s="240">
        <f>'明细汇总表F2-2'!G40</f>
        <v>0</v>
      </c>
      <c r="D70" s="240">
        <f>'明细汇总表F2-2'!H40</f>
        <v>0</v>
      </c>
      <c r="E70" s="240">
        <f t="shared" si="16"/>
        <v>0</v>
      </c>
      <c r="F70" s="104"/>
    </row>
    <row r="71" spans="1:6" ht="20.100000000000001" customHeight="1">
      <c r="A71" s="194" t="str">
        <f t="shared" si="15"/>
        <v>库存商品</v>
      </c>
      <c r="B71" s="240">
        <f>'明细汇总表F2-2'!F41</f>
        <v>0</v>
      </c>
      <c r="C71" s="240">
        <f>'明细汇总表F2-2'!G41</f>
        <v>0</v>
      </c>
      <c r="D71" s="240">
        <f>'明细汇总表F2-2'!H41</f>
        <v>0</v>
      </c>
      <c r="E71" s="240">
        <f t="shared" si="16"/>
        <v>0</v>
      </c>
      <c r="F71" s="104"/>
    </row>
    <row r="72" spans="1:6" ht="20.100000000000001" customHeight="1">
      <c r="A72" s="194" t="str">
        <f t="shared" si="15"/>
        <v>发出商品</v>
      </c>
      <c r="B72" s="240">
        <f>'明细汇总表F2-2'!F42</f>
        <v>0</v>
      </c>
      <c r="C72" s="240">
        <f>'明细汇总表F2-2'!G42</f>
        <v>0</v>
      </c>
      <c r="D72" s="240">
        <f>'明细汇总表F2-2'!H42</f>
        <v>0</v>
      </c>
      <c r="E72" s="240">
        <f t="shared" si="16"/>
        <v>0</v>
      </c>
      <c r="F72" s="104"/>
    </row>
    <row r="73" spans="1:6" ht="20.100000000000001" customHeight="1">
      <c r="A73" s="194" t="str">
        <f t="shared" si="15"/>
        <v>开发产品</v>
      </c>
      <c r="B73" s="240">
        <f>'明细汇总表F2-2'!F43</f>
        <v>0</v>
      </c>
      <c r="C73" s="240">
        <f>'明细汇总表F2-2'!G43</f>
        <v>0</v>
      </c>
      <c r="D73" s="240">
        <f>'明细汇总表F2-2'!H43</f>
        <v>0</v>
      </c>
      <c r="E73" s="240">
        <f t="shared" si="16"/>
        <v>0</v>
      </c>
      <c r="F73" s="104"/>
    </row>
    <row r="74" spans="1:6" ht="20.100000000000001" customHeight="1">
      <c r="A74" s="194" t="str">
        <f t="shared" si="15"/>
        <v>开发成本</v>
      </c>
      <c r="B74" s="240">
        <f>'明细汇总表F2-2'!F44</f>
        <v>0</v>
      </c>
      <c r="C74" s="240">
        <f>'明细汇总表F2-2'!G44</f>
        <v>0</v>
      </c>
      <c r="D74" s="240">
        <f>'明细汇总表F2-2'!H44</f>
        <v>0</v>
      </c>
      <c r="E74" s="240">
        <f t="shared" si="16"/>
        <v>0</v>
      </c>
      <c r="F74" s="104"/>
    </row>
    <row r="75" spans="1:6" ht="20.100000000000001" customHeight="1">
      <c r="A75" s="194" t="str">
        <f t="shared" si="15"/>
        <v>合同履约成本</v>
      </c>
      <c r="B75" s="240">
        <f>'明细汇总表F2-2'!F45</f>
        <v>0</v>
      </c>
      <c r="C75" s="240">
        <f>'明细汇总表F2-2'!G45</f>
        <v>0</v>
      </c>
      <c r="D75" s="240">
        <f>'明细汇总表F2-2'!H45</f>
        <v>0</v>
      </c>
      <c r="E75" s="240">
        <f t="shared" si="16"/>
        <v>0</v>
      </c>
      <c r="F75" s="104"/>
    </row>
    <row r="76" spans="1:6" ht="20.100000000000001" customHeight="1">
      <c r="A76" s="194" t="str">
        <f t="shared" si="15"/>
        <v>消耗性生物资产</v>
      </c>
      <c r="B76" s="240">
        <f>'明细汇总表F2-2'!F46</f>
        <v>0</v>
      </c>
      <c r="C76" s="240">
        <f>'明细汇总表F2-2'!G46</f>
        <v>0</v>
      </c>
      <c r="D76" s="240">
        <f>'明细汇总表F2-2'!H46</f>
        <v>0</v>
      </c>
      <c r="E76" s="240">
        <f t="shared" si="16"/>
        <v>0</v>
      </c>
      <c r="F76" s="104"/>
    </row>
    <row r="77" spans="1:6" ht="20.100000000000001" customHeight="1">
      <c r="A77" s="194" t="str">
        <f t="shared" si="15"/>
        <v>数据资源</v>
      </c>
      <c r="B77" s="240">
        <f>'明细汇总表F2-2'!F47</f>
        <v>0</v>
      </c>
      <c r="C77" s="240">
        <f>'明细汇总表F2-2'!G47</f>
        <v>0</v>
      </c>
      <c r="D77" s="240">
        <f>'明细汇总表F2-2'!H47</f>
        <v>0</v>
      </c>
      <c r="E77" s="240">
        <f t="shared" ref="E77" si="17">B77+C77-D77</f>
        <v>0</v>
      </c>
      <c r="F77" s="104"/>
    </row>
    <row r="78" spans="1:6" ht="20.100000000000001" customHeight="1">
      <c r="A78" s="103" t="s">
        <v>153</v>
      </c>
      <c r="B78" s="240">
        <f>SUM(B79:B91)</f>
        <v>0</v>
      </c>
      <c r="C78" s="240">
        <f t="shared" ref="C78:D78" si="18">SUM(C79:C91)</f>
        <v>0</v>
      </c>
      <c r="D78" s="240">
        <f t="shared" si="18"/>
        <v>0</v>
      </c>
      <c r="E78" s="240">
        <f>SUM(E79:E91)</f>
        <v>0</v>
      </c>
      <c r="F78" s="104"/>
    </row>
    <row r="79" spans="1:6" ht="20.100000000000001" customHeight="1">
      <c r="A79" s="194" t="str">
        <f t="shared" ref="A79:A91" si="19">A36</f>
        <v>原材料</v>
      </c>
      <c r="B79" s="240">
        <f t="shared" ref="B79:E89" si="20">B51+B65</f>
        <v>0</v>
      </c>
      <c r="C79" s="240">
        <f t="shared" si="20"/>
        <v>0</v>
      </c>
      <c r="D79" s="240">
        <f t="shared" si="20"/>
        <v>0</v>
      </c>
      <c r="E79" s="240">
        <f t="shared" si="20"/>
        <v>0</v>
      </c>
      <c r="F79" s="104"/>
    </row>
    <row r="80" spans="1:6" ht="20.100000000000001" customHeight="1">
      <c r="A80" s="194" t="str">
        <f t="shared" si="19"/>
        <v>材料采购/在途物资</v>
      </c>
      <c r="B80" s="240">
        <f t="shared" si="20"/>
        <v>0</v>
      </c>
      <c r="C80" s="240">
        <f t="shared" si="20"/>
        <v>0</v>
      </c>
      <c r="D80" s="240">
        <f t="shared" si="20"/>
        <v>0</v>
      </c>
      <c r="E80" s="240">
        <f t="shared" si="20"/>
        <v>0</v>
      </c>
      <c r="F80" s="104"/>
    </row>
    <row r="81" spans="1:6" ht="20.100000000000001" customHeight="1">
      <c r="A81" s="194" t="str">
        <f t="shared" si="19"/>
        <v>周转材料/低值易耗品/包装物</v>
      </c>
      <c r="B81" s="240">
        <f t="shared" si="20"/>
        <v>0</v>
      </c>
      <c r="C81" s="240">
        <f t="shared" si="20"/>
        <v>0</v>
      </c>
      <c r="D81" s="240">
        <f t="shared" si="20"/>
        <v>0</v>
      </c>
      <c r="E81" s="240">
        <f t="shared" si="20"/>
        <v>0</v>
      </c>
      <c r="F81" s="104"/>
    </row>
    <row r="82" spans="1:6" ht="20.100000000000001" customHeight="1">
      <c r="A82" s="194" t="str">
        <f t="shared" si="19"/>
        <v>在产品</v>
      </c>
      <c r="B82" s="240">
        <f t="shared" si="20"/>
        <v>0</v>
      </c>
      <c r="C82" s="240">
        <f t="shared" si="20"/>
        <v>0</v>
      </c>
      <c r="D82" s="240">
        <f t="shared" si="20"/>
        <v>0</v>
      </c>
      <c r="E82" s="240">
        <f t="shared" si="20"/>
        <v>0</v>
      </c>
      <c r="F82" s="104"/>
    </row>
    <row r="83" spans="1:6" ht="20.100000000000001" customHeight="1">
      <c r="A83" s="194" t="str">
        <f t="shared" si="19"/>
        <v>自制半成品</v>
      </c>
      <c r="B83" s="240">
        <f t="shared" si="20"/>
        <v>0</v>
      </c>
      <c r="C83" s="240">
        <f t="shared" si="20"/>
        <v>0</v>
      </c>
      <c r="D83" s="240">
        <f t="shared" si="20"/>
        <v>0</v>
      </c>
      <c r="E83" s="240">
        <f t="shared" si="20"/>
        <v>0</v>
      </c>
      <c r="F83" s="104"/>
    </row>
    <row r="84" spans="1:6" ht="20.100000000000001" customHeight="1">
      <c r="A84" s="194" t="str">
        <f t="shared" si="19"/>
        <v>委托加工物资</v>
      </c>
      <c r="B84" s="240">
        <f t="shared" si="20"/>
        <v>0</v>
      </c>
      <c r="C84" s="240">
        <f t="shared" si="20"/>
        <v>0</v>
      </c>
      <c r="D84" s="240">
        <f t="shared" si="20"/>
        <v>0</v>
      </c>
      <c r="E84" s="240">
        <f t="shared" si="20"/>
        <v>0</v>
      </c>
      <c r="F84" s="104"/>
    </row>
    <row r="85" spans="1:6" ht="20.100000000000001" customHeight="1">
      <c r="A85" s="194" t="str">
        <f t="shared" si="19"/>
        <v>库存商品</v>
      </c>
      <c r="B85" s="240">
        <f t="shared" si="20"/>
        <v>0</v>
      </c>
      <c r="C85" s="240">
        <f t="shared" si="20"/>
        <v>0</v>
      </c>
      <c r="D85" s="240">
        <f t="shared" si="20"/>
        <v>0</v>
      </c>
      <c r="E85" s="240">
        <f t="shared" si="20"/>
        <v>0</v>
      </c>
      <c r="F85" s="104"/>
    </row>
    <row r="86" spans="1:6" ht="20.100000000000001" customHeight="1">
      <c r="A86" s="194" t="str">
        <f t="shared" si="19"/>
        <v>发出商品</v>
      </c>
      <c r="B86" s="240">
        <f t="shared" si="20"/>
        <v>0</v>
      </c>
      <c r="C86" s="240">
        <f t="shared" si="20"/>
        <v>0</v>
      </c>
      <c r="D86" s="240">
        <f t="shared" si="20"/>
        <v>0</v>
      </c>
      <c r="E86" s="240">
        <f t="shared" si="20"/>
        <v>0</v>
      </c>
      <c r="F86" s="104"/>
    </row>
    <row r="87" spans="1:6" ht="20.100000000000001" customHeight="1">
      <c r="A87" s="194" t="str">
        <f t="shared" si="19"/>
        <v>开发产品</v>
      </c>
      <c r="B87" s="240">
        <f t="shared" si="20"/>
        <v>0</v>
      </c>
      <c r="C87" s="240">
        <f t="shared" si="20"/>
        <v>0</v>
      </c>
      <c r="D87" s="240">
        <f t="shared" si="20"/>
        <v>0</v>
      </c>
      <c r="E87" s="240">
        <f t="shared" si="20"/>
        <v>0</v>
      </c>
      <c r="F87" s="104"/>
    </row>
    <row r="88" spans="1:6" ht="20.100000000000001" customHeight="1">
      <c r="A88" s="194" t="str">
        <f t="shared" si="19"/>
        <v>开发成本</v>
      </c>
      <c r="B88" s="240">
        <f t="shared" si="20"/>
        <v>0</v>
      </c>
      <c r="C88" s="240">
        <f t="shared" si="20"/>
        <v>0</v>
      </c>
      <c r="D88" s="240">
        <f t="shared" si="20"/>
        <v>0</v>
      </c>
      <c r="E88" s="240">
        <f t="shared" si="20"/>
        <v>0</v>
      </c>
      <c r="F88" s="104"/>
    </row>
    <row r="89" spans="1:6" ht="20.100000000000001" customHeight="1">
      <c r="A89" s="194" t="str">
        <f t="shared" si="19"/>
        <v>合同履约成本</v>
      </c>
      <c r="B89" s="240">
        <f>B61+B75</f>
        <v>0</v>
      </c>
      <c r="C89" s="240">
        <f t="shared" si="20"/>
        <v>0</v>
      </c>
      <c r="D89" s="240">
        <f t="shared" si="20"/>
        <v>0</v>
      </c>
      <c r="E89" s="240">
        <f t="shared" si="20"/>
        <v>0</v>
      </c>
      <c r="F89" s="104"/>
    </row>
    <row r="90" spans="1:6" ht="20.100000000000001" customHeight="1">
      <c r="A90" s="194" t="str">
        <f t="shared" si="19"/>
        <v>消耗性生物资产</v>
      </c>
      <c r="B90" s="240">
        <f t="shared" ref="B90:E91" si="21">B62+B76</f>
        <v>0</v>
      </c>
      <c r="C90" s="240">
        <f t="shared" si="21"/>
        <v>0</v>
      </c>
      <c r="D90" s="240">
        <f t="shared" si="21"/>
        <v>0</v>
      </c>
      <c r="E90" s="240">
        <f t="shared" si="21"/>
        <v>0</v>
      </c>
      <c r="F90" s="104"/>
    </row>
    <row r="91" spans="1:6" ht="20.100000000000001" customHeight="1">
      <c r="A91" s="194" t="str">
        <f t="shared" si="19"/>
        <v>数据资源</v>
      </c>
      <c r="B91" s="240">
        <f t="shared" si="21"/>
        <v>0</v>
      </c>
      <c r="C91" s="240">
        <f t="shared" si="21"/>
        <v>0</v>
      </c>
      <c r="D91" s="240">
        <f t="shared" si="21"/>
        <v>0</v>
      </c>
      <c r="E91" s="240">
        <f t="shared" si="21"/>
        <v>0</v>
      </c>
      <c r="F91" s="104"/>
    </row>
    <row r="92" spans="1:6" ht="20.100000000000001" customHeight="1">
      <c r="A92" s="101" t="s">
        <v>154</v>
      </c>
      <c r="B92" s="102"/>
      <c r="C92" s="102"/>
      <c r="D92" s="102"/>
      <c r="E92" s="102"/>
      <c r="F92" s="102"/>
    </row>
    <row r="93" spans="1:6" ht="20.100000000000001" customHeight="1">
      <c r="A93" s="103" t="s">
        <v>155</v>
      </c>
      <c r="B93" s="240">
        <f>SUM(B94:B106)</f>
        <v>0</v>
      </c>
      <c r="C93" s="240">
        <f t="shared" ref="C93:D93" si="22">SUM(C94:C106)</f>
        <v>0</v>
      </c>
      <c r="D93" s="240">
        <f t="shared" si="22"/>
        <v>0</v>
      </c>
      <c r="E93" s="240">
        <f>SUM(E94:E106)</f>
        <v>0</v>
      </c>
      <c r="F93" s="104"/>
    </row>
    <row r="94" spans="1:6" ht="20.100000000000001" customHeight="1">
      <c r="A94" s="194" t="str">
        <f t="shared" ref="A94:A105" si="23">A8</f>
        <v>原材料</v>
      </c>
      <c r="B94" s="240">
        <f t="shared" ref="B94:E106" si="24">B36-B79</f>
        <v>0</v>
      </c>
      <c r="C94" s="240">
        <f t="shared" si="24"/>
        <v>0</v>
      </c>
      <c r="D94" s="240">
        <f t="shared" si="24"/>
        <v>0</v>
      </c>
      <c r="E94" s="240">
        <f t="shared" si="24"/>
        <v>0</v>
      </c>
      <c r="F94" s="104"/>
    </row>
    <row r="95" spans="1:6" ht="20.100000000000001" customHeight="1">
      <c r="A95" s="194" t="str">
        <f t="shared" si="23"/>
        <v>材料采购/在途物资</v>
      </c>
      <c r="B95" s="240">
        <f t="shared" si="24"/>
        <v>0</v>
      </c>
      <c r="C95" s="240">
        <f t="shared" si="24"/>
        <v>0</v>
      </c>
      <c r="D95" s="240">
        <f t="shared" si="24"/>
        <v>0</v>
      </c>
      <c r="E95" s="240">
        <f t="shared" si="24"/>
        <v>0</v>
      </c>
      <c r="F95" s="104"/>
    </row>
    <row r="96" spans="1:6" ht="20.100000000000001" customHeight="1">
      <c r="A96" s="194" t="str">
        <f t="shared" si="23"/>
        <v>周转材料/低值易耗品/包装物</v>
      </c>
      <c r="B96" s="240">
        <f t="shared" si="24"/>
        <v>0</v>
      </c>
      <c r="C96" s="240">
        <f t="shared" si="24"/>
        <v>0</v>
      </c>
      <c r="D96" s="240">
        <f t="shared" si="24"/>
        <v>0</v>
      </c>
      <c r="E96" s="240">
        <f t="shared" si="24"/>
        <v>0</v>
      </c>
      <c r="F96" s="104"/>
    </row>
    <row r="97" spans="1:10" ht="20.100000000000001" customHeight="1">
      <c r="A97" s="194" t="str">
        <f t="shared" si="23"/>
        <v>在产品</v>
      </c>
      <c r="B97" s="240">
        <f t="shared" si="24"/>
        <v>0</v>
      </c>
      <c r="C97" s="240">
        <f t="shared" si="24"/>
        <v>0</v>
      </c>
      <c r="D97" s="240">
        <f t="shared" si="24"/>
        <v>0</v>
      </c>
      <c r="E97" s="240">
        <f t="shared" si="24"/>
        <v>0</v>
      </c>
      <c r="F97" s="104"/>
    </row>
    <row r="98" spans="1:10" ht="20.100000000000001" customHeight="1">
      <c r="A98" s="194" t="str">
        <f t="shared" si="23"/>
        <v>自制半成品</v>
      </c>
      <c r="B98" s="240">
        <f t="shared" si="24"/>
        <v>0</v>
      </c>
      <c r="C98" s="240">
        <f t="shared" si="24"/>
        <v>0</v>
      </c>
      <c r="D98" s="240">
        <f t="shared" si="24"/>
        <v>0</v>
      </c>
      <c r="E98" s="240">
        <f t="shared" si="24"/>
        <v>0</v>
      </c>
      <c r="F98" s="104"/>
    </row>
    <row r="99" spans="1:10" ht="20.100000000000001" customHeight="1">
      <c r="A99" s="194" t="str">
        <f t="shared" si="23"/>
        <v>委托加工物资</v>
      </c>
      <c r="B99" s="240">
        <f t="shared" si="24"/>
        <v>0</v>
      </c>
      <c r="C99" s="240">
        <f t="shared" si="24"/>
        <v>0</v>
      </c>
      <c r="D99" s="240">
        <f t="shared" si="24"/>
        <v>0</v>
      </c>
      <c r="E99" s="240">
        <f t="shared" si="24"/>
        <v>0</v>
      </c>
      <c r="F99" s="104"/>
    </row>
    <row r="100" spans="1:10" ht="20.100000000000001" customHeight="1">
      <c r="A100" s="194" t="str">
        <f t="shared" si="23"/>
        <v>库存商品</v>
      </c>
      <c r="B100" s="240">
        <f t="shared" si="24"/>
        <v>0</v>
      </c>
      <c r="C100" s="240">
        <f t="shared" si="24"/>
        <v>0</v>
      </c>
      <c r="D100" s="240">
        <f t="shared" si="24"/>
        <v>0</v>
      </c>
      <c r="E100" s="240">
        <f t="shared" si="24"/>
        <v>0</v>
      </c>
      <c r="F100" s="104"/>
    </row>
    <row r="101" spans="1:10" ht="20.100000000000001" customHeight="1">
      <c r="A101" s="194" t="str">
        <f t="shared" si="23"/>
        <v>发出商品</v>
      </c>
      <c r="B101" s="240">
        <f t="shared" si="24"/>
        <v>0</v>
      </c>
      <c r="C101" s="240">
        <f t="shared" si="24"/>
        <v>0</v>
      </c>
      <c r="D101" s="240">
        <f t="shared" si="24"/>
        <v>0</v>
      </c>
      <c r="E101" s="240">
        <f t="shared" si="24"/>
        <v>0</v>
      </c>
      <c r="F101" s="104"/>
    </row>
    <row r="102" spans="1:10" ht="20.100000000000001" customHeight="1">
      <c r="A102" s="194" t="str">
        <f t="shared" si="23"/>
        <v>开发产品</v>
      </c>
      <c r="B102" s="240">
        <f>B44-B87</f>
        <v>0</v>
      </c>
      <c r="C102" s="240">
        <f t="shared" si="24"/>
        <v>0</v>
      </c>
      <c r="D102" s="240">
        <f t="shared" si="24"/>
        <v>0</v>
      </c>
      <c r="E102" s="240">
        <f t="shared" si="24"/>
        <v>0</v>
      </c>
      <c r="F102" s="104"/>
    </row>
    <row r="103" spans="1:10" ht="20.100000000000001" customHeight="1">
      <c r="A103" s="194" t="str">
        <f t="shared" si="23"/>
        <v>开发成本</v>
      </c>
      <c r="B103" s="240">
        <f t="shared" si="24"/>
        <v>0</v>
      </c>
      <c r="C103" s="240">
        <f t="shared" si="24"/>
        <v>0</v>
      </c>
      <c r="D103" s="240">
        <f t="shared" si="24"/>
        <v>0</v>
      </c>
      <c r="E103" s="240">
        <f t="shared" si="24"/>
        <v>0</v>
      </c>
      <c r="F103" s="104"/>
    </row>
    <row r="104" spans="1:10" ht="20.100000000000001" customHeight="1">
      <c r="A104" s="194" t="str">
        <f t="shared" si="23"/>
        <v>合同履约成本</v>
      </c>
      <c r="B104" s="240">
        <f>B46-B89</f>
        <v>0</v>
      </c>
      <c r="C104" s="240">
        <f t="shared" si="24"/>
        <v>0</v>
      </c>
      <c r="D104" s="240">
        <f t="shared" si="24"/>
        <v>0</v>
      </c>
      <c r="E104" s="240">
        <f t="shared" si="24"/>
        <v>0</v>
      </c>
      <c r="F104" s="104"/>
    </row>
    <row r="105" spans="1:10" ht="20.100000000000001" customHeight="1">
      <c r="A105" s="194" t="str">
        <f t="shared" si="23"/>
        <v>消耗性生物资产</v>
      </c>
      <c r="B105" s="240">
        <f t="shared" si="24"/>
        <v>0</v>
      </c>
      <c r="C105" s="240">
        <f t="shared" si="24"/>
        <v>0</v>
      </c>
      <c r="D105" s="240">
        <f t="shared" si="24"/>
        <v>0</v>
      </c>
      <c r="E105" s="240">
        <f t="shared" si="24"/>
        <v>0</v>
      </c>
      <c r="F105" s="104"/>
    </row>
    <row r="106" spans="1:10" ht="20.100000000000001" customHeight="1">
      <c r="A106" s="239" t="s">
        <v>276</v>
      </c>
      <c r="B106" s="240">
        <f t="shared" si="24"/>
        <v>0</v>
      </c>
      <c r="C106" s="240">
        <f t="shared" si="24"/>
        <v>0</v>
      </c>
      <c r="D106" s="240">
        <f t="shared" si="24"/>
        <v>0</v>
      </c>
      <c r="E106" s="240">
        <f t="shared" si="24"/>
        <v>0</v>
      </c>
      <c r="F106" s="104"/>
    </row>
    <row r="107" spans="1:10" s="110" customFormat="1" ht="20.100000000000001" customHeight="1">
      <c r="A107" s="107" t="s">
        <v>156</v>
      </c>
      <c r="B107" s="242"/>
      <c r="C107" s="108"/>
      <c r="D107" s="108"/>
      <c r="E107" s="104"/>
      <c r="F107" s="143"/>
      <c r="G107" s="97"/>
      <c r="H107" s="97"/>
      <c r="I107" s="109"/>
      <c r="J107" s="109"/>
    </row>
    <row r="108" spans="1:10" s="110" customFormat="1" ht="20.100000000000001" customHeight="1">
      <c r="A108" s="107" t="s">
        <v>157</v>
      </c>
      <c r="B108" s="241">
        <f>B93-B107</f>
        <v>0</v>
      </c>
      <c r="C108" s="108"/>
      <c r="D108" s="108"/>
      <c r="E108" s="241">
        <f>E93-E107</f>
        <v>0</v>
      </c>
      <c r="F108" s="143"/>
      <c r="G108" s="97"/>
      <c r="H108" s="97"/>
      <c r="I108" s="109"/>
      <c r="J108" s="109"/>
    </row>
    <row r="109" spans="1:10" ht="20.100000000000001" customHeight="1">
      <c r="A109" s="111" t="s">
        <v>158</v>
      </c>
    </row>
    <row r="110" spans="1:10" ht="20.100000000000001" customHeight="1">
      <c r="A110" s="112" t="s">
        <v>159</v>
      </c>
      <c r="D110" s="113" t="e">
        <f>ROUND(IF(AND(B93=0,E93&gt;0),1,(E93-B93)/B93),4)</f>
        <v>#DIV/0!</v>
      </c>
    </row>
    <row r="111" spans="1:10" ht="20.100000000000001" customHeight="1">
      <c r="A111" s="112" t="s">
        <v>160</v>
      </c>
    </row>
    <row r="112" spans="1:10" ht="20.100000000000001" customHeight="1"/>
    <row r="113" spans="1:5" ht="20.100000000000001" customHeight="1">
      <c r="A113" s="114" t="s">
        <v>161</v>
      </c>
    </row>
    <row r="114" spans="1:5" ht="20.100000000000001" customHeight="1">
      <c r="A114" s="114"/>
    </row>
    <row r="115" spans="1:5" ht="20.100000000000001" customHeight="1">
      <c r="A115" s="455" t="s">
        <v>905</v>
      </c>
    </row>
    <row r="116" spans="1:5" ht="20.100000000000001" customHeight="1">
      <c r="A116" s="478" t="s">
        <v>906</v>
      </c>
      <c r="B116" s="478"/>
      <c r="C116" s="478" t="s">
        <v>907</v>
      </c>
      <c r="D116" s="478"/>
      <c r="E116" s="456" t="s">
        <v>908</v>
      </c>
    </row>
    <row r="117" spans="1:5" ht="20.100000000000001" customHeight="1">
      <c r="A117" s="479"/>
      <c r="B117" s="480"/>
      <c r="C117" s="481"/>
      <c r="D117" s="482"/>
      <c r="E117" s="457"/>
    </row>
    <row r="118" spans="1:5" ht="20.100000000000001" customHeight="1">
      <c r="A118" s="479"/>
      <c r="B118" s="480"/>
      <c r="C118" s="481"/>
      <c r="D118" s="482"/>
      <c r="E118" s="457"/>
    </row>
    <row r="119" spans="1:5" ht="20.100000000000001" customHeight="1">
      <c r="A119" s="479"/>
      <c r="B119" s="480"/>
      <c r="C119" s="481"/>
      <c r="D119" s="482"/>
      <c r="E119" s="457"/>
    </row>
    <row r="120" spans="1:5" ht="20.100000000000001" customHeight="1">
      <c r="A120" s="479"/>
      <c r="B120" s="480"/>
      <c r="C120" s="481"/>
      <c r="D120" s="482"/>
      <c r="E120" s="457"/>
    </row>
    <row r="121" spans="1:5" ht="20.100000000000001" customHeight="1">
      <c r="A121" s="111" t="s">
        <v>370</v>
      </c>
    </row>
    <row r="122" spans="1:5" ht="20.100000000000001" customHeight="1"/>
    <row r="123" spans="1:5" ht="20.100000000000001" customHeight="1"/>
    <row r="124" spans="1:5" ht="20.100000000000001" customHeight="1"/>
    <row r="125" spans="1:5" ht="18" customHeight="1"/>
    <row r="126" spans="1:5" ht="18" customHeight="1"/>
    <row r="127" spans="1:5" s="116" customFormat="1" ht="18" customHeight="1">
      <c r="A127" s="115" t="s">
        <v>162</v>
      </c>
    </row>
    <row r="128" spans="1:5" s="116" customFormat="1" ht="18" customHeight="1">
      <c r="A128" s="115"/>
    </row>
    <row r="129" spans="1:1" s="116" customFormat="1" ht="18" customHeight="1">
      <c r="A129" s="116" t="s">
        <v>163</v>
      </c>
    </row>
    <row r="130" spans="1:1" s="116" customFormat="1" ht="18" customHeight="1">
      <c r="A130" s="116" t="s">
        <v>164</v>
      </c>
    </row>
    <row r="131" spans="1:1" s="116" customFormat="1" ht="18" customHeight="1">
      <c r="A131" s="116" t="s">
        <v>165</v>
      </c>
    </row>
    <row r="132" spans="1:1" s="116" customFormat="1" ht="18" customHeight="1">
      <c r="A132" s="116" t="s">
        <v>166</v>
      </c>
    </row>
    <row r="133" spans="1:1" s="116" customFormat="1" ht="18" customHeight="1">
      <c r="A133" s="117" t="s">
        <v>167</v>
      </c>
    </row>
    <row r="134" spans="1:1" s="116" customFormat="1" ht="18" customHeight="1">
      <c r="A134" s="116" t="s">
        <v>168</v>
      </c>
    </row>
    <row r="135" spans="1:1" s="116" customFormat="1" ht="18" customHeight="1">
      <c r="A135" s="118" t="s">
        <v>169</v>
      </c>
    </row>
    <row r="136" spans="1:1" s="116" customFormat="1" ht="18" customHeight="1">
      <c r="A136" s="116" t="s">
        <v>170</v>
      </c>
    </row>
    <row r="137" spans="1:1" s="116" customFormat="1" ht="18" customHeight="1">
      <c r="A137" s="117" t="s">
        <v>171</v>
      </c>
    </row>
    <row r="138" spans="1:1" ht="18" customHeight="1">
      <c r="A138" s="117" t="s">
        <v>172</v>
      </c>
    </row>
    <row r="139" spans="1:1" ht="18" customHeight="1">
      <c r="A139" s="117" t="s">
        <v>173</v>
      </c>
    </row>
    <row r="140" spans="1:1" ht="18" customHeight="1">
      <c r="A140" s="117" t="s">
        <v>174</v>
      </c>
    </row>
    <row r="141" spans="1:1" ht="18" customHeight="1">
      <c r="A141" s="117" t="s">
        <v>175</v>
      </c>
    </row>
    <row r="142" spans="1:1" ht="18" customHeight="1">
      <c r="A142" s="116" t="s">
        <v>176</v>
      </c>
    </row>
    <row r="143" spans="1:1" ht="18" customHeight="1">
      <c r="A143" s="117" t="s">
        <v>177</v>
      </c>
    </row>
    <row r="144" spans="1:1" ht="18" customHeight="1">
      <c r="A144" s="117" t="s">
        <v>178</v>
      </c>
    </row>
    <row r="145" spans="1:1" ht="18" customHeight="1">
      <c r="A145" s="118" t="s">
        <v>179</v>
      </c>
    </row>
    <row r="146" spans="1:1" ht="18" customHeight="1">
      <c r="A146" s="119" t="s">
        <v>180</v>
      </c>
    </row>
    <row r="147" spans="1:1" ht="18" customHeight="1">
      <c r="A147" s="119" t="s">
        <v>181</v>
      </c>
    </row>
    <row r="148" spans="1:1" ht="18" customHeight="1">
      <c r="A148" s="119" t="s">
        <v>182</v>
      </c>
    </row>
  </sheetData>
  <mergeCells count="15">
    <mergeCell ref="A120:B120"/>
    <mergeCell ref="C117:D117"/>
    <mergeCell ref="C118:D118"/>
    <mergeCell ref="C119:D119"/>
    <mergeCell ref="C120:D120"/>
    <mergeCell ref="A116:B116"/>
    <mergeCell ref="C116:D116"/>
    <mergeCell ref="A117:B117"/>
    <mergeCell ref="A118:B118"/>
    <mergeCell ref="A119:B119"/>
    <mergeCell ref="A1:F1"/>
    <mergeCell ref="A2:F2"/>
    <mergeCell ref="G55:J55"/>
    <mergeCell ref="G56:J56"/>
    <mergeCell ref="G57:J57"/>
  </mergeCells>
  <phoneticPr fontId="17" type="noConversion"/>
  <hyperlinks>
    <hyperlink ref="F3" location="底稿目录!A1" display="底稿目录!A1"/>
  </hyperlinks>
  <printOptions horizontalCentered="1"/>
  <pageMargins left="0.82677165354330717" right="0.35433070866141736" top="0.6692913385826772" bottom="0.43307086614173229" header="0.47244094488188981" footer="0.27559055118110237"/>
  <pageSetup paperSize="9" scale="80" fitToHeight="5" orientation="portrait" blackAndWhite="1" r:id="rId1"/>
  <headerFooter alignWithMargins="0">
    <oddFooter>&amp;C&amp;P/&amp;N</oddFooter>
  </headerFooter>
  <rowBreaks count="2" manualBreakCount="2">
    <brk id="48" max="5" man="1"/>
    <brk id="91" max="5" man="1"/>
  </row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N88"/>
  <sheetViews>
    <sheetView view="pageBreakPreview" zoomScale="85" zoomScaleNormal="115" zoomScaleSheetLayoutView="85" workbookViewId="0">
      <selection sqref="A1:G1"/>
    </sheetView>
  </sheetViews>
  <sheetFormatPr defaultColWidth="9" defaultRowHeight="13.8"/>
  <cols>
    <col min="1" max="1" width="32.5" style="38" customWidth="1"/>
    <col min="2" max="2" width="15.796875" style="38" customWidth="1"/>
    <col min="3" max="3" width="16.59765625" style="38" customWidth="1"/>
    <col min="4" max="6" width="12.796875" style="38" customWidth="1"/>
    <col min="7" max="7" width="15.296875" style="38" customWidth="1"/>
    <col min="8" max="16384" width="9" style="38"/>
  </cols>
  <sheetData>
    <row r="1" spans="1:14" ht="20.100000000000001" customHeight="1">
      <c r="A1" s="492" t="s">
        <v>137</v>
      </c>
      <c r="B1" s="492"/>
      <c r="C1" s="492"/>
      <c r="D1" s="492"/>
      <c r="E1" s="492"/>
      <c r="F1" s="492"/>
      <c r="G1" s="492"/>
      <c r="H1" s="120"/>
      <c r="I1" s="120"/>
      <c r="J1" s="120"/>
      <c r="K1" s="120"/>
      <c r="L1" s="120"/>
      <c r="M1" s="120"/>
      <c r="N1" s="120"/>
    </row>
    <row r="2" spans="1:14" s="109" customFormat="1" ht="25.05" customHeight="1">
      <c r="A2" s="492" t="s">
        <v>183</v>
      </c>
      <c r="B2" s="492"/>
      <c r="C2" s="492"/>
      <c r="D2" s="492"/>
      <c r="E2" s="492"/>
      <c r="F2" s="492"/>
      <c r="G2" s="492"/>
      <c r="H2" s="121"/>
      <c r="I2" s="121"/>
      <c r="J2" s="121"/>
      <c r="K2" s="121"/>
      <c r="L2" s="121"/>
      <c r="M2" s="121"/>
      <c r="N2" s="121"/>
    </row>
    <row r="3" spans="1:14" ht="20.100000000000001" customHeight="1">
      <c r="A3" s="37" t="str">
        <f>底稿目录!A2</f>
        <v>被审计单位：</v>
      </c>
      <c r="B3" s="37"/>
      <c r="C3" s="37" t="str">
        <f>底稿目录!A4</f>
        <v>编制人：</v>
      </c>
      <c r="E3" s="37" t="str">
        <f>底稿目录!A5</f>
        <v>编制日期：</v>
      </c>
      <c r="F3" s="122"/>
      <c r="G3" s="43" t="s">
        <v>145</v>
      </c>
    </row>
    <row r="4" spans="1:14" ht="20.100000000000001" customHeight="1">
      <c r="A4" s="37" t="str">
        <f>底稿目录!A3</f>
        <v>截止日：202X年12月21日</v>
      </c>
      <c r="B4" s="37"/>
      <c r="C4" s="37" t="str">
        <f>底稿目录!A6</f>
        <v>复核人：</v>
      </c>
      <c r="E4" s="37" t="str">
        <f>底稿目录!A7</f>
        <v>复核日期：</v>
      </c>
      <c r="F4" s="122"/>
      <c r="G4" s="37" t="s">
        <v>61</v>
      </c>
    </row>
    <row r="5" spans="1:14" s="146" customFormat="1" ht="20.100000000000001" customHeight="1">
      <c r="A5" s="145" t="s">
        <v>184</v>
      </c>
    </row>
    <row r="6" spans="1:14" s="146" customFormat="1" ht="20.100000000000001" customHeight="1">
      <c r="A6" s="147" t="s">
        <v>185</v>
      </c>
    </row>
    <row r="7" spans="1:14" s="146" customFormat="1" ht="20.100000000000001" customHeight="1" thickBot="1">
      <c r="A7" s="147" t="s">
        <v>186</v>
      </c>
    </row>
    <row r="8" spans="1:14" s="146" customFormat="1" ht="20.100000000000001" customHeight="1" thickBot="1">
      <c r="A8" s="486" t="s">
        <v>187</v>
      </c>
      <c r="B8" s="493" t="s">
        <v>188</v>
      </c>
      <c r="C8" s="493"/>
      <c r="D8" s="493"/>
      <c r="E8" s="494" t="s">
        <v>243</v>
      </c>
      <c r="F8" s="494"/>
      <c r="G8" s="494"/>
    </row>
    <row r="9" spans="1:14" s="146" customFormat="1" ht="36.6" thickBot="1">
      <c r="A9" s="487"/>
      <c r="B9" s="148" t="s">
        <v>190</v>
      </c>
      <c r="C9" s="148" t="s">
        <v>240</v>
      </c>
      <c r="D9" s="148" t="s">
        <v>191</v>
      </c>
      <c r="E9" s="148" t="s">
        <v>190</v>
      </c>
      <c r="F9" s="148" t="s">
        <v>240</v>
      </c>
      <c r="G9" s="148" t="s">
        <v>191</v>
      </c>
    </row>
    <row r="10" spans="1:14" s="146" customFormat="1" ht="20.100000000000001" customHeight="1">
      <c r="A10" s="149" t="str">
        <f>'存货审定表F2-1'!A36</f>
        <v>原材料</v>
      </c>
      <c r="B10" s="150">
        <f>'存货审定表F2-1'!E36+'存货审定表F2-1'!E37</f>
        <v>0</v>
      </c>
      <c r="C10" s="150">
        <f>'存货审定表F2-1'!E79+'存货审定表F2-1'!E80</f>
        <v>0</v>
      </c>
      <c r="D10" s="150">
        <f t="shared" ref="D10:D18" si="0">B10-C10</f>
        <v>0</v>
      </c>
      <c r="E10" s="150">
        <f>'存货审定表F2-1'!B36+'存货审定表F2-1'!B37</f>
        <v>0</v>
      </c>
      <c r="F10" s="150">
        <f>'存货审定表F2-1'!B79+'存货审定表F2-1'!B80</f>
        <v>0</v>
      </c>
      <c r="G10" s="150">
        <f t="shared" ref="G10:G18" si="1">E10-F10</f>
        <v>0</v>
      </c>
    </row>
    <row r="11" spans="1:14" s="146" customFormat="1" ht="20.100000000000001" customHeight="1">
      <c r="A11" s="178" t="str">
        <f>'存货审定表F2-1'!A39</f>
        <v>在产品</v>
      </c>
      <c r="B11" s="150">
        <f>'存货审定表F2-1'!E39+'存货审定表F2-1'!E40</f>
        <v>0</v>
      </c>
      <c r="C11" s="150">
        <f>'存货审定表F2-1'!E82+'存货审定表F2-1'!E83</f>
        <v>0</v>
      </c>
      <c r="D11" s="150">
        <f t="shared" si="0"/>
        <v>0</v>
      </c>
      <c r="E11" s="150">
        <f>'存货审定表F2-1'!B39+'存货审定表F2-1'!B40</f>
        <v>0</v>
      </c>
      <c r="F11" s="150">
        <f>'存货审定表F2-1'!B82+'存货审定表F2-1'!B83</f>
        <v>0</v>
      </c>
      <c r="G11" s="150">
        <f t="shared" si="1"/>
        <v>0</v>
      </c>
    </row>
    <row r="12" spans="1:14" s="146" customFormat="1" ht="20.100000000000001" customHeight="1">
      <c r="A12" s="178" t="str">
        <f>'存货审定表F2-1'!A41</f>
        <v>委托加工物资</v>
      </c>
      <c r="B12" s="150">
        <f>'存货审定表F2-1'!E41</f>
        <v>0</v>
      </c>
      <c r="C12" s="150">
        <f>'存货审定表F2-1'!E84</f>
        <v>0</v>
      </c>
      <c r="D12" s="150">
        <f t="shared" si="0"/>
        <v>0</v>
      </c>
      <c r="E12" s="150">
        <f>'存货审定表F2-1'!B41</f>
        <v>0</v>
      </c>
      <c r="F12" s="150">
        <f>'存货审定表F2-1'!B84</f>
        <v>0</v>
      </c>
      <c r="G12" s="150">
        <f t="shared" si="1"/>
        <v>0</v>
      </c>
    </row>
    <row r="13" spans="1:14" s="146" customFormat="1" ht="20.100000000000001" customHeight="1">
      <c r="A13" s="178" t="str">
        <f>'存货审定表F2-1'!A42</f>
        <v>库存商品</v>
      </c>
      <c r="B13" s="150">
        <f>'存货审定表F2-1'!E42</f>
        <v>0</v>
      </c>
      <c r="C13" s="150">
        <f>'存货审定表F2-1'!E85</f>
        <v>0</v>
      </c>
      <c r="D13" s="150">
        <f t="shared" si="0"/>
        <v>0</v>
      </c>
      <c r="E13" s="150">
        <f>'存货审定表F2-1'!B42</f>
        <v>0</v>
      </c>
      <c r="F13" s="150">
        <f>'存货审定表F2-1'!B85</f>
        <v>0</v>
      </c>
      <c r="G13" s="150">
        <f t="shared" si="1"/>
        <v>0</v>
      </c>
    </row>
    <row r="14" spans="1:14" s="146" customFormat="1" ht="20.100000000000001" customHeight="1">
      <c r="A14" s="178" t="str">
        <f>'存货审定表F2-1'!A43</f>
        <v>发出商品</v>
      </c>
      <c r="B14" s="150">
        <f>'存货审定表F2-1'!E43</f>
        <v>0</v>
      </c>
      <c r="C14" s="150">
        <f>'存货审定表F2-1'!E86</f>
        <v>0</v>
      </c>
      <c r="D14" s="150">
        <f t="shared" si="0"/>
        <v>0</v>
      </c>
      <c r="E14" s="150">
        <f>'存货审定表F2-1'!B43</f>
        <v>0</v>
      </c>
      <c r="F14" s="150">
        <f>'存货审定表F2-1'!B86</f>
        <v>0</v>
      </c>
      <c r="G14" s="150">
        <f t="shared" si="1"/>
        <v>0</v>
      </c>
    </row>
    <row r="15" spans="1:14" s="146" customFormat="1" ht="20.100000000000001" customHeight="1">
      <c r="A15" s="178" t="s">
        <v>242</v>
      </c>
      <c r="B15" s="150">
        <f>'存货审定表F2-1'!E38</f>
        <v>0</v>
      </c>
      <c r="C15" s="150">
        <f>'存货审定表F2-1'!E81</f>
        <v>0</v>
      </c>
      <c r="D15" s="150">
        <f t="shared" si="0"/>
        <v>0</v>
      </c>
      <c r="E15" s="150">
        <f>'存货审定表F2-1'!B38</f>
        <v>0</v>
      </c>
      <c r="F15" s="150">
        <f>'存货审定表F2-1'!B81</f>
        <v>0</v>
      </c>
      <c r="G15" s="150">
        <f t="shared" si="1"/>
        <v>0</v>
      </c>
    </row>
    <row r="16" spans="1:14" s="146" customFormat="1" ht="20.100000000000001" customHeight="1">
      <c r="A16" s="178" t="s">
        <v>150</v>
      </c>
      <c r="B16" s="150">
        <f>'存货审定表F2-1'!E46</f>
        <v>0</v>
      </c>
      <c r="C16" s="150">
        <f>'存货审定表F2-1'!E89</f>
        <v>0</v>
      </c>
      <c r="D16" s="150">
        <f t="shared" si="0"/>
        <v>0</v>
      </c>
      <c r="E16" s="150">
        <f>'存货审定表F2-1'!B46</f>
        <v>0</v>
      </c>
      <c r="F16" s="150">
        <f>'存货审定表F2-1'!B89</f>
        <v>0</v>
      </c>
      <c r="G16" s="150">
        <f t="shared" si="1"/>
        <v>0</v>
      </c>
    </row>
    <row r="17" spans="1:7" s="146" customFormat="1" ht="20.100000000000001" customHeight="1">
      <c r="A17" s="149" t="str">
        <f>'存货审定表F2-1'!A47</f>
        <v>消耗性生物资产</v>
      </c>
      <c r="B17" s="150">
        <f>'存货审定表F2-1'!E47</f>
        <v>0</v>
      </c>
      <c r="C17" s="150">
        <f>'存货审定表F2-1'!E90</f>
        <v>0</v>
      </c>
      <c r="D17" s="150">
        <f t="shared" si="0"/>
        <v>0</v>
      </c>
      <c r="E17" s="150">
        <f>'存货审定表F2-1'!B47</f>
        <v>0</v>
      </c>
      <c r="F17" s="150">
        <f>'存货审定表F2-1'!B90</f>
        <v>0</v>
      </c>
      <c r="G17" s="150">
        <f t="shared" si="1"/>
        <v>0</v>
      </c>
    </row>
    <row r="18" spans="1:7" s="146" customFormat="1" ht="20.100000000000001" customHeight="1" thickBot="1">
      <c r="A18" s="149" t="s">
        <v>279</v>
      </c>
      <c r="B18" s="150">
        <f>'存货审定表F2-1'!E48</f>
        <v>0</v>
      </c>
      <c r="C18" s="150">
        <f>'存货审定表F2-1'!E91</f>
        <v>0</v>
      </c>
      <c r="D18" s="150">
        <f t="shared" si="0"/>
        <v>0</v>
      </c>
      <c r="E18" s="150">
        <f>'存货审定表F2-1'!B48</f>
        <v>0</v>
      </c>
      <c r="F18" s="150">
        <f>'存货审定表F2-1'!B91</f>
        <v>0</v>
      </c>
      <c r="G18" s="150">
        <f t="shared" si="1"/>
        <v>0</v>
      </c>
    </row>
    <row r="19" spans="1:7" s="146" customFormat="1" ht="20.100000000000001" customHeight="1" thickBot="1">
      <c r="A19" s="151" t="s">
        <v>192</v>
      </c>
      <c r="B19" s="152">
        <f>SUM(B10:B18)</f>
        <v>0</v>
      </c>
      <c r="C19" s="152">
        <f>SUM(C10:C18)</f>
        <v>0</v>
      </c>
      <c r="D19" s="152">
        <f t="shared" ref="D19:F19" si="2">SUM(D10:D18)</f>
        <v>0</v>
      </c>
      <c r="E19" s="152">
        <f t="shared" si="2"/>
        <v>0</v>
      </c>
      <c r="F19" s="152">
        <f t="shared" si="2"/>
        <v>0</v>
      </c>
      <c r="G19" s="152">
        <f>SUM(G10:G18)</f>
        <v>0</v>
      </c>
    </row>
    <row r="20" spans="1:7" s="146" customFormat="1" ht="20.100000000000001" customHeight="1">
      <c r="A20" s="491" t="s">
        <v>193</v>
      </c>
      <c r="B20" s="491"/>
      <c r="C20" s="491"/>
      <c r="D20" s="491"/>
      <c r="E20" s="491"/>
      <c r="F20" s="491"/>
      <c r="G20" s="491"/>
    </row>
    <row r="21" spans="1:7" s="146" customFormat="1" ht="20.100000000000001" customHeight="1" thickBot="1">
      <c r="A21" s="146" t="s">
        <v>244</v>
      </c>
    </row>
    <row r="22" spans="1:7" s="146" customFormat="1" ht="20.100000000000001" customHeight="1">
      <c r="A22" s="486" t="s">
        <v>187</v>
      </c>
      <c r="B22" s="488" t="s">
        <v>111</v>
      </c>
      <c r="C22" s="490" t="s">
        <v>194</v>
      </c>
      <c r="D22" s="490"/>
      <c r="E22" s="490" t="s">
        <v>195</v>
      </c>
      <c r="F22" s="490"/>
      <c r="G22" s="488" t="s">
        <v>298</v>
      </c>
    </row>
    <row r="23" spans="1:7" s="146" customFormat="1" ht="20.100000000000001" customHeight="1" thickBot="1">
      <c r="A23" s="487"/>
      <c r="B23" s="489"/>
      <c r="C23" s="153" t="s">
        <v>196</v>
      </c>
      <c r="D23" s="153" t="s">
        <v>197</v>
      </c>
      <c r="E23" s="153" t="s">
        <v>198</v>
      </c>
      <c r="F23" s="153" t="s">
        <v>197</v>
      </c>
      <c r="G23" s="489"/>
    </row>
    <row r="24" spans="1:7" s="146" customFormat="1" ht="20.100000000000001" customHeight="1">
      <c r="A24" s="149" t="str">
        <f t="shared" ref="A24:A29" si="3">A10</f>
        <v>原材料</v>
      </c>
      <c r="B24" s="150">
        <f>'存货审定表F2-1'!B79+'存货审定表F2-1'!B80</f>
        <v>0</v>
      </c>
      <c r="C24" s="150">
        <f>'明细汇总表F2-2'!K35+'明细汇总表F2-2'!K36</f>
        <v>0</v>
      </c>
      <c r="D24" s="150">
        <f>'明细汇总表F2-2'!L35+'明细汇总表F2-2'!L36</f>
        <v>0</v>
      </c>
      <c r="E24" s="150">
        <f>'明细汇总表F2-2'!N35+'明细汇总表F2-2'!O35+'明细汇总表F2-2'!N36+'明细汇总表F2-2'!O36</f>
        <v>0</v>
      </c>
      <c r="F24" s="150">
        <f>'明细汇总表F2-2'!P35+'明细汇总表F2-2'!P36</f>
        <v>0</v>
      </c>
      <c r="G24" s="150">
        <f>B24+C24+D24-E24-F24</f>
        <v>0</v>
      </c>
    </row>
    <row r="25" spans="1:7" s="146" customFormat="1" ht="20.100000000000001" customHeight="1">
      <c r="A25" s="149" t="str">
        <f t="shared" si="3"/>
        <v>在产品</v>
      </c>
      <c r="B25" s="150">
        <f>'存货审定表F2-1'!B82+'存货审定表F2-1'!B83</f>
        <v>0</v>
      </c>
      <c r="C25" s="150">
        <f>'明细汇总表F2-2'!K38+'明细汇总表F2-2'!K39</f>
        <v>0</v>
      </c>
      <c r="D25" s="150">
        <f>'明细汇总表F2-2'!L38+'明细汇总表F2-2'!L39</f>
        <v>0</v>
      </c>
      <c r="E25" s="150">
        <f>'明细汇总表F2-2'!N38+'明细汇总表F2-2'!O38+'明细汇总表F2-2'!N39+'明细汇总表F2-2'!O39</f>
        <v>0</v>
      </c>
      <c r="F25" s="150">
        <f>'明细汇总表F2-2'!P38+'明细汇总表F2-2'!P39</f>
        <v>0</v>
      </c>
      <c r="G25" s="150">
        <f t="shared" ref="G25:G31" si="4">B25+C25+D25-E25-F25</f>
        <v>0</v>
      </c>
    </row>
    <row r="26" spans="1:7" s="146" customFormat="1" ht="20.100000000000001" customHeight="1">
      <c r="A26" s="178" t="str">
        <f t="shared" si="3"/>
        <v>委托加工物资</v>
      </c>
      <c r="B26" s="150">
        <f>'存货审定表F2-1'!B84</f>
        <v>0</v>
      </c>
      <c r="C26" s="150">
        <f>'明细汇总表F2-2'!K40</f>
        <v>0</v>
      </c>
      <c r="D26" s="150">
        <f>'明细汇总表F2-2'!L40</f>
        <v>0</v>
      </c>
      <c r="E26" s="150">
        <f>'明细汇总表F2-2'!N40+'明细汇总表F2-2'!O40</f>
        <v>0</v>
      </c>
      <c r="F26" s="150">
        <f>'明细汇总表F2-2'!P40</f>
        <v>0</v>
      </c>
      <c r="G26" s="150">
        <f t="shared" si="4"/>
        <v>0</v>
      </c>
    </row>
    <row r="27" spans="1:7" s="146" customFormat="1" ht="20.100000000000001" customHeight="1">
      <c r="A27" s="178" t="str">
        <f t="shared" si="3"/>
        <v>库存商品</v>
      </c>
      <c r="B27" s="150">
        <f>'存货审定表F2-1'!B85</f>
        <v>0</v>
      </c>
      <c r="C27" s="150">
        <f>'明细汇总表F2-2'!K41</f>
        <v>0</v>
      </c>
      <c r="D27" s="150">
        <f>'明细汇总表F2-2'!L41</f>
        <v>0</v>
      </c>
      <c r="E27" s="150">
        <f>'明细汇总表F2-2'!N41+'明细汇总表F2-2'!O41</f>
        <v>0</v>
      </c>
      <c r="F27" s="150">
        <f>'明细汇总表F2-2'!P41</f>
        <v>0</v>
      </c>
      <c r="G27" s="150">
        <f t="shared" si="4"/>
        <v>0</v>
      </c>
    </row>
    <row r="28" spans="1:7" s="146" customFormat="1" ht="20.100000000000001" customHeight="1">
      <c r="A28" s="178" t="str">
        <f t="shared" si="3"/>
        <v>发出商品</v>
      </c>
      <c r="B28" s="150">
        <f>'存货审定表F2-1'!B86</f>
        <v>0</v>
      </c>
      <c r="C28" s="150">
        <f>'明细汇总表F2-2'!K42</f>
        <v>0</v>
      </c>
      <c r="D28" s="150">
        <f>'明细汇总表F2-2'!L42</f>
        <v>0</v>
      </c>
      <c r="E28" s="150">
        <f>'明细汇总表F2-2'!N42+'明细汇总表F2-2'!O42</f>
        <v>0</v>
      </c>
      <c r="F28" s="150">
        <f>'明细汇总表F2-2'!P42</f>
        <v>0</v>
      </c>
      <c r="G28" s="150">
        <f t="shared" si="4"/>
        <v>0</v>
      </c>
    </row>
    <row r="29" spans="1:7" s="146" customFormat="1" ht="20.100000000000001" customHeight="1">
      <c r="A29" s="178" t="str">
        <f t="shared" si="3"/>
        <v>周转材料</v>
      </c>
      <c r="B29" s="150">
        <f>'存货审定表F2-1'!B81</f>
        <v>0</v>
      </c>
      <c r="C29" s="150">
        <f>'明细汇总表F2-2'!K37</f>
        <v>0</v>
      </c>
      <c r="D29" s="150">
        <f>'明细汇总表F2-2'!L37</f>
        <v>0</v>
      </c>
      <c r="E29" s="150">
        <f>'明细汇总表F2-2'!N37+'明细汇总表F2-2'!O37</f>
        <v>0</v>
      </c>
      <c r="F29" s="150">
        <f>'明细汇总表F2-2'!P37</f>
        <v>0</v>
      </c>
      <c r="G29" s="150">
        <f>B29+C29+D29-E29-F29</f>
        <v>0</v>
      </c>
    </row>
    <row r="30" spans="1:7" s="146" customFormat="1" ht="20.100000000000001" customHeight="1">
      <c r="A30" s="149" t="s">
        <v>150</v>
      </c>
      <c r="B30" s="150">
        <f>'存货审定表F2-1'!B89</f>
        <v>0</v>
      </c>
      <c r="C30" s="150">
        <f>'明细汇总表F2-2'!K46</f>
        <v>0</v>
      </c>
      <c r="D30" s="150">
        <f>'明细汇总表F2-2'!L46</f>
        <v>0</v>
      </c>
      <c r="E30" s="150">
        <f>'明细汇总表F2-2'!N46+'明细汇总表F2-2'!O46</f>
        <v>0</v>
      </c>
      <c r="F30" s="150">
        <f>'明细汇总表F2-2'!P46</f>
        <v>0</v>
      </c>
      <c r="G30" s="150">
        <f t="shared" si="4"/>
        <v>0</v>
      </c>
    </row>
    <row r="31" spans="1:7" s="146" customFormat="1" ht="20.100000000000001" customHeight="1">
      <c r="A31" s="149" t="str">
        <f>A17</f>
        <v>消耗性生物资产</v>
      </c>
      <c r="B31" s="150">
        <f>'存货审定表F2-1'!B90</f>
        <v>0</v>
      </c>
      <c r="C31" s="150">
        <f>'明细汇总表F2-2'!K46</f>
        <v>0</v>
      </c>
      <c r="D31" s="154">
        <f>'明细汇总表F2-2'!L46</f>
        <v>0</v>
      </c>
      <c r="E31" s="150">
        <f>'明细汇总表F2-2'!N46+'明细汇总表F2-2'!O46</f>
        <v>0</v>
      </c>
      <c r="F31" s="154">
        <f>'明细汇总表F2-2'!P46</f>
        <v>0</v>
      </c>
      <c r="G31" s="150">
        <f t="shared" si="4"/>
        <v>0</v>
      </c>
    </row>
    <row r="32" spans="1:7" s="146" customFormat="1" ht="20.100000000000001" customHeight="1" thickBot="1">
      <c r="A32" s="149" t="s">
        <v>276</v>
      </c>
      <c r="B32" s="150">
        <f>'存货审定表F2-1'!B91</f>
        <v>0</v>
      </c>
      <c r="C32" s="150">
        <f>'明细汇总表F2-2'!K47</f>
        <v>0</v>
      </c>
      <c r="D32" s="154">
        <f>'明细汇总表F2-2'!L47</f>
        <v>0</v>
      </c>
      <c r="E32" s="150">
        <f>'明细汇总表F2-2'!N47+'明细汇总表F2-2'!O47</f>
        <v>0</v>
      </c>
      <c r="F32" s="154">
        <f>'明细汇总表F2-2'!P47</f>
        <v>0</v>
      </c>
      <c r="G32" s="150">
        <f>B32+C32+D32-E32-F32</f>
        <v>0</v>
      </c>
    </row>
    <row r="33" spans="1:7" s="146" customFormat="1" ht="20.100000000000001" customHeight="1" thickBot="1">
      <c r="A33" s="151" t="s">
        <v>192</v>
      </c>
      <c r="B33" s="155">
        <f>SUM(B24:B32)</f>
        <v>0</v>
      </c>
      <c r="C33" s="155">
        <f t="shared" ref="C33:G33" si="5">SUM(C24:C32)</f>
        <v>0</v>
      </c>
      <c r="D33" s="155">
        <f t="shared" si="5"/>
        <v>0</v>
      </c>
      <c r="E33" s="155">
        <f t="shared" si="5"/>
        <v>0</v>
      </c>
      <c r="F33" s="155">
        <f t="shared" si="5"/>
        <v>0</v>
      </c>
      <c r="G33" s="155">
        <f t="shared" si="5"/>
        <v>0</v>
      </c>
    </row>
    <row r="34" spans="1:7" s="146" customFormat="1" ht="20.100000000000001" customHeight="1" thickBot="1">
      <c r="A34" s="146" t="s">
        <v>245</v>
      </c>
    </row>
    <row r="35" spans="1:7" s="146" customFormat="1" ht="63" customHeight="1" thickBot="1">
      <c r="A35" s="156" t="s">
        <v>187</v>
      </c>
      <c r="B35" s="157" t="s">
        <v>246</v>
      </c>
      <c r="C35" s="157" t="s">
        <v>247</v>
      </c>
    </row>
    <row r="36" spans="1:7" s="146" customFormat="1" ht="20.100000000000001" customHeight="1">
      <c r="A36" s="149" t="str">
        <f t="shared" ref="A36:A41" si="6">A24</f>
        <v>原材料</v>
      </c>
      <c r="B36" s="158">
        <f>'明细汇总表F2-2'!I53+'明细汇总表F2-2'!I54</f>
        <v>0</v>
      </c>
      <c r="C36" s="158">
        <f>'明细汇总表F2-2'!J53+'明细汇总表F2-2'!J54</f>
        <v>0</v>
      </c>
    </row>
    <row r="37" spans="1:7" s="146" customFormat="1" ht="20.100000000000001" customHeight="1">
      <c r="A37" s="149" t="str">
        <f t="shared" si="6"/>
        <v>在产品</v>
      </c>
      <c r="B37" s="158">
        <f>'明细汇总表F2-2'!I56+'明细汇总表F2-2'!I57</f>
        <v>0</v>
      </c>
      <c r="C37" s="158">
        <f>'明细汇总表F2-2'!J56+'明细汇总表F2-2'!J57</f>
        <v>0</v>
      </c>
    </row>
    <row r="38" spans="1:7" s="146" customFormat="1" ht="20.100000000000001" customHeight="1">
      <c r="A38" s="178" t="str">
        <f t="shared" si="6"/>
        <v>委托加工物资</v>
      </c>
      <c r="B38" s="158">
        <f>'明细汇总表F2-2'!I58</f>
        <v>0</v>
      </c>
      <c r="C38" s="158">
        <f>'明细汇总表F2-2'!J58</f>
        <v>0</v>
      </c>
    </row>
    <row r="39" spans="1:7" s="146" customFormat="1" ht="20.100000000000001" customHeight="1">
      <c r="A39" s="178" t="str">
        <f t="shared" si="6"/>
        <v>库存商品</v>
      </c>
      <c r="B39" s="158">
        <f>'明细汇总表F2-2'!I59</f>
        <v>0</v>
      </c>
      <c r="C39" s="158">
        <f>'明细汇总表F2-2'!J59</f>
        <v>0</v>
      </c>
    </row>
    <row r="40" spans="1:7" s="146" customFormat="1" ht="20.100000000000001" customHeight="1">
      <c r="A40" s="178" t="str">
        <f t="shared" si="6"/>
        <v>发出商品</v>
      </c>
      <c r="B40" s="158">
        <f>'明细汇总表F2-2'!I60</f>
        <v>0</v>
      </c>
      <c r="C40" s="158">
        <f>'明细汇总表F2-2'!J60</f>
        <v>0</v>
      </c>
    </row>
    <row r="41" spans="1:7" s="146" customFormat="1" ht="20.100000000000001" customHeight="1">
      <c r="A41" s="178" t="str">
        <f t="shared" si="6"/>
        <v>周转材料</v>
      </c>
      <c r="B41" s="158">
        <f>'明细汇总表F2-2'!I55</f>
        <v>0</v>
      </c>
      <c r="C41" s="158">
        <f>'明细汇总表F2-2'!J55</f>
        <v>0</v>
      </c>
    </row>
    <row r="42" spans="1:7" s="146" customFormat="1" ht="20.100000000000001" customHeight="1">
      <c r="A42" s="149" t="s">
        <v>150</v>
      </c>
      <c r="B42" s="158">
        <f>'明细汇总表F2-2'!I64</f>
        <v>0</v>
      </c>
      <c r="C42" s="158">
        <f>'明细汇总表F2-2'!J64</f>
        <v>0</v>
      </c>
    </row>
    <row r="43" spans="1:7" s="146" customFormat="1" ht="20.100000000000001" customHeight="1">
      <c r="A43" s="149" t="str">
        <f>A31</f>
        <v>消耗性生物资产</v>
      </c>
      <c r="B43" s="159">
        <f>'明细汇总表F2-2'!I64</f>
        <v>0</v>
      </c>
      <c r="C43" s="160">
        <f>'明细汇总表F2-2'!J64</f>
        <v>0</v>
      </c>
    </row>
    <row r="44" spans="1:7" s="146" customFormat="1" ht="20.100000000000001" customHeight="1" thickBot="1">
      <c r="A44" s="149" t="s">
        <v>276</v>
      </c>
      <c r="B44" s="159">
        <f>'明细汇总表F2-2'!I65</f>
        <v>0</v>
      </c>
      <c r="C44" s="160">
        <f>'明细汇总表F2-2'!J65</f>
        <v>0</v>
      </c>
    </row>
    <row r="45" spans="1:7" s="146" customFormat="1" ht="20.100000000000001" customHeight="1" thickBot="1">
      <c r="A45" s="151" t="s">
        <v>192</v>
      </c>
      <c r="B45" s="157" t="s">
        <v>199</v>
      </c>
      <c r="C45" s="161" t="s">
        <v>106</v>
      </c>
    </row>
    <row r="46" spans="1:7" s="146" customFormat="1" ht="20.100000000000001" customHeight="1">
      <c r="A46" s="162" t="s">
        <v>200</v>
      </c>
      <c r="B46" s="162"/>
      <c r="C46" s="162"/>
    </row>
    <row r="47" spans="1:7" s="146" customFormat="1" ht="20.100000000000001" customHeight="1">
      <c r="A47" s="196" t="s">
        <v>280</v>
      </c>
      <c r="B47" s="195"/>
      <c r="C47" s="195"/>
    </row>
    <row r="48" spans="1:7" s="146" customFormat="1" ht="20.100000000000001" customHeight="1" thickBot="1">
      <c r="A48" s="195" t="s">
        <v>281</v>
      </c>
      <c r="B48" s="195"/>
      <c r="C48" s="195"/>
    </row>
    <row r="49" spans="1:7" s="146" customFormat="1" ht="20.100000000000001" customHeight="1">
      <c r="A49" s="483" t="s">
        <v>282</v>
      </c>
      <c r="B49" s="483" t="s">
        <v>283</v>
      </c>
      <c r="C49" s="483"/>
      <c r="D49" s="483"/>
      <c r="E49" s="483"/>
      <c r="F49" s="483"/>
      <c r="G49" s="483"/>
    </row>
    <row r="50" spans="1:7" s="146" customFormat="1" ht="20.100000000000001" customHeight="1">
      <c r="A50" s="484"/>
      <c r="B50" s="484" t="s">
        <v>284</v>
      </c>
      <c r="C50" s="484"/>
      <c r="D50" s="484" t="s">
        <v>287</v>
      </c>
      <c r="E50" s="484"/>
      <c r="F50" s="484"/>
      <c r="G50" s="198" t="s">
        <v>291</v>
      </c>
    </row>
    <row r="51" spans="1:7" s="146" customFormat="1" ht="20.100000000000001" customHeight="1" thickBot="1">
      <c r="A51" s="485"/>
      <c r="B51" s="199" t="s">
        <v>285</v>
      </c>
      <c r="C51" s="199" t="s">
        <v>286</v>
      </c>
      <c r="D51" s="199" t="s">
        <v>288</v>
      </c>
      <c r="E51" s="199" t="s">
        <v>289</v>
      </c>
      <c r="F51" s="199" t="s">
        <v>290</v>
      </c>
      <c r="G51" s="199"/>
    </row>
    <row r="52" spans="1:7" s="146" customFormat="1" ht="20.100000000000001" customHeight="1">
      <c r="A52" s="196"/>
      <c r="B52" s="201"/>
      <c r="C52" s="196" t="e">
        <f>B52/B54</f>
        <v>#DIV/0!</v>
      </c>
      <c r="D52" s="210"/>
      <c r="E52" s="197"/>
      <c r="F52" s="207" t="e">
        <f>D52/B52</f>
        <v>#DIV/0!</v>
      </c>
      <c r="G52" s="206">
        <f>B52-D52</f>
        <v>0</v>
      </c>
    </row>
    <row r="53" spans="1:7" s="146" customFormat="1" ht="20.100000000000001" customHeight="1" thickBot="1">
      <c r="A53" s="196"/>
      <c r="B53" s="201"/>
      <c r="C53" s="196" t="e">
        <f>B53/B54</f>
        <v>#DIV/0!</v>
      </c>
      <c r="D53" s="210"/>
      <c r="E53" s="197"/>
      <c r="F53" s="207" t="e">
        <f>D53/B53</f>
        <v>#DIV/0!</v>
      </c>
      <c r="G53" s="206">
        <f>B53-D53</f>
        <v>0</v>
      </c>
    </row>
    <row r="54" spans="1:7" s="205" customFormat="1" ht="20.100000000000001" customHeight="1" thickBot="1">
      <c r="A54" s="200" t="s">
        <v>292</v>
      </c>
      <c r="B54" s="202">
        <f>SUM(B52:B53)</f>
        <v>0</v>
      </c>
      <c r="C54" s="203">
        <v>1</v>
      </c>
      <c r="D54" s="211">
        <f>SUM(D52:D53)</f>
        <v>0</v>
      </c>
      <c r="E54" s="204"/>
      <c r="F54" s="209" t="e">
        <f>D54/B54</f>
        <v>#DIV/0!</v>
      </c>
      <c r="G54" s="208">
        <f>B54-D54</f>
        <v>0</v>
      </c>
    </row>
    <row r="55" spans="1:7" s="146" customFormat="1" ht="20.100000000000001" customHeight="1" thickBot="1">
      <c r="A55" s="196" t="s">
        <v>293</v>
      </c>
      <c r="B55" s="195"/>
      <c r="C55" s="195"/>
    </row>
    <row r="56" spans="1:7" s="146" customFormat="1" ht="20.100000000000001" customHeight="1">
      <c r="A56" s="483" t="s">
        <v>282</v>
      </c>
      <c r="B56" s="483" t="s">
        <v>294</v>
      </c>
      <c r="C56" s="483"/>
      <c r="D56" s="483"/>
      <c r="E56" s="483"/>
      <c r="F56" s="483"/>
      <c r="G56" s="483"/>
    </row>
    <row r="57" spans="1:7" s="146" customFormat="1" ht="20.100000000000001" customHeight="1">
      <c r="A57" s="484"/>
      <c r="B57" s="484" t="s">
        <v>284</v>
      </c>
      <c r="C57" s="484"/>
      <c r="D57" s="484" t="s">
        <v>287</v>
      </c>
      <c r="E57" s="484"/>
      <c r="F57" s="484"/>
      <c r="G57" s="198" t="s">
        <v>291</v>
      </c>
    </row>
    <row r="58" spans="1:7" s="146" customFormat="1" ht="20.100000000000001" customHeight="1" thickBot="1">
      <c r="A58" s="485"/>
      <c r="B58" s="199" t="s">
        <v>285</v>
      </c>
      <c r="C58" s="199" t="s">
        <v>286</v>
      </c>
      <c r="D58" s="199" t="s">
        <v>288</v>
      </c>
      <c r="E58" s="199" t="s">
        <v>289</v>
      </c>
      <c r="F58" s="199" t="s">
        <v>290</v>
      </c>
      <c r="G58" s="199"/>
    </row>
    <row r="59" spans="1:7" s="146" customFormat="1" ht="20.100000000000001" customHeight="1">
      <c r="A59" s="196"/>
      <c r="B59" s="201"/>
      <c r="C59" s="196" t="e">
        <f>B59/B61</f>
        <v>#DIV/0!</v>
      </c>
      <c r="D59" s="210"/>
      <c r="E59" s="197"/>
      <c r="F59" s="207" t="e">
        <f>D59/B59</f>
        <v>#DIV/0!</v>
      </c>
      <c r="G59" s="206">
        <f>B59-D59</f>
        <v>0</v>
      </c>
    </row>
    <row r="60" spans="1:7" s="146" customFormat="1" ht="20.100000000000001" customHeight="1" thickBot="1">
      <c r="A60" s="196"/>
      <c r="B60" s="201"/>
      <c r="C60" s="196" t="e">
        <f>B60/B61</f>
        <v>#DIV/0!</v>
      </c>
      <c r="D60" s="210"/>
      <c r="E60" s="197"/>
      <c r="F60" s="207" t="e">
        <f>D60/B60</f>
        <v>#DIV/0!</v>
      </c>
      <c r="G60" s="206">
        <f>B60-D60</f>
        <v>0</v>
      </c>
    </row>
    <row r="61" spans="1:7" s="146" customFormat="1" ht="20.100000000000001" customHeight="1" thickBot="1">
      <c r="A61" s="200" t="s">
        <v>292</v>
      </c>
      <c r="B61" s="202">
        <f>SUM(B59:B60)</f>
        <v>0</v>
      </c>
      <c r="C61" s="203">
        <v>1</v>
      </c>
      <c r="D61" s="211">
        <f>SUM(D59:D60)</f>
        <v>0</v>
      </c>
      <c r="E61" s="204"/>
      <c r="F61" s="209" t="e">
        <f>D61/B61</f>
        <v>#DIV/0!</v>
      </c>
      <c r="G61" s="208">
        <f>B61-D61</f>
        <v>0</v>
      </c>
    </row>
    <row r="62" spans="1:7" s="146" customFormat="1" ht="20.100000000000001" customHeight="1">
      <c r="A62" s="195"/>
      <c r="B62" s="195"/>
      <c r="C62" s="195"/>
    </row>
    <row r="63" spans="1:7" s="146" customFormat="1" ht="20.100000000000001" customHeight="1">
      <c r="A63" s="146" t="s">
        <v>296</v>
      </c>
      <c r="B63" s="163"/>
      <c r="C63" s="163"/>
    </row>
    <row r="64" spans="1:7" s="146" customFormat="1" ht="20.100000000000001" customHeight="1">
      <c r="A64" s="212" t="s">
        <v>295</v>
      </c>
      <c r="B64" s="163"/>
      <c r="C64" s="163"/>
    </row>
    <row r="65" spans="1:7" s="146" customFormat="1" ht="20.100000000000001" customHeight="1">
      <c r="A65" s="164" t="s">
        <v>201</v>
      </c>
      <c r="B65" s="164"/>
      <c r="C65" s="164"/>
    </row>
    <row r="66" spans="1:7" s="146" customFormat="1" ht="20.100000000000001" customHeight="1" thickBot="1">
      <c r="A66" s="147" t="s">
        <v>248</v>
      </c>
    </row>
    <row r="67" spans="1:7" s="146" customFormat="1" ht="20.100000000000001" customHeight="1" thickBot="1">
      <c r="A67" s="151" t="s">
        <v>27</v>
      </c>
      <c r="B67" s="157" t="s">
        <v>202</v>
      </c>
      <c r="C67" s="157" t="s">
        <v>28</v>
      </c>
      <c r="D67" s="157" t="s">
        <v>203</v>
      </c>
      <c r="E67" s="157" t="s">
        <v>188</v>
      </c>
      <c r="F67" s="157" t="s">
        <v>241</v>
      </c>
      <c r="G67" s="157" t="s">
        <v>204</v>
      </c>
    </row>
    <row r="68" spans="1:7" s="146" customFormat="1" ht="20.100000000000001" customHeight="1">
      <c r="A68" s="165">
        <f>'九、开发成本F2-11'!B9</f>
        <v>0</v>
      </c>
      <c r="B68" s="166">
        <f>'九、开发成本F2-11'!$D$9</f>
        <v>0</v>
      </c>
      <c r="C68" s="166">
        <f>'九、开发成本F2-11'!E9</f>
        <v>0</v>
      </c>
      <c r="D68" s="167">
        <f>'九、开发成本F2-11'!F9</f>
        <v>0</v>
      </c>
      <c r="E68" s="168">
        <f>'九、开发成本F2-11'!J37</f>
        <v>0</v>
      </c>
      <c r="F68" s="168">
        <f>'九、开发成本F2-11'!I37</f>
        <v>0</v>
      </c>
      <c r="G68" s="168">
        <f>'九、开发成本F2-11'!T23</f>
        <v>0</v>
      </c>
    </row>
    <row r="69" spans="1:7" s="146" customFormat="1" ht="20.100000000000001" customHeight="1">
      <c r="A69" s="165">
        <f>'九、开发成本F2-11'!B10</f>
        <v>0</v>
      </c>
      <c r="B69" s="166">
        <f>'九、开发成本F2-11'!$D$9</f>
        <v>0</v>
      </c>
      <c r="C69" s="166">
        <f>'九、开发成本F2-11'!E10</f>
        <v>0</v>
      </c>
      <c r="D69" s="167">
        <f>'九、开发成本F2-11'!F10</f>
        <v>0</v>
      </c>
      <c r="E69" s="168">
        <f>'九、开发成本F2-11'!J38</f>
        <v>0</v>
      </c>
      <c r="F69" s="168">
        <f>'九、开发成本F2-11'!I38</f>
        <v>0</v>
      </c>
      <c r="G69" s="168">
        <f>'九、开发成本F2-11'!T24</f>
        <v>0</v>
      </c>
    </row>
    <row r="70" spans="1:7" s="146" customFormat="1" ht="20.100000000000001" customHeight="1">
      <c r="A70" s="165">
        <f>'九、开发成本F2-11'!B11</f>
        <v>0</v>
      </c>
      <c r="B70" s="166">
        <f>'九、开发成本F2-11'!$D$9</f>
        <v>0</v>
      </c>
      <c r="C70" s="166">
        <f>'九、开发成本F2-11'!E11</f>
        <v>0</v>
      </c>
      <c r="D70" s="167">
        <f>'九、开发成本F2-11'!F11</f>
        <v>0</v>
      </c>
      <c r="E70" s="168">
        <f>'九、开发成本F2-11'!J39</f>
        <v>0</v>
      </c>
      <c r="F70" s="168">
        <f>'九、开发成本F2-11'!I39</f>
        <v>0</v>
      </c>
      <c r="G70" s="168">
        <f>'九、开发成本F2-11'!T25</f>
        <v>0</v>
      </c>
    </row>
    <row r="71" spans="1:7" s="146" customFormat="1" ht="20.100000000000001" customHeight="1">
      <c r="A71" s="165">
        <f>'九、开发成本F2-11'!B12</f>
        <v>0</v>
      </c>
      <c r="B71" s="166">
        <f>'九、开发成本F2-11'!$D$9</f>
        <v>0</v>
      </c>
      <c r="C71" s="166">
        <f>'九、开发成本F2-11'!E12</f>
        <v>0</v>
      </c>
      <c r="D71" s="167">
        <f>'九、开发成本F2-11'!F12</f>
        <v>0</v>
      </c>
      <c r="E71" s="168">
        <f>'九、开发成本F2-11'!J40</f>
        <v>0</v>
      </c>
      <c r="F71" s="168">
        <f>'九、开发成本F2-11'!I40</f>
        <v>0</v>
      </c>
      <c r="G71" s="168">
        <f>'九、开发成本F2-11'!T26</f>
        <v>0</v>
      </c>
    </row>
    <row r="72" spans="1:7" s="146" customFormat="1" ht="20.100000000000001" customHeight="1" thickBot="1">
      <c r="A72" s="165">
        <f>'九、开发成本F2-11'!B13</f>
        <v>0</v>
      </c>
      <c r="B72" s="166">
        <f>'九、开发成本F2-11'!$D$9</f>
        <v>0</v>
      </c>
      <c r="C72" s="166">
        <f>'九、开发成本F2-11'!E13</f>
        <v>0</v>
      </c>
      <c r="D72" s="167">
        <f>'九、开发成本F2-11'!F13</f>
        <v>0</v>
      </c>
      <c r="E72" s="168">
        <f>'九、开发成本F2-11'!J41</f>
        <v>0</v>
      </c>
      <c r="F72" s="168">
        <f>'九、开发成本F2-11'!I41</f>
        <v>0</v>
      </c>
      <c r="G72" s="168">
        <f>'九、开发成本F2-11'!T27</f>
        <v>0</v>
      </c>
    </row>
    <row r="73" spans="1:7" s="146" customFormat="1" ht="20.100000000000001" customHeight="1" thickBot="1">
      <c r="A73" s="151" t="s">
        <v>192</v>
      </c>
      <c r="B73" s="157"/>
      <c r="C73" s="157"/>
      <c r="D73" s="157"/>
      <c r="E73" s="155">
        <f>SUM(E68:E72)</f>
        <v>0</v>
      </c>
      <c r="F73" s="155">
        <f>SUM(F68:F72)</f>
        <v>0</v>
      </c>
      <c r="G73" s="155">
        <f>SUM(G68:G72)</f>
        <v>0</v>
      </c>
    </row>
    <row r="74" spans="1:7" s="146" customFormat="1" ht="20.100000000000001" customHeight="1" thickBot="1">
      <c r="A74" s="147" t="s">
        <v>249</v>
      </c>
    </row>
    <row r="75" spans="1:7" s="146" customFormat="1" ht="20.100000000000001" customHeight="1" thickBot="1">
      <c r="A75" s="151" t="s">
        <v>27</v>
      </c>
      <c r="B75" s="157" t="s">
        <v>205</v>
      </c>
      <c r="C75" s="157" t="s">
        <v>111</v>
      </c>
      <c r="D75" s="157" t="s">
        <v>194</v>
      </c>
      <c r="E75" s="157" t="s">
        <v>195</v>
      </c>
      <c r="F75" s="157" t="s">
        <v>299</v>
      </c>
      <c r="G75" s="157" t="s">
        <v>204</v>
      </c>
    </row>
    <row r="76" spans="1:7" s="146" customFormat="1" ht="20.100000000000001" customHeight="1">
      <c r="A76" s="165">
        <f>'八、开发产品F2-10'!$B$9</f>
        <v>0</v>
      </c>
      <c r="B76" s="166">
        <f>'八、开发产品F2-10'!$E$9</f>
        <v>0</v>
      </c>
      <c r="C76" s="168">
        <f>'八、开发产品F2-10'!H37</f>
        <v>0</v>
      </c>
      <c r="D76" s="169">
        <f>'八、开发产品F2-10'!O9+'八、开发产品F2-10'!V9+'八、开发产品F2-10'!W9-'八、开发产品F2-10'!I9-'八、开发产品F2-10'!J9</f>
        <v>0</v>
      </c>
      <c r="E76" s="168">
        <f t="shared" ref="E76:E81" si="7">C76+D76-F76</f>
        <v>0</v>
      </c>
      <c r="F76" s="168">
        <f>'八、开发产品F2-10'!Q37</f>
        <v>0</v>
      </c>
      <c r="G76" s="168">
        <f>'八、开发产品F2-10'!S23</f>
        <v>0</v>
      </c>
    </row>
    <row r="77" spans="1:7" s="146" customFormat="1" ht="20.100000000000001" customHeight="1">
      <c r="A77" s="165">
        <f>'八、开发产品F2-10'!$B$9</f>
        <v>0</v>
      </c>
      <c r="B77" s="166">
        <f>'八、开发产品F2-10'!$E$9</f>
        <v>0</v>
      </c>
      <c r="C77" s="168">
        <f>'八、开发产品F2-10'!H45</f>
        <v>0</v>
      </c>
      <c r="D77" s="169">
        <f>'八、开发产品F2-10'!O17+'八、开发产品F2-10'!V17+'八、开发产品F2-10'!W17-'八、开发产品F2-10'!I17-'八、开发产品F2-10'!J17</f>
        <v>0</v>
      </c>
      <c r="E77" s="168">
        <f t="shared" si="7"/>
        <v>0</v>
      </c>
      <c r="F77" s="168">
        <f>'八、开发产品F2-10'!Q45</f>
        <v>0</v>
      </c>
      <c r="G77" s="168">
        <f>'八、开发产品F2-10'!S31</f>
        <v>0</v>
      </c>
    </row>
    <row r="78" spans="1:7" s="146" customFormat="1" ht="20.100000000000001" customHeight="1">
      <c r="A78" s="165">
        <f>'八、开发产品F2-10'!$B$9</f>
        <v>0</v>
      </c>
      <c r="B78" s="166">
        <f>'八、开发产品F2-10'!$E$9</f>
        <v>0</v>
      </c>
      <c r="C78" s="168">
        <f>'八、开发产品F2-10'!H46</f>
        <v>0</v>
      </c>
      <c r="D78" s="169">
        <f>'八、开发产品F2-10'!O18+'八、开发产品F2-10'!V18+'八、开发产品F2-10'!W18-'八、开发产品F2-10'!I18-'八、开发产品F2-10'!J18</f>
        <v>0</v>
      </c>
      <c r="E78" s="168">
        <f t="shared" si="7"/>
        <v>0</v>
      </c>
      <c r="F78" s="168">
        <f>'八、开发产品F2-10'!Q46</f>
        <v>0</v>
      </c>
      <c r="G78" s="168">
        <f>'八、开发产品F2-10'!S32</f>
        <v>0</v>
      </c>
    </row>
    <row r="79" spans="1:7" s="146" customFormat="1" ht="20.100000000000001" customHeight="1">
      <c r="A79" s="165">
        <f>'八、开发产品F2-10'!$B$9</f>
        <v>0</v>
      </c>
      <c r="B79" s="166">
        <f>'八、开发产品F2-10'!$E$9</f>
        <v>0</v>
      </c>
      <c r="C79" s="168" t="e">
        <f>'八、开发产品F2-10'!#REF!</f>
        <v>#REF!</v>
      </c>
      <c r="D79" s="169" t="e">
        <f>'八、开发产品F2-10'!#REF!+'八、开发产品F2-10'!#REF!+'八、开发产品F2-10'!#REF!-'八、开发产品F2-10'!#REF!-'八、开发产品F2-10'!#REF!</f>
        <v>#REF!</v>
      </c>
      <c r="E79" s="168" t="e">
        <f t="shared" si="7"/>
        <v>#REF!</v>
      </c>
      <c r="F79" s="168" t="e">
        <f>'八、开发产品F2-10'!#REF!</f>
        <v>#REF!</v>
      </c>
      <c r="G79" s="168" t="e">
        <f>'八、开发产品F2-10'!#REF!</f>
        <v>#REF!</v>
      </c>
    </row>
    <row r="80" spans="1:7" s="146" customFormat="1" ht="20.100000000000001" customHeight="1">
      <c r="A80" s="165">
        <f>'八、开发产品F2-10'!$B$9</f>
        <v>0</v>
      </c>
      <c r="B80" s="166">
        <f>'八、开发产品F2-10'!$E$9</f>
        <v>0</v>
      </c>
      <c r="C80" s="168" t="e">
        <f>'八、开发产品F2-10'!#REF!</f>
        <v>#REF!</v>
      </c>
      <c r="D80" s="169" t="e">
        <f>'八、开发产品F2-10'!#REF!+'八、开发产品F2-10'!#REF!+'八、开发产品F2-10'!#REF!-'八、开发产品F2-10'!#REF!-'八、开发产品F2-10'!#REF!</f>
        <v>#REF!</v>
      </c>
      <c r="E80" s="168" t="e">
        <f t="shared" si="7"/>
        <v>#REF!</v>
      </c>
      <c r="F80" s="168" t="e">
        <f>'八、开发产品F2-10'!#REF!</f>
        <v>#REF!</v>
      </c>
      <c r="G80" s="168" t="e">
        <f>'八、开发产品F2-10'!#REF!</f>
        <v>#REF!</v>
      </c>
    </row>
    <row r="81" spans="1:7" s="146" customFormat="1" ht="20.100000000000001" customHeight="1" thickBot="1">
      <c r="A81" s="165">
        <f>'八、开发产品F2-10'!$B$9</f>
        <v>0</v>
      </c>
      <c r="B81" s="166">
        <f>'八、开发产品F2-10'!$E$9</f>
        <v>0</v>
      </c>
      <c r="C81" s="168" t="e">
        <f>'八、开发产品F2-10'!#REF!</f>
        <v>#REF!</v>
      </c>
      <c r="D81" s="169" t="e">
        <f>'八、开发产品F2-10'!#REF!+'八、开发产品F2-10'!#REF!+'八、开发产品F2-10'!#REF!-'八、开发产品F2-10'!#REF!-'八、开发产品F2-10'!#REF!</f>
        <v>#REF!</v>
      </c>
      <c r="E81" s="168" t="e">
        <f t="shared" si="7"/>
        <v>#REF!</v>
      </c>
      <c r="F81" s="168" t="e">
        <f>'八、开发产品F2-10'!#REF!</f>
        <v>#REF!</v>
      </c>
      <c r="G81" s="168" t="e">
        <f>'八、开发产品F2-10'!#REF!</f>
        <v>#REF!</v>
      </c>
    </row>
    <row r="82" spans="1:7" s="146" customFormat="1" ht="20.100000000000001" customHeight="1" thickBot="1">
      <c r="A82" s="151" t="s">
        <v>192</v>
      </c>
      <c r="B82" s="157"/>
      <c r="C82" s="155" t="e">
        <f>SUM(C76:C81)</f>
        <v>#REF!</v>
      </c>
      <c r="D82" s="155" t="e">
        <f>SUM(D76:D81)</f>
        <v>#REF!</v>
      </c>
      <c r="E82" s="155" t="e">
        <f>SUM(E76:E81)</f>
        <v>#REF!</v>
      </c>
      <c r="F82" s="155" t="e">
        <f>SUM(F76:F81)</f>
        <v>#REF!</v>
      </c>
      <c r="G82" s="155" t="e">
        <f>SUM(G76:G81)</f>
        <v>#REF!</v>
      </c>
    </row>
    <row r="83" spans="1:7" s="146" customFormat="1" ht="20.100000000000001" customHeight="1" thickBot="1">
      <c r="A83" s="147" t="s">
        <v>250</v>
      </c>
    </row>
    <row r="84" spans="1:7" s="146" customFormat="1" ht="20.100000000000001" customHeight="1" thickBot="1">
      <c r="A84" s="170" t="s">
        <v>27</v>
      </c>
      <c r="B84" s="157" t="s">
        <v>300</v>
      </c>
      <c r="C84" s="157" t="s">
        <v>194</v>
      </c>
      <c r="D84" s="157" t="s">
        <v>195</v>
      </c>
      <c r="E84" s="157" t="s">
        <v>297</v>
      </c>
    </row>
    <row r="85" spans="1:7" s="146" customFormat="1" ht="20.100000000000001" customHeight="1">
      <c r="A85" s="171"/>
      <c r="B85" s="172"/>
      <c r="C85" s="172"/>
      <c r="D85" s="172"/>
      <c r="E85" s="172"/>
    </row>
    <row r="86" spans="1:7" s="146" customFormat="1" ht="20.100000000000001" customHeight="1" thickBot="1">
      <c r="A86" s="173"/>
      <c r="B86" s="174"/>
      <c r="C86" s="174"/>
      <c r="D86" s="174"/>
      <c r="E86" s="174"/>
    </row>
    <row r="87" spans="1:7" s="146" customFormat="1" ht="20.100000000000001" customHeight="1" thickBot="1">
      <c r="A87" s="175" t="s">
        <v>192</v>
      </c>
      <c r="B87" s="176"/>
      <c r="C87" s="176"/>
      <c r="D87" s="176"/>
      <c r="E87" s="176"/>
    </row>
    <row r="88" spans="1:7" s="146" customFormat="1" ht="20.100000000000001" customHeight="1">
      <c r="A88" s="177" t="s">
        <v>206</v>
      </c>
      <c r="B88" s="177"/>
      <c r="C88" s="177"/>
      <c r="D88" s="177"/>
      <c r="E88" s="177"/>
    </row>
  </sheetData>
  <mergeCells count="19">
    <mergeCell ref="A20:G20"/>
    <mergeCell ref="A1:G1"/>
    <mergeCell ref="A2:G2"/>
    <mergeCell ref="A8:A9"/>
    <mergeCell ref="B8:D8"/>
    <mergeCell ref="E8:G8"/>
    <mergeCell ref="A22:A23"/>
    <mergeCell ref="B22:B23"/>
    <mergeCell ref="C22:D22"/>
    <mergeCell ref="E22:F22"/>
    <mergeCell ref="G22:G23"/>
    <mergeCell ref="A56:A58"/>
    <mergeCell ref="B56:G56"/>
    <mergeCell ref="B57:C57"/>
    <mergeCell ref="D57:F57"/>
    <mergeCell ref="B49:G49"/>
    <mergeCell ref="B50:C50"/>
    <mergeCell ref="D50:F50"/>
    <mergeCell ref="A49:A51"/>
  </mergeCells>
  <phoneticPr fontId="17" type="noConversion"/>
  <printOptions horizontalCentered="1"/>
  <pageMargins left="0.94488188976377963" right="0.27559055118110237" top="0.78740157480314965" bottom="0.51181102362204722" header="0.51181102362204722" footer="0.35433070866141736"/>
  <pageSetup paperSize="9" scale="71" fitToHeight="0" orientation="portrait" blackAndWhite="1" cellComments="atEnd" r:id="rId1"/>
  <headerFooter alignWithMargins="0"/>
  <rowBreaks count="1" manualBreakCount="1">
    <brk id="73"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H47"/>
  <sheetViews>
    <sheetView view="pageBreakPreview" zoomScaleNormal="120" zoomScaleSheetLayoutView="100" workbookViewId="0">
      <selection sqref="A1:H1"/>
    </sheetView>
  </sheetViews>
  <sheetFormatPr defaultColWidth="9" defaultRowHeight="13.8"/>
  <cols>
    <col min="1" max="1" width="35.5" style="123" customWidth="1"/>
    <col min="2" max="4" width="12.69921875" style="123" customWidth="1"/>
    <col min="5" max="7" width="13.796875" style="123" customWidth="1"/>
    <col min="8" max="8" width="12" style="123" customWidth="1"/>
    <col min="9" max="16384" width="9" style="123"/>
  </cols>
  <sheetData>
    <row r="1" spans="1:8" ht="20.100000000000001" customHeight="1">
      <c r="A1" s="492" t="s">
        <v>137</v>
      </c>
      <c r="B1" s="492"/>
      <c r="C1" s="492"/>
      <c r="D1" s="492"/>
      <c r="E1" s="492"/>
      <c r="F1" s="492"/>
      <c r="G1" s="492"/>
      <c r="H1" s="492"/>
    </row>
    <row r="2" spans="1:8" s="124" customFormat="1" ht="25.05" customHeight="1">
      <c r="A2" s="492" t="s">
        <v>207</v>
      </c>
      <c r="B2" s="492"/>
      <c r="C2" s="492"/>
      <c r="D2" s="492"/>
      <c r="E2" s="492"/>
      <c r="F2" s="492"/>
      <c r="G2" s="492"/>
      <c r="H2" s="492"/>
    </row>
    <row r="3" spans="1:8" ht="20.100000000000001" customHeight="1">
      <c r="A3" s="37" t="str">
        <f>底稿目录!A2</f>
        <v>被审计单位：</v>
      </c>
      <c r="B3" s="37" t="str">
        <f>底稿目录!A4</f>
        <v>编制人：</v>
      </c>
      <c r="E3" s="37" t="str">
        <f>底稿目录!A5</f>
        <v>编制日期：</v>
      </c>
      <c r="F3" s="125"/>
      <c r="H3" s="43" t="s">
        <v>749</v>
      </c>
    </row>
    <row r="4" spans="1:8" ht="20.100000000000001" customHeight="1">
      <c r="A4" s="37" t="str">
        <f>底稿目录!A3</f>
        <v>截止日：202X年12月21日</v>
      </c>
      <c r="B4" s="43" t="str">
        <f>底稿目录!A6</f>
        <v>复核人：</v>
      </c>
      <c r="E4" s="43" t="str">
        <f>底稿目录!A7</f>
        <v>复核日期：</v>
      </c>
      <c r="F4" s="125"/>
      <c r="H4" s="37" t="s">
        <v>61</v>
      </c>
    </row>
    <row r="5" spans="1:8" s="124" customFormat="1" ht="20.100000000000001" customHeight="1">
      <c r="A5" s="179" t="s">
        <v>184</v>
      </c>
      <c r="B5" s="126"/>
      <c r="C5" s="126"/>
      <c r="D5" s="126"/>
      <c r="E5" s="126"/>
      <c r="F5" s="126"/>
    </row>
    <row r="6" spans="1:8" s="180" customFormat="1" ht="20.100000000000001" customHeight="1" thickBot="1">
      <c r="A6" s="181" t="s">
        <v>186</v>
      </c>
    </row>
    <row r="7" spans="1:8" s="180" customFormat="1" ht="20.100000000000001" customHeight="1">
      <c r="A7" s="495" t="s">
        <v>263</v>
      </c>
      <c r="B7" s="495" t="s">
        <v>188</v>
      </c>
      <c r="C7" s="495"/>
      <c r="D7" s="495"/>
      <c r="E7" s="495" t="s">
        <v>262</v>
      </c>
      <c r="F7" s="495"/>
      <c r="G7" s="495"/>
    </row>
    <row r="8" spans="1:8" s="180" customFormat="1" ht="26.4" customHeight="1" thickBot="1">
      <c r="A8" s="496"/>
      <c r="B8" s="182" t="s">
        <v>190</v>
      </c>
      <c r="C8" s="182" t="s">
        <v>260</v>
      </c>
      <c r="D8" s="182" t="s">
        <v>191</v>
      </c>
      <c r="E8" s="182" t="s">
        <v>190</v>
      </c>
      <c r="F8" s="182" t="s">
        <v>261</v>
      </c>
      <c r="G8" s="182" t="s">
        <v>191</v>
      </c>
    </row>
    <row r="9" spans="1:8" s="180" customFormat="1" ht="20.100000000000001" customHeight="1">
      <c r="A9" s="183" t="str">
        <f>'存货审定表F2-1'!A94</f>
        <v>原材料</v>
      </c>
      <c r="B9" s="409">
        <f>'存货审定表F2-1'!E36+'存货审定表F2-1'!E37</f>
        <v>0</v>
      </c>
      <c r="C9" s="409">
        <f>'存货审定表F2-1'!E79+'存货审定表F2-1'!E80</f>
        <v>0</v>
      </c>
      <c r="D9" s="409">
        <f t="shared" ref="D9:D19" si="0">B9-C9</f>
        <v>0</v>
      </c>
      <c r="E9" s="409">
        <f>'存货审定表F2-1'!B36+'存货审定表F2-1'!B37</f>
        <v>0</v>
      </c>
      <c r="F9" s="409">
        <f>'存货审定表F2-1'!B79+'存货审定表F2-1'!B80</f>
        <v>0</v>
      </c>
      <c r="G9" s="409">
        <f t="shared" ref="G9:G19" si="1">E9-F9</f>
        <v>0</v>
      </c>
    </row>
    <row r="10" spans="1:8" s="180" customFormat="1" ht="20.100000000000001" customHeight="1">
      <c r="A10" s="183" t="s">
        <v>255</v>
      </c>
      <c r="B10" s="409">
        <f>'存货审定表F2-1'!E39+'存货审定表F2-1'!E40+'存货审定表F2-1'!E45</f>
        <v>0</v>
      </c>
      <c r="C10" s="409">
        <f>'存货审定表F2-1'!E82+'存货审定表F2-1'!E83+'存货审定表F2-1'!E88</f>
        <v>0</v>
      </c>
      <c r="D10" s="409">
        <f t="shared" si="0"/>
        <v>0</v>
      </c>
      <c r="E10" s="409">
        <f>'存货审定表F2-1'!B39+'存货审定表F2-1'!B40+'存货审定表F2-1'!B45</f>
        <v>0</v>
      </c>
      <c r="F10" s="409">
        <f>'存货审定表F2-1'!B82+'存货审定表F2-1'!B83+'存货审定表F2-1'!B88</f>
        <v>0</v>
      </c>
      <c r="G10" s="409">
        <f t="shared" si="1"/>
        <v>0</v>
      </c>
    </row>
    <row r="11" spans="1:8" s="180" customFormat="1" ht="20.100000000000001" customHeight="1">
      <c r="A11" s="184" t="s">
        <v>254</v>
      </c>
      <c r="B11" s="409">
        <f>'存货审定表F2-1'!E45</f>
        <v>0</v>
      </c>
      <c r="C11" s="409">
        <f>'存货审定表F2-1'!E88</f>
        <v>0</v>
      </c>
      <c r="D11" s="409">
        <f t="shared" si="0"/>
        <v>0</v>
      </c>
      <c r="E11" s="409">
        <f>'存货审定表F2-1'!B45</f>
        <v>0</v>
      </c>
      <c r="F11" s="409">
        <f>'存货审定表F2-1'!B88</f>
        <v>0</v>
      </c>
      <c r="G11" s="409">
        <f t="shared" si="1"/>
        <v>0</v>
      </c>
    </row>
    <row r="12" spans="1:8" s="180" customFormat="1" ht="20.100000000000001" customHeight="1">
      <c r="A12" s="184" t="str">
        <f>'存货审定表F2-1'!A99</f>
        <v>委托加工物资</v>
      </c>
      <c r="B12" s="409">
        <f>'存货审定表F2-1'!E41</f>
        <v>0</v>
      </c>
      <c r="C12" s="409">
        <f>'存货审定表F2-1'!E84</f>
        <v>0</v>
      </c>
      <c r="D12" s="409">
        <f t="shared" si="0"/>
        <v>0</v>
      </c>
      <c r="E12" s="409">
        <f>'存货审定表F2-1'!B41</f>
        <v>0</v>
      </c>
      <c r="F12" s="409">
        <f>'存货审定表F2-1'!B84</f>
        <v>0</v>
      </c>
      <c r="G12" s="409">
        <f t="shared" si="1"/>
        <v>0</v>
      </c>
    </row>
    <row r="13" spans="1:8" s="180" customFormat="1" ht="20.100000000000001" customHeight="1">
      <c r="A13" s="184" t="s">
        <v>252</v>
      </c>
      <c r="B13" s="409">
        <f>'存货审定表F2-1'!E42+'存货审定表F2-1'!E44</f>
        <v>0</v>
      </c>
      <c r="C13" s="409">
        <f>'存货审定表F2-1'!E85+'存货审定表F2-1'!E87</f>
        <v>0</v>
      </c>
      <c r="D13" s="409">
        <f t="shared" si="0"/>
        <v>0</v>
      </c>
      <c r="E13" s="409">
        <f>'存货审定表F2-1'!B42+'存货审定表F2-1'!B44</f>
        <v>0</v>
      </c>
      <c r="F13" s="409">
        <f>'存货审定表F2-1'!B85+'存货审定表F2-1'!B87</f>
        <v>0</v>
      </c>
      <c r="G13" s="409">
        <f t="shared" si="1"/>
        <v>0</v>
      </c>
    </row>
    <row r="14" spans="1:8" s="180" customFormat="1" ht="20.100000000000001" customHeight="1">
      <c r="A14" s="184" t="s">
        <v>253</v>
      </c>
      <c r="B14" s="409">
        <f>'存货审定表F2-1'!E44</f>
        <v>0</v>
      </c>
      <c r="C14" s="409">
        <f>'存货审定表F2-1'!E87</f>
        <v>0</v>
      </c>
      <c r="D14" s="409">
        <f t="shared" si="0"/>
        <v>0</v>
      </c>
      <c r="E14" s="409">
        <f>'存货审定表F2-1'!B44</f>
        <v>0</v>
      </c>
      <c r="F14" s="409">
        <f>'存货审定表F2-1'!B87</f>
        <v>0</v>
      </c>
      <c r="G14" s="409">
        <f t="shared" si="1"/>
        <v>0</v>
      </c>
    </row>
    <row r="15" spans="1:8" s="180" customFormat="1" ht="20.100000000000001" customHeight="1">
      <c r="A15" s="184" t="s">
        <v>256</v>
      </c>
      <c r="B15" s="409">
        <f>'存货审定表F2-1'!E38</f>
        <v>0</v>
      </c>
      <c r="C15" s="409">
        <f>'存货审定表F2-1'!E81</f>
        <v>0</v>
      </c>
      <c r="D15" s="409">
        <f t="shared" si="0"/>
        <v>0</v>
      </c>
      <c r="E15" s="409">
        <f>'存货审定表F2-1'!B38</f>
        <v>0</v>
      </c>
      <c r="F15" s="409">
        <f>'存货审定表F2-1'!B81</f>
        <v>0</v>
      </c>
      <c r="G15" s="409">
        <f t="shared" si="1"/>
        <v>0</v>
      </c>
    </row>
    <row r="16" spans="1:8" s="180" customFormat="1" ht="20.100000000000001" customHeight="1">
      <c r="A16" s="184" t="str">
        <f>'存货审定表F2-1'!A101</f>
        <v>发出商品</v>
      </c>
      <c r="B16" s="409">
        <f>'存货审定表F2-1'!E43</f>
        <v>0</v>
      </c>
      <c r="C16" s="409">
        <f>'存货审定表F2-1'!E86</f>
        <v>0</v>
      </c>
      <c r="D16" s="409">
        <f t="shared" si="0"/>
        <v>0</v>
      </c>
      <c r="E16" s="409">
        <f>'存货审定表F2-1'!B43</f>
        <v>0</v>
      </c>
      <c r="F16" s="409">
        <f>'存货审定表F2-1'!B86</f>
        <v>0</v>
      </c>
      <c r="G16" s="409">
        <f t="shared" si="1"/>
        <v>0</v>
      </c>
    </row>
    <row r="17" spans="1:8" s="180" customFormat="1" ht="20.100000000000001" customHeight="1">
      <c r="A17" s="184" t="str">
        <f>'存货审定表F2-1'!A105</f>
        <v>消耗性生物资产</v>
      </c>
      <c r="B17" s="409">
        <f>'存货审定表F2-1'!E47</f>
        <v>0</v>
      </c>
      <c r="C17" s="409">
        <f>'存货审定表F2-1'!E90</f>
        <v>0</v>
      </c>
      <c r="D17" s="409">
        <f t="shared" si="0"/>
        <v>0</v>
      </c>
      <c r="E17" s="409">
        <f>'存货审定表F2-1'!B47</f>
        <v>0</v>
      </c>
      <c r="F17" s="409">
        <f>'存货审定表F2-1'!B90</f>
        <v>0</v>
      </c>
      <c r="G17" s="409">
        <f t="shared" si="1"/>
        <v>0</v>
      </c>
    </row>
    <row r="18" spans="1:8" s="180" customFormat="1" ht="20.100000000000001" customHeight="1">
      <c r="A18" s="184" t="s">
        <v>257</v>
      </c>
      <c r="B18" s="409">
        <f>'存货审定表F2-1'!E46</f>
        <v>0</v>
      </c>
      <c r="C18" s="409">
        <f>'存货审定表F2-1'!E89</f>
        <v>0</v>
      </c>
      <c r="D18" s="409">
        <f t="shared" si="0"/>
        <v>0</v>
      </c>
      <c r="E18" s="409">
        <f>'存货审定表F2-1'!B46</f>
        <v>0</v>
      </c>
      <c r="F18" s="409">
        <f>'存货审定表F2-1'!B89</f>
        <v>0</v>
      </c>
      <c r="G18" s="409">
        <f t="shared" si="1"/>
        <v>0</v>
      </c>
    </row>
    <row r="19" spans="1:8" s="180" customFormat="1" ht="20.100000000000001" customHeight="1">
      <c r="A19" s="184" t="s">
        <v>277</v>
      </c>
      <c r="B19" s="409">
        <f>'存货审定表F2-1'!E48</f>
        <v>0</v>
      </c>
      <c r="C19" s="409">
        <f>'存货审定表F2-1'!E91</f>
        <v>0</v>
      </c>
      <c r="D19" s="409">
        <f t="shared" si="0"/>
        <v>0</v>
      </c>
      <c r="E19" s="409">
        <f>'存货审定表F2-1'!B48</f>
        <v>0</v>
      </c>
      <c r="F19" s="409">
        <f>'存货审定表F2-1'!B91</f>
        <v>0</v>
      </c>
      <c r="G19" s="409">
        <f t="shared" si="1"/>
        <v>0</v>
      </c>
    </row>
    <row r="20" spans="1:8" s="180" customFormat="1" ht="20.100000000000001" customHeight="1">
      <c r="A20" s="184" t="s">
        <v>258</v>
      </c>
      <c r="B20" s="409"/>
      <c r="C20" s="409"/>
      <c r="D20" s="409"/>
      <c r="E20" s="409"/>
      <c r="F20" s="409"/>
      <c r="G20" s="409"/>
    </row>
    <row r="21" spans="1:8" s="180" customFormat="1" ht="26.4" thickBot="1">
      <c r="A21" s="183" t="s">
        <v>259</v>
      </c>
      <c r="B21" s="409"/>
      <c r="C21" s="409"/>
      <c r="D21" s="409"/>
      <c r="E21" s="409"/>
      <c r="F21" s="409"/>
      <c r="G21" s="409"/>
    </row>
    <row r="22" spans="1:8" s="180" customFormat="1" ht="20.100000000000001" customHeight="1" thickBot="1">
      <c r="A22" s="185" t="s">
        <v>192</v>
      </c>
      <c r="B22" s="410">
        <f>SUM(B9:B21)-B11-B14-B21</f>
        <v>0</v>
      </c>
      <c r="C22" s="410">
        <f>SUM(C9:C21)-C11-C14-C21</f>
        <v>0</v>
      </c>
      <c r="D22" s="410">
        <f t="shared" ref="D22:G22" si="2">SUM(D9:D21)-D11-D14-D21</f>
        <v>0</v>
      </c>
      <c r="E22" s="410">
        <f t="shared" si="2"/>
        <v>0</v>
      </c>
      <c r="F22" s="410">
        <f t="shared" si="2"/>
        <v>0</v>
      </c>
      <c r="G22" s="410">
        <f t="shared" si="2"/>
        <v>0</v>
      </c>
    </row>
    <row r="23" spans="1:8" s="180" customFormat="1" ht="20.100000000000001" customHeight="1">
      <c r="A23" s="186" t="s">
        <v>208</v>
      </c>
      <c r="B23" s="186"/>
      <c r="C23" s="186"/>
      <c r="D23" s="186"/>
      <c r="E23" s="186"/>
      <c r="F23" s="186"/>
      <c r="G23" s="186"/>
    </row>
    <row r="24" spans="1:8" s="180" customFormat="1" ht="20.100000000000001" customHeight="1" thickBot="1">
      <c r="A24" s="187" t="s">
        <v>244</v>
      </c>
    </row>
    <row r="25" spans="1:8" s="180" customFormat="1" ht="20.100000000000001" customHeight="1" thickBot="1">
      <c r="A25" s="486" t="s">
        <v>187</v>
      </c>
      <c r="B25" s="497" t="s">
        <v>189</v>
      </c>
      <c r="C25" s="499" t="s">
        <v>194</v>
      </c>
      <c r="D25" s="499"/>
      <c r="E25" s="499" t="s">
        <v>195</v>
      </c>
      <c r="F25" s="499"/>
      <c r="G25" s="499"/>
      <c r="H25" s="497" t="s">
        <v>188</v>
      </c>
    </row>
    <row r="26" spans="1:8" s="180" customFormat="1" ht="20.100000000000001" customHeight="1" thickBot="1">
      <c r="A26" s="487"/>
      <c r="B26" s="498"/>
      <c r="C26" s="188" t="s">
        <v>196</v>
      </c>
      <c r="D26" s="189" t="s">
        <v>197</v>
      </c>
      <c r="E26" s="189" t="s">
        <v>209</v>
      </c>
      <c r="F26" s="188" t="s">
        <v>210</v>
      </c>
      <c r="G26" s="188" t="s">
        <v>197</v>
      </c>
      <c r="H26" s="498"/>
    </row>
    <row r="27" spans="1:8" s="180" customFormat="1" ht="20.100000000000001" customHeight="1">
      <c r="A27" s="183" t="str">
        <f t="shared" ref="A27:A36" si="3">A9</f>
        <v>原材料</v>
      </c>
      <c r="B27" s="411">
        <f>'明细汇总表F2-2'!I35+'明细汇总表F2-2'!I36</f>
        <v>0</v>
      </c>
      <c r="C27" s="411">
        <f>'明细汇总表F2-2'!K35+'明细汇总表F2-2'!K36</f>
        <v>0</v>
      </c>
      <c r="D27" s="411">
        <f>'明细汇总表F2-2'!L35+'明细汇总表F2-2'!L36</f>
        <v>0</v>
      </c>
      <c r="E27" s="412">
        <f>'明细汇总表F2-2'!N35+'明细汇总表F2-2'!N36</f>
        <v>0</v>
      </c>
      <c r="F27" s="411">
        <f>'明细汇总表F2-2'!O35+'明细汇总表F2-2'!O36</f>
        <v>0</v>
      </c>
      <c r="G27" s="411">
        <f>'明细汇总表F2-2'!P35+'明细汇总表F2-2'!P36</f>
        <v>0</v>
      </c>
      <c r="H27" s="411">
        <f t="shared" ref="H27:H35" si="4">B27+C27+D27-E27-F27-G27</f>
        <v>0</v>
      </c>
    </row>
    <row r="28" spans="1:8" s="180" customFormat="1" ht="20.100000000000001" customHeight="1">
      <c r="A28" s="183" t="str">
        <f t="shared" si="3"/>
        <v>自制半成品及在产品</v>
      </c>
      <c r="B28" s="411">
        <f>'明细汇总表F2-2'!I38+'明细汇总表F2-2'!I39+'明细汇总表F2-2'!I44</f>
        <v>0</v>
      </c>
      <c r="C28" s="411">
        <f>'明细汇总表F2-2'!K38+'明细汇总表F2-2'!K39+'明细汇总表F2-2'!K44</f>
        <v>0</v>
      </c>
      <c r="D28" s="411">
        <f>'明细汇总表F2-2'!L38+'明细汇总表F2-2'!L39+'明细汇总表F2-2'!L44</f>
        <v>0</v>
      </c>
      <c r="E28" s="413">
        <f>'明细汇总表F2-2'!N38+'明细汇总表F2-2'!N39+'明细汇总表F2-2'!N44</f>
        <v>0</v>
      </c>
      <c r="F28" s="411">
        <f>'明细汇总表F2-2'!O38+'明细汇总表F2-2'!O39+'明细汇总表F2-2'!O44</f>
        <v>0</v>
      </c>
      <c r="G28" s="411">
        <f>'明细汇总表F2-2'!P38+'明细汇总表F2-2'!P39+'明细汇总表F2-2'!P44</f>
        <v>0</v>
      </c>
      <c r="H28" s="411">
        <f t="shared" si="4"/>
        <v>0</v>
      </c>
    </row>
    <row r="29" spans="1:8" s="180" customFormat="1" ht="20.100000000000001" customHeight="1">
      <c r="A29" s="183" t="str">
        <f t="shared" si="3"/>
        <v xml:space="preserve">    其中：开发成本</v>
      </c>
      <c r="B29" s="411">
        <f>'明细汇总表F2-2'!I44</f>
        <v>0</v>
      </c>
      <c r="C29" s="411">
        <f>'明细汇总表F2-2'!K44</f>
        <v>0</v>
      </c>
      <c r="D29" s="411">
        <f>'明细汇总表F2-2'!L44</f>
        <v>0</v>
      </c>
      <c r="E29" s="413">
        <f>'明细汇总表F2-2'!N44</f>
        <v>0</v>
      </c>
      <c r="F29" s="411">
        <f>'明细汇总表F2-2'!O44</f>
        <v>0</v>
      </c>
      <c r="G29" s="411">
        <f>'明细汇总表F2-2'!P44</f>
        <v>0</v>
      </c>
      <c r="H29" s="411">
        <f t="shared" si="4"/>
        <v>0</v>
      </c>
    </row>
    <row r="30" spans="1:8" s="180" customFormat="1" ht="20.100000000000001" customHeight="1">
      <c r="A30" s="184" t="str">
        <f t="shared" si="3"/>
        <v>委托加工物资</v>
      </c>
      <c r="B30" s="411">
        <f>'明细汇总表F2-2'!I40</f>
        <v>0</v>
      </c>
      <c r="C30" s="411">
        <f>'明细汇总表F2-2'!K40</f>
        <v>0</v>
      </c>
      <c r="D30" s="411">
        <f>'明细汇总表F2-2'!L40</f>
        <v>0</v>
      </c>
      <c r="E30" s="413">
        <f>'明细汇总表F2-2'!N40</f>
        <v>0</v>
      </c>
      <c r="F30" s="411">
        <f>'明细汇总表F2-2'!O40</f>
        <v>0</v>
      </c>
      <c r="G30" s="411">
        <f>'明细汇总表F2-2'!P40</f>
        <v>0</v>
      </c>
      <c r="H30" s="411">
        <f t="shared" si="4"/>
        <v>0</v>
      </c>
    </row>
    <row r="31" spans="1:8" s="180" customFormat="1" ht="20.100000000000001" customHeight="1">
      <c r="A31" s="184" t="str">
        <f t="shared" si="3"/>
        <v>库存商品（产成品）</v>
      </c>
      <c r="B31" s="411">
        <f>'明细汇总表F2-2'!I41</f>
        <v>0</v>
      </c>
      <c r="C31" s="411">
        <f>'明细汇总表F2-2'!K41</f>
        <v>0</v>
      </c>
      <c r="D31" s="411">
        <f>'明细汇总表F2-2'!L41</f>
        <v>0</v>
      </c>
      <c r="E31" s="413">
        <f>'明细汇总表F2-2'!N41</f>
        <v>0</v>
      </c>
      <c r="F31" s="411">
        <f>'明细汇总表F2-2'!O41</f>
        <v>0</v>
      </c>
      <c r="G31" s="411">
        <f>'明细汇总表F2-2'!P41</f>
        <v>0</v>
      </c>
      <c r="H31" s="411">
        <f>B31+C31+D31-E31-F31-G31</f>
        <v>0</v>
      </c>
    </row>
    <row r="32" spans="1:8" s="180" customFormat="1" ht="20.100000000000001" customHeight="1">
      <c r="A32" s="184" t="str">
        <f t="shared" si="3"/>
        <v xml:space="preserve">    其中：开发产品</v>
      </c>
      <c r="B32" s="411">
        <f>'明细汇总表F2-2'!I43</f>
        <v>0</v>
      </c>
      <c r="C32" s="411">
        <f>'明细汇总表F2-2'!K43</f>
        <v>0</v>
      </c>
      <c r="D32" s="411">
        <f>'明细汇总表F2-2'!L43</f>
        <v>0</v>
      </c>
      <c r="E32" s="413">
        <f>'明细汇总表F2-2'!N43</f>
        <v>0</v>
      </c>
      <c r="F32" s="411">
        <f>'明细汇总表F2-2'!O43</f>
        <v>0</v>
      </c>
      <c r="G32" s="411">
        <f>'明细汇总表F2-2'!P43</f>
        <v>0</v>
      </c>
      <c r="H32" s="411">
        <f t="shared" si="4"/>
        <v>0</v>
      </c>
    </row>
    <row r="33" spans="1:8" s="180" customFormat="1" ht="20.100000000000001" customHeight="1">
      <c r="A33" s="184" t="str">
        <f t="shared" si="3"/>
        <v>周转材料（包装物、低值易耗品等）</v>
      </c>
      <c r="B33" s="411">
        <f>'明细汇总表F2-2'!I37</f>
        <v>0</v>
      </c>
      <c r="C33" s="411">
        <f>'明细汇总表F2-2'!K37</f>
        <v>0</v>
      </c>
      <c r="D33" s="411">
        <f>'明细汇总表F2-2'!L37</f>
        <v>0</v>
      </c>
      <c r="E33" s="413">
        <f>'明细汇总表F2-2'!N37</f>
        <v>0</v>
      </c>
      <c r="F33" s="411">
        <f>'明细汇总表F2-2'!O37</f>
        <v>0</v>
      </c>
      <c r="G33" s="411">
        <f>'明细汇总表F2-2'!P37</f>
        <v>0</v>
      </c>
      <c r="H33" s="411">
        <f t="shared" si="4"/>
        <v>0</v>
      </c>
    </row>
    <row r="34" spans="1:8" s="180" customFormat="1" ht="20.100000000000001" customHeight="1">
      <c r="A34" s="184" t="str">
        <f t="shared" si="3"/>
        <v>发出商品</v>
      </c>
      <c r="B34" s="411">
        <f>'明细汇总表F2-2'!I42</f>
        <v>0</v>
      </c>
      <c r="C34" s="411">
        <f>'明细汇总表F2-2'!K42</f>
        <v>0</v>
      </c>
      <c r="D34" s="411">
        <f>'明细汇总表F2-2'!L42</f>
        <v>0</v>
      </c>
      <c r="E34" s="413">
        <f>'明细汇总表F2-2'!N42</f>
        <v>0</v>
      </c>
      <c r="F34" s="411">
        <f>'明细汇总表F2-2'!O42</f>
        <v>0</v>
      </c>
      <c r="G34" s="411">
        <f>'明细汇总表F2-2'!P42</f>
        <v>0</v>
      </c>
      <c r="H34" s="411">
        <f t="shared" si="4"/>
        <v>0</v>
      </c>
    </row>
    <row r="35" spans="1:8" s="180" customFormat="1" ht="20.100000000000001" customHeight="1">
      <c r="A35" s="184" t="str">
        <f t="shared" si="3"/>
        <v>消耗性生物资产</v>
      </c>
      <c r="B35" s="411">
        <f>'明细汇总表F2-2'!I46</f>
        <v>0</v>
      </c>
      <c r="C35" s="411">
        <f>'明细汇总表F2-2'!K46</f>
        <v>0</v>
      </c>
      <c r="D35" s="411">
        <f>'明细汇总表F2-2'!L46</f>
        <v>0</v>
      </c>
      <c r="E35" s="413">
        <f>'明细汇总表F2-2'!N46</f>
        <v>0</v>
      </c>
      <c r="F35" s="411">
        <f>'明细汇总表F2-2'!O46</f>
        <v>0</v>
      </c>
      <c r="G35" s="411">
        <f>'明细汇总表F2-2'!P46</f>
        <v>0</v>
      </c>
      <c r="H35" s="411">
        <f t="shared" si="4"/>
        <v>0</v>
      </c>
    </row>
    <row r="36" spans="1:8" s="180" customFormat="1" ht="20.100000000000001" customHeight="1">
      <c r="A36" s="183" t="str">
        <f t="shared" si="3"/>
        <v>合同履约成本</v>
      </c>
      <c r="B36" s="411">
        <f>'明细汇总表F2-2'!I45</f>
        <v>0</v>
      </c>
      <c r="C36" s="411">
        <f>'明细汇总表F2-2'!K45</f>
        <v>0</v>
      </c>
      <c r="D36" s="411">
        <f>'明细汇总表F2-2'!L45</f>
        <v>0</v>
      </c>
      <c r="E36" s="413">
        <f>'明细汇总表F2-2'!N45</f>
        <v>0</v>
      </c>
      <c r="F36" s="411">
        <f>'明细汇总表F2-2'!O45</f>
        <v>0</v>
      </c>
      <c r="G36" s="411">
        <f>'明细汇总表F2-2'!P45</f>
        <v>0</v>
      </c>
      <c r="H36" s="411">
        <f t="shared" ref="H36:H37" si="5">B36+C36+D36-E36-F36-G36</f>
        <v>0</v>
      </c>
    </row>
    <row r="37" spans="1:8" s="180" customFormat="1" ht="20.100000000000001" customHeight="1">
      <c r="A37" s="183" t="s">
        <v>278</v>
      </c>
      <c r="B37" s="411">
        <f>'明细汇总表F2-2'!I47</f>
        <v>0</v>
      </c>
      <c r="C37" s="411">
        <f>'明细汇总表F2-2'!K47</f>
        <v>0</v>
      </c>
      <c r="D37" s="411">
        <f>'明细汇总表F2-2'!L47</f>
        <v>0</v>
      </c>
      <c r="E37" s="413">
        <f>'明细汇总表F2-2'!N47</f>
        <v>0</v>
      </c>
      <c r="F37" s="411">
        <f>'明细汇总表F2-2'!O47</f>
        <v>0</v>
      </c>
      <c r="G37" s="411">
        <f>'明细汇总表F2-2'!P47</f>
        <v>0</v>
      </c>
      <c r="H37" s="411">
        <f t="shared" si="5"/>
        <v>0</v>
      </c>
    </row>
    <row r="38" spans="1:8" s="180" customFormat="1" ht="20.100000000000001" customHeight="1">
      <c r="A38" s="183" t="str">
        <f t="shared" ref="A38" si="6">A20</f>
        <v>其他</v>
      </c>
      <c r="B38" s="411"/>
      <c r="C38" s="411"/>
      <c r="D38" s="411"/>
      <c r="E38" s="411"/>
      <c r="F38" s="411"/>
      <c r="G38" s="411"/>
      <c r="H38" s="411"/>
    </row>
    <row r="39" spans="1:8" s="180" customFormat="1" ht="20.100000000000001" customHeight="1" thickBot="1">
      <c r="A39" s="183" t="s">
        <v>259</v>
      </c>
      <c r="B39" s="411"/>
      <c r="C39" s="411"/>
      <c r="D39" s="411"/>
      <c r="E39" s="411"/>
      <c r="F39" s="411"/>
      <c r="G39" s="411"/>
      <c r="H39" s="411"/>
    </row>
    <row r="40" spans="1:8" s="180" customFormat="1" ht="20.100000000000001" customHeight="1" thickBot="1">
      <c r="A40" s="190" t="s">
        <v>192</v>
      </c>
      <c r="B40" s="414">
        <f>SUM(B27:B39)-B29-B32-B39</f>
        <v>0</v>
      </c>
      <c r="C40" s="414">
        <f t="shared" ref="C40:H40" si="7">SUM(C27:C39)-C29-C32-C39</f>
        <v>0</v>
      </c>
      <c r="D40" s="414">
        <f t="shared" si="7"/>
        <v>0</v>
      </c>
      <c r="E40" s="414">
        <f t="shared" si="7"/>
        <v>0</v>
      </c>
      <c r="F40" s="414">
        <f t="shared" si="7"/>
        <v>0</v>
      </c>
      <c r="G40" s="414">
        <f t="shared" si="7"/>
        <v>0</v>
      </c>
      <c r="H40" s="414">
        <f t="shared" si="7"/>
        <v>0</v>
      </c>
    </row>
    <row r="41" spans="1:8" s="180" customFormat="1" ht="20.100000000000001" customHeight="1">
      <c r="A41" s="181" t="s">
        <v>251</v>
      </c>
    </row>
    <row r="42" spans="1:8" s="180" customFormat="1" ht="20.100000000000001" customHeight="1">
      <c r="A42" s="191" t="s">
        <v>264</v>
      </c>
    </row>
    <row r="43" spans="1:8" s="180" customFormat="1" ht="21.75" customHeight="1">
      <c r="A43" s="181" t="s">
        <v>265</v>
      </c>
    </row>
    <row r="44" spans="1:8" s="180" customFormat="1" ht="12"/>
    <row r="45" spans="1:8" s="180" customFormat="1" ht="12"/>
    <row r="46" spans="1:8" s="180" customFormat="1" ht="12"/>
    <row r="47" spans="1:8" s="180" customFormat="1" ht="12"/>
  </sheetData>
  <mergeCells count="10">
    <mergeCell ref="A25:A26"/>
    <mergeCell ref="B25:B26"/>
    <mergeCell ref="C25:D25"/>
    <mergeCell ref="E25:G25"/>
    <mergeCell ref="H25:H26"/>
    <mergeCell ref="A1:H1"/>
    <mergeCell ref="A2:H2"/>
    <mergeCell ref="A7:A8"/>
    <mergeCell ref="B7:D7"/>
    <mergeCell ref="E7:G7"/>
  </mergeCells>
  <phoneticPr fontId="17" type="noConversion"/>
  <printOptions horizontalCentered="1"/>
  <pageMargins left="0.94488188976377963" right="0.27559055118110237" top="0.62992125984251968" bottom="0.51181102362204722" header="0.51181102362204722" footer="0.35433070866141736"/>
  <pageSetup paperSize="9" scale="66" fitToHeight="10" orientation="portrait" blackAndWhite="1" cellComments="atEnd"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Q76"/>
  <sheetViews>
    <sheetView view="pageBreakPreview" zoomScaleSheetLayoutView="100" workbookViewId="0">
      <selection sqref="A1:Q1"/>
    </sheetView>
  </sheetViews>
  <sheetFormatPr defaultColWidth="9" defaultRowHeight="13.8"/>
  <cols>
    <col min="1" max="1" width="18.796875" style="38" customWidth="1"/>
    <col min="2" max="2" width="9.796875" style="38" customWidth="1"/>
    <col min="3" max="3" width="10.19921875" style="38" customWidth="1"/>
    <col min="4" max="4" width="10.09765625" style="38" customWidth="1"/>
    <col min="5" max="5" width="10.69921875" style="38" customWidth="1"/>
    <col min="6" max="6" width="10.296875" style="38" customWidth="1"/>
    <col min="7" max="7" width="11.5" style="38" customWidth="1"/>
    <col min="8" max="8" width="10" style="38" customWidth="1"/>
    <col min="9" max="9" width="10.09765625" style="38" customWidth="1"/>
    <col min="10" max="10" width="11.19921875" style="38" customWidth="1"/>
    <col min="11" max="11" width="8.796875" style="38" customWidth="1"/>
    <col min="12" max="12" width="10.09765625" style="38" customWidth="1"/>
    <col min="13" max="13" width="9.69921875" style="38" customWidth="1"/>
    <col min="14" max="14" width="14.19921875" style="38" customWidth="1"/>
    <col min="15" max="16" width="9.796875" style="38" customWidth="1"/>
    <col min="17" max="17" width="10.59765625" style="38" customWidth="1"/>
    <col min="18" max="16384" width="9" style="38"/>
  </cols>
  <sheetData>
    <row r="1" spans="1:17" s="36" customFormat="1" ht="19.05" customHeight="1">
      <c r="A1" s="511" t="s">
        <v>55</v>
      </c>
      <c r="B1" s="511"/>
      <c r="C1" s="511"/>
      <c r="D1" s="511"/>
      <c r="E1" s="511"/>
      <c r="F1" s="511"/>
      <c r="G1" s="511"/>
      <c r="H1" s="511"/>
      <c r="I1" s="511"/>
      <c r="J1" s="511"/>
      <c r="K1" s="511"/>
      <c r="L1" s="511"/>
      <c r="M1" s="511"/>
      <c r="N1" s="511"/>
      <c r="O1" s="511"/>
      <c r="P1" s="511"/>
      <c r="Q1" s="511"/>
    </row>
    <row r="2" spans="1:17" s="8" customFormat="1" ht="19.05" customHeight="1">
      <c r="A2" s="512" t="s">
        <v>211</v>
      </c>
      <c r="B2" s="512"/>
      <c r="C2" s="512"/>
      <c r="D2" s="512"/>
      <c r="E2" s="512"/>
      <c r="F2" s="512"/>
      <c r="G2" s="512"/>
      <c r="H2" s="512"/>
      <c r="I2" s="512"/>
      <c r="J2" s="512"/>
      <c r="K2" s="512"/>
      <c r="L2" s="512"/>
      <c r="M2" s="512"/>
      <c r="N2" s="512"/>
      <c r="O2" s="512"/>
      <c r="P2" s="512"/>
      <c r="Q2" s="512"/>
    </row>
    <row r="3" spans="1:17" ht="19.05" customHeight="1">
      <c r="A3" s="37" t="str">
        <f>底稿目录!A2</f>
        <v>被审计单位：</v>
      </c>
      <c r="F3" s="37" t="str">
        <f>底稿目录!A4</f>
        <v>编制人：</v>
      </c>
      <c r="G3" s="39"/>
      <c r="K3" s="37" t="str">
        <f>底稿目录!A5</f>
        <v>编制日期：</v>
      </c>
      <c r="P3" s="392" t="s">
        <v>750</v>
      </c>
      <c r="Q3" s="405" t="str">
        <f>底稿目录!F7</f>
        <v>F2-2</v>
      </c>
    </row>
    <row r="4" spans="1:17" ht="19.05" customHeight="1">
      <c r="A4" s="37" t="str">
        <f>底稿目录!A3</f>
        <v>截止日：202X年12月21日</v>
      </c>
      <c r="F4" s="37" t="str">
        <f>底稿目录!A6</f>
        <v>复核人：</v>
      </c>
      <c r="G4" s="39"/>
      <c r="K4" s="37" t="str">
        <f>底稿目录!A7</f>
        <v>复核日期：</v>
      </c>
      <c r="P4" s="38" t="s">
        <v>751</v>
      </c>
      <c r="Q4" s="37"/>
    </row>
    <row r="5" spans="1:17" ht="19.05" customHeight="1">
      <c r="A5" s="127" t="s">
        <v>376</v>
      </c>
      <c r="B5" s="37"/>
      <c r="C5" s="39"/>
      <c r="D5" s="10"/>
      <c r="F5" s="39"/>
      <c r="G5" s="39"/>
    </row>
    <row r="6" spans="1:17" ht="19.05" customHeight="1">
      <c r="A6" s="45" t="s">
        <v>377</v>
      </c>
      <c r="B6" s="37"/>
      <c r="C6" s="39"/>
      <c r="D6" s="44"/>
      <c r="E6" s="37"/>
      <c r="F6" s="39"/>
      <c r="G6" s="39"/>
      <c r="H6" s="37"/>
      <c r="I6" s="37"/>
    </row>
    <row r="7" spans="1:17" ht="19.05" customHeight="1">
      <c r="A7" s="45" t="s">
        <v>378</v>
      </c>
      <c r="B7" s="37"/>
      <c r="C7" s="39"/>
      <c r="D7" s="44"/>
      <c r="E7" s="37"/>
      <c r="F7" s="39"/>
      <c r="G7" s="39"/>
      <c r="H7" s="37"/>
      <c r="I7" s="37"/>
    </row>
    <row r="8" spans="1:17" ht="19.05" customHeight="1">
      <c r="A8" s="45" t="s">
        <v>375</v>
      </c>
      <c r="B8" s="37"/>
      <c r="C8" s="39"/>
      <c r="D8" s="44"/>
      <c r="E8" s="37"/>
      <c r="F8" s="39"/>
      <c r="G8" s="39"/>
      <c r="H8" s="37"/>
      <c r="I8" s="37"/>
    </row>
    <row r="9" spans="1:17" ht="19.05" customHeight="1">
      <c r="A9" s="127" t="s">
        <v>379</v>
      </c>
      <c r="B9" s="39"/>
      <c r="C9" s="39"/>
      <c r="D9" s="44"/>
      <c r="E9" s="37"/>
      <c r="F9" s="39"/>
      <c r="G9" s="39"/>
      <c r="H9" s="37"/>
      <c r="I9" s="37"/>
    </row>
    <row r="10" spans="1:17" ht="19.05" customHeight="1">
      <c r="A10" s="245" t="s">
        <v>747</v>
      </c>
      <c r="B10" s="37"/>
      <c r="C10" s="37"/>
      <c r="D10" s="37"/>
      <c r="E10" s="37"/>
      <c r="F10" s="37"/>
      <c r="G10" s="39"/>
      <c r="H10" s="37"/>
      <c r="I10" s="37"/>
      <c r="J10" s="244"/>
    </row>
    <row r="11" spans="1:17" ht="19.05" customHeight="1">
      <c r="A11" s="245" t="s">
        <v>380</v>
      </c>
      <c r="B11" s="37"/>
      <c r="C11" s="37"/>
      <c r="D11" s="37"/>
      <c r="E11" s="37"/>
      <c r="F11" s="37"/>
      <c r="G11" s="39"/>
      <c r="H11" s="37"/>
      <c r="I11" s="37"/>
    </row>
    <row r="12" spans="1:17" ht="19.05" customHeight="1">
      <c r="A12" s="245" t="s">
        <v>381</v>
      </c>
      <c r="B12" s="37"/>
      <c r="C12" s="37"/>
      <c r="D12" s="37"/>
      <c r="E12" s="37"/>
      <c r="F12" s="37"/>
      <c r="G12" s="39"/>
      <c r="H12" s="37"/>
      <c r="I12" s="37"/>
    </row>
    <row r="13" spans="1:17" ht="19.05" customHeight="1">
      <c r="A13" s="245" t="s">
        <v>382</v>
      </c>
      <c r="B13" s="37"/>
      <c r="C13" s="37"/>
      <c r="D13" s="37"/>
      <c r="E13" s="37"/>
      <c r="F13" s="37"/>
      <c r="G13" s="39"/>
      <c r="H13" s="37"/>
      <c r="I13" s="37"/>
    </row>
    <row r="14" spans="1:17" ht="19.05" customHeight="1">
      <c r="A14" s="253" t="s">
        <v>383</v>
      </c>
      <c r="B14" s="37"/>
      <c r="C14" s="37"/>
      <c r="D14" s="37"/>
      <c r="E14" s="37"/>
      <c r="F14" s="37"/>
      <c r="G14" s="39"/>
      <c r="H14" s="37"/>
      <c r="I14" s="37"/>
    </row>
    <row r="15" spans="1:17" ht="19.05" customHeight="1">
      <c r="A15" s="500" t="s">
        <v>384</v>
      </c>
      <c r="B15" s="501" t="s">
        <v>385</v>
      </c>
      <c r="C15" s="501"/>
      <c r="D15" s="501"/>
      <c r="E15" s="501"/>
      <c r="F15" s="509" t="s">
        <v>386</v>
      </c>
      <c r="G15" s="502" t="s">
        <v>603</v>
      </c>
      <c r="H15" s="503"/>
      <c r="I15" s="501" t="s">
        <v>387</v>
      </c>
      <c r="J15" s="501"/>
      <c r="K15" s="501"/>
      <c r="L15" s="501"/>
      <c r="M15" s="501" t="s">
        <v>388</v>
      </c>
      <c r="N15" s="501" t="s">
        <v>389</v>
      </c>
    </row>
    <row r="16" spans="1:17" ht="19.05" customHeight="1">
      <c r="A16" s="500"/>
      <c r="B16" s="232" t="s">
        <v>390</v>
      </c>
      <c r="C16" s="232" t="s">
        <v>391</v>
      </c>
      <c r="D16" s="232" t="s">
        <v>392</v>
      </c>
      <c r="E16" s="232" t="s">
        <v>393</v>
      </c>
      <c r="F16" s="510"/>
      <c r="G16" s="443" t="s">
        <v>395</v>
      </c>
      <c r="H16" s="442" t="s">
        <v>396</v>
      </c>
      <c r="I16" s="232" t="s">
        <v>397</v>
      </c>
      <c r="J16" s="232" t="s">
        <v>398</v>
      </c>
      <c r="K16" s="232" t="s">
        <v>399</v>
      </c>
      <c r="L16" s="232" t="s">
        <v>400</v>
      </c>
      <c r="M16" s="501"/>
      <c r="N16" s="501"/>
    </row>
    <row r="17" spans="1:14" ht="19.05" customHeight="1">
      <c r="A17" s="346" t="s">
        <v>401</v>
      </c>
      <c r="B17" s="246">
        <f>'一、原材料明细表F2-3'!$G$25</f>
        <v>0</v>
      </c>
      <c r="C17" s="246">
        <f>'一、原材料明细表F2-3'!$J$25</f>
        <v>0</v>
      </c>
      <c r="D17" s="246">
        <f>'一、原材料明细表F2-3'!$M$25</f>
        <v>0</v>
      </c>
      <c r="E17" s="246">
        <f>B17+C17-D17</f>
        <v>0</v>
      </c>
      <c r="F17" s="40"/>
      <c r="G17" s="128"/>
      <c r="H17" s="40"/>
      <c r="I17" s="247">
        <f>B17+F17</f>
        <v>0</v>
      </c>
      <c r="J17" s="247">
        <f>C17+G17</f>
        <v>0</v>
      </c>
      <c r="K17" s="247">
        <f>D17+H17</f>
        <v>0</v>
      </c>
      <c r="L17" s="246">
        <f>I17+J17-K17</f>
        <v>0</v>
      </c>
      <c r="M17" s="40"/>
      <c r="N17" s="40"/>
    </row>
    <row r="18" spans="1:14" ht="19.05" customHeight="1">
      <c r="A18" s="346" t="s">
        <v>402</v>
      </c>
      <c r="B18" s="246">
        <f>'二、材料采购、在途物资明细表F2-4'!$F$25</f>
        <v>0</v>
      </c>
      <c r="C18" s="246">
        <f>'二、材料采购、在途物资明细表F2-4'!$I$25</f>
        <v>0</v>
      </c>
      <c r="D18" s="246">
        <f>'二、材料采购、在途物资明细表F2-4'!$L$25</f>
        <v>0</v>
      </c>
      <c r="E18" s="246">
        <f>B18+C18-D18</f>
        <v>0</v>
      </c>
      <c r="F18" s="40"/>
      <c r="G18" s="128"/>
      <c r="H18" s="40"/>
      <c r="I18" s="247">
        <f>B18+F18</f>
        <v>0</v>
      </c>
      <c r="J18" s="247">
        <f t="shared" ref="I18:K30" si="0">C18+G18</f>
        <v>0</v>
      </c>
      <c r="K18" s="247">
        <f t="shared" si="0"/>
        <v>0</v>
      </c>
      <c r="L18" s="246">
        <f t="shared" ref="L18:L30" si="1">I18+J18-K18</f>
        <v>0</v>
      </c>
      <c r="M18" s="40"/>
      <c r="N18" s="40"/>
    </row>
    <row r="19" spans="1:14" ht="19.05" customHeight="1">
      <c r="A19" s="346" t="s">
        <v>403</v>
      </c>
      <c r="B19" s="246">
        <f>'三、周转材料、低值易耗品，包装物明细表F2-5'!$G$27</f>
        <v>0</v>
      </c>
      <c r="C19" s="246">
        <f>'三、周转材料、低值易耗品，包装物明细表F2-5'!$J$27</f>
        <v>0</v>
      </c>
      <c r="D19" s="246">
        <f>'三、周转材料、低值易耗品，包装物明细表F2-5'!$M$27</f>
        <v>0</v>
      </c>
      <c r="E19" s="246">
        <f t="shared" ref="E19:E30" si="2">B19+C19-D19</f>
        <v>0</v>
      </c>
      <c r="F19" s="40"/>
      <c r="G19" s="128"/>
      <c r="H19" s="40"/>
      <c r="I19" s="247">
        <f t="shared" si="0"/>
        <v>0</v>
      </c>
      <c r="J19" s="247">
        <f t="shared" si="0"/>
        <v>0</v>
      </c>
      <c r="K19" s="247">
        <f t="shared" si="0"/>
        <v>0</v>
      </c>
      <c r="L19" s="246">
        <f t="shared" si="1"/>
        <v>0</v>
      </c>
      <c r="M19" s="40"/>
      <c r="N19" s="40"/>
    </row>
    <row r="20" spans="1:14" ht="19.05" customHeight="1">
      <c r="A20" s="346" t="s">
        <v>404</v>
      </c>
      <c r="B20" s="40"/>
      <c r="C20" s="40"/>
      <c r="D20" s="40"/>
      <c r="E20" s="246">
        <f>B20+C20-D20</f>
        <v>0</v>
      </c>
      <c r="F20" s="40"/>
      <c r="G20" s="128"/>
      <c r="H20" s="40"/>
      <c r="I20" s="247">
        <f t="shared" si="0"/>
        <v>0</v>
      </c>
      <c r="J20" s="247">
        <f t="shared" si="0"/>
        <v>0</v>
      </c>
      <c r="K20" s="247">
        <f t="shared" si="0"/>
        <v>0</v>
      </c>
      <c r="L20" s="246">
        <f t="shared" si="1"/>
        <v>0</v>
      </c>
      <c r="M20" s="40"/>
      <c r="N20" s="40"/>
    </row>
    <row r="21" spans="1:14" ht="19.05" customHeight="1">
      <c r="A21" s="346" t="s">
        <v>405</v>
      </c>
      <c r="B21" s="246">
        <f>'四、自制半成品明细表F2-6'!$G$25</f>
        <v>0</v>
      </c>
      <c r="C21" s="246">
        <f>'四、自制半成品明细表F2-6'!$J$25</f>
        <v>0</v>
      </c>
      <c r="D21" s="246">
        <f>'四、自制半成品明细表F2-6'!$M$25</f>
        <v>0</v>
      </c>
      <c r="E21" s="246">
        <f t="shared" si="2"/>
        <v>0</v>
      </c>
      <c r="F21" s="40"/>
      <c r="G21" s="128"/>
      <c r="H21" s="40"/>
      <c r="I21" s="247">
        <f t="shared" si="0"/>
        <v>0</v>
      </c>
      <c r="J21" s="247">
        <f t="shared" si="0"/>
        <v>0</v>
      </c>
      <c r="K21" s="247">
        <f t="shared" si="0"/>
        <v>0</v>
      </c>
      <c r="L21" s="246">
        <f t="shared" si="1"/>
        <v>0</v>
      </c>
      <c r="M21" s="40"/>
      <c r="N21" s="40"/>
    </row>
    <row r="22" spans="1:14" ht="19.05" customHeight="1">
      <c r="A22" s="346" t="s">
        <v>406</v>
      </c>
      <c r="B22" s="40"/>
      <c r="C22" s="40"/>
      <c r="D22" s="40"/>
      <c r="E22" s="246">
        <f t="shared" si="2"/>
        <v>0</v>
      </c>
      <c r="F22" s="40"/>
      <c r="G22" s="128"/>
      <c r="H22" s="40"/>
      <c r="I22" s="247">
        <f t="shared" si="0"/>
        <v>0</v>
      </c>
      <c r="J22" s="247">
        <f t="shared" si="0"/>
        <v>0</v>
      </c>
      <c r="K22" s="247">
        <f t="shared" si="0"/>
        <v>0</v>
      </c>
      <c r="L22" s="246">
        <f t="shared" si="1"/>
        <v>0</v>
      </c>
      <c r="M22" s="40"/>
      <c r="N22" s="40"/>
    </row>
    <row r="23" spans="1:14" ht="19.05" customHeight="1">
      <c r="A23" s="346" t="s">
        <v>407</v>
      </c>
      <c r="B23" s="246">
        <f>'六、库存商品明细表F2-8'!$G$25</f>
        <v>0</v>
      </c>
      <c r="C23" s="246">
        <f>'六、库存商品明细表F2-8'!$J$25</f>
        <v>0</v>
      </c>
      <c r="D23" s="246">
        <f>'六、库存商品明细表F2-8'!$M$25</f>
        <v>0</v>
      </c>
      <c r="E23" s="246">
        <f t="shared" si="2"/>
        <v>0</v>
      </c>
      <c r="F23" s="40"/>
      <c r="G23" s="128"/>
      <c r="H23" s="40"/>
      <c r="I23" s="247">
        <f t="shared" si="0"/>
        <v>0</v>
      </c>
      <c r="J23" s="247">
        <f t="shared" si="0"/>
        <v>0</v>
      </c>
      <c r="K23" s="247">
        <f t="shared" si="0"/>
        <v>0</v>
      </c>
      <c r="L23" s="246">
        <f>I23+J23-K23</f>
        <v>0</v>
      </c>
      <c r="M23" s="40"/>
      <c r="N23" s="40"/>
    </row>
    <row r="24" spans="1:14" ht="19.05" customHeight="1">
      <c r="A24" s="346" t="s">
        <v>408</v>
      </c>
      <c r="B24" s="246">
        <f>'七、发出商品F2-9'!$F$25</f>
        <v>0</v>
      </c>
      <c r="C24" s="246">
        <f>'七、发出商品F2-9'!$I$25</f>
        <v>0</v>
      </c>
      <c r="D24" s="246">
        <f>'七、发出商品F2-9'!$L$25</f>
        <v>0</v>
      </c>
      <c r="E24" s="246">
        <f t="shared" si="2"/>
        <v>0</v>
      </c>
      <c r="F24" s="40"/>
      <c r="G24" s="128"/>
      <c r="H24" s="40"/>
      <c r="I24" s="247">
        <f t="shared" si="0"/>
        <v>0</v>
      </c>
      <c r="J24" s="247">
        <f t="shared" si="0"/>
        <v>0</v>
      </c>
      <c r="K24" s="247">
        <f t="shared" si="0"/>
        <v>0</v>
      </c>
      <c r="L24" s="246">
        <f t="shared" si="1"/>
        <v>0</v>
      </c>
      <c r="M24" s="40"/>
      <c r="N24" s="40"/>
    </row>
    <row r="25" spans="1:14" ht="19.05" customHeight="1">
      <c r="A25" s="346" t="s">
        <v>409</v>
      </c>
      <c r="B25" s="246">
        <f>'八、开发产品F2-10'!$H$19</f>
        <v>0</v>
      </c>
      <c r="C25" s="246">
        <f>'八、开发产品F2-10'!$O$19</f>
        <v>0</v>
      </c>
      <c r="D25" s="246">
        <f>'八、开发产品F2-10'!$R$19</f>
        <v>0</v>
      </c>
      <c r="E25" s="246">
        <f t="shared" si="2"/>
        <v>0</v>
      </c>
      <c r="F25" s="246">
        <f>'八、开发产品F2-10'!I19+'八、开发产品F2-10'!J19</f>
        <v>0</v>
      </c>
      <c r="G25" s="347">
        <f>'八、开发产品F2-10'!V19+'八、开发产品F2-10'!W19</f>
        <v>0</v>
      </c>
      <c r="H25" s="348"/>
      <c r="I25" s="247">
        <f>B25+F25</f>
        <v>0</v>
      </c>
      <c r="J25" s="247">
        <f>C25+G25</f>
        <v>0</v>
      </c>
      <c r="K25" s="247">
        <f>D25+H25</f>
        <v>0</v>
      </c>
      <c r="L25" s="246">
        <f>I25+J25-K25</f>
        <v>0</v>
      </c>
      <c r="M25" s="40"/>
      <c r="N25" s="40"/>
    </row>
    <row r="26" spans="1:14" ht="19.05" customHeight="1">
      <c r="A26" s="346" t="s">
        <v>410</v>
      </c>
      <c r="B26" s="246">
        <f>'九、开发成本F2-11'!G19</f>
        <v>0</v>
      </c>
      <c r="C26" s="246">
        <f>'九、开发成本F2-11'!H19</f>
        <v>0</v>
      </c>
      <c r="D26" s="246">
        <f>'九、开发成本F2-11'!I19</f>
        <v>0</v>
      </c>
      <c r="E26" s="246">
        <f t="shared" si="2"/>
        <v>0</v>
      </c>
      <c r="F26" s="246">
        <f>'九、开发成本F2-11'!K19+'九、开发成本F2-11'!L19</f>
        <v>0</v>
      </c>
      <c r="G26" s="246">
        <f>'九、开发成本F2-11'!M19+'九、开发成本F2-11'!O19</f>
        <v>0</v>
      </c>
      <c r="H26" s="246">
        <f>'九、开发成本F2-11'!N19+'九、开发成本F2-11'!P19</f>
        <v>0</v>
      </c>
      <c r="I26" s="247">
        <f>B26+F26</f>
        <v>0</v>
      </c>
      <c r="J26" s="247">
        <f t="shared" si="0"/>
        <v>0</v>
      </c>
      <c r="K26" s="247">
        <f t="shared" si="0"/>
        <v>0</v>
      </c>
      <c r="L26" s="246">
        <f>I26+J26-K26</f>
        <v>0</v>
      </c>
      <c r="M26" s="40"/>
      <c r="N26" s="40"/>
    </row>
    <row r="27" spans="1:14" ht="19.05" customHeight="1">
      <c r="A27" s="346" t="s">
        <v>411</v>
      </c>
      <c r="B27" s="246">
        <f>'十、合同履约成本F2-12'!F20</f>
        <v>0</v>
      </c>
      <c r="C27" s="246">
        <f>'十、合同履约成本F2-12'!G20</f>
        <v>0</v>
      </c>
      <c r="D27" s="246">
        <f>'十、合同履约成本F2-12'!H20</f>
        <v>0</v>
      </c>
      <c r="E27" s="246">
        <f>B27+C27-D27</f>
        <v>0</v>
      </c>
      <c r="F27" s="349"/>
      <c r="G27" s="350"/>
      <c r="H27" s="349"/>
      <c r="I27" s="247">
        <f>B27+F27</f>
        <v>0</v>
      </c>
      <c r="J27" s="247">
        <f t="shared" si="0"/>
        <v>0</v>
      </c>
      <c r="K27" s="247">
        <f t="shared" si="0"/>
        <v>0</v>
      </c>
      <c r="L27" s="246">
        <f>I27+J27-K27</f>
        <v>0</v>
      </c>
      <c r="M27" s="40"/>
      <c r="N27" s="40"/>
    </row>
    <row r="28" spans="1:14" ht="19.05" customHeight="1">
      <c r="A28" s="346" t="s">
        <v>412</v>
      </c>
      <c r="B28" s="246">
        <f>'十一、消耗性生物资产F2-13'!$F$25</f>
        <v>0</v>
      </c>
      <c r="C28" s="246">
        <f>'十一、消耗性生物资产F2-13'!$I$25</f>
        <v>0</v>
      </c>
      <c r="D28" s="246">
        <f>'十一、消耗性生物资产F2-13'!$L$25</f>
        <v>0</v>
      </c>
      <c r="E28" s="246">
        <f>B28+C28-D28</f>
        <v>0</v>
      </c>
      <c r="F28" s="40"/>
      <c r="G28" s="128"/>
      <c r="H28" s="40"/>
      <c r="I28" s="247">
        <f>B28+F28</f>
        <v>0</v>
      </c>
      <c r="J28" s="247">
        <f t="shared" ref="I28:K29" si="3">C28+G28</f>
        <v>0</v>
      </c>
      <c r="K28" s="247">
        <f t="shared" si="3"/>
        <v>0</v>
      </c>
      <c r="L28" s="246">
        <f t="shared" si="1"/>
        <v>0</v>
      </c>
      <c r="M28" s="40"/>
      <c r="N28" s="40"/>
    </row>
    <row r="29" spans="1:14" ht="19.05" customHeight="1">
      <c r="A29" s="346" t="s">
        <v>413</v>
      </c>
      <c r="B29" s="193"/>
      <c r="C29" s="193"/>
      <c r="D29" s="193"/>
      <c r="E29" s="246">
        <f>B29+C29-D29</f>
        <v>0</v>
      </c>
      <c r="F29" s="40"/>
      <c r="G29" s="128"/>
      <c r="H29" s="40"/>
      <c r="I29" s="247">
        <f t="shared" si="3"/>
        <v>0</v>
      </c>
      <c r="J29" s="247">
        <f t="shared" si="3"/>
        <v>0</v>
      </c>
      <c r="K29" s="247">
        <f t="shared" si="3"/>
        <v>0</v>
      </c>
      <c r="L29" s="246">
        <f t="shared" ref="L29" si="4">I29+J29-K29</f>
        <v>0</v>
      </c>
      <c r="M29" s="40"/>
      <c r="N29" s="40"/>
    </row>
    <row r="30" spans="1:14" ht="19.05" customHeight="1">
      <c r="A30" s="346" t="s">
        <v>212</v>
      </c>
      <c r="B30" s="40"/>
      <c r="C30" s="40"/>
      <c r="D30" s="40"/>
      <c r="E30" s="246">
        <f t="shared" si="2"/>
        <v>0</v>
      </c>
      <c r="F30" s="40"/>
      <c r="G30" s="128"/>
      <c r="H30" s="40"/>
      <c r="I30" s="247">
        <f t="shared" si="0"/>
        <v>0</v>
      </c>
      <c r="J30" s="247">
        <f>C30+G30</f>
        <v>0</v>
      </c>
      <c r="K30" s="247">
        <f>D30+H30</f>
        <v>0</v>
      </c>
      <c r="L30" s="246">
        <f t="shared" si="1"/>
        <v>0</v>
      </c>
      <c r="M30" s="40"/>
      <c r="N30" s="40"/>
    </row>
    <row r="31" spans="1:14" ht="19.05" customHeight="1">
      <c r="A31" s="254" t="s">
        <v>414</v>
      </c>
      <c r="B31" s="247">
        <f>SUM(B17:B30)</f>
        <v>0</v>
      </c>
      <c r="C31" s="247">
        <f t="shared" ref="C31:L31" si="5">SUM(C17:C30)</f>
        <v>0</v>
      </c>
      <c r="D31" s="247">
        <f t="shared" si="5"/>
        <v>0</v>
      </c>
      <c r="E31" s="247">
        <f t="shared" si="5"/>
        <v>0</v>
      </c>
      <c r="F31" s="247">
        <f>SUM(F17:F30)</f>
        <v>0</v>
      </c>
      <c r="G31" s="247">
        <f t="shared" si="5"/>
        <v>0</v>
      </c>
      <c r="H31" s="247">
        <f t="shared" si="5"/>
        <v>0</v>
      </c>
      <c r="I31" s="247">
        <f t="shared" si="5"/>
        <v>0</v>
      </c>
      <c r="J31" s="247">
        <f t="shared" si="5"/>
        <v>0</v>
      </c>
      <c r="K31" s="247">
        <f t="shared" si="5"/>
        <v>0</v>
      </c>
      <c r="L31" s="247">
        <f t="shared" si="5"/>
        <v>0</v>
      </c>
      <c r="M31" s="40"/>
      <c r="N31" s="40"/>
    </row>
    <row r="32" spans="1:14" ht="19.05" customHeight="1">
      <c r="A32" s="253" t="s">
        <v>415</v>
      </c>
      <c r="B32" s="37"/>
      <c r="C32" s="37"/>
      <c r="D32" s="37"/>
      <c r="E32" s="37"/>
      <c r="F32" s="37"/>
      <c r="G32" s="39"/>
      <c r="H32" s="37"/>
      <c r="I32" s="37"/>
    </row>
    <row r="33" spans="1:17" ht="19.05" customHeight="1">
      <c r="A33" s="500" t="s">
        <v>384</v>
      </c>
      <c r="B33" s="501" t="s">
        <v>416</v>
      </c>
      <c r="C33" s="501"/>
      <c r="D33" s="501"/>
      <c r="E33" s="501"/>
      <c r="F33" s="509" t="s">
        <v>417</v>
      </c>
      <c r="G33" s="502" t="s">
        <v>118</v>
      </c>
      <c r="H33" s="503"/>
      <c r="I33" s="504" t="s">
        <v>418</v>
      </c>
      <c r="J33" s="505"/>
      <c r="K33" s="505"/>
      <c r="L33" s="505"/>
      <c r="M33" s="505"/>
      <c r="N33" s="505"/>
      <c r="O33" s="505"/>
      <c r="P33" s="505"/>
      <c r="Q33" s="506"/>
    </row>
    <row r="34" spans="1:17" ht="19.05" customHeight="1">
      <c r="A34" s="500"/>
      <c r="B34" s="232" t="s">
        <v>419</v>
      </c>
      <c r="C34" s="232" t="s">
        <v>420</v>
      </c>
      <c r="D34" s="232" t="s">
        <v>421</v>
      </c>
      <c r="E34" s="232" t="s">
        <v>393</v>
      </c>
      <c r="F34" s="510"/>
      <c r="G34" s="443" t="s">
        <v>422</v>
      </c>
      <c r="H34" s="442" t="s">
        <v>423</v>
      </c>
      <c r="I34" s="232" t="s">
        <v>424</v>
      </c>
      <c r="J34" s="232" t="s">
        <v>425</v>
      </c>
      <c r="K34" s="233" t="s">
        <v>426</v>
      </c>
      <c r="L34" s="232" t="s">
        <v>427</v>
      </c>
      <c r="M34" s="232" t="s">
        <v>428</v>
      </c>
      <c r="N34" s="232" t="s">
        <v>429</v>
      </c>
      <c r="O34" s="232" t="s">
        <v>430</v>
      </c>
      <c r="P34" s="232" t="s">
        <v>431</v>
      </c>
      <c r="Q34" s="232" t="s">
        <v>432</v>
      </c>
    </row>
    <row r="35" spans="1:17" ht="19.05" customHeight="1">
      <c r="A35" s="346" t="s">
        <v>401</v>
      </c>
      <c r="B35" s="246">
        <f>'一、原材料明细表F2-3'!G26</f>
        <v>0</v>
      </c>
      <c r="C35" s="246">
        <f>'一、原材料明细表F2-3'!J26</f>
        <v>0</v>
      </c>
      <c r="D35" s="246">
        <f>'一、原材料明细表F2-3'!M26</f>
        <v>0</v>
      </c>
      <c r="E35" s="246">
        <f t="shared" ref="E35:E48" si="6">B35+C35-D35</f>
        <v>0</v>
      </c>
      <c r="F35" s="40"/>
      <c r="G35" s="128"/>
      <c r="H35" s="40"/>
      <c r="I35" s="247">
        <f>B35+F35</f>
        <v>0</v>
      </c>
      <c r="J35" s="247">
        <f>C35+G35</f>
        <v>0</v>
      </c>
      <c r="K35" s="129"/>
      <c r="L35" s="247">
        <f>J35-K35</f>
        <v>0</v>
      </c>
      <c r="M35" s="247">
        <f>D35+H35</f>
        <v>0</v>
      </c>
      <c r="N35" s="129"/>
      <c r="O35" s="129"/>
      <c r="P35" s="247">
        <f t="shared" ref="P35:P48" si="7">M35-N35-O35</f>
        <v>0</v>
      </c>
      <c r="Q35" s="246">
        <f t="shared" ref="Q35:Q48" si="8">I35+J35-M35</f>
        <v>0</v>
      </c>
    </row>
    <row r="36" spans="1:17" ht="19.05" customHeight="1">
      <c r="A36" s="346" t="s">
        <v>402</v>
      </c>
      <c r="B36" s="246">
        <f>'二、材料采购、在途物资明细表F2-4'!F26</f>
        <v>0</v>
      </c>
      <c r="C36" s="246">
        <f>'二、材料采购、在途物资明细表F2-4'!I26</f>
        <v>0</v>
      </c>
      <c r="D36" s="246">
        <f>'二、材料采购、在途物资明细表F2-4'!L26</f>
        <v>0</v>
      </c>
      <c r="E36" s="246">
        <f t="shared" si="6"/>
        <v>0</v>
      </c>
      <c r="F36" s="40"/>
      <c r="G36" s="128"/>
      <c r="H36" s="40"/>
      <c r="I36" s="247">
        <f t="shared" ref="I36:J44" si="9">B36+F36</f>
        <v>0</v>
      </c>
      <c r="J36" s="247">
        <f t="shared" si="9"/>
        <v>0</v>
      </c>
      <c r="K36" s="129"/>
      <c r="L36" s="247">
        <f t="shared" ref="L36:L48" si="10">J36-K36</f>
        <v>0</v>
      </c>
      <c r="M36" s="247">
        <f t="shared" ref="M36:M48" si="11">D36+H36</f>
        <v>0</v>
      </c>
      <c r="N36" s="129"/>
      <c r="O36" s="129"/>
      <c r="P36" s="247">
        <f t="shared" si="7"/>
        <v>0</v>
      </c>
      <c r="Q36" s="246">
        <f t="shared" si="8"/>
        <v>0</v>
      </c>
    </row>
    <row r="37" spans="1:17" ht="19.05" customHeight="1">
      <c r="A37" s="346" t="s">
        <v>403</v>
      </c>
      <c r="B37" s="246">
        <f>'三、周转材料、低值易耗品，包装物明细表F2-5'!G28</f>
        <v>0</v>
      </c>
      <c r="C37" s="246">
        <f>'三、周转材料、低值易耗品，包装物明细表F2-5'!J28</f>
        <v>0</v>
      </c>
      <c r="D37" s="246">
        <f>'三、周转材料、低值易耗品，包装物明细表F2-5'!M28</f>
        <v>0</v>
      </c>
      <c r="E37" s="246">
        <f t="shared" si="6"/>
        <v>0</v>
      </c>
      <c r="F37" s="40"/>
      <c r="G37" s="128"/>
      <c r="H37" s="40"/>
      <c r="I37" s="247">
        <f t="shared" si="9"/>
        <v>0</v>
      </c>
      <c r="J37" s="247">
        <f t="shared" si="9"/>
        <v>0</v>
      </c>
      <c r="K37" s="129"/>
      <c r="L37" s="247">
        <f t="shared" si="10"/>
        <v>0</v>
      </c>
      <c r="M37" s="247">
        <f t="shared" si="11"/>
        <v>0</v>
      </c>
      <c r="N37" s="129"/>
      <c r="O37" s="129"/>
      <c r="P37" s="247">
        <f t="shared" si="7"/>
        <v>0</v>
      </c>
      <c r="Q37" s="246">
        <f t="shared" si="8"/>
        <v>0</v>
      </c>
    </row>
    <row r="38" spans="1:17" ht="19.05" customHeight="1">
      <c r="A38" s="346" t="s">
        <v>404</v>
      </c>
      <c r="B38" s="40"/>
      <c r="C38" s="40"/>
      <c r="D38" s="40"/>
      <c r="E38" s="246">
        <f t="shared" si="6"/>
        <v>0</v>
      </c>
      <c r="F38" s="40"/>
      <c r="G38" s="128"/>
      <c r="H38" s="40"/>
      <c r="I38" s="247">
        <f t="shared" si="9"/>
        <v>0</v>
      </c>
      <c r="J38" s="247">
        <f t="shared" si="9"/>
        <v>0</v>
      </c>
      <c r="K38" s="129"/>
      <c r="L38" s="247">
        <f t="shared" si="10"/>
        <v>0</v>
      </c>
      <c r="M38" s="247">
        <f t="shared" si="11"/>
        <v>0</v>
      </c>
      <c r="N38" s="129"/>
      <c r="O38" s="129"/>
      <c r="P38" s="247">
        <f t="shared" si="7"/>
        <v>0</v>
      </c>
      <c r="Q38" s="246">
        <f t="shared" si="8"/>
        <v>0</v>
      </c>
    </row>
    <row r="39" spans="1:17" ht="19.05" customHeight="1">
      <c r="A39" s="346" t="s">
        <v>405</v>
      </c>
      <c r="B39" s="246">
        <f>'四、自制半成品明细表F2-6'!G26</f>
        <v>0</v>
      </c>
      <c r="C39" s="246">
        <f>'四、自制半成品明细表F2-6'!J26</f>
        <v>0</v>
      </c>
      <c r="D39" s="246">
        <f>'四、自制半成品明细表F2-6'!M26</f>
        <v>0</v>
      </c>
      <c r="E39" s="246">
        <f t="shared" si="6"/>
        <v>0</v>
      </c>
      <c r="F39" s="40"/>
      <c r="G39" s="128"/>
      <c r="H39" s="40"/>
      <c r="I39" s="247">
        <f t="shared" si="9"/>
        <v>0</v>
      </c>
      <c r="J39" s="247">
        <f t="shared" si="9"/>
        <v>0</v>
      </c>
      <c r="K39" s="129"/>
      <c r="L39" s="247">
        <f t="shared" si="10"/>
        <v>0</v>
      </c>
      <c r="M39" s="247">
        <f t="shared" si="11"/>
        <v>0</v>
      </c>
      <c r="N39" s="129"/>
      <c r="O39" s="129"/>
      <c r="P39" s="247">
        <f t="shared" si="7"/>
        <v>0</v>
      </c>
      <c r="Q39" s="246">
        <f t="shared" si="8"/>
        <v>0</v>
      </c>
    </row>
    <row r="40" spans="1:17" ht="19.05" customHeight="1">
      <c r="A40" s="346" t="s">
        <v>406</v>
      </c>
      <c r="B40" s="41"/>
      <c r="C40" s="40"/>
      <c r="D40" s="40"/>
      <c r="E40" s="246">
        <f t="shared" si="6"/>
        <v>0</v>
      </c>
      <c r="F40" s="40"/>
      <c r="G40" s="128"/>
      <c r="H40" s="40"/>
      <c r="I40" s="247">
        <f t="shared" si="9"/>
        <v>0</v>
      </c>
      <c r="J40" s="247">
        <f t="shared" si="9"/>
        <v>0</v>
      </c>
      <c r="K40" s="129"/>
      <c r="L40" s="247">
        <f t="shared" si="10"/>
        <v>0</v>
      </c>
      <c r="M40" s="247">
        <f t="shared" si="11"/>
        <v>0</v>
      </c>
      <c r="N40" s="129"/>
      <c r="O40" s="129"/>
      <c r="P40" s="247">
        <f t="shared" si="7"/>
        <v>0</v>
      </c>
      <c r="Q40" s="246">
        <f t="shared" si="8"/>
        <v>0</v>
      </c>
    </row>
    <row r="41" spans="1:17" ht="19.05" customHeight="1">
      <c r="A41" s="346" t="s">
        <v>407</v>
      </c>
      <c r="B41" s="246">
        <f>'六、库存商品明细表F2-8'!G26</f>
        <v>0</v>
      </c>
      <c r="C41" s="246">
        <f>'六、库存商品明细表F2-8'!J26</f>
        <v>0</v>
      </c>
      <c r="D41" s="246">
        <f>'六、库存商品明细表F2-8'!M26</f>
        <v>0</v>
      </c>
      <c r="E41" s="246">
        <f t="shared" si="6"/>
        <v>0</v>
      </c>
      <c r="F41" s="40"/>
      <c r="G41" s="128"/>
      <c r="H41" s="40"/>
      <c r="I41" s="247">
        <f t="shared" si="9"/>
        <v>0</v>
      </c>
      <c r="J41" s="247">
        <f t="shared" si="9"/>
        <v>0</v>
      </c>
      <c r="K41" s="129"/>
      <c r="L41" s="247">
        <f t="shared" si="10"/>
        <v>0</v>
      </c>
      <c r="M41" s="247">
        <f t="shared" si="11"/>
        <v>0</v>
      </c>
      <c r="N41" s="129"/>
      <c r="O41" s="129"/>
      <c r="P41" s="247">
        <f t="shared" si="7"/>
        <v>0</v>
      </c>
      <c r="Q41" s="246">
        <f t="shared" si="8"/>
        <v>0</v>
      </c>
    </row>
    <row r="42" spans="1:17" ht="19.05" customHeight="1">
      <c r="A42" s="346" t="s">
        <v>408</v>
      </c>
      <c r="B42" s="246">
        <f>'七、发出商品F2-9'!F26</f>
        <v>0</v>
      </c>
      <c r="C42" s="246">
        <f>'七、发出商品F2-9'!I26</f>
        <v>0</v>
      </c>
      <c r="D42" s="246">
        <f>'七、发出商品F2-9'!L26</f>
        <v>0</v>
      </c>
      <c r="E42" s="246">
        <f t="shared" si="6"/>
        <v>0</v>
      </c>
      <c r="F42" s="40"/>
      <c r="G42" s="128"/>
      <c r="H42" s="40"/>
      <c r="I42" s="247">
        <f t="shared" si="9"/>
        <v>0</v>
      </c>
      <c r="J42" s="247">
        <f t="shared" si="9"/>
        <v>0</v>
      </c>
      <c r="K42" s="129"/>
      <c r="L42" s="247">
        <f t="shared" si="10"/>
        <v>0</v>
      </c>
      <c r="M42" s="247">
        <f t="shared" si="11"/>
        <v>0</v>
      </c>
      <c r="N42" s="129"/>
      <c r="O42" s="129"/>
      <c r="P42" s="247">
        <f t="shared" si="7"/>
        <v>0</v>
      </c>
      <c r="Q42" s="246">
        <f t="shared" si="8"/>
        <v>0</v>
      </c>
    </row>
    <row r="43" spans="1:17" ht="19.05" customHeight="1">
      <c r="A43" s="346" t="s">
        <v>433</v>
      </c>
      <c r="B43" s="247">
        <f>'八、开发产品F2-10'!F33</f>
        <v>0</v>
      </c>
      <c r="C43" s="247">
        <f>'八、开发产品F2-10'!G33</f>
        <v>0</v>
      </c>
      <c r="D43" s="247">
        <f>'八、开发产品F2-10'!H33</f>
        <v>0</v>
      </c>
      <c r="E43" s="246">
        <f t="shared" si="6"/>
        <v>0</v>
      </c>
      <c r="F43" s="246">
        <f>'八、开发产品F2-10'!J33+'八、开发产品F2-10'!K33</f>
        <v>0</v>
      </c>
      <c r="G43" s="246">
        <f>'八、开发产品F2-10'!L33+'八、开发产品F2-10'!N33</f>
        <v>0</v>
      </c>
      <c r="H43" s="246">
        <f>'八、开发产品F2-10'!M33+'八、开发产品F2-10'!O33</f>
        <v>0</v>
      </c>
      <c r="I43" s="247">
        <f t="shared" si="9"/>
        <v>0</v>
      </c>
      <c r="J43" s="247">
        <f t="shared" si="9"/>
        <v>0</v>
      </c>
      <c r="K43" s="129"/>
      <c r="L43" s="247">
        <f t="shared" si="10"/>
        <v>0</v>
      </c>
      <c r="M43" s="247">
        <f>D43+H43</f>
        <v>0</v>
      </c>
      <c r="N43" s="129"/>
      <c r="O43" s="129"/>
      <c r="P43" s="247">
        <f t="shared" si="7"/>
        <v>0</v>
      </c>
      <c r="Q43" s="246">
        <f t="shared" si="8"/>
        <v>0</v>
      </c>
    </row>
    <row r="44" spans="1:17" ht="19.05" customHeight="1">
      <c r="A44" s="346" t="s">
        <v>434</v>
      </c>
      <c r="B44" s="247">
        <f>'九、开发成本F2-11'!G33</f>
        <v>0</v>
      </c>
      <c r="C44" s="247">
        <f>'九、开发成本F2-11'!H33</f>
        <v>0</v>
      </c>
      <c r="D44" s="247">
        <f>'九、开发成本F2-11'!I33</f>
        <v>0</v>
      </c>
      <c r="E44" s="246">
        <f t="shared" si="6"/>
        <v>0</v>
      </c>
      <c r="F44" s="246">
        <f>'九、开发成本F2-11'!K33+'九、开发成本F2-11'!L33</f>
        <v>0</v>
      </c>
      <c r="G44" s="246">
        <f>'九、开发成本F2-11'!M33+'九、开发成本F2-11'!O33</f>
        <v>0</v>
      </c>
      <c r="H44" s="246">
        <f>'九、开发成本F2-11'!N33+'九、开发成本F2-11'!P33</f>
        <v>0</v>
      </c>
      <c r="I44" s="247">
        <f>B44+F44</f>
        <v>0</v>
      </c>
      <c r="J44" s="247">
        <f t="shared" si="9"/>
        <v>0</v>
      </c>
      <c r="K44" s="129"/>
      <c r="L44" s="247">
        <f>J44-K44</f>
        <v>0</v>
      </c>
      <c r="M44" s="247">
        <f t="shared" si="11"/>
        <v>0</v>
      </c>
      <c r="N44" s="129"/>
      <c r="O44" s="129"/>
      <c r="P44" s="247">
        <f t="shared" si="7"/>
        <v>0</v>
      </c>
      <c r="Q44" s="246">
        <f t="shared" si="8"/>
        <v>0</v>
      </c>
    </row>
    <row r="45" spans="1:17" ht="19.05" customHeight="1">
      <c r="A45" s="346" t="s">
        <v>411</v>
      </c>
      <c r="B45" s="247">
        <f>'十、合同履约成本F2-12'!F21</f>
        <v>0</v>
      </c>
      <c r="C45" s="247">
        <f>'十、合同履约成本F2-12'!G21</f>
        <v>0</v>
      </c>
      <c r="D45" s="247">
        <f>'十、合同履约成本F2-12'!H21</f>
        <v>0</v>
      </c>
      <c r="E45" s="246">
        <f>B45+C45-D45</f>
        <v>0</v>
      </c>
      <c r="F45" s="40"/>
      <c r="G45" s="128"/>
      <c r="H45" s="40"/>
      <c r="I45" s="247">
        <f>B45+F45</f>
        <v>0</v>
      </c>
      <c r="J45" s="247">
        <f>C45+G45</f>
        <v>0</v>
      </c>
      <c r="K45" s="129"/>
      <c r="L45" s="247">
        <f>J45-K45</f>
        <v>0</v>
      </c>
      <c r="M45" s="247">
        <f>D45+H45</f>
        <v>0</v>
      </c>
      <c r="N45" s="129"/>
      <c r="O45" s="129"/>
      <c r="P45" s="247">
        <f>M45-N45-O45</f>
        <v>0</v>
      </c>
      <c r="Q45" s="246">
        <f>I45+J45-M45</f>
        <v>0</v>
      </c>
    </row>
    <row r="46" spans="1:17" ht="19.05" customHeight="1">
      <c r="A46" s="346" t="s">
        <v>435</v>
      </c>
      <c r="B46" s="247">
        <f>'十一、消耗性生物资产F2-13'!$C$40</f>
        <v>0</v>
      </c>
      <c r="C46" s="247">
        <f>'十一、消耗性生物资产F2-13'!$D$40</f>
        <v>0</v>
      </c>
      <c r="D46" s="247">
        <f>'十一、消耗性生物资产F2-13'!$E$40</f>
        <v>0</v>
      </c>
      <c r="E46" s="246">
        <f>B46+C46-D46</f>
        <v>0</v>
      </c>
      <c r="F46" s="246">
        <f>'十一、消耗性生物资产F2-13'!G40+'十一、消耗性生物资产F2-13'!H40</f>
        <v>0</v>
      </c>
      <c r="G46" s="246">
        <f>'十一、消耗性生物资产F2-13'!I40+'十一、消耗性生物资产F2-13'!K40</f>
        <v>0</v>
      </c>
      <c r="H46" s="246">
        <f>'十一、消耗性生物资产F2-13'!J40+'十一、消耗性生物资产F2-13'!L40</f>
        <v>0</v>
      </c>
      <c r="I46" s="247">
        <f>B46+F46</f>
        <v>0</v>
      </c>
      <c r="J46" s="247">
        <f t="shared" ref="I46:J48" si="12">C46+G46</f>
        <v>0</v>
      </c>
      <c r="K46" s="129"/>
      <c r="L46" s="247">
        <f t="shared" si="10"/>
        <v>0</v>
      </c>
      <c r="M46" s="247">
        <f t="shared" si="11"/>
        <v>0</v>
      </c>
      <c r="N46" s="129"/>
      <c r="O46" s="129"/>
      <c r="P46" s="247">
        <f>M46-N46-O46</f>
        <v>0</v>
      </c>
      <c r="Q46" s="246">
        <f t="shared" si="8"/>
        <v>0</v>
      </c>
    </row>
    <row r="47" spans="1:17" ht="19.05" customHeight="1">
      <c r="A47" s="346" t="s">
        <v>436</v>
      </c>
      <c r="B47" s="129"/>
      <c r="C47" s="129"/>
      <c r="D47" s="129"/>
      <c r="E47" s="246">
        <f>B47+C47-D47</f>
        <v>0</v>
      </c>
      <c r="F47" s="193"/>
      <c r="G47" s="193"/>
      <c r="H47" s="193"/>
      <c r="I47" s="247">
        <f>B47+F47</f>
        <v>0</v>
      </c>
      <c r="J47" s="247">
        <f t="shared" ref="J47" si="13">C47+G47</f>
        <v>0</v>
      </c>
      <c r="K47" s="129"/>
      <c r="L47" s="247">
        <f>J47-K47</f>
        <v>0</v>
      </c>
      <c r="M47" s="247">
        <f t="shared" ref="M47" si="14">D47+H47</f>
        <v>0</v>
      </c>
      <c r="N47" s="129"/>
      <c r="O47" s="129"/>
      <c r="P47" s="247">
        <f>M47-N47-O47</f>
        <v>0</v>
      </c>
      <c r="Q47" s="246">
        <f t="shared" ref="Q47" si="15">I47+J47-M47</f>
        <v>0</v>
      </c>
    </row>
    <row r="48" spans="1:17" ht="19.05" customHeight="1">
      <c r="A48" s="346" t="s">
        <v>212</v>
      </c>
      <c r="B48" s="40"/>
      <c r="C48" s="40"/>
      <c r="D48" s="40"/>
      <c r="E48" s="246">
        <f t="shared" si="6"/>
        <v>0</v>
      </c>
      <c r="F48" s="40"/>
      <c r="G48" s="128"/>
      <c r="H48" s="40"/>
      <c r="I48" s="247">
        <f t="shared" si="12"/>
        <v>0</v>
      </c>
      <c r="J48" s="247">
        <f t="shared" si="12"/>
        <v>0</v>
      </c>
      <c r="K48" s="129"/>
      <c r="L48" s="247">
        <f t="shared" si="10"/>
        <v>0</v>
      </c>
      <c r="M48" s="247">
        <f t="shared" si="11"/>
        <v>0</v>
      </c>
      <c r="N48" s="129"/>
      <c r="O48" s="129"/>
      <c r="P48" s="247">
        <f t="shared" si="7"/>
        <v>0</v>
      </c>
      <c r="Q48" s="246">
        <f t="shared" si="8"/>
        <v>0</v>
      </c>
    </row>
    <row r="49" spans="1:17" ht="19.05" customHeight="1">
      <c r="A49" s="254" t="s">
        <v>414</v>
      </c>
      <c r="B49" s="247">
        <f t="shared" ref="B49:Q49" si="16">SUM(B35:B48)</f>
        <v>0</v>
      </c>
      <c r="C49" s="247">
        <f t="shared" si="16"/>
        <v>0</v>
      </c>
      <c r="D49" s="247">
        <f t="shared" si="16"/>
        <v>0</v>
      </c>
      <c r="E49" s="247">
        <f t="shared" si="16"/>
        <v>0</v>
      </c>
      <c r="F49" s="247">
        <f t="shared" si="16"/>
        <v>0</v>
      </c>
      <c r="G49" s="247">
        <f t="shared" si="16"/>
        <v>0</v>
      </c>
      <c r="H49" s="247">
        <f t="shared" si="16"/>
        <v>0</v>
      </c>
      <c r="I49" s="247">
        <f t="shared" si="16"/>
        <v>0</v>
      </c>
      <c r="J49" s="247">
        <f t="shared" si="16"/>
        <v>0</v>
      </c>
      <c r="K49" s="247">
        <f t="shared" si="16"/>
        <v>0</v>
      </c>
      <c r="L49" s="247">
        <f t="shared" si="16"/>
        <v>0</v>
      </c>
      <c r="M49" s="247">
        <f t="shared" si="16"/>
        <v>0</v>
      </c>
      <c r="N49" s="247">
        <f t="shared" si="16"/>
        <v>0</v>
      </c>
      <c r="O49" s="247">
        <f t="shared" si="16"/>
        <v>0</v>
      </c>
      <c r="P49" s="247">
        <f t="shared" si="16"/>
        <v>0</v>
      </c>
      <c r="Q49" s="247">
        <f t="shared" si="16"/>
        <v>0</v>
      </c>
    </row>
    <row r="50" spans="1:17" ht="19.05" customHeight="1">
      <c r="A50" s="253" t="s">
        <v>437</v>
      </c>
      <c r="B50" s="37"/>
      <c r="C50" s="37"/>
      <c r="D50" s="37"/>
      <c r="E50" s="37"/>
      <c r="F50" s="37"/>
      <c r="G50" s="39"/>
      <c r="H50" s="37"/>
      <c r="I50" s="37"/>
    </row>
    <row r="51" spans="1:17" ht="19.05" customHeight="1">
      <c r="A51" s="500" t="s">
        <v>438</v>
      </c>
      <c r="B51" s="501" t="s">
        <v>439</v>
      </c>
      <c r="C51" s="501"/>
      <c r="D51" s="501" t="s">
        <v>440</v>
      </c>
      <c r="E51" s="501"/>
      <c r="F51" s="255" t="s">
        <v>441</v>
      </c>
      <c r="G51" s="255"/>
      <c r="H51" s="507" t="s">
        <v>442</v>
      </c>
      <c r="I51" s="507" t="s">
        <v>443</v>
      </c>
      <c r="J51" s="507" t="s">
        <v>444</v>
      </c>
      <c r="K51" s="509" t="s">
        <v>445</v>
      </c>
    </row>
    <row r="52" spans="1:17" ht="19.05" customHeight="1">
      <c r="A52" s="500"/>
      <c r="B52" s="232" t="s">
        <v>446</v>
      </c>
      <c r="C52" s="232" t="s">
        <v>432</v>
      </c>
      <c r="D52" s="232" t="s">
        <v>447</v>
      </c>
      <c r="E52" s="232" t="s">
        <v>448</v>
      </c>
      <c r="F52" s="232" t="s">
        <v>449</v>
      </c>
      <c r="G52" s="232" t="s">
        <v>450</v>
      </c>
      <c r="H52" s="508"/>
      <c r="I52" s="508"/>
      <c r="J52" s="508"/>
      <c r="K52" s="510"/>
    </row>
    <row r="53" spans="1:17" ht="19.05" customHeight="1">
      <c r="A53" s="346" t="s">
        <v>401</v>
      </c>
      <c r="B53" s="246">
        <f>B17-B35</f>
        <v>0</v>
      </c>
      <c r="C53" s="246">
        <f>E17-E35</f>
        <v>0</v>
      </c>
      <c r="D53" s="246">
        <f t="shared" ref="D53:D62" si="17">I17-I35</f>
        <v>0</v>
      </c>
      <c r="E53" s="246">
        <f t="shared" ref="E53:E62" si="18">L17-Q35</f>
        <v>0</v>
      </c>
      <c r="F53" s="248">
        <f t="shared" ref="F53:F62" si="19">IF(B53=0,0,(C53-B53)/B53)</f>
        <v>0</v>
      </c>
      <c r="G53" s="249">
        <f t="shared" ref="G53:G62" si="20">IF(D53=0,0,(E53-D53)/D53)</f>
        <v>0</v>
      </c>
      <c r="H53" s="40"/>
      <c r="I53" s="40"/>
      <c r="J53" s="40"/>
      <c r="K53" s="40"/>
    </row>
    <row r="54" spans="1:17" ht="19.05" customHeight="1">
      <c r="A54" s="346" t="s">
        <v>402</v>
      </c>
      <c r="B54" s="246">
        <f>B18-B36</f>
        <v>0</v>
      </c>
      <c r="C54" s="246">
        <f t="shared" ref="C54:C62" si="21">E18-E36</f>
        <v>0</v>
      </c>
      <c r="D54" s="246">
        <f t="shared" si="17"/>
        <v>0</v>
      </c>
      <c r="E54" s="246">
        <f t="shared" si="18"/>
        <v>0</v>
      </c>
      <c r="F54" s="248">
        <f t="shared" si="19"/>
        <v>0</v>
      </c>
      <c r="G54" s="249">
        <f t="shared" si="20"/>
        <v>0</v>
      </c>
      <c r="H54" s="40"/>
      <c r="I54" s="40"/>
      <c r="J54" s="40"/>
      <c r="K54" s="40"/>
    </row>
    <row r="55" spans="1:17" ht="19.05" customHeight="1">
      <c r="A55" s="346" t="s">
        <v>403</v>
      </c>
      <c r="B55" s="246">
        <f>B19-B37</f>
        <v>0</v>
      </c>
      <c r="C55" s="246">
        <f t="shared" si="21"/>
        <v>0</v>
      </c>
      <c r="D55" s="246">
        <f t="shared" si="17"/>
        <v>0</v>
      </c>
      <c r="E55" s="246">
        <f t="shared" si="18"/>
        <v>0</v>
      </c>
      <c r="F55" s="248">
        <f t="shared" si="19"/>
        <v>0</v>
      </c>
      <c r="G55" s="249">
        <f t="shared" si="20"/>
        <v>0</v>
      </c>
      <c r="H55" s="40"/>
      <c r="I55" s="40"/>
      <c r="J55" s="40"/>
      <c r="K55" s="40"/>
    </row>
    <row r="56" spans="1:17" ht="19.05" customHeight="1">
      <c r="A56" s="346" t="s">
        <v>404</v>
      </c>
      <c r="B56" s="246">
        <f>B20-B38</f>
        <v>0</v>
      </c>
      <c r="C56" s="246">
        <f t="shared" si="21"/>
        <v>0</v>
      </c>
      <c r="D56" s="246">
        <f t="shared" si="17"/>
        <v>0</v>
      </c>
      <c r="E56" s="246">
        <f t="shared" si="18"/>
        <v>0</v>
      </c>
      <c r="F56" s="248">
        <f t="shared" si="19"/>
        <v>0</v>
      </c>
      <c r="G56" s="249">
        <f t="shared" si="20"/>
        <v>0</v>
      </c>
      <c r="H56" s="40"/>
      <c r="I56" s="40"/>
      <c r="J56" s="40"/>
      <c r="K56" s="40"/>
    </row>
    <row r="57" spans="1:17" ht="19.05" customHeight="1">
      <c r="A57" s="346" t="s">
        <v>405</v>
      </c>
      <c r="B57" s="246">
        <f>B21-B39</f>
        <v>0</v>
      </c>
      <c r="C57" s="246">
        <f t="shared" si="21"/>
        <v>0</v>
      </c>
      <c r="D57" s="246">
        <f t="shared" si="17"/>
        <v>0</v>
      </c>
      <c r="E57" s="246">
        <f t="shared" si="18"/>
        <v>0</v>
      </c>
      <c r="F57" s="248">
        <f t="shared" si="19"/>
        <v>0</v>
      </c>
      <c r="G57" s="249">
        <f t="shared" si="20"/>
        <v>0</v>
      </c>
      <c r="H57" s="40"/>
      <c r="I57" s="40"/>
      <c r="J57" s="40"/>
      <c r="K57" s="40"/>
    </row>
    <row r="58" spans="1:17" ht="19.05" customHeight="1">
      <c r="A58" s="346" t="s">
        <v>406</v>
      </c>
      <c r="B58" s="246">
        <f t="shared" ref="B58:B61" si="22">B22-B40</f>
        <v>0</v>
      </c>
      <c r="C58" s="246">
        <f t="shared" si="21"/>
        <v>0</v>
      </c>
      <c r="D58" s="246">
        <f t="shared" si="17"/>
        <v>0</v>
      </c>
      <c r="E58" s="246">
        <f t="shared" si="18"/>
        <v>0</v>
      </c>
      <c r="F58" s="248">
        <f t="shared" si="19"/>
        <v>0</v>
      </c>
      <c r="G58" s="249">
        <f t="shared" si="20"/>
        <v>0</v>
      </c>
      <c r="H58" s="40"/>
      <c r="I58" s="40"/>
      <c r="J58" s="40"/>
      <c r="K58" s="40"/>
    </row>
    <row r="59" spans="1:17" ht="19.05" customHeight="1">
      <c r="A59" s="346" t="s">
        <v>407</v>
      </c>
      <c r="B59" s="246">
        <f>B23-B41</f>
        <v>0</v>
      </c>
      <c r="C59" s="246">
        <f t="shared" si="21"/>
        <v>0</v>
      </c>
      <c r="D59" s="246">
        <f t="shared" si="17"/>
        <v>0</v>
      </c>
      <c r="E59" s="246">
        <f t="shared" si="18"/>
        <v>0</v>
      </c>
      <c r="F59" s="248">
        <f t="shared" si="19"/>
        <v>0</v>
      </c>
      <c r="G59" s="249">
        <f t="shared" si="20"/>
        <v>0</v>
      </c>
      <c r="H59" s="40"/>
      <c r="I59" s="40"/>
      <c r="J59" s="40"/>
      <c r="K59" s="40"/>
    </row>
    <row r="60" spans="1:17" ht="19.05" customHeight="1">
      <c r="A60" s="346" t="s">
        <v>408</v>
      </c>
      <c r="B60" s="246">
        <f>B24-B42</f>
        <v>0</v>
      </c>
      <c r="C60" s="246">
        <f t="shared" si="21"/>
        <v>0</v>
      </c>
      <c r="D60" s="246">
        <f t="shared" si="17"/>
        <v>0</v>
      </c>
      <c r="E60" s="246">
        <f t="shared" si="18"/>
        <v>0</v>
      </c>
      <c r="F60" s="248">
        <f t="shared" si="19"/>
        <v>0</v>
      </c>
      <c r="G60" s="249">
        <f t="shared" si="20"/>
        <v>0</v>
      </c>
      <c r="H60" s="40"/>
      <c r="I60" s="40"/>
      <c r="J60" s="40"/>
      <c r="K60" s="40"/>
    </row>
    <row r="61" spans="1:17" ht="19.05" customHeight="1">
      <c r="A61" s="346" t="s">
        <v>451</v>
      </c>
      <c r="B61" s="246">
        <f t="shared" si="22"/>
        <v>0</v>
      </c>
      <c r="C61" s="246">
        <f t="shared" si="21"/>
        <v>0</v>
      </c>
      <c r="D61" s="246">
        <f t="shared" si="17"/>
        <v>0</v>
      </c>
      <c r="E61" s="246">
        <f t="shared" si="18"/>
        <v>0</v>
      </c>
      <c r="F61" s="248">
        <f t="shared" si="19"/>
        <v>0</v>
      </c>
      <c r="G61" s="249">
        <f t="shared" si="20"/>
        <v>0</v>
      </c>
      <c r="H61" s="40"/>
      <c r="I61" s="40"/>
      <c r="J61" s="40"/>
      <c r="K61" s="40"/>
    </row>
    <row r="62" spans="1:17" ht="19.05" customHeight="1">
      <c r="A62" s="346" t="s">
        <v>452</v>
      </c>
      <c r="B62" s="246">
        <f>B26-B44</f>
        <v>0</v>
      </c>
      <c r="C62" s="246">
        <f t="shared" si="21"/>
        <v>0</v>
      </c>
      <c r="D62" s="246">
        <f t="shared" si="17"/>
        <v>0</v>
      </c>
      <c r="E62" s="246">
        <f t="shared" si="18"/>
        <v>0</v>
      </c>
      <c r="F62" s="248">
        <f t="shared" si="19"/>
        <v>0</v>
      </c>
      <c r="G62" s="249">
        <f t="shared" si="20"/>
        <v>0</v>
      </c>
      <c r="H62" s="40"/>
      <c r="I62" s="40"/>
      <c r="J62" s="40"/>
      <c r="K62" s="40"/>
    </row>
    <row r="63" spans="1:17" ht="19.05" customHeight="1">
      <c r="A63" s="346" t="s">
        <v>453</v>
      </c>
      <c r="B63" s="246">
        <f>B27-B45</f>
        <v>0</v>
      </c>
      <c r="C63" s="246">
        <f t="shared" ref="C63" si="23">E27-E45</f>
        <v>0</v>
      </c>
      <c r="D63" s="246">
        <f>I27-I45</f>
        <v>0</v>
      </c>
      <c r="E63" s="246">
        <f t="shared" ref="E63" si="24">L27-Q45</f>
        <v>0</v>
      </c>
      <c r="F63" s="248">
        <f t="shared" ref="F63" si="25">IF(B63=0,0,(C63-B63)/B63)</f>
        <v>0</v>
      </c>
      <c r="G63" s="249">
        <f t="shared" ref="G63" si="26">IF(D63=0,0,(E63-D63)/D63)</f>
        <v>0</v>
      </c>
      <c r="H63" s="40"/>
      <c r="I63" s="40"/>
      <c r="J63" s="40"/>
      <c r="K63" s="40"/>
    </row>
    <row r="64" spans="1:17" ht="19.05" customHeight="1">
      <c r="A64" s="346" t="s">
        <v>454</v>
      </c>
      <c r="B64" s="246">
        <f>B28-B46</f>
        <v>0</v>
      </c>
      <c r="C64" s="246">
        <f>E28-E46</f>
        <v>0</v>
      </c>
      <c r="D64" s="246">
        <f>I28-I46</f>
        <v>0</v>
      </c>
      <c r="E64" s="246">
        <f>L28-Q46</f>
        <v>0</v>
      </c>
      <c r="F64" s="248">
        <f>IF(B64=0,0,(C64-B64)/B64)</f>
        <v>0</v>
      </c>
      <c r="G64" s="249">
        <f>IF(D64=0,0,(E64-D64)/D64)</f>
        <v>0</v>
      </c>
      <c r="H64" s="40"/>
      <c r="I64" s="40"/>
      <c r="J64" s="40"/>
      <c r="K64" s="40"/>
    </row>
    <row r="65" spans="1:11" ht="19.05" customHeight="1">
      <c r="A65" s="346" t="s">
        <v>436</v>
      </c>
      <c r="B65" s="246">
        <f>B29-B47</f>
        <v>0</v>
      </c>
      <c r="C65" s="246">
        <f>E29-E47</f>
        <v>0</v>
      </c>
      <c r="D65" s="246">
        <f>I29-I47</f>
        <v>0</v>
      </c>
      <c r="E65" s="246">
        <f>L29-Q47</f>
        <v>0</v>
      </c>
      <c r="F65" s="248">
        <f>IF(B65=0,0,(C65-B65)/B65)</f>
        <v>0</v>
      </c>
      <c r="G65" s="249">
        <f>IF(D65=0,0,(E65-D65)/D65)</f>
        <v>0</v>
      </c>
      <c r="H65" s="40"/>
      <c r="I65" s="40"/>
      <c r="J65" s="40"/>
      <c r="K65" s="40"/>
    </row>
    <row r="66" spans="1:11" ht="19.05" customHeight="1">
      <c r="A66" s="346" t="s">
        <v>212</v>
      </c>
      <c r="B66" s="246">
        <f>B30-B48</f>
        <v>0</v>
      </c>
      <c r="C66" s="246">
        <f>E30-E48</f>
        <v>0</v>
      </c>
      <c r="D66" s="246">
        <f>I30-I48</f>
        <v>0</v>
      </c>
      <c r="E66" s="246">
        <f>L30-Q48</f>
        <v>0</v>
      </c>
      <c r="F66" s="248">
        <f>IF(B66=0,0,(C66-B66)/B66)</f>
        <v>0</v>
      </c>
      <c r="G66" s="249">
        <f>IF(D66=0,0,(E66-D66)/D66)</f>
        <v>0</v>
      </c>
      <c r="H66" s="40"/>
      <c r="I66" s="40"/>
      <c r="J66" s="40"/>
      <c r="K66" s="40"/>
    </row>
    <row r="67" spans="1:11" ht="19.05" customHeight="1">
      <c r="A67" s="254" t="s">
        <v>455</v>
      </c>
      <c r="B67" s="250">
        <f>SUM(B53:B66)</f>
        <v>0</v>
      </c>
      <c r="C67" s="250">
        <f>SUM(C53:C66)</f>
        <v>0</v>
      </c>
      <c r="D67" s="250">
        <f>SUM(D53:D66)</f>
        <v>0</v>
      </c>
      <c r="E67" s="250">
        <f>SUM(E53:E66)</f>
        <v>0</v>
      </c>
      <c r="F67" s="251">
        <f>IF(B67=0,0,(C67-B67)/B67)</f>
        <v>0</v>
      </c>
      <c r="G67" s="252">
        <f>IF(D67=0,0,(E67-D67)/D67)</f>
        <v>0</v>
      </c>
      <c r="H67" s="42"/>
      <c r="I67" s="42"/>
      <c r="J67" s="42"/>
      <c r="K67" s="42"/>
    </row>
    <row r="68" spans="1:11" ht="19.05" customHeight="1">
      <c r="A68" s="127" t="s">
        <v>214</v>
      </c>
      <c r="B68" s="37"/>
      <c r="C68" s="37"/>
      <c r="D68" s="37"/>
      <c r="E68" s="37"/>
      <c r="F68" s="37"/>
      <c r="G68" s="37"/>
      <c r="H68" s="37"/>
      <c r="I68" s="37"/>
    </row>
    <row r="69" spans="1:11" ht="19.05" customHeight="1">
      <c r="A69" s="127"/>
      <c r="B69" s="37"/>
      <c r="C69" s="37"/>
      <c r="D69" s="37"/>
      <c r="E69" s="37"/>
      <c r="F69" s="37"/>
      <c r="G69" s="37"/>
      <c r="H69" s="37"/>
      <c r="I69" s="37"/>
    </row>
    <row r="70" spans="1:11" ht="19.05" customHeight="1">
      <c r="A70" s="127" t="s">
        <v>456</v>
      </c>
      <c r="B70" s="37"/>
      <c r="C70" s="37"/>
      <c r="D70" s="37"/>
      <c r="E70" s="37"/>
      <c r="F70" s="37"/>
      <c r="G70" s="37"/>
      <c r="H70" s="37"/>
      <c r="I70" s="37"/>
    </row>
    <row r="71" spans="1:11" ht="19.05" customHeight="1">
      <c r="A71" s="127"/>
      <c r="B71" s="37"/>
      <c r="C71" s="37"/>
      <c r="D71" s="37"/>
      <c r="E71" s="37"/>
      <c r="F71" s="37"/>
      <c r="G71" s="37"/>
      <c r="H71" s="37"/>
      <c r="I71" s="37"/>
    </row>
    <row r="72" spans="1:11" ht="19.05" customHeight="1">
      <c r="A72" s="37"/>
      <c r="B72" s="37"/>
      <c r="C72" s="37"/>
      <c r="D72" s="37"/>
      <c r="E72" s="37"/>
      <c r="F72" s="37"/>
      <c r="G72" s="37"/>
      <c r="H72" s="37"/>
      <c r="I72" s="37"/>
    </row>
    <row r="73" spans="1:11" ht="18" customHeight="1"/>
    <row r="74" spans="1:11">
      <c r="A74" s="26" t="s">
        <v>786</v>
      </c>
    </row>
    <row r="75" spans="1:11">
      <c r="A75" s="431" t="s">
        <v>787</v>
      </c>
    </row>
    <row r="76" spans="1:11">
      <c r="A76" s="431" t="s">
        <v>788</v>
      </c>
    </row>
  </sheetData>
  <mergeCells count="21">
    <mergeCell ref="A1:Q1"/>
    <mergeCell ref="A2:Q2"/>
    <mergeCell ref="A15:A16"/>
    <mergeCell ref="B15:E15"/>
    <mergeCell ref="G15:H15"/>
    <mergeCell ref="I15:L15"/>
    <mergeCell ref="M15:M16"/>
    <mergeCell ref="N15:N16"/>
    <mergeCell ref="F15:F16"/>
    <mergeCell ref="A33:A34"/>
    <mergeCell ref="B33:E33"/>
    <mergeCell ref="G33:H33"/>
    <mergeCell ref="I33:Q33"/>
    <mergeCell ref="A51:A52"/>
    <mergeCell ref="B51:C51"/>
    <mergeCell ref="D51:E51"/>
    <mergeCell ref="H51:H52"/>
    <mergeCell ref="I51:I52"/>
    <mergeCell ref="J51:J52"/>
    <mergeCell ref="K51:K52"/>
    <mergeCell ref="F33:F34"/>
  </mergeCells>
  <phoneticPr fontId="17" type="noConversion"/>
  <hyperlinks>
    <hyperlink ref="Q3" location="底稿目录!A1" display="底稿目录!A1"/>
  </hyperlinks>
  <pageMargins left="0.70866141732283472" right="0.70866141732283472" top="0.74803149606299213" bottom="0.74803149606299213" header="0.31496062992125984" footer="0.31496062992125984"/>
  <pageSetup paperSize="9" scale="66" fitToHeight="0" orientation="landscape" blackAndWhite="1" r:id="rId1"/>
  <headerFooter>
    <oddFooter>&amp;C&amp;P/&amp;N</oddFooter>
  </headerFooter>
  <rowBreaks count="1" manualBreakCount="1">
    <brk id="31" max="16"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U51"/>
  <sheetViews>
    <sheetView view="pageBreakPreview" zoomScaleSheetLayoutView="100" workbookViewId="0">
      <selection activeCell="D6" sqref="D6:D8"/>
    </sheetView>
  </sheetViews>
  <sheetFormatPr defaultColWidth="9" defaultRowHeight="15.6"/>
  <cols>
    <col min="1" max="1" width="9.09765625" style="15" customWidth="1"/>
    <col min="2" max="2" width="15.296875" style="15" customWidth="1"/>
    <col min="3" max="3" width="5.3984375" style="15" customWidth="1"/>
    <col min="4" max="4" width="6.09765625" style="15" customWidth="1"/>
    <col min="5" max="5" width="4.796875" style="15" customWidth="1"/>
    <col min="6" max="6" width="6.8984375" style="15" customWidth="1"/>
    <col min="7" max="7" width="10.59765625" style="15" customWidth="1"/>
    <col min="8" max="8" width="5.09765625" style="15" customWidth="1"/>
    <col min="9" max="9" width="6.19921875" style="15" customWidth="1"/>
    <col min="10" max="10" width="9.8984375" style="15" customWidth="1"/>
    <col min="11" max="11" width="5.796875" style="15" customWidth="1"/>
    <col min="12" max="12" width="6.3984375" style="15" customWidth="1"/>
    <col min="13" max="13" width="10.09765625" style="15" customWidth="1"/>
    <col min="14" max="14" width="6.09765625" style="15" customWidth="1"/>
    <col min="15" max="15" width="5.796875" style="15" customWidth="1"/>
    <col min="16" max="16" width="11.5" style="15" customWidth="1"/>
    <col min="17" max="20" width="9" style="15" customWidth="1"/>
    <col min="21" max="16384" width="9" style="15"/>
  </cols>
  <sheetData>
    <row r="1" spans="1:21" s="8" customFormat="1" ht="20.100000000000001" customHeight="1">
      <c r="A1" s="511" t="s">
        <v>55</v>
      </c>
      <c r="B1" s="511"/>
      <c r="C1" s="511"/>
      <c r="D1" s="511"/>
      <c r="E1" s="511"/>
      <c r="F1" s="511"/>
      <c r="G1" s="511"/>
      <c r="H1" s="511"/>
      <c r="I1" s="511"/>
      <c r="J1" s="511"/>
      <c r="K1" s="511"/>
      <c r="L1" s="511"/>
      <c r="M1" s="511"/>
      <c r="N1" s="511"/>
      <c r="O1" s="511"/>
      <c r="P1" s="511"/>
      <c r="Q1" s="511"/>
      <c r="R1" s="511"/>
      <c r="S1" s="511"/>
      <c r="T1" s="511"/>
      <c r="U1" s="511"/>
    </row>
    <row r="2" spans="1:21" s="8" customFormat="1" ht="25.05" customHeight="1">
      <c r="A2" s="512" t="s">
        <v>0</v>
      </c>
      <c r="B2" s="512"/>
      <c r="C2" s="512"/>
      <c r="D2" s="512"/>
      <c r="E2" s="512"/>
      <c r="F2" s="512"/>
      <c r="G2" s="512"/>
      <c r="H2" s="512"/>
      <c r="I2" s="512"/>
      <c r="J2" s="512"/>
      <c r="K2" s="512"/>
      <c r="L2" s="512"/>
      <c r="M2" s="512"/>
      <c r="N2" s="512"/>
      <c r="O2" s="512"/>
      <c r="P2" s="512"/>
      <c r="Q2" s="512"/>
      <c r="R2" s="512"/>
      <c r="S2" s="512"/>
      <c r="T2" s="512"/>
      <c r="U2" s="512"/>
    </row>
    <row r="3" spans="1:21" s="11" customFormat="1" ht="20.100000000000001" customHeight="1">
      <c r="A3" s="9" t="str">
        <f>底稿目录!A2</f>
        <v>被审计单位：</v>
      </c>
      <c r="B3" s="9"/>
      <c r="D3" s="10"/>
      <c r="F3" s="9" t="str">
        <f>底稿目录!A4</f>
        <v>编制人：</v>
      </c>
      <c r="L3" s="62"/>
      <c r="M3" s="9" t="str">
        <f>底稿目录!A5</f>
        <v>编制日期：</v>
      </c>
      <c r="R3" s="9"/>
      <c r="S3" s="9"/>
      <c r="T3" s="9" t="s">
        <v>83</v>
      </c>
      <c r="U3" s="406" t="str">
        <f>底稿目录!F8</f>
        <v>F2-3</v>
      </c>
    </row>
    <row r="4" spans="1:21" s="11" customFormat="1" ht="20.100000000000001" customHeight="1">
      <c r="A4" s="9" t="str">
        <f>底稿目录!A3</f>
        <v>截止日：202X年12月21日</v>
      </c>
      <c r="B4" s="9"/>
      <c r="D4" s="10"/>
      <c r="F4" s="9" t="str">
        <f>底稿目录!A6</f>
        <v>复核人：</v>
      </c>
      <c r="L4" s="62"/>
      <c r="M4" s="9" t="str">
        <f>底稿目录!A7</f>
        <v>复核日期：</v>
      </c>
      <c r="R4" s="9"/>
      <c r="S4" s="9"/>
      <c r="T4" s="9" t="s">
        <v>61</v>
      </c>
      <c r="U4" s="9"/>
    </row>
    <row r="5" spans="1:21" s="11" customFormat="1" ht="20.100000000000001" customHeight="1">
      <c r="A5" s="7" t="s">
        <v>477</v>
      </c>
      <c r="B5" s="9"/>
      <c r="D5" s="10"/>
      <c r="F5" s="9"/>
      <c r="K5" s="9"/>
      <c r="L5" s="62"/>
      <c r="P5" s="9"/>
      <c r="Q5" s="9"/>
      <c r="R5" s="9"/>
      <c r="S5" s="9"/>
      <c r="T5" s="9"/>
    </row>
    <row r="6" spans="1:21" s="11" customFormat="1" ht="22.8" customHeight="1">
      <c r="A6" s="513" t="s">
        <v>473</v>
      </c>
      <c r="B6" s="513" t="s">
        <v>468</v>
      </c>
      <c r="C6" s="513" t="s">
        <v>474</v>
      </c>
      <c r="D6" s="513" t="s">
        <v>464</v>
      </c>
      <c r="E6" s="513" t="s">
        <v>470</v>
      </c>
      <c r="F6" s="513"/>
      <c r="G6" s="513"/>
      <c r="H6" s="513" t="s">
        <v>465</v>
      </c>
      <c r="I6" s="513"/>
      <c r="J6" s="513"/>
      <c r="K6" s="513" t="s">
        <v>463</v>
      </c>
      <c r="L6" s="513"/>
      <c r="M6" s="513"/>
      <c r="N6" s="513" t="s">
        <v>475</v>
      </c>
      <c r="O6" s="513"/>
      <c r="P6" s="513"/>
      <c r="Q6" s="514" t="s">
        <v>462</v>
      </c>
      <c r="R6" s="515"/>
      <c r="S6" s="515"/>
      <c r="T6" s="516"/>
      <c r="U6" s="519" t="s">
        <v>30</v>
      </c>
    </row>
    <row r="7" spans="1:21" s="11" customFormat="1" ht="18" customHeight="1">
      <c r="A7" s="513"/>
      <c r="B7" s="513"/>
      <c r="C7" s="513"/>
      <c r="D7" s="513"/>
      <c r="E7" s="513" t="s">
        <v>72</v>
      </c>
      <c r="F7" s="513" t="s">
        <v>80</v>
      </c>
      <c r="G7" s="513" t="s">
        <v>73</v>
      </c>
      <c r="H7" s="513" t="s">
        <v>72</v>
      </c>
      <c r="I7" s="513" t="s">
        <v>80</v>
      </c>
      <c r="J7" s="513" t="s">
        <v>73</v>
      </c>
      <c r="K7" s="513" t="s">
        <v>72</v>
      </c>
      <c r="L7" s="513" t="s">
        <v>80</v>
      </c>
      <c r="M7" s="513" t="s">
        <v>73</v>
      </c>
      <c r="N7" s="513" t="s">
        <v>72</v>
      </c>
      <c r="O7" s="513" t="s">
        <v>80</v>
      </c>
      <c r="P7" s="513" t="s">
        <v>73</v>
      </c>
      <c r="Q7" s="517" t="s">
        <v>915</v>
      </c>
      <c r="R7" s="517" t="s">
        <v>916</v>
      </c>
      <c r="S7" s="517" t="s">
        <v>917</v>
      </c>
      <c r="T7" s="517" t="s">
        <v>918</v>
      </c>
      <c r="U7" s="520"/>
    </row>
    <row r="8" spans="1:21" s="11" customFormat="1" ht="18.600000000000001" customHeight="1">
      <c r="A8" s="513"/>
      <c r="B8" s="513"/>
      <c r="C8" s="513"/>
      <c r="D8" s="513"/>
      <c r="E8" s="513"/>
      <c r="F8" s="513"/>
      <c r="G8" s="513"/>
      <c r="H8" s="513"/>
      <c r="I8" s="513"/>
      <c r="J8" s="513"/>
      <c r="K8" s="513"/>
      <c r="L8" s="513"/>
      <c r="M8" s="513"/>
      <c r="N8" s="513"/>
      <c r="O8" s="513"/>
      <c r="P8" s="513"/>
      <c r="Q8" s="518"/>
      <c r="R8" s="518"/>
      <c r="S8" s="518"/>
      <c r="T8" s="518"/>
      <c r="U8" s="520"/>
    </row>
    <row r="9" spans="1:21" s="11" customFormat="1" ht="20.100000000000001" customHeight="1">
      <c r="A9" s="23"/>
      <c r="B9" s="22"/>
      <c r="C9" s="35"/>
      <c r="D9" s="22"/>
      <c r="E9" s="271"/>
      <c r="F9" s="272">
        <f>IF(E9=0,0,G9/E9)</f>
        <v>0</v>
      </c>
      <c r="G9" s="271"/>
      <c r="H9" s="271"/>
      <c r="I9" s="272">
        <f>IF(H9=0,0,J9/H9)</f>
        <v>0</v>
      </c>
      <c r="J9" s="271"/>
      <c r="K9" s="271"/>
      <c r="L9" s="272">
        <f>IF(K9=0,0,M9/K9)</f>
        <v>0</v>
      </c>
      <c r="M9" s="271"/>
      <c r="N9" s="272">
        <f>E9+H9-K9</f>
        <v>0</v>
      </c>
      <c r="O9" s="272">
        <f>IF(N9=0,0,P9/N9)</f>
        <v>0</v>
      </c>
      <c r="P9" s="272">
        <f>G9+J9-M9</f>
        <v>0</v>
      </c>
      <c r="Q9" s="273"/>
      <c r="R9" s="273"/>
      <c r="S9" s="273"/>
      <c r="T9" s="273"/>
      <c r="U9" s="234"/>
    </row>
    <row r="10" spans="1:21" s="11" customFormat="1" ht="20.100000000000001" customHeight="1">
      <c r="A10" s="22"/>
      <c r="B10" s="22"/>
      <c r="C10" s="35"/>
      <c r="D10" s="22"/>
      <c r="E10" s="271"/>
      <c r="F10" s="274">
        <f t="shared" ref="F10:F24" si="0">IF(E10=0,0,G10/E10)</f>
        <v>0</v>
      </c>
      <c r="G10" s="271"/>
      <c r="H10" s="271"/>
      <c r="I10" s="274">
        <f t="shared" ref="I10:I24" si="1">IF(H10=0,0,J10/H10)</f>
        <v>0</v>
      </c>
      <c r="J10" s="271"/>
      <c r="K10" s="271"/>
      <c r="L10" s="274">
        <f t="shared" ref="L10:L24" si="2">IF(K10=0,0,M10/K10)</f>
        <v>0</v>
      </c>
      <c r="M10" s="271"/>
      <c r="N10" s="272">
        <f t="shared" ref="N10:N24" si="3">E10+H10-K10</f>
        <v>0</v>
      </c>
      <c r="O10" s="272">
        <f t="shared" ref="O10:O24" si="4">IF(N10=0,0,P10/N10)</f>
        <v>0</v>
      </c>
      <c r="P10" s="272">
        <f t="shared" ref="P10:P24" si="5">G10+J10-M10</f>
        <v>0</v>
      </c>
      <c r="Q10" s="273"/>
      <c r="R10" s="273"/>
      <c r="S10" s="273"/>
      <c r="T10" s="273"/>
      <c r="U10" s="234"/>
    </row>
    <row r="11" spans="1:21" s="11" customFormat="1" ht="20.100000000000001" customHeight="1">
      <c r="A11" s="22"/>
      <c r="B11" s="22"/>
      <c r="C11" s="35"/>
      <c r="D11" s="22"/>
      <c r="E11" s="271"/>
      <c r="F11" s="274">
        <f t="shared" si="0"/>
        <v>0</v>
      </c>
      <c r="G11" s="271"/>
      <c r="H11" s="271"/>
      <c r="I11" s="274">
        <f t="shared" si="1"/>
        <v>0</v>
      </c>
      <c r="J11" s="271"/>
      <c r="K11" s="271"/>
      <c r="L11" s="274">
        <f t="shared" si="2"/>
        <v>0</v>
      </c>
      <c r="M11" s="271"/>
      <c r="N11" s="272">
        <f t="shared" si="3"/>
        <v>0</v>
      </c>
      <c r="O11" s="272">
        <f t="shared" si="4"/>
        <v>0</v>
      </c>
      <c r="P11" s="272">
        <f t="shared" si="5"/>
        <v>0</v>
      </c>
      <c r="Q11" s="273"/>
      <c r="R11" s="273"/>
      <c r="S11" s="273"/>
      <c r="T11" s="273"/>
      <c r="U11" s="234"/>
    </row>
    <row r="12" spans="1:21" s="11" customFormat="1" ht="20.100000000000001" customHeight="1">
      <c r="A12" s="22"/>
      <c r="B12" s="22"/>
      <c r="C12" s="35"/>
      <c r="D12" s="22"/>
      <c r="E12" s="271"/>
      <c r="F12" s="274">
        <f t="shared" si="0"/>
        <v>0</v>
      </c>
      <c r="G12" s="271"/>
      <c r="H12" s="271"/>
      <c r="I12" s="274">
        <f t="shared" si="1"/>
        <v>0</v>
      </c>
      <c r="J12" s="271"/>
      <c r="K12" s="271"/>
      <c r="L12" s="274">
        <f t="shared" si="2"/>
        <v>0</v>
      </c>
      <c r="M12" s="271"/>
      <c r="N12" s="272">
        <f t="shared" si="3"/>
        <v>0</v>
      </c>
      <c r="O12" s="272">
        <f t="shared" si="4"/>
        <v>0</v>
      </c>
      <c r="P12" s="272">
        <f t="shared" si="5"/>
        <v>0</v>
      </c>
      <c r="Q12" s="273"/>
      <c r="R12" s="273"/>
      <c r="S12" s="273"/>
      <c r="T12" s="273"/>
      <c r="U12" s="234"/>
    </row>
    <row r="13" spans="1:21" s="11" customFormat="1" ht="20.100000000000001" customHeight="1">
      <c r="A13" s="22"/>
      <c r="B13" s="22"/>
      <c r="C13" s="35"/>
      <c r="D13" s="22"/>
      <c r="E13" s="271"/>
      <c r="F13" s="274">
        <f t="shared" si="0"/>
        <v>0</v>
      </c>
      <c r="G13" s="271"/>
      <c r="H13" s="271"/>
      <c r="I13" s="274">
        <f t="shared" si="1"/>
        <v>0</v>
      </c>
      <c r="J13" s="271"/>
      <c r="K13" s="271"/>
      <c r="L13" s="274">
        <f t="shared" si="2"/>
        <v>0</v>
      </c>
      <c r="M13" s="271"/>
      <c r="N13" s="272">
        <f t="shared" si="3"/>
        <v>0</v>
      </c>
      <c r="O13" s="272">
        <f t="shared" si="4"/>
        <v>0</v>
      </c>
      <c r="P13" s="272">
        <f t="shared" si="5"/>
        <v>0</v>
      </c>
      <c r="Q13" s="273"/>
      <c r="R13" s="273"/>
      <c r="S13" s="273"/>
      <c r="T13" s="273"/>
      <c r="U13" s="234"/>
    </row>
    <row r="14" spans="1:21" s="11" customFormat="1" ht="20.100000000000001" customHeight="1">
      <c r="A14" s="22"/>
      <c r="B14" s="22"/>
      <c r="C14" s="35"/>
      <c r="D14" s="22"/>
      <c r="E14" s="271"/>
      <c r="F14" s="274">
        <f t="shared" si="0"/>
        <v>0</v>
      </c>
      <c r="G14" s="271"/>
      <c r="H14" s="271"/>
      <c r="I14" s="274">
        <f t="shared" si="1"/>
        <v>0</v>
      </c>
      <c r="J14" s="271"/>
      <c r="K14" s="271"/>
      <c r="L14" s="274">
        <f t="shared" si="2"/>
        <v>0</v>
      </c>
      <c r="M14" s="271"/>
      <c r="N14" s="272">
        <f t="shared" si="3"/>
        <v>0</v>
      </c>
      <c r="O14" s="272">
        <f t="shared" si="4"/>
        <v>0</v>
      </c>
      <c r="P14" s="272">
        <f t="shared" si="5"/>
        <v>0</v>
      </c>
      <c r="Q14" s="273"/>
      <c r="R14" s="273"/>
      <c r="S14" s="273"/>
      <c r="T14" s="273"/>
      <c r="U14" s="234"/>
    </row>
    <row r="15" spans="1:21" s="11" customFormat="1" ht="20.100000000000001" customHeight="1">
      <c r="A15" s="22"/>
      <c r="B15" s="22"/>
      <c r="C15" s="35"/>
      <c r="D15" s="22"/>
      <c r="E15" s="271"/>
      <c r="F15" s="274">
        <f t="shared" si="0"/>
        <v>0</v>
      </c>
      <c r="G15" s="271"/>
      <c r="H15" s="271"/>
      <c r="I15" s="274">
        <f t="shared" si="1"/>
        <v>0</v>
      </c>
      <c r="J15" s="271"/>
      <c r="K15" s="271"/>
      <c r="L15" s="274">
        <f t="shared" si="2"/>
        <v>0</v>
      </c>
      <c r="M15" s="271"/>
      <c r="N15" s="272">
        <f t="shared" si="3"/>
        <v>0</v>
      </c>
      <c r="O15" s="272">
        <f t="shared" si="4"/>
        <v>0</v>
      </c>
      <c r="P15" s="272">
        <f t="shared" si="5"/>
        <v>0</v>
      </c>
      <c r="Q15" s="273"/>
      <c r="R15" s="273"/>
      <c r="S15" s="273"/>
      <c r="T15" s="273"/>
      <c r="U15" s="234"/>
    </row>
    <row r="16" spans="1:21" s="11" customFormat="1" ht="20.100000000000001" customHeight="1">
      <c r="A16" s="22"/>
      <c r="B16" s="22"/>
      <c r="C16" s="35"/>
      <c r="D16" s="22"/>
      <c r="E16" s="271"/>
      <c r="F16" s="274">
        <f t="shared" si="0"/>
        <v>0</v>
      </c>
      <c r="G16" s="271"/>
      <c r="H16" s="271"/>
      <c r="I16" s="274">
        <f t="shared" si="1"/>
        <v>0</v>
      </c>
      <c r="J16" s="271"/>
      <c r="K16" s="271"/>
      <c r="L16" s="274">
        <f t="shared" si="2"/>
        <v>0</v>
      </c>
      <c r="M16" s="271"/>
      <c r="N16" s="272">
        <f t="shared" si="3"/>
        <v>0</v>
      </c>
      <c r="O16" s="272">
        <f t="shared" si="4"/>
        <v>0</v>
      </c>
      <c r="P16" s="272">
        <f t="shared" si="5"/>
        <v>0</v>
      </c>
      <c r="Q16" s="273"/>
      <c r="R16" s="273"/>
      <c r="S16" s="273"/>
      <c r="T16" s="273"/>
      <c r="U16" s="234"/>
    </row>
    <row r="17" spans="1:21" s="11" customFormat="1" ht="20.100000000000001" customHeight="1">
      <c r="A17" s="22"/>
      <c r="B17" s="22"/>
      <c r="C17" s="35"/>
      <c r="D17" s="22"/>
      <c r="E17" s="271"/>
      <c r="F17" s="274">
        <f t="shared" si="0"/>
        <v>0</v>
      </c>
      <c r="G17" s="271"/>
      <c r="H17" s="271"/>
      <c r="I17" s="274">
        <f t="shared" si="1"/>
        <v>0</v>
      </c>
      <c r="J17" s="271"/>
      <c r="K17" s="271"/>
      <c r="L17" s="274">
        <f t="shared" si="2"/>
        <v>0</v>
      </c>
      <c r="M17" s="271"/>
      <c r="N17" s="272">
        <f t="shared" si="3"/>
        <v>0</v>
      </c>
      <c r="O17" s="272">
        <f t="shared" si="4"/>
        <v>0</v>
      </c>
      <c r="P17" s="272">
        <f t="shared" si="5"/>
        <v>0</v>
      </c>
      <c r="Q17" s="273"/>
      <c r="R17" s="273"/>
      <c r="S17" s="273"/>
      <c r="T17" s="273"/>
      <c r="U17" s="234"/>
    </row>
    <row r="18" spans="1:21" s="11" customFormat="1" ht="20.100000000000001" customHeight="1">
      <c r="A18" s="22"/>
      <c r="B18" s="22"/>
      <c r="C18" s="35"/>
      <c r="D18" s="22"/>
      <c r="E18" s="271"/>
      <c r="F18" s="274">
        <f t="shared" si="0"/>
        <v>0</v>
      </c>
      <c r="G18" s="271"/>
      <c r="H18" s="271"/>
      <c r="I18" s="274">
        <f t="shared" si="1"/>
        <v>0</v>
      </c>
      <c r="J18" s="271"/>
      <c r="K18" s="271"/>
      <c r="L18" s="274">
        <f t="shared" si="2"/>
        <v>0</v>
      </c>
      <c r="M18" s="271"/>
      <c r="N18" s="272">
        <f t="shared" si="3"/>
        <v>0</v>
      </c>
      <c r="O18" s="272">
        <f t="shared" si="4"/>
        <v>0</v>
      </c>
      <c r="P18" s="272">
        <f t="shared" si="5"/>
        <v>0</v>
      </c>
      <c r="Q18" s="273"/>
      <c r="R18" s="273"/>
      <c r="S18" s="273"/>
      <c r="T18" s="273"/>
      <c r="U18" s="234"/>
    </row>
    <row r="19" spans="1:21" s="11" customFormat="1" ht="20.100000000000001" customHeight="1">
      <c r="A19" s="22"/>
      <c r="B19" s="22"/>
      <c r="C19" s="35"/>
      <c r="D19" s="22"/>
      <c r="E19" s="271"/>
      <c r="F19" s="274">
        <f t="shared" si="0"/>
        <v>0</v>
      </c>
      <c r="G19" s="271"/>
      <c r="H19" s="271"/>
      <c r="I19" s="274">
        <f t="shared" si="1"/>
        <v>0</v>
      </c>
      <c r="J19" s="271"/>
      <c r="K19" s="271"/>
      <c r="L19" s="274">
        <f t="shared" si="2"/>
        <v>0</v>
      </c>
      <c r="M19" s="271"/>
      <c r="N19" s="272">
        <f t="shared" si="3"/>
        <v>0</v>
      </c>
      <c r="O19" s="272">
        <f t="shared" si="4"/>
        <v>0</v>
      </c>
      <c r="P19" s="272">
        <f t="shared" si="5"/>
        <v>0</v>
      </c>
      <c r="Q19" s="273"/>
      <c r="R19" s="273"/>
      <c r="S19" s="273"/>
      <c r="T19" s="273"/>
      <c r="U19" s="234"/>
    </row>
    <row r="20" spans="1:21" s="11" customFormat="1" ht="20.100000000000001" customHeight="1">
      <c r="A20" s="22"/>
      <c r="B20" s="22"/>
      <c r="C20" s="35"/>
      <c r="D20" s="22"/>
      <c r="E20" s="271"/>
      <c r="F20" s="274">
        <f t="shared" si="0"/>
        <v>0</v>
      </c>
      <c r="G20" s="271"/>
      <c r="H20" s="271"/>
      <c r="I20" s="274">
        <f t="shared" si="1"/>
        <v>0</v>
      </c>
      <c r="J20" s="271"/>
      <c r="K20" s="271"/>
      <c r="L20" s="274">
        <f t="shared" si="2"/>
        <v>0</v>
      </c>
      <c r="M20" s="271"/>
      <c r="N20" s="272">
        <f t="shared" si="3"/>
        <v>0</v>
      </c>
      <c r="O20" s="272">
        <f t="shared" si="4"/>
        <v>0</v>
      </c>
      <c r="P20" s="272">
        <f t="shared" si="5"/>
        <v>0</v>
      </c>
      <c r="Q20" s="273"/>
      <c r="R20" s="273"/>
      <c r="S20" s="273"/>
      <c r="T20" s="273"/>
      <c r="U20" s="234"/>
    </row>
    <row r="21" spans="1:21" s="11" customFormat="1" ht="20.100000000000001" customHeight="1">
      <c r="A21" s="22"/>
      <c r="B21" s="22"/>
      <c r="C21" s="35"/>
      <c r="D21" s="22"/>
      <c r="E21" s="271"/>
      <c r="F21" s="274">
        <f t="shared" si="0"/>
        <v>0</v>
      </c>
      <c r="G21" s="271"/>
      <c r="H21" s="271"/>
      <c r="I21" s="274">
        <f t="shared" si="1"/>
        <v>0</v>
      </c>
      <c r="J21" s="271"/>
      <c r="K21" s="271"/>
      <c r="L21" s="274">
        <f t="shared" si="2"/>
        <v>0</v>
      </c>
      <c r="M21" s="271"/>
      <c r="N21" s="272">
        <f t="shared" si="3"/>
        <v>0</v>
      </c>
      <c r="O21" s="272">
        <f t="shared" si="4"/>
        <v>0</v>
      </c>
      <c r="P21" s="272">
        <f t="shared" si="5"/>
        <v>0</v>
      </c>
      <c r="Q21" s="273"/>
      <c r="R21" s="273"/>
      <c r="S21" s="273"/>
      <c r="T21" s="273"/>
      <c r="U21" s="234"/>
    </row>
    <row r="22" spans="1:21" s="11" customFormat="1" ht="20.100000000000001" customHeight="1">
      <c r="A22" s="22"/>
      <c r="B22" s="22"/>
      <c r="C22" s="35"/>
      <c r="D22" s="22"/>
      <c r="E22" s="271"/>
      <c r="F22" s="274">
        <f t="shared" si="0"/>
        <v>0</v>
      </c>
      <c r="G22" s="271"/>
      <c r="H22" s="271"/>
      <c r="I22" s="274">
        <f t="shared" si="1"/>
        <v>0</v>
      </c>
      <c r="J22" s="271"/>
      <c r="K22" s="271"/>
      <c r="L22" s="274">
        <f t="shared" si="2"/>
        <v>0</v>
      </c>
      <c r="M22" s="271"/>
      <c r="N22" s="272">
        <f t="shared" si="3"/>
        <v>0</v>
      </c>
      <c r="O22" s="272">
        <f t="shared" si="4"/>
        <v>0</v>
      </c>
      <c r="P22" s="272">
        <f t="shared" si="5"/>
        <v>0</v>
      </c>
      <c r="Q22" s="273"/>
      <c r="R22" s="273"/>
      <c r="S22" s="273"/>
      <c r="T22" s="273"/>
      <c r="U22" s="234"/>
    </row>
    <row r="23" spans="1:21" s="11" customFormat="1" ht="20.100000000000001" customHeight="1">
      <c r="A23" s="22"/>
      <c r="B23" s="22"/>
      <c r="C23" s="35"/>
      <c r="D23" s="22"/>
      <c r="E23" s="275"/>
      <c r="F23" s="274">
        <f t="shared" si="0"/>
        <v>0</v>
      </c>
      <c r="G23" s="275"/>
      <c r="H23" s="275"/>
      <c r="I23" s="274">
        <f t="shared" si="1"/>
        <v>0</v>
      </c>
      <c r="J23" s="271"/>
      <c r="K23" s="271"/>
      <c r="L23" s="274">
        <f t="shared" si="2"/>
        <v>0</v>
      </c>
      <c r="M23" s="271"/>
      <c r="N23" s="272">
        <f t="shared" si="3"/>
        <v>0</v>
      </c>
      <c r="O23" s="272">
        <f t="shared" si="4"/>
        <v>0</v>
      </c>
      <c r="P23" s="272">
        <f t="shared" si="5"/>
        <v>0</v>
      </c>
      <c r="Q23" s="273"/>
      <c r="R23" s="273"/>
      <c r="S23" s="273"/>
      <c r="T23" s="273"/>
      <c r="U23" s="234"/>
    </row>
    <row r="24" spans="1:21" s="11" customFormat="1" ht="20.100000000000001" customHeight="1">
      <c r="A24" s="22"/>
      <c r="B24" s="23" t="s">
        <v>53</v>
      </c>
      <c r="C24" s="24"/>
      <c r="D24" s="234"/>
      <c r="E24" s="275"/>
      <c r="F24" s="274">
        <f t="shared" si="0"/>
        <v>0</v>
      </c>
      <c r="G24" s="275"/>
      <c r="H24" s="275"/>
      <c r="I24" s="274">
        <f t="shared" si="1"/>
        <v>0</v>
      </c>
      <c r="J24" s="271"/>
      <c r="K24" s="271"/>
      <c r="L24" s="274">
        <f t="shared" si="2"/>
        <v>0</v>
      </c>
      <c r="M24" s="271"/>
      <c r="N24" s="272">
        <f t="shared" si="3"/>
        <v>0</v>
      </c>
      <c r="O24" s="272">
        <f t="shared" si="4"/>
        <v>0</v>
      </c>
      <c r="P24" s="272">
        <f t="shared" si="5"/>
        <v>0</v>
      </c>
      <c r="Q24" s="273"/>
      <c r="R24" s="273"/>
      <c r="S24" s="273"/>
      <c r="T24" s="273"/>
      <c r="U24" s="234"/>
    </row>
    <row r="25" spans="1:21" s="269" customFormat="1" ht="20.100000000000001" customHeight="1">
      <c r="A25" s="266"/>
      <c r="B25" s="264" t="s">
        <v>57</v>
      </c>
      <c r="C25" s="265"/>
      <c r="D25" s="264"/>
      <c r="E25" s="262" t="s">
        <v>106</v>
      </c>
      <c r="F25" s="262" t="s">
        <v>106</v>
      </c>
      <c r="G25" s="276">
        <f>SUM(G9:G24)</f>
        <v>0</v>
      </c>
      <c r="H25" s="262" t="s">
        <v>106</v>
      </c>
      <c r="I25" s="262" t="s">
        <v>106</v>
      </c>
      <c r="J25" s="276">
        <f>SUM(J9:J24)</f>
        <v>0</v>
      </c>
      <c r="K25" s="262" t="s">
        <v>106</v>
      </c>
      <c r="L25" s="262" t="s">
        <v>106</v>
      </c>
      <c r="M25" s="276">
        <f>SUM(M9:M24)</f>
        <v>0</v>
      </c>
      <c r="N25" s="262" t="s">
        <v>106</v>
      </c>
      <c r="O25" s="262" t="s">
        <v>106</v>
      </c>
      <c r="P25" s="276">
        <f>SUM(P9:P24)</f>
        <v>0</v>
      </c>
      <c r="Q25" s="276">
        <f t="shared" ref="Q25:T25" si="6">SUM(Q9:Q24)</f>
        <v>0</v>
      </c>
      <c r="R25" s="276">
        <f t="shared" si="6"/>
        <v>0</v>
      </c>
      <c r="S25" s="276">
        <f t="shared" si="6"/>
        <v>0</v>
      </c>
      <c r="T25" s="276">
        <f t="shared" si="6"/>
        <v>0</v>
      </c>
      <c r="U25" s="236"/>
    </row>
    <row r="26" spans="1:21" s="11" customFormat="1" ht="20.100000000000001" customHeight="1">
      <c r="A26" s="266"/>
      <c r="B26" s="264" t="s">
        <v>58</v>
      </c>
      <c r="C26" s="265"/>
      <c r="D26" s="264"/>
      <c r="E26" s="296"/>
      <c r="F26" s="297"/>
      <c r="G26" s="275"/>
      <c r="H26" s="277"/>
      <c r="I26" s="277"/>
      <c r="J26" s="271"/>
      <c r="K26" s="278"/>
      <c r="L26" s="278"/>
      <c r="M26" s="271"/>
      <c r="N26" s="278"/>
      <c r="O26" s="278"/>
      <c r="P26" s="271"/>
      <c r="Q26" s="273"/>
      <c r="R26" s="273"/>
      <c r="S26" s="273"/>
      <c r="T26" s="273"/>
      <c r="U26" s="234"/>
    </row>
    <row r="27" spans="1:21" s="269" customFormat="1" ht="20.100000000000001" customHeight="1">
      <c r="A27" s="266"/>
      <c r="B27" s="264" t="s">
        <v>469</v>
      </c>
      <c r="C27" s="265"/>
      <c r="D27" s="264"/>
      <c r="E27" s="262" t="s">
        <v>106</v>
      </c>
      <c r="F27" s="262" t="s">
        <v>106</v>
      </c>
      <c r="G27" s="276">
        <f>G25-G26</f>
        <v>0</v>
      </c>
      <c r="H27" s="262" t="s">
        <v>106</v>
      </c>
      <c r="I27" s="262" t="s">
        <v>106</v>
      </c>
      <c r="J27" s="276">
        <f>J25-J26</f>
        <v>0</v>
      </c>
      <c r="K27" s="262" t="s">
        <v>106</v>
      </c>
      <c r="L27" s="262" t="s">
        <v>106</v>
      </c>
      <c r="M27" s="276">
        <f>M25-M26</f>
        <v>0</v>
      </c>
      <c r="N27" s="262" t="s">
        <v>106</v>
      </c>
      <c r="O27" s="262" t="s">
        <v>106</v>
      </c>
      <c r="P27" s="276">
        <f>P25-P26</f>
        <v>0</v>
      </c>
      <c r="Q27" s="276">
        <f t="shared" ref="Q27:T27" si="7">Q25-Q26</f>
        <v>0</v>
      </c>
      <c r="R27" s="276">
        <f t="shared" si="7"/>
        <v>0</v>
      </c>
      <c r="S27" s="276">
        <f t="shared" si="7"/>
        <v>0</v>
      </c>
      <c r="T27" s="276">
        <f t="shared" si="7"/>
        <v>0</v>
      </c>
      <c r="U27" s="279"/>
    </row>
    <row r="28" spans="1:21" s="11" customFormat="1" ht="20.100000000000001" customHeight="1">
      <c r="A28" s="257" t="s">
        <v>476</v>
      </c>
      <c r="B28" s="9"/>
      <c r="C28" s="9"/>
      <c r="D28" s="9"/>
      <c r="E28" s="9"/>
      <c r="F28" s="9"/>
      <c r="G28" s="9"/>
      <c r="H28" s="9"/>
      <c r="I28" s="9"/>
      <c r="J28" s="9"/>
      <c r="K28" s="9"/>
      <c r="L28" s="9"/>
      <c r="M28" s="9"/>
      <c r="N28" s="9"/>
      <c r="O28" s="9"/>
      <c r="P28" s="393" t="str">
        <f>IF((P25-Q25-R25-S25-T25)=0,"OK","库龄与期末金额不匹配")</f>
        <v>OK</v>
      </c>
      <c r="Q28" s="9"/>
      <c r="R28" s="9"/>
      <c r="S28" s="9"/>
      <c r="T28" s="9"/>
    </row>
    <row r="29" spans="1:21" s="11" customFormat="1" ht="20.100000000000001" customHeight="1">
      <c r="A29" s="46" t="s">
        <v>790</v>
      </c>
      <c r="B29" s="260"/>
      <c r="C29" s="260"/>
      <c r="D29" s="260"/>
      <c r="E29" s="260"/>
      <c r="F29" s="260"/>
      <c r="G29" s="260"/>
      <c r="H29" s="260"/>
      <c r="I29" s="260"/>
      <c r="J29" s="46" t="s">
        <v>792</v>
      </c>
      <c r="K29" s="260"/>
      <c r="L29" s="260"/>
      <c r="M29" s="260"/>
      <c r="N29" s="9"/>
      <c r="O29" s="9"/>
      <c r="P29" s="9"/>
      <c r="Q29" s="9"/>
      <c r="R29" s="9"/>
      <c r="S29" s="9"/>
      <c r="T29" s="9"/>
    </row>
    <row r="30" spans="1:21" s="11" customFormat="1" ht="20.100000000000001" customHeight="1">
      <c r="A30" s="46" t="s">
        <v>791</v>
      </c>
      <c r="B30" s="260"/>
      <c r="C30" s="260"/>
      <c r="D30" s="260"/>
      <c r="E30" s="260"/>
      <c r="F30" s="260"/>
      <c r="G30" s="260"/>
      <c r="H30" s="260"/>
      <c r="I30" s="260"/>
      <c r="J30" s="46" t="s">
        <v>789</v>
      </c>
      <c r="K30" s="260"/>
      <c r="L30" s="260"/>
      <c r="M30" s="260"/>
      <c r="N30" s="9"/>
      <c r="O30" s="9"/>
      <c r="P30" s="9"/>
      <c r="Q30" s="9"/>
      <c r="R30" s="9"/>
      <c r="S30" s="9"/>
      <c r="T30" s="9"/>
    </row>
    <row r="31" spans="1:21" s="11" customFormat="1" ht="20.100000000000001" customHeight="1">
      <c r="A31" s="31"/>
      <c r="B31" s="9"/>
      <c r="C31" s="9"/>
      <c r="D31" s="9"/>
      <c r="E31" s="9"/>
      <c r="F31" s="9"/>
      <c r="G31" s="9"/>
      <c r="H31" s="9"/>
      <c r="I31" s="9"/>
      <c r="J31" s="9"/>
      <c r="K31" s="9"/>
      <c r="L31" s="9"/>
      <c r="M31" s="9"/>
      <c r="N31" s="9"/>
      <c r="O31" s="9"/>
      <c r="P31" s="9"/>
      <c r="Q31" s="9"/>
      <c r="R31" s="9"/>
      <c r="S31" s="9"/>
      <c r="T31" s="9"/>
    </row>
    <row r="32" spans="1:21" s="11" customFormat="1" ht="18" customHeight="1"/>
    <row r="33" s="11" customFormat="1" ht="18" customHeight="1"/>
    <row r="34" s="11" customFormat="1" ht="18" customHeight="1"/>
    <row r="35" s="11" customFormat="1" ht="18" customHeight="1"/>
    <row r="36" s="11" customFormat="1" ht="18" customHeight="1"/>
    <row r="37" s="11" customFormat="1" ht="18" customHeight="1"/>
    <row r="38" s="11" customFormat="1" ht="18" customHeight="1"/>
    <row r="39" s="11" customFormat="1" ht="18" customHeight="1"/>
    <row r="40" s="11" customFormat="1" ht="18" customHeight="1"/>
    <row r="41" s="11" customFormat="1" ht="18" customHeight="1"/>
    <row r="42" s="11" customFormat="1" ht="13.8"/>
    <row r="43" s="11" customFormat="1" ht="13.8"/>
    <row r="44" s="11" customFormat="1" ht="13.8"/>
    <row r="45" s="11" customFormat="1" ht="13.8"/>
    <row r="46" s="11" customFormat="1" ht="13.8"/>
    <row r="47" s="11" customFormat="1" ht="13.8"/>
    <row r="48" s="11" customFormat="1" ht="13.8"/>
    <row r="49" s="11" customFormat="1" ht="13.8"/>
    <row r="50" s="11" customFormat="1" ht="13.8"/>
    <row r="51" s="11" customFormat="1" ht="13.8"/>
  </sheetData>
  <mergeCells count="28">
    <mergeCell ref="A1:U1"/>
    <mergeCell ref="A2:U2"/>
    <mergeCell ref="U6:U8"/>
    <mergeCell ref="H7:H8"/>
    <mergeCell ref="K7:K8"/>
    <mergeCell ref="L7:L8"/>
    <mergeCell ref="B6:B8"/>
    <mergeCell ref="C6:C8"/>
    <mergeCell ref="D6:D8"/>
    <mergeCell ref="E6:G6"/>
    <mergeCell ref="E7:E8"/>
    <mergeCell ref="F7:F8"/>
    <mergeCell ref="G7:G8"/>
    <mergeCell ref="P7:P8"/>
    <mergeCell ref="I7:I8"/>
    <mergeCell ref="J7:J8"/>
    <mergeCell ref="Q6:T6"/>
    <mergeCell ref="Q7:Q8"/>
    <mergeCell ref="R7:R8"/>
    <mergeCell ref="S7:S8"/>
    <mergeCell ref="T7:T8"/>
    <mergeCell ref="A6:A8"/>
    <mergeCell ref="H6:J6"/>
    <mergeCell ref="K6:M6"/>
    <mergeCell ref="N6:P6"/>
    <mergeCell ref="O7:O8"/>
    <mergeCell ref="M7:M8"/>
    <mergeCell ref="N7:N8"/>
  </mergeCells>
  <phoneticPr fontId="17" type="noConversion"/>
  <hyperlinks>
    <hyperlink ref="U3" location="底稿目录!A1" display="底稿目录!A1"/>
  </hyperlinks>
  <printOptions horizontalCentered="1"/>
  <pageMargins left="0.43307086614173229" right="0.35433070866141736" top="0.43307086614173229" bottom="0.35433070866141736" header="0.31496062992125984" footer="0.15748031496062992"/>
  <pageSetup paperSize="9" scale="76" orientation="landscape" blackAndWhite="1" r:id="rId1"/>
  <headerFooter alignWithMargins="0">
    <oddFooter>&amp;C&amp;8&amp;P/&amp;N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W70"/>
  <sheetViews>
    <sheetView view="pageBreakPreview" zoomScaleSheetLayoutView="100" workbookViewId="0">
      <selection sqref="A1:W1"/>
    </sheetView>
  </sheetViews>
  <sheetFormatPr defaultColWidth="9" defaultRowHeight="15.6"/>
  <cols>
    <col min="1" max="1" width="12.5" style="15" customWidth="1"/>
    <col min="2" max="2" width="16.59765625" style="15" customWidth="1"/>
    <col min="3" max="3" width="4.69921875" style="15" customWidth="1"/>
    <col min="4" max="4" width="6.09765625" style="15" customWidth="1"/>
    <col min="5" max="5" width="6.3984375" style="15" customWidth="1"/>
    <col min="6" max="6" width="9.5" style="15" customWidth="1"/>
    <col min="7" max="7" width="6.69921875" style="15" customWidth="1"/>
    <col min="8" max="8" width="5.796875" style="15" customWidth="1"/>
    <col min="9" max="9" width="9.19921875" style="15" customWidth="1"/>
    <col min="10" max="10" width="7.796875" style="15" customWidth="1"/>
    <col min="11" max="11" width="6.296875" style="15" customWidth="1"/>
    <col min="12" max="12" width="9.09765625" style="15" customWidth="1"/>
    <col min="13" max="13" width="6.796875" style="15" customWidth="1"/>
    <col min="14" max="14" width="6.8984375" style="15" customWidth="1"/>
    <col min="15" max="15" width="9" style="15"/>
    <col min="16" max="16" width="6.796875" style="15" customWidth="1"/>
    <col min="17" max="17" width="6.5" style="15" customWidth="1"/>
    <col min="18" max="18" width="9" style="15"/>
    <col min="19" max="22" width="8.69921875" style="15" customWidth="1"/>
    <col min="23" max="23" width="10.69921875" style="15" customWidth="1"/>
    <col min="24" max="16384" width="9" style="15"/>
  </cols>
  <sheetData>
    <row r="1" spans="1:23" s="8" customFormat="1" ht="20.100000000000001" customHeight="1">
      <c r="A1" s="511" t="s">
        <v>55</v>
      </c>
      <c r="B1" s="511"/>
      <c r="C1" s="511"/>
      <c r="D1" s="511"/>
      <c r="E1" s="511"/>
      <c r="F1" s="511"/>
      <c r="G1" s="511"/>
      <c r="H1" s="511"/>
      <c r="I1" s="511"/>
      <c r="J1" s="511"/>
      <c r="K1" s="511"/>
      <c r="L1" s="511"/>
      <c r="M1" s="511"/>
      <c r="N1" s="511"/>
      <c r="O1" s="511"/>
      <c r="P1" s="511"/>
      <c r="Q1" s="511"/>
      <c r="R1" s="511"/>
      <c r="S1" s="511"/>
      <c r="T1" s="511"/>
      <c r="U1" s="511"/>
      <c r="V1" s="511"/>
      <c r="W1" s="511"/>
    </row>
    <row r="2" spans="1:23" s="8" customFormat="1" ht="25.05" customHeight="1">
      <c r="A2" s="512" t="s">
        <v>13</v>
      </c>
      <c r="B2" s="512"/>
      <c r="C2" s="512"/>
      <c r="D2" s="512"/>
      <c r="E2" s="512"/>
      <c r="F2" s="512"/>
      <c r="G2" s="512"/>
      <c r="H2" s="512"/>
      <c r="I2" s="512"/>
      <c r="J2" s="512"/>
      <c r="K2" s="512"/>
      <c r="L2" s="512"/>
      <c r="M2" s="512"/>
      <c r="N2" s="512"/>
      <c r="O2" s="512"/>
      <c r="P2" s="512"/>
      <c r="Q2" s="512"/>
      <c r="R2" s="512"/>
      <c r="S2" s="512"/>
      <c r="T2" s="512"/>
      <c r="U2" s="512"/>
      <c r="V2" s="512"/>
      <c r="W2" s="512"/>
    </row>
    <row r="3" spans="1:23" s="11" customFormat="1" ht="20.100000000000001" customHeight="1">
      <c r="A3" s="9" t="str">
        <f>底稿目录!A2</f>
        <v>被审计单位：</v>
      </c>
      <c r="B3" s="9"/>
      <c r="D3" s="10"/>
      <c r="F3" s="9" t="str">
        <f>底稿目录!A4</f>
        <v>编制人：</v>
      </c>
      <c r="K3" s="62"/>
      <c r="N3" s="9" t="str">
        <f>底稿目录!A5</f>
        <v>编制日期：</v>
      </c>
      <c r="V3" s="7" t="s">
        <v>1</v>
      </c>
      <c r="W3" s="405" t="str">
        <f>底稿目录!F9</f>
        <v>F2-4</v>
      </c>
    </row>
    <row r="4" spans="1:23" s="11" customFormat="1" ht="20.100000000000001" customHeight="1">
      <c r="A4" s="9" t="str">
        <f>底稿目录!A3</f>
        <v>截止日：202X年12月21日</v>
      </c>
      <c r="B4" s="9"/>
      <c r="D4" s="10"/>
      <c r="F4" s="7" t="str">
        <f>底稿目录!A6</f>
        <v>复核人：</v>
      </c>
      <c r="K4" s="62"/>
      <c r="N4" s="7" t="str">
        <f>底稿目录!A7</f>
        <v>复核日期：</v>
      </c>
      <c r="V4" s="7" t="s">
        <v>52</v>
      </c>
      <c r="W4" s="9"/>
    </row>
    <row r="5" spans="1:23" s="12" customFormat="1" ht="20.100000000000001" customHeight="1">
      <c r="A5" s="12" t="s">
        <v>483</v>
      </c>
    </row>
    <row r="6" spans="1:23" s="11" customFormat="1" ht="20.100000000000001" customHeight="1">
      <c r="A6" s="521" t="s">
        <v>482</v>
      </c>
      <c r="B6" s="522" t="s">
        <v>478</v>
      </c>
      <c r="C6" s="521" t="s">
        <v>464</v>
      </c>
      <c r="D6" s="521" t="s">
        <v>76</v>
      </c>
      <c r="E6" s="521"/>
      <c r="F6" s="521"/>
      <c r="G6" s="521" t="s">
        <v>77</v>
      </c>
      <c r="H6" s="521"/>
      <c r="I6" s="521"/>
      <c r="J6" s="521" t="s">
        <v>484</v>
      </c>
      <c r="K6" s="521"/>
      <c r="L6" s="521"/>
      <c r="M6" s="521" t="s">
        <v>475</v>
      </c>
      <c r="N6" s="521"/>
      <c r="O6" s="521"/>
      <c r="P6" s="521" t="s">
        <v>479</v>
      </c>
      <c r="Q6" s="521"/>
      <c r="R6" s="521"/>
      <c r="S6" s="514" t="s">
        <v>92</v>
      </c>
      <c r="T6" s="515"/>
      <c r="U6" s="515"/>
      <c r="V6" s="516"/>
      <c r="W6" s="520" t="s">
        <v>471</v>
      </c>
    </row>
    <row r="7" spans="1:23" s="11" customFormat="1" ht="20.100000000000001" customHeight="1">
      <c r="A7" s="521"/>
      <c r="B7" s="523"/>
      <c r="C7" s="521"/>
      <c r="D7" s="521" t="s">
        <v>72</v>
      </c>
      <c r="E7" s="521" t="s">
        <v>481</v>
      </c>
      <c r="F7" s="521" t="s">
        <v>73</v>
      </c>
      <c r="G7" s="521" t="s">
        <v>72</v>
      </c>
      <c r="H7" s="521" t="s">
        <v>80</v>
      </c>
      <c r="I7" s="521" t="s">
        <v>73</v>
      </c>
      <c r="J7" s="521" t="s">
        <v>72</v>
      </c>
      <c r="K7" s="521" t="s">
        <v>80</v>
      </c>
      <c r="L7" s="521" t="s">
        <v>73</v>
      </c>
      <c r="M7" s="521" t="s">
        <v>72</v>
      </c>
      <c r="N7" s="521" t="s">
        <v>80</v>
      </c>
      <c r="O7" s="521" t="s">
        <v>73</v>
      </c>
      <c r="P7" s="521" t="s">
        <v>72</v>
      </c>
      <c r="Q7" s="521" t="s">
        <v>481</v>
      </c>
      <c r="R7" s="521" t="s">
        <v>73</v>
      </c>
      <c r="S7" s="517" t="s">
        <v>752</v>
      </c>
      <c r="T7" s="517" t="s">
        <v>753</v>
      </c>
      <c r="U7" s="517" t="s">
        <v>754</v>
      </c>
      <c r="V7" s="517" t="s">
        <v>755</v>
      </c>
      <c r="W7" s="520"/>
    </row>
    <row r="8" spans="1:23" s="11" customFormat="1" ht="12" customHeight="1">
      <c r="A8" s="521"/>
      <c r="B8" s="524"/>
      <c r="C8" s="521"/>
      <c r="D8" s="521"/>
      <c r="E8" s="521"/>
      <c r="F8" s="521"/>
      <c r="G8" s="521"/>
      <c r="H8" s="521"/>
      <c r="I8" s="521"/>
      <c r="J8" s="521"/>
      <c r="K8" s="521"/>
      <c r="L8" s="521"/>
      <c r="M8" s="521"/>
      <c r="N8" s="521"/>
      <c r="O8" s="521"/>
      <c r="P8" s="521"/>
      <c r="Q8" s="521"/>
      <c r="R8" s="521"/>
      <c r="S8" s="518"/>
      <c r="T8" s="518"/>
      <c r="U8" s="518"/>
      <c r="V8" s="518"/>
      <c r="W8" s="520"/>
    </row>
    <row r="9" spans="1:23" s="11" customFormat="1" ht="20.100000000000001" customHeight="1">
      <c r="A9" s="22"/>
      <c r="B9" s="35"/>
      <c r="C9" s="234"/>
      <c r="D9" s="25"/>
      <c r="E9" s="261">
        <f>IF(D9=0,0,F9/D9)</f>
        <v>0</v>
      </c>
      <c r="F9" s="25"/>
      <c r="G9" s="25"/>
      <c r="H9" s="261">
        <f>IF(G9=0,0,I9/G9)</f>
        <v>0</v>
      </c>
      <c r="I9" s="25"/>
      <c r="J9" s="25"/>
      <c r="K9" s="261">
        <f>IF(J9=0,0,L9/J9)</f>
        <v>0</v>
      </c>
      <c r="L9" s="25"/>
      <c r="M9" s="280">
        <f>D9+G9-J9</f>
        <v>0</v>
      </c>
      <c r="N9" s="280">
        <f>IF(M9=0,0,O9/M9)</f>
        <v>0</v>
      </c>
      <c r="O9" s="280">
        <f>F9+I9-L9</f>
        <v>0</v>
      </c>
      <c r="P9" s="73"/>
      <c r="Q9" s="280">
        <f>IF(P9=0,0,R9/P9)</f>
        <v>0</v>
      </c>
      <c r="R9" s="73"/>
      <c r="S9" s="73"/>
      <c r="T9" s="73"/>
      <c r="U9" s="73"/>
      <c r="V9" s="273"/>
      <c r="W9" s="234"/>
    </row>
    <row r="10" spans="1:23" s="11" customFormat="1" ht="20.100000000000001" customHeight="1">
      <c r="A10" s="22"/>
      <c r="B10" s="35"/>
      <c r="C10" s="234"/>
      <c r="D10" s="25"/>
      <c r="E10" s="261">
        <f t="shared" ref="E10:E24" si="0">IF(D10=0,0,F10/D10)</f>
        <v>0</v>
      </c>
      <c r="F10" s="25"/>
      <c r="G10" s="25"/>
      <c r="H10" s="261">
        <f t="shared" ref="H10:H24" si="1">IF(G10=0,0,I10/G10)</f>
        <v>0</v>
      </c>
      <c r="I10" s="25"/>
      <c r="J10" s="25"/>
      <c r="K10" s="261">
        <f t="shared" ref="K10:K24" si="2">IF(J10=0,0,L10/J10)</f>
        <v>0</v>
      </c>
      <c r="L10" s="25"/>
      <c r="M10" s="280">
        <f t="shared" ref="M10:M24" si="3">D10+G10-J10</f>
        <v>0</v>
      </c>
      <c r="N10" s="280">
        <f t="shared" ref="N10:N24" si="4">IF(M10=0,0,O10/M10)</f>
        <v>0</v>
      </c>
      <c r="O10" s="280">
        <f t="shared" ref="O10:O24" si="5">F10+I10-L10</f>
        <v>0</v>
      </c>
      <c r="P10" s="73"/>
      <c r="Q10" s="280">
        <f t="shared" ref="Q10:Q24" si="6">IF(P10=0,0,R10/P10)</f>
        <v>0</v>
      </c>
      <c r="R10" s="73"/>
      <c r="S10" s="73"/>
      <c r="T10" s="73"/>
      <c r="U10" s="73"/>
      <c r="V10" s="25"/>
      <c r="W10" s="22"/>
    </row>
    <row r="11" spans="1:23" s="11" customFormat="1" ht="20.100000000000001" customHeight="1">
      <c r="A11" s="22"/>
      <c r="B11" s="35"/>
      <c r="C11" s="234"/>
      <c r="D11" s="25"/>
      <c r="E11" s="261">
        <f t="shared" si="0"/>
        <v>0</v>
      </c>
      <c r="F11" s="25"/>
      <c r="G11" s="25"/>
      <c r="H11" s="261">
        <f t="shared" si="1"/>
        <v>0</v>
      </c>
      <c r="I11" s="25"/>
      <c r="J11" s="25"/>
      <c r="K11" s="261">
        <f t="shared" si="2"/>
        <v>0</v>
      </c>
      <c r="L11" s="25"/>
      <c r="M11" s="280">
        <f t="shared" si="3"/>
        <v>0</v>
      </c>
      <c r="N11" s="280">
        <f t="shared" si="4"/>
        <v>0</v>
      </c>
      <c r="O11" s="280">
        <f t="shared" si="5"/>
        <v>0</v>
      </c>
      <c r="P11" s="73"/>
      <c r="Q11" s="280">
        <f t="shared" si="6"/>
        <v>0</v>
      </c>
      <c r="R11" s="73"/>
      <c r="S11" s="73"/>
      <c r="T11" s="73"/>
      <c r="U11" s="73"/>
      <c r="V11" s="25"/>
      <c r="W11" s="22"/>
    </row>
    <row r="12" spans="1:23" s="11" customFormat="1" ht="20.100000000000001" customHeight="1">
      <c r="A12" s="22"/>
      <c r="B12" s="35"/>
      <c r="C12" s="234"/>
      <c r="D12" s="25"/>
      <c r="E12" s="261">
        <f t="shared" si="0"/>
        <v>0</v>
      </c>
      <c r="F12" s="25"/>
      <c r="G12" s="25"/>
      <c r="H12" s="261">
        <f t="shared" si="1"/>
        <v>0</v>
      </c>
      <c r="I12" s="25"/>
      <c r="J12" s="25"/>
      <c r="K12" s="261">
        <f t="shared" si="2"/>
        <v>0</v>
      </c>
      <c r="L12" s="25"/>
      <c r="M12" s="280">
        <f t="shared" si="3"/>
        <v>0</v>
      </c>
      <c r="N12" s="280">
        <f t="shared" si="4"/>
        <v>0</v>
      </c>
      <c r="O12" s="280">
        <f t="shared" si="5"/>
        <v>0</v>
      </c>
      <c r="P12" s="73"/>
      <c r="Q12" s="280">
        <f t="shared" si="6"/>
        <v>0</v>
      </c>
      <c r="R12" s="73"/>
      <c r="S12" s="73"/>
      <c r="T12" s="73"/>
      <c r="U12" s="73"/>
      <c r="V12" s="25"/>
      <c r="W12" s="22"/>
    </row>
    <row r="13" spans="1:23" s="11" customFormat="1" ht="20.100000000000001" customHeight="1">
      <c r="A13" s="22"/>
      <c r="B13" s="35"/>
      <c r="C13" s="234"/>
      <c r="D13" s="25"/>
      <c r="E13" s="261">
        <f t="shared" si="0"/>
        <v>0</v>
      </c>
      <c r="F13" s="25"/>
      <c r="G13" s="25"/>
      <c r="H13" s="261">
        <f t="shared" si="1"/>
        <v>0</v>
      </c>
      <c r="I13" s="25"/>
      <c r="J13" s="25"/>
      <c r="K13" s="261">
        <f t="shared" si="2"/>
        <v>0</v>
      </c>
      <c r="L13" s="25"/>
      <c r="M13" s="280">
        <f t="shared" si="3"/>
        <v>0</v>
      </c>
      <c r="N13" s="280">
        <f t="shared" si="4"/>
        <v>0</v>
      </c>
      <c r="O13" s="280">
        <f t="shared" si="5"/>
        <v>0</v>
      </c>
      <c r="P13" s="73"/>
      <c r="Q13" s="280">
        <f t="shared" si="6"/>
        <v>0</v>
      </c>
      <c r="R13" s="73"/>
      <c r="S13" s="73"/>
      <c r="T13" s="73"/>
      <c r="U13" s="73"/>
      <c r="V13" s="25"/>
      <c r="W13" s="22"/>
    </row>
    <row r="14" spans="1:23" s="11" customFormat="1" ht="20.100000000000001" customHeight="1">
      <c r="A14" s="22"/>
      <c r="B14" s="35"/>
      <c r="C14" s="234"/>
      <c r="D14" s="25"/>
      <c r="E14" s="261">
        <f t="shared" si="0"/>
        <v>0</v>
      </c>
      <c r="F14" s="25"/>
      <c r="G14" s="25"/>
      <c r="H14" s="261">
        <f t="shared" si="1"/>
        <v>0</v>
      </c>
      <c r="I14" s="25"/>
      <c r="J14" s="25"/>
      <c r="K14" s="261">
        <f t="shared" si="2"/>
        <v>0</v>
      </c>
      <c r="L14" s="25"/>
      <c r="M14" s="280">
        <f t="shared" si="3"/>
        <v>0</v>
      </c>
      <c r="N14" s="280">
        <f t="shared" si="4"/>
        <v>0</v>
      </c>
      <c r="O14" s="280">
        <f t="shared" si="5"/>
        <v>0</v>
      </c>
      <c r="P14" s="73"/>
      <c r="Q14" s="280">
        <f t="shared" si="6"/>
        <v>0</v>
      </c>
      <c r="R14" s="73"/>
      <c r="S14" s="73"/>
      <c r="T14" s="73"/>
      <c r="U14" s="73"/>
      <c r="V14" s="25"/>
      <c r="W14" s="22"/>
    </row>
    <row r="15" spans="1:23" s="11" customFormat="1" ht="20.100000000000001" customHeight="1">
      <c r="A15" s="22"/>
      <c r="B15" s="35"/>
      <c r="C15" s="234"/>
      <c r="D15" s="25"/>
      <c r="E15" s="261">
        <f t="shared" si="0"/>
        <v>0</v>
      </c>
      <c r="F15" s="25"/>
      <c r="G15" s="25"/>
      <c r="H15" s="261">
        <f t="shared" si="1"/>
        <v>0</v>
      </c>
      <c r="I15" s="25"/>
      <c r="J15" s="25"/>
      <c r="K15" s="261">
        <f t="shared" si="2"/>
        <v>0</v>
      </c>
      <c r="L15" s="25"/>
      <c r="M15" s="280">
        <f t="shared" si="3"/>
        <v>0</v>
      </c>
      <c r="N15" s="280">
        <f t="shared" si="4"/>
        <v>0</v>
      </c>
      <c r="O15" s="280">
        <f t="shared" si="5"/>
        <v>0</v>
      </c>
      <c r="P15" s="73"/>
      <c r="Q15" s="280">
        <f t="shared" si="6"/>
        <v>0</v>
      </c>
      <c r="R15" s="73"/>
      <c r="S15" s="73"/>
      <c r="T15" s="73"/>
      <c r="U15" s="73"/>
      <c r="V15" s="25"/>
      <c r="W15" s="22"/>
    </row>
    <row r="16" spans="1:23" s="11" customFormat="1" ht="20.100000000000001" customHeight="1">
      <c r="A16" s="22"/>
      <c r="B16" s="35"/>
      <c r="C16" s="234"/>
      <c r="D16" s="25"/>
      <c r="E16" s="261">
        <f t="shared" si="0"/>
        <v>0</v>
      </c>
      <c r="F16" s="25"/>
      <c r="G16" s="25"/>
      <c r="H16" s="261">
        <f t="shared" si="1"/>
        <v>0</v>
      </c>
      <c r="I16" s="25"/>
      <c r="J16" s="25"/>
      <c r="K16" s="261">
        <f t="shared" si="2"/>
        <v>0</v>
      </c>
      <c r="L16" s="25"/>
      <c r="M16" s="280">
        <f t="shared" si="3"/>
        <v>0</v>
      </c>
      <c r="N16" s="280">
        <f t="shared" si="4"/>
        <v>0</v>
      </c>
      <c r="O16" s="280">
        <f t="shared" si="5"/>
        <v>0</v>
      </c>
      <c r="P16" s="73"/>
      <c r="Q16" s="280">
        <f t="shared" si="6"/>
        <v>0</v>
      </c>
      <c r="R16" s="73"/>
      <c r="S16" s="73"/>
      <c r="T16" s="73"/>
      <c r="U16" s="73"/>
      <c r="V16" s="25"/>
      <c r="W16" s="22"/>
    </row>
    <row r="17" spans="1:23" s="11" customFormat="1" ht="20.100000000000001" customHeight="1">
      <c r="A17" s="22"/>
      <c r="B17" s="35"/>
      <c r="C17" s="234"/>
      <c r="D17" s="25"/>
      <c r="E17" s="261">
        <f t="shared" si="0"/>
        <v>0</v>
      </c>
      <c r="F17" s="25"/>
      <c r="G17" s="25"/>
      <c r="H17" s="261">
        <f t="shared" si="1"/>
        <v>0</v>
      </c>
      <c r="I17" s="25"/>
      <c r="J17" s="25"/>
      <c r="K17" s="261">
        <f t="shared" si="2"/>
        <v>0</v>
      </c>
      <c r="L17" s="25"/>
      <c r="M17" s="280">
        <f t="shared" si="3"/>
        <v>0</v>
      </c>
      <c r="N17" s="280">
        <f t="shared" si="4"/>
        <v>0</v>
      </c>
      <c r="O17" s="280">
        <f t="shared" si="5"/>
        <v>0</v>
      </c>
      <c r="P17" s="73"/>
      <c r="Q17" s="280">
        <f t="shared" si="6"/>
        <v>0</v>
      </c>
      <c r="R17" s="73"/>
      <c r="S17" s="73"/>
      <c r="T17" s="73"/>
      <c r="U17" s="73"/>
      <c r="V17" s="25"/>
      <c r="W17" s="22"/>
    </row>
    <row r="18" spans="1:23" s="11" customFormat="1" ht="20.100000000000001" customHeight="1">
      <c r="A18" s="22"/>
      <c r="B18" s="35"/>
      <c r="C18" s="234"/>
      <c r="D18" s="25"/>
      <c r="E18" s="261">
        <f t="shared" si="0"/>
        <v>0</v>
      </c>
      <c r="F18" s="25"/>
      <c r="G18" s="25"/>
      <c r="H18" s="261">
        <f t="shared" si="1"/>
        <v>0</v>
      </c>
      <c r="I18" s="25"/>
      <c r="J18" s="25"/>
      <c r="K18" s="261">
        <f t="shared" si="2"/>
        <v>0</v>
      </c>
      <c r="L18" s="25"/>
      <c r="M18" s="280">
        <f t="shared" si="3"/>
        <v>0</v>
      </c>
      <c r="N18" s="280">
        <f t="shared" si="4"/>
        <v>0</v>
      </c>
      <c r="O18" s="280">
        <f t="shared" si="5"/>
        <v>0</v>
      </c>
      <c r="P18" s="73"/>
      <c r="Q18" s="280">
        <f t="shared" si="6"/>
        <v>0</v>
      </c>
      <c r="R18" s="73"/>
      <c r="S18" s="73"/>
      <c r="T18" s="73"/>
      <c r="U18" s="73"/>
      <c r="V18" s="25"/>
      <c r="W18" s="22"/>
    </row>
    <row r="19" spans="1:23" s="11" customFormat="1" ht="20.100000000000001" customHeight="1">
      <c r="A19" s="22"/>
      <c r="B19" s="35"/>
      <c r="C19" s="234"/>
      <c r="D19" s="25"/>
      <c r="E19" s="261">
        <f t="shared" si="0"/>
        <v>0</v>
      </c>
      <c r="F19" s="25"/>
      <c r="G19" s="25"/>
      <c r="H19" s="261">
        <f t="shared" si="1"/>
        <v>0</v>
      </c>
      <c r="I19" s="25"/>
      <c r="J19" s="25"/>
      <c r="K19" s="261">
        <f t="shared" si="2"/>
        <v>0</v>
      </c>
      <c r="L19" s="25"/>
      <c r="M19" s="280">
        <f t="shared" si="3"/>
        <v>0</v>
      </c>
      <c r="N19" s="280">
        <f t="shared" si="4"/>
        <v>0</v>
      </c>
      <c r="O19" s="280">
        <f t="shared" si="5"/>
        <v>0</v>
      </c>
      <c r="P19" s="73"/>
      <c r="Q19" s="280">
        <f t="shared" si="6"/>
        <v>0</v>
      </c>
      <c r="R19" s="73"/>
      <c r="S19" s="73"/>
      <c r="T19" s="73"/>
      <c r="U19" s="73"/>
      <c r="V19" s="25"/>
      <c r="W19" s="22"/>
    </row>
    <row r="20" spans="1:23" s="11" customFormat="1" ht="20.100000000000001" customHeight="1">
      <c r="A20" s="22"/>
      <c r="B20" s="35"/>
      <c r="C20" s="234"/>
      <c r="D20" s="25"/>
      <c r="E20" s="261">
        <f t="shared" si="0"/>
        <v>0</v>
      </c>
      <c r="F20" s="25"/>
      <c r="G20" s="25"/>
      <c r="H20" s="261">
        <f t="shared" si="1"/>
        <v>0</v>
      </c>
      <c r="I20" s="25"/>
      <c r="J20" s="25"/>
      <c r="K20" s="261">
        <f t="shared" si="2"/>
        <v>0</v>
      </c>
      <c r="L20" s="25"/>
      <c r="M20" s="280">
        <f t="shared" si="3"/>
        <v>0</v>
      </c>
      <c r="N20" s="280">
        <f t="shared" si="4"/>
        <v>0</v>
      </c>
      <c r="O20" s="280">
        <f t="shared" si="5"/>
        <v>0</v>
      </c>
      <c r="P20" s="73"/>
      <c r="Q20" s="280">
        <f t="shared" si="6"/>
        <v>0</v>
      </c>
      <c r="R20" s="73"/>
      <c r="S20" s="73"/>
      <c r="T20" s="73"/>
      <c r="U20" s="73"/>
      <c r="V20" s="25"/>
      <c r="W20" s="22"/>
    </row>
    <row r="21" spans="1:23" s="11" customFormat="1" ht="20.100000000000001" customHeight="1">
      <c r="A21" s="22"/>
      <c r="B21" s="35"/>
      <c r="C21" s="234"/>
      <c r="D21" s="25"/>
      <c r="E21" s="261">
        <f t="shared" si="0"/>
        <v>0</v>
      </c>
      <c r="F21" s="25"/>
      <c r="G21" s="25"/>
      <c r="H21" s="261">
        <f t="shared" si="1"/>
        <v>0</v>
      </c>
      <c r="I21" s="25"/>
      <c r="J21" s="25"/>
      <c r="K21" s="261">
        <f t="shared" si="2"/>
        <v>0</v>
      </c>
      <c r="L21" s="25"/>
      <c r="M21" s="280">
        <f t="shared" si="3"/>
        <v>0</v>
      </c>
      <c r="N21" s="280">
        <f t="shared" si="4"/>
        <v>0</v>
      </c>
      <c r="O21" s="280">
        <f t="shared" si="5"/>
        <v>0</v>
      </c>
      <c r="P21" s="73"/>
      <c r="Q21" s="280">
        <f t="shared" si="6"/>
        <v>0</v>
      </c>
      <c r="R21" s="73"/>
      <c r="S21" s="73"/>
      <c r="T21" s="73"/>
      <c r="U21" s="73"/>
      <c r="V21" s="25"/>
      <c r="W21" s="22"/>
    </row>
    <row r="22" spans="1:23" s="11" customFormat="1" ht="20.100000000000001" customHeight="1">
      <c r="A22" s="22"/>
      <c r="B22" s="35"/>
      <c r="C22" s="234"/>
      <c r="D22" s="25"/>
      <c r="E22" s="261">
        <f t="shared" si="0"/>
        <v>0</v>
      </c>
      <c r="F22" s="25"/>
      <c r="G22" s="25"/>
      <c r="H22" s="261">
        <f t="shared" si="1"/>
        <v>0</v>
      </c>
      <c r="I22" s="25"/>
      <c r="J22" s="25"/>
      <c r="K22" s="261">
        <f t="shared" si="2"/>
        <v>0</v>
      </c>
      <c r="L22" s="25"/>
      <c r="M22" s="280">
        <f t="shared" si="3"/>
        <v>0</v>
      </c>
      <c r="N22" s="280">
        <f t="shared" si="4"/>
        <v>0</v>
      </c>
      <c r="O22" s="280">
        <f t="shared" si="5"/>
        <v>0</v>
      </c>
      <c r="P22" s="73"/>
      <c r="Q22" s="280">
        <f t="shared" si="6"/>
        <v>0</v>
      </c>
      <c r="R22" s="73"/>
      <c r="S22" s="73"/>
      <c r="T22" s="73"/>
      <c r="U22" s="73"/>
      <c r="V22" s="25"/>
      <c r="W22" s="22"/>
    </row>
    <row r="23" spans="1:23" s="11" customFormat="1" ht="20.100000000000001" customHeight="1">
      <c r="A23" s="13"/>
      <c r="B23" s="21"/>
      <c r="C23" s="17"/>
      <c r="D23" s="14"/>
      <c r="E23" s="261">
        <f t="shared" si="0"/>
        <v>0</v>
      </c>
      <c r="F23" s="14"/>
      <c r="G23" s="14"/>
      <c r="H23" s="261">
        <f t="shared" si="1"/>
        <v>0</v>
      </c>
      <c r="I23" s="25"/>
      <c r="J23" s="25"/>
      <c r="K23" s="261">
        <f t="shared" si="2"/>
        <v>0</v>
      </c>
      <c r="L23" s="25"/>
      <c r="M23" s="280">
        <f t="shared" si="3"/>
        <v>0</v>
      </c>
      <c r="N23" s="280">
        <f t="shared" si="4"/>
        <v>0</v>
      </c>
      <c r="O23" s="280">
        <f t="shared" si="5"/>
        <v>0</v>
      </c>
      <c r="P23" s="73"/>
      <c r="Q23" s="280">
        <f t="shared" si="6"/>
        <v>0</v>
      </c>
      <c r="R23" s="73"/>
      <c r="S23" s="73"/>
      <c r="T23" s="73"/>
      <c r="U23" s="73"/>
      <c r="V23" s="25"/>
      <c r="W23" s="22"/>
    </row>
    <row r="24" spans="1:23" s="11" customFormat="1" ht="20.100000000000001" customHeight="1">
      <c r="A24" s="23" t="s">
        <v>53</v>
      </c>
      <c r="B24" s="24"/>
      <c r="C24" s="234"/>
      <c r="D24" s="14"/>
      <c r="E24" s="261">
        <f t="shared" si="0"/>
        <v>0</v>
      </c>
      <c r="F24" s="14"/>
      <c r="G24" s="14"/>
      <c r="H24" s="261">
        <f t="shared" si="1"/>
        <v>0</v>
      </c>
      <c r="I24" s="25"/>
      <c r="J24" s="25"/>
      <c r="K24" s="261">
        <f t="shared" si="2"/>
        <v>0</v>
      </c>
      <c r="L24" s="25"/>
      <c r="M24" s="280">
        <f t="shared" si="3"/>
        <v>0</v>
      </c>
      <c r="N24" s="280">
        <f t="shared" si="4"/>
        <v>0</v>
      </c>
      <c r="O24" s="280">
        <f t="shared" si="5"/>
        <v>0</v>
      </c>
      <c r="P24" s="73"/>
      <c r="Q24" s="280">
        <f t="shared" si="6"/>
        <v>0</v>
      </c>
      <c r="R24" s="73"/>
      <c r="S24" s="73"/>
      <c r="T24" s="73"/>
      <c r="U24" s="73"/>
      <c r="V24" s="25"/>
      <c r="W24" s="22"/>
    </row>
    <row r="25" spans="1:23" s="269" customFormat="1" ht="20.100000000000001" customHeight="1">
      <c r="A25" s="264" t="s">
        <v>57</v>
      </c>
      <c r="B25" s="265"/>
      <c r="C25" s="264"/>
      <c r="D25" s="281" t="s">
        <v>106</v>
      </c>
      <c r="E25" s="281" t="s">
        <v>106</v>
      </c>
      <c r="F25" s="267">
        <f>SUM(F9:F24)</f>
        <v>0</v>
      </c>
      <c r="G25" s="281" t="s">
        <v>106</v>
      </c>
      <c r="H25" s="281" t="s">
        <v>106</v>
      </c>
      <c r="I25" s="267">
        <f>SUM(I9:I24)</f>
        <v>0</v>
      </c>
      <c r="J25" s="281" t="s">
        <v>106</v>
      </c>
      <c r="K25" s="281" t="s">
        <v>106</v>
      </c>
      <c r="L25" s="267">
        <f>SUM(L9:L24)</f>
        <v>0</v>
      </c>
      <c r="M25" s="281" t="s">
        <v>106</v>
      </c>
      <c r="N25" s="281" t="s">
        <v>106</v>
      </c>
      <c r="O25" s="267">
        <f>SUM(O9:O24)</f>
        <v>0</v>
      </c>
      <c r="P25" s="281" t="s">
        <v>106</v>
      </c>
      <c r="Q25" s="281" t="s">
        <v>106</v>
      </c>
      <c r="R25" s="267">
        <f>SUM(R9:R24)</f>
        <v>0</v>
      </c>
      <c r="S25" s="267">
        <f t="shared" ref="S25:V25" si="7">SUM(S9:S24)</f>
        <v>0</v>
      </c>
      <c r="T25" s="267">
        <f t="shared" si="7"/>
        <v>0</v>
      </c>
      <c r="U25" s="267">
        <f t="shared" si="7"/>
        <v>0</v>
      </c>
      <c r="V25" s="267">
        <f t="shared" si="7"/>
        <v>0</v>
      </c>
      <c r="W25" s="268"/>
    </row>
    <row r="26" spans="1:23" s="269" customFormat="1" ht="20.100000000000001" customHeight="1">
      <c r="A26" s="264" t="s">
        <v>485</v>
      </c>
      <c r="B26" s="265"/>
      <c r="C26" s="264"/>
      <c r="D26" s="282"/>
      <c r="E26" s="270"/>
      <c r="F26" s="72"/>
      <c r="G26" s="72"/>
      <c r="H26" s="72"/>
      <c r="I26" s="73"/>
      <c r="J26" s="73"/>
      <c r="K26" s="73"/>
      <c r="L26" s="73"/>
      <c r="M26" s="73"/>
      <c r="N26" s="73"/>
      <c r="O26" s="73"/>
      <c r="P26" s="73"/>
      <c r="Q26" s="73"/>
      <c r="R26" s="73"/>
      <c r="S26" s="73"/>
      <c r="T26" s="73"/>
      <c r="U26" s="73"/>
      <c r="V26" s="73"/>
      <c r="W26" s="288"/>
    </row>
    <row r="27" spans="1:23" s="286" customFormat="1" ht="20.100000000000001" customHeight="1">
      <c r="A27" s="264" t="s">
        <v>486</v>
      </c>
      <c r="B27" s="265"/>
      <c r="C27" s="264"/>
      <c r="D27" s="281" t="s">
        <v>106</v>
      </c>
      <c r="E27" s="281" t="s">
        <v>106</v>
      </c>
      <c r="F27" s="267">
        <f>F25-F26</f>
        <v>0</v>
      </c>
      <c r="G27" s="281" t="s">
        <v>106</v>
      </c>
      <c r="H27" s="281" t="s">
        <v>106</v>
      </c>
      <c r="I27" s="267">
        <f>I25-I26</f>
        <v>0</v>
      </c>
      <c r="J27" s="281" t="s">
        <v>106</v>
      </c>
      <c r="K27" s="281" t="s">
        <v>106</v>
      </c>
      <c r="L27" s="267">
        <f>L25-L26</f>
        <v>0</v>
      </c>
      <c r="M27" s="281" t="s">
        <v>106</v>
      </c>
      <c r="N27" s="281" t="s">
        <v>106</v>
      </c>
      <c r="O27" s="267">
        <f>O25-O26</f>
        <v>0</v>
      </c>
      <c r="P27" s="281" t="s">
        <v>106</v>
      </c>
      <c r="Q27" s="281" t="s">
        <v>106</v>
      </c>
      <c r="R27" s="267">
        <f>R25-R26</f>
        <v>0</v>
      </c>
      <c r="S27" s="267">
        <f t="shared" ref="S27:V27" si="8">S25-S26</f>
        <v>0</v>
      </c>
      <c r="T27" s="267">
        <f t="shared" si="8"/>
        <v>0</v>
      </c>
      <c r="U27" s="267">
        <f t="shared" si="8"/>
        <v>0</v>
      </c>
      <c r="V27" s="267">
        <f t="shared" si="8"/>
        <v>0</v>
      </c>
      <c r="W27" s="268"/>
    </row>
    <row r="28" spans="1:23" s="11" customFormat="1" ht="20.100000000000001" customHeight="1">
      <c r="A28" s="257" t="s">
        <v>96</v>
      </c>
      <c r="B28" s="9"/>
      <c r="C28" s="9"/>
      <c r="D28" s="9"/>
      <c r="E28" s="9"/>
      <c r="F28" s="9"/>
      <c r="G28" s="9"/>
      <c r="H28" s="9"/>
      <c r="I28" s="9"/>
      <c r="J28" s="9"/>
      <c r="K28" s="9"/>
      <c r="L28" s="9"/>
      <c r="M28" s="9"/>
      <c r="N28" s="9"/>
      <c r="O28" s="393" t="str">
        <f>IF((O25-S25-T25-U25-V25)=0,"OK","库龄与期末金额不匹配")</f>
        <v>OK</v>
      </c>
      <c r="P28" s="9"/>
      <c r="Q28" s="9"/>
      <c r="R28" s="9"/>
      <c r="S28" s="9"/>
      <c r="T28" s="9"/>
      <c r="U28" s="9"/>
      <c r="V28" s="9"/>
      <c r="W28" s="9"/>
    </row>
    <row r="29" spans="1:23" s="11" customFormat="1" ht="20.100000000000001" customHeight="1">
      <c r="A29" s="46" t="s">
        <v>793</v>
      </c>
      <c r="B29" s="260"/>
      <c r="C29" s="260"/>
      <c r="D29" s="260"/>
      <c r="E29" s="260"/>
      <c r="F29" s="260"/>
      <c r="G29" s="260"/>
      <c r="H29" s="260"/>
      <c r="I29" s="260"/>
      <c r="J29" s="46" t="s">
        <v>795</v>
      </c>
      <c r="K29" s="260"/>
      <c r="L29" s="260"/>
      <c r="M29" s="9"/>
      <c r="N29" s="9"/>
      <c r="O29" s="9"/>
      <c r="P29" s="9"/>
      <c r="Q29" s="9"/>
      <c r="R29" s="9"/>
      <c r="S29" s="9"/>
      <c r="T29" s="9"/>
      <c r="U29" s="9"/>
      <c r="V29" s="9"/>
      <c r="W29" s="9"/>
    </row>
    <row r="30" spans="1:23" s="11" customFormat="1" ht="20.100000000000001" customHeight="1">
      <c r="A30" s="56" t="s">
        <v>794</v>
      </c>
      <c r="B30" s="260"/>
      <c r="C30" s="260"/>
      <c r="D30" s="260"/>
      <c r="E30" s="260"/>
      <c r="F30" s="260"/>
      <c r="G30" s="260"/>
      <c r="H30" s="260"/>
      <c r="I30" s="260"/>
      <c r="J30" s="46" t="s">
        <v>789</v>
      </c>
      <c r="K30" s="260"/>
      <c r="L30" s="260"/>
      <c r="M30" s="9"/>
      <c r="N30" s="9"/>
      <c r="O30" s="9"/>
      <c r="P30" s="9"/>
      <c r="Q30" s="9"/>
      <c r="R30" s="9"/>
      <c r="S30" s="9"/>
      <c r="T30" s="9"/>
      <c r="U30" s="9"/>
      <c r="V30" s="9"/>
      <c r="W30" s="9"/>
    </row>
    <row r="31" spans="1:23" s="11" customFormat="1" ht="18" customHeight="1"/>
    <row r="32" spans="1:23" s="11" customFormat="1" ht="18" customHeight="1"/>
    <row r="33" s="11" customFormat="1" ht="18" customHeight="1"/>
    <row r="34" s="11" customFormat="1" ht="18" customHeight="1"/>
    <row r="35" s="11" customFormat="1" ht="18" customHeight="1"/>
    <row r="36" s="11" customFormat="1" ht="18" customHeight="1"/>
    <row r="37" s="11" customFormat="1" ht="18" customHeight="1"/>
    <row r="38" s="11" customFormat="1" ht="18" customHeight="1"/>
    <row r="39" s="11" customFormat="1" ht="13.8"/>
    <row r="40" s="11" customFormat="1" ht="13.8"/>
    <row r="41" s="11" customFormat="1" ht="13.8"/>
    <row r="42" s="11" customFormat="1" ht="13.8"/>
    <row r="43" s="11" customFormat="1" ht="13.8"/>
    <row r="44" s="11" customFormat="1" ht="13.8"/>
    <row r="45" s="11" customFormat="1" ht="13.8"/>
    <row r="46" s="11" customFormat="1" ht="13.8"/>
    <row r="47" s="11" customFormat="1" ht="13.8"/>
    <row r="48" s="11" customFormat="1" ht="13.8"/>
    <row r="49" s="11" customFormat="1" ht="13.8"/>
    <row r="50" s="11" customFormat="1" ht="13.8"/>
    <row r="51" s="11" customFormat="1" ht="13.8"/>
    <row r="52" s="11" customFormat="1" ht="13.8"/>
    <row r="53" s="11" customFormat="1" ht="13.8"/>
    <row r="54" s="11" customFormat="1" ht="13.8"/>
    <row r="55" s="11" customFormat="1" ht="13.8"/>
    <row r="56" s="11" customFormat="1" ht="13.8"/>
    <row r="57" s="11" customFormat="1" ht="13.8"/>
    <row r="58" s="11" customFormat="1" ht="13.8"/>
    <row r="59" s="11" customFormat="1" ht="13.8"/>
    <row r="60" s="11" customFormat="1" ht="13.8"/>
    <row r="61" s="11" customFormat="1" ht="13.8"/>
    <row r="62" s="11" customFormat="1" ht="13.8"/>
    <row r="63" s="11" customFormat="1" ht="13.8"/>
    <row r="64" s="11" customFormat="1" ht="13.8"/>
    <row r="65" s="11" customFormat="1" ht="13.8"/>
    <row r="66" s="11" customFormat="1" ht="13.8"/>
    <row r="67" s="11" customFormat="1" ht="13.8"/>
    <row r="68" s="11" customFormat="1" ht="13.8"/>
    <row r="69" s="11" customFormat="1" ht="13.8"/>
    <row r="70" s="11" customFormat="1" ht="13.8"/>
  </sheetData>
  <mergeCells count="31">
    <mergeCell ref="K7:K8"/>
    <mergeCell ref="D7:D8"/>
    <mergeCell ref="D6:F6"/>
    <mergeCell ref="W6:W8"/>
    <mergeCell ref="G7:G8"/>
    <mergeCell ref="H7:H8"/>
    <mergeCell ref="P6:R6"/>
    <mergeCell ref="P7:P8"/>
    <mergeCell ref="Q7:Q8"/>
    <mergeCell ref="R7:R8"/>
    <mergeCell ref="S6:V6"/>
    <mergeCell ref="S7:S8"/>
    <mergeCell ref="T7:T8"/>
    <mergeCell ref="U7:U8"/>
    <mergeCell ref="V7:V8"/>
    <mergeCell ref="A1:W1"/>
    <mergeCell ref="A2:W2"/>
    <mergeCell ref="G6:I6"/>
    <mergeCell ref="J6:L6"/>
    <mergeCell ref="M6:O6"/>
    <mergeCell ref="C6:C8"/>
    <mergeCell ref="A6:A8"/>
    <mergeCell ref="B6:B8"/>
    <mergeCell ref="O7:O8"/>
    <mergeCell ref="E7:E8"/>
    <mergeCell ref="F7:F8"/>
    <mergeCell ref="M7:M8"/>
    <mergeCell ref="N7:N8"/>
    <mergeCell ref="L7:L8"/>
    <mergeCell ref="I7:I8"/>
    <mergeCell ref="J7:J8"/>
  </mergeCells>
  <phoneticPr fontId="17" type="noConversion"/>
  <hyperlinks>
    <hyperlink ref="W3" location="底稿目录!A1" display="底稿目录!A1"/>
  </hyperlinks>
  <printOptions horizontalCentered="1"/>
  <pageMargins left="0.43307086614173229" right="0.35433070866141736" top="0.43307086614173229" bottom="0.35433070866141736" header="0.31496062992125984" footer="0.15748031496062992"/>
  <pageSetup paperSize="9" scale="68" orientation="landscape" blackAndWhite="1" r:id="rId1"/>
  <headerFooter alignWithMargins="0">
    <oddFooter>&amp;C&amp;8&amp;P/&amp;N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U69"/>
  <sheetViews>
    <sheetView view="pageBreakPreview" zoomScaleSheetLayoutView="100" workbookViewId="0">
      <selection sqref="A1:U1"/>
    </sheetView>
  </sheetViews>
  <sheetFormatPr defaultColWidth="9" defaultRowHeight="15.6"/>
  <cols>
    <col min="1" max="1" width="16.5" style="15" customWidth="1"/>
    <col min="2" max="2" width="9.296875" style="15" customWidth="1"/>
    <col min="3" max="3" width="12" style="15" customWidth="1"/>
    <col min="4" max="4" width="4.69921875" style="15" customWidth="1"/>
    <col min="5" max="5" width="6.09765625" style="15" customWidth="1"/>
    <col min="6" max="6" width="4.796875" style="15" customWidth="1"/>
    <col min="7" max="7" width="9.19921875" style="15" customWidth="1"/>
    <col min="8" max="8" width="6.69921875" style="15" customWidth="1"/>
    <col min="9" max="9" width="5.09765625" style="15" customWidth="1"/>
    <col min="10" max="10" width="9.296875" style="15" customWidth="1"/>
    <col min="11" max="11" width="7.796875" style="15" customWidth="1"/>
    <col min="12" max="12" width="5.796875" style="15" customWidth="1"/>
    <col min="13" max="13" width="9.09765625" style="15" customWidth="1"/>
    <col min="14" max="14" width="6.796875" style="15" customWidth="1"/>
    <col min="15" max="15" width="6.09765625" style="15" customWidth="1"/>
    <col min="16" max="16" width="9.69921875" style="15" customWidth="1"/>
    <col min="17" max="20" width="8.19921875" style="15" customWidth="1"/>
    <col min="21" max="21" width="12.09765625" style="15" customWidth="1"/>
    <col min="22" max="16384" width="9" style="15"/>
  </cols>
  <sheetData>
    <row r="1" spans="1:21" s="8" customFormat="1" ht="20.100000000000001" customHeight="1">
      <c r="A1" s="526" t="s">
        <v>55</v>
      </c>
      <c r="B1" s="526"/>
      <c r="C1" s="526"/>
      <c r="D1" s="526"/>
      <c r="E1" s="526"/>
      <c r="F1" s="526"/>
      <c r="G1" s="526"/>
      <c r="H1" s="526"/>
      <c r="I1" s="526"/>
      <c r="J1" s="526"/>
      <c r="K1" s="526"/>
      <c r="L1" s="526"/>
      <c r="M1" s="526"/>
      <c r="N1" s="526"/>
      <c r="O1" s="526"/>
      <c r="P1" s="526"/>
      <c r="Q1" s="526"/>
      <c r="R1" s="526"/>
      <c r="S1" s="526"/>
      <c r="T1" s="526"/>
      <c r="U1" s="526"/>
    </row>
    <row r="2" spans="1:21" s="8" customFormat="1" ht="25.05" customHeight="1">
      <c r="A2" s="511" t="s">
        <v>14</v>
      </c>
      <c r="B2" s="511"/>
      <c r="C2" s="511"/>
      <c r="D2" s="511"/>
      <c r="E2" s="511"/>
      <c r="F2" s="511"/>
      <c r="G2" s="511"/>
      <c r="H2" s="511"/>
      <c r="I2" s="511"/>
      <c r="J2" s="511"/>
      <c r="K2" s="511"/>
      <c r="L2" s="511"/>
      <c r="M2" s="511"/>
      <c r="N2" s="511"/>
      <c r="O2" s="511"/>
      <c r="P2" s="511"/>
      <c r="Q2" s="511"/>
      <c r="R2" s="511"/>
      <c r="S2" s="511"/>
      <c r="T2" s="511"/>
      <c r="U2" s="511"/>
    </row>
    <row r="3" spans="1:21" s="11" customFormat="1" ht="20.100000000000001" customHeight="1">
      <c r="A3" s="9" t="str">
        <f>底稿目录!A2</f>
        <v>被审计单位：</v>
      </c>
      <c r="B3" s="9"/>
      <c r="C3" s="9"/>
      <c r="E3" s="10"/>
      <c r="G3" s="9" t="str">
        <f>底稿目录!A4</f>
        <v>编制人：</v>
      </c>
      <c r="K3" s="9" t="str">
        <f>底稿目录!A5</f>
        <v>编制日期：</v>
      </c>
      <c r="L3" s="62"/>
      <c r="R3" s="7"/>
      <c r="S3" s="7"/>
      <c r="T3" s="7" t="s">
        <v>1</v>
      </c>
      <c r="U3" s="405" t="str">
        <f>底稿目录!F10</f>
        <v>F2-5</v>
      </c>
    </row>
    <row r="4" spans="1:21" s="11" customFormat="1" ht="20.100000000000001" customHeight="1">
      <c r="A4" s="9" t="str">
        <f>底稿目录!A3</f>
        <v>截止日：202X年12月21日</v>
      </c>
      <c r="B4" s="9"/>
      <c r="C4" s="9"/>
      <c r="E4" s="10"/>
      <c r="G4" s="7" t="str">
        <f>底稿目录!A6</f>
        <v>复核人：</v>
      </c>
      <c r="K4" s="7" t="str">
        <f>底稿目录!A7</f>
        <v>复核日期：</v>
      </c>
      <c r="L4" s="62"/>
      <c r="R4" s="7"/>
      <c r="S4" s="7"/>
      <c r="T4" s="7" t="s">
        <v>52</v>
      </c>
      <c r="U4" s="9"/>
    </row>
    <row r="5" spans="1:21" s="12" customFormat="1" ht="20.100000000000001" customHeight="1">
      <c r="A5" s="12" t="s">
        <v>500</v>
      </c>
    </row>
    <row r="6" spans="1:21" s="11" customFormat="1" ht="20.100000000000001" customHeight="1">
      <c r="A6" s="513" t="s">
        <v>501</v>
      </c>
      <c r="B6" s="525" t="s">
        <v>134</v>
      </c>
      <c r="C6" s="513" t="s">
        <v>487</v>
      </c>
      <c r="D6" s="513" t="s">
        <v>496</v>
      </c>
      <c r="E6" s="513" t="s">
        <v>502</v>
      </c>
      <c r="F6" s="513"/>
      <c r="G6" s="513"/>
      <c r="H6" s="513" t="s">
        <v>77</v>
      </c>
      <c r="I6" s="513"/>
      <c r="J6" s="513"/>
      <c r="K6" s="513" t="s">
        <v>463</v>
      </c>
      <c r="L6" s="513"/>
      <c r="M6" s="513"/>
      <c r="N6" s="513" t="s">
        <v>79</v>
      </c>
      <c r="O6" s="513"/>
      <c r="P6" s="513"/>
      <c r="Q6" s="514" t="s">
        <v>92</v>
      </c>
      <c r="R6" s="515"/>
      <c r="S6" s="515"/>
      <c r="T6" s="516"/>
      <c r="U6" s="520" t="s">
        <v>497</v>
      </c>
    </row>
    <row r="7" spans="1:21" s="11" customFormat="1" ht="13.2" customHeight="1">
      <c r="A7" s="513"/>
      <c r="B7" s="513"/>
      <c r="C7" s="513"/>
      <c r="D7" s="513"/>
      <c r="E7" s="513" t="s">
        <v>72</v>
      </c>
      <c r="F7" s="513" t="s">
        <v>80</v>
      </c>
      <c r="G7" s="513" t="s">
        <v>73</v>
      </c>
      <c r="H7" s="513" t="s">
        <v>72</v>
      </c>
      <c r="I7" s="513" t="s">
        <v>80</v>
      </c>
      <c r="J7" s="513" t="s">
        <v>73</v>
      </c>
      <c r="K7" s="513" t="s">
        <v>72</v>
      </c>
      <c r="L7" s="513" t="s">
        <v>503</v>
      </c>
      <c r="M7" s="513" t="s">
        <v>73</v>
      </c>
      <c r="N7" s="513" t="s">
        <v>72</v>
      </c>
      <c r="O7" s="513" t="s">
        <v>80</v>
      </c>
      <c r="P7" s="513" t="s">
        <v>73</v>
      </c>
      <c r="Q7" s="517" t="s">
        <v>752</v>
      </c>
      <c r="R7" s="517" t="s">
        <v>753</v>
      </c>
      <c r="S7" s="517" t="s">
        <v>754</v>
      </c>
      <c r="T7" s="517" t="s">
        <v>755</v>
      </c>
      <c r="U7" s="520"/>
    </row>
    <row r="8" spans="1:21" s="11" customFormat="1" ht="13.2" customHeight="1">
      <c r="A8" s="513"/>
      <c r="B8" s="513"/>
      <c r="C8" s="513"/>
      <c r="D8" s="513"/>
      <c r="E8" s="513"/>
      <c r="F8" s="513"/>
      <c r="G8" s="513"/>
      <c r="H8" s="513"/>
      <c r="I8" s="513"/>
      <c r="J8" s="513"/>
      <c r="K8" s="513"/>
      <c r="L8" s="513"/>
      <c r="M8" s="513"/>
      <c r="N8" s="513"/>
      <c r="O8" s="513"/>
      <c r="P8" s="513"/>
      <c r="Q8" s="518"/>
      <c r="R8" s="518"/>
      <c r="S8" s="518"/>
      <c r="T8" s="518"/>
      <c r="U8" s="520"/>
    </row>
    <row r="9" spans="1:21" s="11" customFormat="1" ht="20.100000000000001" customHeight="1">
      <c r="A9" s="57" t="s">
        <v>488</v>
      </c>
      <c r="B9" s="57"/>
      <c r="C9" s="287"/>
      <c r="D9" s="288"/>
      <c r="E9" s="73"/>
      <c r="F9" s="129"/>
      <c r="G9" s="73"/>
      <c r="H9" s="73"/>
      <c r="I9" s="129"/>
      <c r="J9" s="73"/>
      <c r="K9" s="73"/>
      <c r="L9" s="129"/>
      <c r="M9" s="73"/>
      <c r="N9" s="73"/>
      <c r="O9" s="129"/>
      <c r="P9" s="73"/>
      <c r="Q9" s="25"/>
      <c r="R9" s="25"/>
      <c r="S9" s="25"/>
      <c r="T9" s="25"/>
      <c r="U9" s="22"/>
    </row>
    <row r="10" spans="1:21" s="11" customFormat="1" ht="20.100000000000001" customHeight="1">
      <c r="A10" s="57"/>
      <c r="B10" s="57"/>
      <c r="C10" s="35"/>
      <c r="D10" s="22"/>
      <c r="E10" s="25"/>
      <c r="F10" s="247">
        <f t="shared" ref="F10:F25" si="0">IF(E10=0,0,G10/E10)</f>
        <v>0</v>
      </c>
      <c r="G10" s="25"/>
      <c r="H10" s="25"/>
      <c r="I10" s="247">
        <f t="shared" ref="I10:I25" si="1">IF(H10=0,0,J10/H10)</f>
        <v>0</v>
      </c>
      <c r="J10" s="25"/>
      <c r="K10" s="25"/>
      <c r="L10" s="247">
        <f t="shared" ref="L10:L25" si="2">IF(K10=0,0,M10/K10)</f>
        <v>0</v>
      </c>
      <c r="M10" s="25"/>
      <c r="N10" s="448">
        <f>E10+H10-K10</f>
        <v>0</v>
      </c>
      <c r="O10" s="247">
        <f>IF(N10=0,0,P10/N10)</f>
        <v>0</v>
      </c>
      <c r="P10" s="448">
        <f>G10+J10-M10</f>
        <v>0</v>
      </c>
      <c r="Q10" s="25"/>
      <c r="R10" s="25"/>
      <c r="S10" s="25"/>
      <c r="T10" s="25"/>
      <c r="U10" s="256"/>
    </row>
    <row r="11" spans="1:21" s="11" customFormat="1" ht="20.100000000000001" customHeight="1">
      <c r="A11" s="57" t="s">
        <v>3</v>
      </c>
      <c r="B11" s="57"/>
      <c r="C11" s="35"/>
      <c r="D11" s="22"/>
      <c r="E11" s="25"/>
      <c r="F11" s="247">
        <f t="shared" si="0"/>
        <v>0</v>
      </c>
      <c r="G11" s="25"/>
      <c r="H11" s="25"/>
      <c r="I11" s="247">
        <f t="shared" si="1"/>
        <v>0</v>
      </c>
      <c r="J11" s="25"/>
      <c r="K11" s="25"/>
      <c r="L11" s="247">
        <f t="shared" si="2"/>
        <v>0</v>
      </c>
      <c r="M11" s="25"/>
      <c r="N11" s="448">
        <f>E11+H11-K11</f>
        <v>0</v>
      </c>
      <c r="O11" s="247">
        <f>IF(N11=0,0,P11/N11)</f>
        <v>0</v>
      </c>
      <c r="P11" s="448">
        <f>G11+J11-M11</f>
        <v>0</v>
      </c>
      <c r="Q11" s="25"/>
      <c r="R11" s="25"/>
      <c r="S11" s="25"/>
      <c r="T11" s="25"/>
      <c r="U11" s="234"/>
    </row>
    <row r="12" spans="1:21" s="269" customFormat="1" ht="20.100000000000001" customHeight="1">
      <c r="A12" s="289" t="s">
        <v>489</v>
      </c>
      <c r="B12" s="289"/>
      <c r="C12" s="290"/>
      <c r="D12" s="266"/>
      <c r="E12" s="285" t="s">
        <v>106</v>
      </c>
      <c r="F12" s="285" t="s">
        <v>106</v>
      </c>
      <c r="G12" s="280">
        <f>SUM(G10:G11)</f>
        <v>0</v>
      </c>
      <c r="H12" s="285" t="s">
        <v>106</v>
      </c>
      <c r="I12" s="285" t="s">
        <v>106</v>
      </c>
      <c r="J12" s="280">
        <f>SUM(J10:J11)</f>
        <v>0</v>
      </c>
      <c r="K12" s="285" t="s">
        <v>106</v>
      </c>
      <c r="L12" s="285" t="s">
        <v>106</v>
      </c>
      <c r="M12" s="280">
        <f>SUM(M10:M11)</f>
        <v>0</v>
      </c>
      <c r="N12" s="285" t="s">
        <v>106</v>
      </c>
      <c r="O12" s="285" t="s">
        <v>106</v>
      </c>
      <c r="P12" s="280">
        <f>SUM(P10:P11)</f>
        <v>0</v>
      </c>
      <c r="Q12" s="280">
        <f t="shared" ref="Q12:T12" si="3">SUM(Q10:Q11)</f>
        <v>0</v>
      </c>
      <c r="R12" s="280">
        <f t="shared" si="3"/>
        <v>0</v>
      </c>
      <c r="S12" s="280">
        <f t="shared" si="3"/>
        <v>0</v>
      </c>
      <c r="T12" s="280">
        <f t="shared" si="3"/>
        <v>0</v>
      </c>
      <c r="U12" s="279"/>
    </row>
    <row r="13" spans="1:21" s="86" customFormat="1" ht="20.100000000000001" customHeight="1">
      <c r="A13" s="291" t="s">
        <v>490</v>
      </c>
      <c r="B13" s="291"/>
      <c r="C13" s="287"/>
      <c r="D13" s="288"/>
      <c r="E13" s="73"/>
      <c r="F13" s="129"/>
      <c r="G13" s="73"/>
      <c r="H13" s="73"/>
      <c r="I13" s="129"/>
      <c r="J13" s="73"/>
      <c r="K13" s="73"/>
      <c r="L13" s="129"/>
      <c r="M13" s="73"/>
      <c r="N13" s="73"/>
      <c r="O13" s="129"/>
      <c r="P13" s="73"/>
      <c r="Q13" s="73"/>
      <c r="R13" s="73"/>
      <c r="S13" s="73"/>
      <c r="T13" s="73"/>
      <c r="U13" s="292"/>
    </row>
    <row r="14" spans="1:21" s="11" customFormat="1" ht="20.100000000000001" customHeight="1">
      <c r="A14" s="57"/>
      <c r="B14" s="57"/>
      <c r="C14" s="35"/>
      <c r="D14" s="22"/>
      <c r="E14" s="25"/>
      <c r="F14" s="247">
        <f t="shared" si="0"/>
        <v>0</v>
      </c>
      <c r="G14" s="25"/>
      <c r="H14" s="25"/>
      <c r="I14" s="247">
        <f>IF(H14=0,0,J14/H14)</f>
        <v>0</v>
      </c>
      <c r="J14" s="25"/>
      <c r="K14" s="25"/>
      <c r="L14" s="247">
        <f>IF(K14=0,0,M14/K14)</f>
        <v>0</v>
      </c>
      <c r="M14" s="25"/>
      <c r="N14" s="448">
        <f t="shared" ref="N14" si="4">E14+H14-K14</f>
        <v>0</v>
      </c>
      <c r="O14" s="449">
        <f t="shared" ref="O14:O15" si="5">IF(N14=0,0,P14/N14)</f>
        <v>0</v>
      </c>
      <c r="P14" s="448">
        <f t="shared" ref="P14" si="6">G14+J14-M14</f>
        <v>0</v>
      </c>
      <c r="Q14" s="25"/>
      <c r="R14" s="25"/>
      <c r="S14" s="25"/>
      <c r="T14" s="25"/>
      <c r="U14" s="234"/>
    </row>
    <row r="15" spans="1:21" s="11" customFormat="1" ht="20.100000000000001" customHeight="1">
      <c r="A15" s="57" t="s">
        <v>3</v>
      </c>
      <c r="B15" s="57"/>
      <c r="C15" s="35"/>
      <c r="D15" s="22"/>
      <c r="E15" s="25"/>
      <c r="F15" s="247">
        <f t="shared" si="0"/>
        <v>0</v>
      </c>
      <c r="G15" s="25"/>
      <c r="H15" s="25"/>
      <c r="I15" s="247">
        <f t="shared" si="1"/>
        <v>0</v>
      </c>
      <c r="J15" s="25"/>
      <c r="K15" s="25"/>
      <c r="L15" s="247">
        <f t="shared" si="2"/>
        <v>0</v>
      </c>
      <c r="M15" s="25"/>
      <c r="N15" s="448">
        <f t="shared" ref="N15" si="7">E15+H15-K15</f>
        <v>0</v>
      </c>
      <c r="O15" s="449">
        <f t="shared" si="5"/>
        <v>0</v>
      </c>
      <c r="P15" s="448">
        <f t="shared" ref="P15" si="8">G15+J15-M15</f>
        <v>0</v>
      </c>
      <c r="Q15" s="25"/>
      <c r="R15" s="25"/>
      <c r="S15" s="25"/>
      <c r="T15" s="25"/>
      <c r="U15" s="234"/>
    </row>
    <row r="16" spans="1:21" s="269" customFormat="1" ht="20.100000000000001" customHeight="1">
      <c r="A16" s="289" t="s">
        <v>489</v>
      </c>
      <c r="B16" s="289"/>
      <c r="C16" s="290"/>
      <c r="D16" s="266"/>
      <c r="E16" s="285" t="s">
        <v>106</v>
      </c>
      <c r="F16" s="285" t="s">
        <v>106</v>
      </c>
      <c r="G16" s="280">
        <f>SUM(G14:G15)</f>
        <v>0</v>
      </c>
      <c r="H16" s="285" t="s">
        <v>106</v>
      </c>
      <c r="I16" s="285" t="s">
        <v>106</v>
      </c>
      <c r="J16" s="280">
        <f>SUM(J14:J15)</f>
        <v>0</v>
      </c>
      <c r="K16" s="285" t="s">
        <v>106</v>
      </c>
      <c r="L16" s="285" t="s">
        <v>106</v>
      </c>
      <c r="M16" s="280">
        <f>SUM(M14:M15)</f>
        <v>0</v>
      </c>
      <c r="N16" s="285" t="s">
        <v>106</v>
      </c>
      <c r="O16" s="285" t="s">
        <v>106</v>
      </c>
      <c r="P16" s="280">
        <f>SUM(P14:P15)</f>
        <v>0</v>
      </c>
      <c r="Q16" s="280">
        <f t="shared" ref="Q16:T16" si="9">SUM(Q14:Q15)</f>
        <v>0</v>
      </c>
      <c r="R16" s="280">
        <f>SUM(R14:R15)</f>
        <v>0</v>
      </c>
      <c r="S16" s="280">
        <f t="shared" si="9"/>
        <v>0</v>
      </c>
      <c r="T16" s="280">
        <f t="shared" si="9"/>
        <v>0</v>
      </c>
      <c r="U16" s="279"/>
    </row>
    <row r="17" spans="1:21" s="86" customFormat="1" ht="20.100000000000001" customHeight="1">
      <c r="A17" s="291" t="s">
        <v>491</v>
      </c>
      <c r="B17" s="291"/>
      <c r="C17" s="287"/>
      <c r="D17" s="288"/>
      <c r="E17" s="73"/>
      <c r="F17" s="129"/>
      <c r="G17" s="73"/>
      <c r="H17" s="73"/>
      <c r="I17" s="129"/>
      <c r="J17" s="73"/>
      <c r="K17" s="73"/>
      <c r="L17" s="129"/>
      <c r="M17" s="73"/>
      <c r="N17" s="73"/>
      <c r="O17" s="129"/>
      <c r="P17" s="73"/>
      <c r="Q17" s="73"/>
      <c r="R17" s="73"/>
      <c r="S17" s="73"/>
      <c r="T17" s="73"/>
      <c r="U17" s="292"/>
    </row>
    <row r="18" spans="1:21" s="11" customFormat="1" ht="39" customHeight="1">
      <c r="A18" s="57" t="s">
        <v>492</v>
      </c>
      <c r="B18" s="57"/>
      <c r="C18" s="35"/>
      <c r="D18" s="22"/>
      <c r="E18" s="25"/>
      <c r="F18" s="247">
        <f t="shared" si="0"/>
        <v>0</v>
      </c>
      <c r="G18" s="25"/>
      <c r="H18" s="25"/>
      <c r="I18" s="247">
        <f t="shared" si="1"/>
        <v>0</v>
      </c>
      <c r="J18" s="25"/>
      <c r="K18" s="25"/>
      <c r="L18" s="247">
        <f t="shared" si="2"/>
        <v>0</v>
      </c>
      <c r="M18" s="25"/>
      <c r="N18" s="448">
        <f t="shared" ref="N18:N25" si="10">E18+H18-K18</f>
        <v>0</v>
      </c>
      <c r="O18" s="449">
        <f>IF(N18=0,0,P18/N18)</f>
        <v>0</v>
      </c>
      <c r="P18" s="448">
        <f t="shared" ref="P18:P25" si="11">G18+J18-M18</f>
        <v>0</v>
      </c>
      <c r="Q18" s="25"/>
      <c r="R18" s="25"/>
      <c r="S18" s="25"/>
      <c r="T18" s="25"/>
      <c r="U18" s="234"/>
    </row>
    <row r="19" spans="1:21" s="11" customFormat="1" ht="20.100000000000001" customHeight="1">
      <c r="A19" s="57" t="s">
        <v>3</v>
      </c>
      <c r="B19" s="57"/>
      <c r="C19" s="35"/>
      <c r="D19" s="22"/>
      <c r="E19" s="25"/>
      <c r="F19" s="247">
        <f t="shared" si="0"/>
        <v>0</v>
      </c>
      <c r="G19" s="25"/>
      <c r="H19" s="25"/>
      <c r="I19" s="247">
        <f t="shared" si="1"/>
        <v>0</v>
      </c>
      <c r="J19" s="25"/>
      <c r="K19" s="25"/>
      <c r="L19" s="247">
        <f t="shared" si="2"/>
        <v>0</v>
      </c>
      <c r="M19" s="25"/>
      <c r="N19" s="448">
        <f t="shared" si="10"/>
        <v>0</v>
      </c>
      <c r="O19" s="449">
        <f t="shared" ref="O19:O25" si="12">IF(N19=0,0,P19/N19)</f>
        <v>0</v>
      </c>
      <c r="P19" s="448">
        <f t="shared" si="11"/>
        <v>0</v>
      </c>
      <c r="Q19" s="25"/>
      <c r="R19" s="25"/>
      <c r="S19" s="25"/>
      <c r="T19" s="25"/>
      <c r="U19" s="234"/>
    </row>
    <row r="20" spans="1:21" s="11" customFormat="1" ht="30" customHeight="1">
      <c r="A20" s="57" t="s">
        <v>493</v>
      </c>
      <c r="B20" s="57"/>
      <c r="C20" s="35"/>
      <c r="D20" s="22"/>
      <c r="E20" s="25"/>
      <c r="F20" s="247">
        <f t="shared" si="0"/>
        <v>0</v>
      </c>
      <c r="G20" s="25"/>
      <c r="H20" s="25"/>
      <c r="I20" s="247">
        <f t="shared" si="1"/>
        <v>0</v>
      </c>
      <c r="J20" s="25"/>
      <c r="K20" s="25"/>
      <c r="L20" s="247">
        <f t="shared" si="2"/>
        <v>0</v>
      </c>
      <c r="M20" s="25"/>
      <c r="N20" s="448">
        <f t="shared" si="10"/>
        <v>0</v>
      </c>
      <c r="O20" s="449">
        <f t="shared" si="12"/>
        <v>0</v>
      </c>
      <c r="P20" s="448">
        <f t="shared" si="11"/>
        <v>0</v>
      </c>
      <c r="Q20" s="25"/>
      <c r="R20" s="25"/>
      <c r="S20" s="25"/>
      <c r="T20" s="25"/>
      <c r="U20" s="234"/>
    </row>
    <row r="21" spans="1:21" s="11" customFormat="1" ht="20.100000000000001" customHeight="1">
      <c r="A21" s="57" t="s">
        <v>3</v>
      </c>
      <c r="B21" s="57"/>
      <c r="C21" s="35"/>
      <c r="D21" s="22"/>
      <c r="E21" s="25"/>
      <c r="F21" s="247">
        <f t="shared" si="0"/>
        <v>0</v>
      </c>
      <c r="G21" s="25"/>
      <c r="H21" s="25"/>
      <c r="I21" s="247">
        <f t="shared" si="1"/>
        <v>0</v>
      </c>
      <c r="J21" s="25"/>
      <c r="K21" s="25"/>
      <c r="L21" s="247">
        <f t="shared" si="2"/>
        <v>0</v>
      </c>
      <c r="M21" s="25"/>
      <c r="N21" s="448">
        <f t="shared" si="10"/>
        <v>0</v>
      </c>
      <c r="O21" s="449">
        <f t="shared" si="12"/>
        <v>0</v>
      </c>
      <c r="P21" s="448">
        <f t="shared" si="11"/>
        <v>0</v>
      </c>
      <c r="Q21" s="25"/>
      <c r="R21" s="25"/>
      <c r="S21" s="25"/>
      <c r="T21" s="25"/>
      <c r="U21" s="234"/>
    </row>
    <row r="22" spans="1:21" s="11" customFormat="1" ht="30" customHeight="1">
      <c r="A22" s="57" t="s">
        <v>494</v>
      </c>
      <c r="B22" s="57"/>
      <c r="C22" s="35"/>
      <c r="D22" s="22"/>
      <c r="E22" s="25"/>
      <c r="F22" s="247">
        <f t="shared" si="0"/>
        <v>0</v>
      </c>
      <c r="G22" s="25"/>
      <c r="H22" s="25"/>
      <c r="I22" s="247">
        <f t="shared" si="1"/>
        <v>0</v>
      </c>
      <c r="J22" s="25"/>
      <c r="K22" s="25"/>
      <c r="L22" s="247">
        <f t="shared" si="2"/>
        <v>0</v>
      </c>
      <c r="M22" s="25"/>
      <c r="N22" s="448">
        <f t="shared" si="10"/>
        <v>0</v>
      </c>
      <c r="O22" s="449">
        <f t="shared" si="12"/>
        <v>0</v>
      </c>
      <c r="P22" s="448">
        <f t="shared" si="11"/>
        <v>0</v>
      </c>
      <c r="Q22" s="25"/>
      <c r="R22" s="25"/>
      <c r="S22" s="25"/>
      <c r="T22" s="25"/>
      <c r="U22" s="234"/>
    </row>
    <row r="23" spans="1:21" s="11" customFormat="1" ht="20.100000000000001" customHeight="1">
      <c r="A23" s="57" t="s">
        <v>3</v>
      </c>
      <c r="B23" s="57"/>
      <c r="C23" s="35"/>
      <c r="D23" s="22"/>
      <c r="E23" s="25"/>
      <c r="F23" s="247">
        <f t="shared" si="0"/>
        <v>0</v>
      </c>
      <c r="G23" s="25"/>
      <c r="H23" s="25"/>
      <c r="I23" s="247">
        <f t="shared" si="1"/>
        <v>0</v>
      </c>
      <c r="J23" s="25"/>
      <c r="K23" s="25"/>
      <c r="L23" s="247">
        <f t="shared" si="2"/>
        <v>0</v>
      </c>
      <c r="M23" s="25"/>
      <c r="N23" s="448">
        <f t="shared" si="10"/>
        <v>0</v>
      </c>
      <c r="O23" s="449">
        <f t="shared" si="12"/>
        <v>0</v>
      </c>
      <c r="P23" s="448">
        <f t="shared" si="11"/>
        <v>0</v>
      </c>
      <c r="Q23" s="25"/>
      <c r="R23" s="25"/>
      <c r="S23" s="25"/>
      <c r="T23" s="25"/>
      <c r="U23" s="234"/>
    </row>
    <row r="24" spans="1:21" s="11" customFormat="1" ht="31.5" customHeight="1">
      <c r="A24" s="57" t="s">
        <v>495</v>
      </c>
      <c r="B24" s="57"/>
      <c r="C24" s="35"/>
      <c r="D24" s="22"/>
      <c r="E24" s="25"/>
      <c r="F24" s="247">
        <f t="shared" si="0"/>
        <v>0</v>
      </c>
      <c r="G24" s="25"/>
      <c r="H24" s="25"/>
      <c r="I24" s="247">
        <f t="shared" si="1"/>
        <v>0</v>
      </c>
      <c r="J24" s="25"/>
      <c r="K24" s="25"/>
      <c r="L24" s="247">
        <f t="shared" si="2"/>
        <v>0</v>
      </c>
      <c r="M24" s="25"/>
      <c r="N24" s="448">
        <f t="shared" si="10"/>
        <v>0</v>
      </c>
      <c r="O24" s="449">
        <f t="shared" si="12"/>
        <v>0</v>
      </c>
      <c r="P24" s="448">
        <f t="shared" si="11"/>
        <v>0</v>
      </c>
      <c r="Q24" s="25"/>
      <c r="R24" s="25"/>
      <c r="S24" s="25"/>
      <c r="T24" s="25"/>
      <c r="U24" s="234"/>
    </row>
    <row r="25" spans="1:21" s="11" customFormat="1" ht="20.100000000000001" customHeight="1">
      <c r="A25" s="57" t="s">
        <v>3</v>
      </c>
      <c r="B25" s="57"/>
      <c r="C25" s="35"/>
      <c r="D25" s="22"/>
      <c r="E25" s="25"/>
      <c r="F25" s="247">
        <f t="shared" si="0"/>
        <v>0</v>
      </c>
      <c r="G25" s="25"/>
      <c r="H25" s="25"/>
      <c r="I25" s="247">
        <f t="shared" si="1"/>
        <v>0</v>
      </c>
      <c r="J25" s="25"/>
      <c r="K25" s="25"/>
      <c r="L25" s="247">
        <f t="shared" si="2"/>
        <v>0</v>
      </c>
      <c r="M25" s="25"/>
      <c r="N25" s="448">
        <f t="shared" si="10"/>
        <v>0</v>
      </c>
      <c r="O25" s="449">
        <f t="shared" si="12"/>
        <v>0</v>
      </c>
      <c r="P25" s="448">
        <f t="shared" si="11"/>
        <v>0</v>
      </c>
      <c r="Q25" s="25"/>
      <c r="R25" s="25"/>
      <c r="S25" s="25"/>
      <c r="T25" s="25"/>
      <c r="U25" s="234"/>
    </row>
    <row r="26" spans="1:21" s="269" customFormat="1" ht="20.100000000000001" customHeight="1">
      <c r="A26" s="289" t="s">
        <v>489</v>
      </c>
      <c r="B26" s="289"/>
      <c r="C26" s="290"/>
      <c r="D26" s="266"/>
      <c r="E26" s="285" t="s">
        <v>106</v>
      </c>
      <c r="F26" s="285" t="s">
        <v>106</v>
      </c>
      <c r="G26" s="280">
        <f>G18+G20+G22+G24</f>
        <v>0</v>
      </c>
      <c r="H26" s="285" t="s">
        <v>106</v>
      </c>
      <c r="I26" s="285" t="s">
        <v>106</v>
      </c>
      <c r="J26" s="280">
        <f>J18+J20+J22+J24</f>
        <v>0</v>
      </c>
      <c r="K26" s="285" t="s">
        <v>106</v>
      </c>
      <c r="L26" s="285" t="s">
        <v>106</v>
      </c>
      <c r="M26" s="280">
        <f>M18+M20+M22+M24</f>
        <v>0</v>
      </c>
      <c r="N26" s="285" t="s">
        <v>106</v>
      </c>
      <c r="O26" s="285" t="s">
        <v>106</v>
      </c>
      <c r="P26" s="280">
        <f>P18+P20+P22+P24</f>
        <v>0</v>
      </c>
      <c r="Q26" s="280">
        <f t="shared" ref="Q26:S26" si="13">Q18+Q20+Q22+Q24</f>
        <v>0</v>
      </c>
      <c r="R26" s="280">
        <f t="shared" si="13"/>
        <v>0</v>
      </c>
      <c r="S26" s="280">
        <f t="shared" si="13"/>
        <v>0</v>
      </c>
      <c r="T26" s="280">
        <f>T18+T20+T22+T24</f>
        <v>0</v>
      </c>
      <c r="U26" s="279"/>
    </row>
    <row r="27" spans="1:21" s="269" customFormat="1" ht="20.100000000000001" customHeight="1">
      <c r="A27" s="264" t="s">
        <v>57</v>
      </c>
      <c r="B27" s="264"/>
      <c r="C27" s="265"/>
      <c r="D27" s="264"/>
      <c r="E27" s="285" t="s">
        <v>106</v>
      </c>
      <c r="F27" s="285" t="s">
        <v>106</v>
      </c>
      <c r="G27" s="267">
        <f>SUM(G12,G16,G26)</f>
        <v>0</v>
      </c>
      <c r="H27" s="285" t="s">
        <v>106</v>
      </c>
      <c r="I27" s="285" t="s">
        <v>106</v>
      </c>
      <c r="J27" s="267">
        <f>SUM(J12,J16,J26)</f>
        <v>0</v>
      </c>
      <c r="K27" s="285" t="s">
        <v>106</v>
      </c>
      <c r="L27" s="285" t="s">
        <v>106</v>
      </c>
      <c r="M27" s="267">
        <f>SUM(M12,M16,M26)</f>
        <v>0</v>
      </c>
      <c r="N27" s="285" t="s">
        <v>106</v>
      </c>
      <c r="O27" s="285" t="s">
        <v>106</v>
      </c>
      <c r="P27" s="267">
        <f>SUM(P12,P16,P26)</f>
        <v>0</v>
      </c>
      <c r="Q27" s="267">
        <f t="shared" ref="Q27:T27" si="14">SUM(Q12,Q16,Q26)</f>
        <v>0</v>
      </c>
      <c r="R27" s="267">
        <f t="shared" si="14"/>
        <v>0</v>
      </c>
      <c r="S27" s="267">
        <f t="shared" si="14"/>
        <v>0</v>
      </c>
      <c r="T27" s="267">
        <f t="shared" si="14"/>
        <v>0</v>
      </c>
      <c r="U27" s="236"/>
    </row>
    <row r="28" spans="1:21" s="11" customFormat="1" ht="20.100000000000001" customHeight="1">
      <c r="A28" s="264" t="s">
        <v>498</v>
      </c>
      <c r="B28" s="264"/>
      <c r="C28" s="265"/>
      <c r="D28" s="264"/>
      <c r="E28" s="282"/>
      <c r="F28" s="270"/>
      <c r="G28" s="72"/>
      <c r="H28" s="72"/>
      <c r="I28" s="72"/>
      <c r="J28" s="73"/>
      <c r="K28" s="73"/>
      <c r="L28" s="73"/>
      <c r="M28" s="73"/>
      <c r="N28" s="73"/>
      <c r="O28" s="73"/>
      <c r="P28" s="73"/>
      <c r="Q28" s="73"/>
      <c r="R28" s="73"/>
      <c r="S28" s="73"/>
      <c r="T28" s="73"/>
      <c r="U28" s="292"/>
    </row>
    <row r="29" spans="1:21" s="269" customFormat="1" ht="20.100000000000001" customHeight="1">
      <c r="A29" s="264" t="s">
        <v>499</v>
      </c>
      <c r="B29" s="264"/>
      <c r="C29" s="265"/>
      <c r="D29" s="264"/>
      <c r="E29" s="262" t="s">
        <v>106</v>
      </c>
      <c r="F29" s="262" t="s">
        <v>106</v>
      </c>
      <c r="G29" s="267">
        <f>G27-G28</f>
        <v>0</v>
      </c>
      <c r="H29" s="262" t="s">
        <v>106</v>
      </c>
      <c r="I29" s="262" t="s">
        <v>106</v>
      </c>
      <c r="J29" s="267">
        <f>J27-J28</f>
        <v>0</v>
      </c>
      <c r="K29" s="262" t="s">
        <v>106</v>
      </c>
      <c r="L29" s="262" t="s">
        <v>106</v>
      </c>
      <c r="M29" s="267">
        <f>M27-M28</f>
        <v>0</v>
      </c>
      <c r="N29" s="262" t="s">
        <v>106</v>
      </c>
      <c r="O29" s="262" t="s">
        <v>106</v>
      </c>
      <c r="P29" s="267">
        <f>P27-P28</f>
        <v>0</v>
      </c>
      <c r="Q29" s="267">
        <f t="shared" ref="Q29:T29" si="15">Q27-Q28</f>
        <v>0</v>
      </c>
      <c r="R29" s="267">
        <f t="shared" si="15"/>
        <v>0</v>
      </c>
      <c r="S29" s="267">
        <f t="shared" si="15"/>
        <v>0</v>
      </c>
      <c r="T29" s="267">
        <f t="shared" si="15"/>
        <v>0</v>
      </c>
      <c r="U29" s="279"/>
    </row>
    <row r="30" spans="1:21" s="11" customFormat="1" ht="20.100000000000001" customHeight="1">
      <c r="A30" s="257" t="s">
        <v>96</v>
      </c>
      <c r="B30" s="257"/>
      <c r="C30" s="9"/>
      <c r="D30" s="9"/>
      <c r="E30" s="9"/>
      <c r="F30" s="9"/>
      <c r="G30" s="9"/>
      <c r="H30" s="9"/>
      <c r="I30" s="9"/>
      <c r="J30" s="9"/>
      <c r="K30" s="9"/>
      <c r="L30" s="9"/>
      <c r="M30" s="9"/>
      <c r="N30" s="9"/>
      <c r="O30" s="9"/>
      <c r="P30" s="415" t="str">
        <f>IF((P27-Q27-R27-S27-T27)=0,"OK","库龄与期末金额不匹配")</f>
        <v>OK</v>
      </c>
      <c r="Q30" s="9"/>
      <c r="R30" s="9"/>
      <c r="S30" s="9"/>
      <c r="T30" s="9"/>
      <c r="U30" s="9"/>
    </row>
    <row r="31" spans="1:21" s="11" customFormat="1" ht="20.100000000000001" customHeight="1">
      <c r="A31" s="46" t="s">
        <v>796</v>
      </c>
      <c r="B31" s="260"/>
      <c r="C31" s="260"/>
      <c r="D31" s="260"/>
      <c r="E31" s="260"/>
      <c r="F31" s="260"/>
      <c r="G31" s="260"/>
      <c r="H31" s="260"/>
      <c r="I31" s="260"/>
      <c r="J31" s="260"/>
      <c r="K31" s="46" t="s">
        <v>798</v>
      </c>
      <c r="L31" s="260"/>
      <c r="M31" s="260"/>
      <c r="N31" s="260"/>
      <c r="O31" s="260"/>
      <c r="P31" s="260"/>
      <c r="Q31" s="9"/>
      <c r="R31" s="9"/>
      <c r="S31" s="9"/>
      <c r="T31" s="9"/>
      <c r="U31" s="9"/>
    </row>
    <row r="32" spans="1:21" s="11" customFormat="1" ht="20.100000000000001" customHeight="1">
      <c r="A32" s="56" t="s">
        <v>797</v>
      </c>
      <c r="B32" s="283"/>
      <c r="C32" s="260"/>
      <c r="D32" s="260"/>
      <c r="E32" s="260"/>
      <c r="F32" s="260"/>
      <c r="G32" s="260"/>
      <c r="H32" s="260"/>
      <c r="I32" s="260"/>
      <c r="J32" s="260"/>
      <c r="K32" s="46" t="s">
        <v>789</v>
      </c>
      <c r="L32" s="260"/>
      <c r="M32" s="260"/>
      <c r="N32" s="260"/>
      <c r="O32" s="260"/>
      <c r="P32" s="260"/>
      <c r="Q32" s="9"/>
      <c r="R32" s="9"/>
      <c r="S32" s="9"/>
      <c r="T32" s="9"/>
      <c r="U32" s="9"/>
    </row>
    <row r="33" spans="1:2" s="11" customFormat="1" ht="18" customHeight="1"/>
    <row r="34" spans="1:2" s="11" customFormat="1" ht="13.8">
      <c r="A34" s="26" t="s">
        <v>504</v>
      </c>
      <c r="B34" s="26"/>
    </row>
    <row r="35" spans="1:2" s="11" customFormat="1" ht="13.8">
      <c r="A35" s="26"/>
      <c r="B35" s="26"/>
    </row>
    <row r="36" spans="1:2" s="11" customFormat="1" ht="13.8"/>
    <row r="37" spans="1:2" s="11" customFormat="1" ht="13.8"/>
    <row r="38" spans="1:2" s="11" customFormat="1" ht="13.8"/>
    <row r="39" spans="1:2" s="11" customFormat="1" ht="13.8"/>
    <row r="40" spans="1:2" s="11" customFormat="1" ht="13.8"/>
    <row r="41" spans="1:2" s="11" customFormat="1" ht="13.8"/>
    <row r="42" spans="1:2" s="11" customFormat="1" ht="13.8"/>
    <row r="43" spans="1:2" s="11" customFormat="1" ht="13.8"/>
    <row r="44" spans="1:2" s="11" customFormat="1" ht="13.8"/>
    <row r="45" spans="1:2" s="11" customFormat="1" ht="13.8"/>
    <row r="46" spans="1:2" s="11" customFormat="1" ht="13.8"/>
    <row r="47" spans="1:2" s="11" customFormat="1" ht="13.8"/>
    <row r="48" spans="1:2" s="11" customFormat="1" ht="13.8"/>
    <row r="49" s="11" customFormat="1" ht="13.8"/>
    <row r="50" s="11" customFormat="1" ht="13.8"/>
    <row r="51" s="11" customFormat="1" ht="13.8"/>
    <row r="52" s="11" customFormat="1" ht="13.8"/>
    <row r="53" s="11" customFormat="1" ht="13.8"/>
    <row r="54" s="11" customFormat="1" ht="13.8"/>
    <row r="55" s="11" customFormat="1" ht="13.8"/>
    <row r="56" s="11" customFormat="1" ht="13.8"/>
    <row r="57" s="11" customFormat="1" ht="13.8"/>
    <row r="58" s="11" customFormat="1" ht="13.8"/>
    <row r="59" s="11" customFormat="1" ht="13.8"/>
    <row r="60" s="11" customFormat="1" ht="13.8"/>
    <row r="61" s="11" customFormat="1" ht="13.8"/>
    <row r="62" s="11" customFormat="1" ht="13.8"/>
    <row r="63" s="11" customFormat="1" ht="13.8"/>
    <row r="64" s="11" customFormat="1" ht="13.8"/>
    <row r="65" s="11" customFormat="1" ht="13.8"/>
    <row r="66" s="11" customFormat="1" ht="13.8"/>
    <row r="67" s="11" customFormat="1" ht="13.8"/>
    <row r="68" s="11" customFormat="1" ht="13.8"/>
    <row r="69" s="11" customFormat="1" ht="13.8"/>
  </sheetData>
  <mergeCells count="28">
    <mergeCell ref="K7:K8"/>
    <mergeCell ref="L7:L8"/>
    <mergeCell ref="E7:E8"/>
    <mergeCell ref="E6:G6"/>
    <mergeCell ref="U6:U8"/>
    <mergeCell ref="H7:H8"/>
    <mergeCell ref="I7:I8"/>
    <mergeCell ref="Q6:T6"/>
    <mergeCell ref="Q7:Q8"/>
    <mergeCell ref="R7:R8"/>
    <mergeCell ref="S7:S8"/>
    <mergeCell ref="T7:T8"/>
    <mergeCell ref="B6:B8"/>
    <mergeCell ref="A1:U1"/>
    <mergeCell ref="A2:U2"/>
    <mergeCell ref="H6:J6"/>
    <mergeCell ref="K6:M6"/>
    <mergeCell ref="N6:P6"/>
    <mergeCell ref="D6:D8"/>
    <mergeCell ref="A6:A8"/>
    <mergeCell ref="C6:C8"/>
    <mergeCell ref="P7:P8"/>
    <mergeCell ref="F7:F8"/>
    <mergeCell ref="G7:G8"/>
    <mergeCell ref="N7:N8"/>
    <mergeCell ref="O7:O8"/>
    <mergeCell ref="M7:M8"/>
    <mergeCell ref="J7:J8"/>
  </mergeCells>
  <phoneticPr fontId="17" type="noConversion"/>
  <hyperlinks>
    <hyperlink ref="U3" location="底稿目录!A1" display="底稿目录!A1"/>
  </hyperlinks>
  <printOptions horizontalCentered="1"/>
  <pageMargins left="0.43307086614173229" right="0.35433070866141736" top="0.43307086614173229" bottom="0.35433070866141736" header="0.31496062992125984" footer="0.15748031496062992"/>
  <pageSetup paperSize="9" scale="75" orientation="landscape" blackAndWhite="1" r:id="rId1"/>
  <headerFooter alignWithMargins="0">
    <oddFooter>&amp;C&amp;8&amp;P/&amp;N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U70"/>
  <sheetViews>
    <sheetView view="pageBreakPreview" zoomScaleSheetLayoutView="100" workbookViewId="0">
      <selection sqref="A1:U1"/>
    </sheetView>
  </sheetViews>
  <sheetFormatPr defaultColWidth="9" defaultRowHeight="15.6"/>
  <cols>
    <col min="1" max="1" width="9.5" style="15" customWidth="1"/>
    <col min="2" max="2" width="12.296875" style="15" customWidth="1"/>
    <col min="3" max="4" width="6.69921875" style="15" customWidth="1"/>
    <col min="5" max="5" width="6.09765625" style="15" customWidth="1"/>
    <col min="6" max="6" width="6.19921875" style="15" customWidth="1"/>
    <col min="7" max="7" width="8.8984375" style="15" customWidth="1"/>
    <col min="8" max="9" width="6.69921875" style="15" customWidth="1"/>
    <col min="10" max="10" width="9.59765625" style="15" customWidth="1"/>
    <col min="11" max="11" width="7.796875" style="15" customWidth="1"/>
    <col min="12" max="12" width="5.796875" style="15" customWidth="1"/>
    <col min="13" max="13" width="10.09765625" style="15" customWidth="1"/>
    <col min="14" max="14" width="6.796875" style="15" customWidth="1"/>
    <col min="15" max="15" width="6.09765625" style="15" customWidth="1"/>
    <col min="16" max="16" width="9" style="15"/>
    <col min="17" max="20" width="8" style="15" customWidth="1"/>
    <col min="21" max="21" width="10.69921875" style="15" customWidth="1"/>
    <col min="22" max="16384" width="9" style="15"/>
  </cols>
  <sheetData>
    <row r="1" spans="1:21" s="8" customFormat="1" ht="20.100000000000001" customHeight="1">
      <c r="A1" s="526" t="s">
        <v>55</v>
      </c>
      <c r="B1" s="526"/>
      <c r="C1" s="526"/>
      <c r="D1" s="526"/>
      <c r="E1" s="526"/>
      <c r="F1" s="526"/>
      <c r="G1" s="526"/>
      <c r="H1" s="526"/>
      <c r="I1" s="526"/>
      <c r="J1" s="526"/>
      <c r="K1" s="526"/>
      <c r="L1" s="526"/>
      <c r="M1" s="526"/>
      <c r="N1" s="526"/>
      <c r="O1" s="526"/>
      <c r="P1" s="526"/>
      <c r="Q1" s="526"/>
      <c r="R1" s="526"/>
      <c r="S1" s="526"/>
      <c r="T1" s="526"/>
      <c r="U1" s="526"/>
    </row>
    <row r="2" spans="1:21" s="8" customFormat="1" ht="25.05" customHeight="1">
      <c r="A2" s="511" t="s">
        <v>0</v>
      </c>
      <c r="B2" s="511"/>
      <c r="C2" s="511"/>
      <c r="D2" s="511"/>
      <c r="E2" s="511"/>
      <c r="F2" s="511"/>
      <c r="G2" s="511"/>
      <c r="H2" s="511"/>
      <c r="I2" s="511"/>
      <c r="J2" s="511"/>
      <c r="K2" s="511"/>
      <c r="L2" s="511"/>
      <c r="M2" s="511"/>
      <c r="N2" s="511"/>
      <c r="O2" s="511"/>
      <c r="P2" s="511"/>
      <c r="Q2" s="511"/>
      <c r="R2" s="511"/>
      <c r="S2" s="511"/>
      <c r="T2" s="511"/>
      <c r="U2" s="511"/>
    </row>
    <row r="3" spans="1:21" s="11" customFormat="1" ht="20.100000000000001" customHeight="1">
      <c r="A3" s="9" t="str">
        <f>底稿目录!A2</f>
        <v>被审计单位：</v>
      </c>
      <c r="B3" s="9"/>
      <c r="C3" s="9"/>
      <c r="E3" s="10"/>
      <c r="G3" s="9" t="str">
        <f>底稿目录!A4</f>
        <v>编制人：</v>
      </c>
      <c r="K3" s="9" t="str">
        <f>底稿目录!A5</f>
        <v>编制日期：</v>
      </c>
      <c r="L3" s="62"/>
      <c r="R3" s="7"/>
      <c r="S3" s="7"/>
      <c r="T3" s="7" t="s">
        <v>1</v>
      </c>
      <c r="U3" s="405" t="str">
        <f>底稿目录!F11</f>
        <v>F2-6</v>
      </c>
    </row>
    <row r="4" spans="1:21" s="11" customFormat="1" ht="20.100000000000001" customHeight="1">
      <c r="A4" s="9" t="str">
        <f>底稿目录!A3</f>
        <v>截止日：202X年12月21日</v>
      </c>
      <c r="B4" s="9"/>
      <c r="C4" s="9"/>
      <c r="E4" s="10"/>
      <c r="G4" s="7" t="str">
        <f>底稿目录!A6</f>
        <v>复核人：</v>
      </c>
      <c r="K4" s="7" t="str">
        <f>底稿目录!A7</f>
        <v>复核日期：</v>
      </c>
      <c r="L4" s="62"/>
      <c r="R4" s="7"/>
      <c r="S4" s="7"/>
      <c r="T4" s="7" t="s">
        <v>52</v>
      </c>
      <c r="U4" s="9"/>
    </row>
    <row r="5" spans="1:21" s="12" customFormat="1" ht="20.100000000000001" customHeight="1">
      <c r="A5" s="12" t="s">
        <v>507</v>
      </c>
    </row>
    <row r="6" spans="1:21" s="11" customFormat="1" ht="20.100000000000001" customHeight="1">
      <c r="A6" s="513" t="s">
        <v>467</v>
      </c>
      <c r="B6" s="513" t="s">
        <v>508</v>
      </c>
      <c r="C6" s="513" t="s">
        <v>75</v>
      </c>
      <c r="D6" s="513" t="s">
        <v>464</v>
      </c>
      <c r="E6" s="513" t="s">
        <v>509</v>
      </c>
      <c r="F6" s="513"/>
      <c r="G6" s="513"/>
      <c r="H6" s="513" t="s">
        <v>77</v>
      </c>
      <c r="I6" s="513"/>
      <c r="J6" s="513"/>
      <c r="K6" s="513" t="s">
        <v>78</v>
      </c>
      <c r="L6" s="513"/>
      <c r="M6" s="513"/>
      <c r="N6" s="513" t="s">
        <v>475</v>
      </c>
      <c r="O6" s="513"/>
      <c r="P6" s="513"/>
      <c r="Q6" s="514" t="s">
        <v>92</v>
      </c>
      <c r="R6" s="515"/>
      <c r="S6" s="515"/>
      <c r="T6" s="516"/>
      <c r="U6" s="520" t="s">
        <v>471</v>
      </c>
    </row>
    <row r="7" spans="1:21" s="11" customFormat="1" ht="20.100000000000001" customHeight="1">
      <c r="A7" s="513"/>
      <c r="B7" s="513"/>
      <c r="C7" s="513"/>
      <c r="D7" s="513"/>
      <c r="E7" s="513" t="s">
        <v>72</v>
      </c>
      <c r="F7" s="513" t="s">
        <v>472</v>
      </c>
      <c r="G7" s="513" t="s">
        <v>73</v>
      </c>
      <c r="H7" s="513" t="s">
        <v>72</v>
      </c>
      <c r="I7" s="513" t="s">
        <v>80</v>
      </c>
      <c r="J7" s="513" t="s">
        <v>73</v>
      </c>
      <c r="K7" s="513" t="s">
        <v>72</v>
      </c>
      <c r="L7" s="513" t="s">
        <v>80</v>
      </c>
      <c r="M7" s="513" t="s">
        <v>73</v>
      </c>
      <c r="N7" s="513" t="s">
        <v>72</v>
      </c>
      <c r="O7" s="513" t="s">
        <v>80</v>
      </c>
      <c r="P7" s="513" t="s">
        <v>73</v>
      </c>
      <c r="Q7" s="517" t="s">
        <v>762</v>
      </c>
      <c r="R7" s="517" t="s">
        <v>753</v>
      </c>
      <c r="S7" s="517" t="s">
        <v>763</v>
      </c>
      <c r="T7" s="517" t="s">
        <v>755</v>
      </c>
      <c r="U7" s="520"/>
    </row>
    <row r="8" spans="1:21" s="11" customFormat="1" ht="20.100000000000001" customHeight="1">
      <c r="A8" s="513"/>
      <c r="B8" s="513"/>
      <c r="C8" s="513"/>
      <c r="D8" s="513"/>
      <c r="E8" s="513"/>
      <c r="F8" s="513"/>
      <c r="G8" s="513"/>
      <c r="H8" s="513"/>
      <c r="I8" s="513"/>
      <c r="J8" s="513"/>
      <c r="K8" s="513"/>
      <c r="L8" s="513"/>
      <c r="M8" s="513"/>
      <c r="N8" s="513"/>
      <c r="O8" s="513"/>
      <c r="P8" s="513"/>
      <c r="Q8" s="518"/>
      <c r="R8" s="518"/>
      <c r="S8" s="518"/>
      <c r="T8" s="518"/>
      <c r="U8" s="520"/>
    </row>
    <row r="9" spans="1:21" s="11" customFormat="1" ht="20.100000000000001" customHeight="1">
      <c r="A9" s="23"/>
      <c r="B9" s="23"/>
      <c r="C9" s="293"/>
      <c r="D9" s="234"/>
      <c r="E9" s="25"/>
      <c r="F9" s="247">
        <f>IF(E9=0,0,G9/E9)</f>
        <v>0</v>
      </c>
      <c r="G9" s="25"/>
      <c r="H9" s="25"/>
      <c r="I9" s="247">
        <f>IF(H9=0,0,J9/H9)</f>
        <v>0</v>
      </c>
      <c r="J9" s="25"/>
      <c r="K9" s="25"/>
      <c r="L9" s="247">
        <f>IF(K9=0,0,M9/K9)</f>
        <v>0</v>
      </c>
      <c r="M9" s="25"/>
      <c r="N9" s="280">
        <f>E9+H9-K9</f>
        <v>0</v>
      </c>
      <c r="O9" s="280">
        <f>IF(N9=0,0,P9/N9)</f>
        <v>0</v>
      </c>
      <c r="P9" s="280">
        <f>G9+J9-M9</f>
        <v>0</v>
      </c>
      <c r="Q9" s="25"/>
      <c r="R9" s="25"/>
      <c r="S9" s="25"/>
      <c r="T9" s="25"/>
      <c r="U9" s="234"/>
    </row>
    <row r="10" spans="1:21" s="11" customFormat="1" ht="20.100000000000001" customHeight="1">
      <c r="A10" s="23"/>
      <c r="B10" s="23"/>
      <c r="C10" s="293"/>
      <c r="D10" s="22"/>
      <c r="E10" s="25"/>
      <c r="F10" s="247">
        <f t="shared" ref="F10:F24" si="0">IF(E10=0,0,G10/E10)</f>
        <v>0</v>
      </c>
      <c r="G10" s="25"/>
      <c r="H10" s="25"/>
      <c r="I10" s="247">
        <f t="shared" ref="I10:I24" si="1">IF(H10=0,0,J10/H10)</f>
        <v>0</v>
      </c>
      <c r="J10" s="25"/>
      <c r="K10" s="25"/>
      <c r="L10" s="247">
        <f t="shared" ref="L10:L24" si="2">IF(K10=0,0,M10/K10)</f>
        <v>0</v>
      </c>
      <c r="M10" s="25"/>
      <c r="N10" s="280">
        <f t="shared" ref="N10:N24" si="3">E10+H10-K10</f>
        <v>0</v>
      </c>
      <c r="O10" s="280">
        <f t="shared" ref="O10:O24" si="4">IF(N10=0,0,P10/N10)</f>
        <v>0</v>
      </c>
      <c r="P10" s="280">
        <f t="shared" ref="P10:P24" si="5">G10+J10-M10</f>
        <v>0</v>
      </c>
      <c r="Q10" s="25"/>
      <c r="R10" s="25"/>
      <c r="S10" s="25"/>
      <c r="T10" s="25"/>
      <c r="U10" s="234"/>
    </row>
    <row r="11" spans="1:21" s="11" customFormat="1" ht="20.100000000000001" customHeight="1">
      <c r="A11" s="23"/>
      <c r="B11" s="23"/>
      <c r="C11" s="293"/>
      <c r="D11" s="22"/>
      <c r="E11" s="25"/>
      <c r="F11" s="247">
        <f t="shared" si="0"/>
        <v>0</v>
      </c>
      <c r="G11" s="25"/>
      <c r="H11" s="25"/>
      <c r="I11" s="247">
        <f t="shared" si="1"/>
        <v>0</v>
      </c>
      <c r="J11" s="25"/>
      <c r="K11" s="25"/>
      <c r="L11" s="247">
        <f t="shared" si="2"/>
        <v>0</v>
      </c>
      <c r="M11" s="25"/>
      <c r="N11" s="280">
        <f t="shared" si="3"/>
        <v>0</v>
      </c>
      <c r="O11" s="280">
        <f t="shared" si="4"/>
        <v>0</v>
      </c>
      <c r="P11" s="280">
        <f t="shared" si="5"/>
        <v>0</v>
      </c>
      <c r="Q11" s="25"/>
      <c r="R11" s="25"/>
      <c r="S11" s="25"/>
      <c r="T11" s="25"/>
      <c r="U11" s="234"/>
    </row>
    <row r="12" spans="1:21" s="11" customFormat="1" ht="20.100000000000001" customHeight="1">
      <c r="A12" s="23"/>
      <c r="B12" s="23"/>
      <c r="C12" s="293"/>
      <c r="D12" s="22"/>
      <c r="E12" s="25"/>
      <c r="F12" s="247">
        <f t="shared" si="0"/>
        <v>0</v>
      </c>
      <c r="G12" s="25"/>
      <c r="H12" s="25"/>
      <c r="I12" s="247">
        <f t="shared" si="1"/>
        <v>0</v>
      </c>
      <c r="J12" s="25"/>
      <c r="K12" s="25"/>
      <c r="L12" s="247">
        <f t="shared" si="2"/>
        <v>0</v>
      </c>
      <c r="M12" s="25"/>
      <c r="N12" s="280">
        <f t="shared" si="3"/>
        <v>0</v>
      </c>
      <c r="O12" s="280">
        <f t="shared" si="4"/>
        <v>0</v>
      </c>
      <c r="P12" s="280">
        <f t="shared" si="5"/>
        <v>0</v>
      </c>
      <c r="Q12" s="25"/>
      <c r="R12" s="25"/>
      <c r="S12" s="25"/>
      <c r="T12" s="25"/>
      <c r="U12" s="234"/>
    </row>
    <row r="13" spans="1:21" s="11" customFormat="1" ht="20.100000000000001" customHeight="1">
      <c r="A13" s="23"/>
      <c r="B13" s="23"/>
      <c r="C13" s="293"/>
      <c r="D13" s="22"/>
      <c r="E13" s="25"/>
      <c r="F13" s="247">
        <f t="shared" si="0"/>
        <v>0</v>
      </c>
      <c r="G13" s="25"/>
      <c r="H13" s="25"/>
      <c r="I13" s="247">
        <f t="shared" si="1"/>
        <v>0</v>
      </c>
      <c r="J13" s="25"/>
      <c r="K13" s="25"/>
      <c r="L13" s="247">
        <f t="shared" si="2"/>
        <v>0</v>
      </c>
      <c r="M13" s="25"/>
      <c r="N13" s="280">
        <f t="shared" si="3"/>
        <v>0</v>
      </c>
      <c r="O13" s="280">
        <f t="shared" si="4"/>
        <v>0</v>
      </c>
      <c r="P13" s="280">
        <f t="shared" si="5"/>
        <v>0</v>
      </c>
      <c r="Q13" s="25"/>
      <c r="R13" s="25"/>
      <c r="S13" s="25"/>
      <c r="T13" s="25"/>
      <c r="U13" s="234"/>
    </row>
    <row r="14" spans="1:21" s="11" customFormat="1" ht="20.100000000000001" customHeight="1">
      <c r="A14" s="23"/>
      <c r="B14" s="23"/>
      <c r="C14" s="293"/>
      <c r="D14" s="22"/>
      <c r="E14" s="25"/>
      <c r="F14" s="247">
        <f t="shared" si="0"/>
        <v>0</v>
      </c>
      <c r="G14" s="25"/>
      <c r="H14" s="25"/>
      <c r="I14" s="247">
        <f t="shared" si="1"/>
        <v>0</v>
      </c>
      <c r="J14" s="25"/>
      <c r="K14" s="25"/>
      <c r="L14" s="247">
        <f t="shared" si="2"/>
        <v>0</v>
      </c>
      <c r="M14" s="25"/>
      <c r="N14" s="280">
        <f t="shared" si="3"/>
        <v>0</v>
      </c>
      <c r="O14" s="280">
        <f t="shared" si="4"/>
        <v>0</v>
      </c>
      <c r="P14" s="280">
        <f t="shared" si="5"/>
        <v>0</v>
      </c>
      <c r="Q14" s="25"/>
      <c r="R14" s="25"/>
      <c r="S14" s="25"/>
      <c r="T14" s="25"/>
      <c r="U14" s="234"/>
    </row>
    <row r="15" spans="1:21" s="11" customFormat="1" ht="20.100000000000001" customHeight="1">
      <c r="A15" s="23"/>
      <c r="B15" s="23"/>
      <c r="C15" s="293"/>
      <c r="D15" s="22"/>
      <c r="E15" s="25"/>
      <c r="F15" s="247">
        <f t="shared" si="0"/>
        <v>0</v>
      </c>
      <c r="G15" s="25"/>
      <c r="H15" s="25"/>
      <c r="I15" s="247">
        <f t="shared" si="1"/>
        <v>0</v>
      </c>
      <c r="J15" s="25"/>
      <c r="K15" s="25"/>
      <c r="L15" s="247">
        <f t="shared" si="2"/>
        <v>0</v>
      </c>
      <c r="M15" s="25"/>
      <c r="N15" s="280">
        <f t="shared" si="3"/>
        <v>0</v>
      </c>
      <c r="O15" s="280">
        <f t="shared" si="4"/>
        <v>0</v>
      </c>
      <c r="P15" s="280">
        <f t="shared" si="5"/>
        <v>0</v>
      </c>
      <c r="Q15" s="25"/>
      <c r="R15" s="25"/>
      <c r="S15" s="25"/>
      <c r="T15" s="25"/>
      <c r="U15" s="234"/>
    </row>
    <row r="16" spans="1:21" s="11" customFormat="1" ht="20.100000000000001" customHeight="1">
      <c r="A16" s="23"/>
      <c r="B16" s="23"/>
      <c r="C16" s="293"/>
      <c r="D16" s="22"/>
      <c r="E16" s="25"/>
      <c r="F16" s="247">
        <f t="shared" si="0"/>
        <v>0</v>
      </c>
      <c r="G16" s="25"/>
      <c r="H16" s="25"/>
      <c r="I16" s="247">
        <f t="shared" si="1"/>
        <v>0</v>
      </c>
      <c r="J16" s="25"/>
      <c r="K16" s="25"/>
      <c r="L16" s="247">
        <f t="shared" si="2"/>
        <v>0</v>
      </c>
      <c r="M16" s="25"/>
      <c r="N16" s="280">
        <f t="shared" si="3"/>
        <v>0</v>
      </c>
      <c r="O16" s="280">
        <f t="shared" si="4"/>
        <v>0</v>
      </c>
      <c r="P16" s="280">
        <f t="shared" si="5"/>
        <v>0</v>
      </c>
      <c r="Q16" s="25"/>
      <c r="R16" s="25"/>
      <c r="S16" s="25"/>
      <c r="T16" s="25"/>
      <c r="U16" s="234"/>
    </row>
    <row r="17" spans="1:21" s="11" customFormat="1" ht="20.100000000000001" customHeight="1">
      <c r="A17" s="23"/>
      <c r="B17" s="23"/>
      <c r="C17" s="293"/>
      <c r="D17" s="22"/>
      <c r="E17" s="25"/>
      <c r="F17" s="247">
        <f t="shared" si="0"/>
        <v>0</v>
      </c>
      <c r="G17" s="25"/>
      <c r="H17" s="25"/>
      <c r="I17" s="247">
        <f t="shared" si="1"/>
        <v>0</v>
      </c>
      <c r="J17" s="25"/>
      <c r="K17" s="25"/>
      <c r="L17" s="247">
        <f t="shared" si="2"/>
        <v>0</v>
      </c>
      <c r="M17" s="25"/>
      <c r="N17" s="280">
        <f t="shared" si="3"/>
        <v>0</v>
      </c>
      <c r="O17" s="280">
        <f t="shared" si="4"/>
        <v>0</v>
      </c>
      <c r="P17" s="280">
        <f t="shared" si="5"/>
        <v>0</v>
      </c>
      <c r="Q17" s="25"/>
      <c r="R17" s="25"/>
      <c r="S17" s="25"/>
      <c r="T17" s="25"/>
      <c r="U17" s="234"/>
    </row>
    <row r="18" spans="1:21" s="11" customFormat="1" ht="20.100000000000001" customHeight="1">
      <c r="A18" s="23"/>
      <c r="B18" s="23"/>
      <c r="C18" s="293"/>
      <c r="D18" s="22"/>
      <c r="E18" s="25"/>
      <c r="F18" s="247">
        <f t="shared" si="0"/>
        <v>0</v>
      </c>
      <c r="G18" s="25"/>
      <c r="H18" s="25"/>
      <c r="I18" s="247">
        <f t="shared" si="1"/>
        <v>0</v>
      </c>
      <c r="J18" s="25"/>
      <c r="K18" s="25"/>
      <c r="L18" s="247">
        <f t="shared" si="2"/>
        <v>0</v>
      </c>
      <c r="M18" s="25"/>
      <c r="N18" s="280">
        <f t="shared" si="3"/>
        <v>0</v>
      </c>
      <c r="O18" s="280">
        <f t="shared" si="4"/>
        <v>0</v>
      </c>
      <c r="P18" s="280">
        <f t="shared" si="5"/>
        <v>0</v>
      </c>
      <c r="Q18" s="25"/>
      <c r="R18" s="25"/>
      <c r="S18" s="25"/>
      <c r="T18" s="25"/>
      <c r="U18" s="234"/>
    </row>
    <row r="19" spans="1:21" s="11" customFormat="1" ht="20.100000000000001" customHeight="1">
      <c r="A19" s="23"/>
      <c r="B19" s="23"/>
      <c r="C19" s="293"/>
      <c r="D19" s="22"/>
      <c r="E19" s="25"/>
      <c r="F19" s="247">
        <f t="shared" si="0"/>
        <v>0</v>
      </c>
      <c r="G19" s="25"/>
      <c r="H19" s="25"/>
      <c r="I19" s="247">
        <f t="shared" si="1"/>
        <v>0</v>
      </c>
      <c r="J19" s="25"/>
      <c r="K19" s="25"/>
      <c r="L19" s="247">
        <f t="shared" si="2"/>
        <v>0</v>
      </c>
      <c r="M19" s="25"/>
      <c r="N19" s="280">
        <f t="shared" si="3"/>
        <v>0</v>
      </c>
      <c r="O19" s="280">
        <f t="shared" si="4"/>
        <v>0</v>
      </c>
      <c r="P19" s="280">
        <f t="shared" si="5"/>
        <v>0</v>
      </c>
      <c r="Q19" s="25"/>
      <c r="R19" s="25"/>
      <c r="S19" s="25"/>
      <c r="T19" s="25"/>
      <c r="U19" s="234"/>
    </row>
    <row r="20" spans="1:21" s="11" customFormat="1" ht="20.100000000000001" customHeight="1">
      <c r="A20" s="23"/>
      <c r="B20" s="23"/>
      <c r="C20" s="293"/>
      <c r="D20" s="22"/>
      <c r="E20" s="25"/>
      <c r="F20" s="247">
        <f t="shared" si="0"/>
        <v>0</v>
      </c>
      <c r="G20" s="25"/>
      <c r="H20" s="25"/>
      <c r="I20" s="247">
        <f t="shared" si="1"/>
        <v>0</v>
      </c>
      <c r="J20" s="25"/>
      <c r="K20" s="25"/>
      <c r="L20" s="247">
        <f t="shared" si="2"/>
        <v>0</v>
      </c>
      <c r="M20" s="25"/>
      <c r="N20" s="280">
        <f t="shared" si="3"/>
        <v>0</v>
      </c>
      <c r="O20" s="280">
        <f t="shared" si="4"/>
        <v>0</v>
      </c>
      <c r="P20" s="280">
        <f t="shared" si="5"/>
        <v>0</v>
      </c>
      <c r="Q20" s="25"/>
      <c r="R20" s="25"/>
      <c r="S20" s="25"/>
      <c r="T20" s="25"/>
      <c r="U20" s="234"/>
    </row>
    <row r="21" spans="1:21" s="11" customFormat="1" ht="20.100000000000001" customHeight="1">
      <c r="A21" s="23"/>
      <c r="B21" s="23"/>
      <c r="C21" s="293"/>
      <c r="D21" s="22"/>
      <c r="E21" s="25"/>
      <c r="F21" s="247">
        <f t="shared" si="0"/>
        <v>0</v>
      </c>
      <c r="G21" s="25"/>
      <c r="H21" s="25"/>
      <c r="I21" s="247">
        <f t="shared" si="1"/>
        <v>0</v>
      </c>
      <c r="J21" s="25"/>
      <c r="K21" s="25"/>
      <c r="L21" s="247">
        <f t="shared" si="2"/>
        <v>0</v>
      </c>
      <c r="M21" s="25"/>
      <c r="N21" s="280">
        <f t="shared" si="3"/>
        <v>0</v>
      </c>
      <c r="O21" s="280">
        <f t="shared" si="4"/>
        <v>0</v>
      </c>
      <c r="P21" s="280">
        <f t="shared" si="5"/>
        <v>0</v>
      </c>
      <c r="Q21" s="25"/>
      <c r="R21" s="25"/>
      <c r="S21" s="25"/>
      <c r="T21" s="25"/>
      <c r="U21" s="234"/>
    </row>
    <row r="22" spans="1:21" s="11" customFormat="1" ht="20.100000000000001" customHeight="1">
      <c r="A22" s="23"/>
      <c r="B22" s="23"/>
      <c r="C22" s="293"/>
      <c r="D22" s="22"/>
      <c r="E22" s="25"/>
      <c r="F22" s="247">
        <f t="shared" si="0"/>
        <v>0</v>
      </c>
      <c r="G22" s="25"/>
      <c r="H22" s="25"/>
      <c r="I22" s="247">
        <f t="shared" si="1"/>
        <v>0</v>
      </c>
      <c r="J22" s="25"/>
      <c r="K22" s="25"/>
      <c r="L22" s="247">
        <f t="shared" si="2"/>
        <v>0</v>
      </c>
      <c r="M22" s="25"/>
      <c r="N22" s="280">
        <f t="shared" si="3"/>
        <v>0</v>
      </c>
      <c r="O22" s="280">
        <f t="shared" si="4"/>
        <v>0</v>
      </c>
      <c r="P22" s="280">
        <f t="shared" si="5"/>
        <v>0</v>
      </c>
      <c r="Q22" s="25"/>
      <c r="R22" s="25"/>
      <c r="S22" s="25"/>
      <c r="T22" s="25"/>
      <c r="U22" s="234"/>
    </row>
    <row r="23" spans="1:21" s="11" customFormat="1" ht="20.100000000000001" customHeight="1">
      <c r="A23" s="23"/>
      <c r="B23" s="23"/>
      <c r="C23" s="293"/>
      <c r="D23" s="22"/>
      <c r="E23" s="14"/>
      <c r="F23" s="247">
        <f t="shared" si="0"/>
        <v>0</v>
      </c>
      <c r="G23" s="14"/>
      <c r="H23" s="14"/>
      <c r="I23" s="247">
        <f t="shared" si="1"/>
        <v>0</v>
      </c>
      <c r="J23" s="25"/>
      <c r="K23" s="25"/>
      <c r="L23" s="247">
        <f t="shared" si="2"/>
        <v>0</v>
      </c>
      <c r="M23" s="25"/>
      <c r="N23" s="280">
        <f t="shared" si="3"/>
        <v>0</v>
      </c>
      <c r="O23" s="280">
        <f t="shared" si="4"/>
        <v>0</v>
      </c>
      <c r="P23" s="280">
        <f t="shared" si="5"/>
        <v>0</v>
      </c>
      <c r="Q23" s="25"/>
      <c r="R23" s="25"/>
      <c r="S23" s="25"/>
      <c r="T23" s="25"/>
      <c r="U23" s="234"/>
    </row>
    <row r="24" spans="1:21" s="11" customFormat="1" ht="20.100000000000001" customHeight="1">
      <c r="A24" s="13"/>
      <c r="B24" s="13"/>
      <c r="C24" s="294"/>
      <c r="D24" s="17"/>
      <c r="E24" s="14"/>
      <c r="F24" s="247">
        <f t="shared" si="0"/>
        <v>0</v>
      </c>
      <c r="G24" s="14"/>
      <c r="H24" s="14"/>
      <c r="I24" s="247">
        <f t="shared" si="1"/>
        <v>0</v>
      </c>
      <c r="J24" s="25"/>
      <c r="K24" s="25"/>
      <c r="L24" s="247">
        <f t="shared" si="2"/>
        <v>0</v>
      </c>
      <c r="M24" s="25"/>
      <c r="N24" s="280">
        <f t="shared" si="3"/>
        <v>0</v>
      </c>
      <c r="O24" s="280">
        <f t="shared" si="4"/>
        <v>0</v>
      </c>
      <c r="P24" s="280">
        <f t="shared" si="5"/>
        <v>0</v>
      </c>
      <c r="Q24" s="25"/>
      <c r="R24" s="25"/>
      <c r="S24" s="25"/>
      <c r="T24" s="25"/>
      <c r="U24" s="234"/>
    </row>
    <row r="25" spans="1:21" s="269" customFormat="1" ht="20.100000000000001" customHeight="1">
      <c r="A25" s="264" t="s">
        <v>57</v>
      </c>
      <c r="B25" s="264"/>
      <c r="C25" s="265"/>
      <c r="D25" s="264"/>
      <c r="E25" s="281" t="s">
        <v>106</v>
      </c>
      <c r="F25" s="281" t="s">
        <v>106</v>
      </c>
      <c r="G25" s="267">
        <f>SUM(G9:G24)</f>
        <v>0</v>
      </c>
      <c r="H25" s="281" t="s">
        <v>106</v>
      </c>
      <c r="I25" s="281" t="s">
        <v>106</v>
      </c>
      <c r="J25" s="267">
        <f>SUM(J9:J24)</f>
        <v>0</v>
      </c>
      <c r="K25" s="281" t="s">
        <v>106</v>
      </c>
      <c r="L25" s="281" t="s">
        <v>106</v>
      </c>
      <c r="M25" s="267">
        <f>SUM(M9:M24)</f>
        <v>0</v>
      </c>
      <c r="N25" s="281" t="s">
        <v>106</v>
      </c>
      <c r="O25" s="281" t="s">
        <v>106</v>
      </c>
      <c r="P25" s="267">
        <f>SUM(P9:P24)</f>
        <v>0</v>
      </c>
      <c r="Q25" s="267">
        <f t="shared" ref="Q25:S25" si="6">SUM(Q9:Q24)</f>
        <v>0</v>
      </c>
      <c r="R25" s="267">
        <f t="shared" si="6"/>
        <v>0</v>
      </c>
      <c r="S25" s="267">
        <f t="shared" si="6"/>
        <v>0</v>
      </c>
      <c r="T25" s="267">
        <f>SUM(T9:T24)</f>
        <v>0</v>
      </c>
      <c r="U25" s="236"/>
    </row>
    <row r="26" spans="1:21" s="86" customFormat="1" ht="20.100000000000001" customHeight="1">
      <c r="A26" s="264" t="s">
        <v>510</v>
      </c>
      <c r="B26" s="264"/>
      <c r="C26" s="265"/>
      <c r="D26" s="264"/>
      <c r="E26" s="282"/>
      <c r="F26" s="270"/>
      <c r="G26" s="72"/>
      <c r="H26" s="72"/>
      <c r="I26" s="72"/>
      <c r="J26" s="73"/>
      <c r="K26" s="73"/>
      <c r="L26" s="73"/>
      <c r="M26" s="73"/>
      <c r="N26" s="73"/>
      <c r="O26" s="73"/>
      <c r="P26" s="73"/>
      <c r="Q26" s="73"/>
      <c r="R26" s="73"/>
      <c r="S26" s="73"/>
      <c r="T26" s="73"/>
      <c r="U26" s="288"/>
    </row>
    <row r="27" spans="1:21" s="286" customFormat="1" ht="20.100000000000001" customHeight="1">
      <c r="A27" s="264" t="s">
        <v>505</v>
      </c>
      <c r="B27" s="264"/>
      <c r="C27" s="265"/>
      <c r="D27" s="264"/>
      <c r="E27" s="281" t="s">
        <v>106</v>
      </c>
      <c r="F27" s="281" t="s">
        <v>106</v>
      </c>
      <c r="G27" s="267">
        <f>G25-G26</f>
        <v>0</v>
      </c>
      <c r="H27" s="281" t="s">
        <v>106</v>
      </c>
      <c r="I27" s="281" t="s">
        <v>106</v>
      </c>
      <c r="J27" s="267">
        <f>J25-J26</f>
        <v>0</v>
      </c>
      <c r="K27" s="281" t="s">
        <v>106</v>
      </c>
      <c r="L27" s="281" t="s">
        <v>106</v>
      </c>
      <c r="M27" s="267">
        <f>M25-M26</f>
        <v>0</v>
      </c>
      <c r="N27" s="281" t="s">
        <v>106</v>
      </c>
      <c r="O27" s="281" t="s">
        <v>106</v>
      </c>
      <c r="P27" s="267">
        <f>P25-P26</f>
        <v>0</v>
      </c>
      <c r="Q27" s="267">
        <f t="shared" ref="Q27:S27" si="7">Q25-Q26</f>
        <v>0</v>
      </c>
      <c r="R27" s="267">
        <f t="shared" si="7"/>
        <v>0</v>
      </c>
      <c r="S27" s="267">
        <f t="shared" si="7"/>
        <v>0</v>
      </c>
      <c r="T27" s="267">
        <f>T25-T26</f>
        <v>0</v>
      </c>
      <c r="U27" s="268"/>
    </row>
    <row r="28" spans="1:21" s="11" customFormat="1" ht="20.100000000000001" customHeight="1">
      <c r="A28" s="50" t="s">
        <v>96</v>
      </c>
      <c r="B28" s="50"/>
      <c r="C28" s="30"/>
      <c r="D28" s="30"/>
      <c r="E28" s="30"/>
      <c r="F28" s="30"/>
      <c r="G28" s="30"/>
      <c r="H28" s="30"/>
      <c r="I28" s="30"/>
      <c r="J28" s="30"/>
      <c r="K28" s="30"/>
      <c r="L28" s="30"/>
      <c r="M28" s="30"/>
      <c r="N28" s="30"/>
      <c r="O28" s="30"/>
      <c r="P28" s="415" t="str">
        <f>IF((P25-Q25-R25-S25-T25)=0,"OK","库龄与期末金额不匹配")</f>
        <v>OK</v>
      </c>
      <c r="Q28" s="30"/>
      <c r="R28" s="30"/>
      <c r="S28" s="30"/>
      <c r="T28" s="30"/>
      <c r="U28" s="30"/>
    </row>
    <row r="29" spans="1:21" s="11" customFormat="1" ht="20.100000000000001" customHeight="1">
      <c r="A29" s="46" t="s">
        <v>82</v>
      </c>
      <c r="B29" s="46"/>
      <c r="C29" s="9"/>
      <c r="D29" s="9"/>
      <c r="E29" s="9"/>
      <c r="F29" s="9"/>
      <c r="G29" s="9"/>
      <c r="H29" s="9"/>
      <c r="I29" s="9"/>
      <c r="J29" s="9"/>
      <c r="K29" s="46" t="s">
        <v>511</v>
      </c>
      <c r="L29" s="9"/>
      <c r="M29" s="9"/>
      <c r="N29" s="9"/>
      <c r="O29" s="9"/>
      <c r="P29" s="9"/>
      <c r="Q29" s="9"/>
      <c r="R29" s="9"/>
      <c r="S29" s="9"/>
      <c r="T29" s="9"/>
      <c r="U29" s="9"/>
    </row>
    <row r="30" spans="1:21" s="11" customFormat="1" ht="20.100000000000001" customHeight="1">
      <c r="A30" s="56" t="s">
        <v>506</v>
      </c>
      <c r="B30" s="56"/>
      <c r="C30" s="9"/>
      <c r="D30" s="9"/>
      <c r="E30" s="9"/>
      <c r="F30" s="9"/>
      <c r="G30" s="9"/>
      <c r="H30" s="9"/>
      <c r="I30" s="9"/>
      <c r="J30" s="9"/>
      <c r="K30" s="46" t="s">
        <v>81</v>
      </c>
      <c r="L30" s="9"/>
      <c r="M30" s="9"/>
      <c r="N30" s="9"/>
      <c r="O30" s="9"/>
      <c r="P30" s="9"/>
      <c r="Q30" s="9"/>
      <c r="R30" s="9"/>
      <c r="S30" s="9"/>
      <c r="T30" s="9"/>
      <c r="U30" s="9"/>
    </row>
    <row r="31" spans="1:21" s="11" customFormat="1" ht="18" customHeight="1"/>
    <row r="32" spans="1:21" s="11" customFormat="1" ht="18" customHeight="1"/>
    <row r="33" s="11" customFormat="1" ht="18" customHeight="1"/>
    <row r="34" s="11" customFormat="1" ht="18" customHeight="1"/>
    <row r="35" s="11" customFormat="1" ht="18" customHeight="1"/>
    <row r="36" s="11" customFormat="1" ht="13.8"/>
    <row r="37" s="11" customFormat="1" ht="13.8"/>
    <row r="38" s="11" customFormat="1" ht="13.8"/>
    <row r="39" s="11" customFormat="1" ht="13.8"/>
    <row r="40" s="11" customFormat="1" ht="13.8"/>
    <row r="41" s="11" customFormat="1" ht="13.8"/>
    <row r="42" s="11" customFormat="1" ht="13.8"/>
    <row r="43" s="11" customFormat="1" ht="13.8"/>
    <row r="44" s="11" customFormat="1" ht="13.8"/>
    <row r="45" s="11" customFormat="1" ht="13.8"/>
    <row r="46" s="11" customFormat="1" ht="13.8"/>
    <row r="47" s="11" customFormat="1" ht="13.8"/>
    <row r="48" s="11" customFormat="1" ht="13.8"/>
    <row r="49" s="11" customFormat="1" ht="13.8"/>
    <row r="50" s="11" customFormat="1" ht="13.8"/>
    <row r="51" s="11" customFormat="1" ht="13.8"/>
    <row r="52" s="11" customFormat="1" ht="13.8"/>
    <row r="53" s="11" customFormat="1" ht="13.8"/>
    <row r="54" s="11" customFormat="1" ht="13.8"/>
    <row r="55" s="11" customFormat="1" ht="13.8"/>
    <row r="56" s="11" customFormat="1" ht="13.8"/>
    <row r="57" s="11" customFormat="1" ht="13.8"/>
    <row r="58" s="11" customFormat="1" ht="13.8"/>
    <row r="59" s="11" customFormat="1" ht="13.8"/>
    <row r="60" s="11" customFormat="1" ht="13.8"/>
    <row r="61" s="11" customFormat="1" ht="13.8"/>
    <row r="62" s="11" customFormat="1" ht="13.8"/>
    <row r="63" s="11" customFormat="1" ht="13.8"/>
    <row r="64" s="11" customFormat="1" ht="13.8"/>
    <row r="65" s="11" customFormat="1" ht="13.8"/>
    <row r="66" s="11" customFormat="1" ht="13.8"/>
    <row r="67" s="11" customFormat="1" ht="13.8"/>
    <row r="68" s="11" customFormat="1" ht="13.8"/>
    <row r="69" s="11" customFormat="1" ht="13.8"/>
    <row r="70" s="11" customFormat="1" ht="13.8"/>
  </sheetData>
  <mergeCells count="28">
    <mergeCell ref="K7:K8"/>
    <mergeCell ref="L7:L8"/>
    <mergeCell ref="E7:E8"/>
    <mergeCell ref="E6:G6"/>
    <mergeCell ref="U6:U8"/>
    <mergeCell ref="H7:H8"/>
    <mergeCell ref="I7:I8"/>
    <mergeCell ref="Q6:T6"/>
    <mergeCell ref="Q7:Q8"/>
    <mergeCell ref="R7:R8"/>
    <mergeCell ref="S7:S8"/>
    <mergeCell ref="T7:T8"/>
    <mergeCell ref="B6:B8"/>
    <mergeCell ref="A1:U1"/>
    <mergeCell ref="A2:U2"/>
    <mergeCell ref="H6:J6"/>
    <mergeCell ref="K6:M6"/>
    <mergeCell ref="N6:P6"/>
    <mergeCell ref="D6:D8"/>
    <mergeCell ref="A6:A8"/>
    <mergeCell ref="C6:C8"/>
    <mergeCell ref="P7:P8"/>
    <mergeCell ref="F7:F8"/>
    <mergeCell ref="G7:G8"/>
    <mergeCell ref="N7:N8"/>
    <mergeCell ref="O7:O8"/>
    <mergeCell ref="M7:M8"/>
    <mergeCell ref="J7:J8"/>
  </mergeCells>
  <phoneticPr fontId="17" type="noConversion"/>
  <hyperlinks>
    <hyperlink ref="U3" location="底稿目录!A1" display="底稿目录!A1"/>
  </hyperlinks>
  <printOptions horizontalCentered="1"/>
  <pageMargins left="0.43307086614173229" right="0.35433070866141736" top="0.43307086614173229" bottom="0.35433070866141736" header="0.31496062992125984" footer="0.15748031496062992"/>
  <pageSetup paperSize="9" scale="77" orientation="landscape" blackAndWhite="1" r:id="rId1"/>
  <headerFooter alignWithMargins="0">
    <oddFooter>&amp;C&amp;8&amp;P/&amp;N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O287"/>
  <sheetViews>
    <sheetView view="pageBreakPreview" topLeftCell="A13" zoomScaleNormal="130" zoomScaleSheetLayoutView="100" workbookViewId="0">
      <selection sqref="A1:O1"/>
    </sheetView>
  </sheetViews>
  <sheetFormatPr defaultColWidth="9" defaultRowHeight="15.6"/>
  <cols>
    <col min="1" max="1" width="14.796875" style="15" customWidth="1"/>
    <col min="2" max="2" width="7" style="15" customWidth="1"/>
    <col min="3" max="3" width="11.69921875" style="15" customWidth="1"/>
    <col min="4" max="4" width="9.59765625" style="15" customWidth="1"/>
    <col min="5" max="5" width="7.5" style="15" customWidth="1"/>
    <col min="6" max="6" width="8.296875" style="15" customWidth="1"/>
    <col min="7" max="7" width="9.5" style="15" customWidth="1"/>
    <col min="8" max="8" width="7.69921875" style="15" customWidth="1"/>
    <col min="9" max="9" width="7.5" style="15" customWidth="1"/>
    <col min="10" max="10" width="11.8984375" style="15" customWidth="1"/>
    <col min="11" max="16384" width="9" style="15"/>
  </cols>
  <sheetData>
    <row r="1" spans="1:15" s="8" customFormat="1" ht="20.100000000000001" customHeight="1">
      <c r="A1" s="529" t="s">
        <v>60</v>
      </c>
      <c r="B1" s="529"/>
      <c r="C1" s="529"/>
      <c r="D1" s="529"/>
      <c r="E1" s="529"/>
      <c r="F1" s="529"/>
      <c r="G1" s="529"/>
      <c r="H1" s="529"/>
      <c r="I1" s="529"/>
      <c r="J1" s="529"/>
      <c r="K1" s="529"/>
      <c r="L1" s="529"/>
      <c r="M1" s="529"/>
      <c r="N1" s="529"/>
      <c r="O1" s="529"/>
    </row>
    <row r="2" spans="1:15" s="8" customFormat="1" ht="25.05" customHeight="1">
      <c r="A2" s="530" t="s">
        <v>74</v>
      </c>
      <c r="B2" s="530"/>
      <c r="C2" s="530"/>
      <c r="D2" s="530"/>
      <c r="E2" s="530"/>
      <c r="F2" s="530"/>
      <c r="G2" s="530"/>
      <c r="H2" s="530"/>
      <c r="I2" s="530"/>
      <c r="J2" s="530"/>
      <c r="K2" s="530"/>
      <c r="L2" s="530"/>
      <c r="M2" s="530"/>
      <c r="N2" s="530"/>
      <c r="O2" s="530"/>
    </row>
    <row r="3" spans="1:15" s="11" customFormat="1" ht="20.100000000000001" customHeight="1">
      <c r="A3" s="9" t="str">
        <f>底稿目录!A2</f>
        <v>被审计单位：</v>
      </c>
      <c r="B3" s="9"/>
      <c r="C3" s="9"/>
      <c r="E3" s="9" t="str">
        <f>底稿目录!A4</f>
        <v>编制人：</v>
      </c>
      <c r="G3" s="9"/>
      <c r="I3" s="62"/>
      <c r="J3" s="9" t="str">
        <f>底稿目录!A5</f>
        <v>编制日期：</v>
      </c>
      <c r="L3" s="9"/>
      <c r="M3" s="9"/>
      <c r="N3" s="9" t="s">
        <v>83</v>
      </c>
      <c r="O3" s="407" t="str">
        <f>底稿目录!F12</f>
        <v>F2-7</v>
      </c>
    </row>
    <row r="4" spans="1:15" s="11" customFormat="1" ht="20.100000000000001" customHeight="1">
      <c r="A4" s="9" t="str">
        <f>底稿目录!A3</f>
        <v>截止日：202X年12月21日</v>
      </c>
      <c r="B4" s="9"/>
      <c r="C4" s="9"/>
      <c r="E4" s="9" t="str">
        <f>底稿目录!A6</f>
        <v>复核人：</v>
      </c>
      <c r="G4" s="9"/>
      <c r="I4" s="62"/>
      <c r="J4" s="9" t="str">
        <f>底稿目录!A7</f>
        <v>复核日期：</v>
      </c>
      <c r="L4" s="9"/>
      <c r="M4" s="9"/>
      <c r="N4" s="9" t="s">
        <v>61</v>
      </c>
    </row>
    <row r="5" spans="1:15" s="12" customFormat="1" ht="20.100000000000001" customHeight="1">
      <c r="A5" s="12" t="s">
        <v>84</v>
      </c>
    </row>
    <row r="6" spans="1:15" s="11" customFormat="1" ht="21.6" customHeight="1">
      <c r="A6" s="532" t="s">
        <v>85</v>
      </c>
      <c r="B6" s="533"/>
      <c r="C6" s="522" t="s">
        <v>512</v>
      </c>
      <c r="D6" s="522" t="s">
        <v>86</v>
      </c>
      <c r="E6" s="522" t="s">
        <v>72</v>
      </c>
      <c r="F6" s="522" t="s">
        <v>87</v>
      </c>
      <c r="G6" s="522" t="s">
        <v>73</v>
      </c>
      <c r="H6" s="522" t="s">
        <v>88</v>
      </c>
      <c r="I6" s="522" t="s">
        <v>89</v>
      </c>
      <c r="J6" s="522" t="s">
        <v>90</v>
      </c>
      <c r="K6" s="522" t="s">
        <v>91</v>
      </c>
      <c r="L6" s="514" t="s">
        <v>466</v>
      </c>
      <c r="M6" s="515"/>
      <c r="N6" s="515"/>
      <c r="O6" s="516"/>
    </row>
    <row r="7" spans="1:15" s="11" customFormat="1" ht="21.6" customHeight="1">
      <c r="A7" s="534"/>
      <c r="B7" s="535"/>
      <c r="C7" s="524"/>
      <c r="D7" s="524"/>
      <c r="E7" s="524"/>
      <c r="F7" s="524"/>
      <c r="G7" s="524"/>
      <c r="H7" s="524"/>
      <c r="I7" s="524"/>
      <c r="J7" s="524"/>
      <c r="K7" s="524"/>
      <c r="L7" s="394" t="s">
        <v>752</v>
      </c>
      <c r="M7" s="394" t="s">
        <v>753</v>
      </c>
      <c r="N7" s="394" t="s">
        <v>754</v>
      </c>
      <c r="O7" s="394" t="s">
        <v>755</v>
      </c>
    </row>
    <row r="8" spans="1:15" s="11" customFormat="1" ht="20.100000000000001" customHeight="1">
      <c r="A8" s="531"/>
      <c r="B8" s="531"/>
      <c r="C8" s="13"/>
      <c r="D8" s="13"/>
      <c r="E8" s="299"/>
      <c r="F8" s="259"/>
      <c r="G8" s="300">
        <f>E8*F8</f>
        <v>0</v>
      </c>
      <c r="H8" s="299"/>
      <c r="I8" s="299"/>
      <c r="J8" s="259"/>
      <c r="K8" s="259"/>
      <c r="L8" s="259"/>
      <c r="M8" s="259"/>
      <c r="N8" s="259"/>
      <c r="O8" s="258"/>
    </row>
    <row r="9" spans="1:15" s="11" customFormat="1" ht="20.100000000000001" customHeight="1">
      <c r="A9" s="528"/>
      <c r="B9" s="528"/>
      <c r="C9" s="13"/>
      <c r="D9" s="13"/>
      <c r="E9" s="299"/>
      <c r="F9" s="259"/>
      <c r="G9" s="300">
        <f t="shared" ref="G9:G15" si="0">E9*F9</f>
        <v>0</v>
      </c>
      <c r="H9" s="299"/>
      <c r="I9" s="299"/>
      <c r="J9" s="259"/>
      <c r="K9" s="259"/>
      <c r="L9" s="259"/>
      <c r="M9" s="259"/>
      <c r="N9" s="259"/>
      <c r="O9" s="258"/>
    </row>
    <row r="10" spans="1:15" s="11" customFormat="1" ht="20.100000000000001" customHeight="1">
      <c r="A10" s="528"/>
      <c r="B10" s="528"/>
      <c r="C10" s="13"/>
      <c r="D10" s="13"/>
      <c r="E10" s="299"/>
      <c r="F10" s="259"/>
      <c r="G10" s="300">
        <f t="shared" si="0"/>
        <v>0</v>
      </c>
      <c r="H10" s="299"/>
      <c r="I10" s="299"/>
      <c r="J10" s="259"/>
      <c r="K10" s="259"/>
      <c r="L10" s="259"/>
      <c r="M10" s="259"/>
      <c r="N10" s="259"/>
      <c r="O10" s="258"/>
    </row>
    <row r="11" spans="1:15" s="11" customFormat="1" ht="20.100000000000001" customHeight="1">
      <c r="A11" s="528"/>
      <c r="B11" s="528"/>
      <c r="C11" s="13"/>
      <c r="D11" s="13"/>
      <c r="E11" s="299"/>
      <c r="F11" s="259"/>
      <c r="G11" s="300">
        <f t="shared" si="0"/>
        <v>0</v>
      </c>
      <c r="H11" s="299"/>
      <c r="I11" s="299"/>
      <c r="J11" s="259"/>
      <c r="K11" s="259"/>
      <c r="L11" s="259"/>
      <c r="M11" s="259"/>
      <c r="N11" s="259"/>
      <c r="O11" s="258"/>
    </row>
    <row r="12" spans="1:15" s="11" customFormat="1" ht="20.100000000000001" customHeight="1">
      <c r="A12" s="528"/>
      <c r="B12" s="528"/>
      <c r="C12" s="13"/>
      <c r="D12" s="13"/>
      <c r="E12" s="299"/>
      <c r="F12" s="259"/>
      <c r="G12" s="300">
        <f t="shared" si="0"/>
        <v>0</v>
      </c>
      <c r="H12" s="299"/>
      <c r="I12" s="299"/>
      <c r="J12" s="259"/>
      <c r="K12" s="259"/>
      <c r="L12" s="259"/>
      <c r="M12" s="259"/>
      <c r="N12" s="259"/>
      <c r="O12" s="258"/>
    </row>
    <row r="13" spans="1:15" s="11" customFormat="1" ht="20.100000000000001" customHeight="1">
      <c r="A13" s="528"/>
      <c r="B13" s="528"/>
      <c r="C13" s="13"/>
      <c r="D13" s="13"/>
      <c r="E13" s="299"/>
      <c r="F13" s="259"/>
      <c r="G13" s="300">
        <f t="shared" si="0"/>
        <v>0</v>
      </c>
      <c r="H13" s="299"/>
      <c r="I13" s="299"/>
      <c r="J13" s="259"/>
      <c r="K13" s="259"/>
      <c r="L13" s="259"/>
      <c r="M13" s="259"/>
      <c r="N13" s="259"/>
      <c r="O13" s="258"/>
    </row>
    <row r="14" spans="1:15" s="11" customFormat="1" ht="20.100000000000001" customHeight="1">
      <c r="A14" s="528"/>
      <c r="B14" s="528"/>
      <c r="C14" s="13"/>
      <c r="D14" s="13"/>
      <c r="E14" s="299"/>
      <c r="F14" s="259"/>
      <c r="G14" s="300">
        <f t="shared" si="0"/>
        <v>0</v>
      </c>
      <c r="H14" s="299"/>
      <c r="I14" s="299"/>
      <c r="J14" s="259"/>
      <c r="K14" s="259"/>
      <c r="L14" s="259"/>
      <c r="M14" s="259"/>
      <c r="N14" s="259"/>
      <c r="O14" s="258"/>
    </row>
    <row r="15" spans="1:15" s="11" customFormat="1" ht="20.100000000000001" customHeight="1">
      <c r="A15" s="528"/>
      <c r="B15" s="528"/>
      <c r="C15" s="13"/>
      <c r="D15" s="13"/>
      <c r="E15" s="299"/>
      <c r="F15" s="259"/>
      <c r="G15" s="300">
        <f t="shared" si="0"/>
        <v>0</v>
      </c>
      <c r="H15" s="299"/>
      <c r="I15" s="299"/>
      <c r="J15" s="259"/>
      <c r="K15" s="259"/>
      <c r="L15" s="259"/>
      <c r="M15" s="259"/>
      <c r="N15" s="259"/>
      <c r="O15" s="258"/>
    </row>
    <row r="16" spans="1:15" s="11" customFormat="1" ht="20.100000000000001" customHeight="1">
      <c r="A16" s="528"/>
      <c r="B16" s="528"/>
      <c r="C16" s="13"/>
      <c r="D16" s="13"/>
      <c r="E16" s="299"/>
      <c r="F16" s="259"/>
      <c r="G16" s="300">
        <f>E16*F16</f>
        <v>0</v>
      </c>
      <c r="H16" s="299"/>
      <c r="I16" s="299"/>
      <c r="J16" s="259"/>
      <c r="K16" s="259"/>
      <c r="L16" s="259"/>
      <c r="M16" s="259"/>
      <c r="N16" s="259"/>
      <c r="O16" s="258"/>
    </row>
    <row r="17" spans="1:15" s="11" customFormat="1" ht="20.100000000000001" customHeight="1">
      <c r="A17" s="527" t="s">
        <v>93</v>
      </c>
      <c r="B17" s="527"/>
      <c r="C17" s="527"/>
      <c r="D17" s="527"/>
      <c r="E17" s="301"/>
      <c r="F17" s="263"/>
      <c r="G17" s="301">
        <f>SUM(G8:G16)</f>
        <v>0</v>
      </c>
      <c r="H17" s="301">
        <f t="shared" ref="H17:O17" si="1">SUM(H8:H16)</f>
        <v>0</v>
      </c>
      <c r="I17" s="301">
        <f t="shared" si="1"/>
        <v>0</v>
      </c>
      <c r="J17" s="301">
        <f t="shared" si="1"/>
        <v>0</v>
      </c>
      <c r="K17" s="301">
        <f t="shared" si="1"/>
        <v>0</v>
      </c>
      <c r="L17" s="301">
        <f t="shared" si="1"/>
        <v>0</v>
      </c>
      <c r="M17" s="301">
        <f t="shared" si="1"/>
        <v>0</v>
      </c>
      <c r="N17" s="301">
        <f t="shared" si="1"/>
        <v>0</v>
      </c>
      <c r="O17" s="301">
        <f t="shared" si="1"/>
        <v>0</v>
      </c>
    </row>
    <row r="18" spans="1:15" s="12" customFormat="1" ht="20.100000000000001" customHeight="1">
      <c r="A18" s="527" t="s">
        <v>94</v>
      </c>
      <c r="B18" s="527"/>
      <c r="C18" s="527"/>
      <c r="D18" s="527"/>
      <c r="E18" s="300"/>
      <c r="F18" s="300"/>
      <c r="G18" s="16"/>
      <c r="H18" s="299"/>
      <c r="I18" s="299"/>
      <c r="J18" s="299"/>
      <c r="K18" s="299"/>
      <c r="L18" s="299"/>
      <c r="M18" s="299"/>
      <c r="N18" s="299"/>
      <c r="O18" s="23"/>
    </row>
    <row r="19" spans="1:15" s="11" customFormat="1" ht="20.100000000000001" customHeight="1">
      <c r="A19" s="527" t="s">
        <v>95</v>
      </c>
      <c r="B19" s="527"/>
      <c r="C19" s="527"/>
      <c r="D19" s="527"/>
      <c r="E19" s="301"/>
      <c r="F19" s="301"/>
      <c r="G19" s="302">
        <f>G17-G18</f>
        <v>0</v>
      </c>
      <c r="H19" s="302"/>
      <c r="I19" s="302"/>
      <c r="J19" s="302"/>
      <c r="K19" s="302"/>
      <c r="L19" s="302">
        <f>L17-L18</f>
        <v>0</v>
      </c>
      <c r="M19" s="302">
        <f>M17-M18</f>
        <v>0</v>
      </c>
      <c r="N19" s="302">
        <f>N17-N18</f>
        <v>0</v>
      </c>
      <c r="O19" s="302">
        <f>O17-O18</f>
        <v>0</v>
      </c>
    </row>
    <row r="20" spans="1:15" s="11" customFormat="1" ht="20.100000000000001" customHeight="1">
      <c r="A20" s="50" t="s">
        <v>513</v>
      </c>
      <c r="B20" s="30"/>
      <c r="C20" s="30"/>
      <c r="D20" s="30"/>
      <c r="E20" s="30"/>
      <c r="F20" s="30"/>
      <c r="G20" s="415" t="str">
        <f>IF((G17-L17-M17-N17-O17)=0,"OK","库龄与期末金额不匹配")</f>
        <v>OK</v>
      </c>
      <c r="H20" s="30"/>
      <c r="I20" s="30"/>
      <c r="J20" s="30"/>
      <c r="K20" s="30"/>
      <c r="L20" s="30"/>
      <c r="M20" s="30"/>
      <c r="N20" s="30"/>
      <c r="O20" s="30"/>
    </row>
    <row r="21" spans="1:15" s="11" customFormat="1" ht="20.100000000000001" customHeight="1">
      <c r="A21" s="46" t="s">
        <v>799</v>
      </c>
      <c r="B21" s="260"/>
      <c r="C21" s="260"/>
      <c r="D21" s="260"/>
      <c r="E21" s="260"/>
      <c r="F21" s="260"/>
      <c r="G21" s="46" t="s">
        <v>801</v>
      </c>
      <c r="H21" s="260"/>
      <c r="I21" s="9"/>
      <c r="J21" s="9"/>
      <c r="K21" s="9"/>
      <c r="L21" s="9"/>
      <c r="M21" s="9"/>
      <c r="N21" s="9"/>
      <c r="O21" s="9"/>
    </row>
    <row r="22" spans="1:15" s="11" customFormat="1" ht="20.100000000000001" customHeight="1">
      <c r="A22" s="56" t="s">
        <v>800</v>
      </c>
      <c r="B22" s="260"/>
      <c r="C22" s="260"/>
      <c r="D22" s="260"/>
      <c r="E22" s="260"/>
      <c r="F22" s="260"/>
      <c r="G22" s="46" t="s">
        <v>789</v>
      </c>
      <c r="H22" s="260"/>
      <c r="I22" s="9"/>
      <c r="J22" s="9"/>
      <c r="K22" s="9"/>
      <c r="L22" s="9"/>
      <c r="M22" s="9"/>
      <c r="N22" s="9"/>
      <c r="O22" s="9"/>
    </row>
    <row r="23" spans="1:15" s="11" customFormat="1" ht="20.100000000000001" customHeight="1"/>
    <row r="24" spans="1:15" s="11" customFormat="1" ht="20.100000000000001" customHeight="1"/>
    <row r="25" spans="1:15" s="11" customFormat="1" ht="20.100000000000001" customHeight="1"/>
    <row r="26" spans="1:15" s="11" customFormat="1" ht="20.100000000000001" customHeight="1"/>
    <row r="27" spans="1:15" s="11" customFormat="1" ht="20.100000000000001" customHeight="1"/>
    <row r="28" spans="1:15" s="11" customFormat="1" ht="20.100000000000001" customHeight="1"/>
    <row r="29" spans="1:15" s="12" customFormat="1" ht="20.100000000000001" customHeight="1">
      <c r="A29" s="11"/>
    </row>
    <row r="30" spans="1:15" s="11" customFormat="1" ht="13.8"/>
    <row r="31" spans="1:15" s="12" customFormat="1" ht="13.8">
      <c r="A31" s="11"/>
    </row>
    <row r="32" spans="1:15" s="11" customFormat="1" ht="13.8"/>
    <row r="33" spans="1:1" s="11" customFormat="1" ht="13.8">
      <c r="A33" s="12"/>
    </row>
    <row r="34" spans="1:1" s="11" customFormat="1" ht="13.8"/>
    <row r="35" spans="1:1" s="11" customFormat="1" ht="13.8">
      <c r="A35" s="12"/>
    </row>
    <row r="36" spans="1:1" s="11" customFormat="1" ht="13.8"/>
    <row r="37" spans="1:1" s="11" customFormat="1" ht="13.8"/>
    <row r="38" spans="1:1" s="11" customFormat="1" ht="13.8"/>
    <row r="39" spans="1:1" s="11" customFormat="1" ht="13.8"/>
    <row r="40" spans="1:1" s="11" customFormat="1" ht="13.8"/>
    <row r="41" spans="1:1" s="11" customFormat="1" ht="13.8"/>
    <row r="42" spans="1:1" s="11" customFormat="1" ht="13.8"/>
    <row r="43" spans="1:1" s="11" customFormat="1" ht="13.8"/>
    <row r="44" spans="1:1" s="11" customFormat="1" ht="13.8"/>
    <row r="45" spans="1:1" s="11" customFormat="1" ht="13.8"/>
    <row r="46" spans="1:1" s="11" customFormat="1" ht="13.8"/>
    <row r="47" spans="1:1" s="11" customFormat="1" ht="13.8"/>
    <row r="48" spans="1:1" s="11" customFormat="1" ht="12" customHeight="1"/>
    <row r="49" spans="1:1" s="11" customFormat="1" ht="13.8"/>
    <row r="50" spans="1:1" s="11" customFormat="1" ht="13.8"/>
    <row r="51" spans="1:1" s="11" customFormat="1" ht="13.8"/>
    <row r="52" spans="1:1" s="11" customFormat="1" ht="13.8"/>
    <row r="53" spans="1:1" s="11" customFormat="1" ht="13.8"/>
    <row r="54" spans="1:1" s="11" customFormat="1" ht="13.8"/>
    <row r="55" spans="1:1" s="11" customFormat="1" ht="13.8"/>
    <row r="56" spans="1:1" s="12" customFormat="1" ht="13.8">
      <c r="A56" s="11"/>
    </row>
    <row r="57" spans="1:1" s="11" customFormat="1" ht="13.8"/>
    <row r="58" spans="1:1" s="12" customFormat="1" ht="13.8">
      <c r="A58" s="11"/>
    </row>
    <row r="59" spans="1:1" s="11" customFormat="1" ht="13.8"/>
    <row r="60" spans="1:1" s="11" customFormat="1" ht="13.8"/>
    <row r="61" spans="1:1" s="11" customFormat="1" ht="13.8"/>
    <row r="62" spans="1:1" s="11" customFormat="1" ht="13.8"/>
    <row r="63" spans="1:1" s="11" customFormat="1" ht="13.8"/>
    <row r="64" spans="1:1" s="11" customFormat="1" ht="13.8"/>
    <row r="65" spans="1:1" s="11" customFormat="1" ht="13.8"/>
    <row r="66" spans="1:1" s="11" customFormat="1" ht="13.8"/>
    <row r="67" spans="1:1" s="11" customFormat="1" ht="13.8"/>
    <row r="68" spans="1:1" s="11" customFormat="1" ht="13.8"/>
    <row r="69" spans="1:1" s="11" customFormat="1" ht="13.8"/>
    <row r="70" spans="1:1" s="11" customFormat="1" ht="13.8"/>
    <row r="71" spans="1:1" s="11" customFormat="1" ht="13.8"/>
    <row r="72" spans="1:1" s="11" customFormat="1" ht="13.8"/>
    <row r="73" spans="1:1" s="12" customFormat="1" ht="13.8">
      <c r="A73" s="11"/>
    </row>
    <row r="74" spans="1:1" s="12" customFormat="1" ht="13.8">
      <c r="A74" s="11"/>
    </row>
    <row r="75" spans="1:1" s="12" customFormat="1" ht="13.8">
      <c r="A75" s="11"/>
    </row>
    <row r="76" spans="1:1" s="12" customFormat="1" ht="13.8">
      <c r="A76" s="11"/>
    </row>
    <row r="77" spans="1:1" s="11" customFormat="1" ht="13.8"/>
    <row r="78" spans="1:1" s="12" customFormat="1" ht="13.8">
      <c r="A78" s="11"/>
    </row>
    <row r="79" spans="1:1" s="11" customFormat="1" ht="13.8"/>
    <row r="80" spans="1:1" s="11" customFormat="1" ht="13.8"/>
    <row r="81" spans="1:1" s="11" customFormat="1" ht="13.8"/>
    <row r="82" spans="1:1" s="11" customFormat="1" ht="13.8"/>
    <row r="83" spans="1:1" s="11" customFormat="1" ht="13.8"/>
    <row r="84" spans="1:1" s="11" customFormat="1" ht="13.8"/>
    <row r="85" spans="1:1" s="11" customFormat="1" ht="13.8"/>
    <row r="86" spans="1:1" s="11" customFormat="1" ht="13.8"/>
    <row r="87" spans="1:1" s="11" customFormat="1" ht="13.8"/>
    <row r="88" spans="1:1" s="11" customFormat="1" ht="13.8"/>
    <row r="89" spans="1:1" s="11" customFormat="1" ht="13.8"/>
    <row r="90" spans="1:1" s="11" customFormat="1" ht="13.8"/>
    <row r="91" spans="1:1" s="11" customFormat="1" ht="13.8"/>
    <row r="92" spans="1:1" s="11" customFormat="1" ht="13.8"/>
    <row r="93" spans="1:1" s="12" customFormat="1" ht="13.8">
      <c r="A93" s="11"/>
    </row>
    <row r="94" spans="1:1" s="11" customFormat="1" ht="13.8"/>
    <row r="95" spans="1:1" s="11" customFormat="1" ht="13.8"/>
    <row r="96" spans="1:1" s="11" customFormat="1" ht="13.8"/>
    <row r="97" spans="1:1" s="11" customFormat="1" ht="13.8"/>
    <row r="98" spans="1:1" s="11" customFormat="1" ht="13.8"/>
    <row r="99" spans="1:1" s="11" customFormat="1" ht="13.8"/>
    <row r="100" spans="1:1" s="11" customFormat="1" ht="13.8"/>
    <row r="101" spans="1:1" s="11" customFormat="1" ht="13.8"/>
    <row r="102" spans="1:1" s="11" customFormat="1" ht="13.8"/>
    <row r="103" spans="1:1" s="11" customFormat="1" ht="13.8"/>
    <row r="104" spans="1:1" s="11" customFormat="1" ht="13.8"/>
    <row r="105" spans="1:1" s="11" customFormat="1" ht="13.8"/>
    <row r="106" spans="1:1" s="11" customFormat="1" ht="13.8"/>
    <row r="107" spans="1:1" s="11" customFormat="1" ht="13.8"/>
    <row r="108" spans="1:1" s="12" customFormat="1" ht="13.8">
      <c r="A108" s="11"/>
    </row>
    <row r="109" spans="1:1" s="11" customFormat="1" ht="13.8"/>
    <row r="110" spans="1:1" s="12" customFormat="1" ht="13.8">
      <c r="A110" s="11"/>
    </row>
    <row r="111" spans="1:1" s="11" customFormat="1" ht="13.8"/>
    <row r="112" spans="1:1" s="11" customFormat="1" ht="13.8"/>
    <row r="113" s="11" customFormat="1" ht="13.8"/>
    <row r="114" s="11" customFormat="1" ht="13.8"/>
    <row r="115" s="11" customFormat="1" ht="13.8"/>
    <row r="116" s="11" customFormat="1" ht="13.8"/>
    <row r="117" s="11" customFormat="1" ht="13.8"/>
    <row r="118" s="11" customFormat="1" ht="13.8"/>
    <row r="119" s="11" customFormat="1" ht="13.8"/>
    <row r="120" s="11" customFormat="1" ht="13.8"/>
    <row r="121" s="11" customFormat="1" ht="13.8"/>
    <row r="122" s="11" customFormat="1" ht="13.8"/>
    <row r="123" s="11" customFormat="1" ht="13.8"/>
    <row r="124" s="11" customFormat="1" ht="13.8"/>
    <row r="125" s="11" customFormat="1" ht="13.8"/>
    <row r="126" s="11" customFormat="1" ht="13.8"/>
    <row r="127" s="11" customFormat="1" ht="13.8"/>
    <row r="128" s="11" customFormat="1" ht="13.8"/>
    <row r="129" s="11" customFormat="1" ht="13.8"/>
    <row r="130" s="11" customFormat="1" ht="13.8"/>
    <row r="131" s="11" customFormat="1" ht="13.8"/>
    <row r="132" s="11" customFormat="1" ht="13.8"/>
    <row r="133" s="11" customFormat="1" ht="13.8"/>
    <row r="134" s="11" customFormat="1" ht="13.8"/>
    <row r="135" s="11" customFormat="1" ht="13.8"/>
    <row r="136" s="11" customFormat="1" ht="13.8"/>
    <row r="137" s="11" customFormat="1" ht="13.8"/>
    <row r="138" s="11" customFormat="1" ht="13.8"/>
    <row r="139" s="11" customFormat="1" ht="13.8"/>
    <row r="140" s="11" customFormat="1" ht="13.8"/>
    <row r="141" s="11" customFormat="1" ht="13.8"/>
    <row r="142" s="11" customFormat="1" ht="13.8"/>
    <row r="143" s="11" customFormat="1" ht="13.8"/>
    <row r="144" s="11" customFormat="1" ht="13.8"/>
    <row r="145" s="11" customFormat="1" ht="13.8"/>
    <row r="146" s="11" customFormat="1" ht="13.8"/>
    <row r="147" s="11" customFormat="1" ht="13.8"/>
    <row r="148" s="11" customFormat="1" ht="13.8"/>
    <row r="149" s="11" customFormat="1" ht="13.8"/>
    <row r="150" s="11" customFormat="1" ht="13.8"/>
    <row r="151" s="11" customFormat="1" ht="13.8"/>
    <row r="152" s="11" customFormat="1" ht="13.8"/>
    <row r="153" s="11" customFormat="1" ht="13.8"/>
    <row r="154" s="11" customFormat="1" ht="13.8"/>
    <row r="155" s="11" customFormat="1" ht="13.8"/>
    <row r="156" s="11" customFormat="1" ht="13.8"/>
    <row r="157" s="11" customFormat="1" ht="13.8"/>
    <row r="158" s="11" customFormat="1" ht="13.8"/>
    <row r="159" s="11" customFormat="1" ht="13.8"/>
    <row r="160" s="11" customFormat="1" ht="13.8"/>
    <row r="161" s="11" customFormat="1" ht="13.8"/>
    <row r="162" s="11" customFormat="1" ht="13.8"/>
    <row r="163" s="11" customFormat="1" ht="13.8"/>
    <row r="164" s="11" customFormat="1" ht="13.8"/>
    <row r="165" s="11" customFormat="1" ht="13.8"/>
    <row r="166" s="11" customFormat="1" ht="13.8"/>
    <row r="167" s="11" customFormat="1" ht="13.8"/>
    <row r="168" s="11" customFormat="1" ht="13.8"/>
    <row r="169" s="11" customFormat="1" ht="13.8"/>
    <row r="170" s="11" customFormat="1" ht="13.8"/>
    <row r="171" s="11" customFormat="1" ht="13.8"/>
    <row r="172" s="11" customFormat="1" ht="13.8"/>
    <row r="173" s="11" customFormat="1" ht="13.8"/>
    <row r="174" s="11" customFormat="1" ht="13.8"/>
    <row r="175" s="11" customFormat="1" ht="13.8"/>
    <row r="176" s="11" customFormat="1" ht="13.8"/>
    <row r="177" s="11" customFormat="1" ht="13.8"/>
    <row r="178" s="11" customFormat="1" ht="13.8"/>
    <row r="179" s="11" customFormat="1" ht="13.8"/>
    <row r="180" s="11" customFormat="1" ht="13.8"/>
    <row r="181" s="11" customFormat="1" ht="13.8"/>
    <row r="182" s="11" customFormat="1" ht="13.8"/>
    <row r="183" s="11" customFormat="1" ht="13.8"/>
    <row r="184" s="11" customFormat="1" ht="13.8"/>
    <row r="185" s="11" customFormat="1" ht="13.8"/>
    <row r="186" s="11" customFormat="1" ht="13.8"/>
    <row r="187" s="11" customFormat="1" ht="13.8"/>
    <row r="188" s="11" customFormat="1" ht="13.8"/>
    <row r="189" s="11" customFormat="1" ht="13.8"/>
    <row r="190" s="11" customFormat="1" ht="13.8"/>
    <row r="191" s="11" customFormat="1" ht="13.8"/>
    <row r="192" s="11" customFormat="1" ht="13.8"/>
    <row r="193" s="11" customFormat="1" ht="13.8"/>
    <row r="194" s="11" customFormat="1" ht="13.8"/>
    <row r="195" s="11" customFormat="1" ht="13.8"/>
    <row r="196" s="11" customFormat="1" ht="13.8"/>
    <row r="197" s="11" customFormat="1" ht="13.8"/>
    <row r="198" s="11" customFormat="1" ht="13.8"/>
    <row r="199" s="11" customFormat="1" ht="13.8"/>
    <row r="200" s="11" customFormat="1" ht="13.8"/>
    <row r="201" s="11" customFormat="1" ht="13.8"/>
    <row r="202" s="11" customFormat="1" ht="13.8"/>
    <row r="203" s="11" customFormat="1" ht="13.8"/>
    <row r="204" s="11" customFormat="1" ht="13.8"/>
    <row r="205" s="11" customFormat="1" ht="13.8"/>
    <row r="206" s="11" customFormat="1" ht="13.8"/>
    <row r="207" s="11" customFormat="1" ht="13.8"/>
    <row r="208" s="11" customFormat="1" ht="13.8"/>
    <row r="209" spans="1:14" s="11" customFormat="1" ht="13.8"/>
    <row r="210" spans="1:14" s="11" customFormat="1" ht="13.8"/>
    <row r="211" spans="1:14" s="11" customFormat="1" ht="13.8"/>
    <row r="212" spans="1:14" s="11" customFormat="1" ht="13.8"/>
    <row r="213" spans="1:14" s="11" customFormat="1">
      <c r="A213" s="15"/>
      <c r="B213" s="15"/>
      <c r="C213" s="15"/>
      <c r="D213" s="15"/>
      <c r="E213" s="15"/>
      <c r="F213" s="15"/>
      <c r="G213" s="15"/>
      <c r="H213" s="15"/>
      <c r="I213" s="15"/>
      <c r="J213" s="15"/>
      <c r="K213" s="15"/>
      <c r="L213" s="15"/>
      <c r="M213" s="15"/>
      <c r="N213" s="15"/>
    </row>
    <row r="214" spans="1:14" s="11" customFormat="1">
      <c r="A214" s="15"/>
      <c r="B214" s="15"/>
      <c r="C214" s="15"/>
      <c r="D214" s="15"/>
      <c r="E214" s="15"/>
      <c r="F214" s="15"/>
      <c r="G214" s="15"/>
      <c r="H214" s="15"/>
      <c r="I214" s="15"/>
      <c r="J214" s="15"/>
      <c r="K214" s="15"/>
      <c r="L214" s="15"/>
      <c r="M214" s="15"/>
      <c r="N214" s="15"/>
    </row>
    <row r="215" spans="1:14" s="11" customFormat="1">
      <c r="A215" s="15"/>
      <c r="B215" s="15"/>
      <c r="C215" s="15"/>
      <c r="D215" s="15"/>
      <c r="E215" s="15"/>
      <c r="F215" s="15"/>
      <c r="G215" s="15"/>
      <c r="H215" s="15"/>
      <c r="I215" s="15"/>
      <c r="J215" s="15"/>
      <c r="K215" s="15"/>
      <c r="L215" s="15"/>
      <c r="M215" s="15"/>
      <c r="N215" s="15"/>
    </row>
    <row r="216" spans="1:14" s="11" customFormat="1">
      <c r="A216" s="15"/>
      <c r="B216" s="15"/>
      <c r="C216" s="15"/>
      <c r="D216" s="15"/>
      <c r="E216" s="15"/>
      <c r="F216" s="15"/>
      <c r="G216" s="15"/>
      <c r="H216" s="15"/>
      <c r="I216" s="15"/>
      <c r="J216" s="15"/>
      <c r="K216" s="15"/>
      <c r="L216" s="15"/>
      <c r="M216" s="15"/>
      <c r="N216" s="15"/>
    </row>
    <row r="217" spans="1:14" s="11" customFormat="1">
      <c r="A217" s="15"/>
      <c r="B217" s="15"/>
      <c r="C217" s="15"/>
      <c r="D217" s="15"/>
      <c r="E217" s="15"/>
      <c r="F217" s="15"/>
      <c r="G217" s="15"/>
      <c r="H217" s="15"/>
      <c r="I217" s="15"/>
      <c r="J217" s="15"/>
      <c r="K217" s="15"/>
      <c r="L217" s="15"/>
      <c r="M217" s="15"/>
      <c r="N217" s="15"/>
    </row>
    <row r="218" spans="1:14" s="11" customFormat="1">
      <c r="A218" s="15"/>
      <c r="B218" s="15"/>
      <c r="C218" s="15"/>
      <c r="D218" s="15"/>
      <c r="E218" s="15"/>
      <c r="F218" s="15"/>
      <c r="G218" s="15"/>
      <c r="H218" s="15"/>
      <c r="I218" s="15"/>
      <c r="J218" s="15"/>
      <c r="K218" s="15"/>
      <c r="L218" s="15"/>
      <c r="M218" s="15"/>
      <c r="N218" s="15"/>
    </row>
    <row r="219" spans="1:14" s="11" customFormat="1">
      <c r="A219" s="15"/>
      <c r="B219" s="15"/>
      <c r="C219" s="15"/>
      <c r="D219" s="15"/>
      <c r="E219" s="15"/>
      <c r="F219" s="15"/>
      <c r="G219" s="15"/>
      <c r="H219" s="15"/>
      <c r="I219" s="15"/>
      <c r="J219" s="15"/>
      <c r="K219" s="15"/>
      <c r="L219" s="15"/>
      <c r="M219" s="15"/>
      <c r="N219" s="15"/>
    </row>
    <row r="220" spans="1:14" s="11" customFormat="1">
      <c r="A220" s="15"/>
      <c r="B220" s="15"/>
      <c r="C220" s="15"/>
      <c r="D220" s="15"/>
      <c r="E220" s="15"/>
      <c r="F220" s="15"/>
      <c r="G220" s="15"/>
      <c r="H220" s="15"/>
      <c r="I220" s="15"/>
      <c r="J220" s="15"/>
      <c r="K220" s="15"/>
      <c r="L220" s="15"/>
      <c r="M220" s="15"/>
      <c r="N220" s="15"/>
    </row>
    <row r="221" spans="1:14" s="11" customFormat="1">
      <c r="A221" s="15"/>
      <c r="B221" s="15"/>
      <c r="C221" s="15"/>
      <c r="D221" s="15"/>
      <c r="E221" s="15"/>
      <c r="F221" s="15"/>
      <c r="G221" s="15"/>
      <c r="H221" s="15"/>
      <c r="I221" s="15"/>
      <c r="J221" s="15"/>
      <c r="K221" s="15"/>
      <c r="L221" s="15"/>
      <c r="M221" s="15"/>
      <c r="N221" s="15"/>
    </row>
    <row r="222" spans="1:14" s="11" customFormat="1">
      <c r="A222" s="15"/>
      <c r="B222" s="15"/>
      <c r="C222" s="15"/>
      <c r="D222" s="15"/>
      <c r="E222" s="15"/>
      <c r="F222" s="15"/>
      <c r="G222" s="15"/>
      <c r="H222" s="15"/>
      <c r="I222" s="15"/>
      <c r="J222" s="15"/>
      <c r="K222" s="15"/>
      <c r="L222" s="15"/>
      <c r="M222" s="15"/>
      <c r="N222" s="15"/>
    </row>
    <row r="223" spans="1:14" s="11" customFormat="1">
      <c r="A223" s="15"/>
      <c r="B223" s="15"/>
      <c r="C223" s="15"/>
      <c r="D223" s="15"/>
      <c r="E223" s="15"/>
      <c r="F223" s="15"/>
      <c r="G223" s="15"/>
      <c r="H223" s="15"/>
      <c r="I223" s="15"/>
      <c r="J223" s="15"/>
      <c r="K223" s="15"/>
      <c r="L223" s="15"/>
      <c r="M223" s="15"/>
      <c r="N223" s="15"/>
    </row>
    <row r="224" spans="1:14" s="11" customFormat="1">
      <c r="A224" s="15"/>
      <c r="B224" s="15"/>
      <c r="C224" s="15"/>
      <c r="D224" s="15"/>
      <c r="E224" s="15"/>
      <c r="F224" s="15"/>
      <c r="G224" s="15"/>
      <c r="H224" s="15"/>
      <c r="I224" s="15"/>
      <c r="J224" s="15"/>
      <c r="K224" s="15"/>
      <c r="L224" s="15"/>
      <c r="M224" s="15"/>
      <c r="N224" s="15"/>
    </row>
    <row r="225" spans="1:14" s="11" customFormat="1">
      <c r="A225" s="15"/>
      <c r="B225" s="15"/>
      <c r="C225" s="15"/>
      <c r="D225" s="15"/>
      <c r="E225" s="15"/>
      <c r="F225" s="15"/>
      <c r="G225" s="15"/>
      <c r="H225" s="15"/>
      <c r="I225" s="15"/>
      <c r="J225" s="15"/>
      <c r="K225" s="15"/>
      <c r="L225" s="15"/>
      <c r="M225" s="15"/>
      <c r="N225" s="15"/>
    </row>
    <row r="226" spans="1:14" s="11" customFormat="1">
      <c r="A226" s="15"/>
      <c r="B226" s="15"/>
      <c r="C226" s="15"/>
      <c r="D226" s="15"/>
      <c r="E226" s="15"/>
      <c r="F226" s="15"/>
      <c r="G226" s="15"/>
      <c r="H226" s="15"/>
      <c r="I226" s="15"/>
      <c r="J226" s="15"/>
      <c r="K226" s="15"/>
      <c r="L226" s="15"/>
      <c r="M226" s="15"/>
      <c r="N226" s="15"/>
    </row>
    <row r="227" spans="1:14" s="11" customFormat="1">
      <c r="A227" s="15"/>
      <c r="B227" s="15"/>
      <c r="C227" s="15"/>
      <c r="D227" s="15"/>
      <c r="E227" s="15"/>
      <c r="F227" s="15"/>
      <c r="G227" s="15"/>
      <c r="H227" s="15"/>
      <c r="I227" s="15"/>
      <c r="J227" s="15"/>
      <c r="K227" s="15"/>
      <c r="L227" s="15"/>
      <c r="M227" s="15"/>
      <c r="N227" s="15"/>
    </row>
    <row r="228" spans="1:14" s="11" customFormat="1">
      <c r="A228" s="15"/>
      <c r="B228" s="15"/>
      <c r="C228" s="15"/>
      <c r="D228" s="15"/>
      <c r="E228" s="15"/>
      <c r="F228" s="15"/>
      <c r="G228" s="15"/>
      <c r="H228" s="15"/>
      <c r="I228" s="15"/>
      <c r="J228" s="15"/>
      <c r="K228" s="15"/>
      <c r="L228" s="15"/>
      <c r="M228" s="15"/>
      <c r="N228" s="15"/>
    </row>
    <row r="229" spans="1:14" s="11" customFormat="1">
      <c r="A229" s="15"/>
      <c r="B229" s="15"/>
      <c r="C229" s="15"/>
      <c r="D229" s="15"/>
      <c r="E229" s="15"/>
      <c r="F229" s="15"/>
      <c r="G229" s="15"/>
      <c r="H229" s="15"/>
      <c r="I229" s="15"/>
      <c r="J229" s="15"/>
      <c r="K229" s="15"/>
      <c r="L229" s="15"/>
      <c r="M229" s="15"/>
      <c r="N229" s="15"/>
    </row>
    <row r="230" spans="1:14" s="11" customFormat="1">
      <c r="A230" s="15"/>
      <c r="B230" s="15"/>
      <c r="C230" s="15"/>
      <c r="D230" s="15"/>
      <c r="E230" s="15"/>
      <c r="F230" s="15"/>
      <c r="G230" s="15"/>
      <c r="H230" s="15"/>
      <c r="I230" s="15"/>
      <c r="J230" s="15"/>
      <c r="K230" s="15"/>
      <c r="L230" s="15"/>
      <c r="M230" s="15"/>
      <c r="N230" s="15"/>
    </row>
    <row r="231" spans="1:14" s="11" customFormat="1">
      <c r="A231" s="15"/>
      <c r="B231" s="15"/>
      <c r="C231" s="15"/>
      <c r="D231" s="15"/>
      <c r="E231" s="15"/>
      <c r="F231" s="15"/>
      <c r="G231" s="15"/>
      <c r="H231" s="15"/>
      <c r="I231" s="15"/>
      <c r="J231" s="15"/>
      <c r="K231" s="15"/>
      <c r="L231" s="15"/>
      <c r="M231" s="15"/>
      <c r="N231" s="15"/>
    </row>
    <row r="232" spans="1:14" s="11" customFormat="1">
      <c r="A232" s="15"/>
      <c r="B232" s="15"/>
      <c r="C232" s="15"/>
      <c r="D232" s="15"/>
      <c r="E232" s="15"/>
      <c r="F232" s="15"/>
      <c r="G232" s="15"/>
      <c r="H232" s="15"/>
      <c r="I232" s="15"/>
      <c r="J232" s="15"/>
      <c r="K232" s="15"/>
      <c r="L232" s="15"/>
      <c r="M232" s="15"/>
      <c r="N232" s="15"/>
    </row>
    <row r="233" spans="1:14" s="11" customFormat="1">
      <c r="A233" s="15"/>
      <c r="B233" s="15"/>
      <c r="C233" s="15"/>
      <c r="D233" s="15"/>
      <c r="E233" s="15"/>
      <c r="F233" s="15"/>
      <c r="G233" s="15"/>
      <c r="H233" s="15"/>
      <c r="I233" s="15"/>
      <c r="J233" s="15"/>
      <c r="K233" s="15"/>
      <c r="L233" s="15"/>
      <c r="M233" s="15"/>
      <c r="N233" s="15"/>
    </row>
    <row r="234" spans="1:14" s="11" customFormat="1">
      <c r="A234" s="15"/>
      <c r="B234" s="15"/>
      <c r="C234" s="15"/>
      <c r="D234" s="15"/>
      <c r="E234" s="15"/>
      <c r="F234" s="15"/>
      <c r="G234" s="15"/>
      <c r="H234" s="15"/>
      <c r="I234" s="15"/>
      <c r="J234" s="15"/>
      <c r="K234" s="15"/>
      <c r="L234" s="15"/>
      <c r="M234" s="15"/>
      <c r="N234" s="15"/>
    </row>
    <row r="235" spans="1:14" s="11" customFormat="1">
      <c r="A235" s="15"/>
      <c r="B235" s="15"/>
      <c r="C235" s="15"/>
      <c r="D235" s="15"/>
      <c r="E235" s="15"/>
      <c r="F235" s="15"/>
      <c r="G235" s="15"/>
      <c r="H235" s="15"/>
      <c r="I235" s="15"/>
      <c r="J235" s="15"/>
      <c r="K235" s="15"/>
      <c r="L235" s="15"/>
      <c r="M235" s="15"/>
      <c r="N235" s="15"/>
    </row>
    <row r="236" spans="1:14" s="11" customFormat="1">
      <c r="A236" s="15"/>
      <c r="B236" s="15"/>
      <c r="C236" s="15"/>
      <c r="D236" s="15"/>
      <c r="E236" s="15"/>
      <c r="F236" s="15"/>
      <c r="G236" s="15"/>
      <c r="H236" s="15"/>
      <c r="I236" s="15"/>
      <c r="J236" s="15"/>
      <c r="K236" s="15"/>
      <c r="L236" s="15"/>
      <c r="M236" s="15"/>
      <c r="N236" s="15"/>
    </row>
    <row r="237" spans="1:14" s="11" customFormat="1">
      <c r="A237" s="15"/>
      <c r="B237" s="15"/>
      <c r="C237" s="15"/>
      <c r="D237" s="15"/>
      <c r="E237" s="15"/>
      <c r="F237" s="15"/>
      <c r="G237" s="15"/>
      <c r="H237" s="15"/>
      <c r="I237" s="15"/>
      <c r="J237" s="15"/>
      <c r="K237" s="15"/>
      <c r="L237" s="15"/>
      <c r="M237" s="15"/>
      <c r="N237" s="15"/>
    </row>
    <row r="238" spans="1:14" s="11" customFormat="1">
      <c r="A238" s="15"/>
      <c r="B238" s="15"/>
      <c r="C238" s="15"/>
      <c r="D238" s="15"/>
      <c r="E238" s="15"/>
      <c r="F238" s="15"/>
      <c r="G238" s="15"/>
      <c r="H238" s="15"/>
      <c r="I238" s="15"/>
      <c r="J238" s="15"/>
      <c r="K238" s="15"/>
      <c r="L238" s="15"/>
      <c r="M238" s="15"/>
      <c r="N238" s="15"/>
    </row>
    <row r="239" spans="1:14" s="11" customFormat="1">
      <c r="A239" s="15"/>
      <c r="B239" s="15"/>
      <c r="C239" s="15"/>
      <c r="D239" s="15"/>
      <c r="E239" s="15"/>
      <c r="F239" s="15"/>
      <c r="G239" s="15"/>
      <c r="H239" s="15"/>
      <c r="I239" s="15"/>
      <c r="J239" s="15"/>
      <c r="K239" s="15"/>
      <c r="L239" s="15"/>
      <c r="M239" s="15"/>
      <c r="N239" s="15"/>
    </row>
    <row r="240" spans="1:14" s="11" customFormat="1">
      <c r="A240" s="15"/>
      <c r="B240" s="15"/>
      <c r="C240" s="15"/>
      <c r="D240" s="15"/>
      <c r="E240" s="15"/>
      <c r="F240" s="15"/>
      <c r="G240" s="15"/>
      <c r="H240" s="15"/>
      <c r="I240" s="15"/>
      <c r="J240" s="15"/>
      <c r="K240" s="15"/>
      <c r="L240" s="15"/>
      <c r="M240" s="15"/>
      <c r="N240" s="15"/>
    </row>
    <row r="241" spans="1:14" s="11" customFormat="1">
      <c r="A241" s="15"/>
      <c r="B241" s="15"/>
      <c r="C241" s="15"/>
      <c r="D241" s="15"/>
      <c r="E241" s="15"/>
      <c r="F241" s="15"/>
      <c r="G241" s="15"/>
      <c r="H241" s="15"/>
      <c r="I241" s="15"/>
      <c r="J241" s="15"/>
      <c r="K241" s="15"/>
      <c r="L241" s="15"/>
      <c r="M241" s="15"/>
      <c r="N241" s="15"/>
    </row>
    <row r="242" spans="1:14" s="11" customFormat="1">
      <c r="A242" s="15"/>
      <c r="B242" s="15"/>
      <c r="C242" s="15"/>
      <c r="D242" s="15"/>
      <c r="E242" s="15"/>
      <c r="F242" s="15"/>
      <c r="G242" s="15"/>
      <c r="H242" s="15"/>
      <c r="I242" s="15"/>
      <c r="J242" s="15"/>
      <c r="K242" s="15"/>
      <c r="L242" s="15"/>
      <c r="M242" s="15"/>
      <c r="N242" s="15"/>
    </row>
    <row r="243" spans="1:14" s="11" customFormat="1">
      <c r="A243" s="15"/>
      <c r="B243" s="15"/>
      <c r="C243" s="15"/>
      <c r="D243" s="15"/>
      <c r="E243" s="15"/>
      <c r="F243" s="15"/>
      <c r="G243" s="15"/>
      <c r="H243" s="15"/>
      <c r="I243" s="15"/>
      <c r="J243" s="15"/>
      <c r="K243" s="15"/>
      <c r="L243" s="15"/>
      <c r="M243" s="15"/>
      <c r="N243" s="15"/>
    </row>
    <row r="244" spans="1:14" s="11" customFormat="1">
      <c r="A244" s="15"/>
      <c r="B244" s="15"/>
      <c r="C244" s="15"/>
      <c r="D244" s="15"/>
      <c r="E244" s="15"/>
      <c r="F244" s="15"/>
      <c r="G244" s="15"/>
      <c r="H244" s="15"/>
      <c r="I244" s="15"/>
      <c r="J244" s="15"/>
      <c r="K244" s="15"/>
      <c r="L244" s="15"/>
      <c r="M244" s="15"/>
      <c r="N244" s="15"/>
    </row>
    <row r="245" spans="1:14" s="11" customFormat="1">
      <c r="A245" s="15"/>
      <c r="B245" s="15"/>
      <c r="C245" s="15"/>
      <c r="D245" s="15"/>
      <c r="E245" s="15"/>
      <c r="F245" s="15"/>
      <c r="G245" s="15"/>
      <c r="H245" s="15"/>
      <c r="I245" s="15"/>
      <c r="J245" s="15"/>
      <c r="K245" s="15"/>
      <c r="L245" s="15"/>
      <c r="M245" s="15"/>
      <c r="N245" s="15"/>
    </row>
    <row r="246" spans="1:14" s="11" customFormat="1">
      <c r="A246" s="15"/>
      <c r="B246" s="15"/>
      <c r="C246" s="15"/>
      <c r="D246" s="15"/>
      <c r="E246" s="15"/>
      <c r="F246" s="15"/>
      <c r="G246" s="15"/>
      <c r="H246" s="15"/>
      <c r="I246" s="15"/>
      <c r="J246" s="15"/>
      <c r="K246" s="15"/>
      <c r="L246" s="15"/>
      <c r="M246" s="15"/>
      <c r="N246" s="15"/>
    </row>
    <row r="247" spans="1:14" s="11" customFormat="1">
      <c r="A247" s="15"/>
      <c r="B247" s="15"/>
      <c r="C247" s="15"/>
      <c r="D247" s="15"/>
      <c r="E247" s="15"/>
      <c r="F247" s="15"/>
      <c r="G247" s="15"/>
      <c r="H247" s="15"/>
      <c r="I247" s="15"/>
      <c r="J247" s="15"/>
      <c r="K247" s="15"/>
      <c r="L247" s="15"/>
      <c r="M247" s="15"/>
      <c r="N247" s="15"/>
    </row>
    <row r="248" spans="1:14" s="11" customFormat="1">
      <c r="A248" s="15"/>
      <c r="B248" s="15"/>
      <c r="C248" s="15"/>
      <c r="D248" s="15"/>
      <c r="E248" s="15"/>
      <c r="F248" s="15"/>
      <c r="G248" s="15"/>
      <c r="H248" s="15"/>
      <c r="I248" s="15"/>
      <c r="J248" s="15"/>
      <c r="K248" s="15"/>
      <c r="L248" s="15"/>
      <c r="M248" s="15"/>
      <c r="N248" s="15"/>
    </row>
    <row r="249" spans="1:14" s="11" customFormat="1">
      <c r="A249" s="15"/>
      <c r="B249" s="15"/>
      <c r="C249" s="15"/>
      <c r="D249" s="15"/>
      <c r="E249" s="15"/>
      <c r="F249" s="15"/>
      <c r="G249" s="15"/>
      <c r="H249" s="15"/>
      <c r="I249" s="15"/>
      <c r="J249" s="15"/>
      <c r="K249" s="15"/>
      <c r="L249" s="15"/>
      <c r="M249" s="15"/>
      <c r="N249" s="15"/>
    </row>
    <row r="250" spans="1:14" s="11" customFormat="1">
      <c r="A250" s="15"/>
      <c r="B250" s="15"/>
      <c r="C250" s="15"/>
      <c r="D250" s="15"/>
      <c r="E250" s="15"/>
      <c r="F250" s="15"/>
      <c r="G250" s="15"/>
      <c r="H250" s="15"/>
      <c r="I250" s="15"/>
      <c r="J250" s="15"/>
      <c r="K250" s="15"/>
      <c r="L250" s="15"/>
      <c r="M250" s="15"/>
      <c r="N250" s="15"/>
    </row>
    <row r="251" spans="1:14" s="11" customFormat="1">
      <c r="A251" s="15"/>
      <c r="B251" s="15"/>
      <c r="C251" s="15"/>
      <c r="D251" s="15"/>
      <c r="E251" s="15"/>
      <c r="F251" s="15"/>
      <c r="G251" s="15"/>
      <c r="H251" s="15"/>
      <c r="I251" s="15"/>
      <c r="J251" s="15"/>
      <c r="K251" s="15"/>
      <c r="L251" s="15"/>
      <c r="M251" s="15"/>
      <c r="N251" s="15"/>
    </row>
    <row r="252" spans="1:14" s="11" customFormat="1">
      <c r="A252" s="15"/>
      <c r="B252" s="15"/>
      <c r="C252" s="15"/>
      <c r="D252" s="15"/>
      <c r="E252" s="15"/>
      <c r="F252" s="15"/>
      <c r="G252" s="15"/>
      <c r="H252" s="15"/>
      <c r="I252" s="15"/>
      <c r="J252" s="15"/>
      <c r="K252" s="15"/>
      <c r="L252" s="15"/>
      <c r="M252" s="15"/>
      <c r="N252" s="15"/>
    </row>
    <row r="253" spans="1:14" s="11" customFormat="1">
      <c r="A253" s="15"/>
      <c r="B253" s="15"/>
      <c r="C253" s="15"/>
      <c r="D253" s="15"/>
      <c r="E253" s="15"/>
      <c r="F253" s="15"/>
      <c r="G253" s="15"/>
      <c r="H253" s="15"/>
      <c r="I253" s="15"/>
      <c r="J253" s="15"/>
      <c r="K253" s="15"/>
      <c r="L253" s="15"/>
      <c r="M253" s="15"/>
      <c r="N253" s="15"/>
    </row>
    <row r="254" spans="1:14" s="11" customFormat="1">
      <c r="A254" s="15"/>
      <c r="B254" s="15"/>
      <c r="C254" s="15"/>
      <c r="D254" s="15"/>
      <c r="E254" s="15"/>
      <c r="F254" s="15"/>
      <c r="G254" s="15"/>
      <c r="H254" s="15"/>
      <c r="I254" s="15"/>
      <c r="J254" s="15"/>
      <c r="K254" s="15"/>
      <c r="L254" s="15"/>
      <c r="M254" s="15"/>
      <c r="N254" s="15"/>
    </row>
    <row r="255" spans="1:14" s="11" customFormat="1">
      <c r="A255" s="15"/>
      <c r="B255" s="15"/>
      <c r="C255" s="15"/>
      <c r="D255" s="15"/>
      <c r="E255" s="15"/>
      <c r="F255" s="15"/>
      <c r="G255" s="15"/>
      <c r="H255" s="15"/>
      <c r="I255" s="15"/>
      <c r="J255" s="15"/>
      <c r="K255" s="15"/>
      <c r="L255" s="15"/>
      <c r="M255" s="15"/>
      <c r="N255" s="15"/>
    </row>
    <row r="256" spans="1:14" s="11" customFormat="1">
      <c r="A256" s="15"/>
      <c r="B256" s="15"/>
      <c r="C256" s="15"/>
      <c r="D256" s="15"/>
      <c r="E256" s="15"/>
      <c r="F256" s="15"/>
      <c r="G256" s="15"/>
      <c r="H256" s="15"/>
      <c r="I256" s="15"/>
      <c r="J256" s="15"/>
      <c r="K256" s="15"/>
      <c r="L256" s="15"/>
      <c r="M256" s="15"/>
      <c r="N256" s="15"/>
    </row>
    <row r="257" spans="1:14" s="11" customFormat="1">
      <c r="A257" s="15"/>
      <c r="B257" s="15"/>
      <c r="C257" s="15"/>
      <c r="D257" s="15"/>
      <c r="E257" s="15"/>
      <c r="F257" s="15"/>
      <c r="G257" s="15"/>
      <c r="H257" s="15"/>
      <c r="I257" s="15"/>
      <c r="J257" s="15"/>
      <c r="K257" s="15"/>
      <c r="L257" s="15"/>
      <c r="M257" s="15"/>
      <c r="N257" s="15"/>
    </row>
    <row r="258" spans="1:14" s="11" customFormat="1">
      <c r="A258" s="15"/>
      <c r="B258" s="15"/>
      <c r="C258" s="15"/>
      <c r="D258" s="15"/>
      <c r="E258" s="15"/>
      <c r="F258" s="15"/>
      <c r="G258" s="15"/>
      <c r="H258" s="15"/>
      <c r="I258" s="15"/>
      <c r="J258" s="15"/>
      <c r="K258" s="15"/>
      <c r="L258" s="15"/>
      <c r="M258" s="15"/>
      <c r="N258" s="15"/>
    </row>
    <row r="259" spans="1:14" s="11" customFormat="1">
      <c r="A259" s="15"/>
      <c r="B259" s="15"/>
      <c r="C259" s="15"/>
      <c r="D259" s="15"/>
      <c r="E259" s="15"/>
      <c r="F259" s="15"/>
      <c r="G259" s="15"/>
      <c r="H259" s="15"/>
      <c r="I259" s="15"/>
      <c r="J259" s="15"/>
      <c r="K259" s="15"/>
      <c r="L259" s="15"/>
      <c r="M259" s="15"/>
      <c r="N259" s="15"/>
    </row>
    <row r="260" spans="1:14" s="11" customFormat="1">
      <c r="A260" s="15"/>
      <c r="B260" s="15"/>
      <c r="C260" s="15"/>
      <c r="D260" s="15"/>
      <c r="E260" s="15"/>
      <c r="F260" s="15"/>
      <c r="G260" s="15"/>
      <c r="H260" s="15"/>
      <c r="I260" s="15"/>
      <c r="J260" s="15"/>
      <c r="K260" s="15"/>
      <c r="L260" s="15"/>
      <c r="M260" s="15"/>
      <c r="N260" s="15"/>
    </row>
    <row r="261" spans="1:14" s="11" customFormat="1">
      <c r="A261" s="15"/>
      <c r="B261" s="15"/>
      <c r="C261" s="15"/>
      <c r="D261" s="15"/>
      <c r="E261" s="15"/>
      <c r="F261" s="15"/>
      <c r="G261" s="15"/>
      <c r="H261" s="15"/>
      <c r="I261" s="15"/>
      <c r="J261" s="15"/>
      <c r="K261" s="15"/>
      <c r="L261" s="15"/>
      <c r="M261" s="15"/>
      <c r="N261" s="15"/>
    </row>
    <row r="262" spans="1:14" s="11" customFormat="1">
      <c r="A262" s="15"/>
      <c r="B262" s="15"/>
      <c r="C262" s="15"/>
      <c r="D262" s="15"/>
      <c r="E262" s="15"/>
      <c r="F262" s="15"/>
      <c r="G262" s="15"/>
      <c r="H262" s="15"/>
      <c r="I262" s="15"/>
      <c r="J262" s="15"/>
      <c r="K262" s="15"/>
      <c r="L262" s="15"/>
      <c r="M262" s="15"/>
      <c r="N262" s="15"/>
    </row>
    <row r="263" spans="1:14" s="11" customFormat="1">
      <c r="A263" s="15"/>
      <c r="B263" s="15"/>
      <c r="C263" s="15"/>
      <c r="D263" s="15"/>
      <c r="E263" s="15"/>
      <c r="F263" s="15"/>
      <c r="G263" s="15"/>
      <c r="H263" s="15"/>
      <c r="I263" s="15"/>
      <c r="J263" s="15"/>
      <c r="K263" s="15"/>
      <c r="L263" s="15"/>
      <c r="M263" s="15"/>
      <c r="N263" s="15"/>
    </row>
    <row r="264" spans="1:14" s="11" customFormat="1">
      <c r="A264" s="15"/>
      <c r="B264" s="15"/>
      <c r="C264" s="15"/>
      <c r="D264" s="15"/>
      <c r="E264" s="15"/>
      <c r="F264" s="15"/>
      <c r="G264" s="15"/>
      <c r="H264" s="15"/>
      <c r="I264" s="15"/>
      <c r="J264" s="15"/>
      <c r="K264" s="15"/>
      <c r="L264" s="15"/>
      <c r="M264" s="15"/>
      <c r="N264" s="15"/>
    </row>
    <row r="265" spans="1:14" s="11" customFormat="1">
      <c r="A265" s="15"/>
      <c r="B265" s="15"/>
      <c r="C265" s="15"/>
      <c r="D265" s="15"/>
      <c r="E265" s="15"/>
      <c r="F265" s="15"/>
      <c r="G265" s="15"/>
      <c r="H265" s="15"/>
      <c r="I265" s="15"/>
      <c r="J265" s="15"/>
      <c r="K265" s="15"/>
      <c r="L265" s="15"/>
      <c r="M265" s="15"/>
      <c r="N265" s="15"/>
    </row>
    <row r="266" spans="1:14" s="11" customFormat="1">
      <c r="A266" s="15"/>
      <c r="B266" s="15"/>
      <c r="C266" s="15"/>
      <c r="D266" s="15"/>
      <c r="E266" s="15"/>
      <c r="F266" s="15"/>
      <c r="G266" s="15"/>
      <c r="H266" s="15"/>
      <c r="I266" s="15"/>
      <c r="J266" s="15"/>
      <c r="K266" s="15"/>
      <c r="L266" s="15"/>
      <c r="M266" s="15"/>
      <c r="N266" s="15"/>
    </row>
    <row r="267" spans="1:14" s="11" customFormat="1">
      <c r="A267" s="15"/>
      <c r="B267" s="15"/>
      <c r="C267" s="15"/>
      <c r="D267" s="15"/>
      <c r="E267" s="15"/>
      <c r="F267" s="15"/>
      <c r="G267" s="15"/>
      <c r="H267" s="15"/>
      <c r="I267" s="15"/>
      <c r="J267" s="15"/>
      <c r="K267" s="15"/>
      <c r="L267" s="15"/>
      <c r="M267" s="15"/>
      <c r="N267" s="15"/>
    </row>
    <row r="268" spans="1:14" s="11" customFormat="1">
      <c r="A268" s="15"/>
      <c r="B268" s="15"/>
      <c r="C268" s="15"/>
      <c r="D268" s="15"/>
      <c r="E268" s="15"/>
      <c r="F268" s="15"/>
      <c r="G268" s="15"/>
      <c r="H268" s="15"/>
      <c r="I268" s="15"/>
      <c r="J268" s="15"/>
      <c r="K268" s="15"/>
      <c r="L268" s="15"/>
      <c r="M268" s="15"/>
      <c r="N268" s="15"/>
    </row>
    <row r="269" spans="1:14" s="11" customFormat="1">
      <c r="A269" s="15"/>
      <c r="B269" s="15"/>
      <c r="C269" s="15"/>
      <c r="D269" s="15"/>
      <c r="E269" s="15"/>
      <c r="F269" s="15"/>
      <c r="G269" s="15"/>
      <c r="H269" s="15"/>
      <c r="I269" s="15"/>
      <c r="J269" s="15"/>
      <c r="K269" s="15"/>
      <c r="L269" s="15"/>
      <c r="M269" s="15"/>
      <c r="N269" s="15"/>
    </row>
    <row r="270" spans="1:14" s="11" customFormat="1">
      <c r="A270" s="15"/>
      <c r="B270" s="15"/>
      <c r="C270" s="15"/>
      <c r="D270" s="15"/>
      <c r="E270" s="15"/>
      <c r="F270" s="15"/>
      <c r="G270" s="15"/>
      <c r="H270" s="15"/>
      <c r="I270" s="15"/>
      <c r="J270" s="15"/>
      <c r="K270" s="15"/>
      <c r="L270" s="15"/>
      <c r="M270" s="15"/>
      <c r="N270" s="15"/>
    </row>
    <row r="271" spans="1:14" s="11" customFormat="1">
      <c r="A271" s="15"/>
      <c r="B271" s="15"/>
      <c r="C271" s="15"/>
      <c r="D271" s="15"/>
      <c r="E271" s="15"/>
      <c r="F271" s="15"/>
      <c r="G271" s="15"/>
      <c r="H271" s="15"/>
      <c r="I271" s="15"/>
      <c r="J271" s="15"/>
      <c r="K271" s="15"/>
      <c r="L271" s="15"/>
      <c r="M271" s="15"/>
      <c r="N271" s="15"/>
    </row>
    <row r="272" spans="1:14" s="11" customFormat="1">
      <c r="A272" s="15"/>
      <c r="B272" s="15"/>
      <c r="C272" s="15"/>
      <c r="D272" s="15"/>
      <c r="E272" s="15"/>
      <c r="F272" s="15"/>
      <c r="G272" s="15"/>
      <c r="H272" s="15"/>
      <c r="I272" s="15"/>
      <c r="J272" s="15"/>
      <c r="K272" s="15"/>
      <c r="L272" s="15"/>
      <c r="M272" s="15"/>
      <c r="N272" s="15"/>
    </row>
    <row r="273" spans="1:14" s="11" customFormat="1">
      <c r="A273" s="15"/>
      <c r="B273" s="15"/>
      <c r="C273" s="15"/>
      <c r="D273" s="15"/>
      <c r="E273" s="15"/>
      <c r="F273" s="15"/>
      <c r="G273" s="15"/>
      <c r="H273" s="15"/>
      <c r="I273" s="15"/>
      <c r="J273" s="15"/>
      <c r="K273" s="15"/>
      <c r="L273" s="15"/>
      <c r="M273" s="15"/>
      <c r="N273" s="15"/>
    </row>
    <row r="274" spans="1:14" s="11" customFormat="1">
      <c r="A274" s="15"/>
      <c r="B274" s="15"/>
      <c r="C274" s="15"/>
      <c r="D274" s="15"/>
      <c r="E274" s="15"/>
      <c r="F274" s="15"/>
      <c r="G274" s="15"/>
      <c r="H274" s="15"/>
      <c r="I274" s="15"/>
      <c r="J274" s="15"/>
      <c r="K274" s="15"/>
      <c r="L274" s="15"/>
      <c r="M274" s="15"/>
      <c r="N274" s="15"/>
    </row>
    <row r="275" spans="1:14" s="11" customFormat="1">
      <c r="A275" s="15"/>
      <c r="B275" s="15"/>
      <c r="C275" s="15"/>
      <c r="D275" s="15"/>
      <c r="E275" s="15"/>
      <c r="F275" s="15"/>
      <c r="G275" s="15"/>
      <c r="H275" s="15"/>
      <c r="I275" s="15"/>
      <c r="J275" s="15"/>
      <c r="K275" s="15"/>
      <c r="L275" s="15"/>
      <c r="M275" s="15"/>
      <c r="N275" s="15"/>
    </row>
    <row r="276" spans="1:14" s="11" customFormat="1">
      <c r="A276" s="15"/>
      <c r="B276" s="15"/>
      <c r="C276" s="15"/>
      <c r="D276" s="15"/>
      <c r="E276" s="15"/>
      <c r="F276" s="15"/>
      <c r="G276" s="15"/>
      <c r="H276" s="15"/>
      <c r="I276" s="15"/>
      <c r="J276" s="15"/>
      <c r="K276" s="15"/>
      <c r="L276" s="15"/>
      <c r="M276" s="15"/>
      <c r="N276" s="15"/>
    </row>
    <row r="277" spans="1:14" s="11" customFormat="1">
      <c r="A277" s="15"/>
      <c r="B277" s="15"/>
      <c r="C277" s="15"/>
      <c r="D277" s="15"/>
      <c r="E277" s="15"/>
      <c r="F277" s="15"/>
      <c r="G277" s="15"/>
      <c r="H277" s="15"/>
      <c r="I277" s="15"/>
      <c r="J277" s="15"/>
      <c r="K277" s="15"/>
      <c r="L277" s="15"/>
      <c r="M277" s="15"/>
      <c r="N277" s="15"/>
    </row>
    <row r="278" spans="1:14" s="11" customFormat="1">
      <c r="A278" s="15"/>
      <c r="B278" s="15"/>
      <c r="C278" s="15"/>
      <c r="D278" s="15"/>
      <c r="E278" s="15"/>
      <c r="F278" s="15"/>
      <c r="G278" s="15"/>
      <c r="H278" s="15"/>
      <c r="I278" s="15"/>
      <c r="J278" s="15"/>
      <c r="K278" s="15"/>
      <c r="L278" s="15"/>
      <c r="M278" s="15"/>
      <c r="N278" s="15"/>
    </row>
    <row r="279" spans="1:14" s="11" customFormat="1">
      <c r="A279" s="15"/>
      <c r="B279" s="15"/>
      <c r="C279" s="15"/>
      <c r="D279" s="15"/>
      <c r="E279" s="15"/>
      <c r="F279" s="15"/>
      <c r="G279" s="15"/>
      <c r="H279" s="15"/>
      <c r="I279" s="15"/>
      <c r="J279" s="15"/>
      <c r="K279" s="15"/>
      <c r="L279" s="15"/>
      <c r="M279" s="15"/>
      <c r="N279" s="15"/>
    </row>
    <row r="280" spans="1:14" s="11" customFormat="1">
      <c r="A280" s="15"/>
      <c r="B280" s="15"/>
      <c r="C280" s="15"/>
      <c r="D280" s="15"/>
      <c r="E280" s="15"/>
      <c r="F280" s="15"/>
      <c r="G280" s="15"/>
      <c r="H280" s="15"/>
      <c r="I280" s="15"/>
      <c r="J280" s="15"/>
      <c r="K280" s="15"/>
      <c r="L280" s="15"/>
      <c r="M280" s="15"/>
      <c r="N280" s="15"/>
    </row>
    <row r="281" spans="1:14" s="11" customFormat="1">
      <c r="A281" s="15"/>
      <c r="B281" s="15"/>
      <c r="C281" s="15"/>
      <c r="D281" s="15"/>
      <c r="E281" s="15"/>
      <c r="F281" s="15"/>
      <c r="G281" s="15"/>
      <c r="H281" s="15"/>
      <c r="I281" s="15"/>
      <c r="J281" s="15"/>
      <c r="K281" s="15"/>
      <c r="L281" s="15"/>
      <c r="M281" s="15"/>
      <c r="N281" s="15"/>
    </row>
    <row r="282" spans="1:14" s="11" customFormat="1">
      <c r="A282" s="15"/>
      <c r="B282" s="15"/>
      <c r="C282" s="15"/>
      <c r="D282" s="15"/>
      <c r="E282" s="15"/>
      <c r="F282" s="15"/>
      <c r="G282" s="15"/>
      <c r="H282" s="15"/>
      <c r="I282" s="15"/>
      <c r="J282" s="15"/>
      <c r="K282" s="15"/>
      <c r="L282" s="15"/>
      <c r="M282" s="15"/>
      <c r="N282" s="15"/>
    </row>
    <row r="283" spans="1:14" s="11" customFormat="1">
      <c r="A283" s="15"/>
      <c r="B283" s="15"/>
      <c r="C283" s="15"/>
      <c r="D283" s="15"/>
      <c r="E283" s="15"/>
      <c r="F283" s="15"/>
      <c r="G283" s="15"/>
      <c r="H283" s="15"/>
      <c r="I283" s="15"/>
      <c r="J283" s="15"/>
      <c r="K283" s="15"/>
      <c r="L283" s="15"/>
      <c r="M283" s="15"/>
      <c r="N283" s="15"/>
    </row>
    <row r="284" spans="1:14" s="11" customFormat="1">
      <c r="A284" s="15"/>
      <c r="B284" s="15"/>
      <c r="C284" s="15"/>
      <c r="D284" s="15"/>
      <c r="E284" s="15"/>
      <c r="F284" s="15"/>
      <c r="G284" s="15"/>
      <c r="H284" s="15"/>
      <c r="I284" s="15"/>
      <c r="J284" s="15"/>
      <c r="K284" s="15"/>
      <c r="L284" s="15"/>
      <c r="M284" s="15"/>
      <c r="N284" s="15"/>
    </row>
    <row r="285" spans="1:14" s="11" customFormat="1">
      <c r="A285" s="15"/>
      <c r="B285" s="15"/>
      <c r="C285" s="15"/>
      <c r="D285" s="15"/>
      <c r="E285" s="15"/>
      <c r="F285" s="15"/>
      <c r="G285" s="15"/>
      <c r="H285" s="15"/>
      <c r="I285" s="15"/>
      <c r="J285" s="15"/>
      <c r="K285" s="15"/>
      <c r="L285" s="15"/>
      <c r="M285" s="15"/>
      <c r="N285" s="15"/>
    </row>
    <row r="286" spans="1:14" s="11" customFormat="1">
      <c r="A286" s="15"/>
      <c r="B286" s="15"/>
      <c r="C286" s="15"/>
      <c r="D286" s="15"/>
      <c r="E286" s="15"/>
      <c r="F286" s="15"/>
      <c r="G286" s="15"/>
      <c r="H286" s="15"/>
      <c r="I286" s="15"/>
      <c r="J286" s="15"/>
      <c r="K286" s="15"/>
      <c r="L286" s="15"/>
      <c r="M286" s="15"/>
      <c r="N286" s="15"/>
    </row>
    <row r="287" spans="1:14" s="11" customFormat="1">
      <c r="A287" s="15"/>
      <c r="B287" s="15"/>
      <c r="C287" s="15"/>
      <c r="D287" s="15"/>
      <c r="E287" s="15"/>
      <c r="F287" s="15"/>
      <c r="G287" s="15"/>
      <c r="H287" s="15"/>
      <c r="I287" s="15"/>
      <c r="J287" s="15"/>
      <c r="K287" s="15"/>
      <c r="L287" s="15"/>
      <c r="M287" s="15"/>
      <c r="N287" s="15"/>
    </row>
  </sheetData>
  <mergeCells count="25">
    <mergeCell ref="A1:O1"/>
    <mergeCell ref="A2:O2"/>
    <mergeCell ref="A9:B9"/>
    <mergeCell ref="A10:B10"/>
    <mergeCell ref="A14:B14"/>
    <mergeCell ref="A12:B12"/>
    <mergeCell ref="A13:B13"/>
    <mergeCell ref="A8:B8"/>
    <mergeCell ref="A11:B11"/>
    <mergeCell ref="L6:O6"/>
    <mergeCell ref="A6:B7"/>
    <mergeCell ref="H6:H7"/>
    <mergeCell ref="I6:I7"/>
    <mergeCell ref="J6:J7"/>
    <mergeCell ref="K6:K7"/>
    <mergeCell ref="C6:C7"/>
    <mergeCell ref="D6:D7"/>
    <mergeCell ref="E6:E7"/>
    <mergeCell ref="F6:F7"/>
    <mergeCell ref="G6:G7"/>
    <mergeCell ref="A19:D19"/>
    <mergeCell ref="A15:B15"/>
    <mergeCell ref="A16:B16"/>
    <mergeCell ref="A17:D17"/>
    <mergeCell ref="A18:D18"/>
  </mergeCells>
  <phoneticPr fontId="17" type="noConversion"/>
  <hyperlinks>
    <hyperlink ref="O3" location="底稿目录!A1" display="底稿目录!A1"/>
  </hyperlinks>
  <printOptions horizontalCentered="1"/>
  <pageMargins left="0.70866141732283472" right="0.70866141732283472" top="0.74803149606299213" bottom="0.74803149606299213" header="0.31496062992125984" footer="0.31496062992125984"/>
  <pageSetup paperSize="9" scale="87" fitToHeight="100" orientation="landscape" blackAndWhite="1" cellComments="atEnd" r:id="rId1"/>
  <headerFooter>
    <oddFooter>&amp;C&amp;P/&amp;N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X71"/>
  <sheetViews>
    <sheetView view="pageBreakPreview" zoomScaleSheetLayoutView="100" workbookViewId="0">
      <selection activeCell="B10" sqref="B10"/>
    </sheetView>
  </sheetViews>
  <sheetFormatPr defaultColWidth="9" defaultRowHeight="15.6"/>
  <cols>
    <col min="1" max="1" width="8.69921875" style="15" customWidth="1"/>
    <col min="2" max="2" width="15.8984375" style="15" customWidth="1"/>
    <col min="3" max="3" width="6.69921875" style="15" customWidth="1"/>
    <col min="4" max="4" width="4.69921875" style="15" customWidth="1"/>
    <col min="5" max="5" width="6.09765625" style="15" customWidth="1"/>
    <col min="6" max="6" width="4.796875" style="15" customWidth="1"/>
    <col min="7" max="7" width="9.69921875" style="15" customWidth="1"/>
    <col min="8" max="8" width="6.69921875" style="15" customWidth="1"/>
    <col min="9" max="9" width="5.09765625" style="15" customWidth="1"/>
    <col min="10" max="10" width="9.19921875" style="15" customWidth="1"/>
    <col min="11" max="11" width="7.796875" style="15" customWidth="1"/>
    <col min="12" max="12" width="5.796875" style="15" customWidth="1"/>
    <col min="13" max="13" width="9.09765625" style="15" customWidth="1"/>
    <col min="14" max="14" width="6.796875" style="15" customWidth="1"/>
    <col min="15" max="15" width="6.09765625" style="15" customWidth="1"/>
    <col min="16" max="16" width="9" style="15"/>
    <col min="17" max="20" width="8.296875" style="15" customWidth="1"/>
    <col min="21" max="21" width="11.19921875" style="15" customWidth="1"/>
    <col min="22" max="22" width="6.09765625" style="15" customWidth="1"/>
    <col min="23" max="23" width="8.3984375" style="15" customWidth="1"/>
    <col min="24" max="24" width="6.09765625" style="15" customWidth="1"/>
    <col min="25" max="16384" width="9" style="15"/>
  </cols>
  <sheetData>
    <row r="1" spans="1:24" s="8" customFormat="1" ht="19.95" customHeight="1">
      <c r="A1" s="526" t="s">
        <v>55</v>
      </c>
      <c r="B1" s="526"/>
      <c r="C1" s="526"/>
      <c r="D1" s="526"/>
      <c r="E1" s="526"/>
      <c r="F1" s="526"/>
      <c r="G1" s="526"/>
      <c r="H1" s="526"/>
      <c r="I1" s="526"/>
      <c r="J1" s="526"/>
      <c r="K1" s="526"/>
      <c r="L1" s="526"/>
      <c r="M1" s="526"/>
      <c r="N1" s="526"/>
      <c r="O1" s="526"/>
      <c r="P1" s="526"/>
      <c r="Q1" s="526"/>
      <c r="R1" s="526"/>
      <c r="S1" s="526"/>
      <c r="T1" s="526"/>
      <c r="U1" s="526"/>
      <c r="V1" s="526"/>
      <c r="W1" s="526"/>
      <c r="X1" s="526"/>
    </row>
    <row r="2" spans="1:24" s="8" customFormat="1" ht="19.95" customHeight="1">
      <c r="A2" s="511" t="s">
        <v>23</v>
      </c>
      <c r="B2" s="511"/>
      <c r="C2" s="511"/>
      <c r="D2" s="511"/>
      <c r="E2" s="511"/>
      <c r="F2" s="511"/>
      <c r="G2" s="511"/>
      <c r="H2" s="511"/>
      <c r="I2" s="511"/>
      <c r="J2" s="511"/>
      <c r="K2" s="511"/>
      <c r="L2" s="511"/>
      <c r="M2" s="511"/>
      <c r="N2" s="511"/>
      <c r="O2" s="511"/>
      <c r="P2" s="511"/>
      <c r="Q2" s="511"/>
      <c r="R2" s="511"/>
      <c r="S2" s="511"/>
      <c r="T2" s="511"/>
      <c r="U2" s="511"/>
      <c r="V2" s="511"/>
      <c r="W2" s="511"/>
      <c r="X2" s="511"/>
    </row>
    <row r="3" spans="1:24" s="11" customFormat="1" ht="20.100000000000001" customHeight="1">
      <c r="A3" s="9" t="str">
        <f>底稿目录!A2</f>
        <v>被审计单位：</v>
      </c>
      <c r="B3" s="9"/>
      <c r="C3" s="9"/>
      <c r="E3" s="10"/>
      <c r="G3" s="9" t="str">
        <f>底稿目录!A4</f>
        <v>编制人：</v>
      </c>
      <c r="L3" s="62"/>
      <c r="M3" s="9" t="str">
        <f>底稿目录!A5</f>
        <v>编制日期：</v>
      </c>
      <c r="W3" s="7" t="s">
        <v>1</v>
      </c>
      <c r="X3" s="405" t="str">
        <f>底稿目录!F13</f>
        <v>F2-8</v>
      </c>
    </row>
    <row r="4" spans="1:24" s="11" customFormat="1" ht="20.100000000000001" customHeight="1">
      <c r="A4" s="9" t="str">
        <f>底稿目录!A3</f>
        <v>截止日：202X年12月21日</v>
      </c>
      <c r="B4" s="9"/>
      <c r="C4" s="9"/>
      <c r="E4" s="10"/>
      <c r="G4" s="7" t="str">
        <f>底稿目录!A6</f>
        <v>复核人：</v>
      </c>
      <c r="L4" s="62"/>
      <c r="M4" s="7" t="str">
        <f>底稿目录!A7</f>
        <v>复核日期：</v>
      </c>
      <c r="W4" s="7" t="s">
        <v>52</v>
      </c>
      <c r="X4" s="9"/>
    </row>
    <row r="5" spans="1:24" s="12" customFormat="1" ht="20.100000000000001" customHeight="1">
      <c r="A5" s="12" t="s">
        <v>514</v>
      </c>
    </row>
    <row r="6" spans="1:24" s="11" customFormat="1" ht="20.100000000000001" customHeight="1">
      <c r="A6" s="513" t="s">
        <v>517</v>
      </c>
      <c r="B6" s="513" t="s">
        <v>518</v>
      </c>
      <c r="C6" s="513" t="s">
        <v>519</v>
      </c>
      <c r="D6" s="513" t="s">
        <v>520</v>
      </c>
      <c r="E6" s="513" t="s">
        <v>521</v>
      </c>
      <c r="F6" s="513"/>
      <c r="G6" s="513"/>
      <c r="H6" s="513" t="s">
        <v>522</v>
      </c>
      <c r="I6" s="513"/>
      <c r="J6" s="513"/>
      <c r="K6" s="513" t="s">
        <v>523</v>
      </c>
      <c r="L6" s="513"/>
      <c r="M6" s="513"/>
      <c r="N6" s="513" t="s">
        <v>524</v>
      </c>
      <c r="O6" s="513"/>
      <c r="P6" s="513"/>
      <c r="Q6" s="514" t="s">
        <v>92</v>
      </c>
      <c r="R6" s="515"/>
      <c r="S6" s="515"/>
      <c r="T6" s="516"/>
      <c r="U6" s="520" t="s">
        <v>525</v>
      </c>
      <c r="V6" s="519" t="s">
        <v>919</v>
      </c>
      <c r="W6" s="519" t="s">
        <v>920</v>
      </c>
      <c r="X6" s="519" t="s">
        <v>921</v>
      </c>
    </row>
    <row r="7" spans="1:24" s="11" customFormat="1" ht="16.8" customHeight="1">
      <c r="A7" s="513"/>
      <c r="B7" s="513"/>
      <c r="C7" s="513"/>
      <c r="D7" s="513"/>
      <c r="E7" s="513" t="s">
        <v>72</v>
      </c>
      <c r="F7" s="513" t="s">
        <v>526</v>
      </c>
      <c r="G7" s="513" t="s">
        <v>73</v>
      </c>
      <c r="H7" s="513" t="s">
        <v>72</v>
      </c>
      <c r="I7" s="513" t="s">
        <v>527</v>
      </c>
      <c r="J7" s="513" t="s">
        <v>73</v>
      </c>
      <c r="K7" s="513" t="s">
        <v>72</v>
      </c>
      <c r="L7" s="513" t="s">
        <v>526</v>
      </c>
      <c r="M7" s="513" t="s">
        <v>73</v>
      </c>
      <c r="N7" s="513" t="s">
        <v>72</v>
      </c>
      <c r="O7" s="513" t="s">
        <v>528</v>
      </c>
      <c r="P7" s="513" t="s">
        <v>73</v>
      </c>
      <c r="Q7" s="517" t="s">
        <v>762</v>
      </c>
      <c r="R7" s="517" t="s">
        <v>753</v>
      </c>
      <c r="S7" s="517" t="s">
        <v>763</v>
      </c>
      <c r="T7" s="517" t="s">
        <v>755</v>
      </c>
      <c r="U7" s="520"/>
      <c r="V7" s="520"/>
      <c r="W7" s="520"/>
      <c r="X7" s="520"/>
    </row>
    <row r="8" spans="1:24" s="11" customFormat="1" ht="16.8" customHeight="1">
      <c r="A8" s="513"/>
      <c r="B8" s="513"/>
      <c r="C8" s="513"/>
      <c r="D8" s="513"/>
      <c r="E8" s="513"/>
      <c r="F8" s="513"/>
      <c r="G8" s="513"/>
      <c r="H8" s="513"/>
      <c r="I8" s="513"/>
      <c r="J8" s="513"/>
      <c r="K8" s="513"/>
      <c r="L8" s="513"/>
      <c r="M8" s="513"/>
      <c r="N8" s="513"/>
      <c r="O8" s="513"/>
      <c r="P8" s="513"/>
      <c r="Q8" s="518"/>
      <c r="R8" s="518"/>
      <c r="S8" s="518"/>
      <c r="T8" s="518"/>
      <c r="U8" s="520"/>
      <c r="V8" s="520"/>
      <c r="W8" s="520"/>
      <c r="X8" s="520"/>
    </row>
    <row r="9" spans="1:24" s="11" customFormat="1" ht="20.100000000000001" customHeight="1">
      <c r="A9" s="23"/>
      <c r="B9" s="23"/>
      <c r="C9" s="24"/>
      <c r="D9" s="234"/>
      <c r="E9" s="25"/>
      <c r="F9" s="261">
        <f>IF(E9=0,0,G9/E9)</f>
        <v>0</v>
      </c>
      <c r="G9" s="25"/>
      <c r="H9" s="25"/>
      <c r="I9" s="261">
        <f>IF(H9=0,0,J9/H9)</f>
        <v>0</v>
      </c>
      <c r="J9" s="25"/>
      <c r="K9" s="25"/>
      <c r="L9" s="261">
        <f>IF(K9=0,0,M9/K9)</f>
        <v>0</v>
      </c>
      <c r="M9" s="25"/>
      <c r="N9" s="280">
        <f>E9+H9-K9</f>
        <v>0</v>
      </c>
      <c r="O9" s="280">
        <f>IF(N9=0,0,P9/N9)</f>
        <v>0</v>
      </c>
      <c r="P9" s="280">
        <f>G9+J9-M9</f>
        <v>0</v>
      </c>
      <c r="Q9" s="73"/>
      <c r="R9" s="73"/>
      <c r="S9" s="73"/>
      <c r="T9" s="395"/>
      <c r="U9" s="453"/>
      <c r="V9" s="22"/>
      <c r="W9" s="22"/>
      <c r="X9" s="22"/>
    </row>
    <row r="10" spans="1:24" s="11" customFormat="1" ht="20.100000000000001" customHeight="1">
      <c r="A10" s="23"/>
      <c r="B10" s="23"/>
      <c r="C10" s="24"/>
      <c r="D10" s="234"/>
      <c r="E10" s="25"/>
      <c r="F10" s="261">
        <f t="shared" ref="F10:F24" si="0">IF(E10=0,0,G10/E10)</f>
        <v>0</v>
      </c>
      <c r="G10" s="25"/>
      <c r="H10" s="25"/>
      <c r="I10" s="261">
        <f t="shared" ref="I10:I24" si="1">IF(H10=0,0,J10/H10)</f>
        <v>0</v>
      </c>
      <c r="J10" s="25"/>
      <c r="K10" s="25"/>
      <c r="L10" s="261">
        <f t="shared" ref="L10:L24" si="2">IF(K10=0,0,M10/K10)</f>
        <v>0</v>
      </c>
      <c r="M10" s="25"/>
      <c r="N10" s="280">
        <f>E10+H10-K10</f>
        <v>0</v>
      </c>
      <c r="O10" s="280">
        <f t="shared" ref="O10:O24" si="3">IF(N10=0,0,P10/N10)</f>
        <v>0</v>
      </c>
      <c r="P10" s="280">
        <f t="shared" ref="P10:P24" si="4">G10+J10-M10</f>
        <v>0</v>
      </c>
      <c r="Q10" s="73"/>
      <c r="R10" s="73"/>
      <c r="S10" s="73"/>
      <c r="T10" s="395"/>
      <c r="U10" s="453"/>
      <c r="V10" s="22"/>
      <c r="W10" s="22"/>
      <c r="X10" s="22"/>
    </row>
    <row r="11" spans="1:24" s="11" customFormat="1" ht="20.100000000000001" customHeight="1">
      <c r="A11" s="23"/>
      <c r="B11" s="23"/>
      <c r="C11" s="24"/>
      <c r="D11" s="234"/>
      <c r="E11" s="25"/>
      <c r="F11" s="261">
        <f t="shared" si="0"/>
        <v>0</v>
      </c>
      <c r="G11" s="25"/>
      <c r="H11" s="25"/>
      <c r="I11" s="261">
        <f t="shared" si="1"/>
        <v>0</v>
      </c>
      <c r="J11" s="25"/>
      <c r="K11" s="25"/>
      <c r="L11" s="261">
        <f t="shared" si="2"/>
        <v>0</v>
      </c>
      <c r="M11" s="25"/>
      <c r="N11" s="280">
        <f t="shared" ref="N11:N24" si="5">E11+H11-K11</f>
        <v>0</v>
      </c>
      <c r="O11" s="280">
        <f t="shared" si="3"/>
        <v>0</v>
      </c>
      <c r="P11" s="280">
        <f t="shared" si="4"/>
        <v>0</v>
      </c>
      <c r="Q11" s="73"/>
      <c r="R11" s="73"/>
      <c r="S11" s="73"/>
      <c r="T11" s="395"/>
      <c r="U11" s="453"/>
      <c r="V11" s="22"/>
      <c r="W11" s="22"/>
      <c r="X11" s="22"/>
    </row>
    <row r="12" spans="1:24" s="11" customFormat="1" ht="20.100000000000001" customHeight="1">
      <c r="A12" s="23"/>
      <c r="B12" s="23"/>
      <c r="C12" s="24"/>
      <c r="D12" s="234"/>
      <c r="E12" s="25"/>
      <c r="F12" s="261">
        <f t="shared" si="0"/>
        <v>0</v>
      </c>
      <c r="G12" s="25"/>
      <c r="H12" s="25"/>
      <c r="I12" s="261">
        <f t="shared" si="1"/>
        <v>0</v>
      </c>
      <c r="J12" s="25"/>
      <c r="K12" s="25"/>
      <c r="L12" s="261">
        <f t="shared" si="2"/>
        <v>0</v>
      </c>
      <c r="M12" s="25"/>
      <c r="N12" s="280">
        <f t="shared" si="5"/>
        <v>0</v>
      </c>
      <c r="O12" s="280">
        <f t="shared" si="3"/>
        <v>0</v>
      </c>
      <c r="P12" s="280">
        <f t="shared" si="4"/>
        <v>0</v>
      </c>
      <c r="Q12" s="73"/>
      <c r="R12" s="73"/>
      <c r="S12" s="73"/>
      <c r="T12" s="395"/>
      <c r="U12" s="453"/>
      <c r="V12" s="22"/>
      <c r="W12" s="22"/>
      <c r="X12" s="22"/>
    </row>
    <row r="13" spans="1:24" s="11" customFormat="1" ht="20.100000000000001" customHeight="1">
      <c r="A13" s="23"/>
      <c r="B13" s="23"/>
      <c r="C13" s="24"/>
      <c r="D13" s="234"/>
      <c r="E13" s="25"/>
      <c r="F13" s="261">
        <f t="shared" si="0"/>
        <v>0</v>
      </c>
      <c r="G13" s="25"/>
      <c r="H13" s="25"/>
      <c r="I13" s="261">
        <f t="shared" si="1"/>
        <v>0</v>
      </c>
      <c r="J13" s="25"/>
      <c r="K13" s="25"/>
      <c r="L13" s="261">
        <f t="shared" si="2"/>
        <v>0</v>
      </c>
      <c r="M13" s="25"/>
      <c r="N13" s="280">
        <f t="shared" si="5"/>
        <v>0</v>
      </c>
      <c r="O13" s="280">
        <f t="shared" si="3"/>
        <v>0</v>
      </c>
      <c r="P13" s="280">
        <f t="shared" si="4"/>
        <v>0</v>
      </c>
      <c r="Q13" s="73"/>
      <c r="R13" s="73"/>
      <c r="S13" s="73"/>
      <c r="T13" s="395"/>
      <c r="U13" s="453"/>
      <c r="V13" s="22"/>
      <c r="W13" s="22"/>
      <c r="X13" s="22"/>
    </row>
    <row r="14" spans="1:24" s="11" customFormat="1" ht="20.100000000000001" customHeight="1">
      <c r="A14" s="23"/>
      <c r="B14" s="23"/>
      <c r="C14" s="24"/>
      <c r="D14" s="234"/>
      <c r="E14" s="25"/>
      <c r="F14" s="261">
        <f t="shared" si="0"/>
        <v>0</v>
      </c>
      <c r="G14" s="25"/>
      <c r="H14" s="25"/>
      <c r="I14" s="261">
        <f t="shared" si="1"/>
        <v>0</v>
      </c>
      <c r="J14" s="25"/>
      <c r="K14" s="25"/>
      <c r="L14" s="261">
        <f t="shared" si="2"/>
        <v>0</v>
      </c>
      <c r="M14" s="25"/>
      <c r="N14" s="280">
        <f t="shared" si="5"/>
        <v>0</v>
      </c>
      <c r="O14" s="280">
        <f t="shared" si="3"/>
        <v>0</v>
      </c>
      <c r="P14" s="280">
        <f t="shared" si="4"/>
        <v>0</v>
      </c>
      <c r="Q14" s="73"/>
      <c r="R14" s="73"/>
      <c r="S14" s="73"/>
      <c r="T14" s="395"/>
      <c r="U14" s="453"/>
      <c r="V14" s="22"/>
      <c r="W14" s="22"/>
      <c r="X14" s="22"/>
    </row>
    <row r="15" spans="1:24" s="11" customFormat="1" ht="20.100000000000001" customHeight="1">
      <c r="A15" s="23"/>
      <c r="B15" s="23"/>
      <c r="C15" s="24"/>
      <c r="D15" s="234"/>
      <c r="E15" s="25"/>
      <c r="F15" s="261">
        <f t="shared" si="0"/>
        <v>0</v>
      </c>
      <c r="G15" s="25"/>
      <c r="H15" s="25"/>
      <c r="I15" s="261">
        <f t="shared" si="1"/>
        <v>0</v>
      </c>
      <c r="J15" s="25"/>
      <c r="K15" s="25"/>
      <c r="L15" s="261">
        <f t="shared" si="2"/>
        <v>0</v>
      </c>
      <c r="M15" s="25"/>
      <c r="N15" s="280">
        <f t="shared" si="5"/>
        <v>0</v>
      </c>
      <c r="O15" s="280">
        <f t="shared" si="3"/>
        <v>0</v>
      </c>
      <c r="P15" s="280">
        <f t="shared" si="4"/>
        <v>0</v>
      </c>
      <c r="Q15" s="73"/>
      <c r="R15" s="73"/>
      <c r="S15" s="73"/>
      <c r="T15" s="395"/>
      <c r="U15" s="453"/>
      <c r="V15" s="22"/>
      <c r="W15" s="22"/>
      <c r="X15" s="22"/>
    </row>
    <row r="16" spans="1:24" s="11" customFormat="1" ht="20.100000000000001" customHeight="1">
      <c r="A16" s="23"/>
      <c r="B16" s="23"/>
      <c r="C16" s="24"/>
      <c r="D16" s="234"/>
      <c r="E16" s="25"/>
      <c r="F16" s="261">
        <f t="shared" si="0"/>
        <v>0</v>
      </c>
      <c r="G16" s="25"/>
      <c r="H16" s="25"/>
      <c r="I16" s="261">
        <f t="shared" si="1"/>
        <v>0</v>
      </c>
      <c r="J16" s="25"/>
      <c r="K16" s="25"/>
      <c r="L16" s="261">
        <f t="shared" si="2"/>
        <v>0</v>
      </c>
      <c r="M16" s="25"/>
      <c r="N16" s="280">
        <f t="shared" si="5"/>
        <v>0</v>
      </c>
      <c r="O16" s="280">
        <f t="shared" si="3"/>
        <v>0</v>
      </c>
      <c r="P16" s="280">
        <f t="shared" si="4"/>
        <v>0</v>
      </c>
      <c r="Q16" s="73"/>
      <c r="R16" s="73"/>
      <c r="S16" s="73"/>
      <c r="T16" s="395"/>
      <c r="U16" s="453"/>
      <c r="V16" s="22"/>
      <c r="W16" s="22"/>
      <c r="X16" s="22"/>
    </row>
    <row r="17" spans="1:24" s="11" customFormat="1" ht="20.100000000000001" customHeight="1">
      <c r="A17" s="23"/>
      <c r="B17" s="23"/>
      <c r="C17" s="24"/>
      <c r="D17" s="234"/>
      <c r="E17" s="25"/>
      <c r="F17" s="261">
        <f t="shared" si="0"/>
        <v>0</v>
      </c>
      <c r="G17" s="25"/>
      <c r="H17" s="25"/>
      <c r="I17" s="261">
        <f t="shared" si="1"/>
        <v>0</v>
      </c>
      <c r="J17" s="25"/>
      <c r="K17" s="25"/>
      <c r="L17" s="261">
        <f t="shared" si="2"/>
        <v>0</v>
      </c>
      <c r="M17" s="25"/>
      <c r="N17" s="280">
        <f t="shared" si="5"/>
        <v>0</v>
      </c>
      <c r="O17" s="280">
        <f t="shared" si="3"/>
        <v>0</v>
      </c>
      <c r="P17" s="280">
        <f t="shared" si="4"/>
        <v>0</v>
      </c>
      <c r="Q17" s="73"/>
      <c r="R17" s="73"/>
      <c r="S17" s="73"/>
      <c r="T17" s="395"/>
      <c r="U17" s="453"/>
      <c r="V17" s="22"/>
      <c r="W17" s="22"/>
      <c r="X17" s="22"/>
    </row>
    <row r="18" spans="1:24" s="11" customFormat="1" ht="20.100000000000001" customHeight="1">
      <c r="A18" s="23"/>
      <c r="B18" s="23"/>
      <c r="C18" s="24"/>
      <c r="D18" s="234"/>
      <c r="E18" s="25"/>
      <c r="F18" s="261">
        <f t="shared" si="0"/>
        <v>0</v>
      </c>
      <c r="G18" s="25"/>
      <c r="H18" s="25"/>
      <c r="I18" s="261">
        <f t="shared" si="1"/>
        <v>0</v>
      </c>
      <c r="J18" s="25"/>
      <c r="K18" s="25"/>
      <c r="L18" s="261">
        <f t="shared" si="2"/>
        <v>0</v>
      </c>
      <c r="M18" s="25"/>
      <c r="N18" s="280">
        <f t="shared" si="5"/>
        <v>0</v>
      </c>
      <c r="O18" s="280">
        <f t="shared" si="3"/>
        <v>0</v>
      </c>
      <c r="P18" s="280">
        <f t="shared" si="4"/>
        <v>0</v>
      </c>
      <c r="Q18" s="73"/>
      <c r="R18" s="73"/>
      <c r="S18" s="73"/>
      <c r="T18" s="395"/>
      <c r="U18" s="453"/>
      <c r="V18" s="22"/>
      <c r="W18" s="22"/>
      <c r="X18" s="22"/>
    </row>
    <row r="19" spans="1:24" s="11" customFormat="1" ht="20.100000000000001" customHeight="1">
      <c r="A19" s="23"/>
      <c r="B19" s="23"/>
      <c r="C19" s="24"/>
      <c r="D19" s="234"/>
      <c r="E19" s="25"/>
      <c r="F19" s="261">
        <f t="shared" si="0"/>
        <v>0</v>
      </c>
      <c r="G19" s="25"/>
      <c r="H19" s="25"/>
      <c r="I19" s="261">
        <f t="shared" si="1"/>
        <v>0</v>
      </c>
      <c r="J19" s="25"/>
      <c r="K19" s="25"/>
      <c r="L19" s="261">
        <f t="shared" si="2"/>
        <v>0</v>
      </c>
      <c r="M19" s="25"/>
      <c r="N19" s="280">
        <f t="shared" si="5"/>
        <v>0</v>
      </c>
      <c r="O19" s="280">
        <f t="shared" si="3"/>
        <v>0</v>
      </c>
      <c r="P19" s="280">
        <f t="shared" si="4"/>
        <v>0</v>
      </c>
      <c r="Q19" s="73"/>
      <c r="R19" s="73"/>
      <c r="S19" s="73"/>
      <c r="T19" s="395"/>
      <c r="U19" s="453"/>
      <c r="V19" s="22"/>
      <c r="W19" s="22"/>
      <c r="X19" s="22"/>
    </row>
    <row r="20" spans="1:24" s="11" customFormat="1" ht="20.100000000000001" customHeight="1">
      <c r="A20" s="23"/>
      <c r="B20" s="23"/>
      <c r="C20" s="24"/>
      <c r="D20" s="234"/>
      <c r="E20" s="25"/>
      <c r="F20" s="261">
        <f t="shared" si="0"/>
        <v>0</v>
      </c>
      <c r="G20" s="25"/>
      <c r="H20" s="25"/>
      <c r="I20" s="261">
        <f t="shared" si="1"/>
        <v>0</v>
      </c>
      <c r="J20" s="25"/>
      <c r="K20" s="25"/>
      <c r="L20" s="261">
        <f t="shared" si="2"/>
        <v>0</v>
      </c>
      <c r="M20" s="25"/>
      <c r="N20" s="280">
        <f t="shared" si="5"/>
        <v>0</v>
      </c>
      <c r="O20" s="280">
        <f t="shared" si="3"/>
        <v>0</v>
      </c>
      <c r="P20" s="280">
        <f t="shared" si="4"/>
        <v>0</v>
      </c>
      <c r="Q20" s="73"/>
      <c r="R20" s="73"/>
      <c r="S20" s="73"/>
      <c r="T20" s="395"/>
      <c r="U20" s="453"/>
      <c r="V20" s="22"/>
      <c r="W20" s="22"/>
      <c r="X20" s="22"/>
    </row>
    <row r="21" spans="1:24" s="11" customFormat="1" ht="20.100000000000001" customHeight="1">
      <c r="A21" s="23"/>
      <c r="B21" s="23"/>
      <c r="C21" s="24"/>
      <c r="D21" s="234"/>
      <c r="E21" s="25"/>
      <c r="F21" s="261">
        <f t="shared" si="0"/>
        <v>0</v>
      </c>
      <c r="G21" s="25"/>
      <c r="H21" s="25"/>
      <c r="I21" s="261">
        <f t="shared" si="1"/>
        <v>0</v>
      </c>
      <c r="J21" s="25"/>
      <c r="K21" s="25"/>
      <c r="L21" s="261">
        <f t="shared" si="2"/>
        <v>0</v>
      </c>
      <c r="M21" s="25"/>
      <c r="N21" s="280">
        <f t="shared" si="5"/>
        <v>0</v>
      </c>
      <c r="O21" s="280">
        <f t="shared" si="3"/>
        <v>0</v>
      </c>
      <c r="P21" s="280">
        <f t="shared" si="4"/>
        <v>0</v>
      </c>
      <c r="Q21" s="73"/>
      <c r="R21" s="73"/>
      <c r="S21" s="73"/>
      <c r="T21" s="395"/>
      <c r="U21" s="453"/>
      <c r="V21" s="22"/>
      <c r="W21" s="22"/>
      <c r="X21" s="22"/>
    </row>
    <row r="22" spans="1:24" s="11" customFormat="1" ht="20.100000000000001" customHeight="1">
      <c r="A22" s="23"/>
      <c r="B22" s="23"/>
      <c r="C22" s="24"/>
      <c r="D22" s="234"/>
      <c r="E22" s="25"/>
      <c r="F22" s="261">
        <f t="shared" si="0"/>
        <v>0</v>
      </c>
      <c r="G22" s="25"/>
      <c r="H22" s="25"/>
      <c r="I22" s="261">
        <f t="shared" si="1"/>
        <v>0</v>
      </c>
      <c r="J22" s="25"/>
      <c r="K22" s="25"/>
      <c r="L22" s="261">
        <f t="shared" si="2"/>
        <v>0</v>
      </c>
      <c r="M22" s="25"/>
      <c r="N22" s="280">
        <f t="shared" si="5"/>
        <v>0</v>
      </c>
      <c r="O22" s="280">
        <f t="shared" si="3"/>
        <v>0</v>
      </c>
      <c r="P22" s="280">
        <f t="shared" si="4"/>
        <v>0</v>
      </c>
      <c r="Q22" s="73"/>
      <c r="R22" s="73"/>
      <c r="S22" s="73"/>
      <c r="T22" s="395"/>
      <c r="U22" s="453"/>
      <c r="V22" s="22"/>
      <c r="W22" s="22"/>
      <c r="X22" s="22"/>
    </row>
    <row r="23" spans="1:24" s="11" customFormat="1" ht="20.100000000000001" customHeight="1">
      <c r="A23" s="13"/>
      <c r="B23" s="13"/>
      <c r="C23" s="21"/>
      <c r="D23" s="17"/>
      <c r="E23" s="14"/>
      <c r="F23" s="261">
        <f t="shared" si="0"/>
        <v>0</v>
      </c>
      <c r="G23" s="14"/>
      <c r="H23" s="14"/>
      <c r="I23" s="261">
        <f t="shared" si="1"/>
        <v>0</v>
      </c>
      <c r="J23" s="25"/>
      <c r="K23" s="25"/>
      <c r="L23" s="261">
        <f t="shared" si="2"/>
        <v>0</v>
      </c>
      <c r="M23" s="25"/>
      <c r="N23" s="280">
        <f t="shared" si="5"/>
        <v>0</v>
      </c>
      <c r="O23" s="280">
        <f t="shared" si="3"/>
        <v>0</v>
      </c>
      <c r="P23" s="280">
        <f t="shared" si="4"/>
        <v>0</v>
      </c>
      <c r="Q23" s="73"/>
      <c r="R23" s="73"/>
      <c r="S23" s="73"/>
      <c r="T23" s="395"/>
      <c r="U23" s="453"/>
      <c r="V23" s="22"/>
      <c r="W23" s="22"/>
      <c r="X23" s="22"/>
    </row>
    <row r="24" spans="1:24" s="11" customFormat="1" ht="20.100000000000001" customHeight="1">
      <c r="A24" s="23" t="s">
        <v>53</v>
      </c>
      <c r="B24" s="23"/>
      <c r="C24" s="24"/>
      <c r="D24" s="234"/>
      <c r="E24" s="14"/>
      <c r="F24" s="261">
        <f t="shared" si="0"/>
        <v>0</v>
      </c>
      <c r="G24" s="14"/>
      <c r="H24" s="14"/>
      <c r="I24" s="261">
        <f t="shared" si="1"/>
        <v>0</v>
      </c>
      <c r="J24" s="25"/>
      <c r="K24" s="25"/>
      <c r="L24" s="261">
        <f t="shared" si="2"/>
        <v>0</v>
      </c>
      <c r="M24" s="25"/>
      <c r="N24" s="280">
        <f t="shared" si="5"/>
        <v>0</v>
      </c>
      <c r="O24" s="280">
        <f t="shared" si="3"/>
        <v>0</v>
      </c>
      <c r="P24" s="280">
        <f t="shared" si="4"/>
        <v>0</v>
      </c>
      <c r="Q24" s="73"/>
      <c r="R24" s="73"/>
      <c r="S24" s="73"/>
      <c r="T24" s="395"/>
      <c r="U24" s="453"/>
      <c r="V24" s="22"/>
      <c r="W24" s="22"/>
      <c r="X24" s="22"/>
    </row>
    <row r="25" spans="1:24" s="11" customFormat="1" ht="20.100000000000001" customHeight="1">
      <c r="A25" s="536" t="s">
        <v>57</v>
      </c>
      <c r="B25" s="537"/>
      <c r="C25" s="537"/>
      <c r="D25" s="538"/>
      <c r="E25" s="281" t="s">
        <v>106</v>
      </c>
      <c r="F25" s="281" t="s">
        <v>106</v>
      </c>
      <c r="G25" s="267">
        <f>SUM(G9:G24)</f>
        <v>0</v>
      </c>
      <c r="H25" s="281" t="s">
        <v>106</v>
      </c>
      <c r="I25" s="281" t="s">
        <v>106</v>
      </c>
      <c r="J25" s="267">
        <f>SUM(J9:J24)</f>
        <v>0</v>
      </c>
      <c r="K25" s="267">
        <f>SUM(K9:K24)</f>
        <v>0</v>
      </c>
      <c r="L25" s="281" t="s">
        <v>106</v>
      </c>
      <c r="M25" s="267">
        <f>SUM(M9:M24)</f>
        <v>0</v>
      </c>
      <c r="N25" s="281" t="s">
        <v>106</v>
      </c>
      <c r="O25" s="281" t="s">
        <v>106</v>
      </c>
      <c r="P25" s="267">
        <f>SUM(P9:P24)</f>
        <v>0</v>
      </c>
      <c r="Q25" s="267">
        <f t="shared" ref="Q25:T25" si="6">SUM(Q9:Q24)</f>
        <v>0</v>
      </c>
      <c r="R25" s="267">
        <f t="shared" si="6"/>
        <v>0</v>
      </c>
      <c r="S25" s="267">
        <f t="shared" si="6"/>
        <v>0</v>
      </c>
      <c r="T25" s="267">
        <f t="shared" si="6"/>
        <v>0</v>
      </c>
      <c r="U25" s="452"/>
      <c r="V25" s="266"/>
      <c r="W25" s="266"/>
      <c r="X25" s="266"/>
    </row>
    <row r="26" spans="1:24" s="11" customFormat="1" ht="20.100000000000001" customHeight="1">
      <c r="A26" s="536" t="s">
        <v>529</v>
      </c>
      <c r="B26" s="537"/>
      <c r="C26" s="537"/>
      <c r="D26" s="538"/>
      <c r="E26" s="282"/>
      <c r="F26" s="270"/>
      <c r="G26" s="14"/>
      <c r="H26" s="72"/>
      <c r="I26" s="72"/>
      <c r="J26" s="25"/>
      <c r="K26" s="73"/>
      <c r="L26" s="73"/>
      <c r="M26" s="25"/>
      <c r="N26" s="73"/>
      <c r="O26" s="73"/>
      <c r="P26" s="25"/>
      <c r="Q26" s="25"/>
      <c r="R26" s="25"/>
      <c r="S26" s="25"/>
      <c r="T26" s="273"/>
      <c r="U26" s="453"/>
      <c r="V26" s="22"/>
      <c r="W26" s="22"/>
      <c r="X26" s="22"/>
    </row>
    <row r="27" spans="1:24" s="269" customFormat="1" ht="20.100000000000001" customHeight="1">
      <c r="A27" s="536" t="s">
        <v>59</v>
      </c>
      <c r="B27" s="537"/>
      <c r="C27" s="537"/>
      <c r="D27" s="538"/>
      <c r="E27" s="281" t="s">
        <v>106</v>
      </c>
      <c r="F27" s="281" t="s">
        <v>106</v>
      </c>
      <c r="G27" s="267">
        <f>G25-G26</f>
        <v>0</v>
      </c>
      <c r="H27" s="281" t="s">
        <v>106</v>
      </c>
      <c r="I27" s="281" t="s">
        <v>106</v>
      </c>
      <c r="J27" s="267">
        <f>J25-J26</f>
        <v>0</v>
      </c>
      <c r="K27" s="281" t="s">
        <v>106</v>
      </c>
      <c r="L27" s="281" t="s">
        <v>106</v>
      </c>
      <c r="M27" s="267">
        <f>M25-M26</f>
        <v>0</v>
      </c>
      <c r="N27" s="281" t="s">
        <v>106</v>
      </c>
      <c r="O27" s="281" t="s">
        <v>106</v>
      </c>
      <c r="P27" s="267">
        <f>P25-P26</f>
        <v>0</v>
      </c>
      <c r="Q27" s="267">
        <f>Q25-Q26</f>
        <v>0</v>
      </c>
      <c r="R27" s="267">
        <f t="shared" ref="R27:T27" si="7">R25-R26</f>
        <v>0</v>
      </c>
      <c r="S27" s="267">
        <f t="shared" si="7"/>
        <v>0</v>
      </c>
      <c r="T27" s="267">
        <f t="shared" si="7"/>
        <v>0</v>
      </c>
      <c r="U27" s="279"/>
      <c r="V27" s="266"/>
      <c r="W27" s="266"/>
      <c r="X27" s="266"/>
    </row>
    <row r="28" spans="1:24" s="86" customFormat="1" ht="20.100000000000001" customHeight="1">
      <c r="A28" s="539" t="s">
        <v>515</v>
      </c>
      <c r="B28" s="539"/>
      <c r="C28" s="539"/>
      <c r="D28" s="539"/>
      <c r="E28" s="304"/>
      <c r="F28" s="304"/>
      <c r="G28" s="305"/>
      <c r="H28" s="304"/>
      <c r="I28" s="304"/>
      <c r="J28" s="305"/>
      <c r="K28" s="303"/>
      <c r="L28" s="304"/>
      <c r="M28" s="305"/>
      <c r="N28" s="304"/>
      <c r="O28" s="304"/>
      <c r="P28" s="415" t="str">
        <f>IF((P25-Q25-R25-S25-T25)=0,"OK","库龄与期末金额不匹配")</f>
        <v>OK</v>
      </c>
      <c r="Q28" s="305"/>
      <c r="R28" s="305"/>
      <c r="S28" s="305"/>
      <c r="T28" s="305"/>
      <c r="U28" s="422"/>
      <c r="V28" s="269"/>
      <c r="W28" s="269"/>
      <c r="X28" s="269"/>
    </row>
    <row r="29" spans="1:24" s="86" customFormat="1" ht="20.100000000000001" customHeight="1">
      <c r="A29" s="417" t="s">
        <v>516</v>
      </c>
      <c r="B29" s="417"/>
      <c r="C29" s="418"/>
      <c r="D29" s="417"/>
      <c r="E29" s="419"/>
      <c r="F29" s="419"/>
      <c r="G29" s="420"/>
      <c r="H29" s="419"/>
      <c r="I29" s="419"/>
      <c r="J29" s="420"/>
      <c r="K29" s="421">
        <f>K25-K28</f>
        <v>0</v>
      </c>
      <c r="L29" s="419"/>
      <c r="M29" s="420"/>
      <c r="N29" s="419"/>
      <c r="O29" s="419"/>
      <c r="P29" s="420"/>
      <c r="Q29" s="420"/>
      <c r="R29" s="420"/>
      <c r="S29" s="420"/>
      <c r="T29" s="420"/>
      <c r="U29" s="422"/>
      <c r="V29" s="269"/>
      <c r="W29" s="269"/>
      <c r="X29" s="269"/>
    </row>
    <row r="30" spans="1:24" s="11" customFormat="1" ht="20.100000000000001" customHeight="1">
      <c r="A30" s="257" t="s">
        <v>96</v>
      </c>
      <c r="B30" s="257"/>
      <c r="C30" s="9"/>
      <c r="D30" s="9"/>
      <c r="E30" s="9"/>
      <c r="F30" s="9"/>
      <c r="G30" s="9"/>
      <c r="H30" s="9"/>
      <c r="I30" s="9"/>
      <c r="J30" s="9"/>
      <c r="K30" s="9"/>
      <c r="L30" s="9"/>
      <c r="M30" s="9"/>
      <c r="N30" s="9"/>
      <c r="O30" s="9"/>
      <c r="P30" s="9"/>
      <c r="Q30" s="9"/>
      <c r="R30" s="9"/>
      <c r="S30" s="9"/>
      <c r="T30" s="9"/>
      <c r="U30" s="9"/>
    </row>
    <row r="31" spans="1:24" s="29" customFormat="1" ht="20.100000000000001" customHeight="1">
      <c r="A31" s="46" t="s">
        <v>802</v>
      </c>
      <c r="B31" s="260"/>
      <c r="C31" s="307"/>
      <c r="D31" s="307"/>
      <c r="E31" s="307"/>
      <c r="F31" s="307"/>
      <c r="G31" s="307"/>
      <c r="H31" s="307"/>
      <c r="I31" s="307"/>
      <c r="J31" s="307"/>
      <c r="K31" s="46" t="s">
        <v>804</v>
      </c>
      <c r="L31" s="307"/>
      <c r="M31" s="307"/>
      <c r="N31" s="31"/>
      <c r="O31" s="31"/>
      <c r="P31" s="31"/>
      <c r="Q31" s="31"/>
      <c r="R31" s="31"/>
      <c r="S31" s="31"/>
      <c r="T31" s="31"/>
      <c r="U31" s="31"/>
    </row>
    <row r="32" spans="1:24" s="29" customFormat="1" ht="20.100000000000001" customHeight="1">
      <c r="A32" s="56" t="s">
        <v>803</v>
      </c>
      <c r="B32" s="283"/>
      <c r="C32" s="307"/>
      <c r="D32" s="307"/>
      <c r="E32" s="307"/>
      <c r="F32" s="307"/>
      <c r="G32" s="307"/>
      <c r="H32" s="307"/>
      <c r="I32" s="307"/>
      <c r="J32" s="307"/>
      <c r="K32" s="46" t="s">
        <v>731</v>
      </c>
      <c r="L32" s="307"/>
      <c r="M32" s="307"/>
      <c r="N32" s="31"/>
      <c r="O32" s="31"/>
      <c r="P32" s="31"/>
      <c r="Q32" s="31"/>
      <c r="R32" s="31"/>
      <c r="S32" s="31"/>
      <c r="T32" s="31"/>
      <c r="U32" s="31"/>
    </row>
    <row r="33" spans="1:2" s="29" customFormat="1" ht="18" customHeight="1"/>
    <row r="34" spans="1:2" s="29" customFormat="1" ht="18" customHeight="1"/>
    <row r="35" spans="1:2" s="11" customFormat="1" ht="18" customHeight="1">
      <c r="A35" s="80"/>
      <c r="B35" s="80"/>
    </row>
    <row r="36" spans="1:2" s="11" customFormat="1" ht="18" customHeight="1">
      <c r="A36" s="80"/>
      <c r="B36" s="80"/>
    </row>
    <row r="37" spans="1:2" s="11" customFormat="1" ht="18" customHeight="1"/>
    <row r="38" spans="1:2" s="11" customFormat="1" ht="13.8"/>
    <row r="39" spans="1:2" s="11" customFormat="1" ht="13.8"/>
    <row r="40" spans="1:2" s="11" customFormat="1" ht="13.8"/>
    <row r="41" spans="1:2" s="11" customFormat="1" ht="13.8"/>
    <row r="42" spans="1:2" s="11" customFormat="1" ht="13.8"/>
    <row r="43" spans="1:2" s="11" customFormat="1" ht="13.8"/>
    <row r="44" spans="1:2" s="11" customFormat="1" ht="13.8"/>
    <row r="45" spans="1:2" s="11" customFormat="1" ht="13.8"/>
    <row r="46" spans="1:2" s="11" customFormat="1" ht="13.8"/>
    <row r="47" spans="1:2" s="11" customFormat="1" ht="13.8"/>
    <row r="48" spans="1:2" s="11" customFormat="1" ht="13.8"/>
    <row r="49" s="11" customFormat="1" ht="13.8"/>
    <row r="50" s="11" customFormat="1" ht="13.8"/>
    <row r="51" s="11" customFormat="1" ht="13.8"/>
    <row r="52" s="11" customFormat="1" ht="13.8"/>
    <row r="53" s="11" customFormat="1" ht="13.8"/>
    <row r="54" s="11" customFormat="1" ht="13.8"/>
    <row r="55" s="11" customFormat="1" ht="13.8"/>
    <row r="56" s="11" customFormat="1" ht="13.8"/>
    <row r="57" s="11" customFormat="1" ht="13.8"/>
    <row r="58" s="11" customFormat="1" ht="13.8"/>
    <row r="59" s="11" customFormat="1" ht="13.8"/>
    <row r="60" s="11" customFormat="1" ht="13.8"/>
    <row r="61" s="11" customFormat="1" ht="13.8"/>
    <row r="62" s="11" customFormat="1" ht="13.8"/>
    <row r="63" s="11" customFormat="1" ht="13.8"/>
    <row r="64" s="11" customFormat="1" ht="13.8"/>
    <row r="65" s="11" customFormat="1" ht="13.8"/>
    <row r="66" s="11" customFormat="1" ht="13.8"/>
    <row r="67" s="11" customFormat="1" ht="13.8"/>
    <row r="68" s="11" customFormat="1" ht="13.8"/>
    <row r="69" s="11" customFormat="1" ht="13.8"/>
    <row r="70" s="11" customFormat="1" ht="13.8"/>
    <row r="71" s="11" customFormat="1" ht="13.8"/>
  </sheetData>
  <mergeCells count="35">
    <mergeCell ref="Q7:Q8"/>
    <mergeCell ref="R7:R8"/>
    <mergeCell ref="S7:S8"/>
    <mergeCell ref="T7:T8"/>
    <mergeCell ref="A25:D25"/>
    <mergeCell ref="A26:D26"/>
    <mergeCell ref="A27:D27"/>
    <mergeCell ref="A28:D28"/>
    <mergeCell ref="H6:J6"/>
    <mergeCell ref="D6:D8"/>
    <mergeCell ref="A6:A8"/>
    <mergeCell ref="C6:C8"/>
    <mergeCell ref="F7:F8"/>
    <mergeCell ref="G7:G8"/>
    <mergeCell ref="J7:J8"/>
    <mergeCell ref="E7:E8"/>
    <mergeCell ref="E6:G6"/>
    <mergeCell ref="H7:H8"/>
    <mergeCell ref="I7:I8"/>
    <mergeCell ref="V6:V8"/>
    <mergeCell ref="W6:W8"/>
    <mergeCell ref="X6:X8"/>
    <mergeCell ref="A1:X1"/>
    <mergeCell ref="A2:X2"/>
    <mergeCell ref="B6:B8"/>
    <mergeCell ref="K6:M6"/>
    <mergeCell ref="N6:P6"/>
    <mergeCell ref="P7:P8"/>
    <mergeCell ref="N7:N8"/>
    <mergeCell ref="O7:O8"/>
    <mergeCell ref="M7:M8"/>
    <mergeCell ref="K7:K8"/>
    <mergeCell ref="L7:L8"/>
    <mergeCell ref="U6:U8"/>
    <mergeCell ref="Q6:T6"/>
  </mergeCells>
  <phoneticPr fontId="17" type="noConversion"/>
  <hyperlinks>
    <hyperlink ref="X3" location="底稿目录!A1" display="底稿目录!A1"/>
  </hyperlinks>
  <printOptions horizontalCentered="1"/>
  <pageMargins left="0.47244094488188981" right="0.31496062992125984" top="0.59055118110236227" bottom="0.55118110236220474" header="0.31496062992125984" footer="0.31496062992125984"/>
  <pageSetup paperSize="9" scale="69" orientation="landscape" blackAndWhite="1" cellComments="atEnd" r:id="rId1"/>
  <headerFooter>
    <oddFooter>&amp;C&amp;8&amp;P/&amp;N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W73"/>
  <sheetViews>
    <sheetView view="pageBreakPreview" zoomScaleSheetLayoutView="100" workbookViewId="0">
      <pane xSplit="1" ySplit="8" topLeftCell="B9" activePane="bottomRight" state="frozen"/>
      <selection pane="topRight" activeCell="B1" sqref="B1"/>
      <selection pane="bottomLeft" activeCell="A9" sqref="A9"/>
      <selection pane="bottomRight" sqref="A1:W1"/>
    </sheetView>
  </sheetViews>
  <sheetFormatPr defaultColWidth="9" defaultRowHeight="15.6"/>
  <cols>
    <col min="1" max="1" width="15.796875" style="15" customWidth="1"/>
    <col min="2" max="2" width="11.8984375" style="15" customWidth="1"/>
    <col min="3" max="3" width="5" style="15" customWidth="1"/>
    <col min="4" max="4" width="6.09765625" style="15" customWidth="1"/>
    <col min="5" max="5" width="4.796875" style="15" customWidth="1"/>
    <col min="6" max="6" width="10" style="15" customWidth="1"/>
    <col min="7" max="7" width="6.69921875" style="15" customWidth="1"/>
    <col min="8" max="8" width="5.09765625" style="15" customWidth="1"/>
    <col min="9" max="9" width="9.19921875" style="15" customWidth="1"/>
    <col min="10" max="10" width="7.796875" style="15" customWidth="1"/>
    <col min="11" max="11" width="5.796875" style="15" customWidth="1"/>
    <col min="12" max="12" width="9.09765625" style="15" customWidth="1"/>
    <col min="13" max="13" width="6.796875" style="15" customWidth="1"/>
    <col min="14" max="14" width="6.09765625" style="15" customWidth="1"/>
    <col min="15" max="15" width="9" style="15"/>
    <col min="16" max="16" width="6.796875" style="15" customWidth="1"/>
    <col min="17" max="17" width="6.09765625" style="15" customWidth="1"/>
    <col min="18" max="18" width="9" style="15"/>
    <col min="19" max="22" width="8.09765625" style="15" customWidth="1"/>
    <col min="23" max="23" width="10.69921875" style="15" customWidth="1"/>
    <col min="24" max="16384" width="9" style="15"/>
  </cols>
  <sheetData>
    <row r="1" spans="1:23" s="8" customFormat="1" ht="20.100000000000001" customHeight="1">
      <c r="A1" s="526" t="s">
        <v>55</v>
      </c>
      <c r="B1" s="526"/>
      <c r="C1" s="526"/>
      <c r="D1" s="526"/>
      <c r="E1" s="526"/>
      <c r="F1" s="526"/>
      <c r="G1" s="526"/>
      <c r="H1" s="526"/>
      <c r="I1" s="526"/>
      <c r="J1" s="526"/>
      <c r="K1" s="526"/>
      <c r="L1" s="526"/>
      <c r="M1" s="526"/>
      <c r="N1" s="526"/>
      <c r="O1" s="526"/>
      <c r="P1" s="526"/>
      <c r="Q1" s="526"/>
      <c r="R1" s="526"/>
      <c r="S1" s="526"/>
      <c r="T1" s="526"/>
      <c r="U1" s="526"/>
      <c r="V1" s="526"/>
      <c r="W1" s="526"/>
    </row>
    <row r="2" spans="1:23" s="8" customFormat="1" ht="25.05" customHeight="1">
      <c r="A2" s="511" t="s">
        <v>0</v>
      </c>
      <c r="B2" s="511"/>
      <c r="C2" s="511"/>
      <c r="D2" s="511"/>
      <c r="E2" s="511"/>
      <c r="F2" s="511"/>
      <c r="G2" s="511"/>
      <c r="H2" s="511"/>
      <c r="I2" s="511"/>
      <c r="J2" s="511"/>
      <c r="K2" s="511"/>
      <c r="L2" s="511"/>
      <c r="M2" s="511"/>
      <c r="N2" s="511"/>
      <c r="O2" s="511"/>
      <c r="P2" s="511"/>
      <c r="Q2" s="511"/>
      <c r="R2" s="511"/>
      <c r="S2" s="511"/>
      <c r="T2" s="511"/>
      <c r="U2" s="511"/>
      <c r="V2" s="511"/>
      <c r="W2" s="511"/>
    </row>
    <row r="3" spans="1:23" s="11" customFormat="1" ht="20.100000000000001" customHeight="1">
      <c r="A3" s="9" t="str">
        <f>底稿目录!A2</f>
        <v>被审计单位：</v>
      </c>
      <c r="B3" s="9"/>
      <c r="D3" s="10"/>
      <c r="F3" s="9" t="str">
        <f>底稿目录!A4</f>
        <v>编制人：</v>
      </c>
      <c r="J3" s="9" t="str">
        <f>底稿目录!A5</f>
        <v>编制日期：</v>
      </c>
      <c r="K3" s="62"/>
      <c r="V3" s="7" t="s">
        <v>1</v>
      </c>
      <c r="W3" s="405" t="str">
        <f>底稿目录!F14</f>
        <v>F2-9</v>
      </c>
    </row>
    <row r="4" spans="1:23" s="11" customFormat="1" ht="20.100000000000001" customHeight="1">
      <c r="A4" s="9" t="str">
        <f>底稿目录!A3</f>
        <v>截止日：202X年12月21日</v>
      </c>
      <c r="B4" s="9"/>
      <c r="D4" s="10"/>
      <c r="F4" s="7" t="str">
        <f>底稿目录!A6</f>
        <v>复核人：</v>
      </c>
      <c r="J4" s="7" t="str">
        <f>底稿目录!A7</f>
        <v>复核日期：</v>
      </c>
      <c r="K4" s="62"/>
      <c r="V4" s="7" t="s">
        <v>52</v>
      </c>
      <c r="W4" s="9"/>
    </row>
    <row r="5" spans="1:23" s="12" customFormat="1" ht="20.100000000000001" customHeight="1">
      <c r="A5" s="446" t="s">
        <v>778</v>
      </c>
    </row>
    <row r="6" spans="1:23" s="11" customFormat="1" ht="20.100000000000001" customHeight="1">
      <c r="A6" s="525" t="s">
        <v>26</v>
      </c>
      <c r="B6" s="525" t="s">
        <v>25</v>
      </c>
      <c r="C6" s="525" t="s">
        <v>15</v>
      </c>
      <c r="D6" s="525" t="s">
        <v>16</v>
      </c>
      <c r="E6" s="525"/>
      <c r="F6" s="525"/>
      <c r="G6" s="525" t="s">
        <v>20</v>
      </c>
      <c r="H6" s="525"/>
      <c r="I6" s="525"/>
      <c r="J6" s="525" t="s">
        <v>21</v>
      </c>
      <c r="K6" s="525"/>
      <c r="L6" s="525"/>
      <c r="M6" s="525" t="s">
        <v>17</v>
      </c>
      <c r="N6" s="525"/>
      <c r="O6" s="525"/>
      <c r="P6" s="525" t="s">
        <v>267</v>
      </c>
      <c r="Q6" s="525"/>
      <c r="R6" s="525"/>
      <c r="S6" s="514" t="s">
        <v>92</v>
      </c>
      <c r="T6" s="515"/>
      <c r="U6" s="515"/>
      <c r="V6" s="516"/>
      <c r="W6" s="519" t="s">
        <v>30</v>
      </c>
    </row>
    <row r="7" spans="1:23" s="11" customFormat="1" ht="20.100000000000001" customHeight="1">
      <c r="A7" s="525"/>
      <c r="B7" s="525"/>
      <c r="C7" s="525"/>
      <c r="D7" s="525" t="s">
        <v>2</v>
      </c>
      <c r="E7" s="525" t="s">
        <v>18</v>
      </c>
      <c r="F7" s="525" t="s">
        <v>4</v>
      </c>
      <c r="G7" s="525" t="s">
        <v>2</v>
      </c>
      <c r="H7" s="525" t="s">
        <v>18</v>
      </c>
      <c r="I7" s="525" t="s">
        <v>4</v>
      </c>
      <c r="J7" s="525" t="s">
        <v>2</v>
      </c>
      <c r="K7" s="525" t="s">
        <v>18</v>
      </c>
      <c r="L7" s="525" t="s">
        <v>4</v>
      </c>
      <c r="M7" s="525" t="s">
        <v>2</v>
      </c>
      <c r="N7" s="525" t="s">
        <v>18</v>
      </c>
      <c r="O7" s="525" t="s">
        <v>4</v>
      </c>
      <c r="P7" s="525" t="s">
        <v>2</v>
      </c>
      <c r="Q7" s="525" t="s">
        <v>12</v>
      </c>
      <c r="R7" s="525" t="s">
        <v>4</v>
      </c>
      <c r="S7" s="517" t="s">
        <v>762</v>
      </c>
      <c r="T7" s="517" t="s">
        <v>753</v>
      </c>
      <c r="U7" s="517" t="s">
        <v>763</v>
      </c>
      <c r="V7" s="517" t="s">
        <v>755</v>
      </c>
      <c r="W7" s="519"/>
    </row>
    <row r="8" spans="1:23" s="11" customFormat="1" ht="20.100000000000001" customHeight="1">
      <c r="A8" s="525"/>
      <c r="B8" s="525"/>
      <c r="C8" s="525"/>
      <c r="D8" s="525"/>
      <c r="E8" s="525"/>
      <c r="F8" s="525"/>
      <c r="G8" s="525"/>
      <c r="H8" s="525"/>
      <c r="I8" s="525"/>
      <c r="J8" s="525"/>
      <c r="K8" s="525"/>
      <c r="L8" s="525"/>
      <c r="M8" s="525"/>
      <c r="N8" s="525"/>
      <c r="O8" s="525"/>
      <c r="P8" s="525"/>
      <c r="Q8" s="525"/>
      <c r="R8" s="525"/>
      <c r="S8" s="518"/>
      <c r="T8" s="518"/>
      <c r="U8" s="518"/>
      <c r="V8" s="518"/>
      <c r="W8" s="519"/>
    </row>
    <row r="9" spans="1:23" s="11" customFormat="1" ht="20.100000000000001" customHeight="1">
      <c r="A9" s="19"/>
      <c r="B9" s="398"/>
      <c r="C9" s="19"/>
      <c r="D9" s="258"/>
      <c r="E9" s="261">
        <f>IF(D9=0,0,F9/D9)</f>
        <v>0</v>
      </c>
      <c r="F9" s="258"/>
      <c r="G9" s="258"/>
      <c r="H9" s="261">
        <f>IF(G9=0,0,I9/G9)</f>
        <v>0</v>
      </c>
      <c r="I9" s="258"/>
      <c r="J9" s="258"/>
      <c r="K9" s="261">
        <f>IF(J9=0,0,L9/J9)</f>
        <v>0</v>
      </c>
      <c r="L9" s="258"/>
      <c r="M9" s="247">
        <f>D9+G9-J9</f>
        <v>0</v>
      </c>
      <c r="N9" s="247">
        <f>IF(M9=0,0,O9/M9)</f>
        <v>0</v>
      </c>
      <c r="O9" s="247">
        <f>F9+I9-L9</f>
        <v>0</v>
      </c>
      <c r="P9" s="129"/>
      <c r="Q9" s="247">
        <f>IF(P9=0,0,R9/P9)</f>
        <v>0</v>
      </c>
      <c r="R9" s="129"/>
      <c r="S9" s="129"/>
      <c r="T9" s="129"/>
      <c r="U9" s="129"/>
      <c r="V9" s="258"/>
      <c r="W9" s="19"/>
    </row>
    <row r="10" spans="1:23" s="11" customFormat="1" ht="20.100000000000001" customHeight="1">
      <c r="A10" s="19"/>
      <c r="B10" s="398"/>
      <c r="C10" s="19"/>
      <c r="D10" s="258"/>
      <c r="E10" s="261">
        <f t="shared" ref="E10:E24" si="0">IF(D10=0,0,F10/D10)</f>
        <v>0</v>
      </c>
      <c r="F10" s="258"/>
      <c r="G10" s="258"/>
      <c r="H10" s="261">
        <f t="shared" ref="H10:H24" si="1">IF(G10=0,0,I10/G10)</f>
        <v>0</v>
      </c>
      <c r="I10" s="258"/>
      <c r="J10" s="258"/>
      <c r="K10" s="261">
        <f t="shared" ref="K10:K24" si="2">IF(J10=0,0,L10/J10)</f>
        <v>0</v>
      </c>
      <c r="L10" s="258"/>
      <c r="M10" s="247">
        <f t="shared" ref="M10:M24" si="3">D10+G10-J10</f>
        <v>0</v>
      </c>
      <c r="N10" s="247">
        <f t="shared" ref="N10:N24" si="4">IF(M10=0,0,O10/M10)</f>
        <v>0</v>
      </c>
      <c r="O10" s="247">
        <f t="shared" ref="O10:O24" si="5">F10+I10-L10</f>
        <v>0</v>
      </c>
      <c r="P10" s="129"/>
      <c r="Q10" s="247">
        <f t="shared" ref="Q10:Q23" si="6">IF(P10=0,0,R10/P10)</f>
        <v>0</v>
      </c>
      <c r="R10" s="129"/>
      <c r="S10" s="129"/>
      <c r="T10" s="129"/>
      <c r="U10" s="129"/>
      <c r="V10" s="258"/>
      <c r="W10" s="19"/>
    </row>
    <row r="11" spans="1:23" s="11" customFormat="1" ht="20.100000000000001" customHeight="1">
      <c r="A11" s="19"/>
      <c r="B11" s="398"/>
      <c r="C11" s="19"/>
      <c r="D11" s="258"/>
      <c r="E11" s="261">
        <f t="shared" si="0"/>
        <v>0</v>
      </c>
      <c r="F11" s="258"/>
      <c r="G11" s="258"/>
      <c r="H11" s="261">
        <f t="shared" si="1"/>
        <v>0</v>
      </c>
      <c r="I11" s="258"/>
      <c r="J11" s="258"/>
      <c r="K11" s="261">
        <f t="shared" si="2"/>
        <v>0</v>
      </c>
      <c r="L11" s="258"/>
      <c r="M11" s="247">
        <f t="shared" si="3"/>
        <v>0</v>
      </c>
      <c r="N11" s="247">
        <f t="shared" si="4"/>
        <v>0</v>
      </c>
      <c r="O11" s="247">
        <f t="shared" si="5"/>
        <v>0</v>
      </c>
      <c r="P11" s="129"/>
      <c r="Q11" s="247">
        <f t="shared" si="6"/>
        <v>0</v>
      </c>
      <c r="R11" s="129"/>
      <c r="S11" s="129"/>
      <c r="T11" s="129"/>
      <c r="U11" s="129"/>
      <c r="V11" s="258"/>
      <c r="W11" s="19"/>
    </row>
    <row r="12" spans="1:23" s="11" customFormat="1" ht="20.100000000000001" customHeight="1">
      <c r="A12" s="19"/>
      <c r="B12" s="398"/>
      <c r="C12" s="19"/>
      <c r="D12" s="258"/>
      <c r="E12" s="261">
        <f t="shared" si="0"/>
        <v>0</v>
      </c>
      <c r="F12" s="258"/>
      <c r="G12" s="258"/>
      <c r="H12" s="261">
        <f t="shared" si="1"/>
        <v>0</v>
      </c>
      <c r="I12" s="258"/>
      <c r="J12" s="258"/>
      <c r="K12" s="261">
        <f t="shared" si="2"/>
        <v>0</v>
      </c>
      <c r="L12" s="258"/>
      <c r="M12" s="247">
        <f t="shared" si="3"/>
        <v>0</v>
      </c>
      <c r="N12" s="247">
        <f t="shared" si="4"/>
        <v>0</v>
      </c>
      <c r="O12" s="247">
        <f t="shared" si="5"/>
        <v>0</v>
      </c>
      <c r="P12" s="129"/>
      <c r="Q12" s="247">
        <f t="shared" si="6"/>
        <v>0</v>
      </c>
      <c r="R12" s="129"/>
      <c r="S12" s="129"/>
      <c r="T12" s="129"/>
      <c r="U12" s="129"/>
      <c r="V12" s="258"/>
      <c r="W12" s="19"/>
    </row>
    <row r="13" spans="1:23" s="11" customFormat="1" ht="20.100000000000001" customHeight="1">
      <c r="A13" s="19"/>
      <c r="B13" s="398"/>
      <c r="C13" s="19"/>
      <c r="D13" s="258"/>
      <c r="E13" s="261">
        <f t="shared" si="0"/>
        <v>0</v>
      </c>
      <c r="F13" s="258"/>
      <c r="G13" s="258"/>
      <c r="H13" s="261">
        <f t="shared" si="1"/>
        <v>0</v>
      </c>
      <c r="I13" s="258"/>
      <c r="J13" s="258"/>
      <c r="K13" s="261">
        <f t="shared" si="2"/>
        <v>0</v>
      </c>
      <c r="L13" s="258"/>
      <c r="M13" s="247">
        <f t="shared" si="3"/>
        <v>0</v>
      </c>
      <c r="N13" s="247">
        <f t="shared" si="4"/>
        <v>0</v>
      </c>
      <c r="O13" s="247">
        <f t="shared" si="5"/>
        <v>0</v>
      </c>
      <c r="P13" s="129"/>
      <c r="Q13" s="247">
        <f t="shared" si="6"/>
        <v>0</v>
      </c>
      <c r="R13" s="129"/>
      <c r="S13" s="129"/>
      <c r="T13" s="129"/>
      <c r="U13" s="129"/>
      <c r="V13" s="258"/>
      <c r="W13" s="19"/>
    </row>
    <row r="14" spans="1:23" s="11" customFormat="1" ht="20.100000000000001" customHeight="1">
      <c r="A14" s="19"/>
      <c r="B14" s="398"/>
      <c r="C14" s="19"/>
      <c r="D14" s="258"/>
      <c r="E14" s="261">
        <f t="shared" si="0"/>
        <v>0</v>
      </c>
      <c r="F14" s="258"/>
      <c r="G14" s="258"/>
      <c r="H14" s="261">
        <f t="shared" si="1"/>
        <v>0</v>
      </c>
      <c r="I14" s="258"/>
      <c r="J14" s="258"/>
      <c r="K14" s="261">
        <f t="shared" si="2"/>
        <v>0</v>
      </c>
      <c r="L14" s="258"/>
      <c r="M14" s="247">
        <f t="shared" si="3"/>
        <v>0</v>
      </c>
      <c r="N14" s="247">
        <f t="shared" si="4"/>
        <v>0</v>
      </c>
      <c r="O14" s="247">
        <f t="shared" si="5"/>
        <v>0</v>
      </c>
      <c r="P14" s="129"/>
      <c r="Q14" s="247">
        <f t="shared" si="6"/>
        <v>0</v>
      </c>
      <c r="R14" s="129"/>
      <c r="S14" s="129"/>
      <c r="T14" s="129"/>
      <c r="U14" s="129"/>
      <c r="V14" s="258"/>
      <c r="W14" s="19"/>
    </row>
    <row r="15" spans="1:23" s="11" customFormat="1" ht="20.100000000000001" customHeight="1">
      <c r="A15" s="19"/>
      <c r="B15" s="398"/>
      <c r="C15" s="19"/>
      <c r="D15" s="258"/>
      <c r="E15" s="261">
        <f t="shared" si="0"/>
        <v>0</v>
      </c>
      <c r="F15" s="258"/>
      <c r="G15" s="258"/>
      <c r="H15" s="261">
        <f t="shared" si="1"/>
        <v>0</v>
      </c>
      <c r="I15" s="258"/>
      <c r="J15" s="258"/>
      <c r="K15" s="261">
        <f t="shared" si="2"/>
        <v>0</v>
      </c>
      <c r="L15" s="258"/>
      <c r="M15" s="247">
        <f t="shared" si="3"/>
        <v>0</v>
      </c>
      <c r="N15" s="247">
        <f t="shared" si="4"/>
        <v>0</v>
      </c>
      <c r="O15" s="247">
        <f t="shared" si="5"/>
        <v>0</v>
      </c>
      <c r="P15" s="129"/>
      <c r="Q15" s="247">
        <f t="shared" si="6"/>
        <v>0</v>
      </c>
      <c r="R15" s="129"/>
      <c r="S15" s="129"/>
      <c r="T15" s="129"/>
      <c r="U15" s="129"/>
      <c r="V15" s="258"/>
      <c r="W15" s="19"/>
    </row>
    <row r="16" spans="1:23" s="11" customFormat="1" ht="20.100000000000001" customHeight="1">
      <c r="A16" s="19"/>
      <c r="B16" s="398"/>
      <c r="C16" s="19"/>
      <c r="D16" s="258"/>
      <c r="E16" s="261">
        <f t="shared" si="0"/>
        <v>0</v>
      </c>
      <c r="F16" s="258"/>
      <c r="G16" s="258"/>
      <c r="H16" s="261">
        <f t="shared" si="1"/>
        <v>0</v>
      </c>
      <c r="I16" s="258"/>
      <c r="J16" s="258"/>
      <c r="K16" s="261">
        <f t="shared" si="2"/>
        <v>0</v>
      </c>
      <c r="L16" s="258"/>
      <c r="M16" s="247">
        <f t="shared" si="3"/>
        <v>0</v>
      </c>
      <c r="N16" s="247">
        <f t="shared" si="4"/>
        <v>0</v>
      </c>
      <c r="O16" s="247">
        <f t="shared" si="5"/>
        <v>0</v>
      </c>
      <c r="P16" s="129"/>
      <c r="Q16" s="247">
        <f t="shared" si="6"/>
        <v>0</v>
      </c>
      <c r="R16" s="129"/>
      <c r="S16" s="129"/>
      <c r="T16" s="129"/>
      <c r="U16" s="129"/>
      <c r="V16" s="258"/>
      <c r="W16" s="19"/>
    </row>
    <row r="17" spans="1:23" s="11" customFormat="1" ht="20.100000000000001" customHeight="1">
      <c r="A17" s="19"/>
      <c r="B17" s="398"/>
      <c r="C17" s="19"/>
      <c r="D17" s="258"/>
      <c r="E17" s="261">
        <f t="shared" si="0"/>
        <v>0</v>
      </c>
      <c r="F17" s="258"/>
      <c r="G17" s="258"/>
      <c r="H17" s="261">
        <f t="shared" si="1"/>
        <v>0</v>
      </c>
      <c r="I17" s="258"/>
      <c r="J17" s="258"/>
      <c r="K17" s="261">
        <f t="shared" si="2"/>
        <v>0</v>
      </c>
      <c r="L17" s="258"/>
      <c r="M17" s="247">
        <f t="shared" si="3"/>
        <v>0</v>
      </c>
      <c r="N17" s="247">
        <f t="shared" si="4"/>
        <v>0</v>
      </c>
      <c r="O17" s="247">
        <f t="shared" si="5"/>
        <v>0</v>
      </c>
      <c r="P17" s="129"/>
      <c r="Q17" s="247">
        <f t="shared" si="6"/>
        <v>0</v>
      </c>
      <c r="R17" s="129"/>
      <c r="S17" s="129"/>
      <c r="T17" s="129"/>
      <c r="U17" s="129"/>
      <c r="V17" s="258"/>
      <c r="W17" s="19"/>
    </row>
    <row r="18" spans="1:23" s="11" customFormat="1" ht="20.100000000000001" customHeight="1">
      <c r="A18" s="19"/>
      <c r="B18" s="398"/>
      <c r="C18" s="19"/>
      <c r="D18" s="258"/>
      <c r="E18" s="261">
        <f t="shared" si="0"/>
        <v>0</v>
      </c>
      <c r="F18" s="258"/>
      <c r="G18" s="258"/>
      <c r="H18" s="261">
        <f t="shared" si="1"/>
        <v>0</v>
      </c>
      <c r="I18" s="258"/>
      <c r="J18" s="258"/>
      <c r="K18" s="261">
        <f t="shared" si="2"/>
        <v>0</v>
      </c>
      <c r="L18" s="258"/>
      <c r="M18" s="247">
        <f t="shared" si="3"/>
        <v>0</v>
      </c>
      <c r="N18" s="247">
        <f t="shared" si="4"/>
        <v>0</v>
      </c>
      <c r="O18" s="247">
        <f t="shared" si="5"/>
        <v>0</v>
      </c>
      <c r="P18" s="129"/>
      <c r="Q18" s="247">
        <f t="shared" si="6"/>
        <v>0</v>
      </c>
      <c r="R18" s="129"/>
      <c r="S18" s="129"/>
      <c r="T18" s="129"/>
      <c r="U18" s="129"/>
      <c r="V18" s="258"/>
      <c r="W18" s="19"/>
    </row>
    <row r="19" spans="1:23" s="11" customFormat="1" ht="20.100000000000001" customHeight="1">
      <c r="A19" s="19"/>
      <c r="B19" s="398"/>
      <c r="C19" s="19"/>
      <c r="D19" s="258"/>
      <c r="E19" s="261">
        <f t="shared" si="0"/>
        <v>0</v>
      </c>
      <c r="F19" s="258"/>
      <c r="G19" s="258"/>
      <c r="H19" s="261">
        <f t="shared" si="1"/>
        <v>0</v>
      </c>
      <c r="I19" s="258"/>
      <c r="J19" s="258"/>
      <c r="K19" s="261">
        <f t="shared" si="2"/>
        <v>0</v>
      </c>
      <c r="L19" s="258"/>
      <c r="M19" s="247">
        <f t="shared" si="3"/>
        <v>0</v>
      </c>
      <c r="N19" s="247">
        <f t="shared" si="4"/>
        <v>0</v>
      </c>
      <c r="O19" s="247">
        <f t="shared" si="5"/>
        <v>0</v>
      </c>
      <c r="P19" s="129"/>
      <c r="Q19" s="247">
        <f t="shared" si="6"/>
        <v>0</v>
      </c>
      <c r="R19" s="129"/>
      <c r="S19" s="129"/>
      <c r="T19" s="129"/>
      <c r="U19" s="129"/>
      <c r="V19" s="258"/>
      <c r="W19" s="19"/>
    </row>
    <row r="20" spans="1:23" s="11" customFormat="1" ht="20.100000000000001" customHeight="1">
      <c r="A20" s="19"/>
      <c r="B20" s="398"/>
      <c r="C20" s="19"/>
      <c r="D20" s="258"/>
      <c r="E20" s="261">
        <f t="shared" si="0"/>
        <v>0</v>
      </c>
      <c r="F20" s="258"/>
      <c r="G20" s="258"/>
      <c r="H20" s="261">
        <f t="shared" si="1"/>
        <v>0</v>
      </c>
      <c r="I20" s="258"/>
      <c r="J20" s="258"/>
      <c r="K20" s="261">
        <f t="shared" si="2"/>
        <v>0</v>
      </c>
      <c r="L20" s="258"/>
      <c r="M20" s="247">
        <f t="shared" si="3"/>
        <v>0</v>
      </c>
      <c r="N20" s="247">
        <f t="shared" si="4"/>
        <v>0</v>
      </c>
      <c r="O20" s="247">
        <f t="shared" si="5"/>
        <v>0</v>
      </c>
      <c r="P20" s="129"/>
      <c r="Q20" s="247">
        <f t="shared" si="6"/>
        <v>0</v>
      </c>
      <c r="R20" s="129"/>
      <c r="S20" s="129"/>
      <c r="T20" s="129"/>
      <c r="U20" s="129"/>
      <c r="V20" s="258"/>
      <c r="W20" s="19"/>
    </row>
    <row r="21" spans="1:23" s="11" customFormat="1" ht="20.100000000000001" customHeight="1">
      <c r="A21" s="19"/>
      <c r="B21" s="398"/>
      <c r="C21" s="19"/>
      <c r="D21" s="258"/>
      <c r="E21" s="261">
        <f t="shared" si="0"/>
        <v>0</v>
      </c>
      <c r="F21" s="258"/>
      <c r="G21" s="258"/>
      <c r="H21" s="261">
        <f t="shared" si="1"/>
        <v>0</v>
      </c>
      <c r="I21" s="258"/>
      <c r="J21" s="258"/>
      <c r="K21" s="261">
        <f t="shared" si="2"/>
        <v>0</v>
      </c>
      <c r="L21" s="258"/>
      <c r="M21" s="247">
        <f t="shared" si="3"/>
        <v>0</v>
      </c>
      <c r="N21" s="247">
        <f t="shared" si="4"/>
        <v>0</v>
      </c>
      <c r="O21" s="247">
        <f t="shared" si="5"/>
        <v>0</v>
      </c>
      <c r="P21" s="129"/>
      <c r="Q21" s="247">
        <f t="shared" si="6"/>
        <v>0</v>
      </c>
      <c r="R21" s="129"/>
      <c r="S21" s="129"/>
      <c r="T21" s="129"/>
      <c r="U21" s="129"/>
      <c r="V21" s="258"/>
      <c r="W21" s="19"/>
    </row>
    <row r="22" spans="1:23" s="11" customFormat="1" ht="20.100000000000001" customHeight="1">
      <c r="A22" s="19"/>
      <c r="B22" s="398"/>
      <c r="C22" s="19"/>
      <c r="D22" s="258"/>
      <c r="E22" s="261">
        <f t="shared" si="0"/>
        <v>0</v>
      </c>
      <c r="F22" s="258"/>
      <c r="G22" s="258"/>
      <c r="H22" s="261">
        <f t="shared" si="1"/>
        <v>0</v>
      </c>
      <c r="I22" s="258"/>
      <c r="J22" s="258"/>
      <c r="K22" s="261">
        <f t="shared" si="2"/>
        <v>0</v>
      </c>
      <c r="L22" s="258"/>
      <c r="M22" s="247">
        <f t="shared" si="3"/>
        <v>0</v>
      </c>
      <c r="N22" s="247">
        <f t="shared" si="4"/>
        <v>0</v>
      </c>
      <c r="O22" s="247">
        <f t="shared" si="5"/>
        <v>0</v>
      </c>
      <c r="P22" s="129"/>
      <c r="Q22" s="247">
        <f t="shared" si="6"/>
        <v>0</v>
      </c>
      <c r="R22" s="129"/>
      <c r="S22" s="129"/>
      <c r="T22" s="129"/>
      <c r="U22" s="129"/>
      <c r="V22" s="258"/>
      <c r="W22" s="19"/>
    </row>
    <row r="23" spans="1:23" s="11" customFormat="1" ht="20.100000000000001" customHeight="1">
      <c r="A23" s="13"/>
      <c r="B23" s="294"/>
      <c r="C23" s="17"/>
      <c r="D23" s="259"/>
      <c r="E23" s="261">
        <f t="shared" si="0"/>
        <v>0</v>
      </c>
      <c r="F23" s="259"/>
      <c r="G23" s="259"/>
      <c r="H23" s="261">
        <f t="shared" si="1"/>
        <v>0</v>
      </c>
      <c r="I23" s="258"/>
      <c r="J23" s="258"/>
      <c r="K23" s="261">
        <f t="shared" si="2"/>
        <v>0</v>
      </c>
      <c r="L23" s="258"/>
      <c r="M23" s="247">
        <f t="shared" si="3"/>
        <v>0</v>
      </c>
      <c r="N23" s="247">
        <f t="shared" si="4"/>
        <v>0</v>
      </c>
      <c r="O23" s="247">
        <f t="shared" si="5"/>
        <v>0</v>
      </c>
      <c r="P23" s="129"/>
      <c r="Q23" s="247">
        <f t="shared" si="6"/>
        <v>0</v>
      </c>
      <c r="R23" s="129"/>
      <c r="S23" s="129"/>
      <c r="T23" s="129"/>
      <c r="U23" s="129"/>
      <c r="V23" s="258"/>
      <c r="W23" s="22"/>
    </row>
    <row r="24" spans="1:23" s="11" customFormat="1" ht="20.100000000000001" customHeight="1">
      <c r="A24" s="23" t="s">
        <v>53</v>
      </c>
      <c r="B24" s="293"/>
      <c r="C24" s="18"/>
      <c r="D24" s="259"/>
      <c r="E24" s="261">
        <f t="shared" si="0"/>
        <v>0</v>
      </c>
      <c r="F24" s="259"/>
      <c r="G24" s="259"/>
      <c r="H24" s="261">
        <f t="shared" si="1"/>
        <v>0</v>
      </c>
      <c r="I24" s="258"/>
      <c r="J24" s="258"/>
      <c r="K24" s="261">
        <f t="shared" si="2"/>
        <v>0</v>
      </c>
      <c r="L24" s="258"/>
      <c r="M24" s="247">
        <f t="shared" si="3"/>
        <v>0</v>
      </c>
      <c r="N24" s="247">
        <f t="shared" si="4"/>
        <v>0</v>
      </c>
      <c r="O24" s="247">
        <f t="shared" si="5"/>
        <v>0</v>
      </c>
      <c r="P24" s="129"/>
      <c r="Q24" s="247">
        <f>IF(P24=0,0,R24/P24)</f>
        <v>0</v>
      </c>
      <c r="R24" s="129"/>
      <c r="S24" s="129"/>
      <c r="T24" s="129"/>
      <c r="U24" s="129"/>
      <c r="V24" s="258"/>
      <c r="W24" s="22"/>
    </row>
    <row r="25" spans="1:23" s="11" customFormat="1" ht="20.100000000000001" customHeight="1">
      <c r="A25" s="308" t="s">
        <v>54</v>
      </c>
      <c r="B25" s="309"/>
      <c r="C25" s="308"/>
      <c r="D25" s="262" t="s">
        <v>106</v>
      </c>
      <c r="E25" s="262" t="s">
        <v>106</v>
      </c>
      <c r="F25" s="263">
        <f>SUM(F9:F24)</f>
        <v>0</v>
      </c>
      <c r="G25" s="262" t="s">
        <v>106</v>
      </c>
      <c r="H25" s="262" t="s">
        <v>106</v>
      </c>
      <c r="I25" s="263">
        <f>SUM(I9:I24)</f>
        <v>0</v>
      </c>
      <c r="J25" s="263">
        <f>SUM(J9:J24)</f>
        <v>0</v>
      </c>
      <c r="K25" s="262" t="s">
        <v>106</v>
      </c>
      <c r="L25" s="263">
        <f>SUM(L9:L24)</f>
        <v>0</v>
      </c>
      <c r="M25" s="262" t="s">
        <v>106</v>
      </c>
      <c r="N25" s="262" t="s">
        <v>106</v>
      </c>
      <c r="O25" s="263">
        <f>SUM(O9:O24)</f>
        <v>0</v>
      </c>
      <c r="P25" s="262" t="s">
        <v>106</v>
      </c>
      <c r="Q25" s="262" t="s">
        <v>106</v>
      </c>
      <c r="R25" s="263">
        <f>SUM(R9:R24)</f>
        <v>0</v>
      </c>
      <c r="S25" s="263">
        <f>SUM(S9:S24)</f>
        <v>0</v>
      </c>
      <c r="T25" s="263">
        <f t="shared" ref="T25:V25" si="7">SUM(T9:T24)</f>
        <v>0</v>
      </c>
      <c r="U25" s="263">
        <f t="shared" si="7"/>
        <v>0</v>
      </c>
      <c r="V25" s="263">
        <f t="shared" si="7"/>
        <v>0</v>
      </c>
      <c r="W25" s="268"/>
    </row>
    <row r="26" spans="1:23" s="11" customFormat="1" ht="20.100000000000001" customHeight="1">
      <c r="A26" s="308" t="s">
        <v>19</v>
      </c>
      <c r="B26" s="309"/>
      <c r="C26" s="308"/>
      <c r="D26" s="296"/>
      <c r="E26" s="396"/>
      <c r="F26" s="259"/>
      <c r="G26" s="397"/>
      <c r="H26" s="397"/>
      <c r="I26" s="258"/>
      <c r="J26" s="129"/>
      <c r="K26" s="129"/>
      <c r="L26" s="258"/>
      <c r="M26" s="129"/>
      <c r="N26" s="129"/>
      <c r="O26" s="258"/>
      <c r="P26" s="129"/>
      <c r="Q26" s="129"/>
      <c r="R26" s="258"/>
      <c r="S26" s="258"/>
      <c r="T26" s="258"/>
      <c r="U26" s="258"/>
      <c r="V26" s="258"/>
      <c r="W26" s="22"/>
    </row>
    <row r="27" spans="1:23" s="295" customFormat="1" ht="20.100000000000001" customHeight="1">
      <c r="A27" s="308" t="s">
        <v>24</v>
      </c>
      <c r="B27" s="309"/>
      <c r="C27" s="308"/>
      <c r="D27" s="262" t="s">
        <v>106</v>
      </c>
      <c r="E27" s="262" t="s">
        <v>106</v>
      </c>
      <c r="F27" s="263">
        <f>F25-F26</f>
        <v>0</v>
      </c>
      <c r="G27" s="262" t="s">
        <v>106</v>
      </c>
      <c r="H27" s="262" t="s">
        <v>106</v>
      </c>
      <c r="I27" s="263">
        <f>I25-I26</f>
        <v>0</v>
      </c>
      <c r="J27" s="262" t="s">
        <v>106</v>
      </c>
      <c r="K27" s="262" t="s">
        <v>106</v>
      </c>
      <c r="L27" s="263">
        <f>L25-L26</f>
        <v>0</v>
      </c>
      <c r="M27" s="262" t="s">
        <v>106</v>
      </c>
      <c r="N27" s="262" t="s">
        <v>106</v>
      </c>
      <c r="O27" s="263">
        <f>O25-O26</f>
        <v>0</v>
      </c>
      <c r="P27" s="262" t="s">
        <v>106</v>
      </c>
      <c r="Q27" s="262" t="s">
        <v>106</v>
      </c>
      <c r="R27" s="263">
        <f>R25-R26</f>
        <v>0</v>
      </c>
      <c r="S27" s="263">
        <f t="shared" ref="S27:V27" si="8">S25-S26</f>
        <v>0</v>
      </c>
      <c r="T27" s="263">
        <f t="shared" si="8"/>
        <v>0</v>
      </c>
      <c r="U27" s="263">
        <f>U25-U26</f>
        <v>0</v>
      </c>
      <c r="V27" s="263">
        <f t="shared" si="8"/>
        <v>0</v>
      </c>
      <c r="W27" s="268"/>
    </row>
    <row r="28" spans="1:23" s="11" customFormat="1" ht="20.100000000000001" customHeight="1">
      <c r="A28" s="314" t="s">
        <v>135</v>
      </c>
      <c r="B28" s="311"/>
      <c r="C28" s="312"/>
      <c r="D28" s="313"/>
      <c r="E28" s="313"/>
      <c r="F28" s="305"/>
      <c r="G28" s="313"/>
      <c r="H28" s="313"/>
      <c r="I28" s="305"/>
      <c r="J28" s="84"/>
      <c r="K28" s="313"/>
      <c r="L28" s="305"/>
      <c r="M28" s="313"/>
      <c r="N28" s="313"/>
      <c r="O28" s="415" t="str">
        <f>IF((O25-S25-T25-U25-V25)=0,"OK","库龄与期末金额不匹配")</f>
        <v>OK</v>
      </c>
      <c r="P28" s="313"/>
      <c r="Q28" s="313"/>
      <c r="R28" s="305"/>
      <c r="S28" s="305"/>
      <c r="T28" s="305"/>
      <c r="U28" s="305"/>
      <c r="V28" s="305"/>
      <c r="W28" s="306"/>
    </row>
    <row r="29" spans="1:23" s="11" customFormat="1" ht="20.100000000000001" customHeight="1">
      <c r="A29" s="423" t="s">
        <v>136</v>
      </c>
      <c r="B29" s="424"/>
      <c r="C29" s="425"/>
      <c r="D29" s="426"/>
      <c r="E29" s="426"/>
      <c r="F29" s="421"/>
      <c r="G29" s="426"/>
      <c r="H29" s="426"/>
      <c r="I29" s="421"/>
      <c r="J29" s="421">
        <f>J25-J28</f>
        <v>0</v>
      </c>
      <c r="K29" s="426"/>
      <c r="L29" s="420"/>
      <c r="M29" s="426"/>
      <c r="N29" s="426"/>
      <c r="O29" s="420"/>
      <c r="P29" s="426"/>
      <c r="Q29" s="426"/>
      <c r="R29" s="420"/>
      <c r="S29" s="420"/>
      <c r="T29" s="420"/>
      <c r="U29" s="420"/>
      <c r="V29" s="420"/>
      <c r="W29" s="422"/>
    </row>
    <row r="30" spans="1:23" s="11" customFormat="1" ht="20.100000000000001" customHeight="1">
      <c r="A30" s="427"/>
      <c r="B30" s="428"/>
      <c r="C30" s="429"/>
      <c r="D30" s="430"/>
      <c r="E30" s="430"/>
      <c r="F30" s="416"/>
      <c r="G30" s="430"/>
      <c r="H30" s="430"/>
      <c r="I30" s="416"/>
      <c r="J30" s="430"/>
      <c r="K30" s="430"/>
      <c r="L30" s="416"/>
      <c r="M30" s="430"/>
      <c r="N30" s="430"/>
      <c r="O30" s="416"/>
      <c r="P30" s="430"/>
      <c r="Q30" s="430"/>
      <c r="R30" s="416"/>
      <c r="S30" s="416"/>
      <c r="T30" s="416"/>
      <c r="U30" s="416"/>
      <c r="V30" s="416"/>
      <c r="W30" s="9"/>
    </row>
    <row r="31" spans="1:23" s="11" customFormat="1" ht="20.100000000000001" customHeight="1">
      <c r="A31" s="60" t="s">
        <v>34</v>
      </c>
      <c r="B31" s="9"/>
      <c r="C31" s="9"/>
      <c r="D31" s="9"/>
      <c r="E31" s="9"/>
      <c r="F31" s="9"/>
      <c r="G31" s="9"/>
      <c r="H31" s="9"/>
      <c r="I31" s="9"/>
      <c r="J31" s="9"/>
      <c r="K31" s="9"/>
      <c r="L31" s="9"/>
      <c r="M31" s="9"/>
      <c r="N31" s="9"/>
      <c r="O31" s="9"/>
      <c r="P31" s="9"/>
      <c r="Q31" s="9"/>
      <c r="R31" s="9"/>
      <c r="S31" s="9"/>
      <c r="T31" s="9"/>
      <c r="U31" s="9"/>
      <c r="V31" s="9"/>
      <c r="W31" s="9"/>
    </row>
    <row r="32" spans="1:23" s="315" customFormat="1" ht="20.100000000000001" customHeight="1">
      <c r="A32" s="46" t="s">
        <v>805</v>
      </c>
      <c r="B32" s="307"/>
      <c r="C32" s="307"/>
      <c r="D32" s="307"/>
      <c r="E32" s="307"/>
      <c r="F32" s="307"/>
      <c r="G32" s="307"/>
      <c r="H32" s="307"/>
      <c r="I32" s="46" t="s">
        <v>806</v>
      </c>
      <c r="J32" s="307"/>
      <c r="K32" s="307"/>
      <c r="L32" s="307"/>
      <c r="M32" s="307"/>
      <c r="N32" s="307"/>
      <c r="O32" s="307"/>
      <c r="P32" s="307"/>
      <c r="Q32" s="307"/>
      <c r="R32" s="307"/>
      <c r="S32" s="307"/>
      <c r="T32" s="307"/>
      <c r="U32" s="307"/>
      <c r="V32" s="307"/>
      <c r="W32" s="307"/>
    </row>
    <row r="33" spans="1:23" s="315" customFormat="1" ht="20.100000000000001" customHeight="1">
      <c r="A33" s="61" t="s">
        <v>530</v>
      </c>
      <c r="B33" s="307"/>
      <c r="C33" s="307"/>
      <c r="D33" s="307"/>
      <c r="E33" s="307"/>
      <c r="F33" s="307"/>
      <c r="G33" s="307"/>
      <c r="H33" s="307"/>
      <c r="I33" s="46" t="s">
        <v>731</v>
      </c>
      <c r="J33" s="307"/>
      <c r="K33" s="307"/>
      <c r="L33" s="307"/>
      <c r="M33" s="307"/>
      <c r="N33" s="307"/>
      <c r="O33" s="307"/>
      <c r="P33" s="307"/>
      <c r="Q33" s="307"/>
      <c r="R33" s="307"/>
      <c r="S33" s="307"/>
      <c r="T33" s="307"/>
      <c r="U33" s="307"/>
      <c r="V33" s="307"/>
      <c r="W33" s="307"/>
    </row>
    <row r="34" spans="1:23" s="28" customFormat="1" ht="18" customHeight="1"/>
    <row r="35" spans="1:23" s="28" customFormat="1" ht="18" customHeight="1">
      <c r="A35" s="82" t="s">
        <v>132</v>
      </c>
    </row>
    <row r="36" spans="1:23" s="11" customFormat="1" ht="18" customHeight="1">
      <c r="A36" s="81" t="s">
        <v>133</v>
      </c>
    </row>
    <row r="37" spans="1:23" s="11" customFormat="1" ht="18" customHeight="1"/>
    <row r="38" spans="1:23" s="11" customFormat="1" ht="18" customHeight="1"/>
    <row r="39" spans="1:23" s="11" customFormat="1" ht="18" customHeight="1"/>
    <row r="40" spans="1:23" s="11" customFormat="1" ht="18" customHeight="1"/>
    <row r="41" spans="1:23" s="11" customFormat="1" ht="18" customHeight="1"/>
    <row r="42" spans="1:23" s="11" customFormat="1" ht="18" customHeight="1"/>
    <row r="43" spans="1:23" s="11" customFormat="1" ht="18" customHeight="1"/>
    <row r="44" spans="1:23" s="11" customFormat="1" ht="18" customHeight="1"/>
    <row r="45" spans="1:23" s="11" customFormat="1" ht="18" customHeight="1"/>
    <row r="46" spans="1:23" s="11" customFormat="1" ht="18" customHeight="1"/>
    <row r="47" spans="1:23" s="11" customFormat="1" ht="18" customHeight="1"/>
    <row r="48" spans="1:23" s="11" customFormat="1" ht="18" customHeight="1"/>
    <row r="49" s="11" customFormat="1" ht="18" customHeight="1"/>
    <row r="50" s="11" customFormat="1" ht="18" customHeight="1"/>
    <row r="51" s="11" customFormat="1" ht="18" customHeight="1"/>
    <row r="52" s="11" customFormat="1" ht="18" customHeight="1"/>
    <row r="53" s="11" customFormat="1" ht="18" customHeight="1"/>
    <row r="54" s="11" customFormat="1" ht="18" customHeight="1"/>
    <row r="55" s="11" customFormat="1" ht="18" customHeight="1"/>
    <row r="56" s="11" customFormat="1" ht="13.8"/>
    <row r="57" s="11" customFormat="1" ht="13.8"/>
    <row r="58" s="11" customFormat="1" ht="13.8"/>
    <row r="59" s="11" customFormat="1" ht="13.8"/>
    <row r="60" s="11" customFormat="1" ht="13.8"/>
    <row r="61" s="11" customFormat="1" ht="13.8"/>
    <row r="62" s="11" customFormat="1" ht="13.8"/>
    <row r="63" s="11" customFormat="1" ht="13.8"/>
    <row r="64" s="11" customFormat="1" ht="13.8"/>
    <row r="65" s="11" customFormat="1" ht="13.8"/>
    <row r="66" s="11" customFormat="1" ht="13.8"/>
    <row r="67" s="11" customFormat="1" ht="13.8"/>
    <row r="68" s="11" customFormat="1" ht="13.8"/>
    <row r="69" s="11" customFormat="1" ht="13.8"/>
    <row r="70" s="11" customFormat="1" ht="13.8"/>
    <row r="71" s="11" customFormat="1" ht="13.8"/>
    <row r="72" s="11" customFormat="1" ht="13.8"/>
    <row r="73" s="11" customFormat="1" ht="13.8"/>
  </sheetData>
  <mergeCells count="31">
    <mergeCell ref="P6:R6"/>
    <mergeCell ref="P7:P8"/>
    <mergeCell ref="Q7:Q8"/>
    <mergeCell ref="R7:R8"/>
    <mergeCell ref="S6:V6"/>
    <mergeCell ref="S7:S8"/>
    <mergeCell ref="T7:T8"/>
    <mergeCell ref="U7:U8"/>
    <mergeCell ref="V7:V8"/>
    <mergeCell ref="O7:O8"/>
    <mergeCell ref="H7:H8"/>
    <mergeCell ref="I7:I8"/>
    <mergeCell ref="M7:M8"/>
    <mergeCell ref="N7:N8"/>
    <mergeCell ref="L7:L8"/>
    <mergeCell ref="A1:W1"/>
    <mergeCell ref="A2:W2"/>
    <mergeCell ref="G6:I6"/>
    <mergeCell ref="J6:L6"/>
    <mergeCell ref="M6:O6"/>
    <mergeCell ref="W6:W8"/>
    <mergeCell ref="G7:G8"/>
    <mergeCell ref="J7:J8"/>
    <mergeCell ref="K7:K8"/>
    <mergeCell ref="A6:A8"/>
    <mergeCell ref="B6:B8"/>
    <mergeCell ref="C6:C8"/>
    <mergeCell ref="D6:F6"/>
    <mergeCell ref="D7:D8"/>
    <mergeCell ref="E7:E8"/>
    <mergeCell ref="F7:F8"/>
  </mergeCells>
  <phoneticPr fontId="17" type="noConversion"/>
  <hyperlinks>
    <hyperlink ref="W3" location="底稿目录!A1" display="底稿目录!A1"/>
  </hyperlinks>
  <printOptions horizontalCentered="1"/>
  <pageMargins left="0.55118110236220474" right="0.39370078740157483" top="0.59055118110236227" bottom="0.55118110236220474" header="0.31496062992125984" footer="0.31496062992125984"/>
  <pageSetup paperSize="9" scale="69" orientation="landscape" blackAndWhite="1" cellComments="atEnd" r:id="rId1"/>
  <headerFooter>
    <oddFooter>&amp;C&amp;8&amp;P/&amp;N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AI95"/>
  <sheetViews>
    <sheetView view="pageBreakPreview" zoomScaleNormal="85" zoomScaleSheetLayoutView="100" workbookViewId="0">
      <selection sqref="A1:AA1"/>
    </sheetView>
  </sheetViews>
  <sheetFormatPr defaultColWidth="9" defaultRowHeight="15.6"/>
  <cols>
    <col min="1" max="1" width="5.5" style="63" customWidth="1"/>
    <col min="2" max="2" width="17" style="63" customWidth="1"/>
    <col min="3" max="4" width="9.19921875" style="63" customWidth="1"/>
    <col min="5" max="5" width="8.69921875" style="63" customWidth="1"/>
    <col min="6" max="6" width="10.19921875" style="63" customWidth="1"/>
    <col min="7" max="7" width="9.796875" style="63" customWidth="1"/>
    <col min="8" max="8" width="9" style="63"/>
    <col min="9" max="9" width="9.796875" style="63" customWidth="1"/>
    <col min="10" max="11" width="9" style="63"/>
    <col min="12" max="12" width="10.19921875" style="63" customWidth="1"/>
    <col min="13" max="13" width="10.296875" style="63" customWidth="1"/>
    <col min="14" max="14" width="9" style="63"/>
    <col min="15" max="15" width="10.69921875" style="63" customWidth="1"/>
    <col min="16" max="16" width="9.5" style="66" customWidth="1"/>
    <col min="17" max="18" width="9" style="63"/>
    <col min="19" max="19" width="9.5" style="63" customWidth="1"/>
    <col min="20" max="25" width="9" style="63"/>
    <col min="26" max="26" width="7" style="63" customWidth="1"/>
    <col min="27" max="27" width="10.796875" style="63" customWidth="1"/>
    <col min="28" max="16384" width="9" style="63"/>
  </cols>
  <sheetData>
    <row r="1" spans="1:29" ht="20.100000000000001" customHeight="1">
      <c r="A1" s="540" t="s">
        <v>55</v>
      </c>
      <c r="B1" s="540"/>
      <c r="C1" s="540"/>
      <c r="D1" s="540"/>
      <c r="E1" s="540"/>
      <c r="F1" s="540"/>
      <c r="G1" s="540"/>
      <c r="H1" s="540"/>
      <c r="I1" s="540"/>
      <c r="J1" s="540"/>
      <c r="K1" s="540"/>
      <c r="L1" s="540"/>
      <c r="M1" s="540"/>
      <c r="N1" s="540"/>
      <c r="O1" s="540"/>
      <c r="P1" s="540"/>
      <c r="Q1" s="540"/>
      <c r="R1" s="540"/>
      <c r="S1" s="540"/>
      <c r="T1" s="540"/>
      <c r="U1" s="540"/>
      <c r="V1" s="540"/>
      <c r="W1" s="540"/>
      <c r="X1" s="540"/>
      <c r="Y1" s="540"/>
      <c r="Z1" s="540"/>
      <c r="AA1" s="540"/>
    </row>
    <row r="2" spans="1:29" ht="25.05" customHeight="1">
      <c r="A2" s="541" t="s">
        <v>0</v>
      </c>
      <c r="B2" s="541"/>
      <c r="C2" s="541"/>
      <c r="D2" s="541"/>
      <c r="E2" s="541"/>
      <c r="F2" s="541"/>
      <c r="G2" s="541"/>
      <c r="H2" s="541"/>
      <c r="I2" s="541"/>
      <c r="J2" s="541"/>
      <c r="K2" s="541"/>
      <c r="L2" s="541"/>
      <c r="M2" s="541"/>
      <c r="N2" s="541"/>
      <c r="O2" s="541"/>
      <c r="P2" s="541"/>
      <c r="Q2" s="541"/>
      <c r="R2" s="541"/>
      <c r="S2" s="541"/>
      <c r="T2" s="541"/>
      <c r="U2" s="541"/>
      <c r="V2" s="541"/>
      <c r="W2" s="541"/>
      <c r="X2" s="541"/>
      <c r="Y2" s="541"/>
      <c r="Z2" s="541"/>
      <c r="AA2" s="541"/>
      <c r="AC2" s="213"/>
    </row>
    <row r="3" spans="1:29" s="7" customFormat="1" ht="20.100000000000001" customHeight="1">
      <c r="A3" s="9" t="str">
        <f>底稿目录!A2</f>
        <v>被审计单位：</v>
      </c>
      <c r="B3" s="9"/>
      <c r="C3" s="9"/>
      <c r="D3" s="44"/>
      <c r="E3" s="9"/>
      <c r="G3" s="9"/>
      <c r="H3" s="9" t="str">
        <f>底稿目录!A4</f>
        <v>编制人：</v>
      </c>
      <c r="I3" s="9"/>
      <c r="J3" s="9"/>
      <c r="K3" s="9"/>
      <c r="L3" s="9"/>
      <c r="M3" s="9"/>
      <c r="O3" s="9"/>
      <c r="Q3" s="9" t="str">
        <f>底稿目录!A5</f>
        <v>编制日期：</v>
      </c>
      <c r="R3" s="9"/>
      <c r="S3" s="9"/>
      <c r="Z3" s="7" t="s">
        <v>1</v>
      </c>
      <c r="AA3" s="405" t="str">
        <f>底稿目录!F15</f>
        <v>F2-10</v>
      </c>
    </row>
    <row r="4" spans="1:29" s="7" customFormat="1" ht="20.100000000000001" customHeight="1">
      <c r="A4" s="9" t="str">
        <f>底稿目录!A3</f>
        <v>截止日：202X年12月21日</v>
      </c>
      <c r="B4" s="9"/>
      <c r="C4" s="9"/>
      <c r="D4" s="44"/>
      <c r="E4" s="9"/>
      <c r="G4" s="9"/>
      <c r="H4" s="9" t="str">
        <f>底稿目录!A6</f>
        <v>复核人：</v>
      </c>
      <c r="I4" s="9"/>
      <c r="J4" s="9"/>
      <c r="K4" s="9"/>
      <c r="L4" s="9"/>
      <c r="M4" s="9"/>
      <c r="O4" s="9"/>
      <c r="Q4" s="9" t="str">
        <f>底稿目录!A7</f>
        <v>复核日期：</v>
      </c>
      <c r="R4" s="9"/>
      <c r="S4" s="9"/>
      <c r="Z4" s="7" t="s">
        <v>52</v>
      </c>
      <c r="AA4" s="9"/>
    </row>
    <row r="5" spans="1:29" s="9" customFormat="1" ht="20.100000000000001" customHeight="1">
      <c r="A5" s="432" t="s">
        <v>779</v>
      </c>
      <c r="B5" s="59"/>
      <c r="D5" s="44"/>
    </row>
    <row r="6" spans="1:29" s="9" customFormat="1" ht="20.100000000000001" customHeight="1">
      <c r="A6" s="9" t="s">
        <v>531</v>
      </c>
      <c r="D6" s="44"/>
    </row>
    <row r="7" spans="1:29" s="9" customFormat="1" ht="20.100000000000001" customHeight="1">
      <c r="A7" s="542" t="s">
        <v>98</v>
      </c>
      <c r="B7" s="542" t="s">
        <v>99</v>
      </c>
      <c r="C7" s="542" t="s">
        <v>100</v>
      </c>
      <c r="D7" s="542" t="s">
        <v>532</v>
      </c>
      <c r="E7" s="542" t="s">
        <v>533</v>
      </c>
      <c r="F7" s="513" t="s">
        <v>534</v>
      </c>
      <c r="G7" s="513"/>
      <c r="H7" s="513"/>
      <c r="I7" s="513" t="s">
        <v>535</v>
      </c>
      <c r="J7" s="513"/>
      <c r="K7" s="513" t="s">
        <v>536</v>
      </c>
      <c r="L7" s="513"/>
      <c r="M7" s="513" t="s">
        <v>537</v>
      </c>
      <c r="N7" s="513"/>
      <c r="O7" s="513"/>
      <c r="P7" s="513" t="s">
        <v>538</v>
      </c>
      <c r="Q7" s="513"/>
      <c r="R7" s="513"/>
      <c r="S7" s="513" t="s">
        <v>539</v>
      </c>
      <c r="T7" s="513"/>
      <c r="U7" s="513"/>
      <c r="V7" s="513" t="s">
        <v>540</v>
      </c>
      <c r="W7" s="513"/>
      <c r="X7" s="513" t="s">
        <v>541</v>
      </c>
      <c r="Y7" s="513"/>
      <c r="Z7" s="520" t="s">
        <v>542</v>
      </c>
      <c r="AA7" s="520" t="s">
        <v>104</v>
      </c>
    </row>
    <row r="8" spans="1:29" s="9" customFormat="1" ht="30.75" customHeight="1">
      <c r="A8" s="542"/>
      <c r="B8" s="542"/>
      <c r="C8" s="542"/>
      <c r="D8" s="542"/>
      <c r="E8" s="542"/>
      <c r="F8" s="235" t="s">
        <v>543</v>
      </c>
      <c r="G8" s="236" t="s">
        <v>544</v>
      </c>
      <c r="H8" s="236" t="s">
        <v>545</v>
      </c>
      <c r="I8" s="236" t="s">
        <v>546</v>
      </c>
      <c r="J8" s="236" t="s">
        <v>547</v>
      </c>
      <c r="K8" s="236" t="s">
        <v>544</v>
      </c>
      <c r="L8" s="236" t="s">
        <v>545</v>
      </c>
      <c r="M8" s="235" t="s">
        <v>543</v>
      </c>
      <c r="N8" s="236" t="s">
        <v>544</v>
      </c>
      <c r="O8" s="236" t="s">
        <v>545</v>
      </c>
      <c r="P8" s="235" t="s">
        <v>548</v>
      </c>
      <c r="Q8" s="236" t="s">
        <v>544</v>
      </c>
      <c r="R8" s="236" t="s">
        <v>545</v>
      </c>
      <c r="S8" s="235" t="s">
        <v>548</v>
      </c>
      <c r="T8" s="236" t="s">
        <v>544</v>
      </c>
      <c r="U8" s="236" t="s">
        <v>545</v>
      </c>
      <c r="V8" s="236" t="s">
        <v>394</v>
      </c>
      <c r="W8" s="236" t="s">
        <v>547</v>
      </c>
      <c r="X8" s="236" t="s">
        <v>549</v>
      </c>
      <c r="Y8" s="236" t="s">
        <v>545</v>
      </c>
      <c r="Z8" s="520"/>
      <c r="AA8" s="520"/>
    </row>
    <row r="9" spans="1:29" s="9" customFormat="1" ht="20.100000000000001" customHeight="1">
      <c r="A9" s="234">
        <v>1</v>
      </c>
      <c r="B9" s="23"/>
      <c r="C9" s="234"/>
      <c r="D9" s="318"/>
      <c r="E9" s="318"/>
      <c r="F9" s="258"/>
      <c r="G9" s="247">
        <f>IF(F9=0,0,H9/F9)</f>
        <v>0</v>
      </c>
      <c r="H9" s="258"/>
      <c r="I9" s="258"/>
      <c r="J9" s="258"/>
      <c r="K9" s="247">
        <f>IF(F9=0,0,L9/F9)</f>
        <v>0</v>
      </c>
      <c r="L9" s="247">
        <f>H9+I9+J9</f>
        <v>0</v>
      </c>
      <c r="M9" s="258"/>
      <c r="N9" s="247">
        <f>IF(M9=0,0,O9/M9)</f>
        <v>0</v>
      </c>
      <c r="O9" s="258"/>
      <c r="P9" s="317"/>
      <c r="Q9" s="247">
        <f>IF(P9=0,0,R9/P9)</f>
        <v>0</v>
      </c>
      <c r="R9" s="258"/>
      <c r="S9" s="247">
        <f>F9+M9-P9</f>
        <v>0</v>
      </c>
      <c r="T9" s="247">
        <f>IF(S9=0,0,U9/S9)</f>
        <v>0</v>
      </c>
      <c r="U9" s="247">
        <f>H9+O9-R9</f>
        <v>0</v>
      </c>
      <c r="V9" s="258"/>
      <c r="W9" s="258"/>
      <c r="X9" s="247">
        <f>IF(S9=0,0,Y9/S9)</f>
        <v>0</v>
      </c>
      <c r="Y9" s="247">
        <f>U9+V9+W9</f>
        <v>0</v>
      </c>
      <c r="Z9" s="319"/>
      <c r="AA9" s="320"/>
    </row>
    <row r="10" spans="1:29" s="9" customFormat="1" ht="20.100000000000001" customHeight="1">
      <c r="A10" s="234">
        <v>2</v>
      </c>
      <c r="B10" s="23"/>
      <c r="C10" s="234"/>
      <c r="D10" s="318"/>
      <c r="E10" s="318"/>
      <c r="F10" s="258"/>
      <c r="G10" s="247">
        <f t="shared" ref="G10:G19" si="0">IF(F10=0,0,H10/F10)</f>
        <v>0</v>
      </c>
      <c r="H10" s="258"/>
      <c r="I10" s="258"/>
      <c r="J10" s="258"/>
      <c r="K10" s="247">
        <f t="shared" ref="K10:K19" si="1">IF(F10=0,0,L10/F10)</f>
        <v>0</v>
      </c>
      <c r="L10" s="247">
        <f t="shared" ref="L10:L18" si="2">H10+I10+J10</f>
        <v>0</v>
      </c>
      <c r="M10" s="258"/>
      <c r="N10" s="247">
        <f t="shared" ref="N10:N19" si="3">IF(M10=0,0,O10/M10)</f>
        <v>0</v>
      </c>
      <c r="O10" s="258"/>
      <c r="P10" s="317"/>
      <c r="Q10" s="247">
        <f t="shared" ref="Q10:Q19" si="4">IF(P10=0,0,R10/P10)</f>
        <v>0</v>
      </c>
      <c r="R10" s="258"/>
      <c r="S10" s="247">
        <f t="shared" ref="S10:S18" si="5">F10+M10-P10</f>
        <v>0</v>
      </c>
      <c r="T10" s="247">
        <f t="shared" ref="T10:T19" si="6">IF(S10=0,0,U10/S10)</f>
        <v>0</v>
      </c>
      <c r="U10" s="247">
        <f t="shared" ref="U10:U18" si="7">H10+O10-R10</f>
        <v>0</v>
      </c>
      <c r="V10" s="258"/>
      <c r="W10" s="258"/>
      <c r="X10" s="247">
        <f t="shared" ref="X10:X19" si="8">IF(S10=0,0,Y10/S10)</f>
        <v>0</v>
      </c>
      <c r="Y10" s="247">
        <f t="shared" ref="Y10:Y18" si="9">U10+V10+W10</f>
        <v>0</v>
      </c>
      <c r="Z10" s="234"/>
      <c r="AA10" s="234"/>
    </row>
    <row r="11" spans="1:29" s="9" customFormat="1" ht="20.100000000000001" customHeight="1">
      <c r="A11" s="234">
        <v>3</v>
      </c>
      <c r="B11" s="23"/>
      <c r="C11" s="234"/>
      <c r="D11" s="318"/>
      <c r="E11" s="318"/>
      <c r="F11" s="258"/>
      <c r="G11" s="247">
        <f t="shared" si="0"/>
        <v>0</v>
      </c>
      <c r="H11" s="258"/>
      <c r="I11" s="258"/>
      <c r="J11" s="258"/>
      <c r="K11" s="247">
        <f t="shared" si="1"/>
        <v>0</v>
      </c>
      <c r="L11" s="247">
        <f t="shared" si="2"/>
        <v>0</v>
      </c>
      <c r="M11" s="258"/>
      <c r="N11" s="247">
        <f t="shared" si="3"/>
        <v>0</v>
      </c>
      <c r="O11" s="258"/>
      <c r="P11" s="317"/>
      <c r="Q11" s="247">
        <f t="shared" si="4"/>
        <v>0</v>
      </c>
      <c r="R11" s="258"/>
      <c r="S11" s="247">
        <f t="shared" si="5"/>
        <v>0</v>
      </c>
      <c r="T11" s="247">
        <f t="shared" si="6"/>
        <v>0</v>
      </c>
      <c r="U11" s="247">
        <f t="shared" si="7"/>
        <v>0</v>
      </c>
      <c r="V11" s="258"/>
      <c r="W11" s="258"/>
      <c r="X11" s="247">
        <f t="shared" si="8"/>
        <v>0</v>
      </c>
      <c r="Y11" s="247">
        <f t="shared" si="9"/>
        <v>0</v>
      </c>
      <c r="Z11" s="234"/>
      <c r="AA11" s="234"/>
    </row>
    <row r="12" spans="1:29" s="9" customFormat="1" ht="20.100000000000001" customHeight="1">
      <c r="A12" s="234">
        <v>4</v>
      </c>
      <c r="B12" s="23"/>
      <c r="C12" s="234"/>
      <c r="D12" s="318"/>
      <c r="E12" s="318"/>
      <c r="F12" s="258"/>
      <c r="G12" s="247">
        <f t="shared" si="0"/>
        <v>0</v>
      </c>
      <c r="H12" s="258"/>
      <c r="I12" s="258"/>
      <c r="J12" s="258"/>
      <c r="K12" s="247">
        <f t="shared" si="1"/>
        <v>0</v>
      </c>
      <c r="L12" s="247">
        <f t="shared" si="2"/>
        <v>0</v>
      </c>
      <c r="M12" s="258"/>
      <c r="N12" s="247">
        <f t="shared" si="3"/>
        <v>0</v>
      </c>
      <c r="O12" s="258"/>
      <c r="P12" s="317"/>
      <c r="Q12" s="247">
        <f t="shared" si="4"/>
        <v>0</v>
      </c>
      <c r="R12" s="258"/>
      <c r="S12" s="247">
        <f t="shared" si="5"/>
        <v>0</v>
      </c>
      <c r="T12" s="247">
        <f t="shared" si="6"/>
        <v>0</v>
      </c>
      <c r="U12" s="247">
        <f t="shared" si="7"/>
        <v>0</v>
      </c>
      <c r="V12" s="258"/>
      <c r="W12" s="258"/>
      <c r="X12" s="247">
        <f t="shared" si="8"/>
        <v>0</v>
      </c>
      <c r="Y12" s="247">
        <f t="shared" si="9"/>
        <v>0</v>
      </c>
      <c r="Z12" s="234"/>
      <c r="AA12" s="234"/>
    </row>
    <row r="13" spans="1:29" s="9" customFormat="1" ht="20.100000000000001" customHeight="1">
      <c r="A13" s="234">
        <v>5</v>
      </c>
      <c r="B13" s="23"/>
      <c r="C13" s="234"/>
      <c r="D13" s="318"/>
      <c r="E13" s="318"/>
      <c r="F13" s="258"/>
      <c r="G13" s="247">
        <f t="shared" si="0"/>
        <v>0</v>
      </c>
      <c r="H13" s="258"/>
      <c r="I13" s="258"/>
      <c r="J13" s="258"/>
      <c r="K13" s="247">
        <f t="shared" si="1"/>
        <v>0</v>
      </c>
      <c r="L13" s="247">
        <f t="shared" si="2"/>
        <v>0</v>
      </c>
      <c r="M13" s="258"/>
      <c r="N13" s="247">
        <f t="shared" si="3"/>
        <v>0</v>
      </c>
      <c r="O13" s="258"/>
      <c r="P13" s="317"/>
      <c r="Q13" s="247">
        <f t="shared" si="4"/>
        <v>0</v>
      </c>
      <c r="R13" s="258"/>
      <c r="S13" s="247">
        <f t="shared" si="5"/>
        <v>0</v>
      </c>
      <c r="T13" s="247">
        <f t="shared" si="6"/>
        <v>0</v>
      </c>
      <c r="U13" s="247">
        <f t="shared" si="7"/>
        <v>0</v>
      </c>
      <c r="V13" s="258"/>
      <c r="W13" s="258"/>
      <c r="X13" s="247">
        <f t="shared" si="8"/>
        <v>0</v>
      </c>
      <c r="Y13" s="247">
        <f t="shared" si="9"/>
        <v>0</v>
      </c>
      <c r="Z13" s="234"/>
      <c r="AA13" s="234"/>
    </row>
    <row r="14" spans="1:29" s="9" customFormat="1" ht="20.100000000000001" customHeight="1">
      <c r="A14" s="234">
        <v>6</v>
      </c>
      <c r="B14" s="23"/>
      <c r="C14" s="234"/>
      <c r="D14" s="318"/>
      <c r="E14" s="318"/>
      <c r="F14" s="258"/>
      <c r="G14" s="247">
        <f t="shared" si="0"/>
        <v>0</v>
      </c>
      <c r="H14" s="258"/>
      <c r="I14" s="258"/>
      <c r="J14" s="258"/>
      <c r="K14" s="247">
        <f t="shared" si="1"/>
        <v>0</v>
      </c>
      <c r="L14" s="247">
        <f t="shared" si="2"/>
        <v>0</v>
      </c>
      <c r="M14" s="258"/>
      <c r="N14" s="247">
        <f t="shared" si="3"/>
        <v>0</v>
      </c>
      <c r="O14" s="258"/>
      <c r="P14" s="317"/>
      <c r="Q14" s="247">
        <f t="shared" si="4"/>
        <v>0</v>
      </c>
      <c r="R14" s="258"/>
      <c r="S14" s="247">
        <f t="shared" si="5"/>
        <v>0</v>
      </c>
      <c r="T14" s="247">
        <f t="shared" si="6"/>
        <v>0</v>
      </c>
      <c r="U14" s="247">
        <f t="shared" si="7"/>
        <v>0</v>
      </c>
      <c r="V14" s="258"/>
      <c r="W14" s="258"/>
      <c r="X14" s="247">
        <f t="shared" si="8"/>
        <v>0</v>
      </c>
      <c r="Y14" s="247">
        <f t="shared" si="9"/>
        <v>0</v>
      </c>
      <c r="Z14" s="234"/>
      <c r="AA14" s="234"/>
    </row>
    <row r="15" spans="1:29" s="9" customFormat="1" ht="20.100000000000001" customHeight="1">
      <c r="A15" s="234">
        <v>7</v>
      </c>
      <c r="B15" s="23"/>
      <c r="C15" s="234"/>
      <c r="D15" s="318"/>
      <c r="E15" s="318"/>
      <c r="F15" s="258"/>
      <c r="G15" s="247">
        <f t="shared" si="0"/>
        <v>0</v>
      </c>
      <c r="H15" s="258"/>
      <c r="I15" s="258"/>
      <c r="J15" s="258"/>
      <c r="K15" s="247">
        <f t="shared" si="1"/>
        <v>0</v>
      </c>
      <c r="L15" s="247">
        <f t="shared" si="2"/>
        <v>0</v>
      </c>
      <c r="M15" s="258"/>
      <c r="N15" s="247">
        <f t="shared" si="3"/>
        <v>0</v>
      </c>
      <c r="O15" s="258"/>
      <c r="P15" s="317"/>
      <c r="Q15" s="247">
        <f t="shared" si="4"/>
        <v>0</v>
      </c>
      <c r="R15" s="258"/>
      <c r="S15" s="247">
        <f t="shared" si="5"/>
        <v>0</v>
      </c>
      <c r="T15" s="247">
        <f t="shared" si="6"/>
        <v>0</v>
      </c>
      <c r="U15" s="247">
        <f t="shared" si="7"/>
        <v>0</v>
      </c>
      <c r="V15" s="258"/>
      <c r="W15" s="258"/>
      <c r="X15" s="247">
        <f t="shared" si="8"/>
        <v>0</v>
      </c>
      <c r="Y15" s="247">
        <f t="shared" si="9"/>
        <v>0</v>
      </c>
      <c r="Z15" s="234"/>
      <c r="AA15" s="234"/>
    </row>
    <row r="16" spans="1:29" s="9" customFormat="1" ht="20.100000000000001" customHeight="1">
      <c r="A16" s="234">
        <v>8</v>
      </c>
      <c r="B16" s="23"/>
      <c r="C16" s="234"/>
      <c r="D16" s="318"/>
      <c r="E16" s="318"/>
      <c r="F16" s="258"/>
      <c r="G16" s="247">
        <f t="shared" si="0"/>
        <v>0</v>
      </c>
      <c r="H16" s="258"/>
      <c r="I16" s="258"/>
      <c r="J16" s="258"/>
      <c r="K16" s="247">
        <f t="shared" si="1"/>
        <v>0</v>
      </c>
      <c r="L16" s="247">
        <f t="shared" si="2"/>
        <v>0</v>
      </c>
      <c r="M16" s="258"/>
      <c r="N16" s="247">
        <f t="shared" si="3"/>
        <v>0</v>
      </c>
      <c r="O16" s="258"/>
      <c r="P16" s="317"/>
      <c r="Q16" s="247">
        <f t="shared" si="4"/>
        <v>0</v>
      </c>
      <c r="R16" s="258"/>
      <c r="S16" s="247">
        <f t="shared" si="5"/>
        <v>0</v>
      </c>
      <c r="T16" s="247">
        <f t="shared" si="6"/>
        <v>0</v>
      </c>
      <c r="U16" s="247">
        <f t="shared" si="7"/>
        <v>0</v>
      </c>
      <c r="V16" s="258"/>
      <c r="W16" s="258"/>
      <c r="X16" s="247">
        <f t="shared" si="8"/>
        <v>0</v>
      </c>
      <c r="Y16" s="247">
        <f t="shared" si="9"/>
        <v>0</v>
      </c>
      <c r="Z16" s="234"/>
      <c r="AA16" s="234"/>
    </row>
    <row r="17" spans="1:27" s="9" customFormat="1" ht="20.100000000000001" customHeight="1">
      <c r="A17" s="234">
        <v>9</v>
      </c>
      <c r="B17" s="23"/>
      <c r="C17" s="234"/>
      <c r="D17" s="318"/>
      <c r="E17" s="318"/>
      <c r="F17" s="258"/>
      <c r="G17" s="247">
        <f t="shared" si="0"/>
        <v>0</v>
      </c>
      <c r="H17" s="258"/>
      <c r="I17" s="258"/>
      <c r="J17" s="258"/>
      <c r="K17" s="247">
        <f t="shared" si="1"/>
        <v>0</v>
      </c>
      <c r="L17" s="247">
        <f t="shared" si="2"/>
        <v>0</v>
      </c>
      <c r="M17" s="258"/>
      <c r="N17" s="247">
        <f t="shared" si="3"/>
        <v>0</v>
      </c>
      <c r="O17" s="258"/>
      <c r="P17" s="317"/>
      <c r="Q17" s="247">
        <f t="shared" si="4"/>
        <v>0</v>
      </c>
      <c r="R17" s="258"/>
      <c r="S17" s="247">
        <f t="shared" si="5"/>
        <v>0</v>
      </c>
      <c r="T17" s="247">
        <f t="shared" si="6"/>
        <v>0</v>
      </c>
      <c r="U17" s="247">
        <f t="shared" si="7"/>
        <v>0</v>
      </c>
      <c r="V17" s="258"/>
      <c r="W17" s="258"/>
      <c r="X17" s="247">
        <f t="shared" si="8"/>
        <v>0</v>
      </c>
      <c r="Y17" s="247">
        <f t="shared" si="9"/>
        <v>0</v>
      </c>
      <c r="Z17" s="234"/>
      <c r="AA17" s="234"/>
    </row>
    <row r="18" spans="1:27" s="9" customFormat="1" ht="20.100000000000001" customHeight="1">
      <c r="A18" s="234">
        <v>10</v>
      </c>
      <c r="B18" s="23"/>
      <c r="C18" s="234"/>
      <c r="D18" s="318"/>
      <c r="E18" s="318"/>
      <c r="F18" s="258"/>
      <c r="G18" s="247">
        <f t="shared" si="0"/>
        <v>0</v>
      </c>
      <c r="H18" s="258"/>
      <c r="I18" s="258"/>
      <c r="J18" s="258"/>
      <c r="K18" s="247">
        <f t="shared" si="1"/>
        <v>0</v>
      </c>
      <c r="L18" s="247">
        <f t="shared" si="2"/>
        <v>0</v>
      </c>
      <c r="M18" s="258"/>
      <c r="N18" s="247">
        <f t="shared" si="3"/>
        <v>0</v>
      </c>
      <c r="O18" s="258"/>
      <c r="P18" s="317"/>
      <c r="Q18" s="247">
        <f t="shared" si="4"/>
        <v>0</v>
      </c>
      <c r="R18" s="258"/>
      <c r="S18" s="247">
        <f t="shared" si="5"/>
        <v>0</v>
      </c>
      <c r="T18" s="247">
        <f t="shared" si="6"/>
        <v>0</v>
      </c>
      <c r="U18" s="247">
        <f t="shared" si="7"/>
        <v>0</v>
      </c>
      <c r="V18" s="258"/>
      <c r="W18" s="258"/>
      <c r="X18" s="247">
        <f t="shared" si="8"/>
        <v>0</v>
      </c>
      <c r="Y18" s="247">
        <f t="shared" si="9"/>
        <v>0</v>
      </c>
      <c r="Z18" s="234"/>
      <c r="AA18" s="234"/>
    </row>
    <row r="19" spans="1:27" s="9" customFormat="1" ht="20.100000000000001" customHeight="1">
      <c r="A19" s="521" t="s">
        <v>57</v>
      </c>
      <c r="B19" s="521"/>
      <c r="C19" s="521"/>
      <c r="D19" s="521"/>
      <c r="E19" s="521"/>
      <c r="F19" s="247">
        <f>SUM(F9:F18)</f>
        <v>0</v>
      </c>
      <c r="G19" s="247">
        <f t="shared" si="0"/>
        <v>0</v>
      </c>
      <c r="H19" s="247">
        <f>SUM(H9:H18)</f>
        <v>0</v>
      </c>
      <c r="I19" s="247">
        <f>SUM(I9:I18)</f>
        <v>0</v>
      </c>
      <c r="J19" s="247">
        <f>SUM(J9:J18)</f>
        <v>0</v>
      </c>
      <c r="K19" s="247">
        <f t="shared" si="1"/>
        <v>0</v>
      </c>
      <c r="L19" s="247">
        <f>SUM(L9:L18)</f>
        <v>0</v>
      </c>
      <c r="M19" s="247">
        <f>SUM(M9:M18)</f>
        <v>0</v>
      </c>
      <c r="N19" s="247">
        <f t="shared" si="3"/>
        <v>0</v>
      </c>
      <c r="O19" s="247">
        <f>SUM(O9:O18)</f>
        <v>0</v>
      </c>
      <c r="P19" s="247">
        <f>SUM(P9:P18)</f>
        <v>0</v>
      </c>
      <c r="Q19" s="247">
        <f t="shared" si="4"/>
        <v>0</v>
      </c>
      <c r="R19" s="247">
        <f>SUM(R9:R18)</f>
        <v>0</v>
      </c>
      <c r="S19" s="247">
        <f>SUM(S9:S18)</f>
        <v>0</v>
      </c>
      <c r="T19" s="247">
        <f t="shared" si="6"/>
        <v>0</v>
      </c>
      <c r="U19" s="247">
        <f>SUM(U9:U18)</f>
        <v>0</v>
      </c>
      <c r="V19" s="247">
        <f>SUM(V9:V18)</f>
        <v>0</v>
      </c>
      <c r="W19" s="247">
        <f>SUM(W9:W18)</f>
        <v>0</v>
      </c>
      <c r="X19" s="247">
        <f t="shared" si="8"/>
        <v>0</v>
      </c>
      <c r="Y19" s="247">
        <f>SUM(Y9:Y18)</f>
        <v>0</v>
      </c>
      <c r="Z19" s="279"/>
      <c r="AA19" s="279"/>
    </row>
    <row r="20" spans="1:27" s="59" customFormat="1" ht="20.100000000000001" customHeight="1">
      <c r="A20" s="316" t="s">
        <v>550</v>
      </c>
      <c r="B20" s="65"/>
      <c r="C20" s="65"/>
      <c r="D20" s="65"/>
      <c r="E20" s="65"/>
      <c r="F20" s="55"/>
      <c r="G20" s="55"/>
      <c r="H20" s="55"/>
      <c r="I20" s="55"/>
      <c r="J20" s="55"/>
      <c r="K20" s="55"/>
      <c r="L20" s="55"/>
      <c r="M20" s="55"/>
      <c r="N20" s="55"/>
      <c r="O20" s="55"/>
      <c r="P20" s="55"/>
      <c r="Q20" s="55"/>
      <c r="R20" s="55"/>
      <c r="S20" s="55"/>
      <c r="T20" s="55"/>
      <c r="U20" s="55"/>
      <c r="V20" s="55"/>
      <c r="W20" s="55"/>
      <c r="X20" s="55"/>
      <c r="Y20" s="55"/>
    </row>
    <row r="21" spans="1:27" s="9" customFormat="1" ht="20.100000000000001" customHeight="1">
      <c r="A21" s="542" t="s">
        <v>98</v>
      </c>
      <c r="B21" s="542" t="s">
        <v>99</v>
      </c>
      <c r="C21" s="542" t="s">
        <v>100</v>
      </c>
      <c r="D21" s="542" t="s">
        <v>532</v>
      </c>
      <c r="E21" s="542" t="s">
        <v>551</v>
      </c>
      <c r="F21" s="521" t="s">
        <v>552</v>
      </c>
      <c r="G21" s="521"/>
      <c r="H21" s="521"/>
      <c r="I21" s="521"/>
      <c r="J21" s="521" t="s">
        <v>553</v>
      </c>
      <c r="K21" s="521"/>
      <c r="L21" s="521" t="s">
        <v>394</v>
      </c>
      <c r="M21" s="521"/>
      <c r="N21" s="521" t="s">
        <v>547</v>
      </c>
      <c r="O21" s="521"/>
      <c r="P21" s="521" t="s">
        <v>554</v>
      </c>
      <c r="Q21" s="521"/>
      <c r="R21" s="521"/>
      <c r="S21" s="521"/>
      <c r="T21" s="521" t="s">
        <v>555</v>
      </c>
      <c r="U21" s="521" t="s">
        <v>445</v>
      </c>
      <c r="V21" s="55"/>
      <c r="W21" s="55"/>
      <c r="X21" s="55"/>
      <c r="Y21" s="55"/>
      <c r="Z21" s="59"/>
      <c r="AA21" s="59"/>
    </row>
    <row r="22" spans="1:27" s="9" customFormat="1" ht="20.100000000000001" customHeight="1">
      <c r="A22" s="542"/>
      <c r="B22" s="542"/>
      <c r="C22" s="542"/>
      <c r="D22" s="542"/>
      <c r="E22" s="542"/>
      <c r="F22" s="236" t="s">
        <v>556</v>
      </c>
      <c r="G22" s="235" t="s">
        <v>557</v>
      </c>
      <c r="H22" s="235" t="s">
        <v>558</v>
      </c>
      <c r="I22" s="235" t="s">
        <v>559</v>
      </c>
      <c r="J22" s="236" t="s">
        <v>394</v>
      </c>
      <c r="K22" s="236" t="s">
        <v>560</v>
      </c>
      <c r="L22" s="235" t="s">
        <v>561</v>
      </c>
      <c r="M22" s="235" t="s">
        <v>396</v>
      </c>
      <c r="N22" s="235" t="s">
        <v>398</v>
      </c>
      <c r="O22" s="235" t="s">
        <v>396</v>
      </c>
      <c r="P22" s="236" t="s">
        <v>562</v>
      </c>
      <c r="Q22" s="235" t="s">
        <v>563</v>
      </c>
      <c r="R22" s="235" t="s">
        <v>564</v>
      </c>
      <c r="S22" s="235" t="s">
        <v>559</v>
      </c>
      <c r="T22" s="521"/>
      <c r="U22" s="521"/>
      <c r="V22" s="55"/>
      <c r="W22" s="55"/>
      <c r="X22" s="55"/>
      <c r="Y22" s="55"/>
      <c r="Z22" s="59"/>
      <c r="AA22" s="59"/>
    </row>
    <row r="23" spans="1:27" s="9" customFormat="1" ht="20.100000000000001" customHeight="1">
      <c r="A23" s="279">
        <f t="shared" ref="A23:E32" si="10">A9</f>
        <v>1</v>
      </c>
      <c r="B23" s="321">
        <f t="shared" si="10"/>
        <v>0</v>
      </c>
      <c r="C23" s="321">
        <f t="shared" si="10"/>
        <v>0</v>
      </c>
      <c r="D23" s="322">
        <f t="shared" si="10"/>
        <v>0</v>
      </c>
      <c r="E23" s="322">
        <f t="shared" si="10"/>
        <v>0</v>
      </c>
      <c r="F23" s="258"/>
      <c r="G23" s="258"/>
      <c r="H23" s="258"/>
      <c r="I23" s="280">
        <f t="shared" ref="I23:I32" si="11">F23+G23-H23</f>
        <v>0</v>
      </c>
      <c r="J23" s="258"/>
      <c r="K23" s="258"/>
      <c r="L23" s="258"/>
      <c r="M23" s="258"/>
      <c r="N23" s="258"/>
      <c r="O23" s="258"/>
      <c r="P23" s="247">
        <f>F23+J23+K23</f>
        <v>0</v>
      </c>
      <c r="Q23" s="247">
        <f>G23+L23+N23</f>
        <v>0</v>
      </c>
      <c r="R23" s="247">
        <f>H23+M23+O23</f>
        <v>0</v>
      </c>
      <c r="S23" s="280">
        <f>P23+Q23-R23</f>
        <v>0</v>
      </c>
      <c r="T23" s="22"/>
      <c r="U23" s="22"/>
      <c r="V23" s="55"/>
      <c r="W23" s="55"/>
      <c r="X23" s="55"/>
      <c r="Y23" s="55"/>
      <c r="Z23" s="59"/>
      <c r="AA23" s="59"/>
    </row>
    <row r="24" spans="1:27" s="9" customFormat="1" ht="20.100000000000001" customHeight="1">
      <c r="A24" s="279">
        <f t="shared" si="10"/>
        <v>2</v>
      </c>
      <c r="B24" s="321">
        <f t="shared" si="10"/>
        <v>0</v>
      </c>
      <c r="C24" s="321">
        <f t="shared" si="10"/>
        <v>0</v>
      </c>
      <c r="D24" s="322">
        <f t="shared" si="10"/>
        <v>0</v>
      </c>
      <c r="E24" s="322">
        <f t="shared" si="10"/>
        <v>0</v>
      </c>
      <c r="F24" s="258"/>
      <c r="G24" s="258"/>
      <c r="H24" s="258"/>
      <c r="I24" s="280">
        <f t="shared" si="11"/>
        <v>0</v>
      </c>
      <c r="J24" s="258"/>
      <c r="K24" s="258"/>
      <c r="L24" s="258"/>
      <c r="M24" s="258"/>
      <c r="N24" s="258"/>
      <c r="O24" s="258"/>
      <c r="P24" s="247">
        <f t="shared" ref="P24:P32" si="12">F24+J24+K24</f>
        <v>0</v>
      </c>
      <c r="Q24" s="247">
        <f t="shared" ref="Q24:R32" si="13">G24+L24+N24</f>
        <v>0</v>
      </c>
      <c r="R24" s="247">
        <f t="shared" si="13"/>
        <v>0</v>
      </c>
      <c r="S24" s="280">
        <f t="shared" ref="S24:S32" si="14">P24+Q24-R24</f>
        <v>0</v>
      </c>
      <c r="T24" s="22"/>
      <c r="U24" s="22"/>
      <c r="V24" s="55"/>
      <c r="W24" s="55"/>
      <c r="X24" s="55"/>
      <c r="Y24" s="55"/>
      <c r="Z24" s="59"/>
      <c r="AA24" s="59"/>
    </row>
    <row r="25" spans="1:27" s="9" customFormat="1" ht="20.100000000000001" customHeight="1">
      <c r="A25" s="279">
        <f t="shared" si="10"/>
        <v>3</v>
      </c>
      <c r="B25" s="321">
        <f t="shared" si="10"/>
        <v>0</v>
      </c>
      <c r="C25" s="321">
        <f t="shared" si="10"/>
        <v>0</v>
      </c>
      <c r="D25" s="322">
        <f t="shared" si="10"/>
        <v>0</v>
      </c>
      <c r="E25" s="322">
        <f t="shared" si="10"/>
        <v>0</v>
      </c>
      <c r="F25" s="258"/>
      <c r="G25" s="258"/>
      <c r="H25" s="258"/>
      <c r="I25" s="280">
        <f t="shared" si="11"/>
        <v>0</v>
      </c>
      <c r="J25" s="258"/>
      <c r="K25" s="258"/>
      <c r="L25" s="258"/>
      <c r="M25" s="258"/>
      <c r="N25" s="258"/>
      <c r="O25" s="258"/>
      <c r="P25" s="247">
        <f t="shared" si="12"/>
        <v>0</v>
      </c>
      <c r="Q25" s="247">
        <f t="shared" si="13"/>
        <v>0</v>
      </c>
      <c r="R25" s="247">
        <f t="shared" si="13"/>
        <v>0</v>
      </c>
      <c r="S25" s="280">
        <f t="shared" si="14"/>
        <v>0</v>
      </c>
      <c r="T25" s="22"/>
      <c r="U25" s="22"/>
      <c r="V25" s="55"/>
      <c r="W25" s="55"/>
      <c r="X25" s="55"/>
      <c r="Y25" s="55"/>
      <c r="Z25" s="59"/>
      <c r="AA25" s="59"/>
    </row>
    <row r="26" spans="1:27" s="9" customFormat="1" ht="20.100000000000001" customHeight="1">
      <c r="A26" s="279">
        <f t="shared" si="10"/>
        <v>4</v>
      </c>
      <c r="B26" s="321">
        <f t="shared" si="10"/>
        <v>0</v>
      </c>
      <c r="C26" s="321">
        <f t="shared" si="10"/>
        <v>0</v>
      </c>
      <c r="D26" s="322">
        <f t="shared" si="10"/>
        <v>0</v>
      </c>
      <c r="E26" s="322">
        <f t="shared" si="10"/>
        <v>0</v>
      </c>
      <c r="F26" s="258"/>
      <c r="G26" s="258"/>
      <c r="H26" s="258"/>
      <c r="I26" s="280">
        <f t="shared" si="11"/>
        <v>0</v>
      </c>
      <c r="J26" s="258"/>
      <c r="K26" s="258"/>
      <c r="L26" s="258"/>
      <c r="M26" s="258"/>
      <c r="N26" s="258"/>
      <c r="O26" s="258"/>
      <c r="P26" s="247">
        <f t="shared" si="12"/>
        <v>0</v>
      </c>
      <c r="Q26" s="247">
        <f t="shared" si="13"/>
        <v>0</v>
      </c>
      <c r="R26" s="247">
        <f t="shared" si="13"/>
        <v>0</v>
      </c>
      <c r="S26" s="280">
        <f t="shared" si="14"/>
        <v>0</v>
      </c>
      <c r="T26" s="22"/>
      <c r="U26" s="22"/>
      <c r="V26" s="55"/>
      <c r="W26" s="55"/>
      <c r="X26" s="55"/>
      <c r="Y26" s="55"/>
      <c r="Z26" s="59"/>
      <c r="AA26" s="59"/>
    </row>
    <row r="27" spans="1:27" s="9" customFormat="1" ht="20.100000000000001" customHeight="1">
      <c r="A27" s="279">
        <f t="shared" si="10"/>
        <v>5</v>
      </c>
      <c r="B27" s="321">
        <f t="shared" si="10"/>
        <v>0</v>
      </c>
      <c r="C27" s="321">
        <f t="shared" si="10"/>
        <v>0</v>
      </c>
      <c r="D27" s="322">
        <f t="shared" si="10"/>
        <v>0</v>
      </c>
      <c r="E27" s="322">
        <f t="shared" si="10"/>
        <v>0</v>
      </c>
      <c r="F27" s="258"/>
      <c r="G27" s="258"/>
      <c r="H27" s="258"/>
      <c r="I27" s="280">
        <f t="shared" si="11"/>
        <v>0</v>
      </c>
      <c r="J27" s="258"/>
      <c r="K27" s="258"/>
      <c r="L27" s="258"/>
      <c r="M27" s="258"/>
      <c r="N27" s="258"/>
      <c r="O27" s="258"/>
      <c r="P27" s="247">
        <f t="shared" si="12"/>
        <v>0</v>
      </c>
      <c r="Q27" s="247">
        <f t="shared" si="13"/>
        <v>0</v>
      </c>
      <c r="R27" s="247">
        <f t="shared" si="13"/>
        <v>0</v>
      </c>
      <c r="S27" s="280">
        <f t="shared" si="14"/>
        <v>0</v>
      </c>
      <c r="T27" s="22"/>
      <c r="U27" s="22"/>
      <c r="V27" s="55"/>
      <c r="W27" s="55"/>
      <c r="X27" s="55"/>
      <c r="Y27" s="55"/>
      <c r="Z27" s="59"/>
      <c r="AA27" s="59"/>
    </row>
    <row r="28" spans="1:27" s="9" customFormat="1" ht="20.100000000000001" customHeight="1">
      <c r="A28" s="279">
        <f t="shared" si="10"/>
        <v>6</v>
      </c>
      <c r="B28" s="321">
        <f t="shared" si="10"/>
        <v>0</v>
      </c>
      <c r="C28" s="321">
        <f t="shared" si="10"/>
        <v>0</v>
      </c>
      <c r="D28" s="322">
        <f t="shared" si="10"/>
        <v>0</v>
      </c>
      <c r="E28" s="322">
        <f t="shared" si="10"/>
        <v>0</v>
      </c>
      <c r="F28" s="258"/>
      <c r="G28" s="258"/>
      <c r="H28" s="258"/>
      <c r="I28" s="280">
        <f t="shared" si="11"/>
        <v>0</v>
      </c>
      <c r="J28" s="258"/>
      <c r="K28" s="258"/>
      <c r="L28" s="258"/>
      <c r="M28" s="258"/>
      <c r="N28" s="258"/>
      <c r="O28" s="258"/>
      <c r="P28" s="247">
        <f t="shared" si="12"/>
        <v>0</v>
      </c>
      <c r="Q28" s="247">
        <f t="shared" si="13"/>
        <v>0</v>
      </c>
      <c r="R28" s="247">
        <f t="shared" si="13"/>
        <v>0</v>
      </c>
      <c r="S28" s="280">
        <f t="shared" si="14"/>
        <v>0</v>
      </c>
      <c r="T28" s="22"/>
      <c r="U28" s="22"/>
      <c r="V28" s="55"/>
      <c r="W28" s="55"/>
      <c r="X28" s="55"/>
      <c r="Y28" s="55"/>
      <c r="Z28" s="59"/>
      <c r="AA28" s="59"/>
    </row>
    <row r="29" spans="1:27" s="9" customFormat="1" ht="20.100000000000001" customHeight="1">
      <c r="A29" s="279">
        <f t="shared" si="10"/>
        <v>7</v>
      </c>
      <c r="B29" s="321">
        <f t="shared" si="10"/>
        <v>0</v>
      </c>
      <c r="C29" s="321">
        <f t="shared" si="10"/>
        <v>0</v>
      </c>
      <c r="D29" s="322">
        <f t="shared" si="10"/>
        <v>0</v>
      </c>
      <c r="E29" s="322">
        <f t="shared" si="10"/>
        <v>0</v>
      </c>
      <c r="F29" s="258"/>
      <c r="G29" s="258"/>
      <c r="H29" s="258"/>
      <c r="I29" s="280">
        <f t="shared" si="11"/>
        <v>0</v>
      </c>
      <c r="J29" s="258"/>
      <c r="K29" s="258"/>
      <c r="L29" s="258"/>
      <c r="M29" s="258"/>
      <c r="N29" s="258"/>
      <c r="O29" s="258"/>
      <c r="P29" s="247">
        <f t="shared" si="12"/>
        <v>0</v>
      </c>
      <c r="Q29" s="247">
        <f t="shared" si="13"/>
        <v>0</v>
      </c>
      <c r="R29" s="247">
        <f t="shared" si="13"/>
        <v>0</v>
      </c>
      <c r="S29" s="280">
        <f t="shared" si="14"/>
        <v>0</v>
      </c>
      <c r="T29" s="22"/>
      <c r="U29" s="22"/>
      <c r="V29" s="55"/>
      <c r="W29" s="55"/>
      <c r="X29" s="55"/>
      <c r="Y29" s="55"/>
      <c r="Z29" s="59"/>
      <c r="AA29" s="59"/>
    </row>
    <row r="30" spans="1:27" s="9" customFormat="1" ht="20.100000000000001" customHeight="1">
      <c r="A30" s="279">
        <f t="shared" si="10"/>
        <v>8</v>
      </c>
      <c r="B30" s="321">
        <f t="shared" si="10"/>
        <v>0</v>
      </c>
      <c r="C30" s="321">
        <f t="shared" si="10"/>
        <v>0</v>
      </c>
      <c r="D30" s="322">
        <f t="shared" si="10"/>
        <v>0</v>
      </c>
      <c r="E30" s="322">
        <f t="shared" si="10"/>
        <v>0</v>
      </c>
      <c r="F30" s="258"/>
      <c r="G30" s="258"/>
      <c r="H30" s="258"/>
      <c r="I30" s="280">
        <f t="shared" si="11"/>
        <v>0</v>
      </c>
      <c r="J30" s="258"/>
      <c r="K30" s="258"/>
      <c r="L30" s="258"/>
      <c r="M30" s="258"/>
      <c r="N30" s="258"/>
      <c r="O30" s="258"/>
      <c r="P30" s="247">
        <f t="shared" si="12"/>
        <v>0</v>
      </c>
      <c r="Q30" s="247">
        <f t="shared" si="13"/>
        <v>0</v>
      </c>
      <c r="R30" s="247">
        <f>H30+M30+O30</f>
        <v>0</v>
      </c>
      <c r="S30" s="280">
        <f t="shared" si="14"/>
        <v>0</v>
      </c>
      <c r="T30" s="22"/>
      <c r="U30" s="22"/>
      <c r="V30" s="55"/>
      <c r="W30" s="55"/>
      <c r="X30" s="55"/>
      <c r="Y30" s="55"/>
      <c r="Z30" s="59"/>
      <c r="AA30" s="59"/>
    </row>
    <row r="31" spans="1:27" s="9" customFormat="1" ht="20.100000000000001" customHeight="1">
      <c r="A31" s="279">
        <f t="shared" si="10"/>
        <v>9</v>
      </c>
      <c r="B31" s="321">
        <f t="shared" si="10"/>
        <v>0</v>
      </c>
      <c r="C31" s="321">
        <f t="shared" si="10"/>
        <v>0</v>
      </c>
      <c r="D31" s="322">
        <f t="shared" si="10"/>
        <v>0</v>
      </c>
      <c r="E31" s="322">
        <f t="shared" si="10"/>
        <v>0</v>
      </c>
      <c r="F31" s="258"/>
      <c r="G31" s="258"/>
      <c r="H31" s="258"/>
      <c r="I31" s="280">
        <f t="shared" si="11"/>
        <v>0</v>
      </c>
      <c r="J31" s="258"/>
      <c r="K31" s="258"/>
      <c r="L31" s="258"/>
      <c r="M31" s="258"/>
      <c r="N31" s="258"/>
      <c r="O31" s="258"/>
      <c r="P31" s="247">
        <f t="shared" si="12"/>
        <v>0</v>
      </c>
      <c r="Q31" s="247">
        <f t="shared" si="13"/>
        <v>0</v>
      </c>
      <c r="R31" s="247">
        <f t="shared" si="13"/>
        <v>0</v>
      </c>
      <c r="S31" s="280">
        <f t="shared" si="14"/>
        <v>0</v>
      </c>
      <c r="T31" s="22"/>
      <c r="U31" s="22"/>
      <c r="V31" s="55"/>
      <c r="W31" s="55"/>
      <c r="X31" s="55"/>
      <c r="Y31" s="55"/>
      <c r="Z31" s="59"/>
      <c r="AA31" s="59"/>
    </row>
    <row r="32" spans="1:27" s="9" customFormat="1" ht="20.100000000000001" customHeight="1">
      <c r="A32" s="279">
        <f t="shared" si="10"/>
        <v>10</v>
      </c>
      <c r="B32" s="321">
        <f t="shared" si="10"/>
        <v>0</v>
      </c>
      <c r="C32" s="321">
        <f t="shared" si="10"/>
        <v>0</v>
      </c>
      <c r="D32" s="322">
        <f t="shared" si="10"/>
        <v>0</v>
      </c>
      <c r="E32" s="322">
        <f t="shared" si="10"/>
        <v>0</v>
      </c>
      <c r="F32" s="258"/>
      <c r="G32" s="258"/>
      <c r="H32" s="258"/>
      <c r="I32" s="280">
        <f t="shared" si="11"/>
        <v>0</v>
      </c>
      <c r="J32" s="258"/>
      <c r="K32" s="258"/>
      <c r="L32" s="258"/>
      <c r="M32" s="258"/>
      <c r="N32" s="258"/>
      <c r="O32" s="258"/>
      <c r="P32" s="247">
        <f t="shared" si="12"/>
        <v>0</v>
      </c>
      <c r="Q32" s="247">
        <f t="shared" si="13"/>
        <v>0</v>
      </c>
      <c r="R32" s="247">
        <f t="shared" si="13"/>
        <v>0</v>
      </c>
      <c r="S32" s="280">
        <f t="shared" si="14"/>
        <v>0</v>
      </c>
      <c r="T32" s="22"/>
      <c r="U32" s="22"/>
      <c r="V32" s="55"/>
      <c r="W32" s="55"/>
      <c r="X32" s="55"/>
      <c r="Y32" s="55"/>
      <c r="Z32" s="59"/>
      <c r="AA32" s="59"/>
    </row>
    <row r="33" spans="1:35" s="9" customFormat="1" ht="20.100000000000001" customHeight="1">
      <c r="A33" s="521" t="str">
        <f>A19</f>
        <v>合计</v>
      </c>
      <c r="B33" s="521"/>
      <c r="C33" s="266"/>
      <c r="D33" s="266"/>
      <c r="E33" s="266"/>
      <c r="F33" s="247">
        <f>SUM(F23:F32)</f>
        <v>0</v>
      </c>
      <c r="G33" s="247">
        <f t="shared" ref="G33:S33" si="15">SUM(G23:G32)</f>
        <v>0</v>
      </c>
      <c r="H33" s="247">
        <f t="shared" si="15"/>
        <v>0</v>
      </c>
      <c r="I33" s="247">
        <f t="shared" si="15"/>
        <v>0</v>
      </c>
      <c r="J33" s="247">
        <f t="shared" si="15"/>
        <v>0</v>
      </c>
      <c r="K33" s="247">
        <f t="shared" si="15"/>
        <v>0</v>
      </c>
      <c r="L33" s="247">
        <f t="shared" si="15"/>
        <v>0</v>
      </c>
      <c r="M33" s="247">
        <f t="shared" si="15"/>
        <v>0</v>
      </c>
      <c r="N33" s="247">
        <f t="shared" si="15"/>
        <v>0</v>
      </c>
      <c r="O33" s="247">
        <f t="shared" si="15"/>
        <v>0</v>
      </c>
      <c r="P33" s="247">
        <f t="shared" si="15"/>
        <v>0</v>
      </c>
      <c r="Q33" s="247">
        <f t="shared" si="15"/>
        <v>0</v>
      </c>
      <c r="R33" s="247">
        <f t="shared" si="15"/>
        <v>0</v>
      </c>
      <c r="S33" s="247">
        <f t="shared" si="15"/>
        <v>0</v>
      </c>
      <c r="T33" s="266"/>
      <c r="U33" s="266"/>
      <c r="V33" s="55"/>
      <c r="W33" s="55"/>
      <c r="X33" s="55"/>
      <c r="Y33" s="55"/>
      <c r="Z33" s="59"/>
      <c r="AA33" s="59"/>
    </row>
    <row r="34" spans="1:35" s="59" customFormat="1" ht="20.100000000000001" customHeight="1">
      <c r="A34" s="316" t="s">
        <v>565</v>
      </c>
      <c r="B34" s="65"/>
      <c r="F34" s="55"/>
      <c r="G34" s="55"/>
      <c r="H34" s="55"/>
      <c r="I34" s="55"/>
      <c r="J34" s="55"/>
      <c r="K34" s="55"/>
      <c r="L34" s="55"/>
      <c r="M34" s="55"/>
      <c r="N34" s="55"/>
      <c r="O34" s="55"/>
      <c r="P34" s="55"/>
      <c r="Q34" s="55"/>
      <c r="R34" s="55"/>
      <c r="S34" s="55"/>
      <c r="V34" s="55"/>
      <c r="W34" s="55"/>
      <c r="X34" s="55"/>
      <c r="Y34" s="55"/>
    </row>
    <row r="35" spans="1:35" s="9" customFormat="1" ht="20.100000000000001" customHeight="1">
      <c r="A35" s="542" t="s">
        <v>98</v>
      </c>
      <c r="B35" s="542" t="s">
        <v>99</v>
      </c>
      <c r="C35" s="542" t="s">
        <v>100</v>
      </c>
      <c r="D35" s="542" t="s">
        <v>532</v>
      </c>
      <c r="E35" s="542" t="s">
        <v>551</v>
      </c>
      <c r="F35" s="501" t="s">
        <v>566</v>
      </c>
      <c r="G35" s="501"/>
      <c r="H35" s="501"/>
      <c r="I35" s="501" t="s">
        <v>567</v>
      </c>
      <c r="J35" s="501"/>
      <c r="K35" s="501"/>
      <c r="L35" s="501" t="s">
        <v>568</v>
      </c>
      <c r="M35" s="501"/>
      <c r="N35" s="501"/>
      <c r="O35" s="501" t="s">
        <v>569</v>
      </c>
      <c r="P35" s="501"/>
      <c r="Q35" s="501"/>
      <c r="R35" s="55"/>
      <c r="S35" s="55"/>
      <c r="T35" s="55"/>
      <c r="U35" s="55"/>
      <c r="V35" s="55"/>
      <c r="W35" s="55"/>
      <c r="X35" s="55"/>
      <c r="Y35" s="55"/>
      <c r="Z35" s="55"/>
      <c r="AA35" s="55"/>
      <c r="AB35" s="59"/>
      <c r="AC35" s="59"/>
      <c r="AD35" s="55"/>
      <c r="AE35" s="55"/>
      <c r="AF35" s="55"/>
      <c r="AG35" s="55"/>
      <c r="AH35" s="59"/>
      <c r="AI35" s="59"/>
    </row>
    <row r="36" spans="1:35" s="9" customFormat="1" ht="28.5" customHeight="1">
      <c r="A36" s="542"/>
      <c r="B36" s="542"/>
      <c r="C36" s="542"/>
      <c r="D36" s="542"/>
      <c r="E36" s="542"/>
      <c r="F36" s="235" t="s">
        <v>548</v>
      </c>
      <c r="G36" s="236" t="s">
        <v>544</v>
      </c>
      <c r="H36" s="232" t="s">
        <v>570</v>
      </c>
      <c r="I36" s="235" t="s">
        <v>548</v>
      </c>
      <c r="J36" s="236" t="s">
        <v>544</v>
      </c>
      <c r="K36" s="232" t="s">
        <v>393</v>
      </c>
      <c r="L36" s="235" t="s">
        <v>548</v>
      </c>
      <c r="M36" s="236" t="s">
        <v>544</v>
      </c>
      <c r="N36" s="232" t="s">
        <v>570</v>
      </c>
      <c r="O36" s="235" t="s">
        <v>548</v>
      </c>
      <c r="P36" s="236" t="s">
        <v>544</v>
      </c>
      <c r="Q36" s="232" t="s">
        <v>393</v>
      </c>
      <c r="R36" s="55"/>
      <c r="S36" s="55"/>
      <c r="T36" s="55"/>
      <c r="U36" s="55"/>
      <c r="V36" s="55"/>
      <c r="W36" s="55"/>
      <c r="X36" s="55"/>
      <c r="Y36" s="55"/>
      <c r="Z36" s="55"/>
      <c r="AA36" s="55"/>
      <c r="AB36" s="59"/>
      <c r="AC36" s="59"/>
      <c r="AD36" s="55"/>
      <c r="AE36" s="55"/>
      <c r="AF36" s="55"/>
      <c r="AG36" s="55"/>
      <c r="AH36" s="59"/>
      <c r="AI36" s="59"/>
    </row>
    <row r="37" spans="1:35" s="9" customFormat="1" ht="20.100000000000001" customHeight="1">
      <c r="A37" s="279">
        <f t="shared" ref="A37:F46" si="16">A9</f>
        <v>1</v>
      </c>
      <c r="B37" s="321">
        <f t="shared" si="16"/>
        <v>0</v>
      </c>
      <c r="C37" s="321">
        <f t="shared" si="16"/>
        <v>0</v>
      </c>
      <c r="D37" s="322">
        <f t="shared" si="16"/>
        <v>0</v>
      </c>
      <c r="E37" s="322">
        <f t="shared" si="16"/>
        <v>0</v>
      </c>
      <c r="F37" s="272">
        <f t="shared" si="16"/>
        <v>0</v>
      </c>
      <c r="G37" s="247">
        <f>IF(F37=0,0,H37/F37)</f>
        <v>0</v>
      </c>
      <c r="H37" s="247">
        <f t="shared" ref="H37:H46" si="17">H9-F23</f>
        <v>0</v>
      </c>
      <c r="I37" s="247">
        <f t="shared" ref="I37:I46" si="18">S9</f>
        <v>0</v>
      </c>
      <c r="J37" s="247">
        <f>IF(I37=0,0,K37/I37)</f>
        <v>0</v>
      </c>
      <c r="K37" s="247">
        <f t="shared" ref="K37:K46" si="19">U9-I23</f>
        <v>0</v>
      </c>
      <c r="L37" s="247">
        <f>F37</f>
        <v>0</v>
      </c>
      <c r="M37" s="247">
        <f>IF(L37=0,0,N37/L37)</f>
        <v>0</v>
      </c>
      <c r="N37" s="247">
        <f t="shared" ref="N37:N46" si="20">L9-P23</f>
        <v>0</v>
      </c>
      <c r="O37" s="247">
        <f>I37</f>
        <v>0</v>
      </c>
      <c r="P37" s="247">
        <f>IF(O37=0,0,Q37/O37)</f>
        <v>0</v>
      </c>
      <c r="Q37" s="247">
        <f t="shared" ref="Q37:Q46" si="21">Y9-S23</f>
        <v>0</v>
      </c>
      <c r="R37" s="55"/>
      <c r="S37" s="55"/>
      <c r="T37" s="55"/>
      <c r="U37" s="55"/>
      <c r="V37" s="55"/>
      <c r="W37" s="55"/>
      <c r="X37" s="55"/>
      <c r="Y37" s="55"/>
      <c r="Z37" s="55"/>
      <c r="AA37" s="55"/>
      <c r="AB37" s="59"/>
      <c r="AC37" s="59"/>
      <c r="AD37" s="55"/>
      <c r="AE37" s="55"/>
      <c r="AF37" s="55"/>
      <c r="AG37" s="55"/>
      <c r="AH37" s="59"/>
      <c r="AI37" s="59"/>
    </row>
    <row r="38" spans="1:35" s="9" customFormat="1" ht="20.100000000000001" customHeight="1">
      <c r="A38" s="279">
        <f t="shared" si="16"/>
        <v>2</v>
      </c>
      <c r="B38" s="321">
        <f t="shared" si="16"/>
        <v>0</v>
      </c>
      <c r="C38" s="321">
        <f t="shared" si="16"/>
        <v>0</v>
      </c>
      <c r="D38" s="322">
        <f t="shared" si="16"/>
        <v>0</v>
      </c>
      <c r="E38" s="322">
        <f t="shared" si="16"/>
        <v>0</v>
      </c>
      <c r="F38" s="272">
        <f t="shared" si="16"/>
        <v>0</v>
      </c>
      <c r="G38" s="247">
        <f t="shared" ref="G38:G47" si="22">IF(F38=0,0,H38/F38)</f>
        <v>0</v>
      </c>
      <c r="H38" s="247">
        <f t="shared" si="17"/>
        <v>0</v>
      </c>
      <c r="I38" s="247">
        <f t="shared" si="18"/>
        <v>0</v>
      </c>
      <c r="J38" s="247">
        <f t="shared" ref="J38:J47" si="23">IF(I38=0,0,K38/I38)</f>
        <v>0</v>
      </c>
      <c r="K38" s="247">
        <f t="shared" si="19"/>
        <v>0</v>
      </c>
      <c r="L38" s="247">
        <f t="shared" ref="L38:L46" si="24">F38</f>
        <v>0</v>
      </c>
      <c r="M38" s="247">
        <f t="shared" ref="M38:M47" si="25">IF(L38=0,0,N38/L38)</f>
        <v>0</v>
      </c>
      <c r="N38" s="247">
        <f t="shared" si="20"/>
        <v>0</v>
      </c>
      <c r="O38" s="247">
        <f t="shared" ref="O38:O46" si="26">I38</f>
        <v>0</v>
      </c>
      <c r="P38" s="247">
        <f t="shared" ref="P38:P47" si="27">IF(O38=0,0,Q38/O38)</f>
        <v>0</v>
      </c>
      <c r="Q38" s="247">
        <f t="shared" si="21"/>
        <v>0</v>
      </c>
      <c r="R38" s="55"/>
      <c r="S38" s="55"/>
      <c r="T38" s="55"/>
      <c r="U38" s="55"/>
      <c r="V38" s="55"/>
      <c r="W38" s="55"/>
      <c r="X38" s="55"/>
      <c r="Y38" s="55"/>
      <c r="Z38" s="55"/>
      <c r="AA38" s="55"/>
      <c r="AB38" s="59"/>
      <c r="AC38" s="59"/>
      <c r="AD38" s="55"/>
      <c r="AE38" s="55"/>
      <c r="AF38" s="55"/>
      <c r="AG38" s="55"/>
      <c r="AH38" s="59"/>
      <c r="AI38" s="59"/>
    </row>
    <row r="39" spans="1:35" s="9" customFormat="1" ht="20.100000000000001" customHeight="1">
      <c r="A39" s="279">
        <f t="shared" si="16"/>
        <v>3</v>
      </c>
      <c r="B39" s="321">
        <f t="shared" si="16"/>
        <v>0</v>
      </c>
      <c r="C39" s="321">
        <f t="shared" si="16"/>
        <v>0</v>
      </c>
      <c r="D39" s="322">
        <f t="shared" si="16"/>
        <v>0</v>
      </c>
      <c r="E39" s="322">
        <f t="shared" si="16"/>
        <v>0</v>
      </c>
      <c r="F39" s="272">
        <f t="shared" si="16"/>
        <v>0</v>
      </c>
      <c r="G39" s="247">
        <f t="shared" si="22"/>
        <v>0</v>
      </c>
      <c r="H39" s="247">
        <f t="shared" si="17"/>
        <v>0</v>
      </c>
      <c r="I39" s="247">
        <f t="shared" si="18"/>
        <v>0</v>
      </c>
      <c r="J39" s="247">
        <f t="shared" si="23"/>
        <v>0</v>
      </c>
      <c r="K39" s="247">
        <f t="shared" si="19"/>
        <v>0</v>
      </c>
      <c r="L39" s="247">
        <f t="shared" si="24"/>
        <v>0</v>
      </c>
      <c r="M39" s="247">
        <f t="shared" si="25"/>
        <v>0</v>
      </c>
      <c r="N39" s="247">
        <f t="shared" si="20"/>
        <v>0</v>
      </c>
      <c r="O39" s="247">
        <f t="shared" si="26"/>
        <v>0</v>
      </c>
      <c r="P39" s="247">
        <f t="shared" si="27"/>
        <v>0</v>
      </c>
      <c r="Q39" s="247">
        <f t="shared" si="21"/>
        <v>0</v>
      </c>
      <c r="R39" s="55"/>
      <c r="S39" s="55"/>
      <c r="T39" s="55"/>
      <c r="U39" s="55"/>
      <c r="V39" s="55"/>
      <c r="W39" s="55"/>
      <c r="X39" s="55"/>
      <c r="Y39" s="55"/>
      <c r="Z39" s="55"/>
      <c r="AA39" s="55"/>
      <c r="AB39" s="59"/>
      <c r="AC39" s="59"/>
      <c r="AD39" s="55"/>
      <c r="AE39" s="55"/>
      <c r="AF39" s="55"/>
      <c r="AG39" s="55"/>
      <c r="AH39" s="59"/>
      <c r="AI39" s="59"/>
    </row>
    <row r="40" spans="1:35" s="9" customFormat="1" ht="20.100000000000001" customHeight="1">
      <c r="A40" s="279">
        <f t="shared" si="16"/>
        <v>4</v>
      </c>
      <c r="B40" s="321">
        <f t="shared" si="16"/>
        <v>0</v>
      </c>
      <c r="C40" s="321">
        <f t="shared" si="16"/>
        <v>0</v>
      </c>
      <c r="D40" s="322">
        <f t="shared" si="16"/>
        <v>0</v>
      </c>
      <c r="E40" s="322">
        <f t="shared" si="16"/>
        <v>0</v>
      </c>
      <c r="F40" s="272">
        <f t="shared" si="16"/>
        <v>0</v>
      </c>
      <c r="G40" s="247">
        <f t="shared" si="22"/>
        <v>0</v>
      </c>
      <c r="H40" s="247">
        <f t="shared" si="17"/>
        <v>0</v>
      </c>
      <c r="I40" s="247">
        <f t="shared" si="18"/>
        <v>0</v>
      </c>
      <c r="J40" s="247">
        <f t="shared" si="23"/>
        <v>0</v>
      </c>
      <c r="K40" s="247">
        <f t="shared" si="19"/>
        <v>0</v>
      </c>
      <c r="L40" s="247">
        <f t="shared" si="24"/>
        <v>0</v>
      </c>
      <c r="M40" s="247">
        <f t="shared" si="25"/>
        <v>0</v>
      </c>
      <c r="N40" s="247">
        <f t="shared" si="20"/>
        <v>0</v>
      </c>
      <c r="O40" s="247">
        <f t="shared" si="26"/>
        <v>0</v>
      </c>
      <c r="P40" s="247">
        <f t="shared" si="27"/>
        <v>0</v>
      </c>
      <c r="Q40" s="247">
        <f t="shared" si="21"/>
        <v>0</v>
      </c>
      <c r="R40" s="55"/>
      <c r="S40" s="55"/>
      <c r="T40" s="55"/>
      <c r="U40" s="55"/>
      <c r="V40" s="55"/>
      <c r="W40" s="55"/>
      <c r="X40" s="55"/>
      <c r="Y40" s="55"/>
      <c r="Z40" s="55"/>
      <c r="AA40" s="55"/>
      <c r="AB40" s="59"/>
      <c r="AC40" s="59"/>
      <c r="AD40" s="55"/>
      <c r="AE40" s="55"/>
      <c r="AF40" s="55"/>
      <c r="AG40" s="55"/>
      <c r="AH40" s="59"/>
      <c r="AI40" s="59"/>
    </row>
    <row r="41" spans="1:35" s="9" customFormat="1" ht="20.100000000000001" customHeight="1">
      <c r="A41" s="279">
        <f t="shared" si="16"/>
        <v>5</v>
      </c>
      <c r="B41" s="321">
        <f t="shared" si="16"/>
        <v>0</v>
      </c>
      <c r="C41" s="321">
        <f t="shared" si="16"/>
        <v>0</v>
      </c>
      <c r="D41" s="322">
        <f t="shared" si="16"/>
        <v>0</v>
      </c>
      <c r="E41" s="322">
        <f t="shared" si="16"/>
        <v>0</v>
      </c>
      <c r="F41" s="272">
        <f t="shared" si="16"/>
        <v>0</v>
      </c>
      <c r="G41" s="247">
        <f t="shared" si="22"/>
        <v>0</v>
      </c>
      <c r="H41" s="247">
        <f t="shared" si="17"/>
        <v>0</v>
      </c>
      <c r="I41" s="247">
        <f t="shared" si="18"/>
        <v>0</v>
      </c>
      <c r="J41" s="247">
        <f t="shared" si="23"/>
        <v>0</v>
      </c>
      <c r="K41" s="247">
        <f t="shared" si="19"/>
        <v>0</v>
      </c>
      <c r="L41" s="247">
        <f t="shared" si="24"/>
        <v>0</v>
      </c>
      <c r="M41" s="247">
        <f t="shared" si="25"/>
        <v>0</v>
      </c>
      <c r="N41" s="247">
        <f t="shared" si="20"/>
        <v>0</v>
      </c>
      <c r="O41" s="247">
        <f t="shared" si="26"/>
        <v>0</v>
      </c>
      <c r="P41" s="247">
        <f t="shared" si="27"/>
        <v>0</v>
      </c>
      <c r="Q41" s="247">
        <f t="shared" si="21"/>
        <v>0</v>
      </c>
      <c r="R41" s="55"/>
      <c r="S41" s="55"/>
      <c r="T41" s="55"/>
      <c r="U41" s="55"/>
      <c r="V41" s="55"/>
      <c r="W41" s="55"/>
      <c r="X41" s="55"/>
      <c r="Y41" s="55"/>
      <c r="Z41" s="55"/>
      <c r="AA41" s="55"/>
      <c r="AB41" s="59"/>
      <c r="AC41" s="59"/>
      <c r="AD41" s="55"/>
      <c r="AE41" s="55"/>
      <c r="AF41" s="55"/>
      <c r="AG41" s="55"/>
      <c r="AH41" s="59"/>
      <c r="AI41" s="59"/>
    </row>
    <row r="42" spans="1:35" s="9" customFormat="1" ht="20.100000000000001" customHeight="1">
      <c r="A42" s="279">
        <f t="shared" si="16"/>
        <v>6</v>
      </c>
      <c r="B42" s="321">
        <f t="shared" si="16"/>
        <v>0</v>
      </c>
      <c r="C42" s="321">
        <f t="shared" si="16"/>
        <v>0</v>
      </c>
      <c r="D42" s="322">
        <f t="shared" si="16"/>
        <v>0</v>
      </c>
      <c r="E42" s="322">
        <f t="shared" si="16"/>
        <v>0</v>
      </c>
      <c r="F42" s="272">
        <f t="shared" si="16"/>
        <v>0</v>
      </c>
      <c r="G42" s="247">
        <f t="shared" si="22"/>
        <v>0</v>
      </c>
      <c r="H42" s="247">
        <f t="shared" si="17"/>
        <v>0</v>
      </c>
      <c r="I42" s="247">
        <f t="shared" si="18"/>
        <v>0</v>
      </c>
      <c r="J42" s="247">
        <f t="shared" si="23"/>
        <v>0</v>
      </c>
      <c r="K42" s="247">
        <f t="shared" si="19"/>
        <v>0</v>
      </c>
      <c r="L42" s="247">
        <f t="shared" si="24"/>
        <v>0</v>
      </c>
      <c r="M42" s="247">
        <f t="shared" si="25"/>
        <v>0</v>
      </c>
      <c r="N42" s="247">
        <f t="shared" si="20"/>
        <v>0</v>
      </c>
      <c r="O42" s="247">
        <f t="shared" si="26"/>
        <v>0</v>
      </c>
      <c r="P42" s="247">
        <f t="shared" si="27"/>
        <v>0</v>
      </c>
      <c r="Q42" s="247">
        <f t="shared" si="21"/>
        <v>0</v>
      </c>
      <c r="R42" s="55"/>
      <c r="S42" s="55"/>
      <c r="T42" s="55"/>
      <c r="U42" s="55"/>
      <c r="V42" s="55"/>
      <c r="W42" s="55"/>
      <c r="X42" s="55"/>
      <c r="Y42" s="55"/>
      <c r="Z42" s="55"/>
      <c r="AA42" s="55"/>
      <c r="AB42" s="59"/>
      <c r="AC42" s="59"/>
      <c r="AD42" s="55"/>
      <c r="AE42" s="55"/>
      <c r="AF42" s="55"/>
      <c r="AG42" s="55"/>
      <c r="AH42" s="59"/>
      <c r="AI42" s="59"/>
    </row>
    <row r="43" spans="1:35" s="9" customFormat="1" ht="20.100000000000001" customHeight="1">
      <c r="A43" s="279">
        <f t="shared" si="16"/>
        <v>7</v>
      </c>
      <c r="B43" s="321">
        <f t="shared" si="16"/>
        <v>0</v>
      </c>
      <c r="C43" s="321">
        <f t="shared" si="16"/>
        <v>0</v>
      </c>
      <c r="D43" s="322">
        <f t="shared" si="16"/>
        <v>0</v>
      </c>
      <c r="E43" s="322">
        <f t="shared" si="16"/>
        <v>0</v>
      </c>
      <c r="F43" s="272">
        <f t="shared" si="16"/>
        <v>0</v>
      </c>
      <c r="G43" s="247">
        <f t="shared" si="22"/>
        <v>0</v>
      </c>
      <c r="H43" s="247">
        <f t="shared" si="17"/>
        <v>0</v>
      </c>
      <c r="I43" s="247">
        <f t="shared" si="18"/>
        <v>0</v>
      </c>
      <c r="J43" s="247">
        <f t="shared" si="23"/>
        <v>0</v>
      </c>
      <c r="K43" s="247">
        <f t="shared" si="19"/>
        <v>0</v>
      </c>
      <c r="L43" s="247">
        <f t="shared" si="24"/>
        <v>0</v>
      </c>
      <c r="M43" s="247">
        <f t="shared" si="25"/>
        <v>0</v>
      </c>
      <c r="N43" s="247">
        <f t="shared" si="20"/>
        <v>0</v>
      </c>
      <c r="O43" s="247">
        <f t="shared" si="26"/>
        <v>0</v>
      </c>
      <c r="P43" s="247">
        <f t="shared" si="27"/>
        <v>0</v>
      </c>
      <c r="Q43" s="247">
        <f t="shared" si="21"/>
        <v>0</v>
      </c>
      <c r="R43" s="55"/>
      <c r="S43" s="55"/>
      <c r="T43" s="55"/>
      <c r="U43" s="55"/>
      <c r="V43" s="55"/>
      <c r="W43" s="55"/>
      <c r="X43" s="55"/>
      <c r="Y43" s="55"/>
      <c r="Z43" s="55"/>
      <c r="AA43" s="55"/>
      <c r="AB43" s="59"/>
      <c r="AC43" s="59"/>
      <c r="AD43" s="55"/>
      <c r="AE43" s="55"/>
      <c r="AF43" s="55"/>
      <c r="AG43" s="55"/>
      <c r="AH43" s="59"/>
      <c r="AI43" s="59"/>
    </row>
    <row r="44" spans="1:35" s="9" customFormat="1" ht="20.100000000000001" customHeight="1">
      <c r="A44" s="279">
        <f t="shared" si="16"/>
        <v>8</v>
      </c>
      <c r="B44" s="321">
        <f t="shared" si="16"/>
        <v>0</v>
      </c>
      <c r="C44" s="321">
        <f t="shared" si="16"/>
        <v>0</v>
      </c>
      <c r="D44" s="322">
        <f t="shared" si="16"/>
        <v>0</v>
      </c>
      <c r="E44" s="322">
        <f t="shared" si="16"/>
        <v>0</v>
      </c>
      <c r="F44" s="272">
        <f t="shared" si="16"/>
        <v>0</v>
      </c>
      <c r="G44" s="247">
        <f t="shared" si="22"/>
        <v>0</v>
      </c>
      <c r="H44" s="247">
        <f t="shared" si="17"/>
        <v>0</v>
      </c>
      <c r="I44" s="247">
        <f t="shared" si="18"/>
        <v>0</v>
      </c>
      <c r="J44" s="247">
        <f t="shared" si="23"/>
        <v>0</v>
      </c>
      <c r="K44" s="247">
        <f t="shared" si="19"/>
        <v>0</v>
      </c>
      <c r="L44" s="247">
        <f t="shared" si="24"/>
        <v>0</v>
      </c>
      <c r="M44" s="247">
        <f t="shared" si="25"/>
        <v>0</v>
      </c>
      <c r="N44" s="247">
        <f t="shared" si="20"/>
        <v>0</v>
      </c>
      <c r="O44" s="247">
        <f t="shared" si="26"/>
        <v>0</v>
      </c>
      <c r="P44" s="247">
        <f t="shared" si="27"/>
        <v>0</v>
      </c>
      <c r="Q44" s="247">
        <f t="shared" si="21"/>
        <v>0</v>
      </c>
      <c r="R44" s="55"/>
      <c r="S44" s="55"/>
      <c r="T44" s="55"/>
      <c r="U44" s="55"/>
      <c r="V44" s="55"/>
      <c r="W44" s="55"/>
      <c r="X44" s="55"/>
      <c r="Y44" s="55"/>
      <c r="Z44" s="55"/>
      <c r="AA44" s="55"/>
      <c r="AB44" s="59"/>
      <c r="AC44" s="59"/>
      <c r="AD44" s="55"/>
      <c r="AE44" s="55"/>
      <c r="AF44" s="55"/>
      <c r="AG44" s="55"/>
      <c r="AH44" s="59"/>
      <c r="AI44" s="59"/>
    </row>
    <row r="45" spans="1:35" s="9" customFormat="1" ht="20.100000000000001" customHeight="1">
      <c r="A45" s="279">
        <f t="shared" si="16"/>
        <v>9</v>
      </c>
      <c r="B45" s="321">
        <f t="shared" si="16"/>
        <v>0</v>
      </c>
      <c r="C45" s="321">
        <f t="shared" si="16"/>
        <v>0</v>
      </c>
      <c r="D45" s="322">
        <f t="shared" si="16"/>
        <v>0</v>
      </c>
      <c r="E45" s="322">
        <f t="shared" si="16"/>
        <v>0</v>
      </c>
      <c r="F45" s="272">
        <f t="shared" si="16"/>
        <v>0</v>
      </c>
      <c r="G45" s="247">
        <f t="shared" si="22"/>
        <v>0</v>
      </c>
      <c r="H45" s="247">
        <f t="shared" si="17"/>
        <v>0</v>
      </c>
      <c r="I45" s="247">
        <f t="shared" si="18"/>
        <v>0</v>
      </c>
      <c r="J45" s="247">
        <f t="shared" si="23"/>
        <v>0</v>
      </c>
      <c r="K45" s="247">
        <f t="shared" si="19"/>
        <v>0</v>
      </c>
      <c r="L45" s="247">
        <f t="shared" si="24"/>
        <v>0</v>
      </c>
      <c r="M45" s="247">
        <f t="shared" si="25"/>
        <v>0</v>
      </c>
      <c r="N45" s="247">
        <f t="shared" si="20"/>
        <v>0</v>
      </c>
      <c r="O45" s="247">
        <f t="shared" si="26"/>
        <v>0</v>
      </c>
      <c r="P45" s="247">
        <f t="shared" si="27"/>
        <v>0</v>
      </c>
      <c r="Q45" s="247">
        <f t="shared" si="21"/>
        <v>0</v>
      </c>
      <c r="R45" s="55"/>
      <c r="S45" s="55"/>
      <c r="T45" s="55"/>
      <c r="U45" s="55"/>
      <c r="V45" s="55"/>
      <c r="W45" s="55"/>
      <c r="X45" s="55"/>
      <c r="Y45" s="55"/>
      <c r="Z45" s="55"/>
      <c r="AA45" s="55"/>
      <c r="AB45" s="59"/>
      <c r="AC45" s="59"/>
      <c r="AD45" s="55"/>
      <c r="AE45" s="55"/>
      <c r="AF45" s="55"/>
      <c r="AG45" s="55"/>
      <c r="AH45" s="59"/>
      <c r="AI45" s="59"/>
    </row>
    <row r="46" spans="1:35" s="9" customFormat="1" ht="20.100000000000001" customHeight="1">
      <c r="A46" s="279">
        <f t="shared" si="16"/>
        <v>10</v>
      </c>
      <c r="B46" s="321">
        <f t="shared" si="16"/>
        <v>0</v>
      </c>
      <c r="C46" s="321">
        <f t="shared" si="16"/>
        <v>0</v>
      </c>
      <c r="D46" s="322">
        <f t="shared" si="16"/>
        <v>0</v>
      </c>
      <c r="E46" s="322">
        <f t="shared" si="16"/>
        <v>0</v>
      </c>
      <c r="F46" s="272">
        <f t="shared" si="16"/>
        <v>0</v>
      </c>
      <c r="G46" s="247">
        <f t="shared" si="22"/>
        <v>0</v>
      </c>
      <c r="H46" s="247">
        <f t="shared" si="17"/>
        <v>0</v>
      </c>
      <c r="I46" s="247">
        <f t="shared" si="18"/>
        <v>0</v>
      </c>
      <c r="J46" s="247">
        <f t="shared" si="23"/>
        <v>0</v>
      </c>
      <c r="K46" s="247">
        <f t="shared" si="19"/>
        <v>0</v>
      </c>
      <c r="L46" s="247">
        <f t="shared" si="24"/>
        <v>0</v>
      </c>
      <c r="M46" s="247">
        <f t="shared" si="25"/>
        <v>0</v>
      </c>
      <c r="N46" s="247">
        <f t="shared" si="20"/>
        <v>0</v>
      </c>
      <c r="O46" s="247">
        <f t="shared" si="26"/>
        <v>0</v>
      </c>
      <c r="P46" s="247">
        <f t="shared" si="27"/>
        <v>0</v>
      </c>
      <c r="Q46" s="247">
        <f t="shared" si="21"/>
        <v>0</v>
      </c>
      <c r="R46" s="55"/>
      <c r="S46" s="55"/>
      <c r="T46" s="55"/>
      <c r="U46" s="55"/>
      <c r="V46" s="55"/>
      <c r="W46" s="55"/>
      <c r="X46" s="55"/>
      <c r="Y46" s="55"/>
      <c r="Z46" s="55"/>
      <c r="AA46" s="55"/>
      <c r="AB46" s="59"/>
      <c r="AC46" s="59"/>
      <c r="AD46" s="55"/>
      <c r="AE46" s="55"/>
      <c r="AF46" s="55"/>
      <c r="AG46" s="55"/>
      <c r="AH46" s="59"/>
      <c r="AI46" s="59"/>
    </row>
    <row r="47" spans="1:35" s="7" customFormat="1" ht="20.100000000000001" customHeight="1">
      <c r="A47" s="521" t="str">
        <f>A19</f>
        <v>合计</v>
      </c>
      <c r="B47" s="521"/>
      <c r="C47" s="284"/>
      <c r="D47" s="284"/>
      <c r="E47" s="284"/>
      <c r="F47" s="247">
        <f>SUM(F37:F46)</f>
        <v>0</v>
      </c>
      <c r="G47" s="247">
        <f t="shared" si="22"/>
        <v>0</v>
      </c>
      <c r="H47" s="247">
        <f>SUM(H37:H46)</f>
        <v>0</v>
      </c>
      <c r="I47" s="247">
        <f>SUM(I37:I46)</f>
        <v>0</v>
      </c>
      <c r="J47" s="247">
        <f t="shared" si="23"/>
        <v>0</v>
      </c>
      <c r="K47" s="247">
        <f>SUM(K37:K46)</f>
        <v>0</v>
      </c>
      <c r="L47" s="247">
        <f>SUM(L37:L46)</f>
        <v>0</v>
      </c>
      <c r="M47" s="247">
        <f t="shared" si="25"/>
        <v>0</v>
      </c>
      <c r="N47" s="247">
        <f>SUM(N37:N46)</f>
        <v>0</v>
      </c>
      <c r="O47" s="247">
        <f>SUM(O37:O46)</f>
        <v>0</v>
      </c>
      <c r="P47" s="247">
        <f t="shared" si="27"/>
        <v>0</v>
      </c>
      <c r="Q47" s="247">
        <f>SUM(Q37:Q46)</f>
        <v>0</v>
      </c>
      <c r="U47" s="58"/>
    </row>
    <row r="48" spans="1:35" s="432" customFormat="1" ht="20.100000000000001" customHeight="1">
      <c r="A48" s="60" t="s">
        <v>34</v>
      </c>
      <c r="B48" s="65"/>
      <c r="F48" s="55"/>
      <c r="G48" s="55"/>
      <c r="H48" s="55"/>
      <c r="I48" s="55"/>
      <c r="J48" s="55"/>
      <c r="K48" s="55"/>
      <c r="L48" s="55"/>
      <c r="M48" s="55"/>
      <c r="N48" s="55"/>
      <c r="O48" s="55"/>
      <c r="P48" s="55"/>
      <c r="Q48" s="55"/>
      <c r="U48" s="433"/>
    </row>
    <row r="49" spans="1:16" s="7" customFormat="1" ht="20.100000000000001" customHeight="1">
      <c r="A49" s="46" t="s">
        <v>807</v>
      </c>
      <c r="B49" s="298"/>
      <c r="C49" s="298"/>
      <c r="D49" s="298"/>
      <c r="E49" s="298"/>
      <c r="F49" s="298"/>
      <c r="G49" s="298"/>
      <c r="H49" s="298"/>
      <c r="I49" s="298"/>
      <c r="J49" s="298"/>
      <c r="K49" s="298"/>
      <c r="L49" s="298"/>
      <c r="M49" s="298"/>
      <c r="N49" s="46" t="s">
        <v>808</v>
      </c>
      <c r="O49" s="298"/>
      <c r="P49" s="323"/>
    </row>
    <row r="50" spans="1:16" s="7" customFormat="1" ht="20.100000000000001" customHeight="1">
      <c r="A50" s="61" t="s">
        <v>571</v>
      </c>
      <c r="B50" s="298"/>
      <c r="C50" s="298"/>
      <c r="D50" s="298"/>
      <c r="E50" s="298"/>
      <c r="F50" s="298"/>
      <c r="G50" s="298"/>
      <c r="H50" s="298"/>
      <c r="I50" s="298"/>
      <c r="J50" s="298"/>
      <c r="K50" s="298"/>
      <c r="L50" s="298"/>
      <c r="M50" s="298"/>
      <c r="N50" s="46" t="s">
        <v>731</v>
      </c>
      <c r="O50" s="298"/>
      <c r="P50" s="323"/>
    </row>
    <row r="51" spans="1:16" s="7" customFormat="1" ht="18" customHeight="1">
      <c r="P51" s="58"/>
    </row>
    <row r="52" spans="1:16" s="7" customFormat="1" ht="18" customHeight="1">
      <c r="P52" s="58"/>
    </row>
    <row r="53" spans="1:16" s="7" customFormat="1" ht="18" customHeight="1">
      <c r="P53" s="58"/>
    </row>
    <row r="54" spans="1:16" s="7" customFormat="1" ht="18" customHeight="1">
      <c r="P54" s="58"/>
    </row>
    <row r="55" spans="1:16" s="7" customFormat="1" ht="18" customHeight="1">
      <c r="P55" s="58"/>
    </row>
    <row r="56" spans="1:16" s="7" customFormat="1" ht="18" customHeight="1">
      <c r="P56" s="58"/>
    </row>
    <row r="57" spans="1:16" s="7" customFormat="1" ht="18" customHeight="1">
      <c r="P57" s="58"/>
    </row>
    <row r="58" spans="1:16" s="7" customFormat="1" ht="18" customHeight="1">
      <c r="P58" s="58"/>
    </row>
    <row r="59" spans="1:16" s="7" customFormat="1" ht="18" customHeight="1">
      <c r="P59" s="58"/>
    </row>
    <row r="60" spans="1:16" s="7" customFormat="1" ht="18" customHeight="1">
      <c r="P60" s="58"/>
    </row>
    <row r="61" spans="1:16" s="7" customFormat="1" ht="18" customHeight="1">
      <c r="P61" s="58"/>
    </row>
    <row r="62" spans="1:16" s="7" customFormat="1" ht="18" customHeight="1">
      <c r="P62" s="58"/>
    </row>
    <row r="63" spans="1:16" s="7" customFormat="1" ht="18" customHeight="1">
      <c r="P63" s="58"/>
    </row>
    <row r="64" spans="1:16" s="7" customFormat="1" ht="18" customHeight="1">
      <c r="P64" s="58"/>
    </row>
    <row r="65" spans="16:16" s="7" customFormat="1" ht="18" customHeight="1">
      <c r="P65" s="58"/>
    </row>
    <row r="66" spans="16:16" s="7" customFormat="1" ht="18" customHeight="1">
      <c r="P66" s="58"/>
    </row>
    <row r="67" spans="16:16" s="7" customFormat="1" ht="18" customHeight="1">
      <c r="P67" s="58"/>
    </row>
    <row r="68" spans="16:16" s="7" customFormat="1" ht="18" customHeight="1">
      <c r="P68" s="58"/>
    </row>
    <row r="69" spans="16:16" s="7" customFormat="1" ht="18" customHeight="1">
      <c r="P69" s="58"/>
    </row>
    <row r="70" spans="16:16" s="7" customFormat="1" ht="18" customHeight="1">
      <c r="P70" s="58"/>
    </row>
    <row r="71" spans="16:16" s="7" customFormat="1" ht="18" customHeight="1">
      <c r="P71" s="58"/>
    </row>
    <row r="72" spans="16:16" s="7" customFormat="1" ht="18" customHeight="1">
      <c r="P72" s="58"/>
    </row>
    <row r="73" spans="16:16" s="7" customFormat="1" ht="18" customHeight="1">
      <c r="P73" s="58"/>
    </row>
    <row r="74" spans="16:16" s="7" customFormat="1" ht="18" customHeight="1">
      <c r="P74" s="58"/>
    </row>
    <row r="75" spans="16:16" s="7" customFormat="1" ht="18" customHeight="1">
      <c r="P75" s="58"/>
    </row>
    <row r="76" spans="16:16" s="7" customFormat="1" ht="18" customHeight="1">
      <c r="P76" s="58"/>
    </row>
    <row r="77" spans="16:16" s="7" customFormat="1" ht="18" customHeight="1">
      <c r="P77" s="58"/>
    </row>
    <row r="78" spans="16:16" s="7" customFormat="1" ht="18" customHeight="1">
      <c r="P78" s="58"/>
    </row>
    <row r="79" spans="16:16" s="7" customFormat="1" ht="18" customHeight="1">
      <c r="P79" s="58"/>
    </row>
    <row r="80" spans="16:16" s="7" customFormat="1" ht="18" customHeight="1">
      <c r="P80" s="58"/>
    </row>
    <row r="81" spans="16:16" s="7" customFormat="1" ht="18" customHeight="1">
      <c r="P81" s="58"/>
    </row>
    <row r="82" spans="16:16" s="7" customFormat="1" ht="18" customHeight="1">
      <c r="P82" s="58"/>
    </row>
    <row r="83" spans="16:16" s="7" customFormat="1" ht="18" customHeight="1">
      <c r="P83" s="58"/>
    </row>
    <row r="84" spans="16:16" s="7" customFormat="1" ht="18" customHeight="1">
      <c r="P84" s="58"/>
    </row>
    <row r="85" spans="16:16" s="7" customFormat="1" ht="18" customHeight="1">
      <c r="P85" s="58"/>
    </row>
    <row r="86" spans="16:16" s="7" customFormat="1" ht="18" customHeight="1">
      <c r="P86" s="58"/>
    </row>
    <row r="87" spans="16:16" s="7" customFormat="1" ht="18" customHeight="1">
      <c r="P87" s="58"/>
    </row>
    <row r="88" spans="16:16" s="7" customFormat="1" ht="18" customHeight="1">
      <c r="P88" s="58"/>
    </row>
    <row r="89" spans="16:16" s="7" customFormat="1" ht="18" customHeight="1">
      <c r="P89" s="58"/>
    </row>
    <row r="90" spans="16:16" s="7" customFormat="1" ht="12">
      <c r="P90" s="58"/>
    </row>
    <row r="91" spans="16:16" s="7" customFormat="1" ht="12">
      <c r="P91" s="58"/>
    </row>
    <row r="92" spans="16:16" s="7" customFormat="1" ht="12">
      <c r="P92" s="58"/>
    </row>
    <row r="93" spans="16:16" s="7" customFormat="1" ht="12">
      <c r="P93" s="58"/>
    </row>
    <row r="94" spans="16:16" s="7" customFormat="1" ht="12">
      <c r="P94" s="58"/>
    </row>
    <row r="95" spans="16:16" s="7" customFormat="1" ht="12">
      <c r="P95" s="58"/>
    </row>
  </sheetData>
  <mergeCells count="41">
    <mergeCell ref="A47:B47"/>
    <mergeCell ref="F35:H35"/>
    <mergeCell ref="I35:K35"/>
    <mergeCell ref="P21:S21"/>
    <mergeCell ref="T21:T22"/>
    <mergeCell ref="D21:D22"/>
    <mergeCell ref="E21:E22"/>
    <mergeCell ref="U21:U22"/>
    <mergeCell ref="A33:B33"/>
    <mergeCell ref="A35:A36"/>
    <mergeCell ref="B35:B36"/>
    <mergeCell ref="C35:C36"/>
    <mergeCell ref="D35:D36"/>
    <mergeCell ref="E35:E36"/>
    <mergeCell ref="L35:N35"/>
    <mergeCell ref="O35:Q35"/>
    <mergeCell ref="F21:I21"/>
    <mergeCell ref="J21:K21"/>
    <mergeCell ref="L21:M21"/>
    <mergeCell ref="N21:O21"/>
    <mergeCell ref="A21:A22"/>
    <mergeCell ref="B21:B22"/>
    <mergeCell ref="C21:C22"/>
    <mergeCell ref="A19:E19"/>
    <mergeCell ref="AA7:AA8"/>
    <mergeCell ref="S7:U7"/>
    <mergeCell ref="Z7:Z8"/>
    <mergeCell ref="I7:J7"/>
    <mergeCell ref="K7:L7"/>
    <mergeCell ref="V7:W7"/>
    <mergeCell ref="X7:Y7"/>
    <mergeCell ref="A1:AA1"/>
    <mergeCell ref="A2:AA2"/>
    <mergeCell ref="A7:A8"/>
    <mergeCell ref="B7:B8"/>
    <mergeCell ref="C7:C8"/>
    <mergeCell ref="D7:D8"/>
    <mergeCell ref="E7:E8"/>
    <mergeCell ref="F7:H7"/>
    <mergeCell ref="M7:O7"/>
    <mergeCell ref="P7:R7"/>
  </mergeCells>
  <phoneticPr fontId="17" type="noConversion"/>
  <hyperlinks>
    <hyperlink ref="AA3" location="底稿目录!A1" display="底稿目录!A1"/>
  </hyperlinks>
  <printOptions horizontalCentered="1"/>
  <pageMargins left="0.47244094488188981" right="0.35433070866141736" top="0.59055118110236227" bottom="0.51181102362204722" header="0.31496062992125984" footer="0.31496062992125984"/>
  <pageSetup paperSize="9" scale="50" fitToHeight="100" orientation="landscape" blackAndWhite="1" cellComments="atEnd" r:id="rId1"/>
  <headerFooter>
    <oddFooter>&amp;C&amp;9&amp;P/&amp;N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X52"/>
  <sheetViews>
    <sheetView view="pageBreakPreview" zoomScaleNormal="115" zoomScaleSheetLayoutView="100" workbookViewId="0">
      <selection sqref="A1:V1"/>
    </sheetView>
  </sheetViews>
  <sheetFormatPr defaultColWidth="9" defaultRowHeight="15.6"/>
  <cols>
    <col min="1" max="1" width="5.296875" style="47" customWidth="1"/>
    <col min="2" max="2" width="17" style="47" customWidth="1"/>
    <col min="3" max="3" width="10.296875" style="47" customWidth="1"/>
    <col min="4" max="5" width="9" style="47"/>
    <col min="6" max="6" width="9.19921875" style="47" bestFit="1" customWidth="1"/>
    <col min="7" max="20" width="10.69921875" style="47" customWidth="1"/>
    <col min="21" max="21" width="6.69921875" style="47" customWidth="1"/>
    <col min="22" max="22" width="11" style="47" customWidth="1"/>
    <col min="23" max="16384" width="9" style="47"/>
  </cols>
  <sheetData>
    <row r="1" spans="1:24" ht="18" customHeight="1">
      <c r="A1" s="529" t="s">
        <v>60</v>
      </c>
      <c r="B1" s="529"/>
      <c r="C1" s="529"/>
      <c r="D1" s="529"/>
      <c r="E1" s="529"/>
      <c r="F1" s="529"/>
      <c r="G1" s="529"/>
      <c r="H1" s="529"/>
      <c r="I1" s="529"/>
      <c r="J1" s="529"/>
      <c r="K1" s="529"/>
      <c r="L1" s="529"/>
      <c r="M1" s="529"/>
      <c r="N1" s="529"/>
      <c r="O1" s="529"/>
      <c r="P1" s="529"/>
      <c r="Q1" s="529"/>
      <c r="R1" s="529"/>
      <c r="S1" s="529"/>
      <c r="T1" s="529"/>
      <c r="U1" s="529"/>
      <c r="V1" s="529"/>
    </row>
    <row r="2" spans="1:24" ht="24" customHeight="1">
      <c r="A2" s="530" t="s">
        <v>74</v>
      </c>
      <c r="B2" s="530"/>
      <c r="C2" s="530"/>
      <c r="D2" s="530"/>
      <c r="E2" s="530"/>
      <c r="F2" s="530"/>
      <c r="G2" s="530"/>
      <c r="H2" s="530"/>
      <c r="I2" s="530"/>
      <c r="J2" s="530"/>
      <c r="K2" s="530"/>
      <c r="L2" s="530"/>
      <c r="M2" s="530"/>
      <c r="N2" s="530"/>
      <c r="O2" s="530"/>
      <c r="P2" s="530"/>
      <c r="Q2" s="530"/>
      <c r="R2" s="530"/>
      <c r="S2" s="530"/>
      <c r="T2" s="530"/>
      <c r="U2" s="530"/>
      <c r="V2" s="530"/>
    </row>
    <row r="3" spans="1:24" ht="18" customHeight="1">
      <c r="A3" s="9" t="str">
        <f>底稿目录!A2</f>
        <v>被审计单位：</v>
      </c>
      <c r="B3" s="9"/>
      <c r="C3" s="11"/>
      <c r="F3" s="11"/>
      <c r="H3" s="9" t="str">
        <f>底稿目录!A4</f>
        <v>编制人：</v>
      </c>
      <c r="P3" s="9" t="str">
        <f>底稿目录!A5</f>
        <v>编制日期：</v>
      </c>
      <c r="U3" s="48" t="s">
        <v>83</v>
      </c>
      <c r="V3" s="405" t="str">
        <f>底稿目录!F16</f>
        <v>F2-11</v>
      </c>
      <c r="X3" s="213"/>
    </row>
    <row r="4" spans="1:24" ht="18" customHeight="1">
      <c r="A4" s="9" t="str">
        <f>底稿目录!A3</f>
        <v>截止日：202X年12月21日</v>
      </c>
      <c r="B4" s="9"/>
      <c r="C4" s="11"/>
      <c r="F4" s="11"/>
      <c r="H4" s="9" t="str">
        <f>底稿目录!A6</f>
        <v>复核人：</v>
      </c>
      <c r="P4" s="9" t="str">
        <f>底稿目录!A7</f>
        <v>复核日期：</v>
      </c>
      <c r="U4" s="48" t="s">
        <v>97</v>
      </c>
      <c r="V4" s="9"/>
    </row>
    <row r="5" spans="1:24" s="15" customFormat="1" ht="20.100000000000001" customHeight="1">
      <c r="A5" s="9" t="s">
        <v>572</v>
      </c>
      <c r="B5" s="9"/>
      <c r="C5" s="11"/>
      <c r="D5" s="10"/>
      <c r="E5" s="11"/>
      <c r="F5" s="11"/>
      <c r="G5" s="11"/>
      <c r="H5" s="11"/>
      <c r="I5" s="11"/>
      <c r="J5" s="9"/>
      <c r="K5" s="11"/>
      <c r="L5" s="11"/>
      <c r="M5" s="11"/>
      <c r="N5" s="11"/>
      <c r="O5" s="11"/>
      <c r="P5" s="11"/>
      <c r="Q5" s="11"/>
      <c r="R5" s="9"/>
      <c r="S5" s="9"/>
      <c r="T5" s="9"/>
      <c r="U5" s="11"/>
      <c r="V5" s="11"/>
    </row>
    <row r="6" spans="1:24" s="15" customFormat="1" ht="20.100000000000001" customHeight="1">
      <c r="A6" s="9" t="s">
        <v>573</v>
      </c>
      <c r="B6" s="9"/>
      <c r="C6" s="11"/>
      <c r="D6" s="10"/>
      <c r="E6" s="11"/>
      <c r="F6" s="11"/>
      <c r="G6" s="11"/>
      <c r="H6" s="11"/>
      <c r="I6" s="11"/>
      <c r="J6" s="9"/>
      <c r="K6" s="11"/>
      <c r="L6" s="11"/>
      <c r="M6" s="11"/>
      <c r="N6" s="11"/>
      <c r="O6" s="11"/>
      <c r="P6" s="11"/>
      <c r="Q6" s="11"/>
      <c r="R6" s="9"/>
      <c r="S6" s="9"/>
      <c r="T6" s="9"/>
      <c r="U6" s="11"/>
      <c r="V6" s="11"/>
    </row>
    <row r="7" spans="1:24" s="15" customFormat="1" ht="20.100000000000001" customHeight="1">
      <c r="A7" s="542" t="s">
        <v>98</v>
      </c>
      <c r="B7" s="542" t="s">
        <v>99</v>
      </c>
      <c r="C7" s="542" t="s">
        <v>100</v>
      </c>
      <c r="D7" s="542" t="s">
        <v>574</v>
      </c>
      <c r="E7" s="542" t="s">
        <v>102</v>
      </c>
      <c r="F7" s="543" t="s">
        <v>575</v>
      </c>
      <c r="G7" s="536" t="s">
        <v>576</v>
      </c>
      <c r="H7" s="537"/>
      <c r="I7" s="537"/>
      <c r="J7" s="538"/>
      <c r="K7" s="521" t="s">
        <v>577</v>
      </c>
      <c r="L7" s="521"/>
      <c r="M7" s="536" t="s">
        <v>578</v>
      </c>
      <c r="N7" s="538"/>
      <c r="O7" s="536" t="s">
        <v>579</v>
      </c>
      <c r="P7" s="538"/>
      <c r="Q7" s="536" t="s">
        <v>440</v>
      </c>
      <c r="R7" s="537"/>
      <c r="S7" s="537"/>
      <c r="T7" s="538"/>
      <c r="U7" s="520" t="s">
        <v>92</v>
      </c>
      <c r="V7" s="520" t="s">
        <v>104</v>
      </c>
    </row>
    <row r="8" spans="1:24" s="15" customFormat="1" ht="33.75" customHeight="1">
      <c r="A8" s="542"/>
      <c r="B8" s="542"/>
      <c r="C8" s="542"/>
      <c r="D8" s="542"/>
      <c r="E8" s="542"/>
      <c r="F8" s="544"/>
      <c r="G8" s="324" t="s">
        <v>580</v>
      </c>
      <c r="H8" s="325" t="s">
        <v>581</v>
      </c>
      <c r="I8" s="325" t="s">
        <v>480</v>
      </c>
      <c r="J8" s="325" t="s">
        <v>582</v>
      </c>
      <c r="K8" s="236" t="s">
        <v>583</v>
      </c>
      <c r="L8" s="236" t="s">
        <v>560</v>
      </c>
      <c r="M8" s="236" t="s">
        <v>584</v>
      </c>
      <c r="N8" s="236" t="s">
        <v>585</v>
      </c>
      <c r="O8" s="236" t="s">
        <v>586</v>
      </c>
      <c r="P8" s="236" t="s">
        <v>585</v>
      </c>
      <c r="Q8" s="324" t="s">
        <v>580</v>
      </c>
      <c r="R8" s="325" t="s">
        <v>537</v>
      </c>
      <c r="S8" s="325" t="s">
        <v>587</v>
      </c>
      <c r="T8" s="325" t="s">
        <v>588</v>
      </c>
      <c r="U8" s="520"/>
      <c r="V8" s="520"/>
    </row>
    <row r="9" spans="1:24" s="15" customFormat="1" ht="20.100000000000001" customHeight="1">
      <c r="A9" s="234">
        <v>1</v>
      </c>
      <c r="B9" s="22"/>
      <c r="C9" s="258"/>
      <c r="D9" s="71"/>
      <c r="E9" s="71"/>
      <c r="F9" s="258"/>
      <c r="G9" s="258"/>
      <c r="H9" s="258"/>
      <c r="I9" s="258"/>
      <c r="J9" s="247">
        <f t="shared" ref="J9:J18" si="0">G9+H9-I9</f>
        <v>0</v>
      </c>
      <c r="K9" s="258"/>
      <c r="L9" s="258"/>
      <c r="M9" s="258"/>
      <c r="N9" s="258"/>
      <c r="O9" s="258"/>
      <c r="P9" s="258"/>
      <c r="Q9" s="247">
        <f t="shared" ref="Q9:Q18" si="1">G9+K9+L9</f>
        <v>0</v>
      </c>
      <c r="R9" s="247">
        <f>H9+M9+O9</f>
        <v>0</v>
      </c>
      <c r="S9" s="247">
        <f>I9+N9+P9</f>
        <v>0</v>
      </c>
      <c r="T9" s="247">
        <f>Q9+R9-S9</f>
        <v>0</v>
      </c>
      <c r="U9" s="319"/>
      <c r="V9" s="320"/>
    </row>
    <row r="10" spans="1:24" s="15" customFormat="1" ht="20.100000000000001" customHeight="1">
      <c r="A10" s="234">
        <v>2</v>
      </c>
      <c r="B10" s="22"/>
      <c r="C10" s="22"/>
      <c r="D10" s="71"/>
      <c r="E10" s="71"/>
      <c r="F10" s="22"/>
      <c r="G10" s="258"/>
      <c r="H10" s="258"/>
      <c r="I10" s="258"/>
      <c r="J10" s="247">
        <f t="shared" si="0"/>
        <v>0</v>
      </c>
      <c r="K10" s="258"/>
      <c r="L10" s="258"/>
      <c r="M10" s="258"/>
      <c r="N10" s="258"/>
      <c r="O10" s="258"/>
      <c r="P10" s="258"/>
      <c r="Q10" s="247">
        <f t="shared" si="1"/>
        <v>0</v>
      </c>
      <c r="R10" s="247">
        <f t="shared" ref="R10:R18" si="2">H10+M10+O10</f>
        <v>0</v>
      </c>
      <c r="S10" s="247">
        <f t="shared" ref="S10:S18" si="3">I10+N10+P10</f>
        <v>0</v>
      </c>
      <c r="T10" s="247">
        <f t="shared" ref="T10:T18" si="4">Q10+R10-S10</f>
        <v>0</v>
      </c>
      <c r="U10" s="234"/>
      <c r="V10" s="234"/>
    </row>
    <row r="11" spans="1:24" s="15" customFormat="1" ht="20.100000000000001" customHeight="1">
      <c r="A11" s="234">
        <v>3</v>
      </c>
      <c r="B11" s="22"/>
      <c r="C11" s="22"/>
      <c r="D11" s="71"/>
      <c r="E11" s="71"/>
      <c r="F11" s="22"/>
      <c r="G11" s="258"/>
      <c r="H11" s="258"/>
      <c r="I11" s="258"/>
      <c r="J11" s="247">
        <f t="shared" si="0"/>
        <v>0</v>
      </c>
      <c r="K11" s="258"/>
      <c r="L11" s="258"/>
      <c r="M11" s="258"/>
      <c r="N11" s="258"/>
      <c r="O11" s="258"/>
      <c r="P11" s="258"/>
      <c r="Q11" s="247">
        <f t="shared" si="1"/>
        <v>0</v>
      </c>
      <c r="R11" s="247">
        <f t="shared" si="2"/>
        <v>0</v>
      </c>
      <c r="S11" s="247">
        <f t="shared" si="3"/>
        <v>0</v>
      </c>
      <c r="T11" s="247">
        <f t="shared" si="4"/>
        <v>0</v>
      </c>
      <c r="U11" s="234"/>
      <c r="V11" s="234"/>
    </row>
    <row r="12" spans="1:24" s="15" customFormat="1" ht="20.100000000000001" customHeight="1">
      <c r="A12" s="234">
        <v>4</v>
      </c>
      <c r="B12" s="22"/>
      <c r="C12" s="22"/>
      <c r="D12" s="71"/>
      <c r="E12" s="71"/>
      <c r="F12" s="22"/>
      <c r="G12" s="258"/>
      <c r="H12" s="258"/>
      <c r="I12" s="258"/>
      <c r="J12" s="247">
        <f t="shared" si="0"/>
        <v>0</v>
      </c>
      <c r="K12" s="258"/>
      <c r="L12" s="258"/>
      <c r="M12" s="258"/>
      <c r="N12" s="258"/>
      <c r="O12" s="258"/>
      <c r="P12" s="258"/>
      <c r="Q12" s="247">
        <f t="shared" si="1"/>
        <v>0</v>
      </c>
      <c r="R12" s="247">
        <f t="shared" si="2"/>
        <v>0</v>
      </c>
      <c r="S12" s="247">
        <f t="shared" si="3"/>
        <v>0</v>
      </c>
      <c r="T12" s="247">
        <f t="shared" si="4"/>
        <v>0</v>
      </c>
      <c r="U12" s="234"/>
      <c r="V12" s="234"/>
    </row>
    <row r="13" spans="1:24" s="15" customFormat="1" ht="20.100000000000001" customHeight="1">
      <c r="A13" s="234">
        <v>5</v>
      </c>
      <c r="B13" s="22"/>
      <c r="C13" s="22"/>
      <c r="D13" s="71"/>
      <c r="E13" s="71"/>
      <c r="F13" s="22"/>
      <c r="G13" s="258"/>
      <c r="H13" s="258"/>
      <c r="I13" s="258"/>
      <c r="J13" s="247">
        <f t="shared" si="0"/>
        <v>0</v>
      </c>
      <c r="K13" s="258"/>
      <c r="L13" s="258"/>
      <c r="M13" s="258"/>
      <c r="N13" s="258"/>
      <c r="O13" s="258"/>
      <c r="P13" s="258"/>
      <c r="Q13" s="247">
        <f t="shared" si="1"/>
        <v>0</v>
      </c>
      <c r="R13" s="247">
        <f t="shared" si="2"/>
        <v>0</v>
      </c>
      <c r="S13" s="247">
        <f t="shared" si="3"/>
        <v>0</v>
      </c>
      <c r="T13" s="247">
        <f t="shared" si="4"/>
        <v>0</v>
      </c>
      <c r="U13" s="234"/>
      <c r="V13" s="234"/>
    </row>
    <row r="14" spans="1:24" s="15" customFormat="1" ht="20.100000000000001" customHeight="1">
      <c r="A14" s="234">
        <v>6</v>
      </c>
      <c r="B14" s="22"/>
      <c r="C14" s="22"/>
      <c r="D14" s="71"/>
      <c r="E14" s="71"/>
      <c r="F14" s="22"/>
      <c r="G14" s="258"/>
      <c r="H14" s="258"/>
      <c r="I14" s="258"/>
      <c r="J14" s="247">
        <f t="shared" si="0"/>
        <v>0</v>
      </c>
      <c r="K14" s="258"/>
      <c r="L14" s="258"/>
      <c r="M14" s="258"/>
      <c r="N14" s="258"/>
      <c r="O14" s="258"/>
      <c r="P14" s="258"/>
      <c r="Q14" s="247">
        <f t="shared" si="1"/>
        <v>0</v>
      </c>
      <c r="R14" s="247">
        <f t="shared" si="2"/>
        <v>0</v>
      </c>
      <c r="S14" s="247">
        <f t="shared" si="3"/>
        <v>0</v>
      </c>
      <c r="T14" s="247">
        <f t="shared" si="4"/>
        <v>0</v>
      </c>
      <c r="U14" s="234"/>
      <c r="V14" s="234"/>
    </row>
    <row r="15" spans="1:24" s="15" customFormat="1" ht="20.100000000000001" customHeight="1">
      <c r="A15" s="234">
        <v>7</v>
      </c>
      <c r="B15" s="22"/>
      <c r="C15" s="22"/>
      <c r="D15" s="71"/>
      <c r="E15" s="71"/>
      <c r="F15" s="22"/>
      <c r="G15" s="258"/>
      <c r="H15" s="258"/>
      <c r="I15" s="258"/>
      <c r="J15" s="247">
        <f t="shared" si="0"/>
        <v>0</v>
      </c>
      <c r="K15" s="258"/>
      <c r="L15" s="258"/>
      <c r="M15" s="258"/>
      <c r="N15" s="258"/>
      <c r="O15" s="258"/>
      <c r="P15" s="258"/>
      <c r="Q15" s="247">
        <f t="shared" si="1"/>
        <v>0</v>
      </c>
      <c r="R15" s="247">
        <f t="shared" si="2"/>
        <v>0</v>
      </c>
      <c r="S15" s="247">
        <f t="shared" si="3"/>
        <v>0</v>
      </c>
      <c r="T15" s="247">
        <f t="shared" si="4"/>
        <v>0</v>
      </c>
      <c r="U15" s="234"/>
      <c r="V15" s="234"/>
    </row>
    <row r="16" spans="1:24" s="15" customFormat="1" ht="20.100000000000001" customHeight="1">
      <c r="A16" s="234">
        <v>8</v>
      </c>
      <c r="B16" s="22"/>
      <c r="C16" s="22"/>
      <c r="D16" s="71"/>
      <c r="E16" s="71"/>
      <c r="F16" s="22"/>
      <c r="G16" s="258"/>
      <c r="H16" s="258"/>
      <c r="I16" s="258"/>
      <c r="J16" s="247">
        <f t="shared" si="0"/>
        <v>0</v>
      </c>
      <c r="K16" s="258"/>
      <c r="L16" s="258"/>
      <c r="M16" s="258"/>
      <c r="N16" s="258"/>
      <c r="O16" s="258"/>
      <c r="P16" s="258"/>
      <c r="Q16" s="247">
        <f t="shared" si="1"/>
        <v>0</v>
      </c>
      <c r="R16" s="247">
        <f t="shared" si="2"/>
        <v>0</v>
      </c>
      <c r="S16" s="247">
        <f>I16+N16+P16</f>
        <v>0</v>
      </c>
      <c r="T16" s="247">
        <f t="shared" si="4"/>
        <v>0</v>
      </c>
      <c r="U16" s="234"/>
      <c r="V16" s="234"/>
    </row>
    <row r="17" spans="1:22" s="15" customFormat="1" ht="20.100000000000001" customHeight="1">
      <c r="A17" s="234">
        <v>9</v>
      </c>
      <c r="B17" s="22"/>
      <c r="C17" s="22"/>
      <c r="D17" s="71"/>
      <c r="E17" s="71"/>
      <c r="F17" s="22"/>
      <c r="G17" s="258"/>
      <c r="H17" s="258"/>
      <c r="I17" s="258"/>
      <c r="J17" s="247">
        <f t="shared" si="0"/>
        <v>0</v>
      </c>
      <c r="K17" s="258"/>
      <c r="L17" s="258"/>
      <c r="M17" s="258"/>
      <c r="N17" s="258"/>
      <c r="O17" s="258"/>
      <c r="P17" s="258"/>
      <c r="Q17" s="247">
        <f t="shared" si="1"/>
        <v>0</v>
      </c>
      <c r="R17" s="247">
        <f t="shared" si="2"/>
        <v>0</v>
      </c>
      <c r="S17" s="247">
        <f t="shared" si="3"/>
        <v>0</v>
      </c>
      <c r="T17" s="247">
        <f t="shared" si="4"/>
        <v>0</v>
      </c>
      <c r="U17" s="234"/>
      <c r="V17" s="234"/>
    </row>
    <row r="18" spans="1:22" s="15" customFormat="1" ht="20.100000000000001" customHeight="1">
      <c r="A18" s="234">
        <v>10</v>
      </c>
      <c r="B18" s="22"/>
      <c r="C18" s="22"/>
      <c r="D18" s="71"/>
      <c r="E18" s="71"/>
      <c r="F18" s="22"/>
      <c r="G18" s="258"/>
      <c r="H18" s="258"/>
      <c r="I18" s="258"/>
      <c r="J18" s="247">
        <f t="shared" si="0"/>
        <v>0</v>
      </c>
      <c r="K18" s="258"/>
      <c r="L18" s="258"/>
      <c r="M18" s="258"/>
      <c r="N18" s="258"/>
      <c r="O18" s="258"/>
      <c r="P18" s="258"/>
      <c r="Q18" s="247">
        <f t="shared" si="1"/>
        <v>0</v>
      </c>
      <c r="R18" s="247">
        <f t="shared" si="2"/>
        <v>0</v>
      </c>
      <c r="S18" s="247">
        <f t="shared" si="3"/>
        <v>0</v>
      </c>
      <c r="T18" s="247">
        <f t="shared" si="4"/>
        <v>0</v>
      </c>
      <c r="U18" s="234"/>
      <c r="V18" s="234"/>
    </row>
    <row r="19" spans="1:22" s="334" customFormat="1" ht="20.100000000000001" customHeight="1">
      <c r="A19" s="545" t="s">
        <v>602</v>
      </c>
      <c r="B19" s="537"/>
      <c r="C19" s="331"/>
      <c r="D19" s="331"/>
      <c r="E19" s="331"/>
      <c r="F19" s="250">
        <f>SUM(F9:F18)</f>
        <v>0</v>
      </c>
      <c r="G19" s="250">
        <f>SUM(G9:G18)</f>
        <v>0</v>
      </c>
      <c r="H19" s="250">
        <f t="shared" ref="H19" si="5">SUM(H9:H18)</f>
        <v>0</v>
      </c>
      <c r="I19" s="250">
        <f>SUM(I9:I18)</f>
        <v>0</v>
      </c>
      <c r="J19" s="250">
        <f>SUM(J9:J18)</f>
        <v>0</v>
      </c>
      <c r="K19" s="250">
        <f>SUM(K9:K18)</f>
        <v>0</v>
      </c>
      <c r="L19" s="250">
        <f t="shared" ref="L19:O19" si="6">SUM(L9:L18)</f>
        <v>0</v>
      </c>
      <c r="M19" s="250">
        <f t="shared" si="6"/>
        <v>0</v>
      </c>
      <c r="N19" s="250">
        <f t="shared" si="6"/>
        <v>0</v>
      </c>
      <c r="O19" s="250">
        <f t="shared" si="6"/>
        <v>0</v>
      </c>
      <c r="P19" s="250">
        <f>SUM(P9:P18)</f>
        <v>0</v>
      </c>
      <c r="Q19" s="250">
        <f>SUM(Q9:Q18)</f>
        <v>0</v>
      </c>
      <c r="R19" s="250">
        <f t="shared" ref="R19" si="7">SUM(R9:R18)</f>
        <v>0</v>
      </c>
      <c r="S19" s="250">
        <f>SUM(S9:S18)</f>
        <v>0</v>
      </c>
      <c r="T19" s="250">
        <f>SUM(T9:T18)</f>
        <v>0</v>
      </c>
      <c r="U19" s="236"/>
      <c r="V19" s="236"/>
    </row>
    <row r="20" spans="1:22" s="328" customFormat="1" ht="20.100000000000001" customHeight="1">
      <c r="A20" s="326" t="s">
        <v>589</v>
      </c>
      <c r="B20" s="51"/>
      <c r="C20" s="52"/>
      <c r="D20" s="52"/>
      <c r="E20" s="52"/>
      <c r="F20" s="52"/>
      <c r="G20" s="53"/>
      <c r="H20" s="53"/>
      <c r="I20" s="53"/>
      <c r="J20" s="53"/>
      <c r="K20" s="53"/>
      <c r="L20" s="53"/>
      <c r="M20" s="53"/>
      <c r="N20" s="53"/>
      <c r="O20" s="53"/>
      <c r="P20" s="53"/>
      <c r="Q20" s="53"/>
      <c r="R20" s="53"/>
      <c r="S20" s="53"/>
      <c r="T20" s="53"/>
      <c r="U20" s="85"/>
      <c r="V20" s="327"/>
    </row>
    <row r="21" spans="1:22" s="15" customFormat="1" ht="20.100000000000001" customHeight="1">
      <c r="A21" s="542" t="s">
        <v>98</v>
      </c>
      <c r="B21" s="542" t="s">
        <v>99</v>
      </c>
      <c r="C21" s="542" t="s">
        <v>100</v>
      </c>
      <c r="D21" s="542" t="s">
        <v>590</v>
      </c>
      <c r="E21" s="542" t="s">
        <v>102</v>
      </c>
      <c r="F21" s="543" t="s">
        <v>103</v>
      </c>
      <c r="G21" s="536" t="s">
        <v>591</v>
      </c>
      <c r="H21" s="537"/>
      <c r="I21" s="537"/>
      <c r="J21" s="538"/>
      <c r="K21" s="521" t="s">
        <v>553</v>
      </c>
      <c r="L21" s="521"/>
      <c r="M21" s="536" t="s">
        <v>592</v>
      </c>
      <c r="N21" s="538"/>
      <c r="O21" s="536" t="s">
        <v>547</v>
      </c>
      <c r="P21" s="538"/>
      <c r="Q21" s="536" t="s">
        <v>593</v>
      </c>
      <c r="R21" s="537"/>
      <c r="S21" s="537"/>
      <c r="T21" s="538"/>
      <c r="U21" s="546" t="s">
        <v>594</v>
      </c>
      <c r="V21" s="546" t="s">
        <v>595</v>
      </c>
    </row>
    <row r="22" spans="1:22" s="15" customFormat="1" ht="20.100000000000001" customHeight="1">
      <c r="A22" s="542"/>
      <c r="B22" s="542"/>
      <c r="C22" s="542"/>
      <c r="D22" s="542"/>
      <c r="E22" s="542"/>
      <c r="F22" s="544"/>
      <c r="G22" s="324" t="s">
        <v>556</v>
      </c>
      <c r="H22" s="325" t="s">
        <v>398</v>
      </c>
      <c r="I22" s="325" t="s">
        <v>396</v>
      </c>
      <c r="J22" s="325" t="s">
        <v>596</v>
      </c>
      <c r="K22" s="236" t="s">
        <v>394</v>
      </c>
      <c r="L22" s="236" t="s">
        <v>579</v>
      </c>
      <c r="M22" s="325" t="s">
        <v>398</v>
      </c>
      <c r="N22" s="325" t="s">
        <v>597</v>
      </c>
      <c r="O22" s="325" t="s">
        <v>598</v>
      </c>
      <c r="P22" s="325" t="s">
        <v>396</v>
      </c>
      <c r="Q22" s="324" t="s">
        <v>556</v>
      </c>
      <c r="R22" s="325" t="s">
        <v>563</v>
      </c>
      <c r="S22" s="325" t="s">
        <v>396</v>
      </c>
      <c r="T22" s="325" t="s">
        <v>588</v>
      </c>
      <c r="U22" s="547"/>
      <c r="V22" s="547"/>
    </row>
    <row r="23" spans="1:22" s="15" customFormat="1" ht="20.100000000000001" customHeight="1">
      <c r="A23" s="266">
        <f t="shared" ref="A23:F32" si="8">A9</f>
        <v>1</v>
      </c>
      <c r="B23" s="266">
        <f t="shared" si="8"/>
        <v>0</v>
      </c>
      <c r="C23" s="247">
        <f t="shared" si="8"/>
        <v>0</v>
      </c>
      <c r="D23" s="332">
        <f t="shared" si="8"/>
        <v>0</v>
      </c>
      <c r="E23" s="332">
        <f t="shared" si="8"/>
        <v>0</v>
      </c>
      <c r="F23" s="247">
        <f t="shared" si="8"/>
        <v>0</v>
      </c>
      <c r="G23" s="258"/>
      <c r="H23" s="258"/>
      <c r="I23" s="258"/>
      <c r="J23" s="247">
        <f>G23+H23-I23</f>
        <v>0</v>
      </c>
      <c r="K23" s="258"/>
      <c r="L23" s="258"/>
      <c r="M23" s="258"/>
      <c r="N23" s="258"/>
      <c r="O23" s="258"/>
      <c r="P23" s="258"/>
      <c r="Q23" s="247">
        <f t="shared" ref="Q23:Q32" si="9">G23+K23+L23</f>
        <v>0</v>
      </c>
      <c r="R23" s="247">
        <f>H23+M23+O23</f>
        <v>0</v>
      </c>
      <c r="S23" s="247">
        <f>I23+N23+P23</f>
        <v>0</v>
      </c>
      <c r="T23" s="247">
        <f>Q23+R23-S23</f>
        <v>0</v>
      </c>
      <c r="U23" s="22"/>
      <c r="V23" s="22"/>
    </row>
    <row r="24" spans="1:22" s="15" customFormat="1" ht="20.100000000000001" customHeight="1">
      <c r="A24" s="266">
        <f t="shared" si="8"/>
        <v>2</v>
      </c>
      <c r="B24" s="266">
        <f t="shared" si="8"/>
        <v>0</v>
      </c>
      <c r="C24" s="247">
        <f t="shared" si="8"/>
        <v>0</v>
      </c>
      <c r="D24" s="332">
        <f t="shared" si="8"/>
        <v>0</v>
      </c>
      <c r="E24" s="332">
        <f t="shared" si="8"/>
        <v>0</v>
      </c>
      <c r="F24" s="247">
        <f t="shared" si="8"/>
        <v>0</v>
      </c>
      <c r="G24" s="258"/>
      <c r="H24" s="258"/>
      <c r="I24" s="258"/>
      <c r="J24" s="247">
        <f t="shared" ref="J24:J32" si="10">G24+H24-I24</f>
        <v>0</v>
      </c>
      <c r="K24" s="258"/>
      <c r="L24" s="258"/>
      <c r="M24" s="258"/>
      <c r="N24" s="258"/>
      <c r="O24" s="258"/>
      <c r="P24" s="258"/>
      <c r="Q24" s="247">
        <f t="shared" si="9"/>
        <v>0</v>
      </c>
      <c r="R24" s="247">
        <f t="shared" ref="R24:R32" si="11">H24+M24+O24</f>
        <v>0</v>
      </c>
      <c r="S24" s="247">
        <f t="shared" ref="S24:S29" si="12">I24+N24+P24</f>
        <v>0</v>
      </c>
      <c r="T24" s="247">
        <f t="shared" ref="T24:T32" si="13">Q24+R24-S24</f>
        <v>0</v>
      </c>
      <c r="U24" s="22"/>
      <c r="V24" s="22"/>
    </row>
    <row r="25" spans="1:22" s="15" customFormat="1" ht="20.100000000000001" customHeight="1">
      <c r="A25" s="266">
        <f t="shared" si="8"/>
        <v>3</v>
      </c>
      <c r="B25" s="266">
        <f t="shared" si="8"/>
        <v>0</v>
      </c>
      <c r="C25" s="247">
        <f t="shared" si="8"/>
        <v>0</v>
      </c>
      <c r="D25" s="332">
        <f t="shared" si="8"/>
        <v>0</v>
      </c>
      <c r="E25" s="332">
        <f t="shared" si="8"/>
        <v>0</v>
      </c>
      <c r="F25" s="247">
        <f t="shared" si="8"/>
        <v>0</v>
      </c>
      <c r="G25" s="258"/>
      <c r="H25" s="258"/>
      <c r="I25" s="258"/>
      <c r="J25" s="247">
        <f t="shared" si="10"/>
        <v>0</v>
      </c>
      <c r="K25" s="258"/>
      <c r="L25" s="258"/>
      <c r="M25" s="258"/>
      <c r="N25" s="258"/>
      <c r="O25" s="258"/>
      <c r="P25" s="258"/>
      <c r="Q25" s="247">
        <f t="shared" si="9"/>
        <v>0</v>
      </c>
      <c r="R25" s="247">
        <f t="shared" si="11"/>
        <v>0</v>
      </c>
      <c r="S25" s="247">
        <f t="shared" si="12"/>
        <v>0</v>
      </c>
      <c r="T25" s="247">
        <f t="shared" si="13"/>
        <v>0</v>
      </c>
      <c r="U25" s="22"/>
      <c r="V25" s="22"/>
    </row>
    <row r="26" spans="1:22" s="15" customFormat="1" ht="20.100000000000001" customHeight="1">
      <c r="A26" s="266">
        <f t="shared" si="8"/>
        <v>4</v>
      </c>
      <c r="B26" s="266">
        <f t="shared" si="8"/>
        <v>0</v>
      </c>
      <c r="C26" s="247">
        <f t="shared" si="8"/>
        <v>0</v>
      </c>
      <c r="D26" s="332">
        <f t="shared" si="8"/>
        <v>0</v>
      </c>
      <c r="E26" s="332">
        <f t="shared" si="8"/>
        <v>0</v>
      </c>
      <c r="F26" s="247">
        <f t="shared" si="8"/>
        <v>0</v>
      </c>
      <c r="G26" s="258"/>
      <c r="H26" s="258"/>
      <c r="I26" s="258"/>
      <c r="J26" s="247">
        <f t="shared" si="10"/>
        <v>0</v>
      </c>
      <c r="K26" s="258"/>
      <c r="L26" s="258"/>
      <c r="M26" s="258"/>
      <c r="N26" s="258"/>
      <c r="O26" s="258"/>
      <c r="P26" s="258"/>
      <c r="Q26" s="247">
        <f t="shared" si="9"/>
        <v>0</v>
      </c>
      <c r="R26" s="247">
        <f t="shared" si="11"/>
        <v>0</v>
      </c>
      <c r="S26" s="247">
        <f t="shared" si="12"/>
        <v>0</v>
      </c>
      <c r="T26" s="247">
        <f t="shared" si="13"/>
        <v>0</v>
      </c>
      <c r="U26" s="22"/>
      <c r="V26" s="22"/>
    </row>
    <row r="27" spans="1:22" s="15" customFormat="1" ht="20.100000000000001" customHeight="1">
      <c r="A27" s="266">
        <f t="shared" si="8"/>
        <v>5</v>
      </c>
      <c r="B27" s="266">
        <f t="shared" si="8"/>
        <v>0</v>
      </c>
      <c r="C27" s="247">
        <f t="shared" si="8"/>
        <v>0</v>
      </c>
      <c r="D27" s="332">
        <f t="shared" si="8"/>
        <v>0</v>
      </c>
      <c r="E27" s="332">
        <f t="shared" si="8"/>
        <v>0</v>
      </c>
      <c r="F27" s="247">
        <f t="shared" si="8"/>
        <v>0</v>
      </c>
      <c r="G27" s="258"/>
      <c r="H27" s="258"/>
      <c r="I27" s="258"/>
      <c r="J27" s="247">
        <f t="shared" si="10"/>
        <v>0</v>
      </c>
      <c r="K27" s="258"/>
      <c r="L27" s="258"/>
      <c r="M27" s="258"/>
      <c r="N27" s="258"/>
      <c r="O27" s="258"/>
      <c r="P27" s="258"/>
      <c r="Q27" s="247">
        <f t="shared" si="9"/>
        <v>0</v>
      </c>
      <c r="R27" s="247">
        <f t="shared" si="11"/>
        <v>0</v>
      </c>
      <c r="S27" s="247">
        <f t="shared" si="12"/>
        <v>0</v>
      </c>
      <c r="T27" s="247">
        <f t="shared" si="13"/>
        <v>0</v>
      </c>
      <c r="U27" s="22"/>
      <c r="V27" s="22"/>
    </row>
    <row r="28" spans="1:22" s="15" customFormat="1" ht="20.100000000000001" customHeight="1">
      <c r="A28" s="266">
        <f t="shared" si="8"/>
        <v>6</v>
      </c>
      <c r="B28" s="266">
        <f t="shared" si="8"/>
        <v>0</v>
      </c>
      <c r="C28" s="247">
        <f t="shared" si="8"/>
        <v>0</v>
      </c>
      <c r="D28" s="332">
        <f t="shared" si="8"/>
        <v>0</v>
      </c>
      <c r="E28" s="332">
        <f t="shared" si="8"/>
        <v>0</v>
      </c>
      <c r="F28" s="247">
        <f t="shared" si="8"/>
        <v>0</v>
      </c>
      <c r="G28" s="258"/>
      <c r="H28" s="258"/>
      <c r="I28" s="258"/>
      <c r="J28" s="247">
        <f t="shared" si="10"/>
        <v>0</v>
      </c>
      <c r="K28" s="258"/>
      <c r="L28" s="258"/>
      <c r="M28" s="258"/>
      <c r="N28" s="258"/>
      <c r="O28" s="258"/>
      <c r="P28" s="258"/>
      <c r="Q28" s="247">
        <f t="shared" si="9"/>
        <v>0</v>
      </c>
      <c r="R28" s="247">
        <f t="shared" si="11"/>
        <v>0</v>
      </c>
      <c r="S28" s="247">
        <f t="shared" si="12"/>
        <v>0</v>
      </c>
      <c r="T28" s="247">
        <f t="shared" si="13"/>
        <v>0</v>
      </c>
      <c r="U28" s="22"/>
      <c r="V28" s="22"/>
    </row>
    <row r="29" spans="1:22" s="15" customFormat="1" ht="20.100000000000001" customHeight="1">
      <c r="A29" s="266">
        <f t="shared" si="8"/>
        <v>7</v>
      </c>
      <c r="B29" s="266">
        <f t="shared" si="8"/>
        <v>0</v>
      </c>
      <c r="C29" s="247">
        <f t="shared" si="8"/>
        <v>0</v>
      </c>
      <c r="D29" s="332">
        <f t="shared" si="8"/>
        <v>0</v>
      </c>
      <c r="E29" s="332">
        <f t="shared" si="8"/>
        <v>0</v>
      </c>
      <c r="F29" s="247">
        <f t="shared" si="8"/>
        <v>0</v>
      </c>
      <c r="G29" s="258"/>
      <c r="H29" s="258"/>
      <c r="I29" s="258"/>
      <c r="J29" s="247">
        <f t="shared" si="10"/>
        <v>0</v>
      </c>
      <c r="K29" s="258"/>
      <c r="L29" s="258"/>
      <c r="M29" s="258"/>
      <c r="N29" s="258"/>
      <c r="O29" s="258"/>
      <c r="P29" s="258"/>
      <c r="Q29" s="247">
        <f t="shared" si="9"/>
        <v>0</v>
      </c>
      <c r="R29" s="247">
        <f t="shared" si="11"/>
        <v>0</v>
      </c>
      <c r="S29" s="247">
        <f t="shared" si="12"/>
        <v>0</v>
      </c>
      <c r="T29" s="247">
        <f t="shared" si="13"/>
        <v>0</v>
      </c>
      <c r="U29" s="22"/>
      <c r="V29" s="22"/>
    </row>
    <row r="30" spans="1:22" s="15" customFormat="1" ht="20.100000000000001" customHeight="1">
      <c r="A30" s="266">
        <f t="shared" si="8"/>
        <v>8</v>
      </c>
      <c r="B30" s="266">
        <f t="shared" si="8"/>
        <v>0</v>
      </c>
      <c r="C30" s="247">
        <f t="shared" si="8"/>
        <v>0</v>
      </c>
      <c r="D30" s="332">
        <f t="shared" si="8"/>
        <v>0</v>
      </c>
      <c r="E30" s="332">
        <f t="shared" si="8"/>
        <v>0</v>
      </c>
      <c r="F30" s="247">
        <f t="shared" si="8"/>
        <v>0</v>
      </c>
      <c r="G30" s="258"/>
      <c r="H30" s="258"/>
      <c r="I30" s="258"/>
      <c r="J30" s="247">
        <f t="shared" si="10"/>
        <v>0</v>
      </c>
      <c r="K30" s="258"/>
      <c r="L30" s="258"/>
      <c r="M30" s="258"/>
      <c r="N30" s="258"/>
      <c r="O30" s="258"/>
      <c r="P30" s="258"/>
      <c r="Q30" s="247">
        <f t="shared" si="9"/>
        <v>0</v>
      </c>
      <c r="R30" s="247">
        <f t="shared" si="11"/>
        <v>0</v>
      </c>
      <c r="S30" s="247">
        <f>I30+N30+P30</f>
        <v>0</v>
      </c>
      <c r="T30" s="247">
        <f t="shared" si="13"/>
        <v>0</v>
      </c>
      <c r="U30" s="22"/>
      <c r="V30" s="22"/>
    </row>
    <row r="31" spans="1:22" s="15" customFormat="1" ht="20.100000000000001" customHeight="1">
      <c r="A31" s="266">
        <f t="shared" si="8"/>
        <v>9</v>
      </c>
      <c r="B31" s="266">
        <f t="shared" si="8"/>
        <v>0</v>
      </c>
      <c r="C31" s="247">
        <f t="shared" si="8"/>
        <v>0</v>
      </c>
      <c r="D31" s="332">
        <f t="shared" si="8"/>
        <v>0</v>
      </c>
      <c r="E31" s="332">
        <f t="shared" si="8"/>
        <v>0</v>
      </c>
      <c r="F31" s="247">
        <f t="shared" si="8"/>
        <v>0</v>
      </c>
      <c r="G31" s="258"/>
      <c r="H31" s="258"/>
      <c r="I31" s="258"/>
      <c r="J31" s="247">
        <f t="shared" si="10"/>
        <v>0</v>
      </c>
      <c r="K31" s="258"/>
      <c r="L31" s="258"/>
      <c r="M31" s="258"/>
      <c r="N31" s="258"/>
      <c r="O31" s="258"/>
      <c r="P31" s="258"/>
      <c r="Q31" s="247">
        <f t="shared" si="9"/>
        <v>0</v>
      </c>
      <c r="R31" s="247">
        <f t="shared" si="11"/>
        <v>0</v>
      </c>
      <c r="S31" s="247">
        <f t="shared" ref="S31:S32" si="14">I31+N31+P31</f>
        <v>0</v>
      </c>
      <c r="T31" s="247">
        <f t="shared" si="13"/>
        <v>0</v>
      </c>
      <c r="U31" s="22"/>
      <c r="V31" s="22"/>
    </row>
    <row r="32" spans="1:22" s="15" customFormat="1" ht="20.100000000000001" customHeight="1">
      <c r="A32" s="266">
        <f t="shared" si="8"/>
        <v>10</v>
      </c>
      <c r="B32" s="266">
        <f t="shared" si="8"/>
        <v>0</v>
      </c>
      <c r="C32" s="247">
        <f t="shared" si="8"/>
        <v>0</v>
      </c>
      <c r="D32" s="332">
        <f t="shared" si="8"/>
        <v>0</v>
      </c>
      <c r="E32" s="332">
        <f t="shared" si="8"/>
        <v>0</v>
      </c>
      <c r="F32" s="247">
        <f t="shared" si="8"/>
        <v>0</v>
      </c>
      <c r="G32" s="258"/>
      <c r="H32" s="258"/>
      <c r="I32" s="258"/>
      <c r="J32" s="247">
        <f t="shared" si="10"/>
        <v>0</v>
      </c>
      <c r="K32" s="258"/>
      <c r="L32" s="258"/>
      <c r="M32" s="258"/>
      <c r="N32" s="258"/>
      <c r="O32" s="258"/>
      <c r="P32" s="258"/>
      <c r="Q32" s="247">
        <f t="shared" si="9"/>
        <v>0</v>
      </c>
      <c r="R32" s="247">
        <f t="shared" si="11"/>
        <v>0</v>
      </c>
      <c r="S32" s="247">
        <f t="shared" si="14"/>
        <v>0</v>
      </c>
      <c r="T32" s="247">
        <f t="shared" si="13"/>
        <v>0</v>
      </c>
      <c r="U32" s="22"/>
      <c r="V32" s="22"/>
    </row>
    <row r="33" spans="1:22" s="15" customFormat="1" ht="20.100000000000001" customHeight="1">
      <c r="A33" s="536" t="s">
        <v>57</v>
      </c>
      <c r="B33" s="537"/>
      <c r="C33" s="331"/>
      <c r="D33" s="331"/>
      <c r="E33" s="331"/>
      <c r="F33" s="333">
        <f>SUM(F23:F32)</f>
        <v>0</v>
      </c>
      <c r="G33" s="247">
        <f>SUM(G23:G32)</f>
        <v>0</v>
      </c>
      <c r="H33" s="247">
        <f>SUM(H23:H32)</f>
        <v>0</v>
      </c>
      <c r="I33" s="247">
        <f>SUM(I23:I32)</f>
        <v>0</v>
      </c>
      <c r="J33" s="247">
        <f>SUM(J23:J32)</f>
        <v>0</v>
      </c>
      <c r="K33" s="247">
        <f t="shared" ref="K33:S33" si="15">SUM(K23:K32)</f>
        <v>0</v>
      </c>
      <c r="L33" s="247">
        <f t="shared" si="15"/>
        <v>0</v>
      </c>
      <c r="M33" s="247">
        <f t="shared" si="15"/>
        <v>0</v>
      </c>
      <c r="N33" s="247">
        <f t="shared" si="15"/>
        <v>0</v>
      </c>
      <c r="O33" s="247">
        <f t="shared" si="15"/>
        <v>0</v>
      </c>
      <c r="P33" s="247">
        <f>SUM(P23:P32)</f>
        <v>0</v>
      </c>
      <c r="Q33" s="247">
        <f>SUM(Q23:Q32)</f>
        <v>0</v>
      </c>
      <c r="R33" s="247">
        <f t="shared" si="15"/>
        <v>0</v>
      </c>
      <c r="S33" s="247">
        <f t="shared" si="15"/>
        <v>0</v>
      </c>
      <c r="T33" s="247">
        <f>SUM(T23:T32)</f>
        <v>0</v>
      </c>
      <c r="U33" s="266"/>
      <c r="V33" s="266"/>
    </row>
    <row r="34" spans="1:22" s="328" customFormat="1" ht="20.100000000000001" customHeight="1">
      <c r="A34" s="326" t="s">
        <v>599</v>
      </c>
      <c r="B34" s="51"/>
      <c r="C34" s="52"/>
      <c r="D34" s="52"/>
      <c r="E34" s="52"/>
      <c r="F34" s="52"/>
      <c r="G34" s="53"/>
      <c r="H34" s="53"/>
      <c r="I34" s="53"/>
      <c r="J34" s="53"/>
      <c r="K34" s="53"/>
      <c r="L34" s="53"/>
      <c r="M34" s="53"/>
      <c r="N34" s="53"/>
      <c r="O34" s="53"/>
      <c r="P34" s="53"/>
      <c r="Q34" s="53"/>
      <c r="R34" s="53"/>
      <c r="S34" s="53"/>
      <c r="T34" s="53"/>
      <c r="U34" s="85"/>
      <c r="V34" s="327"/>
    </row>
    <row r="35" spans="1:22" s="15" customFormat="1" ht="20.100000000000001" customHeight="1">
      <c r="A35" s="542" t="s">
        <v>98</v>
      </c>
      <c r="B35" s="542" t="s">
        <v>99</v>
      </c>
      <c r="C35" s="542" t="s">
        <v>100</v>
      </c>
      <c r="D35" s="542" t="s">
        <v>101</v>
      </c>
      <c r="E35" s="542" t="s">
        <v>102</v>
      </c>
      <c r="F35" s="542" t="s">
        <v>103</v>
      </c>
      <c r="G35" s="501" t="s">
        <v>416</v>
      </c>
      <c r="H35" s="501"/>
      <c r="I35" s="501" t="s">
        <v>593</v>
      </c>
      <c r="J35" s="501"/>
      <c r="K35" s="54"/>
      <c r="L35" s="55"/>
      <c r="M35" s="55"/>
      <c r="N35" s="55"/>
      <c r="O35" s="55"/>
      <c r="P35" s="55"/>
      <c r="Q35" s="55"/>
      <c r="R35" s="55"/>
      <c r="S35" s="55"/>
      <c r="T35" s="55"/>
      <c r="U35" s="59"/>
      <c r="V35" s="59"/>
    </row>
    <row r="36" spans="1:22" s="15" customFormat="1" ht="20.100000000000001" customHeight="1">
      <c r="A36" s="542"/>
      <c r="B36" s="542"/>
      <c r="C36" s="542"/>
      <c r="D36" s="542"/>
      <c r="E36" s="542"/>
      <c r="F36" s="542"/>
      <c r="G36" s="232" t="s">
        <v>570</v>
      </c>
      <c r="H36" s="232" t="s">
        <v>600</v>
      </c>
      <c r="I36" s="232" t="s">
        <v>601</v>
      </c>
      <c r="J36" s="232" t="s">
        <v>393</v>
      </c>
      <c r="K36" s="54"/>
      <c r="L36" s="55"/>
      <c r="M36" s="55"/>
      <c r="N36" s="55"/>
      <c r="O36" s="55"/>
      <c r="P36" s="55"/>
      <c r="Q36" s="55"/>
      <c r="R36" s="55"/>
      <c r="S36" s="55"/>
      <c r="T36" s="55"/>
      <c r="U36" s="59"/>
      <c r="V36" s="59"/>
    </row>
    <row r="37" spans="1:22" s="15" customFormat="1" ht="20.100000000000001" customHeight="1">
      <c r="A37" s="279">
        <f t="shared" ref="A37:F46" si="16">A9</f>
        <v>1</v>
      </c>
      <c r="B37" s="321">
        <f t="shared" si="16"/>
        <v>0</v>
      </c>
      <c r="C37" s="279">
        <f t="shared" si="16"/>
        <v>0</v>
      </c>
      <c r="D37" s="343">
        <f t="shared" si="16"/>
        <v>0</v>
      </c>
      <c r="E37" s="343">
        <f t="shared" si="16"/>
        <v>0</v>
      </c>
      <c r="F37" s="344">
        <f t="shared" si="16"/>
        <v>0</v>
      </c>
      <c r="G37" s="247">
        <f t="shared" ref="G37:G46" si="17">G9-G23</f>
        <v>0</v>
      </c>
      <c r="H37" s="247">
        <f t="shared" ref="H37:H46" si="18">J9-J23</f>
        <v>0</v>
      </c>
      <c r="I37" s="247">
        <f t="shared" ref="I37:I46" si="19">Q9-Q23</f>
        <v>0</v>
      </c>
      <c r="J37" s="247">
        <f t="shared" ref="J37:J46" si="20">T9-T23</f>
        <v>0</v>
      </c>
      <c r="K37" s="54"/>
      <c r="L37" s="55"/>
      <c r="M37" s="55"/>
      <c r="N37" s="55"/>
      <c r="O37" s="55"/>
      <c r="P37" s="55"/>
      <c r="Q37" s="55"/>
      <c r="R37" s="55"/>
      <c r="S37" s="55"/>
      <c r="T37" s="55"/>
      <c r="U37" s="59"/>
      <c r="V37" s="59"/>
    </row>
    <row r="38" spans="1:22" s="15" customFormat="1" ht="20.100000000000001" customHeight="1">
      <c r="A38" s="279">
        <f t="shared" si="16"/>
        <v>2</v>
      </c>
      <c r="B38" s="321">
        <f t="shared" si="16"/>
        <v>0</v>
      </c>
      <c r="C38" s="279">
        <f t="shared" si="16"/>
        <v>0</v>
      </c>
      <c r="D38" s="343">
        <f t="shared" si="16"/>
        <v>0</v>
      </c>
      <c r="E38" s="343">
        <f t="shared" si="16"/>
        <v>0</v>
      </c>
      <c r="F38" s="344">
        <f t="shared" si="16"/>
        <v>0</v>
      </c>
      <c r="G38" s="247">
        <f t="shared" si="17"/>
        <v>0</v>
      </c>
      <c r="H38" s="247">
        <f t="shared" si="18"/>
        <v>0</v>
      </c>
      <c r="I38" s="247">
        <f t="shared" si="19"/>
        <v>0</v>
      </c>
      <c r="J38" s="247">
        <f t="shared" si="20"/>
        <v>0</v>
      </c>
      <c r="K38" s="54"/>
      <c r="L38" s="55"/>
      <c r="M38" s="55"/>
      <c r="N38" s="55"/>
      <c r="O38" s="55"/>
      <c r="P38" s="55"/>
      <c r="Q38" s="55"/>
      <c r="R38" s="55"/>
      <c r="S38" s="55"/>
      <c r="T38" s="55"/>
      <c r="U38" s="59"/>
      <c r="V38" s="59"/>
    </row>
    <row r="39" spans="1:22" s="15" customFormat="1" ht="20.100000000000001" customHeight="1">
      <c r="A39" s="279">
        <f t="shared" si="16"/>
        <v>3</v>
      </c>
      <c r="B39" s="321">
        <f t="shared" si="16"/>
        <v>0</v>
      </c>
      <c r="C39" s="279">
        <f t="shared" si="16"/>
        <v>0</v>
      </c>
      <c r="D39" s="343">
        <f t="shared" si="16"/>
        <v>0</v>
      </c>
      <c r="E39" s="343">
        <f t="shared" si="16"/>
        <v>0</v>
      </c>
      <c r="F39" s="344">
        <f t="shared" si="16"/>
        <v>0</v>
      </c>
      <c r="G39" s="247">
        <f t="shared" si="17"/>
        <v>0</v>
      </c>
      <c r="H39" s="247">
        <f t="shared" si="18"/>
        <v>0</v>
      </c>
      <c r="I39" s="247">
        <f t="shared" si="19"/>
        <v>0</v>
      </c>
      <c r="J39" s="247">
        <f t="shared" si="20"/>
        <v>0</v>
      </c>
      <c r="K39" s="54"/>
      <c r="L39" s="55"/>
      <c r="M39" s="55"/>
      <c r="N39" s="55"/>
      <c r="O39" s="55"/>
      <c r="P39" s="55"/>
      <c r="Q39" s="55"/>
      <c r="R39" s="55"/>
      <c r="S39" s="55"/>
      <c r="T39" s="55"/>
      <c r="U39" s="59"/>
      <c r="V39" s="59"/>
    </row>
    <row r="40" spans="1:22" s="15" customFormat="1" ht="20.100000000000001" customHeight="1">
      <c r="A40" s="279">
        <f t="shared" si="16"/>
        <v>4</v>
      </c>
      <c r="B40" s="321">
        <f t="shared" si="16"/>
        <v>0</v>
      </c>
      <c r="C40" s="279">
        <f t="shared" si="16"/>
        <v>0</v>
      </c>
      <c r="D40" s="343">
        <f t="shared" si="16"/>
        <v>0</v>
      </c>
      <c r="E40" s="343">
        <f t="shared" si="16"/>
        <v>0</v>
      </c>
      <c r="F40" s="344">
        <f t="shared" si="16"/>
        <v>0</v>
      </c>
      <c r="G40" s="247">
        <f t="shared" si="17"/>
        <v>0</v>
      </c>
      <c r="H40" s="247">
        <f t="shared" si="18"/>
        <v>0</v>
      </c>
      <c r="I40" s="247">
        <f t="shared" si="19"/>
        <v>0</v>
      </c>
      <c r="J40" s="247">
        <f t="shared" si="20"/>
        <v>0</v>
      </c>
      <c r="K40" s="54"/>
      <c r="L40" s="55"/>
      <c r="M40" s="55"/>
      <c r="N40" s="55"/>
      <c r="O40" s="55"/>
      <c r="P40" s="55"/>
      <c r="Q40" s="55"/>
      <c r="R40" s="55"/>
      <c r="S40" s="55"/>
      <c r="T40" s="55"/>
      <c r="U40" s="59"/>
      <c r="V40" s="59"/>
    </row>
    <row r="41" spans="1:22" s="15" customFormat="1" ht="20.100000000000001" customHeight="1">
      <c r="A41" s="279">
        <f t="shared" si="16"/>
        <v>5</v>
      </c>
      <c r="B41" s="321">
        <f t="shared" si="16"/>
        <v>0</v>
      </c>
      <c r="C41" s="279">
        <f t="shared" si="16"/>
        <v>0</v>
      </c>
      <c r="D41" s="343">
        <f t="shared" si="16"/>
        <v>0</v>
      </c>
      <c r="E41" s="343">
        <f t="shared" si="16"/>
        <v>0</v>
      </c>
      <c r="F41" s="344">
        <f t="shared" si="16"/>
        <v>0</v>
      </c>
      <c r="G41" s="247">
        <f t="shared" si="17"/>
        <v>0</v>
      </c>
      <c r="H41" s="247">
        <f t="shared" si="18"/>
        <v>0</v>
      </c>
      <c r="I41" s="247">
        <f t="shared" si="19"/>
        <v>0</v>
      </c>
      <c r="J41" s="247">
        <f t="shared" si="20"/>
        <v>0</v>
      </c>
      <c r="K41" s="54"/>
      <c r="L41" s="55"/>
      <c r="M41" s="55"/>
      <c r="N41" s="55"/>
      <c r="O41" s="55"/>
      <c r="P41" s="55"/>
      <c r="Q41" s="55"/>
      <c r="R41" s="55"/>
      <c r="S41" s="55"/>
      <c r="T41" s="55"/>
      <c r="U41" s="59"/>
      <c r="V41" s="59"/>
    </row>
    <row r="42" spans="1:22" s="15" customFormat="1" ht="20.100000000000001" customHeight="1">
      <c r="A42" s="279">
        <f t="shared" si="16"/>
        <v>6</v>
      </c>
      <c r="B42" s="321">
        <f t="shared" si="16"/>
        <v>0</v>
      </c>
      <c r="C42" s="279">
        <f t="shared" si="16"/>
        <v>0</v>
      </c>
      <c r="D42" s="343">
        <f t="shared" si="16"/>
        <v>0</v>
      </c>
      <c r="E42" s="343">
        <f t="shared" si="16"/>
        <v>0</v>
      </c>
      <c r="F42" s="344">
        <f t="shared" si="16"/>
        <v>0</v>
      </c>
      <c r="G42" s="247">
        <f t="shared" si="17"/>
        <v>0</v>
      </c>
      <c r="H42" s="247">
        <f t="shared" si="18"/>
        <v>0</v>
      </c>
      <c r="I42" s="247">
        <f t="shared" si="19"/>
        <v>0</v>
      </c>
      <c r="J42" s="247">
        <f t="shared" si="20"/>
        <v>0</v>
      </c>
      <c r="K42" s="54"/>
      <c r="L42" s="55"/>
      <c r="M42" s="55"/>
      <c r="N42" s="55"/>
      <c r="O42" s="55"/>
      <c r="P42" s="55"/>
      <c r="Q42" s="55"/>
      <c r="R42" s="55"/>
      <c r="S42" s="55"/>
      <c r="T42" s="55"/>
      <c r="U42" s="59"/>
      <c r="V42" s="59"/>
    </row>
    <row r="43" spans="1:22" s="15" customFormat="1" ht="20.100000000000001" customHeight="1">
      <c r="A43" s="279">
        <f t="shared" si="16"/>
        <v>7</v>
      </c>
      <c r="B43" s="321">
        <f t="shared" si="16"/>
        <v>0</v>
      </c>
      <c r="C43" s="279">
        <f t="shared" si="16"/>
        <v>0</v>
      </c>
      <c r="D43" s="343">
        <f t="shared" si="16"/>
        <v>0</v>
      </c>
      <c r="E43" s="343">
        <f t="shared" si="16"/>
        <v>0</v>
      </c>
      <c r="F43" s="344">
        <f t="shared" si="16"/>
        <v>0</v>
      </c>
      <c r="G43" s="247">
        <f t="shared" si="17"/>
        <v>0</v>
      </c>
      <c r="H43" s="247">
        <f t="shared" si="18"/>
        <v>0</v>
      </c>
      <c r="I43" s="247">
        <f t="shared" si="19"/>
        <v>0</v>
      </c>
      <c r="J43" s="247">
        <f t="shared" si="20"/>
        <v>0</v>
      </c>
      <c r="K43" s="54"/>
      <c r="L43" s="55"/>
      <c r="M43" s="55"/>
      <c r="N43" s="55"/>
      <c r="O43" s="55"/>
      <c r="P43" s="55"/>
      <c r="Q43" s="55"/>
      <c r="R43" s="55"/>
      <c r="S43" s="55"/>
      <c r="T43" s="55"/>
      <c r="U43" s="59"/>
      <c r="V43" s="59"/>
    </row>
    <row r="44" spans="1:22" s="15" customFormat="1" ht="20.100000000000001" customHeight="1">
      <c r="A44" s="279">
        <f t="shared" si="16"/>
        <v>8</v>
      </c>
      <c r="B44" s="321">
        <f t="shared" si="16"/>
        <v>0</v>
      </c>
      <c r="C44" s="279">
        <f t="shared" si="16"/>
        <v>0</v>
      </c>
      <c r="D44" s="343">
        <f t="shared" si="16"/>
        <v>0</v>
      </c>
      <c r="E44" s="343">
        <f t="shared" si="16"/>
        <v>0</v>
      </c>
      <c r="F44" s="344">
        <f t="shared" si="16"/>
        <v>0</v>
      </c>
      <c r="G44" s="247">
        <f t="shared" si="17"/>
        <v>0</v>
      </c>
      <c r="H44" s="247">
        <f t="shared" si="18"/>
        <v>0</v>
      </c>
      <c r="I44" s="247">
        <f t="shared" si="19"/>
        <v>0</v>
      </c>
      <c r="J44" s="247">
        <f t="shared" si="20"/>
        <v>0</v>
      </c>
      <c r="K44" s="54"/>
      <c r="L44" s="55"/>
      <c r="M44" s="55"/>
      <c r="N44" s="55"/>
      <c r="O44" s="55"/>
      <c r="P44" s="55"/>
      <c r="Q44" s="55"/>
      <c r="R44" s="55"/>
      <c r="S44" s="55"/>
      <c r="T44" s="55"/>
      <c r="U44" s="59"/>
      <c r="V44" s="59"/>
    </row>
    <row r="45" spans="1:22" s="15" customFormat="1" ht="20.100000000000001" customHeight="1">
      <c r="A45" s="279">
        <f t="shared" si="16"/>
        <v>9</v>
      </c>
      <c r="B45" s="321">
        <f t="shared" si="16"/>
        <v>0</v>
      </c>
      <c r="C45" s="279">
        <f t="shared" si="16"/>
        <v>0</v>
      </c>
      <c r="D45" s="343">
        <f t="shared" si="16"/>
        <v>0</v>
      </c>
      <c r="E45" s="343">
        <f t="shared" si="16"/>
        <v>0</v>
      </c>
      <c r="F45" s="344">
        <f t="shared" si="16"/>
        <v>0</v>
      </c>
      <c r="G45" s="247">
        <f t="shared" si="17"/>
        <v>0</v>
      </c>
      <c r="H45" s="247">
        <f t="shared" si="18"/>
        <v>0</v>
      </c>
      <c r="I45" s="247">
        <f t="shared" si="19"/>
        <v>0</v>
      </c>
      <c r="J45" s="247">
        <f t="shared" si="20"/>
        <v>0</v>
      </c>
      <c r="K45" s="54"/>
      <c r="L45" s="55"/>
      <c r="M45" s="55"/>
      <c r="N45" s="55"/>
      <c r="O45" s="55"/>
      <c r="P45" s="55"/>
      <c r="Q45" s="55"/>
      <c r="R45" s="55"/>
      <c r="S45" s="55"/>
      <c r="T45" s="55"/>
      <c r="U45" s="59"/>
      <c r="V45" s="59"/>
    </row>
    <row r="46" spans="1:22" s="15" customFormat="1" ht="20.100000000000001" customHeight="1">
      <c r="A46" s="279">
        <f t="shared" si="16"/>
        <v>10</v>
      </c>
      <c r="B46" s="321">
        <f t="shared" si="16"/>
        <v>0</v>
      </c>
      <c r="C46" s="279">
        <f t="shared" si="16"/>
        <v>0</v>
      </c>
      <c r="D46" s="343">
        <f t="shared" si="16"/>
        <v>0</v>
      </c>
      <c r="E46" s="343">
        <f t="shared" si="16"/>
        <v>0</v>
      </c>
      <c r="F46" s="344">
        <f t="shared" si="16"/>
        <v>0</v>
      </c>
      <c r="G46" s="247">
        <f t="shared" si="17"/>
        <v>0</v>
      </c>
      <c r="H46" s="247">
        <f t="shared" si="18"/>
        <v>0</v>
      </c>
      <c r="I46" s="247">
        <f t="shared" si="19"/>
        <v>0</v>
      </c>
      <c r="J46" s="247">
        <f t="shared" si="20"/>
        <v>0</v>
      </c>
      <c r="K46" s="54"/>
      <c r="L46" s="55"/>
      <c r="M46" s="55"/>
      <c r="N46" s="55"/>
      <c r="O46" s="55"/>
      <c r="P46" s="55"/>
      <c r="Q46" s="55"/>
      <c r="R46" s="55"/>
      <c r="S46" s="55"/>
      <c r="T46" s="55"/>
      <c r="U46" s="59"/>
      <c r="V46" s="59"/>
    </row>
    <row r="47" spans="1:22" s="338" customFormat="1" ht="20.100000000000001" customHeight="1">
      <c r="A47" s="536" t="str">
        <f>A19</f>
        <v>合计</v>
      </c>
      <c r="B47" s="538"/>
      <c r="C47" s="268"/>
      <c r="D47" s="268"/>
      <c r="E47" s="268"/>
      <c r="F47" s="345">
        <f>SUM(F37:F46)</f>
        <v>0</v>
      </c>
      <c r="G47" s="250">
        <f>SUM(G37:G46)</f>
        <v>0</v>
      </c>
      <c r="H47" s="250">
        <f t="shared" ref="H47" si="21">SUM(H37:H46)</f>
        <v>0</v>
      </c>
      <c r="I47" s="250">
        <f>SUM(I37:I46)</f>
        <v>0</v>
      </c>
      <c r="J47" s="250">
        <f>SUM(J37:J46)</f>
        <v>0</v>
      </c>
      <c r="K47" s="335"/>
      <c r="L47" s="336"/>
      <c r="M47" s="336"/>
      <c r="N47" s="336"/>
      <c r="O47" s="336"/>
      <c r="P47" s="336"/>
      <c r="Q47" s="336"/>
      <c r="R47" s="336"/>
      <c r="S47" s="336"/>
      <c r="T47" s="336"/>
      <c r="U47" s="337"/>
      <c r="V47" s="337"/>
    </row>
    <row r="48" spans="1:22" s="15" customFormat="1" ht="20.100000000000001" customHeight="1">
      <c r="A48" s="50" t="s">
        <v>96</v>
      </c>
      <c r="B48" s="30"/>
      <c r="C48" s="329"/>
      <c r="D48" s="329"/>
      <c r="E48" s="329"/>
      <c r="F48" s="329"/>
      <c r="G48" s="329"/>
      <c r="H48" s="329"/>
      <c r="I48" s="329"/>
      <c r="J48" s="329"/>
      <c r="K48" s="330"/>
      <c r="L48" s="330"/>
      <c r="M48" s="330"/>
      <c r="N48" s="330"/>
      <c r="O48" s="330"/>
      <c r="P48" s="330"/>
      <c r="Q48" s="330"/>
      <c r="R48" s="330"/>
      <c r="S48" s="330"/>
      <c r="T48" s="330"/>
      <c r="U48" s="330"/>
      <c r="V48" s="330"/>
    </row>
    <row r="49" spans="1:22" s="15" customFormat="1" ht="20.100000000000001" customHeight="1">
      <c r="A49" s="46" t="s">
        <v>809</v>
      </c>
      <c r="B49" s="260"/>
      <c r="C49" s="351"/>
      <c r="D49" s="351"/>
      <c r="E49" s="351"/>
      <c r="F49" s="351"/>
      <c r="G49" s="351"/>
      <c r="H49" s="46" t="s">
        <v>811</v>
      </c>
      <c r="I49" s="351"/>
      <c r="J49" s="330"/>
      <c r="K49" s="330"/>
      <c r="L49" s="330"/>
      <c r="M49" s="330"/>
      <c r="N49" s="330"/>
      <c r="O49" s="330"/>
      <c r="P49" s="330"/>
      <c r="Q49" s="330"/>
      <c r="R49" s="330"/>
      <c r="S49" s="330"/>
      <c r="T49" s="330"/>
      <c r="U49" s="330"/>
      <c r="V49" s="330"/>
    </row>
    <row r="50" spans="1:22" s="15" customFormat="1" ht="20.100000000000001" customHeight="1">
      <c r="A50" s="56" t="s">
        <v>810</v>
      </c>
      <c r="B50" s="260"/>
      <c r="C50" s="351"/>
      <c r="D50" s="351"/>
      <c r="E50" s="351"/>
      <c r="F50" s="351"/>
      <c r="G50" s="351"/>
      <c r="H50" s="46" t="s">
        <v>789</v>
      </c>
      <c r="I50" s="351"/>
      <c r="J50" s="330"/>
      <c r="K50" s="330"/>
      <c r="L50" s="330"/>
      <c r="M50" s="330"/>
      <c r="N50" s="330"/>
      <c r="O50" s="330"/>
      <c r="P50" s="330"/>
      <c r="Q50" s="330"/>
      <c r="R50" s="330"/>
      <c r="S50" s="330"/>
      <c r="T50" s="330"/>
      <c r="U50" s="330"/>
      <c r="V50" s="330"/>
    </row>
    <row r="51" spans="1:22" ht="18" customHeight="1">
      <c r="B51" s="49"/>
    </row>
    <row r="52" spans="1:22" ht="18" customHeight="1">
      <c r="B52" s="49"/>
    </row>
  </sheetData>
  <mergeCells count="39">
    <mergeCell ref="A1:V1"/>
    <mergeCell ref="A2:V2"/>
    <mergeCell ref="A47:B47"/>
    <mergeCell ref="U21:U22"/>
    <mergeCell ref="V21:V22"/>
    <mergeCell ref="A35:A36"/>
    <mergeCell ref="B35:B36"/>
    <mergeCell ref="C35:C36"/>
    <mergeCell ref="D35:D36"/>
    <mergeCell ref="E35:E36"/>
    <mergeCell ref="F35:F36"/>
    <mergeCell ref="G35:H35"/>
    <mergeCell ref="I35:J35"/>
    <mergeCell ref="K21:L21"/>
    <mergeCell ref="M21:N21"/>
    <mergeCell ref="O21:P21"/>
    <mergeCell ref="Q21:T21"/>
    <mergeCell ref="A33:B33"/>
    <mergeCell ref="G7:J7"/>
    <mergeCell ref="K7:L7"/>
    <mergeCell ref="M7:N7"/>
    <mergeCell ref="O7:P7"/>
    <mergeCell ref="Q7:T7"/>
    <mergeCell ref="A19:B19"/>
    <mergeCell ref="A21:A22"/>
    <mergeCell ref="B21:B22"/>
    <mergeCell ref="C21:C22"/>
    <mergeCell ref="D21:D22"/>
    <mergeCell ref="E21:E22"/>
    <mergeCell ref="F21:F22"/>
    <mergeCell ref="G21:J21"/>
    <mergeCell ref="A7:A8"/>
    <mergeCell ref="U7:U8"/>
    <mergeCell ref="V7:V8"/>
    <mergeCell ref="B7:B8"/>
    <mergeCell ref="C7:C8"/>
    <mergeCell ref="D7:D8"/>
    <mergeCell ref="E7:E8"/>
    <mergeCell ref="F7:F8"/>
  </mergeCells>
  <phoneticPr fontId="17" type="noConversion"/>
  <hyperlinks>
    <hyperlink ref="V3" location="底稿目录!A1" display="底稿目录!A1"/>
  </hyperlinks>
  <printOptions horizontalCentered="1"/>
  <pageMargins left="0.35433070866141736" right="0.23622047244094491" top="0.74803149606299213" bottom="0.55118110236220474" header="0.31496062992125984" footer="0.31496062992125984"/>
  <pageSetup paperSize="9" scale="50" fitToHeight="0" orientation="landscape" blackAndWhite="1" cellComments="atEnd" r:id="rId1"/>
  <headerFooter>
    <oddFooter>&amp;C&amp;9&amp;P/&amp;N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P27"/>
  <sheetViews>
    <sheetView view="pageBreakPreview" zoomScaleNormal="130" zoomScaleSheetLayoutView="100" workbookViewId="0">
      <selection sqref="A1:N1"/>
    </sheetView>
  </sheetViews>
  <sheetFormatPr defaultRowHeight="15.6"/>
  <cols>
    <col min="1" max="1" width="6.09765625" customWidth="1"/>
    <col min="2" max="2" width="9.69921875" customWidth="1"/>
    <col min="3" max="3" width="13.3984375" customWidth="1"/>
    <col min="4" max="4" width="9.19921875" customWidth="1"/>
    <col min="5" max="5" width="9.09765625" customWidth="1"/>
    <col min="6" max="6" width="10.69921875" customWidth="1"/>
    <col min="7" max="7" width="9.5" customWidth="1"/>
    <col min="8" max="8" width="10.296875" customWidth="1"/>
    <col min="9" max="9" width="8.69921875" customWidth="1"/>
    <col min="10" max="12" width="9.69921875" customWidth="1"/>
    <col min="13" max="13" width="8.796875" customWidth="1"/>
    <col min="14" max="14" width="13.19921875" customWidth="1"/>
  </cols>
  <sheetData>
    <row r="1" spans="1:16" ht="20.100000000000001" customHeight="1">
      <c r="A1" s="526" t="s">
        <v>55</v>
      </c>
      <c r="B1" s="526"/>
      <c r="C1" s="526"/>
      <c r="D1" s="526"/>
      <c r="E1" s="526"/>
      <c r="F1" s="526"/>
      <c r="G1" s="526"/>
      <c r="H1" s="526"/>
      <c r="I1" s="526"/>
      <c r="J1" s="526"/>
      <c r="K1" s="526"/>
      <c r="L1" s="526"/>
      <c r="M1" s="526"/>
      <c r="N1" s="526"/>
      <c r="P1" s="214"/>
    </row>
    <row r="2" spans="1:16" ht="25.05" customHeight="1">
      <c r="A2" s="511" t="s">
        <v>0</v>
      </c>
      <c r="B2" s="511"/>
      <c r="C2" s="511"/>
      <c r="D2" s="511"/>
      <c r="E2" s="511"/>
      <c r="F2" s="511"/>
      <c r="G2" s="511"/>
      <c r="H2" s="511"/>
      <c r="I2" s="511"/>
      <c r="J2" s="511"/>
      <c r="K2" s="511"/>
      <c r="L2" s="511"/>
      <c r="M2" s="511"/>
      <c r="N2" s="511"/>
      <c r="P2" s="214"/>
    </row>
    <row r="3" spans="1:16" ht="20.100000000000001" customHeight="1">
      <c r="A3" s="9" t="str">
        <f>底稿目录!A2</f>
        <v>被审计单位：</v>
      </c>
      <c r="B3" s="9"/>
      <c r="C3" s="9"/>
      <c r="E3" s="9" t="str">
        <f>底稿目录!A4</f>
        <v>编制人：</v>
      </c>
      <c r="H3" s="9" t="str">
        <f>底稿目录!A5</f>
        <v>编制日期：</v>
      </c>
      <c r="I3" s="69"/>
      <c r="K3" s="7"/>
      <c r="L3" s="7"/>
      <c r="M3" s="7" t="s">
        <v>1</v>
      </c>
      <c r="N3" s="405" t="str">
        <f>底稿目录!F17</f>
        <v>F2-12</v>
      </c>
    </row>
    <row r="4" spans="1:16" ht="20.100000000000001" customHeight="1">
      <c r="A4" s="9" t="str">
        <f>底稿目录!A3</f>
        <v>截止日：202X年12月21日</v>
      </c>
      <c r="B4" s="9"/>
      <c r="C4" s="9"/>
      <c r="E4" s="7" t="str">
        <f>底稿目录!A6</f>
        <v>复核人：</v>
      </c>
      <c r="H4" s="7" t="str">
        <f>底稿目录!A7</f>
        <v>复核日期：</v>
      </c>
      <c r="I4" s="69"/>
      <c r="K4" s="7"/>
      <c r="L4" s="7"/>
      <c r="M4" s="7" t="s">
        <v>56</v>
      </c>
      <c r="N4" s="9"/>
    </row>
    <row r="5" spans="1:16" ht="20.100000000000001" customHeight="1">
      <c r="A5" s="7" t="s">
        <v>732</v>
      </c>
      <c r="B5" s="7"/>
      <c r="C5" s="9"/>
      <c r="D5" s="10"/>
      <c r="E5" s="11"/>
      <c r="F5" s="11"/>
      <c r="G5" s="11"/>
      <c r="H5" s="11"/>
      <c r="I5" s="9"/>
      <c r="J5" s="27"/>
      <c r="K5" s="27"/>
      <c r="L5" s="27"/>
      <c r="M5" s="27"/>
      <c r="N5" s="27"/>
    </row>
    <row r="6" spans="1:16" s="49" customFormat="1" ht="20.100000000000001" customHeight="1">
      <c r="A6" s="542" t="s">
        <v>98</v>
      </c>
      <c r="B6" s="542" t="s">
        <v>735</v>
      </c>
      <c r="C6" s="542" t="s">
        <v>739</v>
      </c>
      <c r="D6" s="542" t="s">
        <v>740</v>
      </c>
      <c r="E6" s="542" t="s">
        <v>102</v>
      </c>
      <c r="F6" s="546" t="s">
        <v>741</v>
      </c>
      <c r="G6" s="522" t="s">
        <v>742</v>
      </c>
      <c r="H6" s="522" t="s">
        <v>736</v>
      </c>
      <c r="I6" s="522" t="s">
        <v>737</v>
      </c>
      <c r="J6" s="548" t="s">
        <v>92</v>
      </c>
      <c r="K6" s="549"/>
      <c r="L6" s="549"/>
      <c r="M6" s="550"/>
      <c r="N6" s="520" t="s">
        <v>738</v>
      </c>
    </row>
    <row r="7" spans="1:16" s="49" customFormat="1" ht="20.100000000000001" customHeight="1">
      <c r="A7" s="542"/>
      <c r="B7" s="542"/>
      <c r="C7" s="542"/>
      <c r="D7" s="542"/>
      <c r="E7" s="542"/>
      <c r="F7" s="547"/>
      <c r="G7" s="524"/>
      <c r="H7" s="524" t="s">
        <v>743</v>
      </c>
      <c r="I7" s="524" t="s">
        <v>743</v>
      </c>
      <c r="J7" s="399" t="s">
        <v>765</v>
      </c>
      <c r="K7" s="399" t="s">
        <v>766</v>
      </c>
      <c r="L7" s="399" t="s">
        <v>767</v>
      </c>
      <c r="M7" s="399" t="s">
        <v>768</v>
      </c>
      <c r="N7" s="520"/>
    </row>
    <row r="8" spans="1:16" s="49" customFormat="1" ht="20.100000000000001" customHeight="1">
      <c r="A8" s="373">
        <v>1</v>
      </c>
      <c r="B8" s="374"/>
      <c r="C8" s="34"/>
      <c r="D8" s="318"/>
      <c r="E8" s="318"/>
      <c r="F8" s="375"/>
      <c r="G8" s="375"/>
      <c r="H8" s="375"/>
      <c r="I8" s="261">
        <f>F8+G8-H8</f>
        <v>0</v>
      </c>
      <c r="J8" s="319"/>
      <c r="K8" s="319"/>
      <c r="L8" s="319"/>
      <c r="M8" s="319"/>
      <c r="N8" s="320"/>
    </row>
    <row r="9" spans="1:16" s="49" customFormat="1" ht="20.100000000000001" customHeight="1">
      <c r="A9" s="373">
        <v>2</v>
      </c>
      <c r="B9" s="374"/>
      <c r="C9" s="34"/>
      <c r="D9" s="70"/>
      <c r="E9" s="70"/>
      <c r="F9" s="34"/>
      <c r="G9" s="34"/>
      <c r="H9" s="34"/>
      <c r="I9" s="261">
        <f t="shared" ref="I9:I19" si="0">F9+G9-H9</f>
        <v>0</v>
      </c>
      <c r="J9" s="34"/>
      <c r="K9" s="34"/>
      <c r="L9" s="34"/>
      <c r="M9" s="34"/>
      <c r="N9" s="34"/>
    </row>
    <row r="10" spans="1:16" s="49" customFormat="1" ht="20.100000000000001" customHeight="1">
      <c r="A10" s="373">
        <v>3</v>
      </c>
      <c r="B10" s="374"/>
      <c r="C10" s="34"/>
      <c r="D10" s="70"/>
      <c r="E10" s="70"/>
      <c r="F10" s="34"/>
      <c r="G10" s="34"/>
      <c r="H10" s="34"/>
      <c r="I10" s="261">
        <f t="shared" si="0"/>
        <v>0</v>
      </c>
      <c r="J10" s="34"/>
      <c r="K10" s="34"/>
      <c r="L10" s="34"/>
      <c r="M10" s="34"/>
      <c r="N10" s="34"/>
    </row>
    <row r="11" spans="1:16" s="49" customFormat="1" ht="20.100000000000001" customHeight="1">
      <c r="A11" s="373">
        <v>4</v>
      </c>
      <c r="B11" s="374"/>
      <c r="C11" s="34"/>
      <c r="D11" s="70"/>
      <c r="E11" s="70"/>
      <c r="F11" s="34"/>
      <c r="G11" s="34"/>
      <c r="H11" s="34"/>
      <c r="I11" s="261">
        <f t="shared" si="0"/>
        <v>0</v>
      </c>
      <c r="J11" s="34"/>
      <c r="K11" s="34"/>
      <c r="L11" s="34"/>
      <c r="M11" s="34"/>
      <c r="N11" s="34"/>
    </row>
    <row r="12" spans="1:16" s="49" customFormat="1" ht="20.100000000000001" customHeight="1">
      <c r="A12" s="373">
        <v>5</v>
      </c>
      <c r="B12" s="374"/>
      <c r="C12" s="34"/>
      <c r="D12" s="70"/>
      <c r="E12" s="70"/>
      <c r="F12" s="34"/>
      <c r="G12" s="34"/>
      <c r="H12" s="34"/>
      <c r="I12" s="261">
        <f t="shared" si="0"/>
        <v>0</v>
      </c>
      <c r="J12" s="34"/>
      <c r="K12" s="34"/>
      <c r="L12" s="34"/>
      <c r="M12" s="34"/>
      <c r="N12" s="34"/>
    </row>
    <row r="13" spans="1:16" s="49" customFormat="1" ht="20.100000000000001" customHeight="1">
      <c r="A13" s="373">
        <v>6</v>
      </c>
      <c r="B13" s="374"/>
      <c r="C13" s="34"/>
      <c r="D13" s="70"/>
      <c r="E13" s="70"/>
      <c r="F13" s="34"/>
      <c r="G13" s="34"/>
      <c r="H13" s="34"/>
      <c r="I13" s="261">
        <f t="shared" si="0"/>
        <v>0</v>
      </c>
      <c r="J13" s="34"/>
      <c r="K13" s="34"/>
      <c r="L13" s="34"/>
      <c r="M13" s="34"/>
      <c r="N13" s="34"/>
    </row>
    <row r="14" spans="1:16" s="49" customFormat="1" ht="20.100000000000001" customHeight="1">
      <c r="A14" s="373"/>
      <c r="B14" s="374"/>
      <c r="C14" s="34"/>
      <c r="D14" s="70"/>
      <c r="E14" s="70"/>
      <c r="F14" s="34"/>
      <c r="G14" s="34"/>
      <c r="H14" s="34"/>
      <c r="I14" s="261">
        <f t="shared" si="0"/>
        <v>0</v>
      </c>
      <c r="J14" s="34"/>
      <c r="K14" s="34"/>
      <c r="L14" s="34"/>
      <c r="M14" s="34"/>
      <c r="N14" s="34"/>
    </row>
    <row r="15" spans="1:16" s="49" customFormat="1" ht="20.100000000000001" customHeight="1">
      <c r="A15" s="373"/>
      <c r="B15" s="374"/>
      <c r="C15" s="34"/>
      <c r="D15" s="70"/>
      <c r="E15" s="70"/>
      <c r="F15" s="34"/>
      <c r="G15" s="34"/>
      <c r="H15" s="34"/>
      <c r="I15" s="261">
        <f t="shared" si="0"/>
        <v>0</v>
      </c>
      <c r="J15" s="34"/>
      <c r="K15" s="34"/>
      <c r="L15" s="34"/>
      <c r="M15" s="34"/>
      <c r="N15" s="34"/>
    </row>
    <row r="16" spans="1:16" s="49" customFormat="1" ht="20.100000000000001" customHeight="1">
      <c r="A16" s="373"/>
      <c r="B16" s="374"/>
      <c r="C16" s="34"/>
      <c r="D16" s="70"/>
      <c r="E16" s="70"/>
      <c r="F16" s="34"/>
      <c r="G16" s="34"/>
      <c r="H16" s="34"/>
      <c r="I16" s="261">
        <f t="shared" si="0"/>
        <v>0</v>
      </c>
      <c r="J16" s="34"/>
      <c r="K16" s="34"/>
      <c r="L16" s="34"/>
      <c r="M16" s="34"/>
      <c r="N16" s="34"/>
    </row>
    <row r="17" spans="1:14" s="49" customFormat="1" ht="20.100000000000001" customHeight="1">
      <c r="A17" s="373"/>
      <c r="B17" s="374"/>
      <c r="C17" s="34"/>
      <c r="D17" s="70"/>
      <c r="E17" s="70"/>
      <c r="F17" s="34"/>
      <c r="G17" s="34"/>
      <c r="H17" s="34"/>
      <c r="I17" s="261">
        <f t="shared" si="0"/>
        <v>0</v>
      </c>
      <c r="J17" s="34"/>
      <c r="K17" s="34"/>
      <c r="L17" s="34"/>
      <c r="M17" s="34"/>
      <c r="N17" s="34"/>
    </row>
    <row r="18" spans="1:14" s="49" customFormat="1" ht="20.100000000000001" customHeight="1">
      <c r="A18" s="373"/>
      <c r="B18" s="374"/>
      <c r="C18" s="34"/>
      <c r="D18" s="70"/>
      <c r="E18" s="70"/>
      <c r="F18" s="34"/>
      <c r="G18" s="34"/>
      <c r="H18" s="34"/>
      <c r="I18" s="261">
        <f t="shared" si="0"/>
        <v>0</v>
      </c>
      <c r="J18" s="34"/>
      <c r="K18" s="34"/>
      <c r="L18" s="34"/>
      <c r="M18" s="34"/>
      <c r="N18" s="34"/>
    </row>
    <row r="19" spans="1:14" s="49" customFormat="1" ht="20.100000000000001" customHeight="1">
      <c r="A19" s="373"/>
      <c r="B19" s="374"/>
      <c r="C19" s="34"/>
      <c r="D19" s="70"/>
      <c r="E19" s="70"/>
      <c r="F19" s="34"/>
      <c r="G19" s="34"/>
      <c r="H19" s="34"/>
      <c r="I19" s="261">
        <f t="shared" si="0"/>
        <v>0</v>
      </c>
      <c r="J19" s="34"/>
      <c r="K19" s="34"/>
      <c r="L19" s="34"/>
      <c r="M19" s="34"/>
      <c r="N19" s="34"/>
    </row>
    <row r="20" spans="1:14" s="378" customFormat="1" ht="20.100000000000001" customHeight="1">
      <c r="A20" s="551" t="s">
        <v>57</v>
      </c>
      <c r="B20" s="552"/>
      <c r="C20" s="552"/>
      <c r="D20" s="552"/>
      <c r="E20" s="552"/>
      <c r="F20" s="376">
        <f>SUM(F8:F19)</f>
        <v>0</v>
      </c>
      <c r="G20" s="376">
        <f t="shared" ref="G20:I20" si="1">SUM(G8:G19)</f>
        <v>0</v>
      </c>
      <c r="H20" s="376">
        <f t="shared" si="1"/>
        <v>0</v>
      </c>
      <c r="I20" s="376">
        <f t="shared" si="1"/>
        <v>0</v>
      </c>
      <c r="J20" s="376">
        <f>SUM(J8:J19)</f>
        <v>0</v>
      </c>
      <c r="K20" s="376">
        <f>SUM(K8:K19)</f>
        <v>0</v>
      </c>
      <c r="L20" s="376">
        <f>SUM(L8:L19)</f>
        <v>0</v>
      </c>
      <c r="M20" s="376">
        <f>SUM(M8:M19)</f>
        <v>0</v>
      </c>
      <c r="N20" s="377"/>
    </row>
    <row r="21" spans="1:14" s="49" customFormat="1" ht="20.100000000000001" customHeight="1">
      <c r="A21" s="551" t="s">
        <v>58</v>
      </c>
      <c r="B21" s="552"/>
      <c r="C21" s="552"/>
      <c r="D21" s="552"/>
      <c r="E21" s="552"/>
      <c r="F21" s="34"/>
      <c r="G21" s="34"/>
      <c r="H21" s="34"/>
      <c r="I21" s="34"/>
      <c r="J21" s="34"/>
      <c r="K21" s="34"/>
      <c r="L21" s="34"/>
      <c r="M21" s="34"/>
      <c r="N21" s="34"/>
    </row>
    <row r="22" spans="1:14" s="378" customFormat="1" ht="20.100000000000001" customHeight="1">
      <c r="A22" s="551" t="s">
        <v>744</v>
      </c>
      <c r="B22" s="552"/>
      <c r="C22" s="552"/>
      <c r="D22" s="552"/>
      <c r="E22" s="552"/>
      <c r="F22" s="379">
        <f>F20-F21</f>
        <v>0</v>
      </c>
      <c r="G22" s="377"/>
      <c r="H22" s="377"/>
      <c r="I22" s="379">
        <f>I20-I21</f>
        <v>0</v>
      </c>
      <c r="J22" s="377"/>
      <c r="K22" s="377"/>
      <c r="L22" s="377"/>
      <c r="M22" s="377"/>
      <c r="N22" s="377"/>
    </row>
    <row r="23" spans="1:14" ht="20.100000000000001" customHeight="1">
      <c r="A23" s="67" t="s">
        <v>35</v>
      </c>
      <c r="B23" s="67"/>
      <c r="C23" s="32"/>
      <c r="D23" s="32"/>
      <c r="E23" s="32"/>
      <c r="F23" s="32"/>
      <c r="G23" s="32"/>
      <c r="H23" s="32"/>
      <c r="I23" s="415" t="str">
        <f>IF((I20-J20-K20-L20-M20)=0,"OK","库龄与期末金额不匹配")</f>
        <v>OK</v>
      </c>
      <c r="J23" s="32"/>
      <c r="K23" s="32"/>
      <c r="L23" s="32"/>
      <c r="M23" s="32"/>
      <c r="N23" s="32"/>
    </row>
    <row r="24" spans="1:14" ht="20.100000000000001" customHeight="1">
      <c r="A24" s="68" t="s">
        <v>728</v>
      </c>
      <c r="B24" s="68"/>
      <c r="C24" s="33"/>
      <c r="D24" s="33"/>
      <c r="E24" s="33"/>
      <c r="F24" s="33"/>
      <c r="G24" s="46" t="s">
        <v>729</v>
      </c>
      <c r="H24" s="33"/>
      <c r="I24" s="33"/>
      <c r="J24" s="33"/>
      <c r="K24" s="33"/>
      <c r="L24" s="33"/>
      <c r="M24" s="33"/>
      <c r="N24" s="33"/>
    </row>
    <row r="25" spans="1:14" ht="20.100000000000001" customHeight="1">
      <c r="A25" s="61" t="s">
        <v>730</v>
      </c>
      <c r="B25" s="61"/>
      <c r="C25" s="33"/>
      <c r="D25" s="33"/>
      <c r="E25" s="33"/>
      <c r="F25" s="33"/>
      <c r="G25" s="46" t="s">
        <v>731</v>
      </c>
      <c r="H25" s="33"/>
      <c r="I25" s="33"/>
      <c r="J25" s="33"/>
      <c r="K25" s="33"/>
      <c r="L25" s="33"/>
      <c r="M25" s="33"/>
      <c r="N25" s="33"/>
    </row>
    <row r="26" spans="1:14" ht="18" customHeight="1"/>
    <row r="27" spans="1:14" ht="18" customHeight="1"/>
  </sheetData>
  <mergeCells count="16">
    <mergeCell ref="J6:M6"/>
    <mergeCell ref="A21:E21"/>
    <mergeCell ref="A22:E22"/>
    <mergeCell ref="A1:N1"/>
    <mergeCell ref="A2:N2"/>
    <mergeCell ref="A6:A7"/>
    <mergeCell ref="C6:C7"/>
    <mergeCell ref="D6:D7"/>
    <mergeCell ref="E6:E7"/>
    <mergeCell ref="N6:N7"/>
    <mergeCell ref="F6:F7"/>
    <mergeCell ref="G6:G7"/>
    <mergeCell ref="H6:H7"/>
    <mergeCell ref="B6:B7"/>
    <mergeCell ref="I6:I7"/>
    <mergeCell ref="A20:E20"/>
  </mergeCells>
  <phoneticPr fontId="17" type="noConversion"/>
  <hyperlinks>
    <hyperlink ref="N3" location="底稿目录!A1" display="底稿目录!A1"/>
  </hyperlinks>
  <printOptions horizontalCentered="1"/>
  <pageMargins left="0.59055118110236227" right="0.35433070866141736" top="0.74803149606299213" bottom="0.51181102362204722" header="0.31496062992125984" footer="0.31496062992125984"/>
  <pageSetup paperSize="9" scale="93" orientation="landscape" blackAndWhite="1" cellComments="atEnd" r:id="rId1"/>
  <headerFooter>
    <oddFooter>&amp;C&amp;9&amp;P/&amp;N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V79"/>
  <sheetViews>
    <sheetView view="pageBreakPreview" zoomScaleSheetLayoutView="100" workbookViewId="0">
      <selection sqref="A1:T1"/>
    </sheetView>
  </sheetViews>
  <sheetFormatPr defaultColWidth="9" defaultRowHeight="15.6"/>
  <cols>
    <col min="1" max="1" width="19.59765625" style="15" customWidth="1"/>
    <col min="2" max="2" width="12" style="15" customWidth="1"/>
    <col min="3" max="3" width="8.59765625" style="15" customWidth="1"/>
    <col min="4" max="4" width="9.296875" style="15" customWidth="1"/>
    <col min="5" max="5" width="9" style="15" customWidth="1"/>
    <col min="6" max="6" width="10.296875" style="15" customWidth="1"/>
    <col min="7" max="7" width="11.19921875" style="15" customWidth="1"/>
    <col min="8" max="8" width="9.09765625" style="15" customWidth="1"/>
    <col min="9" max="9" width="9.19921875" style="15" customWidth="1"/>
    <col min="10" max="10" width="7.796875" style="15" customWidth="1"/>
    <col min="11" max="11" width="8.69921875" style="15" customWidth="1"/>
    <col min="12" max="12" width="9.09765625" style="15" customWidth="1"/>
    <col min="13" max="14" width="7.796875" style="15" customWidth="1"/>
    <col min="15" max="15" width="9" style="15"/>
    <col min="16" max="19" width="7.19921875" style="15" customWidth="1"/>
    <col min="20" max="20" width="9.09765625" style="15" customWidth="1"/>
    <col min="21" max="16384" width="9" style="15"/>
  </cols>
  <sheetData>
    <row r="1" spans="1:20" s="8" customFormat="1" ht="20.100000000000001" customHeight="1">
      <c r="A1" s="526" t="s">
        <v>55</v>
      </c>
      <c r="B1" s="526"/>
      <c r="C1" s="526"/>
      <c r="D1" s="526"/>
      <c r="E1" s="526"/>
      <c r="F1" s="526"/>
      <c r="G1" s="526"/>
      <c r="H1" s="526"/>
      <c r="I1" s="526"/>
      <c r="J1" s="526"/>
      <c r="K1" s="526"/>
      <c r="L1" s="526"/>
      <c r="M1" s="526"/>
      <c r="N1" s="526"/>
      <c r="O1" s="526"/>
      <c r="P1" s="526"/>
      <c r="Q1" s="526"/>
      <c r="R1" s="526"/>
      <c r="S1" s="526"/>
      <c r="T1" s="526"/>
    </row>
    <row r="2" spans="1:20" s="8" customFormat="1" ht="25.05" customHeight="1">
      <c r="A2" s="511" t="s">
        <v>128</v>
      </c>
      <c r="B2" s="511"/>
      <c r="C2" s="511"/>
      <c r="D2" s="511"/>
      <c r="E2" s="511"/>
      <c r="F2" s="511"/>
      <c r="G2" s="511"/>
      <c r="H2" s="511"/>
      <c r="I2" s="511"/>
      <c r="J2" s="511"/>
      <c r="K2" s="511"/>
      <c r="L2" s="511"/>
      <c r="M2" s="511"/>
      <c r="N2" s="511"/>
      <c r="O2" s="511"/>
      <c r="P2" s="511"/>
      <c r="Q2" s="511"/>
      <c r="R2" s="511"/>
      <c r="S2" s="511"/>
      <c r="T2" s="511"/>
    </row>
    <row r="3" spans="1:20" s="11" customFormat="1" ht="20.100000000000001" customHeight="1">
      <c r="A3" s="9" t="str">
        <f>底稿目录!A2</f>
        <v>被审计单位：</v>
      </c>
      <c r="B3" s="9"/>
      <c r="D3" s="10"/>
      <c r="F3" s="9" t="str">
        <f>底稿目录!A4</f>
        <v>编制人：</v>
      </c>
      <c r="L3" s="9" t="str">
        <f>底稿目录!A5</f>
        <v>编制日期：</v>
      </c>
      <c r="Q3" s="7"/>
      <c r="R3" s="7"/>
      <c r="S3" s="7" t="s">
        <v>1</v>
      </c>
      <c r="T3" s="405" t="str">
        <f>底稿目录!F18</f>
        <v>F2-13</v>
      </c>
    </row>
    <row r="4" spans="1:20" s="11" customFormat="1" ht="20.100000000000001" customHeight="1">
      <c r="A4" s="9" t="str">
        <f>底稿目录!A3</f>
        <v>截止日：202X年12月21日</v>
      </c>
      <c r="B4" s="9"/>
      <c r="D4" s="10"/>
      <c r="F4" s="7" t="str">
        <f>底稿目录!A6</f>
        <v>复核人：</v>
      </c>
      <c r="L4" s="7" t="str">
        <f>底稿目录!A7</f>
        <v>复核日期：</v>
      </c>
      <c r="Q4" s="7"/>
      <c r="R4" s="7"/>
      <c r="S4" s="7" t="s">
        <v>52</v>
      </c>
      <c r="T4" s="9"/>
    </row>
    <row r="5" spans="1:20" s="12" customFormat="1" ht="20.100000000000001" customHeight="1">
      <c r="A5" s="2" t="s">
        <v>127</v>
      </c>
    </row>
    <row r="6" spans="1:20" s="11" customFormat="1" ht="20.100000000000001" customHeight="1">
      <c r="A6" s="525" t="s">
        <v>6</v>
      </c>
      <c r="B6" s="525" t="s">
        <v>129</v>
      </c>
      <c r="C6" s="553" t="s">
        <v>7</v>
      </c>
      <c r="D6" s="556" t="s">
        <v>8</v>
      </c>
      <c r="E6" s="557"/>
      <c r="F6" s="558"/>
      <c r="G6" s="525" t="s">
        <v>9</v>
      </c>
      <c r="H6" s="525"/>
      <c r="I6" s="525"/>
      <c r="J6" s="525" t="s">
        <v>10</v>
      </c>
      <c r="K6" s="525"/>
      <c r="L6" s="525"/>
      <c r="M6" s="525" t="s">
        <v>11</v>
      </c>
      <c r="N6" s="525"/>
      <c r="O6" s="525"/>
      <c r="P6" s="514" t="s">
        <v>92</v>
      </c>
      <c r="Q6" s="515"/>
      <c r="R6" s="515"/>
      <c r="S6" s="516"/>
      <c r="T6" s="519" t="s">
        <v>130</v>
      </c>
    </row>
    <row r="7" spans="1:20" s="11" customFormat="1" ht="20.100000000000001" customHeight="1">
      <c r="A7" s="525"/>
      <c r="B7" s="525"/>
      <c r="C7" s="554"/>
      <c r="D7" s="553" t="s">
        <v>126</v>
      </c>
      <c r="E7" s="553" t="s">
        <v>12</v>
      </c>
      <c r="F7" s="525" t="s">
        <v>4</v>
      </c>
      <c r="G7" s="525" t="s">
        <v>126</v>
      </c>
      <c r="H7" s="525" t="s">
        <v>12</v>
      </c>
      <c r="I7" s="525" t="s">
        <v>4</v>
      </c>
      <c r="J7" s="525" t="s">
        <v>126</v>
      </c>
      <c r="K7" s="525" t="s">
        <v>12</v>
      </c>
      <c r="L7" s="525" t="s">
        <v>4</v>
      </c>
      <c r="M7" s="525" t="s">
        <v>126</v>
      </c>
      <c r="N7" s="525" t="s">
        <v>12</v>
      </c>
      <c r="O7" s="525" t="s">
        <v>4</v>
      </c>
      <c r="P7" s="517" t="s">
        <v>762</v>
      </c>
      <c r="Q7" s="517" t="s">
        <v>753</v>
      </c>
      <c r="R7" s="517" t="s">
        <v>763</v>
      </c>
      <c r="S7" s="517" t="s">
        <v>755</v>
      </c>
      <c r="T7" s="519"/>
    </row>
    <row r="8" spans="1:20" s="11" customFormat="1" ht="20.100000000000001" customHeight="1">
      <c r="A8" s="525"/>
      <c r="B8" s="525"/>
      <c r="C8" s="555"/>
      <c r="D8" s="555"/>
      <c r="E8" s="555"/>
      <c r="F8" s="525"/>
      <c r="G8" s="525"/>
      <c r="H8" s="525"/>
      <c r="I8" s="525"/>
      <c r="J8" s="525"/>
      <c r="K8" s="525"/>
      <c r="L8" s="525"/>
      <c r="M8" s="525"/>
      <c r="N8" s="525"/>
      <c r="O8" s="525"/>
      <c r="P8" s="518"/>
      <c r="Q8" s="518"/>
      <c r="R8" s="518"/>
      <c r="S8" s="518"/>
      <c r="T8" s="519"/>
    </row>
    <row r="9" spans="1:20" s="11" customFormat="1" ht="20.100000000000001" customHeight="1">
      <c r="A9" s="339"/>
      <c r="B9" s="20"/>
      <c r="C9" s="19"/>
      <c r="D9" s="258"/>
      <c r="E9" s="261">
        <f>IF(D9=0,0,F9/D9)</f>
        <v>0</v>
      </c>
      <c r="F9" s="258"/>
      <c r="G9" s="258"/>
      <c r="H9" s="261">
        <f>IF(G9=0,0,I9/G9)</f>
        <v>0</v>
      </c>
      <c r="I9" s="258"/>
      <c r="J9" s="258"/>
      <c r="K9" s="261">
        <f>IF(J9=0,0,L9/J9)</f>
        <v>0</v>
      </c>
      <c r="L9" s="258"/>
      <c r="M9" s="247">
        <f t="shared" ref="M9:M24" si="0">D9+G9-J9</f>
        <v>0</v>
      </c>
      <c r="N9" s="247">
        <f>IF(M9=0,0,O9/M9)</f>
        <v>0</v>
      </c>
      <c r="O9" s="247">
        <f>F9+I9-L9</f>
        <v>0</v>
      </c>
      <c r="P9" s="25"/>
      <c r="Q9" s="25"/>
      <c r="R9" s="25"/>
      <c r="S9" s="25"/>
      <c r="T9" s="22"/>
    </row>
    <row r="10" spans="1:20" s="11" customFormat="1" ht="20.100000000000001" customHeight="1">
      <c r="A10" s="79"/>
      <c r="B10" s="35"/>
      <c r="C10" s="22"/>
      <c r="D10" s="258"/>
      <c r="E10" s="261">
        <f t="shared" ref="E10:E24" si="1">IF(D10=0,0,F10/D10)</f>
        <v>0</v>
      </c>
      <c r="F10" s="258"/>
      <c r="G10" s="258"/>
      <c r="H10" s="261">
        <f t="shared" ref="H10:H24" si="2">IF(G10=0,0,I10/G10)</f>
        <v>0</v>
      </c>
      <c r="I10" s="258"/>
      <c r="J10" s="258"/>
      <c r="K10" s="261">
        <f t="shared" ref="K10:K24" si="3">IF(J10=0,0,L10/J10)</f>
        <v>0</v>
      </c>
      <c r="L10" s="258"/>
      <c r="M10" s="247">
        <f t="shared" si="0"/>
        <v>0</v>
      </c>
      <c r="N10" s="247">
        <f t="shared" ref="N10:N24" si="4">IF(M10=0,0,O10/M10)</f>
        <v>0</v>
      </c>
      <c r="O10" s="247">
        <f t="shared" ref="O10:O24" si="5">F10+I10-L10</f>
        <v>0</v>
      </c>
      <c r="P10" s="25"/>
      <c r="Q10" s="25"/>
      <c r="R10" s="25"/>
      <c r="S10" s="25"/>
      <c r="T10" s="22"/>
    </row>
    <row r="11" spans="1:20" s="11" customFormat="1" ht="20.100000000000001" customHeight="1">
      <c r="A11" s="79"/>
      <c r="B11" s="35"/>
      <c r="C11" s="22"/>
      <c r="D11" s="258"/>
      <c r="E11" s="261">
        <f t="shared" si="1"/>
        <v>0</v>
      </c>
      <c r="F11" s="258"/>
      <c r="G11" s="258"/>
      <c r="H11" s="261">
        <f t="shared" si="2"/>
        <v>0</v>
      </c>
      <c r="I11" s="258"/>
      <c r="J11" s="258"/>
      <c r="K11" s="261">
        <f t="shared" si="3"/>
        <v>0</v>
      </c>
      <c r="L11" s="258"/>
      <c r="M11" s="247">
        <f t="shared" si="0"/>
        <v>0</v>
      </c>
      <c r="N11" s="247">
        <f t="shared" si="4"/>
        <v>0</v>
      </c>
      <c r="O11" s="247">
        <f t="shared" si="5"/>
        <v>0</v>
      </c>
      <c r="P11" s="25"/>
      <c r="Q11" s="25"/>
      <c r="R11" s="25"/>
      <c r="S11" s="25"/>
      <c r="T11" s="22"/>
    </row>
    <row r="12" spans="1:20" s="11" customFormat="1" ht="20.100000000000001" customHeight="1">
      <c r="A12" s="79"/>
      <c r="B12" s="35"/>
      <c r="C12" s="22"/>
      <c r="D12" s="258"/>
      <c r="E12" s="261">
        <f t="shared" si="1"/>
        <v>0</v>
      </c>
      <c r="F12" s="258"/>
      <c r="G12" s="258"/>
      <c r="H12" s="261">
        <f t="shared" si="2"/>
        <v>0</v>
      </c>
      <c r="I12" s="258"/>
      <c r="J12" s="258"/>
      <c r="K12" s="261">
        <f t="shared" si="3"/>
        <v>0</v>
      </c>
      <c r="L12" s="258"/>
      <c r="M12" s="247">
        <f t="shared" si="0"/>
        <v>0</v>
      </c>
      <c r="N12" s="247">
        <f t="shared" si="4"/>
        <v>0</v>
      </c>
      <c r="O12" s="247">
        <f t="shared" si="5"/>
        <v>0</v>
      </c>
      <c r="P12" s="25"/>
      <c r="Q12" s="25"/>
      <c r="R12" s="25"/>
      <c r="S12" s="25"/>
      <c r="T12" s="22"/>
    </row>
    <row r="13" spans="1:20" s="11" customFormat="1" ht="20.100000000000001" customHeight="1">
      <c r="A13" s="79"/>
      <c r="B13" s="35"/>
      <c r="C13" s="22"/>
      <c r="D13" s="258"/>
      <c r="E13" s="261">
        <f t="shared" si="1"/>
        <v>0</v>
      </c>
      <c r="F13" s="258"/>
      <c r="G13" s="258"/>
      <c r="H13" s="261">
        <f t="shared" si="2"/>
        <v>0</v>
      </c>
      <c r="I13" s="258"/>
      <c r="J13" s="258"/>
      <c r="K13" s="261">
        <f t="shared" si="3"/>
        <v>0</v>
      </c>
      <c r="L13" s="258"/>
      <c r="M13" s="247">
        <f t="shared" si="0"/>
        <v>0</v>
      </c>
      <c r="N13" s="247">
        <f t="shared" si="4"/>
        <v>0</v>
      </c>
      <c r="O13" s="247">
        <f t="shared" si="5"/>
        <v>0</v>
      </c>
      <c r="P13" s="25"/>
      <c r="Q13" s="25"/>
      <c r="R13" s="25"/>
      <c r="S13" s="25"/>
      <c r="T13" s="22"/>
    </row>
    <row r="14" spans="1:20" s="11" customFormat="1" ht="20.100000000000001" customHeight="1">
      <c r="A14" s="79"/>
      <c r="B14" s="35"/>
      <c r="C14" s="22"/>
      <c r="D14" s="258"/>
      <c r="E14" s="261">
        <f t="shared" si="1"/>
        <v>0</v>
      </c>
      <c r="F14" s="258"/>
      <c r="G14" s="258"/>
      <c r="H14" s="261">
        <f t="shared" si="2"/>
        <v>0</v>
      </c>
      <c r="I14" s="258"/>
      <c r="J14" s="258"/>
      <c r="K14" s="261">
        <f t="shared" si="3"/>
        <v>0</v>
      </c>
      <c r="L14" s="258"/>
      <c r="M14" s="247">
        <f t="shared" si="0"/>
        <v>0</v>
      </c>
      <c r="N14" s="247">
        <f t="shared" si="4"/>
        <v>0</v>
      </c>
      <c r="O14" s="247">
        <f t="shared" si="5"/>
        <v>0</v>
      </c>
      <c r="P14" s="25"/>
      <c r="Q14" s="25"/>
      <c r="R14" s="25"/>
      <c r="S14" s="25"/>
      <c r="T14" s="22"/>
    </row>
    <row r="15" spans="1:20" s="11" customFormat="1" ht="20.100000000000001" customHeight="1">
      <c r="A15" s="79"/>
      <c r="B15" s="35"/>
      <c r="C15" s="22"/>
      <c r="D15" s="258"/>
      <c r="E15" s="261">
        <f t="shared" si="1"/>
        <v>0</v>
      </c>
      <c r="F15" s="258"/>
      <c r="G15" s="258"/>
      <c r="H15" s="261">
        <f t="shared" si="2"/>
        <v>0</v>
      </c>
      <c r="I15" s="258"/>
      <c r="J15" s="258"/>
      <c r="K15" s="261">
        <f t="shared" si="3"/>
        <v>0</v>
      </c>
      <c r="L15" s="258"/>
      <c r="M15" s="247">
        <f t="shared" si="0"/>
        <v>0</v>
      </c>
      <c r="N15" s="247">
        <f t="shared" si="4"/>
        <v>0</v>
      </c>
      <c r="O15" s="247">
        <f t="shared" si="5"/>
        <v>0</v>
      </c>
      <c r="P15" s="25"/>
      <c r="Q15" s="25"/>
      <c r="R15" s="25"/>
      <c r="S15" s="25"/>
      <c r="T15" s="22"/>
    </row>
    <row r="16" spans="1:20" s="11" customFormat="1" ht="20.100000000000001" customHeight="1">
      <c r="A16" s="79"/>
      <c r="B16" s="35"/>
      <c r="C16" s="22"/>
      <c r="D16" s="258"/>
      <c r="E16" s="261">
        <f t="shared" si="1"/>
        <v>0</v>
      </c>
      <c r="F16" s="258"/>
      <c r="G16" s="258"/>
      <c r="H16" s="261">
        <f t="shared" si="2"/>
        <v>0</v>
      </c>
      <c r="I16" s="258"/>
      <c r="J16" s="258"/>
      <c r="K16" s="261">
        <f t="shared" si="3"/>
        <v>0</v>
      </c>
      <c r="L16" s="258"/>
      <c r="M16" s="247">
        <f t="shared" si="0"/>
        <v>0</v>
      </c>
      <c r="N16" s="247">
        <f t="shared" si="4"/>
        <v>0</v>
      </c>
      <c r="O16" s="247">
        <f t="shared" si="5"/>
        <v>0</v>
      </c>
      <c r="P16" s="25"/>
      <c r="Q16" s="25"/>
      <c r="R16" s="25"/>
      <c r="S16" s="25"/>
      <c r="T16" s="22"/>
    </row>
    <row r="17" spans="1:22" s="11" customFormat="1" ht="20.100000000000001" customHeight="1">
      <c r="A17" s="79"/>
      <c r="B17" s="35"/>
      <c r="C17" s="22"/>
      <c r="D17" s="258"/>
      <c r="E17" s="261">
        <f t="shared" si="1"/>
        <v>0</v>
      </c>
      <c r="F17" s="258"/>
      <c r="G17" s="258"/>
      <c r="H17" s="261">
        <f t="shared" si="2"/>
        <v>0</v>
      </c>
      <c r="I17" s="258"/>
      <c r="J17" s="258"/>
      <c r="K17" s="261">
        <f t="shared" si="3"/>
        <v>0</v>
      </c>
      <c r="L17" s="258"/>
      <c r="M17" s="247">
        <f t="shared" si="0"/>
        <v>0</v>
      </c>
      <c r="N17" s="247">
        <f t="shared" si="4"/>
        <v>0</v>
      </c>
      <c r="O17" s="247">
        <f t="shared" si="5"/>
        <v>0</v>
      </c>
      <c r="P17" s="25"/>
      <c r="Q17" s="25"/>
      <c r="R17" s="25"/>
      <c r="S17" s="25"/>
      <c r="T17" s="22"/>
    </row>
    <row r="18" spans="1:22" s="11" customFormat="1" ht="20.100000000000001" customHeight="1">
      <c r="A18" s="79"/>
      <c r="B18" s="35"/>
      <c r="C18" s="22"/>
      <c r="D18" s="258"/>
      <c r="E18" s="261">
        <f t="shared" si="1"/>
        <v>0</v>
      </c>
      <c r="F18" s="258"/>
      <c r="G18" s="258"/>
      <c r="H18" s="261">
        <f t="shared" si="2"/>
        <v>0</v>
      </c>
      <c r="I18" s="258"/>
      <c r="J18" s="258"/>
      <c r="K18" s="261">
        <f t="shared" si="3"/>
        <v>0</v>
      </c>
      <c r="L18" s="258"/>
      <c r="M18" s="247">
        <f t="shared" si="0"/>
        <v>0</v>
      </c>
      <c r="N18" s="247">
        <f t="shared" si="4"/>
        <v>0</v>
      </c>
      <c r="O18" s="247">
        <f t="shared" si="5"/>
        <v>0</v>
      </c>
      <c r="P18" s="25"/>
      <c r="Q18" s="25"/>
      <c r="R18" s="25"/>
      <c r="S18" s="25"/>
      <c r="T18" s="22"/>
    </row>
    <row r="19" spans="1:22" s="11" customFormat="1" ht="20.100000000000001" customHeight="1">
      <c r="A19" s="79"/>
      <c r="B19" s="35"/>
      <c r="C19" s="22"/>
      <c r="D19" s="258"/>
      <c r="E19" s="261">
        <f t="shared" si="1"/>
        <v>0</v>
      </c>
      <c r="F19" s="258"/>
      <c r="G19" s="258"/>
      <c r="H19" s="261">
        <f t="shared" si="2"/>
        <v>0</v>
      </c>
      <c r="I19" s="258"/>
      <c r="J19" s="258"/>
      <c r="K19" s="261">
        <f t="shared" si="3"/>
        <v>0</v>
      </c>
      <c r="L19" s="258"/>
      <c r="M19" s="247">
        <f t="shared" si="0"/>
        <v>0</v>
      </c>
      <c r="N19" s="247">
        <f t="shared" si="4"/>
        <v>0</v>
      </c>
      <c r="O19" s="247">
        <f t="shared" si="5"/>
        <v>0</v>
      </c>
      <c r="P19" s="25"/>
      <c r="Q19" s="25"/>
      <c r="R19" s="25"/>
      <c r="S19" s="25"/>
      <c r="T19" s="22"/>
    </row>
    <row r="20" spans="1:22" s="11" customFormat="1" ht="20.100000000000001" customHeight="1">
      <c r="A20" s="79"/>
      <c r="B20" s="35"/>
      <c r="C20" s="22"/>
      <c r="D20" s="258"/>
      <c r="E20" s="261">
        <f t="shared" si="1"/>
        <v>0</v>
      </c>
      <c r="F20" s="258"/>
      <c r="G20" s="258"/>
      <c r="H20" s="261">
        <f t="shared" si="2"/>
        <v>0</v>
      </c>
      <c r="I20" s="258"/>
      <c r="J20" s="258"/>
      <c r="K20" s="261">
        <f t="shared" si="3"/>
        <v>0</v>
      </c>
      <c r="L20" s="258"/>
      <c r="M20" s="247">
        <f t="shared" si="0"/>
        <v>0</v>
      </c>
      <c r="N20" s="247">
        <f t="shared" si="4"/>
        <v>0</v>
      </c>
      <c r="O20" s="247">
        <f t="shared" si="5"/>
        <v>0</v>
      </c>
      <c r="P20" s="25"/>
      <c r="Q20" s="25"/>
      <c r="R20" s="25"/>
      <c r="S20" s="25"/>
      <c r="T20" s="22"/>
    </row>
    <row r="21" spans="1:22" s="11" customFormat="1" ht="20.100000000000001" customHeight="1">
      <c r="A21" s="79"/>
      <c r="B21" s="35"/>
      <c r="C21" s="22"/>
      <c r="D21" s="258"/>
      <c r="E21" s="261">
        <f t="shared" si="1"/>
        <v>0</v>
      </c>
      <c r="F21" s="258"/>
      <c r="G21" s="258"/>
      <c r="H21" s="261">
        <f t="shared" si="2"/>
        <v>0</v>
      </c>
      <c r="I21" s="258"/>
      <c r="J21" s="258"/>
      <c r="K21" s="261">
        <f t="shared" si="3"/>
        <v>0</v>
      </c>
      <c r="L21" s="258"/>
      <c r="M21" s="247">
        <f t="shared" si="0"/>
        <v>0</v>
      </c>
      <c r="N21" s="247">
        <f t="shared" si="4"/>
        <v>0</v>
      </c>
      <c r="O21" s="247">
        <f t="shared" si="5"/>
        <v>0</v>
      </c>
      <c r="P21" s="25"/>
      <c r="Q21" s="25"/>
      <c r="R21" s="25"/>
      <c r="S21" s="25"/>
      <c r="T21" s="22"/>
    </row>
    <row r="22" spans="1:22" s="11" customFormat="1" ht="20.100000000000001" customHeight="1">
      <c r="A22" s="79"/>
      <c r="B22" s="35"/>
      <c r="C22" s="22"/>
      <c r="D22" s="258"/>
      <c r="E22" s="261">
        <f t="shared" si="1"/>
        <v>0</v>
      </c>
      <c r="F22" s="258"/>
      <c r="G22" s="258"/>
      <c r="H22" s="261">
        <f t="shared" si="2"/>
        <v>0</v>
      </c>
      <c r="I22" s="258"/>
      <c r="J22" s="258"/>
      <c r="K22" s="261">
        <f t="shared" si="3"/>
        <v>0</v>
      </c>
      <c r="L22" s="258"/>
      <c r="M22" s="247">
        <f t="shared" si="0"/>
        <v>0</v>
      </c>
      <c r="N22" s="247">
        <f t="shared" si="4"/>
        <v>0</v>
      </c>
      <c r="O22" s="247">
        <f t="shared" si="5"/>
        <v>0</v>
      </c>
      <c r="P22" s="25"/>
      <c r="Q22" s="25"/>
      <c r="R22" s="25"/>
      <c r="S22" s="25"/>
      <c r="T22" s="22"/>
    </row>
    <row r="23" spans="1:22" s="11" customFormat="1" ht="20.100000000000001" customHeight="1">
      <c r="A23" s="22"/>
      <c r="B23" s="35"/>
      <c r="C23" s="22"/>
      <c r="D23" s="259"/>
      <c r="E23" s="261">
        <f t="shared" si="1"/>
        <v>0</v>
      </c>
      <c r="F23" s="259"/>
      <c r="G23" s="259"/>
      <c r="H23" s="261">
        <f t="shared" si="2"/>
        <v>0</v>
      </c>
      <c r="I23" s="258"/>
      <c r="J23" s="258"/>
      <c r="K23" s="261">
        <f t="shared" si="3"/>
        <v>0</v>
      </c>
      <c r="L23" s="258"/>
      <c r="M23" s="247">
        <f t="shared" si="0"/>
        <v>0</v>
      </c>
      <c r="N23" s="247">
        <f t="shared" si="4"/>
        <v>0</v>
      </c>
      <c r="O23" s="247">
        <f t="shared" si="5"/>
        <v>0</v>
      </c>
      <c r="P23" s="25"/>
      <c r="Q23" s="25"/>
      <c r="R23" s="25"/>
      <c r="S23" s="25"/>
      <c r="T23" s="22"/>
    </row>
    <row r="24" spans="1:22" s="11" customFormat="1" ht="20.100000000000001" customHeight="1">
      <c r="A24" s="23"/>
      <c r="B24" s="24"/>
      <c r="C24" s="77"/>
      <c r="D24" s="259"/>
      <c r="E24" s="261">
        <f t="shared" si="1"/>
        <v>0</v>
      </c>
      <c r="F24" s="259"/>
      <c r="G24" s="259"/>
      <c r="H24" s="261">
        <f t="shared" si="2"/>
        <v>0</v>
      </c>
      <c r="I24" s="258"/>
      <c r="J24" s="258"/>
      <c r="K24" s="261">
        <f t="shared" si="3"/>
        <v>0</v>
      </c>
      <c r="L24" s="258"/>
      <c r="M24" s="247">
        <f t="shared" si="0"/>
        <v>0</v>
      </c>
      <c r="N24" s="247">
        <f t="shared" si="4"/>
        <v>0</v>
      </c>
      <c r="O24" s="247">
        <f t="shared" si="5"/>
        <v>0</v>
      </c>
      <c r="P24" s="25"/>
      <c r="Q24" s="25"/>
      <c r="R24" s="25"/>
      <c r="S24" s="25"/>
      <c r="T24" s="22"/>
    </row>
    <row r="25" spans="1:22" s="269" customFormat="1" ht="20.100000000000001" customHeight="1">
      <c r="A25" s="264" t="s">
        <v>57</v>
      </c>
      <c r="B25" s="265"/>
      <c r="C25" s="264"/>
      <c r="D25" s="342" t="s">
        <v>106</v>
      </c>
      <c r="E25" s="342" t="s">
        <v>106</v>
      </c>
      <c r="F25" s="263">
        <f>SUM(F9:F24)</f>
        <v>0</v>
      </c>
      <c r="G25" s="342" t="s">
        <v>106</v>
      </c>
      <c r="H25" s="342" t="s">
        <v>106</v>
      </c>
      <c r="I25" s="263">
        <f>SUM(I9:I24)</f>
        <v>0</v>
      </c>
      <c r="J25" s="342" t="s">
        <v>106</v>
      </c>
      <c r="K25" s="342" t="s">
        <v>106</v>
      </c>
      <c r="L25" s="263">
        <f>SUM(L9:L24)</f>
        <v>0</v>
      </c>
      <c r="M25" s="342" t="s">
        <v>106</v>
      </c>
      <c r="N25" s="342" t="s">
        <v>106</v>
      </c>
      <c r="O25" s="263">
        <f>SUM(O9:O24)</f>
        <v>0</v>
      </c>
      <c r="P25" s="263">
        <f>SUM(P9:P24)</f>
        <v>0</v>
      </c>
      <c r="Q25" s="263">
        <f t="shared" ref="Q25" si="6">SUM(Q9:Q24)</f>
        <v>0</v>
      </c>
      <c r="R25" s="263">
        <f>SUM(R9:R24)</f>
        <v>0</v>
      </c>
      <c r="S25" s="263">
        <f>SUM(S9:S24)</f>
        <v>0</v>
      </c>
      <c r="T25" s="268"/>
    </row>
    <row r="26" spans="1:22" s="11" customFormat="1" ht="20.100000000000001" customHeight="1">
      <c r="A26" s="64" t="s">
        <v>110</v>
      </c>
      <c r="B26" s="65"/>
      <c r="C26" s="65"/>
      <c r="D26" s="65"/>
      <c r="E26" s="65"/>
      <c r="F26" s="55"/>
      <c r="G26" s="55"/>
      <c r="H26" s="55"/>
      <c r="I26" s="55"/>
      <c r="J26" s="55"/>
      <c r="K26" s="55"/>
      <c r="L26" s="55"/>
      <c r="M26" s="55"/>
      <c r="N26" s="55"/>
      <c r="O26" s="393" t="str">
        <f>IF((O25-P25-Q25-R25-S25)=0,"OK","库龄与期末金额不匹配")</f>
        <v>OK</v>
      </c>
      <c r="P26" s="55"/>
      <c r="Q26" s="55"/>
      <c r="R26" s="55"/>
      <c r="S26" s="55"/>
      <c r="T26" s="55"/>
      <c r="U26" s="55"/>
      <c r="V26" s="55"/>
    </row>
    <row r="27" spans="1:22" s="11" customFormat="1" ht="20.100000000000001" customHeight="1">
      <c r="A27" s="561" t="s">
        <v>6</v>
      </c>
      <c r="B27" s="561" t="s">
        <v>129</v>
      </c>
      <c r="C27" s="545" t="s">
        <v>109</v>
      </c>
      <c r="D27" s="560"/>
      <c r="E27" s="560"/>
      <c r="F27" s="559"/>
      <c r="G27" s="545" t="s">
        <v>105</v>
      </c>
      <c r="H27" s="559"/>
      <c r="I27" s="545" t="s">
        <v>107</v>
      </c>
      <c r="J27" s="559"/>
      <c r="K27" s="545" t="s">
        <v>108</v>
      </c>
      <c r="L27" s="559"/>
      <c r="M27" s="545" t="s">
        <v>112</v>
      </c>
      <c r="N27" s="560"/>
      <c r="O27" s="560"/>
      <c r="P27" s="559"/>
      <c r="Q27" s="401"/>
      <c r="R27" s="401"/>
      <c r="S27" s="401"/>
      <c r="T27" s="86"/>
    </row>
    <row r="28" spans="1:22" s="11" customFormat="1" ht="20.100000000000001" customHeight="1">
      <c r="A28" s="562"/>
      <c r="B28" s="562"/>
      <c r="C28" s="76" t="s">
        <v>111</v>
      </c>
      <c r="D28" s="75" t="s">
        <v>119</v>
      </c>
      <c r="E28" s="75" t="s">
        <v>120</v>
      </c>
      <c r="F28" s="75" t="s">
        <v>32</v>
      </c>
      <c r="G28" s="76" t="s">
        <v>107</v>
      </c>
      <c r="H28" s="76" t="s">
        <v>108</v>
      </c>
      <c r="I28" s="75" t="s">
        <v>119</v>
      </c>
      <c r="J28" s="75" t="s">
        <v>120</v>
      </c>
      <c r="K28" s="75" t="s">
        <v>119</v>
      </c>
      <c r="L28" s="75" t="s">
        <v>120</v>
      </c>
      <c r="M28" s="76" t="s">
        <v>111</v>
      </c>
      <c r="N28" s="75" t="s">
        <v>119</v>
      </c>
      <c r="O28" s="75" t="s">
        <v>120</v>
      </c>
      <c r="P28" s="75" t="s">
        <v>32</v>
      </c>
      <c r="Q28" s="402"/>
      <c r="R28" s="402"/>
      <c r="S28" s="402"/>
      <c r="T28" s="86"/>
    </row>
    <row r="29" spans="1:22" s="11" customFormat="1" ht="20.100000000000001" customHeight="1">
      <c r="A29" s="340">
        <f>A9</f>
        <v>0</v>
      </c>
      <c r="B29" s="341">
        <f>B9</f>
        <v>0</v>
      </c>
      <c r="C29" s="258"/>
      <c r="D29" s="258"/>
      <c r="E29" s="258"/>
      <c r="F29" s="247">
        <f>C29+D29-E29</f>
        <v>0</v>
      </c>
      <c r="G29" s="258"/>
      <c r="H29" s="258"/>
      <c r="I29" s="258"/>
      <c r="J29" s="258"/>
      <c r="K29" s="258"/>
      <c r="L29" s="258"/>
      <c r="M29" s="247">
        <f>C29+G29+H29</f>
        <v>0</v>
      </c>
      <c r="N29" s="247">
        <f>D29+I29+K29</f>
        <v>0</v>
      </c>
      <c r="O29" s="247">
        <f>E29+J29+L29</f>
        <v>0</v>
      </c>
      <c r="P29" s="247">
        <f>M29+N29-O29</f>
        <v>0</v>
      </c>
      <c r="Q29" s="55"/>
      <c r="R29" s="55"/>
      <c r="S29" s="55"/>
      <c r="T29" s="86"/>
    </row>
    <row r="30" spans="1:22" s="11" customFormat="1" ht="18" customHeight="1">
      <c r="A30" s="341">
        <f t="shared" ref="A30:A38" si="7">A10</f>
        <v>0</v>
      </c>
      <c r="B30" s="341">
        <f t="shared" ref="B30:B39" si="8">B10</f>
        <v>0</v>
      </c>
      <c r="C30" s="258"/>
      <c r="D30" s="258"/>
      <c r="E30" s="258"/>
      <c r="F30" s="247">
        <f t="shared" ref="F30:F39" si="9">C30+D30-E30</f>
        <v>0</v>
      </c>
      <c r="G30" s="258"/>
      <c r="H30" s="258"/>
      <c r="I30" s="258"/>
      <c r="J30" s="258"/>
      <c r="K30" s="258"/>
      <c r="L30" s="258"/>
      <c r="M30" s="247">
        <f t="shared" ref="M30:M39" si="10">C30+G30+H30</f>
        <v>0</v>
      </c>
      <c r="N30" s="247">
        <f t="shared" ref="N30:O40" si="11">D30+I30+K30</f>
        <v>0</v>
      </c>
      <c r="O30" s="247">
        <f t="shared" si="11"/>
        <v>0</v>
      </c>
      <c r="P30" s="247">
        <f t="shared" ref="P30:P40" si="12">M30+N30-O30</f>
        <v>0</v>
      </c>
      <c r="Q30" s="55"/>
      <c r="R30" s="55"/>
      <c r="S30" s="55"/>
      <c r="T30" s="86"/>
    </row>
    <row r="31" spans="1:22" s="11" customFormat="1" ht="18" customHeight="1">
      <c r="A31" s="341">
        <f t="shared" si="7"/>
        <v>0</v>
      </c>
      <c r="B31" s="341">
        <f t="shared" si="8"/>
        <v>0</v>
      </c>
      <c r="C31" s="258"/>
      <c r="D31" s="258"/>
      <c r="E31" s="258"/>
      <c r="F31" s="247">
        <f t="shared" si="9"/>
        <v>0</v>
      </c>
      <c r="G31" s="258"/>
      <c r="H31" s="258"/>
      <c r="I31" s="258"/>
      <c r="J31" s="258"/>
      <c r="K31" s="258"/>
      <c r="L31" s="258"/>
      <c r="M31" s="247">
        <f t="shared" si="10"/>
        <v>0</v>
      </c>
      <c r="N31" s="247">
        <f t="shared" si="11"/>
        <v>0</v>
      </c>
      <c r="O31" s="247">
        <f t="shared" si="11"/>
        <v>0</v>
      </c>
      <c r="P31" s="247">
        <f t="shared" si="12"/>
        <v>0</v>
      </c>
      <c r="Q31" s="55"/>
      <c r="R31" s="55"/>
      <c r="S31" s="55"/>
      <c r="T31" s="86"/>
    </row>
    <row r="32" spans="1:22" s="11" customFormat="1" ht="18" customHeight="1">
      <c r="A32" s="341">
        <f t="shared" si="7"/>
        <v>0</v>
      </c>
      <c r="B32" s="341">
        <f t="shared" si="8"/>
        <v>0</v>
      </c>
      <c r="C32" s="258"/>
      <c r="D32" s="258"/>
      <c r="E32" s="258"/>
      <c r="F32" s="247">
        <f t="shared" si="9"/>
        <v>0</v>
      </c>
      <c r="G32" s="258"/>
      <c r="H32" s="258"/>
      <c r="I32" s="258"/>
      <c r="J32" s="258"/>
      <c r="K32" s="258"/>
      <c r="L32" s="258"/>
      <c r="M32" s="247">
        <f t="shared" si="10"/>
        <v>0</v>
      </c>
      <c r="N32" s="247">
        <f t="shared" si="11"/>
        <v>0</v>
      </c>
      <c r="O32" s="247">
        <f t="shared" si="11"/>
        <v>0</v>
      </c>
      <c r="P32" s="247">
        <f t="shared" si="12"/>
        <v>0</v>
      </c>
      <c r="Q32" s="55"/>
      <c r="R32" s="55"/>
      <c r="S32" s="55"/>
      <c r="T32" s="86"/>
    </row>
    <row r="33" spans="1:22" s="11" customFormat="1" ht="18" customHeight="1">
      <c r="A33" s="341">
        <f t="shared" si="7"/>
        <v>0</v>
      </c>
      <c r="B33" s="341">
        <f t="shared" si="8"/>
        <v>0</v>
      </c>
      <c r="C33" s="258"/>
      <c r="D33" s="258"/>
      <c r="E33" s="258"/>
      <c r="F33" s="247">
        <f t="shared" si="9"/>
        <v>0</v>
      </c>
      <c r="G33" s="258"/>
      <c r="H33" s="258"/>
      <c r="I33" s="258"/>
      <c r="J33" s="258"/>
      <c r="K33" s="258"/>
      <c r="L33" s="258"/>
      <c r="M33" s="247">
        <f t="shared" si="10"/>
        <v>0</v>
      </c>
      <c r="N33" s="247">
        <f t="shared" si="11"/>
        <v>0</v>
      </c>
      <c r="O33" s="247">
        <f t="shared" si="11"/>
        <v>0</v>
      </c>
      <c r="P33" s="247">
        <f t="shared" si="12"/>
        <v>0</v>
      </c>
      <c r="Q33" s="55"/>
      <c r="R33" s="55"/>
      <c r="S33" s="55"/>
      <c r="T33" s="86"/>
    </row>
    <row r="34" spans="1:22" s="11" customFormat="1" ht="18" customHeight="1">
      <c r="A34" s="341">
        <f t="shared" si="7"/>
        <v>0</v>
      </c>
      <c r="B34" s="341">
        <f t="shared" si="8"/>
        <v>0</v>
      </c>
      <c r="C34" s="258"/>
      <c r="D34" s="258"/>
      <c r="E34" s="258"/>
      <c r="F34" s="247">
        <f t="shared" si="9"/>
        <v>0</v>
      </c>
      <c r="G34" s="258"/>
      <c r="H34" s="258"/>
      <c r="I34" s="258"/>
      <c r="J34" s="258"/>
      <c r="K34" s="258"/>
      <c r="L34" s="258"/>
      <c r="M34" s="247">
        <f t="shared" si="10"/>
        <v>0</v>
      </c>
      <c r="N34" s="247">
        <f t="shared" si="11"/>
        <v>0</v>
      </c>
      <c r="O34" s="247">
        <f t="shared" si="11"/>
        <v>0</v>
      </c>
      <c r="P34" s="247">
        <f t="shared" si="12"/>
        <v>0</v>
      </c>
      <c r="Q34" s="55"/>
      <c r="R34" s="55"/>
      <c r="S34" s="55"/>
      <c r="T34" s="86"/>
    </row>
    <row r="35" spans="1:22" s="11" customFormat="1" ht="18" customHeight="1">
      <c r="A35" s="341">
        <f t="shared" si="7"/>
        <v>0</v>
      </c>
      <c r="B35" s="341">
        <f t="shared" si="8"/>
        <v>0</v>
      </c>
      <c r="C35" s="258"/>
      <c r="D35" s="258"/>
      <c r="E35" s="258"/>
      <c r="F35" s="247">
        <f t="shared" si="9"/>
        <v>0</v>
      </c>
      <c r="G35" s="258"/>
      <c r="H35" s="258"/>
      <c r="I35" s="258"/>
      <c r="J35" s="258"/>
      <c r="K35" s="258"/>
      <c r="L35" s="258"/>
      <c r="M35" s="247">
        <f t="shared" si="10"/>
        <v>0</v>
      </c>
      <c r="N35" s="247">
        <f t="shared" si="11"/>
        <v>0</v>
      </c>
      <c r="O35" s="247">
        <f t="shared" si="11"/>
        <v>0</v>
      </c>
      <c r="P35" s="247">
        <f t="shared" si="12"/>
        <v>0</v>
      </c>
      <c r="Q35" s="55"/>
      <c r="R35" s="55"/>
      <c r="S35" s="55"/>
      <c r="T35" s="86"/>
    </row>
    <row r="36" spans="1:22" s="11" customFormat="1" ht="18" customHeight="1">
      <c r="A36" s="341">
        <f t="shared" si="7"/>
        <v>0</v>
      </c>
      <c r="B36" s="341">
        <f t="shared" si="8"/>
        <v>0</v>
      </c>
      <c r="C36" s="258"/>
      <c r="D36" s="258"/>
      <c r="E36" s="258"/>
      <c r="F36" s="247">
        <f t="shared" si="9"/>
        <v>0</v>
      </c>
      <c r="G36" s="258"/>
      <c r="H36" s="258"/>
      <c r="I36" s="258"/>
      <c r="J36" s="258"/>
      <c r="K36" s="258"/>
      <c r="L36" s="258"/>
      <c r="M36" s="247">
        <f t="shared" si="10"/>
        <v>0</v>
      </c>
      <c r="N36" s="247">
        <f t="shared" si="11"/>
        <v>0</v>
      </c>
      <c r="O36" s="247">
        <f>E36+J36+L36</f>
        <v>0</v>
      </c>
      <c r="P36" s="247">
        <f t="shared" si="12"/>
        <v>0</v>
      </c>
      <c r="Q36" s="55"/>
      <c r="R36" s="55"/>
      <c r="S36" s="55"/>
      <c r="T36" s="86"/>
    </row>
    <row r="37" spans="1:22" s="11" customFormat="1" ht="18" customHeight="1">
      <c r="A37" s="341">
        <f t="shared" si="7"/>
        <v>0</v>
      </c>
      <c r="B37" s="341">
        <f t="shared" si="8"/>
        <v>0</v>
      </c>
      <c r="C37" s="258"/>
      <c r="D37" s="258"/>
      <c r="E37" s="258"/>
      <c r="F37" s="247">
        <f t="shared" si="9"/>
        <v>0</v>
      </c>
      <c r="G37" s="258"/>
      <c r="H37" s="258"/>
      <c r="I37" s="258"/>
      <c r="J37" s="258"/>
      <c r="K37" s="258"/>
      <c r="L37" s="258"/>
      <c r="M37" s="247">
        <f t="shared" si="10"/>
        <v>0</v>
      </c>
      <c r="N37" s="247">
        <f t="shared" si="11"/>
        <v>0</v>
      </c>
      <c r="O37" s="247">
        <f t="shared" si="11"/>
        <v>0</v>
      </c>
      <c r="P37" s="247">
        <f t="shared" si="12"/>
        <v>0</v>
      </c>
      <c r="Q37" s="55"/>
      <c r="R37" s="55"/>
      <c r="S37" s="55"/>
      <c r="T37" s="86"/>
    </row>
    <row r="38" spans="1:22" s="11" customFormat="1" ht="18" customHeight="1">
      <c r="A38" s="341">
        <f t="shared" si="7"/>
        <v>0</v>
      </c>
      <c r="B38" s="341">
        <f t="shared" si="8"/>
        <v>0</v>
      </c>
      <c r="C38" s="258"/>
      <c r="D38" s="258"/>
      <c r="E38" s="258"/>
      <c r="F38" s="247">
        <f t="shared" si="9"/>
        <v>0</v>
      </c>
      <c r="G38" s="258"/>
      <c r="H38" s="258"/>
      <c r="I38" s="258"/>
      <c r="J38" s="258"/>
      <c r="K38" s="258"/>
      <c r="L38" s="258"/>
      <c r="M38" s="247">
        <f t="shared" si="10"/>
        <v>0</v>
      </c>
      <c r="N38" s="247">
        <f t="shared" si="11"/>
        <v>0</v>
      </c>
      <c r="O38" s="247">
        <f t="shared" si="11"/>
        <v>0</v>
      </c>
      <c r="P38" s="247">
        <f t="shared" si="12"/>
        <v>0</v>
      </c>
      <c r="Q38" s="55"/>
      <c r="R38" s="55"/>
      <c r="S38" s="55"/>
      <c r="T38" s="86"/>
    </row>
    <row r="39" spans="1:22" s="11" customFormat="1" ht="18" customHeight="1">
      <c r="A39" s="279">
        <f>A24</f>
        <v>0</v>
      </c>
      <c r="B39" s="341">
        <f t="shared" si="8"/>
        <v>0</v>
      </c>
      <c r="C39" s="258"/>
      <c r="D39" s="258"/>
      <c r="E39" s="258"/>
      <c r="F39" s="247">
        <f t="shared" si="9"/>
        <v>0</v>
      </c>
      <c r="G39" s="258"/>
      <c r="H39" s="258"/>
      <c r="I39" s="258"/>
      <c r="J39" s="258"/>
      <c r="K39" s="258"/>
      <c r="L39" s="258"/>
      <c r="M39" s="247">
        <f t="shared" si="10"/>
        <v>0</v>
      </c>
      <c r="N39" s="247">
        <f t="shared" si="11"/>
        <v>0</v>
      </c>
      <c r="O39" s="247">
        <f t="shared" si="11"/>
        <v>0</v>
      </c>
      <c r="P39" s="247">
        <f t="shared" si="12"/>
        <v>0</v>
      </c>
      <c r="Q39" s="55"/>
      <c r="R39" s="55"/>
      <c r="S39" s="55"/>
      <c r="T39" s="86"/>
    </row>
    <row r="40" spans="1:22" s="286" customFormat="1" ht="18.600000000000001" customHeight="1">
      <c r="A40" s="236" t="str">
        <f>A25</f>
        <v>合计</v>
      </c>
      <c r="B40" s="310" t="s">
        <v>106</v>
      </c>
      <c r="C40" s="250">
        <f>SUM(C29:C39)</f>
        <v>0</v>
      </c>
      <c r="D40" s="250">
        <f>SUM(D29:D39)</f>
        <v>0</v>
      </c>
      <c r="E40" s="250">
        <f>SUM(E29:E39)</f>
        <v>0</v>
      </c>
      <c r="F40" s="250">
        <f>C40+D40-E40</f>
        <v>0</v>
      </c>
      <c r="G40" s="250">
        <f t="shared" ref="G40" si="13">SUM(G29:G39)</f>
        <v>0</v>
      </c>
      <c r="H40" s="250">
        <f t="shared" ref="H40" si="14">SUM(H29:H39)</f>
        <v>0</v>
      </c>
      <c r="I40" s="250">
        <f t="shared" ref="I40" si="15">SUM(I29:I39)</f>
        <v>0</v>
      </c>
      <c r="J40" s="250">
        <f t="shared" ref="J40" si="16">SUM(J29:J39)</f>
        <v>0</v>
      </c>
      <c r="K40" s="250">
        <f t="shared" ref="K40" si="17">SUM(K29:K39)</f>
        <v>0</v>
      </c>
      <c r="L40" s="250">
        <f t="shared" ref="L40" si="18">SUM(L29:L39)</f>
        <v>0</v>
      </c>
      <c r="M40" s="250">
        <f>C40+G40+H40</f>
        <v>0</v>
      </c>
      <c r="N40" s="250">
        <f t="shared" si="11"/>
        <v>0</v>
      </c>
      <c r="O40" s="250">
        <f t="shared" si="11"/>
        <v>0</v>
      </c>
      <c r="P40" s="250">
        <f t="shared" si="12"/>
        <v>0</v>
      </c>
      <c r="Q40" s="336"/>
      <c r="R40" s="336"/>
      <c r="S40" s="336"/>
      <c r="T40" s="403"/>
    </row>
    <row r="41" spans="1:22" s="11" customFormat="1" ht="13.8">
      <c r="A41" s="64" t="s">
        <v>115</v>
      </c>
      <c r="B41" s="65"/>
      <c r="C41" s="59"/>
      <c r="D41" s="59"/>
      <c r="E41" s="59"/>
      <c r="F41" s="55"/>
      <c r="G41" s="55"/>
      <c r="H41" s="55"/>
      <c r="I41" s="55"/>
      <c r="J41" s="55"/>
      <c r="K41" s="55"/>
      <c r="L41" s="55"/>
      <c r="M41" s="55"/>
      <c r="N41" s="55"/>
      <c r="O41" s="55"/>
      <c r="P41" s="55"/>
      <c r="Q41" s="55"/>
      <c r="R41" s="55"/>
      <c r="S41" s="55"/>
      <c r="T41" s="55"/>
      <c r="U41" s="55"/>
      <c r="V41" s="55"/>
    </row>
    <row r="42" spans="1:22" s="11" customFormat="1" ht="17.399999999999999" customHeight="1">
      <c r="A42" s="561" t="s">
        <v>6</v>
      </c>
      <c r="B42" s="561" t="s">
        <v>129</v>
      </c>
      <c r="C42" s="563" t="s">
        <v>121</v>
      </c>
      <c r="D42" s="564"/>
      <c r="E42" s="565"/>
      <c r="F42" s="563" t="s">
        <v>122</v>
      </c>
      <c r="G42" s="564"/>
      <c r="H42" s="565"/>
      <c r="I42" s="55"/>
      <c r="J42" s="55"/>
    </row>
    <row r="43" spans="1:22" s="11" customFormat="1" ht="17.399999999999999" customHeight="1">
      <c r="A43" s="562"/>
      <c r="B43" s="562"/>
      <c r="C43" s="75" t="s">
        <v>126</v>
      </c>
      <c r="D43" s="76" t="s">
        <v>29</v>
      </c>
      <c r="E43" s="78" t="s">
        <v>117</v>
      </c>
      <c r="F43" s="75" t="s">
        <v>126</v>
      </c>
      <c r="G43" s="76" t="s">
        <v>29</v>
      </c>
      <c r="H43" s="78" t="s">
        <v>116</v>
      </c>
      <c r="I43" s="55"/>
      <c r="J43" s="55"/>
    </row>
    <row r="44" spans="1:22" s="11" customFormat="1" ht="17.399999999999999" customHeight="1">
      <c r="A44" s="341">
        <f>A29</f>
        <v>0</v>
      </c>
      <c r="B44" s="341">
        <f>B29</f>
        <v>0</v>
      </c>
      <c r="C44" s="272">
        <f t="shared" ref="C44:C54" si="19">D9</f>
        <v>0</v>
      </c>
      <c r="D44" s="247">
        <f>IF(C44=0,0,E44/C44)</f>
        <v>0</v>
      </c>
      <c r="E44" s="247">
        <f t="shared" ref="E44:E54" si="20">F9-F29</f>
        <v>0</v>
      </c>
      <c r="F44" s="247">
        <f t="shared" ref="F44:F54" si="21">M9</f>
        <v>0</v>
      </c>
      <c r="G44" s="247">
        <f t="shared" ref="G44:G54" si="22">IF(F44=0,0,H44/F44)</f>
        <v>0</v>
      </c>
      <c r="H44" s="247">
        <f t="shared" ref="H44:H54" si="23">O9-P29</f>
        <v>0</v>
      </c>
      <c r="I44" s="55"/>
      <c r="J44" s="55"/>
    </row>
    <row r="45" spans="1:22" s="11" customFormat="1" ht="17.399999999999999" customHeight="1">
      <c r="A45" s="341">
        <f t="shared" ref="A45:A54" si="24">A30</f>
        <v>0</v>
      </c>
      <c r="B45" s="341">
        <f t="shared" ref="B45:B54" si="25">B30</f>
        <v>0</v>
      </c>
      <c r="C45" s="272">
        <f t="shared" si="19"/>
        <v>0</v>
      </c>
      <c r="D45" s="247">
        <f t="shared" ref="D45:D54" si="26">IF(C45=0,0,E45/C45)</f>
        <v>0</v>
      </c>
      <c r="E45" s="247">
        <f t="shared" si="20"/>
        <v>0</v>
      </c>
      <c r="F45" s="247">
        <f t="shared" si="21"/>
        <v>0</v>
      </c>
      <c r="G45" s="247">
        <f t="shared" si="22"/>
        <v>0</v>
      </c>
      <c r="H45" s="247">
        <f t="shared" si="23"/>
        <v>0</v>
      </c>
      <c r="I45" s="55"/>
      <c r="J45" s="55"/>
    </row>
    <row r="46" spans="1:22" s="11" customFormat="1" ht="17.399999999999999" customHeight="1">
      <c r="A46" s="341">
        <f t="shared" si="24"/>
        <v>0</v>
      </c>
      <c r="B46" s="341">
        <f t="shared" si="25"/>
        <v>0</v>
      </c>
      <c r="C46" s="272">
        <f t="shared" si="19"/>
        <v>0</v>
      </c>
      <c r="D46" s="247">
        <f t="shared" si="26"/>
        <v>0</v>
      </c>
      <c r="E46" s="247">
        <f t="shared" si="20"/>
        <v>0</v>
      </c>
      <c r="F46" s="247">
        <f t="shared" si="21"/>
        <v>0</v>
      </c>
      <c r="G46" s="247">
        <f t="shared" si="22"/>
        <v>0</v>
      </c>
      <c r="H46" s="247">
        <f t="shared" si="23"/>
        <v>0</v>
      </c>
      <c r="I46" s="55"/>
      <c r="J46" s="55"/>
    </row>
    <row r="47" spans="1:22" s="11" customFormat="1" ht="17.399999999999999" customHeight="1">
      <c r="A47" s="341">
        <f t="shared" si="24"/>
        <v>0</v>
      </c>
      <c r="B47" s="341">
        <f t="shared" si="25"/>
        <v>0</v>
      </c>
      <c r="C47" s="272">
        <f t="shared" si="19"/>
        <v>0</v>
      </c>
      <c r="D47" s="247">
        <f t="shared" si="26"/>
        <v>0</v>
      </c>
      <c r="E47" s="247">
        <f t="shared" si="20"/>
        <v>0</v>
      </c>
      <c r="F47" s="247">
        <f t="shared" si="21"/>
        <v>0</v>
      </c>
      <c r="G47" s="247">
        <f t="shared" si="22"/>
        <v>0</v>
      </c>
      <c r="H47" s="247">
        <f t="shared" si="23"/>
        <v>0</v>
      </c>
      <c r="I47" s="55"/>
      <c r="J47" s="55"/>
    </row>
    <row r="48" spans="1:22" ht="17.399999999999999" customHeight="1">
      <c r="A48" s="341">
        <f t="shared" si="24"/>
        <v>0</v>
      </c>
      <c r="B48" s="341">
        <f t="shared" si="25"/>
        <v>0</v>
      </c>
      <c r="C48" s="272">
        <f t="shared" si="19"/>
        <v>0</v>
      </c>
      <c r="D48" s="247">
        <f t="shared" si="26"/>
        <v>0</v>
      </c>
      <c r="E48" s="247">
        <f t="shared" si="20"/>
        <v>0</v>
      </c>
      <c r="F48" s="247">
        <f t="shared" si="21"/>
        <v>0</v>
      </c>
      <c r="G48" s="247">
        <f t="shared" si="22"/>
        <v>0</v>
      </c>
      <c r="H48" s="247">
        <f t="shared" si="23"/>
        <v>0</v>
      </c>
      <c r="I48" s="55"/>
      <c r="J48" s="55"/>
    </row>
    <row r="49" spans="1:22" ht="17.399999999999999" customHeight="1">
      <c r="A49" s="341">
        <f t="shared" si="24"/>
        <v>0</v>
      </c>
      <c r="B49" s="341">
        <f t="shared" si="25"/>
        <v>0</v>
      </c>
      <c r="C49" s="272">
        <f t="shared" si="19"/>
        <v>0</v>
      </c>
      <c r="D49" s="247">
        <f t="shared" si="26"/>
        <v>0</v>
      </c>
      <c r="E49" s="247">
        <f t="shared" si="20"/>
        <v>0</v>
      </c>
      <c r="F49" s="247">
        <f t="shared" si="21"/>
        <v>0</v>
      </c>
      <c r="G49" s="247">
        <f t="shared" si="22"/>
        <v>0</v>
      </c>
      <c r="H49" s="247">
        <f t="shared" si="23"/>
        <v>0</v>
      </c>
      <c r="I49" s="55"/>
      <c r="J49" s="55"/>
    </row>
    <row r="50" spans="1:22" ht="17.399999999999999" customHeight="1">
      <c r="A50" s="341">
        <f t="shared" si="24"/>
        <v>0</v>
      </c>
      <c r="B50" s="341">
        <f t="shared" si="25"/>
        <v>0</v>
      </c>
      <c r="C50" s="272">
        <f t="shared" si="19"/>
        <v>0</v>
      </c>
      <c r="D50" s="247">
        <f t="shared" si="26"/>
        <v>0</v>
      </c>
      <c r="E50" s="247">
        <f t="shared" si="20"/>
        <v>0</v>
      </c>
      <c r="F50" s="247">
        <f t="shared" si="21"/>
        <v>0</v>
      </c>
      <c r="G50" s="247">
        <f t="shared" si="22"/>
        <v>0</v>
      </c>
      <c r="H50" s="247">
        <f t="shared" si="23"/>
        <v>0</v>
      </c>
      <c r="I50" s="55"/>
      <c r="J50" s="55"/>
    </row>
    <row r="51" spans="1:22" ht="17.399999999999999" customHeight="1">
      <c r="A51" s="341">
        <f t="shared" si="24"/>
        <v>0</v>
      </c>
      <c r="B51" s="341">
        <f t="shared" si="25"/>
        <v>0</v>
      </c>
      <c r="C51" s="272">
        <f t="shared" si="19"/>
        <v>0</v>
      </c>
      <c r="D51" s="247">
        <f t="shared" si="26"/>
        <v>0</v>
      </c>
      <c r="E51" s="247">
        <f t="shared" si="20"/>
        <v>0</v>
      </c>
      <c r="F51" s="247">
        <f t="shared" si="21"/>
        <v>0</v>
      </c>
      <c r="G51" s="247">
        <f t="shared" si="22"/>
        <v>0</v>
      </c>
      <c r="H51" s="247">
        <f t="shared" si="23"/>
        <v>0</v>
      </c>
      <c r="I51" s="55"/>
      <c r="J51" s="55"/>
    </row>
    <row r="52" spans="1:22" ht="17.399999999999999" customHeight="1">
      <c r="A52" s="341">
        <f t="shared" si="24"/>
        <v>0</v>
      </c>
      <c r="B52" s="341">
        <f t="shared" si="25"/>
        <v>0</v>
      </c>
      <c r="C52" s="272">
        <f t="shared" si="19"/>
        <v>0</v>
      </c>
      <c r="D52" s="247">
        <f t="shared" si="26"/>
        <v>0</v>
      </c>
      <c r="E52" s="247">
        <f t="shared" si="20"/>
        <v>0</v>
      </c>
      <c r="F52" s="247">
        <f t="shared" si="21"/>
        <v>0</v>
      </c>
      <c r="G52" s="247">
        <f t="shared" si="22"/>
        <v>0</v>
      </c>
      <c r="H52" s="247">
        <f t="shared" si="23"/>
        <v>0</v>
      </c>
      <c r="I52" s="55"/>
      <c r="J52" s="55"/>
    </row>
    <row r="53" spans="1:22" ht="17.399999999999999" customHeight="1">
      <c r="A53" s="341">
        <f t="shared" si="24"/>
        <v>0</v>
      </c>
      <c r="B53" s="341">
        <f t="shared" si="25"/>
        <v>0</v>
      </c>
      <c r="C53" s="272">
        <f t="shared" si="19"/>
        <v>0</v>
      </c>
      <c r="D53" s="247">
        <f t="shared" si="26"/>
        <v>0</v>
      </c>
      <c r="E53" s="247">
        <f t="shared" si="20"/>
        <v>0</v>
      </c>
      <c r="F53" s="247">
        <f t="shared" si="21"/>
        <v>0</v>
      </c>
      <c r="G53" s="247">
        <f t="shared" si="22"/>
        <v>0</v>
      </c>
      <c r="H53" s="247">
        <f t="shared" si="23"/>
        <v>0</v>
      </c>
      <c r="I53" s="55"/>
      <c r="J53" s="55"/>
    </row>
    <row r="54" spans="1:22" ht="17.399999999999999" customHeight="1">
      <c r="A54" s="341">
        <f t="shared" si="24"/>
        <v>0</v>
      </c>
      <c r="B54" s="341">
        <f t="shared" si="25"/>
        <v>0</v>
      </c>
      <c r="C54" s="272">
        <f t="shared" si="19"/>
        <v>0</v>
      </c>
      <c r="D54" s="247">
        <f t="shared" si="26"/>
        <v>0</v>
      </c>
      <c r="E54" s="247">
        <f t="shared" si="20"/>
        <v>0</v>
      </c>
      <c r="F54" s="247">
        <f t="shared" si="21"/>
        <v>0</v>
      </c>
      <c r="G54" s="247">
        <f t="shared" si="22"/>
        <v>0</v>
      </c>
      <c r="H54" s="247">
        <f t="shared" si="23"/>
        <v>0</v>
      </c>
      <c r="I54" s="55"/>
      <c r="J54" s="55"/>
    </row>
    <row r="55" spans="1:22" ht="17.399999999999999" customHeight="1">
      <c r="A55" s="236" t="str">
        <f>A25</f>
        <v>合计</v>
      </c>
      <c r="B55" s="310" t="s">
        <v>106</v>
      </c>
      <c r="C55" s="296">
        <f>SUM(C44:C54)</f>
        <v>0</v>
      </c>
      <c r="D55" s="296">
        <f t="shared" ref="D55:H55" si="27">SUM(D44:D54)</f>
        <v>0</v>
      </c>
      <c r="E55" s="296">
        <f t="shared" si="27"/>
        <v>0</v>
      </c>
      <c r="F55" s="296">
        <f t="shared" si="27"/>
        <v>0</v>
      </c>
      <c r="G55" s="296">
        <f t="shared" si="27"/>
        <v>0</v>
      </c>
      <c r="H55" s="296">
        <f t="shared" si="27"/>
        <v>0</v>
      </c>
      <c r="I55" s="55"/>
      <c r="J55" s="55"/>
    </row>
    <row r="56" spans="1:22">
      <c r="A56" s="60" t="s">
        <v>34</v>
      </c>
      <c r="B56" s="9"/>
      <c r="C56" s="9"/>
      <c r="D56" s="9"/>
      <c r="E56" s="9"/>
      <c r="F56" s="9"/>
      <c r="G56" s="9"/>
      <c r="H56" s="9"/>
      <c r="I56" s="9"/>
      <c r="J56" s="9"/>
      <c r="K56" s="9"/>
      <c r="L56" s="9"/>
      <c r="M56" s="9"/>
      <c r="N56" s="9"/>
      <c r="O56" s="9"/>
      <c r="P56" s="9"/>
      <c r="Q56" s="9"/>
      <c r="R56" s="9"/>
      <c r="S56" s="9"/>
      <c r="T56" s="9"/>
      <c r="U56" s="11"/>
      <c r="V56" s="11"/>
    </row>
    <row r="57" spans="1:22">
      <c r="A57" s="46"/>
      <c r="B57" s="9"/>
      <c r="C57" s="9"/>
      <c r="D57" s="9"/>
      <c r="E57" s="9"/>
      <c r="F57" s="9"/>
      <c r="G57" s="9"/>
      <c r="H57" s="9"/>
      <c r="I57" s="9"/>
      <c r="J57" s="46"/>
      <c r="K57" s="9"/>
      <c r="L57" s="9"/>
      <c r="M57" s="9"/>
      <c r="N57" s="9"/>
      <c r="O57" s="9"/>
      <c r="P57" s="9"/>
      <c r="Q57" s="9"/>
      <c r="R57" s="9"/>
      <c r="S57" s="9"/>
      <c r="T57" s="9"/>
      <c r="U57" s="11"/>
      <c r="V57" s="11"/>
    </row>
    <row r="58" spans="1:22">
      <c r="A58" s="46"/>
      <c r="B58" s="9"/>
      <c r="C58" s="9"/>
      <c r="D58" s="9"/>
      <c r="E58" s="9"/>
      <c r="F58" s="9"/>
      <c r="G58" s="9"/>
      <c r="H58" s="9"/>
      <c r="I58" s="9"/>
      <c r="J58" s="46"/>
      <c r="K58" s="9"/>
      <c r="L58" s="9"/>
      <c r="M58" s="9"/>
      <c r="N58" s="9"/>
      <c r="O58" s="9"/>
      <c r="P58" s="9"/>
      <c r="Q58" s="9"/>
      <c r="R58" s="9"/>
      <c r="S58" s="9"/>
      <c r="T58" s="9"/>
      <c r="U58" s="11"/>
      <c r="V58" s="11"/>
    </row>
    <row r="59" spans="1:22">
      <c r="A59" s="31"/>
      <c r="B59" s="9"/>
      <c r="C59" s="9"/>
      <c r="D59" s="9"/>
      <c r="E59" s="9"/>
      <c r="F59" s="9"/>
      <c r="G59" s="9"/>
      <c r="H59" s="9"/>
      <c r="I59" s="9"/>
      <c r="J59" s="9"/>
      <c r="K59" s="9"/>
      <c r="L59" s="9"/>
      <c r="M59" s="9"/>
      <c r="N59" s="9"/>
      <c r="O59" s="9"/>
      <c r="P59" s="9"/>
      <c r="Q59" s="9"/>
      <c r="R59" s="9"/>
      <c r="S59" s="9"/>
      <c r="T59" s="9"/>
      <c r="U59" s="11"/>
      <c r="V59" s="11"/>
    </row>
    <row r="60" spans="1:22">
      <c r="A60" s="11"/>
      <c r="B60" s="11"/>
      <c r="C60" s="11"/>
      <c r="D60" s="11"/>
      <c r="E60" s="11"/>
      <c r="F60" s="11"/>
      <c r="G60" s="11"/>
      <c r="H60" s="11"/>
      <c r="I60" s="11"/>
      <c r="J60" s="11"/>
      <c r="K60" s="11"/>
      <c r="L60" s="11"/>
      <c r="M60" s="11"/>
      <c r="N60" s="11"/>
      <c r="O60" s="11"/>
      <c r="P60" s="11"/>
      <c r="Q60" s="11"/>
      <c r="R60" s="11"/>
      <c r="S60" s="11"/>
      <c r="T60" s="11"/>
      <c r="U60" s="11"/>
      <c r="V60" s="11"/>
    </row>
    <row r="61" spans="1:22">
      <c r="A61" s="11"/>
      <c r="B61" s="11"/>
      <c r="C61" s="11"/>
      <c r="D61" s="11"/>
      <c r="E61" s="11"/>
      <c r="F61" s="11"/>
      <c r="G61" s="11"/>
      <c r="H61" s="11"/>
      <c r="I61" s="11"/>
      <c r="J61" s="11"/>
      <c r="K61" s="11"/>
      <c r="L61" s="11"/>
      <c r="M61" s="11"/>
      <c r="N61" s="11"/>
      <c r="O61" s="11"/>
      <c r="P61" s="11"/>
      <c r="Q61" s="11"/>
      <c r="R61" s="11"/>
      <c r="S61" s="11"/>
      <c r="T61" s="11"/>
      <c r="U61" s="11"/>
      <c r="V61" s="11"/>
    </row>
    <row r="62" spans="1:22">
      <c r="A62" s="11"/>
      <c r="B62" s="11"/>
      <c r="C62" s="11"/>
      <c r="D62" s="11"/>
      <c r="E62" s="11"/>
      <c r="F62" s="11"/>
      <c r="G62" s="11"/>
      <c r="H62" s="11"/>
      <c r="I62" s="11"/>
      <c r="J62" s="11"/>
      <c r="K62" s="11"/>
      <c r="L62" s="11"/>
      <c r="M62" s="11"/>
      <c r="N62" s="11"/>
      <c r="O62" s="11"/>
      <c r="P62" s="11"/>
      <c r="Q62" s="11"/>
      <c r="R62" s="11"/>
      <c r="S62" s="11"/>
      <c r="T62" s="11"/>
      <c r="U62" s="11"/>
      <c r="V62" s="11"/>
    </row>
    <row r="63" spans="1:22">
      <c r="A63" s="11"/>
      <c r="B63" s="11"/>
      <c r="C63" s="11"/>
      <c r="D63" s="11"/>
      <c r="E63" s="11"/>
      <c r="F63" s="11"/>
      <c r="G63" s="11"/>
      <c r="H63" s="11"/>
      <c r="I63" s="11"/>
      <c r="J63" s="11"/>
      <c r="K63" s="11"/>
      <c r="L63" s="11"/>
      <c r="M63" s="11"/>
      <c r="N63" s="11"/>
      <c r="O63" s="11"/>
      <c r="P63" s="11"/>
      <c r="Q63" s="11"/>
      <c r="R63" s="11"/>
      <c r="S63" s="11"/>
      <c r="T63" s="11"/>
      <c r="U63" s="11"/>
      <c r="V63" s="11"/>
    </row>
    <row r="64" spans="1:22">
      <c r="A64" s="11"/>
      <c r="B64" s="11"/>
      <c r="C64" s="11"/>
      <c r="D64" s="11"/>
      <c r="E64" s="11"/>
      <c r="F64" s="11"/>
      <c r="G64" s="11"/>
      <c r="H64" s="11"/>
      <c r="I64" s="11"/>
      <c r="J64" s="11"/>
      <c r="K64" s="11"/>
      <c r="L64" s="11"/>
      <c r="M64" s="11"/>
      <c r="N64" s="11"/>
      <c r="O64" s="11"/>
      <c r="P64" s="11"/>
      <c r="Q64" s="11"/>
      <c r="R64" s="11"/>
      <c r="S64" s="11"/>
      <c r="T64" s="11"/>
      <c r="U64" s="11"/>
      <c r="V64" s="11"/>
    </row>
    <row r="65" spans="1:22">
      <c r="A65" s="11"/>
      <c r="B65" s="11"/>
      <c r="C65" s="11"/>
      <c r="D65" s="11"/>
      <c r="E65" s="11"/>
      <c r="F65" s="11"/>
      <c r="G65" s="11"/>
      <c r="H65" s="11"/>
      <c r="I65" s="11"/>
      <c r="J65" s="11"/>
      <c r="K65" s="11"/>
      <c r="L65" s="11"/>
      <c r="M65" s="11"/>
      <c r="N65" s="11"/>
      <c r="O65" s="11"/>
      <c r="P65" s="11"/>
      <c r="Q65" s="11"/>
      <c r="R65" s="11"/>
      <c r="S65" s="11"/>
      <c r="T65" s="11"/>
      <c r="U65" s="11"/>
      <c r="V65" s="11"/>
    </row>
    <row r="66" spans="1:22">
      <c r="A66" s="11"/>
      <c r="B66" s="11"/>
      <c r="C66" s="11"/>
      <c r="D66" s="11"/>
      <c r="E66" s="11"/>
      <c r="F66" s="11"/>
      <c r="G66" s="11"/>
      <c r="H66" s="11"/>
      <c r="I66" s="11"/>
      <c r="J66" s="11"/>
      <c r="K66" s="11"/>
      <c r="L66" s="11"/>
      <c r="M66" s="11"/>
      <c r="N66" s="11"/>
      <c r="O66" s="11"/>
      <c r="P66" s="11"/>
      <c r="Q66" s="11"/>
      <c r="R66" s="11"/>
      <c r="S66" s="11"/>
      <c r="T66" s="11"/>
      <c r="U66" s="11"/>
      <c r="V66" s="11"/>
    </row>
    <row r="67" spans="1:22">
      <c r="A67" s="11"/>
      <c r="B67" s="11"/>
      <c r="C67" s="11"/>
      <c r="D67" s="11"/>
      <c r="E67" s="11"/>
      <c r="F67" s="11"/>
      <c r="G67" s="11"/>
      <c r="H67" s="11"/>
      <c r="I67" s="11"/>
      <c r="J67" s="11"/>
      <c r="K67" s="11"/>
      <c r="L67" s="11"/>
      <c r="M67" s="11"/>
      <c r="N67" s="11"/>
      <c r="O67" s="11"/>
      <c r="P67" s="11"/>
      <c r="Q67" s="11"/>
      <c r="R67" s="11"/>
      <c r="S67" s="11"/>
      <c r="T67" s="11"/>
      <c r="U67" s="11"/>
      <c r="V67" s="11"/>
    </row>
    <row r="68" spans="1:22">
      <c r="A68" s="11"/>
      <c r="B68" s="11"/>
      <c r="C68" s="11"/>
      <c r="D68" s="11"/>
      <c r="E68" s="11"/>
      <c r="F68" s="11"/>
      <c r="G68" s="11"/>
      <c r="H68" s="11"/>
      <c r="I68" s="11"/>
      <c r="J68" s="11"/>
      <c r="K68" s="11"/>
      <c r="L68" s="11"/>
      <c r="M68" s="11"/>
      <c r="N68" s="11"/>
      <c r="O68" s="11"/>
      <c r="P68" s="11"/>
      <c r="Q68" s="11"/>
      <c r="R68" s="11"/>
      <c r="S68" s="11"/>
      <c r="T68" s="11"/>
      <c r="U68" s="11"/>
      <c r="V68" s="11"/>
    </row>
    <row r="69" spans="1:22">
      <c r="A69" s="11"/>
      <c r="B69" s="11"/>
      <c r="C69" s="11"/>
      <c r="D69" s="11"/>
      <c r="E69" s="11"/>
      <c r="F69" s="11"/>
      <c r="G69" s="11"/>
      <c r="H69" s="11"/>
      <c r="I69" s="11"/>
      <c r="J69" s="11"/>
      <c r="K69" s="11"/>
      <c r="L69" s="11"/>
      <c r="M69" s="11"/>
      <c r="N69" s="11"/>
      <c r="O69" s="11"/>
      <c r="P69" s="11"/>
      <c r="Q69" s="11"/>
      <c r="R69" s="11"/>
      <c r="S69" s="11"/>
      <c r="T69" s="11"/>
      <c r="U69" s="11"/>
      <c r="V69" s="11"/>
    </row>
    <row r="70" spans="1:22">
      <c r="A70" s="11"/>
      <c r="B70" s="11"/>
      <c r="C70" s="11"/>
      <c r="D70" s="11"/>
      <c r="E70" s="11"/>
      <c r="F70" s="11"/>
      <c r="G70" s="11"/>
      <c r="H70" s="11"/>
      <c r="I70" s="11"/>
      <c r="J70" s="11"/>
      <c r="K70" s="11"/>
      <c r="L70" s="11"/>
      <c r="M70" s="11"/>
      <c r="N70" s="11"/>
      <c r="O70" s="11"/>
      <c r="P70" s="11"/>
      <c r="Q70" s="11"/>
      <c r="R70" s="11"/>
      <c r="S70" s="11"/>
      <c r="T70" s="11"/>
      <c r="U70" s="11"/>
      <c r="V70" s="11"/>
    </row>
    <row r="71" spans="1:22">
      <c r="A71" s="11"/>
      <c r="B71" s="11"/>
      <c r="C71" s="11"/>
      <c r="D71" s="11"/>
      <c r="E71" s="11"/>
      <c r="F71" s="11"/>
      <c r="G71" s="11"/>
      <c r="H71" s="11"/>
      <c r="I71" s="11"/>
      <c r="J71" s="11"/>
      <c r="K71" s="11"/>
      <c r="L71" s="11"/>
      <c r="M71" s="11"/>
      <c r="N71" s="11"/>
      <c r="O71" s="11"/>
      <c r="P71" s="11"/>
      <c r="Q71" s="11"/>
      <c r="R71" s="11"/>
      <c r="S71" s="11"/>
      <c r="T71" s="11"/>
      <c r="U71" s="11"/>
      <c r="V71" s="11"/>
    </row>
    <row r="72" spans="1:22">
      <c r="A72" s="11"/>
      <c r="B72" s="11"/>
      <c r="C72" s="11"/>
      <c r="D72" s="11"/>
      <c r="E72" s="11"/>
      <c r="F72" s="11"/>
      <c r="G72" s="11"/>
      <c r="H72" s="11"/>
      <c r="I72" s="11"/>
      <c r="J72" s="11"/>
      <c r="K72" s="11"/>
      <c r="L72" s="11"/>
      <c r="M72" s="11"/>
      <c r="N72" s="11"/>
      <c r="O72" s="11"/>
      <c r="P72" s="11"/>
      <c r="Q72" s="11"/>
      <c r="R72" s="11"/>
      <c r="S72" s="11"/>
      <c r="T72" s="11"/>
      <c r="U72" s="11"/>
      <c r="V72" s="11"/>
    </row>
    <row r="73" spans="1:22">
      <c r="A73" s="11"/>
      <c r="B73" s="11"/>
      <c r="C73" s="11"/>
      <c r="D73" s="11"/>
      <c r="E73" s="11"/>
      <c r="F73" s="11"/>
      <c r="G73" s="11"/>
      <c r="H73" s="11"/>
      <c r="I73" s="11"/>
      <c r="J73" s="11"/>
      <c r="K73" s="11"/>
      <c r="L73" s="11"/>
      <c r="M73" s="11"/>
      <c r="N73" s="11"/>
      <c r="O73" s="11"/>
      <c r="P73" s="11"/>
      <c r="Q73" s="11"/>
      <c r="R73" s="11"/>
      <c r="S73" s="11"/>
      <c r="T73" s="11"/>
      <c r="U73" s="11"/>
      <c r="V73" s="11"/>
    </row>
    <row r="74" spans="1:22">
      <c r="A74" s="11"/>
      <c r="B74" s="11"/>
      <c r="C74" s="11"/>
      <c r="D74" s="11"/>
      <c r="E74" s="11"/>
      <c r="F74" s="11"/>
      <c r="G74" s="11"/>
      <c r="H74" s="11"/>
      <c r="I74" s="11"/>
      <c r="J74" s="11"/>
      <c r="K74" s="11"/>
      <c r="L74" s="11"/>
      <c r="M74" s="11"/>
      <c r="N74" s="11"/>
      <c r="O74" s="11"/>
      <c r="P74" s="11"/>
      <c r="Q74" s="11"/>
      <c r="R74" s="11"/>
      <c r="S74" s="11"/>
      <c r="T74" s="11"/>
      <c r="U74" s="11"/>
      <c r="V74" s="11"/>
    </row>
    <row r="75" spans="1:22">
      <c r="A75" s="11"/>
      <c r="B75" s="11"/>
      <c r="C75" s="11"/>
      <c r="D75" s="11"/>
      <c r="E75" s="11"/>
      <c r="F75" s="11"/>
      <c r="G75" s="11"/>
      <c r="H75" s="11"/>
      <c r="I75" s="11"/>
      <c r="J75" s="11"/>
      <c r="K75" s="11"/>
      <c r="L75" s="11"/>
      <c r="M75" s="11"/>
      <c r="N75" s="11"/>
      <c r="O75" s="11"/>
      <c r="P75" s="11"/>
      <c r="Q75" s="11"/>
      <c r="R75" s="11"/>
      <c r="S75" s="11"/>
      <c r="T75" s="11"/>
      <c r="U75" s="11"/>
      <c r="V75" s="11"/>
    </row>
    <row r="76" spans="1:22">
      <c r="A76" s="11"/>
      <c r="B76" s="11"/>
      <c r="C76" s="11"/>
      <c r="D76" s="11"/>
      <c r="E76" s="11"/>
      <c r="F76" s="11"/>
      <c r="G76" s="11"/>
      <c r="H76" s="11"/>
      <c r="I76" s="11"/>
      <c r="J76" s="11"/>
      <c r="K76" s="11"/>
      <c r="L76" s="11"/>
      <c r="M76" s="11"/>
      <c r="N76" s="11"/>
      <c r="O76" s="11"/>
      <c r="P76" s="11"/>
      <c r="Q76" s="11"/>
      <c r="R76" s="11"/>
      <c r="S76" s="11"/>
      <c r="T76" s="11"/>
      <c r="U76" s="11"/>
      <c r="V76" s="11"/>
    </row>
    <row r="77" spans="1:22">
      <c r="A77" s="11"/>
      <c r="B77" s="11"/>
      <c r="C77" s="11"/>
      <c r="D77" s="11"/>
      <c r="E77" s="11"/>
      <c r="F77" s="11"/>
      <c r="G77" s="11"/>
      <c r="H77" s="11"/>
      <c r="I77" s="11"/>
      <c r="J77" s="11"/>
      <c r="K77" s="11"/>
      <c r="L77" s="11"/>
      <c r="M77" s="11"/>
      <c r="N77" s="11"/>
      <c r="O77" s="11"/>
      <c r="P77" s="11"/>
      <c r="Q77" s="11"/>
      <c r="R77" s="11"/>
      <c r="S77" s="11"/>
      <c r="T77" s="11"/>
      <c r="U77" s="11"/>
      <c r="V77" s="11"/>
    </row>
    <row r="78" spans="1:22">
      <c r="A78" s="11"/>
      <c r="B78" s="11"/>
      <c r="C78" s="11"/>
      <c r="D78" s="11"/>
      <c r="E78" s="11"/>
      <c r="F78" s="11"/>
      <c r="G78" s="11"/>
      <c r="H78" s="11"/>
      <c r="I78" s="11"/>
      <c r="J78" s="11"/>
      <c r="K78" s="11"/>
      <c r="L78" s="11"/>
      <c r="M78" s="11"/>
      <c r="N78" s="11"/>
      <c r="O78" s="11"/>
      <c r="P78" s="11"/>
      <c r="Q78" s="11"/>
      <c r="R78" s="11"/>
      <c r="S78" s="11"/>
      <c r="T78" s="11"/>
      <c r="U78" s="11"/>
      <c r="V78" s="11"/>
    </row>
    <row r="79" spans="1:22">
      <c r="A79" s="11"/>
      <c r="B79" s="11"/>
      <c r="C79" s="11"/>
      <c r="D79" s="11"/>
      <c r="E79" s="11"/>
      <c r="F79" s="11"/>
      <c r="G79" s="11"/>
      <c r="H79" s="11"/>
      <c r="I79" s="11"/>
      <c r="J79" s="11"/>
      <c r="K79" s="11"/>
      <c r="L79" s="11"/>
      <c r="M79" s="11"/>
      <c r="N79" s="11"/>
      <c r="O79" s="11"/>
      <c r="P79" s="11"/>
      <c r="Q79" s="11"/>
      <c r="R79" s="11"/>
      <c r="S79" s="11"/>
      <c r="T79" s="11"/>
      <c r="U79" s="11"/>
      <c r="V79" s="11"/>
    </row>
  </sheetData>
  <mergeCells count="38">
    <mergeCell ref="E7:E8"/>
    <mergeCell ref="D7:D8"/>
    <mergeCell ref="B27:B28"/>
    <mergeCell ref="F42:H42"/>
    <mergeCell ref="C42:E42"/>
    <mergeCell ref="A42:A43"/>
    <mergeCell ref="B42:B43"/>
    <mergeCell ref="I27:J27"/>
    <mergeCell ref="G27:H27"/>
    <mergeCell ref="C27:F27"/>
    <mergeCell ref="A27:A28"/>
    <mergeCell ref="L7:L8"/>
    <mergeCell ref="K27:L27"/>
    <mergeCell ref="M27:P27"/>
    <mergeCell ref="M7:M8"/>
    <mergeCell ref="N7:N8"/>
    <mergeCell ref="O7:O8"/>
    <mergeCell ref="A1:T1"/>
    <mergeCell ref="A2:T2"/>
    <mergeCell ref="A6:A8"/>
    <mergeCell ref="B6:B8"/>
    <mergeCell ref="C6:C8"/>
    <mergeCell ref="D6:F6"/>
    <mergeCell ref="G6:I6"/>
    <mergeCell ref="J6:L6"/>
    <mergeCell ref="M6:O6"/>
    <mergeCell ref="T6:T8"/>
    <mergeCell ref="F7:F8"/>
    <mergeCell ref="G7:G8"/>
    <mergeCell ref="H7:H8"/>
    <mergeCell ref="I7:I8"/>
    <mergeCell ref="J7:J8"/>
    <mergeCell ref="K7:K8"/>
    <mergeCell ref="P6:S6"/>
    <mergeCell ref="P7:P8"/>
    <mergeCell ref="Q7:Q8"/>
    <mergeCell ref="R7:R8"/>
    <mergeCell ref="S7:S8"/>
  </mergeCells>
  <phoneticPr fontId="17" type="noConversion"/>
  <hyperlinks>
    <hyperlink ref="T3" location="底稿目录!A1" display="底稿目录!A1"/>
  </hyperlinks>
  <printOptions horizontalCentered="1"/>
  <pageMargins left="0.43307086614173229" right="0.35433070866141736" top="0.43307086614173229" bottom="0.35433070866141736" header="0.31496062992125984" footer="0.15748031496062992"/>
  <pageSetup paperSize="9" scale="51" orientation="landscape" blackAndWhite="1" r:id="rId1"/>
  <headerFooter alignWithMargins="0">
    <oddFooter>&amp;C&amp;8&amp;P/&amp;N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J23"/>
  <sheetViews>
    <sheetView view="pageBreakPreview" zoomScaleNormal="100" zoomScaleSheetLayoutView="100" workbookViewId="0">
      <selection sqref="A1:J1"/>
    </sheetView>
  </sheetViews>
  <sheetFormatPr defaultColWidth="8.59765625" defaultRowHeight="15.6"/>
  <cols>
    <col min="1" max="1" width="16.59765625" style="130" customWidth="1"/>
    <col min="2" max="2" width="15.796875" style="130" customWidth="1"/>
    <col min="3" max="3" width="14.5" style="130" customWidth="1"/>
    <col min="4" max="4" width="14" style="130" customWidth="1"/>
    <col min="5" max="5" width="11.19921875" style="130" customWidth="1"/>
    <col min="6" max="6" width="8.59765625" style="130"/>
    <col min="7" max="7" width="13.19921875" style="130" customWidth="1"/>
    <col min="8" max="8" width="12.3984375" style="130" customWidth="1"/>
    <col min="9" max="16384" width="8.59765625" style="130"/>
  </cols>
  <sheetData>
    <row r="1" spans="1:10">
      <c r="A1" s="566" t="s">
        <v>55</v>
      </c>
      <c r="B1" s="566"/>
      <c r="C1" s="566"/>
      <c r="D1" s="566"/>
      <c r="E1" s="566"/>
      <c r="F1" s="566"/>
      <c r="G1" s="566"/>
      <c r="H1" s="566"/>
      <c r="I1" s="566"/>
      <c r="J1" s="566"/>
    </row>
    <row r="2" spans="1:10" ht="17.399999999999999">
      <c r="A2" s="475" t="s">
        <v>215</v>
      </c>
      <c r="B2" s="475"/>
      <c r="C2" s="475"/>
      <c r="D2" s="475"/>
      <c r="E2" s="475"/>
      <c r="F2" s="475"/>
      <c r="G2" s="475"/>
      <c r="H2" s="475"/>
      <c r="I2" s="475"/>
      <c r="J2" s="475"/>
    </row>
    <row r="3" spans="1:10">
      <c r="A3" s="97" t="str">
        <f>底稿目录!A2</f>
        <v>被审计单位：</v>
      </c>
      <c r="B3" s="97"/>
      <c r="C3" s="97"/>
      <c r="D3" s="97" t="str">
        <f>底稿目录!A4</f>
        <v>编制人：</v>
      </c>
      <c r="E3" s="97"/>
      <c r="F3" s="131"/>
      <c r="G3" s="97" t="str">
        <f>底稿目录!A5</f>
        <v>编制日期：</v>
      </c>
      <c r="H3" s="97"/>
      <c r="I3" s="400" t="s">
        <v>750</v>
      </c>
      <c r="J3" s="408" t="str">
        <f>底稿目录!F19</f>
        <v>F2-14</v>
      </c>
    </row>
    <row r="4" spans="1:10">
      <c r="A4" s="131" t="str">
        <f>底稿目录!A3</f>
        <v>截止日：202X年12月21日</v>
      </c>
      <c r="B4" s="97"/>
      <c r="C4" s="97"/>
      <c r="D4" s="97" t="str">
        <f>底稿目录!A6</f>
        <v>复核人：</v>
      </c>
      <c r="E4" s="97"/>
      <c r="F4" s="131"/>
      <c r="G4" s="97" t="str">
        <f>底稿目录!A7</f>
        <v>复核日期：</v>
      </c>
      <c r="H4" s="97"/>
      <c r="I4" s="400" t="s">
        <v>773</v>
      </c>
      <c r="J4" s="131"/>
    </row>
    <row r="5" spans="1:10" ht="24">
      <c r="A5" s="132" t="s">
        <v>216</v>
      </c>
      <c r="B5" s="243" t="s">
        <v>217</v>
      </c>
      <c r="C5" s="447" t="s">
        <v>371</v>
      </c>
      <c r="D5" s="133" t="s">
        <v>218</v>
      </c>
      <c r="E5" s="133" t="s">
        <v>219</v>
      </c>
      <c r="F5" s="134" t="s">
        <v>212</v>
      </c>
      <c r="G5" s="133" t="s">
        <v>220</v>
      </c>
      <c r="H5" s="133" t="s">
        <v>221</v>
      </c>
      <c r="I5" s="133" t="s">
        <v>148</v>
      </c>
      <c r="J5" s="133" t="s">
        <v>113</v>
      </c>
    </row>
    <row r="6" spans="1:10">
      <c r="A6" s="135"/>
      <c r="B6" s="135"/>
      <c r="C6" s="135"/>
      <c r="D6" s="135"/>
      <c r="E6" s="135"/>
      <c r="F6" s="135"/>
      <c r="G6" s="135"/>
      <c r="H6" s="135"/>
      <c r="I6" s="135"/>
      <c r="J6" s="135"/>
    </row>
    <row r="7" spans="1:10">
      <c r="A7" s="136"/>
      <c r="B7" s="135"/>
      <c r="C7" s="135"/>
      <c r="D7" s="135"/>
      <c r="E7" s="135"/>
      <c r="F7" s="135"/>
      <c r="G7" s="135"/>
      <c r="H7" s="135"/>
      <c r="I7" s="135"/>
      <c r="J7" s="135"/>
    </row>
    <row r="8" spans="1:10">
      <c r="A8" s="137"/>
      <c r="B8" s="135"/>
      <c r="C8" s="135"/>
      <c r="D8" s="135"/>
      <c r="E8" s="135"/>
      <c r="F8" s="135"/>
      <c r="G8" s="135"/>
      <c r="H8" s="135"/>
      <c r="I8" s="135"/>
      <c r="J8" s="135"/>
    </row>
    <row r="9" spans="1:10">
      <c r="A9" s="137"/>
      <c r="B9" s="135"/>
      <c r="C9" s="135"/>
      <c r="D9" s="135"/>
      <c r="E9" s="135"/>
      <c r="F9" s="135"/>
      <c r="G9" s="135"/>
      <c r="H9" s="135"/>
      <c r="I9" s="135"/>
      <c r="J9" s="135"/>
    </row>
    <row r="10" spans="1:10">
      <c r="A10" s="137"/>
      <c r="B10" s="135"/>
      <c r="C10" s="135"/>
      <c r="D10" s="135"/>
      <c r="E10" s="135"/>
      <c r="F10" s="135"/>
      <c r="G10" s="135"/>
      <c r="H10" s="135"/>
      <c r="I10" s="135"/>
      <c r="J10" s="135"/>
    </row>
    <row r="11" spans="1:10">
      <c r="A11" s="138"/>
      <c r="B11" s="135"/>
      <c r="C11" s="135"/>
      <c r="D11" s="135"/>
      <c r="E11" s="135"/>
      <c r="F11" s="135"/>
      <c r="G11" s="135"/>
      <c r="H11" s="135"/>
      <c r="I11" s="135"/>
      <c r="J11" s="135"/>
    </row>
    <row r="12" spans="1:10">
      <c r="A12" s="137"/>
      <c r="B12" s="135"/>
      <c r="C12" s="135"/>
      <c r="D12" s="135"/>
      <c r="E12" s="135"/>
      <c r="F12" s="135"/>
      <c r="G12" s="135"/>
      <c r="H12" s="135"/>
      <c r="I12" s="135"/>
      <c r="J12" s="135"/>
    </row>
    <row r="13" spans="1:10">
      <c r="A13" s="137"/>
      <c r="B13" s="135"/>
      <c r="C13" s="135"/>
      <c r="D13" s="135"/>
      <c r="E13" s="135"/>
      <c r="F13" s="135"/>
      <c r="G13" s="135"/>
      <c r="H13" s="135"/>
      <c r="I13" s="135"/>
      <c r="J13" s="135"/>
    </row>
    <row r="14" spans="1:10">
      <c r="A14" s="137"/>
      <c r="B14" s="135"/>
      <c r="C14" s="135"/>
      <c r="D14" s="135"/>
      <c r="E14" s="135"/>
      <c r="F14" s="135"/>
      <c r="G14" s="135"/>
      <c r="H14" s="135"/>
      <c r="I14" s="135"/>
      <c r="J14" s="135"/>
    </row>
    <row r="15" spans="1:10">
      <c r="A15" s="137"/>
      <c r="B15" s="135"/>
      <c r="C15" s="135"/>
      <c r="D15" s="135"/>
      <c r="E15" s="135"/>
      <c r="F15" s="135"/>
      <c r="G15" s="135"/>
      <c r="H15" s="135"/>
      <c r="I15" s="135"/>
      <c r="J15" s="135"/>
    </row>
    <row r="16" spans="1:10">
      <c r="A16" s="137"/>
      <c r="B16" s="135"/>
      <c r="C16" s="135"/>
      <c r="D16" s="135"/>
      <c r="E16" s="135"/>
      <c r="F16" s="135"/>
      <c r="G16" s="135"/>
      <c r="H16" s="135"/>
      <c r="I16" s="135"/>
      <c r="J16" s="135"/>
    </row>
    <row r="17" spans="1:10">
      <c r="A17" s="137"/>
      <c r="B17" s="135"/>
      <c r="C17" s="135"/>
      <c r="D17" s="135"/>
      <c r="E17" s="135"/>
      <c r="F17" s="135"/>
      <c r="G17" s="135"/>
      <c r="H17" s="135"/>
      <c r="I17" s="135"/>
      <c r="J17" s="135"/>
    </row>
    <row r="18" spans="1:10">
      <c r="A18" s="137"/>
      <c r="B18" s="135"/>
      <c r="C18" s="135"/>
      <c r="D18" s="135"/>
      <c r="E18" s="135"/>
      <c r="F18" s="135"/>
      <c r="G18" s="135"/>
      <c r="H18" s="135"/>
      <c r="I18" s="135"/>
      <c r="J18" s="135"/>
    </row>
    <row r="19" spans="1:10">
      <c r="A19" s="137"/>
      <c r="B19" s="135"/>
      <c r="C19" s="135"/>
      <c r="D19" s="135"/>
      <c r="E19" s="135"/>
      <c r="F19" s="135"/>
      <c r="G19" s="135"/>
      <c r="H19" s="135"/>
      <c r="I19" s="135"/>
      <c r="J19" s="135"/>
    </row>
    <row r="20" spans="1:10">
      <c r="A20" s="137"/>
      <c r="B20" s="135"/>
      <c r="C20" s="135"/>
      <c r="D20" s="135"/>
      <c r="E20" s="135"/>
      <c r="F20" s="135"/>
      <c r="G20" s="135"/>
      <c r="H20" s="135"/>
      <c r="I20" s="135"/>
      <c r="J20" s="135"/>
    </row>
    <row r="21" spans="1:10">
      <c r="A21" s="139"/>
      <c r="B21" s="139"/>
      <c r="C21" s="139"/>
      <c r="D21" s="140"/>
      <c r="E21" s="140"/>
      <c r="F21" s="140"/>
      <c r="G21" s="141"/>
      <c r="H21" s="141"/>
      <c r="I21" s="140"/>
      <c r="J21" s="142"/>
    </row>
    <row r="22" spans="1:10">
      <c r="A22" s="569" t="s">
        <v>372</v>
      </c>
      <c r="B22" s="570"/>
      <c r="C22" s="570"/>
      <c r="D22" s="570"/>
      <c r="E22" s="570"/>
      <c r="F22" s="570"/>
      <c r="G22" s="570"/>
      <c r="H22" s="570"/>
      <c r="I22" s="570"/>
      <c r="J22" s="570"/>
    </row>
    <row r="23" spans="1:10">
      <c r="A23" s="567"/>
      <c r="B23" s="568"/>
      <c r="C23" s="568"/>
      <c r="D23" s="568"/>
      <c r="E23" s="568"/>
      <c r="F23" s="568"/>
      <c r="G23" s="568"/>
      <c r="H23" s="568"/>
      <c r="I23" s="568"/>
      <c r="J23" s="568"/>
    </row>
  </sheetData>
  <mergeCells count="4">
    <mergeCell ref="A1:J1"/>
    <mergeCell ref="A2:J2"/>
    <mergeCell ref="A23:J23"/>
    <mergeCell ref="A22:J22"/>
  </mergeCells>
  <phoneticPr fontId="17" type="noConversion"/>
  <dataValidations count="1">
    <dataValidation type="list" allowBlank="1" showInputMessage="1" showErrorMessage="1" sqref="B6:B20">
      <formula1>"账项调整,报表调整,其他"</formula1>
    </dataValidation>
  </dataValidations>
  <hyperlinks>
    <hyperlink ref="J3" location="底稿目录!A1" display="底稿目录!A1"/>
  </hyperlinks>
  <pageMargins left="0.70866141732283472" right="0.70866141732283472" top="0.74803149606299213" bottom="0.74803149606299213" header="0.31496062992125984" footer="0.31496062992125984"/>
  <pageSetup paperSize="9" scale="95" orientation="landscape" blackAndWhite="1" r:id="rId1"/>
  <headerFooter>
    <oddFooter>&amp;C&amp;P/&amp;N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B8"/>
  <sheetViews>
    <sheetView workbookViewId="0"/>
  </sheetViews>
  <sheetFormatPr defaultRowHeight="15.6"/>
  <sheetData>
    <row r="1" spans="1:2">
      <c r="A1" t="s">
        <v>36</v>
      </c>
      <c r="B1" t="s">
        <v>37</v>
      </c>
    </row>
    <row r="2" spans="1:2">
      <c r="A2" t="s">
        <v>38</v>
      </c>
      <c r="B2" t="s">
        <v>39</v>
      </c>
    </row>
    <row r="3" spans="1:2">
      <c r="A3" t="s">
        <v>40</v>
      </c>
      <c r="B3" t="s">
        <v>41</v>
      </c>
    </row>
    <row r="4" spans="1:2">
      <c r="A4" t="s">
        <v>42</v>
      </c>
      <c r="B4" t="s">
        <v>43</v>
      </c>
    </row>
    <row r="5" spans="1:2">
      <c r="A5" t="s">
        <v>44</v>
      </c>
      <c r="B5" t="s">
        <v>45</v>
      </c>
    </row>
    <row r="6" spans="1:2">
      <c r="A6" t="s">
        <v>46</v>
      </c>
      <c r="B6" t="s">
        <v>47</v>
      </c>
    </row>
    <row r="7" spans="1:2">
      <c r="A7" t="s">
        <v>48</v>
      </c>
      <c r="B7" t="s">
        <v>49</v>
      </c>
    </row>
    <row r="8" spans="1:2">
      <c r="A8" t="s">
        <v>50</v>
      </c>
      <c r="B8" t="s">
        <v>51</v>
      </c>
    </row>
  </sheetData>
  <phoneticPr fontId="1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20</vt:i4>
      </vt:variant>
      <vt:variant>
        <vt:lpstr>命名范围</vt:lpstr>
      </vt:variant>
      <vt:variant>
        <vt:i4>19</vt:i4>
      </vt:variant>
    </vt:vector>
  </HeadingPairs>
  <TitlesOfParts>
    <vt:vector size="39" baseType="lpstr">
      <vt:lpstr>修订说明</vt:lpstr>
      <vt:lpstr>底稿目录</vt:lpstr>
      <vt:lpstr>存货实质性程序表F2A</vt:lpstr>
      <vt:lpstr>存货审定表F2-1</vt:lpstr>
      <vt:lpstr>附注披露信息（上市公司）</vt:lpstr>
      <vt:lpstr>附注披露信息（国企）</vt:lpstr>
      <vt:lpstr>明细汇总表F2-2</vt:lpstr>
      <vt:lpstr>一、原材料明细表F2-3</vt:lpstr>
      <vt:lpstr>二、材料采购、在途物资明细表F2-4</vt:lpstr>
      <vt:lpstr>三、周转材料、低值易耗品，包装物明细表F2-5</vt:lpstr>
      <vt:lpstr>四、自制半成品明细表F2-6</vt:lpstr>
      <vt:lpstr>五、委托加工物资明细表F2-7</vt:lpstr>
      <vt:lpstr>六、库存商品明细表F2-8</vt:lpstr>
      <vt:lpstr>七、发出商品F2-9</vt:lpstr>
      <vt:lpstr>八、开发产品F2-10</vt:lpstr>
      <vt:lpstr>九、开发成本F2-11</vt:lpstr>
      <vt:lpstr>十、合同履约成本F2-12</vt:lpstr>
      <vt:lpstr>十一、消耗性生物资产F2-13</vt:lpstr>
      <vt:lpstr>调整分录汇总F2-14</vt:lpstr>
      <vt:lpstr>GT_Custom</vt:lpstr>
      <vt:lpstr>存货实质性程序表F2A!_FilterDatabase</vt:lpstr>
      <vt:lpstr>'八、开发产品F2-10'!Print_Area</vt:lpstr>
      <vt:lpstr>'存货审定表F2-1'!Print_Area</vt:lpstr>
      <vt:lpstr>存货实质性程序表F2A!Print_Area</vt:lpstr>
      <vt:lpstr>'调整分录汇总F2-14'!Print_Area</vt:lpstr>
      <vt:lpstr>'二、材料采购、在途物资明细表F2-4'!Print_Area</vt:lpstr>
      <vt:lpstr>'附注披露信息（国企）'!Print_Area</vt:lpstr>
      <vt:lpstr>'附注披露信息（上市公司）'!Print_Area</vt:lpstr>
      <vt:lpstr>'九、开发成本F2-11'!Print_Area</vt:lpstr>
      <vt:lpstr>'六、库存商品明细表F2-8'!Print_Area</vt:lpstr>
      <vt:lpstr>'明细汇总表F2-2'!Print_Area</vt:lpstr>
      <vt:lpstr>'七、发出商品F2-9'!Print_Area</vt:lpstr>
      <vt:lpstr>'三、周转材料、低值易耗品，包装物明细表F2-5'!Print_Area</vt:lpstr>
      <vt:lpstr>'十、合同履约成本F2-12'!Print_Area</vt:lpstr>
      <vt:lpstr>'十一、消耗性生物资产F2-13'!Print_Area</vt:lpstr>
      <vt:lpstr>'四、自制半成品明细表F2-6'!Print_Area</vt:lpstr>
      <vt:lpstr>'五、委托加工物资明细表F2-7'!Print_Area</vt:lpstr>
      <vt:lpstr>'一、原材料明细表F2-3'!Print_Area</vt:lpstr>
      <vt:lpstr>存货实质性程序表F2A!Print_Titles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2025-10-17T09:05:38Z</cp:lastPrinted>
  <dcterms:created xsi:type="dcterms:W3CDTF">2007-06-14T02:39:24Z</dcterms:created>
  <dcterms:modified xsi:type="dcterms:W3CDTF">2025-10-30T10:09:45Z</dcterms:modified>
</cp:coreProperties>
</file>