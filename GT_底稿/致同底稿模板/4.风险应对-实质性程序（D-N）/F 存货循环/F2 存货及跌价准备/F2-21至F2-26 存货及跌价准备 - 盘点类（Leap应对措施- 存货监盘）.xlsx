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8520" tabRatio="803"/>
  </bookViews>
  <sheets>
    <sheet name="底稿目录" sheetId="1" r:id="rId1"/>
    <sheet name="GT_Custom" sheetId="63" state="hidden" r:id="rId2"/>
    <sheet name="存货监盘程序表F2-21A" sheetId="144" r:id="rId3"/>
    <sheet name="盘点计划问卷F2-21" sheetId="84" r:id="rId4"/>
    <sheet name="监盘计划F2-22" sheetId="83" r:id="rId5"/>
    <sheet name="监盘小结F2-23" sheetId="82" r:id="rId6"/>
    <sheet name="存货账面余额与仓储台账（ERP业务数据)核对记录F2-24" sheetId="146" r:id="rId7"/>
    <sheet name="抽盘结果汇总表F2-25" sheetId="87" r:id="rId8"/>
    <sheet name="盘点倒轧表F2-26" sheetId="86" r:id="rId9"/>
  </sheets>
  <definedNames>
    <definedName name="_xlnm.Print_Area" localSheetId="7">'抽盘结果汇总表F2-25'!$A$1:$M$46</definedName>
    <definedName name="_xlnm.Print_Area" localSheetId="2">'存货监盘程序表F2-21A'!$A$1:$F$37</definedName>
    <definedName name="_xlnm.Print_Area" localSheetId="6">'存货账面余额与仓储台账（ERP业务数据)核对记录F2-24'!$A$1:$I$31</definedName>
    <definedName name="_xlnm.Print_Area" localSheetId="4">'监盘计划F2-22'!$A$1:$N$31</definedName>
    <definedName name="_xlnm.Print_Area" localSheetId="5">'监盘小结F2-23'!$A$1:$N$31</definedName>
    <definedName name="_xlnm.Print_Area" localSheetId="8">'盘点倒轧表F2-26'!$A$1:$O$30</definedName>
    <definedName name="_xlnm.Print_Area" localSheetId="3">'盘点计划问卷F2-21'!$A$1:$I$59</definedName>
    <definedName name="_xlnm.Print_Titles" localSheetId="2">'存货监盘程序表F2-21A'!$5:$5</definedName>
    <definedName name="_xlnm.Print_Titles" localSheetId="8">'盘点倒轧表F2-26'!$1:$4</definedName>
  </definedNames>
  <calcPr calcId="162913"/>
</workbook>
</file>

<file path=xl/calcChain.xml><?xml version="1.0" encoding="utf-8"?>
<calcChain xmlns="http://schemas.openxmlformats.org/spreadsheetml/2006/main">
  <c r="G42" i="87" l="1"/>
  <c r="J25" i="87"/>
  <c r="O3" i="86"/>
  <c r="M3" i="87"/>
  <c r="I3" i="146"/>
  <c r="I3" i="84" l="1"/>
  <c r="F3" i="144"/>
  <c r="C3" i="144" l="1"/>
  <c r="L41" i="87" l="1"/>
  <c r="L32" i="87"/>
  <c r="L33" i="87"/>
  <c r="L34" i="87"/>
  <c r="L35" i="87"/>
  <c r="L36" i="87"/>
  <c r="L37" i="87"/>
  <c r="L38" i="87"/>
  <c r="L39" i="87"/>
  <c r="L40" i="87"/>
  <c r="L31" i="87"/>
  <c r="L16" i="87"/>
  <c r="J16" i="87"/>
  <c r="K16" i="87"/>
  <c r="L17" i="87"/>
  <c r="L18" i="87"/>
  <c r="L19" i="87"/>
  <c r="L20" i="87"/>
  <c r="L21" i="87"/>
  <c r="L22" i="87"/>
  <c r="L23" i="87"/>
  <c r="L24" i="87"/>
  <c r="L25" i="87"/>
  <c r="L26" i="87"/>
  <c r="F4" i="146" l="1"/>
  <c r="D4" i="146"/>
  <c r="A4" i="146"/>
  <c r="F3" i="146"/>
  <c r="D3" i="146"/>
  <c r="A3" i="146"/>
  <c r="J17" i="86"/>
  <c r="L17" i="86" s="1"/>
  <c r="M17" i="86" s="1"/>
  <c r="J8" i="86"/>
  <c r="L8" i="86" s="1"/>
  <c r="M8" i="86" s="1"/>
  <c r="K41" i="87"/>
  <c r="J41" i="87"/>
  <c r="K40" i="87"/>
  <c r="J40" i="87"/>
  <c r="K39" i="87"/>
  <c r="J39" i="87"/>
  <c r="K38" i="87"/>
  <c r="J38" i="87"/>
  <c r="K37" i="87"/>
  <c r="J37" i="87"/>
  <c r="K36" i="87"/>
  <c r="J36" i="87"/>
  <c r="K35" i="87"/>
  <c r="J35" i="87"/>
  <c r="K34" i="87"/>
  <c r="J34" i="87"/>
  <c r="K33" i="87"/>
  <c r="J33" i="87"/>
  <c r="K32" i="87"/>
  <c r="J32" i="87"/>
  <c r="K31" i="87"/>
  <c r="J31" i="87"/>
  <c r="G27" i="87"/>
  <c r="K17" i="87"/>
  <c r="K18" i="87"/>
  <c r="K19" i="87"/>
  <c r="K20" i="87"/>
  <c r="K21" i="87"/>
  <c r="K22" i="87"/>
  <c r="K23" i="87"/>
  <c r="K24" i="87"/>
  <c r="K25" i="87"/>
  <c r="K26" i="87"/>
  <c r="J17" i="87"/>
  <c r="J18" i="87"/>
  <c r="J19" i="87"/>
  <c r="J20" i="87"/>
  <c r="J21" i="87"/>
  <c r="J22" i="87"/>
  <c r="J23" i="87"/>
  <c r="J24" i="87"/>
  <c r="J26" i="87"/>
  <c r="D3" i="144" l="1"/>
  <c r="H4" i="87" l="1"/>
  <c r="I4" i="86"/>
  <c r="F4" i="84"/>
  <c r="D4" i="144"/>
  <c r="D4" i="87"/>
  <c r="D4" i="86"/>
  <c r="D4" i="84"/>
  <c r="C4" i="144" l="1"/>
  <c r="A4" i="87" l="1"/>
  <c r="D3" i="87"/>
  <c r="H3" i="87"/>
  <c r="A4" i="86"/>
  <c r="D3" i="86"/>
  <c r="I3" i="86"/>
  <c r="A4" i="84"/>
  <c r="D3" i="84"/>
  <c r="F3" i="84"/>
  <c r="A4" i="144"/>
  <c r="A3" i="144" l="1"/>
  <c r="A3" i="87" l="1"/>
  <c r="A3" i="86"/>
  <c r="A3" i="84"/>
  <c r="J23" i="86"/>
  <c r="L23" i="86" s="1"/>
  <c r="M23" i="86" s="1"/>
  <c r="J22" i="86"/>
  <c r="L22" i="86" s="1"/>
  <c r="M22" i="86" s="1"/>
  <c r="J21" i="86"/>
  <c r="L21" i="86" s="1"/>
  <c r="M21" i="86" s="1"/>
  <c r="J20" i="86"/>
  <c r="L20" i="86" s="1"/>
  <c r="M20" i="86" s="1"/>
  <c r="J19" i="86"/>
  <c r="L19" i="86" s="1"/>
  <c r="M19" i="86" s="1"/>
  <c r="J18" i="86"/>
  <c r="L18" i="86" s="1"/>
  <c r="M18" i="86" s="1"/>
  <c r="J14" i="86"/>
  <c r="L14" i="86" s="1"/>
  <c r="M14" i="86" s="1"/>
  <c r="J13" i="86"/>
  <c r="L13" i="86" s="1"/>
  <c r="M13" i="86" s="1"/>
  <c r="J12" i="86"/>
  <c r="L12" i="86" s="1"/>
  <c r="M12" i="86" s="1"/>
  <c r="J11" i="86"/>
  <c r="L11" i="86" s="1"/>
  <c r="M11" i="86" s="1"/>
  <c r="J10" i="86"/>
  <c r="L10" i="86" s="1"/>
  <c r="M10" i="86" s="1"/>
  <c r="J9" i="86"/>
  <c r="L9" i="86" s="1"/>
  <c r="M9" i="86" s="1"/>
</calcChain>
</file>

<file path=xl/comments1.xml><?xml version="1.0" encoding="utf-8"?>
<comments xmlns="http://schemas.openxmlformats.org/spreadsheetml/2006/main">
  <authors>
    <author>Windows 用户</author>
  </authors>
  <commentList>
    <comment ref="B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根据被审计单位实际情况和风险评估情况裁剪或增加审计程序</t>
        </r>
      </text>
    </comment>
  </commentList>
</comments>
</file>

<file path=xl/comments2.xml><?xml version="1.0" encoding="utf-8"?>
<comments xmlns="http://schemas.openxmlformats.org/spreadsheetml/2006/main">
  <authors>
    <author>何先琴</author>
    <author>Windows 用户</author>
  </authors>
  <commentList>
    <comment ref="A2" authorId="0" shapeId="0">
      <text>
        <r>
          <rPr>
            <b/>
            <sz val="9"/>
            <color indexed="81"/>
            <rFont val="宋体"/>
            <family val="3"/>
            <charset val="134"/>
          </rPr>
          <t>专业技术部:</t>
        </r>
        <r>
          <rPr>
            <sz val="9"/>
            <color indexed="81"/>
            <rFont val="宋体"/>
            <family val="3"/>
            <charset val="134"/>
          </rPr>
          <t xml:space="preserve">
本表将抽盘结果录入并检查盘点差异，现场盘点时记录数量的纸质抽盘表作为本表的附件</t>
        </r>
      </text>
    </comment>
    <comment ref="A10" authorId="1" shapeId="0">
      <text>
        <r>
          <rPr>
            <b/>
            <sz val="9"/>
            <color indexed="81"/>
            <rFont val="宋体"/>
            <family val="3"/>
            <charset val="134"/>
          </rPr>
          <t>Windows 用户:</t>
        </r>
        <r>
          <rPr>
            <sz val="9"/>
            <color indexed="81"/>
            <rFont val="宋体"/>
            <family val="3"/>
            <charset val="134"/>
          </rPr>
          <t xml:space="preserve">
盘点过程中收集并保留盘点轨迹，例如：现场盘点照片、往返盘点现场车票、盘点现场定位截图等资料</t>
        </r>
      </text>
    </comment>
  </commentList>
</comments>
</file>

<file path=xl/sharedStrings.xml><?xml version="1.0" encoding="utf-8"?>
<sst xmlns="http://schemas.openxmlformats.org/spreadsheetml/2006/main" count="309" uniqueCount="242">
  <si>
    <r>
      <t>1.</t>
    </r>
    <r>
      <rPr>
        <sz val="10"/>
        <rFont val="宋体"/>
        <family val="3"/>
        <charset val="134"/>
      </rPr>
      <t>存货盘点的范围、盘点的场所以及盘点时间是如何确定的</t>
    </r>
    <r>
      <rPr>
        <sz val="10"/>
        <rFont val="Arial Narrow"/>
        <family val="2"/>
      </rPr>
      <t>?</t>
    </r>
    <r>
      <rPr>
        <sz val="10"/>
        <rFont val="宋体"/>
        <family val="3"/>
        <charset val="134"/>
      </rPr>
      <t>填列以下表格。</t>
    </r>
  </si>
  <si>
    <r>
      <t>2</t>
    </r>
    <r>
      <rPr>
        <sz val="10"/>
        <rFont val="宋体"/>
        <family val="3"/>
        <charset val="134"/>
      </rPr>
      <t>．盘点人员是如何组织分工的？是否具有胜任能力？填列以下表格。</t>
    </r>
  </si>
  <si>
    <r>
      <t>4.</t>
    </r>
    <r>
      <rPr>
        <sz val="10"/>
        <rFont val="宋体"/>
        <family val="3"/>
        <charset val="134"/>
      </rPr>
      <t>盘点前是否召开会议并布置任务</t>
    </r>
    <r>
      <rPr>
        <sz val="10"/>
        <rFont val="Arial Narrow"/>
        <family val="2"/>
      </rPr>
      <t>?</t>
    </r>
  </si>
  <si>
    <r>
      <t>5.</t>
    </r>
    <r>
      <rPr>
        <sz val="10"/>
        <rFont val="宋体"/>
        <family val="3"/>
        <charset val="134"/>
      </rPr>
      <t>在盘点过程中</t>
    </r>
    <r>
      <rPr>
        <sz val="10"/>
        <rFont val="Arial Narrow"/>
        <family val="2"/>
      </rPr>
      <t>,</t>
    </r>
    <r>
      <rPr>
        <sz val="10"/>
        <rFont val="宋体"/>
        <family val="3"/>
        <charset val="134"/>
      </rPr>
      <t>存货是怎样整理和排列的</t>
    </r>
    <r>
      <rPr>
        <sz val="10"/>
        <rFont val="Arial Narrow"/>
        <family val="2"/>
      </rPr>
      <t>?</t>
    </r>
  </si>
  <si>
    <r>
      <t>6.</t>
    </r>
    <r>
      <rPr>
        <sz val="10"/>
        <rFont val="宋体"/>
        <family val="3"/>
        <charset val="134"/>
      </rPr>
      <t>是否存在代销存货等所有权不属于被审计单位的存货</t>
    </r>
    <r>
      <rPr>
        <sz val="10"/>
        <rFont val="Arial Narrow"/>
        <family val="2"/>
      </rPr>
      <t>?</t>
    </r>
    <r>
      <rPr>
        <sz val="10"/>
        <rFont val="宋体"/>
        <family val="3"/>
        <charset val="134"/>
      </rPr>
      <t>如有</t>
    </r>
    <r>
      <rPr>
        <sz val="10"/>
        <rFont val="Arial Narrow"/>
        <family val="2"/>
      </rPr>
      <t>,</t>
    </r>
    <r>
      <rPr>
        <sz val="10"/>
        <rFont val="宋体"/>
        <family val="3"/>
        <charset val="134"/>
      </rPr>
      <t>情况如何</t>
    </r>
    <r>
      <rPr>
        <sz val="10"/>
        <rFont val="Arial Narrow"/>
        <family val="2"/>
      </rPr>
      <t>?</t>
    </r>
  </si>
  <si>
    <r>
      <t>7.</t>
    </r>
    <r>
      <rPr>
        <sz val="10"/>
        <rFont val="宋体"/>
        <family val="3"/>
        <charset val="134"/>
      </rPr>
      <t>有哪些毁损、陈旧、过时、残次的存货</t>
    </r>
    <r>
      <rPr>
        <sz val="10"/>
        <rFont val="Arial Narrow"/>
        <family val="2"/>
      </rPr>
      <t>?</t>
    </r>
    <r>
      <rPr>
        <sz val="10"/>
        <rFont val="宋体"/>
        <family val="3"/>
        <charset val="134"/>
      </rPr>
      <t>它们是如何区分和存放的</t>
    </r>
    <r>
      <rPr>
        <sz val="10"/>
        <rFont val="Arial Narrow"/>
        <family val="2"/>
      </rPr>
      <t>?</t>
    </r>
  </si>
  <si>
    <r>
      <t>8.</t>
    </r>
    <r>
      <rPr>
        <sz val="10"/>
        <rFont val="宋体"/>
        <family val="3"/>
        <charset val="134"/>
      </rPr>
      <t>半成品、原材料和产成品如何分开</t>
    </r>
    <r>
      <rPr>
        <sz val="10"/>
        <rFont val="Arial Narrow"/>
        <family val="2"/>
      </rPr>
      <t>?</t>
    </r>
  </si>
  <si>
    <r>
      <t>9.</t>
    </r>
    <r>
      <rPr>
        <sz val="10"/>
        <rFont val="宋体"/>
        <family val="3"/>
        <charset val="134"/>
      </rPr>
      <t>对于成堆堆放或分散在仓库中的存货</t>
    </r>
    <r>
      <rPr>
        <sz val="10"/>
        <rFont val="Arial Narrow"/>
        <family val="2"/>
      </rPr>
      <t>,</t>
    </r>
    <r>
      <rPr>
        <sz val="10"/>
        <rFont val="宋体"/>
        <family val="3"/>
        <charset val="134"/>
      </rPr>
      <t>是否设置了专门的盘点程序或数量转换计算的方法</t>
    </r>
    <r>
      <rPr>
        <sz val="10"/>
        <rFont val="Arial Narrow"/>
        <family val="2"/>
      </rPr>
      <t>?</t>
    </r>
  </si>
  <si>
    <r>
      <t>10.</t>
    </r>
    <r>
      <rPr>
        <sz val="10"/>
        <rFont val="宋体"/>
        <family val="3"/>
        <charset val="134"/>
      </rPr>
      <t>分散在不同地方的相同存货项目如何汇总</t>
    </r>
    <r>
      <rPr>
        <sz val="10"/>
        <rFont val="Arial Narrow"/>
        <family val="2"/>
      </rPr>
      <t>(</t>
    </r>
    <r>
      <rPr>
        <sz val="10"/>
        <rFont val="宋体"/>
        <family val="3"/>
        <charset val="134"/>
      </rPr>
      <t>这对于与后续盘点汇总保持一致很重要</t>
    </r>
    <r>
      <rPr>
        <sz val="10"/>
        <rFont val="Arial Narrow"/>
        <family val="2"/>
      </rPr>
      <t>)?</t>
    </r>
  </si>
  <si>
    <r>
      <t>11.</t>
    </r>
    <r>
      <rPr>
        <sz val="10"/>
        <rFont val="宋体"/>
        <family val="3"/>
        <charset val="134"/>
      </rPr>
      <t>存货盘点采用什么计量工具和计量方法</t>
    </r>
    <r>
      <rPr>
        <sz val="10"/>
        <rFont val="Arial Narrow"/>
        <family val="2"/>
      </rPr>
      <t>?</t>
    </r>
  </si>
  <si>
    <r>
      <t>12.</t>
    </r>
    <r>
      <rPr>
        <sz val="10"/>
        <rFont val="宋体"/>
        <family val="3"/>
        <charset val="134"/>
      </rPr>
      <t>在产品的完工程度如何确认</t>
    </r>
    <r>
      <rPr>
        <sz val="10"/>
        <rFont val="Arial Narrow"/>
        <family val="2"/>
      </rPr>
      <t>?</t>
    </r>
    <r>
      <rPr>
        <sz val="10"/>
        <rFont val="宋体"/>
        <family val="3"/>
        <charset val="134"/>
      </rPr>
      <t>原材料、直接人工、制造费用等如何在产成品和在产品之间分配</t>
    </r>
    <r>
      <rPr>
        <sz val="10"/>
        <rFont val="Arial Narrow"/>
        <family val="2"/>
      </rPr>
      <t>?</t>
    </r>
  </si>
  <si>
    <r>
      <t>13.</t>
    </r>
    <r>
      <rPr>
        <sz val="10"/>
        <rFont val="宋体"/>
        <family val="3"/>
        <charset val="134"/>
      </rPr>
      <t>是否有存放在外单位的存货</t>
    </r>
    <r>
      <rPr>
        <sz val="10"/>
        <rFont val="Arial Narrow"/>
        <family val="2"/>
      </rPr>
      <t>?</t>
    </r>
    <r>
      <rPr>
        <sz val="10"/>
        <rFont val="宋体"/>
        <family val="3"/>
        <charset val="134"/>
      </rPr>
      <t>如何进行盘点</t>
    </r>
    <r>
      <rPr>
        <sz val="10"/>
        <rFont val="Arial Narrow"/>
        <family val="2"/>
      </rPr>
      <t>?</t>
    </r>
  </si>
  <si>
    <r>
      <t>14.</t>
    </r>
    <r>
      <rPr>
        <sz val="10"/>
        <rFont val="宋体"/>
        <family val="3"/>
        <charset val="134"/>
      </rPr>
      <t>放在距离较远的地方的存货如何盘点</t>
    </r>
    <r>
      <rPr>
        <sz val="10"/>
        <rFont val="Arial Narrow"/>
        <family val="2"/>
      </rPr>
      <t>?</t>
    </r>
  </si>
  <si>
    <r>
      <t>15.</t>
    </r>
    <r>
      <rPr>
        <sz val="10"/>
        <rFont val="宋体"/>
        <family val="3"/>
        <charset val="134"/>
      </rPr>
      <t>对存货收发截止是如何进行控制的</t>
    </r>
    <r>
      <rPr>
        <sz val="10"/>
        <rFont val="Arial Narrow"/>
        <family val="2"/>
      </rPr>
      <t>?</t>
    </r>
  </si>
  <si>
    <r>
      <t>16.</t>
    </r>
    <r>
      <rPr>
        <sz val="10"/>
        <rFont val="宋体"/>
        <family val="3"/>
        <charset val="134"/>
      </rPr>
      <t>对盘点期间存货移动是如何进行控制的</t>
    </r>
    <r>
      <rPr>
        <sz val="10"/>
        <rFont val="Arial Narrow"/>
        <family val="2"/>
      </rPr>
      <t>?</t>
    </r>
    <r>
      <rPr>
        <sz val="10"/>
        <rFont val="宋体"/>
        <family val="3"/>
        <charset val="134"/>
      </rPr>
      <t>盘点期间是否需要停止生产</t>
    </r>
    <r>
      <rPr>
        <sz val="10"/>
        <rFont val="Arial Narrow"/>
        <family val="2"/>
      </rPr>
      <t>?</t>
    </r>
  </si>
  <si>
    <r>
      <t>17.</t>
    </r>
    <r>
      <rPr>
        <sz val="10"/>
        <rFont val="宋体"/>
        <family val="3"/>
        <charset val="134"/>
      </rPr>
      <t>盘点表单是如何设计、使用与控制的</t>
    </r>
    <r>
      <rPr>
        <sz val="10"/>
        <rFont val="Arial Narrow"/>
        <family val="2"/>
      </rPr>
      <t>?</t>
    </r>
    <r>
      <rPr>
        <sz val="10"/>
        <rFont val="宋体"/>
        <family val="3"/>
        <charset val="134"/>
      </rPr>
      <t>使用什么形式的文件来记录盘点</t>
    </r>
    <r>
      <rPr>
        <sz val="10"/>
        <rFont val="Arial Narrow"/>
        <family val="2"/>
      </rPr>
      <t>?</t>
    </r>
    <r>
      <rPr>
        <sz val="10"/>
        <rFont val="宋体"/>
        <family val="3"/>
        <charset val="134"/>
      </rPr>
      <t>盘点表是否预先编号</t>
    </r>
    <r>
      <rPr>
        <sz val="10"/>
        <rFont val="Arial Narrow"/>
        <family val="2"/>
      </rPr>
      <t>?</t>
    </r>
  </si>
  <si>
    <r>
      <t>18.</t>
    </r>
    <r>
      <rPr>
        <sz val="10"/>
        <rFont val="宋体"/>
        <family val="3"/>
        <charset val="134"/>
      </rPr>
      <t>是否所有的盘点都被独立检查以确保它们的准确性</t>
    </r>
    <r>
      <rPr>
        <sz val="10"/>
        <rFont val="Arial Narrow"/>
        <family val="2"/>
      </rPr>
      <t>?</t>
    </r>
    <r>
      <rPr>
        <sz val="10"/>
        <rFont val="宋体"/>
        <family val="3"/>
        <charset val="134"/>
      </rPr>
      <t>若使用永续存货盘存制</t>
    </r>
    <r>
      <rPr>
        <sz val="10"/>
        <rFont val="Arial Narrow"/>
        <family val="2"/>
      </rPr>
      <t>,</t>
    </r>
    <r>
      <rPr>
        <sz val="10"/>
        <rFont val="宋体"/>
        <family val="3"/>
        <charset val="134"/>
      </rPr>
      <t>如果实际数量与记录存在差异</t>
    </r>
    <r>
      <rPr>
        <sz val="10"/>
        <rFont val="Arial Narrow"/>
        <family val="2"/>
      </rPr>
      <t>,</t>
    </r>
    <r>
      <rPr>
        <sz val="10"/>
        <rFont val="宋体"/>
        <family val="3"/>
        <charset val="134"/>
      </rPr>
      <t>是否有进行独立再盘点的措施</t>
    </r>
    <r>
      <rPr>
        <sz val="10"/>
        <rFont val="Arial Narrow"/>
        <family val="2"/>
      </rPr>
      <t>?</t>
    </r>
    <r>
      <rPr>
        <sz val="10"/>
        <rFont val="宋体"/>
        <family val="3"/>
        <charset val="134"/>
      </rPr>
      <t>是否要求监督者对盘点执行的检查作出记录</t>
    </r>
    <r>
      <rPr>
        <sz val="10"/>
        <rFont val="Arial Narrow"/>
        <family val="2"/>
      </rPr>
      <t>?</t>
    </r>
  </si>
  <si>
    <r>
      <t>19.</t>
    </r>
    <r>
      <rPr>
        <sz val="10"/>
        <rFont val="宋体"/>
        <family val="3"/>
        <charset val="134"/>
      </rPr>
      <t>盘点结果是如何汇总的</t>
    </r>
    <r>
      <rPr>
        <sz val="10"/>
        <rFont val="Arial Narrow"/>
        <family val="2"/>
      </rPr>
      <t>?</t>
    </r>
  </si>
  <si>
    <r>
      <t>20.</t>
    </r>
    <r>
      <rPr>
        <sz val="10"/>
        <rFont val="宋体"/>
        <family val="3"/>
        <charset val="134"/>
      </rPr>
      <t>如何对盘盈或盘亏进行分析、调查与处理</t>
    </r>
    <r>
      <rPr>
        <sz val="10"/>
        <rFont val="Arial Narrow"/>
        <family val="2"/>
      </rPr>
      <t>?</t>
    </r>
  </si>
  <si>
    <r>
      <t>21.</t>
    </r>
    <r>
      <rPr>
        <sz val="10"/>
        <rFont val="宋体"/>
        <family val="3"/>
        <charset val="134"/>
      </rPr>
      <t>是否存在其他在盘点中需要注意的事项</t>
    </r>
    <r>
      <rPr>
        <sz val="10"/>
        <rFont val="Arial Narrow"/>
        <family val="2"/>
      </rPr>
      <t>?</t>
    </r>
  </si>
  <si>
    <t>底稿开列时，可先在以下单元格填写有关内容，以便其他底稿引用有关数据：</t>
    <phoneticPr fontId="15" type="noConversion"/>
  </si>
  <si>
    <t>索引号：</t>
    <phoneticPr fontId="15" type="noConversion"/>
  </si>
  <si>
    <t>序号</t>
    <phoneticPr fontId="15" type="noConversion"/>
  </si>
  <si>
    <t>盘点前财务账面记录</t>
  </si>
  <si>
    <t>规格</t>
    <phoneticPr fontId="15" type="noConversion"/>
  </si>
  <si>
    <t>单位</t>
    <phoneticPr fontId="15" type="noConversion"/>
  </si>
  <si>
    <t>单价</t>
    <phoneticPr fontId="15" type="noConversion"/>
  </si>
  <si>
    <t>存货监盘小结</t>
    <phoneticPr fontId="15" type="noConversion"/>
  </si>
  <si>
    <t>存货盘点计划问卷</t>
    <phoneticPr fontId="15" type="noConversion"/>
  </si>
  <si>
    <t>盘点时间</t>
    <phoneticPr fontId="15" type="noConversion"/>
  </si>
  <si>
    <t>索引号：</t>
  </si>
  <si>
    <t>数量</t>
  </si>
  <si>
    <t>金额</t>
  </si>
  <si>
    <t>地点</t>
  </si>
  <si>
    <t>三、审计说明：</t>
    <phoneticPr fontId="15" type="noConversion"/>
  </si>
  <si>
    <r>
      <rPr>
        <sz val="10"/>
        <rFont val="宋体"/>
        <family val="3"/>
        <charset val="134"/>
      </rPr>
      <t>索引号：</t>
    </r>
  </si>
  <si>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</si>
  <si>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</si>
  <si>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</si>
  <si>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</si>
  <si>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</si>
  <si>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</si>
  <si>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</si>
  <si>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</si>
  <si>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</si>
  <si>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</si>
  <si>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</si>
  <si>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</si>
  <si>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</si>
  <si>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</si>
  <si>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</si>
  <si>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</si>
  <si>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</si>
  <si>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</si>
  <si>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合计</t>
  </si>
  <si>
    <t>存货类型</t>
  </si>
  <si>
    <t>占存货总额的大致比例</t>
  </si>
  <si>
    <t>人员</t>
  </si>
  <si>
    <t>职责</t>
  </si>
  <si>
    <t>胜任能力</t>
  </si>
  <si>
    <t>电话</t>
  </si>
  <si>
    <t>四、审计结论：</t>
    <phoneticPr fontId="15" type="noConversion"/>
  </si>
  <si>
    <r>
      <t xml:space="preserve">页 </t>
    </r>
    <r>
      <rPr>
        <sz val="10"/>
        <rFont val="宋体"/>
        <family val="3"/>
        <charset val="134"/>
      </rPr>
      <t xml:space="preserve"> </t>
    </r>
    <r>
      <rPr>
        <sz val="10"/>
        <rFont val="宋体"/>
        <family val="3"/>
        <charset val="134"/>
      </rPr>
      <t>次：</t>
    </r>
    <phoneticPr fontId="15" type="noConversion"/>
  </si>
  <si>
    <r>
      <rPr>
        <sz val="10"/>
        <rFont val="宋体"/>
        <family val="3"/>
        <charset val="134"/>
      </rPr>
      <t>页次：</t>
    </r>
  </si>
  <si>
    <t>存货监盘计划</t>
    <phoneticPr fontId="15" type="noConversion"/>
  </si>
  <si>
    <r>
      <t>22.</t>
    </r>
    <r>
      <rPr>
        <sz val="10"/>
        <rFont val="宋体"/>
        <family val="3"/>
        <charset val="134"/>
      </rPr>
      <t>对被审计单位存货盘点计划能否合理地确定存货的数量和状况作出总体评价</t>
    </r>
    <r>
      <rPr>
        <sz val="10"/>
        <rFont val="Arial Narrow"/>
        <family val="2"/>
      </rPr>
      <t>:</t>
    </r>
    <phoneticPr fontId="15" type="noConversion"/>
  </si>
  <si>
    <r>
      <t>22.1</t>
    </r>
    <r>
      <rPr>
        <sz val="10"/>
        <rFont val="宋体"/>
        <family val="3"/>
        <charset val="134"/>
      </rPr>
      <t>被审计单位存货盘点计划是否适当</t>
    </r>
    <r>
      <rPr>
        <sz val="10"/>
        <rFont val="Arial Narrow"/>
        <family val="2"/>
      </rPr>
      <t>?</t>
    </r>
    <phoneticPr fontId="15" type="noConversion"/>
  </si>
  <si>
    <r>
      <t>存货名称</t>
    </r>
    <r>
      <rPr>
        <b/>
        <sz val="10"/>
        <rFont val="Arial Narrow"/>
        <family val="2"/>
      </rPr>
      <t>/</t>
    </r>
    <r>
      <rPr>
        <b/>
        <sz val="10"/>
        <rFont val="宋体"/>
        <family val="3"/>
        <charset val="134"/>
      </rPr>
      <t>类别</t>
    </r>
    <phoneticPr fontId="15" type="noConversion"/>
  </si>
  <si>
    <r>
      <rPr>
        <b/>
        <sz val="10"/>
        <rFont val="宋体"/>
        <family val="3"/>
        <charset val="134"/>
      </rPr>
      <t>三、审计说明：</t>
    </r>
    <phoneticPr fontId="15" type="noConversion"/>
  </si>
  <si>
    <r>
      <rPr>
        <b/>
        <sz val="10"/>
        <rFont val="宋体"/>
        <family val="3"/>
        <charset val="134"/>
      </rPr>
      <t>四、审计结论：</t>
    </r>
    <phoneticPr fontId="15" type="noConversion"/>
  </si>
  <si>
    <t>页次：</t>
    <phoneticPr fontId="15" type="noConversion"/>
  </si>
  <si>
    <r>
      <rPr>
        <b/>
        <sz val="10"/>
        <rFont val="宋体"/>
        <family val="3"/>
        <charset val="134"/>
      </rPr>
      <t>审计程序</t>
    </r>
  </si>
  <si>
    <t>一、审计目标:</t>
    <phoneticPr fontId="15" type="noConversion"/>
  </si>
  <si>
    <t>二、审计过程:</t>
    <phoneticPr fontId="15" type="noConversion"/>
  </si>
  <si>
    <t>索引号</t>
    <phoneticPr fontId="15" type="noConversion"/>
  </si>
  <si>
    <r>
      <rPr>
        <sz val="10"/>
        <rFont val="宋体"/>
        <family val="3"/>
        <charset val="134"/>
      </rPr>
      <t>说明：针对有关入库或发出的调整，核对出入库单据是否与明细账记录一致。</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</si>
  <si>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</si>
  <si>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b/>
        <sz val="10"/>
        <rFont val="宋体"/>
        <family val="3"/>
        <charset val="134"/>
      </rPr>
      <t>单位</t>
    </r>
  </si>
  <si>
    <r>
      <rPr>
        <b/>
        <sz val="10"/>
        <rFont val="宋体"/>
        <family val="3"/>
        <charset val="134"/>
      </rPr>
      <t>监盘日实存数量</t>
    </r>
  </si>
  <si>
    <r>
      <rPr>
        <b/>
        <sz val="10"/>
        <rFont val="宋体"/>
        <family val="3"/>
        <charset val="134"/>
      </rPr>
      <t>加：资产负债表日至监盘日发出数量（经核对调节后）</t>
    </r>
    <phoneticPr fontId="15" type="noConversion"/>
  </si>
  <si>
    <r>
      <rPr>
        <b/>
        <sz val="10"/>
        <rFont val="宋体"/>
        <family val="3"/>
        <charset val="134"/>
      </rPr>
      <t>减：资产负债表日至监盘日入库数量（经核对调节后）</t>
    </r>
    <phoneticPr fontId="15" type="noConversion"/>
  </si>
  <si>
    <r>
      <rPr>
        <b/>
        <sz val="10"/>
        <rFont val="宋体"/>
        <family val="3"/>
        <charset val="134"/>
      </rPr>
      <t>资产负债表日实存数量</t>
    </r>
  </si>
  <si>
    <r>
      <rPr>
        <b/>
        <sz val="10"/>
        <rFont val="宋体"/>
        <family val="3"/>
        <charset val="134"/>
      </rPr>
      <t>资产负债表日账面数量</t>
    </r>
  </si>
  <si>
    <r>
      <rPr>
        <b/>
        <sz val="10"/>
        <rFont val="宋体"/>
        <family val="3"/>
        <charset val="134"/>
      </rPr>
      <t>加：监盘日至资产负债表日入库数量</t>
    </r>
  </si>
  <si>
    <r>
      <rPr>
        <b/>
        <sz val="10"/>
        <rFont val="宋体"/>
        <family val="3"/>
        <charset val="134"/>
      </rPr>
      <t>减：监盘日至资产负债表日发出数量</t>
    </r>
  </si>
  <si>
    <t>致同会计师事务所</t>
    <phoneticPr fontId="15" type="noConversion"/>
  </si>
  <si>
    <r>
      <rPr>
        <sz val="10"/>
        <rFont val="宋体"/>
        <family val="3"/>
        <charset val="134"/>
      </rPr>
      <t>页</t>
    </r>
    <r>
      <rPr>
        <sz val="10"/>
        <rFont val="Arial Narrow"/>
        <family val="2"/>
      </rPr>
      <t xml:space="preserve">  </t>
    </r>
    <r>
      <rPr>
        <sz val="10"/>
        <rFont val="宋体"/>
        <family val="3"/>
        <charset val="134"/>
      </rPr>
      <t>次：</t>
    </r>
    <phoneticPr fontId="40" type="noConversion"/>
  </si>
  <si>
    <t>存货监盘程序表</t>
    <phoneticPr fontId="15" type="noConversion"/>
  </si>
  <si>
    <t>存货监盘小结</t>
    <phoneticPr fontId="15" type="noConversion"/>
  </si>
  <si>
    <t>存货监盘计划</t>
    <phoneticPr fontId="15" type="noConversion"/>
  </si>
  <si>
    <t>存货盘点计划问卷</t>
    <phoneticPr fontId="15" type="noConversion"/>
  </si>
  <si>
    <t>1</t>
    <phoneticPr fontId="40" type="noConversion"/>
  </si>
  <si>
    <r>
      <t>本调查问卷旨在帮助注册会计师了解和评价被审计单位存货盘点计划。如果被审计单位有盘点的书面说明</t>
    </r>
    <r>
      <rPr>
        <sz val="10"/>
        <color rgb="FF3333FF"/>
        <rFont val="Arial Narrow"/>
        <family val="2"/>
      </rPr>
      <t>,</t>
    </r>
    <r>
      <rPr>
        <sz val="10"/>
        <color rgb="FF3333FF"/>
        <rFont val="宋体"/>
        <family val="3"/>
        <charset val="134"/>
      </rPr>
      <t>本调查问卷也可作为有益的补充。需要说明的是</t>
    </r>
    <r>
      <rPr>
        <sz val="10"/>
        <color rgb="FF3333FF"/>
        <rFont val="Arial Narrow"/>
        <family val="2"/>
      </rPr>
      <t>,</t>
    </r>
    <r>
      <rPr>
        <sz val="10"/>
        <color rgb="FF3333FF"/>
        <rFont val="宋体"/>
        <family val="3"/>
        <charset val="134"/>
      </rPr>
      <t>注册会计师在审计实务中</t>
    </r>
    <r>
      <rPr>
        <sz val="10"/>
        <color rgb="FF3333FF"/>
        <rFont val="Arial Narrow"/>
        <family val="2"/>
      </rPr>
      <t>,</t>
    </r>
    <r>
      <rPr>
        <sz val="10"/>
        <color rgb="FF3333FF"/>
        <rFont val="宋体"/>
        <family val="3"/>
        <charset val="134"/>
      </rPr>
      <t>应当根据被审计单位所处行业的特点、内部控制和会计核算制度等具体情况</t>
    </r>
    <r>
      <rPr>
        <sz val="10"/>
        <color rgb="FF3333FF"/>
        <rFont val="Arial Narrow"/>
        <family val="2"/>
      </rPr>
      <t>,</t>
    </r>
    <r>
      <rPr>
        <sz val="10"/>
        <color rgb="FF3333FF"/>
        <rFont val="宋体"/>
        <family val="3"/>
        <charset val="134"/>
      </rPr>
      <t>对本调查问卷进行修改。存货盘点需审计人员现场亲自监盘，如果因特殊情况需要视频盘点的，应详细说明视频盘点的原因和合理性，并详细记录监盘过程、项目地理位置和坐标信息，核实视频中盘点人员身份，确保视频监盘程序的有效性。</t>
    </r>
    <phoneticPr fontId="15" type="noConversion"/>
  </si>
  <si>
    <r>
      <t>3.</t>
    </r>
    <r>
      <rPr>
        <sz val="10"/>
        <rFont val="宋体"/>
        <family val="3"/>
        <charset val="134"/>
      </rPr>
      <t>盘点过程是否有专家参加</t>
    </r>
    <r>
      <rPr>
        <sz val="10"/>
        <rFont val="Arial Narrow"/>
        <family val="2"/>
      </rPr>
      <t>?</t>
    </r>
    <r>
      <rPr>
        <sz val="10"/>
        <rFont val="宋体"/>
        <family val="3"/>
        <charset val="134"/>
      </rPr>
      <t>是否对专家参与盘点作出了适当的安排</t>
    </r>
    <r>
      <rPr>
        <sz val="10"/>
        <rFont val="Arial Narrow"/>
        <family val="2"/>
      </rPr>
      <t>?</t>
    </r>
    <phoneticPr fontId="15" type="noConversion"/>
  </si>
  <si>
    <r>
      <t>22.2</t>
    </r>
    <r>
      <rPr>
        <sz val="10"/>
        <rFont val="宋体"/>
        <family val="3"/>
        <charset val="134"/>
      </rPr>
      <t>盘点计划是否存在缺陷</t>
    </r>
    <r>
      <rPr>
        <sz val="10"/>
        <rFont val="Arial Narrow"/>
        <family val="2"/>
      </rPr>
      <t>?</t>
    </r>
    <r>
      <rPr>
        <sz val="10"/>
        <rFont val="宋体"/>
        <family val="3"/>
        <charset val="134"/>
      </rPr>
      <t>如是</t>
    </r>
    <r>
      <rPr>
        <sz val="10"/>
        <rFont val="Arial Narrow"/>
        <family val="2"/>
      </rPr>
      <t>,</t>
    </r>
    <r>
      <rPr>
        <sz val="10"/>
        <rFont val="宋体"/>
        <family val="3"/>
        <charset val="134"/>
      </rPr>
      <t>应建议被审计单位调整。</t>
    </r>
    <phoneticPr fontId="15" type="noConversion"/>
  </si>
  <si>
    <t>2</t>
    <phoneticPr fontId="15" type="noConversion"/>
  </si>
  <si>
    <t>3</t>
  </si>
  <si>
    <t>4</t>
  </si>
  <si>
    <t>5</t>
  </si>
  <si>
    <t>1</t>
    <phoneticPr fontId="15" type="noConversion"/>
  </si>
  <si>
    <t>2</t>
    <phoneticPr fontId="15" type="noConversion"/>
  </si>
  <si>
    <t>1</t>
    <phoneticPr fontId="15" type="noConversion"/>
  </si>
  <si>
    <t>2</t>
    <phoneticPr fontId="15" type="noConversion"/>
  </si>
  <si>
    <t>6</t>
  </si>
  <si>
    <t>7</t>
  </si>
  <si>
    <t>8</t>
  </si>
  <si>
    <t>1</t>
    <phoneticPr fontId="15" type="noConversion"/>
  </si>
  <si>
    <t>3</t>
    <phoneticPr fontId="15" type="noConversion"/>
  </si>
  <si>
    <r>
      <rPr>
        <sz val="10"/>
        <color theme="1"/>
        <rFont val="宋体"/>
        <family val="3"/>
        <charset val="134"/>
      </rPr>
      <t>备选</t>
    </r>
    <phoneticPr fontId="15" type="noConversion"/>
  </si>
  <si>
    <r>
      <rPr>
        <b/>
        <sz val="10"/>
        <color theme="1"/>
        <rFont val="宋体"/>
        <family val="3"/>
        <charset val="134"/>
      </rPr>
      <t>编制存货监盘计划</t>
    </r>
    <phoneticPr fontId="15" type="noConversion"/>
  </si>
  <si>
    <r>
      <rPr>
        <sz val="10"/>
        <color theme="1"/>
        <rFont val="宋体"/>
        <family val="3"/>
        <charset val="134"/>
      </rPr>
      <t>在获取完整的存货存放地点清单的基础上，根据不同地点所存放存货的重要性以及对各个地点与存货相关的重大错报风险的评估结果，选择适当的地点进行监盘，并记录选择这些地点的原因。在连续审计中，可考虑在不同期间的审计中变更所选择实施监盘的地点。</t>
    </r>
    <phoneticPr fontId="15" type="noConversion"/>
  </si>
  <si>
    <r>
      <rPr>
        <sz val="10"/>
        <color theme="1"/>
        <rFont val="宋体"/>
        <family val="3"/>
        <charset val="134"/>
      </rPr>
      <t>取得被审计单位永续盘存纪录（盘点表），选择对总体中特定项目（金额重大、性质特殊）全部进行抽盘，剩余部分可采用抽样的方式选择抽盘样本。</t>
    </r>
    <phoneticPr fontId="15" type="noConversion"/>
  </si>
  <si>
    <r>
      <rPr>
        <sz val="10"/>
        <color theme="1"/>
        <rFont val="宋体"/>
        <family val="3"/>
        <charset val="134"/>
      </rPr>
      <t>已恰当识别所有权不属于被审计单位的存货（如寄售商品），并单独标识和存放，以确保这些存货没有被纳入盘点范围。</t>
    </r>
    <phoneticPr fontId="15" type="noConversion"/>
  </si>
  <si>
    <r>
      <rPr>
        <sz val="10"/>
        <color theme="1"/>
        <rFont val="宋体"/>
        <family val="3"/>
        <charset val="134"/>
      </rPr>
      <t>盘点结束后，与适当人员巡回检查仓库，以确定所有的存货已被盘点、未被重复盘点；确定已发放的表单是否均已收回，取得签章的盘点控制文件（如：盘点清单、盘点汇总表、标签控制清单）及盘盈、盘亏处理意见等报告和管理部门的审批文件，并账面核对相符。</t>
    </r>
    <phoneticPr fontId="15" type="noConversion"/>
  </si>
  <si>
    <r>
      <rPr>
        <b/>
        <sz val="10"/>
        <rFont val="宋体"/>
        <family val="3"/>
        <charset val="134"/>
      </rPr>
      <t>（五）</t>
    </r>
    <phoneticPr fontId="15" type="noConversion"/>
  </si>
  <si>
    <r>
      <rPr>
        <sz val="10"/>
        <color theme="1"/>
        <rFont val="宋体"/>
        <family val="3"/>
        <charset val="134"/>
      </rPr>
      <t>对以包装箱等封存的存货，考虑要求打开箱子或挪开成堆的箱子。</t>
    </r>
    <phoneticPr fontId="15" type="noConversion"/>
  </si>
  <si>
    <r>
      <rPr>
        <sz val="10"/>
        <color theme="1"/>
        <rFont val="宋体"/>
        <family val="3"/>
        <charset val="134"/>
      </rPr>
      <t>对计量特殊、质量特征特殊等特殊类型的存货，考虑实施追加的审计程序或利用专家的工作。</t>
    </r>
    <phoneticPr fontId="15" type="noConversion"/>
  </si>
  <si>
    <r>
      <rPr>
        <sz val="10"/>
        <color theme="1"/>
        <rFont val="宋体"/>
        <family val="3"/>
        <charset val="134"/>
      </rPr>
      <t>将抽盘结果与被审计单位盘点记录、资产负债表日账面记录核对，当抽盘中发现错报时应查明原因，考虑扩大抽盘范围以及是否应调整错报。</t>
    </r>
    <phoneticPr fontId="15" type="noConversion"/>
  </si>
  <si>
    <r>
      <rPr>
        <b/>
        <sz val="10"/>
        <rFont val="宋体"/>
        <family val="3"/>
        <charset val="134"/>
      </rPr>
      <t>（六）</t>
    </r>
    <phoneticPr fontId="15" type="noConversion"/>
  </si>
  <si>
    <r>
      <rPr>
        <b/>
        <sz val="10"/>
        <color theme="1"/>
        <rFont val="宋体"/>
        <family val="3"/>
        <charset val="134"/>
      </rPr>
      <t>其他考虑</t>
    </r>
    <phoneticPr fontId="15" type="noConversion"/>
  </si>
  <si>
    <r>
      <rPr>
        <sz val="10"/>
        <color theme="1"/>
        <rFont val="宋体"/>
        <family val="3"/>
        <charset val="134"/>
      </rPr>
      <t>如无法直接参与客户存货盘点的，则应在审计外勤日对被审计单位的存货内部控制的有效性进行评估，并对重要存货项目进行实地盘点，同时在测试有关存货项目资产负债表日至盘点日之间所有增减变动的会计记录的基础上进行存货倒轧。</t>
    </r>
    <phoneticPr fontId="15" type="noConversion"/>
  </si>
  <si>
    <r>
      <rPr>
        <sz val="10"/>
        <color theme="1"/>
        <rFont val="宋体"/>
        <family val="3"/>
        <charset val="134"/>
      </rPr>
      <t>如果由第三方保管或控制的存货对财务报表是重要的，考虑现场盘点第三方保管或控制的存货</t>
    </r>
    <phoneticPr fontId="15" type="noConversion"/>
  </si>
  <si>
    <r>
      <rPr>
        <sz val="10"/>
        <color theme="1"/>
        <rFont val="宋体"/>
        <family val="3"/>
        <charset val="134"/>
      </rPr>
      <t>如果认为被审计单位的盘点方式及其结果无效，提请被审计单位重新盘点。</t>
    </r>
    <phoneticPr fontId="15" type="noConversion"/>
  </si>
  <si>
    <r>
      <rPr>
        <b/>
        <sz val="10"/>
        <color theme="1"/>
        <rFont val="宋体"/>
        <family val="3"/>
        <charset val="134"/>
      </rPr>
      <t>评价被审计单位存货盘点内部控制、程序和指令，完成盘点计划调查问卷</t>
    </r>
    <phoneticPr fontId="15" type="noConversion"/>
  </si>
  <si>
    <r>
      <rPr>
        <sz val="10"/>
        <color theme="1"/>
        <rFont val="宋体"/>
        <family val="3"/>
        <charset val="134"/>
      </rPr>
      <t>判断内部审计部门在盘点中的参与程度，考虑内部审计人员已执行或拟执行的特定工作的性质和范围、重大错报风险、专业胜任能力、客观性，以及是否利用内部审计的工作。</t>
    </r>
    <phoneticPr fontId="15" type="noConversion"/>
  </si>
  <si>
    <r>
      <rPr>
        <b/>
        <sz val="10"/>
        <color theme="1"/>
        <rFont val="宋体"/>
        <family val="3"/>
        <charset val="134"/>
      </rPr>
      <t>了解存货形态、取得存货存放地点清单等，确定是否实地监盘存货，并考虑：</t>
    </r>
    <r>
      <rPr>
        <sz val="10"/>
        <color theme="1"/>
        <rFont val="Arial Narrow"/>
        <family val="2"/>
      </rPr>
      <t xml:space="preserve">
</t>
    </r>
    <r>
      <rPr>
        <sz val="10"/>
        <color theme="1"/>
        <rFont val="宋体"/>
        <family val="3"/>
        <charset val="134"/>
      </rPr>
      <t>（</t>
    </r>
    <r>
      <rPr>
        <sz val="10"/>
        <color theme="1"/>
        <rFont val="Arial Narrow"/>
        <family val="2"/>
      </rPr>
      <t>1</t>
    </r>
    <r>
      <rPr>
        <sz val="10"/>
        <color theme="1"/>
        <rFont val="宋体"/>
        <family val="3"/>
        <charset val="134"/>
      </rPr>
      <t>）存货存放地点、所有地点同时进行、在期末或接近期末执行监盘；
（</t>
    </r>
    <r>
      <rPr>
        <sz val="10"/>
        <color theme="1"/>
        <rFont val="Arial Narrow"/>
        <family val="2"/>
      </rPr>
      <t>2</t>
    </r>
    <r>
      <rPr>
        <sz val="10"/>
        <color theme="1"/>
        <rFont val="宋体"/>
        <family val="3"/>
        <charset val="134"/>
      </rPr>
      <t>）以不可预见的时间和方式进行，对特殊形态的存货是否利用专家工作。</t>
    </r>
    <phoneticPr fontId="40" type="noConversion"/>
  </si>
  <si>
    <r>
      <rPr>
        <sz val="10"/>
        <color theme="1"/>
        <rFont val="宋体"/>
        <family val="3"/>
        <charset val="134"/>
      </rPr>
      <t>与管理层讨论以前年度存货存在的问题以及目前存货的状况。</t>
    </r>
    <phoneticPr fontId="15" type="noConversion"/>
  </si>
  <si>
    <r>
      <rPr>
        <sz val="10"/>
        <color theme="1"/>
        <rFont val="宋体"/>
        <family val="3"/>
        <charset val="134"/>
      </rPr>
      <t>观察有关存货移动的控制程序是否得到执行，核实在不同地点间转移的库存产品未遗漏和重复。</t>
    </r>
    <r>
      <rPr>
        <sz val="10"/>
        <color theme="1"/>
        <rFont val="Arial Narrow"/>
        <family val="2"/>
      </rPr>
      <t xml:space="preserve"> </t>
    </r>
    <phoneticPr fontId="15" type="noConversion"/>
  </si>
  <si>
    <r>
      <rPr>
        <b/>
        <sz val="10"/>
        <rFont val="宋体"/>
        <family val="3"/>
        <charset val="134"/>
      </rPr>
      <t>序号</t>
    </r>
    <phoneticPr fontId="15" type="noConversion"/>
  </si>
  <si>
    <r>
      <rPr>
        <sz val="10"/>
        <color theme="1"/>
        <rFont val="宋体"/>
        <family val="3"/>
        <charset val="134"/>
      </rPr>
      <t>如存货盘点日不是资产负债表日，检查盘点日与资产负债表日之间存货的变动是否已作正确的记录，并将抽盘结果进行存货倒轧，结合存货截止测试考虑存货在盘点日和财务报表日的截止是否正确。</t>
    </r>
    <phoneticPr fontId="15" type="noConversion"/>
  </si>
  <si>
    <r>
      <rPr>
        <b/>
        <sz val="10"/>
        <color theme="1"/>
        <rFont val="宋体"/>
        <family val="3"/>
        <charset val="134"/>
      </rPr>
      <t>根据监盘计划，执行抽盘，核对盘点结果并编制监盘小结</t>
    </r>
    <phoneticPr fontId="15" type="noConversion"/>
  </si>
  <si>
    <r>
      <rPr>
        <sz val="10"/>
        <color theme="1"/>
        <rFont val="宋体"/>
        <family val="3"/>
        <charset val="134"/>
      </rPr>
      <t>评价被审计单位的盘点计划是否恰当、是否存在缺陷。</t>
    </r>
    <phoneticPr fontId="15" type="noConversion"/>
  </si>
  <si>
    <r>
      <rPr>
        <sz val="10"/>
        <color theme="1"/>
        <rFont val="宋体"/>
        <family val="3"/>
        <charset val="134"/>
      </rPr>
      <t>获取被审计单位加盖公司印鉴的完整仓库清单或存货存放地点清单（包括期末库存量为零的仓库、租赁的仓库，以及第三方代被审计单位保管存货的仓库等）及按存放地点分类的存货明细表，结合询问、与前期仓库变动情况、存货出入库单中的仓库、支付的仓储租金、固定资产中仓库建筑物分析是否存在遗漏的仓库、遗漏存货存放地点。</t>
    </r>
    <phoneticPr fontId="15" type="noConversion"/>
  </si>
  <si>
    <r>
      <rPr>
        <sz val="10"/>
        <color theme="1"/>
        <rFont val="宋体"/>
        <family val="3"/>
        <charset val="134"/>
      </rPr>
      <t>完成存货监盘程序表要求的各项工作，复核监盘结果汇总记录，编制存货监盘报告（监盘小结）</t>
    </r>
    <phoneticPr fontId="15" type="noConversion"/>
  </si>
  <si>
    <r>
      <rPr>
        <sz val="10"/>
        <color theme="1"/>
        <rFont val="宋体"/>
        <family val="3"/>
        <charset val="134"/>
      </rPr>
      <t>根据被审计单位的存货盘存制度和相关内部控制的有效性，与管理层讨论评价盘点时间是否合理：
（</t>
    </r>
    <r>
      <rPr>
        <sz val="10"/>
        <color theme="1"/>
        <rFont val="Arial Narrow"/>
        <family val="2"/>
      </rPr>
      <t>1</t>
    </r>
    <r>
      <rPr>
        <sz val="10"/>
        <color theme="1"/>
        <rFont val="宋体"/>
        <family val="3"/>
        <charset val="134"/>
      </rPr>
      <t>）盘点日是否与资产负债表一致，如果盘点日和资产负债表日不一致，评价对内部控制的信赖能否将盘点日的结论延伸至资产负债表日；
（</t>
    </r>
    <r>
      <rPr>
        <sz val="10"/>
        <color theme="1"/>
        <rFont val="Arial Narrow"/>
        <family val="2"/>
      </rPr>
      <t>2</t>
    </r>
    <r>
      <rPr>
        <sz val="10"/>
        <color theme="1"/>
        <rFont val="宋体"/>
        <family val="3"/>
        <charset val="134"/>
      </rPr>
      <t>）所有重要存货均列入盘点范围（包括在异地存放的重要存货）、不同地点存货是否同时盘点；</t>
    </r>
    <phoneticPr fontId="15" type="noConversion"/>
  </si>
  <si>
    <r>
      <rPr>
        <sz val="10"/>
        <color theme="1"/>
        <rFont val="宋体"/>
        <family val="3"/>
        <charset val="134"/>
      </rPr>
      <t>在被审计单位盘点存货前，观察盘点现场：
（</t>
    </r>
    <r>
      <rPr>
        <sz val="10"/>
        <color theme="1"/>
        <rFont val="Arial Narrow"/>
        <family val="2"/>
      </rPr>
      <t>1</t>
    </r>
    <r>
      <rPr>
        <sz val="10"/>
        <color theme="1"/>
        <rFont val="宋体"/>
        <family val="3"/>
        <charset val="134"/>
      </rPr>
      <t>）确定应纳入盘点范围的存货是否已经适当整理和排列，是否存在已经销售但仍存放在公司仓库或未确认收入已由客户代管的存货；
（</t>
    </r>
    <r>
      <rPr>
        <sz val="10"/>
        <color theme="1"/>
        <rFont val="Arial Narrow"/>
        <family val="2"/>
      </rPr>
      <t>2</t>
    </r>
    <r>
      <rPr>
        <sz val="10"/>
        <color theme="1"/>
        <rFont val="宋体"/>
        <family val="3"/>
        <charset val="134"/>
      </rPr>
      <t>）存货是否附有盘点标识</t>
    </r>
    <r>
      <rPr>
        <sz val="10"/>
        <color theme="1"/>
        <rFont val="Arial Narrow"/>
        <family val="2"/>
      </rPr>
      <t>/</t>
    </r>
    <r>
      <rPr>
        <sz val="10"/>
        <color theme="1"/>
        <rFont val="宋体"/>
        <family val="3"/>
        <charset val="134"/>
      </rPr>
      <t>标签</t>
    </r>
    <r>
      <rPr>
        <sz val="10"/>
        <color theme="1"/>
        <rFont val="Arial Narrow"/>
        <family val="2"/>
      </rPr>
      <t>/</t>
    </r>
    <r>
      <rPr>
        <sz val="10"/>
        <color theme="1"/>
        <rFont val="宋体"/>
        <family val="3"/>
        <charset val="134"/>
      </rPr>
      <t>编号，是否存在重复、是否有未纳入盘点范围的存货以及未纳入的原因；
（</t>
    </r>
    <r>
      <rPr>
        <sz val="10"/>
        <color theme="1"/>
        <rFont val="Arial Narrow"/>
        <family val="2"/>
      </rPr>
      <t>3</t>
    </r>
    <r>
      <rPr>
        <sz val="10"/>
        <color theme="1"/>
        <rFont val="宋体"/>
        <family val="3"/>
        <charset val="134"/>
      </rPr>
      <t>）存货是否已经停止流动，如未停止流动，如何对在不同存放地点之间的流动以及出入库情况进行控制。
（</t>
    </r>
    <r>
      <rPr>
        <sz val="10"/>
        <color theme="1"/>
        <rFont val="Arial Narrow"/>
        <family val="2"/>
      </rPr>
      <t>4</t>
    </r>
    <r>
      <rPr>
        <sz val="10"/>
        <color theme="1"/>
        <rFont val="宋体"/>
        <family val="3"/>
        <charset val="134"/>
      </rPr>
      <t>）是否已经恰当区分所有毁损、陈旧、过时及残次的存货；
（</t>
    </r>
    <r>
      <rPr>
        <sz val="10"/>
        <color theme="1"/>
        <rFont val="Arial Narrow"/>
        <family val="2"/>
      </rPr>
      <t>5</t>
    </r>
    <r>
      <rPr>
        <sz val="10"/>
        <color theme="1"/>
        <rFont val="宋体"/>
        <family val="3"/>
        <charset val="134"/>
      </rPr>
      <t>）是否对计量用具（地秤、秤量器和其他计量器）进行校验；
（</t>
    </r>
    <r>
      <rPr>
        <sz val="10"/>
        <color theme="1"/>
        <rFont val="Arial Narrow"/>
        <family val="2"/>
      </rPr>
      <t>6</t>
    </r>
    <r>
      <rPr>
        <sz val="10"/>
        <color theme="1"/>
        <rFont val="宋体"/>
        <family val="3"/>
        <charset val="134"/>
      </rPr>
      <t>）是否对存货盘点表单的领用实施充分的控制，并通过连续编号确保没有遗漏或重复。</t>
    </r>
    <phoneticPr fontId="15" type="noConversion"/>
  </si>
  <si>
    <t>根据了解的被审计单位存货的形态及特点，制定存货监盘计划（考虑前期存货监盘对本期监盘的影响、前期监盘遇到的重大问题及存货监盘的改善建议、风险评估结果、特别风险、同时进行、具有不可预见性和针对性），并将计划传达给参与监盘的项目组成员，以明确监盘时间、监盘范围、监盘方式、抽盘范围、参与人员及分工等事项。</t>
    <phoneticPr fontId="15" type="noConversion"/>
  </si>
  <si>
    <r>
      <rPr>
        <b/>
        <sz val="10"/>
        <rFont val="宋体"/>
        <family val="3"/>
        <charset val="134"/>
      </rPr>
      <t>（一）</t>
    </r>
    <phoneticPr fontId="15" type="noConversion"/>
  </si>
  <si>
    <r>
      <rPr>
        <b/>
        <sz val="10"/>
        <rFont val="宋体"/>
        <family val="3"/>
        <charset val="134"/>
      </rPr>
      <t>（二）</t>
    </r>
    <phoneticPr fontId="40" type="noConversion"/>
  </si>
  <si>
    <r>
      <rPr>
        <b/>
        <sz val="10"/>
        <rFont val="宋体"/>
        <family val="3"/>
        <charset val="134"/>
      </rPr>
      <t>（三）</t>
    </r>
    <phoneticPr fontId="15" type="noConversion"/>
  </si>
  <si>
    <r>
      <rPr>
        <b/>
        <sz val="10"/>
        <rFont val="宋体"/>
        <family val="3"/>
        <charset val="134"/>
      </rPr>
      <t>（四）</t>
    </r>
    <phoneticPr fontId="15" type="noConversion"/>
  </si>
  <si>
    <t>程序分类</t>
    <phoneticPr fontId="15" type="noConversion"/>
  </si>
  <si>
    <t>常规★</t>
    <phoneticPr fontId="40" type="noConversion"/>
  </si>
  <si>
    <r>
      <rPr>
        <sz val="10"/>
        <color theme="1"/>
        <rFont val="宋体"/>
        <family val="3"/>
        <charset val="134"/>
      </rPr>
      <t>获取被审计单位存货盘点计划及其他用以记录和控制存货盘点结果的指令和程序，与管理层讨论：
（</t>
    </r>
    <r>
      <rPr>
        <sz val="10"/>
        <color theme="1"/>
        <rFont val="Arial Narrow"/>
        <family val="2"/>
      </rPr>
      <t>1</t>
    </r>
    <r>
      <rPr>
        <sz val="10"/>
        <color theme="1"/>
        <rFont val="宋体"/>
        <family val="3"/>
        <charset val="134"/>
      </rPr>
      <t>）在盘点过程中是否存在无法停止移动的存货，所采取的控制程序和对存货收发截止影响的考虑；
（</t>
    </r>
    <r>
      <rPr>
        <sz val="10"/>
        <color theme="1"/>
        <rFont val="Arial Narrow"/>
        <family val="2"/>
      </rPr>
      <t>2</t>
    </r>
    <r>
      <rPr>
        <sz val="10"/>
        <color theme="1"/>
        <rFont val="宋体"/>
        <family val="3"/>
        <charset val="134"/>
      </rPr>
      <t>）盘点的计量工具和计量方法，对于盘点有困难的特殊存货，盘点方法的可行性和科学性，是否有专家参与盘点；
（</t>
    </r>
    <r>
      <rPr>
        <sz val="10"/>
        <color theme="1"/>
        <rFont val="Arial Narrow"/>
        <family val="2"/>
      </rPr>
      <t>3</t>
    </r>
    <r>
      <rPr>
        <sz val="10"/>
        <color theme="1"/>
        <rFont val="宋体"/>
        <family val="3"/>
        <charset val="134"/>
      </rPr>
      <t>）出入库单等与存货相关的单据是否连续编号，如何控制存货的完整性和截止性等。</t>
    </r>
    <phoneticPr fontId="15" type="noConversion"/>
  </si>
  <si>
    <t>备选</t>
    <phoneticPr fontId="40" type="noConversion"/>
  </si>
  <si>
    <t>如果管理层不允许在同一时间对所有存放地点的存货实施监盘，关注可能存在管理层操纵转移不同地点的存货以虚增或虚减存货的舞弊风险。</t>
    <phoneticPr fontId="15" type="noConversion"/>
  </si>
  <si>
    <t>底稿索引号</t>
    <phoneticPr fontId="15" type="noConversion"/>
  </si>
  <si>
    <t>企业盘点记录数量</t>
    <phoneticPr fontId="15" type="noConversion"/>
  </si>
  <si>
    <t>抽盘数量</t>
    <phoneticPr fontId="15" type="noConversion"/>
  </si>
  <si>
    <r>
      <t>仓库名称：</t>
    </r>
    <r>
      <rPr>
        <sz val="10"/>
        <rFont val="Arial Narrow"/>
        <family val="2"/>
      </rPr>
      <t>_____________________</t>
    </r>
    <phoneticPr fontId="15" type="noConversion"/>
  </si>
  <si>
    <r>
      <t>监盘人员：</t>
    </r>
    <r>
      <rPr>
        <sz val="10"/>
        <color rgb="FF3333FF"/>
        <rFont val="宋体"/>
        <family val="3"/>
        <charset val="134"/>
      </rPr>
      <t>（审计人员签字）</t>
    </r>
    <phoneticPr fontId="15" type="noConversion"/>
  </si>
  <si>
    <r>
      <t>盘点时间：</t>
    </r>
    <r>
      <rPr>
        <sz val="10"/>
        <rFont val="Arial Narrow"/>
        <family val="2"/>
      </rPr>
      <t>__________________</t>
    </r>
    <phoneticPr fontId="15" type="noConversion"/>
  </si>
  <si>
    <t>抽盘与账面差异（+盈-亏）</t>
    <phoneticPr fontId="15" type="noConversion"/>
  </si>
  <si>
    <t>抽盘与企业盘点差异</t>
    <phoneticPr fontId="15" type="noConversion"/>
  </si>
  <si>
    <t>（一）从存货盘点记录中选取项目追查至存货实物</t>
    <phoneticPr fontId="15" type="noConversion"/>
  </si>
  <si>
    <t>（二）从存货实物中选取项目追查至存货盘点记录</t>
    <phoneticPr fontId="15" type="noConversion"/>
  </si>
  <si>
    <t>品质状况（正常/残次/毁损/滞销等）</t>
    <phoneticPr fontId="15" type="noConversion"/>
  </si>
  <si>
    <t>存货类别</t>
    <phoneticPr fontId="15" type="noConversion"/>
  </si>
  <si>
    <t>品名及规格</t>
    <phoneticPr fontId="15" type="noConversion"/>
  </si>
  <si>
    <t>仓库</t>
    <phoneticPr fontId="15" type="noConversion"/>
  </si>
  <si>
    <t>单价</t>
    <phoneticPr fontId="15" type="noConversion"/>
  </si>
  <si>
    <t>数量差异</t>
    <phoneticPr fontId="15" type="noConversion"/>
  </si>
  <si>
    <t>金额差异</t>
    <phoneticPr fontId="15" type="noConversion"/>
  </si>
  <si>
    <t>差异原因</t>
    <phoneticPr fontId="15" type="noConversion"/>
  </si>
  <si>
    <t>是否调整</t>
    <phoneticPr fontId="15" type="noConversion"/>
  </si>
  <si>
    <t>存货编码</t>
  </si>
  <si>
    <t>存货编码</t>
    <phoneticPr fontId="15" type="noConversion"/>
  </si>
  <si>
    <t>存货编码</t>
    <phoneticPr fontId="15" type="noConversion"/>
  </si>
  <si>
    <t>存货编码</t>
    <phoneticPr fontId="15" type="noConversion"/>
  </si>
  <si>
    <t>致同会计师事务所</t>
    <phoneticPr fontId="15" type="noConversion"/>
  </si>
  <si>
    <t>致同会计师事务所</t>
    <phoneticPr fontId="15" type="noConversion"/>
  </si>
  <si>
    <t>品名及规格</t>
    <phoneticPr fontId="15" type="noConversion"/>
  </si>
  <si>
    <t>一、资产负债表日存货账面余额与仓储台账（ERP业务数据)核对记录</t>
    <phoneticPr fontId="15" type="noConversion"/>
  </si>
  <si>
    <t>二、盘点日存货账面余额与仓储台账（ERP业务数据)核对记录</t>
    <phoneticPr fontId="15" type="noConversion"/>
  </si>
  <si>
    <t>存货账面余额与仓储台账（ERP业务数据)核对记录</t>
    <phoneticPr fontId="15" type="noConversion"/>
  </si>
  <si>
    <t>企业盘点与账面差异</t>
    <phoneticPr fontId="15" type="noConversion"/>
  </si>
  <si>
    <t>根据被审计单位实际情况裁剪程序</t>
    <phoneticPr fontId="15" type="noConversion"/>
  </si>
  <si>
    <t>5</t>
    <phoneticPr fontId="15" type="noConversion"/>
  </si>
  <si>
    <r>
      <rPr>
        <sz val="10"/>
        <color theme="1"/>
        <rFont val="宋体"/>
        <family val="3"/>
        <charset val="134"/>
      </rPr>
      <t>核对存货监盘记录与存货明细账记录
（</t>
    </r>
    <r>
      <rPr>
        <sz val="10"/>
        <color theme="1"/>
        <rFont val="Arial Narrow"/>
        <family val="2"/>
      </rPr>
      <t>1</t>
    </r>
    <r>
      <rPr>
        <sz val="10"/>
        <color theme="1"/>
        <rFont val="宋体"/>
        <family val="3"/>
        <charset val="134"/>
      </rPr>
      <t>）从明细账中选取具有代表性的样本，将明细账上的存货数量与经确认盘点报告的数量核对；
（</t>
    </r>
    <r>
      <rPr>
        <sz val="10"/>
        <color theme="1"/>
        <rFont val="Arial Narrow"/>
        <family val="2"/>
      </rPr>
      <t>2</t>
    </r>
    <r>
      <rPr>
        <sz val="10"/>
        <color theme="1"/>
        <rFont val="宋体"/>
        <family val="3"/>
        <charset val="134"/>
      </rPr>
      <t>）从经确认的盘点报告中抽取有代表性的样本，将盘点报告的数量与存货明细账核对。</t>
    </r>
    <phoneticPr fontId="15" type="noConversion"/>
  </si>
  <si>
    <t>观察管理层制定的盘点程序的执行情况，并检查存货并检查存货的状况，是否存在过时、毁损或陈旧的存货；</t>
    <phoneticPr fontId="15" type="noConversion"/>
  </si>
  <si>
    <r>
      <rPr>
        <sz val="10"/>
        <color rgb="FF3333FF"/>
        <rFont val="宋体"/>
        <family val="3"/>
        <charset val="134"/>
      </rPr>
      <t>提示</t>
    </r>
    <r>
      <rPr>
        <sz val="10"/>
        <color rgb="FF3333FF"/>
        <rFont val="Arial Narrow"/>
        <family val="2"/>
      </rPr>
      <t>2</t>
    </r>
    <r>
      <rPr>
        <sz val="10"/>
        <color rgb="FF3333FF"/>
        <rFont val="宋体"/>
        <family val="3"/>
        <charset val="134"/>
      </rPr>
      <t>：如果数据量大可结合</t>
    </r>
    <r>
      <rPr>
        <sz val="10"/>
        <color rgb="FF3333FF"/>
        <rFont val="Arial Narrow"/>
        <family val="2"/>
      </rPr>
      <t>IT</t>
    </r>
    <r>
      <rPr>
        <sz val="10"/>
        <color rgb="FF3333FF"/>
        <rFont val="宋体"/>
        <family val="3"/>
        <charset val="134"/>
      </rPr>
      <t>审计完成核对</t>
    </r>
    <phoneticPr fontId="15" type="noConversion"/>
  </si>
  <si>
    <r>
      <rPr>
        <sz val="10"/>
        <color rgb="FF3333FF"/>
        <rFont val="宋体"/>
        <family val="3"/>
        <charset val="134"/>
      </rPr>
      <t>提示</t>
    </r>
    <r>
      <rPr>
        <sz val="10"/>
        <color rgb="FF3333FF"/>
        <rFont val="Arial Narrow"/>
        <family val="2"/>
      </rPr>
      <t>1</t>
    </r>
    <r>
      <rPr>
        <sz val="10"/>
        <color rgb="FF3333FF"/>
        <rFont val="宋体"/>
        <family val="3"/>
        <charset val="134"/>
      </rPr>
      <t>：只适用于监盘（抽盘）日不是资产负债表日的情况</t>
    </r>
    <phoneticPr fontId="15" type="noConversion"/>
  </si>
  <si>
    <r>
      <rPr>
        <sz val="10"/>
        <color rgb="FF3333FF"/>
        <rFont val="宋体"/>
        <family val="3"/>
        <charset val="134"/>
      </rPr>
      <t>提示</t>
    </r>
    <r>
      <rPr>
        <sz val="10"/>
        <color rgb="FF3333FF"/>
        <rFont val="Arial Narrow"/>
        <family val="2"/>
      </rPr>
      <t>2</t>
    </r>
    <r>
      <rPr>
        <sz val="10"/>
        <color rgb="FF3333FF"/>
        <rFont val="宋体"/>
        <family val="3"/>
        <charset val="134"/>
      </rPr>
      <t>：如果数据量大可结合</t>
    </r>
    <r>
      <rPr>
        <sz val="10"/>
        <color rgb="FF3333FF"/>
        <rFont val="Arial Narrow"/>
        <family val="2"/>
      </rPr>
      <t>IT</t>
    </r>
    <r>
      <rPr>
        <sz val="10"/>
        <color rgb="FF3333FF"/>
        <rFont val="宋体"/>
        <family val="3"/>
        <charset val="134"/>
      </rPr>
      <t>审计完成核对</t>
    </r>
    <phoneticPr fontId="15" type="noConversion"/>
  </si>
  <si>
    <r>
      <rPr>
        <sz val="10"/>
        <color rgb="FF3333FF"/>
        <rFont val="宋体"/>
        <family val="3"/>
        <charset val="134"/>
      </rPr>
      <t>提示</t>
    </r>
    <r>
      <rPr>
        <sz val="10"/>
        <color rgb="FF3333FF"/>
        <rFont val="Arial Narrow"/>
        <family val="2"/>
      </rPr>
      <t>1</t>
    </r>
    <r>
      <rPr>
        <sz val="10"/>
        <color rgb="FF3333FF"/>
        <rFont val="宋体"/>
        <family val="3"/>
        <charset val="134"/>
      </rPr>
      <t>：结合存货常规程序：抽查核对存货收发存明细账是否与仓储台账（</t>
    </r>
    <r>
      <rPr>
        <sz val="10"/>
        <color rgb="FF3333FF"/>
        <rFont val="Arial Narrow"/>
        <family val="2"/>
      </rPr>
      <t>ERP</t>
    </r>
    <r>
      <rPr>
        <sz val="10"/>
        <color rgb="FF3333FF"/>
        <rFont val="宋体"/>
        <family val="3"/>
        <charset val="134"/>
      </rPr>
      <t>业务数据）、卡片记录相符（双向核对）一致</t>
    </r>
    <phoneticPr fontId="15" type="noConversion"/>
  </si>
  <si>
    <t>存货监盘程序表</t>
    <phoneticPr fontId="15" type="noConversion"/>
  </si>
  <si>
    <r>
      <rPr>
        <sz val="10"/>
        <color theme="1"/>
        <rFont val="宋体"/>
        <family val="3"/>
        <charset val="134"/>
      </rPr>
      <t>在被审计单位盘点人员盘点过程中，进行观察：
（</t>
    </r>
    <r>
      <rPr>
        <sz val="10"/>
        <color theme="1"/>
        <rFont val="Arial Narrow"/>
        <family val="2"/>
      </rPr>
      <t>1</t>
    </r>
    <r>
      <rPr>
        <sz val="10"/>
        <color theme="1"/>
        <rFont val="宋体"/>
        <family val="3"/>
        <charset val="134"/>
      </rPr>
      <t>）被审计单位的实际盘点是否按照计划进行，盘点过程是否有独立于存货实物管理责任人员以外的人员参与；
（</t>
    </r>
    <r>
      <rPr>
        <sz val="10"/>
        <color theme="1"/>
        <rFont val="Arial Narrow"/>
        <family val="2"/>
      </rPr>
      <t>2</t>
    </r>
    <r>
      <rPr>
        <sz val="10"/>
        <color theme="1"/>
        <rFont val="宋体"/>
        <family val="3"/>
        <charset val="134"/>
      </rPr>
      <t>）盘点人员是否是否准确记录了存货实际的数量和状况；
（</t>
    </r>
    <r>
      <rPr>
        <sz val="10"/>
        <color theme="1"/>
        <rFont val="Arial Narrow"/>
        <family val="2"/>
      </rPr>
      <t>3</t>
    </r>
    <r>
      <rPr>
        <sz val="10"/>
        <color theme="1"/>
        <rFont val="宋体"/>
        <family val="3"/>
        <charset val="134"/>
      </rPr>
      <t>）是否使用复盘法（对相同的存货执行两次清点）进行盘点，如不是，如何确保所有存货盘点准确；
（</t>
    </r>
    <r>
      <rPr>
        <sz val="10"/>
        <color theme="1"/>
        <rFont val="Arial Narrow"/>
        <family val="2"/>
      </rPr>
      <t>4</t>
    </r>
    <r>
      <rPr>
        <sz val="10"/>
        <color theme="1"/>
        <rFont val="宋体"/>
        <family val="3"/>
        <charset val="134"/>
      </rPr>
      <t>）对于特殊类型的存货（如堆积型存货、液体、气体、生物资产等），用于估计数量的方法是否恰当；
（</t>
    </r>
    <r>
      <rPr>
        <sz val="10"/>
        <color theme="1"/>
        <rFont val="Arial Narrow"/>
        <family val="2"/>
      </rPr>
      <t>5</t>
    </r>
    <r>
      <rPr>
        <sz val="10"/>
        <color theme="1"/>
        <rFont val="宋体"/>
        <family val="3"/>
        <charset val="134"/>
      </rPr>
      <t>）关注存货发送和验收场所，确定这里的存货是否应包括在盘点范围内；
（</t>
    </r>
    <r>
      <rPr>
        <sz val="10"/>
        <color theme="1"/>
        <rFont val="Arial Narrow"/>
        <family val="2"/>
      </rPr>
      <t>6</t>
    </r>
    <r>
      <rPr>
        <sz val="10"/>
        <color theme="1"/>
        <rFont val="宋体"/>
        <family val="3"/>
        <charset val="134"/>
      </rPr>
      <t>）盘点人员是否记录了毁损、陈旧、残次和周转缓慢及可能毁损、陈旧、残次和周转缓慢的存货；
（</t>
    </r>
    <r>
      <rPr>
        <sz val="10"/>
        <color theme="1"/>
        <rFont val="Arial Narrow"/>
        <family val="2"/>
      </rPr>
      <t>7</t>
    </r>
    <r>
      <rPr>
        <sz val="10"/>
        <color theme="1"/>
        <rFont val="宋体"/>
        <family val="3"/>
        <charset val="134"/>
      </rPr>
      <t>）已填用、作废及未使用的盘点表单、标识</t>
    </r>
    <r>
      <rPr>
        <sz val="10"/>
        <color theme="1"/>
        <rFont val="Arial Narrow"/>
        <family val="2"/>
      </rPr>
      <t>/</t>
    </r>
    <r>
      <rPr>
        <sz val="10"/>
        <color theme="1"/>
        <rFont val="宋体"/>
        <family val="3"/>
        <charset val="134"/>
      </rPr>
      <t>标签的号码是否完整记录；
（</t>
    </r>
    <r>
      <rPr>
        <sz val="10"/>
        <color theme="1"/>
        <rFont val="Arial Narrow"/>
        <family val="2"/>
      </rPr>
      <t>8</t>
    </r>
    <r>
      <rPr>
        <sz val="10"/>
        <color theme="1"/>
        <rFont val="宋体"/>
        <family val="3"/>
        <charset val="134"/>
      </rPr>
      <t>）是否特别关注在产品完工进度、金额重大存货、数量重大存货、可能报废</t>
    </r>
    <r>
      <rPr>
        <sz val="10"/>
        <color theme="1"/>
        <rFont val="Arial Narrow"/>
        <family val="2"/>
      </rPr>
      <t>/</t>
    </r>
    <r>
      <rPr>
        <sz val="10"/>
        <color theme="1"/>
        <rFont val="宋体"/>
        <family val="3"/>
        <charset val="134"/>
      </rPr>
      <t>损毁</t>
    </r>
    <r>
      <rPr>
        <sz val="10"/>
        <color theme="1"/>
        <rFont val="Arial Narrow"/>
        <family val="2"/>
      </rPr>
      <t>/</t>
    </r>
    <r>
      <rPr>
        <sz val="10"/>
        <color theme="1"/>
        <rFont val="宋体"/>
        <family val="3"/>
        <charset val="134"/>
      </rPr>
      <t>陈旧</t>
    </r>
    <r>
      <rPr>
        <sz val="10"/>
        <color theme="1"/>
        <rFont val="Arial Narrow"/>
        <family val="2"/>
      </rPr>
      <t>/</t>
    </r>
    <r>
      <rPr>
        <sz val="10"/>
        <color theme="1"/>
        <rFont val="宋体"/>
        <family val="3"/>
        <charset val="134"/>
      </rPr>
      <t>残次存货、第三方存货、抵质押、所有权证据（如货运单价、商标）等；
（</t>
    </r>
    <r>
      <rPr>
        <sz val="10"/>
        <color theme="1"/>
        <rFont val="Arial Narrow"/>
        <family val="2"/>
      </rPr>
      <t>9</t>
    </r>
    <r>
      <rPr>
        <sz val="10"/>
        <color theme="1"/>
        <rFont val="宋体"/>
        <family val="3"/>
        <charset val="134"/>
      </rPr>
      <t>）盘点中发现的问题否是否得到适当的跟进与解决，对盘点结果的改动是否经过适当的授权审批</t>
    </r>
    <phoneticPr fontId="15" type="noConversion"/>
  </si>
  <si>
    <r>
      <t>盘点人员：</t>
    </r>
    <r>
      <rPr>
        <sz val="10"/>
        <color rgb="FF3333FF"/>
        <rFont val="宋体"/>
        <family val="3"/>
        <charset val="134"/>
      </rPr>
      <t>（被审计单位仓库盘点人和财务监盘人签字）</t>
    </r>
    <phoneticPr fontId="15" type="noConversion"/>
  </si>
  <si>
    <r>
      <rPr>
        <sz val="10"/>
        <color theme="1"/>
        <rFont val="宋体"/>
        <family val="3"/>
        <charset val="134"/>
      </rPr>
      <t>结合被审计单位实际盘点是否与计划存货监盘工作时的估计基本一致，如果存在较大差异，考虑修改抽盘范围。
（</t>
    </r>
    <r>
      <rPr>
        <sz val="10"/>
        <color theme="1"/>
        <rFont val="Arial Narrow"/>
        <family val="2"/>
      </rPr>
      <t>1</t>
    </r>
    <r>
      <rPr>
        <sz val="10"/>
        <color theme="1"/>
        <rFont val="宋体"/>
        <family val="3"/>
        <charset val="134"/>
      </rPr>
      <t>）从存货盘点记录中选取项目追查至存货实物，以测试盘点记录的准确性；
（</t>
    </r>
    <r>
      <rPr>
        <sz val="10"/>
        <color theme="1"/>
        <rFont val="Arial Narrow"/>
        <family val="2"/>
      </rPr>
      <t>2</t>
    </r>
    <r>
      <rPr>
        <sz val="10"/>
        <color theme="1"/>
        <rFont val="宋体"/>
        <family val="3"/>
        <charset val="134"/>
      </rPr>
      <t>）从存货实物中选取项目追查至存货盘点记录，以测试存货盘点的完整性。</t>
    </r>
    <phoneticPr fontId="15" type="noConversion"/>
  </si>
  <si>
    <r>
      <rPr>
        <b/>
        <sz val="10"/>
        <color rgb="FF3333FF"/>
        <rFont val="宋体"/>
        <family val="3"/>
        <charset val="134"/>
      </rPr>
      <t>提示</t>
    </r>
    <r>
      <rPr>
        <b/>
        <sz val="10"/>
        <color rgb="FF3333FF"/>
        <rFont val="Arial Narrow"/>
        <family val="2"/>
      </rPr>
      <t>1</t>
    </r>
    <r>
      <rPr>
        <b/>
        <sz val="10"/>
        <color rgb="FF3333FF"/>
        <rFont val="宋体"/>
        <family val="3"/>
        <charset val="134"/>
      </rPr>
      <t>：</t>
    </r>
    <r>
      <rPr>
        <sz val="10"/>
        <color rgb="FF3333FF"/>
        <rFont val="宋体"/>
        <family val="3"/>
        <charset val="134"/>
      </rPr>
      <t>如果被审计单位的存货存放在多个地点，注册会计师可以要求被审计单位提供一份完整的存货存放地点清单（包括期末库存量为零的仓库、租赁的仓库，以及第三方代被审计单位保管存货的仓库等），并考虑其完整性。根据具体情况下的风险评估结果，注册会计师可以考虑执行以下一项或多项审计程序：
（</t>
    </r>
    <r>
      <rPr>
        <sz val="10"/>
        <color rgb="FF3333FF"/>
        <rFont val="Arial Narrow"/>
        <family val="2"/>
      </rPr>
      <t>1</t>
    </r>
    <r>
      <rPr>
        <sz val="10"/>
        <color rgb="FF3333FF"/>
        <rFont val="宋体"/>
        <family val="3"/>
        <charset val="134"/>
      </rPr>
      <t>）询问被审计单位除管理层和财务部门以外的其他人员，如营销人员、仓库人员等，以了解有关存货存放地点的情况</t>
    </r>
    <r>
      <rPr>
        <sz val="10"/>
        <color rgb="FF3333FF"/>
        <rFont val="Arial Narrow"/>
        <family val="2"/>
      </rPr>
      <t xml:space="preserve">;
</t>
    </r>
    <r>
      <rPr>
        <sz val="10"/>
        <color rgb="FF3333FF"/>
        <rFont val="宋体"/>
        <family val="3"/>
        <charset val="134"/>
      </rPr>
      <t>（</t>
    </r>
    <r>
      <rPr>
        <sz val="10"/>
        <color rgb="FF3333FF"/>
        <rFont val="Arial Narrow"/>
        <family val="2"/>
      </rPr>
      <t>2</t>
    </r>
    <r>
      <rPr>
        <sz val="10"/>
        <color rgb="FF3333FF"/>
        <rFont val="宋体"/>
        <family val="3"/>
        <charset val="134"/>
      </rPr>
      <t>）比较被审计单位不同时期的存货存放地点清单，关注仓库变动情况，以确定是否存在因仓库变动而未将存货纳入盘点范围的情况发生；
（</t>
    </r>
    <r>
      <rPr>
        <sz val="10"/>
        <color rgb="FF3333FF"/>
        <rFont val="Arial Narrow"/>
        <family val="2"/>
      </rPr>
      <t>3</t>
    </r>
    <r>
      <rPr>
        <sz val="10"/>
        <color rgb="FF3333FF"/>
        <rFont val="宋体"/>
        <family val="3"/>
        <charset val="134"/>
      </rPr>
      <t>）检查被审计单位存货的出、入库单，关注是否存在被审计单位尚未告知注册会计师的仓库（如期末库存量为零的仓库）；
（</t>
    </r>
    <r>
      <rPr>
        <sz val="10"/>
        <color rgb="FF3333FF"/>
        <rFont val="Arial Narrow"/>
        <family val="2"/>
      </rPr>
      <t>4</t>
    </r>
    <r>
      <rPr>
        <sz val="10"/>
        <color rgb="FF3333FF"/>
        <rFont val="宋体"/>
        <family val="3"/>
        <charset val="134"/>
      </rPr>
      <t>）检查费用支出明细账和租赁合同，关注被审计单位是否租赁仓库并支付租金，如果有，该仓库是否已包括在被审计单位提供的仓库清单中；
（</t>
    </r>
    <r>
      <rPr>
        <sz val="10"/>
        <color rgb="FF3333FF"/>
        <rFont val="Arial Narrow"/>
        <family val="2"/>
      </rPr>
      <t>5</t>
    </r>
    <r>
      <rPr>
        <sz val="10"/>
        <color rgb="FF3333FF"/>
        <rFont val="宋体"/>
        <family val="3"/>
        <charset val="134"/>
      </rPr>
      <t>）检查被审计单位</t>
    </r>
    <r>
      <rPr>
        <sz val="10"/>
        <color rgb="FF3333FF"/>
        <rFont val="Arial Narrow"/>
        <family val="2"/>
      </rPr>
      <t>“</t>
    </r>
    <r>
      <rPr>
        <sz val="10"/>
        <color rgb="FF3333FF"/>
        <rFont val="宋体"/>
        <family val="3"/>
        <charset val="134"/>
      </rPr>
      <t>固定资产</t>
    </r>
    <r>
      <rPr>
        <sz val="10"/>
        <color rgb="FF3333FF"/>
        <rFont val="Arial Narrow"/>
        <family val="2"/>
      </rPr>
      <t>——</t>
    </r>
    <r>
      <rPr>
        <sz val="10"/>
        <color rgb="FF3333FF"/>
        <rFont val="宋体"/>
        <family val="3"/>
        <charset val="134"/>
      </rPr>
      <t>房屋建筑物</t>
    </r>
    <r>
      <rPr>
        <sz val="10"/>
        <color rgb="FF3333FF"/>
        <rFont val="Arial Narrow"/>
        <family val="2"/>
      </rPr>
      <t>”</t>
    </r>
    <r>
      <rPr>
        <sz val="10"/>
        <color rgb="FF3333FF"/>
        <rFont val="宋体"/>
        <family val="3"/>
        <charset val="134"/>
      </rPr>
      <t xml:space="preserve">明细清单，了解被审计单位可用于存放存货的房屋建筑物。
</t>
    </r>
    <phoneticPr fontId="15" type="noConversion"/>
  </si>
  <si>
    <r>
      <rPr>
        <b/>
        <sz val="10"/>
        <color rgb="FF3333FF"/>
        <rFont val="宋体"/>
        <family val="3"/>
        <charset val="134"/>
      </rPr>
      <t>提示</t>
    </r>
    <r>
      <rPr>
        <b/>
        <sz val="10"/>
        <color rgb="FF3333FF"/>
        <rFont val="Arial Narrow"/>
        <family val="2"/>
      </rPr>
      <t>2</t>
    </r>
    <r>
      <rPr>
        <sz val="10"/>
        <color rgb="FF3333FF"/>
        <rFont val="宋体"/>
        <family val="3"/>
        <charset val="134"/>
      </rPr>
      <t>：如果对存货数量存在舞弊风险，盘点时应考虑：
（</t>
    </r>
    <r>
      <rPr>
        <sz val="10"/>
        <color rgb="FF3333FF"/>
        <rFont val="Arial Narrow"/>
        <family val="2"/>
      </rPr>
      <t>1</t>
    </r>
    <r>
      <rPr>
        <sz val="10"/>
        <color rgb="FF3333FF"/>
        <rFont val="宋体"/>
        <family val="3"/>
        <charset val="134"/>
      </rPr>
      <t>）在不预先通知的情况下对特定存放地点的存货实施监盘，或在同一天对所有存放地点实施存货监盘；
（</t>
    </r>
    <r>
      <rPr>
        <sz val="10"/>
        <color rgb="FF3333FF"/>
        <rFont val="Arial Narrow"/>
        <family val="2"/>
      </rPr>
      <t>2</t>
    </r>
    <r>
      <rPr>
        <sz val="10"/>
        <color rgb="FF3333FF"/>
        <rFont val="宋体"/>
        <family val="3"/>
        <charset val="134"/>
      </rPr>
      <t>）要求被审计单位在报告期末或临近期末的时点实施存货盘点，如：更严格地检查包装箱中的货物、货物堆放方式（如堆为中空）或标记方式、液态物质（如香水、特殊的化学物质）的质量特征（如纯度、品级或浓度）或利用专家的工作；
（</t>
    </r>
    <r>
      <rPr>
        <sz val="10"/>
        <color rgb="FF3333FF"/>
        <rFont val="Arial Narrow"/>
        <family val="2"/>
      </rPr>
      <t>3</t>
    </r>
    <r>
      <rPr>
        <sz val="10"/>
        <color rgb="FF3333FF"/>
        <rFont val="宋体"/>
        <family val="3"/>
        <charset val="134"/>
      </rPr>
      <t>）按照存货的等级或类别、存放地点或其他分类标准，将本期存货数量与前期进行比较，或将盘点数量与永续盘存记录进行比较，如按标签号进行检索以测试存货的标签控制，或按照项目的顺序编号进行整理以检查是否存在漏记或重复编号。</t>
    </r>
    <phoneticPr fontId="15" type="noConversion"/>
  </si>
  <si>
    <t>F2-21A</t>
    <phoneticPr fontId="15" type="noConversion"/>
  </si>
  <si>
    <t>F2-22</t>
  </si>
  <si>
    <t>F2-21</t>
    <phoneticPr fontId="15" type="noConversion"/>
  </si>
  <si>
    <t>1</t>
    <phoneticPr fontId="15" type="noConversion"/>
  </si>
  <si>
    <t>3</t>
    <phoneticPr fontId="15" type="noConversion"/>
  </si>
  <si>
    <t>4</t>
    <phoneticPr fontId="15" type="noConversion"/>
  </si>
  <si>
    <t>存货账面余额与仓储台账（ERP业务数据)核对记录</t>
    <phoneticPr fontId="15" type="noConversion"/>
  </si>
  <si>
    <t>存货盘点倒轧表</t>
    <phoneticPr fontId="15" type="noConversion"/>
  </si>
  <si>
    <t>存货盘点倒轧表</t>
    <phoneticPr fontId="15" type="noConversion"/>
  </si>
  <si>
    <t>提示：</t>
    <phoneticPr fontId="15" type="noConversion"/>
  </si>
  <si>
    <r>
      <t>2.</t>
    </r>
    <r>
      <rPr>
        <sz val="10"/>
        <color indexed="12"/>
        <rFont val="宋体"/>
        <family val="3"/>
        <charset val="134"/>
      </rPr>
      <t>财务账面记录与仓库账面记录应一致，若存在差异应调整一致。</t>
    </r>
    <phoneticPr fontId="15" type="noConversion"/>
  </si>
  <si>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phoneticPr fontId="15" type="noConversion"/>
  </si>
  <si>
    <r>
      <t>4.</t>
    </r>
    <r>
      <rPr>
        <sz val="10"/>
        <color indexed="12"/>
        <rFont val="宋体"/>
        <family val="3"/>
        <charset val="134"/>
      </rPr>
      <t>盘点时应关注存货的品质状况（影响存货跌价准备的计提）。</t>
    </r>
    <phoneticPr fontId="15" type="noConversion"/>
  </si>
  <si>
    <r>
      <t>5.</t>
    </r>
    <r>
      <rPr>
        <sz val="10"/>
        <color rgb="FF3333FF"/>
        <rFont val="宋体"/>
        <family val="3"/>
        <charset val="134"/>
      </rPr>
      <t>抽盘应从存货盘点记录中选取项目追查至存货实物，以测试盘点记录的准确性；还应从存货实物中选取项目追查至存货盘点记录，以测试存货盘点的完整性</t>
    </r>
    <phoneticPr fontId="15" type="noConversion"/>
  </si>
  <si>
    <t>或按照项目的顺序编号进行整理以检查是否存在漏记或重复编号；</t>
    <phoneticPr fontId="15" type="noConversion"/>
  </si>
  <si>
    <r>
      <t>7.</t>
    </r>
    <r>
      <rPr>
        <sz val="10"/>
        <color rgb="FF0000FF"/>
        <rFont val="宋体"/>
        <family val="3"/>
        <charset val="134"/>
      </rPr>
      <t>考虑（</t>
    </r>
    <r>
      <rPr>
        <sz val="10"/>
        <color rgb="FF0000FF"/>
        <rFont val="Arial Narrow"/>
        <family val="2"/>
      </rPr>
      <t>1</t>
    </r>
    <r>
      <rPr>
        <sz val="10"/>
        <color rgb="FF0000FF"/>
        <rFont val="宋体"/>
        <family val="3"/>
        <charset val="134"/>
      </rPr>
      <t>）检查包装箱中的货物、货物堆放方式（如堆为中空）或标记方式；</t>
    </r>
    <r>
      <rPr>
        <sz val="10"/>
        <color rgb="FF0000FF"/>
        <rFont val="Arial Narrow"/>
        <family val="2"/>
      </rPr>
      <t>(2)</t>
    </r>
    <r>
      <rPr>
        <sz val="10"/>
        <color rgb="FF0000FF"/>
        <rFont val="宋体"/>
        <family val="3"/>
        <charset val="134"/>
      </rPr>
      <t>液态物质（如香水、特殊的化学物质）的质量特征（如纯度、品级或浓度）或利用专家的工作；</t>
    </r>
    <r>
      <rPr>
        <sz val="10"/>
        <color rgb="FF0000FF"/>
        <rFont val="Arial Narrow"/>
        <family val="2"/>
      </rPr>
      <t xml:space="preserve"> </t>
    </r>
    <phoneticPr fontId="15" type="noConversion"/>
  </si>
  <si>
    <r>
      <t>(3)</t>
    </r>
    <r>
      <rPr>
        <sz val="10"/>
        <color rgb="FF0000FF"/>
        <rFont val="宋体"/>
        <family val="3"/>
        <charset val="134"/>
      </rPr>
      <t>按照存货的等级或类别、存放地点或其他分类标准，将本期存货数量与前期进行比较，或将盘点数量与永续盘存记录进行比较，如按标签号进行检索以测试存货的标签控制，</t>
    </r>
    <phoneticPr fontId="15" type="noConversion"/>
  </si>
  <si>
    <t>F2-23</t>
  </si>
  <si>
    <t>F2-24</t>
  </si>
  <si>
    <t>F2-25</t>
  </si>
  <si>
    <t>F2-26</t>
  </si>
  <si>
    <r>
      <t>6.</t>
    </r>
    <r>
      <rPr>
        <sz val="10"/>
        <color rgb="FF3333FF"/>
        <rFont val="宋体"/>
        <family val="3"/>
        <charset val="134"/>
      </rPr>
      <t>盘点过程中收集并保留盘点轨迹，例如：现场盘点照片、往返盘点现场车票、盘点现场定位截图等资料。</t>
    </r>
    <phoneticPr fontId="15" type="noConversion"/>
  </si>
  <si>
    <r>
      <t xml:space="preserve">1. </t>
    </r>
    <r>
      <rPr>
        <sz val="10"/>
        <rFont val="宋体"/>
        <family val="3"/>
        <charset val="134"/>
      </rPr>
      <t>资产负债表中记录的存货是存在的，且已经记录在恰当的账户中</t>
    </r>
    <phoneticPr fontId="15" type="noConversion"/>
  </si>
  <si>
    <r>
      <t xml:space="preserve">2. </t>
    </r>
    <r>
      <rPr>
        <sz val="10"/>
        <rFont val="宋体"/>
        <family val="3"/>
        <charset val="134"/>
      </rPr>
      <t>所有应记录的存货均已记录，所有应当包括在财务报表中的相关披露均已包括</t>
    </r>
    <phoneticPr fontId="15" type="noConversion"/>
  </si>
  <si>
    <r>
      <t xml:space="preserve">3. </t>
    </r>
    <r>
      <rPr>
        <sz val="10"/>
        <rFont val="宋体"/>
        <family val="3"/>
        <charset val="134"/>
      </rPr>
      <t>记录的存货由被审计单位拥有或控制</t>
    </r>
    <phoneticPr fontId="15" type="noConversion"/>
  </si>
  <si>
    <r>
      <t xml:space="preserve">4. </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5" type="noConversion"/>
  </si>
  <si>
    <t>（一）资产负债表日后盘点倒轧表</t>
    <phoneticPr fontId="15" type="noConversion"/>
  </si>
  <si>
    <t>（二）资产负债表日前盘点倒轧表</t>
    <phoneticPr fontId="15" type="noConversion"/>
  </si>
  <si>
    <t>审计说明：</t>
    <phoneticPr fontId="15" type="noConversion"/>
  </si>
  <si>
    <t>审计结论：</t>
    <phoneticPr fontId="15" type="noConversion"/>
  </si>
  <si>
    <t>F2-21</t>
    <phoneticPr fontId="15" type="noConversion"/>
  </si>
  <si>
    <t>F2-22</t>
    <phoneticPr fontId="15" type="noConversion"/>
  </si>
  <si>
    <t>F2-23</t>
    <phoneticPr fontId="15" type="noConversion"/>
  </si>
  <si>
    <t>F2-23</t>
    <phoneticPr fontId="15" type="noConversion"/>
  </si>
  <si>
    <t>F2-25</t>
    <phoneticPr fontId="15" type="noConversion"/>
  </si>
  <si>
    <t>F2-26</t>
    <phoneticPr fontId="15" type="noConversion"/>
  </si>
  <si>
    <t>F2-25</t>
    <phoneticPr fontId="15" type="noConversion"/>
  </si>
  <si>
    <t>抽查核对被审计单位存货明细账与仓库台账（仓储系统）的盘点日存货结存余额是否一致，不一致的查明原因。</t>
    <phoneticPr fontId="15" type="noConversion"/>
  </si>
  <si>
    <t>F2-24</t>
    <phoneticPr fontId="15" type="noConversion"/>
  </si>
  <si>
    <t>根据被审计单位实际情况裁剪程序</t>
  </si>
  <si>
    <t>F2-</t>
    <phoneticPr fontId="15" type="noConversion"/>
  </si>
  <si>
    <t>被审计单位：</t>
    <phoneticPr fontId="15" type="noConversion"/>
  </si>
  <si>
    <t>编制人：</t>
    <phoneticPr fontId="15" type="noConversion"/>
  </si>
  <si>
    <t>编制日期：</t>
    <phoneticPr fontId="15" type="noConversion"/>
  </si>
  <si>
    <t>复核人：</t>
    <phoneticPr fontId="15" type="noConversion"/>
  </si>
  <si>
    <t>复核日期：</t>
    <phoneticPr fontId="15" type="noConversion"/>
  </si>
  <si>
    <t>IPO/上市/新三板/重组/舞弊应对</t>
    <phoneticPr fontId="40" type="noConversion"/>
  </si>
  <si>
    <t>根据被审计单位实际情况和风险评估情况裁剪、修改或增加审计程序</t>
    <phoneticPr fontId="15" type="noConversion"/>
  </si>
  <si>
    <t>存货抽盘结果汇总表</t>
    <phoneticPr fontId="15" type="noConversion"/>
  </si>
  <si>
    <t>截止日：202X年12月31日</t>
    <phoneticPr fontId="15" type="noConversion"/>
  </si>
  <si>
    <r>
      <t>1.</t>
    </r>
    <r>
      <rPr>
        <sz val="10"/>
        <color indexed="12"/>
        <rFont val="宋体"/>
        <family val="3"/>
        <charset val="134"/>
      </rPr>
      <t>本表将抽盘结果录入并检查盘点差异，现场盘点时记录数量的纸质抽盘表作为本表的附件。</t>
    </r>
    <phoneticPr fontId="15" type="noConversion"/>
  </si>
  <si>
    <t>本表将抽盘结果录入并检查盘点差异，现场盘点时记录数量的纸质抽盘表作为本表的附件</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</si>
</sst>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0%;\(0%\)"/>
    <numFmt numFmtId="191" formatCode="0.0%"/>
    <numFmt numFmtId="192" formatCode="#,##0;\-#,##0;&quot;-&quot;"/>
    <numFmt numFmtId="193" formatCode="&quot;$&quot;#,##0;[Red]&quot;$&quot;&quot;$&quot;&quot;$&quot;&quot;$&quot;&quot;$&quot;&quot;$&quot;&quot;$&quot;\-#,##0"/>
    <numFmt numFmtId="194" formatCode="#,##0.0_);\(#,##0.0\)"/>
    <numFmt numFmtId="195" formatCode="hh:mm\ AM/PM_)"/>
    <numFmt numFmtId="196" formatCode="&quot;$&quot;#,##0.00_);\(&quot;$&quot;#,##0.00\)"/>
    <numFmt numFmtId="197" formatCode=";;;"/>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0%_);\(0%\)"/>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0\)\ "/>
    <numFmt numFmtId="205" formatCode="[Blue]0.0%;[Blue]\(0.0%\)"/>
    <numFmt numFmtId="206" formatCode="0.0%;\(0.0%\)"/>
    <numFmt numFmtId="207" formatCode="[Red]0.0%;[Red]\(0.0%\)"/>
    <numFmt numFmtId="208" formatCode="[Blue]#,##0_);[Blue]\(#,##0\)"/>
    <numFmt numFmtId="209" formatCode="#,##0_);[Blue]\(#,##0\)"/>
    <numFmt numFmtId="210" formatCode="#,##0;\(#,##0\)"/>
    <numFmt numFmtId="211" formatCode="#,##0.0"/>
    <numFmt numFmtId="212" formatCode="\$#,##0.00;\(\$#,##0.00\)"/>
    <numFmt numFmtId="213" formatCode="\$#,##0;\(\$#,##0\)"/>
    <numFmt numFmtId="214" formatCode="#,##0\ &quot; &quot;;\(#,##0\)\ ;&quot;—&quot;&quot; &quot;&quot; &quot;&quot; &quot;&quot; &quot;"/>
    <numFmt numFmtId="215" formatCode="_(&quot;Cr$&quot;* #,##0_);_(&quot;Cr$&quot;* \(#,##0\);_(&quot;Cr$&quot;* &quot;-&quot;_);_(@_)"/>
    <numFmt numFmtId="216" formatCode="_(&quot;Cr$&quot;* #,##0.00_);_(&quot;Cr$&quot;* \(#,##0.00\);_(&quot;Cr$&quot;* &quot;-&quot;??_);_(@_)"/>
    <numFmt numFmtId="217" formatCode="_ * #,##0_)\ _R_$_ ;_ * \(#,##0\)\ _R_$_ ;_ * &quot;-&quot;_)\ _R_$_ ;_ @_ "/>
    <numFmt numFmtId="218" formatCode="_ * #,##0.00_)\ _R_$_ ;_ * \(#,##0.00\)\ _R_$_ ;_ * &quot;-&quot;??_)\ _R_$_ ;_ @_ "/>
    <numFmt numFmtId="219" formatCode="\ \ @"/>
    <numFmt numFmtId="220" formatCode="#,##0_);\(#,##0_)"/>
    <numFmt numFmtId="221" formatCode="_-* #,##0\ _k_r_-;\-* #,##0\ _k_r_-;_-* &quot;-&quot;\ _k_r_-;_-@_-"/>
    <numFmt numFmtId="222" formatCode="_-* #,##0.00\ _k_r_-;\-* #,##0.00\ _k_r_-;_-* &quot;-&quot;??\ _k_r_-;_-@_-"/>
    <numFmt numFmtId="223" formatCode="&quot;綅&quot;\t#,##0_);[Red]\(&quot;綅&quot;\t#,##0\)"/>
    <numFmt numFmtId="224" formatCode="&quot;?\t#,##0_);[Red]\(&quot;&quot;?&quot;\t#,##0\)"/>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00;[Red]&quot;\&quot;&quot;\&quot;&quot;\&quot;&quot;\&quot;&quot;\&quot;&quot;\&quot;\-#,##0.00"/>
    <numFmt numFmtId="230" formatCode="&quot;\&quot;#,##0.00;[Red]&quot;\&quot;\-#,##0.00"/>
    <numFmt numFmtId="231" formatCode="&quot;\&quot;#,##0;[Red]&quot;\&quot;\-#,##0"/>
  </numFmts>
  <fonts count="13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sz val="12"/>
      <name val="Times New Roman"/>
      <family val="1"/>
    </font>
    <font>
      <sz val="12"/>
      <name val="Arial"/>
      <family val="2"/>
    </font>
    <font>
      <sz val="10.5"/>
      <name val="Arial"/>
      <family val="2"/>
    </font>
    <font>
      <b/>
      <sz val="10"/>
      <color indexed="10"/>
      <name val="Arial"/>
      <family val="2"/>
    </font>
    <font>
      <b/>
      <sz val="12"/>
      <name val="Arial"/>
      <family val="2"/>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sz val="10"/>
      <name val="Arial Narrow"/>
      <family val="2"/>
    </font>
    <font>
      <u val="singleAccounting"/>
      <vertAlign val="subscript"/>
      <sz val="10"/>
      <name val="Times New Roman"/>
      <family val="1"/>
    </font>
    <font>
      <i/>
      <sz val="9"/>
      <name val="Times New Roman"/>
      <family val="1"/>
    </font>
    <font>
      <sz val="10"/>
      <color indexed="8"/>
      <name val="宋体"/>
      <family val="3"/>
      <charset val="134"/>
    </font>
    <font>
      <sz val="11"/>
      <color indexed="9"/>
      <name val="宋体"/>
      <family val="3"/>
      <charset val="134"/>
    </font>
    <font>
      <b/>
      <sz val="10"/>
      <name val="宋体"/>
      <family val="3"/>
      <charset val="134"/>
    </font>
    <font>
      <i/>
      <sz val="10"/>
      <color indexed="12"/>
      <name val="宋体"/>
      <family val="3"/>
      <charset val="134"/>
    </font>
    <font>
      <sz val="10"/>
      <color indexed="12"/>
      <name val="宋体"/>
      <family val="3"/>
      <charset val="134"/>
    </font>
    <font>
      <u/>
      <sz val="10"/>
      <name val="宋体"/>
      <family val="3"/>
      <charset val="134"/>
    </font>
    <font>
      <sz val="10"/>
      <color indexed="8"/>
      <name val="宋体"/>
      <family val="3"/>
      <charset val="134"/>
    </font>
    <font>
      <sz val="12"/>
      <color indexed="8"/>
      <name val="宋体"/>
      <family val="3"/>
      <charset val="134"/>
    </font>
    <font>
      <sz val="9"/>
      <name val="宋体"/>
      <family val="2"/>
      <charset val="134"/>
      <scheme val="minor"/>
    </font>
    <font>
      <sz val="11"/>
      <color theme="1"/>
      <name val="宋体"/>
      <family val="3"/>
      <charset val="134"/>
      <scheme val="minor"/>
    </font>
    <font>
      <sz val="11"/>
      <color theme="1"/>
      <name val="宋体"/>
      <family val="2"/>
      <scheme val="minor"/>
    </font>
    <font>
      <sz val="10"/>
      <color theme="1"/>
      <name val="Arial Narrow"/>
      <family val="2"/>
    </font>
    <font>
      <sz val="10"/>
      <color theme="1"/>
      <name val="宋体"/>
      <family val="3"/>
      <charset val="134"/>
    </font>
    <font>
      <sz val="11"/>
      <color theme="1"/>
      <name val="Arial Narrow"/>
      <family val="2"/>
    </font>
    <font>
      <b/>
      <sz val="10"/>
      <color theme="1"/>
      <name val="宋体"/>
      <family val="3"/>
      <charset val="134"/>
    </font>
    <font>
      <b/>
      <sz val="10"/>
      <color theme="1"/>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sz val="10"/>
      <color indexed="72"/>
      <name val="宋体"/>
      <family val="3"/>
      <charset val="134"/>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b/>
      <sz val="10"/>
      <color rgb="FFFF0000"/>
      <name val="Arial Narrow"/>
      <family val="2"/>
    </font>
    <font>
      <b/>
      <sz val="10"/>
      <color rgb="FFFF0000"/>
      <name val="宋体"/>
      <family val="3"/>
      <charset val="134"/>
    </font>
    <font>
      <sz val="11"/>
      <color indexed="8"/>
      <name val="宋体"/>
      <family val="3"/>
      <charset val="134"/>
    </font>
    <font>
      <sz val="10"/>
      <color rgb="FF3333FF"/>
      <name val="Arial Narrow"/>
      <family val="2"/>
    </font>
    <font>
      <sz val="10"/>
      <color rgb="FF3333FF"/>
      <name val="宋体"/>
      <family val="3"/>
      <charset val="134"/>
    </font>
    <font>
      <sz val="11"/>
      <color rgb="FFFF0000"/>
      <name val="Arial Narrow"/>
      <family val="2"/>
    </font>
    <font>
      <sz val="11"/>
      <color rgb="FF3333FF"/>
      <name val="宋体"/>
      <family val="3"/>
      <charset val="134"/>
    </font>
    <font>
      <b/>
      <sz val="14"/>
      <name val="宋体"/>
      <family val="3"/>
      <charset val="134"/>
    </font>
    <font>
      <sz val="11"/>
      <color rgb="FF0000FF"/>
      <name val="宋体"/>
      <family val="3"/>
      <charset val="134"/>
    </font>
    <font>
      <sz val="9"/>
      <color indexed="81"/>
      <name val="宋体"/>
      <family val="3"/>
      <charset val="134"/>
    </font>
    <font>
      <b/>
      <sz val="9"/>
      <color indexed="81"/>
      <name val="宋体"/>
      <family val="3"/>
      <charset val="134"/>
    </font>
    <font>
      <sz val="10"/>
      <color rgb="FF0000FF"/>
      <name val="宋体"/>
      <family val="3"/>
      <charset val="134"/>
    </font>
    <font>
      <b/>
      <sz val="10"/>
      <color rgb="FF3333FF"/>
      <name val="宋体"/>
      <family val="3"/>
      <charset val="134"/>
    </font>
    <font>
      <b/>
      <sz val="10"/>
      <color rgb="FF3333FF"/>
      <name val="Arial Narrow"/>
      <family val="2"/>
    </font>
    <font>
      <b/>
      <sz val="10"/>
      <color rgb="FF0000FF"/>
      <name val="宋体"/>
      <family val="3"/>
      <charset val="134"/>
    </font>
    <font>
      <sz val="10"/>
      <color rgb="FF0000FF"/>
      <name val="Arial Narrow"/>
      <family val="2"/>
    </font>
    <font>
      <sz val="10"/>
      <name val="宋体"/>
      <family val="3"/>
      <charset val="134"/>
      <scheme val="minor"/>
    </font>
  </fonts>
  <fills count="38">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
      <patternFill patternType="solid">
        <fgColor rgb="FFFF0000"/>
        <bgColor indexed="64"/>
      </patternFill>
    </fill>
  </fills>
  <borders count="3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right/>
      <top style="hair">
        <color indexed="64"/>
      </top>
      <bottom/>
      <diagonal/>
    </border>
    <border>
      <left style="hair">
        <color indexed="64"/>
      </left>
      <right/>
      <top/>
      <bottom/>
      <diagonal/>
    </border>
    <border>
      <left/>
      <right/>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right style="hair">
        <color indexed="64"/>
      </right>
      <top/>
      <bottom/>
      <diagonal/>
    </border>
  </borders>
  <cellStyleXfs count="622">
    <xf numFmtId="0" fontId="0" fillId="0" borderId="0">
      <protection locked="0"/>
    </xf>
    <xf numFmtId="0" fontId="33" fillId="2" borderId="0" applyNumberFormat="0" applyBorder="0" applyAlignment="0" applyProtection="0">
      <alignment vertical="center"/>
    </xf>
    <xf numFmtId="49" fontId="18" fillId="0" borderId="0" applyProtection="0">
      <alignment horizontal="left"/>
    </xf>
    <xf numFmtId="183" fontId="18" fillId="0" borderId="0" applyFill="0" applyBorder="0" applyProtection="0">
      <alignment horizontal="right"/>
    </xf>
    <xf numFmtId="180" fontId="18" fillId="0" borderId="0" applyFill="0" applyBorder="0" applyProtection="0">
      <alignment horizontal="right"/>
    </xf>
    <xf numFmtId="182" fontId="30" fillId="0" borderId="0" applyFill="0" applyBorder="0" applyProtection="0">
      <alignment horizontal="center"/>
    </xf>
    <xf numFmtId="181" fontId="30" fillId="0" borderId="0" applyFill="0" applyBorder="0" applyProtection="0">
      <alignment horizontal="center"/>
    </xf>
    <xf numFmtId="184" fontId="31" fillId="0" borderId="0" applyFill="0" applyBorder="0" applyProtection="0">
      <alignment horizontal="right"/>
    </xf>
    <xf numFmtId="185" fontId="18" fillId="0" borderId="0" applyFill="0" applyBorder="0" applyProtection="0">
      <alignment horizontal="right"/>
    </xf>
    <xf numFmtId="186" fontId="18" fillId="0" borderId="0" applyFill="0" applyBorder="0" applyProtection="0">
      <alignment horizontal="right"/>
    </xf>
    <xf numFmtId="189" fontId="18" fillId="0" borderId="0" applyFill="0" applyBorder="0" applyProtection="0">
      <alignment horizontal="right"/>
    </xf>
    <xf numFmtId="188" fontId="18" fillId="0" borderId="0" applyFill="0" applyBorder="0" applyProtection="0">
      <alignment horizontal="right"/>
    </xf>
    <xf numFmtId="0" fontId="11" fillId="0" borderId="0"/>
    <xf numFmtId="3" fontId="6" fillId="0" borderId="0"/>
    <xf numFmtId="176" fontId="7" fillId="0" borderId="1" applyAlignment="0" applyProtection="0"/>
    <xf numFmtId="41" fontId="8" fillId="0" borderId="0" applyFont="0" applyFill="0" applyBorder="0" applyAlignment="0" applyProtection="0"/>
    <xf numFmtId="43" fontId="8" fillId="0" borderId="0" applyFont="0" applyFill="0" applyBorder="0" applyAlignment="0" applyProtection="0"/>
    <xf numFmtId="187" fontId="18" fillId="0" borderId="0" applyFont="0" applyFill="0" applyBorder="0" applyAlignment="0" applyProtection="0"/>
    <xf numFmtId="0" fontId="9" fillId="0" borderId="0" applyNumberFormat="0" applyFill="0" applyBorder="0" applyAlignment="0" applyProtection="0">
      <alignment vertical="top"/>
      <protection locked="0"/>
    </xf>
    <xf numFmtId="38" fontId="10" fillId="3" borderId="0" applyNumberFormat="0" applyBorder="0" applyAlignment="0" applyProtection="0"/>
    <xf numFmtId="10" fontId="10" fillId="4" borderId="2" applyNumberFormat="0" applyBorder="0" applyAlignment="0" applyProtection="0"/>
    <xf numFmtId="178" fontId="11" fillId="0" borderId="0" applyFont="0" applyFill="0" applyBorder="0" applyAlignment="0" applyProtection="0"/>
    <xf numFmtId="179" fontId="11" fillId="0" borderId="0" applyFont="0" applyFill="0" applyBorder="0" applyAlignment="0" applyProtection="0"/>
    <xf numFmtId="0" fontId="12" fillId="0" borderId="0"/>
    <xf numFmtId="177" fontId="11" fillId="0" borderId="0"/>
    <xf numFmtId="10" fontId="8" fillId="0" borderId="0" applyFont="0" applyFill="0" applyBorder="0" applyAlignment="0" applyProtection="0"/>
    <xf numFmtId="3" fontId="13" fillId="0" borderId="0"/>
    <xf numFmtId="0" fontId="11" fillId="0" borderId="0">
      <protection locked="0"/>
    </xf>
    <xf numFmtId="0" fontId="11"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43" fontId="11" fillId="0" borderId="0" applyFont="0" applyFill="0" applyBorder="0" applyAlignment="0" applyProtection="0"/>
    <xf numFmtId="43" fontId="38" fillId="0" borderId="0" applyFont="0" applyFill="0" applyBorder="0" applyAlignment="0" applyProtection="0">
      <alignment vertical="center"/>
    </xf>
    <xf numFmtId="0" fontId="11" fillId="0" borderId="0">
      <alignment vertical="center"/>
    </xf>
    <xf numFmtId="0" fontId="8"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center"/>
    </xf>
    <xf numFmtId="0" fontId="11" fillId="0" borderId="0">
      <alignment vertical="center"/>
    </xf>
    <xf numFmtId="0" fontId="1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39" fillId="0" borderId="0" applyNumberFormat="0" applyBorder="0" applyAlignment="0">
      <alignment vertical="center"/>
      <protection locked="0"/>
    </xf>
    <xf numFmtId="0" fontId="11" fillId="0" borderId="0">
      <alignment vertical="center"/>
    </xf>
    <xf numFmtId="0" fontId="11" fillId="0" borderId="0">
      <alignment vertical="center"/>
    </xf>
    <xf numFmtId="0" fontId="39" fillId="0"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41" fillId="0" borderId="0">
      <alignment vertical="center"/>
    </xf>
    <xf numFmtId="0" fontId="41" fillId="0" borderId="0">
      <alignment vertical="center"/>
    </xf>
    <xf numFmtId="0" fontId="41" fillId="0" borderId="0">
      <alignment vertical="center"/>
    </xf>
    <xf numFmtId="0" fontId="39" fillId="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43" fontId="32" fillId="0" borderId="0" applyFont="0" applyFill="0" applyBorder="0" applyAlignment="0" applyProtection="0">
      <alignment vertical="center"/>
    </xf>
    <xf numFmtId="187" fontId="11" fillId="0" borderId="0">
      <alignment vertical="center"/>
    </xf>
    <xf numFmtId="187" fontId="5" fillId="0" borderId="0">
      <alignment vertical="center"/>
    </xf>
    <xf numFmtId="0" fontId="11" fillId="0" borderId="0">
      <protection locked="0"/>
    </xf>
    <xf numFmtId="0" fontId="8" fillId="0" borderId="0"/>
    <xf numFmtId="0" fontId="8" fillId="0" borderId="0"/>
    <xf numFmtId="0" fontId="8" fillId="0" borderId="0"/>
    <xf numFmtId="0" fontId="48" fillId="0" borderId="0">
      <alignment vertical="top"/>
      <protection locked="0"/>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protection locked="0"/>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protection locked="0"/>
    </xf>
    <xf numFmtId="190" fontId="49" fillId="0" borderId="0" applyFont="0" applyFill="0" applyBorder="0" applyAlignment="0" applyProtection="0"/>
    <xf numFmtId="191" fontId="49" fillId="0" borderId="0" applyFont="0" applyFill="0" applyBorder="0" applyAlignment="0" applyProtection="0"/>
    <xf numFmtId="10" fontId="49" fillId="0" borderId="0" applyFont="0" applyFill="0" applyBorder="0" applyAlignment="0" applyProtection="0"/>
    <xf numFmtId="192" fontId="48" fillId="0" borderId="0" applyFill="0" applyBorder="0" applyAlignment="0"/>
    <xf numFmtId="0" fontId="50" fillId="0" borderId="11" applyNumberFormat="0" applyFill="0" applyProtection="0">
      <alignment horizontal="center"/>
    </xf>
    <xf numFmtId="0" fontId="51" fillId="0" borderId="14">
      <alignment horizontal="center"/>
    </xf>
    <xf numFmtId="193" fontId="8" fillId="0" borderId="0"/>
    <xf numFmtId="193" fontId="8" fillId="0" borderId="0"/>
    <xf numFmtId="193" fontId="8" fillId="0" borderId="0"/>
    <xf numFmtId="193" fontId="8" fillId="0" borderId="0"/>
    <xf numFmtId="193" fontId="8" fillId="0" borderId="0"/>
    <xf numFmtId="193" fontId="8" fillId="0" borderId="0"/>
    <xf numFmtId="193" fontId="8" fillId="0" borderId="0"/>
    <xf numFmtId="193" fontId="8" fillId="0" borderId="0"/>
    <xf numFmtId="38" fontId="52" fillId="0" borderId="0" applyFont="0" applyFill="0" applyBorder="0" applyAlignment="0" applyProtection="0"/>
    <xf numFmtId="37" fontId="49" fillId="0" borderId="0" applyFont="0" applyFill="0" applyBorder="0" applyAlignment="0" applyProtection="0"/>
    <xf numFmtId="194" fontId="49" fillId="0" borderId="0" applyFont="0" applyFill="0" applyBorder="0" applyAlignment="0" applyProtection="0"/>
    <xf numFmtId="39" fontId="49" fillId="0" borderId="0" applyFont="0" applyFill="0" applyBorder="0" applyAlignment="0" applyProtection="0"/>
    <xf numFmtId="40" fontId="52" fillId="0" borderId="0" applyFont="0" applyFill="0" applyBorder="0" applyAlignment="0" applyProtection="0"/>
    <xf numFmtId="195" fontId="11" fillId="0" borderId="0" applyFont="0" applyFill="0" applyBorder="0" applyAlignment="0" applyProtection="0"/>
    <xf numFmtId="176" fontId="49" fillId="0" borderId="0" applyFont="0" applyFill="0" applyBorder="0" applyAlignment="0" applyProtection="0"/>
    <xf numFmtId="196" fontId="49" fillId="0" borderId="0" applyFont="0" applyFill="0" applyBorder="0" applyAlignment="0" applyProtection="0"/>
    <xf numFmtId="197" fontId="11" fillId="0" borderId="0" applyFont="0" applyFill="0" applyBorder="0" applyAlignment="0" applyProtection="0"/>
    <xf numFmtId="0" fontId="53" fillId="0" borderId="0">
      <alignment horizontal="left"/>
    </xf>
    <xf numFmtId="0" fontId="10" fillId="6" borderId="2"/>
    <xf numFmtId="0" fontId="23" fillId="0" borderId="12" applyNumberFormat="0" applyAlignment="0" applyProtection="0">
      <alignment horizontal="left" vertical="center"/>
    </xf>
    <xf numFmtId="0" fontId="23" fillId="0" borderId="6">
      <alignment horizontal="left" vertical="center"/>
    </xf>
    <xf numFmtId="14" fontId="54" fillId="7" borderId="13">
      <alignment horizontal="center" vertical="center" wrapText="1"/>
    </xf>
    <xf numFmtId="0" fontId="18" fillId="0" borderId="0" applyNumberFormat="0" applyFont="0" applyFill="0" applyBorder="0" applyProtection="0">
      <alignment horizontal="left" vertical="center"/>
    </xf>
    <xf numFmtId="41" fontId="8" fillId="0" borderId="0" applyFont="0" applyFill="0" applyBorder="0" applyAlignment="0" applyProtection="0"/>
    <xf numFmtId="43"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8" fillId="0" borderId="0" applyFont="0" applyFill="0" applyBorder="0" applyAlignment="0" applyProtection="0"/>
    <xf numFmtId="201" fontId="11" fillId="0" borderId="0" applyFont="0" applyFill="0" applyBorder="0" applyAlignment="0" applyProtection="0"/>
    <xf numFmtId="37" fontId="55" fillId="0" borderId="0"/>
    <xf numFmtId="0" fontId="52" fillId="0" borderId="0"/>
    <xf numFmtId="0" fontId="56" fillId="0" borderId="0"/>
    <xf numFmtId="202" fontId="8" fillId="0" borderId="0" applyFont="0" applyFill="0" applyBorder="0" applyAlignment="0" applyProtection="0"/>
    <xf numFmtId="0" fontId="10" fillId="3" borderId="2"/>
    <xf numFmtId="4" fontId="53" fillId="0" borderId="0">
      <alignment horizontal="right"/>
    </xf>
    <xf numFmtId="4" fontId="57" fillId="0" borderId="0">
      <alignment horizontal="right"/>
    </xf>
    <xf numFmtId="0" fontId="58" fillId="0" borderId="0">
      <alignment horizontal="left"/>
    </xf>
    <xf numFmtId="0" fontId="59" fillId="0" borderId="2">
      <alignment horizontal="center"/>
    </xf>
    <xf numFmtId="0" fontId="59" fillId="0" borderId="0">
      <alignment horizontal="center" vertical="center"/>
    </xf>
    <xf numFmtId="0" fontId="60" fillId="8" borderId="0" applyNumberFormat="0" applyFill="0">
      <alignment horizontal="left" vertical="center"/>
    </xf>
    <xf numFmtId="0" fontId="22" fillId="0" borderId="0" applyFill="0" applyBorder="0" applyProtection="0">
      <alignment horizontal="left" vertical="top"/>
    </xf>
    <xf numFmtId="0" fontId="61" fillId="0" borderId="0">
      <alignment horizontal="center"/>
    </xf>
    <xf numFmtId="0" fontId="62" fillId="0" borderId="0" applyNumberFormat="0" applyFont="0" applyFill="0" applyBorder="0" applyProtection="0">
      <alignment horizontal="center" vertical="center" wrapText="1"/>
    </xf>
    <xf numFmtId="9" fontId="63" fillId="0" borderId="0" applyFont="0" applyFill="0" applyBorder="0" applyAlignment="0" applyProtection="0"/>
    <xf numFmtId="4" fontId="64" fillId="0" borderId="0">
      <alignment horizontal="right"/>
    </xf>
    <xf numFmtId="0" fontId="65"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 fillId="0" borderId="0" applyNumberFormat="0" applyFill="0" applyBorder="0" applyAlignment="0" applyProtection="0"/>
    <xf numFmtId="4" fontId="62" fillId="0" borderId="0" applyFont="0" applyFill="0" applyBorder="0" applyAlignment="0" applyProtection="0"/>
    <xf numFmtId="41" fontId="8" fillId="0" borderId="0" applyFont="0" applyFill="0" applyBorder="0" applyAlignment="0" applyProtection="0"/>
    <xf numFmtId="0" fontId="18" fillId="0" borderId="0"/>
    <xf numFmtId="41" fontId="18" fillId="0" borderId="0" applyFont="0" applyFill="0" applyBorder="0" applyAlignment="0" applyProtection="0"/>
    <xf numFmtId="43" fontId="18" fillId="0" borderId="0" applyFont="0" applyFill="0" applyBorder="0" applyAlignment="0" applyProtection="0"/>
    <xf numFmtId="199" fontId="8" fillId="0" borderId="0" applyFont="0" applyFill="0" applyBorder="0" applyAlignment="0" applyProtection="0"/>
    <xf numFmtId="203" fontId="62" fillId="0" borderId="0" applyFont="0" applyFill="0" applyBorder="0" applyAlignment="0" applyProtection="0"/>
    <xf numFmtId="187" fontId="48" fillId="0" borderId="0">
      <alignment vertical="top"/>
    </xf>
    <xf numFmtId="38" fontId="66" fillId="0" borderId="0" applyFont="0" applyFill="0" applyBorder="0" applyAlignment="0" applyProtection="0"/>
    <xf numFmtId="4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7" fillId="0" borderId="0"/>
    <xf numFmtId="0" fontId="68" fillId="0" borderId="0"/>
    <xf numFmtId="40" fontId="68" fillId="0" borderId="0" applyFont="0" applyFill="0" applyBorder="0" applyAlignment="0" applyProtection="0"/>
    <xf numFmtId="0" fontId="8" fillId="0" borderId="0"/>
    <xf numFmtId="37" fontId="8" fillId="0" borderId="0" applyFont="0" applyFill="0" applyBorder="0" applyAlignment="0" applyProtection="0"/>
    <xf numFmtId="0" fontId="33" fillId="2" borderId="0" applyNumberFormat="0" applyBorder="0" applyAlignment="0" applyProtection="0">
      <alignment vertical="center"/>
    </xf>
    <xf numFmtId="187" fontId="11" fillId="0" borderId="0">
      <protection locked="0"/>
    </xf>
    <xf numFmtId="49" fontId="18" fillId="0" borderId="0"/>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69" fillId="0" borderId="0"/>
    <xf numFmtId="187" fontId="69"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69" fillId="0" borderId="0">
      <protection locked="0"/>
    </xf>
    <xf numFmtId="187" fontId="69" fillId="0" borderId="0"/>
    <xf numFmtId="187" fontId="69"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protection locked="0"/>
    </xf>
    <xf numFmtId="187" fontId="69" fillId="0" borderId="0">
      <protection locked="0"/>
    </xf>
    <xf numFmtId="187" fontId="19" fillId="0" borderId="0">
      <protection locked="0"/>
    </xf>
    <xf numFmtId="187" fontId="69"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xf numFmtId="0" fontId="19"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xf numFmtId="187" fontId="69" fillId="0" borderId="0">
      <protection locked="0"/>
    </xf>
    <xf numFmtId="187" fontId="8" fillId="0" borderId="0"/>
    <xf numFmtId="187" fontId="8" fillId="0" borderId="0">
      <protection locked="0"/>
    </xf>
    <xf numFmtId="187" fontId="8" fillId="0" borderId="0">
      <protection locked="0"/>
    </xf>
    <xf numFmtId="187" fontId="69" fillId="0" borderId="0">
      <protection locked="0"/>
    </xf>
    <xf numFmtId="187" fontId="8" fillId="0" borderId="0"/>
    <xf numFmtId="187" fontId="8" fillId="0" borderId="0">
      <protection locked="0"/>
    </xf>
    <xf numFmtId="187" fontId="8" fillId="0" borderId="0">
      <protection locked="0"/>
    </xf>
    <xf numFmtId="187" fontId="69" fillId="0" borderId="0">
      <protection locked="0"/>
    </xf>
    <xf numFmtId="187" fontId="69" fillId="0" borderId="0">
      <protection locked="0"/>
    </xf>
    <xf numFmtId="187" fontId="19" fillId="0" borderId="0"/>
    <xf numFmtId="187" fontId="8" fillId="0" borderId="0">
      <protection locked="0"/>
    </xf>
    <xf numFmtId="187" fontId="69" fillId="0" borderId="0">
      <protection locked="0"/>
    </xf>
    <xf numFmtId="187" fontId="8" fillId="0" borderId="0">
      <protection locked="0"/>
    </xf>
    <xf numFmtId="187" fontId="8" fillId="0" borderId="0">
      <protection locked="0"/>
    </xf>
    <xf numFmtId="187" fontId="69" fillId="0" borderId="0">
      <protection locked="0"/>
    </xf>
    <xf numFmtId="187" fontId="69" fillId="0" borderId="0">
      <protection locked="0"/>
    </xf>
    <xf numFmtId="187" fontId="69" fillId="0" borderId="0">
      <protection locked="0"/>
    </xf>
    <xf numFmtId="187" fontId="69" fillId="0" borderId="0">
      <protection locked="0"/>
    </xf>
    <xf numFmtId="187" fontId="48" fillId="0" borderId="0">
      <alignment vertical="top"/>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69" fillId="0" borderId="0">
      <protection locked="0"/>
    </xf>
    <xf numFmtId="187" fontId="69" fillId="0" borderId="0">
      <protection locked="0"/>
    </xf>
    <xf numFmtId="187" fontId="8" fillId="0" borderId="0">
      <protection locked="0"/>
    </xf>
    <xf numFmtId="187" fontId="8" fillId="0" borderId="0">
      <protection locked="0"/>
    </xf>
    <xf numFmtId="187" fontId="8" fillId="0" borderId="0">
      <protection locked="0"/>
    </xf>
    <xf numFmtId="187" fontId="69" fillId="0" borderId="0"/>
    <xf numFmtId="187" fontId="69" fillId="0" borderId="0">
      <protection locked="0"/>
    </xf>
    <xf numFmtId="0" fontId="11" fillId="0" borderId="0"/>
    <xf numFmtId="0" fontId="70" fillId="9" borderId="0" applyNumberFormat="0" applyBorder="0" applyAlignment="0" applyProtection="0"/>
    <xf numFmtId="0" fontId="70" fillId="10" borderId="0" applyNumberFormat="0" applyBorder="0" applyAlignment="0" applyProtection="0"/>
    <xf numFmtId="0" fontId="70" fillId="11" borderId="0" applyNumberFormat="0" applyBorder="0" applyAlignment="0" applyProtection="0"/>
    <xf numFmtId="0" fontId="70" fillId="12" borderId="0" applyNumberFormat="0" applyBorder="0" applyAlignment="0" applyProtection="0"/>
    <xf numFmtId="0" fontId="70" fillId="13" borderId="0" applyNumberFormat="0" applyBorder="0" applyAlignment="0" applyProtection="0"/>
    <xf numFmtId="0" fontId="70" fillId="14" borderId="0" applyNumberFormat="0" applyBorder="0" applyAlignment="0" applyProtection="0"/>
    <xf numFmtId="0" fontId="70" fillId="15" borderId="0" applyNumberFormat="0" applyBorder="0" applyAlignment="0" applyProtection="0"/>
    <xf numFmtId="0" fontId="70" fillId="16" borderId="0" applyNumberFormat="0" applyBorder="0" applyAlignment="0" applyProtection="0"/>
    <xf numFmtId="0" fontId="70" fillId="17" borderId="0" applyNumberFormat="0" applyBorder="0" applyAlignment="0" applyProtection="0"/>
    <xf numFmtId="0" fontId="70" fillId="12" borderId="0" applyNumberFormat="0" applyBorder="0" applyAlignment="0" applyProtection="0"/>
    <xf numFmtId="0" fontId="70" fillId="15" borderId="0" applyNumberFormat="0" applyBorder="0" applyAlignment="0" applyProtection="0"/>
    <xf numFmtId="0" fontId="70" fillId="18" borderId="0" applyNumberFormat="0" applyBorder="0" applyAlignment="0" applyProtection="0"/>
    <xf numFmtId="0" fontId="71" fillId="2" borderId="0" applyNumberFormat="0" applyBorder="0" applyAlignment="0" applyProtection="0"/>
    <xf numFmtId="0" fontId="71" fillId="16" borderId="0" applyNumberFormat="0" applyBorder="0" applyAlignment="0" applyProtection="0"/>
    <xf numFmtId="0" fontId="71" fillId="17" borderId="0" applyNumberFormat="0" applyBorder="0" applyAlignment="0" applyProtection="0"/>
    <xf numFmtId="0" fontId="71" fillId="19" borderId="0" applyNumberFormat="0" applyBorder="0" applyAlignment="0" applyProtection="0"/>
    <xf numFmtId="0" fontId="71" fillId="20" borderId="0" applyNumberFormat="0" applyBorder="0" applyAlignment="0" applyProtection="0"/>
    <xf numFmtId="0" fontId="71" fillId="21" borderId="0" applyNumberFormat="0" applyBorder="0" applyAlignment="0" applyProtection="0"/>
    <xf numFmtId="187" fontId="69" fillId="0" borderId="0"/>
    <xf numFmtId="0" fontId="71" fillId="22" borderId="0" applyNumberFormat="0" applyBorder="0" applyAlignment="0" applyProtection="0"/>
    <xf numFmtId="0" fontId="71" fillId="23" borderId="0" applyNumberFormat="0" applyBorder="0" applyAlignment="0" applyProtection="0"/>
    <xf numFmtId="0" fontId="71" fillId="24" borderId="0" applyNumberFormat="0" applyBorder="0" applyAlignment="0" applyProtection="0"/>
    <xf numFmtId="0" fontId="71" fillId="19" borderId="0" applyNumberFormat="0" applyBorder="0" applyAlignment="0" applyProtection="0"/>
    <xf numFmtId="0" fontId="71" fillId="20" borderId="0" applyNumberFormat="0" applyBorder="0" applyAlignment="0" applyProtection="0"/>
    <xf numFmtId="0" fontId="71" fillId="25" borderId="0" applyNumberFormat="0" applyBorder="0" applyAlignment="0" applyProtection="0"/>
    <xf numFmtId="0" fontId="72" fillId="10" borderId="0" applyNumberFormat="0" applyBorder="0" applyAlignment="0" applyProtection="0"/>
    <xf numFmtId="187" fontId="73" fillId="0" borderId="0" applyNumberFormat="0" applyFill="0" applyBorder="0" applyAlignment="0" applyProtection="0"/>
    <xf numFmtId="204" fontId="8" fillId="0" borderId="0" applyFill="0" applyBorder="0" applyAlignment="0"/>
    <xf numFmtId="205" fontId="8" fillId="0" borderId="0" applyFill="0" applyBorder="0" applyAlignment="0"/>
    <xf numFmtId="206" fontId="8" fillId="0" borderId="0" applyFill="0" applyBorder="0" applyAlignment="0"/>
    <xf numFmtId="207"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74" fillId="26" borderId="15" applyNumberFormat="0" applyAlignment="0" applyProtection="0"/>
    <xf numFmtId="0" fontId="75" fillId="0" borderId="0"/>
    <xf numFmtId="3" fontId="52" fillId="0" borderId="2">
      <protection locked="0"/>
    </xf>
    <xf numFmtId="0" fontId="76" fillId="27" borderId="16" applyNumberFormat="0" applyAlignment="0" applyProtection="0"/>
    <xf numFmtId="187" fontId="77" fillId="0" borderId="0" applyFill="0" applyBorder="0">
      <alignment horizontal="right"/>
    </xf>
    <xf numFmtId="187" fontId="19" fillId="0" borderId="0" applyFill="0" applyBorder="0">
      <alignment horizontal="right"/>
    </xf>
    <xf numFmtId="208" fontId="8" fillId="0" borderId="0" applyFont="0" applyFill="0" applyBorder="0" applyAlignment="0" applyProtection="0"/>
    <xf numFmtId="43" fontId="11" fillId="0" borderId="0" applyFont="0" applyFill="0" applyBorder="0" applyAlignment="0" applyProtection="0"/>
    <xf numFmtId="210" fontId="18" fillId="0" borderId="0"/>
    <xf numFmtId="211" fontId="18" fillId="0" borderId="0"/>
    <xf numFmtId="204" fontId="8" fillId="0" borderId="0" applyFont="0" applyFill="0" applyBorder="0" applyAlignment="0" applyProtection="0"/>
    <xf numFmtId="212" fontId="18" fillId="0" borderId="0"/>
    <xf numFmtId="187" fontId="19" fillId="0" borderId="0" applyFont="0" applyFill="0" applyBorder="0" applyAlignment="0" applyProtection="0"/>
    <xf numFmtId="14" fontId="48" fillId="0" borderId="0" applyFill="0" applyBorder="0" applyAlignment="0"/>
    <xf numFmtId="213" fontId="18" fillId="0" borderId="0"/>
    <xf numFmtId="187" fontId="8" fillId="0" borderId="0">
      <protection locked="0"/>
    </xf>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78" fillId="0" borderId="0" applyNumberFormat="0" applyFill="0" applyBorder="0" applyAlignment="0" applyProtection="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2" fontId="19" fillId="0" borderId="0" applyFont="0" applyFill="0" applyBorder="0" applyAlignment="0" applyProtection="0"/>
    <xf numFmtId="214" fontId="79" fillId="0" borderId="0">
      <alignment horizontal="right"/>
    </xf>
    <xf numFmtId="187" fontId="8" fillId="0" borderId="0"/>
    <xf numFmtId="0" fontId="80" fillId="11" borderId="0" applyNumberFormat="0" applyBorder="0" applyAlignment="0" applyProtection="0"/>
    <xf numFmtId="0" fontId="81" fillId="0" borderId="0">
      <alignment horizontal="left"/>
    </xf>
    <xf numFmtId="0" fontId="82" fillId="0" borderId="17" applyNumberFormat="0" applyFill="0" applyAlignment="0" applyProtection="0"/>
    <xf numFmtId="0" fontId="83" fillId="0" borderId="18" applyNumberFormat="0" applyFill="0" applyAlignment="0" applyProtection="0"/>
    <xf numFmtId="0" fontId="84" fillId="0" borderId="19" applyNumberFormat="0" applyFill="0" applyAlignment="0" applyProtection="0"/>
    <xf numFmtId="0" fontId="84" fillId="0" borderId="0" applyNumberFormat="0" applyFill="0" applyBorder="0" applyAlignment="0" applyProtection="0"/>
    <xf numFmtId="187" fontId="19" fillId="0" borderId="0" applyNumberFormat="0" applyFont="0" applyFill="0" applyBorder="0" applyAlignment="0" applyProtection="0"/>
    <xf numFmtId="187" fontId="19" fillId="0" borderId="0" applyNumberFormat="0" applyFont="0" applyFill="0" applyBorder="0" applyAlignment="0" applyProtection="0"/>
    <xf numFmtId="187" fontId="85" fillId="0" borderId="0" applyNumberFormat="0" applyFill="0" applyBorder="0" applyAlignment="0" applyProtection="0">
      <alignment vertical="top"/>
      <protection locked="0"/>
    </xf>
    <xf numFmtId="0" fontId="86" fillId="14" borderId="15" applyNumberFormat="0" applyAlignment="0" applyProtection="0"/>
    <xf numFmtId="187" fontId="77" fillId="28" borderId="0" applyNumberFormat="0" applyFont="0" applyBorder="0" applyAlignment="0" applyProtection="0">
      <alignment horizontal="right"/>
    </xf>
    <xf numFmtId="38" fontId="87" fillId="0" borderId="0"/>
    <xf numFmtId="38" fontId="88" fillId="0" borderId="0"/>
    <xf numFmtId="38" fontId="89" fillId="0" borderId="0"/>
    <xf numFmtId="38" fontId="77" fillId="0" borderId="0"/>
    <xf numFmtId="187" fontId="79" fillId="0" borderId="0"/>
    <xf numFmtId="187" fontId="79" fillId="0" borderId="0"/>
    <xf numFmtId="187" fontId="8" fillId="0" borderId="0"/>
    <xf numFmtId="187" fontId="19" fillId="0" borderId="0" applyFont="0" applyFill="0">
      <alignment horizontal="fill"/>
    </xf>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90" fillId="0" borderId="20" applyNumberFormat="0" applyFill="0" applyAlignment="0" applyProtection="0"/>
    <xf numFmtId="0" fontId="91" fillId="0" borderId="13"/>
    <xf numFmtId="215" fontId="79" fillId="0" borderId="0" applyFont="0" applyFill="0" applyBorder="0" applyAlignment="0" applyProtection="0"/>
    <xf numFmtId="216" fontId="79" fillId="0" borderId="0" applyFont="0" applyFill="0" applyBorder="0" applyAlignment="0" applyProtection="0"/>
    <xf numFmtId="0" fontId="92" fillId="29" borderId="0" applyNumberFormat="0" applyBorder="0" applyAlignment="0" applyProtection="0"/>
    <xf numFmtId="177" fontId="11" fillId="0" borderId="0"/>
    <xf numFmtId="177" fontId="11" fillId="0" borderId="0"/>
    <xf numFmtId="0" fontId="11" fillId="0" borderId="0"/>
    <xf numFmtId="0" fontId="8" fillId="30" borderId="21" applyNumberFormat="0" applyFont="0" applyAlignment="0" applyProtection="0"/>
    <xf numFmtId="0" fontId="93" fillId="26" borderId="22" applyNumberFormat="0" applyAlignment="0" applyProtection="0"/>
    <xf numFmtId="40" fontId="94" fillId="31" borderId="0">
      <alignment horizontal="right"/>
    </xf>
    <xf numFmtId="187" fontId="95" fillId="31" borderId="0">
      <alignment horizontal="right"/>
    </xf>
    <xf numFmtId="187" fontId="96" fillId="31" borderId="10"/>
    <xf numFmtId="187" fontId="96" fillId="0" borderId="0" applyBorder="0">
      <alignment horizontal="centerContinuous"/>
    </xf>
    <xf numFmtId="187" fontId="97" fillId="0" borderId="0" applyBorder="0">
      <alignment horizontal="centerContinuous"/>
    </xf>
    <xf numFmtId="207" fontId="8" fillId="0" borderId="0" applyFont="0" applyFill="0" applyBorder="0" applyAlignment="0" applyProtection="0"/>
    <xf numFmtId="190" fontId="8" fillId="0" borderId="0" applyFont="0" applyFill="0" applyBorder="0" applyAlignment="0" applyProtection="0"/>
    <xf numFmtId="9" fontId="18" fillId="0" borderId="0" applyFont="0" applyFill="0" applyBorder="0" applyAlignment="0" applyProtection="0"/>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4" fontId="52" fillId="0" borderId="0" applyFont="0" applyFill="0" applyBorder="0" applyAlignment="0" applyProtection="0"/>
    <xf numFmtId="217" fontId="8" fillId="0" borderId="0" applyFont="0" applyFill="0" applyBorder="0" applyAlignment="0" applyProtection="0"/>
    <xf numFmtId="218" fontId="8" fillId="0" borderId="0" applyFont="0" applyFill="0" applyBorder="0" applyAlignment="0" applyProtection="0"/>
    <xf numFmtId="187" fontId="98" fillId="32" borderId="0" applyNumberFormat="0"/>
    <xf numFmtId="43" fontId="10" fillId="0" borderId="3"/>
    <xf numFmtId="0" fontId="91" fillId="0" borderId="0"/>
    <xf numFmtId="187" fontId="8" fillId="0" borderId="0"/>
    <xf numFmtId="49" fontId="48" fillId="0" borderId="0" applyFill="0" applyBorder="0" applyAlignment="0"/>
    <xf numFmtId="219" fontId="48" fillId="0" borderId="0" applyFill="0" applyBorder="0" applyAlignment="0"/>
    <xf numFmtId="220" fontId="8" fillId="0" borderId="0" applyFill="0" applyBorder="0" applyAlignment="0"/>
    <xf numFmtId="0" fontId="99" fillId="0" borderId="23" applyNumberFormat="0" applyFill="0" applyAlignment="0" applyProtection="0"/>
    <xf numFmtId="221" fontId="8" fillId="0" borderId="0" applyFont="0" applyFill="0" applyBorder="0" applyAlignment="0" applyProtection="0"/>
    <xf numFmtId="222" fontId="8" fillId="0" borderId="0" applyFont="0" applyFill="0" applyBorder="0" applyAlignment="0" applyProtection="0"/>
    <xf numFmtId="223" fontId="19" fillId="0" borderId="0" applyFont="0" applyFill="0" applyBorder="0" applyAlignment="0" applyProtection="0"/>
    <xf numFmtId="224" fontId="19" fillId="0" borderId="0" applyFont="0" applyFill="0" applyBorder="0" applyAlignment="0" applyProtection="0"/>
    <xf numFmtId="0" fontId="100" fillId="0" borderId="0" applyNumberFormat="0" applyFill="0" applyBorder="0" applyAlignment="0" applyProtection="0"/>
    <xf numFmtId="0" fontId="19" fillId="0" borderId="0"/>
    <xf numFmtId="225" fontId="19" fillId="0" borderId="0" applyFont="0" applyFill="0" applyBorder="0" applyAlignment="0" applyProtection="0"/>
    <xf numFmtId="226" fontId="19" fillId="0" borderId="0" applyFont="0" applyFill="0" applyBorder="0" applyAlignment="0" applyProtection="0"/>
    <xf numFmtId="41" fontId="8" fillId="0" borderId="0" applyFont="0" applyFill="0" applyBorder="0" applyAlignment="0" applyProtection="0"/>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xf numFmtId="49" fontId="8" fillId="0" borderId="0" applyNumberFormat="0" applyFont="0">
      <alignment horizontal="left"/>
    </xf>
    <xf numFmtId="49" fontId="8" fillId="0" borderId="0" applyNumberFormat="0" applyFont="0" applyBorder="0" applyAlignment="0" applyProtection="0">
      <alignment horizontal="left"/>
      <protection hidden="1"/>
    </xf>
    <xf numFmtId="0" fontId="101" fillId="10" borderId="0" applyNumberFormat="0" applyBorder="0" applyAlignment="0" applyProtection="0">
      <alignment vertical="center"/>
    </xf>
    <xf numFmtId="0" fontId="102" fillId="0" borderId="0">
      <alignment vertical="center"/>
    </xf>
    <xf numFmtId="0" fontId="102" fillId="0" borderId="0">
      <alignment vertical="center"/>
    </xf>
    <xf numFmtId="0" fontId="16" fillId="0" borderId="0"/>
    <xf numFmtId="187" fontId="16" fillId="0" borderId="0"/>
    <xf numFmtId="187" fontId="11" fillId="0" borderId="0">
      <protection locked="0"/>
    </xf>
    <xf numFmtId="187" fontId="16" fillId="0" borderId="0"/>
    <xf numFmtId="0" fontId="14"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103" fillId="0" borderId="0" applyNumberFormat="0" applyFill="0" applyBorder="0" applyAlignment="0" applyProtection="0"/>
    <xf numFmtId="187" fontId="16" fillId="0" borderId="0" applyFill="0" applyBorder="0" applyAlignment="0"/>
    <xf numFmtId="0" fontId="104" fillId="11" borderId="0" applyNumberFormat="0" applyBorder="0" applyAlignment="0" applyProtection="0">
      <alignment vertical="center"/>
    </xf>
    <xf numFmtId="227" fontId="105" fillId="0" borderId="0" applyFont="0" applyFill="0" applyBorder="0" applyAlignment="0" applyProtection="0"/>
    <xf numFmtId="228" fontId="53" fillId="0" borderId="0" applyFont="0" applyFill="0" applyBorder="0" applyAlignment="0" applyProtection="0"/>
    <xf numFmtId="227" fontId="19" fillId="0" borderId="0" applyFont="0" applyFill="0" applyBorder="0" applyAlignment="0" applyProtection="0"/>
    <xf numFmtId="228"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43" fontId="41"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43" fontId="16" fillId="0" borderId="0" applyFont="0" applyFill="0" applyBorder="0" applyAlignment="0" applyProtection="0"/>
    <xf numFmtId="41" fontId="11" fillId="0" borderId="0" applyFont="0" applyFill="0" applyBorder="0" applyAlignment="0" applyProtection="0"/>
    <xf numFmtId="187" fontId="106" fillId="0" borderId="0" applyNumberFormat="0" applyFill="0" applyBorder="0" applyAlignment="0" applyProtection="0">
      <alignment vertical="top"/>
      <protection locked="0"/>
    </xf>
    <xf numFmtId="187" fontId="107" fillId="33" borderId="2">
      <alignment horizontal="center" vertical="center"/>
    </xf>
    <xf numFmtId="187" fontId="69" fillId="0" borderId="0">
      <protection locked="0"/>
    </xf>
    <xf numFmtId="187" fontId="8" fillId="0" borderId="0"/>
    <xf numFmtId="41" fontId="18" fillId="0" borderId="0" applyFont="0" applyFill="0" applyBorder="0" applyAlignment="0" applyProtection="0"/>
    <xf numFmtId="0" fontId="26" fillId="0" borderId="0"/>
    <xf numFmtId="9" fontId="19" fillId="0" borderId="0" applyFont="0" applyFill="0" applyBorder="0" applyAlignment="0" applyProtection="0"/>
    <xf numFmtId="0" fontId="108" fillId="0" borderId="0" applyFont="0" applyFill="0" applyBorder="0" applyAlignment="0" applyProtection="0"/>
    <xf numFmtId="0" fontId="108" fillId="0" borderId="0" applyFont="0" applyFill="0" applyBorder="0" applyAlignment="0" applyProtection="0"/>
    <xf numFmtId="0" fontId="109" fillId="35" borderId="0" applyNumberFormat="0" applyBorder="0" applyAlignment="0" applyProtection="0">
      <alignment vertical="center"/>
    </xf>
    <xf numFmtId="0" fontId="110" fillId="34" borderId="0" applyNumberFormat="0" applyBorder="0" applyAlignment="0" applyProtection="0">
      <alignment vertical="center"/>
    </xf>
    <xf numFmtId="178" fontId="8" fillId="0" borderId="0" applyFont="0" applyFill="0" applyBorder="0" applyAlignment="0" applyProtection="0"/>
    <xf numFmtId="229" fontId="8" fillId="0" borderId="0" applyFont="0" applyFill="0" applyBorder="0" applyAlignment="0" applyProtection="0"/>
    <xf numFmtId="230" fontId="111" fillId="0" borderId="0" applyFont="0" applyFill="0" applyBorder="0" applyAlignment="0" applyProtection="0"/>
    <xf numFmtId="231" fontId="111" fillId="0" borderId="0" applyFont="0" applyFill="0" applyBorder="0" applyAlignment="0" applyProtection="0"/>
    <xf numFmtId="0" fontId="112" fillId="0" borderId="0"/>
    <xf numFmtId="0" fontId="113" fillId="0" borderId="0"/>
    <xf numFmtId="40" fontId="108" fillId="0" borderId="0" applyFont="0" applyFill="0" applyBorder="0" applyAlignment="0" applyProtection="0"/>
    <xf numFmtId="38" fontId="108" fillId="0" borderId="0" applyFont="0" applyFill="0" applyBorder="0" applyAlignment="0" applyProtection="0"/>
    <xf numFmtId="0" fontId="11" fillId="0" borderId="0">
      <protection locked="0"/>
    </xf>
    <xf numFmtId="187" fontId="4" fillId="0" borderId="0">
      <alignment vertical="center"/>
    </xf>
    <xf numFmtId="0" fontId="11" fillId="0" borderId="0">
      <protection locked="0"/>
    </xf>
    <xf numFmtId="43" fontId="116" fillId="0" borderId="0" applyFont="0" applyFill="0" applyBorder="0" applyAlignment="0" applyProtection="0">
      <alignment vertical="center"/>
    </xf>
    <xf numFmtId="187" fontId="3" fillId="0" borderId="0">
      <alignment vertical="center"/>
    </xf>
    <xf numFmtId="187" fontId="2" fillId="0" borderId="0">
      <alignment vertical="center"/>
    </xf>
    <xf numFmtId="43" fontId="11" fillId="0" borderId="0" applyFont="0" applyFill="0" applyBorder="0" applyAlignment="0" applyProtection="0"/>
    <xf numFmtId="0" fontId="2"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187" fontId="1" fillId="0" borderId="0">
      <alignment vertical="center"/>
    </xf>
    <xf numFmtId="187" fontId="1" fillId="0" borderId="0">
      <alignment vertical="center"/>
    </xf>
    <xf numFmtId="0" fontId="16" fillId="0" borderId="0"/>
  </cellStyleXfs>
  <cellXfs count="158">
    <xf numFmtId="0" fontId="0" fillId="0" borderId="0" xfId="0">
      <protection locked="0"/>
    </xf>
    <xf numFmtId="0" fontId="16" fillId="5" borderId="0" xfId="0" applyFont="1" applyFill="1" applyBorder="1" applyAlignment="1">
      <alignment horizontal="justify" vertical="center" wrapText="1"/>
      <protection locked="0"/>
    </xf>
    <xf numFmtId="0" fontId="17" fillId="0" borderId="0" xfId="0" applyFont="1" applyAlignment="1">
      <alignment vertical="center"/>
      <protection locked="0"/>
    </xf>
    <xf numFmtId="0" fontId="16" fillId="0" borderId="0" xfId="0" applyFont="1" applyAlignment="1">
      <alignment horizontal="center" vertical="center"/>
      <protection locked="0"/>
    </xf>
    <xf numFmtId="0" fontId="20" fillId="0" borderId="0" xfId="0" applyFont="1" applyAlignment="1">
      <alignment vertical="center"/>
      <protection locked="0"/>
    </xf>
    <xf numFmtId="0" fontId="26" fillId="0" borderId="0" xfId="29" applyFont="1" applyAlignment="1">
      <alignment vertical="center"/>
    </xf>
    <xf numFmtId="0" fontId="25" fillId="0" borderId="0" xfId="28" applyFont="1" applyAlignment="1">
      <alignment vertical="center"/>
    </xf>
    <xf numFmtId="43" fontId="26" fillId="0" borderId="3" xfId="31" applyFont="1" applyBorder="1" applyAlignment="1" applyProtection="1">
      <alignment vertical="center"/>
      <protection locked="0"/>
    </xf>
    <xf numFmtId="0" fontId="26" fillId="0" borderId="0" xfId="27" applyFont="1" applyBorder="1" applyAlignment="1">
      <alignment vertical="center"/>
      <protection locked="0"/>
    </xf>
    <xf numFmtId="0" fontId="26" fillId="0" borderId="0" xfId="27" applyFont="1" applyAlignment="1">
      <alignment vertical="center"/>
      <protection locked="0"/>
    </xf>
    <xf numFmtId="0" fontId="26" fillId="0" borderId="0" xfId="27" applyFont="1" applyAlignment="1">
      <alignment vertical="center" wrapText="1"/>
      <protection locked="0"/>
    </xf>
    <xf numFmtId="0" fontId="28" fillId="0" borderId="0" xfId="27" applyFont="1" applyAlignment="1">
      <alignment vertical="center"/>
      <protection locked="0"/>
    </xf>
    <xf numFmtId="0" fontId="26" fillId="0" borderId="0" xfId="28" applyFont="1" applyAlignment="1">
      <alignment vertical="center"/>
    </xf>
    <xf numFmtId="0" fontId="34" fillId="0" borderId="0" xfId="27" applyFont="1" applyAlignment="1">
      <alignment vertical="center"/>
      <protection locked="0"/>
    </xf>
    <xf numFmtId="0" fontId="35" fillId="0" borderId="0" xfId="27" applyFont="1" applyAlignment="1">
      <alignment vertical="center"/>
      <protection locked="0"/>
    </xf>
    <xf numFmtId="0" fontId="16" fillId="0" borderId="0" xfId="27" applyFont="1" applyBorder="1" applyAlignment="1">
      <alignment vertical="center"/>
      <protection locked="0"/>
    </xf>
    <xf numFmtId="0" fontId="16" fillId="0" borderId="0" xfId="27" applyFont="1">
      <protection locked="0"/>
    </xf>
    <xf numFmtId="0" fontId="26" fillId="0" borderId="0" xfId="27" applyFont="1" applyAlignment="1">
      <alignment horizontal="center" vertical="center"/>
      <protection locked="0"/>
    </xf>
    <xf numFmtId="0" fontId="26" fillId="0" borderId="3" xfId="27" applyFont="1" applyBorder="1" applyAlignment="1">
      <alignment vertical="center"/>
      <protection locked="0"/>
    </xf>
    <xf numFmtId="0" fontId="34" fillId="0" borderId="0" xfId="27" applyFont="1" applyBorder="1" applyAlignment="1">
      <alignment vertical="center"/>
      <protection locked="0"/>
    </xf>
    <xf numFmtId="0" fontId="26" fillId="0" borderId="0" xfId="27" applyFont="1" applyBorder="1" applyAlignment="1">
      <alignment vertical="center" wrapText="1"/>
      <protection locked="0"/>
    </xf>
    <xf numFmtId="0" fontId="26" fillId="0" borderId="0" xfId="27" applyFont="1" applyBorder="1">
      <protection locked="0"/>
    </xf>
    <xf numFmtId="0" fontId="11" fillId="0" borderId="0" xfId="27" applyFont="1">
      <protection locked="0"/>
    </xf>
    <xf numFmtId="0" fontId="26" fillId="0" borderId="3" xfId="27" applyFont="1" applyBorder="1" applyAlignment="1">
      <alignment horizontal="justify" vertical="center" wrapText="1"/>
      <protection locked="0"/>
    </xf>
    <xf numFmtId="43" fontId="26" fillId="0" borderId="3" xfId="27" applyNumberFormat="1" applyFont="1" applyBorder="1" applyAlignment="1">
      <alignment horizontal="justify" vertical="center" wrapText="1"/>
      <protection locked="0"/>
    </xf>
    <xf numFmtId="0" fontId="37" fillId="0" borderId="0" xfId="27" applyFont="1" applyAlignment="1">
      <alignment vertical="center"/>
      <protection locked="0"/>
    </xf>
    <xf numFmtId="0" fontId="29" fillId="0" borderId="0" xfId="27" applyFont="1" applyAlignment="1">
      <alignment vertical="center"/>
      <protection locked="0"/>
    </xf>
    <xf numFmtId="0" fontId="26" fillId="0" borderId="0" xfId="27" applyFont="1" applyBorder="1" applyAlignment="1">
      <alignment horizontal="center" vertical="center" wrapText="1"/>
      <protection locked="0"/>
    </xf>
    <xf numFmtId="43" fontId="16" fillId="0" borderId="0" xfId="31" applyFont="1" applyProtection="1">
      <protection locked="0"/>
    </xf>
    <xf numFmtId="43" fontId="11" fillId="0" borderId="0" xfId="31" applyFont="1" applyProtection="1">
      <protection locked="0"/>
    </xf>
    <xf numFmtId="0" fontId="26" fillId="0" borderId="0" xfId="85" applyFont="1" applyFill="1" applyBorder="1" applyAlignment="1">
      <alignment horizontal="left" vertical="center"/>
      <protection locked="0"/>
    </xf>
    <xf numFmtId="0" fontId="16" fillId="0" borderId="0" xfId="85" applyFont="1" applyFill="1" applyBorder="1" applyAlignment="1">
      <alignment horizontal="left" vertical="center"/>
      <protection locked="0"/>
    </xf>
    <xf numFmtId="0" fontId="26" fillId="0" borderId="0" xfId="27" applyFont="1" applyAlignment="1">
      <alignment horizontal="left" vertical="center"/>
      <protection locked="0"/>
    </xf>
    <xf numFmtId="0" fontId="8" fillId="0" borderId="0" xfId="0" applyFont="1" applyAlignment="1">
      <alignment vertical="center"/>
      <protection locked="0"/>
    </xf>
    <xf numFmtId="0" fontId="21" fillId="0" borderId="0" xfId="0" applyFont="1" applyBorder="1" applyAlignment="1">
      <alignment horizontal="justify" vertical="center" wrapText="1"/>
      <protection locked="0"/>
    </xf>
    <xf numFmtId="0" fontId="20" fillId="0" borderId="0" xfId="0" applyFont="1" applyBorder="1" applyAlignment="1">
      <alignment vertical="center"/>
      <protection locked="0"/>
    </xf>
    <xf numFmtId="0" fontId="23" fillId="0" borderId="0" xfId="0" applyFont="1" applyAlignment="1">
      <alignment horizontal="justify" vertical="center"/>
      <protection locked="0"/>
    </xf>
    <xf numFmtId="0" fontId="11" fillId="0" borderId="0" xfId="0" applyFont="1" applyAlignment="1">
      <alignment horizontal="justify" vertical="center"/>
      <protection locked="0"/>
    </xf>
    <xf numFmtId="0" fontId="11" fillId="0" borderId="0" xfId="0" applyFont="1" applyAlignment="1">
      <alignment vertical="center"/>
      <protection locked="0"/>
    </xf>
    <xf numFmtId="0" fontId="11" fillId="0" borderId="0" xfId="0" applyFont="1" applyAlignment="1">
      <alignment horizontal="justify" vertical="center" wrapText="1"/>
      <protection locked="0"/>
    </xf>
    <xf numFmtId="0" fontId="11" fillId="0" borderId="0" xfId="0" applyFont="1" applyAlignment="1">
      <alignment horizontal="left" vertical="center"/>
      <protection locked="0"/>
    </xf>
    <xf numFmtId="0" fontId="27" fillId="0" borderId="0" xfId="27" applyFont="1" applyBorder="1" applyAlignment="1">
      <alignment vertical="center"/>
      <protection locked="0"/>
    </xf>
    <xf numFmtId="0" fontId="26" fillId="0" borderId="3" xfId="27" applyFont="1" applyBorder="1" applyAlignment="1">
      <alignment horizontal="center" vertical="center" wrapText="1"/>
      <protection locked="0"/>
    </xf>
    <xf numFmtId="0" fontId="34" fillId="0" borderId="24" xfId="27" applyFont="1" applyBorder="1" applyAlignment="1">
      <alignment vertical="center"/>
      <protection locked="0"/>
    </xf>
    <xf numFmtId="0" fontId="26" fillId="0" borderId="24" xfId="27" applyFont="1" applyBorder="1" applyAlignment="1">
      <alignment vertical="center"/>
      <protection locked="0"/>
    </xf>
    <xf numFmtId="0" fontId="26" fillId="0" borderId="0" xfId="27" applyFont="1" applyAlignment="1">
      <alignment horizontal="left" vertical="center" indent="1"/>
      <protection locked="0"/>
    </xf>
    <xf numFmtId="0" fontId="27" fillId="0" borderId="24" xfId="27" applyFont="1" applyBorder="1" applyAlignment="1">
      <alignment vertical="center"/>
      <protection locked="0"/>
    </xf>
    <xf numFmtId="0" fontId="26" fillId="0" borderId="25" xfId="27" applyFont="1" applyBorder="1" applyAlignment="1">
      <alignment vertical="center"/>
      <protection locked="0"/>
    </xf>
    <xf numFmtId="14" fontId="26" fillId="0" borderId="0" xfId="27" applyNumberFormat="1" applyFont="1" applyAlignment="1">
      <alignment vertical="center"/>
      <protection locked="0"/>
    </xf>
    <xf numFmtId="0" fontId="25" fillId="0" borderId="0" xfId="28" applyFont="1" applyBorder="1" applyAlignment="1">
      <alignment vertical="center" wrapText="1"/>
    </xf>
    <xf numFmtId="0" fontId="26" fillId="0" borderId="0" xfId="28" applyFont="1" applyBorder="1" applyAlignment="1">
      <alignment vertical="center" wrapText="1"/>
    </xf>
    <xf numFmtId="187" fontId="45" fillId="0" borderId="0" xfId="610" applyFont="1" applyFill="1">
      <alignment vertical="center"/>
    </xf>
    <xf numFmtId="187" fontId="45" fillId="0" borderId="0" xfId="610" applyFont="1" applyFill="1" applyAlignment="1">
      <alignment horizontal="center" vertical="center"/>
    </xf>
    <xf numFmtId="187" fontId="43" fillId="0" borderId="3" xfId="27" applyNumberFormat="1" applyFont="1" applyFill="1" applyBorder="1" applyAlignment="1" applyProtection="1">
      <alignment horizontal="center" vertical="center" wrapText="1"/>
    </xf>
    <xf numFmtId="187" fontId="26" fillId="0" borderId="0" xfId="27" applyNumberFormat="1" applyFont="1" applyFill="1" applyBorder="1" applyAlignment="1" applyProtection="1">
      <alignment vertical="center"/>
      <protection locked="0"/>
    </xf>
    <xf numFmtId="0" fontId="26" fillId="0" borderId="0" xfId="27" applyFont="1" applyBorder="1" applyAlignment="1">
      <alignment horizontal="justify" vertical="center" wrapText="1"/>
      <protection locked="0"/>
    </xf>
    <xf numFmtId="0" fontId="16" fillId="0" borderId="3" xfId="27" applyFont="1" applyBorder="1" applyAlignment="1">
      <alignment horizontal="center" vertical="center" wrapText="1"/>
      <protection locked="0"/>
    </xf>
    <xf numFmtId="0" fontId="26" fillId="0" borderId="3" xfId="27" applyFont="1" applyBorder="1" applyAlignment="1">
      <alignment horizontal="center" vertical="center" wrapText="1"/>
      <protection locked="0"/>
    </xf>
    <xf numFmtId="0" fontId="16" fillId="0" borderId="0" xfId="27" applyFont="1" applyBorder="1" applyAlignment="1">
      <alignment vertical="center" wrapText="1"/>
      <protection locked="0"/>
    </xf>
    <xf numFmtId="0" fontId="26" fillId="0" borderId="0" xfId="27" applyFont="1" applyBorder="1" applyAlignment="1">
      <alignment horizontal="left" vertical="center" wrapText="1"/>
      <protection locked="0"/>
    </xf>
    <xf numFmtId="0" fontId="26" fillId="0" borderId="3" xfId="27" applyFont="1" applyBorder="1" applyAlignment="1">
      <alignment vertical="center" wrapText="1"/>
      <protection locked="0"/>
    </xf>
    <xf numFmtId="0" fontId="8" fillId="0" borderId="2" xfId="0" applyFont="1" applyBorder="1" applyAlignment="1">
      <alignment horizontal="center" vertical="center"/>
      <protection locked="0"/>
    </xf>
    <xf numFmtId="0" fontId="14" fillId="0" borderId="2" xfId="30" applyBorder="1" applyAlignment="1">
      <alignment vertical="center"/>
      <protection locked="0"/>
    </xf>
    <xf numFmtId="0" fontId="16" fillId="5" borderId="0" xfId="0" applyFont="1" applyFill="1" applyBorder="1" applyAlignment="1" applyProtection="1">
      <alignment horizontal="justify" vertical="center" wrapText="1"/>
      <protection locked="0"/>
    </xf>
    <xf numFmtId="0" fontId="11" fillId="0" borderId="0" xfId="0" applyFont="1" applyAlignment="1">
      <alignment horizontal="center" vertical="center"/>
      <protection locked="0"/>
    </xf>
    <xf numFmtId="0" fontId="117" fillId="0" borderId="0" xfId="27" applyFont="1" applyAlignment="1">
      <alignment vertical="center"/>
      <protection locked="0"/>
    </xf>
    <xf numFmtId="0" fontId="115" fillId="0" borderId="0" xfId="27" applyFont="1" applyAlignment="1">
      <alignment vertical="center"/>
      <protection locked="0"/>
    </xf>
    <xf numFmtId="0" fontId="115" fillId="37" borderId="0" xfId="27" applyFont="1" applyFill="1" applyAlignment="1">
      <alignment vertical="center"/>
      <protection locked="0"/>
    </xf>
    <xf numFmtId="0" fontId="34" fillId="36" borderId="3" xfId="27" applyFont="1" applyFill="1" applyBorder="1" applyAlignment="1">
      <alignment horizontal="center" vertical="center" wrapText="1"/>
      <protection locked="0"/>
    </xf>
    <xf numFmtId="0" fontId="27" fillId="36" borderId="3" xfId="27" applyFont="1" applyFill="1" applyBorder="1" applyAlignment="1">
      <alignment horizontal="center" vertical="center" wrapText="1"/>
      <protection locked="0"/>
    </xf>
    <xf numFmtId="49" fontId="26" fillId="0" borderId="3" xfId="27" applyNumberFormat="1" applyFont="1" applyFill="1" applyBorder="1" applyAlignment="1" applyProtection="1">
      <alignment horizontal="center" vertical="center"/>
      <protection locked="0"/>
    </xf>
    <xf numFmtId="187" fontId="119" fillId="0" borderId="0" xfId="610" applyFont="1" applyFill="1">
      <alignment vertical="center"/>
    </xf>
    <xf numFmtId="49" fontId="27" fillId="0" borderId="3" xfId="27" applyNumberFormat="1" applyFont="1" applyFill="1" applyBorder="1" applyAlignment="1" applyProtection="1">
      <alignment horizontal="center" vertical="center"/>
      <protection locked="0"/>
    </xf>
    <xf numFmtId="187" fontId="26" fillId="0" borderId="0" xfId="27" applyNumberFormat="1" applyFont="1" applyFill="1" applyBorder="1" applyAlignment="1" applyProtection="1">
      <alignment horizontal="left" vertical="center"/>
      <protection locked="0"/>
    </xf>
    <xf numFmtId="187" fontId="44" fillId="0" borderId="3" xfId="614" applyFont="1" applyFill="1" applyBorder="1" applyAlignment="1">
      <alignment horizontal="center" vertical="center" wrapText="1"/>
    </xf>
    <xf numFmtId="187" fontId="120" fillId="0" borderId="0" xfId="610" applyFont="1" applyFill="1">
      <alignment vertical="center"/>
    </xf>
    <xf numFmtId="0" fontId="14" fillId="0" borderId="0" xfId="30" applyAlignment="1">
      <protection locked="0"/>
    </xf>
    <xf numFmtId="0" fontId="27" fillId="0" borderId="7" xfId="27" applyFont="1" applyBorder="1" applyAlignment="1">
      <alignment horizontal="centerContinuous" vertical="center"/>
      <protection locked="0"/>
    </xf>
    <xf numFmtId="43" fontId="27" fillId="0" borderId="7" xfId="31" applyFont="1" applyBorder="1" applyAlignment="1" applyProtection="1">
      <alignment horizontal="centerContinuous" vertical="center"/>
      <protection locked="0"/>
    </xf>
    <xf numFmtId="43" fontId="27" fillId="0" borderId="7" xfId="31" applyFont="1" applyBorder="1" applyAlignment="1" applyProtection="1">
      <alignment vertical="center"/>
      <protection locked="0"/>
    </xf>
    <xf numFmtId="43" fontId="27" fillId="0" borderId="7" xfId="31" applyFont="1" applyFill="1" applyBorder="1" applyAlignment="1" applyProtection="1">
      <alignment vertical="center"/>
      <protection locked="0"/>
    </xf>
    <xf numFmtId="0" fontId="27" fillId="0" borderId="7" xfId="27" applyFont="1" applyBorder="1" applyAlignment="1">
      <alignment vertical="center"/>
      <protection locked="0"/>
    </xf>
    <xf numFmtId="0" fontId="34" fillId="0" borderId="7" xfId="27" applyFont="1" applyBorder="1" applyAlignment="1">
      <alignment horizontal="left" vertical="center"/>
      <protection locked="0"/>
    </xf>
    <xf numFmtId="43" fontId="26" fillId="36" borderId="3" xfId="31" applyFont="1" applyFill="1" applyBorder="1" applyAlignment="1" applyProtection="1">
      <alignment vertical="center"/>
      <protection locked="0"/>
    </xf>
    <xf numFmtId="43" fontId="27" fillId="36" borderId="3" xfId="31" applyFont="1" applyFill="1" applyBorder="1" applyAlignment="1" applyProtection="1">
      <alignment vertical="center"/>
      <protection locked="0"/>
    </xf>
    <xf numFmtId="0" fontId="34" fillId="36" borderId="3" xfId="27" applyFont="1" applyFill="1" applyBorder="1" applyAlignment="1">
      <alignment horizontal="centerContinuous" vertical="center"/>
      <protection locked="0"/>
    </xf>
    <xf numFmtId="0" fontId="27" fillId="36" borderId="3" xfId="27" applyFont="1" applyFill="1" applyBorder="1" applyAlignment="1">
      <alignment horizontal="centerContinuous" vertical="center"/>
      <protection locked="0"/>
    </xf>
    <xf numFmtId="43" fontId="27" fillId="36" borderId="3" xfId="31" applyFont="1" applyFill="1" applyBorder="1" applyAlignment="1" applyProtection="1">
      <alignment horizontal="centerContinuous" vertical="center"/>
      <protection locked="0"/>
    </xf>
    <xf numFmtId="0" fontId="27" fillId="36" borderId="3" xfId="27" applyFont="1" applyFill="1" applyBorder="1" applyAlignment="1">
      <alignment vertical="center"/>
      <protection locked="0"/>
    </xf>
    <xf numFmtId="43" fontId="26" fillId="36" borderId="3" xfId="27" applyNumberFormat="1" applyFont="1" applyFill="1" applyBorder="1" applyAlignment="1">
      <alignment horizontal="justify" vertical="center" wrapText="1"/>
      <protection locked="0"/>
    </xf>
    <xf numFmtId="0" fontId="34" fillId="0" borderId="25" xfId="27" applyFont="1" applyBorder="1" applyAlignment="1">
      <alignment vertical="center"/>
      <protection locked="0"/>
    </xf>
    <xf numFmtId="0" fontId="0" fillId="0" borderId="25" xfId="0" applyBorder="1">
      <protection locked="0"/>
    </xf>
    <xf numFmtId="0" fontId="0" fillId="0" borderId="30" xfId="0" applyBorder="1">
      <protection locked="0"/>
    </xf>
    <xf numFmtId="0" fontId="0" fillId="0" borderId="0" xfId="0" applyBorder="1">
      <protection locked="0"/>
    </xf>
    <xf numFmtId="0" fontId="0" fillId="0" borderId="32" xfId="0" applyBorder="1">
      <protection locked="0"/>
    </xf>
    <xf numFmtId="0" fontId="0" fillId="0" borderId="27" xfId="0" applyBorder="1">
      <protection locked="0"/>
    </xf>
    <xf numFmtId="0" fontId="0" fillId="0" borderId="31" xfId="0" applyBorder="1">
      <protection locked="0"/>
    </xf>
    <xf numFmtId="0" fontId="0" fillId="0" borderId="26" xfId="0" applyBorder="1">
      <protection locked="0"/>
    </xf>
    <xf numFmtId="0" fontId="0" fillId="0" borderId="29" xfId="0" applyBorder="1">
      <protection locked="0"/>
    </xf>
    <xf numFmtId="0" fontId="117" fillId="0" borderId="28" xfId="0" applyFont="1" applyBorder="1" applyAlignment="1">
      <alignment horizontal="left" vertical="center"/>
      <protection locked="0"/>
    </xf>
    <xf numFmtId="0" fontId="117" fillId="0" borderId="26" xfId="0" applyFont="1" applyBorder="1" applyAlignment="1">
      <alignment horizontal="left" vertical="center"/>
      <protection locked="0"/>
    </xf>
    <xf numFmtId="187" fontId="122" fillId="0" borderId="0" xfId="610" applyFont="1" applyFill="1">
      <alignment vertical="center"/>
    </xf>
    <xf numFmtId="49" fontId="27" fillId="36" borderId="3" xfId="27" applyNumberFormat="1" applyFont="1" applyFill="1" applyBorder="1" applyAlignment="1" applyProtection="1">
      <alignment horizontal="center" vertical="center"/>
      <protection locked="0"/>
    </xf>
    <xf numFmtId="187" fontId="34" fillId="36" borderId="3" xfId="614" applyFont="1" applyFill="1" applyBorder="1" applyAlignment="1" applyProtection="1">
      <alignment horizontal="center" vertical="center" wrapText="1"/>
      <protection locked="0"/>
    </xf>
    <xf numFmtId="187" fontId="47" fillId="0" borderId="3" xfId="27" applyNumberFormat="1" applyFont="1" applyFill="1" applyBorder="1" applyAlignment="1" applyProtection="1">
      <alignment vertical="center" wrapText="1"/>
    </xf>
    <xf numFmtId="0" fontId="125" fillId="0" borderId="0" xfId="27" applyFont="1" applyAlignment="1">
      <alignment vertical="center"/>
      <protection locked="0"/>
    </xf>
    <xf numFmtId="0" fontId="128" fillId="0" borderId="0" xfId="27" applyFont="1" applyAlignment="1">
      <alignment vertical="center"/>
      <protection locked="0"/>
    </xf>
    <xf numFmtId="0" fontId="129" fillId="0" borderId="0" xfId="27" applyFont="1" applyAlignment="1">
      <alignment vertical="center"/>
      <protection locked="0"/>
    </xf>
    <xf numFmtId="0" fontId="16" fillId="0" borderId="3" xfId="27" applyFont="1" applyBorder="1" applyAlignment="1">
      <alignment horizontal="justify" vertical="center" wrapText="1"/>
      <protection locked="0"/>
    </xf>
    <xf numFmtId="0" fontId="16" fillId="0" borderId="3" xfId="27" applyFont="1" applyBorder="1" applyAlignment="1">
      <alignment vertical="center"/>
      <protection locked="0"/>
    </xf>
    <xf numFmtId="0" fontId="26" fillId="0" borderId="3" xfId="27" applyFont="1" applyBorder="1" applyAlignment="1">
      <alignment horizontal="left" vertical="center"/>
      <protection locked="0"/>
    </xf>
    <xf numFmtId="0" fontId="130" fillId="0" borderId="3" xfId="27" applyFont="1" applyBorder="1" applyAlignment="1">
      <alignment horizontal="left" vertical="center"/>
      <protection locked="0"/>
    </xf>
    <xf numFmtId="0" fontId="26" fillId="0" borderId="3" xfId="27" applyFont="1" applyBorder="1" applyAlignment="1">
      <alignment horizontal="left" vertical="center" shrinkToFit="1"/>
      <protection locked="0"/>
    </xf>
    <xf numFmtId="43" fontId="16" fillId="0" borderId="3" xfId="31" applyFont="1" applyBorder="1" applyAlignment="1" applyProtection="1">
      <alignment horizontal="center" vertical="center" shrinkToFit="1"/>
      <protection locked="0"/>
    </xf>
    <xf numFmtId="187" fontId="125" fillId="0" borderId="0" xfId="610" applyFont="1" applyFill="1" applyAlignment="1">
      <alignment horizontal="left" vertical="center"/>
    </xf>
    <xf numFmtId="187" fontId="28" fillId="0" borderId="0" xfId="30" applyNumberFormat="1" applyFont="1" applyFill="1" applyBorder="1" applyAlignment="1" applyProtection="1">
      <alignment vertical="center" wrapText="1"/>
      <protection locked="0"/>
    </xf>
    <xf numFmtId="0" fontId="26" fillId="0" borderId="2" xfId="0" applyFont="1" applyBorder="1" applyAlignment="1">
      <alignment horizontal="center" vertical="center"/>
      <protection locked="0"/>
    </xf>
    <xf numFmtId="0" fontId="8" fillId="0" borderId="0" xfId="0" applyFont="1" applyAlignment="1">
      <alignment horizontal="center" vertical="center"/>
      <protection locked="0"/>
    </xf>
    <xf numFmtId="0" fontId="16" fillId="0" borderId="0" xfId="27" applyFont="1" applyFill="1" applyAlignment="1">
      <alignment vertical="center"/>
      <protection locked="0"/>
    </xf>
    <xf numFmtId="0" fontId="29" fillId="0" borderId="0" xfId="27" applyFont="1" applyFill="1" applyAlignment="1">
      <alignment vertical="center"/>
      <protection locked="0"/>
    </xf>
    <xf numFmtId="0" fontId="26" fillId="0" borderId="0" xfId="27" applyFont="1" applyFill="1" applyAlignment="1">
      <alignment vertical="center"/>
      <protection locked="0"/>
    </xf>
    <xf numFmtId="0" fontId="26" fillId="36" borderId="0" xfId="27" applyFont="1" applyFill="1" applyAlignment="1">
      <alignment horizontal="center" vertical="center"/>
      <protection locked="0"/>
    </xf>
    <xf numFmtId="0" fontId="115" fillId="36" borderId="0" xfId="27" applyFont="1" applyFill="1" applyAlignment="1">
      <alignment horizontal="center" vertical="center"/>
      <protection locked="0"/>
    </xf>
    <xf numFmtId="0" fontId="114" fillId="36" borderId="0" xfId="27" applyFont="1" applyFill="1" applyAlignment="1">
      <alignment horizontal="center" vertical="center"/>
      <protection locked="0"/>
    </xf>
    <xf numFmtId="0" fontId="26" fillId="36" borderId="0" xfId="27" applyFont="1" applyFill="1" applyAlignment="1">
      <alignment vertical="center"/>
      <protection locked="0"/>
    </xf>
    <xf numFmtId="0" fontId="34" fillId="0" borderId="0" xfId="27" applyFont="1" applyFill="1" applyAlignment="1">
      <alignment horizontal="left" vertical="center"/>
      <protection locked="0"/>
    </xf>
    <xf numFmtId="0" fontId="26" fillId="0" borderId="0" xfId="27" applyFont="1" applyFill="1" applyAlignment="1">
      <alignment horizontal="left" vertical="center"/>
      <protection locked="0"/>
    </xf>
    <xf numFmtId="0" fontId="26" fillId="0" borderId="0" xfId="27" applyFont="1" applyFill="1" applyAlignment="1">
      <alignment horizontal="center" vertical="center"/>
      <protection locked="0"/>
    </xf>
    <xf numFmtId="0" fontId="34" fillId="36" borderId="3" xfId="27" applyFont="1" applyFill="1" applyBorder="1" applyAlignment="1">
      <alignment horizontal="center" vertical="center"/>
      <protection locked="0"/>
    </xf>
    <xf numFmtId="0" fontId="44" fillId="0" borderId="3" xfId="70" applyFont="1" applyFill="1" applyBorder="1" applyAlignment="1">
      <alignment horizontal="center" vertical="center" wrapText="1"/>
    </xf>
    <xf numFmtId="187" fontId="17" fillId="0" borderId="0" xfId="83" applyFont="1" applyFill="1" applyAlignment="1">
      <alignment horizontal="center" vertical="center"/>
    </xf>
    <xf numFmtId="187" fontId="24" fillId="0" borderId="0" xfId="83" applyFont="1" applyFill="1" applyAlignment="1">
      <alignment horizontal="center" vertical="center"/>
    </xf>
    <xf numFmtId="187" fontId="121" fillId="0" borderId="0" xfId="83" applyFont="1" applyFill="1" applyAlignment="1">
      <alignment horizontal="center" vertical="center"/>
    </xf>
    <xf numFmtId="0" fontId="34" fillId="36" borderId="3" xfId="70" applyFont="1" applyFill="1" applyBorder="1" applyAlignment="1" applyProtection="1">
      <alignment horizontal="center" vertical="center" wrapText="1"/>
      <protection locked="0"/>
    </xf>
    <xf numFmtId="187" fontId="27" fillId="36" borderId="3" xfId="27" applyNumberFormat="1" applyFont="1" applyFill="1" applyBorder="1" applyAlignment="1" applyProtection="1">
      <alignment horizontal="center" vertical="center" wrapText="1"/>
      <protection locked="0"/>
    </xf>
    <xf numFmtId="187" fontId="43" fillId="0" borderId="3" xfId="27" applyNumberFormat="1" applyFont="1" applyFill="1" applyBorder="1" applyAlignment="1" applyProtection="1">
      <alignment horizontal="left" vertical="center" wrapText="1"/>
    </xf>
    <xf numFmtId="187" fontId="47" fillId="0" borderId="3" xfId="27" applyNumberFormat="1" applyFont="1" applyFill="1" applyBorder="1" applyAlignment="1" applyProtection="1">
      <alignment horizontal="left" vertical="center" wrapText="1"/>
    </xf>
    <xf numFmtId="187" fontId="43" fillId="0" borderId="3" xfId="27" applyNumberFormat="1" applyFont="1" applyFill="1" applyBorder="1" applyAlignment="1" applyProtection="1">
      <alignment horizontal="center" vertical="center" wrapText="1"/>
    </xf>
    <xf numFmtId="187" fontId="44" fillId="0" borderId="3" xfId="27" applyNumberFormat="1" applyFont="1" applyFill="1" applyBorder="1" applyAlignment="1" applyProtection="1">
      <alignment horizontal="left" vertical="center" wrapText="1"/>
    </xf>
    <xf numFmtId="187" fontId="46" fillId="0" borderId="3" xfId="27" applyNumberFormat="1" applyFont="1" applyFill="1" applyBorder="1" applyAlignment="1" applyProtection="1">
      <alignment horizontal="left" vertical="center" wrapText="1"/>
    </xf>
    <xf numFmtId="0" fontId="117" fillId="0" borderId="0" xfId="27" applyFont="1" applyBorder="1" applyAlignment="1">
      <alignment horizontal="left" vertical="center" wrapText="1"/>
      <protection locked="0"/>
    </xf>
    <xf numFmtId="0" fontId="26" fillId="0" borderId="0" xfId="27" applyFont="1" applyBorder="1" applyAlignment="1">
      <alignment vertical="center" wrapText="1"/>
      <protection locked="0"/>
    </xf>
    <xf numFmtId="0" fontId="34" fillId="0" borderId="0" xfId="28" applyFont="1" applyBorder="1" applyAlignment="1">
      <alignment horizontal="center" vertical="center" wrapText="1"/>
    </xf>
    <xf numFmtId="0" fontId="27" fillId="0" borderId="0" xfId="28" applyFont="1" applyBorder="1" applyAlignment="1">
      <alignment horizontal="center" vertical="center" wrapText="1"/>
    </xf>
    <xf numFmtId="0" fontId="17" fillId="0" borderId="0" xfId="28" applyFont="1" applyBorder="1" applyAlignment="1">
      <alignment horizontal="center" vertical="center" wrapText="1"/>
    </xf>
    <xf numFmtId="0" fontId="24" fillId="0" borderId="0" xfId="28" applyFont="1" applyBorder="1" applyAlignment="1">
      <alignment horizontal="center" vertical="center" wrapText="1"/>
    </xf>
    <xf numFmtId="0" fontId="118" fillId="0" borderId="0" xfId="27" applyFont="1" applyBorder="1" applyAlignment="1">
      <alignment horizontal="left" vertical="center" wrapText="1"/>
      <protection locked="0"/>
    </xf>
    <xf numFmtId="0" fontId="26" fillId="0" borderId="0" xfId="27" applyFont="1" applyBorder="1" applyAlignment="1">
      <alignment horizontal="left" vertical="center" wrapText="1"/>
      <protection locked="0"/>
    </xf>
    <xf numFmtId="0" fontId="26" fillId="0" borderId="0" xfId="27" applyFont="1" applyBorder="1" applyAlignment="1">
      <alignment horizontal="justify" vertical="center" wrapText="1"/>
      <protection locked="0"/>
    </xf>
    <xf numFmtId="0" fontId="26" fillId="0" borderId="0" xfId="27" applyFont="1" applyBorder="1" applyAlignment="1">
      <alignment horizontal="center" vertical="center" wrapText="1"/>
      <protection locked="0"/>
    </xf>
    <xf numFmtId="0" fontId="17" fillId="0" borderId="0" xfId="28" applyFont="1" applyAlignment="1">
      <alignment horizontal="center" vertical="center"/>
    </xf>
    <xf numFmtId="0" fontId="121" fillId="0" borderId="0" xfId="28" applyFont="1" applyAlignment="1">
      <alignment horizontal="center" vertical="center"/>
    </xf>
    <xf numFmtId="0" fontId="34" fillId="0" borderId="0" xfId="28" applyFont="1" applyAlignment="1">
      <alignment horizontal="center" vertical="center"/>
    </xf>
    <xf numFmtId="0" fontId="34" fillId="36" borderId="4" xfId="27" applyFont="1" applyFill="1" applyBorder="1" applyAlignment="1">
      <alignment horizontal="center" vertical="center" wrapText="1"/>
      <protection locked="0"/>
    </xf>
    <xf numFmtId="0" fontId="34" fillId="36" borderId="9" xfId="27" applyFont="1" applyFill="1" applyBorder="1" applyAlignment="1">
      <alignment horizontal="center" vertical="center" wrapText="1"/>
      <protection locked="0"/>
    </xf>
    <xf numFmtId="0" fontId="34" fillId="36" borderId="8" xfId="27" applyFont="1" applyFill="1" applyBorder="1" applyAlignment="1">
      <alignment horizontal="center" vertical="center" wrapText="1"/>
      <protection locked="0"/>
    </xf>
    <xf numFmtId="0" fontId="34" fillId="36" borderId="5" xfId="27" applyFont="1" applyFill="1" applyBorder="1" applyAlignment="1">
      <alignment horizontal="center" vertical="center" wrapText="1"/>
      <protection locked="0"/>
    </xf>
    <xf numFmtId="0" fontId="125" fillId="0" borderId="0" xfId="28" applyFont="1" applyAlignment="1">
      <alignment vertical="center"/>
    </xf>
  </cellXfs>
  <cellStyles count="622">
    <cellStyle name="%" xfId="189"/>
    <cellStyle name="(0)" xfId="190"/>
    <cellStyle name="?" xfId="1"/>
    <cellStyle name="? 2" xfId="191"/>
    <cellStyle name="??" xfId="192"/>
    <cellStyle name="?餡_x000c_k" xfId="86"/>
    <cellStyle name="?餡_x000c_k?_x000d_^" xfId="87"/>
    <cellStyle name="?餡_x000c_k?_x000d_^黇_x0001_??_x0007__x0001__x0001_" xfId="88"/>
    <cellStyle name="@_text" xfId="2"/>
    <cellStyle name="@_text_050302.Becker 2004.TB and Cash flow.JZ" xfId="193"/>
    <cellStyle name="@_text_061219..Valin.Disclosure package.ry.v2" xfId="194"/>
    <cellStyle name="@_text_Disclosure" xfId="195"/>
    <cellStyle name="@_text_Long term payables" xfId="196"/>
    <cellStyle name="@_text_Sheet1" xfId="197"/>
    <cellStyle name="@_text_Sheet1_Long term payables" xfId="198"/>
    <cellStyle name="@_text_Sheet3" xfId="199"/>
    <cellStyle name="@_text_Sheet4" xfId="200"/>
    <cellStyle name="@_text_Sheet6" xfId="201"/>
    <cellStyle name="@_text_Sheet7" xfId="202"/>
    <cellStyle name="@_text_涟钢" xfId="203"/>
    <cellStyle name="@_text_湘钢" xfId="204"/>
    <cellStyle name="_(中企华)审计评估联合申报明细表.V1" xfId="205"/>
    <cellStyle name="_005.v9" xfId="206"/>
    <cellStyle name="_005.v9_070124.valin.loudi.disclosure notes-other op" xfId="207"/>
    <cellStyle name="_005.v9_Sheet1" xfId="208"/>
    <cellStyle name="_005.v9_财务费用" xfId="209"/>
    <cellStyle name="_005.v9_存货" xfId="210"/>
    <cellStyle name="_005.v9_短期借款" xfId="211"/>
    <cellStyle name="_005.v9_货币资金" xfId="212"/>
    <cellStyle name="_005.v9_连轧管.报表披露(中文）2package" xfId="213"/>
    <cellStyle name="_005.v9_连轧管.报表披露(中文）package" xfId="214"/>
    <cellStyle name="_005.v9_请修改正副本华菱钢管合并国贸 报表披露 package" xfId="215"/>
    <cellStyle name="_005.v9_销售科" xfId="216"/>
    <cellStyle name="_005.v9_一年内到期长期负债" xfId="217"/>
    <cellStyle name="_005.v9_长期借款" xfId="218"/>
    <cellStyle name="_051231.CTE SH.023" xfId="219"/>
    <cellStyle name="_051231.CTE SH.023_061219..Valin.Disclosure package.ry.v2" xfId="220"/>
    <cellStyle name="_051231.CTE SH.023_061219..Valin.Disclosure package.ry.v2_1" xfId="221"/>
    <cellStyle name="_051231.CTE SH.023_061219..Valin.Disclosure package.ry.v2_Book2" xfId="222"/>
    <cellStyle name="_051231.CTE SH.023_070124.valin.consol.after interco elimination" xfId="223"/>
    <cellStyle name="_051231.CTE SH.023_2006" xfId="224"/>
    <cellStyle name="_051231.CTE SH.023_consol disclosure-final" xfId="225"/>
    <cellStyle name="_051231.CTE SH.023_非正常性损益表" xfId="226"/>
    <cellStyle name="_051231.CTE SH.023_连轧管.报表披露(中文）package" xfId="227"/>
    <cellStyle name="_060410.MMXM.AR,stock,sales,tax updated" xfId="228"/>
    <cellStyle name="_060417.Allied.cut off" xfId="229"/>
    <cellStyle name="_060930 valin-ez" xfId="230"/>
    <cellStyle name="_060930 valin-ez_070124.valin.loudi.disclosure notes-other op" xfId="231"/>
    <cellStyle name="_060930 valin-ez_Sheet1" xfId="232"/>
    <cellStyle name="_060930 valin-ez_财务费用" xfId="233"/>
    <cellStyle name="_060930 valin-ez_存货" xfId="234"/>
    <cellStyle name="_060930 valin-ez_短期借款" xfId="235"/>
    <cellStyle name="_060930 valin-ez_货币资金" xfId="236"/>
    <cellStyle name="_060930 valin-ez_连轧管.报表披露(中文）2package" xfId="237"/>
    <cellStyle name="_060930 valin-ez_连轧管.报表披露(中文）package" xfId="238"/>
    <cellStyle name="_060930 valin-ez_请修改正副本华菱钢管合并国贸 报表披露 package" xfId="239"/>
    <cellStyle name="_060930 valin-ez_一年内到期长期负债" xfId="240"/>
    <cellStyle name="_060930 valin-ez_长期借款" xfId="241"/>
    <cellStyle name="_061118.valin.K.hardclose" xfId="242"/>
    <cellStyle name="_061118.valin-XG.O.hardclose" xfId="243"/>
    <cellStyle name="_061119.valin.Q.hardclose" xfId="244"/>
    <cellStyle name="_0612.连轧管.Q section.taxation" xfId="245"/>
    <cellStyle name="_0612.连轧管.Q section.taxation_070124.valin.loudi.disclosure notes-other op" xfId="246"/>
    <cellStyle name="_0612.连轧管.Q section.taxation_Sheet1" xfId="247"/>
    <cellStyle name="_0612.连轧管.Q section.taxation_财务费用" xfId="248"/>
    <cellStyle name="_0612.连轧管.Q section.taxation_存货" xfId="249"/>
    <cellStyle name="_0612.连轧管.Q section.taxation_短期借款" xfId="250"/>
    <cellStyle name="_0612.连轧管.Q section.taxation_货币资金" xfId="251"/>
    <cellStyle name="_0612.连轧管.Q section.taxation_连轧管.报表披露(中文）2package" xfId="252"/>
    <cellStyle name="_0612.连轧管.Q section.taxation_连轧管.报表披露(中文）package" xfId="253"/>
    <cellStyle name="_0612.连轧管.Q section.taxation_请修改正副本华菱钢管合并国贸 报表披露 package" xfId="254"/>
    <cellStyle name="_0612.连轧管.Q section.taxation_一年内到期长期负债" xfId="255"/>
    <cellStyle name="_0612.连轧管.Q section.taxation_长期借款" xfId="256"/>
    <cellStyle name="_061204.Valin Info.Spreadsheet" xfId="257"/>
    <cellStyle name="_061214.Valin.XX.sales.tax.tw" xfId="258"/>
    <cellStyle name="_061214.Valin.XX.sales.tax.tw_070124.valin.loudi.disclosure notes-other op" xfId="259"/>
    <cellStyle name="_061214.Valin.XX.sales.tax.tw_Sheet1" xfId="260"/>
    <cellStyle name="_061214.Valin.XX.sales.tax.tw_财务费用" xfId="261"/>
    <cellStyle name="_061214.Valin.XX.sales.tax.tw_存货" xfId="262"/>
    <cellStyle name="_061214.Valin.XX.sales.tax.tw_短期借款" xfId="263"/>
    <cellStyle name="_061214.Valin.XX.sales.tax.tw_货币资金" xfId="264"/>
    <cellStyle name="_061214.Valin.XX.sales.tax.tw_连轧管.报表披露(中文）2package" xfId="265"/>
    <cellStyle name="_061214.Valin.XX.sales.tax.tw_连轧管.报表披露(中文）package" xfId="266"/>
    <cellStyle name="_061214.Valin.XX.sales.tax.tw_请修改正副本华菱钢管合并国贸 报表披露 package" xfId="267"/>
    <cellStyle name="_061214.Valin.XX.sales.tax.tw_一年内到期长期负债" xfId="268"/>
    <cellStyle name="_061214.Valin.XX.sales.tax.tw_长期借款" xfId="269"/>
    <cellStyle name="_2005审计报表及附注-中国建材股份模板（房屋）" xfId="89"/>
    <cellStyle name="_2006年年报审计PBC表-XXX" xfId="90"/>
    <cellStyle name="_2006年年报审计填报资料" xfId="91"/>
    <cellStyle name="_50存货移动表" xfId="270"/>
    <cellStyle name="_Book1" xfId="92"/>
    <cellStyle name="_Disclosure" xfId="271"/>
    <cellStyle name="_Exchange rate adj" xfId="272"/>
    <cellStyle name="_exp&amp;loan Disclosure format" xfId="273"/>
    <cellStyle name="_HY exp disclousure" xfId="274"/>
    <cellStyle name="_HY exp disclousure_070124.valin.loudi.disclosure notes-other op" xfId="275"/>
    <cellStyle name="_HY exp disclousure_Sheet1" xfId="276"/>
    <cellStyle name="_HY exp disclousure_财务费用" xfId="277"/>
    <cellStyle name="_HY exp disclousure_存货" xfId="278"/>
    <cellStyle name="_HY exp disclousure_短期借款" xfId="279"/>
    <cellStyle name="_HY exp disclousure_货币资金" xfId="280"/>
    <cellStyle name="_HY exp disclousure_连轧管.报表披露(中文）2package" xfId="281"/>
    <cellStyle name="_HY exp disclousure_连轧管.报表披露(中文）package" xfId="282"/>
    <cellStyle name="_HY exp disclousure_请修改正副本华菱钢管合并国贸 报表披露 package" xfId="283"/>
    <cellStyle name="_HY exp disclousure_一年内到期长期负债" xfId="284"/>
    <cellStyle name="_HY exp disclousure_长期借款" xfId="285"/>
    <cellStyle name="_interest rate of Holding" xfId="286"/>
    <cellStyle name="_J1000-存货-ZHHG" xfId="287"/>
    <cellStyle name="_KPMG original version" xfId="288"/>
    <cellStyle name="_KPMG original version_(中企华)审计评估联合申报明细表.V1" xfId="289"/>
    <cellStyle name="_KPMG original version_附件1：审计评估联合申报明细表" xfId="290"/>
    <cellStyle name="_long term loan - others 300504" xfId="291"/>
    <cellStyle name="_long term loan - others 300504_(中企华)审计评估联合申报明细表.V1" xfId="292"/>
    <cellStyle name="_long term loan - others 300504_051231.CTE SH.023" xfId="293"/>
    <cellStyle name="_long term loan - others 300504_051231.CTE SH.023_061219..Valin.Disclosure package.ry.v2" xfId="294"/>
    <cellStyle name="_long term loan - others 300504_051231.CTE SH.023_061219..Valin.Disclosure package.ry.v2_1" xfId="295"/>
    <cellStyle name="_long term loan - others 300504_051231.CTE SH.023_061219..Valin.Disclosure package.ry.v2_Book2" xfId="296"/>
    <cellStyle name="_long term loan - others 300504_051231.CTE SH.023_070124.valin.consol.after interco elimination" xfId="297"/>
    <cellStyle name="_long term loan - others 300504_051231.CTE SH.023_2006" xfId="298"/>
    <cellStyle name="_long term loan - others 300504_051231.CTE SH.023_consol disclosure-final" xfId="299"/>
    <cellStyle name="_long term loan - others 300504_051231.CTE SH.023_非正常性损益表" xfId="300"/>
    <cellStyle name="_long term loan - others 300504_051231.CTE SH.023_连轧管.报表披露(中文）package" xfId="301"/>
    <cellStyle name="_long term loan - others 300504_070124.valin.loudi.disclosure notes-other op" xfId="302"/>
    <cellStyle name="_long term loan - others 300504_KPMG original version" xfId="303"/>
    <cellStyle name="_long term loan - others 300504_KPMG original version_(中企华)审计评估联合申报明细表.V1" xfId="304"/>
    <cellStyle name="_long term loan - others 300504_KPMG original version_附件1：审计评估联合申报明细表" xfId="305"/>
    <cellStyle name="_long term loan - others 300504_Sheet1" xfId="306"/>
    <cellStyle name="_long term loan - others 300504_Shenhua PBC package 050530" xfId="307"/>
    <cellStyle name="_long term loan - others 300504_Shenhua PBC package 050530_(中企华)审计评估联合申报明细表.V1" xfId="308"/>
    <cellStyle name="_long term loan - others 300504_Shenhua PBC package 050530_附件1：审计评估联合申报明细表" xfId="309"/>
    <cellStyle name="_long term loan - others 300504_财务费用" xfId="310"/>
    <cellStyle name="_long term loan - others 300504_存货" xfId="311"/>
    <cellStyle name="_long term loan - others 300504_短期借款" xfId="312"/>
    <cellStyle name="_long term loan - others 300504_附件1：审计评估联合申报明细表" xfId="313"/>
    <cellStyle name="_long term loan - others 300504_货币资金" xfId="314"/>
    <cellStyle name="_long term loan - others 300504_连轧管.报表披露(中文）2package" xfId="315"/>
    <cellStyle name="_long term loan - others 300504_连轧管.报表披露(中文）package" xfId="316"/>
    <cellStyle name="_long term loan - others 300504_请修改正副本华菱钢管合并国贸 报表披露 package" xfId="317"/>
    <cellStyle name="_long term loan - others 300504_审计调查表.V3" xfId="318"/>
    <cellStyle name="_long term loan - others 300504_销售科" xfId="319"/>
    <cellStyle name="_long term loan - others 300504_一年内到期长期负债" xfId="320"/>
    <cellStyle name="_long term loan - others 300504_长期借款" xfId="321"/>
    <cellStyle name="_Notes payable" xfId="322"/>
    <cellStyle name="_Part III.200406.Loan and Liabilities details.(Site Name)" xfId="323"/>
    <cellStyle name="_Part III.200406.Loan and Liabilities details.(Site Name)_(中企华)审计评估联合申报明细表.V1" xfId="324"/>
    <cellStyle name="_Part III.200406.Loan and Liabilities details.(Site Name)_051231.CTE SH.023" xfId="325"/>
    <cellStyle name="_Part III.200406.Loan and Liabilities details.(Site Name)_051231.CTE SH.023_061219..Valin.Disclosure package.ry.v2" xfId="326"/>
    <cellStyle name="_Part III.200406.Loan and Liabilities details.(Site Name)_051231.CTE SH.023_061219..Valin.Disclosure package.ry.v2_1" xfId="327"/>
    <cellStyle name="_Part III.200406.Loan and Liabilities details.(Site Name)_051231.CTE SH.023_061219..Valin.Disclosure package.ry.v2_Book2" xfId="328"/>
    <cellStyle name="_Part III.200406.Loan and Liabilities details.(Site Name)_051231.CTE SH.023_070124.valin.consol.after interco elimination" xfId="329"/>
    <cellStyle name="_Part III.200406.Loan and Liabilities details.(Site Name)_051231.CTE SH.023_2006" xfId="330"/>
    <cellStyle name="_Part III.200406.Loan and Liabilities details.(Site Name)_051231.CTE SH.023_consol disclosure-final" xfId="331"/>
    <cellStyle name="_Part III.200406.Loan and Liabilities details.(Site Name)_051231.CTE SH.023_非正常性损益表" xfId="332"/>
    <cellStyle name="_Part III.200406.Loan and Liabilities details.(Site Name)_051231.CTE SH.023_连轧管.报表披露(中文）package" xfId="333"/>
    <cellStyle name="_Part III.200406.Loan and Liabilities details.(Site Name)_070124.valin.loudi.disclosure notes-other op" xfId="334"/>
    <cellStyle name="_Part III.200406.Loan and Liabilities details.(Site Name)_KPMG original version" xfId="335"/>
    <cellStyle name="_Part III.200406.Loan and Liabilities details.(Site Name)_KPMG original version_(中企华)审计评估联合申报明细表.V1" xfId="336"/>
    <cellStyle name="_Part III.200406.Loan and Liabilities details.(Site Name)_KPMG original version_附件1：审计评估联合申报明细表" xfId="337"/>
    <cellStyle name="_Part III.200406.Loan and Liabilities details.(Site Name)_Sheet1" xfId="338"/>
    <cellStyle name="_Part III.200406.Loan and Liabilities details.(Site Name)_Shenhua PBC package 050530" xfId="339"/>
    <cellStyle name="_Part III.200406.Loan and Liabilities details.(Site Name)_Shenhua PBC package 050530_(中企华)审计评估联合申报明细表.V1" xfId="340"/>
    <cellStyle name="_Part III.200406.Loan and Liabilities details.(Site Name)_Shenhua PBC package 050530_附件1：审计评估联合申报明细表" xfId="341"/>
    <cellStyle name="_Part III.200406.Loan and Liabilities details.(Site Name)_财务费用" xfId="342"/>
    <cellStyle name="_Part III.200406.Loan and Liabilities details.(Site Name)_存货" xfId="343"/>
    <cellStyle name="_Part III.200406.Loan and Liabilities details.(Site Name)_短期借款" xfId="344"/>
    <cellStyle name="_Part III.200406.Loan and Liabilities details.(Site Name)_附件1：审计评估联合申报明细表" xfId="345"/>
    <cellStyle name="_Part III.200406.Loan and Liabilities details.(Site Name)_货币资金" xfId="346"/>
    <cellStyle name="_Part III.200406.Loan and Liabilities details.(Site Name)_连轧管.报表披露(中文）2package" xfId="347"/>
    <cellStyle name="_Part III.200406.Loan and Liabilities details.(Site Name)_连轧管.报表披露(中文）package" xfId="348"/>
    <cellStyle name="_Part III.200406.Loan and Liabilities details.(Site Name)_请修改正副本华菱钢管合并国贸 报表披露 package" xfId="349"/>
    <cellStyle name="_Part III.200406.Loan and Liabilities details.(Site Name)_审计调查表.V3" xfId="350"/>
    <cellStyle name="_Part III.200406.Loan and Liabilities details.(Site Name)_销售科" xfId="351"/>
    <cellStyle name="_Part III.200406.Loan and Liabilities details.(Site Name)_一年内到期长期负债" xfId="352"/>
    <cellStyle name="_Part III.200406.Loan and Liabilities details.(Site Name)_长期借款" xfId="353"/>
    <cellStyle name="_PBC审核提示" xfId="93"/>
    <cellStyle name="_Sheet1" xfId="354"/>
    <cellStyle name="_Sheet3" xfId="355"/>
    <cellStyle name="_Sheet5" xfId="356"/>
    <cellStyle name="_Shenhua PBC package 050530" xfId="357"/>
    <cellStyle name="_Shenhua PBC package 050530_(中企华)审计评估联合申报明细表.V1" xfId="358"/>
    <cellStyle name="_Shenhua PBC package 050530_附件1：审计评估联合申报明细表" xfId="359"/>
    <cellStyle name="_Short Bank detail-06" xfId="360"/>
    <cellStyle name="_Tax recon.v11" xfId="361"/>
    <cellStyle name="_Tax recon.v11_连轧管.报表披露(中文）package" xfId="362"/>
    <cellStyle name="_宝丽华房地产20051231" xfId="94"/>
    <cellStyle name="_保证金-企业填写部分" xfId="95"/>
    <cellStyle name="_北新房屋2004年审-刘" xfId="96"/>
    <cellStyle name="_北新股份2005年审工作底稿" xfId="97"/>
    <cellStyle name="_北新建材关连交易基础表051230（10－12月版）更新稿" xfId="98"/>
    <cellStyle name="_北新建材-会计报表附注模版" xfId="99"/>
    <cellStyle name="_北新龙之星2004年审工作底稿" xfId="100"/>
    <cellStyle name="_北新物流2005底稿-刘" xfId="101"/>
    <cellStyle name="_北新置换memo" xfId="102"/>
    <cellStyle name="_变动" xfId="363"/>
    <cellStyle name="_变动_070124.valin.loudi.disclosure notes-other op" xfId="364"/>
    <cellStyle name="_变动_Sheet1" xfId="365"/>
    <cellStyle name="_变动_财务费用" xfId="366"/>
    <cellStyle name="_变动_存货" xfId="367"/>
    <cellStyle name="_变动_短期借款" xfId="368"/>
    <cellStyle name="_变动_货币资金" xfId="369"/>
    <cellStyle name="_变动_连轧管.报表披露(中文）2package" xfId="370"/>
    <cellStyle name="_变动_连轧管.报表披露(中文）package" xfId="371"/>
    <cellStyle name="_变动_请修改正副本华菱钢管合并国贸 报表披露 package" xfId="372"/>
    <cellStyle name="_变动_一年内到期长期负债" xfId="373"/>
    <cellStyle name="_变动_长期借款" xfId="374"/>
    <cellStyle name="_补充表格" xfId="375"/>
    <cellStyle name="_财务公司" xfId="376"/>
    <cellStyle name="_存货结转测试" xfId="103"/>
    <cellStyle name="_存货数量与明细05.12" xfId="104"/>
    <cellStyle name="_动力厂2004年审工作底稿-刘" xfId="105"/>
    <cellStyle name="_分工" xfId="106"/>
    <cellStyle name="_负债、所有者权益类工作底稿" xfId="377"/>
    <cellStyle name="_附件1：审计评估联合申报明细表" xfId="378"/>
    <cellStyle name="_副本审计资料利润表附表-衡阳钢管" xfId="379"/>
    <cellStyle name="_工程施工项目现场审计提示" xfId="107"/>
    <cellStyle name="_关联交易" xfId="108"/>
    <cellStyle name="_关联交易、往来统计表" xfId="109"/>
    <cellStyle name="_光远" xfId="380"/>
    <cellStyle name="_函证表" xfId="381"/>
    <cellStyle name="_合并" xfId="382"/>
    <cellStyle name="_合并_Advance to suppliers" xfId="383"/>
    <cellStyle name="_合并_ELLEY" xfId="384"/>
    <cellStyle name="_合并_Sheet1" xfId="385"/>
    <cellStyle name="_合并底稿.xls" xfId="386"/>
    <cellStyle name="_衡管" xfId="387"/>
    <cellStyle name="_衡管_ELLEY" xfId="388"/>
    <cellStyle name="_华菱湘钢（合并）2" xfId="389"/>
    <cellStyle name="_华菱湘钢（合并）2_Book2" xfId="390"/>
    <cellStyle name="_华菱信息" xfId="391"/>
    <cellStyle name="_会计附注2007年6月（连轧管）" xfId="392"/>
    <cellStyle name="_建造合同-宜万指（正式版）" xfId="110"/>
    <cellStyle name="_科目核对表" xfId="111"/>
    <cellStyle name="_连轧管" xfId="393"/>
    <cellStyle name="_涟钢" xfId="394"/>
    <cellStyle name="_母PL" xfId="112"/>
    <cellStyle name="_内退和退休" xfId="395"/>
    <cellStyle name="_其他应付款" xfId="396"/>
    <cellStyle name="_其他应交款" xfId="397"/>
    <cellStyle name="_人员分工备忘录" xfId="113"/>
    <cellStyle name="_审计调查表.V3" xfId="398"/>
    <cellStyle name="_审计所需资料清单－子公司" xfId="114"/>
    <cellStyle name="_审计资料利润表附表" xfId="399"/>
    <cellStyle name="_审计资料利润表附表_070124.valin.loudi.disclosure notes-other op" xfId="400"/>
    <cellStyle name="_审计资料利润表附表_Sheet1" xfId="401"/>
    <cellStyle name="_审计资料利润表附表_财务费用" xfId="402"/>
    <cellStyle name="_审计资料利润表附表_存货" xfId="403"/>
    <cellStyle name="_审计资料利润表附表_短期借款" xfId="404"/>
    <cellStyle name="_审计资料利润表附表_货币资金" xfId="405"/>
    <cellStyle name="_审计资料利润表附表_连轧管.报表披露(中文）2package" xfId="406"/>
    <cellStyle name="_审计资料利润表附表_连轧管.报表披露(中文）package" xfId="407"/>
    <cellStyle name="_审计资料利润表附表_请修改正副本华菱钢管合并国贸 报表披露 package" xfId="408"/>
    <cellStyle name="_审计资料利润表附表_一年内到期长期负债" xfId="409"/>
    <cellStyle name="_审计资料利润表附表_长期借款" xfId="410"/>
    <cellStyle name="_实际可能支付的税款" xfId="411"/>
    <cellStyle name="_实际可能支付的税款_连轧管.报表披露(中文）package" xfId="412"/>
    <cellStyle name="_现金流量类" xfId="413"/>
    <cellStyle name="_湘钢" xfId="414"/>
    <cellStyle name="_一公司建造合同前5名" xfId="115"/>
    <cellStyle name="_一公司－刘丰收" xfId="116"/>
    <cellStyle name="_应交税金2005disclosure" xfId="415"/>
    <cellStyle name="_应交税金2005disclosure_连轧管.报表披露(中文）package" xfId="416"/>
    <cellStyle name="_预收账款" xfId="417"/>
    <cellStyle name="_长期借款－江阴" xfId="117"/>
    <cellStyle name="_资产负债表-注册资本12.27" xfId="418"/>
    <cellStyle name="_子公司审计提示模版-Liufs" xfId="118"/>
    <cellStyle name="_总部" xfId="419"/>
    <cellStyle name="{Comma [0]}" xfId="3"/>
    <cellStyle name="{Comma}" xfId="4"/>
    <cellStyle name="{Date}" xfId="5"/>
    <cellStyle name="{Month}" xfId="6"/>
    <cellStyle name="{Percent}" xfId="7"/>
    <cellStyle name="{Thousand [0]}" xfId="8"/>
    <cellStyle name="{Thousand}" xfId="9"/>
    <cellStyle name="{Z'0000(1 dec)}" xfId="10"/>
    <cellStyle name="{Z'0000(4 dec)}" xfId="11"/>
    <cellStyle name="0%" xfId="119"/>
    <cellStyle name="0,0_x000d__x000a_NA_x000d__x000a_" xfId="12"/>
    <cellStyle name="0,0_x000d__x000a_NA_x000d__x000a_ 2" xfId="420"/>
    <cellStyle name="0.0%" xfId="120"/>
    <cellStyle name="0.00%" xfId="121"/>
    <cellStyle name="20% - Accent1" xfId="421"/>
    <cellStyle name="20% - Accent2" xfId="422"/>
    <cellStyle name="20% - Accent3" xfId="423"/>
    <cellStyle name="20% - Accent4" xfId="424"/>
    <cellStyle name="20% - Accent5" xfId="425"/>
    <cellStyle name="20% - Accent6" xfId="426"/>
    <cellStyle name="40% - Accent1" xfId="427"/>
    <cellStyle name="40% - Accent2" xfId="428"/>
    <cellStyle name="40% - Accent3" xfId="429"/>
    <cellStyle name="40% - Accent4" xfId="430"/>
    <cellStyle name="40% - Accent5" xfId="431"/>
    <cellStyle name="40% - Accent6" xfId="432"/>
    <cellStyle name="60% - Accent1" xfId="433"/>
    <cellStyle name="60% - Accent2" xfId="434"/>
    <cellStyle name="60% - Accent3" xfId="435"/>
    <cellStyle name="60% - Accent4" xfId="436"/>
    <cellStyle name="60% - Accent5" xfId="437"/>
    <cellStyle name="60% - Accent6" xfId="438"/>
    <cellStyle name="A4 Small 210 x 297 mm" xfId="439"/>
    <cellStyle name="Accent1" xfId="440"/>
    <cellStyle name="Accent2" xfId="441"/>
    <cellStyle name="Accent3" xfId="442"/>
    <cellStyle name="Accent4" xfId="443"/>
    <cellStyle name="Accent5" xfId="444"/>
    <cellStyle name="Accent6" xfId="445"/>
    <cellStyle name="Bad" xfId="446"/>
    <cellStyle name="Black" xfId="13"/>
    <cellStyle name="Body" xfId="447"/>
    <cellStyle name="Border" xfId="14"/>
    <cellStyle name="Calc Currency (0)" xfId="122"/>
    <cellStyle name="Calc Currency (2)" xfId="448"/>
    <cellStyle name="Calc Percent (0)" xfId="449"/>
    <cellStyle name="Calc Percent (1)" xfId="450"/>
    <cellStyle name="Calc Percent (2)" xfId="451"/>
    <cellStyle name="Calc Units (0)" xfId="452"/>
    <cellStyle name="Calc Units (1)" xfId="453"/>
    <cellStyle name="Calc Units (2)" xfId="454"/>
    <cellStyle name="Calculation" xfId="455"/>
    <cellStyle name="category" xfId="456"/>
    <cellStyle name="Change A&amp;ll" xfId="457"/>
    <cellStyle name="Check Cell" xfId="458"/>
    <cellStyle name="Col Heads" xfId="123"/>
    <cellStyle name="Column Headings" xfId="459"/>
    <cellStyle name="Column$Headings" xfId="460"/>
    <cellStyle name="Column_Title" xfId="124"/>
    <cellStyle name="Comma  - Style1" xfId="125"/>
    <cellStyle name="Comma  - Style2" xfId="126"/>
    <cellStyle name="Comma  - Style3" xfId="127"/>
    <cellStyle name="Comma  - Style4" xfId="128"/>
    <cellStyle name="Comma  - Style5" xfId="129"/>
    <cellStyle name="Comma  - Style6" xfId="130"/>
    <cellStyle name="Comma  - Style7" xfId="131"/>
    <cellStyle name="Comma  - Style8" xfId="132"/>
    <cellStyle name="Comma [0]_ rislugp" xfId="133"/>
    <cellStyle name="Comma [00]" xfId="461"/>
    <cellStyle name="Comma 28" xfId="462"/>
    <cellStyle name="comma zerodec" xfId="463"/>
    <cellStyle name="Comma,0" xfId="134"/>
    <cellStyle name="Comma,1" xfId="135"/>
    <cellStyle name="Comma,2" xfId="136"/>
    <cellStyle name="Comma_ rislugp" xfId="137"/>
    <cellStyle name="comma-d" xfId="464"/>
    <cellStyle name="Currency [0]_ rislugp" xfId="138"/>
    <cellStyle name="Currency [00]" xfId="465"/>
    <cellStyle name="Currency,0" xfId="139"/>
    <cellStyle name="Currency,2" xfId="140"/>
    <cellStyle name="Currency_ rislugp" xfId="141"/>
    <cellStyle name="Currency1" xfId="466"/>
    <cellStyle name="Date" xfId="467"/>
    <cellStyle name="Date Short" xfId="468"/>
    <cellStyle name="Dezimal [0]_laroux" xfId="15"/>
    <cellStyle name="Dezimal_laroux" xfId="16"/>
    <cellStyle name="Dollar (zero dec)" xfId="469"/>
    <cellStyle name="e" xfId="470"/>
    <cellStyle name="Enter Currency (0)" xfId="471"/>
    <cellStyle name="Enter Currency (2)" xfId="472"/>
    <cellStyle name="Enter Units (0)" xfId="473"/>
    <cellStyle name="Enter Units (1)" xfId="474"/>
    <cellStyle name="Enter Units (2)" xfId="475"/>
    <cellStyle name="entry" xfId="142"/>
    <cellStyle name="entry box" xfId="143"/>
    <cellStyle name="Euro" xfId="17"/>
    <cellStyle name="Explanatory Text" xfId="476"/>
    <cellStyle name="e鯪" xfId="477"/>
    <cellStyle name="e鯪9" xfId="478"/>
    <cellStyle name="e鯪9Y" xfId="479"/>
    <cellStyle name="e鯪9Y_x000b_" xfId="480"/>
    <cellStyle name="e鯪9Y_061219..Valin.Disclosure package.ry.v2" xfId="481"/>
    <cellStyle name="Fixed" xfId="482"/>
    <cellStyle name="Followed Hyperlink_AheadBehind.xls Chart 23" xfId="18"/>
    <cellStyle name="Format Number Column" xfId="483"/>
    <cellStyle name="gcd" xfId="484"/>
    <cellStyle name="Good" xfId="485"/>
    <cellStyle name="Grey" xfId="19"/>
    <cellStyle name="HEADER" xfId="486"/>
    <cellStyle name="Header1" xfId="144"/>
    <cellStyle name="Header2" xfId="145"/>
    <cellStyle name="Heading" xfId="146"/>
    <cellStyle name="Heading 1" xfId="487"/>
    <cellStyle name="Heading 2" xfId="488"/>
    <cellStyle name="Heading 3" xfId="489"/>
    <cellStyle name="Heading 4" xfId="490"/>
    <cellStyle name="HEADING1" xfId="491"/>
    <cellStyle name="HEADING2" xfId="492"/>
    <cellStyle name="Hyperlink_071231 Valin disclosure-equity" xfId="493"/>
    <cellStyle name="Input" xfId="494"/>
    <cellStyle name="Input [yellow]" xfId="20"/>
    <cellStyle name="InputArea" xfId="495"/>
    <cellStyle name="KPMG Heading 1" xfId="496"/>
    <cellStyle name="KPMG Heading 2" xfId="497"/>
    <cellStyle name="KPMG Heading 3" xfId="498"/>
    <cellStyle name="KPMG Heading 4" xfId="499"/>
    <cellStyle name="KPMG Normal" xfId="500"/>
    <cellStyle name="KPMG Normal Text" xfId="501"/>
    <cellStyle name="l]_x000d__x000a_Path=h:_x000d__x000a_Name=Diana Chang_x000d__x000a_DDEApps=nsf,nsg,nsh,ntf,ns2,ors,org_x000d__x000a_SmartIcons=Read Message_x000d__x000a__x000d__x000a__x000d__x000a_[cc:Edit" xfId="502"/>
    <cellStyle name="left" xfId="147"/>
    <cellStyle name="Lines Fill" xfId="503"/>
    <cellStyle name="Link Currency (0)" xfId="504"/>
    <cellStyle name="Link Currency (2)" xfId="505"/>
    <cellStyle name="Link Units (0)" xfId="506"/>
    <cellStyle name="Link Units (1)" xfId="507"/>
    <cellStyle name="Link Units (2)" xfId="508"/>
    <cellStyle name="Linked Cell" xfId="509"/>
    <cellStyle name="Millares [0]_laroux" xfId="148"/>
    <cellStyle name="Millares_laroux" xfId="149"/>
    <cellStyle name="Milliers [0]_laroux" xfId="21"/>
    <cellStyle name="Milliers_laroux" xfId="22"/>
    <cellStyle name="Model" xfId="510"/>
    <cellStyle name="Moeda [0]_aola" xfId="511"/>
    <cellStyle name="Moeda_aola" xfId="512"/>
    <cellStyle name="Moneda [0]_laroux" xfId="150"/>
    <cellStyle name="Moneda_laroux" xfId="151"/>
    <cellStyle name="Mon閠aire [0]_laroux" xfId="152"/>
    <cellStyle name="Mon閠aire_laroux" xfId="153"/>
    <cellStyle name="Neutral" xfId="513"/>
    <cellStyle name="no dec" xfId="154"/>
    <cellStyle name="Non défini" xfId="23"/>
    <cellStyle name="Normal - Style1" xfId="24"/>
    <cellStyle name="Normal - Style1 2" xfId="514"/>
    <cellStyle name="Normal - Style1 3" xfId="515"/>
    <cellStyle name="Normal 2" xfId="34"/>
    <cellStyle name="Normal 21" xfId="516"/>
    <cellStyle name="Normal 3 2" xfId="33"/>
    <cellStyle name="Normal_ rislugp" xfId="155"/>
    <cellStyle name="Normalny_Arkusz1" xfId="156"/>
    <cellStyle name="Note" xfId="517"/>
    <cellStyle name="Output" xfId="518"/>
    <cellStyle name="Output Amounts" xfId="519"/>
    <cellStyle name="Output Column Headings" xfId="520"/>
    <cellStyle name="Output Line Items" xfId="521"/>
    <cellStyle name="Output Report Heading" xfId="522"/>
    <cellStyle name="Output Report Title" xfId="523"/>
    <cellStyle name="Percent (0)" xfId="157"/>
    <cellStyle name="Percent [0]" xfId="524"/>
    <cellStyle name="Percent [00]" xfId="525"/>
    <cellStyle name="Percent [2]" xfId="25"/>
    <cellStyle name="Percent_PICC package Sept2002 (V120021005)1" xfId="526"/>
    <cellStyle name="Prefilled" xfId="158"/>
    <cellStyle name="PrePop Currency (0)" xfId="527"/>
    <cellStyle name="PrePop Currency (2)" xfId="528"/>
    <cellStyle name="PrePop Units (0)" xfId="529"/>
    <cellStyle name="PrePop Units (1)" xfId="530"/>
    <cellStyle name="PrePop Units (2)" xfId="531"/>
    <cellStyle name="price" xfId="159"/>
    <cellStyle name="PSDec" xfId="532"/>
    <cellStyle name="Red" xfId="26"/>
    <cellStyle name="revised" xfId="160"/>
    <cellStyle name="row_def_array" xfId="594"/>
    <cellStyle name="section" xfId="161"/>
    <cellStyle name="Separador de milhares [0]_Person" xfId="533"/>
    <cellStyle name="Separador de milhares_Person" xfId="534"/>
    <cellStyle name="Sheet Head" xfId="535"/>
    <cellStyle name="SOR" xfId="536"/>
    <cellStyle name="style" xfId="162"/>
    <cellStyle name="style1" xfId="163"/>
    <cellStyle name="style2" xfId="164"/>
    <cellStyle name="subhead" xfId="537"/>
    <cellStyle name="t]_x000d__x000a_color schemes=默认 Windows_x000d__x000a__x000d__x000a_[color schemes]_x000d__x000a_Arizona=804000,FFFFFF,FFFFFF,0,FFFFFF,0,808040,C0C0C0,FFFFF" xfId="538"/>
    <cellStyle name="Text Indent A" xfId="539"/>
    <cellStyle name="Text Indent B" xfId="540"/>
    <cellStyle name="Text Indent C" xfId="541"/>
    <cellStyle name="Tickmark" xfId="165"/>
    <cellStyle name="title" xfId="166"/>
    <cellStyle name="Total" xfId="542"/>
    <cellStyle name="Tusental (0)_pldt" xfId="543"/>
    <cellStyle name="Tusental_pldt" xfId="544"/>
    <cellStyle name="Valuta (0)_pldt" xfId="545"/>
    <cellStyle name="Valuta_pldt" xfId="546"/>
    <cellStyle name="Warning Text" xfId="547"/>
    <cellStyle name="wrap" xfId="167"/>
    <cellStyle name="パーセント_laroux" xfId="168"/>
    <cellStyle name="_PLDT" xfId="548"/>
    <cellStyle name="_laroux" xfId="595"/>
    <cellStyle name="だ[0]_PLDT" xfId="549"/>
    <cellStyle name="だ_PLDT" xfId="550"/>
    <cellStyle name="だ[0]_Total (2)" xfId="551"/>
    <cellStyle name="だ_laroux" xfId="596"/>
    <cellStyle name="百分比 2" xfId="552"/>
    <cellStyle name="百分比 2 2" xfId="553"/>
    <cellStyle name="百分比 2 3" xfId="554"/>
    <cellStyle name="百分比 3" xfId="555"/>
    <cellStyle name="百分比 4" xfId="556"/>
    <cellStyle name="百分比 5" xfId="618"/>
    <cellStyle name="捠壿 [0.00]_PRODUCT DETAIL Q1" xfId="597"/>
    <cellStyle name="捠壿_PRODUCT DETAIL Q1" xfId="598"/>
    <cellStyle name="標準_１１月価格表" xfId="169"/>
    <cellStyle name="表头" xfId="557"/>
    <cellStyle name="表头1" xfId="558"/>
    <cellStyle name="差_StartUp" xfId="599"/>
    <cellStyle name="差_T1000-主营业务收入-LJCH" xfId="559"/>
    <cellStyle name="常规" xfId="0" builtinId="0"/>
    <cellStyle name="常规 10" xfId="35"/>
    <cellStyle name="常规 10 2" xfId="36"/>
    <cellStyle name="常规 10 3" xfId="37"/>
    <cellStyle name="常规 10 4" xfId="38"/>
    <cellStyle name="常规 11" xfId="84"/>
    <cellStyle name="常规 11 2" xfId="39"/>
    <cellStyle name="常规 11 3" xfId="40"/>
    <cellStyle name="常规 11 4" xfId="41"/>
    <cellStyle name="常规 11 5" xfId="610"/>
    <cellStyle name="常规 11 5 2" xfId="619"/>
    <cellStyle name="常规 12" xfId="614"/>
    <cellStyle name="常规 12 2" xfId="42"/>
    <cellStyle name="常规 12 3" xfId="43"/>
    <cellStyle name="常规 12 4" xfId="44"/>
    <cellStyle name="常规 12 5" xfId="620"/>
    <cellStyle name="常规 13" xfId="616"/>
    <cellStyle name="常规 13 2" xfId="45"/>
    <cellStyle name="常规 13 3" xfId="46"/>
    <cellStyle name="常规 13 4" xfId="47"/>
    <cellStyle name="常规 14" xfId="560"/>
    <cellStyle name="常规 14 2" xfId="561"/>
    <cellStyle name="常规 2" xfId="27"/>
    <cellStyle name="常规 2 2" xfId="48"/>
    <cellStyle name="常规 2 2 2" xfId="562"/>
    <cellStyle name="常规 2 2 2 2" xfId="563"/>
    <cellStyle name="常规 2 2 3" xfId="611"/>
    <cellStyle name="常规 2 3" xfId="49"/>
    <cellStyle name="常规 2 4" xfId="50"/>
    <cellStyle name="常规 2 4 2" xfId="564"/>
    <cellStyle name="常规 2 5" xfId="51"/>
    <cellStyle name="常规 2 6" xfId="52"/>
    <cellStyle name="常规 2 7" xfId="187"/>
    <cellStyle name="常规 2 8" xfId="609"/>
    <cellStyle name="常规 2 9" xfId="613"/>
    <cellStyle name="常规 2_经销商信息-1-原始表" xfId="53"/>
    <cellStyle name="常规 3" xfId="54"/>
    <cellStyle name="常规 3 2" xfId="55"/>
    <cellStyle name="常规 3 2 2" xfId="565"/>
    <cellStyle name="常规 3 3" xfId="56"/>
    <cellStyle name="常规 3 4" xfId="57"/>
    <cellStyle name="常规 3 5" xfId="85"/>
    <cellStyle name="常规 3_ZI存货" xfId="621"/>
    <cellStyle name="常规 4" xfId="58"/>
    <cellStyle name="常规 4 2" xfId="59"/>
    <cellStyle name="常规 4 3" xfId="60"/>
    <cellStyle name="常规 4 4" xfId="61"/>
    <cellStyle name="常规 5" xfId="62"/>
    <cellStyle name="常规 5 2" xfId="63"/>
    <cellStyle name="常规 5 3" xfId="64"/>
    <cellStyle name="常规 5 4" xfId="65"/>
    <cellStyle name="常规 6" xfId="66"/>
    <cellStyle name="常规 6 2" xfId="67"/>
    <cellStyle name="常规 6 3" xfId="68"/>
    <cellStyle name="常规 6 4" xfId="69"/>
    <cellStyle name="常规 7" xfId="70"/>
    <cellStyle name="常规 7 2" xfId="71"/>
    <cellStyle name="常规 7 3" xfId="72"/>
    <cellStyle name="常规 7 4" xfId="73"/>
    <cellStyle name="常规 8" xfId="74"/>
    <cellStyle name="常规 8 2" xfId="75"/>
    <cellStyle name="常规 8 3" xfId="76"/>
    <cellStyle name="常规 8 4" xfId="77"/>
    <cellStyle name="常规 9" xfId="78"/>
    <cellStyle name="常规 9 2" xfId="79"/>
    <cellStyle name="常规 9 3" xfId="80"/>
    <cellStyle name="常规 9 4" xfId="81"/>
    <cellStyle name="常规_Book1" xfId="28"/>
    <cellStyle name="常规_Book1 2" xfId="83"/>
    <cellStyle name="常规_制造费用" xfId="29"/>
    <cellStyle name="超级链接_B4-1审计项目工时预算与控制表(集团)" xfId="170"/>
    <cellStyle name="超链接" xfId="30" builtinId="8"/>
    <cellStyle name="超链接 2" xfId="171"/>
    <cellStyle name="超链接 2 2" xfId="172"/>
    <cellStyle name="超链接 3" xfId="566"/>
    <cellStyle name="超链接 4" xfId="567"/>
    <cellStyle name="超链接 4 2" xfId="568"/>
    <cellStyle name="分级显示列_1_Book1" xfId="569"/>
    <cellStyle name="分级显示行_1_4附件二凯旋评估表" xfId="173"/>
    <cellStyle name="公司标准表" xfId="570"/>
    <cellStyle name="好_StartUp" xfId="600"/>
    <cellStyle name="好_T1000-主营业务收入" xfId="571"/>
    <cellStyle name="桁区切り [0.00]_１１月価格表" xfId="174"/>
    <cellStyle name="桁区切り_１１月価格表" xfId="175"/>
    <cellStyle name="貨幣 [0]_SGV" xfId="572"/>
    <cellStyle name="貨幣_2004-09" xfId="573"/>
    <cellStyle name="霓付 [0]_1202" xfId="601"/>
    <cellStyle name="霓付_1202" xfId="602"/>
    <cellStyle name="烹拳 [0]_1202" xfId="603"/>
    <cellStyle name="烹拳_1202" xfId="604"/>
    <cellStyle name="砯刽 [0]_PLDT" xfId="574"/>
    <cellStyle name="砯刽_PLDT" xfId="575"/>
    <cellStyle name="普通_ 白土" xfId="176"/>
    <cellStyle name="千分位[0]_ 白土" xfId="177"/>
    <cellStyle name="千分位_ 白土" xfId="178"/>
    <cellStyle name="千位[0]_ 应交税金审定表" xfId="576"/>
    <cellStyle name="千位_ 应交税金审定表" xfId="577"/>
    <cellStyle name="千位分隔" xfId="31" builtinId="3"/>
    <cellStyle name="千位分隔 10" xfId="578"/>
    <cellStyle name="千位分隔 11" xfId="579"/>
    <cellStyle name="千位分隔 12" xfId="612"/>
    <cellStyle name="千位分隔 13" xfId="617"/>
    <cellStyle name="千位分隔 2" xfId="32"/>
    <cellStyle name="千位分隔 2 2" xfId="82"/>
    <cellStyle name="千位分隔 2 3" xfId="188"/>
    <cellStyle name="千位分隔 2 4" xfId="615"/>
    <cellStyle name="千位分隔 3" xfId="580"/>
    <cellStyle name="千位分隔 4" xfId="581"/>
    <cellStyle name="千位分隔 5" xfId="582"/>
    <cellStyle name="千位分隔 6" xfId="583"/>
    <cellStyle name="千位分隔 7" xfId="584"/>
    <cellStyle name="千位分隔 8" xfId="585"/>
    <cellStyle name="千位分隔 8 2" xfId="586"/>
    <cellStyle name="千位分隔 8 3" xfId="587"/>
    <cellStyle name="千位分隔 9" xfId="588"/>
    <cellStyle name="千位分隔[0] 2" xfId="589"/>
    <cellStyle name="钎霖_(沥焊何巩)岿喊牢盔拌裙" xfId="605"/>
    <cellStyle name="隨後的超連結_Book4" xfId="590"/>
    <cellStyle name="索引" xfId="591"/>
    <cellStyle name="通貨 [0.00]_１１月価格表" xfId="179"/>
    <cellStyle name="通貨_１１月価格表" xfId="180"/>
    <cellStyle name="样式 1" xfId="181"/>
    <cellStyle name="样式 2" xfId="592"/>
    <cellStyle name="一般_BTG307" xfId="593"/>
    <cellStyle name="昗弨_BOOKSHIP" xfId="606"/>
    <cellStyle name="寘嬫愗傝 [0.00]_PRODUCT DETAIL Q1" xfId="607"/>
    <cellStyle name="寘嬫愗傝_PRODUCT DETAIL Q1" xfId="608"/>
    <cellStyle name="콤마 [0]_BOILER-CO1" xfId="182"/>
    <cellStyle name="콤마_BOILER-CO1" xfId="183"/>
    <cellStyle name="통화 [0]_BOILER-CO1" xfId="184"/>
    <cellStyle name="통화_BOILER-CO1" xfId="185"/>
    <cellStyle name="표준_0N-HANDLING " xfId="186"/>
  </cellStyles>
  <dxfs count="0"/>
  <tableStyles count="0" defaultTableStyle="TableStyleMedium9" defaultPivotStyle="PivotStyleLight16"/>
  <colors>
    <mruColors>
      <color rgb="FF0000FF"/>
      <color rgb="FF3333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7620</xdr:colOff>
          <xdr:row>8</xdr:row>
          <xdr:rowOff>30480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9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Microsoft_Word_97_-_2003___.doc"/></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election activeCell="A10" sqref="A10"/>
    </sheetView>
  </sheetViews>
  <sheetFormatPr defaultColWidth="9" defaultRowHeight="18" customHeight="1"/>
  <cols>
    <col min="1" max="1" width="78.09765625" style="4" customWidth="1"/>
    <col min="2" max="2" width="2" style="4" customWidth="1"/>
    <col min="3" max="3" width="2.09765625" style="4" customWidth="1"/>
    <col min="4" max="4" width="6.09765625" style="33" customWidth="1"/>
    <col min="5" max="5" width="46.796875" style="33" customWidth="1"/>
    <col min="6" max="6" width="11.09765625" style="117" customWidth="1"/>
    <col min="7" max="16384" width="9" style="4"/>
  </cols>
  <sheetData>
    <row r="1" spans="1:6" ht="18" customHeight="1">
      <c r="A1" s="2" t="s">
        <v>20</v>
      </c>
      <c r="D1" s="3" t="s">
        <v>22</v>
      </c>
      <c r="E1" s="3" t="s">
        <v>52</v>
      </c>
      <c r="F1" s="64" t="s">
        <v>74</v>
      </c>
    </row>
    <row r="2" spans="1:6" ht="18" customHeight="1">
      <c r="A2" s="1" t="s">
        <v>231</v>
      </c>
      <c r="B2" s="34"/>
      <c r="C2" s="34"/>
      <c r="D2" s="61">
        <v>1</v>
      </c>
      <c r="E2" s="62" t="s">
        <v>87</v>
      </c>
      <c r="F2" s="116" t="s">
        <v>190</v>
      </c>
    </row>
    <row r="3" spans="1:6" ht="18" customHeight="1">
      <c r="A3" s="1" t="s">
        <v>239</v>
      </c>
      <c r="B3" s="34"/>
      <c r="C3" s="34"/>
      <c r="D3" s="61">
        <v>2</v>
      </c>
      <c r="E3" s="62" t="s">
        <v>90</v>
      </c>
      <c r="F3" s="116" t="s">
        <v>192</v>
      </c>
    </row>
    <row r="4" spans="1:6" ht="18" customHeight="1">
      <c r="A4" s="63" t="s">
        <v>232</v>
      </c>
      <c r="B4" s="34"/>
      <c r="C4" s="34"/>
      <c r="D4" s="61">
        <v>3</v>
      </c>
      <c r="E4" s="62" t="s">
        <v>89</v>
      </c>
      <c r="F4" s="116" t="s">
        <v>191</v>
      </c>
    </row>
    <row r="5" spans="1:6" ht="18" customHeight="1">
      <c r="A5" s="63" t="s">
        <v>233</v>
      </c>
      <c r="B5" s="35"/>
      <c r="C5" s="35"/>
      <c r="D5" s="61">
        <v>4</v>
      </c>
      <c r="E5" s="62" t="s">
        <v>88</v>
      </c>
      <c r="F5" s="116" t="s">
        <v>207</v>
      </c>
    </row>
    <row r="6" spans="1:6" ht="18" customHeight="1">
      <c r="A6" s="63" t="s">
        <v>234</v>
      </c>
      <c r="D6" s="61">
        <v>5</v>
      </c>
      <c r="E6" s="62" t="s">
        <v>196</v>
      </c>
      <c r="F6" s="116" t="s">
        <v>208</v>
      </c>
    </row>
    <row r="7" spans="1:6" ht="18" customHeight="1">
      <c r="A7" s="63" t="s">
        <v>235</v>
      </c>
      <c r="D7" s="61">
        <v>6</v>
      </c>
      <c r="E7" s="62" t="s">
        <v>238</v>
      </c>
      <c r="F7" s="116" t="s">
        <v>209</v>
      </c>
    </row>
    <row r="8" spans="1:6" ht="18" customHeight="1">
      <c r="A8" s="36"/>
      <c r="D8" s="61">
        <v>7</v>
      </c>
      <c r="E8" s="62" t="s">
        <v>198</v>
      </c>
      <c r="F8" s="116" t="s">
        <v>210</v>
      </c>
    </row>
    <row r="9" spans="1:6" ht="19.5" customHeight="1">
      <c r="A9" s="37"/>
    </row>
    <row r="10" spans="1:6" ht="19.5" customHeight="1">
      <c r="A10" s="38"/>
    </row>
    <row r="11" spans="1:6" ht="19.5" customHeight="1">
      <c r="A11" s="38"/>
    </row>
    <row r="12" spans="1:6" ht="19.5" customHeight="1">
      <c r="A12" s="36"/>
    </row>
    <row r="13" spans="1:6" ht="50.25" customHeight="1">
      <c r="A13" s="39"/>
    </row>
    <row r="14" spans="1:6" ht="19.5" customHeight="1">
      <c r="A14" s="36"/>
    </row>
    <row r="15" spans="1:6" ht="19.5" customHeight="1">
      <c r="A15" s="36"/>
    </row>
    <row r="16" spans="1:6" ht="19.5" customHeight="1">
      <c r="A16" s="36"/>
    </row>
    <row r="17" spans="1:1" ht="17.25" customHeight="1">
      <c r="A17" s="37"/>
    </row>
    <row r="18" spans="1:1" ht="19.5" customHeight="1">
      <c r="A18" s="40"/>
    </row>
    <row r="19" spans="1:1" ht="19.5" customHeight="1"/>
  </sheetData>
  <phoneticPr fontId="15" type="noConversion"/>
  <hyperlinks>
    <hyperlink ref="E4" location="'监盘计划F2-22'!A1" display="存货监盘计划"/>
    <hyperlink ref="E3" location="'盘点计划问卷F2-21'!A1" display="存货盘点计划问卷"/>
    <hyperlink ref="E5" location="'监盘小结F2-23'!A1" display="存货监盘小结"/>
    <hyperlink ref="E2" location="'存货监盘程序表F2-21A'!A1" display="存货监盘程序表"/>
    <hyperlink ref="E6" location="'存货账面余额与仓储台账（ERP业务数据)核对记录F2-24'!A1" display="存货账面余额与仓储台账（ERP业务数据)核对记录"/>
    <hyperlink ref="E7" location="'抽盘结果汇总表F2-25'!A1" display="存货抽盘结果汇总表"/>
    <hyperlink ref="E8" location="'盘点倒轧表F2-26'!A1" display="存货盘点倒轧表"/>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36</v>
      </c>
      <c r="B1" t="s">
        <v>37</v>
      </c>
    </row>
    <row r="2" spans="1:2">
      <c r="A2" t="s">
        <v>38</v>
      </c>
      <c r="B2" t="s">
        <v>39</v>
      </c>
    </row>
    <row r="3" spans="1:2">
      <c r="A3" t="s">
        <v>40</v>
      </c>
      <c r="B3" t="s">
        <v>41</v>
      </c>
    </row>
    <row r="4" spans="1:2">
      <c r="A4" t="s">
        <v>42</v>
      </c>
      <c r="B4" t="s">
        <v>43</v>
      </c>
    </row>
    <row r="5" spans="1:2">
      <c r="A5" t="s">
        <v>44</v>
      </c>
      <c r="B5" t="s">
        <v>45</v>
      </c>
    </row>
    <row r="6" spans="1:2">
      <c r="A6" t="s">
        <v>46</v>
      </c>
      <c r="B6" t="s">
        <v>47</v>
      </c>
    </row>
    <row r="7" spans="1:2">
      <c r="A7" t="s">
        <v>48</v>
      </c>
      <c r="B7" t="s">
        <v>49</v>
      </c>
    </row>
    <row r="8" spans="1:2">
      <c r="A8" t="s">
        <v>50</v>
      </c>
      <c r="B8" t="s">
        <v>51</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G38"/>
  <sheetViews>
    <sheetView view="pageBreakPreview" zoomScaleSheetLayoutView="100" workbookViewId="0">
      <selection sqref="A1:F1"/>
    </sheetView>
  </sheetViews>
  <sheetFormatPr defaultColWidth="9" defaultRowHeight="13.8"/>
  <cols>
    <col min="1" max="1" width="4.69921875" style="51" customWidth="1"/>
    <col min="2" max="2" width="49.69921875" style="51" customWidth="1"/>
    <col min="3" max="3" width="28.3984375" style="51" customWidth="1"/>
    <col min="4" max="4" width="15.69921875" style="51" customWidth="1"/>
    <col min="5" max="5" width="6.5" style="52" customWidth="1"/>
    <col min="6" max="6" width="5.69921875" style="51" customWidth="1"/>
    <col min="7" max="16384" width="9" style="51"/>
  </cols>
  <sheetData>
    <row r="1" spans="1:7" ht="19.95" customHeight="1">
      <c r="A1" s="130" t="s">
        <v>85</v>
      </c>
      <c r="B1" s="131"/>
      <c r="C1" s="131"/>
      <c r="D1" s="131"/>
      <c r="E1" s="131"/>
      <c r="F1" s="131"/>
    </row>
    <row r="2" spans="1:7" ht="19.95" customHeight="1">
      <c r="A2" s="132" t="s">
        <v>184</v>
      </c>
      <c r="B2" s="132"/>
      <c r="C2" s="132"/>
      <c r="D2" s="132"/>
      <c r="E2" s="132"/>
      <c r="F2" s="132"/>
    </row>
    <row r="3" spans="1:7" ht="19.95" customHeight="1">
      <c r="A3" s="54" t="str">
        <f>底稿目录!A2</f>
        <v>被审计单位：</v>
      </c>
      <c r="B3" s="54"/>
      <c r="C3" s="31" t="str">
        <f>底稿目录!A4</f>
        <v>编制人：</v>
      </c>
      <c r="D3" s="73" t="str">
        <f>底稿目录!A5</f>
        <v>编制日期：</v>
      </c>
      <c r="E3" s="54" t="s">
        <v>35</v>
      </c>
      <c r="F3" s="115" t="str">
        <f>底稿目录!F2</f>
        <v>F2-21A</v>
      </c>
    </row>
    <row r="4" spans="1:7" ht="19.95" customHeight="1">
      <c r="A4" s="54" t="str">
        <f>底稿目录!A3</f>
        <v>截止日：202X年12月31日</v>
      </c>
      <c r="B4" s="54"/>
      <c r="C4" s="30" t="str">
        <f>底稿目录!A6</f>
        <v>复核人：</v>
      </c>
      <c r="D4" s="73" t="str">
        <f>底稿目录!A7</f>
        <v>复核日期：</v>
      </c>
      <c r="E4" s="54" t="s">
        <v>86</v>
      </c>
    </row>
    <row r="5" spans="1:7" s="52" customFormat="1" ht="19.95" customHeight="1">
      <c r="A5" s="102" t="s">
        <v>128</v>
      </c>
      <c r="B5" s="134" t="s">
        <v>71</v>
      </c>
      <c r="C5" s="134"/>
      <c r="D5" s="103" t="s">
        <v>141</v>
      </c>
      <c r="E5" s="133" t="s">
        <v>146</v>
      </c>
      <c r="F5" s="133"/>
      <c r="G5" s="114" t="s">
        <v>237</v>
      </c>
    </row>
    <row r="6" spans="1:7" ht="46.8" customHeight="1">
      <c r="A6" s="72" t="s">
        <v>137</v>
      </c>
      <c r="B6" s="135" t="s">
        <v>125</v>
      </c>
      <c r="C6" s="135"/>
      <c r="D6" s="74" t="s">
        <v>142</v>
      </c>
      <c r="E6" s="137"/>
      <c r="F6" s="137"/>
    </row>
    <row r="7" spans="1:7" ht="27" customHeight="1">
      <c r="A7" s="72" t="s">
        <v>138</v>
      </c>
      <c r="B7" s="136" t="s">
        <v>123</v>
      </c>
      <c r="C7" s="136"/>
      <c r="D7" s="74" t="s">
        <v>142</v>
      </c>
      <c r="E7" s="137" t="s">
        <v>220</v>
      </c>
      <c r="F7" s="137"/>
    </row>
    <row r="8" spans="1:7" ht="54.6" customHeight="1">
      <c r="A8" s="70" t="s">
        <v>91</v>
      </c>
      <c r="B8" s="135" t="s">
        <v>134</v>
      </c>
      <c r="C8" s="135"/>
      <c r="D8" s="74" t="s">
        <v>142</v>
      </c>
      <c r="E8" s="137"/>
      <c r="F8" s="137"/>
    </row>
    <row r="9" spans="1:7" ht="53.4" customHeight="1">
      <c r="A9" s="70" t="s">
        <v>95</v>
      </c>
      <c r="B9" s="135" t="s">
        <v>132</v>
      </c>
      <c r="C9" s="135"/>
      <c r="D9" s="74" t="s">
        <v>142</v>
      </c>
      <c r="E9" s="137"/>
      <c r="F9" s="137"/>
    </row>
    <row r="10" spans="1:7" ht="81.599999999999994" customHeight="1">
      <c r="A10" s="70" t="s">
        <v>96</v>
      </c>
      <c r="B10" s="135" t="s">
        <v>143</v>
      </c>
      <c r="C10" s="135"/>
      <c r="D10" s="74" t="s">
        <v>142</v>
      </c>
      <c r="E10" s="137"/>
      <c r="F10" s="137"/>
    </row>
    <row r="11" spans="1:7" ht="19.95" customHeight="1">
      <c r="A11" s="70" t="s">
        <v>97</v>
      </c>
      <c r="B11" s="135" t="s">
        <v>126</v>
      </c>
      <c r="C11" s="135"/>
      <c r="D11" s="74" t="s">
        <v>142</v>
      </c>
      <c r="E11" s="137"/>
      <c r="F11" s="137"/>
      <c r="G11" s="71"/>
    </row>
    <row r="12" spans="1:7" ht="19.95" customHeight="1">
      <c r="A12" s="70" t="s">
        <v>98</v>
      </c>
      <c r="B12" s="135" t="s">
        <v>131</v>
      </c>
      <c r="C12" s="135"/>
      <c r="D12" s="74" t="s">
        <v>142</v>
      </c>
      <c r="E12" s="137"/>
      <c r="F12" s="137"/>
      <c r="G12" s="71"/>
    </row>
    <row r="13" spans="1:7" ht="19.95" customHeight="1">
      <c r="A13" s="72" t="s">
        <v>139</v>
      </c>
      <c r="B13" s="136" t="s">
        <v>109</v>
      </c>
      <c r="C13" s="136"/>
      <c r="D13" s="74" t="s">
        <v>142</v>
      </c>
      <c r="E13" s="137" t="s">
        <v>221</v>
      </c>
      <c r="F13" s="137"/>
    </row>
    <row r="14" spans="1:7" ht="42" customHeight="1">
      <c r="A14" s="70" t="s">
        <v>99</v>
      </c>
      <c r="B14" s="135" t="s">
        <v>110</v>
      </c>
      <c r="C14" s="135"/>
      <c r="D14" s="74" t="s">
        <v>142</v>
      </c>
      <c r="E14" s="137"/>
      <c r="F14" s="137"/>
    </row>
    <row r="15" spans="1:7" ht="31.8" customHeight="1">
      <c r="A15" s="70" t="s">
        <v>100</v>
      </c>
      <c r="B15" s="135" t="s">
        <v>111</v>
      </c>
      <c r="C15" s="135"/>
      <c r="D15" s="74" t="s">
        <v>142</v>
      </c>
      <c r="E15" s="137"/>
      <c r="F15" s="137"/>
    </row>
    <row r="16" spans="1:7" ht="49.8" customHeight="1">
      <c r="A16" s="70" t="s">
        <v>96</v>
      </c>
      <c r="B16" s="138" t="s">
        <v>136</v>
      </c>
      <c r="C16" s="138"/>
      <c r="D16" s="74" t="s">
        <v>142</v>
      </c>
      <c r="E16" s="137"/>
      <c r="F16" s="137"/>
    </row>
    <row r="17" spans="1:7" ht="30" customHeight="1">
      <c r="A17" s="70" t="s">
        <v>97</v>
      </c>
      <c r="B17" s="135" t="s">
        <v>124</v>
      </c>
      <c r="C17" s="135"/>
      <c r="D17" s="53" t="s">
        <v>108</v>
      </c>
      <c r="E17" s="137"/>
      <c r="F17" s="137"/>
    </row>
    <row r="18" spans="1:7" ht="30" customHeight="1">
      <c r="A18" s="70" t="s">
        <v>98</v>
      </c>
      <c r="B18" s="138" t="s">
        <v>145</v>
      </c>
      <c r="C18" s="138"/>
      <c r="D18" s="129" t="s">
        <v>236</v>
      </c>
      <c r="E18" s="137"/>
      <c r="F18" s="137"/>
      <c r="G18" s="75"/>
    </row>
    <row r="19" spans="1:7" ht="30" customHeight="1">
      <c r="A19" s="72" t="s">
        <v>140</v>
      </c>
      <c r="B19" s="139" t="s">
        <v>179</v>
      </c>
      <c r="C19" s="139"/>
      <c r="D19" s="74" t="s">
        <v>142</v>
      </c>
      <c r="E19" s="137" t="s">
        <v>230</v>
      </c>
      <c r="F19" s="137"/>
    </row>
    <row r="20" spans="1:7" ht="116.4" customHeight="1">
      <c r="A20" s="70" t="s">
        <v>101</v>
      </c>
      <c r="B20" s="135" t="s">
        <v>135</v>
      </c>
      <c r="C20" s="135"/>
      <c r="D20" s="74" t="s">
        <v>142</v>
      </c>
      <c r="E20" s="137"/>
      <c r="F20" s="137"/>
      <c r="G20" s="101" t="s">
        <v>176</v>
      </c>
    </row>
    <row r="21" spans="1:7" ht="172.8" customHeight="1">
      <c r="A21" s="70" t="s">
        <v>100</v>
      </c>
      <c r="B21" s="135" t="s">
        <v>185</v>
      </c>
      <c r="C21" s="135"/>
      <c r="D21" s="74" t="s">
        <v>142</v>
      </c>
      <c r="E21" s="137"/>
      <c r="F21" s="137"/>
      <c r="G21" s="101" t="s">
        <v>176</v>
      </c>
    </row>
    <row r="22" spans="1:7" ht="26.4" customHeight="1">
      <c r="A22" s="70" t="s">
        <v>96</v>
      </c>
      <c r="B22" s="135" t="s">
        <v>112</v>
      </c>
      <c r="C22" s="135"/>
      <c r="D22" s="74" t="s">
        <v>142</v>
      </c>
      <c r="E22" s="137"/>
      <c r="F22" s="137"/>
    </row>
    <row r="23" spans="1:7" ht="21.6" customHeight="1">
      <c r="A23" s="70" t="s">
        <v>97</v>
      </c>
      <c r="B23" s="135" t="s">
        <v>127</v>
      </c>
      <c r="C23" s="135"/>
      <c r="D23" s="74" t="s">
        <v>142</v>
      </c>
      <c r="E23" s="137"/>
      <c r="F23" s="137"/>
    </row>
    <row r="24" spans="1:7" ht="39" customHeight="1">
      <c r="A24" s="70" t="s">
        <v>98</v>
      </c>
      <c r="B24" s="135" t="s">
        <v>113</v>
      </c>
      <c r="C24" s="135"/>
      <c r="D24" s="74" t="s">
        <v>142</v>
      </c>
      <c r="E24" s="137"/>
      <c r="F24" s="137"/>
      <c r="G24" s="101" t="s">
        <v>229</v>
      </c>
    </row>
    <row r="25" spans="1:7" ht="19.95" customHeight="1">
      <c r="A25" s="72" t="s">
        <v>114</v>
      </c>
      <c r="B25" s="136" t="s">
        <v>130</v>
      </c>
      <c r="C25" s="136"/>
      <c r="D25" s="74" t="s">
        <v>142</v>
      </c>
      <c r="E25" s="137" t="s">
        <v>223</v>
      </c>
      <c r="F25" s="137"/>
    </row>
    <row r="26" spans="1:7" ht="24" customHeight="1">
      <c r="A26" s="70" t="s">
        <v>193</v>
      </c>
      <c r="B26" s="138" t="s">
        <v>227</v>
      </c>
      <c r="C26" s="138"/>
      <c r="D26" s="74" t="s">
        <v>142</v>
      </c>
      <c r="E26" s="137" t="s">
        <v>228</v>
      </c>
      <c r="F26" s="137"/>
      <c r="G26" s="71"/>
    </row>
    <row r="27" spans="1:7" ht="52.2" customHeight="1">
      <c r="A27" s="70" t="s">
        <v>95</v>
      </c>
      <c r="B27" s="135" t="s">
        <v>187</v>
      </c>
      <c r="C27" s="135"/>
      <c r="D27" s="74" t="s">
        <v>142</v>
      </c>
      <c r="E27" s="137" t="s">
        <v>226</v>
      </c>
      <c r="F27" s="137"/>
    </row>
    <row r="28" spans="1:7" ht="19.95" customHeight="1">
      <c r="A28" s="70" t="s">
        <v>194</v>
      </c>
      <c r="B28" s="135" t="s">
        <v>115</v>
      </c>
      <c r="C28" s="135"/>
      <c r="D28" s="74" t="s">
        <v>142</v>
      </c>
      <c r="E28" s="137"/>
      <c r="F28" s="137"/>
    </row>
    <row r="29" spans="1:7" ht="19.95" customHeight="1">
      <c r="A29" s="70" t="s">
        <v>195</v>
      </c>
      <c r="B29" s="135" t="s">
        <v>116</v>
      </c>
      <c r="C29" s="135"/>
      <c r="D29" s="74" t="s">
        <v>144</v>
      </c>
      <c r="E29" s="137"/>
      <c r="F29" s="137"/>
    </row>
    <row r="30" spans="1:7" ht="27" customHeight="1">
      <c r="A30" s="70" t="s">
        <v>177</v>
      </c>
      <c r="B30" s="135" t="s">
        <v>117</v>
      </c>
      <c r="C30" s="135"/>
      <c r="D30" s="74" t="s">
        <v>142</v>
      </c>
      <c r="E30" s="137" t="s">
        <v>224</v>
      </c>
      <c r="F30" s="137"/>
    </row>
    <row r="31" spans="1:7" ht="35.4" customHeight="1">
      <c r="A31" s="70" t="s">
        <v>103</v>
      </c>
      <c r="B31" s="135" t="s">
        <v>129</v>
      </c>
      <c r="C31" s="135"/>
      <c r="D31" s="53" t="s">
        <v>108</v>
      </c>
      <c r="E31" s="137" t="s">
        <v>225</v>
      </c>
      <c r="F31" s="137"/>
    </row>
    <row r="32" spans="1:7" ht="40.799999999999997" customHeight="1">
      <c r="A32" s="70" t="s">
        <v>104</v>
      </c>
      <c r="B32" s="135" t="s">
        <v>178</v>
      </c>
      <c r="C32" s="135"/>
      <c r="D32" s="74" t="s">
        <v>142</v>
      </c>
      <c r="E32" s="137" t="s">
        <v>226</v>
      </c>
      <c r="F32" s="137"/>
    </row>
    <row r="33" spans="1:6" ht="19.95" customHeight="1">
      <c r="A33" s="70" t="s">
        <v>105</v>
      </c>
      <c r="B33" s="135" t="s">
        <v>133</v>
      </c>
      <c r="C33" s="135"/>
      <c r="D33" s="74" t="s">
        <v>142</v>
      </c>
      <c r="E33" s="137" t="s">
        <v>222</v>
      </c>
      <c r="F33" s="137"/>
    </row>
    <row r="34" spans="1:6" ht="19.95" customHeight="1">
      <c r="A34" s="72" t="s">
        <v>118</v>
      </c>
      <c r="B34" s="136" t="s">
        <v>119</v>
      </c>
      <c r="C34" s="136"/>
      <c r="D34" s="104"/>
      <c r="E34" s="137"/>
      <c r="F34" s="137"/>
    </row>
    <row r="35" spans="1:6" ht="40.200000000000003" customHeight="1">
      <c r="A35" s="70" t="s">
        <v>106</v>
      </c>
      <c r="B35" s="135" t="s">
        <v>120</v>
      </c>
      <c r="C35" s="135"/>
      <c r="D35" s="53" t="s">
        <v>108</v>
      </c>
      <c r="E35" s="137"/>
      <c r="F35" s="137"/>
    </row>
    <row r="36" spans="1:6" ht="21" customHeight="1">
      <c r="A36" s="70" t="s">
        <v>102</v>
      </c>
      <c r="B36" s="135" t="s">
        <v>121</v>
      </c>
      <c r="C36" s="135"/>
      <c r="D36" s="53" t="s">
        <v>108</v>
      </c>
      <c r="E36" s="137"/>
      <c r="F36" s="137"/>
    </row>
    <row r="37" spans="1:6" ht="23.4" customHeight="1">
      <c r="A37" s="70" t="s">
        <v>107</v>
      </c>
      <c r="B37" s="135" t="s">
        <v>122</v>
      </c>
      <c r="C37" s="135"/>
      <c r="D37" s="53" t="s">
        <v>108</v>
      </c>
      <c r="E37" s="137"/>
      <c r="F37" s="137"/>
    </row>
    <row r="38" spans="1:6" ht="30" customHeight="1"/>
  </sheetData>
  <mergeCells count="68">
    <mergeCell ref="E36:F36"/>
    <mergeCell ref="E37:F37"/>
    <mergeCell ref="E31:F31"/>
    <mergeCell ref="E32:F32"/>
    <mergeCell ref="E33:F33"/>
    <mergeCell ref="E34:F34"/>
    <mergeCell ref="E35:F35"/>
    <mergeCell ref="E27:F27"/>
    <mergeCell ref="E28:F28"/>
    <mergeCell ref="E29:F29"/>
    <mergeCell ref="E26:F26"/>
    <mergeCell ref="E30:F30"/>
    <mergeCell ref="E21:F21"/>
    <mergeCell ref="E22:F22"/>
    <mergeCell ref="E23:F23"/>
    <mergeCell ref="E24:F24"/>
    <mergeCell ref="E25:F25"/>
    <mergeCell ref="B35:C35"/>
    <mergeCell ref="B36:C36"/>
    <mergeCell ref="B37:C37"/>
    <mergeCell ref="E8:F8"/>
    <mergeCell ref="E9:F9"/>
    <mergeCell ref="E10:F10"/>
    <mergeCell ref="E11:F11"/>
    <mergeCell ref="E12:F12"/>
    <mergeCell ref="E13:F13"/>
    <mergeCell ref="E14:F14"/>
    <mergeCell ref="E15:F15"/>
    <mergeCell ref="E16:F16"/>
    <mergeCell ref="E17:F17"/>
    <mergeCell ref="E18:F18"/>
    <mergeCell ref="E19:F19"/>
    <mergeCell ref="E20:F20"/>
    <mergeCell ref="B30:C30"/>
    <mergeCell ref="B31:C31"/>
    <mergeCell ref="B32:C32"/>
    <mergeCell ref="B33:C33"/>
    <mergeCell ref="B34:C34"/>
    <mergeCell ref="B25:C25"/>
    <mergeCell ref="B27:C27"/>
    <mergeCell ref="B28:C28"/>
    <mergeCell ref="B29:C29"/>
    <mergeCell ref="B26:C26"/>
    <mergeCell ref="B20:C20"/>
    <mergeCell ref="B21:C21"/>
    <mergeCell ref="B22:C22"/>
    <mergeCell ref="B23:C23"/>
    <mergeCell ref="B24:C24"/>
    <mergeCell ref="B15:C15"/>
    <mergeCell ref="B16:C16"/>
    <mergeCell ref="B17:C17"/>
    <mergeCell ref="B18:C18"/>
    <mergeCell ref="B19:C19"/>
    <mergeCell ref="B10:C10"/>
    <mergeCell ref="B11:C11"/>
    <mergeCell ref="B12:C12"/>
    <mergeCell ref="B13:C13"/>
    <mergeCell ref="B14:C14"/>
    <mergeCell ref="B7:C7"/>
    <mergeCell ref="E6:F6"/>
    <mergeCell ref="E7:F7"/>
    <mergeCell ref="B8:C8"/>
    <mergeCell ref="B9:C9"/>
    <mergeCell ref="A1:F1"/>
    <mergeCell ref="A2:F2"/>
    <mergeCell ref="E5:F5"/>
    <mergeCell ref="B5:C5"/>
    <mergeCell ref="B6:C6"/>
  </mergeCells>
  <phoneticPr fontId="15" type="noConversion"/>
  <hyperlinks>
    <hyperlink ref="F3" location="底稿目录!A1" display="底稿目录!A1"/>
  </hyperlinks>
  <printOptions horizontalCentered="1"/>
  <pageMargins left="0.47244094488188981" right="0.31496062992125984" top="0.51181102362204722" bottom="0.35433070866141736" header="0.47244094488188981" footer="0.19685039370078741"/>
  <pageSetup paperSize="9" scale="70" fitToHeight="100" orientation="portrait"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60"/>
  <sheetViews>
    <sheetView view="pageBreakPreview" zoomScaleNormal="145" zoomScaleSheetLayoutView="100" workbookViewId="0">
      <selection sqref="A1:I1"/>
    </sheetView>
  </sheetViews>
  <sheetFormatPr defaultColWidth="9" defaultRowHeight="13.8"/>
  <cols>
    <col min="1" max="1" width="9" style="20"/>
    <col min="2" max="2" width="8.09765625" style="20" customWidth="1"/>
    <col min="3" max="3" width="11.296875" style="20" customWidth="1"/>
    <col min="4" max="4" width="8.5" style="20" customWidth="1"/>
    <col min="5" max="5" width="11.09765625" style="20" customWidth="1"/>
    <col min="6" max="6" width="6.59765625" style="20" customWidth="1"/>
    <col min="7" max="7" width="9" style="20"/>
    <col min="8" max="8" width="7.796875" style="20" customWidth="1"/>
    <col min="9" max="10" width="9" style="20"/>
    <col min="11" max="11" width="82.8984375" style="20" customWidth="1"/>
    <col min="12" max="16384" width="9" style="20"/>
  </cols>
  <sheetData>
    <row r="1" spans="1:11" s="50" customFormat="1" ht="20.100000000000001" customHeight="1">
      <c r="A1" s="142" t="s">
        <v>53</v>
      </c>
      <c r="B1" s="143"/>
      <c r="C1" s="143"/>
      <c r="D1" s="143"/>
      <c r="E1" s="143"/>
      <c r="F1" s="143"/>
      <c r="G1" s="143"/>
      <c r="H1" s="143"/>
      <c r="I1" s="143"/>
    </row>
    <row r="2" spans="1:11" s="49" customFormat="1" ht="25.05" customHeight="1">
      <c r="A2" s="144" t="s">
        <v>28</v>
      </c>
      <c r="B2" s="145"/>
      <c r="C2" s="145"/>
      <c r="D2" s="145"/>
      <c r="E2" s="145"/>
      <c r="F2" s="145"/>
      <c r="G2" s="145"/>
      <c r="H2" s="145"/>
      <c r="I2" s="145"/>
    </row>
    <row r="3" spans="1:11" ht="20.100000000000001" customHeight="1">
      <c r="A3" s="8" t="str">
        <f>底稿目录!A2</f>
        <v>被审计单位：</v>
      </c>
      <c r="C3" s="8"/>
      <c r="D3" s="8" t="str">
        <f>底稿目录!A4</f>
        <v>编制人：</v>
      </c>
      <c r="E3" s="21"/>
      <c r="F3" s="8" t="str">
        <f>底稿目录!A5</f>
        <v>编制日期：</v>
      </c>
      <c r="G3" s="21"/>
      <c r="H3" s="58" t="s">
        <v>21</v>
      </c>
      <c r="I3" s="115" t="str">
        <f>底稿目录!F3</f>
        <v>F2-21</v>
      </c>
    </row>
    <row r="4" spans="1:11" ht="20.100000000000001" customHeight="1">
      <c r="A4" s="8" t="str">
        <f>底稿目录!A3</f>
        <v>截止日：202X年12月31日</v>
      </c>
      <c r="C4" s="8"/>
      <c r="D4" s="15" t="str">
        <f>底稿目录!A6</f>
        <v>复核人：</v>
      </c>
      <c r="E4" s="21"/>
      <c r="F4" s="8" t="str">
        <f>底稿目录!A7</f>
        <v>复核日期：</v>
      </c>
      <c r="G4" s="21"/>
      <c r="H4" s="58" t="s">
        <v>70</v>
      </c>
      <c r="I4" s="8"/>
    </row>
    <row r="5" spans="1:11" s="59" customFormat="1" ht="72" customHeight="1">
      <c r="A5" s="146" t="s">
        <v>92</v>
      </c>
      <c r="B5" s="140"/>
      <c r="C5" s="140"/>
      <c r="D5" s="140"/>
      <c r="E5" s="140"/>
      <c r="F5" s="140"/>
      <c r="G5" s="140"/>
      <c r="H5" s="140"/>
      <c r="I5" s="140"/>
      <c r="K5" s="140" t="s">
        <v>188</v>
      </c>
    </row>
    <row r="6" spans="1:11" ht="20.100000000000001" customHeight="1">
      <c r="A6" s="147" t="s">
        <v>0</v>
      </c>
      <c r="B6" s="147"/>
      <c r="C6" s="147"/>
      <c r="D6" s="147"/>
      <c r="E6" s="147"/>
      <c r="F6" s="147"/>
      <c r="G6" s="147"/>
      <c r="H6" s="147"/>
      <c r="I6" s="147"/>
      <c r="K6" s="140"/>
    </row>
    <row r="7" spans="1:11" s="27" customFormat="1" ht="24.75" customHeight="1">
      <c r="A7" s="56" t="s">
        <v>33</v>
      </c>
      <c r="B7" s="56" t="s">
        <v>55</v>
      </c>
      <c r="C7" s="56" t="s">
        <v>56</v>
      </c>
      <c r="D7" s="56" t="s">
        <v>29</v>
      </c>
      <c r="K7" s="140"/>
    </row>
    <row r="8" spans="1:11" ht="20.100000000000001" customHeight="1">
      <c r="A8" s="23"/>
      <c r="B8" s="23"/>
      <c r="C8" s="23"/>
      <c r="D8" s="23"/>
      <c r="F8" s="148"/>
      <c r="K8" s="140"/>
    </row>
    <row r="9" spans="1:11" ht="20.100000000000001" customHeight="1">
      <c r="A9" s="23"/>
      <c r="B9" s="23"/>
      <c r="C9" s="23"/>
      <c r="D9" s="23"/>
      <c r="F9" s="148"/>
      <c r="K9" s="140"/>
    </row>
    <row r="10" spans="1:11" ht="20.100000000000001" customHeight="1">
      <c r="A10" s="23"/>
      <c r="B10" s="23"/>
      <c r="C10" s="23"/>
      <c r="D10" s="23"/>
      <c r="F10" s="148"/>
      <c r="K10" s="140"/>
    </row>
    <row r="11" spans="1:11" ht="20.100000000000001" customHeight="1">
      <c r="A11" s="147" t="s">
        <v>1</v>
      </c>
      <c r="B11" s="147"/>
      <c r="C11" s="147"/>
      <c r="D11" s="147"/>
      <c r="E11" s="147"/>
      <c r="F11" s="147"/>
      <c r="G11" s="147"/>
      <c r="H11" s="147"/>
      <c r="I11" s="147"/>
      <c r="K11" s="140" t="s">
        <v>189</v>
      </c>
    </row>
    <row r="12" spans="1:11" s="27" customFormat="1" ht="20.100000000000001" customHeight="1">
      <c r="A12" s="56" t="s">
        <v>57</v>
      </c>
      <c r="B12" s="56" t="s">
        <v>33</v>
      </c>
      <c r="C12" s="56" t="s">
        <v>58</v>
      </c>
      <c r="D12" s="56" t="s">
        <v>59</v>
      </c>
      <c r="E12" s="56" t="s">
        <v>60</v>
      </c>
      <c r="K12" s="140"/>
    </row>
    <row r="13" spans="1:11" ht="20.100000000000001" customHeight="1">
      <c r="A13" s="23"/>
      <c r="B13" s="60"/>
      <c r="C13" s="60"/>
      <c r="D13" s="60"/>
      <c r="E13" s="60"/>
      <c r="K13" s="140"/>
    </row>
    <row r="14" spans="1:11" ht="20.100000000000001" customHeight="1">
      <c r="A14" s="23"/>
      <c r="B14" s="60"/>
      <c r="C14" s="23"/>
      <c r="D14" s="23"/>
      <c r="E14" s="23"/>
      <c r="F14" s="148"/>
      <c r="H14" s="148"/>
      <c r="K14" s="140"/>
    </row>
    <row r="15" spans="1:11" ht="20.100000000000001" customHeight="1">
      <c r="A15" s="23"/>
      <c r="B15" s="60"/>
      <c r="C15" s="23"/>
      <c r="D15" s="23"/>
      <c r="E15" s="23"/>
      <c r="F15" s="148"/>
      <c r="H15" s="148"/>
      <c r="K15" s="140"/>
    </row>
    <row r="16" spans="1:11" ht="20.100000000000001" customHeight="1">
      <c r="A16" s="141" t="s">
        <v>93</v>
      </c>
      <c r="B16" s="141"/>
      <c r="C16" s="141"/>
      <c r="D16" s="141"/>
      <c r="E16" s="141"/>
      <c r="F16" s="141"/>
      <c r="G16" s="141"/>
      <c r="H16" s="141"/>
      <c r="I16" s="141"/>
      <c r="K16" s="140"/>
    </row>
    <row r="17" spans="1:9" ht="20.100000000000001" customHeight="1">
      <c r="A17" s="149"/>
      <c r="B17" s="149"/>
      <c r="C17" s="149"/>
      <c r="D17" s="149"/>
      <c r="E17" s="149"/>
      <c r="F17" s="149"/>
      <c r="G17" s="149"/>
      <c r="H17" s="149"/>
      <c r="I17" s="149"/>
    </row>
    <row r="18" spans="1:9" ht="20.100000000000001" customHeight="1">
      <c r="A18" s="141" t="s">
        <v>2</v>
      </c>
      <c r="B18" s="141"/>
      <c r="C18" s="141"/>
      <c r="D18" s="141"/>
      <c r="E18" s="141"/>
      <c r="F18" s="141"/>
      <c r="G18" s="141"/>
      <c r="H18" s="141"/>
      <c r="I18" s="141"/>
    </row>
    <row r="19" spans="1:9" ht="20.100000000000001" customHeight="1">
      <c r="A19" s="149"/>
      <c r="B19" s="149"/>
      <c r="C19" s="149"/>
      <c r="D19" s="149"/>
      <c r="E19" s="149"/>
      <c r="F19" s="149"/>
      <c r="G19" s="149"/>
      <c r="H19" s="149"/>
      <c r="I19" s="149"/>
    </row>
    <row r="20" spans="1:9" ht="20.100000000000001" customHeight="1">
      <c r="A20" s="141" t="s">
        <v>3</v>
      </c>
      <c r="B20" s="141"/>
      <c r="C20" s="141"/>
      <c r="D20" s="141"/>
      <c r="E20" s="141"/>
      <c r="F20" s="141"/>
      <c r="G20" s="141"/>
      <c r="H20" s="141"/>
      <c r="I20" s="141"/>
    </row>
    <row r="21" spans="1:9" ht="20.100000000000001" customHeight="1">
      <c r="A21" s="149"/>
      <c r="B21" s="149"/>
      <c r="C21" s="149"/>
      <c r="D21" s="149"/>
      <c r="E21" s="149"/>
      <c r="F21" s="149"/>
      <c r="G21" s="149"/>
      <c r="H21" s="149"/>
      <c r="I21" s="149"/>
    </row>
    <row r="22" spans="1:9" ht="20.100000000000001" customHeight="1">
      <c r="A22" s="141" t="s">
        <v>4</v>
      </c>
      <c r="B22" s="141"/>
      <c r="C22" s="141"/>
      <c r="D22" s="141"/>
      <c r="E22" s="141"/>
      <c r="F22" s="141"/>
      <c r="G22" s="141"/>
      <c r="H22" s="141"/>
      <c r="I22" s="141"/>
    </row>
    <row r="23" spans="1:9" ht="20.100000000000001" customHeight="1">
      <c r="A23" s="149"/>
      <c r="B23" s="149"/>
      <c r="C23" s="149"/>
      <c r="D23" s="149"/>
      <c r="E23" s="149"/>
      <c r="F23" s="149"/>
      <c r="G23" s="149"/>
      <c r="H23" s="149"/>
      <c r="I23" s="149"/>
    </row>
    <row r="24" spans="1:9" ht="20.100000000000001" customHeight="1">
      <c r="A24" s="141" t="s">
        <v>5</v>
      </c>
      <c r="B24" s="141"/>
      <c r="C24" s="141"/>
      <c r="D24" s="141"/>
      <c r="E24" s="141"/>
      <c r="F24" s="141"/>
      <c r="G24" s="141"/>
      <c r="H24" s="141"/>
      <c r="I24" s="141"/>
    </row>
    <row r="25" spans="1:9" ht="20.100000000000001" customHeight="1">
      <c r="A25" s="149"/>
      <c r="B25" s="149"/>
      <c r="C25" s="149"/>
      <c r="D25" s="149"/>
      <c r="E25" s="149"/>
      <c r="F25" s="149"/>
      <c r="G25" s="149"/>
      <c r="H25" s="149"/>
      <c r="I25" s="149"/>
    </row>
    <row r="26" spans="1:9" ht="20.100000000000001" customHeight="1">
      <c r="A26" s="141" t="s">
        <v>6</v>
      </c>
      <c r="B26" s="141"/>
      <c r="C26" s="141"/>
      <c r="D26" s="141"/>
      <c r="E26" s="141"/>
      <c r="F26" s="141"/>
      <c r="G26" s="141"/>
      <c r="H26" s="141"/>
      <c r="I26" s="141"/>
    </row>
    <row r="27" spans="1:9" ht="20.100000000000001" customHeight="1">
      <c r="A27" s="149"/>
      <c r="B27" s="149"/>
      <c r="C27" s="149"/>
      <c r="D27" s="149"/>
      <c r="E27" s="149"/>
      <c r="F27" s="149"/>
      <c r="G27" s="149"/>
      <c r="H27" s="149"/>
      <c r="I27" s="149"/>
    </row>
    <row r="28" spans="1:9" ht="20.100000000000001" customHeight="1">
      <c r="A28" s="141" t="s">
        <v>7</v>
      </c>
      <c r="B28" s="141"/>
      <c r="C28" s="141"/>
      <c r="D28" s="141"/>
      <c r="E28" s="141"/>
      <c r="F28" s="141"/>
      <c r="G28" s="141"/>
      <c r="H28" s="141"/>
      <c r="I28" s="141"/>
    </row>
    <row r="29" spans="1:9" ht="20.100000000000001" customHeight="1">
      <c r="A29" s="149"/>
      <c r="B29" s="149"/>
      <c r="C29" s="149"/>
      <c r="D29" s="149"/>
      <c r="E29" s="149"/>
      <c r="F29" s="149"/>
      <c r="G29" s="149"/>
      <c r="H29" s="149"/>
      <c r="I29" s="149"/>
    </row>
    <row r="30" spans="1:9" ht="20.100000000000001" customHeight="1">
      <c r="A30" s="141" t="s">
        <v>8</v>
      </c>
      <c r="B30" s="141"/>
      <c r="C30" s="141"/>
      <c r="D30" s="141"/>
      <c r="E30" s="141"/>
      <c r="F30" s="141"/>
      <c r="G30" s="141"/>
      <c r="H30" s="141"/>
      <c r="I30" s="141"/>
    </row>
    <row r="31" spans="1:9" ht="20.100000000000001" customHeight="1">
      <c r="A31" s="149"/>
      <c r="B31" s="149"/>
      <c r="C31" s="149"/>
      <c r="D31" s="149"/>
      <c r="E31" s="149"/>
      <c r="F31" s="149"/>
      <c r="G31" s="149"/>
      <c r="H31" s="149"/>
      <c r="I31" s="149"/>
    </row>
    <row r="32" spans="1:9" ht="20.100000000000001" customHeight="1">
      <c r="A32" s="141" t="s">
        <v>9</v>
      </c>
      <c r="B32" s="141"/>
      <c r="C32" s="141"/>
      <c r="D32" s="141"/>
      <c r="E32" s="141"/>
      <c r="F32" s="141"/>
      <c r="G32" s="141"/>
      <c r="H32" s="141"/>
      <c r="I32" s="141"/>
    </row>
    <row r="33" spans="1:9" ht="20.100000000000001" customHeight="1">
      <c r="A33" s="149"/>
      <c r="B33" s="149"/>
      <c r="C33" s="149"/>
      <c r="D33" s="149"/>
      <c r="E33" s="149"/>
      <c r="F33" s="149"/>
      <c r="G33" s="149"/>
      <c r="H33" s="149"/>
      <c r="I33" s="149"/>
    </row>
    <row r="34" spans="1:9" ht="20.100000000000001" customHeight="1">
      <c r="A34" s="141" t="s">
        <v>10</v>
      </c>
      <c r="B34" s="141"/>
      <c r="C34" s="141"/>
      <c r="D34" s="141"/>
      <c r="E34" s="141"/>
      <c r="F34" s="141"/>
      <c r="G34" s="141"/>
      <c r="H34" s="141"/>
      <c r="I34" s="141"/>
    </row>
    <row r="35" spans="1:9" ht="20.100000000000001" customHeight="1">
      <c r="A35" s="149"/>
      <c r="B35" s="149"/>
      <c r="C35" s="149"/>
      <c r="D35" s="149"/>
      <c r="E35" s="149"/>
      <c r="F35" s="149"/>
      <c r="G35" s="149"/>
      <c r="H35" s="149"/>
      <c r="I35" s="149"/>
    </row>
    <row r="36" spans="1:9" ht="20.100000000000001" customHeight="1">
      <c r="A36" s="141" t="s">
        <v>11</v>
      </c>
      <c r="B36" s="141"/>
      <c r="C36" s="141"/>
      <c r="D36" s="141"/>
      <c r="E36" s="141"/>
      <c r="F36" s="141"/>
      <c r="G36" s="141"/>
      <c r="H36" s="141"/>
      <c r="I36" s="141"/>
    </row>
    <row r="37" spans="1:9" ht="20.100000000000001" customHeight="1">
      <c r="A37" s="149"/>
      <c r="B37" s="149"/>
      <c r="C37" s="149"/>
      <c r="D37" s="149"/>
      <c r="E37" s="149"/>
      <c r="F37" s="149"/>
      <c r="G37" s="149"/>
      <c r="H37" s="149"/>
      <c r="I37" s="149"/>
    </row>
    <row r="38" spans="1:9" ht="20.100000000000001" customHeight="1">
      <c r="A38" s="141" t="s">
        <v>12</v>
      </c>
      <c r="B38" s="141"/>
      <c r="C38" s="141"/>
      <c r="D38" s="141"/>
      <c r="E38" s="141"/>
      <c r="F38" s="141"/>
      <c r="G38" s="141"/>
      <c r="H38" s="141"/>
      <c r="I38" s="141"/>
    </row>
    <row r="39" spans="1:9" ht="20.100000000000001" customHeight="1">
      <c r="A39" s="149"/>
      <c r="B39" s="149"/>
      <c r="C39" s="149"/>
      <c r="D39" s="149"/>
      <c r="E39" s="149"/>
      <c r="F39" s="149"/>
      <c r="G39" s="149"/>
      <c r="H39" s="149"/>
      <c r="I39" s="149"/>
    </row>
    <row r="40" spans="1:9" ht="20.100000000000001" customHeight="1">
      <c r="A40" s="141" t="s">
        <v>13</v>
      </c>
      <c r="B40" s="141"/>
      <c r="C40" s="141"/>
      <c r="D40" s="141"/>
      <c r="E40" s="141"/>
      <c r="F40" s="141"/>
      <c r="G40" s="141"/>
      <c r="H40" s="141"/>
      <c r="I40" s="141"/>
    </row>
    <row r="41" spans="1:9" ht="20.100000000000001" customHeight="1">
      <c r="A41" s="149"/>
      <c r="B41" s="149"/>
      <c r="C41" s="149"/>
      <c r="D41" s="149"/>
      <c r="E41" s="149"/>
      <c r="F41" s="149"/>
      <c r="G41" s="149"/>
      <c r="H41" s="149"/>
      <c r="I41" s="149"/>
    </row>
    <row r="42" spans="1:9" ht="20.100000000000001" customHeight="1">
      <c r="A42" s="141" t="s">
        <v>14</v>
      </c>
      <c r="B42" s="141"/>
      <c r="C42" s="141"/>
      <c r="D42" s="141"/>
      <c r="E42" s="141"/>
      <c r="F42" s="141"/>
      <c r="G42" s="141"/>
      <c r="H42" s="141"/>
      <c r="I42" s="141"/>
    </row>
    <row r="43" spans="1:9" ht="20.100000000000001" customHeight="1">
      <c r="A43" s="149"/>
      <c r="B43" s="149"/>
      <c r="C43" s="149"/>
      <c r="D43" s="149"/>
      <c r="E43" s="149"/>
      <c r="F43" s="149"/>
      <c r="G43" s="149"/>
      <c r="H43" s="149"/>
      <c r="I43" s="149"/>
    </row>
    <row r="44" spans="1:9" ht="20.100000000000001" customHeight="1">
      <c r="A44" s="141" t="s">
        <v>15</v>
      </c>
      <c r="B44" s="141"/>
      <c r="C44" s="141"/>
      <c r="D44" s="141"/>
      <c r="E44" s="141"/>
      <c r="F44" s="141"/>
      <c r="G44" s="141"/>
      <c r="H44" s="141"/>
      <c r="I44" s="141"/>
    </row>
    <row r="45" spans="1:9" ht="20.100000000000001" customHeight="1">
      <c r="A45" s="149"/>
      <c r="B45" s="149"/>
      <c r="C45" s="149"/>
      <c r="D45" s="149"/>
      <c r="E45" s="149"/>
      <c r="F45" s="149"/>
      <c r="G45" s="149"/>
      <c r="H45" s="149"/>
      <c r="I45" s="149"/>
    </row>
    <row r="46" spans="1:9" ht="28.5" customHeight="1">
      <c r="A46" s="141" t="s">
        <v>16</v>
      </c>
      <c r="B46" s="141"/>
      <c r="C46" s="141"/>
      <c r="D46" s="141"/>
      <c r="E46" s="141"/>
      <c r="F46" s="141"/>
      <c r="G46" s="141"/>
      <c r="H46" s="141"/>
      <c r="I46" s="141"/>
    </row>
    <row r="47" spans="1:9" ht="20.100000000000001" customHeight="1">
      <c r="A47" s="149"/>
      <c r="B47" s="149"/>
      <c r="C47" s="149"/>
      <c r="D47" s="149"/>
      <c r="E47" s="149"/>
      <c r="F47" s="149"/>
      <c r="G47" s="149"/>
      <c r="H47" s="149"/>
      <c r="I47" s="149"/>
    </row>
    <row r="48" spans="1:9" ht="20.100000000000001" customHeight="1">
      <c r="A48" s="141" t="s">
        <v>17</v>
      </c>
      <c r="B48" s="141"/>
      <c r="C48" s="141"/>
      <c r="D48" s="141"/>
      <c r="E48" s="141"/>
      <c r="F48" s="141"/>
      <c r="G48" s="141"/>
      <c r="H48" s="141"/>
      <c r="I48" s="141"/>
    </row>
    <row r="49" spans="1:9" ht="20.100000000000001" customHeight="1">
      <c r="A49" s="149"/>
      <c r="B49" s="149"/>
      <c r="C49" s="149"/>
      <c r="D49" s="149"/>
      <c r="E49" s="149"/>
      <c r="F49" s="149"/>
      <c r="G49" s="149"/>
      <c r="H49" s="149"/>
      <c r="I49" s="149"/>
    </row>
    <row r="50" spans="1:9" ht="20.100000000000001" customHeight="1">
      <c r="A50" s="141" t="s">
        <v>18</v>
      </c>
      <c r="B50" s="141"/>
      <c r="C50" s="141"/>
      <c r="D50" s="141"/>
      <c r="E50" s="141"/>
      <c r="F50" s="141"/>
      <c r="G50" s="141"/>
      <c r="H50" s="141"/>
      <c r="I50" s="141"/>
    </row>
    <row r="51" spans="1:9" ht="20.100000000000001" customHeight="1">
      <c r="A51" s="149"/>
      <c r="B51" s="149"/>
      <c r="C51" s="149"/>
      <c r="D51" s="149"/>
      <c r="E51" s="149"/>
      <c r="F51" s="149"/>
      <c r="G51" s="149"/>
      <c r="H51" s="149"/>
      <c r="I51" s="149"/>
    </row>
    <row r="52" spans="1:9" ht="20.100000000000001" customHeight="1">
      <c r="A52" s="141" t="s">
        <v>19</v>
      </c>
      <c r="B52" s="141"/>
      <c r="C52" s="141"/>
      <c r="D52" s="141"/>
      <c r="E52" s="141"/>
      <c r="F52" s="141"/>
      <c r="G52" s="141"/>
      <c r="H52" s="141"/>
      <c r="I52" s="141"/>
    </row>
    <row r="53" spans="1:9" ht="20.100000000000001" customHeight="1">
      <c r="A53" s="149"/>
      <c r="B53" s="149"/>
      <c r="C53" s="149"/>
      <c r="D53" s="149"/>
      <c r="E53" s="149"/>
      <c r="F53" s="149"/>
      <c r="G53" s="149"/>
      <c r="H53" s="149"/>
      <c r="I53" s="149"/>
    </row>
    <row r="54" spans="1:9" ht="20.100000000000001" customHeight="1">
      <c r="A54" s="141" t="s">
        <v>65</v>
      </c>
      <c r="B54" s="141"/>
      <c r="C54" s="141"/>
      <c r="D54" s="141"/>
      <c r="E54" s="141"/>
      <c r="F54" s="141"/>
      <c r="G54" s="141"/>
      <c r="H54" s="141"/>
      <c r="I54" s="141"/>
    </row>
    <row r="55" spans="1:9" ht="20.100000000000001" customHeight="1">
      <c r="A55" s="149"/>
      <c r="B55" s="149"/>
      <c r="C55" s="149"/>
      <c r="D55" s="149"/>
      <c r="E55" s="149"/>
      <c r="F55" s="149"/>
      <c r="G55" s="149"/>
      <c r="H55" s="149"/>
      <c r="I55" s="149"/>
    </row>
    <row r="56" spans="1:9" ht="20.100000000000001" customHeight="1">
      <c r="A56" s="141" t="s">
        <v>66</v>
      </c>
      <c r="B56" s="141"/>
      <c r="C56" s="141"/>
      <c r="D56" s="141"/>
      <c r="E56" s="141"/>
      <c r="F56" s="141"/>
      <c r="G56" s="141"/>
      <c r="H56" s="141"/>
      <c r="I56" s="141"/>
    </row>
    <row r="57" spans="1:9" ht="20.100000000000001" customHeight="1">
      <c r="A57" s="149"/>
      <c r="B57" s="149"/>
      <c r="C57" s="149"/>
      <c r="D57" s="149"/>
      <c r="E57" s="149"/>
      <c r="F57" s="149"/>
      <c r="G57" s="149"/>
      <c r="H57" s="149"/>
      <c r="I57" s="149"/>
    </row>
    <row r="58" spans="1:9" ht="20.100000000000001" customHeight="1">
      <c r="A58" s="141" t="s">
        <v>94</v>
      </c>
      <c r="B58" s="141"/>
      <c r="C58" s="141"/>
      <c r="D58" s="141"/>
      <c r="E58" s="141"/>
      <c r="F58" s="141"/>
      <c r="G58" s="141"/>
      <c r="H58" s="141"/>
      <c r="I58" s="141"/>
    </row>
    <row r="59" spans="1:9" ht="20.100000000000001" customHeight="1">
      <c r="A59" s="149"/>
      <c r="B59" s="149"/>
      <c r="C59" s="149"/>
      <c r="D59" s="149"/>
      <c r="E59" s="149"/>
      <c r="F59" s="149"/>
      <c r="G59" s="149"/>
      <c r="H59" s="149"/>
      <c r="I59" s="149"/>
    </row>
    <row r="60" spans="1:9">
      <c r="A60" s="55"/>
    </row>
  </sheetData>
  <mergeCells count="54">
    <mergeCell ref="A52:I52"/>
    <mergeCell ref="A41:I41"/>
    <mergeCell ref="A42:I42"/>
    <mergeCell ref="A43:I43"/>
    <mergeCell ref="A44:I44"/>
    <mergeCell ref="A45:I45"/>
    <mergeCell ref="A46:I46"/>
    <mergeCell ref="A47:I47"/>
    <mergeCell ref="A48:I48"/>
    <mergeCell ref="A49:I49"/>
    <mergeCell ref="A50:I50"/>
    <mergeCell ref="A51:I51"/>
    <mergeCell ref="A59:I59"/>
    <mergeCell ref="A53:I53"/>
    <mergeCell ref="A54:I54"/>
    <mergeCell ref="A55:I55"/>
    <mergeCell ref="A56:I56"/>
    <mergeCell ref="A57:I57"/>
    <mergeCell ref="A58:I58"/>
    <mergeCell ref="A40:I40"/>
    <mergeCell ref="A37:I37"/>
    <mergeCell ref="A38:I38"/>
    <mergeCell ref="A29:I29"/>
    <mergeCell ref="A30:I30"/>
    <mergeCell ref="A31:I31"/>
    <mergeCell ref="A32:I32"/>
    <mergeCell ref="A33:I33"/>
    <mergeCell ref="A39:I39"/>
    <mergeCell ref="A34:I34"/>
    <mergeCell ref="A35:I35"/>
    <mergeCell ref="A36:I36"/>
    <mergeCell ref="A28:I28"/>
    <mergeCell ref="A17:I17"/>
    <mergeCell ref="A18:I18"/>
    <mergeCell ref="A19:I19"/>
    <mergeCell ref="A20:I20"/>
    <mergeCell ref="A21:I21"/>
    <mergeCell ref="A22:I22"/>
    <mergeCell ref="A23:I23"/>
    <mergeCell ref="A24:I24"/>
    <mergeCell ref="A25:I25"/>
    <mergeCell ref="A26:I26"/>
    <mergeCell ref="A27:I27"/>
    <mergeCell ref="K11:K16"/>
    <mergeCell ref="A16:I16"/>
    <mergeCell ref="A1:I1"/>
    <mergeCell ref="A2:I2"/>
    <mergeCell ref="A5:I5"/>
    <mergeCell ref="A6:I6"/>
    <mergeCell ref="F8:F10"/>
    <mergeCell ref="A11:I11"/>
    <mergeCell ref="F14:F15"/>
    <mergeCell ref="H14:H15"/>
    <mergeCell ref="K5:K10"/>
  </mergeCells>
  <phoneticPr fontId="15" type="noConversion"/>
  <hyperlinks>
    <hyperlink ref="I3" location="底稿目录!A1" display="底稿目录!A1"/>
  </hyperlinks>
  <printOptions horizontalCentered="1"/>
  <pageMargins left="0.47244094488188976" right="0.31496062992125984" top="0.51181102362204722" bottom="0.39370078740157483" header="0.47244094488188976" footer="0.23622047244094488"/>
  <pageSetup paperSize="9" fitToHeight="5" orientation="portrait" blackAndWhite="1" r:id="rId1"/>
  <headerFooter alignWithMargins="0">
    <oddFooter>&amp;C&amp;P/&amp;N</oddFooter>
  </headerFooter>
  <rowBreaks count="1" manualBreakCount="1">
    <brk id="3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B6"/>
  <sheetViews>
    <sheetView showZeros="0" zoomScaleSheetLayoutView="115" workbookViewId="0">
      <selection activeCell="B3" sqref="B3"/>
    </sheetView>
  </sheetViews>
  <sheetFormatPr defaultColWidth="9" defaultRowHeight="12"/>
  <cols>
    <col min="1" max="1" width="10.19921875" style="16" customWidth="1"/>
    <col min="2" max="2" width="8.59765625" style="16" customWidth="1"/>
    <col min="3" max="3" width="3.296875" style="16" customWidth="1"/>
    <col min="4" max="4" width="6.19921875" style="16" customWidth="1"/>
    <col min="5" max="5" width="7.5" style="16" customWidth="1"/>
    <col min="6" max="6" width="12.296875" style="16" customWidth="1"/>
    <col min="7" max="9" width="4.796875" style="16" customWidth="1"/>
    <col min="10" max="10" width="12.09765625" style="16" customWidth="1"/>
    <col min="11" max="11" width="8.19921875" style="16" customWidth="1"/>
    <col min="12" max="12" width="6.59765625" style="16" customWidth="1"/>
    <col min="13" max="13" width="9.69921875" style="16" customWidth="1"/>
    <col min="14" max="14" width="12.59765625" style="16" customWidth="1"/>
    <col min="15" max="16384" width="9" style="16"/>
  </cols>
  <sheetData>
    <row r="1" spans="2:2" ht="18.75" customHeight="1"/>
    <row r="2" spans="2:2" s="22" customFormat="1" ht="18.75" customHeight="1"/>
    <row r="3" spans="2:2">
      <c r="B3" s="16" t="s">
        <v>64</v>
      </c>
    </row>
    <row r="6" spans="2:2" ht="15.6">
      <c r="B6" s="76"/>
    </row>
  </sheetData>
  <phoneticPr fontId="15" type="noConversion"/>
  <printOptions horizontalCentered="1"/>
  <pageMargins left="0.4" right="0.31" top="0.4" bottom="0.39" header="0.31496062992125984" footer="0.31496062992125984"/>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B1:K3"/>
  <sheetViews>
    <sheetView showZeros="0" zoomScaleSheetLayoutView="115" workbookViewId="0">
      <selection activeCell="B1" sqref="B1"/>
    </sheetView>
  </sheetViews>
  <sheetFormatPr defaultColWidth="9" defaultRowHeight="12"/>
  <cols>
    <col min="1" max="1" width="10.19921875" style="16" customWidth="1"/>
    <col min="2" max="2" width="8.59765625" style="16" customWidth="1"/>
    <col min="3" max="3" width="3.296875" style="16" customWidth="1"/>
    <col min="4" max="4" width="6.19921875" style="16" customWidth="1"/>
    <col min="5" max="5" width="7.5" style="16" customWidth="1"/>
    <col min="6" max="6" width="12.296875" style="16" customWidth="1"/>
    <col min="7" max="9" width="4.796875" style="16" customWidth="1"/>
    <col min="10" max="10" width="12.09765625" style="28" customWidth="1"/>
    <col min="11" max="11" width="25.09765625" style="28" customWidth="1"/>
    <col min="12" max="12" width="6.59765625" style="16" customWidth="1"/>
    <col min="13" max="13" width="9.69921875" style="16" customWidth="1"/>
    <col min="14" max="14" width="12.59765625" style="16" customWidth="1"/>
    <col min="15" max="16384" width="9" style="16"/>
  </cols>
  <sheetData>
    <row r="1" spans="2:11" ht="18.75" customHeight="1"/>
    <row r="2" spans="2:11" s="22" customFormat="1" ht="18.75" customHeight="1">
      <c r="J2" s="29"/>
      <c r="K2" s="29"/>
    </row>
    <row r="3" spans="2:11">
      <c r="B3" s="16" t="s">
        <v>27</v>
      </c>
    </row>
  </sheetData>
  <phoneticPr fontId="15" type="noConversion"/>
  <printOptions horizontalCentered="1"/>
  <pageMargins left="0.4" right="0.31" top="0.4" bottom="0.39" header="0.31496062992125984" footer="0.31496062992125984"/>
  <pageSetup paperSize="9" orientation="landscape" r:id="rId1"/>
  <headerFooter alignWithMargins="0"/>
  <drawing r:id="rId2"/>
  <legacyDrawing r:id="rId3"/>
  <oleObjects>
    <mc:AlternateContent xmlns:mc="http://schemas.openxmlformats.org/markup-compatibility/2006">
      <mc:Choice Requires="x14">
        <oleObject progId="Document" dvAspect="DVASPECT_ICON" shapeId="11265" r:id="rId4">
          <objectPr defaultSize="0" r:id="rId5">
            <anchor moveWithCells="1">
              <from>
                <xdr:col>1</xdr:col>
                <xdr:colOff>0</xdr:colOff>
                <xdr:row>3</xdr:row>
                <xdr:rowOff>0</xdr:rowOff>
              </from>
              <to>
                <xdr:col>3</xdr:col>
                <xdr:colOff>7620</xdr:colOff>
                <xdr:row>8</xdr:row>
                <xdr:rowOff>30480</xdr:rowOff>
              </to>
            </anchor>
          </objectPr>
        </oleObject>
      </mc:Choice>
      <mc:Fallback>
        <oleObject progId="Document" dvAspect="DVASPECT_ICON" shapeId="11265"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view="pageBreakPreview" zoomScaleNormal="100" zoomScaleSheetLayoutView="100" workbookViewId="0">
      <selection sqref="A1:I1"/>
    </sheetView>
  </sheetViews>
  <sheetFormatPr defaultRowHeight="15.6"/>
  <cols>
    <col min="9" max="9" width="22.8984375" customWidth="1"/>
  </cols>
  <sheetData>
    <row r="1" spans="1:9" ht="21" customHeight="1">
      <c r="A1" s="150" t="s">
        <v>53</v>
      </c>
      <c r="B1" s="150"/>
      <c r="C1" s="150"/>
      <c r="D1" s="150"/>
      <c r="E1" s="150"/>
      <c r="F1" s="150"/>
      <c r="G1" s="150"/>
      <c r="H1" s="150"/>
      <c r="I1" s="150"/>
    </row>
    <row r="2" spans="1:9" ht="21" customHeight="1">
      <c r="A2" s="151" t="s">
        <v>174</v>
      </c>
      <c r="B2" s="151"/>
      <c r="C2" s="151"/>
      <c r="D2" s="151"/>
      <c r="E2" s="151"/>
      <c r="F2" s="151"/>
      <c r="G2" s="151"/>
      <c r="H2" s="151"/>
      <c r="I2" s="151"/>
    </row>
    <row r="3" spans="1:9" ht="21" customHeight="1">
      <c r="A3" s="8" t="str">
        <f>底稿目录!A2</f>
        <v>被审计单位：</v>
      </c>
      <c r="B3" s="10"/>
      <c r="C3" s="9"/>
      <c r="D3" s="8" t="str">
        <f>底稿目录!A4</f>
        <v>编制人：</v>
      </c>
      <c r="E3" s="5"/>
      <c r="F3" s="8" t="str">
        <f>底稿目录!A5</f>
        <v>编制日期：</v>
      </c>
      <c r="G3" s="48"/>
      <c r="H3" s="8" t="s">
        <v>35</v>
      </c>
      <c r="I3" s="115" t="str">
        <f>底稿目录!F6</f>
        <v>F2-24</v>
      </c>
    </row>
    <row r="4" spans="1:9" ht="21" customHeight="1">
      <c r="A4" s="8" t="str">
        <f>底稿目录!A3</f>
        <v>截止日：202X年12月31日</v>
      </c>
      <c r="B4" s="10"/>
      <c r="C4" s="9"/>
      <c r="D4" s="8" t="str">
        <f>底稿目录!A6</f>
        <v>复核人：</v>
      </c>
      <c r="E4" s="5"/>
      <c r="F4" s="8" t="str">
        <f>底稿目录!A7</f>
        <v>复核日期：</v>
      </c>
      <c r="G4" s="48"/>
      <c r="H4" s="8" t="s">
        <v>76</v>
      </c>
      <c r="I4" s="8"/>
    </row>
    <row r="5" spans="1:9" ht="21" customHeight="1">
      <c r="A5" s="19" t="s">
        <v>172</v>
      </c>
      <c r="B5" s="10"/>
      <c r="C5" s="9"/>
      <c r="D5" s="8"/>
      <c r="E5" s="5"/>
      <c r="F5" s="8"/>
      <c r="G5" s="48"/>
      <c r="H5" s="8"/>
      <c r="I5" s="8"/>
    </row>
    <row r="6" spans="1:9" ht="21" customHeight="1">
      <c r="A6" s="99" t="s">
        <v>183</v>
      </c>
      <c r="B6" s="91"/>
      <c r="C6" s="91"/>
      <c r="D6" s="91"/>
      <c r="E6" s="91"/>
      <c r="F6" s="91"/>
      <c r="G6" s="91"/>
      <c r="H6" s="91"/>
      <c r="I6" s="92"/>
    </row>
    <row r="7" spans="1:9" ht="21" customHeight="1">
      <c r="A7" s="100" t="s">
        <v>180</v>
      </c>
      <c r="B7" s="93"/>
      <c r="C7" s="93"/>
      <c r="D7" s="93"/>
      <c r="E7" s="93"/>
      <c r="F7" s="93"/>
      <c r="G7" s="93"/>
      <c r="H7" s="93"/>
      <c r="I7" s="94"/>
    </row>
    <row r="8" spans="1:9" ht="21" customHeight="1">
      <c r="A8" s="97"/>
      <c r="B8" s="93"/>
      <c r="C8" s="93"/>
      <c r="D8" s="93"/>
      <c r="E8" s="93"/>
      <c r="F8" s="93"/>
      <c r="G8" s="93"/>
      <c r="H8" s="93"/>
      <c r="I8" s="94"/>
    </row>
    <row r="9" spans="1:9" ht="21" customHeight="1">
      <c r="A9" s="97"/>
      <c r="B9" s="93"/>
      <c r="C9" s="93"/>
      <c r="D9" s="93"/>
      <c r="E9" s="93"/>
      <c r="F9" s="93"/>
      <c r="G9" s="93"/>
      <c r="H9" s="93"/>
      <c r="I9" s="94"/>
    </row>
    <row r="10" spans="1:9" ht="21" customHeight="1">
      <c r="A10" s="97"/>
      <c r="B10" s="93"/>
      <c r="C10" s="93"/>
      <c r="D10" s="93"/>
      <c r="E10" s="93"/>
      <c r="F10" s="93"/>
      <c r="G10" s="93"/>
      <c r="H10" s="93"/>
      <c r="I10" s="94"/>
    </row>
    <row r="11" spans="1:9" ht="21" customHeight="1">
      <c r="A11" s="97"/>
      <c r="B11" s="93"/>
      <c r="C11" s="93"/>
      <c r="D11" s="93"/>
      <c r="E11" s="93"/>
      <c r="F11" s="93"/>
      <c r="G11" s="93"/>
      <c r="H11" s="93"/>
      <c r="I11" s="94"/>
    </row>
    <row r="12" spans="1:9" ht="21" customHeight="1">
      <c r="A12" s="97"/>
      <c r="B12" s="93"/>
      <c r="C12" s="93"/>
      <c r="D12" s="93"/>
      <c r="E12" s="93"/>
      <c r="F12" s="93"/>
      <c r="G12" s="93"/>
      <c r="H12" s="93"/>
      <c r="I12" s="94"/>
    </row>
    <row r="13" spans="1:9" ht="21" customHeight="1">
      <c r="A13" s="98"/>
      <c r="B13" s="95"/>
      <c r="C13" s="95"/>
      <c r="D13" s="95"/>
      <c r="E13" s="95"/>
      <c r="F13" s="95"/>
      <c r="G13" s="95"/>
      <c r="H13" s="95"/>
      <c r="I13" s="96"/>
    </row>
    <row r="14" spans="1:9" ht="21" customHeight="1">
      <c r="A14" s="19" t="s">
        <v>173</v>
      </c>
    </row>
    <row r="15" spans="1:9" ht="21" customHeight="1">
      <c r="A15" s="99" t="s">
        <v>181</v>
      </c>
      <c r="B15" s="91"/>
      <c r="C15" s="91"/>
      <c r="D15" s="91"/>
      <c r="E15" s="91"/>
      <c r="F15" s="91"/>
      <c r="G15" s="91"/>
      <c r="H15" s="91"/>
      <c r="I15" s="92"/>
    </row>
    <row r="16" spans="1:9" ht="21" customHeight="1">
      <c r="A16" s="100" t="s">
        <v>182</v>
      </c>
      <c r="B16" s="93"/>
      <c r="C16" s="93"/>
      <c r="D16" s="93"/>
      <c r="E16" s="93"/>
      <c r="F16" s="93"/>
      <c r="G16" s="93"/>
      <c r="H16" s="93"/>
      <c r="I16" s="94"/>
    </row>
    <row r="17" spans="1:9" ht="21" customHeight="1">
      <c r="A17" s="97"/>
      <c r="B17" s="93"/>
      <c r="C17" s="93"/>
      <c r="D17" s="93"/>
      <c r="E17" s="93"/>
      <c r="F17" s="93"/>
      <c r="G17" s="93"/>
      <c r="H17" s="93"/>
      <c r="I17" s="94"/>
    </row>
    <row r="18" spans="1:9" ht="21" customHeight="1">
      <c r="A18" s="97"/>
      <c r="B18" s="93"/>
      <c r="C18" s="93"/>
      <c r="D18" s="93"/>
      <c r="E18" s="93"/>
      <c r="F18" s="93"/>
      <c r="G18" s="93"/>
      <c r="H18" s="93"/>
      <c r="I18" s="94"/>
    </row>
    <row r="19" spans="1:9" ht="21" customHeight="1">
      <c r="A19" s="97"/>
      <c r="B19" s="93"/>
      <c r="C19" s="93"/>
      <c r="D19" s="93"/>
      <c r="E19" s="93"/>
      <c r="F19" s="93"/>
      <c r="G19" s="93"/>
      <c r="H19" s="93"/>
      <c r="I19" s="94"/>
    </row>
    <row r="20" spans="1:9" ht="21" customHeight="1">
      <c r="A20" s="97"/>
      <c r="B20" s="93"/>
      <c r="C20" s="93"/>
      <c r="D20" s="93"/>
      <c r="E20" s="93"/>
      <c r="F20" s="93"/>
      <c r="G20" s="93"/>
      <c r="H20" s="93"/>
      <c r="I20" s="94"/>
    </row>
    <row r="21" spans="1:9" ht="21" customHeight="1">
      <c r="A21" s="97"/>
      <c r="B21" s="93"/>
      <c r="C21" s="93"/>
      <c r="D21" s="93"/>
      <c r="E21" s="93"/>
      <c r="F21" s="93"/>
      <c r="G21" s="93"/>
      <c r="H21" s="93"/>
      <c r="I21" s="94"/>
    </row>
    <row r="22" spans="1:9" ht="21" customHeight="1">
      <c r="A22" s="97"/>
      <c r="B22" s="93"/>
      <c r="C22" s="93"/>
      <c r="D22" s="93"/>
      <c r="E22" s="93"/>
      <c r="F22" s="93"/>
      <c r="G22" s="93"/>
      <c r="H22" s="93"/>
      <c r="I22" s="94"/>
    </row>
    <row r="23" spans="1:9" ht="21" customHeight="1">
      <c r="A23" s="97"/>
      <c r="B23" s="93"/>
      <c r="C23" s="93"/>
      <c r="D23" s="93"/>
      <c r="E23" s="93"/>
      <c r="F23" s="93"/>
      <c r="G23" s="93"/>
      <c r="H23" s="93"/>
      <c r="I23" s="94"/>
    </row>
    <row r="24" spans="1:9" ht="21" customHeight="1">
      <c r="A24" s="98"/>
      <c r="B24" s="95"/>
      <c r="C24" s="95"/>
      <c r="D24" s="95"/>
      <c r="E24" s="95"/>
      <c r="F24" s="95"/>
      <c r="G24" s="95"/>
      <c r="H24" s="95"/>
      <c r="I24" s="96"/>
    </row>
    <row r="25" spans="1:9" ht="21" customHeight="1">
      <c r="A25" s="46" t="s">
        <v>68</v>
      </c>
    </row>
    <row r="26" spans="1:9">
      <c r="A26" s="8"/>
    </row>
    <row r="27" spans="1:9">
      <c r="A27" s="8"/>
    </row>
    <row r="28" spans="1:9">
      <c r="A28" s="8"/>
    </row>
    <row r="29" spans="1:9">
      <c r="A29" s="41" t="s">
        <v>69</v>
      </c>
    </row>
  </sheetData>
  <mergeCells count="2">
    <mergeCell ref="A1:I1"/>
    <mergeCell ref="A2:I2"/>
  </mergeCells>
  <phoneticPr fontId="15"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85"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P57"/>
  <sheetViews>
    <sheetView showZeros="0" view="pageBreakPreview" zoomScaleNormal="115" zoomScaleSheetLayoutView="100" workbookViewId="0">
      <selection activeCell="O7" sqref="O7"/>
    </sheetView>
  </sheetViews>
  <sheetFormatPr defaultColWidth="9" defaultRowHeight="13.8"/>
  <cols>
    <col min="1" max="1" width="9.5" style="9" customWidth="1"/>
    <col min="2" max="2" width="13.09765625" style="9" customWidth="1"/>
    <col min="3" max="3" width="8.59765625" style="9" customWidth="1"/>
    <col min="4" max="4" width="5.69921875" style="9" customWidth="1"/>
    <col min="5" max="5" width="7.796875" style="9" customWidth="1"/>
    <col min="6" max="6" width="9.796875" style="9" customWidth="1"/>
    <col min="7" max="7" width="11.796875" style="9" customWidth="1"/>
    <col min="8" max="8" width="10.59765625" style="9" customWidth="1"/>
    <col min="9" max="9" width="9.19921875" style="9" customWidth="1"/>
    <col min="10" max="10" width="9.296875" style="9" customWidth="1"/>
    <col min="11" max="12" width="10.796875" style="9" customWidth="1"/>
    <col min="13" max="13" width="11.59765625" style="9" customWidth="1"/>
    <col min="14" max="16384" width="9" style="9"/>
  </cols>
  <sheetData>
    <row r="1" spans="1:16" s="12" customFormat="1" ht="19.95" customHeight="1">
      <c r="A1" s="152" t="s">
        <v>169</v>
      </c>
      <c r="B1" s="152"/>
      <c r="C1" s="152"/>
      <c r="D1" s="152"/>
      <c r="E1" s="152"/>
      <c r="F1" s="152"/>
      <c r="G1" s="152"/>
      <c r="H1" s="152"/>
      <c r="I1" s="152"/>
      <c r="J1" s="152"/>
      <c r="K1" s="152"/>
      <c r="L1" s="152"/>
      <c r="M1" s="152"/>
    </row>
    <row r="2" spans="1:16" s="6" customFormat="1" ht="19.95" customHeight="1">
      <c r="A2" s="150" t="s">
        <v>238</v>
      </c>
      <c r="B2" s="150"/>
      <c r="C2" s="150"/>
      <c r="D2" s="150"/>
      <c r="E2" s="150"/>
      <c r="F2" s="150"/>
      <c r="G2" s="150"/>
      <c r="H2" s="150"/>
      <c r="I2" s="150"/>
      <c r="J2" s="150"/>
      <c r="K2" s="150"/>
      <c r="L2" s="150"/>
      <c r="M2" s="150"/>
      <c r="N2" s="157" t="s">
        <v>241</v>
      </c>
    </row>
    <row r="3" spans="1:16" ht="19.95" customHeight="1">
      <c r="A3" s="8" t="str">
        <f>底稿目录!A2</f>
        <v>被审计单位：</v>
      </c>
      <c r="B3" s="8"/>
      <c r="C3" s="10"/>
      <c r="D3" s="8" t="str">
        <f>底稿目录!A4</f>
        <v>编制人：</v>
      </c>
      <c r="F3" s="5"/>
      <c r="H3" s="8" t="str">
        <f>底稿目录!A5</f>
        <v>编制日期：</v>
      </c>
      <c r="J3" s="15"/>
      <c r="K3" s="8"/>
      <c r="L3" s="15" t="s">
        <v>30</v>
      </c>
      <c r="M3" s="115" t="str">
        <f>底稿目录!F7</f>
        <v>F2-25</v>
      </c>
    </row>
    <row r="4" spans="1:16" ht="19.95" customHeight="1">
      <c r="A4" s="8" t="str">
        <f>底稿目录!A3</f>
        <v>截止日：202X年12月31日</v>
      </c>
      <c r="B4" s="8"/>
      <c r="C4" s="10"/>
      <c r="D4" s="15" t="str">
        <f>底稿目录!A6</f>
        <v>复核人：</v>
      </c>
      <c r="F4" s="5"/>
      <c r="H4" s="15" t="str">
        <f>底稿目录!A7</f>
        <v>复核日期：</v>
      </c>
      <c r="J4" s="15"/>
      <c r="K4" s="8"/>
      <c r="L4" s="15" t="s">
        <v>62</v>
      </c>
    </row>
    <row r="5" spans="1:16" ht="19.95" customHeight="1">
      <c r="A5" s="13" t="s">
        <v>72</v>
      </c>
      <c r="B5" s="13"/>
      <c r="P5" s="25"/>
    </row>
    <row r="6" spans="1:16" ht="19.95" customHeight="1">
      <c r="A6" s="9" t="s">
        <v>212</v>
      </c>
      <c r="B6" s="45"/>
    </row>
    <row r="7" spans="1:16" ht="19.95" customHeight="1">
      <c r="A7" s="9" t="s">
        <v>213</v>
      </c>
      <c r="B7" s="45"/>
    </row>
    <row r="8" spans="1:16" ht="19.95" customHeight="1">
      <c r="A8" s="9" t="s">
        <v>214</v>
      </c>
      <c r="B8" s="45"/>
    </row>
    <row r="9" spans="1:16" ht="19.95" customHeight="1">
      <c r="A9" s="9" t="s">
        <v>215</v>
      </c>
      <c r="B9" s="45"/>
    </row>
    <row r="10" spans="1:16" ht="19.95" customHeight="1">
      <c r="A10" s="13" t="s">
        <v>73</v>
      </c>
      <c r="B10" s="13"/>
      <c r="I10" s="25"/>
      <c r="J10" s="25"/>
    </row>
    <row r="11" spans="1:16" ht="19.95" customHeight="1">
      <c r="A11" s="118" t="s">
        <v>149</v>
      </c>
      <c r="B11" s="118"/>
      <c r="C11" s="119"/>
      <c r="D11" s="119"/>
      <c r="E11" s="118"/>
      <c r="F11" s="118" t="s">
        <v>151</v>
      </c>
      <c r="G11" s="120"/>
      <c r="M11" s="26"/>
      <c r="O11" s="66"/>
    </row>
    <row r="12" spans="1:16" ht="19.95" customHeight="1">
      <c r="A12" s="118" t="s">
        <v>150</v>
      </c>
      <c r="B12" s="118"/>
      <c r="C12" s="119"/>
      <c r="D12" s="119"/>
      <c r="E12" s="118"/>
      <c r="F12" s="118" t="s">
        <v>186</v>
      </c>
      <c r="G12" s="120"/>
      <c r="M12" s="26"/>
      <c r="O12" s="66"/>
    </row>
    <row r="13" spans="1:16" ht="19.95" customHeight="1">
      <c r="A13" s="13" t="s">
        <v>154</v>
      </c>
      <c r="B13" s="13"/>
      <c r="C13" s="26"/>
      <c r="D13" s="26"/>
      <c r="E13" s="26"/>
      <c r="F13" s="25"/>
      <c r="M13" s="26"/>
      <c r="O13" s="66"/>
    </row>
    <row r="14" spans="1:16" s="121" customFormat="1" ht="19.95" customHeight="1">
      <c r="A14" s="153" t="s">
        <v>167</v>
      </c>
      <c r="B14" s="153" t="s">
        <v>67</v>
      </c>
      <c r="C14" s="153" t="s">
        <v>24</v>
      </c>
      <c r="D14" s="153" t="s">
        <v>25</v>
      </c>
      <c r="E14" s="153" t="s">
        <v>26</v>
      </c>
      <c r="F14" s="155" t="s">
        <v>23</v>
      </c>
      <c r="G14" s="156"/>
      <c r="H14" s="153" t="s">
        <v>147</v>
      </c>
      <c r="I14" s="153" t="s">
        <v>148</v>
      </c>
      <c r="J14" s="153" t="s">
        <v>152</v>
      </c>
      <c r="K14" s="153" t="s">
        <v>153</v>
      </c>
      <c r="L14" s="153" t="s">
        <v>175</v>
      </c>
      <c r="M14" s="153" t="s">
        <v>156</v>
      </c>
      <c r="O14" s="122"/>
    </row>
    <row r="15" spans="1:16" s="121" customFormat="1" ht="19.95" customHeight="1">
      <c r="A15" s="154"/>
      <c r="B15" s="154"/>
      <c r="C15" s="154"/>
      <c r="D15" s="154"/>
      <c r="E15" s="154"/>
      <c r="F15" s="68" t="s">
        <v>31</v>
      </c>
      <c r="G15" s="68" t="s">
        <v>32</v>
      </c>
      <c r="H15" s="154"/>
      <c r="I15" s="154"/>
      <c r="J15" s="154"/>
      <c r="K15" s="154"/>
      <c r="L15" s="154"/>
      <c r="M15" s="154"/>
      <c r="O15" s="123"/>
    </row>
    <row r="16" spans="1:16" ht="19.95" customHeight="1">
      <c r="A16" s="110"/>
      <c r="B16" s="111"/>
      <c r="C16" s="112"/>
      <c r="D16" s="113"/>
      <c r="E16" s="7"/>
      <c r="F16" s="7"/>
      <c r="G16" s="7"/>
      <c r="H16" s="7"/>
      <c r="I16" s="7"/>
      <c r="J16" s="83">
        <f t="shared" ref="J16:J26" si="0">I16-F16</f>
        <v>0</v>
      </c>
      <c r="K16" s="83">
        <f>I16-H16</f>
        <v>0</v>
      </c>
      <c r="L16" s="83">
        <f>H16-F16</f>
        <v>0</v>
      </c>
      <c r="M16" s="18"/>
      <c r="O16" s="67"/>
    </row>
    <row r="17" spans="1:15" ht="19.95" customHeight="1">
      <c r="A17" s="110"/>
      <c r="B17" s="111"/>
      <c r="C17" s="112"/>
      <c r="D17" s="113"/>
      <c r="E17" s="7"/>
      <c r="F17" s="7"/>
      <c r="G17" s="7"/>
      <c r="H17" s="7"/>
      <c r="I17" s="7"/>
      <c r="J17" s="83">
        <f t="shared" si="0"/>
        <v>0</v>
      </c>
      <c r="K17" s="83">
        <f t="shared" ref="K17:K26" si="1">I17-H17</f>
        <v>0</v>
      </c>
      <c r="L17" s="83">
        <f t="shared" ref="L17:L26" si="2">H17-F17</f>
        <v>0</v>
      </c>
      <c r="M17" s="18"/>
      <c r="O17" s="67"/>
    </row>
    <row r="18" spans="1:15" ht="19.95" customHeight="1">
      <c r="A18" s="110"/>
      <c r="B18" s="111"/>
      <c r="C18" s="112"/>
      <c r="D18" s="113"/>
      <c r="E18" s="7"/>
      <c r="F18" s="7"/>
      <c r="G18" s="7"/>
      <c r="H18" s="7"/>
      <c r="I18" s="7"/>
      <c r="J18" s="83">
        <f t="shared" si="0"/>
        <v>0</v>
      </c>
      <c r="K18" s="83">
        <f t="shared" si="1"/>
        <v>0</v>
      </c>
      <c r="L18" s="83">
        <f t="shared" si="2"/>
        <v>0</v>
      </c>
      <c r="M18" s="18"/>
      <c r="O18" s="67"/>
    </row>
    <row r="19" spans="1:15" ht="19.95" customHeight="1">
      <c r="A19" s="110"/>
      <c r="B19" s="111"/>
      <c r="C19" s="112"/>
      <c r="D19" s="113"/>
      <c r="E19" s="7"/>
      <c r="F19" s="7"/>
      <c r="G19" s="7"/>
      <c r="H19" s="7"/>
      <c r="I19" s="7"/>
      <c r="J19" s="83">
        <f t="shared" si="0"/>
        <v>0</v>
      </c>
      <c r="K19" s="83">
        <f t="shared" si="1"/>
        <v>0</v>
      </c>
      <c r="L19" s="83">
        <f t="shared" si="2"/>
        <v>0</v>
      </c>
      <c r="M19" s="18"/>
      <c r="O19" s="67"/>
    </row>
    <row r="20" spans="1:15" ht="19.95" customHeight="1">
      <c r="A20" s="110"/>
      <c r="B20" s="111"/>
      <c r="C20" s="112"/>
      <c r="D20" s="113"/>
      <c r="E20" s="7"/>
      <c r="F20" s="7"/>
      <c r="G20" s="7"/>
      <c r="H20" s="7"/>
      <c r="I20" s="7"/>
      <c r="J20" s="83">
        <f t="shared" si="0"/>
        <v>0</v>
      </c>
      <c r="K20" s="83">
        <f t="shared" si="1"/>
        <v>0</v>
      </c>
      <c r="L20" s="83">
        <f t="shared" si="2"/>
        <v>0</v>
      </c>
      <c r="M20" s="18"/>
      <c r="O20" s="67"/>
    </row>
    <row r="21" spans="1:15" ht="19.95" customHeight="1">
      <c r="A21" s="110"/>
      <c r="B21" s="111"/>
      <c r="C21" s="112"/>
      <c r="D21" s="113"/>
      <c r="E21" s="7"/>
      <c r="F21" s="7"/>
      <c r="G21" s="7"/>
      <c r="H21" s="7"/>
      <c r="I21" s="7"/>
      <c r="J21" s="83">
        <f t="shared" si="0"/>
        <v>0</v>
      </c>
      <c r="K21" s="83">
        <f t="shared" si="1"/>
        <v>0</v>
      </c>
      <c r="L21" s="83">
        <f t="shared" si="2"/>
        <v>0</v>
      </c>
      <c r="M21" s="18"/>
      <c r="O21" s="67"/>
    </row>
    <row r="22" spans="1:15" ht="19.95" customHeight="1">
      <c r="A22" s="110"/>
      <c r="B22" s="111"/>
      <c r="C22" s="112"/>
      <c r="D22" s="113"/>
      <c r="E22" s="7"/>
      <c r="F22" s="7"/>
      <c r="G22" s="7"/>
      <c r="H22" s="7"/>
      <c r="I22" s="7"/>
      <c r="J22" s="83">
        <f t="shared" si="0"/>
        <v>0</v>
      </c>
      <c r="K22" s="83">
        <f t="shared" si="1"/>
        <v>0</v>
      </c>
      <c r="L22" s="83">
        <f t="shared" si="2"/>
        <v>0</v>
      </c>
      <c r="M22" s="18"/>
      <c r="O22" s="67"/>
    </row>
    <row r="23" spans="1:15" ht="19.95" customHeight="1">
      <c r="A23" s="110"/>
      <c r="B23" s="111"/>
      <c r="C23" s="112"/>
      <c r="D23" s="113"/>
      <c r="E23" s="7"/>
      <c r="F23" s="7"/>
      <c r="G23" s="7"/>
      <c r="H23" s="7"/>
      <c r="I23" s="7"/>
      <c r="J23" s="83">
        <f t="shared" si="0"/>
        <v>0</v>
      </c>
      <c r="K23" s="83">
        <f t="shared" si="1"/>
        <v>0</v>
      </c>
      <c r="L23" s="83">
        <f t="shared" si="2"/>
        <v>0</v>
      </c>
      <c r="M23" s="18"/>
      <c r="O23" s="67"/>
    </row>
    <row r="24" spans="1:15" ht="19.95" customHeight="1">
      <c r="A24" s="110"/>
      <c r="B24" s="111"/>
      <c r="C24" s="112"/>
      <c r="D24" s="113"/>
      <c r="E24" s="7"/>
      <c r="F24" s="7"/>
      <c r="G24" s="7"/>
      <c r="H24" s="7"/>
      <c r="I24" s="7"/>
      <c r="J24" s="83">
        <f t="shared" si="0"/>
        <v>0</v>
      </c>
      <c r="K24" s="83">
        <f t="shared" si="1"/>
        <v>0</v>
      </c>
      <c r="L24" s="83">
        <f t="shared" si="2"/>
        <v>0</v>
      </c>
      <c r="M24" s="18"/>
      <c r="O24" s="67"/>
    </row>
    <row r="25" spans="1:15" ht="19.95" customHeight="1">
      <c r="A25" s="110"/>
      <c r="B25" s="111"/>
      <c r="C25" s="112"/>
      <c r="D25" s="113"/>
      <c r="E25" s="7"/>
      <c r="F25" s="7"/>
      <c r="G25" s="7"/>
      <c r="H25" s="7"/>
      <c r="I25" s="7"/>
      <c r="J25" s="83">
        <f>I25-F25</f>
        <v>0</v>
      </c>
      <c r="K25" s="83">
        <f t="shared" si="1"/>
        <v>0</v>
      </c>
      <c r="L25" s="83">
        <f t="shared" si="2"/>
        <v>0</v>
      </c>
      <c r="M25" s="18"/>
      <c r="O25" s="67"/>
    </row>
    <row r="26" spans="1:15" ht="19.95" customHeight="1">
      <c r="A26" s="110"/>
      <c r="B26" s="111"/>
      <c r="C26" s="112"/>
      <c r="D26" s="113"/>
      <c r="E26" s="7"/>
      <c r="F26" s="7"/>
      <c r="G26" s="7"/>
      <c r="H26" s="7"/>
      <c r="I26" s="7"/>
      <c r="J26" s="83">
        <f t="shared" si="0"/>
        <v>0</v>
      </c>
      <c r="K26" s="83">
        <f t="shared" si="1"/>
        <v>0</v>
      </c>
      <c r="L26" s="83">
        <f t="shared" si="2"/>
        <v>0</v>
      </c>
      <c r="M26" s="18"/>
      <c r="O26" s="67"/>
    </row>
    <row r="27" spans="1:15" ht="19.95" customHeight="1">
      <c r="A27" s="85" t="s">
        <v>54</v>
      </c>
      <c r="B27" s="85"/>
      <c r="C27" s="86"/>
      <c r="D27" s="87"/>
      <c r="E27" s="87"/>
      <c r="F27" s="84"/>
      <c r="G27" s="84">
        <f>SUM(G16:G26)</f>
        <v>0</v>
      </c>
      <c r="H27" s="84"/>
      <c r="I27" s="84"/>
      <c r="J27" s="84"/>
      <c r="K27" s="84"/>
      <c r="L27" s="84"/>
      <c r="M27" s="88"/>
    </row>
    <row r="28" spans="1:15" ht="19.95" customHeight="1">
      <c r="A28" s="82" t="s">
        <v>155</v>
      </c>
      <c r="B28" s="82"/>
      <c r="C28" s="77"/>
      <c r="D28" s="78"/>
      <c r="E28" s="78"/>
      <c r="F28" s="79"/>
      <c r="G28" s="80"/>
      <c r="H28" s="79"/>
      <c r="I28" s="79"/>
      <c r="J28" s="79"/>
      <c r="K28" s="80"/>
      <c r="L28" s="80"/>
      <c r="M28" s="81"/>
    </row>
    <row r="29" spans="1:15" s="124" customFormat="1" ht="19.95" customHeight="1">
      <c r="A29" s="153" t="s">
        <v>166</v>
      </c>
      <c r="B29" s="153" t="s">
        <v>67</v>
      </c>
      <c r="C29" s="153" t="s">
        <v>24</v>
      </c>
      <c r="D29" s="153" t="s">
        <v>25</v>
      </c>
      <c r="E29" s="153" t="s">
        <v>26</v>
      </c>
      <c r="F29" s="155" t="s">
        <v>23</v>
      </c>
      <c r="G29" s="156"/>
      <c r="H29" s="153" t="s">
        <v>147</v>
      </c>
      <c r="I29" s="153" t="s">
        <v>148</v>
      </c>
      <c r="J29" s="153" t="s">
        <v>152</v>
      </c>
      <c r="K29" s="153" t="s">
        <v>153</v>
      </c>
      <c r="L29" s="153" t="s">
        <v>175</v>
      </c>
      <c r="M29" s="153" t="s">
        <v>156</v>
      </c>
    </row>
    <row r="30" spans="1:15" s="124" customFormat="1" ht="19.95" customHeight="1">
      <c r="A30" s="154"/>
      <c r="B30" s="154"/>
      <c r="C30" s="154"/>
      <c r="D30" s="154"/>
      <c r="E30" s="154"/>
      <c r="F30" s="68" t="s">
        <v>31</v>
      </c>
      <c r="G30" s="68" t="s">
        <v>32</v>
      </c>
      <c r="H30" s="154"/>
      <c r="I30" s="154"/>
      <c r="J30" s="154"/>
      <c r="K30" s="154"/>
      <c r="L30" s="154"/>
      <c r="M30" s="154"/>
    </row>
    <row r="31" spans="1:15" ht="19.95" customHeight="1">
      <c r="A31" s="110"/>
      <c r="B31" s="111"/>
      <c r="C31" s="112"/>
      <c r="D31" s="113"/>
      <c r="E31" s="7"/>
      <c r="F31" s="7"/>
      <c r="G31" s="7"/>
      <c r="H31" s="7"/>
      <c r="I31" s="7"/>
      <c r="J31" s="83">
        <f t="shared" ref="J31:J41" si="3">I31-F31</f>
        <v>0</v>
      </c>
      <c r="K31" s="83">
        <f>I31-H31</f>
        <v>0</v>
      </c>
      <c r="L31" s="83">
        <f>H31-F31</f>
        <v>0</v>
      </c>
      <c r="M31" s="18"/>
      <c r="O31" s="67"/>
    </row>
    <row r="32" spans="1:15" ht="19.95" customHeight="1">
      <c r="A32" s="110"/>
      <c r="B32" s="111"/>
      <c r="C32" s="112"/>
      <c r="D32" s="113"/>
      <c r="E32" s="7"/>
      <c r="F32" s="7"/>
      <c r="G32" s="7"/>
      <c r="H32" s="7"/>
      <c r="I32" s="7"/>
      <c r="J32" s="83">
        <f t="shared" si="3"/>
        <v>0</v>
      </c>
      <c r="K32" s="83">
        <f t="shared" ref="K32:K41" si="4">I32-H32</f>
        <v>0</v>
      </c>
      <c r="L32" s="83">
        <f t="shared" ref="L32:L40" si="5">H32-F32</f>
        <v>0</v>
      </c>
      <c r="M32" s="18"/>
      <c r="O32" s="67"/>
    </row>
    <row r="33" spans="1:15" ht="19.95" customHeight="1">
      <c r="A33" s="110"/>
      <c r="B33" s="111"/>
      <c r="C33" s="112"/>
      <c r="D33" s="113"/>
      <c r="E33" s="7"/>
      <c r="F33" s="7"/>
      <c r="G33" s="7"/>
      <c r="H33" s="7"/>
      <c r="I33" s="7"/>
      <c r="J33" s="83">
        <f t="shared" si="3"/>
        <v>0</v>
      </c>
      <c r="K33" s="83">
        <f t="shared" si="4"/>
        <v>0</v>
      </c>
      <c r="L33" s="83">
        <f t="shared" si="5"/>
        <v>0</v>
      </c>
      <c r="M33" s="18"/>
      <c r="O33" s="67"/>
    </row>
    <row r="34" spans="1:15" ht="19.95" customHeight="1">
      <c r="A34" s="110"/>
      <c r="B34" s="111"/>
      <c r="C34" s="112"/>
      <c r="D34" s="113"/>
      <c r="E34" s="7"/>
      <c r="F34" s="7"/>
      <c r="G34" s="7"/>
      <c r="H34" s="7"/>
      <c r="I34" s="7"/>
      <c r="J34" s="83">
        <f t="shared" si="3"/>
        <v>0</v>
      </c>
      <c r="K34" s="83">
        <f t="shared" si="4"/>
        <v>0</v>
      </c>
      <c r="L34" s="83">
        <f t="shared" si="5"/>
        <v>0</v>
      </c>
      <c r="M34" s="18"/>
      <c r="O34" s="67"/>
    </row>
    <row r="35" spans="1:15" ht="19.95" customHeight="1">
      <c r="A35" s="110"/>
      <c r="B35" s="111"/>
      <c r="C35" s="112"/>
      <c r="D35" s="113"/>
      <c r="E35" s="7"/>
      <c r="F35" s="7"/>
      <c r="G35" s="7"/>
      <c r="H35" s="7"/>
      <c r="I35" s="7"/>
      <c r="J35" s="83">
        <f t="shared" si="3"/>
        <v>0</v>
      </c>
      <c r="K35" s="83">
        <f t="shared" si="4"/>
        <v>0</v>
      </c>
      <c r="L35" s="83">
        <f t="shared" si="5"/>
        <v>0</v>
      </c>
      <c r="M35" s="18"/>
      <c r="O35" s="67"/>
    </row>
    <row r="36" spans="1:15" ht="19.95" customHeight="1">
      <c r="A36" s="110"/>
      <c r="B36" s="111"/>
      <c r="C36" s="112"/>
      <c r="D36" s="113"/>
      <c r="E36" s="7"/>
      <c r="F36" s="7"/>
      <c r="G36" s="7"/>
      <c r="H36" s="7"/>
      <c r="I36" s="7"/>
      <c r="J36" s="83">
        <f t="shared" si="3"/>
        <v>0</v>
      </c>
      <c r="K36" s="83">
        <f t="shared" si="4"/>
        <v>0</v>
      </c>
      <c r="L36" s="83">
        <f t="shared" si="5"/>
        <v>0</v>
      </c>
      <c r="M36" s="18"/>
      <c r="O36" s="67"/>
    </row>
    <row r="37" spans="1:15" ht="19.95" customHeight="1">
      <c r="A37" s="110"/>
      <c r="B37" s="111"/>
      <c r="C37" s="112"/>
      <c r="D37" s="113"/>
      <c r="E37" s="7"/>
      <c r="F37" s="7"/>
      <c r="G37" s="7"/>
      <c r="H37" s="7"/>
      <c r="I37" s="7"/>
      <c r="J37" s="83">
        <f t="shared" si="3"/>
        <v>0</v>
      </c>
      <c r="K37" s="83">
        <f t="shared" si="4"/>
        <v>0</v>
      </c>
      <c r="L37" s="83">
        <f t="shared" si="5"/>
        <v>0</v>
      </c>
      <c r="M37" s="18"/>
      <c r="O37" s="67"/>
    </row>
    <row r="38" spans="1:15" ht="19.95" customHeight="1">
      <c r="A38" s="110"/>
      <c r="B38" s="111"/>
      <c r="C38" s="112"/>
      <c r="D38" s="113"/>
      <c r="E38" s="7"/>
      <c r="F38" s="7"/>
      <c r="G38" s="7"/>
      <c r="H38" s="7"/>
      <c r="I38" s="7"/>
      <c r="J38" s="83">
        <f t="shared" si="3"/>
        <v>0</v>
      </c>
      <c r="K38" s="83">
        <f t="shared" si="4"/>
        <v>0</v>
      </c>
      <c r="L38" s="83">
        <f t="shared" si="5"/>
        <v>0</v>
      </c>
      <c r="M38" s="18"/>
      <c r="O38" s="67"/>
    </row>
    <row r="39" spans="1:15" ht="19.95" customHeight="1">
      <c r="A39" s="110"/>
      <c r="B39" s="111"/>
      <c r="C39" s="112"/>
      <c r="D39" s="113"/>
      <c r="E39" s="7"/>
      <c r="F39" s="7"/>
      <c r="G39" s="7"/>
      <c r="H39" s="7"/>
      <c r="I39" s="7"/>
      <c r="J39" s="83">
        <f t="shared" si="3"/>
        <v>0</v>
      </c>
      <c r="K39" s="83">
        <f t="shared" si="4"/>
        <v>0</v>
      </c>
      <c r="L39" s="83">
        <f t="shared" si="5"/>
        <v>0</v>
      </c>
      <c r="M39" s="18"/>
      <c r="O39" s="67"/>
    </row>
    <row r="40" spans="1:15" ht="19.95" customHeight="1">
      <c r="A40" s="110"/>
      <c r="B40" s="111"/>
      <c r="C40" s="112"/>
      <c r="D40" s="113"/>
      <c r="E40" s="7"/>
      <c r="F40" s="7"/>
      <c r="G40" s="7"/>
      <c r="H40" s="7"/>
      <c r="I40" s="7"/>
      <c r="J40" s="83">
        <f t="shared" si="3"/>
        <v>0</v>
      </c>
      <c r="K40" s="83">
        <f t="shared" si="4"/>
        <v>0</v>
      </c>
      <c r="L40" s="83">
        <f t="shared" si="5"/>
        <v>0</v>
      </c>
      <c r="M40" s="18"/>
      <c r="O40" s="67"/>
    </row>
    <row r="41" spans="1:15" ht="19.95" customHeight="1">
      <c r="A41" s="110"/>
      <c r="B41" s="111"/>
      <c r="C41" s="112"/>
      <c r="D41" s="113"/>
      <c r="E41" s="7"/>
      <c r="F41" s="7"/>
      <c r="G41" s="7"/>
      <c r="H41" s="7"/>
      <c r="I41" s="7"/>
      <c r="J41" s="83">
        <f t="shared" si="3"/>
        <v>0</v>
      </c>
      <c r="K41" s="83">
        <f t="shared" si="4"/>
        <v>0</v>
      </c>
      <c r="L41" s="83">
        <f>H41-F41</f>
        <v>0</v>
      </c>
      <c r="M41" s="18"/>
      <c r="O41" s="67"/>
    </row>
    <row r="42" spans="1:15" ht="19.95" customHeight="1">
      <c r="A42" s="85" t="s">
        <v>54</v>
      </c>
      <c r="B42" s="85"/>
      <c r="C42" s="86"/>
      <c r="D42" s="87"/>
      <c r="E42" s="87"/>
      <c r="F42" s="84"/>
      <c r="G42" s="84">
        <f>SUM(G31:G41)</f>
        <v>0</v>
      </c>
      <c r="H42" s="84"/>
      <c r="I42" s="84"/>
      <c r="J42" s="84"/>
      <c r="K42" s="84"/>
      <c r="L42" s="84"/>
      <c r="M42" s="88"/>
    </row>
    <row r="43" spans="1:15" ht="19.95" customHeight="1">
      <c r="A43" s="43" t="s">
        <v>34</v>
      </c>
      <c r="B43" s="90"/>
      <c r="C43" s="44"/>
      <c r="D43" s="44"/>
      <c r="E43" s="44"/>
      <c r="F43" s="44"/>
      <c r="G43" s="44"/>
      <c r="H43" s="44"/>
      <c r="I43" s="44"/>
      <c r="J43" s="47"/>
      <c r="K43" s="44"/>
      <c r="L43" s="47"/>
      <c r="M43" s="44"/>
    </row>
    <row r="44" spans="1:15" ht="19.95" customHeight="1">
      <c r="A44" s="8"/>
      <c r="B44" s="8"/>
      <c r="C44" s="8"/>
      <c r="D44" s="8"/>
      <c r="E44" s="8"/>
      <c r="F44" s="8"/>
      <c r="G44" s="8"/>
      <c r="H44" s="8"/>
      <c r="I44" s="8"/>
      <c r="J44" s="8"/>
      <c r="K44" s="8"/>
      <c r="L44" s="8"/>
      <c r="M44" s="8"/>
    </row>
    <row r="45" spans="1:15" ht="19.95" customHeight="1">
      <c r="A45" s="19" t="s">
        <v>61</v>
      </c>
      <c r="B45" s="19"/>
      <c r="C45" s="8"/>
      <c r="D45" s="8"/>
      <c r="E45" s="8"/>
      <c r="F45" s="8"/>
      <c r="G45" s="8"/>
      <c r="H45" s="8"/>
      <c r="I45" s="8"/>
      <c r="J45" s="8"/>
      <c r="K45" s="8"/>
      <c r="L45" s="8"/>
      <c r="M45" s="8"/>
    </row>
    <row r="46" spans="1:15" ht="19.95" customHeight="1">
      <c r="A46" s="8"/>
      <c r="B46" s="8"/>
      <c r="C46" s="8"/>
      <c r="D46" s="8"/>
      <c r="E46" s="8"/>
      <c r="F46" s="8"/>
      <c r="G46" s="8"/>
      <c r="H46" s="8"/>
      <c r="I46" s="8"/>
      <c r="J46" s="8"/>
      <c r="K46" s="8"/>
      <c r="L46" s="8"/>
      <c r="M46" s="8"/>
    </row>
    <row r="47" spans="1:15" ht="15.75" customHeight="1"/>
    <row r="48" spans="1:15" ht="17.25" customHeight="1">
      <c r="A48" s="106" t="s">
        <v>199</v>
      </c>
      <c r="B48" s="14"/>
    </row>
    <row r="49" spans="1:2" ht="17.25" customHeight="1">
      <c r="A49" s="11" t="s">
        <v>240</v>
      </c>
      <c r="B49" s="11"/>
    </row>
    <row r="50" spans="1:2" ht="17.25" customHeight="1">
      <c r="A50" s="11" t="s">
        <v>200</v>
      </c>
      <c r="B50" s="11"/>
    </row>
    <row r="51" spans="1:2" ht="17.25" customHeight="1">
      <c r="A51" s="11" t="s">
        <v>201</v>
      </c>
      <c r="B51" s="11"/>
    </row>
    <row r="52" spans="1:2" ht="17.25" customHeight="1">
      <c r="A52" s="11" t="s">
        <v>202</v>
      </c>
      <c r="B52" s="11"/>
    </row>
    <row r="53" spans="1:2" ht="17.25" customHeight="1">
      <c r="A53" s="65" t="s">
        <v>203</v>
      </c>
      <c r="B53" s="65"/>
    </row>
    <row r="54" spans="1:2" ht="17.25" customHeight="1">
      <c r="A54" s="65" t="s">
        <v>211</v>
      </c>
      <c r="B54" s="65"/>
    </row>
    <row r="55" spans="1:2" ht="17.25" customHeight="1">
      <c r="A55" s="107" t="s">
        <v>205</v>
      </c>
    </row>
    <row r="56" spans="1:2">
      <c r="A56" s="107" t="s">
        <v>206</v>
      </c>
    </row>
    <row r="57" spans="1:2">
      <c r="A57" s="105" t="s">
        <v>204</v>
      </c>
    </row>
  </sheetData>
  <mergeCells count="26">
    <mergeCell ref="C14:C15"/>
    <mergeCell ref="D14:D15"/>
    <mergeCell ref="E14:E15"/>
    <mergeCell ref="M29:M30"/>
    <mergeCell ref="K14:K15"/>
    <mergeCell ref="I14:I15"/>
    <mergeCell ref="H14:H15"/>
    <mergeCell ref="F14:G14"/>
    <mergeCell ref="M14:M15"/>
    <mergeCell ref="J14:J15"/>
    <mergeCell ref="A1:M1"/>
    <mergeCell ref="A2:M2"/>
    <mergeCell ref="B14:B15"/>
    <mergeCell ref="B29:B30"/>
    <mergeCell ref="L14:L15"/>
    <mergeCell ref="L29:L30"/>
    <mergeCell ref="H29:H30"/>
    <mergeCell ref="I29:I30"/>
    <mergeCell ref="J29:J30"/>
    <mergeCell ref="K29:K30"/>
    <mergeCell ref="A29:A30"/>
    <mergeCell ref="C29:C30"/>
    <mergeCell ref="D29:D30"/>
    <mergeCell ref="E29:E30"/>
    <mergeCell ref="F29:G29"/>
    <mergeCell ref="A14:A15"/>
  </mergeCells>
  <phoneticPr fontId="15" type="noConversion"/>
  <hyperlinks>
    <hyperlink ref="M3" location="底稿目录!A1" display="底稿目录!A1"/>
  </hyperlinks>
  <printOptions horizontalCentered="1"/>
  <pageMargins left="0.39370078740157483" right="0.31496062992125984" top="0.39370078740157483" bottom="0.31496062992125984" header="0.31496062992125984" footer="0.19685039370078741"/>
  <pageSetup paperSize="9" scale="70" orientation="portrait" blackAndWhite="1" r:id="rId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30"/>
  <sheetViews>
    <sheetView view="pageBreakPreview" zoomScaleNormal="130" zoomScaleSheetLayoutView="100" workbookViewId="0">
      <selection activeCell="P12" sqref="P12"/>
    </sheetView>
  </sheetViews>
  <sheetFormatPr defaultColWidth="9" defaultRowHeight="13.8"/>
  <cols>
    <col min="1" max="1" width="9.59765625" style="9" customWidth="1"/>
    <col min="2" max="2" width="10.19921875" style="9" customWidth="1"/>
    <col min="3" max="3" width="20.5" style="9" customWidth="1"/>
    <col min="4" max="6" width="6.5" style="9" customWidth="1"/>
    <col min="7" max="7" width="9.09765625" style="9" customWidth="1"/>
    <col min="8" max="8" width="11.296875" style="9" customWidth="1"/>
    <col min="9" max="9" width="12.09765625" style="9" customWidth="1"/>
    <col min="10" max="10" width="8.296875" style="9" customWidth="1"/>
    <col min="11" max="12" width="7.796875" style="9" customWidth="1"/>
    <col min="13" max="13" width="8" style="9" customWidth="1"/>
    <col min="14" max="14" width="9" style="17"/>
    <col min="15" max="15" width="8.796875" style="9" customWidth="1"/>
    <col min="16" max="16384" width="9" style="9"/>
  </cols>
  <sheetData>
    <row r="1" spans="1:15" s="12" customFormat="1" ht="20.100000000000001" customHeight="1">
      <c r="A1" s="152" t="s">
        <v>170</v>
      </c>
      <c r="B1" s="152"/>
      <c r="C1" s="152"/>
      <c r="D1" s="152"/>
      <c r="E1" s="152"/>
      <c r="F1" s="152"/>
      <c r="G1" s="152"/>
      <c r="H1" s="152"/>
      <c r="I1" s="152"/>
      <c r="J1" s="152"/>
      <c r="K1" s="152"/>
      <c r="L1" s="152"/>
      <c r="M1" s="152"/>
      <c r="N1" s="152"/>
      <c r="O1" s="152"/>
    </row>
    <row r="2" spans="1:15" s="6" customFormat="1" ht="25.05" customHeight="1">
      <c r="A2" s="150" t="s">
        <v>197</v>
      </c>
      <c r="B2" s="150"/>
      <c r="C2" s="150"/>
      <c r="D2" s="150"/>
      <c r="E2" s="150"/>
      <c r="F2" s="150"/>
      <c r="G2" s="150"/>
      <c r="H2" s="150"/>
      <c r="I2" s="150"/>
      <c r="J2" s="150"/>
      <c r="K2" s="150"/>
      <c r="L2" s="150"/>
      <c r="M2" s="150"/>
      <c r="N2" s="150"/>
      <c r="O2" s="150"/>
    </row>
    <row r="3" spans="1:15" ht="20.100000000000001" customHeight="1">
      <c r="A3" s="8" t="str">
        <f>底稿目录!A2</f>
        <v>被审计单位：</v>
      </c>
      <c r="B3" s="10"/>
      <c r="C3" s="10"/>
      <c r="D3" s="8" t="str">
        <f>底稿目录!A4</f>
        <v>编制人：</v>
      </c>
      <c r="E3" s="8"/>
      <c r="F3" s="8"/>
      <c r="H3" s="5"/>
      <c r="I3" s="8" t="str">
        <f>底稿目录!A5</f>
        <v>编制日期：</v>
      </c>
      <c r="J3" s="48"/>
      <c r="N3" s="8" t="s">
        <v>35</v>
      </c>
      <c r="O3" s="115" t="str">
        <f>底稿目录!F8</f>
        <v>F2-26</v>
      </c>
    </row>
    <row r="4" spans="1:15" ht="20.100000000000001" customHeight="1">
      <c r="A4" s="8" t="str">
        <f>底稿目录!A3</f>
        <v>截止日：202X年12月31日</v>
      </c>
      <c r="B4" s="10"/>
      <c r="C4" s="10"/>
      <c r="D4" s="8" t="str">
        <f>底稿目录!A6</f>
        <v>复核人：</v>
      </c>
      <c r="E4" s="8"/>
      <c r="F4" s="8"/>
      <c r="H4" s="5"/>
      <c r="I4" s="8" t="str">
        <f>底稿目录!A7</f>
        <v>复核日期：</v>
      </c>
      <c r="J4" s="48"/>
      <c r="N4" s="8" t="s">
        <v>63</v>
      </c>
    </row>
    <row r="5" spans="1:15" s="126" customFormat="1" ht="20.100000000000001" customHeight="1">
      <c r="A5" s="125" t="s">
        <v>216</v>
      </c>
      <c r="N5" s="127"/>
    </row>
    <row r="6" spans="1:15" s="32" customFormat="1" ht="20.100000000000001" customHeight="1">
      <c r="A6" s="32" t="s">
        <v>75</v>
      </c>
      <c r="N6" s="17"/>
    </row>
    <row r="7" spans="1:15" s="121" customFormat="1" ht="56.25" customHeight="1">
      <c r="A7" s="68" t="s">
        <v>157</v>
      </c>
      <c r="B7" s="68" t="s">
        <v>168</v>
      </c>
      <c r="C7" s="68" t="s">
        <v>171</v>
      </c>
      <c r="D7" s="69" t="s">
        <v>77</v>
      </c>
      <c r="E7" s="68" t="s">
        <v>160</v>
      </c>
      <c r="F7" s="68" t="s">
        <v>159</v>
      </c>
      <c r="G7" s="69" t="s">
        <v>78</v>
      </c>
      <c r="H7" s="69" t="s">
        <v>79</v>
      </c>
      <c r="I7" s="69" t="s">
        <v>80</v>
      </c>
      <c r="J7" s="69" t="s">
        <v>81</v>
      </c>
      <c r="K7" s="69" t="s">
        <v>82</v>
      </c>
      <c r="L7" s="68" t="s">
        <v>161</v>
      </c>
      <c r="M7" s="68" t="s">
        <v>162</v>
      </c>
      <c r="N7" s="68" t="s">
        <v>163</v>
      </c>
      <c r="O7" s="128" t="s">
        <v>164</v>
      </c>
    </row>
    <row r="8" spans="1:15" ht="20.100000000000001" customHeight="1">
      <c r="A8" s="56"/>
      <c r="B8" s="23"/>
      <c r="C8" s="108"/>
      <c r="D8" s="108"/>
      <c r="E8" s="23"/>
      <c r="F8" s="108"/>
      <c r="G8" s="23"/>
      <c r="H8" s="23"/>
      <c r="I8" s="23"/>
      <c r="J8" s="89">
        <f>G8+H8-I8</f>
        <v>0</v>
      </c>
      <c r="K8" s="24"/>
      <c r="L8" s="89">
        <f>J8-K8</f>
        <v>0</v>
      </c>
      <c r="M8" s="89">
        <f>L8*E8</f>
        <v>0</v>
      </c>
      <c r="N8" s="56"/>
      <c r="O8" s="109"/>
    </row>
    <row r="9" spans="1:15" ht="20.100000000000001" customHeight="1">
      <c r="A9" s="57"/>
      <c r="B9" s="23"/>
      <c r="C9" s="23"/>
      <c r="D9" s="23"/>
      <c r="E9" s="23"/>
      <c r="F9" s="23"/>
      <c r="G9" s="23"/>
      <c r="H9" s="23"/>
      <c r="I9" s="23"/>
      <c r="J9" s="89">
        <f>J2+H9-I9</f>
        <v>0</v>
      </c>
      <c r="K9" s="24"/>
      <c r="L9" s="89">
        <f t="shared" ref="L9:L14" si="0">J9-K9</f>
        <v>0</v>
      </c>
      <c r="M9" s="89">
        <f t="shared" ref="M9:M14" si="1">L9*E9</f>
        <v>0</v>
      </c>
      <c r="N9" s="57"/>
      <c r="O9" s="18"/>
    </row>
    <row r="10" spans="1:15" ht="20.100000000000001" customHeight="1">
      <c r="A10" s="57"/>
      <c r="B10" s="23"/>
      <c r="C10" s="23"/>
      <c r="D10" s="23"/>
      <c r="E10" s="23"/>
      <c r="F10" s="23"/>
      <c r="G10" s="23"/>
      <c r="H10" s="23"/>
      <c r="I10" s="23"/>
      <c r="J10" s="89">
        <f t="shared" ref="J10:J14" si="2">G10+H10-I10</f>
        <v>0</v>
      </c>
      <c r="K10" s="24"/>
      <c r="L10" s="89">
        <f t="shared" si="0"/>
        <v>0</v>
      </c>
      <c r="M10" s="89">
        <f t="shared" si="1"/>
        <v>0</v>
      </c>
      <c r="N10" s="57"/>
      <c r="O10" s="18"/>
    </row>
    <row r="11" spans="1:15" ht="20.100000000000001" customHeight="1">
      <c r="A11" s="57"/>
      <c r="B11" s="23"/>
      <c r="C11" s="23"/>
      <c r="D11" s="23"/>
      <c r="E11" s="23"/>
      <c r="F11" s="23"/>
      <c r="G11" s="23"/>
      <c r="H11" s="23"/>
      <c r="I11" s="23"/>
      <c r="J11" s="89">
        <f t="shared" si="2"/>
        <v>0</v>
      </c>
      <c r="K11" s="24"/>
      <c r="L11" s="89">
        <f t="shared" si="0"/>
        <v>0</v>
      </c>
      <c r="M11" s="89">
        <f t="shared" si="1"/>
        <v>0</v>
      </c>
      <c r="N11" s="57"/>
      <c r="O11" s="18"/>
    </row>
    <row r="12" spans="1:15" ht="20.100000000000001" customHeight="1">
      <c r="A12" s="57"/>
      <c r="B12" s="23"/>
      <c r="C12" s="23"/>
      <c r="D12" s="23"/>
      <c r="E12" s="23"/>
      <c r="F12" s="23"/>
      <c r="G12" s="23"/>
      <c r="H12" s="23"/>
      <c r="I12" s="23"/>
      <c r="J12" s="89">
        <f t="shared" si="2"/>
        <v>0</v>
      </c>
      <c r="K12" s="24"/>
      <c r="L12" s="89">
        <f t="shared" si="0"/>
        <v>0</v>
      </c>
      <c r="M12" s="89">
        <f t="shared" si="1"/>
        <v>0</v>
      </c>
      <c r="N12" s="57"/>
      <c r="O12" s="18"/>
    </row>
    <row r="13" spans="1:15" ht="20.100000000000001" customHeight="1">
      <c r="A13" s="57"/>
      <c r="B13" s="23"/>
      <c r="C13" s="23"/>
      <c r="D13" s="23"/>
      <c r="E13" s="23"/>
      <c r="F13" s="23"/>
      <c r="G13" s="23"/>
      <c r="H13" s="23"/>
      <c r="I13" s="23"/>
      <c r="J13" s="89">
        <f t="shared" si="2"/>
        <v>0</v>
      </c>
      <c r="K13" s="24"/>
      <c r="L13" s="89">
        <f t="shared" si="0"/>
        <v>0</v>
      </c>
      <c r="M13" s="89">
        <f t="shared" si="1"/>
        <v>0</v>
      </c>
      <c r="N13" s="57"/>
      <c r="O13" s="18"/>
    </row>
    <row r="14" spans="1:15" ht="20.100000000000001" customHeight="1">
      <c r="A14" s="57"/>
      <c r="B14" s="23"/>
      <c r="C14" s="23"/>
      <c r="D14" s="23"/>
      <c r="E14" s="23"/>
      <c r="F14" s="23"/>
      <c r="G14" s="23"/>
      <c r="H14" s="23"/>
      <c r="I14" s="23"/>
      <c r="J14" s="89">
        <f t="shared" si="2"/>
        <v>0</v>
      </c>
      <c r="K14" s="24"/>
      <c r="L14" s="89">
        <f t="shared" si="0"/>
        <v>0</v>
      </c>
      <c r="M14" s="89">
        <f t="shared" si="1"/>
        <v>0</v>
      </c>
      <c r="N14" s="57"/>
      <c r="O14" s="18"/>
    </row>
    <row r="15" spans="1:15" s="126" customFormat="1" ht="20.100000000000001" customHeight="1">
      <c r="A15" s="125" t="s">
        <v>217</v>
      </c>
      <c r="N15" s="127"/>
    </row>
    <row r="16" spans="1:15" s="121" customFormat="1" ht="41.25" customHeight="1">
      <c r="A16" s="68" t="s">
        <v>157</v>
      </c>
      <c r="B16" s="68" t="s">
        <v>165</v>
      </c>
      <c r="C16" s="68" t="s">
        <v>158</v>
      </c>
      <c r="D16" s="69" t="s">
        <v>77</v>
      </c>
      <c r="E16" s="68" t="s">
        <v>160</v>
      </c>
      <c r="F16" s="68" t="s">
        <v>159</v>
      </c>
      <c r="G16" s="69" t="s">
        <v>78</v>
      </c>
      <c r="H16" s="69" t="s">
        <v>83</v>
      </c>
      <c r="I16" s="69" t="s">
        <v>84</v>
      </c>
      <c r="J16" s="69" t="s">
        <v>81</v>
      </c>
      <c r="K16" s="69" t="s">
        <v>82</v>
      </c>
      <c r="L16" s="68" t="s">
        <v>161</v>
      </c>
      <c r="M16" s="68" t="s">
        <v>162</v>
      </c>
      <c r="N16" s="68" t="s">
        <v>163</v>
      </c>
      <c r="O16" s="128" t="s">
        <v>164</v>
      </c>
    </row>
    <row r="17" spans="1:15" ht="20.100000000000001" customHeight="1">
      <c r="A17" s="57"/>
      <c r="B17" s="23"/>
      <c r="C17" s="23"/>
      <c r="D17" s="23"/>
      <c r="E17" s="23"/>
      <c r="F17" s="23"/>
      <c r="G17" s="23"/>
      <c r="H17" s="23"/>
      <c r="I17" s="23"/>
      <c r="J17" s="89">
        <f>G17+H17-I17</f>
        <v>0</v>
      </c>
      <c r="K17" s="24"/>
      <c r="L17" s="89">
        <f>J17-K17</f>
        <v>0</v>
      </c>
      <c r="M17" s="89">
        <f>L17*E17</f>
        <v>0</v>
      </c>
      <c r="N17" s="42"/>
      <c r="O17" s="18"/>
    </row>
    <row r="18" spans="1:15" ht="20.100000000000001" customHeight="1">
      <c r="A18" s="57"/>
      <c r="B18" s="23"/>
      <c r="C18" s="23"/>
      <c r="D18" s="23"/>
      <c r="E18" s="23"/>
      <c r="F18" s="23"/>
      <c r="G18" s="23"/>
      <c r="H18" s="23"/>
      <c r="I18" s="23"/>
      <c r="J18" s="89">
        <f t="shared" ref="J18:J23" si="3">G18+H18-I18</f>
        <v>0</v>
      </c>
      <c r="K18" s="24"/>
      <c r="L18" s="89">
        <f t="shared" ref="L18:L23" si="4">J18-K18</f>
        <v>0</v>
      </c>
      <c r="M18" s="89">
        <f t="shared" ref="M18:M23" si="5">L18*E18</f>
        <v>0</v>
      </c>
      <c r="N18" s="42"/>
      <c r="O18" s="18"/>
    </row>
    <row r="19" spans="1:15" ht="20.100000000000001" customHeight="1">
      <c r="A19" s="57"/>
      <c r="B19" s="23"/>
      <c r="C19" s="23"/>
      <c r="D19" s="23"/>
      <c r="E19" s="23"/>
      <c r="F19" s="23"/>
      <c r="G19" s="23"/>
      <c r="H19" s="23"/>
      <c r="I19" s="23"/>
      <c r="J19" s="89">
        <f t="shared" si="3"/>
        <v>0</v>
      </c>
      <c r="K19" s="24"/>
      <c r="L19" s="89">
        <f t="shared" si="4"/>
        <v>0</v>
      </c>
      <c r="M19" s="89">
        <f t="shared" si="5"/>
        <v>0</v>
      </c>
      <c r="N19" s="42"/>
      <c r="O19" s="18"/>
    </row>
    <row r="20" spans="1:15" ht="20.100000000000001" customHeight="1">
      <c r="A20" s="57"/>
      <c r="B20" s="23"/>
      <c r="C20" s="23"/>
      <c r="D20" s="23"/>
      <c r="E20" s="23"/>
      <c r="F20" s="23"/>
      <c r="G20" s="23"/>
      <c r="H20" s="23"/>
      <c r="I20" s="23"/>
      <c r="J20" s="89">
        <f t="shared" si="3"/>
        <v>0</v>
      </c>
      <c r="K20" s="24"/>
      <c r="L20" s="89">
        <f t="shared" si="4"/>
        <v>0</v>
      </c>
      <c r="M20" s="89">
        <f t="shared" si="5"/>
        <v>0</v>
      </c>
      <c r="N20" s="42"/>
      <c r="O20" s="18"/>
    </row>
    <row r="21" spans="1:15" ht="20.100000000000001" customHeight="1">
      <c r="A21" s="57"/>
      <c r="B21" s="23"/>
      <c r="C21" s="23"/>
      <c r="D21" s="23"/>
      <c r="E21" s="23"/>
      <c r="F21" s="23"/>
      <c r="G21" s="23"/>
      <c r="H21" s="23"/>
      <c r="I21" s="23"/>
      <c r="J21" s="89">
        <f t="shared" si="3"/>
        <v>0</v>
      </c>
      <c r="K21" s="24"/>
      <c r="L21" s="89">
        <f t="shared" si="4"/>
        <v>0</v>
      </c>
      <c r="M21" s="89">
        <f t="shared" si="5"/>
        <v>0</v>
      </c>
      <c r="N21" s="42"/>
      <c r="O21" s="18"/>
    </row>
    <row r="22" spans="1:15" ht="20.100000000000001" customHeight="1">
      <c r="A22" s="57"/>
      <c r="B22" s="23"/>
      <c r="C22" s="23"/>
      <c r="D22" s="23"/>
      <c r="E22" s="23"/>
      <c r="F22" s="23"/>
      <c r="G22" s="23"/>
      <c r="H22" s="23"/>
      <c r="I22" s="23"/>
      <c r="J22" s="89">
        <f t="shared" si="3"/>
        <v>0</v>
      </c>
      <c r="K22" s="24"/>
      <c r="L22" s="89">
        <f t="shared" si="4"/>
        <v>0</v>
      </c>
      <c r="M22" s="89">
        <f t="shared" si="5"/>
        <v>0</v>
      </c>
      <c r="N22" s="42"/>
      <c r="O22" s="18"/>
    </row>
    <row r="23" spans="1:15" ht="20.100000000000001" customHeight="1">
      <c r="A23" s="57"/>
      <c r="B23" s="23"/>
      <c r="C23" s="23"/>
      <c r="D23" s="23"/>
      <c r="E23" s="23"/>
      <c r="F23" s="23"/>
      <c r="G23" s="23"/>
      <c r="H23" s="23"/>
      <c r="I23" s="23"/>
      <c r="J23" s="89">
        <f t="shared" si="3"/>
        <v>0</v>
      </c>
      <c r="K23" s="24"/>
      <c r="L23" s="89">
        <f t="shared" si="4"/>
        <v>0</v>
      </c>
      <c r="M23" s="89">
        <f t="shared" si="5"/>
        <v>0</v>
      </c>
      <c r="N23" s="42"/>
      <c r="O23" s="18"/>
    </row>
    <row r="24" spans="1:15" s="32" customFormat="1" ht="20.100000000000001" customHeight="1">
      <c r="A24" s="43" t="s">
        <v>218</v>
      </c>
      <c r="B24" s="44"/>
      <c r="C24" s="47"/>
      <c r="D24" s="44"/>
      <c r="E24" s="47"/>
      <c r="F24" s="47"/>
      <c r="G24" s="44"/>
      <c r="H24" s="44"/>
      <c r="I24" s="44"/>
      <c r="J24" s="44"/>
      <c r="K24" s="44"/>
      <c r="L24" s="47"/>
      <c r="M24" s="44"/>
      <c r="N24" s="44"/>
    </row>
    <row r="25" spans="1:15" ht="20.100000000000001" customHeight="1">
      <c r="A25" s="8"/>
      <c r="B25" s="8"/>
      <c r="C25" s="8"/>
      <c r="D25" s="8"/>
      <c r="E25" s="8"/>
      <c r="F25" s="8"/>
      <c r="G25" s="8"/>
      <c r="H25" s="8"/>
      <c r="I25" s="8"/>
      <c r="J25" s="8"/>
      <c r="K25" s="8"/>
      <c r="L25" s="8"/>
      <c r="M25" s="8"/>
      <c r="N25" s="8"/>
    </row>
    <row r="26" spans="1:15" ht="20.100000000000001" customHeight="1">
      <c r="A26" s="8"/>
      <c r="B26" s="8"/>
      <c r="C26" s="8"/>
      <c r="D26" s="8"/>
      <c r="E26" s="8"/>
      <c r="F26" s="8"/>
      <c r="G26" s="8"/>
      <c r="H26" s="8"/>
      <c r="I26" s="8"/>
      <c r="J26" s="8"/>
      <c r="K26" s="8"/>
      <c r="L26" s="8"/>
      <c r="M26" s="8"/>
      <c r="N26" s="8"/>
    </row>
    <row r="27" spans="1:15" ht="20.100000000000001" customHeight="1">
      <c r="A27" s="8"/>
      <c r="B27" s="8"/>
      <c r="C27" s="8"/>
      <c r="D27" s="8"/>
      <c r="E27" s="8"/>
      <c r="F27" s="8"/>
      <c r="G27" s="8"/>
      <c r="H27" s="8"/>
      <c r="I27" s="8"/>
      <c r="J27" s="8"/>
      <c r="K27" s="8"/>
      <c r="L27" s="8"/>
      <c r="M27" s="8"/>
      <c r="N27" s="8"/>
    </row>
    <row r="28" spans="1:15" ht="20.100000000000001" customHeight="1">
      <c r="A28" s="19" t="s">
        <v>219</v>
      </c>
      <c r="B28" s="8"/>
      <c r="C28" s="8"/>
      <c r="D28" s="8"/>
      <c r="E28" s="8"/>
      <c r="F28" s="8"/>
      <c r="G28" s="8"/>
      <c r="H28" s="8"/>
      <c r="I28" s="8"/>
      <c r="J28" s="8"/>
      <c r="K28" s="8"/>
      <c r="L28" s="8"/>
      <c r="M28" s="8"/>
      <c r="N28" s="8"/>
    </row>
    <row r="29" spans="1:15" ht="20.100000000000001" customHeight="1">
      <c r="A29" s="8"/>
      <c r="B29" s="8"/>
      <c r="C29" s="8"/>
      <c r="D29" s="8"/>
      <c r="E29" s="8"/>
      <c r="F29" s="8"/>
      <c r="G29" s="8"/>
      <c r="H29" s="8"/>
      <c r="I29" s="8"/>
      <c r="J29" s="8"/>
      <c r="K29" s="8"/>
      <c r="L29" s="8"/>
      <c r="M29" s="8"/>
      <c r="N29" s="8"/>
    </row>
    <row r="30" spans="1:15" ht="20.100000000000001" customHeight="1">
      <c r="A30" s="8"/>
      <c r="B30" s="8"/>
      <c r="C30" s="8"/>
      <c r="D30" s="8"/>
      <c r="E30" s="8"/>
      <c r="F30" s="8"/>
      <c r="G30" s="8"/>
      <c r="H30" s="8"/>
      <c r="I30" s="8"/>
      <c r="J30" s="8"/>
      <c r="K30" s="8"/>
      <c r="L30" s="8"/>
      <c r="M30" s="8"/>
      <c r="N30" s="8"/>
    </row>
  </sheetData>
  <mergeCells count="2">
    <mergeCell ref="A1:O1"/>
    <mergeCell ref="A2:O2"/>
  </mergeCells>
  <phoneticPr fontId="15" type="noConversion"/>
  <hyperlinks>
    <hyperlink ref="O3" location="底稿目录!A1" display="底稿目录!A1"/>
  </hyperlinks>
  <pageMargins left="0.74803149606299213" right="0.39370078740157483" top="0.74803149606299213" bottom="0.6692913385826772" header="0.51181102362204722" footer="0.51181102362204722"/>
  <pageSetup paperSize="9" scale="60" fitToHeight="2" orientation="portrait"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底稿目录</vt:lpstr>
      <vt:lpstr>GT_Custom</vt:lpstr>
      <vt:lpstr>存货监盘程序表F2-21A</vt:lpstr>
      <vt:lpstr>盘点计划问卷F2-21</vt:lpstr>
      <vt:lpstr>监盘计划F2-22</vt:lpstr>
      <vt:lpstr>监盘小结F2-23</vt:lpstr>
      <vt:lpstr>存货账面余额与仓储台账（ERP业务数据)核对记录F2-24</vt:lpstr>
      <vt:lpstr>抽盘结果汇总表F2-25</vt:lpstr>
      <vt:lpstr>盘点倒轧表F2-26</vt:lpstr>
      <vt:lpstr>'抽盘结果汇总表F2-25'!Print_Area</vt:lpstr>
      <vt:lpstr>'存货监盘程序表F2-21A'!Print_Area</vt:lpstr>
      <vt:lpstr>'存货账面余额与仓储台账（ERP业务数据)核对记录F2-24'!Print_Area</vt:lpstr>
      <vt:lpstr>'监盘计划F2-22'!Print_Area</vt:lpstr>
      <vt:lpstr>'监盘小结F2-23'!Print_Area</vt:lpstr>
      <vt:lpstr>'盘点倒轧表F2-26'!Print_Area</vt:lpstr>
      <vt:lpstr>'盘点计划问卷F2-21'!Print_Area</vt:lpstr>
      <vt:lpstr>'存货监盘程序表F2-21A'!Print_Titles</vt:lpstr>
      <vt:lpstr>'盘点倒轧表F2-26'!Print_Titles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2025-10-17T07:36:15Z</cp:lastPrinted>
  <dcterms:created xsi:type="dcterms:W3CDTF">2007-05-20T08:51:05Z</dcterms:created>
  <dcterms:modified xsi:type="dcterms:W3CDTF">2025-10-17T09:24:08Z</dcterms:modified>
</cp:coreProperties>
</file>