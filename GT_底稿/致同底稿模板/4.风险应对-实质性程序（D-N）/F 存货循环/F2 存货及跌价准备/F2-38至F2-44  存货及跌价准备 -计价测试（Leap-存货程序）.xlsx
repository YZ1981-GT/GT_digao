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F 存货循环\F2存货\"/>
    </mc:Choice>
  </mc:AlternateContent>
  <bookViews>
    <workbookView xWindow="0" yWindow="0" windowWidth="23040" windowHeight="8520" tabRatio="803"/>
  </bookViews>
  <sheets>
    <sheet name="底稿目录" sheetId="1" r:id="rId1"/>
    <sheet name="GT_Custom" sheetId="63" state="hidden" r:id="rId2"/>
    <sheet name="存货计价测试程序G2-8-删除" sheetId="104" state="hidden" r:id="rId3"/>
    <sheet name="计价方法测试表-平均F2-38" sheetId="91" r:id="rId4"/>
    <sheet name="计价方法测试表-先进先出F2-39" sheetId="92" r:id="rId5"/>
    <sheet name="计价方法测试表-标准成本差异F2-40" sheetId="93" r:id="rId6"/>
    <sheet name="生产成本明细表F2-41" sheetId="149" r:id="rId7"/>
    <sheet name="产品年度成本比较G2-8-4-移至分析类" sheetId="114" state="hidden" r:id="rId8"/>
    <sheet name="直接人工分析表F2-42" sheetId="150" r:id="rId9"/>
    <sheet name="制造费用明细表F2-43" sheetId="152" r:id="rId10"/>
    <sheet name="生产成本分配F2-44" sheetId="116" r:id="rId11"/>
    <sheet name="产品月度成本比较G2-8-5（删除 在舞弊应对单耗分析中）" sheetId="115" state="hidden" r:id="rId12"/>
    <sheet name="产品同行业成本比较G2-8-7-移至舞弊应对单耗分析中" sheetId="148" state="hidden" r:id="rId13"/>
  </sheets>
  <definedNames>
    <definedName name="_xlnm.Print_Area" localSheetId="7">'产品年度成本比较G2-8-4-移至分析类'!$A$1:$R$27</definedName>
    <definedName name="_xlnm.Print_Area" localSheetId="11">'产品月度成本比较G2-8-5（删除 在舞弊应对单耗分析中）'!$A$1:$T$41</definedName>
    <definedName name="_xlnm.Print_Area" localSheetId="2">'存货计价测试程序G2-8-删除'!$A$1:$L$75</definedName>
    <definedName name="_xlnm.Print_Area" localSheetId="5">'计价方法测试表-标准成本差异F2-40'!$A$1:$O$63</definedName>
    <definedName name="_xlnm.Print_Area" localSheetId="3">'计价方法测试表-平均F2-38'!$A$1:$N$86</definedName>
    <definedName name="_xlnm.Print_Area" localSheetId="4">'计价方法测试表-先进先出F2-39'!$A$1:$N$70</definedName>
    <definedName name="_xlnm.Print_Area" localSheetId="10">'生产成本分配F2-44'!$A$1:$N$28</definedName>
    <definedName name="_xlnm.Print_Area" localSheetId="6">'生产成本明细表F2-41'!$A$1:$Q$23</definedName>
    <definedName name="_xlnm.Print_Area" localSheetId="8">'直接人工分析表F2-42'!$A$1:$P$47</definedName>
    <definedName name="_xlnm.Print_Area" localSheetId="9">'制造费用明细表F2-43'!$A$1:$P$31</definedName>
    <definedName name="_xlnm.Print_Titles" localSheetId="8">'直接人工分析表F2-42'!$1:$4</definedName>
  </definedNames>
  <calcPr calcId="162913"/>
</workbook>
</file>

<file path=xl/calcChain.xml><?xml version="1.0" encoding="utf-8"?>
<calcChain xmlns="http://schemas.openxmlformats.org/spreadsheetml/2006/main">
  <c r="N3" i="116" l="1"/>
  <c r="I4" i="116"/>
  <c r="I3" i="116"/>
  <c r="E4" i="116"/>
  <c r="E3" i="116"/>
  <c r="A4" i="116"/>
  <c r="A3" i="116"/>
  <c r="K4" i="152"/>
  <c r="K3" i="152"/>
  <c r="F4" i="152"/>
  <c r="F3" i="152"/>
  <c r="A4" i="152"/>
  <c r="A3" i="152"/>
  <c r="P3" i="150"/>
  <c r="K4" i="150"/>
  <c r="K3" i="150"/>
  <c r="F4" i="150"/>
  <c r="F3" i="150"/>
  <c r="A4" i="150"/>
  <c r="A3" i="150"/>
  <c r="Q3" i="149"/>
  <c r="K4" i="149"/>
  <c r="K3" i="149"/>
  <c r="G4" i="149"/>
  <c r="G3" i="149"/>
  <c r="A4" i="149"/>
  <c r="A3" i="149"/>
  <c r="O3" i="93"/>
  <c r="J4" i="92"/>
  <c r="I14" i="92"/>
  <c r="N3" i="91"/>
  <c r="B33" i="150" l="1"/>
  <c r="N6" i="149" l="1"/>
  <c r="N8" i="149"/>
  <c r="G46" i="93" l="1"/>
  <c r="G47" i="93"/>
  <c r="G48" i="93"/>
  <c r="G49" i="93"/>
  <c r="G50" i="93"/>
  <c r="G51" i="93"/>
  <c r="G52" i="93"/>
  <c r="G53" i="93"/>
  <c r="G54" i="93"/>
  <c r="G55" i="93"/>
  <c r="G56" i="93"/>
  <c r="G57" i="93"/>
  <c r="D57" i="93"/>
  <c r="D46" i="93"/>
  <c r="D47" i="93"/>
  <c r="D48" i="93"/>
  <c r="D49" i="93"/>
  <c r="D50" i="93"/>
  <c r="D51" i="93"/>
  <c r="D52" i="93"/>
  <c r="D53" i="93"/>
  <c r="D54" i="93"/>
  <c r="D55" i="93"/>
  <c r="D56" i="93"/>
  <c r="D45" i="93"/>
  <c r="G31" i="93"/>
  <c r="G32" i="93"/>
  <c r="G33" i="93"/>
  <c r="G34" i="93"/>
  <c r="G35" i="93"/>
  <c r="G36" i="93"/>
  <c r="G37" i="93"/>
  <c r="G38" i="93"/>
  <c r="G39" i="93"/>
  <c r="G40" i="93"/>
  <c r="G41" i="93"/>
  <c r="G30" i="93"/>
  <c r="G14" i="93"/>
  <c r="D30" i="93"/>
  <c r="D31" i="93"/>
  <c r="D32" i="93"/>
  <c r="D33" i="93"/>
  <c r="D34" i="93"/>
  <c r="D35" i="93"/>
  <c r="D36" i="93"/>
  <c r="D37" i="93"/>
  <c r="D38" i="93"/>
  <c r="D39" i="93"/>
  <c r="D40" i="93"/>
  <c r="D41" i="93"/>
  <c r="D29" i="93"/>
  <c r="D13" i="93"/>
  <c r="K13" i="93"/>
  <c r="G25" i="93"/>
  <c r="G15" i="93"/>
  <c r="G16" i="93"/>
  <c r="G17" i="93"/>
  <c r="G18" i="93"/>
  <c r="G19" i="93"/>
  <c r="G20" i="93"/>
  <c r="G21" i="93"/>
  <c r="G22" i="93"/>
  <c r="G23" i="93"/>
  <c r="G24" i="93"/>
  <c r="D25" i="93"/>
  <c r="D14" i="93"/>
  <c r="D15" i="93"/>
  <c r="D16" i="93"/>
  <c r="D17" i="93"/>
  <c r="D18" i="93"/>
  <c r="D19" i="93"/>
  <c r="D20" i="93"/>
  <c r="D21" i="93"/>
  <c r="D22" i="93"/>
  <c r="D23" i="93"/>
  <c r="D24" i="93"/>
  <c r="J28" i="92"/>
  <c r="N28" i="92"/>
  <c r="M28" i="92"/>
  <c r="M14" i="92"/>
  <c r="J13" i="93" l="1"/>
  <c r="J14" i="93" s="1"/>
  <c r="I13" i="93"/>
  <c r="H14" i="93" l="1"/>
  <c r="O25" i="152"/>
  <c r="N12" i="152"/>
  <c r="P12" i="152" s="1"/>
  <c r="N14" i="149" l="1"/>
  <c r="P14" i="149" s="1"/>
  <c r="B13" i="149"/>
  <c r="B16" i="149" s="1"/>
  <c r="P8" i="149"/>
  <c r="L7" i="114" l="1"/>
  <c r="M65" i="91"/>
  <c r="B27" i="91"/>
  <c r="M14" i="91"/>
  <c r="M31" i="91"/>
  <c r="H15" i="91"/>
  <c r="J15" i="91" l="1"/>
  <c r="F15" i="91"/>
  <c r="C15" i="91"/>
  <c r="I15" i="91" l="1"/>
  <c r="K14" i="93"/>
  <c r="I14" i="93"/>
  <c r="M25" i="152" l="1"/>
  <c r="L25" i="152"/>
  <c r="K25" i="152"/>
  <c r="J25" i="152"/>
  <c r="I25" i="152"/>
  <c r="H25" i="152"/>
  <c r="G25" i="152"/>
  <c r="F25" i="152"/>
  <c r="E25" i="152"/>
  <c r="D25" i="152"/>
  <c r="C25" i="152"/>
  <c r="B25" i="152"/>
  <c r="N24" i="152"/>
  <c r="P24" i="152" s="1"/>
  <c r="N23" i="152"/>
  <c r="P23" i="152" s="1"/>
  <c r="N22" i="152"/>
  <c r="P22" i="152" s="1"/>
  <c r="N21" i="152"/>
  <c r="P21" i="152" s="1"/>
  <c r="N20" i="152"/>
  <c r="P20" i="152" s="1"/>
  <c r="N19" i="152"/>
  <c r="P19" i="152" s="1"/>
  <c r="N18" i="152"/>
  <c r="P18" i="152" s="1"/>
  <c r="N17" i="152"/>
  <c r="P17" i="152" s="1"/>
  <c r="N16" i="152"/>
  <c r="P16" i="152" s="1"/>
  <c r="N15" i="152"/>
  <c r="P15" i="152" s="1"/>
  <c r="N14" i="152"/>
  <c r="P14" i="152" s="1"/>
  <c r="N13" i="152"/>
  <c r="P13" i="152" s="1"/>
  <c r="M41" i="150"/>
  <c r="L41" i="150"/>
  <c r="K41" i="150"/>
  <c r="J41" i="150"/>
  <c r="I41" i="150"/>
  <c r="H41" i="150"/>
  <c r="G41" i="150"/>
  <c r="F41" i="150"/>
  <c r="E41" i="150"/>
  <c r="D41" i="150"/>
  <c r="C41" i="150"/>
  <c r="B41" i="150"/>
  <c r="M40" i="150"/>
  <c r="L40" i="150"/>
  <c r="K40" i="150"/>
  <c r="J40" i="150"/>
  <c r="I40" i="150"/>
  <c r="H40" i="150"/>
  <c r="G40" i="150"/>
  <c r="F40" i="150"/>
  <c r="E40" i="150"/>
  <c r="D40" i="150"/>
  <c r="C40" i="150"/>
  <c r="B40" i="150"/>
  <c r="M39" i="150"/>
  <c r="L39" i="150"/>
  <c r="K39" i="150"/>
  <c r="J39" i="150"/>
  <c r="I39" i="150"/>
  <c r="H39" i="150"/>
  <c r="G39" i="150"/>
  <c r="F39" i="150"/>
  <c r="E39" i="150"/>
  <c r="D39" i="150"/>
  <c r="C39" i="150"/>
  <c r="B39" i="150"/>
  <c r="M38" i="150"/>
  <c r="L38" i="150"/>
  <c r="K38" i="150"/>
  <c r="J38" i="150"/>
  <c r="I38" i="150"/>
  <c r="H38" i="150"/>
  <c r="G38" i="150"/>
  <c r="F38" i="150"/>
  <c r="E38" i="150"/>
  <c r="D38" i="150"/>
  <c r="C38" i="150"/>
  <c r="B38" i="150"/>
  <c r="M37" i="150"/>
  <c r="L37" i="150"/>
  <c r="K37" i="150"/>
  <c r="J37" i="150"/>
  <c r="I37" i="150"/>
  <c r="H37" i="150"/>
  <c r="G37" i="150"/>
  <c r="F37" i="150"/>
  <c r="E37" i="150"/>
  <c r="D37" i="150"/>
  <c r="C37" i="150"/>
  <c r="B37" i="150"/>
  <c r="M36" i="150"/>
  <c r="L36" i="150"/>
  <c r="K36" i="150"/>
  <c r="J36" i="150"/>
  <c r="I36" i="150"/>
  <c r="H36" i="150"/>
  <c r="G36" i="150"/>
  <c r="F36" i="150"/>
  <c r="E36" i="150"/>
  <c r="D36" i="150"/>
  <c r="C36" i="150"/>
  <c r="B36" i="150"/>
  <c r="M35" i="150"/>
  <c r="L35" i="150"/>
  <c r="K35" i="150"/>
  <c r="J35" i="150"/>
  <c r="I35" i="150"/>
  <c r="H35" i="150"/>
  <c r="G35" i="150"/>
  <c r="F35" i="150"/>
  <c r="E35" i="150"/>
  <c r="D35" i="150"/>
  <c r="C35" i="150"/>
  <c r="B35" i="150"/>
  <c r="M34" i="150"/>
  <c r="L34" i="150"/>
  <c r="K34" i="150"/>
  <c r="J34" i="150"/>
  <c r="I34" i="150"/>
  <c r="H34" i="150"/>
  <c r="G34" i="150"/>
  <c r="F34" i="150"/>
  <c r="E34" i="150"/>
  <c r="D34" i="150"/>
  <c r="C34" i="150"/>
  <c r="B34" i="150"/>
  <c r="M33" i="150"/>
  <c r="L33" i="150"/>
  <c r="K33" i="150"/>
  <c r="J33" i="150"/>
  <c r="I33" i="150"/>
  <c r="H33" i="150"/>
  <c r="G33" i="150"/>
  <c r="F33" i="150"/>
  <c r="E33" i="150"/>
  <c r="D33" i="150"/>
  <c r="C33" i="150"/>
  <c r="N30" i="150"/>
  <c r="N41" i="150" s="1"/>
  <c r="P41" i="150" s="1"/>
  <c r="N29" i="150"/>
  <c r="P29" i="150" s="1"/>
  <c r="N28" i="150"/>
  <c r="N39" i="150" s="1"/>
  <c r="P39" i="150" s="1"/>
  <c r="N27" i="150"/>
  <c r="N38" i="150" s="1"/>
  <c r="P38" i="150" s="1"/>
  <c r="N26" i="150"/>
  <c r="N37" i="150" s="1"/>
  <c r="P37" i="150" s="1"/>
  <c r="N25" i="150"/>
  <c r="N36" i="150" s="1"/>
  <c r="P36" i="150" s="1"/>
  <c r="N24" i="150"/>
  <c r="N35" i="150" s="1"/>
  <c r="P35" i="150" s="1"/>
  <c r="N23" i="150"/>
  <c r="N34" i="150" s="1"/>
  <c r="P34" i="150" s="1"/>
  <c r="N22" i="150"/>
  <c r="N19" i="150"/>
  <c r="P19" i="150" s="1"/>
  <c r="N18" i="150"/>
  <c r="P18" i="150" s="1"/>
  <c r="N17" i="150"/>
  <c r="P17" i="150" s="1"/>
  <c r="N16" i="150"/>
  <c r="P16" i="150" s="1"/>
  <c r="N15" i="150"/>
  <c r="P15" i="150" s="1"/>
  <c r="N14" i="150"/>
  <c r="P14" i="150" s="1"/>
  <c r="N13" i="150"/>
  <c r="P13" i="150" s="1"/>
  <c r="N12" i="150"/>
  <c r="P12" i="150" s="1"/>
  <c r="N11" i="150"/>
  <c r="P11" i="150" s="1"/>
  <c r="M13" i="149"/>
  <c r="M16" i="149" s="1"/>
  <c r="L13" i="149"/>
  <c r="L16" i="149" s="1"/>
  <c r="K13" i="149"/>
  <c r="K16" i="149" s="1"/>
  <c r="J13" i="149"/>
  <c r="J16" i="149" s="1"/>
  <c r="I13" i="149"/>
  <c r="I16" i="149" s="1"/>
  <c r="H13" i="149"/>
  <c r="H16" i="149" s="1"/>
  <c r="G13" i="149"/>
  <c r="G16" i="149" s="1"/>
  <c r="F13" i="149"/>
  <c r="F16" i="149" s="1"/>
  <c r="E13" i="149"/>
  <c r="E16" i="149" s="1"/>
  <c r="D13" i="149"/>
  <c r="D16" i="149" s="1"/>
  <c r="C13" i="149"/>
  <c r="C16" i="149" s="1"/>
  <c r="N12" i="149"/>
  <c r="P12" i="149" s="1"/>
  <c r="N11" i="149"/>
  <c r="P11" i="149" s="1"/>
  <c r="N10" i="149"/>
  <c r="P10" i="149" s="1"/>
  <c r="N9" i="149"/>
  <c r="P9" i="149" s="1"/>
  <c r="N25" i="152" l="1"/>
  <c r="N33" i="150"/>
  <c r="P33" i="150" s="1"/>
  <c r="P25" i="152"/>
  <c r="P25" i="150"/>
  <c r="N40" i="150"/>
  <c r="P40" i="150" s="1"/>
  <c r="P28" i="150"/>
  <c r="P24" i="150"/>
  <c r="N13" i="149"/>
  <c r="N16" i="149" s="1"/>
  <c r="P16" i="149" s="1"/>
  <c r="P26" i="150"/>
  <c r="P30" i="150"/>
  <c r="P23" i="150"/>
  <c r="P27" i="150"/>
  <c r="P22" i="150"/>
  <c r="P13" i="149" l="1"/>
  <c r="H8" i="115"/>
  <c r="G8" i="115"/>
  <c r="G3" i="104" l="1"/>
  <c r="C3" i="104"/>
  <c r="L4" i="148" l="1"/>
  <c r="O4" i="115"/>
  <c r="L4" i="114"/>
  <c r="J4" i="93"/>
  <c r="I4" i="91"/>
  <c r="G4" i="104"/>
  <c r="F4" i="148"/>
  <c r="H4" i="115"/>
  <c r="F4" i="114"/>
  <c r="G4" i="93"/>
  <c r="F4" i="92"/>
  <c r="E4" i="91"/>
  <c r="C4" i="104"/>
  <c r="K25" i="148" l="1"/>
  <c r="F25" i="148"/>
  <c r="K24" i="148"/>
  <c r="F24" i="148"/>
  <c r="K23" i="148"/>
  <c r="F23" i="148"/>
  <c r="K22" i="148"/>
  <c r="F22" i="148"/>
  <c r="K21" i="148"/>
  <c r="F21" i="148"/>
  <c r="K20" i="148"/>
  <c r="F20" i="148"/>
  <c r="K19" i="148"/>
  <c r="F19" i="148"/>
  <c r="K18" i="148"/>
  <c r="F18" i="148"/>
  <c r="K17" i="148"/>
  <c r="F17" i="148"/>
  <c r="K16" i="148"/>
  <c r="F16" i="148"/>
  <c r="K15" i="148"/>
  <c r="F15" i="148"/>
  <c r="K14" i="148"/>
  <c r="F14" i="148"/>
  <c r="K13" i="148"/>
  <c r="F13" i="148"/>
  <c r="K12" i="148"/>
  <c r="F12" i="148"/>
  <c r="K11" i="148"/>
  <c r="F11" i="148"/>
  <c r="K10" i="148"/>
  <c r="F10" i="148"/>
  <c r="K9" i="148"/>
  <c r="F9" i="148"/>
  <c r="K8" i="148"/>
  <c r="F8" i="148"/>
  <c r="K7" i="148"/>
  <c r="F7" i="148"/>
  <c r="L8" i="148" s="1"/>
  <c r="A4" i="148"/>
  <c r="L3" i="148"/>
  <c r="F3" i="148"/>
  <c r="A3" i="148"/>
  <c r="N23" i="148" l="1"/>
  <c r="M18" i="148"/>
  <c r="L13" i="148"/>
  <c r="M22" i="148"/>
  <c r="L17" i="148"/>
  <c r="N11" i="148"/>
  <c r="N7" i="148"/>
  <c r="L21" i="148"/>
  <c r="N15" i="148"/>
  <c r="M10" i="148"/>
  <c r="L25" i="148"/>
  <c r="N19" i="148"/>
  <c r="M14" i="148"/>
  <c r="L9" i="148"/>
  <c r="M7" i="148"/>
  <c r="N24" i="148"/>
  <c r="M23" i="148"/>
  <c r="L22" i="148"/>
  <c r="N20" i="148"/>
  <c r="M19" i="148"/>
  <c r="L18" i="148"/>
  <c r="N16" i="148"/>
  <c r="M15" i="148"/>
  <c r="L14" i="148"/>
  <c r="N12" i="148"/>
  <c r="M11" i="148"/>
  <c r="L10" i="148"/>
  <c r="N8" i="148"/>
  <c r="N25" i="148"/>
  <c r="M24" i="148"/>
  <c r="L23" i="148"/>
  <c r="N21" i="148"/>
  <c r="M20" i="148"/>
  <c r="L19" i="148"/>
  <c r="N17" i="148"/>
  <c r="M16" i="148"/>
  <c r="L15" i="148"/>
  <c r="N13" i="148"/>
  <c r="M12" i="148"/>
  <c r="L11" i="148"/>
  <c r="N9" i="148"/>
  <c r="M8" i="148"/>
  <c r="L7" i="148"/>
  <c r="M25" i="148"/>
  <c r="L24" i="148"/>
  <c r="N22" i="148"/>
  <c r="M21" i="148"/>
  <c r="L20" i="148"/>
  <c r="N18" i="148"/>
  <c r="M17" i="148"/>
  <c r="L16" i="148"/>
  <c r="N14" i="148"/>
  <c r="M13" i="148"/>
  <c r="L12" i="148"/>
  <c r="N10" i="148"/>
  <c r="M9" i="148"/>
  <c r="A4" i="115" l="1"/>
  <c r="H3" i="115"/>
  <c r="O3" i="115"/>
  <c r="A4" i="114"/>
  <c r="F3" i="114"/>
  <c r="L3" i="114"/>
  <c r="A4" i="93"/>
  <c r="G3" i="93"/>
  <c r="J3" i="93"/>
  <c r="A4" i="92"/>
  <c r="F3" i="92"/>
  <c r="J3" i="92"/>
  <c r="A4" i="91"/>
  <c r="E3" i="91"/>
  <c r="I3" i="91"/>
  <c r="A3" i="104" l="1"/>
  <c r="O13" i="93" l="1"/>
  <c r="O36" i="115" l="1"/>
  <c r="L36" i="115"/>
  <c r="I36" i="115"/>
  <c r="F36" i="115"/>
  <c r="C36" i="115"/>
  <c r="B36" i="115"/>
  <c r="P36" i="115" s="1"/>
  <c r="S35" i="115"/>
  <c r="R35" i="115"/>
  <c r="P35" i="115"/>
  <c r="M35" i="115"/>
  <c r="J35" i="115"/>
  <c r="G35" i="115"/>
  <c r="D35" i="115"/>
  <c r="S34" i="115"/>
  <c r="R34" i="115"/>
  <c r="P34" i="115"/>
  <c r="M34" i="115"/>
  <c r="J34" i="115"/>
  <c r="G34" i="115"/>
  <c r="D34" i="115"/>
  <c r="S33" i="115"/>
  <c r="R33" i="115"/>
  <c r="P33" i="115"/>
  <c r="M33" i="115"/>
  <c r="J33" i="115"/>
  <c r="G33" i="115"/>
  <c r="D33" i="115"/>
  <c r="S32" i="115"/>
  <c r="R32" i="115"/>
  <c r="P32" i="115"/>
  <c r="M32" i="115"/>
  <c r="J32" i="115"/>
  <c r="G32" i="115"/>
  <c r="D32" i="115"/>
  <c r="S31" i="115"/>
  <c r="R31" i="115"/>
  <c r="P31" i="115"/>
  <c r="M31" i="115"/>
  <c r="J31" i="115"/>
  <c r="G31" i="115"/>
  <c r="D31" i="115"/>
  <c r="S30" i="115"/>
  <c r="R30" i="115"/>
  <c r="P30" i="115"/>
  <c r="M30" i="115"/>
  <c r="J30" i="115"/>
  <c r="G30" i="115"/>
  <c r="D30" i="115"/>
  <c r="S29" i="115"/>
  <c r="R29" i="115"/>
  <c r="P29" i="115"/>
  <c r="M29" i="115"/>
  <c r="J29" i="115"/>
  <c r="G29" i="115"/>
  <c r="D29" i="115"/>
  <c r="S28" i="115"/>
  <c r="R28" i="115"/>
  <c r="P28" i="115"/>
  <c r="M28" i="115"/>
  <c r="J28" i="115"/>
  <c r="G28" i="115"/>
  <c r="D28" i="115"/>
  <c r="S27" i="115"/>
  <c r="R27" i="115"/>
  <c r="P27" i="115"/>
  <c r="M27" i="115"/>
  <c r="J27" i="115"/>
  <c r="G27" i="115"/>
  <c r="D27" i="115"/>
  <c r="S26" i="115"/>
  <c r="R26" i="115"/>
  <c r="P26" i="115"/>
  <c r="M26" i="115"/>
  <c r="J26" i="115"/>
  <c r="G26" i="115"/>
  <c r="D26" i="115"/>
  <c r="S25" i="115"/>
  <c r="R25" i="115"/>
  <c r="P25" i="115"/>
  <c r="M25" i="115"/>
  <c r="J25" i="115"/>
  <c r="G25" i="115"/>
  <c r="D25" i="115"/>
  <c r="S24" i="115"/>
  <c r="R24" i="115"/>
  <c r="P24" i="115"/>
  <c r="M24" i="115"/>
  <c r="J24" i="115"/>
  <c r="G24" i="115"/>
  <c r="D24" i="115"/>
  <c r="A3" i="115"/>
  <c r="S36" i="115" l="1"/>
  <c r="R36" i="115"/>
  <c r="M36" i="115"/>
  <c r="G36" i="115"/>
  <c r="D36" i="115"/>
  <c r="J36" i="115"/>
  <c r="A3" i="114" l="1"/>
  <c r="D23" i="116"/>
  <c r="C23" i="116"/>
  <c r="B23" i="116"/>
  <c r="M22" i="116"/>
  <c r="N22" i="116" s="1"/>
  <c r="M21" i="116"/>
  <c r="N21" i="116" s="1"/>
  <c r="M20" i="116"/>
  <c r="N20" i="116" s="1"/>
  <c r="M19" i="116"/>
  <c r="N19" i="116" s="1"/>
  <c r="M18" i="116"/>
  <c r="N18" i="116" s="1"/>
  <c r="M17" i="116"/>
  <c r="N17" i="116" s="1"/>
  <c r="M16" i="116"/>
  <c r="N16" i="116" s="1"/>
  <c r="M15" i="116"/>
  <c r="N15" i="116" s="1"/>
  <c r="M14" i="116"/>
  <c r="N14" i="116" s="1"/>
  <c r="D9" i="116"/>
  <c r="O20" i="115"/>
  <c r="L20" i="115"/>
  <c r="I20" i="115"/>
  <c r="F20" i="115"/>
  <c r="C20" i="115"/>
  <c r="B20" i="115"/>
  <c r="P20" i="115" s="1"/>
  <c r="S19" i="115"/>
  <c r="R19" i="115"/>
  <c r="P19" i="115"/>
  <c r="M19" i="115"/>
  <c r="J19" i="115"/>
  <c r="G19" i="115"/>
  <c r="D19" i="115"/>
  <c r="S18" i="115"/>
  <c r="R18" i="115"/>
  <c r="P18" i="115"/>
  <c r="M18" i="115"/>
  <c r="J18" i="115"/>
  <c r="G18" i="115"/>
  <c r="D18" i="115"/>
  <c r="S17" i="115"/>
  <c r="R17" i="115"/>
  <c r="P17" i="115"/>
  <c r="M17" i="115"/>
  <c r="J17" i="115"/>
  <c r="G17" i="115"/>
  <c r="D17" i="115"/>
  <c r="S16" i="115"/>
  <c r="R16" i="115"/>
  <c r="P16" i="115"/>
  <c r="M16" i="115"/>
  <c r="J16" i="115"/>
  <c r="G16" i="115"/>
  <c r="D16" i="115"/>
  <c r="S15" i="115"/>
  <c r="R15" i="115"/>
  <c r="P15" i="115"/>
  <c r="M15" i="115"/>
  <c r="J15" i="115"/>
  <c r="G15" i="115"/>
  <c r="D15" i="115"/>
  <c r="S14" i="115"/>
  <c r="R14" i="115"/>
  <c r="P14" i="115"/>
  <c r="M14" i="115"/>
  <c r="J14" i="115"/>
  <c r="G14" i="115"/>
  <c r="D14" i="115"/>
  <c r="S13" i="115"/>
  <c r="R13" i="115"/>
  <c r="P13" i="115"/>
  <c r="M13" i="115"/>
  <c r="J13" i="115"/>
  <c r="G13" i="115"/>
  <c r="D13" i="115"/>
  <c r="S12" i="115"/>
  <c r="R12" i="115"/>
  <c r="P12" i="115"/>
  <c r="M12" i="115"/>
  <c r="J12" i="115"/>
  <c r="G12" i="115"/>
  <c r="D12" i="115"/>
  <c r="S11" i="115"/>
  <c r="R11" i="115"/>
  <c r="P11" i="115"/>
  <c r="M11" i="115"/>
  <c r="J11" i="115"/>
  <c r="G11" i="115"/>
  <c r="D11" i="115"/>
  <c r="S10" i="115"/>
  <c r="R10" i="115"/>
  <c r="P10" i="115"/>
  <c r="M10" i="115"/>
  <c r="J10" i="115"/>
  <c r="G10" i="115"/>
  <c r="D10" i="115"/>
  <c r="S9" i="115"/>
  <c r="R9" i="115"/>
  <c r="P9" i="115"/>
  <c r="M9" i="115"/>
  <c r="J9" i="115"/>
  <c r="G9" i="115"/>
  <c r="D9" i="115"/>
  <c r="S8" i="115"/>
  <c r="R8" i="115"/>
  <c r="P8" i="115"/>
  <c r="M8" i="115"/>
  <c r="J8" i="115"/>
  <c r="D8" i="115"/>
  <c r="O20" i="114"/>
  <c r="N20" i="114"/>
  <c r="M20" i="114"/>
  <c r="L20" i="114"/>
  <c r="K20" i="114"/>
  <c r="P20" i="114" s="1"/>
  <c r="F20" i="114"/>
  <c r="O19" i="114"/>
  <c r="N19" i="114"/>
  <c r="M19" i="114"/>
  <c r="L19" i="114"/>
  <c r="K19" i="114"/>
  <c r="P19" i="114" s="1"/>
  <c r="F19" i="114"/>
  <c r="O18" i="114"/>
  <c r="N18" i="114"/>
  <c r="M18" i="114"/>
  <c r="L18" i="114"/>
  <c r="K18" i="114"/>
  <c r="P18" i="114" s="1"/>
  <c r="F18" i="114"/>
  <c r="O17" i="114"/>
  <c r="N17" i="114"/>
  <c r="M17" i="114"/>
  <c r="L17" i="114"/>
  <c r="K17" i="114"/>
  <c r="P17" i="114" s="1"/>
  <c r="F17" i="114"/>
  <c r="O16" i="114"/>
  <c r="N16" i="114"/>
  <c r="M16" i="114"/>
  <c r="L16" i="114"/>
  <c r="K16" i="114"/>
  <c r="P16" i="114" s="1"/>
  <c r="F16" i="114"/>
  <c r="O15" i="114"/>
  <c r="N15" i="114"/>
  <c r="M15" i="114"/>
  <c r="L15" i="114"/>
  <c r="K15" i="114"/>
  <c r="P15" i="114" s="1"/>
  <c r="F15" i="114"/>
  <c r="O14" i="114"/>
  <c r="N14" i="114"/>
  <c r="M14" i="114"/>
  <c r="L14" i="114"/>
  <c r="K14" i="114"/>
  <c r="P14" i="114" s="1"/>
  <c r="F14" i="114"/>
  <c r="O13" i="114"/>
  <c r="N13" i="114"/>
  <c r="M13" i="114"/>
  <c r="L13" i="114"/>
  <c r="K13" i="114"/>
  <c r="P13" i="114" s="1"/>
  <c r="F13" i="114"/>
  <c r="O12" i="114"/>
  <c r="N12" i="114"/>
  <c r="M12" i="114"/>
  <c r="L12" i="114"/>
  <c r="K12" i="114"/>
  <c r="P12" i="114" s="1"/>
  <c r="F12" i="114"/>
  <c r="O11" i="114"/>
  <c r="N11" i="114"/>
  <c r="M11" i="114"/>
  <c r="L11" i="114"/>
  <c r="K11" i="114"/>
  <c r="P11" i="114" s="1"/>
  <c r="F11" i="114"/>
  <c r="O10" i="114"/>
  <c r="N10" i="114"/>
  <c r="M10" i="114"/>
  <c r="L10" i="114"/>
  <c r="K10" i="114"/>
  <c r="P10" i="114" s="1"/>
  <c r="F10" i="114"/>
  <c r="O9" i="114"/>
  <c r="N9" i="114"/>
  <c r="M9" i="114"/>
  <c r="L9" i="114"/>
  <c r="K9" i="114"/>
  <c r="P9" i="114" s="1"/>
  <c r="F9" i="114"/>
  <c r="O8" i="114"/>
  <c r="N8" i="114"/>
  <c r="M8" i="114"/>
  <c r="L8" i="114"/>
  <c r="K8" i="114"/>
  <c r="P8" i="114" s="1"/>
  <c r="F8" i="114"/>
  <c r="O7" i="114"/>
  <c r="N7" i="114"/>
  <c r="M7" i="114"/>
  <c r="K7" i="114"/>
  <c r="F7" i="114"/>
  <c r="E11" i="116" l="1"/>
  <c r="E12" i="116"/>
  <c r="F12" i="116" s="1"/>
  <c r="P7" i="114"/>
  <c r="F11" i="116"/>
  <c r="I23" i="116"/>
  <c r="E14" i="116"/>
  <c r="F14" i="116" s="1"/>
  <c r="E18" i="116"/>
  <c r="F18" i="116" s="1"/>
  <c r="E22" i="116"/>
  <c r="F22" i="116" s="1"/>
  <c r="E20" i="116"/>
  <c r="F20" i="116" s="1"/>
  <c r="E23" i="116"/>
  <c r="E13" i="116"/>
  <c r="F13" i="116" s="1"/>
  <c r="E17" i="116"/>
  <c r="F17" i="116" s="1"/>
  <c r="E21" i="116"/>
  <c r="F21" i="116" s="1"/>
  <c r="E16" i="116"/>
  <c r="F16" i="116" s="1"/>
  <c r="E19" i="116"/>
  <c r="F19" i="116" s="1"/>
  <c r="E15" i="116"/>
  <c r="F15" i="116" s="1"/>
  <c r="G11" i="116"/>
  <c r="H11" i="116" s="1"/>
  <c r="K13" i="116"/>
  <c r="L13" i="116" s="1"/>
  <c r="K11" i="116"/>
  <c r="L11" i="116" s="1"/>
  <c r="Q35" i="115"/>
  <c r="Q31" i="115"/>
  <c r="Q27" i="115"/>
  <c r="Q34" i="115"/>
  <c r="Q30" i="115"/>
  <c r="Q26" i="115"/>
  <c r="Q33" i="115"/>
  <c r="Q29" i="115"/>
  <c r="Q25" i="115"/>
  <c r="Q32" i="115"/>
  <c r="Q28" i="115"/>
  <c r="Q24" i="115"/>
  <c r="I22" i="116"/>
  <c r="J22" i="116" s="1"/>
  <c r="I14" i="116"/>
  <c r="J14" i="116" s="1"/>
  <c r="G19" i="116"/>
  <c r="H19" i="116" s="1"/>
  <c r="K21" i="116"/>
  <c r="L21" i="116" s="1"/>
  <c r="R20" i="115"/>
  <c r="G13" i="116"/>
  <c r="H13" i="116" s="1"/>
  <c r="K15" i="116"/>
  <c r="L15" i="116" s="1"/>
  <c r="I16" i="116"/>
  <c r="J16" i="116" s="1"/>
  <c r="G21" i="116"/>
  <c r="H21" i="116" s="1"/>
  <c r="G15" i="116"/>
  <c r="H15" i="116" s="1"/>
  <c r="K17" i="116"/>
  <c r="L17" i="116" s="1"/>
  <c r="I18" i="116"/>
  <c r="J18" i="116" s="1"/>
  <c r="I12" i="116"/>
  <c r="J12" i="116" s="1"/>
  <c r="G17" i="116"/>
  <c r="H17" i="116" s="1"/>
  <c r="K19" i="116"/>
  <c r="L19" i="116" s="1"/>
  <c r="I20" i="116"/>
  <c r="J20" i="116" s="1"/>
  <c r="Q16" i="115"/>
  <c r="Q12" i="115"/>
  <c r="Q8" i="115"/>
  <c r="Q17" i="115"/>
  <c r="Q13" i="115"/>
  <c r="Q9" i="115"/>
  <c r="Q18" i="115"/>
  <c r="Q14" i="115"/>
  <c r="Q10" i="115"/>
  <c r="Q19" i="115"/>
  <c r="Q15" i="115"/>
  <c r="Q11" i="115"/>
  <c r="G20" i="115"/>
  <c r="M20" i="115"/>
  <c r="S20" i="115"/>
  <c r="G23" i="116"/>
  <c r="K23" i="116"/>
  <c r="I11" i="116"/>
  <c r="J11" i="116" s="1"/>
  <c r="G12" i="116"/>
  <c r="H12" i="116" s="1"/>
  <c r="K12" i="116"/>
  <c r="L12" i="116" s="1"/>
  <c r="I13" i="116"/>
  <c r="J13" i="116" s="1"/>
  <c r="G14" i="116"/>
  <c r="H14" i="116" s="1"/>
  <c r="K14" i="116"/>
  <c r="L14" i="116" s="1"/>
  <c r="I15" i="116"/>
  <c r="J15" i="116" s="1"/>
  <c r="G16" i="116"/>
  <c r="H16" i="116" s="1"/>
  <c r="K16" i="116"/>
  <c r="L16" i="116" s="1"/>
  <c r="I17" i="116"/>
  <c r="J17" i="116" s="1"/>
  <c r="G18" i="116"/>
  <c r="H18" i="116" s="1"/>
  <c r="K18" i="116"/>
  <c r="L18" i="116" s="1"/>
  <c r="I19" i="116"/>
  <c r="J19" i="116" s="1"/>
  <c r="G20" i="116"/>
  <c r="H20" i="116" s="1"/>
  <c r="K20" i="116"/>
  <c r="L20" i="116" s="1"/>
  <c r="I21" i="116"/>
  <c r="J21" i="116" s="1"/>
  <c r="G22" i="116"/>
  <c r="H22" i="116" s="1"/>
  <c r="K22" i="116"/>
  <c r="L22" i="116" s="1"/>
  <c r="D20" i="115"/>
  <c r="J20" i="115"/>
  <c r="M11" i="116" l="1"/>
  <c r="N11" i="116" s="1"/>
  <c r="M12" i="116"/>
  <c r="N12" i="116" s="1"/>
  <c r="M13" i="116"/>
  <c r="N13" i="116" s="1"/>
  <c r="L23" i="116"/>
  <c r="K35" i="115"/>
  <c r="K31" i="115"/>
  <c r="K27" i="115"/>
  <c r="K28" i="115"/>
  <c r="K34" i="115"/>
  <c r="K30" i="115"/>
  <c r="K26" i="115"/>
  <c r="K33" i="115"/>
  <c r="K29" i="115"/>
  <c r="K25" i="115"/>
  <c r="K32" i="115"/>
  <c r="K24" i="115"/>
  <c r="T32" i="115"/>
  <c r="T28" i="115"/>
  <c r="T24" i="115"/>
  <c r="T25" i="115"/>
  <c r="T36" i="115"/>
  <c r="T35" i="115"/>
  <c r="T31" i="115"/>
  <c r="T27" i="115"/>
  <c r="T34" i="115"/>
  <c r="T30" i="115"/>
  <c r="T26" i="115"/>
  <c r="T33" i="115"/>
  <c r="T29" i="115"/>
  <c r="E8" i="115"/>
  <c r="E35" i="115"/>
  <c r="E31" i="115"/>
  <c r="E27" i="115"/>
  <c r="E32" i="115"/>
  <c r="E24" i="115"/>
  <c r="E34" i="115"/>
  <c r="E30" i="115"/>
  <c r="E26" i="115"/>
  <c r="E33" i="115"/>
  <c r="E29" i="115"/>
  <c r="E25" i="115"/>
  <c r="E28" i="115"/>
  <c r="N33" i="115"/>
  <c r="N29" i="115"/>
  <c r="N25" i="115"/>
  <c r="N30" i="115"/>
  <c r="N26" i="115"/>
  <c r="N32" i="115"/>
  <c r="N28" i="115"/>
  <c r="N24" i="115"/>
  <c r="N35" i="115"/>
  <c r="N31" i="115"/>
  <c r="N27" i="115"/>
  <c r="N34" i="115"/>
  <c r="H33" i="115"/>
  <c r="H29" i="115"/>
  <c r="H25" i="115"/>
  <c r="H34" i="115"/>
  <c r="H30" i="115"/>
  <c r="H32" i="115"/>
  <c r="H28" i="115"/>
  <c r="H24" i="115"/>
  <c r="H35" i="115"/>
  <c r="H31" i="115"/>
  <c r="H27" i="115"/>
  <c r="H26" i="115"/>
  <c r="H23" i="116"/>
  <c r="T17" i="115"/>
  <c r="T13" i="115"/>
  <c r="T9" i="115"/>
  <c r="T18" i="115"/>
  <c r="T14" i="115"/>
  <c r="T10" i="115"/>
  <c r="T19" i="115"/>
  <c r="T15" i="115"/>
  <c r="T11" i="115"/>
  <c r="T16" i="115"/>
  <c r="T12" i="115"/>
  <c r="T8" i="115"/>
  <c r="H18" i="115"/>
  <c r="H14" i="115"/>
  <c r="H10" i="115"/>
  <c r="H19" i="115"/>
  <c r="H15" i="115"/>
  <c r="H11" i="115"/>
  <c r="H16" i="115"/>
  <c r="H12" i="115"/>
  <c r="H17" i="115"/>
  <c r="H13" i="115"/>
  <c r="H9" i="115"/>
  <c r="K16" i="115"/>
  <c r="K12" i="115"/>
  <c r="K8" i="115"/>
  <c r="K17" i="115"/>
  <c r="K13" i="115"/>
  <c r="K9" i="115"/>
  <c r="K18" i="115"/>
  <c r="K14" i="115"/>
  <c r="K10" i="115"/>
  <c r="K19" i="115"/>
  <c r="K15" i="115"/>
  <c r="K11" i="115"/>
  <c r="E16" i="115"/>
  <c r="E12" i="115"/>
  <c r="E17" i="115"/>
  <c r="E13" i="115"/>
  <c r="E9" i="115"/>
  <c r="E18" i="115"/>
  <c r="E14" i="115"/>
  <c r="E10" i="115"/>
  <c r="E19" i="115"/>
  <c r="E15" i="115"/>
  <c r="E11" i="115"/>
  <c r="N18" i="115"/>
  <c r="N14" i="115"/>
  <c r="N10" i="115"/>
  <c r="N19" i="115"/>
  <c r="N15" i="115"/>
  <c r="N11" i="115"/>
  <c r="N16" i="115"/>
  <c r="N12" i="115"/>
  <c r="N8" i="115"/>
  <c r="N17" i="115"/>
  <c r="N13" i="115"/>
  <c r="N9" i="115"/>
  <c r="J23" i="116"/>
  <c r="F23" i="116"/>
  <c r="G64" i="92" l="1"/>
  <c r="E64" i="92"/>
  <c r="D64" i="92"/>
  <c r="B64" i="92"/>
  <c r="H64" i="92"/>
  <c r="M50" i="92"/>
  <c r="I50" i="92"/>
  <c r="G46" i="92"/>
  <c r="E46" i="92"/>
  <c r="D46" i="92"/>
  <c r="B46" i="92"/>
  <c r="H46" i="92"/>
  <c r="M32" i="92"/>
  <c r="I32" i="92"/>
  <c r="G78" i="91"/>
  <c r="E78" i="91"/>
  <c r="D78" i="91"/>
  <c r="B78" i="91"/>
  <c r="F77" i="91"/>
  <c r="C77" i="91"/>
  <c r="F76" i="91"/>
  <c r="C76" i="91"/>
  <c r="F75" i="91"/>
  <c r="C75" i="91"/>
  <c r="F74" i="91"/>
  <c r="C74" i="91"/>
  <c r="F73" i="91"/>
  <c r="C73" i="91"/>
  <c r="F72" i="91"/>
  <c r="C72" i="91"/>
  <c r="F71" i="91"/>
  <c r="C71" i="91"/>
  <c r="F70" i="91"/>
  <c r="C70" i="91"/>
  <c r="F69" i="91"/>
  <c r="C69" i="91"/>
  <c r="F68" i="91"/>
  <c r="C68" i="91"/>
  <c r="F67" i="91"/>
  <c r="C67" i="91"/>
  <c r="J66" i="91"/>
  <c r="J67" i="91" s="1"/>
  <c r="H66" i="91"/>
  <c r="H67" i="91" s="1"/>
  <c r="H68" i="91" s="1"/>
  <c r="H69" i="91" s="1"/>
  <c r="H70" i="91" s="1"/>
  <c r="H71" i="91" s="1"/>
  <c r="H72" i="91" s="1"/>
  <c r="H73" i="91" s="1"/>
  <c r="H74" i="91" s="1"/>
  <c r="H75" i="91" s="1"/>
  <c r="H76" i="91" s="1"/>
  <c r="H77" i="91" s="1"/>
  <c r="H78" i="91" s="1"/>
  <c r="F66" i="91"/>
  <c r="C66" i="91"/>
  <c r="K66" i="91"/>
  <c r="L66" i="91" s="1"/>
  <c r="I65" i="91"/>
  <c r="G61" i="91"/>
  <c r="E61" i="91"/>
  <c r="D61" i="91"/>
  <c r="B61" i="91"/>
  <c r="F60" i="91"/>
  <c r="C60" i="91"/>
  <c r="F59" i="91"/>
  <c r="C59" i="91"/>
  <c r="F58" i="91"/>
  <c r="C58" i="91"/>
  <c r="F57" i="91"/>
  <c r="C57" i="91"/>
  <c r="F56" i="91"/>
  <c r="C56" i="91"/>
  <c r="F55" i="91"/>
  <c r="C55" i="91"/>
  <c r="F54" i="91"/>
  <c r="C54" i="91"/>
  <c r="F53" i="91"/>
  <c r="C53" i="91"/>
  <c r="F52" i="91"/>
  <c r="C52" i="91"/>
  <c r="F51" i="91"/>
  <c r="C51" i="91"/>
  <c r="F50" i="91"/>
  <c r="C50" i="91"/>
  <c r="J49" i="91"/>
  <c r="J50" i="91" s="1"/>
  <c r="H49" i="91"/>
  <c r="H50" i="91" s="1"/>
  <c r="H51" i="91" s="1"/>
  <c r="H52" i="91" s="1"/>
  <c r="H53" i="91" s="1"/>
  <c r="H54" i="91" s="1"/>
  <c r="H55" i="91" s="1"/>
  <c r="H56" i="91" s="1"/>
  <c r="H57" i="91" s="1"/>
  <c r="H58" i="91" s="1"/>
  <c r="H59" i="91" s="1"/>
  <c r="H60" i="91" s="1"/>
  <c r="H61" i="91" s="1"/>
  <c r="F49" i="91"/>
  <c r="C49" i="91"/>
  <c r="M48" i="91"/>
  <c r="K49" i="91" s="1"/>
  <c r="L49" i="91" s="1"/>
  <c r="I48" i="91"/>
  <c r="G44" i="91"/>
  <c r="E44" i="91"/>
  <c r="D44" i="91"/>
  <c r="B44" i="91"/>
  <c r="F43" i="91"/>
  <c r="C43" i="91"/>
  <c r="F42" i="91"/>
  <c r="C42" i="91"/>
  <c r="F41" i="91"/>
  <c r="C41" i="91"/>
  <c r="F40" i="91"/>
  <c r="C40" i="91"/>
  <c r="F39" i="91"/>
  <c r="C39" i="91"/>
  <c r="F38" i="91"/>
  <c r="C38" i="91"/>
  <c r="F37" i="91"/>
  <c r="C37" i="91"/>
  <c r="F36" i="91"/>
  <c r="C36" i="91"/>
  <c r="F35" i="91"/>
  <c r="C35" i="91"/>
  <c r="F34" i="91"/>
  <c r="C34" i="91"/>
  <c r="F33" i="91"/>
  <c r="C33" i="91"/>
  <c r="J32" i="91"/>
  <c r="J33" i="91" s="1"/>
  <c r="H32" i="91"/>
  <c r="H33" i="91" s="1"/>
  <c r="H34" i="91" s="1"/>
  <c r="H35" i="91" s="1"/>
  <c r="H36" i="91" s="1"/>
  <c r="H37" i="91" s="1"/>
  <c r="H38" i="91" s="1"/>
  <c r="H39" i="91" s="1"/>
  <c r="H40" i="91" s="1"/>
  <c r="H41" i="91" s="1"/>
  <c r="H42" i="91" s="1"/>
  <c r="H43" i="91" s="1"/>
  <c r="H44" i="91" s="1"/>
  <c r="F32" i="91"/>
  <c r="C32" i="91"/>
  <c r="K32" i="91"/>
  <c r="L32" i="91" s="1"/>
  <c r="I31" i="91"/>
  <c r="I14" i="91"/>
  <c r="F16" i="91"/>
  <c r="F17" i="91"/>
  <c r="F18" i="91"/>
  <c r="F19" i="91"/>
  <c r="F20" i="91"/>
  <c r="F21" i="91"/>
  <c r="F22" i="91"/>
  <c r="F23" i="91"/>
  <c r="F24" i="91"/>
  <c r="F25" i="91"/>
  <c r="F26" i="91"/>
  <c r="C16" i="91"/>
  <c r="C17" i="91"/>
  <c r="C18" i="91"/>
  <c r="C19" i="91"/>
  <c r="C20" i="91"/>
  <c r="C21" i="91"/>
  <c r="C22" i="91"/>
  <c r="C23" i="91"/>
  <c r="C24" i="91"/>
  <c r="C25" i="91"/>
  <c r="C26" i="91"/>
  <c r="F64" i="92" l="1"/>
  <c r="C78" i="91"/>
  <c r="F46" i="92"/>
  <c r="C46" i="92"/>
  <c r="L46" i="92"/>
  <c r="F44" i="91"/>
  <c r="I49" i="91"/>
  <c r="F78" i="91"/>
  <c r="I50" i="91"/>
  <c r="J51" i="91"/>
  <c r="J52" i="91" s="1"/>
  <c r="J53" i="91" s="1"/>
  <c r="I53" i="91" s="1"/>
  <c r="M32" i="91"/>
  <c r="C61" i="91"/>
  <c r="L64" i="92"/>
  <c r="M64" i="92"/>
  <c r="C44" i="91"/>
  <c r="F61" i="91"/>
  <c r="M46" i="92"/>
  <c r="N46" i="92"/>
  <c r="C64" i="92"/>
  <c r="N64" i="92"/>
  <c r="N66" i="91"/>
  <c r="J68" i="91"/>
  <c r="I67" i="91"/>
  <c r="I66" i="91"/>
  <c r="M66" i="91"/>
  <c r="N49" i="91"/>
  <c r="M49" i="91"/>
  <c r="K33" i="91"/>
  <c r="L33" i="91" s="1"/>
  <c r="N33" i="91" s="1"/>
  <c r="I33" i="91"/>
  <c r="J34" i="91"/>
  <c r="N32" i="91"/>
  <c r="I32" i="91"/>
  <c r="J54" i="91" l="1"/>
  <c r="J55" i="91" s="1"/>
  <c r="I51" i="91"/>
  <c r="I52" i="91"/>
  <c r="M33" i="91"/>
  <c r="K34" i="91" s="1"/>
  <c r="L34" i="91" s="1"/>
  <c r="K67" i="91"/>
  <c r="L67" i="91" s="1"/>
  <c r="M67" i="91" s="1"/>
  <c r="I68" i="91"/>
  <c r="J69" i="91"/>
  <c r="K50" i="91"/>
  <c r="L50" i="91" s="1"/>
  <c r="I54" i="91"/>
  <c r="I34" i="91"/>
  <c r="J35" i="91"/>
  <c r="K68" i="91" l="1"/>
  <c r="L68" i="91" s="1"/>
  <c r="N68" i="91" s="1"/>
  <c r="J70" i="91"/>
  <c r="I69" i="91"/>
  <c r="N67" i="91"/>
  <c r="N50" i="91"/>
  <c r="M50" i="91"/>
  <c r="I55" i="91"/>
  <c r="J56" i="91"/>
  <c r="N34" i="91"/>
  <c r="J36" i="91"/>
  <c r="I35" i="91"/>
  <c r="M34" i="91"/>
  <c r="J71" i="91" l="1"/>
  <c r="I70" i="91"/>
  <c r="M68" i="91"/>
  <c r="K51" i="91"/>
  <c r="L51" i="91" s="1"/>
  <c r="J57" i="91"/>
  <c r="I56" i="91"/>
  <c r="K35" i="91"/>
  <c r="L35" i="91" s="1"/>
  <c r="M35" i="91" s="1"/>
  <c r="J37" i="91"/>
  <c r="I36" i="91"/>
  <c r="K69" i="91" l="1"/>
  <c r="L69" i="91" s="1"/>
  <c r="M69" i="91" s="1"/>
  <c r="J72" i="91"/>
  <c r="I71" i="91"/>
  <c r="N51" i="91"/>
  <c r="J58" i="91"/>
  <c r="I57" i="91"/>
  <c r="M51" i="91"/>
  <c r="K36" i="91"/>
  <c r="L36" i="91" s="1"/>
  <c r="N36" i="91" s="1"/>
  <c r="N35" i="91"/>
  <c r="J38" i="91"/>
  <c r="I37" i="91"/>
  <c r="K70" i="91" l="1"/>
  <c r="L70" i="91" s="1"/>
  <c r="N70" i="91" s="1"/>
  <c r="I72" i="91"/>
  <c r="J73" i="91"/>
  <c r="N69" i="91"/>
  <c r="I58" i="91"/>
  <c r="J59" i="91"/>
  <c r="K52" i="91"/>
  <c r="L52" i="91" s="1"/>
  <c r="I38" i="91"/>
  <c r="J39" i="91"/>
  <c r="M36" i="91"/>
  <c r="M70" i="91" l="1"/>
  <c r="J74" i="91"/>
  <c r="I73" i="91"/>
  <c r="I59" i="91"/>
  <c r="J60" i="91"/>
  <c r="N52" i="91"/>
  <c r="M52" i="91"/>
  <c r="I39" i="91"/>
  <c r="J40" i="91"/>
  <c r="K37" i="91"/>
  <c r="L37" i="91" s="1"/>
  <c r="M37" i="91" s="1"/>
  <c r="K71" i="91" l="1"/>
  <c r="L71" i="91" s="1"/>
  <c r="M71" i="91" s="1"/>
  <c r="K72" i="91" s="1"/>
  <c r="L72" i="91" s="1"/>
  <c r="N72" i="91" s="1"/>
  <c r="J75" i="91"/>
  <c r="I74" i="91"/>
  <c r="K53" i="91"/>
  <c r="L53" i="91" s="1"/>
  <c r="M53" i="91" s="1"/>
  <c r="J61" i="91"/>
  <c r="I61" i="91" s="1"/>
  <c r="I60" i="91"/>
  <c r="J41" i="91"/>
  <c r="I40" i="91"/>
  <c r="K38" i="91"/>
  <c r="L38" i="91" s="1"/>
  <c r="N38" i="91" s="1"/>
  <c r="N37" i="91"/>
  <c r="N71" i="91" l="1"/>
  <c r="M38" i="91"/>
  <c r="K39" i="91" s="1"/>
  <c r="L39" i="91" s="1"/>
  <c r="N39" i="91" s="1"/>
  <c r="I75" i="91"/>
  <c r="J76" i="91"/>
  <c r="M72" i="91"/>
  <c r="N53" i="91"/>
  <c r="K54" i="91"/>
  <c r="L54" i="91" s="1"/>
  <c r="N54" i="91" s="1"/>
  <c r="J42" i="91"/>
  <c r="I41" i="91"/>
  <c r="M39" i="91" l="1"/>
  <c r="K40" i="91" s="1"/>
  <c r="L40" i="91" s="1"/>
  <c r="N40" i="91" s="1"/>
  <c r="M54" i="91"/>
  <c r="K55" i="91" s="1"/>
  <c r="L55" i="91" s="1"/>
  <c r="N55" i="91" s="1"/>
  <c r="I76" i="91"/>
  <c r="J77" i="91"/>
  <c r="K73" i="91"/>
  <c r="L73" i="91" s="1"/>
  <c r="N73" i="91" s="1"/>
  <c r="I42" i="91"/>
  <c r="J43" i="91"/>
  <c r="M73" i="91" l="1"/>
  <c r="K74" i="91" s="1"/>
  <c r="L74" i="91" s="1"/>
  <c r="N74" i="91" s="1"/>
  <c r="I77" i="91"/>
  <c r="J78" i="91"/>
  <c r="I78" i="91" s="1"/>
  <c r="M55" i="91"/>
  <c r="M40" i="91"/>
  <c r="I43" i="91"/>
  <c r="J44" i="91"/>
  <c r="I44" i="91" s="1"/>
  <c r="J64" i="92" l="1"/>
  <c r="I64" i="92" s="1"/>
  <c r="J46" i="92"/>
  <c r="I46" i="92" s="1"/>
  <c r="M74" i="91"/>
  <c r="K56" i="91"/>
  <c r="L56" i="91" s="1"/>
  <c r="N56" i="91" s="1"/>
  <c r="K41" i="91"/>
  <c r="L41" i="91" s="1"/>
  <c r="N41" i="91" s="1"/>
  <c r="M56" i="91" l="1"/>
  <c r="K57" i="91" s="1"/>
  <c r="L57" i="91" s="1"/>
  <c r="N57" i="91" s="1"/>
  <c r="K75" i="91"/>
  <c r="L75" i="91" s="1"/>
  <c r="N75" i="91" s="1"/>
  <c r="M41" i="91"/>
  <c r="M57" i="91" l="1"/>
  <c r="K58" i="91" s="1"/>
  <c r="L58" i="91" s="1"/>
  <c r="N58" i="91" s="1"/>
  <c r="M75" i="91"/>
  <c r="K42" i="91"/>
  <c r="L42" i="91" s="1"/>
  <c r="N42" i="91" s="1"/>
  <c r="K76" i="91" l="1"/>
  <c r="L76" i="91" s="1"/>
  <c r="N76" i="91" s="1"/>
  <c r="M58" i="91"/>
  <c r="M42" i="91"/>
  <c r="M76" i="91" l="1"/>
  <c r="K77" i="91" s="1"/>
  <c r="L77" i="91" s="1"/>
  <c r="N77" i="91" s="1"/>
  <c r="N78" i="91" s="1"/>
  <c r="K59" i="91"/>
  <c r="L59" i="91" s="1"/>
  <c r="N59" i="91" s="1"/>
  <c r="K43" i="91"/>
  <c r="L43" i="91" s="1"/>
  <c r="M43" i="91" s="1"/>
  <c r="M44" i="91" s="1"/>
  <c r="M77" i="91" l="1"/>
  <c r="M78" i="91" s="1"/>
  <c r="L78" i="91"/>
  <c r="M59" i="91"/>
  <c r="N43" i="91"/>
  <c r="N44" i="91" s="1"/>
  <c r="L44" i="91"/>
  <c r="K60" i="91" l="1"/>
  <c r="L60" i="91" s="1"/>
  <c r="M60" i="91" s="1"/>
  <c r="M61" i="91" s="1"/>
  <c r="N60" i="91" l="1"/>
  <c r="N61" i="91" s="1"/>
  <c r="L61" i="91"/>
  <c r="A3" i="93" l="1"/>
  <c r="A3" i="92"/>
  <c r="A3" i="91"/>
  <c r="K45" i="93"/>
  <c r="I45" i="93"/>
  <c r="J45" i="93"/>
  <c r="J46" i="93" s="1"/>
  <c r="K29" i="93"/>
  <c r="I29" i="93"/>
  <c r="J29" i="93"/>
  <c r="J30" i="93" s="1"/>
  <c r="I15" i="93"/>
  <c r="I16" i="93" s="1"/>
  <c r="I17" i="93" s="1"/>
  <c r="I18" i="93" s="1"/>
  <c r="I19" i="93" s="1"/>
  <c r="I20" i="93" s="1"/>
  <c r="I21" i="93" s="1"/>
  <c r="I22" i="93" s="1"/>
  <c r="I23" i="93" s="1"/>
  <c r="I24" i="93" s="1"/>
  <c r="I25" i="93" s="1"/>
  <c r="G28" i="92"/>
  <c r="E28" i="92"/>
  <c r="D28" i="92"/>
  <c r="B28" i="92"/>
  <c r="G27" i="91"/>
  <c r="E27" i="91"/>
  <c r="D27" i="91"/>
  <c r="H46" i="93" l="1"/>
  <c r="K46" i="93" s="1"/>
  <c r="K15" i="91"/>
  <c r="O29" i="93"/>
  <c r="H30" i="93"/>
  <c r="K30" i="93" s="1"/>
  <c r="I46" i="93"/>
  <c r="I47" i="93" s="1"/>
  <c r="I48" i="93" s="1"/>
  <c r="I49" i="93" s="1"/>
  <c r="I50" i="93" s="1"/>
  <c r="I51" i="93" s="1"/>
  <c r="I52" i="93" s="1"/>
  <c r="I53" i="93" s="1"/>
  <c r="I54" i="93" s="1"/>
  <c r="I55" i="93" s="1"/>
  <c r="I56" i="93" s="1"/>
  <c r="I57" i="93" s="1"/>
  <c r="I30" i="93"/>
  <c r="I31" i="93" s="1"/>
  <c r="I32" i="93" s="1"/>
  <c r="I33" i="93" s="1"/>
  <c r="I34" i="93" s="1"/>
  <c r="I35" i="93" s="1"/>
  <c r="I36" i="93" s="1"/>
  <c r="I37" i="93" s="1"/>
  <c r="I38" i="93" s="1"/>
  <c r="I39" i="93" s="1"/>
  <c r="I40" i="93" s="1"/>
  <c r="I41" i="93" s="1"/>
  <c r="J15" i="93"/>
  <c r="J16" i="93" s="1"/>
  <c r="J17" i="93" s="1"/>
  <c r="J18" i="93" s="1"/>
  <c r="J19" i="93" s="1"/>
  <c r="J20" i="93" s="1"/>
  <c r="J21" i="93" s="1"/>
  <c r="J22" i="93" s="1"/>
  <c r="J23" i="93" s="1"/>
  <c r="J24" i="93" s="1"/>
  <c r="J25" i="93" s="1"/>
  <c r="J47" i="93"/>
  <c r="J48" i="93" s="1"/>
  <c r="J49" i="93" s="1"/>
  <c r="J50" i="93" s="1"/>
  <c r="J51" i="93" s="1"/>
  <c r="J52" i="93" s="1"/>
  <c r="J53" i="93" s="1"/>
  <c r="J54" i="93" s="1"/>
  <c r="J55" i="93" s="1"/>
  <c r="J56" i="93" s="1"/>
  <c r="J57" i="93" s="1"/>
  <c r="C28" i="92"/>
  <c r="F28" i="92"/>
  <c r="F27" i="91"/>
  <c r="C27" i="91"/>
  <c r="H28" i="92"/>
  <c r="J31" i="93"/>
  <c r="J32" i="93" s="1"/>
  <c r="J33" i="93" s="1"/>
  <c r="J34" i="93" s="1"/>
  <c r="J35" i="93" s="1"/>
  <c r="J36" i="93" s="1"/>
  <c r="J37" i="93" s="1"/>
  <c r="J38" i="93" s="1"/>
  <c r="J39" i="93" s="1"/>
  <c r="J40" i="93" s="1"/>
  <c r="J41" i="93" s="1"/>
  <c r="H16" i="91"/>
  <c r="J16" i="91"/>
  <c r="L28" i="92"/>
  <c r="O45" i="93"/>
  <c r="L15" i="91" l="1"/>
  <c r="N15" i="91" s="1"/>
  <c r="O46" i="93"/>
  <c r="H47" i="93"/>
  <c r="K47" i="93" s="1"/>
  <c r="H48" i="93" s="1"/>
  <c r="O30" i="93"/>
  <c r="H31" i="93"/>
  <c r="K31" i="93" s="1"/>
  <c r="H17" i="91"/>
  <c r="I16" i="91"/>
  <c r="J17" i="91"/>
  <c r="M15" i="91" l="1"/>
  <c r="K16" i="91" s="1"/>
  <c r="L16" i="91" s="1"/>
  <c r="N16" i="91" s="1"/>
  <c r="H32" i="93"/>
  <c r="K32" i="93" s="1"/>
  <c r="O31" i="93"/>
  <c r="H18" i="91"/>
  <c r="I17" i="91"/>
  <c r="J18" i="91"/>
  <c r="K48" i="93"/>
  <c r="H49" i="93" s="1"/>
  <c r="O47" i="93"/>
  <c r="M16" i="91" l="1"/>
  <c r="K17" i="91" s="1"/>
  <c r="L17" i="91" s="1"/>
  <c r="N17" i="91" s="1"/>
  <c r="H33" i="93"/>
  <c r="K33" i="93" s="1"/>
  <c r="O32" i="93"/>
  <c r="H19" i="91"/>
  <c r="I18" i="91"/>
  <c r="J19" i="91"/>
  <c r="O48" i="93"/>
  <c r="K49" i="93"/>
  <c r="H50" i="93" s="1"/>
  <c r="M17" i="91" l="1"/>
  <c r="K18" i="91" s="1"/>
  <c r="L18" i="91" s="1"/>
  <c r="H34" i="93"/>
  <c r="K34" i="93" s="1"/>
  <c r="O33" i="93"/>
  <c r="H20" i="91"/>
  <c r="I19" i="91"/>
  <c r="K50" i="93"/>
  <c r="H51" i="93" s="1"/>
  <c r="O49" i="93"/>
  <c r="J20" i="91"/>
  <c r="H35" i="93" l="1"/>
  <c r="K35" i="93" s="1"/>
  <c r="O34" i="93"/>
  <c r="N18" i="91"/>
  <c r="M18" i="91"/>
  <c r="H21" i="91"/>
  <c r="I20" i="91"/>
  <c r="O50" i="93"/>
  <c r="K51" i="93"/>
  <c r="H52" i="93" s="1"/>
  <c r="J21" i="91"/>
  <c r="H36" i="93" l="1"/>
  <c r="K36" i="93" s="1"/>
  <c r="O35" i="93"/>
  <c r="K19" i="91"/>
  <c r="L19" i="91" s="1"/>
  <c r="H22" i="91"/>
  <c r="I21" i="91"/>
  <c r="J22" i="91"/>
  <c r="K52" i="93"/>
  <c r="H53" i="93" s="1"/>
  <c r="O51" i="93"/>
  <c r="H37" i="93" l="1"/>
  <c r="K37" i="93" s="1"/>
  <c r="O36" i="93"/>
  <c r="N19" i="91"/>
  <c r="M19" i="91"/>
  <c r="K20" i="91" s="1"/>
  <c r="L20" i="91" s="1"/>
  <c r="H23" i="91"/>
  <c r="I22" i="91"/>
  <c r="O52" i="93"/>
  <c r="K53" i="93"/>
  <c r="H54" i="93" s="1"/>
  <c r="J23" i="91"/>
  <c r="H38" i="93" l="1"/>
  <c r="K38" i="93" s="1"/>
  <c r="O37" i="93"/>
  <c r="N20" i="91"/>
  <c r="M20" i="91"/>
  <c r="K21" i="91" s="1"/>
  <c r="H24" i="91"/>
  <c r="I23" i="91"/>
  <c r="J24" i="91"/>
  <c r="K54" i="93"/>
  <c r="H55" i="93" s="1"/>
  <c r="O53" i="93"/>
  <c r="H39" i="93" l="1"/>
  <c r="K39" i="93" s="1"/>
  <c r="O38" i="93"/>
  <c r="L21" i="91"/>
  <c r="H25" i="91"/>
  <c r="I24" i="91"/>
  <c r="O54" i="93"/>
  <c r="K55" i="93"/>
  <c r="H56" i="93" s="1"/>
  <c r="J25" i="91"/>
  <c r="H40" i="93" l="1"/>
  <c r="K40" i="93" s="1"/>
  <c r="O39" i="93"/>
  <c r="N21" i="91"/>
  <c r="M21" i="91"/>
  <c r="K22" i="91" s="1"/>
  <c r="H26" i="91"/>
  <c r="I25" i="91"/>
  <c r="K56" i="93"/>
  <c r="H57" i="93" s="1"/>
  <c r="O55" i="93"/>
  <c r="J26" i="91"/>
  <c r="I28" i="92"/>
  <c r="H41" i="93" l="1"/>
  <c r="K41" i="93" s="1"/>
  <c r="O41" i="93" s="1"/>
  <c r="O40" i="93"/>
  <c r="L22" i="91"/>
  <c r="H27" i="91"/>
  <c r="I26" i="91"/>
  <c r="J27" i="91"/>
  <c r="O56" i="93"/>
  <c r="K57" i="93"/>
  <c r="O57" i="93" s="1"/>
  <c r="I27" i="91" l="1"/>
  <c r="N22" i="91"/>
  <c r="M22" i="91"/>
  <c r="K23" i="91" s="1"/>
  <c r="L23" i="91" l="1"/>
  <c r="N23" i="91" s="1"/>
  <c r="M23" i="91" l="1"/>
  <c r="K24" i="91" s="1"/>
  <c r="L24" i="91" l="1"/>
  <c r="N24" i="91" s="1"/>
  <c r="M24" i="91" l="1"/>
  <c r="K25" i="91" s="1"/>
  <c r="L25" i="91" l="1"/>
  <c r="N25" i="91" l="1"/>
  <c r="M25" i="91"/>
  <c r="K26" i="91" s="1"/>
  <c r="L26" i="91" l="1"/>
  <c r="N26" i="91" l="1"/>
  <c r="N27" i="91" s="1"/>
  <c r="L27" i="91"/>
  <c r="M26" i="91"/>
  <c r="M27" i="91" s="1"/>
  <c r="H15" i="93" l="1"/>
  <c r="K15" i="93" s="1"/>
  <c r="O14" i="93"/>
  <c r="H16" i="93" l="1"/>
  <c r="K16" i="93" s="1"/>
  <c r="O15" i="93"/>
  <c r="H17" i="93" l="1"/>
  <c r="K17" i="93" s="1"/>
  <c r="O16" i="93"/>
  <c r="O17" i="93" l="1"/>
  <c r="H18" i="93"/>
  <c r="K18" i="93" s="1"/>
  <c r="O18" i="93" l="1"/>
  <c r="H19" i="93"/>
  <c r="K19" i="93" s="1"/>
  <c r="O19" i="93" l="1"/>
  <c r="H20" i="93"/>
  <c r="K20" i="93" s="1"/>
  <c r="H21" i="93" l="1"/>
  <c r="K21" i="93" s="1"/>
  <c r="O20" i="93"/>
  <c r="H22" i="93" l="1"/>
  <c r="K22" i="93" s="1"/>
  <c r="O21" i="93"/>
  <c r="H23" i="93" l="1"/>
  <c r="K23" i="93" s="1"/>
  <c r="O22" i="93"/>
  <c r="H24" i="93" l="1"/>
  <c r="K24" i="93" s="1"/>
  <c r="O23" i="93"/>
  <c r="H25" i="93" l="1"/>
  <c r="K25" i="93" s="1"/>
  <c r="O25" i="93" s="1"/>
  <c r="O24" i="93"/>
</calcChain>
</file>

<file path=xl/comments1.xml><?xml version="1.0" encoding="utf-8"?>
<comments xmlns="http://schemas.openxmlformats.org/spreadsheetml/2006/main">
  <authors>
    <author>Windows 用户</author>
  </authors>
  <commentList>
    <comment ref="P32" authorId="0" shapeId="0">
      <text>
        <r>
          <rPr>
            <b/>
            <sz val="9"/>
            <color indexed="81"/>
            <rFont val="宋体"/>
            <family val="3"/>
            <charset val="134"/>
          </rPr>
          <t>Windows 用户:</t>
        </r>
        <r>
          <rPr>
            <sz val="9"/>
            <color indexed="81"/>
            <rFont val="宋体"/>
            <family val="3"/>
            <charset val="134"/>
          </rPr>
          <t xml:space="preserve">
对变动异常的产品应进一步执行舞弊应对程序中的产品生产成本及单耗分析</t>
        </r>
      </text>
    </comment>
  </commentList>
</comments>
</file>

<file path=xl/sharedStrings.xml><?xml version="1.0" encoding="utf-8"?>
<sst xmlns="http://schemas.openxmlformats.org/spreadsheetml/2006/main" count="1145" uniqueCount="528">
  <si>
    <t>底稿开列时，可先在以下单元格填写有关内容，以便其他底稿引用有关数据：</t>
    <phoneticPr fontId="14" type="noConversion"/>
  </si>
  <si>
    <t>序号</t>
    <phoneticPr fontId="14" type="noConversion"/>
  </si>
  <si>
    <t>单价</t>
    <phoneticPr fontId="14" type="noConversion"/>
  </si>
  <si>
    <t>差异</t>
    <phoneticPr fontId="14" type="noConversion"/>
  </si>
  <si>
    <t>四、审计说明：</t>
    <phoneticPr fontId="14" type="noConversion"/>
  </si>
  <si>
    <t>一、测试目标：</t>
    <phoneticPr fontId="19" type="noConversion"/>
  </si>
  <si>
    <t>三、测试：</t>
    <phoneticPr fontId="19" type="noConversion"/>
  </si>
  <si>
    <t>二、样本选取标准与规模：</t>
    <phoneticPr fontId="19" type="noConversion"/>
  </si>
  <si>
    <t>K</t>
    <phoneticPr fontId="14" type="noConversion"/>
  </si>
  <si>
    <t>本期销售（或发出）</t>
    <phoneticPr fontId="14" type="noConversion"/>
  </si>
  <si>
    <t>应结转</t>
    <phoneticPr fontId="14" type="noConversion"/>
  </si>
  <si>
    <t>结余</t>
    <phoneticPr fontId="14" type="noConversion"/>
  </si>
  <si>
    <t>A</t>
    <phoneticPr fontId="14" type="noConversion"/>
  </si>
  <si>
    <t>D</t>
    <phoneticPr fontId="14" type="noConversion"/>
  </si>
  <si>
    <t>M</t>
    <phoneticPr fontId="14" type="noConversion"/>
  </si>
  <si>
    <t>品名：</t>
    <phoneticPr fontId="14" type="noConversion"/>
  </si>
  <si>
    <t>金额</t>
    <phoneticPr fontId="14" type="noConversion"/>
  </si>
  <si>
    <t>企业应当采用先进先出法、加权平均法或者个别计价法确定发出存货的实际成本。</t>
    <phoneticPr fontId="14" type="noConversion"/>
  </si>
  <si>
    <t>对于性质和用途相似的存货，应当采用相同的成本计算方法确定发出存货的成本。</t>
    <phoneticPr fontId="14" type="noConversion"/>
  </si>
  <si>
    <t>索引号：</t>
  </si>
  <si>
    <t>（二）测试项目1：</t>
    <phoneticPr fontId="14" type="noConversion"/>
  </si>
  <si>
    <t>（二）测试项目2：</t>
    <phoneticPr fontId="14" type="noConversion"/>
  </si>
  <si>
    <t>（二）测试项目3：</t>
    <phoneticPr fontId="14" type="noConversion"/>
  </si>
  <si>
    <r>
      <t>1</t>
    </r>
    <r>
      <rPr>
        <sz val="10"/>
        <rFont val="宋体"/>
        <family val="3"/>
        <charset val="134"/>
      </rPr>
      <t>月</t>
    </r>
    <phoneticPr fontId="14" type="noConversion"/>
  </si>
  <si>
    <r>
      <rPr>
        <sz val="10"/>
        <rFont val="宋体"/>
        <family val="3"/>
        <charset val="134"/>
      </rPr>
      <t>索引号：</t>
    </r>
  </si>
  <si>
    <r>
      <rPr>
        <b/>
        <sz val="10"/>
        <rFont val="宋体"/>
        <family val="3"/>
        <charset val="134"/>
      </rPr>
      <t>二、样本选取标准与规模：</t>
    </r>
    <phoneticPr fontId="19" type="noConversion"/>
  </si>
  <si>
    <r>
      <rPr>
        <b/>
        <sz val="10"/>
        <rFont val="宋体"/>
        <family val="3"/>
        <charset val="134"/>
      </rPr>
      <t>三、测试：</t>
    </r>
    <phoneticPr fontId="19" type="noConversion"/>
  </si>
  <si>
    <r>
      <rPr>
        <b/>
        <sz val="10"/>
        <color indexed="8"/>
        <rFont val="宋体"/>
        <family val="3"/>
        <charset val="134"/>
      </rPr>
      <t>测试项目</t>
    </r>
    <r>
      <rPr>
        <b/>
        <sz val="10"/>
        <color indexed="8"/>
        <rFont val="Arial Narrow"/>
        <family val="2"/>
      </rPr>
      <t>1</t>
    </r>
    <r>
      <rPr>
        <b/>
        <sz val="10"/>
        <color indexed="8"/>
        <rFont val="宋体"/>
        <family val="3"/>
        <charset val="134"/>
      </rPr>
      <t>：</t>
    </r>
    <phoneticPr fontId="14" type="noConversion"/>
  </si>
  <si>
    <r>
      <t>2</t>
    </r>
    <r>
      <rPr>
        <sz val="10"/>
        <rFont val="宋体"/>
        <family val="3"/>
        <charset val="134"/>
      </rPr>
      <t>月</t>
    </r>
  </si>
  <si>
    <r>
      <t>3</t>
    </r>
    <r>
      <rPr>
        <sz val="10"/>
        <rFont val="宋体"/>
        <family val="3"/>
        <charset val="134"/>
      </rPr>
      <t>月</t>
    </r>
  </si>
  <si>
    <r>
      <t>4</t>
    </r>
    <r>
      <rPr>
        <sz val="10"/>
        <rFont val="宋体"/>
        <family val="3"/>
        <charset val="134"/>
      </rPr>
      <t>月</t>
    </r>
  </si>
  <si>
    <r>
      <t>5</t>
    </r>
    <r>
      <rPr>
        <sz val="10"/>
        <rFont val="宋体"/>
        <family val="3"/>
        <charset val="134"/>
      </rPr>
      <t>月</t>
    </r>
  </si>
  <si>
    <r>
      <t>6</t>
    </r>
    <r>
      <rPr>
        <sz val="10"/>
        <rFont val="宋体"/>
        <family val="3"/>
        <charset val="134"/>
      </rPr>
      <t>月</t>
    </r>
  </si>
  <si>
    <r>
      <t>7</t>
    </r>
    <r>
      <rPr>
        <sz val="10"/>
        <rFont val="宋体"/>
        <family val="3"/>
        <charset val="134"/>
      </rPr>
      <t>月</t>
    </r>
  </si>
  <si>
    <r>
      <t>8</t>
    </r>
    <r>
      <rPr>
        <sz val="10"/>
        <rFont val="宋体"/>
        <family val="3"/>
        <charset val="134"/>
      </rPr>
      <t>月</t>
    </r>
  </si>
  <si>
    <r>
      <t>9</t>
    </r>
    <r>
      <rPr>
        <sz val="10"/>
        <rFont val="宋体"/>
        <family val="3"/>
        <charset val="134"/>
      </rPr>
      <t>月</t>
    </r>
  </si>
  <si>
    <r>
      <t>10</t>
    </r>
    <r>
      <rPr>
        <sz val="10"/>
        <rFont val="宋体"/>
        <family val="3"/>
        <charset val="134"/>
      </rPr>
      <t>月</t>
    </r>
  </si>
  <si>
    <r>
      <t>11</t>
    </r>
    <r>
      <rPr>
        <sz val="10"/>
        <rFont val="宋体"/>
        <family val="3"/>
        <charset val="134"/>
      </rPr>
      <t>月</t>
    </r>
  </si>
  <si>
    <r>
      <t>12</t>
    </r>
    <r>
      <rPr>
        <sz val="10"/>
        <rFont val="宋体"/>
        <family val="3"/>
        <charset val="134"/>
      </rPr>
      <t>月</t>
    </r>
  </si>
  <si>
    <r>
      <rPr>
        <b/>
        <u/>
        <sz val="10"/>
        <rFont val="宋体"/>
        <family val="3"/>
        <charset val="134"/>
      </rPr>
      <t>品名：</t>
    </r>
    <phoneticPr fontId="14" type="noConversion"/>
  </si>
  <si>
    <r>
      <rPr>
        <b/>
        <sz val="10"/>
        <color indexed="8"/>
        <rFont val="宋体"/>
        <family val="3"/>
        <charset val="134"/>
      </rPr>
      <t>测试项目</t>
    </r>
    <r>
      <rPr>
        <b/>
        <sz val="10"/>
        <color indexed="8"/>
        <rFont val="Arial Narrow"/>
        <family val="2"/>
      </rPr>
      <t>3</t>
    </r>
    <r>
      <rPr>
        <b/>
        <sz val="10"/>
        <color indexed="8"/>
        <rFont val="宋体"/>
        <family val="3"/>
        <charset val="134"/>
      </rPr>
      <t>：</t>
    </r>
    <phoneticPr fontId="14" type="noConversion"/>
  </si>
  <si>
    <r>
      <rPr>
        <b/>
        <sz val="10"/>
        <rFont val="宋体"/>
        <family val="3"/>
        <charset val="134"/>
      </rPr>
      <t>四、审计说明：</t>
    </r>
    <phoneticPr fontId="14" type="noConversion"/>
  </si>
  <si>
    <r>
      <rPr>
        <b/>
        <sz val="10"/>
        <rFont val="宋体"/>
        <family val="3"/>
        <charset val="134"/>
      </rPr>
      <t>五、审计结论：</t>
    </r>
    <phoneticPr fontId="14" type="noConversion"/>
  </si>
  <si>
    <t>C1</t>
  </si>
  <si>
    <t>Custom 1</t>
  </si>
  <si>
    <t>C2</t>
  </si>
  <si>
    <t>Custom 2</t>
  </si>
  <si>
    <t>C3</t>
  </si>
  <si>
    <t>Custom 3</t>
  </si>
  <si>
    <t>C4</t>
  </si>
  <si>
    <t>Custom 4</t>
  </si>
  <si>
    <t>C5</t>
  </si>
  <si>
    <t>Custom 5</t>
  </si>
  <si>
    <t>C6</t>
  </si>
  <si>
    <t>Custom 6</t>
  </si>
  <si>
    <t>C7</t>
  </si>
  <si>
    <t>Custom 7</t>
  </si>
  <si>
    <t>C8</t>
  </si>
  <si>
    <t>Custom 8</t>
  </si>
  <si>
    <t>内容</t>
  </si>
  <si>
    <t>致同会计师事务所</t>
  </si>
  <si>
    <t>E</t>
    <phoneticPr fontId="14" type="noConversion"/>
  </si>
  <si>
    <r>
      <t xml:space="preserve">页 </t>
    </r>
    <r>
      <rPr>
        <sz val="10"/>
        <rFont val="宋体"/>
        <family val="3"/>
        <charset val="134"/>
      </rPr>
      <t xml:space="preserve"> </t>
    </r>
    <r>
      <rPr>
        <sz val="10"/>
        <rFont val="宋体"/>
        <family val="3"/>
        <charset val="134"/>
      </rPr>
      <t>次：</t>
    </r>
    <phoneticPr fontId="14" type="noConversion"/>
  </si>
  <si>
    <r>
      <rPr>
        <b/>
        <sz val="10"/>
        <rFont val="宋体"/>
        <family val="3"/>
        <charset val="134"/>
      </rPr>
      <t>致同会计师事务所</t>
    </r>
  </si>
  <si>
    <t>合计</t>
    <phoneticPr fontId="14" type="noConversion"/>
  </si>
  <si>
    <t>合计</t>
    <phoneticPr fontId="14" type="noConversion"/>
  </si>
  <si>
    <r>
      <rPr>
        <b/>
        <sz val="10"/>
        <rFont val="宋体"/>
        <family val="3"/>
        <charset val="134"/>
      </rPr>
      <t>序号</t>
    </r>
    <phoneticPr fontId="14" type="noConversion"/>
  </si>
  <si>
    <r>
      <rPr>
        <b/>
        <sz val="10"/>
        <rFont val="宋体"/>
        <family val="3"/>
        <charset val="134"/>
      </rPr>
      <t>金额</t>
    </r>
    <phoneticPr fontId="14" type="noConversion"/>
  </si>
  <si>
    <t>A</t>
    <phoneticPr fontId="14" type="noConversion"/>
  </si>
  <si>
    <t>B</t>
    <phoneticPr fontId="14" type="noConversion"/>
  </si>
  <si>
    <t>C</t>
    <phoneticPr fontId="14" type="noConversion"/>
  </si>
  <si>
    <t>D</t>
    <phoneticPr fontId="14" type="noConversion"/>
  </si>
  <si>
    <t>E</t>
    <phoneticPr fontId="14" type="noConversion"/>
  </si>
  <si>
    <t>F</t>
    <phoneticPr fontId="14" type="noConversion"/>
  </si>
  <si>
    <t>五、审计结论：</t>
    <phoneticPr fontId="14" type="noConversion"/>
  </si>
  <si>
    <t>（一）计价方法说明：</t>
    <phoneticPr fontId="14" type="noConversion"/>
  </si>
  <si>
    <t>本期生产（或购入）</t>
    <phoneticPr fontId="14" type="noConversion"/>
  </si>
  <si>
    <t>期末结存</t>
    <phoneticPr fontId="14" type="noConversion"/>
  </si>
  <si>
    <t>月份</t>
    <phoneticPr fontId="14" type="noConversion"/>
  </si>
  <si>
    <t>数量</t>
    <phoneticPr fontId="14" type="noConversion"/>
  </si>
  <si>
    <t>M=K-F</t>
    <phoneticPr fontId="14" type="noConversion"/>
  </si>
  <si>
    <t>年初数</t>
    <phoneticPr fontId="14" type="noConversion"/>
  </si>
  <si>
    <t>A</t>
    <phoneticPr fontId="14" type="noConversion"/>
  </si>
  <si>
    <t>B</t>
    <phoneticPr fontId="14" type="noConversion"/>
  </si>
  <si>
    <t>J</t>
    <phoneticPr fontId="14" type="noConversion"/>
  </si>
  <si>
    <t>K</t>
    <phoneticPr fontId="14" type="noConversion"/>
  </si>
  <si>
    <t>M</t>
    <phoneticPr fontId="14" type="noConversion"/>
  </si>
  <si>
    <r>
      <t>1</t>
    </r>
    <r>
      <rPr>
        <sz val="10"/>
        <rFont val="宋体"/>
        <family val="3"/>
        <charset val="134"/>
      </rPr>
      <t>月</t>
    </r>
    <phoneticPr fontId="14" type="noConversion"/>
  </si>
  <si>
    <r>
      <t>2</t>
    </r>
    <r>
      <rPr>
        <sz val="10"/>
        <rFont val="宋体"/>
        <family val="3"/>
        <charset val="134"/>
      </rPr>
      <t>月</t>
    </r>
    <r>
      <rPr>
        <sz val="12"/>
        <rFont val="宋体"/>
        <family val="3"/>
        <charset val="134"/>
      </rPr>
      <t/>
    </r>
  </si>
  <si>
    <r>
      <t>3</t>
    </r>
    <r>
      <rPr>
        <sz val="10"/>
        <rFont val="宋体"/>
        <family val="3"/>
        <charset val="134"/>
      </rPr>
      <t>月</t>
    </r>
    <r>
      <rPr>
        <sz val="12"/>
        <rFont val="宋体"/>
        <family val="3"/>
        <charset val="134"/>
      </rPr>
      <t/>
    </r>
  </si>
  <si>
    <r>
      <t>4</t>
    </r>
    <r>
      <rPr>
        <sz val="10"/>
        <rFont val="宋体"/>
        <family val="3"/>
        <charset val="134"/>
      </rPr>
      <t>月</t>
    </r>
    <r>
      <rPr>
        <sz val="12"/>
        <rFont val="宋体"/>
        <family val="3"/>
        <charset val="134"/>
      </rPr>
      <t/>
    </r>
  </si>
  <si>
    <r>
      <t>5</t>
    </r>
    <r>
      <rPr>
        <sz val="10"/>
        <rFont val="宋体"/>
        <family val="3"/>
        <charset val="134"/>
      </rPr>
      <t>月</t>
    </r>
    <r>
      <rPr>
        <sz val="12"/>
        <rFont val="宋体"/>
        <family val="3"/>
        <charset val="134"/>
      </rPr>
      <t/>
    </r>
  </si>
  <si>
    <r>
      <t>6</t>
    </r>
    <r>
      <rPr>
        <sz val="10"/>
        <rFont val="宋体"/>
        <family val="3"/>
        <charset val="134"/>
      </rPr>
      <t>月</t>
    </r>
    <r>
      <rPr>
        <sz val="12"/>
        <rFont val="宋体"/>
        <family val="3"/>
        <charset val="134"/>
      </rPr>
      <t/>
    </r>
  </si>
  <si>
    <r>
      <t>7</t>
    </r>
    <r>
      <rPr>
        <sz val="10"/>
        <rFont val="宋体"/>
        <family val="3"/>
        <charset val="134"/>
      </rPr>
      <t>月</t>
    </r>
    <r>
      <rPr>
        <sz val="12"/>
        <rFont val="宋体"/>
        <family val="3"/>
        <charset val="134"/>
      </rPr>
      <t/>
    </r>
  </si>
  <si>
    <r>
      <t>8</t>
    </r>
    <r>
      <rPr>
        <sz val="10"/>
        <rFont val="宋体"/>
        <family val="3"/>
        <charset val="134"/>
      </rPr>
      <t>月</t>
    </r>
    <r>
      <rPr>
        <sz val="12"/>
        <rFont val="宋体"/>
        <family val="3"/>
        <charset val="134"/>
      </rPr>
      <t/>
    </r>
  </si>
  <si>
    <r>
      <t>9</t>
    </r>
    <r>
      <rPr>
        <sz val="10"/>
        <rFont val="宋体"/>
        <family val="3"/>
        <charset val="134"/>
      </rPr>
      <t>月</t>
    </r>
    <r>
      <rPr>
        <sz val="12"/>
        <rFont val="宋体"/>
        <family val="3"/>
        <charset val="134"/>
      </rPr>
      <t/>
    </r>
  </si>
  <si>
    <r>
      <t>10</t>
    </r>
    <r>
      <rPr>
        <sz val="10"/>
        <rFont val="宋体"/>
        <family val="3"/>
        <charset val="134"/>
      </rPr>
      <t>月</t>
    </r>
    <r>
      <rPr>
        <sz val="12"/>
        <rFont val="宋体"/>
        <family val="3"/>
        <charset val="134"/>
      </rPr>
      <t/>
    </r>
  </si>
  <si>
    <r>
      <t>11</t>
    </r>
    <r>
      <rPr>
        <sz val="10"/>
        <rFont val="宋体"/>
        <family val="3"/>
        <charset val="134"/>
      </rPr>
      <t>月</t>
    </r>
    <r>
      <rPr>
        <sz val="12"/>
        <rFont val="宋体"/>
        <family val="3"/>
        <charset val="134"/>
      </rPr>
      <t/>
    </r>
  </si>
  <si>
    <r>
      <t>12</t>
    </r>
    <r>
      <rPr>
        <sz val="10"/>
        <rFont val="宋体"/>
        <family val="3"/>
        <charset val="134"/>
      </rPr>
      <t>月</t>
    </r>
    <r>
      <rPr>
        <sz val="12"/>
        <rFont val="宋体"/>
        <family val="3"/>
        <charset val="134"/>
      </rPr>
      <t/>
    </r>
  </si>
  <si>
    <t>（二）测试项目2：</t>
    <phoneticPr fontId="14" type="noConversion"/>
  </si>
  <si>
    <t>品名：</t>
    <phoneticPr fontId="14" type="noConversion"/>
  </si>
  <si>
    <t>本期生产（或购入）</t>
    <phoneticPr fontId="14" type="noConversion"/>
  </si>
  <si>
    <t>本期销售（或发出）</t>
    <phoneticPr fontId="14" type="noConversion"/>
  </si>
  <si>
    <t>期末结存</t>
    <phoneticPr fontId="14" type="noConversion"/>
  </si>
  <si>
    <t>应结转</t>
    <phoneticPr fontId="14" type="noConversion"/>
  </si>
  <si>
    <t>差异</t>
    <phoneticPr fontId="14" type="noConversion"/>
  </si>
  <si>
    <t>月份</t>
    <phoneticPr fontId="14" type="noConversion"/>
  </si>
  <si>
    <t>数量</t>
    <phoneticPr fontId="14" type="noConversion"/>
  </si>
  <si>
    <t>单价</t>
    <phoneticPr fontId="14" type="noConversion"/>
  </si>
  <si>
    <t>金额</t>
    <phoneticPr fontId="14" type="noConversion"/>
  </si>
  <si>
    <t>结余</t>
    <phoneticPr fontId="14" type="noConversion"/>
  </si>
  <si>
    <t>M=K-F</t>
    <phoneticPr fontId="14" type="noConversion"/>
  </si>
  <si>
    <t>（二）测试项目3：</t>
    <phoneticPr fontId="14" type="noConversion"/>
  </si>
  <si>
    <t>（二）测试项目4：</t>
    <phoneticPr fontId="14" type="noConversion"/>
  </si>
  <si>
    <t>四、审计说明：</t>
    <phoneticPr fontId="14" type="noConversion"/>
  </si>
  <si>
    <t>五、审计结论：</t>
    <phoneticPr fontId="14" type="noConversion"/>
  </si>
  <si>
    <t>编制说明：</t>
    <phoneticPr fontId="14" type="noConversion"/>
  </si>
  <si>
    <t>B</t>
    <phoneticPr fontId="14" type="noConversion"/>
  </si>
  <si>
    <t>C</t>
    <phoneticPr fontId="14" type="noConversion"/>
  </si>
  <si>
    <t>F</t>
    <phoneticPr fontId="14" type="noConversion"/>
  </si>
  <si>
    <t>J</t>
    <phoneticPr fontId="14" type="noConversion"/>
  </si>
  <si>
    <t>对于不能替代使用的存货、为特定项目专门购入或制造的存货以及提供劳务的成本，通常采用个别计价法确定发出存货的成本。</t>
    <phoneticPr fontId="14" type="noConversion"/>
  </si>
  <si>
    <t>对于已售存货，应当将其成本结转为当期损益，相应的存货跌价准备也应当予以结转。</t>
    <phoneticPr fontId="14" type="noConversion"/>
  </si>
  <si>
    <r>
      <rPr>
        <sz val="10"/>
        <rFont val="宋体"/>
        <family val="3"/>
        <charset val="134"/>
      </rPr>
      <t>页</t>
    </r>
    <r>
      <rPr>
        <sz val="10"/>
        <rFont val="Arial Narrow"/>
        <family val="2"/>
      </rPr>
      <t xml:space="preserve">   </t>
    </r>
    <r>
      <rPr>
        <sz val="10"/>
        <rFont val="宋体"/>
        <family val="3"/>
        <charset val="134"/>
      </rPr>
      <t>次：</t>
    </r>
    <phoneticPr fontId="14" type="noConversion"/>
  </si>
  <si>
    <r>
      <rPr>
        <b/>
        <sz val="10"/>
        <rFont val="宋体"/>
        <family val="3"/>
        <charset val="134"/>
      </rPr>
      <t>一、测试目标：</t>
    </r>
    <phoneticPr fontId="19" type="noConversion"/>
  </si>
  <si>
    <r>
      <rPr>
        <b/>
        <sz val="10"/>
        <rFont val="宋体"/>
        <family val="3"/>
        <charset val="134"/>
      </rPr>
      <t>月份</t>
    </r>
    <phoneticPr fontId="14" type="noConversion"/>
  </si>
  <si>
    <r>
      <rPr>
        <sz val="10"/>
        <rFont val="宋体"/>
        <family val="3"/>
        <charset val="134"/>
      </rPr>
      <t>年初数</t>
    </r>
    <phoneticPr fontId="14" type="noConversion"/>
  </si>
  <si>
    <r>
      <rPr>
        <b/>
        <sz val="10"/>
        <color indexed="8"/>
        <rFont val="宋体"/>
        <family val="3"/>
        <charset val="134"/>
      </rPr>
      <t>测试项目</t>
    </r>
    <r>
      <rPr>
        <b/>
        <sz val="10"/>
        <color indexed="8"/>
        <rFont val="Arial Narrow"/>
        <family val="2"/>
      </rPr>
      <t>2</t>
    </r>
    <r>
      <rPr>
        <b/>
        <sz val="10"/>
        <color indexed="8"/>
        <rFont val="宋体"/>
        <family val="3"/>
        <charset val="134"/>
      </rPr>
      <t>：</t>
    </r>
    <phoneticPr fontId="14" type="noConversion"/>
  </si>
  <si>
    <t>……</t>
    <phoneticPr fontId="14" type="noConversion"/>
  </si>
  <si>
    <r>
      <rPr>
        <b/>
        <sz val="10"/>
        <rFont val="宋体"/>
        <family val="3"/>
        <charset val="134"/>
      </rPr>
      <t>致同会计师事务所</t>
    </r>
    <phoneticPr fontId="14" type="noConversion"/>
  </si>
  <si>
    <r>
      <rPr>
        <b/>
        <sz val="10"/>
        <rFont val="宋体"/>
        <family val="3"/>
        <charset val="134"/>
      </rPr>
      <t>审计程序</t>
    </r>
  </si>
  <si>
    <r>
      <rPr>
        <b/>
        <sz val="10"/>
        <rFont val="宋体"/>
        <family val="3"/>
        <charset val="134"/>
      </rPr>
      <t>程序分类</t>
    </r>
    <phoneticPr fontId="14" type="noConversion"/>
  </si>
  <si>
    <r>
      <rPr>
        <b/>
        <sz val="10"/>
        <rFont val="宋体"/>
        <family val="3"/>
        <charset val="134"/>
      </rPr>
      <t>对应账户</t>
    </r>
    <phoneticPr fontId="14" type="noConversion"/>
  </si>
  <si>
    <r>
      <rPr>
        <b/>
        <sz val="10"/>
        <rFont val="宋体"/>
        <family val="3"/>
        <charset val="134"/>
      </rPr>
      <t>对应的认定</t>
    </r>
    <r>
      <rPr>
        <b/>
        <sz val="10"/>
        <rFont val="Arial Narrow"/>
        <family val="2"/>
      </rPr>
      <t>/</t>
    </r>
    <r>
      <rPr>
        <b/>
        <sz val="10"/>
        <rFont val="宋体"/>
        <family val="3"/>
        <charset val="134"/>
      </rPr>
      <t>风险</t>
    </r>
    <phoneticPr fontId="14" type="noConversion"/>
  </si>
  <si>
    <r>
      <rPr>
        <b/>
        <sz val="10"/>
        <rFont val="宋体"/>
        <family val="3"/>
        <charset val="134"/>
      </rPr>
      <t>执行情况说明
（含底稿索引）</t>
    </r>
    <phoneticPr fontId="14" type="noConversion"/>
  </si>
  <si>
    <t>常规</t>
  </si>
  <si>
    <r>
      <rPr>
        <sz val="10"/>
        <color theme="1"/>
        <rFont val="宋体"/>
        <family val="3"/>
        <charset val="134"/>
      </rPr>
      <t>存货</t>
    </r>
    <phoneticPr fontId="46" type="noConversion"/>
  </si>
  <si>
    <r>
      <rPr>
        <sz val="10"/>
        <color theme="1"/>
        <rFont val="宋体"/>
        <family val="3"/>
        <charset val="134"/>
      </rPr>
      <t>备选</t>
    </r>
    <phoneticPr fontId="46" type="noConversion"/>
  </si>
  <si>
    <r>
      <rPr>
        <sz val="10"/>
        <color theme="1"/>
        <rFont val="宋体"/>
        <family val="3"/>
        <charset val="134"/>
      </rPr>
      <t>使用样本评价工具，将错报推断到总体。</t>
    </r>
    <r>
      <rPr>
        <sz val="10"/>
        <color theme="1"/>
        <rFont val="Arial Narrow"/>
        <family val="2"/>
      </rPr>
      <t xml:space="preserve"> Project the errors to the population using Sample Evaluation.</t>
    </r>
    <phoneticPr fontId="46" type="noConversion"/>
  </si>
  <si>
    <r>
      <rPr>
        <sz val="10"/>
        <color theme="1"/>
        <rFont val="宋体"/>
        <family val="3"/>
        <charset val="134"/>
      </rPr>
      <t>确定样本所达到的精准程度是否能为此程序提供预期程度的保证。</t>
    </r>
    <r>
      <rPr>
        <sz val="10"/>
        <color theme="1"/>
        <rFont val="Arial Narrow"/>
        <family val="2"/>
      </rPr>
      <t xml:space="preserve"> Determine whether the precision achieved by the sample provides the desired level of assurance for this procedure.</t>
    </r>
    <phoneticPr fontId="46" type="noConversion"/>
  </si>
  <si>
    <r>
      <rPr>
        <sz val="10"/>
        <color theme="1"/>
        <rFont val="宋体"/>
        <family val="3"/>
        <charset val="134"/>
      </rPr>
      <t>如有推断误差，记录在未更正错报汇总表中。</t>
    </r>
    <r>
      <rPr>
        <sz val="10"/>
        <color theme="1"/>
        <rFont val="Arial Narrow"/>
        <family val="2"/>
      </rPr>
      <t>Record the projected error, if any, on the Summary of Unrecorded Misstatements.</t>
    </r>
    <phoneticPr fontId="46" type="noConversion"/>
  </si>
  <si>
    <r>
      <rPr>
        <sz val="10"/>
        <rFont val="宋体"/>
        <family val="3"/>
        <charset val="134"/>
      </rPr>
      <t>会计期间：</t>
    </r>
    <r>
      <rPr>
        <sz val="10"/>
        <rFont val="Arial Narrow"/>
        <family val="2"/>
      </rPr>
      <t>201X</t>
    </r>
    <r>
      <rPr>
        <sz val="10"/>
        <rFont val="宋体"/>
        <family val="3"/>
        <charset val="134"/>
      </rPr>
      <t>年度</t>
    </r>
    <phoneticPr fontId="46" type="noConversion"/>
  </si>
  <si>
    <r>
      <rPr>
        <sz val="10"/>
        <rFont val="宋体"/>
        <family val="3"/>
        <charset val="134"/>
      </rPr>
      <t>页</t>
    </r>
    <r>
      <rPr>
        <sz val="10"/>
        <rFont val="Arial Narrow"/>
        <family val="2"/>
      </rPr>
      <t xml:space="preserve">  </t>
    </r>
    <r>
      <rPr>
        <sz val="10"/>
        <rFont val="宋体"/>
        <family val="3"/>
        <charset val="134"/>
      </rPr>
      <t>次：</t>
    </r>
    <phoneticPr fontId="46" type="noConversion"/>
  </si>
  <si>
    <t>9</t>
    <phoneticPr fontId="46" type="noConversion"/>
  </si>
  <si>
    <r>
      <rPr>
        <b/>
        <sz val="10"/>
        <color theme="1"/>
        <rFont val="宋体"/>
        <family val="3"/>
        <charset val="134"/>
      </rPr>
      <t>执行存货计价测试：</t>
    </r>
    <r>
      <rPr>
        <b/>
        <sz val="10"/>
        <color theme="1"/>
        <rFont val="Arial Narrow"/>
        <family val="2"/>
      </rPr>
      <t>Perform inventory price testing:</t>
    </r>
    <phoneticPr fontId="46" type="noConversion"/>
  </si>
  <si>
    <r>
      <t xml:space="preserve"> </t>
    </r>
    <r>
      <rPr>
        <sz val="10"/>
        <color theme="1"/>
        <rFont val="宋体"/>
        <family val="3"/>
        <charset val="134"/>
      </rPr>
      <t>计价</t>
    </r>
    <r>
      <rPr>
        <sz val="10"/>
        <color theme="1"/>
        <rFont val="Arial Narrow"/>
        <family val="2"/>
      </rPr>
      <t>/</t>
    </r>
    <r>
      <rPr>
        <sz val="10"/>
        <color theme="1"/>
        <rFont val="宋体"/>
        <family val="3"/>
        <charset val="134"/>
      </rPr>
      <t>准确性（毛值）</t>
    </r>
    <r>
      <rPr>
        <sz val="10"/>
        <color theme="1"/>
        <rFont val="Arial Narrow"/>
        <family val="2"/>
      </rPr>
      <t xml:space="preserve"> VG
</t>
    </r>
    <r>
      <rPr>
        <sz val="10"/>
        <color theme="1"/>
        <rFont val="宋体"/>
        <family val="3"/>
        <charset val="134"/>
      </rPr>
      <t>存货计价不准确</t>
    </r>
    <r>
      <rPr>
        <sz val="10"/>
        <color theme="1"/>
        <rFont val="Arial Narrow"/>
        <family val="2"/>
      </rPr>
      <t xml:space="preserve"> Inventory prices not valid</t>
    </r>
    <phoneticPr fontId="46" type="noConversion"/>
  </si>
  <si>
    <r>
      <rPr>
        <sz val="10"/>
        <color theme="1"/>
        <rFont val="宋体"/>
        <family val="3"/>
        <charset val="134"/>
      </rPr>
      <t>确定存货计价方法是否恰当，并与上期方法一致。考虑以下几点：</t>
    </r>
    <r>
      <rPr>
        <sz val="10"/>
        <color theme="1"/>
        <rFont val="Arial Narrow"/>
        <family val="2"/>
      </rPr>
      <t xml:space="preserve"> Determine whether the method of inventory costing is appropriate and consistent with prior periods.  Consider:</t>
    </r>
    <r>
      <rPr>
        <sz val="10"/>
        <color theme="1"/>
        <rFont val="宋体"/>
        <family val="3"/>
        <charset val="134"/>
      </rPr>
      <t>前期减值项目的账面价值。</t>
    </r>
    <r>
      <rPr>
        <sz val="10"/>
        <color theme="1"/>
        <rFont val="Arial Narrow"/>
        <family val="2"/>
      </rPr>
      <t xml:space="preserve"> Carrying value of items written down in prior periods</t>
    </r>
    <r>
      <rPr>
        <sz val="10"/>
        <color theme="1"/>
        <rFont val="宋体"/>
        <family val="3"/>
        <charset val="134"/>
      </rPr>
      <t>；运费、相关税费、折扣、返利和其他此类折让。</t>
    </r>
    <r>
      <rPr>
        <sz val="10"/>
        <color theme="1"/>
        <rFont val="Arial Narrow"/>
        <family val="2"/>
      </rPr>
      <t xml:space="preserve"> Freight, commodity taxes, discounts, rebates, and other such allowances</t>
    </r>
    <phoneticPr fontId="46" type="noConversion"/>
  </si>
  <si>
    <r>
      <rPr>
        <sz val="10"/>
        <color theme="1"/>
        <rFont val="宋体"/>
        <family val="3"/>
        <charset val="134"/>
      </rPr>
      <t>将现有文件（存货明细表）与对应的上期期末的对应文件相匹配，以完成或确认如下事项：</t>
    </r>
    <r>
      <rPr>
        <sz val="10"/>
        <color theme="1"/>
        <rFont val="Arial Narrow"/>
        <family val="2"/>
      </rPr>
      <t xml:space="preserve"> Match the current file with the corresponding file at the end of the prior period to complete or identify the following:</t>
    </r>
    <phoneticPr fontId="46" type="noConversion"/>
  </si>
  <si>
    <r>
      <rPr>
        <sz val="10"/>
        <color theme="1"/>
        <rFont val="宋体"/>
        <family val="3"/>
        <charset val="134"/>
      </rPr>
      <t>价格出现重大变化的项目</t>
    </r>
    <r>
      <rPr>
        <sz val="10"/>
        <color theme="1"/>
        <rFont val="Arial Narrow"/>
        <family val="2"/>
      </rPr>
      <t xml:space="preserve"> Items with significant changes in price</t>
    </r>
    <phoneticPr fontId="46" type="noConversion"/>
  </si>
  <si>
    <r>
      <rPr>
        <sz val="10"/>
        <color theme="1"/>
        <rFont val="宋体"/>
        <family val="3"/>
        <charset val="134"/>
      </rPr>
      <t>新项目</t>
    </r>
    <r>
      <rPr>
        <sz val="10"/>
        <color theme="1"/>
        <rFont val="Arial Narrow"/>
        <family val="2"/>
      </rPr>
      <t xml:space="preserve"> New items</t>
    </r>
    <phoneticPr fontId="46" type="noConversion"/>
  </si>
  <si>
    <r>
      <rPr>
        <sz val="10"/>
        <color theme="1"/>
        <rFont val="宋体"/>
        <family val="3"/>
        <charset val="134"/>
      </rPr>
      <t>本期未发生变动或变动很少（文件未标注最后销售日期，与上期数量相同）</t>
    </r>
    <r>
      <rPr>
        <sz val="10"/>
        <color theme="1"/>
        <rFont val="Arial Narrow"/>
        <family val="2"/>
      </rPr>
      <t>Items with little or no activity (same quantity as prior period if files don't have last sale date)</t>
    </r>
    <phoneticPr fontId="46" type="noConversion"/>
  </si>
  <si>
    <r>
      <rPr>
        <sz val="10"/>
        <color theme="1"/>
        <rFont val="宋体"/>
        <family val="3"/>
        <charset val="134"/>
      </rPr>
      <t>数量为零或负数，或者价格为零或负数的项目</t>
    </r>
    <r>
      <rPr>
        <sz val="10"/>
        <color theme="1"/>
        <rFont val="Arial Narrow"/>
        <family val="2"/>
      </rPr>
      <t xml:space="preserve"> Items with zero or negative quantities and/or prices</t>
    </r>
    <phoneticPr fontId="46" type="noConversion"/>
  </si>
  <si>
    <r>
      <rPr>
        <sz val="10"/>
        <color theme="1"/>
        <rFont val="宋体"/>
        <family val="3"/>
        <charset val="134"/>
      </rPr>
      <t>除上述特殊项目外，从剩余的总体中，使用样本计算器设计一个抽样。</t>
    </r>
    <r>
      <rPr>
        <sz val="10"/>
        <color theme="1"/>
        <rFont val="Arial Narrow"/>
        <family val="2"/>
      </rPr>
      <t xml:space="preserve"> From the remaining population, design a sample using the Sample Size Calculator.</t>
    </r>
    <phoneticPr fontId="46" type="noConversion"/>
  </si>
  <si>
    <r>
      <rPr>
        <sz val="10"/>
        <color theme="1"/>
        <rFont val="宋体"/>
        <family val="3"/>
        <charset val="134"/>
      </rPr>
      <t>使用样本计算器计算样本。</t>
    </r>
    <r>
      <rPr>
        <sz val="10"/>
        <color theme="1"/>
        <rFont val="Arial Narrow"/>
        <family val="2"/>
      </rPr>
      <t xml:space="preserve"> Design a sample using the Sample Size Calculator.</t>
    </r>
    <phoneticPr fontId="46" type="noConversion"/>
  </si>
  <si>
    <r>
      <rPr>
        <sz val="10"/>
        <color theme="1"/>
        <rFont val="宋体"/>
        <family val="3"/>
        <charset val="134"/>
      </rPr>
      <t>采用适当选样方法选取</t>
    </r>
    <r>
      <rPr>
        <sz val="10"/>
        <color theme="1"/>
        <rFont val="Arial Narrow"/>
        <family val="2"/>
      </rPr>
      <t>%S</t>
    </r>
    <r>
      <rPr>
        <sz val="10"/>
        <color theme="1"/>
        <rFont val="宋体"/>
        <family val="3"/>
        <charset val="134"/>
      </rPr>
      <t>的项目。</t>
    </r>
    <r>
      <rPr>
        <sz val="10"/>
        <color theme="1"/>
        <rFont val="Arial Narrow"/>
        <family val="2"/>
      </rPr>
      <t xml:space="preserve"> Select %S items using an appropriate selection method.</t>
    </r>
    <phoneticPr fontId="46" type="noConversion"/>
  </si>
  <si>
    <r>
      <rPr>
        <sz val="10"/>
        <color theme="1"/>
        <rFont val="宋体"/>
        <family val="3"/>
        <charset val="134"/>
      </rPr>
      <t>对选中项目进行计价测试。</t>
    </r>
    <r>
      <rPr>
        <sz val="10"/>
        <color theme="1"/>
        <rFont val="Arial Narrow"/>
        <family val="2"/>
      </rPr>
      <t xml:space="preserve"> Test the pricing for the items selected.</t>
    </r>
    <phoneticPr fontId="46" type="noConversion"/>
  </si>
  <si>
    <r>
      <rPr>
        <sz val="10"/>
        <color theme="1"/>
        <rFont val="宋体"/>
        <family val="3"/>
        <charset val="134"/>
      </rPr>
      <t>向适当的人员报告未解决的差异。</t>
    </r>
    <r>
      <rPr>
        <sz val="10"/>
        <color theme="1"/>
        <rFont val="Arial Narrow"/>
        <family val="2"/>
      </rPr>
      <t xml:space="preserve"> Report unresolved differences to appropriate personnel.</t>
    </r>
    <phoneticPr fontId="46" type="noConversion"/>
  </si>
  <si>
    <r>
      <rPr>
        <sz val="10"/>
        <color theme="1"/>
        <rFont val="宋体"/>
        <family val="3"/>
        <charset val="134"/>
      </rPr>
      <t>确定是否需要追加程序，包括是否需要重新确定总体。</t>
    </r>
    <r>
      <rPr>
        <sz val="10"/>
        <color theme="1"/>
        <rFont val="Arial Narrow"/>
        <family val="2"/>
      </rPr>
      <t xml:space="preserve"> Determine whether additional procedures are necessary, including whether to rework the population.</t>
    </r>
    <phoneticPr fontId="46" type="noConversion"/>
  </si>
  <si>
    <r>
      <rPr>
        <sz val="10"/>
        <color theme="1"/>
        <rFont val="宋体"/>
        <family val="3"/>
        <charset val="134"/>
      </rPr>
      <t>对原材料、自制半成品、库存商品计价测试，还需：</t>
    </r>
    <phoneticPr fontId="46" type="noConversion"/>
  </si>
  <si>
    <r>
      <t xml:space="preserve"> </t>
    </r>
    <r>
      <rPr>
        <sz val="10"/>
        <color theme="1"/>
        <rFont val="宋体"/>
        <family val="3"/>
        <charset val="134"/>
      </rPr>
      <t>计价</t>
    </r>
    <r>
      <rPr>
        <sz val="10"/>
        <color theme="1"/>
        <rFont val="Arial Narrow"/>
        <family val="2"/>
      </rPr>
      <t>/</t>
    </r>
    <r>
      <rPr>
        <sz val="10"/>
        <color theme="1"/>
        <rFont val="宋体"/>
        <family val="3"/>
        <charset val="134"/>
      </rPr>
      <t>准确性（毛值）</t>
    </r>
    <r>
      <rPr>
        <sz val="10"/>
        <color theme="1"/>
        <rFont val="Arial Narrow"/>
        <family val="2"/>
      </rPr>
      <t xml:space="preserve"> VG
</t>
    </r>
    <r>
      <rPr>
        <sz val="10"/>
        <color theme="1"/>
        <rFont val="宋体"/>
        <family val="3"/>
        <charset val="134"/>
      </rPr>
      <t>存货计价不准确</t>
    </r>
    <r>
      <rPr>
        <sz val="10"/>
        <color theme="1"/>
        <rFont val="Arial Narrow"/>
        <family val="2"/>
      </rPr>
      <t xml:space="preserve"> Inventory prices not valid,</t>
    </r>
    <r>
      <rPr>
        <sz val="10"/>
        <color theme="1"/>
        <rFont val="宋体"/>
        <family val="3"/>
        <charset val="134"/>
      </rPr>
      <t>标准成本应用不合理</t>
    </r>
    <r>
      <rPr>
        <sz val="10"/>
        <color theme="1"/>
        <rFont val="Arial Narrow"/>
        <family val="2"/>
      </rPr>
      <t xml:space="preserve"> Standard costs not applied properly,</t>
    </r>
    <r>
      <rPr>
        <sz val="10"/>
        <color theme="1"/>
        <rFont val="宋体"/>
        <family val="3"/>
        <charset val="134"/>
      </rPr>
      <t>外币计量不恰当</t>
    </r>
    <r>
      <rPr>
        <sz val="10"/>
        <color theme="1"/>
        <rFont val="Arial Narrow"/>
        <family val="2"/>
      </rPr>
      <t xml:space="preserve"> Foreign currency measurements not proper</t>
    </r>
    <phoneticPr fontId="46" type="noConversion"/>
  </si>
  <si>
    <r>
      <rPr>
        <b/>
        <sz val="10"/>
        <color theme="1"/>
        <rFont val="宋体"/>
        <family val="3"/>
        <charset val="134"/>
      </rPr>
      <t>在以实际成本计价时，应以样本的单位成本与原材料、自制半成品、库存商品明细账核对；原材料、外购库存商品还需核对购货发票（如与期末存货数量相同的最后几张），核实单位成本，并确认存货成本中不包含增值税。</t>
    </r>
    <phoneticPr fontId="46" type="noConversion"/>
  </si>
  <si>
    <r>
      <rPr>
        <sz val="10"/>
        <color theme="1"/>
        <rFont val="宋体"/>
        <family val="3"/>
        <charset val="134"/>
      </rPr>
      <t>在以计划成本计价时，应以样本的单位成本与原材料明细账、自制半成品明细账、库存商品明细账、材料成本差异明细账、商品成本差异明细账及购货发票核对；还应检查</t>
    </r>
    <r>
      <rPr>
        <sz val="10"/>
        <color theme="1"/>
        <rFont val="Arial Narrow"/>
        <family val="2"/>
      </rPr>
      <t>“</t>
    </r>
    <r>
      <rPr>
        <sz val="10"/>
        <color theme="1"/>
        <rFont val="宋体"/>
        <family val="3"/>
        <charset val="134"/>
      </rPr>
      <t>材料成本差异</t>
    </r>
    <r>
      <rPr>
        <sz val="10"/>
        <color theme="1"/>
        <rFont val="Arial Narrow"/>
        <family val="2"/>
      </rPr>
      <t>”</t>
    </r>
    <r>
      <rPr>
        <sz val="10"/>
        <color theme="1"/>
        <rFont val="宋体"/>
        <family val="3"/>
        <charset val="134"/>
      </rPr>
      <t>、</t>
    </r>
    <r>
      <rPr>
        <sz val="10"/>
        <color theme="1"/>
        <rFont val="Arial Narrow"/>
        <family val="2"/>
      </rPr>
      <t>“</t>
    </r>
    <r>
      <rPr>
        <sz val="10"/>
        <color theme="1"/>
        <rFont val="宋体"/>
        <family val="3"/>
        <charset val="134"/>
      </rPr>
      <t>商品成本差异</t>
    </r>
    <r>
      <rPr>
        <sz val="10"/>
        <color theme="1"/>
        <rFont val="Arial Narrow"/>
        <family val="2"/>
      </rPr>
      <t>”</t>
    </r>
    <r>
      <rPr>
        <sz val="10"/>
        <color theme="1"/>
        <rFont val="宋体"/>
        <family val="3"/>
        <charset val="134"/>
      </rPr>
      <t>账项发生额、转销额是否计算正确。</t>
    </r>
    <phoneticPr fontId="46" type="noConversion"/>
  </si>
  <si>
    <r>
      <t xml:space="preserve"> </t>
    </r>
    <r>
      <rPr>
        <sz val="10"/>
        <color theme="1"/>
        <rFont val="宋体"/>
        <family val="3"/>
        <charset val="134"/>
      </rPr>
      <t>计价</t>
    </r>
    <r>
      <rPr>
        <sz val="10"/>
        <color theme="1"/>
        <rFont val="Arial Narrow"/>
        <family val="2"/>
      </rPr>
      <t>/</t>
    </r>
    <r>
      <rPr>
        <sz val="10"/>
        <color theme="1"/>
        <rFont val="宋体"/>
        <family val="3"/>
        <charset val="134"/>
      </rPr>
      <t>准确性（毛值）</t>
    </r>
    <r>
      <rPr>
        <sz val="10"/>
        <color theme="1"/>
        <rFont val="Arial Narrow"/>
        <family val="2"/>
      </rPr>
      <t xml:space="preserve"> VG
</t>
    </r>
    <r>
      <rPr>
        <sz val="10"/>
        <color theme="1"/>
        <rFont val="宋体"/>
        <family val="3"/>
        <charset val="134"/>
      </rPr>
      <t>标准成本应用不合理</t>
    </r>
    <r>
      <rPr>
        <sz val="10"/>
        <color theme="1"/>
        <rFont val="Arial Narrow"/>
        <family val="2"/>
      </rPr>
      <t xml:space="preserve"> Standard costs not applied properly</t>
    </r>
    <phoneticPr fontId="46" type="noConversion"/>
  </si>
  <si>
    <r>
      <rPr>
        <sz val="10"/>
        <color theme="1"/>
        <rFont val="宋体"/>
        <family val="3"/>
        <charset val="134"/>
      </rPr>
      <t>测试进口原材料、进口库存商品的外币折算及相应的关税的会计处理。</t>
    </r>
    <phoneticPr fontId="46" type="noConversion"/>
  </si>
  <si>
    <r>
      <t xml:space="preserve"> </t>
    </r>
    <r>
      <rPr>
        <sz val="10"/>
        <color theme="1"/>
        <rFont val="宋体"/>
        <family val="3"/>
        <charset val="134"/>
      </rPr>
      <t>计价</t>
    </r>
    <r>
      <rPr>
        <sz val="10"/>
        <color theme="1"/>
        <rFont val="Arial Narrow"/>
        <family val="2"/>
      </rPr>
      <t>/</t>
    </r>
    <r>
      <rPr>
        <sz val="10"/>
        <color theme="1"/>
        <rFont val="宋体"/>
        <family val="3"/>
        <charset val="134"/>
      </rPr>
      <t>准确性（毛值）</t>
    </r>
    <r>
      <rPr>
        <sz val="10"/>
        <color theme="1"/>
        <rFont val="Arial Narrow"/>
        <family val="2"/>
      </rPr>
      <t xml:space="preserve"> VG
</t>
    </r>
    <r>
      <rPr>
        <sz val="10"/>
        <color theme="1"/>
        <rFont val="宋体"/>
        <family val="3"/>
        <charset val="134"/>
      </rPr>
      <t>外币计量不恰当</t>
    </r>
    <r>
      <rPr>
        <sz val="10"/>
        <color theme="1"/>
        <rFont val="Arial Narrow"/>
        <family val="2"/>
      </rPr>
      <t xml:space="preserve"> Foreign currency measurements not proper</t>
    </r>
    <phoneticPr fontId="46" type="noConversion"/>
  </si>
  <si>
    <r>
      <rPr>
        <b/>
        <sz val="10"/>
        <color theme="1"/>
        <rFont val="宋体"/>
        <family val="3"/>
        <charset val="134"/>
      </rPr>
      <t>检查发出材料、自制半成品、库存商品的计价方法（如先进先出法，加权平均法等）是否正确，是否前后期一致，并抽取主要原材料、自制半成品、库存商品进行计价测试，验证被审计单位原材料、自制半成品、库存商品发出汇总表的正确性。</t>
    </r>
    <phoneticPr fontId="46" type="noConversion"/>
  </si>
  <si>
    <r>
      <rPr>
        <sz val="10"/>
        <color theme="1"/>
        <rFont val="宋体"/>
        <family val="3"/>
        <charset val="134"/>
      </rPr>
      <t>抽查自制半成品的发出凭证，核对转出自制半成品的品种、数量和实际成本与</t>
    </r>
    <r>
      <rPr>
        <sz val="10"/>
        <color theme="1"/>
        <rFont val="Arial Narrow"/>
        <family val="2"/>
      </rPr>
      <t>“</t>
    </r>
    <r>
      <rPr>
        <sz val="10"/>
        <color theme="1"/>
        <rFont val="宋体"/>
        <family val="3"/>
        <charset val="134"/>
      </rPr>
      <t>生产成本</t>
    </r>
    <r>
      <rPr>
        <sz val="10"/>
        <color theme="1"/>
        <rFont val="Arial Narrow"/>
        <family val="2"/>
      </rPr>
      <t>”</t>
    </r>
    <r>
      <rPr>
        <sz val="10"/>
        <color theme="1"/>
        <rFont val="宋体"/>
        <family val="3"/>
        <charset val="134"/>
      </rPr>
      <t>是否相符。</t>
    </r>
    <phoneticPr fontId="46" type="noConversion"/>
  </si>
  <si>
    <r>
      <rPr>
        <sz val="10"/>
        <color theme="1"/>
        <rFont val="宋体"/>
        <family val="3"/>
        <charset val="134"/>
      </rPr>
      <t>对材料采购或在途物资计价测试，还需：</t>
    </r>
    <phoneticPr fontId="46" type="noConversion"/>
  </si>
  <si>
    <r>
      <rPr>
        <sz val="10"/>
        <color theme="1"/>
        <rFont val="宋体"/>
        <family val="3"/>
        <charset val="134"/>
      </rPr>
      <t>检查期末物资采购或在途物资，核对有关凭证，查看是否存在不属于本科目核算的其他物资采购。</t>
    </r>
    <phoneticPr fontId="46" type="noConversion"/>
  </si>
  <si>
    <r>
      <rPr>
        <sz val="10"/>
        <color theme="1"/>
        <rFont val="宋体"/>
        <family val="3"/>
        <charset val="134"/>
      </rPr>
      <t>查阅资产负债表日前后（</t>
    </r>
    <r>
      <rPr>
        <sz val="10"/>
        <color theme="1"/>
        <rFont val="Arial Narrow"/>
        <family val="2"/>
      </rPr>
      <t>______</t>
    </r>
    <r>
      <rPr>
        <sz val="10"/>
        <color theme="1"/>
        <rFont val="宋体"/>
        <family val="3"/>
        <charset val="134"/>
      </rPr>
      <t>）天物资采购或在途物资增减变动的有关账簿记录和收料报告单等资料，检查有无跨期现象，如有，则应作出记录，必要时作调整。</t>
    </r>
    <phoneticPr fontId="46" type="noConversion"/>
  </si>
  <si>
    <r>
      <rPr>
        <sz val="10"/>
        <color theme="1"/>
        <rFont val="宋体"/>
        <family val="3"/>
        <charset val="134"/>
      </rPr>
      <t>如采用计划成本核算，审核物资采购账项有关材料成本差异发生额的计算处理是否正确。</t>
    </r>
    <phoneticPr fontId="46" type="noConversion"/>
  </si>
  <si>
    <r>
      <rPr>
        <sz val="10"/>
        <color theme="1"/>
        <rFont val="宋体"/>
        <family val="3"/>
        <charset val="134"/>
      </rPr>
      <t>检查月末转入原材料等科目的会计处理是否正确。</t>
    </r>
    <phoneticPr fontId="46" type="noConversion"/>
  </si>
  <si>
    <r>
      <rPr>
        <sz val="10"/>
        <color theme="1"/>
        <rFont val="宋体"/>
        <family val="3"/>
        <charset val="134"/>
      </rPr>
      <t>委托加工物资测试：</t>
    </r>
    <phoneticPr fontId="46" type="noConversion"/>
  </si>
  <si>
    <r>
      <rPr>
        <sz val="10"/>
        <color theme="1"/>
        <rFont val="宋体"/>
        <family val="3"/>
        <charset val="134"/>
      </rPr>
      <t>选取重要委托加工业务合同（也可参照</t>
    </r>
    <r>
      <rPr>
        <sz val="10"/>
        <color theme="1"/>
        <rFont val="Arial Narrow"/>
        <family val="2"/>
      </rPr>
      <t>9.3</t>
    </r>
    <r>
      <rPr>
        <sz val="10"/>
        <color theme="1"/>
        <rFont val="宋体"/>
        <family val="3"/>
        <charset val="134"/>
      </rPr>
      <t>选取样本并评估样本误差），抽查有关发料凭证、加工费、运费结算凭证，关注所有权归属，核对其计费、计价是否正确，会计处理是否及时、正确；</t>
    </r>
    <phoneticPr fontId="46" type="noConversion"/>
  </si>
  <si>
    <r>
      <rPr>
        <sz val="10"/>
        <color theme="1"/>
        <rFont val="宋体"/>
        <family val="3"/>
        <charset val="134"/>
      </rPr>
      <t>抽查加工完成物资的验收入库手续是否齐全，会计处理是否正确；</t>
    </r>
    <phoneticPr fontId="46" type="noConversion"/>
  </si>
  <si>
    <r>
      <rPr>
        <sz val="10"/>
        <color theme="1"/>
        <rFont val="宋体"/>
        <family val="3"/>
        <charset val="134"/>
      </rPr>
      <t>检查委外加工自制半成品转入自制半成品的账务处理是否正确；</t>
    </r>
    <phoneticPr fontId="46" type="noConversion"/>
  </si>
  <si>
    <r>
      <rPr>
        <sz val="10"/>
        <color theme="1"/>
        <rFont val="宋体"/>
        <family val="3"/>
        <charset val="134"/>
      </rPr>
      <t>函证核实委外加工自制半成品，必要时现场查看或利用其他注册会计师的工作。</t>
    </r>
    <phoneticPr fontId="46" type="noConversion"/>
  </si>
  <si>
    <r>
      <rPr>
        <sz val="10"/>
        <color theme="1"/>
        <rFont val="宋体"/>
        <family val="3"/>
        <charset val="134"/>
      </rPr>
      <t>根据需要，抽取主要周转材料（低值易耗品、包装物）进行计价测试：</t>
    </r>
    <phoneticPr fontId="46" type="noConversion"/>
  </si>
  <si>
    <r>
      <rPr>
        <sz val="10"/>
        <color theme="1"/>
        <rFont val="宋体"/>
        <family val="3"/>
        <charset val="134"/>
      </rPr>
      <t>检查周转材料的入库和领用的手续是否齐全，会计处理是否正确；</t>
    </r>
    <phoneticPr fontId="46" type="noConversion"/>
  </si>
  <si>
    <r>
      <rPr>
        <sz val="10"/>
        <color theme="1"/>
        <rFont val="宋体"/>
        <family val="3"/>
        <charset val="134"/>
      </rPr>
      <t>检查周转材料摊销方法是否正确，前后期是否一致，验证发出周转材料汇总表的正确性；</t>
    </r>
    <phoneticPr fontId="46" type="noConversion"/>
  </si>
  <si>
    <r>
      <rPr>
        <sz val="10"/>
        <color theme="1"/>
        <rFont val="宋体"/>
        <family val="3"/>
        <charset val="134"/>
      </rPr>
      <t>询问被审计单位是否存在包装物押金。若有，结合相关科目的审计，查明包装物押金的收取情况是否合理，有无合同，是否存在逾期包装物押金，相应税金处理是否正确，必要时作调整。</t>
    </r>
    <phoneticPr fontId="46" type="noConversion"/>
  </si>
  <si>
    <r>
      <rPr>
        <sz val="10"/>
        <color theme="1"/>
        <rFont val="宋体"/>
        <family val="3"/>
        <charset val="134"/>
      </rPr>
      <t>劳务成本测试：</t>
    </r>
    <phoneticPr fontId="46" type="noConversion"/>
  </si>
  <si>
    <r>
      <rPr>
        <sz val="10"/>
        <color theme="1"/>
        <rFont val="宋体"/>
        <family val="3"/>
        <charset val="134"/>
      </rPr>
      <t>选择重要或异常的劳务成本项目（也可参照</t>
    </r>
    <r>
      <rPr>
        <sz val="10"/>
        <color theme="1"/>
        <rFont val="Arial Narrow"/>
        <family val="2"/>
      </rPr>
      <t>9.3</t>
    </r>
    <r>
      <rPr>
        <sz val="10"/>
        <color theme="1"/>
        <rFont val="宋体"/>
        <family val="3"/>
        <charset val="134"/>
      </rPr>
      <t>选取样本并评估样本误差），检查其原始凭证是否合法，账务处理是否正确；</t>
    </r>
    <phoneticPr fontId="46" type="noConversion"/>
  </si>
  <si>
    <r>
      <rPr>
        <sz val="10"/>
        <color theme="1"/>
        <rFont val="宋体"/>
        <family val="3"/>
        <charset val="134"/>
      </rPr>
      <t>将劳务成本明细表中的材料发生额与材料耗用汇总表、工资发生额与工资分配表、折旧发生额与折旧分配表、资产摊销发生额与各项资产摊销分配表及相关账项明细表核对一致，并作交叉索引；</t>
    </r>
    <phoneticPr fontId="46" type="noConversion"/>
  </si>
  <si>
    <r>
      <rPr>
        <sz val="10"/>
        <color theme="1"/>
        <rFont val="宋体"/>
        <family val="3"/>
        <charset val="134"/>
      </rPr>
      <t>抽查成本计算单，检查劳务成本的分配是否合理、正确；</t>
    </r>
    <phoneticPr fontId="46" type="noConversion"/>
  </si>
  <si>
    <r>
      <rPr>
        <sz val="10"/>
        <color theme="1"/>
        <rFont val="宋体"/>
        <family val="3"/>
        <charset val="134"/>
      </rPr>
      <t>检查劳务成本中有无资本性支出；</t>
    </r>
    <phoneticPr fontId="46" type="noConversion"/>
  </si>
  <si>
    <r>
      <rPr>
        <sz val="10"/>
        <color theme="1"/>
        <rFont val="宋体"/>
        <family val="3"/>
        <charset val="134"/>
      </rPr>
      <t>必要时，对劳务成本实施截止测试，检查资产负债表日前后（</t>
    </r>
    <r>
      <rPr>
        <sz val="10"/>
        <color theme="1"/>
        <rFont val="Arial Narrow"/>
        <family val="2"/>
      </rPr>
      <t>______</t>
    </r>
    <r>
      <rPr>
        <sz val="10"/>
        <color theme="1"/>
        <rFont val="宋体"/>
        <family val="3"/>
        <charset val="134"/>
      </rPr>
      <t>）天内劳务成本明细账和凭证，确定有无跨期现象；</t>
    </r>
    <phoneticPr fontId="46" type="noConversion"/>
  </si>
  <si>
    <r>
      <rPr>
        <sz val="10"/>
        <color theme="1"/>
        <rFont val="宋体"/>
        <family val="3"/>
        <charset val="134"/>
      </rPr>
      <t>检查结转的劳务成本是否与对应的劳务收入相互配比。</t>
    </r>
    <phoneticPr fontId="46" type="noConversion"/>
  </si>
  <si>
    <t>G2-8</t>
    <phoneticPr fontId="14" type="noConversion"/>
  </si>
  <si>
    <t>存货计价测试程序</t>
    <phoneticPr fontId="14" type="noConversion"/>
  </si>
  <si>
    <t>1</t>
    <phoneticPr fontId="14" type="noConversion"/>
  </si>
  <si>
    <t>2</t>
    <phoneticPr fontId="14" type="noConversion"/>
  </si>
  <si>
    <t>2.1</t>
    <phoneticPr fontId="14" type="noConversion"/>
  </si>
  <si>
    <t>2.2</t>
    <phoneticPr fontId="14" type="noConversion"/>
  </si>
  <si>
    <t>2.3</t>
    <phoneticPr fontId="14" type="noConversion"/>
  </si>
  <si>
    <t>2.4</t>
    <phoneticPr fontId="14" type="noConversion"/>
  </si>
  <si>
    <t>3</t>
    <phoneticPr fontId="14" type="noConversion"/>
  </si>
  <si>
    <t>3.1</t>
    <phoneticPr fontId="14" type="noConversion"/>
  </si>
  <si>
    <t>3.2</t>
    <phoneticPr fontId="14" type="noConversion"/>
  </si>
  <si>
    <t>3.3</t>
    <phoneticPr fontId="14" type="noConversion"/>
  </si>
  <si>
    <t>3.4</t>
    <phoneticPr fontId="14" type="noConversion"/>
  </si>
  <si>
    <t>3.5</t>
    <phoneticPr fontId="14" type="noConversion"/>
  </si>
  <si>
    <t>3.6</t>
    <phoneticPr fontId="14" type="noConversion"/>
  </si>
  <si>
    <t>3.7</t>
    <phoneticPr fontId="14" type="noConversion"/>
  </si>
  <si>
    <t>3.8</t>
    <phoneticPr fontId="14" type="noConversion"/>
  </si>
  <si>
    <t>4</t>
    <phoneticPr fontId="14" type="noConversion"/>
  </si>
  <si>
    <t>4.1</t>
    <phoneticPr fontId="14" type="noConversion"/>
  </si>
  <si>
    <t>4.2</t>
    <phoneticPr fontId="14" type="noConversion"/>
  </si>
  <si>
    <t>4.3</t>
    <phoneticPr fontId="14" type="noConversion"/>
  </si>
  <si>
    <t>4.4</t>
    <phoneticPr fontId="14" type="noConversion"/>
  </si>
  <si>
    <t>4.5</t>
    <phoneticPr fontId="14" type="noConversion"/>
  </si>
  <si>
    <t>4.6</t>
    <phoneticPr fontId="14" type="noConversion"/>
  </si>
  <si>
    <t>4.7</t>
    <phoneticPr fontId="14" type="noConversion"/>
  </si>
  <si>
    <t>5</t>
    <phoneticPr fontId="14" type="noConversion"/>
  </si>
  <si>
    <t>5.1</t>
    <phoneticPr fontId="14" type="noConversion"/>
  </si>
  <si>
    <t>5.2</t>
    <phoneticPr fontId="14" type="noConversion"/>
  </si>
  <si>
    <t>5.3</t>
    <phoneticPr fontId="14" type="noConversion"/>
  </si>
  <si>
    <t>5.4</t>
    <phoneticPr fontId="14" type="noConversion"/>
  </si>
  <si>
    <t>6</t>
    <phoneticPr fontId="14" type="noConversion"/>
  </si>
  <si>
    <t>6.1</t>
    <phoneticPr fontId="14" type="noConversion"/>
  </si>
  <si>
    <t>6.2</t>
    <phoneticPr fontId="14" type="noConversion"/>
  </si>
  <si>
    <t>6.3</t>
    <phoneticPr fontId="14" type="noConversion"/>
  </si>
  <si>
    <t>6.4</t>
    <phoneticPr fontId="14" type="noConversion"/>
  </si>
  <si>
    <t>7</t>
    <phoneticPr fontId="14" type="noConversion"/>
  </si>
  <si>
    <t>7.1</t>
    <phoneticPr fontId="14" type="noConversion"/>
  </si>
  <si>
    <t>7.2</t>
    <phoneticPr fontId="14" type="noConversion"/>
  </si>
  <si>
    <t>7.3</t>
    <phoneticPr fontId="14" type="noConversion"/>
  </si>
  <si>
    <t>8</t>
    <phoneticPr fontId="14" type="noConversion"/>
  </si>
  <si>
    <t>8.1</t>
    <phoneticPr fontId="14" type="noConversion"/>
  </si>
  <si>
    <t>8.2</t>
    <phoneticPr fontId="14" type="noConversion"/>
  </si>
  <si>
    <t>8.3</t>
    <phoneticPr fontId="14" type="noConversion"/>
  </si>
  <si>
    <t>8.4</t>
    <phoneticPr fontId="14" type="noConversion"/>
  </si>
  <si>
    <t>8.5</t>
    <phoneticPr fontId="14" type="noConversion"/>
  </si>
  <si>
    <t>8.6</t>
    <phoneticPr fontId="14" type="noConversion"/>
  </si>
  <si>
    <t>G2-8-4</t>
    <phoneticPr fontId="14" type="noConversion"/>
  </si>
  <si>
    <r>
      <rPr>
        <sz val="10"/>
        <color theme="1"/>
        <rFont val="宋体"/>
        <family val="3"/>
        <charset val="134"/>
      </rPr>
      <t>对在产品（生产成本）和产成品，了解成本构成及人工费用、制造费用的分配，核对材料、人工、制造费用明细表，执行计价测试：</t>
    </r>
    <phoneticPr fontId="46" type="noConversion"/>
  </si>
  <si>
    <r>
      <rPr>
        <sz val="10"/>
        <color theme="1"/>
        <rFont val="宋体"/>
        <family val="3"/>
        <charset val="134"/>
      </rPr>
      <t>存货</t>
    </r>
    <phoneticPr fontId="46" type="noConversion"/>
  </si>
  <si>
    <r>
      <t xml:space="preserve"> </t>
    </r>
    <r>
      <rPr>
        <sz val="10"/>
        <color theme="1"/>
        <rFont val="宋体"/>
        <family val="3"/>
        <charset val="134"/>
      </rPr>
      <t>计价</t>
    </r>
    <r>
      <rPr>
        <sz val="10"/>
        <color theme="1"/>
        <rFont val="Arial Narrow"/>
        <family val="2"/>
      </rPr>
      <t>/</t>
    </r>
    <r>
      <rPr>
        <sz val="10"/>
        <color theme="1"/>
        <rFont val="宋体"/>
        <family val="3"/>
        <charset val="134"/>
      </rPr>
      <t>准确性（毛值）</t>
    </r>
    <r>
      <rPr>
        <sz val="10"/>
        <color theme="1"/>
        <rFont val="Arial Narrow"/>
        <family val="2"/>
      </rPr>
      <t xml:space="preserve"> VG
</t>
    </r>
    <r>
      <rPr>
        <sz val="10"/>
        <color theme="1"/>
        <rFont val="宋体"/>
        <family val="3"/>
        <charset val="134"/>
      </rPr>
      <t>人工和间接费用分摊不合理</t>
    </r>
    <r>
      <rPr>
        <sz val="10"/>
        <color theme="1"/>
        <rFont val="Arial Narrow"/>
        <family val="2"/>
      </rPr>
      <t xml:space="preserve"> Labor and overhead not applied properly,</t>
    </r>
    <r>
      <rPr>
        <sz val="10"/>
        <color theme="1"/>
        <rFont val="宋体"/>
        <family val="3"/>
        <charset val="134"/>
      </rPr>
      <t>存货计价不准确</t>
    </r>
    <r>
      <rPr>
        <sz val="10"/>
        <color theme="1"/>
        <rFont val="Arial Narrow"/>
        <family val="2"/>
      </rPr>
      <t xml:space="preserve"> Inventory prices not valid</t>
    </r>
    <phoneticPr fontId="46" type="noConversion"/>
  </si>
  <si>
    <t>G2-8</t>
    <phoneticPr fontId="46" type="noConversion"/>
  </si>
  <si>
    <r>
      <rPr>
        <b/>
        <sz val="10"/>
        <color theme="1"/>
        <rFont val="宋体"/>
        <family val="3"/>
        <charset val="134"/>
      </rPr>
      <t>抽取并复核生产成本明细汇总表的正确性，将直接材料与材料耗用汇总表、直接工资总额与工资分配表、制造费用总额与制造费用明细表及相关账项明细表核对一致，并作交叉索引。</t>
    </r>
    <phoneticPr fontId="46" type="noConversion"/>
  </si>
  <si>
    <t>检查计入生产成本的制造费用是否已扣除非正常消耗的制造费用，如非正常的低生产量、闲置设备等产生的费用。</t>
    <phoneticPr fontId="46" type="noConversion"/>
  </si>
  <si>
    <r>
      <t xml:space="preserve"> </t>
    </r>
    <r>
      <rPr>
        <sz val="10"/>
        <color theme="1"/>
        <rFont val="宋体"/>
        <family val="3"/>
        <charset val="134"/>
      </rPr>
      <t>计价</t>
    </r>
    <r>
      <rPr>
        <sz val="10"/>
        <color theme="1"/>
        <rFont val="Arial Narrow"/>
        <family val="2"/>
      </rPr>
      <t>/</t>
    </r>
    <r>
      <rPr>
        <sz val="10"/>
        <color theme="1"/>
        <rFont val="宋体"/>
        <family val="3"/>
        <charset val="134"/>
      </rPr>
      <t>准确性（毛值）</t>
    </r>
    <r>
      <rPr>
        <sz val="10"/>
        <color theme="1"/>
        <rFont val="Arial Narrow"/>
        <family val="2"/>
      </rPr>
      <t xml:space="preserve"> VG
</t>
    </r>
    <r>
      <rPr>
        <sz val="10"/>
        <color theme="1"/>
        <rFont val="宋体"/>
        <family val="3"/>
        <charset val="134"/>
      </rPr>
      <t>存货计价不准确</t>
    </r>
    <r>
      <rPr>
        <sz val="10"/>
        <color theme="1"/>
        <rFont val="Arial Narrow"/>
        <family val="2"/>
      </rPr>
      <t xml:space="preserve"> Inventory prices not valid</t>
    </r>
    <phoneticPr fontId="46" type="noConversion"/>
  </si>
  <si>
    <t>对于计入生产成本的借款费用，结合对长短期借款、应付债券或长期应付款等付息债务的审计，检查借款费用资本化的计算方法和资本化金额以及会计处理是否正确。</t>
    <phoneticPr fontId="46" type="noConversion"/>
  </si>
  <si>
    <r>
      <rPr>
        <b/>
        <sz val="10"/>
        <color theme="1"/>
        <rFont val="宋体"/>
        <family val="3"/>
        <charset val="134"/>
      </rPr>
      <t>复核制造费用明细汇总表的正确性，将制造费用明细表中的材料发生额与材料耗用汇总表、工资发生额与工资分配表、折旧发生额与折旧分配表、资产摊销发生额与各项资产摊销分配表及相关账项明细表核对一致，并作交叉索引。</t>
    </r>
    <phoneticPr fontId="46" type="noConversion"/>
  </si>
  <si>
    <r>
      <t xml:space="preserve"> </t>
    </r>
    <r>
      <rPr>
        <sz val="10"/>
        <color theme="1"/>
        <rFont val="宋体"/>
        <family val="3"/>
        <charset val="134"/>
      </rPr>
      <t>计价</t>
    </r>
    <r>
      <rPr>
        <sz val="10"/>
        <color theme="1"/>
        <rFont val="Arial Narrow"/>
        <family val="2"/>
      </rPr>
      <t>/</t>
    </r>
    <r>
      <rPr>
        <sz val="10"/>
        <color theme="1"/>
        <rFont val="宋体"/>
        <family val="3"/>
        <charset val="134"/>
      </rPr>
      <t>准确性（毛值）</t>
    </r>
    <r>
      <rPr>
        <sz val="10"/>
        <color theme="1"/>
        <rFont val="Arial Narrow"/>
        <family val="2"/>
      </rPr>
      <t xml:space="preserve"> VG
</t>
    </r>
    <r>
      <rPr>
        <sz val="10"/>
        <color theme="1"/>
        <rFont val="宋体"/>
        <family val="3"/>
        <charset val="134"/>
      </rPr>
      <t>人工和间接费用分摊不合理</t>
    </r>
    <r>
      <rPr>
        <sz val="10"/>
        <color theme="1"/>
        <rFont val="Arial Narrow"/>
        <family val="2"/>
      </rPr>
      <t xml:space="preserve"> Labor and overhead not applied properly</t>
    </r>
    <phoneticPr fontId="46" type="noConversion"/>
  </si>
  <si>
    <r>
      <rPr>
        <b/>
        <sz val="10"/>
        <color theme="1"/>
        <rFont val="宋体"/>
        <family val="3"/>
        <charset val="134"/>
      </rPr>
      <t>检查生产成本在完工产品与在产品间分配是否正确（包括评价被审计单位确定在产品完工程度的方法是否合理），分配标准和计算方法是否有重大变化，是否合理和适当。</t>
    </r>
    <phoneticPr fontId="46" type="noConversion"/>
  </si>
  <si>
    <r>
      <rPr>
        <b/>
        <sz val="10"/>
        <color theme="1"/>
        <rFont val="宋体"/>
        <family val="3"/>
        <charset val="134"/>
      </rPr>
      <t>获取其直接人工及制造费用的分配标准和计算方法，评价有关分配标准和计算方法是否合理和适当，以确认在产品中所含直接人工和制造费用是合理的。</t>
    </r>
    <phoneticPr fontId="46" type="noConversion"/>
  </si>
  <si>
    <r>
      <rPr>
        <b/>
        <sz val="10"/>
        <color theme="1"/>
        <rFont val="宋体"/>
        <family val="3"/>
        <charset val="134"/>
      </rPr>
      <t>抽取成本计算单（可参照</t>
    </r>
    <r>
      <rPr>
        <b/>
        <sz val="10"/>
        <color theme="1"/>
        <rFont val="Arial Narrow"/>
        <family val="2"/>
      </rPr>
      <t>9.3</t>
    </r>
    <r>
      <rPr>
        <b/>
        <sz val="10"/>
        <color theme="1"/>
        <rFont val="宋体"/>
        <family val="3"/>
        <charset val="134"/>
      </rPr>
      <t>选取样本并评估样本误差；若被审计单位采用先进先出法，则获取期末存货对应批次的生产成本计算单），检查直接材料、直接人工及制造费用的计算和分配是否正确，执行以下材料、人工、与制造费用测试，并与有关佐证文件（如领料记录、生产工时记录、材料费用分配汇总表、人工费用分配汇总表等）相核对。</t>
    </r>
    <phoneticPr fontId="46" type="noConversion"/>
  </si>
  <si>
    <r>
      <rPr>
        <sz val="10"/>
        <color theme="1"/>
        <rFont val="宋体"/>
        <family val="3"/>
        <charset val="134"/>
      </rPr>
      <t>从自制半成品或产成品中选择</t>
    </r>
    <r>
      <rPr>
        <sz val="10"/>
        <color theme="1"/>
        <rFont val="Arial Narrow"/>
        <family val="2"/>
      </rPr>
      <t>10</t>
    </r>
    <r>
      <rPr>
        <sz val="10"/>
        <color theme="1"/>
        <rFont val="宋体"/>
        <family val="3"/>
        <charset val="134"/>
      </rPr>
      <t>个物料清单样本，并执行以下操作：</t>
    </r>
    <r>
      <rPr>
        <sz val="10"/>
        <color theme="1"/>
        <rFont val="Arial Narrow"/>
        <family val="2"/>
      </rPr>
      <t xml:space="preserve"> Select ten bills of materials from work in process or finished goods and perform the following:</t>
    </r>
    <phoneticPr fontId="46" type="noConversion"/>
  </si>
  <si>
    <r>
      <rPr>
        <sz val="10"/>
        <color theme="1"/>
        <rFont val="宋体"/>
        <family val="3"/>
        <charset val="134"/>
      </rPr>
      <t>了解每个所选择的产品的主要材料成本构成。</t>
    </r>
    <r>
      <rPr>
        <sz val="10"/>
        <color theme="1"/>
        <rFont val="Arial Narrow"/>
        <family val="2"/>
      </rPr>
      <t xml:space="preserve"> Obtain an understanding of the major material cost components included in each product selected.</t>
    </r>
    <phoneticPr fontId="46" type="noConversion"/>
  </si>
  <si>
    <r>
      <rPr>
        <sz val="10"/>
        <color theme="1"/>
        <rFont val="宋体"/>
        <family val="3"/>
        <charset val="134"/>
      </rPr>
      <t>确定材料清单是否包含了所识别出的主要构成部分。</t>
    </r>
    <r>
      <rPr>
        <sz val="10"/>
        <color theme="1"/>
        <rFont val="Arial Narrow"/>
        <family val="2"/>
      </rPr>
      <t xml:space="preserve"> Determine whether the bill of materials includes the major components identified.</t>
    </r>
    <phoneticPr fontId="46" type="noConversion"/>
  </si>
  <si>
    <r>
      <rPr>
        <sz val="10"/>
        <color theme="1"/>
        <rFont val="宋体"/>
        <family val="3"/>
        <charset val="134"/>
      </rPr>
      <t>主要成分的成本与原材料库存成本核对一致。</t>
    </r>
    <r>
      <rPr>
        <sz val="10"/>
        <color theme="1"/>
        <rFont val="Arial Narrow"/>
        <family val="2"/>
      </rPr>
      <t xml:space="preserve">  Agree costs of the major components to raw materials inventory.</t>
    </r>
    <phoneticPr fontId="46" type="noConversion"/>
  </si>
  <si>
    <r>
      <rPr>
        <sz val="10"/>
        <color theme="1"/>
        <rFont val="宋体"/>
        <family val="3"/>
        <charset val="134"/>
      </rPr>
      <t>与客户适当人员讨论例外情况。</t>
    </r>
    <r>
      <rPr>
        <sz val="10"/>
        <color theme="1"/>
        <rFont val="Arial Narrow"/>
        <family val="2"/>
      </rPr>
      <t xml:space="preserve"> Discuss exceptions with appropriate client personnel.</t>
    </r>
    <phoneticPr fontId="46" type="noConversion"/>
  </si>
  <si>
    <r>
      <rPr>
        <sz val="10"/>
        <color theme="1"/>
        <rFont val="宋体"/>
        <family val="3"/>
        <charset val="134"/>
      </rPr>
      <t>通过以下程序确定包含在存货中的人工费用成本是否合理：</t>
    </r>
    <r>
      <rPr>
        <sz val="10"/>
        <color theme="1"/>
        <rFont val="Arial Narrow"/>
        <family val="2"/>
      </rPr>
      <t>Determine the reasonableness of overhead costs included in inventory as follows:</t>
    </r>
    <phoneticPr fontId="46" type="noConversion"/>
  </si>
  <si>
    <r>
      <rPr>
        <sz val="10"/>
        <color theme="1"/>
        <rFont val="宋体"/>
        <family val="3"/>
        <charset val="134"/>
      </rPr>
      <t>将人工操作流程和说明与作业程序或其它的适当文件相比较。</t>
    </r>
    <r>
      <rPr>
        <sz val="10"/>
        <color theme="1"/>
        <rFont val="Arial Narrow"/>
        <family val="2"/>
      </rPr>
      <t xml:space="preserve"> Compare the sequence and description of labor operations to routing sheets or other appropriate sources.</t>
    </r>
    <phoneticPr fontId="46" type="noConversion"/>
  </si>
  <si>
    <r>
      <rPr>
        <sz val="10"/>
        <color theme="1"/>
        <rFont val="宋体"/>
        <family val="3"/>
        <charset val="134"/>
      </rPr>
      <t>通过核对生产流程或过程表、考勤记录等测试人工工时。</t>
    </r>
    <r>
      <rPr>
        <sz val="10"/>
        <color theme="1"/>
        <rFont val="Arial Narrow"/>
        <family val="2"/>
      </rPr>
      <t xml:space="preserve"> Test labor hours by reference to routing or process sheets, labor tickets, etc.</t>
    </r>
    <phoneticPr fontId="46" type="noConversion"/>
  </si>
  <si>
    <r>
      <rPr>
        <sz val="10"/>
        <color theme="1"/>
        <rFont val="宋体"/>
        <family val="3"/>
        <charset val="134"/>
      </rPr>
      <t>参考人工分配、工资记录或劳动合同测试单位工资率。</t>
    </r>
    <r>
      <rPr>
        <sz val="10"/>
        <color theme="1"/>
        <rFont val="Arial Narrow"/>
        <family val="2"/>
      </rPr>
      <t xml:space="preserve"> Test labor rates by reference to labor distributions, payroll records or labor contracts.</t>
    </r>
    <phoneticPr fontId="46" type="noConversion"/>
  </si>
  <si>
    <r>
      <rPr>
        <sz val="10"/>
        <color theme="1"/>
        <rFont val="宋体"/>
        <family val="3"/>
        <charset val="134"/>
      </rPr>
      <t>如果人工成本是依据设备工时或者其他标准来衡量的，执行适当的合理性测试。</t>
    </r>
    <r>
      <rPr>
        <sz val="10"/>
        <color theme="1"/>
        <rFont val="Arial Narrow"/>
        <family val="2"/>
      </rPr>
      <t xml:space="preserve"> If labor is based on machine hours or other standard measures, perform appropriate reasonableness tests.</t>
    </r>
    <phoneticPr fontId="46" type="noConversion"/>
  </si>
  <si>
    <r>
      <rPr>
        <sz val="10"/>
        <color theme="1"/>
        <rFont val="宋体"/>
        <family val="3"/>
        <charset val="134"/>
      </rPr>
      <t>确定人工费用是否连续、合理地分配给了在产品和产成品。</t>
    </r>
    <r>
      <rPr>
        <sz val="10"/>
        <color theme="1"/>
        <rFont val="Arial Narrow"/>
        <family val="2"/>
      </rPr>
      <t xml:space="preserve"> Determine whether labor and overhead costs were assigned to work in process and finished goods inventories on a consistent and reasonable basis.</t>
    </r>
    <phoneticPr fontId="46" type="noConversion"/>
  </si>
  <si>
    <r>
      <rPr>
        <sz val="10"/>
        <color theme="1"/>
        <rFont val="宋体"/>
        <family val="3"/>
        <charset val="134"/>
      </rPr>
      <t>通过以下程序确定包含在存货中的制造费用成本是否合理：</t>
    </r>
    <r>
      <rPr>
        <sz val="10"/>
        <color theme="1"/>
        <rFont val="Arial Narrow"/>
        <family val="2"/>
      </rPr>
      <t>Determine the reasonableness of overhead costs included in inventory as follows:</t>
    </r>
    <phoneticPr fontId="46" type="noConversion"/>
  </si>
  <si>
    <r>
      <rPr>
        <sz val="10"/>
        <color theme="1"/>
        <rFont val="宋体"/>
        <family val="3"/>
        <charset val="134"/>
      </rPr>
      <t>确定已包含在制造费用的项目与前期相一致，并只包括适当的成本。</t>
    </r>
    <r>
      <rPr>
        <sz val="10"/>
        <color theme="1"/>
        <rFont val="Arial Narrow"/>
        <family val="2"/>
      </rPr>
      <t xml:space="preserve"> Determine that expenses included in overhead are consistent with the prior period and include only costs that are appropriate.</t>
    </r>
    <phoneticPr fontId="46" type="noConversion"/>
  </si>
  <si>
    <r>
      <rPr>
        <sz val="10"/>
        <color theme="1"/>
        <rFont val="宋体"/>
        <family val="3"/>
        <charset val="134"/>
      </rPr>
      <t>比较包含在制造费用中的支出与该期间实际支出，并解释其中的重大差异。</t>
    </r>
    <r>
      <rPr>
        <sz val="10"/>
        <color theme="1"/>
        <rFont val="Arial Narrow"/>
        <family val="2"/>
      </rPr>
      <t xml:space="preserve"> Compare expenses included in overhead with actual expenses for the period and explain significant differences.</t>
    </r>
    <phoneticPr fontId="46" type="noConversion"/>
  </si>
  <si>
    <r>
      <rPr>
        <sz val="10"/>
        <color theme="1"/>
        <rFont val="宋体"/>
        <family val="3"/>
        <charset val="134"/>
      </rPr>
      <t>测试制造费用分配比率的计算的准确性并且确定该比率运用了适当的分配标准（直接人工、人工工时等）</t>
    </r>
    <r>
      <rPr>
        <sz val="10"/>
        <color theme="1"/>
        <rFont val="Arial Narrow"/>
        <family val="2"/>
      </rPr>
      <t>Test the mathematical accuracy of the application and determine that the rates were applied to the proper inventory base (direct labor, labor hours, etc.)</t>
    </r>
    <phoneticPr fontId="46" type="noConversion"/>
  </si>
  <si>
    <t>比较本期和前期制造费用分配比率，并解释重大的变动。  Compare current and prior-period overhead rates and explain significant changes.</t>
  </si>
  <si>
    <r>
      <rPr>
        <sz val="10"/>
        <color theme="1"/>
        <rFont val="宋体"/>
        <family val="3"/>
        <charset val="134"/>
      </rPr>
      <t>确定制造费用是否连续、合理地分配给了在产品和产成品。</t>
    </r>
    <r>
      <rPr>
        <sz val="10"/>
        <color theme="1"/>
        <rFont val="Arial Narrow"/>
        <family val="2"/>
      </rPr>
      <t xml:space="preserve"> Determine whether labor and overhead costs were assigned to work in process and finished goods inventories on a consistent and reasonable basis.</t>
    </r>
    <phoneticPr fontId="46" type="noConversion"/>
  </si>
  <si>
    <r>
      <t>G2-8-1</t>
    </r>
    <r>
      <rPr>
        <b/>
        <sz val="10"/>
        <color theme="1"/>
        <rFont val="宋体"/>
        <family val="3"/>
        <charset val="134"/>
      </rPr>
      <t>、</t>
    </r>
    <r>
      <rPr>
        <b/>
        <sz val="10"/>
        <color theme="1"/>
        <rFont val="Arial Narrow"/>
        <family val="2"/>
      </rPr>
      <t>G2-8-2</t>
    </r>
    <r>
      <rPr>
        <b/>
        <sz val="10"/>
        <color theme="1"/>
        <rFont val="宋体"/>
        <family val="3"/>
        <charset val="134"/>
      </rPr>
      <t>、</t>
    </r>
    <r>
      <rPr>
        <b/>
        <sz val="10"/>
        <color theme="1"/>
        <rFont val="Arial Narrow"/>
        <family val="2"/>
      </rPr>
      <t>G2-8-3</t>
    </r>
    <phoneticPr fontId="14" type="noConversion"/>
  </si>
  <si>
    <t>G2-8-5</t>
    <phoneticPr fontId="14" type="noConversion"/>
  </si>
  <si>
    <r>
      <rPr>
        <sz val="10"/>
        <rFont val="宋体"/>
        <family val="3"/>
        <charset val="134"/>
      </rPr>
      <t>合计</t>
    </r>
    <phoneticPr fontId="14" type="noConversion"/>
  </si>
  <si>
    <t>索引号</t>
    <phoneticPr fontId="14" type="noConversion"/>
  </si>
  <si>
    <t>9.1.1</t>
  </si>
  <si>
    <t>9.1.2</t>
  </si>
  <si>
    <t>9.6.1</t>
  </si>
  <si>
    <t>9.6.2</t>
  </si>
  <si>
    <t>9.6.3</t>
  </si>
  <si>
    <t>9.6.4</t>
  </si>
  <si>
    <t>9.7.1</t>
  </si>
  <si>
    <t>9.7.2</t>
  </si>
  <si>
    <t>9.7.3</t>
  </si>
  <si>
    <t>9.7.4</t>
  </si>
  <si>
    <t>9.7.5</t>
  </si>
  <si>
    <t>9.8.1</t>
  </si>
  <si>
    <t>9.8.2</t>
  </si>
  <si>
    <t>9.8.3</t>
  </si>
  <si>
    <t>9.8.4</t>
  </si>
  <si>
    <t>9.8.5</t>
  </si>
  <si>
    <t>年初数</t>
    <phoneticPr fontId="14" type="noConversion"/>
  </si>
  <si>
    <t>A</t>
    <phoneticPr fontId="14" type="noConversion"/>
  </si>
  <si>
    <t>B</t>
    <phoneticPr fontId="14" type="noConversion"/>
  </si>
  <si>
    <t>C</t>
    <phoneticPr fontId="14" type="noConversion"/>
  </si>
  <si>
    <t>D</t>
    <phoneticPr fontId="14" type="noConversion"/>
  </si>
  <si>
    <t>E</t>
    <phoneticPr fontId="14" type="noConversion"/>
  </si>
  <si>
    <t>F</t>
    <phoneticPr fontId="14" type="noConversion"/>
  </si>
  <si>
    <t>J</t>
    <phoneticPr fontId="14" type="noConversion"/>
  </si>
  <si>
    <t>K</t>
    <phoneticPr fontId="14" type="noConversion"/>
  </si>
  <si>
    <t>M</t>
    <phoneticPr fontId="14" type="noConversion"/>
  </si>
  <si>
    <t>合计</t>
    <phoneticPr fontId="14" type="noConversion"/>
  </si>
  <si>
    <r>
      <rPr>
        <b/>
        <sz val="12"/>
        <rFont val="宋体"/>
        <family val="3"/>
        <charset val="134"/>
      </rPr>
      <t>产成品单位成本年度比较表</t>
    </r>
    <phoneticPr fontId="14" type="noConversion"/>
  </si>
  <si>
    <r>
      <rPr>
        <sz val="10"/>
        <rFont val="宋体"/>
        <family val="3"/>
        <charset val="134"/>
      </rPr>
      <t>索引号：</t>
    </r>
    <phoneticPr fontId="14" type="noConversion"/>
  </si>
  <si>
    <r>
      <rPr>
        <sz val="10"/>
        <rFont val="宋体"/>
        <family val="3"/>
        <charset val="134"/>
      </rPr>
      <t>页次：</t>
    </r>
    <phoneticPr fontId="14" type="noConversion"/>
  </si>
  <si>
    <r>
      <rPr>
        <b/>
        <sz val="10"/>
        <rFont val="宋体"/>
        <family val="3"/>
        <charset val="134"/>
      </rPr>
      <t>产成品名称</t>
    </r>
    <phoneticPr fontId="14" type="noConversion"/>
  </si>
  <si>
    <r>
      <rPr>
        <b/>
        <sz val="10"/>
        <rFont val="宋体"/>
        <family val="3"/>
        <charset val="134"/>
      </rPr>
      <t>本年单位成本</t>
    </r>
    <phoneticPr fontId="14" type="noConversion"/>
  </si>
  <si>
    <r>
      <rPr>
        <b/>
        <sz val="10"/>
        <rFont val="宋体"/>
        <family val="3"/>
        <charset val="134"/>
      </rPr>
      <t>上年单位成本</t>
    </r>
    <phoneticPr fontId="14" type="noConversion"/>
  </si>
  <si>
    <r>
      <rPr>
        <b/>
        <sz val="10"/>
        <rFont val="宋体"/>
        <family val="3"/>
        <charset val="134"/>
      </rPr>
      <t>波动比例</t>
    </r>
    <phoneticPr fontId="14" type="noConversion"/>
  </si>
  <si>
    <r>
      <rPr>
        <b/>
        <sz val="10"/>
        <rFont val="宋体"/>
        <family val="3"/>
        <charset val="134"/>
      </rPr>
      <t>是否存在异常波动</t>
    </r>
    <phoneticPr fontId="14" type="noConversion"/>
  </si>
  <si>
    <r>
      <rPr>
        <b/>
        <sz val="10"/>
        <rFont val="宋体"/>
        <family val="3"/>
        <charset val="134"/>
      </rPr>
      <t>进一步审验底稿索引</t>
    </r>
    <phoneticPr fontId="14" type="noConversion"/>
  </si>
  <si>
    <r>
      <rPr>
        <b/>
        <sz val="10"/>
        <rFont val="宋体"/>
        <family val="3"/>
        <charset val="134"/>
      </rPr>
      <t>直接材料</t>
    </r>
    <phoneticPr fontId="14" type="noConversion"/>
  </si>
  <si>
    <r>
      <rPr>
        <b/>
        <sz val="10"/>
        <rFont val="宋体"/>
        <family val="3"/>
        <charset val="134"/>
      </rPr>
      <t>直接人工</t>
    </r>
    <phoneticPr fontId="14" type="noConversion"/>
  </si>
  <si>
    <r>
      <rPr>
        <b/>
        <sz val="10"/>
        <rFont val="宋体"/>
        <family val="3"/>
        <charset val="134"/>
      </rPr>
      <t>制造费用</t>
    </r>
    <phoneticPr fontId="14" type="noConversion"/>
  </si>
  <si>
    <r>
      <rPr>
        <b/>
        <sz val="10"/>
        <rFont val="宋体"/>
        <family val="3"/>
        <charset val="134"/>
      </rPr>
      <t>合计</t>
    </r>
    <phoneticPr fontId="14" type="noConversion"/>
  </si>
  <si>
    <r>
      <rPr>
        <b/>
        <sz val="10"/>
        <rFont val="宋体"/>
        <family val="3"/>
        <charset val="134"/>
      </rPr>
      <t>月份</t>
    </r>
    <phoneticPr fontId="14" type="noConversion"/>
  </si>
  <si>
    <r>
      <rPr>
        <b/>
        <sz val="10"/>
        <rFont val="宋体"/>
        <family val="3"/>
        <charset val="134"/>
      </rPr>
      <t>产量</t>
    </r>
    <phoneticPr fontId="14" type="noConversion"/>
  </si>
  <si>
    <r>
      <rPr>
        <b/>
        <sz val="10"/>
        <rFont val="宋体"/>
        <family val="3"/>
        <charset val="134"/>
      </rPr>
      <t>直接材料</t>
    </r>
    <phoneticPr fontId="14" type="noConversion"/>
  </si>
  <si>
    <r>
      <rPr>
        <b/>
        <sz val="10"/>
        <rFont val="宋体"/>
        <family val="3"/>
        <charset val="134"/>
      </rPr>
      <t>直接人工</t>
    </r>
    <phoneticPr fontId="14" type="noConversion"/>
  </si>
  <si>
    <r>
      <rPr>
        <b/>
        <sz val="10"/>
        <rFont val="宋体"/>
        <family val="3"/>
        <charset val="134"/>
      </rPr>
      <t>制造费用</t>
    </r>
    <phoneticPr fontId="14" type="noConversion"/>
  </si>
  <si>
    <r>
      <rPr>
        <b/>
        <sz val="10"/>
        <rFont val="宋体"/>
        <family val="3"/>
        <charset val="134"/>
      </rPr>
      <t>合计</t>
    </r>
    <phoneticPr fontId="14" type="noConversion"/>
  </si>
  <si>
    <r>
      <rPr>
        <b/>
        <sz val="10"/>
        <rFont val="宋体"/>
        <family val="3"/>
        <charset val="134"/>
      </rPr>
      <t>金额</t>
    </r>
    <phoneticPr fontId="14" type="noConversion"/>
  </si>
  <si>
    <r>
      <rPr>
        <b/>
        <sz val="10"/>
        <rFont val="宋体"/>
        <family val="3"/>
        <charset val="134"/>
      </rPr>
      <t>单位成本</t>
    </r>
    <phoneticPr fontId="14" type="noConversion"/>
  </si>
  <si>
    <r>
      <rPr>
        <b/>
        <sz val="10"/>
        <rFont val="宋体"/>
        <family val="3"/>
        <charset val="134"/>
      </rPr>
      <t>波动比例</t>
    </r>
    <r>
      <rPr>
        <b/>
        <sz val="10"/>
        <rFont val="Arial Narrow"/>
        <family val="2"/>
      </rPr>
      <t>(</t>
    </r>
    <r>
      <rPr>
        <b/>
        <sz val="10"/>
        <rFont val="宋体"/>
        <family val="3"/>
        <charset val="134"/>
      </rPr>
      <t>与平均成本比较</t>
    </r>
    <r>
      <rPr>
        <b/>
        <sz val="10"/>
        <rFont val="Arial Narrow"/>
        <family val="2"/>
      </rPr>
      <t>)</t>
    </r>
    <phoneticPr fontId="14" type="noConversion"/>
  </si>
  <si>
    <r>
      <rPr>
        <b/>
        <sz val="10"/>
        <rFont val="宋体"/>
        <family val="3"/>
        <charset val="134"/>
      </rPr>
      <t>致同会计师事务所</t>
    </r>
    <phoneticPr fontId="14" type="noConversion"/>
  </si>
  <si>
    <r>
      <rPr>
        <b/>
        <sz val="12"/>
        <rFont val="宋体"/>
        <family val="3"/>
        <charset val="134"/>
      </rPr>
      <t>完工产成品月度成本构成比较表</t>
    </r>
    <phoneticPr fontId="14" type="noConversion"/>
  </si>
  <si>
    <r>
      <rPr>
        <b/>
        <sz val="10"/>
        <rFont val="宋体"/>
        <family val="3"/>
        <charset val="134"/>
      </rPr>
      <t>品名</t>
    </r>
    <r>
      <rPr>
        <b/>
        <sz val="10"/>
        <rFont val="Arial Narrow"/>
        <family val="2"/>
      </rPr>
      <t>1</t>
    </r>
    <r>
      <rPr>
        <b/>
        <sz val="10"/>
        <rFont val="宋体"/>
        <family val="3"/>
        <charset val="134"/>
      </rPr>
      <t>：</t>
    </r>
    <phoneticPr fontId="14" type="noConversion"/>
  </si>
  <si>
    <r>
      <rPr>
        <b/>
        <sz val="10"/>
        <rFont val="宋体"/>
        <family val="3"/>
        <charset val="134"/>
      </rPr>
      <t>品名</t>
    </r>
    <r>
      <rPr>
        <b/>
        <sz val="10"/>
        <rFont val="Arial Narrow"/>
        <family val="2"/>
      </rPr>
      <t>2</t>
    </r>
    <r>
      <rPr>
        <b/>
        <sz val="10"/>
        <rFont val="宋体"/>
        <family val="3"/>
        <charset val="134"/>
      </rPr>
      <t>：</t>
    </r>
    <phoneticPr fontId="14" type="noConversion"/>
  </si>
  <si>
    <r>
      <rPr>
        <b/>
        <sz val="10"/>
        <rFont val="宋体"/>
        <family val="3"/>
        <charset val="134"/>
      </rPr>
      <t>产量</t>
    </r>
    <phoneticPr fontId="14" type="noConversion"/>
  </si>
  <si>
    <r>
      <rPr>
        <b/>
        <sz val="10"/>
        <rFont val="宋体"/>
        <family val="3"/>
        <charset val="134"/>
      </rPr>
      <t>直接材料</t>
    </r>
    <phoneticPr fontId="14" type="noConversion"/>
  </si>
  <si>
    <r>
      <rPr>
        <b/>
        <sz val="10"/>
        <rFont val="宋体"/>
        <family val="3"/>
        <charset val="134"/>
      </rPr>
      <t>直接人工</t>
    </r>
    <phoneticPr fontId="14" type="noConversion"/>
  </si>
  <si>
    <r>
      <rPr>
        <b/>
        <sz val="10"/>
        <rFont val="宋体"/>
        <family val="3"/>
        <charset val="134"/>
      </rPr>
      <t>制造费用</t>
    </r>
    <phoneticPr fontId="14" type="noConversion"/>
  </si>
  <si>
    <r>
      <rPr>
        <b/>
        <sz val="10"/>
        <rFont val="宋体"/>
        <family val="3"/>
        <charset val="134"/>
      </rPr>
      <t>合计</t>
    </r>
    <phoneticPr fontId="14" type="noConversion"/>
  </si>
  <si>
    <r>
      <rPr>
        <b/>
        <sz val="10"/>
        <rFont val="宋体"/>
        <family val="3"/>
        <charset val="134"/>
      </rPr>
      <t>单位成本</t>
    </r>
    <phoneticPr fontId="14" type="noConversion"/>
  </si>
  <si>
    <r>
      <rPr>
        <b/>
        <sz val="10"/>
        <rFont val="宋体"/>
        <family val="3"/>
        <charset val="134"/>
      </rPr>
      <t>波动比例</t>
    </r>
    <r>
      <rPr>
        <b/>
        <sz val="10"/>
        <rFont val="Arial Narrow"/>
        <family val="2"/>
      </rPr>
      <t>(</t>
    </r>
    <r>
      <rPr>
        <b/>
        <sz val="10"/>
        <rFont val="宋体"/>
        <family val="3"/>
        <charset val="134"/>
      </rPr>
      <t>与平均成本比较</t>
    </r>
    <r>
      <rPr>
        <b/>
        <sz val="10"/>
        <rFont val="Arial Narrow"/>
        <family val="2"/>
      </rPr>
      <t>)</t>
    </r>
    <phoneticPr fontId="14" type="noConversion"/>
  </si>
  <si>
    <r>
      <t>1</t>
    </r>
    <r>
      <rPr>
        <b/>
        <sz val="10"/>
        <rFont val="宋体"/>
        <family val="3"/>
        <charset val="134"/>
      </rPr>
      <t>、审计说明：</t>
    </r>
    <phoneticPr fontId="14" type="noConversion"/>
  </si>
  <si>
    <r>
      <t>2</t>
    </r>
    <r>
      <rPr>
        <b/>
        <sz val="10"/>
        <rFont val="宋体"/>
        <family val="3"/>
        <charset val="134"/>
      </rPr>
      <t>、审计结论：</t>
    </r>
    <phoneticPr fontId="14" type="noConversion"/>
  </si>
  <si>
    <r>
      <t>×</t>
    </r>
    <r>
      <rPr>
        <sz val="10"/>
        <rFont val="宋体"/>
        <family val="3"/>
        <charset val="134"/>
      </rPr>
      <t>月</t>
    </r>
    <r>
      <rPr>
        <sz val="10"/>
        <rFont val="Arial Narrow"/>
        <family val="2"/>
      </rPr>
      <t>×</t>
    </r>
    <r>
      <rPr>
        <sz val="10"/>
        <rFont val="宋体"/>
        <family val="3"/>
        <charset val="134"/>
      </rPr>
      <t>车间生产成本发生额：</t>
    </r>
    <phoneticPr fontId="14" type="noConversion"/>
  </si>
  <si>
    <r>
      <rPr>
        <sz val="10"/>
        <rFont val="宋体"/>
        <family val="3"/>
        <charset val="134"/>
      </rPr>
      <t>直接材料：</t>
    </r>
    <phoneticPr fontId="14" type="noConversion"/>
  </si>
  <si>
    <r>
      <rPr>
        <sz val="10"/>
        <rFont val="宋体"/>
        <family val="3"/>
        <charset val="134"/>
      </rPr>
      <t>直接人工：</t>
    </r>
    <phoneticPr fontId="14" type="noConversion"/>
  </si>
  <si>
    <r>
      <rPr>
        <sz val="10"/>
        <rFont val="宋体"/>
        <family val="3"/>
        <charset val="134"/>
      </rPr>
      <t>制造费用：</t>
    </r>
    <phoneticPr fontId="14" type="noConversion"/>
  </si>
  <si>
    <r>
      <rPr>
        <sz val="10"/>
        <rFont val="宋体"/>
        <family val="3"/>
        <charset val="134"/>
      </rPr>
      <t>其他</t>
    </r>
    <phoneticPr fontId="14" type="noConversion"/>
  </si>
  <si>
    <r>
      <rPr>
        <sz val="10"/>
        <rFont val="宋体"/>
        <family val="3"/>
        <charset val="134"/>
      </rPr>
      <t>合计：</t>
    </r>
    <phoneticPr fontId="14" type="noConversion"/>
  </si>
  <si>
    <r>
      <rPr>
        <b/>
        <sz val="10"/>
        <rFont val="宋体"/>
        <family val="3"/>
        <charset val="134"/>
      </rPr>
      <t>产成品名称</t>
    </r>
    <phoneticPr fontId="14" type="noConversion"/>
  </si>
  <si>
    <r>
      <rPr>
        <b/>
        <sz val="10"/>
        <rFont val="宋体"/>
        <family val="3"/>
        <charset val="134"/>
      </rPr>
      <t>入库产品成本单价</t>
    </r>
  </si>
  <si>
    <r>
      <rPr>
        <b/>
        <sz val="10"/>
        <rFont val="宋体"/>
        <family val="3"/>
        <charset val="134"/>
      </rPr>
      <t>分配标准（产量、工时、定额成本等）</t>
    </r>
    <phoneticPr fontId="14" type="noConversion"/>
  </si>
  <si>
    <r>
      <rPr>
        <b/>
        <sz val="10"/>
        <rFont val="宋体"/>
        <family val="3"/>
        <charset val="134"/>
      </rPr>
      <t>直接材料分配率</t>
    </r>
    <phoneticPr fontId="14" type="noConversion"/>
  </si>
  <si>
    <r>
      <rPr>
        <b/>
        <sz val="10"/>
        <rFont val="宋体"/>
        <family val="3"/>
        <charset val="134"/>
      </rPr>
      <t>直接材料分配额</t>
    </r>
    <phoneticPr fontId="14" type="noConversion"/>
  </si>
  <si>
    <r>
      <rPr>
        <b/>
        <sz val="10"/>
        <rFont val="宋体"/>
        <family val="3"/>
        <charset val="134"/>
      </rPr>
      <t>直接人工分配率</t>
    </r>
    <phoneticPr fontId="14" type="noConversion"/>
  </si>
  <si>
    <r>
      <rPr>
        <b/>
        <sz val="10"/>
        <rFont val="宋体"/>
        <family val="3"/>
        <charset val="134"/>
      </rPr>
      <t>直接人工分配额</t>
    </r>
    <phoneticPr fontId="14" type="noConversion"/>
  </si>
  <si>
    <r>
      <rPr>
        <b/>
        <sz val="10"/>
        <rFont val="宋体"/>
        <family val="3"/>
        <charset val="134"/>
      </rPr>
      <t>制造费用分配率</t>
    </r>
    <phoneticPr fontId="14" type="noConversion"/>
  </si>
  <si>
    <r>
      <rPr>
        <b/>
        <sz val="10"/>
        <rFont val="宋体"/>
        <family val="3"/>
        <charset val="134"/>
      </rPr>
      <t>制造费用分配额</t>
    </r>
    <phoneticPr fontId="14" type="noConversion"/>
  </si>
  <si>
    <r>
      <rPr>
        <b/>
        <sz val="10"/>
        <rFont val="宋体"/>
        <family val="3"/>
        <charset val="134"/>
      </rPr>
      <t>其他分配率</t>
    </r>
    <phoneticPr fontId="14" type="noConversion"/>
  </si>
  <si>
    <r>
      <rPr>
        <b/>
        <sz val="10"/>
        <rFont val="宋体"/>
        <family val="3"/>
        <charset val="134"/>
      </rPr>
      <t>其他分配额</t>
    </r>
    <phoneticPr fontId="14" type="noConversion"/>
  </si>
  <si>
    <r>
      <rPr>
        <b/>
        <sz val="10"/>
        <rFont val="宋体"/>
        <family val="3"/>
        <charset val="134"/>
      </rPr>
      <t>应计单位成本</t>
    </r>
    <phoneticPr fontId="14" type="noConversion"/>
  </si>
  <si>
    <r>
      <rPr>
        <b/>
        <sz val="10"/>
        <rFont val="宋体"/>
        <family val="3"/>
        <charset val="134"/>
      </rPr>
      <t>核对</t>
    </r>
    <phoneticPr fontId="14" type="noConversion"/>
  </si>
  <si>
    <t>——</t>
    <phoneticPr fontId="14" type="noConversion"/>
  </si>
  <si>
    <t>本公司单位成本</t>
    <phoneticPr fontId="14" type="noConversion"/>
  </si>
  <si>
    <t>同行业单位成本</t>
    <phoneticPr fontId="14" type="noConversion"/>
  </si>
  <si>
    <t>占比差异</t>
    <phoneticPr fontId="14" type="noConversion"/>
  </si>
  <si>
    <t>G2-8-7</t>
    <phoneticPr fontId="14" type="noConversion"/>
  </si>
  <si>
    <t>同行业产成品单位成本占比比较表</t>
    <phoneticPr fontId="14" type="noConversion"/>
  </si>
  <si>
    <t>计价方法测试表-平均</t>
    <phoneticPr fontId="14" type="noConversion"/>
  </si>
  <si>
    <t>生产成本分配</t>
    <phoneticPr fontId="14" type="noConversion"/>
  </si>
  <si>
    <t>英文程序是否删除？</t>
    <phoneticPr fontId="14" type="noConversion"/>
  </si>
  <si>
    <t>无此底稿，移至主程序中</t>
    <phoneticPr fontId="14" type="noConversion"/>
  </si>
  <si>
    <t>移至主程序中</t>
    <phoneticPr fontId="14" type="noConversion"/>
  </si>
  <si>
    <t>移至主程序中</t>
    <phoneticPr fontId="14" type="noConversion"/>
  </si>
  <si>
    <t>材料采购或在途物资检查移至主程序中</t>
    <phoneticPr fontId="14" type="noConversion"/>
  </si>
  <si>
    <t>与存货底稿一致</t>
    <phoneticPr fontId="14" type="noConversion"/>
  </si>
  <si>
    <t>删除</t>
    <phoneticPr fontId="14" type="noConversion"/>
  </si>
  <si>
    <t>1.企业应当采用先进先出法、加权平均法或者个别计价法确定发出存货的实际成本。</t>
    <phoneticPr fontId="14" type="noConversion"/>
  </si>
  <si>
    <t>2.对于性质和用途相似的存货，应当采用相同的成本计算方法确定发出存货的成本。</t>
    <phoneticPr fontId="14" type="noConversion"/>
  </si>
  <si>
    <t>3.对于不能替代使用的存货、为特定项目专门购入或制造的存货以及提供劳务的成本，通常采用个别计价法确定发出存货的成本。</t>
    <phoneticPr fontId="14" type="noConversion"/>
  </si>
  <si>
    <t>4.对进口原材料、进口库存商品应测试初始入账时的外币折算及相应的关税的会计处理。</t>
    <phoneticPr fontId="14" type="noConversion"/>
  </si>
  <si>
    <r>
      <t>5.</t>
    </r>
    <r>
      <rPr>
        <sz val="10"/>
        <color indexed="12"/>
        <rFont val="宋体"/>
        <family val="3"/>
        <charset val="134"/>
      </rPr>
      <t>关注前期减值项目的账面价值、运费、相关税费、返利和重大采购折扣（数量折扣除外）是否进行了调整。</t>
    </r>
    <phoneticPr fontId="14" type="noConversion"/>
  </si>
  <si>
    <r>
      <rPr>
        <sz val="10"/>
        <color theme="1"/>
        <rFont val="宋体"/>
        <family val="3"/>
        <charset val="134"/>
      </rPr>
      <t>抽查自制半成品、库存商品入库单，核对自制半成品、库存商品的品种、数量与入账记录是否一致；并检查入库自制半成品、库存商品的实际成本是否与</t>
    </r>
    <r>
      <rPr>
        <sz val="10"/>
        <color theme="1"/>
        <rFont val="Arial Narrow"/>
        <family val="2"/>
      </rPr>
      <t>“</t>
    </r>
    <r>
      <rPr>
        <sz val="10"/>
        <color theme="1"/>
        <rFont val="宋体"/>
        <family val="3"/>
        <charset val="134"/>
      </rPr>
      <t>生产成本</t>
    </r>
    <r>
      <rPr>
        <sz val="10"/>
        <color theme="1"/>
        <rFont val="Arial Narrow"/>
        <family val="2"/>
      </rPr>
      <t>”</t>
    </r>
    <r>
      <rPr>
        <sz val="10"/>
        <color theme="1"/>
        <rFont val="宋体"/>
        <family val="3"/>
        <charset val="134"/>
      </rPr>
      <t>科目的结转额相符。</t>
    </r>
    <phoneticPr fontId="46" type="noConversion"/>
  </si>
  <si>
    <t>增加至主程序中</t>
    <phoneticPr fontId="14" type="noConversion"/>
  </si>
  <si>
    <r>
      <rPr>
        <sz val="10"/>
        <color theme="1"/>
        <rFont val="宋体"/>
        <family val="3"/>
        <charset val="134"/>
      </rPr>
      <t>抽查库存商品的发出凭证，核对发出库存商品的品种、数量和实际成本与</t>
    </r>
    <r>
      <rPr>
        <sz val="10"/>
        <color theme="1"/>
        <rFont val="Arial Narrow"/>
        <family val="2"/>
      </rPr>
      <t>“</t>
    </r>
    <r>
      <rPr>
        <sz val="10"/>
        <color theme="1"/>
        <rFont val="宋体"/>
        <family val="3"/>
        <charset val="134"/>
      </rPr>
      <t>主营业务成本</t>
    </r>
    <r>
      <rPr>
        <sz val="10"/>
        <color theme="1"/>
        <rFont val="Arial Narrow"/>
        <family val="2"/>
      </rPr>
      <t>”</t>
    </r>
    <r>
      <rPr>
        <sz val="10"/>
        <color theme="1"/>
        <rFont val="宋体"/>
        <family val="3"/>
        <charset val="134"/>
      </rPr>
      <t>是否相符。</t>
    </r>
    <phoneticPr fontId="46" type="noConversion"/>
  </si>
  <si>
    <t>重复</t>
    <phoneticPr fontId="14" type="noConversion"/>
  </si>
  <si>
    <t>生产成本明细表</t>
    <phoneticPr fontId="14" type="noConversion"/>
  </si>
  <si>
    <r>
      <rPr>
        <sz val="10"/>
        <rFont val="宋体"/>
        <family val="3"/>
        <charset val="134"/>
      </rPr>
      <t>页</t>
    </r>
    <r>
      <rPr>
        <sz val="10"/>
        <rFont val="Arial Narrow"/>
        <family val="2"/>
      </rPr>
      <t xml:space="preserve">  </t>
    </r>
    <r>
      <rPr>
        <sz val="10"/>
        <rFont val="宋体"/>
        <family val="3"/>
        <charset val="134"/>
      </rPr>
      <t>次：</t>
    </r>
    <phoneticPr fontId="19" type="noConversion"/>
  </si>
  <si>
    <r>
      <t xml:space="preserve">                     </t>
    </r>
    <r>
      <rPr>
        <b/>
        <sz val="10"/>
        <rFont val="宋体"/>
        <family val="3"/>
        <charset val="134"/>
      </rPr>
      <t>月份
项目</t>
    </r>
    <phoneticPr fontId="19" type="noConversion"/>
  </si>
  <si>
    <r>
      <t>1</t>
    </r>
    <r>
      <rPr>
        <b/>
        <sz val="10"/>
        <rFont val="宋体"/>
        <family val="3"/>
        <charset val="134"/>
      </rPr>
      <t>月</t>
    </r>
  </si>
  <si>
    <r>
      <t>2</t>
    </r>
    <r>
      <rPr>
        <b/>
        <sz val="10"/>
        <rFont val="宋体"/>
        <family val="3"/>
        <charset val="134"/>
      </rPr>
      <t>月</t>
    </r>
  </si>
  <si>
    <r>
      <t>3</t>
    </r>
    <r>
      <rPr>
        <b/>
        <sz val="10"/>
        <rFont val="宋体"/>
        <family val="3"/>
        <charset val="134"/>
      </rPr>
      <t>月</t>
    </r>
  </si>
  <si>
    <r>
      <t>4</t>
    </r>
    <r>
      <rPr>
        <b/>
        <sz val="10"/>
        <rFont val="宋体"/>
        <family val="3"/>
        <charset val="134"/>
      </rPr>
      <t>月</t>
    </r>
  </si>
  <si>
    <r>
      <t>5</t>
    </r>
    <r>
      <rPr>
        <b/>
        <sz val="10"/>
        <rFont val="宋体"/>
        <family val="3"/>
        <charset val="134"/>
      </rPr>
      <t>月</t>
    </r>
  </si>
  <si>
    <r>
      <t>6</t>
    </r>
    <r>
      <rPr>
        <b/>
        <sz val="10"/>
        <rFont val="宋体"/>
        <family val="3"/>
        <charset val="134"/>
      </rPr>
      <t>月</t>
    </r>
  </si>
  <si>
    <r>
      <t>7</t>
    </r>
    <r>
      <rPr>
        <b/>
        <sz val="10"/>
        <rFont val="宋体"/>
        <family val="3"/>
        <charset val="134"/>
      </rPr>
      <t>月</t>
    </r>
  </si>
  <si>
    <r>
      <t>8</t>
    </r>
    <r>
      <rPr>
        <b/>
        <sz val="10"/>
        <rFont val="宋体"/>
        <family val="3"/>
        <charset val="134"/>
      </rPr>
      <t>月</t>
    </r>
  </si>
  <si>
    <r>
      <t>9</t>
    </r>
    <r>
      <rPr>
        <b/>
        <sz val="10"/>
        <rFont val="宋体"/>
        <family val="3"/>
        <charset val="134"/>
      </rPr>
      <t>月</t>
    </r>
  </si>
  <si>
    <r>
      <t>10</t>
    </r>
    <r>
      <rPr>
        <b/>
        <sz val="10"/>
        <rFont val="宋体"/>
        <family val="3"/>
        <charset val="134"/>
      </rPr>
      <t>月</t>
    </r>
  </si>
  <si>
    <r>
      <t>11</t>
    </r>
    <r>
      <rPr>
        <b/>
        <sz val="10"/>
        <rFont val="宋体"/>
        <family val="3"/>
        <charset val="134"/>
      </rPr>
      <t>月</t>
    </r>
  </si>
  <si>
    <r>
      <t>12</t>
    </r>
    <r>
      <rPr>
        <b/>
        <sz val="10"/>
        <rFont val="宋体"/>
        <family val="3"/>
        <charset val="134"/>
      </rPr>
      <t>月</t>
    </r>
  </si>
  <si>
    <r>
      <rPr>
        <b/>
        <sz val="10"/>
        <rFont val="宋体"/>
        <family val="3"/>
        <charset val="134"/>
      </rPr>
      <t>合计</t>
    </r>
  </si>
  <si>
    <t>上年度</t>
  </si>
  <si>
    <t>变动率</t>
  </si>
  <si>
    <t>期初余额</t>
    <phoneticPr fontId="14" type="noConversion"/>
  </si>
  <si>
    <t>本期增加：</t>
    <phoneticPr fontId="14" type="noConversion"/>
  </si>
  <si>
    <t>原材料</t>
    <phoneticPr fontId="14" type="noConversion"/>
  </si>
  <si>
    <t>燃料动力</t>
    <phoneticPr fontId="14" type="noConversion"/>
  </si>
  <si>
    <t>人工费用</t>
  </si>
  <si>
    <t>制造费用</t>
  </si>
  <si>
    <t>其他</t>
  </si>
  <si>
    <t>增加合计</t>
    <phoneticPr fontId="14" type="noConversion"/>
  </si>
  <si>
    <t>本期结转产成品</t>
    <phoneticPr fontId="14" type="noConversion"/>
  </si>
  <si>
    <t>本期结转半成本</t>
    <phoneticPr fontId="14" type="noConversion"/>
  </si>
  <si>
    <t>月末余额</t>
    <phoneticPr fontId="14" type="noConversion"/>
  </si>
  <si>
    <t>四、审计结论：</t>
  </si>
  <si>
    <t>提示：</t>
    <phoneticPr fontId="46" type="noConversion"/>
  </si>
  <si>
    <r>
      <rPr>
        <b/>
        <sz val="10"/>
        <color indexed="8"/>
        <rFont val="宋体"/>
        <family val="3"/>
        <charset val="134"/>
      </rPr>
      <t>一、审计目标：</t>
    </r>
    <phoneticPr fontId="14" type="noConversion"/>
  </si>
  <si>
    <r>
      <rPr>
        <b/>
        <sz val="10"/>
        <color indexed="8"/>
        <rFont val="宋体"/>
        <family val="3"/>
        <charset val="134"/>
      </rPr>
      <t>二、审计过程：</t>
    </r>
    <phoneticPr fontId="14" type="noConversion"/>
  </si>
  <si>
    <r>
      <rPr>
        <b/>
        <sz val="10"/>
        <color indexed="8"/>
        <rFont val="宋体"/>
        <family val="3"/>
        <charset val="134"/>
      </rPr>
      <t>各月发生的直接人工</t>
    </r>
    <phoneticPr fontId="14" type="noConversion"/>
  </si>
  <si>
    <t>产品</t>
    <phoneticPr fontId="14" type="noConversion"/>
  </si>
  <si>
    <r>
      <t>1</t>
    </r>
    <r>
      <rPr>
        <b/>
        <sz val="10"/>
        <color indexed="8"/>
        <rFont val="宋体"/>
        <family val="3"/>
        <charset val="134"/>
      </rPr>
      <t>月</t>
    </r>
    <phoneticPr fontId="14" type="noConversion"/>
  </si>
  <si>
    <r>
      <t>2</t>
    </r>
    <r>
      <rPr>
        <b/>
        <sz val="10"/>
        <color indexed="8"/>
        <rFont val="Times New Roman"/>
        <family val="1"/>
      </rPr>
      <t>月</t>
    </r>
    <r>
      <rPr>
        <sz val="10"/>
        <color indexed="8"/>
        <rFont val="宋体"/>
        <family val="3"/>
        <charset val="134"/>
      </rPr>
      <t/>
    </r>
  </si>
  <si>
    <r>
      <t>3</t>
    </r>
    <r>
      <rPr>
        <b/>
        <sz val="10"/>
        <color indexed="8"/>
        <rFont val="Times New Roman"/>
        <family val="1"/>
      </rPr>
      <t>月</t>
    </r>
    <r>
      <rPr>
        <sz val="10"/>
        <color indexed="8"/>
        <rFont val="宋体"/>
        <family val="3"/>
        <charset val="134"/>
      </rPr>
      <t/>
    </r>
  </si>
  <si>
    <r>
      <t>4</t>
    </r>
    <r>
      <rPr>
        <b/>
        <sz val="10"/>
        <color indexed="8"/>
        <rFont val="Times New Roman"/>
        <family val="1"/>
      </rPr>
      <t>月</t>
    </r>
    <r>
      <rPr>
        <sz val="10"/>
        <color indexed="8"/>
        <rFont val="宋体"/>
        <family val="3"/>
        <charset val="134"/>
      </rPr>
      <t/>
    </r>
  </si>
  <si>
    <r>
      <t>5</t>
    </r>
    <r>
      <rPr>
        <b/>
        <sz val="10"/>
        <color indexed="8"/>
        <rFont val="Times New Roman"/>
        <family val="1"/>
      </rPr>
      <t>月</t>
    </r>
    <r>
      <rPr>
        <sz val="10"/>
        <color indexed="8"/>
        <rFont val="宋体"/>
        <family val="3"/>
        <charset val="134"/>
      </rPr>
      <t/>
    </r>
  </si>
  <si>
    <r>
      <t>6</t>
    </r>
    <r>
      <rPr>
        <b/>
        <sz val="10"/>
        <color indexed="8"/>
        <rFont val="Times New Roman"/>
        <family val="1"/>
      </rPr>
      <t>月</t>
    </r>
    <r>
      <rPr>
        <sz val="10"/>
        <color indexed="8"/>
        <rFont val="宋体"/>
        <family val="3"/>
        <charset val="134"/>
      </rPr>
      <t/>
    </r>
  </si>
  <si>
    <r>
      <t>7</t>
    </r>
    <r>
      <rPr>
        <b/>
        <sz val="10"/>
        <color indexed="8"/>
        <rFont val="Times New Roman"/>
        <family val="1"/>
      </rPr>
      <t>月</t>
    </r>
    <r>
      <rPr>
        <sz val="10"/>
        <color indexed="8"/>
        <rFont val="宋体"/>
        <family val="3"/>
        <charset val="134"/>
      </rPr>
      <t/>
    </r>
  </si>
  <si>
    <r>
      <t>8</t>
    </r>
    <r>
      <rPr>
        <b/>
        <sz val="10"/>
        <color indexed="8"/>
        <rFont val="Times New Roman"/>
        <family val="1"/>
      </rPr>
      <t>月</t>
    </r>
    <r>
      <rPr>
        <sz val="10"/>
        <color indexed="8"/>
        <rFont val="宋体"/>
        <family val="3"/>
        <charset val="134"/>
      </rPr>
      <t/>
    </r>
  </si>
  <si>
    <r>
      <t>9</t>
    </r>
    <r>
      <rPr>
        <b/>
        <sz val="10"/>
        <color indexed="8"/>
        <rFont val="Times New Roman"/>
        <family val="1"/>
      </rPr>
      <t>月</t>
    </r>
    <r>
      <rPr>
        <sz val="10"/>
        <color indexed="8"/>
        <rFont val="宋体"/>
        <family val="3"/>
        <charset val="134"/>
      </rPr>
      <t/>
    </r>
  </si>
  <si>
    <r>
      <t>10</t>
    </r>
    <r>
      <rPr>
        <b/>
        <sz val="10"/>
        <color indexed="8"/>
        <rFont val="Times New Roman"/>
        <family val="1"/>
      </rPr>
      <t>月</t>
    </r>
    <r>
      <rPr>
        <sz val="10"/>
        <color indexed="8"/>
        <rFont val="宋体"/>
        <family val="3"/>
        <charset val="134"/>
      </rPr>
      <t/>
    </r>
  </si>
  <si>
    <r>
      <t>11</t>
    </r>
    <r>
      <rPr>
        <b/>
        <sz val="10"/>
        <color indexed="8"/>
        <rFont val="Times New Roman"/>
        <family val="1"/>
      </rPr>
      <t>月</t>
    </r>
    <r>
      <rPr>
        <sz val="10"/>
        <color indexed="8"/>
        <rFont val="宋体"/>
        <family val="3"/>
        <charset val="134"/>
      </rPr>
      <t/>
    </r>
  </si>
  <si>
    <r>
      <t>12</t>
    </r>
    <r>
      <rPr>
        <b/>
        <sz val="10"/>
        <color indexed="8"/>
        <rFont val="Times New Roman"/>
        <family val="1"/>
      </rPr>
      <t>月</t>
    </r>
    <r>
      <rPr>
        <sz val="10"/>
        <color indexed="8"/>
        <rFont val="宋体"/>
        <family val="3"/>
        <charset val="134"/>
      </rPr>
      <t/>
    </r>
  </si>
  <si>
    <r>
      <rPr>
        <b/>
        <sz val="10"/>
        <color indexed="8"/>
        <rFont val="宋体"/>
        <family val="3"/>
        <charset val="134"/>
      </rPr>
      <t>合计</t>
    </r>
    <phoneticPr fontId="14" type="noConversion"/>
  </si>
  <si>
    <r>
      <rPr>
        <b/>
        <sz val="10"/>
        <color indexed="8"/>
        <rFont val="宋体"/>
        <family val="3"/>
        <charset val="134"/>
      </rPr>
      <t>上年度</t>
    </r>
    <phoneticPr fontId="14" type="noConversion"/>
  </si>
  <si>
    <r>
      <rPr>
        <b/>
        <sz val="10"/>
        <color indexed="8"/>
        <rFont val="宋体"/>
        <family val="3"/>
        <charset val="134"/>
      </rPr>
      <t>变动率</t>
    </r>
    <phoneticPr fontId="14" type="noConversion"/>
  </si>
  <si>
    <r>
      <rPr>
        <b/>
        <sz val="10"/>
        <color indexed="8"/>
        <rFont val="宋体"/>
        <family val="3"/>
        <charset val="134"/>
      </rPr>
      <t>合计</t>
    </r>
    <phoneticPr fontId="14" type="noConversion"/>
  </si>
  <si>
    <r>
      <rPr>
        <b/>
        <sz val="10"/>
        <color indexed="8"/>
        <rFont val="宋体"/>
        <family val="3"/>
        <charset val="134"/>
      </rPr>
      <t>上年度</t>
    </r>
    <phoneticPr fontId="14" type="noConversion"/>
  </si>
  <si>
    <r>
      <rPr>
        <b/>
        <sz val="10"/>
        <color indexed="8"/>
        <rFont val="宋体"/>
        <family val="3"/>
        <charset val="134"/>
      </rPr>
      <t>变动率</t>
    </r>
    <phoneticPr fontId="14" type="noConversion"/>
  </si>
  <si>
    <t>产品</t>
    <phoneticPr fontId="14" type="noConversion"/>
  </si>
  <si>
    <r>
      <t>1</t>
    </r>
    <r>
      <rPr>
        <b/>
        <sz val="10"/>
        <color indexed="8"/>
        <rFont val="宋体"/>
        <family val="3"/>
        <charset val="134"/>
      </rPr>
      <t>月</t>
    </r>
    <phoneticPr fontId="14" type="noConversion"/>
  </si>
  <si>
    <r>
      <rPr>
        <b/>
        <sz val="10"/>
        <color indexed="8"/>
        <rFont val="宋体"/>
        <family val="3"/>
        <charset val="134"/>
      </rPr>
      <t>平均值</t>
    </r>
    <phoneticPr fontId="14" type="noConversion"/>
  </si>
  <si>
    <r>
      <rPr>
        <b/>
        <sz val="10"/>
        <color indexed="8"/>
        <rFont val="宋体"/>
        <family val="3"/>
        <charset val="134"/>
      </rPr>
      <t>三、审计说明：</t>
    </r>
    <phoneticPr fontId="14" type="noConversion"/>
  </si>
  <si>
    <r>
      <rPr>
        <b/>
        <sz val="10"/>
        <color indexed="8"/>
        <rFont val="宋体"/>
        <family val="3"/>
        <charset val="134"/>
      </rPr>
      <t>四、审计结论：</t>
    </r>
    <phoneticPr fontId="14" type="noConversion"/>
  </si>
  <si>
    <t>如果单位人工成本异常降低，关注是否存在其他方（如关联方）代付工资的情况</t>
    <phoneticPr fontId="14" type="noConversion"/>
  </si>
  <si>
    <t>制造费用明细表</t>
    <phoneticPr fontId="14" type="noConversion"/>
  </si>
  <si>
    <r>
      <rPr>
        <sz val="10"/>
        <rFont val="宋体"/>
        <family val="3"/>
        <charset val="134"/>
      </rPr>
      <t>页</t>
    </r>
    <r>
      <rPr>
        <sz val="10"/>
        <rFont val="Arial Narrow"/>
        <family val="2"/>
      </rPr>
      <t xml:space="preserve">  </t>
    </r>
    <r>
      <rPr>
        <sz val="10"/>
        <rFont val="宋体"/>
        <family val="3"/>
        <charset val="134"/>
      </rPr>
      <t>次：</t>
    </r>
    <phoneticPr fontId="19" type="noConversion"/>
  </si>
  <si>
    <t>一、审计目标：</t>
    <phoneticPr fontId="19" type="noConversion"/>
  </si>
  <si>
    <t>二、审计过程：</t>
    <phoneticPr fontId="19" type="noConversion"/>
  </si>
  <si>
    <r>
      <t xml:space="preserve">                     </t>
    </r>
    <r>
      <rPr>
        <b/>
        <sz val="10"/>
        <rFont val="宋体"/>
        <family val="3"/>
        <charset val="134"/>
      </rPr>
      <t>月份
项目</t>
    </r>
    <phoneticPr fontId="19" type="noConversion"/>
  </si>
  <si>
    <r>
      <rPr>
        <sz val="10"/>
        <rFont val="宋体"/>
        <family val="3"/>
        <charset val="134"/>
      </rPr>
      <t>工资</t>
    </r>
    <phoneticPr fontId="19" type="noConversion"/>
  </si>
  <si>
    <t>福利费</t>
  </si>
  <si>
    <t>修理费</t>
  </si>
  <si>
    <t>办公费</t>
  </si>
  <si>
    <t>差旅费</t>
  </si>
  <si>
    <t>运费</t>
  </si>
  <si>
    <t>折旧费</t>
  </si>
  <si>
    <t>劳动保护费</t>
  </si>
  <si>
    <t>机物料消耗</t>
  </si>
  <si>
    <t>低值易耗品摊销</t>
  </si>
  <si>
    <t>水电费</t>
  </si>
  <si>
    <t>租赁费</t>
  </si>
  <si>
    <r>
      <rPr>
        <b/>
        <sz val="10"/>
        <rFont val="宋体"/>
        <family val="3"/>
        <charset val="134"/>
      </rPr>
      <t>三、审计说明：</t>
    </r>
    <phoneticPr fontId="19" type="noConversion"/>
  </si>
  <si>
    <t>提示：</t>
    <phoneticPr fontId="46" type="noConversion"/>
  </si>
  <si>
    <r>
      <rPr>
        <sz val="10"/>
        <rFont val="宋体"/>
        <family val="3"/>
        <charset val="134"/>
      </rPr>
      <t>存货以恰当的金额包括在财务报表中，与之相关的计价或分摊调整已恰当记录，相关披露已得到恰当计量和描述</t>
    </r>
    <r>
      <rPr>
        <sz val="10"/>
        <rFont val="Arial Narrow"/>
        <family val="2"/>
      </rPr>
      <t xml:space="preserve"> </t>
    </r>
    <phoneticPr fontId="14" type="noConversion"/>
  </si>
  <si>
    <r>
      <t>存货计价方法测试表</t>
    </r>
    <r>
      <rPr>
        <b/>
        <sz val="12"/>
        <color rgb="FF3333FF"/>
        <rFont val="宋体"/>
        <family val="3"/>
        <charset val="134"/>
      </rPr>
      <t>（月末一次加权平均法适用）</t>
    </r>
    <phoneticPr fontId="14" type="noConversion"/>
  </si>
  <si>
    <t>三、审计说明：</t>
    <phoneticPr fontId="19" type="noConversion"/>
  </si>
  <si>
    <t>审计说明：</t>
    <phoneticPr fontId="14" type="noConversion"/>
  </si>
  <si>
    <t>四、审计结论：</t>
    <phoneticPr fontId="14" type="noConversion"/>
  </si>
  <si>
    <t>审计结论：</t>
    <phoneticPr fontId="14" type="noConversion"/>
  </si>
  <si>
    <t>啊啊啊啊</t>
    <phoneticPr fontId="14" type="noConversion"/>
  </si>
  <si>
    <t>是</t>
    <phoneticPr fontId="14" type="noConversion"/>
  </si>
  <si>
    <t>进一步审验底稿索引</t>
    <phoneticPr fontId="14" type="noConversion"/>
  </si>
  <si>
    <t>变动原因</t>
    <phoneticPr fontId="14" type="noConversion"/>
  </si>
  <si>
    <r>
      <rPr>
        <sz val="10"/>
        <rFont val="宋体"/>
        <family val="3"/>
        <charset val="134"/>
      </rPr>
      <t>存货以恰当的金额包括在财务报表中，与之相关的计价或分摊调整已恰当记录，相关披露已得到恰当计量和描述</t>
    </r>
    <r>
      <rPr>
        <sz val="10"/>
        <rFont val="Arial Narrow"/>
        <family val="2"/>
      </rPr>
      <t xml:space="preserve"> </t>
    </r>
    <phoneticPr fontId="14" type="noConversion"/>
  </si>
  <si>
    <r>
      <t>1.</t>
    </r>
    <r>
      <rPr>
        <sz val="10"/>
        <color indexed="8"/>
        <rFont val="宋体"/>
        <family val="3"/>
        <charset val="134"/>
      </rPr>
      <t>资产负债表中记录的存货是存在的，且已经记录在恰当的账户中</t>
    </r>
    <phoneticPr fontId="14" type="noConversion"/>
  </si>
  <si>
    <r>
      <t>2.</t>
    </r>
    <r>
      <rPr>
        <sz val="10"/>
        <color indexed="8"/>
        <rFont val="宋体"/>
        <family val="3"/>
        <charset val="134"/>
      </rPr>
      <t>所有应记录的存货均已记录，所有应当包括在财务报表中的相关披露均已包括</t>
    </r>
    <phoneticPr fontId="14" type="noConversion"/>
  </si>
  <si>
    <r>
      <t>3.</t>
    </r>
    <r>
      <rPr>
        <sz val="10"/>
        <color indexed="8"/>
        <rFont val="宋体"/>
        <family val="3"/>
        <charset val="134"/>
      </rPr>
      <t>存货以恰当的金额包括在财务报表中，与之相关的计价或分摊调整已恰当记录，相关披露已得到恰当计量和描述</t>
    </r>
    <r>
      <rPr>
        <sz val="10"/>
        <color indexed="8"/>
        <rFont val="Arial Narrow"/>
        <family val="2"/>
      </rPr>
      <t xml:space="preserve"> </t>
    </r>
    <phoneticPr fontId="14" type="noConversion"/>
  </si>
  <si>
    <r>
      <t>1.</t>
    </r>
    <r>
      <rPr>
        <sz val="10"/>
        <color rgb="FF0000FF"/>
        <rFont val="宋体"/>
        <family val="3"/>
        <charset val="134"/>
      </rPr>
      <t>复核制造费用明细汇总表的正确性，将制造费用明细表中的材料发生额与材料耗用汇总表、工资发生额与工资分配表、折旧发生额与折旧分配表、资产摊销发生额与各项资产摊销分配表及相关账项明细表核对一致，并作交叉索引。</t>
    </r>
    <phoneticPr fontId="46" type="noConversion"/>
  </si>
  <si>
    <r>
      <t>2.</t>
    </r>
    <r>
      <rPr>
        <sz val="10"/>
        <color rgb="FF0000FF"/>
        <rFont val="宋体"/>
        <family val="3"/>
        <charset val="134"/>
      </rPr>
      <t>获取制造费用的分配标准和计算方法，评价有关分配标准和计算方法是否合理和适当，以确认在产品中所含直接人工和制造费用是合理的。必要时重新计算。</t>
    </r>
    <phoneticPr fontId="46" type="noConversion"/>
  </si>
  <si>
    <r>
      <t>3.</t>
    </r>
    <r>
      <rPr>
        <sz val="10"/>
        <color rgb="FF0000FF"/>
        <rFont val="宋体"/>
        <family val="3"/>
        <charset val="134"/>
      </rPr>
      <t>关注计入生产成本的制造费用是否已扣除非正常消耗的制造费用，如非正常的低生产量、闲置设备等产生的费用。</t>
    </r>
    <phoneticPr fontId="46" type="noConversion"/>
  </si>
  <si>
    <r>
      <t>4.</t>
    </r>
    <r>
      <rPr>
        <sz val="10"/>
        <color rgb="FF3333FF"/>
        <rFont val="宋体"/>
        <family val="3"/>
        <charset val="134"/>
      </rPr>
      <t>关注存货成本是否包含了应费用化的项目（如停工损失等非正常消耗的直接材料、直接人工和制造费用，完工后的仓储费用，与销售相关的运输费，超范围、超期的借款费用资本化，不能归属于使存货达到目前场所和状态的其他支出）</t>
    </r>
    <phoneticPr fontId="14" type="noConversion"/>
  </si>
  <si>
    <t>取得本期各月及前期制造费用明细情况，将资产折旧与折旧分配表、资产摊销与各项资产摊销分配表等核对一致，关注制造费用分配方法是否合理、适当，本期各月与上期金额是否存在异常变动</t>
    <phoneticPr fontId="14" type="noConversion"/>
  </si>
  <si>
    <t>日期</t>
    <phoneticPr fontId="14" type="noConversion"/>
  </si>
  <si>
    <t>提示：</t>
    <phoneticPr fontId="14" type="noConversion"/>
  </si>
  <si>
    <t>标准单价</t>
    <phoneticPr fontId="14" type="noConversion"/>
  </si>
  <si>
    <t>标准成本</t>
  </si>
  <si>
    <t>标准成本</t>
    <phoneticPr fontId="14" type="noConversion"/>
  </si>
  <si>
    <t>本期销售（或发出）应结转</t>
    <phoneticPr fontId="14" type="noConversion"/>
  </si>
  <si>
    <t>期末应结存</t>
    <phoneticPr fontId="14" type="noConversion"/>
  </si>
  <si>
    <t>期末实际结存</t>
    <phoneticPr fontId="14" type="noConversion"/>
  </si>
  <si>
    <t>数量</t>
    <phoneticPr fontId="14" type="noConversion"/>
  </si>
  <si>
    <t>数量</t>
    <phoneticPr fontId="14" type="noConversion"/>
  </si>
  <si>
    <t>期末应结存</t>
    <phoneticPr fontId="14" type="noConversion"/>
  </si>
  <si>
    <t>期末实际结存</t>
    <phoneticPr fontId="14" type="noConversion"/>
  </si>
  <si>
    <t>期末应结存</t>
    <phoneticPr fontId="14" type="noConversion"/>
  </si>
  <si>
    <t>期末实际结存</t>
    <phoneticPr fontId="14" type="noConversion"/>
  </si>
  <si>
    <t>本期生产（或购入）</t>
    <phoneticPr fontId="14" type="noConversion"/>
  </si>
  <si>
    <t>月份</t>
    <phoneticPr fontId="14" type="noConversion"/>
  </si>
  <si>
    <t>本期销售（或发出）应结转</t>
    <phoneticPr fontId="14" type="noConversion"/>
  </si>
  <si>
    <t>本期销售（或发出）应结转</t>
    <phoneticPr fontId="14" type="noConversion"/>
  </si>
  <si>
    <r>
      <rPr>
        <sz val="10"/>
        <rFont val="宋体"/>
        <family val="3"/>
        <charset val="134"/>
      </rPr>
      <t>存货以恰当的金额包括在财务报表中，与之相关的计价或分摊调整已恰当记录，相关披露已得到恰当计量和描述</t>
    </r>
    <r>
      <rPr>
        <sz val="10"/>
        <rFont val="Arial Narrow"/>
        <family val="2"/>
      </rPr>
      <t xml:space="preserve"> </t>
    </r>
    <phoneticPr fontId="14" type="noConversion"/>
  </si>
  <si>
    <t>标准成本差异测试表</t>
    <phoneticPr fontId="14" type="noConversion"/>
  </si>
  <si>
    <t>标准成本差异</t>
    <phoneticPr fontId="14" type="noConversion"/>
  </si>
  <si>
    <t>F2-38</t>
    <phoneticPr fontId="14" type="noConversion"/>
  </si>
  <si>
    <t>计价方法测试表-先进先出</t>
    <phoneticPr fontId="14" type="noConversion"/>
  </si>
  <si>
    <t>月末一次加权平均法</t>
    <phoneticPr fontId="14" type="noConversion"/>
  </si>
  <si>
    <t>年初数</t>
    <phoneticPr fontId="14" type="noConversion"/>
  </si>
  <si>
    <t>F2-39</t>
  </si>
  <si>
    <t>计价方法测试表-标准成本差异</t>
    <phoneticPr fontId="14" type="noConversion"/>
  </si>
  <si>
    <t>F2-40</t>
  </si>
  <si>
    <r>
      <t>1.</t>
    </r>
    <r>
      <rPr>
        <sz val="10"/>
        <color rgb="FF0000FF"/>
        <rFont val="宋体"/>
        <family val="3"/>
        <charset val="134"/>
      </rPr>
      <t>关注存货成本是否包含了应费用化的项目（如停工损失等非正常消耗的直接材料、直接人工和制造费用，完工后的仓储费用，与销售相关的运输费，超范围、超期的借款费用资本化，不能归属于使存货达到目前场所和状态的其他支出）</t>
    </r>
    <phoneticPr fontId="14" type="noConversion"/>
  </si>
  <si>
    <r>
      <t>2.</t>
    </r>
    <r>
      <rPr>
        <sz val="10"/>
        <color rgb="FF0000FF"/>
        <rFont val="宋体"/>
        <family val="3"/>
        <charset val="134"/>
      </rPr>
      <t>将直接材料与材料耗用汇总表、直接工资总额与工资分配表、制造费用总额与制造费用明细表及相关账项明细表核对一致，并作交叉索引</t>
    </r>
    <phoneticPr fontId="46" type="noConversion"/>
  </si>
  <si>
    <r>
      <t>3.</t>
    </r>
    <r>
      <rPr>
        <sz val="10"/>
        <color rgb="FF0000FF"/>
        <rFont val="宋体"/>
        <family val="3"/>
        <charset val="134"/>
      </rPr>
      <t>检查生产成本在完工产品与在产品间分配是否正确（包括评价被审计单位确定在产品完工程度的方法是否合理），分配标准和计算方法是否有重大变化，是否合理和适当。</t>
    </r>
    <phoneticPr fontId="46" type="noConversion"/>
  </si>
  <si>
    <t>直接人工分析表</t>
    <phoneticPr fontId="14" type="noConversion"/>
  </si>
  <si>
    <t>直接人工分析表</t>
    <phoneticPr fontId="14" type="noConversion"/>
  </si>
  <si>
    <t>各月产量/工时</t>
    <phoneticPr fontId="14" type="noConversion"/>
  </si>
  <si>
    <r>
      <rPr>
        <b/>
        <sz val="10"/>
        <color indexed="8"/>
        <rFont val="宋体"/>
        <family val="3"/>
        <charset val="134"/>
      </rPr>
      <t>单位人工成本（各月发生的直接人工</t>
    </r>
    <r>
      <rPr>
        <b/>
        <sz val="10"/>
        <color indexed="8"/>
        <rFont val="Arial Narrow"/>
        <family val="2"/>
      </rPr>
      <t>/</t>
    </r>
    <r>
      <rPr>
        <b/>
        <sz val="10"/>
        <color indexed="8"/>
        <rFont val="宋体"/>
        <family val="3"/>
        <charset val="134"/>
      </rPr>
      <t>生产产量或工时）</t>
    </r>
    <phoneticPr fontId="14" type="noConversion"/>
  </si>
  <si>
    <t>分析计入在产品和产成品中的直接人工成本、产量或工时和单位人工成本，关注否异常变化、各月之间波动及与上年度比较有无异常</t>
    <phoneticPr fontId="46" type="noConversion"/>
  </si>
  <si>
    <t>抽查×月×车间生产成本分配表</t>
    <phoneticPr fontId="14" type="noConversion"/>
  </si>
  <si>
    <t>致同会计师事务所</t>
    <phoneticPr fontId="14" type="noConversion"/>
  </si>
  <si>
    <t>生产成本明细表</t>
    <phoneticPr fontId="14" type="noConversion"/>
  </si>
  <si>
    <t>F2-41</t>
  </si>
  <si>
    <t>F2-42</t>
  </si>
  <si>
    <t>F2-43</t>
  </si>
  <si>
    <t>F2-44</t>
  </si>
  <si>
    <t>对变动异常的产品应进一步执行舞弊应对程序中的产品生产成本及单耗分析</t>
    <phoneticPr fontId="14" type="noConversion"/>
  </si>
  <si>
    <t>F2-39</t>
    <phoneticPr fontId="14" type="noConversion"/>
  </si>
  <si>
    <t>索引号：</t>
    <phoneticPr fontId="14" type="noConversion"/>
  </si>
  <si>
    <t>页  次：</t>
    <phoneticPr fontId="14" type="noConversion"/>
  </si>
  <si>
    <t>F2-43</t>
    <phoneticPr fontId="19" type="noConversion"/>
  </si>
  <si>
    <t>页 次：</t>
    <phoneticPr fontId="14" type="noConversion"/>
  </si>
  <si>
    <r>
      <rPr>
        <sz val="10"/>
        <rFont val="宋体"/>
        <family val="3"/>
        <charset val="134"/>
      </rPr>
      <t>被审计单位：</t>
    </r>
    <r>
      <rPr>
        <sz val="10"/>
        <rFont val="Arial Narrow"/>
        <family val="2"/>
      </rPr>
      <t/>
    </r>
    <phoneticPr fontId="14" type="noConversion"/>
  </si>
  <si>
    <t>编制人：</t>
    <phoneticPr fontId="14" type="noConversion"/>
  </si>
  <si>
    <t>编制日期：</t>
    <phoneticPr fontId="14" type="noConversion"/>
  </si>
  <si>
    <t>复核人：</t>
    <phoneticPr fontId="14" type="noConversion"/>
  </si>
  <si>
    <t>复核日期：</t>
    <phoneticPr fontId="14" type="noConversion"/>
  </si>
  <si>
    <t>截止日：202X年12月31日</t>
    <phoneticPr fontId="14" type="noConversion"/>
  </si>
  <si>
    <r>
      <t>存货计价方法测试表</t>
    </r>
    <r>
      <rPr>
        <b/>
        <sz val="14"/>
        <color rgb="FF3333FF"/>
        <rFont val="宋体"/>
        <family val="3"/>
        <charset val="134"/>
      </rPr>
      <t>（先进先出法/移动加权平均法适用）</t>
    </r>
    <phoneticPr fontId="14" type="noConversion"/>
  </si>
  <si>
    <t>先进先出法/移动加权平均法</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</si>
</sst>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0">
    <numFmt numFmtId="41" formatCode="_ * #,##0_ ;_ * \-#,##0_ ;_ * &quot;-&quot;_ ;_ @_ "/>
    <numFmt numFmtId="43" formatCode="_ * #,##0.00_ ;_ * \-#,##0.00_ ;_ * &quot;-&quot;??_ ;_ @_ "/>
    <numFmt numFmtId="176" formatCode="&quot;$&quot;#,##0_);\(&quot;$&quot;#,##0\)"/>
    <numFmt numFmtId="177" formatCode="#,##0.00_ "/>
    <numFmt numFmtId="178" formatCode="&quot;\&quot;#,##0;&quot;\&quot;&quot;\&quot;\-#,##0"/>
    <numFmt numFmtId="179" formatCode="&quot;\&quot;#,##0;[Red]&quot;\&quot;&quot;\&quot;\-#,##0"/>
    <numFmt numFmtId="180" formatCode="&quot;\&quot;#,##0.00;[Red]&quot;\&quot;&quot;\&quot;\-#,##0.00"/>
    <numFmt numFmtId="181" formatCode="_-#,##0.00_-;\(#,##0.00\);_-\ \ &quot;-&quot;_-;_-@_-"/>
    <numFmt numFmtId="182" formatCode="mmm/yyyy;_-\ &quot;N/A&quot;_-;_-\ &quot;-&quot;_-"/>
    <numFmt numFmtId="183" formatCode="mmm/dd/yyyy;_-\ &quot;N/A&quot;_-;_-\ &quot;-&quot;_-"/>
    <numFmt numFmtId="184" formatCode="_-#,##0_-;\(#,##0\);_-\ \ &quot;-&quot;_-;_-@_-"/>
    <numFmt numFmtId="185" formatCode="_-#,##0%_-;\(#,##0%\);_-\ &quot;-&quot;_-"/>
    <numFmt numFmtId="186" formatCode="_-#,###,_-;\(#,###,\);_-\ \ &quot;-&quot;_-;_-@_-"/>
    <numFmt numFmtId="187" formatCode="_-#,###.00,_-;\(#,###.00,\);_-\ \ &quot;-&quot;_-;_-@_-"/>
    <numFmt numFmtId="188" formatCode="_([$€-2]* #,##0.00_);_([$€-2]* \(#,##0.00\);_([$€-2]* &quot;-&quot;??_)"/>
    <numFmt numFmtId="189" formatCode="_-#0&quot;.&quot;0000_-;\(#0&quot;.&quot;0000\);_-\ \ &quot;-&quot;_-;_-@_-"/>
    <numFmt numFmtId="190" formatCode="_-#0&quot;.&quot;0,_-;\(#0&quot;.&quot;0,\);_-\ \ &quot;-&quot;_-;_-@_-"/>
    <numFmt numFmtId="191" formatCode="0%;\(0%\)"/>
    <numFmt numFmtId="192" formatCode="0.0%"/>
    <numFmt numFmtId="193" formatCode="#,##0;\-#,##0;&quot;-&quot;"/>
    <numFmt numFmtId="194" formatCode="&quot;$&quot;#,##0;[Red]&quot;$&quot;&quot;$&quot;&quot;$&quot;&quot;$&quot;&quot;$&quot;&quot;$&quot;&quot;$&quot;\-#,##0"/>
    <numFmt numFmtId="195" formatCode="#,##0.0_);\(#,##0.0\)"/>
    <numFmt numFmtId="196" formatCode="hh:mm\ AM/PM_)"/>
    <numFmt numFmtId="197" formatCode="&quot;$&quot;#,##0.00_);\(&quot;$&quot;#,##0.00\)"/>
    <numFmt numFmtId="198" formatCode=";;;"/>
    <numFmt numFmtId="199" formatCode="_(&quot;$&quot;* #,##0_);_(&quot;$&quot;* \(#,##0\);_(&quot;$&quot;* &quot;-&quot;_);_(@_)"/>
    <numFmt numFmtId="200" formatCode="_(&quot;$&quot;* #,##0.00_);_(&quot;$&quot;* \(#,##0.00\);_(&quot;$&quot;* &quot;-&quot;??_);_(@_)"/>
    <numFmt numFmtId="201" formatCode="_-* #,##0_-;\-* #,##0_-;_-* &quot;-&quot;??_-;_-@_-"/>
    <numFmt numFmtId="202" formatCode="0.00000000000_);[Red]\(0.00000000000\)"/>
    <numFmt numFmtId="203" formatCode="0%_);\(0%\)"/>
    <numFmt numFmtId="204"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5" formatCode="\(#,##0\)\ "/>
    <numFmt numFmtId="206" formatCode="[Blue]0.0%;[Blue]\(0.0%\)"/>
    <numFmt numFmtId="207" formatCode="0.0%;\(0.0%\)"/>
    <numFmt numFmtId="208" formatCode="[Red]0.0%;[Red]\(0.0%\)"/>
    <numFmt numFmtId="209" formatCode="[Blue]#,##0_);[Blue]\(#,##0\)"/>
    <numFmt numFmtId="210" formatCode="#,##0_);[Blue]\(#,##0\)"/>
    <numFmt numFmtId="211" formatCode="#,##0;\(#,##0\)"/>
    <numFmt numFmtId="212" formatCode="#,##0.0"/>
    <numFmt numFmtId="213" formatCode="\$#,##0.00;\(\$#,##0.00\)"/>
    <numFmt numFmtId="214" formatCode="\$#,##0;\(\$#,##0\)"/>
    <numFmt numFmtId="215" formatCode="#,##0\ &quot; &quot;;\(#,##0\)\ ;&quot;—&quot;&quot; &quot;&quot; &quot;&quot; &quot;&quot; &quot;"/>
    <numFmt numFmtId="216" formatCode="_(&quot;Cr$&quot;* #,##0_);_(&quot;Cr$&quot;* \(#,##0\);_(&quot;Cr$&quot;* &quot;-&quot;_);_(@_)"/>
    <numFmt numFmtId="217" formatCode="_(&quot;Cr$&quot;* #,##0.00_);_(&quot;Cr$&quot;* \(#,##0.00\);_(&quot;Cr$&quot;* &quot;-&quot;??_);_(@_)"/>
    <numFmt numFmtId="218" formatCode="_ * #,##0_)\ _R_$_ ;_ * \(#,##0\)\ _R_$_ ;_ * &quot;-&quot;_)\ _R_$_ ;_ @_ "/>
    <numFmt numFmtId="219" formatCode="_ * #,##0.00_)\ _R_$_ ;_ * \(#,##0.00\)\ _R_$_ ;_ * &quot;-&quot;??_)\ _R_$_ ;_ @_ "/>
    <numFmt numFmtId="220" formatCode="\ \ @"/>
    <numFmt numFmtId="221" formatCode="#,##0_);\(#,##0_)"/>
    <numFmt numFmtId="222" formatCode="_-* #,##0\ _k_r_-;\-* #,##0\ _k_r_-;_-* &quot;-&quot;\ _k_r_-;_-@_-"/>
    <numFmt numFmtId="223" formatCode="_-* #,##0.00\ _k_r_-;\-* #,##0.00\ _k_r_-;_-* &quot;-&quot;??\ _k_r_-;_-@_-"/>
    <numFmt numFmtId="224" formatCode="&quot;綅&quot;\t#,##0_);[Red]\(&quot;綅&quot;\t#,##0\)"/>
    <numFmt numFmtId="225" formatCode="&quot;?\t#,##0_);[Red]\(&quot;&quot;?&quot;\t#,##0\)"/>
    <numFmt numFmtId="226" formatCode="_-* #,##0_-;\-* #,##0_-;_-* &quot;-&quot;_-;_-@_-"/>
    <numFmt numFmtId="227" formatCode="_-* #,##0.00_-;\-* #,##0.00_-;_-* &quot;-&quot;??_-;_-@_-"/>
    <numFmt numFmtId="228" formatCode="_-&quot;$&quot;* #,##0_-;\-&quot;$&quot;* #,##0_-;_-&quot;$&quot;* &quot;-&quot;_-;_-@_-"/>
    <numFmt numFmtId="229" formatCode="_-&quot;$&quot;* #,##0.00_-;\-&quot;$&quot;* #,##0.00_-;_-&quot;$&quot;* &quot;-&quot;??_-;_-@_-"/>
    <numFmt numFmtId="230" formatCode="&quot;\&quot;#,##0.00;[Red]&quot;\&quot;&quot;\&quot;&quot;\&quot;&quot;\&quot;&quot;\&quot;&quot;\&quot;\-#,##0.00"/>
    <numFmt numFmtId="231" formatCode="&quot;\&quot;#,##0.00;[Red]&quot;\&quot;\-#,##0.00"/>
    <numFmt numFmtId="232" formatCode="&quot;\&quot;#,##0;[Red]&quot;\&quot;\-#,##0"/>
    <numFmt numFmtId="233" formatCode="yyyy&quot;年&quot;m&quot;月&quot;;@"/>
  </numFmts>
  <fonts count="146">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sz val="12"/>
      <name val="宋体"/>
      <family val="3"/>
      <charset val="134"/>
    </font>
    <font>
      <sz val="10"/>
      <name val="Courier"/>
      <family val="3"/>
    </font>
    <font>
      <sz val="7"/>
      <color indexed="10"/>
      <name val="Helv"/>
      <family val="2"/>
    </font>
    <font>
      <u/>
      <sz val="12"/>
      <color indexed="12"/>
      <name val="宋体"/>
      <family val="3"/>
      <charset val="134"/>
    </font>
    <font>
      <sz val="9"/>
      <name val="宋体"/>
      <family val="3"/>
      <charset val="134"/>
    </font>
    <font>
      <sz val="10"/>
      <name val="宋体"/>
      <family val="3"/>
      <charset val="134"/>
    </font>
    <font>
      <b/>
      <sz val="12"/>
      <name val="宋体"/>
      <family val="3"/>
      <charset val="134"/>
    </font>
    <font>
      <sz val="10"/>
      <name val="Times New Roman"/>
      <family val="1"/>
    </font>
    <font>
      <sz val="12"/>
      <name val="Times New Roman"/>
      <family val="1"/>
    </font>
    <font>
      <sz val="18"/>
      <color indexed="48"/>
      <name val="魏碑"/>
      <family val="3"/>
      <charset val="134"/>
    </font>
    <font>
      <sz val="12"/>
      <name val="Arial"/>
      <family val="2"/>
    </font>
    <font>
      <sz val="10.5"/>
      <name val="Arial"/>
      <family val="2"/>
    </font>
    <font>
      <b/>
      <sz val="10"/>
      <color indexed="10"/>
      <name val="Arial"/>
      <family val="2"/>
    </font>
    <font>
      <b/>
      <sz val="12"/>
      <name val="Arial"/>
      <family val="2"/>
    </font>
    <font>
      <b/>
      <sz val="12"/>
      <name val="Arial Narrow"/>
      <family val="2"/>
    </font>
    <font>
      <sz val="12"/>
      <name val="Arial Narrow"/>
      <family val="2"/>
    </font>
    <font>
      <sz val="10"/>
      <name val="Arial Narrow"/>
      <family val="2"/>
    </font>
    <font>
      <sz val="10"/>
      <color indexed="8"/>
      <name val="Arial Narrow"/>
      <family val="2"/>
    </font>
    <font>
      <b/>
      <sz val="10"/>
      <name val="Arial Narrow"/>
      <family val="2"/>
    </font>
    <font>
      <b/>
      <sz val="10"/>
      <color indexed="8"/>
      <name val="Arial Narrow"/>
      <family val="2"/>
    </font>
    <font>
      <sz val="10"/>
      <color indexed="12"/>
      <name val="Arial Narrow"/>
      <family val="2"/>
    </font>
    <font>
      <u/>
      <sz val="10"/>
      <color indexed="8"/>
      <name val="Arial Narrow"/>
      <family val="2"/>
    </font>
    <font>
      <sz val="10"/>
      <color indexed="10"/>
      <name val="Arial Narrow"/>
      <family val="2"/>
    </font>
    <font>
      <u val="singleAccounting"/>
      <vertAlign val="subscript"/>
      <sz val="10"/>
      <name val="Times New Roman"/>
      <family val="1"/>
    </font>
    <font>
      <i/>
      <sz val="9"/>
      <name val="Times New Roman"/>
      <family val="1"/>
    </font>
    <font>
      <u/>
      <sz val="10"/>
      <color indexed="12"/>
      <name val="Arial Narrow"/>
      <family val="2"/>
    </font>
    <font>
      <sz val="10"/>
      <color indexed="8"/>
      <name val="宋体"/>
      <family val="3"/>
      <charset val="134"/>
    </font>
    <font>
      <b/>
      <u/>
      <sz val="10"/>
      <name val="Arial Narrow"/>
      <family val="2"/>
    </font>
    <font>
      <sz val="11"/>
      <color indexed="9"/>
      <name val="宋体"/>
      <family val="3"/>
      <charset val="134"/>
    </font>
    <font>
      <b/>
      <sz val="10"/>
      <name val="宋体"/>
      <family val="3"/>
      <charset val="134"/>
    </font>
    <font>
      <i/>
      <sz val="10"/>
      <color indexed="12"/>
      <name val="宋体"/>
      <family val="3"/>
      <charset val="134"/>
    </font>
    <font>
      <sz val="10"/>
      <color indexed="12"/>
      <name val="宋体"/>
      <family val="3"/>
      <charset val="134"/>
    </font>
    <font>
      <b/>
      <sz val="10"/>
      <color indexed="8"/>
      <name val="宋体"/>
      <family val="3"/>
      <charset val="134"/>
    </font>
    <font>
      <b/>
      <u/>
      <sz val="10"/>
      <name val="宋体"/>
      <family val="3"/>
      <charset val="134"/>
    </font>
    <font>
      <sz val="10"/>
      <color indexed="8"/>
      <name val="宋体"/>
      <family val="3"/>
      <charset val="134"/>
    </font>
    <font>
      <sz val="12"/>
      <color indexed="8"/>
      <name val="宋体"/>
      <family val="3"/>
      <charset val="134"/>
    </font>
    <font>
      <sz val="9"/>
      <name val="宋体"/>
      <family val="2"/>
      <charset val="134"/>
      <scheme val="minor"/>
    </font>
    <font>
      <sz val="11"/>
      <color theme="1"/>
      <name val="宋体"/>
      <family val="3"/>
      <charset val="134"/>
      <scheme val="minor"/>
    </font>
    <font>
      <sz val="11"/>
      <color theme="1"/>
      <name val="宋体"/>
      <family val="2"/>
      <scheme val="minor"/>
    </font>
    <font>
      <sz val="10"/>
      <color rgb="FFFF0000"/>
      <name val="Arial Narrow"/>
      <family val="2"/>
    </font>
    <font>
      <sz val="10"/>
      <color theme="1"/>
      <name val="Arial Narrow"/>
      <family val="2"/>
    </font>
    <font>
      <sz val="10"/>
      <color theme="1"/>
      <name val="宋体"/>
      <family val="3"/>
      <charset val="134"/>
    </font>
    <font>
      <sz val="11"/>
      <color theme="1"/>
      <name val="Arial Narrow"/>
      <family val="2"/>
    </font>
    <font>
      <b/>
      <sz val="10"/>
      <color theme="1"/>
      <name val="宋体"/>
      <family val="3"/>
      <charset val="134"/>
    </font>
    <font>
      <b/>
      <sz val="10"/>
      <color theme="1"/>
      <name val="Arial Narrow"/>
      <family val="2"/>
    </font>
    <font>
      <sz val="10"/>
      <color indexed="8"/>
      <name val="Arial"/>
      <family val="2"/>
    </font>
    <font>
      <sz val="13"/>
      <name val="Tms Rmn"/>
      <family val="1"/>
    </font>
    <font>
      <b/>
      <sz val="13"/>
      <name val="Tms Rmn"/>
      <family val="1"/>
    </font>
    <font>
      <b/>
      <sz val="8"/>
      <name val="Arial"/>
      <family val="2"/>
    </font>
    <font>
      <sz val="10"/>
      <name val="MS Sans Serif"/>
      <family val="2"/>
    </font>
    <font>
      <sz val="9"/>
      <name val="Times New Roman"/>
      <family val="1"/>
    </font>
    <font>
      <b/>
      <sz val="10"/>
      <name val="Arial"/>
      <family val="2"/>
    </font>
    <font>
      <sz val="7"/>
      <name val="Small Fonts"/>
      <family val="2"/>
    </font>
    <font>
      <sz val="10"/>
      <color indexed="8"/>
      <name val="MS Sans Serif"/>
      <family val="2"/>
    </font>
    <font>
      <sz val="8"/>
      <color indexed="16"/>
      <name val="Century Schoolbook"/>
      <family val="1"/>
    </font>
    <font>
      <b/>
      <i/>
      <sz val="10"/>
      <name val="Times New Roman"/>
      <family val="1"/>
    </font>
    <font>
      <b/>
      <sz val="12"/>
      <name val="MS Sans Serif"/>
      <family val="2"/>
    </font>
    <font>
      <sz val="12"/>
      <name val="MS Sans Serif"/>
      <family val="2"/>
    </font>
    <font>
      <b/>
      <sz val="9"/>
      <name val="Times New Roman"/>
      <family val="1"/>
    </font>
    <font>
      <sz val="10"/>
      <name val="Geneva"/>
      <family val="2"/>
    </font>
    <font>
      <sz val="11"/>
      <name val="明朝"/>
      <family val="2"/>
    </font>
    <font>
      <sz val="8"/>
      <name val="Century Schoolbook"/>
      <family val="1"/>
    </font>
    <font>
      <u/>
      <sz val="10"/>
      <color indexed="12"/>
      <name val="宋体"/>
      <family val="3"/>
      <charset val="134"/>
    </font>
    <font>
      <sz val="11"/>
      <name val="ＭＳ Ｐゴシック"/>
      <family val="2"/>
    </font>
    <font>
      <sz val="12"/>
      <name val="바탕체"/>
      <family val="3"/>
    </font>
    <font>
      <b/>
      <sz val="11"/>
      <color theme="1"/>
      <name val="Arial Narrow"/>
      <family val="2"/>
    </font>
    <font>
      <sz val="10"/>
      <color indexed="72"/>
      <name val="宋体"/>
      <family val="3"/>
      <charset val="134"/>
    </font>
    <font>
      <sz val="10"/>
      <name val="Helv"/>
      <family val="2"/>
    </font>
    <font>
      <sz val="11"/>
      <color indexed="8"/>
      <name val="Calibri"/>
      <family val="2"/>
    </font>
    <font>
      <sz val="11"/>
      <color indexed="9"/>
      <name val="Calibri"/>
      <family val="2"/>
    </font>
    <font>
      <sz val="11"/>
      <color indexed="20"/>
      <name val="Calibri"/>
      <family val="2"/>
    </font>
    <font>
      <sz val="12"/>
      <name val="Tms Rmn"/>
      <family val="1"/>
    </font>
    <font>
      <b/>
      <sz val="11"/>
      <color indexed="52"/>
      <name val="Calibri"/>
      <family val="2"/>
    </font>
    <font>
      <b/>
      <sz val="10"/>
      <name val="Helv"/>
      <family val="2"/>
    </font>
    <font>
      <b/>
      <sz val="11"/>
      <color indexed="9"/>
      <name val="Calibri"/>
      <family val="2"/>
    </font>
    <font>
      <i/>
      <sz val="12"/>
      <name val="Times New Roman"/>
      <family val="1"/>
    </font>
    <font>
      <i/>
      <sz val="11"/>
      <color indexed="23"/>
      <name val="Calibri"/>
      <family val="2"/>
    </font>
    <font>
      <sz val="11"/>
      <name val="Times New Roman"/>
      <family val="1"/>
    </font>
    <font>
      <sz val="11"/>
      <color indexed="17"/>
      <name val="Calibri"/>
      <family val="2"/>
    </font>
    <font>
      <b/>
      <sz val="12"/>
      <name val="Helv"/>
      <family val="2"/>
    </font>
    <font>
      <b/>
      <sz val="15"/>
      <color indexed="56"/>
      <name val="Calibri"/>
      <family val="2"/>
    </font>
    <font>
      <b/>
      <sz val="13"/>
      <color indexed="56"/>
      <name val="Calibri"/>
      <family val="2"/>
    </font>
    <font>
      <b/>
      <sz val="11"/>
      <color indexed="56"/>
      <name val="Calibri"/>
      <family val="2"/>
    </font>
    <font>
      <u/>
      <sz val="10"/>
      <color indexed="12"/>
      <name val="Times New Roman"/>
      <family val="1"/>
    </font>
    <font>
      <sz val="11"/>
      <color indexed="62"/>
      <name val="Calibri"/>
      <family val="2"/>
    </font>
    <font>
      <sz val="18"/>
      <name val="Times New Roman"/>
      <family val="1"/>
    </font>
    <font>
      <b/>
      <sz val="13"/>
      <name val="Times New Roman"/>
      <family val="1"/>
    </font>
    <font>
      <b/>
      <i/>
      <sz val="12"/>
      <name val="Times New Roman"/>
      <family val="1"/>
    </font>
    <font>
      <sz val="11"/>
      <color indexed="52"/>
      <name val="Calibri"/>
      <family val="2"/>
    </font>
    <font>
      <b/>
      <sz val="11"/>
      <name val="Helv"/>
      <family val="2"/>
    </font>
    <font>
      <sz val="11"/>
      <color indexed="60"/>
      <name val="Calibri"/>
      <family val="2"/>
    </font>
    <font>
      <b/>
      <sz val="11"/>
      <color indexed="63"/>
      <name val="Calibri"/>
      <family val="2"/>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b/>
      <sz val="14"/>
      <color indexed="9"/>
      <name val="Times New Roman"/>
      <family val="1"/>
    </font>
    <font>
      <b/>
      <sz val="11"/>
      <color indexed="8"/>
      <name val="Calibri"/>
      <family val="2"/>
    </font>
    <font>
      <sz val="11"/>
      <color indexed="10"/>
      <name val="Calibri"/>
      <family val="2"/>
    </font>
    <font>
      <sz val="12"/>
      <color indexed="20"/>
      <name val="宋体"/>
      <family val="3"/>
      <charset val="134"/>
    </font>
    <font>
      <sz val="10"/>
      <color theme="1"/>
      <name val="宋体"/>
      <family val="3"/>
      <charset val="134"/>
      <scheme val="minor"/>
    </font>
    <font>
      <b/>
      <sz val="12"/>
      <name val="Times New Roman"/>
      <family val="1"/>
    </font>
    <font>
      <sz val="10"/>
      <color indexed="17"/>
      <name val="Times New Roman"/>
      <family val="1"/>
    </font>
    <font>
      <sz val="12"/>
      <name val="新細明體"/>
      <family val="1"/>
      <charset val="134"/>
    </font>
    <font>
      <u/>
      <sz val="10"/>
      <color indexed="36"/>
      <name val="新細明體"/>
      <family val="1"/>
      <charset val="134"/>
    </font>
    <font>
      <u/>
      <sz val="10"/>
      <color indexed="12"/>
      <name val="Arial"/>
      <family val="2"/>
    </font>
    <font>
      <sz val="14"/>
      <name val="柧挬"/>
      <family val="2"/>
    </font>
    <font>
      <sz val="11"/>
      <color rgb="FF9C0006"/>
      <name val="宋体"/>
      <family val="3"/>
      <charset val="134"/>
      <scheme val="minor"/>
    </font>
    <font>
      <sz val="11"/>
      <color rgb="FF006100"/>
      <name val="宋体"/>
      <family val="3"/>
      <charset val="134"/>
      <scheme val="minor"/>
    </font>
    <font>
      <sz val="12"/>
      <name val="官帕眉"/>
      <family val="2"/>
    </font>
    <font>
      <sz val="10"/>
      <name val="奔覆眉"/>
      <family val="2"/>
    </font>
    <font>
      <sz val="12"/>
      <name val="柧挬"/>
      <family val="2"/>
    </font>
    <font>
      <u val="singleAccounting"/>
      <sz val="10"/>
      <name val="Arial Narrow"/>
      <family val="2"/>
    </font>
    <font>
      <b/>
      <sz val="12"/>
      <color rgb="FF3333FF"/>
      <name val="宋体"/>
      <family val="3"/>
      <charset val="134"/>
    </font>
    <font>
      <sz val="11"/>
      <color indexed="8"/>
      <name val="宋体"/>
      <family val="3"/>
      <charset val="134"/>
    </font>
    <font>
      <b/>
      <sz val="11"/>
      <color rgb="FFFF0000"/>
      <name val="宋体"/>
      <family val="3"/>
      <charset val="134"/>
    </font>
    <font>
      <b/>
      <sz val="10"/>
      <color rgb="FFFF0000"/>
      <name val="宋体"/>
      <family val="3"/>
      <charset val="134"/>
    </font>
    <font>
      <b/>
      <sz val="10"/>
      <color rgb="FFFF0000"/>
      <name val="Arial Narrow"/>
      <family val="2"/>
    </font>
    <font>
      <b/>
      <sz val="10"/>
      <name val="宋体"/>
      <family val="3"/>
      <charset val="134"/>
      <scheme val="minor"/>
    </font>
    <font>
      <sz val="10"/>
      <name val="宋体"/>
      <family val="3"/>
      <charset val="134"/>
      <scheme val="minor"/>
    </font>
    <font>
      <sz val="10"/>
      <color rgb="FF0000FF"/>
      <name val="宋体"/>
      <family val="3"/>
      <charset val="134"/>
    </font>
    <font>
      <b/>
      <sz val="12"/>
      <color indexed="8"/>
      <name val="宋体"/>
      <family val="3"/>
      <charset val="134"/>
    </font>
    <font>
      <b/>
      <sz val="10"/>
      <color indexed="8"/>
      <name val="Times New Roman"/>
      <family val="1"/>
    </font>
    <font>
      <b/>
      <sz val="12"/>
      <color rgb="FFFF0000"/>
      <name val="宋体"/>
      <family val="3"/>
      <charset val="134"/>
    </font>
    <font>
      <sz val="10"/>
      <color rgb="FF3333FF"/>
      <name val="宋体"/>
      <family val="3"/>
      <charset val="134"/>
    </font>
    <font>
      <sz val="10"/>
      <color rgb="FF0000FF"/>
      <name val="Arial Narrow"/>
      <family val="2"/>
    </font>
    <font>
      <sz val="10"/>
      <color rgb="FF3333FF"/>
      <name val="Arial Narrow"/>
      <family val="2"/>
    </font>
    <font>
      <b/>
      <sz val="10"/>
      <color indexed="12"/>
      <name val="宋体"/>
      <family val="3"/>
      <charset val="134"/>
    </font>
    <font>
      <b/>
      <sz val="14"/>
      <name val="宋体"/>
      <family val="3"/>
      <charset val="134"/>
    </font>
    <font>
      <b/>
      <sz val="14"/>
      <color rgb="FF3333FF"/>
      <name val="宋体"/>
      <family val="3"/>
      <charset val="134"/>
    </font>
    <font>
      <b/>
      <sz val="14"/>
      <name val="Arial Narrow"/>
      <family val="2"/>
    </font>
    <font>
      <b/>
      <sz val="12"/>
      <name val="宋体"/>
      <family val="3"/>
      <charset val="134"/>
      <scheme val="minor"/>
    </font>
    <font>
      <b/>
      <sz val="14"/>
      <name val="宋体"/>
      <family val="3"/>
      <charset val="134"/>
      <scheme val="minor"/>
    </font>
    <font>
      <b/>
      <sz val="14"/>
      <color indexed="8"/>
      <name val="宋体"/>
      <family val="3"/>
      <charset val="134"/>
    </font>
    <font>
      <sz val="9"/>
      <color indexed="81"/>
      <name val="宋体"/>
      <family val="3"/>
      <charset val="134"/>
    </font>
    <font>
      <b/>
      <sz val="9"/>
      <color indexed="81"/>
      <name val="宋体"/>
      <family val="3"/>
      <charset val="134"/>
    </font>
  </fonts>
  <fills count="39">
    <fill>
      <patternFill patternType="none"/>
    </fill>
    <fill>
      <patternFill patternType="gray125"/>
    </fill>
    <fill>
      <patternFill patternType="solid">
        <fgColor indexed="30"/>
      </patternFill>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indexed="13"/>
        <bgColor indexed="64"/>
      </patternFill>
    </fill>
    <fill>
      <patternFill patternType="solid">
        <fgColor indexed="27"/>
        <bgColor indexed="64"/>
      </patternFill>
    </fill>
    <fill>
      <patternFill patternType="solid">
        <fgColor indexed="9"/>
        <bgColor indexed="9"/>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31"/>
        <bgColor indexed="64"/>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54"/>
        <bgColor indexed="64"/>
      </patternFill>
    </fill>
    <fill>
      <patternFill patternType="solid">
        <fgColor indexed="55"/>
        <bgColor indexed="64"/>
      </patternFill>
    </fill>
    <fill>
      <patternFill patternType="solid">
        <fgColor rgb="FFFFFF99"/>
        <bgColor indexed="64"/>
      </patternFill>
    </fill>
    <fill>
      <patternFill patternType="solid">
        <fgColor rgb="FFC6EFCE"/>
      </patternFill>
    </fill>
    <fill>
      <patternFill patternType="solid">
        <fgColor rgb="FFFFC7CE"/>
      </patternFill>
    </fill>
    <fill>
      <patternFill patternType="solid">
        <fgColor theme="7" tint="0.79998168889431442"/>
        <bgColor indexed="64"/>
      </patternFill>
    </fill>
    <fill>
      <patternFill patternType="solid">
        <fgColor theme="7" tint="0.79998168889431442"/>
        <bgColor indexed="9"/>
      </patternFill>
    </fill>
  </fills>
  <borders count="24">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top style="thin">
        <color indexed="64"/>
      </top>
      <bottom style="thin">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right style="thin">
        <color indexed="64"/>
      </right>
      <top/>
      <bottom/>
      <diagonal/>
    </border>
    <border>
      <left/>
      <right/>
      <top/>
      <bottom style="thin">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diagonalDown="1">
      <left style="hair">
        <color indexed="64"/>
      </left>
      <right style="hair">
        <color indexed="64"/>
      </right>
      <top style="hair">
        <color indexed="64"/>
      </top>
      <bottom style="hair">
        <color indexed="64"/>
      </bottom>
      <diagonal style="hair">
        <color indexed="64"/>
      </diagonal>
    </border>
    <border>
      <left/>
      <right/>
      <top/>
      <bottom style="hair">
        <color auto="1"/>
      </bottom>
      <diagonal/>
    </border>
  </borders>
  <cellStyleXfs count="623">
    <xf numFmtId="0" fontId="0" fillId="0" borderId="0">
      <protection locked="0"/>
    </xf>
    <xf numFmtId="0" fontId="38" fillId="2" borderId="0" applyNumberFormat="0" applyBorder="0" applyAlignment="0" applyProtection="0">
      <alignment vertical="center"/>
    </xf>
    <xf numFmtId="49" fontId="17" fillId="0" borderId="0" applyProtection="0">
      <alignment horizontal="left"/>
    </xf>
    <xf numFmtId="184" fontId="17" fillId="0" borderId="0" applyFill="0" applyBorder="0" applyProtection="0">
      <alignment horizontal="right"/>
    </xf>
    <xf numFmtId="181" fontId="17" fillId="0" borderId="0" applyFill="0" applyBorder="0" applyProtection="0">
      <alignment horizontal="right"/>
    </xf>
    <xf numFmtId="183" fontId="33" fillId="0" borderId="0" applyFill="0" applyBorder="0" applyProtection="0">
      <alignment horizontal="center"/>
    </xf>
    <xf numFmtId="182" fontId="33" fillId="0" borderId="0" applyFill="0" applyBorder="0" applyProtection="0">
      <alignment horizontal="center"/>
    </xf>
    <xf numFmtId="185" fontId="34" fillId="0" borderId="0" applyFill="0" applyBorder="0" applyProtection="0">
      <alignment horizontal="right"/>
    </xf>
    <xf numFmtId="186" fontId="17" fillId="0" borderId="0" applyFill="0" applyBorder="0" applyProtection="0">
      <alignment horizontal="right"/>
    </xf>
    <xf numFmtId="187" fontId="17" fillId="0" borderId="0" applyFill="0" applyBorder="0" applyProtection="0">
      <alignment horizontal="right"/>
    </xf>
    <xf numFmtId="190" fontId="17" fillId="0" borderId="0" applyFill="0" applyBorder="0" applyProtection="0">
      <alignment horizontal="right"/>
    </xf>
    <xf numFmtId="189" fontId="17" fillId="0" borderId="0" applyFill="0" applyBorder="0" applyProtection="0">
      <alignment horizontal="right"/>
    </xf>
    <xf numFmtId="0" fontId="10" fillId="0" borderId="0"/>
    <xf numFmtId="3" fontId="5" fillId="0" borderId="0"/>
    <xf numFmtId="176" fontId="6" fillId="0" borderId="1" applyAlignment="0" applyProtection="0"/>
    <xf numFmtId="41" fontId="7" fillId="0" borderId="0" applyFont="0" applyFill="0" applyBorder="0" applyAlignment="0" applyProtection="0"/>
    <xf numFmtId="43" fontId="7" fillId="0" borderId="0" applyFont="0" applyFill="0" applyBorder="0" applyAlignment="0" applyProtection="0"/>
    <xf numFmtId="188" fontId="17" fillId="0" borderId="0" applyFont="0" applyFill="0" applyBorder="0" applyAlignment="0" applyProtection="0"/>
    <xf numFmtId="0" fontId="8" fillId="0" borderId="0" applyNumberFormat="0" applyFill="0" applyBorder="0" applyAlignment="0" applyProtection="0">
      <alignment vertical="top"/>
      <protection locked="0"/>
    </xf>
    <xf numFmtId="38" fontId="9" fillId="3" borderId="0" applyNumberFormat="0" applyBorder="0" applyAlignment="0" applyProtection="0"/>
    <xf numFmtId="10" fontId="9" fillId="4" borderId="2" applyNumberFormat="0" applyBorder="0" applyAlignment="0" applyProtection="0"/>
    <xf numFmtId="179" fontId="10" fillId="0" borderId="0" applyFont="0" applyFill="0" applyBorder="0" applyAlignment="0" applyProtection="0"/>
    <xf numFmtId="180" fontId="10" fillId="0" borderId="0" applyFont="0" applyFill="0" applyBorder="0" applyAlignment="0" applyProtection="0"/>
    <xf numFmtId="0" fontId="11" fillId="0" borderId="0"/>
    <xf numFmtId="178" fontId="10" fillId="0" borderId="0"/>
    <xf numFmtId="10" fontId="7" fillId="0" borderId="0" applyFont="0" applyFill="0" applyBorder="0" applyAlignment="0" applyProtection="0"/>
    <xf numFmtId="3" fontId="12" fillId="0" borderId="0"/>
    <xf numFmtId="9" fontId="10" fillId="0" borderId="0" applyFont="0" applyFill="0" applyBorder="0" applyAlignment="0" applyProtection="0"/>
    <xf numFmtId="0" fontId="10" fillId="0" borderId="0">
      <protection locked="0"/>
    </xf>
    <xf numFmtId="0" fontId="10" fillId="0" borderId="0">
      <alignment vertical="center"/>
    </xf>
    <xf numFmtId="0" fontId="10" fillId="0" borderId="0"/>
    <xf numFmtId="0" fontId="10" fillId="0" borderId="0">
      <alignment vertical="center"/>
    </xf>
    <xf numFmtId="0" fontId="13" fillId="0" borderId="0" applyNumberFormat="0" applyFill="0" applyBorder="0" applyAlignment="0" applyProtection="0">
      <alignment vertical="top"/>
      <protection locked="0"/>
    </xf>
    <xf numFmtId="43" fontId="10" fillId="0" borderId="0" applyFont="0" applyFill="0" applyBorder="0" applyAlignment="0" applyProtection="0"/>
    <xf numFmtId="43" fontId="44" fillId="0" borderId="0" applyFont="0" applyFill="0" applyBorder="0" applyAlignment="0" applyProtection="0">
      <alignment vertical="center"/>
    </xf>
    <xf numFmtId="0" fontId="10" fillId="0" borderId="0">
      <alignment vertical="center"/>
    </xf>
    <xf numFmtId="0" fontId="7" fillId="0" borderId="0"/>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10" fillId="0" borderId="0">
      <alignment vertical="center"/>
    </xf>
    <xf numFmtId="0" fontId="10" fillId="0" borderId="0">
      <alignment vertical="center"/>
    </xf>
    <xf numFmtId="0" fontId="10"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8"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45" fillId="0" borderId="0" applyNumberFormat="0" applyBorder="0" applyAlignment="0">
      <alignment vertical="center"/>
      <protection locked="0"/>
    </xf>
    <xf numFmtId="0" fontId="10" fillId="0" borderId="0">
      <alignment vertical="center"/>
    </xf>
    <xf numFmtId="0" fontId="10" fillId="0" borderId="0">
      <alignment vertical="center"/>
    </xf>
    <xf numFmtId="0" fontId="45" fillId="0"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47" fillId="0" borderId="0">
      <alignment vertical="center"/>
    </xf>
    <xf numFmtId="0" fontId="47" fillId="0" borderId="0">
      <alignment vertical="center"/>
    </xf>
    <xf numFmtId="0" fontId="47" fillId="0" borderId="0">
      <alignment vertical="center"/>
    </xf>
    <xf numFmtId="0" fontId="45" fillId="0" borderId="0" applyNumberFormat="0" applyBorder="0" applyAlignment="0" applyProtection="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43" fontId="36" fillId="0" borderId="0" applyFont="0" applyFill="0" applyBorder="0" applyAlignment="0" applyProtection="0">
      <alignment vertical="center"/>
    </xf>
    <xf numFmtId="188" fontId="10" fillId="0" borderId="0">
      <alignment vertical="center"/>
    </xf>
    <xf numFmtId="188" fontId="4" fillId="0" borderId="0">
      <alignment vertical="center"/>
    </xf>
    <xf numFmtId="0" fontId="10" fillId="0" borderId="0">
      <protection locked="0"/>
    </xf>
    <xf numFmtId="0" fontId="7" fillId="0" borderId="0"/>
    <xf numFmtId="0" fontId="7" fillId="0" borderId="0"/>
    <xf numFmtId="0" fontId="7" fillId="0" borderId="0"/>
    <xf numFmtId="0" fontId="55" fillId="0" borderId="0">
      <alignment vertical="top"/>
      <protection locked="0"/>
    </xf>
    <xf numFmtId="0" fontId="55" fillId="0" borderId="0">
      <alignment vertical="top"/>
      <protection locked="0"/>
    </xf>
    <xf numFmtId="0" fontId="55" fillId="0" borderId="0">
      <alignment vertical="top"/>
      <protection locked="0"/>
    </xf>
    <xf numFmtId="0" fontId="55" fillId="0" borderId="0">
      <alignment vertical="top"/>
    </xf>
    <xf numFmtId="0" fontId="55" fillId="0" borderId="0">
      <alignment vertical="top"/>
    </xf>
    <xf numFmtId="0" fontId="55" fillId="0" borderId="0">
      <alignment vertical="top"/>
      <protection locked="0"/>
    </xf>
    <xf numFmtId="0" fontId="55" fillId="0" borderId="0">
      <alignment vertical="top"/>
    </xf>
    <xf numFmtId="0" fontId="55" fillId="0" borderId="0">
      <alignment vertical="top"/>
    </xf>
    <xf numFmtId="0" fontId="55" fillId="0" borderId="0">
      <alignment vertical="top"/>
      <protection locked="0"/>
    </xf>
    <xf numFmtId="0" fontId="55" fillId="0" borderId="0">
      <alignment vertical="top"/>
      <protection locked="0"/>
    </xf>
    <xf numFmtId="0" fontId="55" fillId="0" borderId="0">
      <alignment vertical="top"/>
      <protection locked="0"/>
    </xf>
    <xf numFmtId="0" fontId="55" fillId="0" borderId="0">
      <alignment vertical="top"/>
    </xf>
    <xf numFmtId="0" fontId="55" fillId="0" borderId="0">
      <alignment vertical="top"/>
    </xf>
    <xf numFmtId="0" fontId="55" fillId="0" borderId="0">
      <alignment vertical="top"/>
      <protection locked="0"/>
    </xf>
    <xf numFmtId="0" fontId="55" fillId="0" borderId="0">
      <alignment vertical="top"/>
    </xf>
    <xf numFmtId="0" fontId="55" fillId="0" borderId="0">
      <alignment vertical="top"/>
    </xf>
    <xf numFmtId="0" fontId="55" fillId="0" borderId="0">
      <alignment vertical="top"/>
    </xf>
    <xf numFmtId="0" fontId="55" fillId="0" borderId="0">
      <alignment vertical="top"/>
      <protection locked="0"/>
    </xf>
    <xf numFmtId="0" fontId="55" fillId="0" borderId="0">
      <alignment vertical="top"/>
    </xf>
    <xf numFmtId="0" fontId="55" fillId="0" borderId="0">
      <alignment vertical="top"/>
      <protection locked="0"/>
    </xf>
    <xf numFmtId="0" fontId="55" fillId="0" borderId="0">
      <alignment vertical="top"/>
      <protection locked="0"/>
    </xf>
    <xf numFmtId="0" fontId="55" fillId="0" borderId="0">
      <alignment vertical="top"/>
      <protection locked="0"/>
    </xf>
    <xf numFmtId="0" fontId="55" fillId="0" borderId="0">
      <alignment vertical="top"/>
    </xf>
    <xf numFmtId="0" fontId="55" fillId="0" borderId="0">
      <alignment vertical="top"/>
    </xf>
    <xf numFmtId="0" fontId="55" fillId="0" borderId="0">
      <alignment vertical="top"/>
    </xf>
    <xf numFmtId="0" fontId="55" fillId="0" borderId="0">
      <alignment vertical="top"/>
    </xf>
    <xf numFmtId="0" fontId="55" fillId="0" borderId="0">
      <alignment vertical="top"/>
      <protection locked="0"/>
    </xf>
    <xf numFmtId="0" fontId="55" fillId="0" borderId="0">
      <alignment vertical="top"/>
      <protection locked="0"/>
    </xf>
    <xf numFmtId="0" fontId="55" fillId="0" borderId="0">
      <alignment vertical="top"/>
    </xf>
    <xf numFmtId="0" fontId="55" fillId="0" borderId="0">
      <alignment vertical="top"/>
      <protection locked="0"/>
    </xf>
    <xf numFmtId="191" fontId="56" fillId="0" borderId="0" applyFont="0" applyFill="0" applyBorder="0" applyAlignment="0" applyProtection="0"/>
    <xf numFmtId="192" fontId="56" fillId="0" borderId="0" applyFont="0" applyFill="0" applyBorder="0" applyAlignment="0" applyProtection="0"/>
    <xf numFmtId="10" fontId="56" fillId="0" borderId="0" applyFont="0" applyFill="0" applyBorder="0" applyAlignment="0" applyProtection="0"/>
    <xf numFmtId="193" fontId="55" fillId="0" borderId="0" applyFill="0" applyBorder="0" applyAlignment="0"/>
    <xf numFmtId="0" fontId="57" fillId="0" borderId="9" applyNumberFormat="0" applyFill="0" applyProtection="0">
      <alignment horizontal="center"/>
    </xf>
    <xf numFmtId="0" fontId="58" fillId="0" borderId="12">
      <alignment horizontal="center"/>
    </xf>
    <xf numFmtId="194" fontId="7" fillId="0" borderId="0"/>
    <xf numFmtId="194" fontId="7" fillId="0" borderId="0"/>
    <xf numFmtId="194" fontId="7" fillId="0" borderId="0"/>
    <xf numFmtId="194" fontId="7" fillId="0" borderId="0"/>
    <xf numFmtId="194" fontId="7" fillId="0" borderId="0"/>
    <xf numFmtId="194" fontId="7" fillId="0" borderId="0"/>
    <xf numFmtId="194" fontId="7" fillId="0" borderId="0"/>
    <xf numFmtId="194" fontId="7" fillId="0" borderId="0"/>
    <xf numFmtId="38" fontId="59" fillId="0" borderId="0" applyFont="0" applyFill="0" applyBorder="0" applyAlignment="0" applyProtection="0"/>
    <xf numFmtId="37" fontId="56" fillId="0" borderId="0" applyFont="0" applyFill="0" applyBorder="0" applyAlignment="0" applyProtection="0"/>
    <xf numFmtId="195" fontId="56" fillId="0" borderId="0" applyFont="0" applyFill="0" applyBorder="0" applyAlignment="0" applyProtection="0"/>
    <xf numFmtId="39" fontId="56" fillId="0" borderId="0" applyFont="0" applyFill="0" applyBorder="0" applyAlignment="0" applyProtection="0"/>
    <xf numFmtId="40" fontId="59" fillId="0" borderId="0" applyFont="0" applyFill="0" applyBorder="0" applyAlignment="0" applyProtection="0"/>
    <xf numFmtId="196" fontId="10" fillId="0" borderId="0" applyFont="0" applyFill="0" applyBorder="0" applyAlignment="0" applyProtection="0"/>
    <xf numFmtId="176" fontId="56" fillId="0" borderId="0" applyFont="0" applyFill="0" applyBorder="0" applyAlignment="0" applyProtection="0"/>
    <xf numFmtId="197" fontId="56" fillId="0" borderId="0" applyFont="0" applyFill="0" applyBorder="0" applyAlignment="0" applyProtection="0"/>
    <xf numFmtId="198" fontId="10" fillId="0" borderId="0" applyFont="0" applyFill="0" applyBorder="0" applyAlignment="0" applyProtection="0"/>
    <xf numFmtId="0" fontId="60" fillId="0" borderId="0">
      <alignment horizontal="left"/>
    </xf>
    <xf numFmtId="0" fontId="9" fillId="6" borderId="2"/>
    <xf numFmtId="0" fontId="23" fillId="0" borderId="10" applyNumberFormat="0" applyAlignment="0" applyProtection="0">
      <alignment horizontal="left" vertical="center"/>
    </xf>
    <xf numFmtId="0" fontId="23" fillId="0" borderId="5">
      <alignment horizontal="left" vertical="center"/>
    </xf>
    <xf numFmtId="14" fontId="61" fillId="7" borderId="11">
      <alignment horizontal="center" vertical="center" wrapText="1"/>
    </xf>
    <xf numFmtId="0" fontId="17" fillId="0" borderId="0" applyNumberFormat="0" applyFont="0" applyFill="0" applyBorder="0" applyProtection="0">
      <alignment horizontal="left" vertical="center"/>
    </xf>
    <xf numFmtId="41" fontId="7" fillId="0" borderId="0" applyFont="0" applyFill="0" applyBorder="0" applyAlignment="0" applyProtection="0"/>
    <xf numFmtId="43"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10" fillId="0" borderId="0" applyFont="0" applyFill="0" applyBorder="0" applyAlignment="0" applyProtection="0"/>
    <xf numFmtId="37" fontId="62" fillId="0" borderId="0"/>
    <xf numFmtId="0" fontId="59" fillId="0" borderId="0"/>
    <xf numFmtId="0" fontId="63" fillId="0" borderId="0"/>
    <xf numFmtId="203" fontId="7" fillId="0" borderId="0" applyFont="0" applyFill="0" applyBorder="0" applyAlignment="0" applyProtection="0"/>
    <xf numFmtId="0" fontId="9" fillId="3" borderId="2"/>
    <xf numFmtId="4" fontId="60" fillId="0" borderId="0">
      <alignment horizontal="right"/>
    </xf>
    <xf numFmtId="4" fontId="64" fillId="0" borderId="0">
      <alignment horizontal="right"/>
    </xf>
    <xf numFmtId="0" fontId="65" fillId="0" borderId="0">
      <alignment horizontal="left"/>
    </xf>
    <xf numFmtId="0" fontId="66" fillId="0" borderId="2">
      <alignment horizontal="center"/>
    </xf>
    <xf numFmtId="0" fontId="66" fillId="0" borderId="0">
      <alignment horizontal="center" vertical="center"/>
    </xf>
    <xf numFmtId="0" fontId="67" fillId="8" borderId="0" applyNumberFormat="0" applyFill="0">
      <alignment horizontal="left" vertical="center"/>
    </xf>
    <xf numFmtId="0" fontId="22" fillId="0" borderId="0" applyFill="0" applyBorder="0" applyProtection="0">
      <alignment horizontal="left" vertical="top"/>
    </xf>
    <xf numFmtId="0" fontId="68" fillId="0" borderId="0">
      <alignment horizontal="center"/>
    </xf>
    <xf numFmtId="0" fontId="69" fillId="0" borderId="0" applyNumberFormat="0" applyFont="0" applyFill="0" applyBorder="0" applyProtection="0">
      <alignment horizontal="center" vertical="center" wrapText="1"/>
    </xf>
    <xf numFmtId="9" fontId="70" fillId="0" borderId="0" applyFont="0" applyFill="0" applyBorder="0" applyAlignment="0" applyProtection="0"/>
    <xf numFmtId="4" fontId="71" fillId="0" borderId="0">
      <alignment horizontal="right"/>
    </xf>
    <xf numFmtId="0" fontId="72" fillId="0" borderId="0" applyNumberFormat="0" applyFill="0" applyBorder="0" applyAlignment="0" applyProtection="0">
      <alignment vertical="top"/>
      <protection locked="0"/>
    </xf>
    <xf numFmtId="188" fontId="13" fillId="0" borderId="0" applyNumberFormat="0" applyFill="0" applyBorder="0" applyAlignment="0" applyProtection="0">
      <alignment vertical="top"/>
      <protection locked="0"/>
    </xf>
    <xf numFmtId="0" fontId="13" fillId="0" borderId="0" applyNumberFormat="0" applyFill="0" applyBorder="0" applyAlignment="0" applyProtection="0">
      <alignment vertical="top"/>
      <protection locked="0"/>
    </xf>
    <xf numFmtId="0" fontId="6" fillId="0" borderId="0" applyNumberFormat="0" applyFill="0" applyBorder="0" applyAlignment="0" applyProtection="0"/>
    <xf numFmtId="4" fontId="69" fillId="0" borderId="0" applyFont="0" applyFill="0" applyBorder="0" applyAlignment="0" applyProtection="0"/>
    <xf numFmtId="41" fontId="7" fillId="0" borderId="0" applyFont="0" applyFill="0" applyBorder="0" applyAlignment="0" applyProtection="0"/>
    <xf numFmtId="0" fontId="17" fillId="0" borderId="0"/>
    <xf numFmtId="41" fontId="17" fillId="0" borderId="0" applyFont="0" applyFill="0" applyBorder="0" applyAlignment="0" applyProtection="0"/>
    <xf numFmtId="43" fontId="17" fillId="0" borderId="0" applyFont="0" applyFill="0" applyBorder="0" applyAlignment="0" applyProtection="0"/>
    <xf numFmtId="200" fontId="7" fillId="0" borderId="0" applyFont="0" applyFill="0" applyBorder="0" applyAlignment="0" applyProtection="0"/>
    <xf numFmtId="204" fontId="69" fillId="0" borderId="0" applyFont="0" applyFill="0" applyBorder="0" applyAlignment="0" applyProtection="0"/>
    <xf numFmtId="188" fontId="55" fillId="0" borderId="0">
      <alignment vertical="top"/>
    </xf>
    <xf numFmtId="38" fontId="73" fillId="0" borderId="0" applyFont="0" applyFill="0" applyBorder="0" applyAlignment="0" applyProtection="0"/>
    <xf numFmtId="40" fontId="73" fillId="0" borderId="0" applyFont="0" applyFill="0" applyBorder="0" applyAlignment="0" applyProtection="0"/>
    <xf numFmtId="0" fontId="73" fillId="0" borderId="0" applyFont="0" applyFill="0" applyBorder="0" applyAlignment="0" applyProtection="0"/>
    <xf numFmtId="0" fontId="73" fillId="0" borderId="0" applyFont="0" applyFill="0" applyBorder="0" applyAlignment="0" applyProtection="0"/>
    <xf numFmtId="0" fontId="74" fillId="0" borderId="0"/>
    <xf numFmtId="0" fontId="76" fillId="0" borderId="0"/>
    <xf numFmtId="40" fontId="76" fillId="0" borderId="0" applyFont="0" applyFill="0" applyBorder="0" applyAlignment="0" applyProtection="0"/>
    <xf numFmtId="0" fontId="7" fillId="0" borderId="0"/>
    <xf numFmtId="37" fontId="7" fillId="0" borderId="0" applyFont="0" applyFill="0" applyBorder="0" applyAlignment="0" applyProtection="0"/>
    <xf numFmtId="0" fontId="38" fillId="2" borderId="0" applyNumberFormat="0" applyBorder="0" applyAlignment="0" applyProtection="0">
      <alignment vertical="center"/>
    </xf>
    <xf numFmtId="188" fontId="10" fillId="0" borderId="0">
      <protection locked="0"/>
    </xf>
    <xf numFmtId="49" fontId="17" fillId="0" borderId="0"/>
    <xf numFmtId="49" fontId="17" fillId="0" borderId="0" applyProtection="0">
      <alignment horizontal="left"/>
    </xf>
    <xf numFmtId="49" fontId="17" fillId="0" borderId="0" applyProtection="0">
      <alignment horizontal="left"/>
    </xf>
    <xf numFmtId="49" fontId="17" fillId="0" borderId="0" applyProtection="0">
      <alignment horizontal="left"/>
    </xf>
    <xf numFmtId="49" fontId="17" fillId="0" borderId="0" applyProtection="0">
      <alignment horizontal="left"/>
    </xf>
    <xf numFmtId="49" fontId="17" fillId="0" borderId="0" applyProtection="0">
      <alignment horizontal="left"/>
    </xf>
    <xf numFmtId="49" fontId="17" fillId="0" borderId="0" applyProtection="0">
      <alignment horizontal="left"/>
    </xf>
    <xf numFmtId="49" fontId="17" fillId="0" borderId="0" applyProtection="0">
      <alignment horizontal="left"/>
    </xf>
    <xf numFmtId="49" fontId="17" fillId="0" borderId="0" applyProtection="0">
      <alignment horizontal="left"/>
    </xf>
    <xf numFmtId="49" fontId="17" fillId="0" borderId="0" applyProtection="0">
      <alignment horizontal="left"/>
    </xf>
    <xf numFmtId="49" fontId="17" fillId="0" borderId="0" applyProtection="0">
      <alignment horizontal="left"/>
    </xf>
    <xf numFmtId="49" fontId="17" fillId="0" borderId="0" applyProtection="0">
      <alignment horizontal="left"/>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7" fillId="0" borderId="0"/>
    <xf numFmtId="188" fontId="77" fillId="0" borderId="0"/>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7" fillId="0" borderId="0">
      <protection locked="0"/>
    </xf>
    <xf numFmtId="188" fontId="77" fillId="0" borderId="0"/>
    <xf numFmtId="188" fontId="77" fillId="0" borderId="0"/>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18" fillId="0" borderId="0">
      <protection locked="0"/>
    </xf>
    <xf numFmtId="188" fontId="77" fillId="0" borderId="0">
      <protection locked="0"/>
    </xf>
    <xf numFmtId="188" fontId="18" fillId="0" borderId="0">
      <protection locked="0"/>
    </xf>
    <xf numFmtId="188" fontId="7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xf numFmtId="0" fontId="18" fillId="0" borderId="0"/>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xf numFmtId="188" fontId="7" fillId="0" borderId="0"/>
    <xf numFmtId="188" fontId="7" fillId="0" borderId="0"/>
    <xf numFmtId="188" fontId="7" fillId="0" borderId="0"/>
    <xf numFmtId="188" fontId="7" fillId="0" borderId="0"/>
    <xf numFmtId="188" fontId="7" fillId="0" borderId="0"/>
    <xf numFmtId="188" fontId="7" fillId="0" borderId="0"/>
    <xf numFmtId="188" fontId="7" fillId="0" borderId="0"/>
    <xf numFmtId="188" fontId="7" fillId="0" borderId="0"/>
    <xf numFmtId="188" fontId="7" fillId="0" borderId="0"/>
    <xf numFmtId="188" fontId="7" fillId="0" borderId="0"/>
    <xf numFmtId="188" fontId="7" fillId="0" borderId="0"/>
    <xf numFmtId="188" fontId="7" fillId="0" borderId="0"/>
    <xf numFmtId="188" fontId="7" fillId="0" borderId="0"/>
    <xf numFmtId="188" fontId="7" fillId="0" borderId="0"/>
    <xf numFmtId="188" fontId="7" fillId="0" borderId="0"/>
    <xf numFmtId="188" fontId="7" fillId="0" borderId="0"/>
    <xf numFmtId="188" fontId="7" fillId="0" borderId="0"/>
    <xf numFmtId="188" fontId="7" fillId="0" borderId="0"/>
    <xf numFmtId="188" fontId="7" fillId="0" borderId="0"/>
    <xf numFmtId="188" fontId="7" fillId="0" borderId="0"/>
    <xf numFmtId="188" fontId="7" fillId="0" borderId="0"/>
    <xf numFmtId="188" fontId="7" fillId="0" borderId="0"/>
    <xf numFmtId="188" fontId="7" fillId="0" borderId="0"/>
    <xf numFmtId="188" fontId="7" fillId="0" borderId="0"/>
    <xf numFmtId="188" fontId="7" fillId="0" borderId="0"/>
    <xf numFmtId="188" fontId="7" fillId="0" borderId="0"/>
    <xf numFmtId="188" fontId="7" fillId="0" borderId="0"/>
    <xf numFmtId="188" fontId="7" fillId="0" borderId="0"/>
    <xf numFmtId="188" fontId="7" fillId="0" borderId="0"/>
    <xf numFmtId="188" fontId="7" fillId="0" borderId="0"/>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18"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18" fillId="0" borderId="0"/>
    <xf numFmtId="188" fontId="77" fillId="0" borderId="0">
      <protection locked="0"/>
    </xf>
    <xf numFmtId="188" fontId="7" fillId="0" borderId="0"/>
    <xf numFmtId="188" fontId="7" fillId="0" borderId="0">
      <protection locked="0"/>
    </xf>
    <xf numFmtId="188" fontId="7" fillId="0" borderId="0">
      <protection locked="0"/>
    </xf>
    <xf numFmtId="188" fontId="77" fillId="0" borderId="0">
      <protection locked="0"/>
    </xf>
    <xf numFmtId="188" fontId="7" fillId="0" borderId="0"/>
    <xf numFmtId="188" fontId="7" fillId="0" borderId="0">
      <protection locked="0"/>
    </xf>
    <xf numFmtId="188" fontId="7" fillId="0" borderId="0">
      <protection locked="0"/>
    </xf>
    <xf numFmtId="188" fontId="77" fillId="0" borderId="0">
      <protection locked="0"/>
    </xf>
    <xf numFmtId="188" fontId="77" fillId="0" borderId="0">
      <protection locked="0"/>
    </xf>
    <xf numFmtId="188" fontId="18" fillId="0" borderId="0"/>
    <xf numFmtId="188" fontId="7" fillId="0" borderId="0">
      <protection locked="0"/>
    </xf>
    <xf numFmtId="188" fontId="77" fillId="0" borderId="0">
      <protection locked="0"/>
    </xf>
    <xf numFmtId="188" fontId="7" fillId="0" borderId="0">
      <protection locked="0"/>
    </xf>
    <xf numFmtId="188" fontId="7" fillId="0" borderId="0">
      <protection locked="0"/>
    </xf>
    <xf numFmtId="188" fontId="77" fillId="0" borderId="0">
      <protection locked="0"/>
    </xf>
    <xf numFmtId="188" fontId="77" fillId="0" borderId="0">
      <protection locked="0"/>
    </xf>
    <xf numFmtId="188" fontId="77" fillId="0" borderId="0">
      <protection locked="0"/>
    </xf>
    <xf numFmtId="188" fontId="77" fillId="0" borderId="0">
      <protection locked="0"/>
    </xf>
    <xf numFmtId="188" fontId="55" fillId="0" borderId="0">
      <alignment vertical="top"/>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188" fontId="77" fillId="0" borderId="0">
      <protection locked="0"/>
    </xf>
    <xf numFmtId="188" fontId="77" fillId="0" borderId="0">
      <protection locked="0"/>
    </xf>
    <xf numFmtId="188" fontId="7" fillId="0" borderId="0">
      <protection locked="0"/>
    </xf>
    <xf numFmtId="188" fontId="7" fillId="0" borderId="0">
      <protection locked="0"/>
    </xf>
    <xf numFmtId="188" fontId="7" fillId="0" borderId="0">
      <protection locked="0"/>
    </xf>
    <xf numFmtId="188" fontId="77" fillId="0" borderId="0"/>
    <xf numFmtId="188" fontId="77" fillId="0" borderId="0">
      <protection locked="0"/>
    </xf>
    <xf numFmtId="0" fontId="10" fillId="0" borderId="0"/>
    <xf numFmtId="0" fontId="78" fillId="9" borderId="0" applyNumberFormat="0" applyBorder="0" applyAlignment="0" applyProtection="0"/>
    <xf numFmtId="0" fontId="78" fillId="10" borderId="0" applyNumberFormat="0" applyBorder="0" applyAlignment="0" applyProtection="0"/>
    <xf numFmtId="0" fontId="78" fillId="11" borderId="0" applyNumberFormat="0" applyBorder="0" applyAlignment="0" applyProtection="0"/>
    <xf numFmtId="0" fontId="78" fillId="12" borderId="0" applyNumberFormat="0" applyBorder="0" applyAlignment="0" applyProtection="0"/>
    <xf numFmtId="0" fontId="78" fillId="13" borderId="0" applyNumberFormat="0" applyBorder="0" applyAlignment="0" applyProtection="0"/>
    <xf numFmtId="0" fontId="78" fillId="14" borderId="0" applyNumberFormat="0" applyBorder="0" applyAlignment="0" applyProtection="0"/>
    <xf numFmtId="0" fontId="78" fillId="15" borderId="0" applyNumberFormat="0" applyBorder="0" applyAlignment="0" applyProtection="0"/>
    <xf numFmtId="0" fontId="78" fillId="16" borderId="0" applyNumberFormat="0" applyBorder="0" applyAlignment="0" applyProtection="0"/>
    <xf numFmtId="0" fontId="78" fillId="17" borderId="0" applyNumberFormat="0" applyBorder="0" applyAlignment="0" applyProtection="0"/>
    <xf numFmtId="0" fontId="78" fillId="12" borderId="0" applyNumberFormat="0" applyBorder="0" applyAlignment="0" applyProtection="0"/>
    <xf numFmtId="0" fontId="78" fillId="15" borderId="0" applyNumberFormat="0" applyBorder="0" applyAlignment="0" applyProtection="0"/>
    <xf numFmtId="0" fontId="78" fillId="18" borderId="0" applyNumberFormat="0" applyBorder="0" applyAlignment="0" applyProtection="0"/>
    <xf numFmtId="0" fontId="79" fillId="2" borderId="0" applyNumberFormat="0" applyBorder="0" applyAlignment="0" applyProtection="0"/>
    <xf numFmtId="0" fontId="79" fillId="16" borderId="0" applyNumberFormat="0" applyBorder="0" applyAlignment="0" applyProtection="0"/>
    <xf numFmtId="0" fontId="79" fillId="17" borderId="0" applyNumberFormat="0" applyBorder="0" applyAlignment="0" applyProtection="0"/>
    <xf numFmtId="0" fontId="79" fillId="19" borderId="0" applyNumberFormat="0" applyBorder="0" applyAlignment="0" applyProtection="0"/>
    <xf numFmtId="0" fontId="79" fillId="20" borderId="0" applyNumberFormat="0" applyBorder="0" applyAlignment="0" applyProtection="0"/>
    <xf numFmtId="0" fontId="79" fillId="21" borderId="0" applyNumberFormat="0" applyBorder="0" applyAlignment="0" applyProtection="0"/>
    <xf numFmtId="188" fontId="77" fillId="0" borderId="0"/>
    <xf numFmtId="0" fontId="79" fillId="22" borderId="0" applyNumberFormat="0" applyBorder="0" applyAlignment="0" applyProtection="0"/>
    <xf numFmtId="0" fontId="79" fillId="23" borderId="0" applyNumberFormat="0" applyBorder="0" applyAlignment="0" applyProtection="0"/>
    <xf numFmtId="0" fontId="79" fillId="24" borderId="0" applyNumberFormat="0" applyBorder="0" applyAlignment="0" applyProtection="0"/>
    <xf numFmtId="0" fontId="79" fillId="19" borderId="0" applyNumberFormat="0" applyBorder="0" applyAlignment="0" applyProtection="0"/>
    <xf numFmtId="0" fontId="79" fillId="20" borderId="0" applyNumberFormat="0" applyBorder="0" applyAlignment="0" applyProtection="0"/>
    <xf numFmtId="0" fontId="79" fillId="25" borderId="0" applyNumberFormat="0" applyBorder="0" applyAlignment="0" applyProtection="0"/>
    <xf numFmtId="0" fontId="80" fillId="10" borderId="0" applyNumberFormat="0" applyBorder="0" applyAlignment="0" applyProtection="0"/>
    <xf numFmtId="188" fontId="81" fillId="0" borderId="0" applyNumberFormat="0" applyFill="0" applyBorder="0" applyAlignment="0" applyProtection="0"/>
    <xf numFmtId="205" fontId="7" fillId="0" borderId="0" applyFill="0" applyBorder="0" applyAlignment="0"/>
    <xf numFmtId="206" fontId="7" fillId="0" borderId="0" applyFill="0" applyBorder="0" applyAlignment="0"/>
    <xf numFmtId="207" fontId="7" fillId="0" borderId="0" applyFill="0" applyBorder="0" applyAlignment="0"/>
    <xf numFmtId="208" fontId="7" fillId="0" borderId="0" applyFill="0" applyBorder="0" applyAlignment="0"/>
    <xf numFmtId="209" fontId="7" fillId="0" borderId="0" applyFill="0" applyBorder="0" applyAlignment="0"/>
    <xf numFmtId="210" fontId="7" fillId="0" borderId="0" applyFill="0" applyBorder="0" applyAlignment="0"/>
    <xf numFmtId="205" fontId="7" fillId="0" borderId="0" applyFill="0" applyBorder="0" applyAlignment="0"/>
    <xf numFmtId="0" fontId="82" fillId="26" borderId="13" applyNumberFormat="0" applyAlignment="0" applyProtection="0"/>
    <xf numFmtId="0" fontId="83" fillId="0" borderId="0"/>
    <xf numFmtId="3" fontId="59" fillId="0" borderId="2">
      <protection locked="0"/>
    </xf>
    <xf numFmtId="0" fontId="84" fillId="27" borderId="14" applyNumberFormat="0" applyAlignment="0" applyProtection="0"/>
    <xf numFmtId="188" fontId="85" fillId="0" borderId="0" applyFill="0" applyBorder="0">
      <alignment horizontal="right"/>
    </xf>
    <xf numFmtId="188" fontId="18" fillId="0" borderId="0" applyFill="0" applyBorder="0">
      <alignment horizontal="right"/>
    </xf>
    <xf numFmtId="209" fontId="7" fillId="0" borderId="0" applyFont="0" applyFill="0" applyBorder="0" applyAlignment="0" applyProtection="0"/>
    <xf numFmtId="43" fontId="10" fillId="0" borderId="0" applyFont="0" applyFill="0" applyBorder="0" applyAlignment="0" applyProtection="0"/>
    <xf numFmtId="211" fontId="17" fillId="0" borderId="0"/>
    <xf numFmtId="212" fontId="17" fillId="0" borderId="0"/>
    <xf numFmtId="205" fontId="7" fillId="0" borderId="0" applyFont="0" applyFill="0" applyBorder="0" applyAlignment="0" applyProtection="0"/>
    <xf numFmtId="213" fontId="17" fillId="0" borderId="0"/>
    <xf numFmtId="188" fontId="18" fillId="0" borderId="0" applyFont="0" applyFill="0" applyBorder="0" applyAlignment="0" applyProtection="0"/>
    <xf numFmtId="14" fontId="55" fillId="0" borderId="0" applyFill="0" applyBorder="0" applyAlignment="0"/>
    <xf numFmtId="214" fontId="17" fillId="0" borderId="0"/>
    <xf numFmtId="188" fontId="7" fillId="0" borderId="0">
      <protection locked="0"/>
    </xf>
    <xf numFmtId="209" fontId="7" fillId="0" borderId="0" applyFill="0" applyBorder="0" applyAlignment="0"/>
    <xf numFmtId="205" fontId="7" fillId="0" borderId="0" applyFill="0" applyBorder="0" applyAlignment="0"/>
    <xf numFmtId="209" fontId="7" fillId="0" borderId="0" applyFill="0" applyBorder="0" applyAlignment="0"/>
    <xf numFmtId="210" fontId="7" fillId="0" borderId="0" applyFill="0" applyBorder="0" applyAlignment="0"/>
    <xf numFmtId="205" fontId="7" fillId="0" borderId="0" applyFill="0" applyBorder="0" applyAlignment="0"/>
    <xf numFmtId="0" fontId="86" fillId="0" borderId="0" applyNumberFormat="0" applyFill="0" applyBorder="0" applyAlignment="0" applyProtection="0"/>
    <xf numFmtId="188" fontId="7" fillId="0" borderId="0">
      <protection locked="0"/>
    </xf>
    <xf numFmtId="188" fontId="7" fillId="0" borderId="0">
      <protection locked="0"/>
    </xf>
    <xf numFmtId="188" fontId="7" fillId="0" borderId="0">
      <protection locked="0"/>
    </xf>
    <xf numFmtId="188" fontId="7" fillId="0" borderId="0">
      <protection locked="0"/>
    </xf>
    <xf numFmtId="188" fontId="7" fillId="0" borderId="0">
      <protection locked="0"/>
    </xf>
    <xf numFmtId="2" fontId="18" fillId="0" borderId="0" applyFont="0" applyFill="0" applyBorder="0" applyAlignment="0" applyProtection="0"/>
    <xf numFmtId="215" fontId="87" fillId="0" borderId="0">
      <alignment horizontal="right"/>
    </xf>
    <xf numFmtId="188" fontId="7" fillId="0" borderId="0"/>
    <xf numFmtId="0" fontId="88" fillId="11" borderId="0" applyNumberFormat="0" applyBorder="0" applyAlignment="0" applyProtection="0"/>
    <xf numFmtId="0" fontId="89" fillId="0" borderId="0">
      <alignment horizontal="left"/>
    </xf>
    <xf numFmtId="0" fontId="90" fillId="0" borderId="15" applyNumberFormat="0" applyFill="0" applyAlignment="0" applyProtection="0"/>
    <xf numFmtId="0" fontId="91" fillId="0" borderId="16" applyNumberFormat="0" applyFill="0" applyAlignment="0" applyProtection="0"/>
    <xf numFmtId="0" fontId="92" fillId="0" borderId="17" applyNumberFormat="0" applyFill="0" applyAlignment="0" applyProtection="0"/>
    <xf numFmtId="0" fontId="92" fillId="0" borderId="0" applyNumberFormat="0" applyFill="0" applyBorder="0" applyAlignment="0" applyProtection="0"/>
    <xf numFmtId="188" fontId="18" fillId="0" borderId="0" applyNumberFormat="0" applyFont="0" applyFill="0" applyBorder="0" applyAlignment="0" applyProtection="0"/>
    <xf numFmtId="188" fontId="18" fillId="0" borderId="0" applyNumberFormat="0" applyFont="0" applyFill="0" applyBorder="0" applyAlignment="0" applyProtection="0"/>
    <xf numFmtId="188" fontId="93" fillId="0" borderId="0" applyNumberFormat="0" applyFill="0" applyBorder="0" applyAlignment="0" applyProtection="0">
      <alignment vertical="top"/>
      <protection locked="0"/>
    </xf>
    <xf numFmtId="0" fontId="94" fillId="14" borderId="13" applyNumberFormat="0" applyAlignment="0" applyProtection="0"/>
    <xf numFmtId="188" fontId="85" fillId="28" borderId="0" applyNumberFormat="0" applyFont="0" applyBorder="0" applyAlignment="0" applyProtection="0">
      <alignment horizontal="right"/>
    </xf>
    <xf numFmtId="38" fontId="95" fillId="0" borderId="0"/>
    <xf numFmtId="38" fontId="96" fillId="0" borderId="0"/>
    <xf numFmtId="38" fontId="97" fillId="0" borderId="0"/>
    <xf numFmtId="38" fontId="85" fillId="0" borderId="0"/>
    <xf numFmtId="188" fontId="87" fillId="0" borderId="0"/>
    <xf numFmtId="188" fontId="87" fillId="0" borderId="0"/>
    <xf numFmtId="188" fontId="7" fillId="0" borderId="0"/>
    <xf numFmtId="188" fontId="18" fillId="0" borderId="0" applyFont="0" applyFill="0">
      <alignment horizontal="fill"/>
    </xf>
    <xf numFmtId="209" fontId="7" fillId="0" borderId="0" applyFill="0" applyBorder="0" applyAlignment="0"/>
    <xf numFmtId="205" fontId="7" fillId="0" borderId="0" applyFill="0" applyBorder="0" applyAlignment="0"/>
    <xf numFmtId="209" fontId="7" fillId="0" borderId="0" applyFill="0" applyBorder="0" applyAlignment="0"/>
    <xf numFmtId="210" fontId="7" fillId="0" borderId="0" applyFill="0" applyBorder="0" applyAlignment="0"/>
    <xf numFmtId="205" fontId="7" fillId="0" borderId="0" applyFill="0" applyBorder="0" applyAlignment="0"/>
    <xf numFmtId="0" fontId="98" fillId="0" borderId="18" applyNumberFormat="0" applyFill="0" applyAlignment="0" applyProtection="0"/>
    <xf numFmtId="0" fontId="99" fillId="0" borderId="11"/>
    <xf numFmtId="216" fontId="87" fillId="0" borderId="0" applyFont="0" applyFill="0" applyBorder="0" applyAlignment="0" applyProtection="0"/>
    <xf numFmtId="217" fontId="87" fillId="0" borderId="0" applyFont="0" applyFill="0" applyBorder="0" applyAlignment="0" applyProtection="0"/>
    <xf numFmtId="0" fontId="100" fillId="29" borderId="0" applyNumberFormat="0" applyBorder="0" applyAlignment="0" applyProtection="0"/>
    <xf numFmtId="178" fontId="10" fillId="0" borderId="0"/>
    <xf numFmtId="178" fontId="10" fillId="0" borderId="0"/>
    <xf numFmtId="0" fontId="10" fillId="0" borderId="0"/>
    <xf numFmtId="0" fontId="7" fillId="30" borderId="19" applyNumberFormat="0" applyFont="0" applyAlignment="0" applyProtection="0"/>
    <xf numFmtId="0" fontId="101" fillId="26" borderId="20" applyNumberFormat="0" applyAlignment="0" applyProtection="0"/>
    <xf numFmtId="40" fontId="102" fillId="31" borderId="0">
      <alignment horizontal="right"/>
    </xf>
    <xf numFmtId="188" fontId="103" fillId="31" borderId="0">
      <alignment horizontal="right"/>
    </xf>
    <xf numFmtId="188" fontId="104" fillId="31" borderId="8"/>
    <xf numFmtId="188" fontId="104" fillId="0" borderId="0" applyBorder="0">
      <alignment horizontal="centerContinuous"/>
    </xf>
    <xf numFmtId="188" fontId="105" fillId="0" borderId="0" applyBorder="0">
      <alignment horizontal="centerContinuous"/>
    </xf>
    <xf numFmtId="208" fontId="7" fillId="0" borderId="0" applyFont="0" applyFill="0" applyBorder="0" applyAlignment="0" applyProtection="0"/>
    <xf numFmtId="191" fontId="7" fillId="0" borderId="0" applyFont="0" applyFill="0" applyBorder="0" applyAlignment="0" applyProtection="0"/>
    <xf numFmtId="9" fontId="17" fillId="0" borderId="0" applyFont="0" applyFill="0" applyBorder="0" applyAlignment="0" applyProtection="0"/>
    <xf numFmtId="209" fontId="7" fillId="0" borderId="0" applyFill="0" applyBorder="0" applyAlignment="0"/>
    <xf numFmtId="205" fontId="7" fillId="0" borderId="0" applyFill="0" applyBorder="0" applyAlignment="0"/>
    <xf numFmtId="209" fontId="7" fillId="0" borderId="0" applyFill="0" applyBorder="0" applyAlignment="0"/>
    <xf numFmtId="210" fontId="7" fillId="0" borderId="0" applyFill="0" applyBorder="0" applyAlignment="0"/>
    <xf numFmtId="205" fontId="7" fillId="0" borderId="0" applyFill="0" applyBorder="0" applyAlignment="0"/>
    <xf numFmtId="4" fontId="59" fillId="0" borderId="0" applyFont="0" applyFill="0" applyBorder="0" applyAlignment="0" applyProtection="0"/>
    <xf numFmtId="218" fontId="7" fillId="0" borderId="0" applyFont="0" applyFill="0" applyBorder="0" applyAlignment="0" applyProtection="0"/>
    <xf numFmtId="219" fontId="7" fillId="0" borderId="0" applyFont="0" applyFill="0" applyBorder="0" applyAlignment="0" applyProtection="0"/>
    <xf numFmtId="188" fontId="106" fillId="32" borderId="0" applyNumberFormat="0"/>
    <xf numFmtId="43" fontId="9" fillId="0" borderId="3"/>
    <xf numFmtId="0" fontId="99" fillId="0" borderId="0"/>
    <xf numFmtId="188" fontId="7" fillId="0" borderId="0"/>
    <xf numFmtId="49" fontId="55" fillId="0" borderId="0" applyFill="0" applyBorder="0" applyAlignment="0"/>
    <xf numFmtId="220" fontId="55" fillId="0" borderId="0" applyFill="0" applyBorder="0" applyAlignment="0"/>
    <xf numFmtId="221" fontId="7" fillId="0" borderId="0" applyFill="0" applyBorder="0" applyAlignment="0"/>
    <xf numFmtId="0" fontId="107" fillId="0" borderId="21" applyNumberFormat="0" applyFill="0" applyAlignment="0" applyProtection="0"/>
    <xf numFmtId="222" fontId="7" fillId="0" borderId="0" applyFont="0" applyFill="0" applyBorder="0" applyAlignment="0" applyProtection="0"/>
    <xf numFmtId="223" fontId="7" fillId="0" borderId="0" applyFont="0" applyFill="0" applyBorder="0" applyAlignment="0" applyProtection="0"/>
    <xf numFmtId="224" fontId="18" fillId="0" borderId="0" applyFont="0" applyFill="0" applyBorder="0" applyAlignment="0" applyProtection="0"/>
    <xf numFmtId="225" fontId="18" fillId="0" borderId="0" applyFont="0" applyFill="0" applyBorder="0" applyAlignment="0" applyProtection="0"/>
    <xf numFmtId="0" fontId="108" fillId="0" borderId="0" applyNumberFormat="0" applyFill="0" applyBorder="0" applyAlignment="0" applyProtection="0"/>
    <xf numFmtId="0" fontId="18" fillId="0" borderId="0"/>
    <xf numFmtId="226" fontId="18" fillId="0" borderId="0" applyFont="0" applyFill="0" applyBorder="0" applyAlignment="0" applyProtection="0"/>
    <xf numFmtId="227" fontId="18" fillId="0" borderId="0" applyFont="0" applyFill="0" applyBorder="0" applyAlignment="0" applyProtection="0"/>
    <xf numFmtId="41" fontId="7" fillId="0" borderId="0" applyFont="0" applyFill="0" applyBorder="0" applyAlignment="0" applyProtection="0"/>
    <xf numFmtId="9" fontId="10" fillId="0" borderId="0" applyFont="0" applyFill="0" applyBorder="0" applyAlignment="0" applyProtection="0">
      <alignment vertical="center"/>
    </xf>
    <xf numFmtId="9" fontId="10" fillId="0" borderId="0" applyFont="0" applyFill="0" applyBorder="0" applyAlignment="0" applyProtection="0">
      <alignment vertical="center"/>
    </xf>
    <xf numFmtId="9" fontId="10" fillId="0" borderId="0" applyFont="0" applyFill="0" applyBorder="0" applyAlignment="0" applyProtection="0">
      <alignment vertical="center"/>
    </xf>
    <xf numFmtId="9" fontId="10" fillId="0" borderId="0" applyFont="0" applyFill="0" applyBorder="0" applyAlignment="0" applyProtection="0"/>
    <xf numFmtId="9" fontId="10" fillId="0" borderId="0" applyFont="0" applyFill="0" applyBorder="0" applyAlignment="0" applyProtection="0"/>
    <xf numFmtId="49" fontId="7" fillId="0" borderId="0" applyNumberFormat="0" applyFont="0">
      <alignment horizontal="left"/>
    </xf>
    <xf numFmtId="49" fontId="7" fillId="0" borderId="0" applyNumberFormat="0" applyFont="0" applyBorder="0" applyAlignment="0" applyProtection="0">
      <alignment horizontal="left"/>
      <protection hidden="1"/>
    </xf>
    <xf numFmtId="0" fontId="109" fillId="10" borderId="0" applyNumberFormat="0" applyBorder="0" applyAlignment="0" applyProtection="0">
      <alignment vertical="center"/>
    </xf>
    <xf numFmtId="0" fontId="110" fillId="0" borderId="0">
      <alignment vertical="center"/>
    </xf>
    <xf numFmtId="0" fontId="110" fillId="0" borderId="0">
      <alignment vertical="center"/>
    </xf>
    <xf numFmtId="0" fontId="15" fillId="0" borderId="0"/>
    <xf numFmtId="188" fontId="15" fillId="0" borderId="0"/>
    <xf numFmtId="188" fontId="10" fillId="0" borderId="0">
      <protection locked="0"/>
    </xf>
    <xf numFmtId="188" fontId="15" fillId="0" borderId="0"/>
    <xf numFmtId="0" fontId="13" fillId="0" borderId="0" applyNumberFormat="0" applyFill="0" applyBorder="0" applyAlignment="0" applyProtection="0">
      <alignment vertical="top"/>
      <protection locked="0"/>
    </xf>
    <xf numFmtId="188" fontId="13" fillId="0" borderId="0" applyNumberFormat="0" applyFill="0" applyBorder="0" applyAlignment="0" applyProtection="0">
      <alignment vertical="top"/>
      <protection locked="0"/>
    </xf>
    <xf numFmtId="188" fontId="13" fillId="0" borderId="0" applyNumberFormat="0" applyFill="0" applyBorder="0" applyAlignment="0" applyProtection="0">
      <alignment vertical="top"/>
      <protection locked="0"/>
    </xf>
    <xf numFmtId="188" fontId="111" fillId="0" borderId="0" applyNumberFormat="0" applyFill="0" applyBorder="0" applyAlignment="0" applyProtection="0"/>
    <xf numFmtId="188" fontId="15" fillId="0" borderId="0" applyFill="0" applyBorder="0" applyAlignment="0"/>
    <xf numFmtId="0" fontId="112" fillId="11" borderId="0" applyNumberFormat="0" applyBorder="0" applyAlignment="0" applyProtection="0">
      <alignment vertical="center"/>
    </xf>
    <xf numFmtId="228" fontId="113" fillId="0" borderId="0" applyFont="0" applyFill="0" applyBorder="0" applyAlignment="0" applyProtection="0"/>
    <xf numFmtId="229" fontId="60" fillId="0" borderId="0" applyFont="0" applyFill="0" applyBorder="0" applyAlignment="0" applyProtection="0"/>
    <xf numFmtId="228" fontId="18" fillId="0" borderId="0" applyFont="0" applyFill="0" applyBorder="0" applyAlignment="0" applyProtection="0"/>
    <xf numFmtId="229" fontId="18" fillId="0" borderId="0" applyFont="0" applyFill="0" applyBorder="0" applyAlignment="0" applyProtection="0"/>
    <xf numFmtId="41" fontId="18" fillId="0" borderId="0" applyFont="0" applyFill="0" applyBorder="0" applyAlignment="0" applyProtection="0"/>
    <xf numFmtId="43" fontId="18" fillId="0" borderId="0" applyFont="0" applyFill="0" applyBorder="0" applyAlignment="0" applyProtection="0"/>
    <xf numFmtId="43" fontId="47" fillId="0" borderId="0" applyFont="0" applyFill="0" applyBorder="0" applyAlignment="0" applyProtection="0">
      <alignment vertical="center"/>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47" fillId="0" borderId="0" applyFont="0" applyFill="0" applyBorder="0" applyAlignment="0" applyProtection="0">
      <alignment vertical="center"/>
    </xf>
    <xf numFmtId="43" fontId="47" fillId="0" borderId="0" applyFont="0" applyFill="0" applyBorder="0" applyAlignment="0" applyProtection="0">
      <alignment vertical="center"/>
    </xf>
    <xf numFmtId="43" fontId="47" fillId="0" borderId="0" applyFont="0" applyFill="0" applyBorder="0" applyAlignment="0" applyProtection="0">
      <alignment vertical="center"/>
    </xf>
    <xf numFmtId="43" fontId="47" fillId="0" borderId="0" applyFont="0" applyFill="0" applyBorder="0" applyAlignment="0" applyProtection="0">
      <alignment vertical="center"/>
    </xf>
    <xf numFmtId="43" fontId="15" fillId="0" borderId="0" applyFont="0" applyFill="0" applyBorder="0" applyAlignment="0" applyProtection="0"/>
    <xf numFmtId="41" fontId="10" fillId="0" borderId="0" applyFont="0" applyFill="0" applyBorder="0" applyAlignment="0" applyProtection="0"/>
    <xf numFmtId="188" fontId="114" fillId="0" borderId="0" applyNumberFormat="0" applyFill="0" applyBorder="0" applyAlignment="0" applyProtection="0">
      <alignment vertical="top"/>
      <protection locked="0"/>
    </xf>
    <xf numFmtId="188" fontId="115" fillId="33" borderId="2">
      <alignment horizontal="center" vertical="center"/>
    </xf>
    <xf numFmtId="188" fontId="77" fillId="0" borderId="0">
      <protection locked="0"/>
    </xf>
    <xf numFmtId="188" fontId="7" fillId="0" borderId="0"/>
    <xf numFmtId="41" fontId="17" fillId="0" borderId="0" applyFont="0" applyFill="0" applyBorder="0" applyAlignment="0" applyProtection="0"/>
    <xf numFmtId="0" fontId="26" fillId="0" borderId="0"/>
    <xf numFmtId="9" fontId="18" fillId="0" borderId="0" applyFont="0" applyFill="0" applyBorder="0" applyAlignment="0" applyProtection="0"/>
    <xf numFmtId="0" fontId="116" fillId="0" borderId="0" applyFont="0" applyFill="0" applyBorder="0" applyAlignment="0" applyProtection="0"/>
    <xf numFmtId="0" fontId="116" fillId="0" borderId="0" applyFont="0" applyFill="0" applyBorder="0" applyAlignment="0" applyProtection="0"/>
    <xf numFmtId="0" fontId="117" fillId="36" borderId="0" applyNumberFormat="0" applyBorder="0" applyAlignment="0" applyProtection="0">
      <alignment vertical="center"/>
    </xf>
    <xf numFmtId="0" fontId="118" fillId="35" borderId="0" applyNumberFormat="0" applyBorder="0" applyAlignment="0" applyProtection="0">
      <alignment vertical="center"/>
    </xf>
    <xf numFmtId="179" fontId="7" fillId="0" borderId="0" applyFont="0" applyFill="0" applyBorder="0" applyAlignment="0" applyProtection="0"/>
    <xf numFmtId="230" fontId="7" fillId="0" borderId="0" applyFont="0" applyFill="0" applyBorder="0" applyAlignment="0" applyProtection="0"/>
    <xf numFmtId="231" fontId="119" fillId="0" borderId="0" applyFont="0" applyFill="0" applyBorder="0" applyAlignment="0" applyProtection="0"/>
    <xf numFmtId="232" fontId="119" fillId="0" borderId="0" applyFont="0" applyFill="0" applyBorder="0" applyAlignment="0" applyProtection="0"/>
    <xf numFmtId="0" fontId="120" fillId="0" borderId="0"/>
    <xf numFmtId="0" fontId="121" fillId="0" borderId="0"/>
    <xf numFmtId="40" fontId="116" fillId="0" borderId="0" applyFont="0" applyFill="0" applyBorder="0" applyAlignment="0" applyProtection="0"/>
    <xf numFmtId="38" fontId="116" fillId="0" borderId="0" applyFont="0" applyFill="0" applyBorder="0" applyAlignment="0" applyProtection="0"/>
    <xf numFmtId="0" fontId="10" fillId="0" borderId="0">
      <protection locked="0"/>
    </xf>
    <xf numFmtId="188" fontId="3" fillId="0" borderId="0">
      <alignment vertical="center"/>
    </xf>
    <xf numFmtId="0" fontId="10" fillId="0" borderId="0">
      <protection locked="0"/>
    </xf>
    <xf numFmtId="43" fontId="124" fillId="0" borderId="0" applyFont="0" applyFill="0" applyBorder="0" applyAlignment="0" applyProtection="0">
      <alignment vertical="center"/>
    </xf>
    <xf numFmtId="188" fontId="2" fillId="0" borderId="0">
      <alignment vertical="center"/>
    </xf>
    <xf numFmtId="188" fontId="1" fillId="0" borderId="0">
      <alignment vertical="center"/>
    </xf>
    <xf numFmtId="43" fontId="10" fillId="0" borderId="0" applyFont="0" applyFill="0" applyBorder="0" applyAlignment="0" applyProtection="0"/>
    <xf numFmtId="0" fontId="1" fillId="0" borderId="0">
      <alignment vertical="center"/>
    </xf>
    <xf numFmtId="43" fontId="1" fillId="0" borderId="0" applyFont="0" applyFill="0" applyBorder="0" applyAlignment="0" applyProtection="0">
      <alignment vertical="center"/>
    </xf>
    <xf numFmtId="9" fontId="1" fillId="0" borderId="0" applyFont="0" applyFill="0" applyBorder="0" applyAlignment="0" applyProtection="0">
      <alignment vertical="center"/>
    </xf>
    <xf numFmtId="0" fontId="10" fillId="0" borderId="0"/>
    <xf numFmtId="9" fontId="10" fillId="0" borderId="0" applyFont="0" applyFill="0" applyBorder="0" applyAlignment="0" applyProtection="0"/>
  </cellStyleXfs>
  <cellXfs count="272">
    <xf numFmtId="0" fontId="0" fillId="0" borderId="0" xfId="0">
      <protection locked="0"/>
    </xf>
    <xf numFmtId="0" fontId="16" fillId="0" borderId="0" xfId="0" applyFont="1" applyAlignment="1">
      <alignment vertical="center"/>
      <protection locked="0"/>
    </xf>
    <xf numFmtId="0" fontId="15" fillId="0" borderId="0" xfId="0" applyFont="1" applyAlignment="1">
      <alignment horizontal="center" vertical="center"/>
      <protection locked="0"/>
    </xf>
    <xf numFmtId="0" fontId="20" fillId="0" borderId="0" xfId="0" applyFont="1" applyAlignment="1">
      <alignment vertical="center"/>
      <protection locked="0"/>
    </xf>
    <xf numFmtId="0" fontId="26" fillId="0" borderId="0" xfId="30" applyFont="1" applyBorder="1" applyAlignment="1" applyProtection="1">
      <alignment vertical="center"/>
      <protection locked="0"/>
    </xf>
    <xf numFmtId="0" fontId="30" fillId="0" borderId="0" xfId="30" applyFont="1" applyBorder="1" applyAlignment="1" applyProtection="1">
      <alignment horizontal="center" vertical="center"/>
      <protection hidden="1"/>
    </xf>
    <xf numFmtId="0" fontId="26" fillId="0" borderId="0" xfId="30" applyFont="1" applyBorder="1" applyAlignment="1" applyProtection="1">
      <alignment horizontal="left" vertical="center"/>
      <protection hidden="1"/>
    </xf>
    <xf numFmtId="0" fontId="30" fillId="0" borderId="0" xfId="30" applyFont="1" applyBorder="1" applyAlignment="1" applyProtection="1">
      <alignment horizontal="left" vertical="center"/>
      <protection locked="0"/>
    </xf>
    <xf numFmtId="0" fontId="28" fillId="0" borderId="0" xfId="30" applyFont="1" applyBorder="1" applyAlignment="1">
      <alignment vertical="center"/>
    </xf>
    <xf numFmtId="43" fontId="26" fillId="0" borderId="3" xfId="33" applyFont="1" applyBorder="1" applyAlignment="1" applyProtection="1">
      <alignment vertical="center"/>
      <protection locked="0"/>
    </xf>
    <xf numFmtId="0" fontId="26" fillId="0" borderId="0" xfId="28" applyFont="1" applyBorder="1" applyAlignment="1">
      <alignment vertical="center"/>
      <protection locked="0"/>
    </xf>
    <xf numFmtId="43" fontId="35" fillId="0" borderId="0" xfId="33" applyFont="1" applyBorder="1" applyAlignment="1" applyProtection="1">
      <alignment horizontal="right" vertical="center"/>
      <protection locked="0"/>
    </xf>
    <xf numFmtId="0" fontId="26" fillId="0" borderId="3" xfId="30" applyFont="1" applyBorder="1" applyAlignment="1">
      <alignment vertical="center"/>
    </xf>
    <xf numFmtId="0" fontId="26" fillId="0" borderId="0" xfId="30" applyFont="1" applyBorder="1" applyAlignment="1">
      <alignment vertical="center"/>
    </xf>
    <xf numFmtId="0" fontId="39" fillId="0" borderId="0" xfId="30" applyFont="1" applyBorder="1" applyAlignment="1">
      <alignment vertical="center"/>
    </xf>
    <xf numFmtId="0" fontId="15" fillId="0" borderId="0" xfId="28" applyFont="1" applyBorder="1" applyAlignment="1">
      <alignment vertical="center"/>
      <protection locked="0"/>
    </xf>
    <xf numFmtId="0" fontId="26" fillId="0" borderId="0" xfId="28" applyFont="1" applyBorder="1" applyAlignment="1">
      <alignment horizontal="left" vertical="center"/>
      <protection locked="0"/>
    </xf>
    <xf numFmtId="0" fontId="39" fillId="0" borderId="0" xfId="28" applyFont="1" applyBorder="1" applyAlignment="1">
      <alignment vertical="center"/>
      <protection locked="0"/>
    </xf>
    <xf numFmtId="0" fontId="26" fillId="0" borderId="0" xfId="28" applyFont="1" applyBorder="1" applyAlignment="1">
      <alignment vertical="center" wrapText="1"/>
      <protection locked="0"/>
    </xf>
    <xf numFmtId="0" fontId="27" fillId="0" borderId="0" xfId="28" applyFont="1" applyBorder="1" applyAlignment="1">
      <alignment horizontal="left" vertical="center"/>
      <protection locked="0"/>
    </xf>
    <xf numFmtId="177" fontId="26" fillId="0" borderId="3" xfId="28" applyNumberFormat="1" applyFont="1" applyBorder="1" applyAlignment="1">
      <alignment vertical="center"/>
      <protection locked="0"/>
    </xf>
    <xf numFmtId="177" fontId="32" fillId="0" borderId="3" xfId="28" applyNumberFormat="1" applyFont="1" applyBorder="1" applyAlignment="1">
      <alignment horizontal="center" vertical="center"/>
      <protection locked="0"/>
    </xf>
    <xf numFmtId="3" fontId="26" fillId="0" borderId="0" xfId="28" applyNumberFormat="1" applyFont="1" applyBorder="1" applyAlignment="1">
      <alignment vertical="center"/>
      <protection locked="0"/>
    </xf>
    <xf numFmtId="43" fontId="26" fillId="0" borderId="3" xfId="33" applyFont="1" applyBorder="1" applyAlignment="1" applyProtection="1">
      <alignment horizontal="left" vertical="center"/>
      <protection hidden="1"/>
    </xf>
    <xf numFmtId="0" fontId="26" fillId="0" borderId="0" xfId="31" applyFont="1" applyBorder="1" applyAlignment="1">
      <alignment vertical="center"/>
    </xf>
    <xf numFmtId="0" fontId="26" fillId="0" borderId="0" xfId="87" applyFont="1" applyFill="1" applyBorder="1" applyAlignment="1">
      <alignment horizontal="left" vertical="center"/>
      <protection locked="0"/>
    </xf>
    <xf numFmtId="188" fontId="26" fillId="0" borderId="0" xfId="0" applyNumberFormat="1" applyFont="1" applyFill="1" applyBorder="1" applyAlignment="1" applyProtection="1">
      <alignment vertical="center"/>
      <protection locked="0"/>
    </xf>
    <xf numFmtId="188" fontId="26" fillId="0" borderId="0" xfId="0" applyNumberFormat="1" applyFont="1" applyFill="1" applyAlignment="1" applyProtection="1">
      <alignment vertical="center"/>
      <protection locked="0"/>
    </xf>
    <xf numFmtId="188" fontId="26" fillId="0" borderId="0" xfId="0" applyNumberFormat="1" applyFont="1" applyFill="1" applyBorder="1" applyAlignment="1" applyProtection="1">
      <alignment horizontal="center" vertical="center"/>
      <protection locked="0"/>
    </xf>
    <xf numFmtId="188" fontId="26" fillId="0" borderId="0" xfId="0" applyNumberFormat="1" applyFont="1" applyFill="1" applyAlignment="1" applyProtection="1">
      <alignment horizontal="center" vertical="center"/>
      <protection locked="0"/>
    </xf>
    <xf numFmtId="188" fontId="26" fillId="0" borderId="0" xfId="0" applyNumberFormat="1" applyFont="1" applyFill="1" applyBorder="1" applyAlignment="1" applyProtection="1">
      <alignment vertical="center" wrapText="1"/>
      <protection locked="0"/>
    </xf>
    <xf numFmtId="49" fontId="28" fillId="0" borderId="3" xfId="0" applyNumberFormat="1" applyFont="1" applyFill="1" applyBorder="1" applyAlignment="1" applyProtection="1">
      <alignment horizontal="left" vertical="center"/>
      <protection locked="0"/>
    </xf>
    <xf numFmtId="188" fontId="50" fillId="0" borderId="3" xfId="0" applyNumberFormat="1" applyFont="1" applyFill="1" applyBorder="1" applyAlignment="1" applyProtection="1">
      <alignment horizontal="center" vertical="center" wrapText="1"/>
    </xf>
    <xf numFmtId="188" fontId="50" fillId="0" borderId="3" xfId="0" applyNumberFormat="1" applyFont="1" applyFill="1" applyBorder="1" applyAlignment="1" applyProtection="1">
      <alignment horizontal="left" vertical="center" wrapText="1" shrinkToFit="1"/>
    </xf>
    <xf numFmtId="49" fontId="26" fillId="0" borderId="3" xfId="0" applyNumberFormat="1" applyFont="1" applyFill="1" applyBorder="1" applyAlignment="1" applyProtection="1">
      <alignment horizontal="left" vertical="center"/>
      <protection locked="0"/>
    </xf>
    <xf numFmtId="188" fontId="52" fillId="0" borderId="0" xfId="0" applyNumberFormat="1" applyFont="1" applyFill="1" applyAlignment="1" applyProtection="1">
      <alignment vertical="center"/>
    </xf>
    <xf numFmtId="188" fontId="50" fillId="0" borderId="0" xfId="0" applyNumberFormat="1" applyFont="1" applyFill="1" applyAlignment="1" applyProtection="1">
      <alignment vertical="center"/>
    </xf>
    <xf numFmtId="188" fontId="50" fillId="0" borderId="0" xfId="0" applyNumberFormat="1" applyFont="1" applyFill="1" applyAlignment="1" applyProtection="1">
      <alignment horizontal="left" vertical="center" wrapText="1"/>
      <protection locked="0"/>
    </xf>
    <xf numFmtId="188" fontId="50" fillId="0" borderId="0" xfId="0" applyNumberFormat="1" applyFont="1" applyFill="1" applyAlignment="1" applyProtection="1">
      <alignment horizontal="center" vertical="center"/>
      <protection locked="0"/>
    </xf>
    <xf numFmtId="188" fontId="75" fillId="0" borderId="0" xfId="0" applyNumberFormat="1" applyFont="1" applyFill="1" applyAlignment="1" applyProtection="1">
      <alignment vertical="center"/>
    </xf>
    <xf numFmtId="188" fontId="50" fillId="0" borderId="0" xfId="0" applyNumberFormat="1" applyFont="1" applyFill="1" applyAlignment="1" applyProtection="1">
      <alignment horizontal="left" vertical="center"/>
      <protection locked="0"/>
    </xf>
    <xf numFmtId="43" fontId="26" fillId="0" borderId="3" xfId="33" applyFont="1" applyFill="1" applyBorder="1" applyAlignment="1" applyProtection="1">
      <alignment vertical="center"/>
      <protection locked="0"/>
    </xf>
    <xf numFmtId="43" fontId="32" fillId="0" borderId="3" xfId="33" applyFont="1" applyBorder="1" applyAlignment="1" applyProtection="1">
      <alignment horizontal="center" vertical="center"/>
      <protection locked="0"/>
    </xf>
    <xf numFmtId="43" fontId="26" fillId="0" borderId="3" xfId="33" applyFont="1" applyFill="1" applyBorder="1" applyAlignment="1">
      <alignment vertical="center"/>
    </xf>
    <xf numFmtId="0" fontId="26" fillId="0" borderId="3" xfId="51" applyFont="1" applyFill="1" applyBorder="1" applyAlignment="1">
      <alignment horizontal="center" vertical="center"/>
    </xf>
    <xf numFmtId="0" fontId="25" fillId="0" borderId="0" xfId="51" applyFont="1" applyFill="1">
      <alignment vertical="center"/>
    </xf>
    <xf numFmtId="43" fontId="26" fillId="0" borderId="3" xfId="33" applyFont="1" applyFill="1" applyBorder="1" applyAlignment="1">
      <alignment horizontal="center" vertical="center"/>
    </xf>
    <xf numFmtId="0" fontId="7" fillId="0" borderId="0" xfId="0" applyFont="1" applyAlignment="1">
      <alignment vertical="center"/>
      <protection locked="0"/>
    </xf>
    <xf numFmtId="0" fontId="21" fillId="0" borderId="0" xfId="0" applyFont="1" applyBorder="1" applyAlignment="1">
      <alignment horizontal="justify" vertical="center" wrapText="1"/>
      <protection locked="0"/>
    </xf>
    <xf numFmtId="0" fontId="20" fillId="0" borderId="0" xfId="0" applyFont="1" applyBorder="1" applyAlignment="1">
      <alignment vertical="center"/>
      <protection locked="0"/>
    </xf>
    <xf numFmtId="0" fontId="23" fillId="0" borderId="0" xfId="0" applyFont="1" applyAlignment="1">
      <alignment horizontal="justify" vertical="center"/>
      <protection locked="0"/>
    </xf>
    <xf numFmtId="0" fontId="10" fillId="0" borderId="0" xfId="0" applyFont="1" applyAlignment="1">
      <alignment horizontal="justify" vertical="center"/>
      <protection locked="0"/>
    </xf>
    <xf numFmtId="0" fontId="10" fillId="0" borderId="0" xfId="0" applyFont="1" applyAlignment="1">
      <alignment vertical="center"/>
      <protection locked="0"/>
    </xf>
    <xf numFmtId="0" fontId="10" fillId="0" borderId="0" xfId="0" applyFont="1" applyAlignment="1">
      <alignment horizontal="justify" vertical="center" wrapText="1"/>
      <protection locked="0"/>
    </xf>
    <xf numFmtId="0" fontId="10" fillId="0" borderId="0" xfId="0" applyFont="1" applyAlignment="1">
      <alignment horizontal="left" vertical="center"/>
      <protection locked="0"/>
    </xf>
    <xf numFmtId="0" fontId="28" fillId="0" borderId="0" xfId="28" applyFont="1" applyBorder="1" applyAlignment="1">
      <alignment vertical="center"/>
      <protection locked="0"/>
    </xf>
    <xf numFmtId="0" fontId="15" fillId="0" borderId="3" xfId="28" applyFont="1" applyBorder="1" applyAlignment="1">
      <alignment horizontal="center" vertical="center"/>
      <protection locked="0"/>
    </xf>
    <xf numFmtId="0" fontId="26" fillId="0" borderId="3" xfId="28" applyFont="1" applyBorder="1" applyAlignment="1">
      <alignment horizontal="center" vertical="center"/>
      <protection locked="0"/>
    </xf>
    <xf numFmtId="43" fontId="26" fillId="34" borderId="3" xfId="33" applyFont="1" applyFill="1" applyBorder="1" applyAlignment="1">
      <alignment vertical="center"/>
    </xf>
    <xf numFmtId="49" fontId="28" fillId="37" borderId="3" xfId="0" applyNumberFormat="1" applyFont="1" applyFill="1" applyBorder="1" applyAlignment="1" applyProtection="1">
      <alignment horizontal="left" vertical="center"/>
      <protection locked="0"/>
    </xf>
    <xf numFmtId="188" fontId="28" fillId="37" borderId="3" xfId="0" applyNumberFormat="1" applyFont="1" applyFill="1" applyBorder="1" applyAlignment="1" applyProtection="1">
      <alignment horizontal="center" vertical="center" wrapText="1"/>
      <protection locked="0"/>
    </xf>
    <xf numFmtId="188" fontId="50" fillId="37" borderId="3" xfId="0" applyNumberFormat="1" applyFont="1" applyFill="1" applyBorder="1" applyAlignment="1" applyProtection="1">
      <alignment horizontal="center" vertical="center" wrapText="1"/>
    </xf>
    <xf numFmtId="49" fontId="26" fillId="37" borderId="3" xfId="0" applyNumberFormat="1" applyFont="1" applyFill="1" applyBorder="1" applyAlignment="1" applyProtection="1">
      <alignment horizontal="left" vertical="center"/>
      <protection locked="0"/>
    </xf>
    <xf numFmtId="188" fontId="50" fillId="37" borderId="3" xfId="0" applyNumberFormat="1" applyFont="1" applyFill="1" applyBorder="1" applyAlignment="1" applyProtection="1">
      <alignment horizontal="left" vertical="center" wrapText="1" shrinkToFit="1"/>
    </xf>
    <xf numFmtId="0" fontId="15" fillId="0" borderId="0" xfId="30" applyFont="1" applyBorder="1" applyAlignment="1">
      <alignment vertical="center"/>
    </xf>
    <xf numFmtId="0" fontId="41" fillId="0" borderId="0" xfId="28" applyFont="1" applyBorder="1" applyAlignment="1">
      <alignment horizontal="left" vertical="center"/>
      <protection locked="0"/>
    </xf>
    <xf numFmtId="0" fontId="30" fillId="0" borderId="0" xfId="28" applyFont="1" applyBorder="1" applyAlignment="1">
      <alignment horizontal="left" vertical="center"/>
      <protection locked="0"/>
    </xf>
    <xf numFmtId="0" fontId="42" fillId="0" borderId="0" xfId="28" applyFont="1" applyBorder="1" applyAlignment="1">
      <alignment horizontal="left" vertical="center"/>
      <protection locked="0"/>
    </xf>
    <xf numFmtId="0" fontId="29" fillId="0" borderId="0" xfId="28" applyFont="1" applyBorder="1" applyAlignment="1">
      <alignment horizontal="left" vertical="center"/>
      <protection locked="0"/>
    </xf>
    <xf numFmtId="0" fontId="39" fillId="37" borderId="3" xfId="28" applyFont="1" applyFill="1" applyBorder="1" applyAlignment="1">
      <alignment horizontal="centerContinuous" vertical="center"/>
      <protection locked="0"/>
    </xf>
    <xf numFmtId="0" fontId="28" fillId="37" borderId="3" xfId="28" applyFont="1" applyFill="1" applyBorder="1" applyAlignment="1">
      <alignment horizontal="centerContinuous" vertical="center"/>
      <protection locked="0"/>
    </xf>
    <xf numFmtId="3" fontId="39" fillId="0" borderId="0" xfId="28" applyNumberFormat="1" applyFont="1" applyBorder="1" applyAlignment="1">
      <alignment vertical="center"/>
      <protection locked="0"/>
    </xf>
    <xf numFmtId="10" fontId="26" fillId="34" borderId="3" xfId="33" applyNumberFormat="1" applyFont="1" applyFill="1" applyBorder="1" applyAlignment="1">
      <alignment vertical="center"/>
    </xf>
    <xf numFmtId="0" fontId="25" fillId="0" borderId="0" xfId="51" applyFont="1">
      <alignment vertical="center"/>
    </xf>
    <xf numFmtId="0" fontId="26" fillId="0" borderId="0" xfId="51" applyFont="1" applyFill="1" applyBorder="1" applyAlignment="1">
      <alignment horizontal="left" vertical="center"/>
    </xf>
    <xf numFmtId="0" fontId="26" fillId="0" borderId="0" xfId="51" applyFont="1" applyFill="1" applyBorder="1" applyAlignment="1">
      <alignment horizontal="center" vertical="center"/>
    </xf>
    <xf numFmtId="0" fontId="26" fillId="0" borderId="0" xfId="51" applyFont="1" applyFill="1" applyBorder="1" applyAlignment="1">
      <alignment vertical="center"/>
    </xf>
    <xf numFmtId="0" fontId="28" fillId="37" borderId="3" xfId="51" applyFont="1" applyFill="1" applyBorder="1" applyAlignment="1">
      <alignment horizontal="centerContinuous" vertical="center"/>
    </xf>
    <xf numFmtId="0" fontId="28" fillId="37" borderId="3" xfId="51" applyFont="1" applyFill="1" applyBorder="1" applyAlignment="1">
      <alignment horizontal="center" vertical="center" wrapText="1"/>
    </xf>
    <xf numFmtId="0" fontId="26" fillId="0" borderId="3" xfId="51" applyFont="1" applyBorder="1">
      <alignment vertical="center"/>
    </xf>
    <xf numFmtId="177" fontId="26" fillId="0" borderId="3" xfId="51" applyNumberFormat="1" applyFont="1" applyBorder="1">
      <alignment vertical="center"/>
    </xf>
    <xf numFmtId="0" fontId="26" fillId="0" borderId="3" xfId="51" applyFont="1" applyBorder="1" applyAlignment="1">
      <alignment horizontal="center" vertical="center"/>
    </xf>
    <xf numFmtId="0" fontId="26" fillId="0" borderId="0" xfId="51" applyFont="1" applyFill="1" applyAlignment="1">
      <alignment vertical="center"/>
    </xf>
    <xf numFmtId="0" fontId="122" fillId="0" borderId="0" xfId="51" applyFont="1" applyFill="1" applyBorder="1" applyAlignment="1">
      <alignment vertical="center"/>
    </xf>
    <xf numFmtId="0" fontId="28" fillId="0" borderId="0" xfId="51" applyFont="1" applyFill="1">
      <alignment vertical="center"/>
    </xf>
    <xf numFmtId="0" fontId="26" fillId="0" borderId="0" xfId="51" applyFont="1" applyFill="1">
      <alignment vertical="center"/>
    </xf>
    <xf numFmtId="10" fontId="26" fillId="34" borderId="3" xfId="554" applyNumberFormat="1" applyFont="1" applyFill="1" applyBorder="1">
      <alignment vertical="center"/>
    </xf>
    <xf numFmtId="0" fontId="26" fillId="0" borderId="0" xfId="51" applyFont="1">
      <alignment vertical="center"/>
    </xf>
    <xf numFmtId="0" fontId="28" fillId="0" borderId="0" xfId="51" applyFont="1">
      <alignment vertical="center"/>
    </xf>
    <xf numFmtId="177" fontId="26" fillId="0" borderId="0" xfId="51" applyNumberFormat="1" applyFont="1" applyFill="1" applyAlignment="1">
      <alignment vertical="center"/>
    </xf>
    <xf numFmtId="0" fontId="30" fillId="0" borderId="0" xfId="28" applyFont="1" applyBorder="1" applyAlignment="1">
      <alignment vertical="center"/>
      <protection locked="0"/>
    </xf>
    <xf numFmtId="0" fontId="41" fillId="0" borderId="0" xfId="28" applyFont="1" applyBorder="1" applyAlignment="1">
      <alignment vertical="center"/>
      <protection locked="0"/>
    </xf>
    <xf numFmtId="0" fontId="40" fillId="0" borderId="0" xfId="28" applyFont="1" applyBorder="1" applyAlignment="1">
      <alignment vertical="center"/>
      <protection locked="0"/>
    </xf>
    <xf numFmtId="0" fontId="39" fillId="37" borderId="3" xfId="28" applyFont="1" applyFill="1" applyBorder="1" applyAlignment="1">
      <alignment horizontal="center" vertical="center"/>
      <protection locked="0"/>
    </xf>
    <xf numFmtId="0" fontId="26" fillId="0" borderId="0" xfId="29" applyFont="1" applyBorder="1" applyAlignment="1">
      <alignment vertical="center"/>
    </xf>
    <xf numFmtId="0" fontId="25" fillId="0" borderId="0" xfId="29" applyFont="1" applyBorder="1" applyAlignment="1">
      <alignment vertical="center"/>
    </xf>
    <xf numFmtId="14" fontId="26" fillId="0" borderId="0" xfId="0" applyNumberFormat="1" applyFont="1" applyFill="1" applyBorder="1" applyAlignment="1" applyProtection="1">
      <alignment horizontal="center" vertical="center"/>
      <protection locked="0"/>
    </xf>
    <xf numFmtId="0" fontId="43" fillId="0" borderId="0" xfId="28" applyFont="1" applyBorder="1" applyAlignment="1">
      <alignment vertical="center"/>
      <protection locked="0"/>
    </xf>
    <xf numFmtId="0" fontId="31" fillId="0" borderId="0" xfId="28" applyFont="1" applyBorder="1" applyAlignment="1">
      <alignment horizontal="left" vertical="center"/>
      <protection locked="0"/>
    </xf>
    <xf numFmtId="0" fontId="37" fillId="0" borderId="0" xfId="28" applyFont="1" applyBorder="1" applyAlignment="1">
      <alignment vertical="center"/>
      <protection locked="0"/>
    </xf>
    <xf numFmtId="14" fontId="26" fillId="0" borderId="0" xfId="51" applyNumberFormat="1" applyFont="1" applyFill="1" applyBorder="1" applyAlignment="1">
      <alignment vertical="center"/>
    </xf>
    <xf numFmtId="14" fontId="26" fillId="0" borderId="0" xfId="51" applyNumberFormat="1" applyFont="1" applyFill="1" applyAlignment="1">
      <alignment vertical="center"/>
    </xf>
    <xf numFmtId="14" fontId="26" fillId="0" borderId="0" xfId="51" applyNumberFormat="1" applyFont="1" applyFill="1" applyBorder="1" applyAlignment="1">
      <alignment horizontal="left" vertical="center"/>
    </xf>
    <xf numFmtId="10" fontId="26" fillId="0" borderId="3" xfId="554" applyNumberFormat="1" applyFont="1" applyFill="1" applyBorder="1" applyAlignment="1">
      <alignment horizontal="center" vertical="center"/>
    </xf>
    <xf numFmtId="0" fontId="7" fillId="0" borderId="2" xfId="0" applyFont="1" applyBorder="1" applyAlignment="1">
      <alignment horizontal="center" vertical="center"/>
      <protection locked="0"/>
    </xf>
    <xf numFmtId="0" fontId="13" fillId="0" borderId="2" xfId="32" applyBorder="1" applyAlignment="1">
      <alignment vertical="center"/>
      <protection locked="0"/>
    </xf>
    <xf numFmtId="0" fontId="28" fillId="37" borderId="3" xfId="51" applyFont="1" applyFill="1" applyBorder="1" applyAlignment="1">
      <alignment horizontal="center" vertical="center" wrapText="1"/>
    </xf>
    <xf numFmtId="0" fontId="39" fillId="37" borderId="3" xfId="51" applyFont="1" applyFill="1" applyBorder="1" applyAlignment="1">
      <alignment horizontal="centerContinuous" vertical="center"/>
    </xf>
    <xf numFmtId="0" fontId="10" fillId="0" borderId="0" xfId="0" applyFont="1" applyAlignment="1">
      <alignment horizontal="center" vertical="center"/>
      <protection locked="0"/>
    </xf>
    <xf numFmtId="188" fontId="125" fillId="0" borderId="0" xfId="0" applyNumberFormat="1" applyFont="1" applyFill="1" applyAlignment="1" applyProtection="1">
      <alignment vertical="center"/>
    </xf>
    <xf numFmtId="188" fontId="51" fillId="0" borderId="0" xfId="0" applyNumberFormat="1" applyFont="1" applyFill="1" applyAlignment="1" applyProtection="1">
      <alignment horizontal="left" vertical="center"/>
      <protection locked="0"/>
    </xf>
    <xf numFmtId="188" fontId="126" fillId="0" borderId="0" xfId="0" applyNumberFormat="1" applyFont="1" applyFill="1" applyAlignment="1" applyProtection="1">
      <alignment horizontal="center" vertical="center"/>
      <protection locked="0"/>
    </xf>
    <xf numFmtId="188" fontId="127" fillId="0" borderId="0" xfId="0" applyNumberFormat="1" applyFont="1" applyFill="1" applyAlignment="1" applyProtection="1">
      <alignment horizontal="center" vertical="center"/>
      <protection locked="0"/>
    </xf>
    <xf numFmtId="188" fontId="126" fillId="0" borderId="0" xfId="0" applyNumberFormat="1" applyFont="1" applyFill="1" applyAlignment="1" applyProtection="1">
      <alignment horizontal="left" vertical="center"/>
      <protection locked="0"/>
    </xf>
    <xf numFmtId="188" fontId="51" fillId="0" borderId="0" xfId="0" applyNumberFormat="1" applyFont="1" applyFill="1" applyAlignment="1" applyProtection="1">
      <alignment horizontal="left" vertical="center" wrapText="1"/>
      <protection locked="0"/>
    </xf>
    <xf numFmtId="0" fontId="26" fillId="0" borderId="0" xfId="29" applyFont="1" applyAlignment="1">
      <alignment vertical="center"/>
    </xf>
    <xf numFmtId="0" fontId="25" fillId="0" borderId="0" xfId="29" applyFont="1" applyAlignment="1">
      <alignment vertical="center"/>
    </xf>
    <xf numFmtId="0" fontId="26" fillId="0" borderId="0" xfId="28" applyFont="1" applyAlignment="1">
      <alignment vertical="center" wrapText="1"/>
      <protection locked="0"/>
    </xf>
    <xf numFmtId="0" fontId="26" fillId="0" borderId="0" xfId="28" applyFont="1">
      <protection locked="0"/>
    </xf>
    <xf numFmtId="0" fontId="26" fillId="0" borderId="0" xfId="28" applyFont="1" applyAlignment="1">
      <alignment vertical="center"/>
      <protection locked="0"/>
    </xf>
    <xf numFmtId="0" fontId="28" fillId="37" borderId="22" xfId="621" applyFont="1" applyFill="1" applyBorder="1" applyAlignment="1">
      <alignment horizontal="left" vertical="center" wrapText="1"/>
    </xf>
    <xf numFmtId="0" fontId="28" fillId="37" borderId="3" xfId="621" applyFont="1" applyFill="1" applyBorder="1" applyAlignment="1">
      <alignment horizontal="center" vertical="center" wrapText="1"/>
    </xf>
    <xf numFmtId="0" fontId="128" fillId="37" borderId="3" xfId="621" applyFont="1" applyFill="1" applyBorder="1" applyAlignment="1">
      <alignment horizontal="center" vertical="center" wrapText="1"/>
    </xf>
    <xf numFmtId="0" fontId="28" fillId="0" borderId="0" xfId="28" applyFont="1" applyAlignment="1">
      <alignment vertical="center"/>
      <protection locked="0"/>
    </xf>
    <xf numFmtId="0" fontId="39" fillId="0" borderId="3" xfId="621" applyFont="1" applyFill="1" applyBorder="1" applyAlignment="1">
      <alignment horizontal="left" vertical="center" wrapText="1"/>
    </xf>
    <xf numFmtId="0" fontId="28" fillId="0" borderId="3" xfId="621" applyFont="1" applyFill="1" applyBorder="1" applyAlignment="1">
      <alignment horizontal="center" vertical="center" wrapText="1"/>
    </xf>
    <xf numFmtId="0" fontId="128" fillId="0" borderId="3" xfId="621" applyFont="1" applyFill="1" applyBorder="1" applyAlignment="1">
      <alignment horizontal="center" vertical="center" wrapText="1"/>
    </xf>
    <xf numFmtId="0" fontId="28" fillId="0" borderId="0" xfId="28" applyFont="1" applyFill="1" applyAlignment="1">
      <alignment vertical="center"/>
      <protection locked="0"/>
    </xf>
    <xf numFmtId="0" fontId="15" fillId="0" borderId="3" xfId="621" applyFont="1" applyBorder="1" applyAlignment="1">
      <alignment horizontal="left" vertical="center"/>
    </xf>
    <xf numFmtId="43" fontId="26" fillId="0" borderId="3" xfId="33" applyFont="1" applyBorder="1" applyAlignment="1">
      <alignment vertical="center"/>
    </xf>
    <xf numFmtId="0" fontId="129" fillId="0" borderId="3" xfId="621" applyFont="1" applyBorder="1" applyAlignment="1">
      <alignment horizontal="left" vertical="center"/>
    </xf>
    <xf numFmtId="0" fontId="128" fillId="0" borderId="3" xfId="621" applyFont="1" applyBorder="1" applyAlignment="1">
      <alignment horizontal="left" vertical="center"/>
    </xf>
    <xf numFmtId="0" fontId="130" fillId="0" borderId="0" xfId="28" applyFont="1" applyAlignment="1">
      <alignment vertical="center"/>
      <protection locked="0"/>
    </xf>
    <xf numFmtId="0" fontId="25" fillId="0" borderId="0" xfId="28" applyFont="1" applyAlignment="1">
      <alignment vertical="center"/>
      <protection locked="0"/>
    </xf>
    <xf numFmtId="0" fontId="29" fillId="0" borderId="0" xfId="28" applyFont="1" applyBorder="1" applyAlignment="1" applyProtection="1">
      <alignment vertical="center"/>
    </xf>
    <xf numFmtId="0" fontId="27" fillId="0" borderId="0" xfId="28" applyFont="1" applyBorder="1" applyAlignment="1" applyProtection="1">
      <alignment vertical="center"/>
    </xf>
    <xf numFmtId="0" fontId="29" fillId="0" borderId="23" xfId="28" applyFont="1" applyBorder="1" applyAlignment="1" applyProtection="1">
      <alignment vertical="center"/>
    </xf>
    <xf numFmtId="0" fontId="27" fillId="0" borderId="23" xfId="28" applyFont="1" applyBorder="1" applyAlignment="1" applyProtection="1">
      <alignment vertical="center"/>
    </xf>
    <xf numFmtId="0" fontId="26" fillId="0" borderId="23" xfId="28" applyFont="1" applyBorder="1" applyAlignment="1">
      <alignment vertical="center"/>
      <protection locked="0"/>
    </xf>
    <xf numFmtId="0" fontId="126" fillId="37" borderId="3" xfId="28" applyFont="1" applyFill="1" applyBorder="1" applyAlignment="1" applyProtection="1">
      <alignment horizontal="center" vertical="center"/>
    </xf>
    <xf numFmtId="233" fontId="29" fillId="37" borderId="3" xfId="28" applyNumberFormat="1" applyFont="1" applyFill="1" applyBorder="1" applyAlignment="1" applyProtection="1">
      <alignment horizontal="center" vertical="center"/>
    </xf>
    <xf numFmtId="0" fontId="29" fillId="37" borderId="3" xfId="28" applyFont="1" applyFill="1" applyBorder="1" applyAlignment="1" applyProtection="1">
      <alignment horizontal="center" vertical="center"/>
    </xf>
    <xf numFmtId="0" fontId="27" fillId="0" borderId="3" xfId="28" applyFont="1" applyBorder="1" applyAlignment="1" applyProtection="1">
      <alignment vertical="center"/>
    </xf>
    <xf numFmtId="43" fontId="27" fillId="0" borderId="3" xfId="33" applyFont="1" applyBorder="1" applyAlignment="1">
      <alignment vertical="center"/>
    </xf>
    <xf numFmtId="0" fontId="29" fillId="0" borderId="0" xfId="28" applyFont="1" applyAlignment="1" applyProtection="1">
      <alignment vertical="center"/>
    </xf>
    <xf numFmtId="0" fontId="27" fillId="0" borderId="0" xfId="28" applyFont="1" applyBorder="1" applyAlignment="1" applyProtection="1">
      <alignment horizontal="left" vertical="center"/>
    </xf>
    <xf numFmtId="0" fontId="49" fillId="0" borderId="0" xfId="28" applyFont="1" applyBorder="1" applyAlignment="1" applyProtection="1">
      <alignment vertical="center"/>
    </xf>
    <xf numFmtId="0" fontId="133" fillId="0" borderId="0" xfId="51" applyFont="1">
      <alignment vertical="center"/>
    </xf>
    <xf numFmtId="0" fontId="39" fillId="0" borderId="0" xfId="28" applyFont="1" applyAlignment="1">
      <alignment vertical="center"/>
      <protection locked="0"/>
    </xf>
    <xf numFmtId="0" fontId="26" fillId="0" borderId="0" xfId="28" applyFont="1" applyAlignment="1">
      <alignment horizontal="justify" vertical="center"/>
      <protection locked="0"/>
    </xf>
    <xf numFmtId="0" fontId="26" fillId="0" borderId="0" xfId="31" applyFont="1" applyAlignment="1">
      <alignment vertical="center"/>
    </xf>
    <xf numFmtId="0" fontId="26" fillId="0" borderId="0" xfId="28" applyFont="1" applyBorder="1" applyAlignment="1">
      <alignment horizontal="right" vertical="center"/>
      <protection locked="0"/>
    </xf>
    <xf numFmtId="0" fontId="27" fillId="0" borderId="0" xfId="28" applyFont="1" applyAlignment="1" applyProtection="1">
      <alignment vertical="center"/>
    </xf>
    <xf numFmtId="0" fontId="26" fillId="0" borderId="3" xfId="621" applyFont="1" applyBorder="1" applyAlignment="1">
      <alignment horizontal="left" vertical="center"/>
    </xf>
    <xf numFmtId="43" fontId="28" fillId="0" borderId="3" xfId="33" applyFont="1" applyBorder="1" applyAlignment="1">
      <alignment vertical="center"/>
    </xf>
    <xf numFmtId="0" fontId="39" fillId="37" borderId="3" xfId="28" applyFont="1" applyFill="1" applyBorder="1" applyAlignment="1">
      <alignment horizontal="center" vertical="center"/>
      <protection locked="0"/>
    </xf>
    <xf numFmtId="0" fontId="39" fillId="37" borderId="3" xfId="28" applyFont="1" applyFill="1" applyBorder="1" applyAlignment="1">
      <alignment horizontal="center" vertical="center"/>
      <protection locked="0"/>
    </xf>
    <xf numFmtId="43" fontId="26" fillId="37" borderId="3" xfId="33" applyFont="1" applyFill="1" applyBorder="1" applyAlignment="1" applyProtection="1">
      <alignment vertical="center"/>
      <protection locked="0"/>
    </xf>
    <xf numFmtId="43" fontId="28" fillId="37" borderId="3" xfId="33" applyFont="1" applyFill="1" applyBorder="1" applyAlignment="1" applyProtection="1">
      <alignment vertical="center"/>
      <protection locked="0"/>
    </xf>
    <xf numFmtId="43" fontId="26" fillId="38" borderId="3" xfId="33" applyFont="1" applyFill="1" applyBorder="1" applyAlignment="1" applyProtection="1">
      <alignment vertical="center"/>
      <protection locked="0"/>
    </xf>
    <xf numFmtId="0" fontId="32" fillId="37" borderId="3" xfId="28" applyFont="1" applyFill="1" applyBorder="1" applyAlignment="1">
      <alignment horizontal="center" vertical="center"/>
      <protection locked="0"/>
    </xf>
    <xf numFmtId="0" fontId="15" fillId="37" borderId="3" xfId="28" applyFont="1" applyFill="1" applyBorder="1" applyAlignment="1">
      <alignment horizontal="center" vertical="center"/>
      <protection locked="0"/>
    </xf>
    <xf numFmtId="177" fontId="32" fillId="37" borderId="3" xfId="28" applyNumberFormat="1" applyFont="1" applyFill="1" applyBorder="1" applyAlignment="1">
      <alignment horizontal="center" vertical="center"/>
      <protection locked="0"/>
    </xf>
    <xf numFmtId="0" fontId="126" fillId="0" borderId="0" xfId="28" applyFont="1" applyBorder="1" applyAlignment="1">
      <alignment vertical="center"/>
      <protection locked="0"/>
    </xf>
    <xf numFmtId="43" fontId="26" fillId="37" borderId="3" xfId="33" applyFont="1" applyFill="1" applyBorder="1" applyAlignment="1">
      <alignment vertical="center"/>
    </xf>
    <xf numFmtId="10" fontId="26" fillId="37" borderId="3" xfId="33" applyNumberFormat="1" applyFont="1" applyFill="1" applyBorder="1" applyAlignment="1">
      <alignment vertical="center"/>
    </xf>
    <xf numFmtId="0" fontId="39" fillId="0" borderId="0" xfId="51" applyFont="1">
      <alignment vertical="center"/>
    </xf>
    <xf numFmtId="0" fontId="15" fillId="0" borderId="3" xfId="51" applyFont="1" applyBorder="1">
      <alignment vertical="center"/>
    </xf>
    <xf numFmtId="0" fontId="15" fillId="0" borderId="3" xfId="51" applyFont="1" applyBorder="1" applyAlignment="1">
      <alignment horizontal="center" vertical="center"/>
    </xf>
    <xf numFmtId="43" fontId="28" fillId="0" borderId="3" xfId="33" applyFont="1" applyFill="1" applyBorder="1" applyAlignment="1">
      <alignment horizontal="center" vertical="center" wrapText="1"/>
    </xf>
    <xf numFmtId="43" fontId="28" fillId="37" borderId="3" xfId="33" applyFont="1" applyFill="1" applyBorder="1" applyAlignment="1">
      <alignment vertical="center"/>
    </xf>
    <xf numFmtId="10" fontId="26" fillId="37" borderId="3" xfId="27" applyNumberFormat="1" applyFont="1" applyFill="1" applyBorder="1" applyAlignment="1">
      <alignment horizontal="right" vertical="center"/>
    </xf>
    <xf numFmtId="0" fontId="26" fillId="37" borderId="3" xfId="27" applyNumberFormat="1" applyFont="1" applyFill="1" applyBorder="1" applyAlignment="1">
      <alignment horizontal="right" vertical="center"/>
    </xf>
    <xf numFmtId="10" fontId="26" fillId="0" borderId="3" xfId="27" applyNumberFormat="1" applyFont="1" applyFill="1" applyBorder="1" applyAlignment="1">
      <alignment horizontal="right" vertical="center"/>
    </xf>
    <xf numFmtId="43" fontId="15" fillId="0" borderId="3" xfId="33" applyFont="1" applyBorder="1" applyAlignment="1">
      <alignment horizontal="left" vertical="center"/>
    </xf>
    <xf numFmtId="43" fontId="26" fillId="0" borderId="3" xfId="33" applyFont="1" applyBorder="1" applyAlignment="1">
      <alignment horizontal="left" vertical="center"/>
    </xf>
    <xf numFmtId="43" fontId="28" fillId="0" borderId="3" xfId="33" applyFont="1" applyBorder="1" applyAlignment="1">
      <alignment horizontal="left" vertical="center"/>
    </xf>
    <xf numFmtId="0" fontId="28" fillId="37" borderId="3" xfId="27" applyNumberFormat="1" applyFont="1" applyFill="1" applyBorder="1" applyAlignment="1">
      <alignment horizontal="right" vertical="center"/>
    </xf>
    <xf numFmtId="188" fontId="51" fillId="0" borderId="0" xfId="28" applyNumberFormat="1" applyFont="1" applyFill="1" applyBorder="1" applyAlignment="1" applyProtection="1">
      <alignment horizontal="left" vertical="center"/>
    </xf>
    <xf numFmtId="188" fontId="50" fillId="0" borderId="0" xfId="28" applyNumberFormat="1" applyFont="1" applyFill="1" applyBorder="1" applyAlignment="1" applyProtection="1">
      <alignment horizontal="left" vertical="center"/>
    </xf>
    <xf numFmtId="0" fontId="36" fillId="0" borderId="3" xfId="28" applyFont="1" applyBorder="1" applyAlignment="1" applyProtection="1">
      <alignment vertical="center"/>
    </xf>
    <xf numFmtId="43" fontId="27" fillId="37" borderId="3" xfId="33" applyFont="1" applyFill="1" applyBorder="1" applyAlignment="1">
      <alignment vertical="center"/>
    </xf>
    <xf numFmtId="10" fontId="27" fillId="37" borderId="3" xfId="622" applyNumberFormat="1" applyFont="1" applyFill="1" applyBorder="1" applyAlignment="1">
      <alignment vertical="center"/>
    </xf>
    <xf numFmtId="0" fontId="15" fillId="0" borderId="0" xfId="28" applyFont="1" applyAlignment="1">
      <alignment vertical="center"/>
      <protection locked="0"/>
    </xf>
    <xf numFmtId="0" fontId="135" fillId="0" borderId="0" xfId="28" applyFont="1" applyAlignment="1">
      <alignment vertical="center"/>
      <protection locked="0"/>
    </xf>
    <xf numFmtId="0" fontId="136" fillId="0" borderId="0" xfId="28" applyFont="1" applyAlignment="1">
      <alignment vertical="center"/>
      <protection locked="0"/>
    </xf>
    <xf numFmtId="0" fontId="28" fillId="37" borderId="3" xfId="621" applyFont="1" applyFill="1" applyBorder="1" applyAlignment="1">
      <alignment horizontal="center" vertical="center"/>
    </xf>
    <xf numFmtId="0" fontId="126" fillId="0" borderId="0" xfId="30" applyFont="1" applyBorder="1" applyAlignment="1" applyProtection="1">
      <alignment vertical="center"/>
      <protection locked="0"/>
    </xf>
    <xf numFmtId="0" fontId="26" fillId="0" borderId="3" xfId="28" applyFont="1" applyFill="1" applyBorder="1" applyAlignment="1">
      <alignment horizontal="center" vertical="center"/>
      <protection locked="0"/>
    </xf>
    <xf numFmtId="0" fontId="15" fillId="0" borderId="3" xfId="28" applyFont="1" applyFill="1" applyBorder="1" applyAlignment="1">
      <alignment horizontal="center" vertical="center"/>
      <protection locked="0"/>
    </xf>
    <xf numFmtId="177" fontId="32" fillId="0" borderId="3" xfId="28" applyNumberFormat="1" applyFont="1" applyFill="1" applyBorder="1" applyAlignment="1">
      <alignment horizontal="center" vertical="center"/>
      <protection locked="0"/>
    </xf>
    <xf numFmtId="43" fontId="32" fillId="0" borderId="3" xfId="33" applyFont="1" applyFill="1" applyBorder="1" applyAlignment="1" applyProtection="1">
      <alignment horizontal="center" vertical="center"/>
      <protection locked="0"/>
    </xf>
    <xf numFmtId="0" fontId="26" fillId="0" borderId="0" xfId="28" applyFont="1" applyFill="1" applyBorder="1" applyAlignment="1">
      <alignment vertical="center"/>
      <protection locked="0"/>
    </xf>
    <xf numFmtId="0" fontId="26" fillId="0" borderId="0" xfId="28" applyFont="1" applyFill="1" applyBorder="1" applyAlignment="1">
      <alignment horizontal="left" vertical="center"/>
      <protection locked="0"/>
    </xf>
    <xf numFmtId="0" fontId="28" fillId="0" borderId="0" xfId="28" applyFont="1" applyFill="1" applyBorder="1" applyAlignment="1">
      <alignment vertical="center"/>
      <protection locked="0"/>
    </xf>
    <xf numFmtId="0" fontId="26" fillId="37" borderId="0" xfId="28" applyFont="1" applyFill="1" applyBorder="1" applyAlignment="1">
      <alignment vertical="center"/>
      <protection locked="0"/>
    </xf>
    <xf numFmtId="0" fontId="15" fillId="0" borderId="0" xfId="30" applyFont="1" applyFill="1" applyBorder="1" applyAlignment="1" applyProtection="1">
      <alignment vertical="center"/>
      <protection locked="0"/>
    </xf>
    <xf numFmtId="0" fontId="26" fillId="0" borderId="0" xfId="30" applyFont="1" applyFill="1" applyBorder="1" applyAlignment="1" applyProtection="1">
      <alignment vertical="center"/>
      <protection locked="0"/>
    </xf>
    <xf numFmtId="43" fontId="26" fillId="0" borderId="3" xfId="33" applyFont="1" applyBorder="1" applyAlignment="1" applyProtection="1">
      <alignment horizontal="center" vertical="center"/>
      <protection hidden="1"/>
    </xf>
    <xf numFmtId="43" fontId="26" fillId="0" borderId="3" xfId="33" applyFont="1" applyBorder="1" applyAlignment="1" applyProtection="1">
      <alignment horizontal="left" vertical="center"/>
      <protection locked="0"/>
    </xf>
    <xf numFmtId="43" fontId="26" fillId="37" borderId="3" xfId="33" applyFont="1" applyFill="1" applyBorder="1" applyAlignment="1" applyProtection="1">
      <alignment horizontal="center" vertical="center"/>
      <protection hidden="1"/>
    </xf>
    <xf numFmtId="43" fontId="26" fillId="37" borderId="3" xfId="33" applyFont="1" applyFill="1" applyBorder="1" applyAlignment="1" applyProtection="1">
      <alignment vertical="center"/>
    </xf>
    <xf numFmtId="0" fontId="137" fillId="0" borderId="0" xfId="28" applyFont="1" applyBorder="1" applyAlignment="1">
      <alignment vertical="center"/>
      <protection locked="0"/>
    </xf>
    <xf numFmtId="0" fontId="15" fillId="0" borderId="0" xfId="30" applyFont="1" applyBorder="1" applyAlignment="1" applyProtection="1">
      <alignment vertical="center"/>
      <protection locked="0"/>
    </xf>
    <xf numFmtId="0" fontId="39" fillId="37" borderId="3" xfId="30" applyFont="1" applyFill="1" applyBorder="1" applyAlignment="1" applyProtection="1">
      <alignment horizontal="center" vertical="center"/>
      <protection hidden="1"/>
    </xf>
    <xf numFmtId="0" fontId="26" fillId="5" borderId="0" xfId="0" applyFont="1" applyFill="1" applyBorder="1" applyAlignment="1">
      <alignment horizontal="justify" vertical="center" wrapText="1"/>
      <protection locked="0"/>
    </xf>
    <xf numFmtId="0" fontId="15" fillId="0" borderId="3" xfId="30" applyFont="1" applyBorder="1" applyAlignment="1">
      <alignment vertical="center"/>
    </xf>
    <xf numFmtId="0" fontId="42" fillId="0" borderId="0" xfId="28" applyFont="1" applyAlignment="1" applyProtection="1">
      <alignment vertical="center"/>
    </xf>
    <xf numFmtId="0" fontId="26" fillId="0" borderId="3" xfId="30" applyFont="1" applyBorder="1" applyAlignment="1">
      <alignment horizontal="center" vertical="center"/>
    </xf>
    <xf numFmtId="43" fontId="26" fillId="37" borderId="0" xfId="33" applyFont="1" applyFill="1" applyAlignment="1">
      <alignment vertical="center"/>
    </xf>
    <xf numFmtId="10" fontId="26" fillId="37" borderId="3" xfId="27" applyNumberFormat="1" applyFont="1" applyFill="1" applyBorder="1" applyAlignment="1">
      <alignment vertical="center"/>
    </xf>
    <xf numFmtId="0" fontId="26" fillId="37" borderId="3" xfId="51" applyFont="1" applyFill="1" applyBorder="1" applyAlignment="1">
      <alignment horizontal="center" vertical="center"/>
    </xf>
    <xf numFmtId="43" fontId="28" fillId="37" borderId="3" xfId="33" applyFont="1" applyFill="1" applyBorder="1" applyAlignment="1">
      <alignment horizontal="center" vertical="center"/>
    </xf>
    <xf numFmtId="10" fontId="28" fillId="37" borderId="3" xfId="27" applyNumberFormat="1" applyFont="1" applyFill="1" applyBorder="1" applyAlignment="1">
      <alignment vertical="center"/>
    </xf>
    <xf numFmtId="43" fontId="26" fillId="37" borderId="3" xfId="33" applyFont="1" applyFill="1" applyBorder="1" applyAlignment="1">
      <alignment horizontal="center" vertical="center"/>
    </xf>
    <xf numFmtId="177" fontId="26" fillId="37" borderId="3" xfId="554" applyNumberFormat="1" applyFont="1" applyFill="1" applyBorder="1">
      <alignment vertical="center"/>
    </xf>
    <xf numFmtId="177" fontId="49" fillId="37" borderId="3" xfId="554" applyNumberFormat="1" applyFont="1" applyFill="1" applyBorder="1" applyAlignment="1">
      <alignment horizontal="center" vertical="center"/>
    </xf>
    <xf numFmtId="0" fontId="26" fillId="0" borderId="2" xfId="0" applyFont="1" applyBorder="1" applyAlignment="1">
      <alignment horizontal="center" vertical="center"/>
      <protection locked="0"/>
    </xf>
    <xf numFmtId="0" fontId="36" fillId="0" borderId="0" xfId="28" applyFont="1" applyBorder="1" applyAlignment="1">
      <alignment horizontal="left" vertical="center"/>
      <protection locked="0"/>
    </xf>
    <xf numFmtId="0" fontId="15" fillId="0" borderId="0" xfId="51" applyFont="1" applyFill="1" applyBorder="1" applyAlignment="1">
      <alignment horizontal="left" vertical="center"/>
    </xf>
    <xf numFmtId="0" fontId="30" fillId="0" borderId="0" xfId="32" applyFont="1" applyBorder="1" applyAlignment="1">
      <alignment vertical="center"/>
      <protection locked="0"/>
    </xf>
    <xf numFmtId="0" fontId="39" fillId="37" borderId="3" xfId="30" applyFont="1" applyFill="1" applyBorder="1" applyAlignment="1" applyProtection="1">
      <alignment horizontal="center" vertical="center"/>
      <protection locked="0"/>
    </xf>
    <xf numFmtId="0" fontId="15" fillId="5" borderId="0" xfId="0" applyFont="1" applyFill="1" applyBorder="1" applyAlignment="1" applyProtection="1">
      <alignment horizontal="justify" vertical="center" wrapText="1"/>
      <protection locked="0"/>
    </xf>
    <xf numFmtId="0" fontId="39" fillId="37" borderId="0" xfId="30" applyFont="1" applyFill="1" applyBorder="1" applyAlignment="1" applyProtection="1">
      <alignment vertical="center"/>
      <protection locked="0"/>
    </xf>
    <xf numFmtId="0" fontId="39" fillId="37" borderId="3" xfId="30" applyFont="1" applyFill="1" applyBorder="1" applyAlignment="1" applyProtection="1">
      <alignment vertical="center"/>
      <protection locked="0"/>
    </xf>
    <xf numFmtId="0" fontId="15" fillId="37" borderId="0" xfId="28" applyFont="1" applyFill="1" applyBorder="1" applyAlignment="1">
      <alignment vertical="center"/>
      <protection locked="0"/>
    </xf>
    <xf numFmtId="0" fontId="39" fillId="37" borderId="3" xfId="28" applyFont="1" applyFill="1" applyBorder="1" applyAlignment="1" applyProtection="1">
      <alignment horizontal="center" vertical="center"/>
    </xf>
    <xf numFmtId="188" fontId="50" fillId="0" borderId="7" xfId="0" applyNumberFormat="1" applyFont="1" applyFill="1" applyBorder="1" applyAlignment="1" applyProtection="1">
      <alignment vertical="center" wrapText="1"/>
    </xf>
    <xf numFmtId="188" fontId="50" fillId="0" borderId="4" xfId="0" applyNumberFormat="1" applyFont="1" applyFill="1" applyBorder="1" applyAlignment="1" applyProtection="1">
      <alignment vertical="center" wrapText="1"/>
    </xf>
    <xf numFmtId="188" fontId="50" fillId="0" borderId="7" xfId="0" applyNumberFormat="1" applyFont="1" applyFill="1" applyBorder="1" applyAlignment="1" applyProtection="1">
      <alignment horizontal="center" vertical="center" wrapText="1"/>
    </xf>
    <xf numFmtId="188" fontId="50" fillId="0" borderId="6" xfId="0" applyNumberFormat="1" applyFont="1" applyFill="1" applyBorder="1" applyAlignment="1" applyProtection="1">
      <alignment horizontal="center" vertical="center" wrapText="1"/>
    </xf>
    <xf numFmtId="188" fontId="50" fillId="0" borderId="4" xfId="0" applyNumberFormat="1" applyFont="1" applyFill="1" applyBorder="1" applyAlignment="1" applyProtection="1">
      <alignment horizontal="center" vertical="center" wrapText="1"/>
    </xf>
    <xf numFmtId="188" fontId="54" fillId="0" borderId="7" xfId="0" applyNumberFormat="1" applyFont="1" applyFill="1" applyBorder="1" applyAlignment="1" applyProtection="1">
      <alignment vertical="center" wrapText="1"/>
    </xf>
    <xf numFmtId="188" fontId="54" fillId="0" borderId="4" xfId="0" applyNumberFormat="1" applyFont="1" applyFill="1" applyBorder="1" applyAlignment="1" applyProtection="1">
      <alignment vertical="center" wrapText="1"/>
    </xf>
    <xf numFmtId="188" fontId="50" fillId="37" borderId="7" xfId="0" applyNumberFormat="1" applyFont="1" applyFill="1" applyBorder="1" applyAlignment="1" applyProtection="1">
      <alignment vertical="center" wrapText="1"/>
    </xf>
    <xf numFmtId="188" fontId="50" fillId="37" borderId="4" xfId="0" applyNumberFormat="1" applyFont="1" applyFill="1" applyBorder="1" applyAlignment="1" applyProtection="1">
      <alignment vertical="center" wrapText="1"/>
    </xf>
    <xf numFmtId="188" fontId="50" fillId="37" borderId="7" xfId="0" applyNumberFormat="1" applyFont="1" applyFill="1" applyBorder="1" applyAlignment="1" applyProtection="1">
      <alignment horizontal="center" vertical="center" wrapText="1"/>
    </xf>
    <xf numFmtId="188" fontId="50" fillId="37" borderId="6" xfId="0" applyNumberFormat="1" applyFont="1" applyFill="1" applyBorder="1" applyAlignment="1" applyProtection="1">
      <alignment horizontal="center" vertical="center" wrapText="1"/>
    </xf>
    <xf numFmtId="188" fontId="50" fillId="37" borderId="4" xfId="0" applyNumberFormat="1" applyFont="1" applyFill="1" applyBorder="1" applyAlignment="1" applyProtection="1">
      <alignment horizontal="center" vertical="center" wrapText="1"/>
    </xf>
    <xf numFmtId="188" fontId="28" fillId="0" borderId="0" xfId="85" applyFont="1" applyFill="1" applyAlignment="1">
      <alignment horizontal="center" vertical="center"/>
    </xf>
    <xf numFmtId="188" fontId="16" fillId="0" borderId="0" xfId="85" applyFont="1" applyFill="1" applyAlignment="1">
      <alignment horizontal="center" vertical="center"/>
    </xf>
    <xf numFmtId="188" fontId="24" fillId="0" borderId="0" xfId="85" applyFont="1" applyFill="1" applyAlignment="1">
      <alignment horizontal="center" vertical="center"/>
    </xf>
    <xf numFmtId="188" fontId="54" fillId="0" borderId="7" xfId="0" applyNumberFormat="1" applyFont="1" applyFill="1" applyBorder="1" applyAlignment="1" applyProtection="1">
      <alignment horizontal="center" vertical="center" wrapText="1"/>
    </xf>
    <xf numFmtId="188" fontId="54" fillId="0" borderId="4" xfId="0" applyNumberFormat="1" applyFont="1" applyFill="1" applyBorder="1" applyAlignment="1" applyProtection="1">
      <alignment horizontal="center" vertical="center" wrapText="1"/>
    </xf>
    <xf numFmtId="188" fontId="28" fillId="37" borderId="3" xfId="0" applyNumberFormat="1" applyFont="1" applyFill="1" applyBorder="1" applyAlignment="1" applyProtection="1">
      <alignment horizontal="center" vertical="center" wrapText="1"/>
      <protection locked="0"/>
    </xf>
    <xf numFmtId="188" fontId="28" fillId="37" borderId="3" xfId="0" applyNumberFormat="1" applyFont="1" applyFill="1" applyBorder="1" applyAlignment="1" applyProtection="1">
      <alignment horizontal="center" vertical="center"/>
      <protection locked="0"/>
    </xf>
    <xf numFmtId="0" fontId="39" fillId="37" borderId="3" xfId="28" applyFont="1" applyFill="1" applyBorder="1" applyAlignment="1">
      <alignment horizontal="center" vertical="center"/>
      <protection locked="0"/>
    </xf>
    <xf numFmtId="0" fontId="39" fillId="0" borderId="0" xfId="29" applyFont="1" applyBorder="1" applyAlignment="1">
      <alignment horizontal="center" vertical="center"/>
    </xf>
    <xf numFmtId="0" fontId="28" fillId="0" borderId="0" xfId="29" applyFont="1" applyBorder="1" applyAlignment="1">
      <alignment horizontal="center" vertical="center"/>
    </xf>
    <xf numFmtId="0" fontId="16" fillId="0" borderId="0" xfId="29" applyFont="1" applyBorder="1" applyAlignment="1">
      <alignment horizontal="center" vertical="center" wrapText="1"/>
    </xf>
    <xf numFmtId="0" fontId="24" fillId="0" borderId="0" xfId="29" applyFont="1" applyBorder="1" applyAlignment="1">
      <alignment horizontal="center" vertical="center"/>
    </xf>
    <xf numFmtId="0" fontId="16" fillId="0" borderId="0" xfId="29" applyFont="1" applyBorder="1" applyAlignment="1">
      <alignment horizontal="center" vertical="center"/>
    </xf>
    <xf numFmtId="0" fontId="138" fillId="0" borderId="0" xfId="29" applyFont="1" applyBorder="1" applyAlignment="1">
      <alignment horizontal="center" vertical="center" wrapText="1"/>
    </xf>
    <xf numFmtId="0" fontId="140" fillId="0" borderId="0" xfId="29" applyFont="1" applyBorder="1" applyAlignment="1">
      <alignment horizontal="center" vertical="center"/>
    </xf>
    <xf numFmtId="0" fontId="141" fillId="0" borderId="0" xfId="29" applyFont="1" applyBorder="1" applyAlignment="1">
      <alignment horizontal="center" vertical="center"/>
    </xf>
    <xf numFmtId="0" fontId="142" fillId="0" borderId="0" xfId="29" applyFont="1" applyBorder="1" applyAlignment="1">
      <alignment horizontal="center" vertical="center"/>
    </xf>
    <xf numFmtId="0" fontId="39" fillId="37" borderId="3" xfId="30" applyFont="1" applyFill="1" applyBorder="1" applyAlignment="1" applyProtection="1">
      <alignment horizontal="center" vertical="center"/>
      <protection locked="0"/>
    </xf>
    <xf numFmtId="0" fontId="39" fillId="37" borderId="3" xfId="30" applyFont="1" applyFill="1" applyBorder="1" applyAlignment="1">
      <alignment horizontal="center" vertical="center"/>
    </xf>
    <xf numFmtId="0" fontId="16" fillId="0" borderId="0" xfId="29" applyFont="1" applyAlignment="1">
      <alignment horizontal="center" vertical="center"/>
    </xf>
    <xf numFmtId="0" fontId="138" fillId="0" borderId="0" xfId="29" applyFont="1" applyAlignment="1">
      <alignment horizontal="center" vertical="center"/>
    </xf>
    <xf numFmtId="0" fontId="28" fillId="37" borderId="3" xfId="51" applyFont="1" applyFill="1" applyBorder="1" applyAlignment="1">
      <alignment horizontal="center" vertical="center" wrapText="1"/>
    </xf>
    <xf numFmtId="0" fontId="39" fillId="37" borderId="3" xfId="51" applyFont="1" applyFill="1" applyBorder="1" applyAlignment="1">
      <alignment horizontal="center" vertical="center" wrapText="1"/>
    </xf>
    <xf numFmtId="0" fontId="24" fillId="0" borderId="0" xfId="51" applyFont="1" applyFill="1" applyBorder="1" applyAlignment="1">
      <alignment horizontal="center" vertical="center"/>
    </xf>
    <xf numFmtId="0" fontId="28" fillId="0" borderId="0" xfId="51" applyFont="1" applyAlignment="1">
      <alignment horizontal="center" vertical="center"/>
    </xf>
    <xf numFmtId="0" fontId="131" fillId="0" borderId="0" xfId="29" applyFont="1" applyAlignment="1">
      <alignment horizontal="center" vertical="center" wrapText="1"/>
    </xf>
    <xf numFmtId="0" fontId="143" fillId="0" borderId="0" xfId="29" applyFont="1" applyAlignment="1">
      <alignment horizontal="center" vertical="center" wrapText="1"/>
    </xf>
    <xf numFmtId="0" fontId="141" fillId="0" borderId="0" xfId="29" applyFont="1" applyAlignment="1">
      <alignment horizontal="center" vertical="center"/>
    </xf>
    <xf numFmtId="0" fontId="142" fillId="0" borderId="0" xfId="29" applyFont="1" applyAlignment="1">
      <alignment horizontal="center" vertical="center"/>
    </xf>
    <xf numFmtId="0" fontId="138" fillId="0" borderId="0" xfId="51" applyFont="1" applyFill="1" applyBorder="1" applyAlignment="1">
      <alignment horizontal="center" vertical="center"/>
    </xf>
    <xf numFmtId="0" fontId="16" fillId="0" borderId="0" xfId="51" applyFont="1" applyAlignment="1">
      <alignment horizontal="center" vertical="center"/>
    </xf>
    <xf numFmtId="0" fontId="16" fillId="0" borderId="0" xfId="51" applyFont="1" applyFill="1" applyBorder="1" applyAlignment="1">
      <alignment horizontal="center" vertical="center"/>
    </xf>
    <xf numFmtId="0" fontId="15" fillId="5" borderId="0" xfId="0" applyFont="1" applyFill="1" applyBorder="1" applyAlignment="1">
      <alignment horizontal="justify" vertical="center" wrapText="1"/>
      <protection locked="0"/>
    </xf>
  </cellXfs>
  <cellStyles count="623">
    <cellStyle name="%" xfId="191"/>
    <cellStyle name="(0)" xfId="192"/>
    <cellStyle name="?" xfId="1"/>
    <cellStyle name="? 2" xfId="193"/>
    <cellStyle name="??" xfId="194"/>
    <cellStyle name="?餡_x000c_k" xfId="88"/>
    <cellStyle name="?餡_x000c_k?_x000d_^" xfId="89"/>
    <cellStyle name="?餡_x000c_k?_x000d_^黇_x0001_??_x0007__x0001__x0001_" xfId="90"/>
    <cellStyle name="@_text" xfId="2"/>
    <cellStyle name="@_text_050302.Becker 2004.TB and Cash flow.JZ" xfId="195"/>
    <cellStyle name="@_text_061219..Valin.Disclosure package.ry.v2" xfId="196"/>
    <cellStyle name="@_text_Disclosure" xfId="197"/>
    <cellStyle name="@_text_Long term payables" xfId="198"/>
    <cellStyle name="@_text_Sheet1" xfId="199"/>
    <cellStyle name="@_text_Sheet1_Long term payables" xfId="200"/>
    <cellStyle name="@_text_Sheet3" xfId="201"/>
    <cellStyle name="@_text_Sheet4" xfId="202"/>
    <cellStyle name="@_text_Sheet6" xfId="203"/>
    <cellStyle name="@_text_Sheet7" xfId="204"/>
    <cellStyle name="@_text_涟钢" xfId="205"/>
    <cellStyle name="@_text_湘钢" xfId="206"/>
    <cellStyle name="_(中企华)审计评估联合申报明细表.V1" xfId="207"/>
    <cellStyle name="_005.v9" xfId="208"/>
    <cellStyle name="_005.v9_070124.valin.loudi.disclosure notes-other op" xfId="209"/>
    <cellStyle name="_005.v9_Sheet1" xfId="210"/>
    <cellStyle name="_005.v9_财务费用" xfId="211"/>
    <cellStyle name="_005.v9_存货" xfId="212"/>
    <cellStyle name="_005.v9_短期借款" xfId="213"/>
    <cellStyle name="_005.v9_货币资金" xfId="214"/>
    <cellStyle name="_005.v9_连轧管.报表披露(中文）2package" xfId="215"/>
    <cellStyle name="_005.v9_连轧管.报表披露(中文）package" xfId="216"/>
    <cellStyle name="_005.v9_请修改正副本华菱钢管合并国贸 报表披露 package" xfId="217"/>
    <cellStyle name="_005.v9_销售科" xfId="218"/>
    <cellStyle name="_005.v9_一年内到期长期负债" xfId="219"/>
    <cellStyle name="_005.v9_长期借款" xfId="220"/>
    <cellStyle name="_051231.CTE SH.023" xfId="221"/>
    <cellStyle name="_051231.CTE SH.023_061219..Valin.Disclosure package.ry.v2" xfId="222"/>
    <cellStyle name="_051231.CTE SH.023_061219..Valin.Disclosure package.ry.v2_1" xfId="223"/>
    <cellStyle name="_051231.CTE SH.023_061219..Valin.Disclosure package.ry.v2_Book2" xfId="224"/>
    <cellStyle name="_051231.CTE SH.023_070124.valin.consol.after interco elimination" xfId="225"/>
    <cellStyle name="_051231.CTE SH.023_2006" xfId="226"/>
    <cellStyle name="_051231.CTE SH.023_consol disclosure-final" xfId="227"/>
    <cellStyle name="_051231.CTE SH.023_非正常性损益表" xfId="228"/>
    <cellStyle name="_051231.CTE SH.023_连轧管.报表披露(中文）package" xfId="229"/>
    <cellStyle name="_060410.MMXM.AR,stock,sales,tax updated" xfId="230"/>
    <cellStyle name="_060417.Allied.cut off" xfId="231"/>
    <cellStyle name="_060930 valin-ez" xfId="232"/>
    <cellStyle name="_060930 valin-ez_070124.valin.loudi.disclosure notes-other op" xfId="233"/>
    <cellStyle name="_060930 valin-ez_Sheet1" xfId="234"/>
    <cellStyle name="_060930 valin-ez_财务费用" xfId="235"/>
    <cellStyle name="_060930 valin-ez_存货" xfId="236"/>
    <cellStyle name="_060930 valin-ez_短期借款" xfId="237"/>
    <cellStyle name="_060930 valin-ez_货币资金" xfId="238"/>
    <cellStyle name="_060930 valin-ez_连轧管.报表披露(中文）2package" xfId="239"/>
    <cellStyle name="_060930 valin-ez_连轧管.报表披露(中文）package" xfId="240"/>
    <cellStyle name="_060930 valin-ez_请修改正副本华菱钢管合并国贸 报表披露 package" xfId="241"/>
    <cellStyle name="_060930 valin-ez_一年内到期长期负债" xfId="242"/>
    <cellStyle name="_060930 valin-ez_长期借款" xfId="243"/>
    <cellStyle name="_061118.valin.K.hardclose" xfId="244"/>
    <cellStyle name="_061118.valin-XG.O.hardclose" xfId="245"/>
    <cellStyle name="_061119.valin.Q.hardclose" xfId="246"/>
    <cellStyle name="_0612.连轧管.Q section.taxation" xfId="247"/>
    <cellStyle name="_0612.连轧管.Q section.taxation_070124.valin.loudi.disclosure notes-other op" xfId="248"/>
    <cellStyle name="_0612.连轧管.Q section.taxation_Sheet1" xfId="249"/>
    <cellStyle name="_0612.连轧管.Q section.taxation_财务费用" xfId="250"/>
    <cellStyle name="_0612.连轧管.Q section.taxation_存货" xfId="251"/>
    <cellStyle name="_0612.连轧管.Q section.taxation_短期借款" xfId="252"/>
    <cellStyle name="_0612.连轧管.Q section.taxation_货币资金" xfId="253"/>
    <cellStyle name="_0612.连轧管.Q section.taxation_连轧管.报表披露(中文）2package" xfId="254"/>
    <cellStyle name="_0612.连轧管.Q section.taxation_连轧管.报表披露(中文）package" xfId="255"/>
    <cellStyle name="_0612.连轧管.Q section.taxation_请修改正副本华菱钢管合并国贸 报表披露 package" xfId="256"/>
    <cellStyle name="_0612.连轧管.Q section.taxation_一年内到期长期负债" xfId="257"/>
    <cellStyle name="_0612.连轧管.Q section.taxation_长期借款" xfId="258"/>
    <cellStyle name="_061204.Valin Info.Spreadsheet" xfId="259"/>
    <cellStyle name="_061214.Valin.XX.sales.tax.tw" xfId="260"/>
    <cellStyle name="_061214.Valin.XX.sales.tax.tw_070124.valin.loudi.disclosure notes-other op" xfId="261"/>
    <cellStyle name="_061214.Valin.XX.sales.tax.tw_Sheet1" xfId="262"/>
    <cellStyle name="_061214.Valin.XX.sales.tax.tw_财务费用" xfId="263"/>
    <cellStyle name="_061214.Valin.XX.sales.tax.tw_存货" xfId="264"/>
    <cellStyle name="_061214.Valin.XX.sales.tax.tw_短期借款" xfId="265"/>
    <cellStyle name="_061214.Valin.XX.sales.tax.tw_货币资金" xfId="266"/>
    <cellStyle name="_061214.Valin.XX.sales.tax.tw_连轧管.报表披露(中文）2package" xfId="267"/>
    <cellStyle name="_061214.Valin.XX.sales.tax.tw_连轧管.报表披露(中文）package" xfId="268"/>
    <cellStyle name="_061214.Valin.XX.sales.tax.tw_请修改正副本华菱钢管合并国贸 报表披露 package" xfId="269"/>
    <cellStyle name="_061214.Valin.XX.sales.tax.tw_一年内到期长期负债" xfId="270"/>
    <cellStyle name="_061214.Valin.XX.sales.tax.tw_长期借款" xfId="271"/>
    <cellStyle name="_2005审计报表及附注-中国建材股份模板（房屋）" xfId="91"/>
    <cellStyle name="_2006年年报审计PBC表-XXX" xfId="92"/>
    <cellStyle name="_2006年年报审计填报资料" xfId="93"/>
    <cellStyle name="_50存货移动表" xfId="272"/>
    <cellStyle name="_Book1" xfId="94"/>
    <cellStyle name="_Disclosure" xfId="273"/>
    <cellStyle name="_Exchange rate adj" xfId="274"/>
    <cellStyle name="_exp&amp;loan Disclosure format" xfId="275"/>
    <cellStyle name="_HY exp disclousure" xfId="276"/>
    <cellStyle name="_HY exp disclousure_070124.valin.loudi.disclosure notes-other op" xfId="277"/>
    <cellStyle name="_HY exp disclousure_Sheet1" xfId="278"/>
    <cellStyle name="_HY exp disclousure_财务费用" xfId="279"/>
    <cellStyle name="_HY exp disclousure_存货" xfId="280"/>
    <cellStyle name="_HY exp disclousure_短期借款" xfId="281"/>
    <cellStyle name="_HY exp disclousure_货币资金" xfId="282"/>
    <cellStyle name="_HY exp disclousure_连轧管.报表披露(中文）2package" xfId="283"/>
    <cellStyle name="_HY exp disclousure_连轧管.报表披露(中文）package" xfId="284"/>
    <cellStyle name="_HY exp disclousure_请修改正副本华菱钢管合并国贸 报表披露 package" xfId="285"/>
    <cellStyle name="_HY exp disclousure_一年内到期长期负债" xfId="286"/>
    <cellStyle name="_HY exp disclousure_长期借款" xfId="287"/>
    <cellStyle name="_interest rate of Holding" xfId="288"/>
    <cellStyle name="_J1000-存货-ZHHG" xfId="289"/>
    <cellStyle name="_KPMG original version" xfId="290"/>
    <cellStyle name="_KPMG original version_(中企华)审计评估联合申报明细表.V1" xfId="291"/>
    <cellStyle name="_KPMG original version_附件1：审计评估联合申报明细表" xfId="292"/>
    <cellStyle name="_long term loan - others 300504" xfId="293"/>
    <cellStyle name="_long term loan - others 300504_(中企华)审计评估联合申报明细表.V1" xfId="294"/>
    <cellStyle name="_long term loan - others 300504_051231.CTE SH.023" xfId="295"/>
    <cellStyle name="_long term loan - others 300504_051231.CTE SH.023_061219..Valin.Disclosure package.ry.v2" xfId="296"/>
    <cellStyle name="_long term loan - others 300504_051231.CTE SH.023_061219..Valin.Disclosure package.ry.v2_1" xfId="297"/>
    <cellStyle name="_long term loan - others 300504_051231.CTE SH.023_061219..Valin.Disclosure package.ry.v2_Book2" xfId="298"/>
    <cellStyle name="_long term loan - others 300504_051231.CTE SH.023_070124.valin.consol.after interco elimination" xfId="299"/>
    <cellStyle name="_long term loan - others 300504_051231.CTE SH.023_2006" xfId="300"/>
    <cellStyle name="_long term loan - others 300504_051231.CTE SH.023_consol disclosure-final" xfId="301"/>
    <cellStyle name="_long term loan - others 300504_051231.CTE SH.023_非正常性损益表" xfId="302"/>
    <cellStyle name="_long term loan - others 300504_051231.CTE SH.023_连轧管.报表披露(中文）package" xfId="303"/>
    <cellStyle name="_long term loan - others 300504_070124.valin.loudi.disclosure notes-other op" xfId="304"/>
    <cellStyle name="_long term loan - others 300504_KPMG original version" xfId="305"/>
    <cellStyle name="_long term loan - others 300504_KPMG original version_(中企华)审计评估联合申报明细表.V1" xfId="306"/>
    <cellStyle name="_long term loan - others 300504_KPMG original version_附件1：审计评估联合申报明细表" xfId="307"/>
    <cellStyle name="_long term loan - others 300504_Sheet1" xfId="308"/>
    <cellStyle name="_long term loan - others 300504_Shenhua PBC package 050530" xfId="309"/>
    <cellStyle name="_long term loan - others 300504_Shenhua PBC package 050530_(中企华)审计评估联合申报明细表.V1" xfId="310"/>
    <cellStyle name="_long term loan - others 300504_Shenhua PBC package 050530_附件1：审计评估联合申报明细表" xfId="311"/>
    <cellStyle name="_long term loan - others 300504_财务费用" xfId="312"/>
    <cellStyle name="_long term loan - others 300504_存货" xfId="313"/>
    <cellStyle name="_long term loan - others 300504_短期借款" xfId="314"/>
    <cellStyle name="_long term loan - others 300504_附件1：审计评估联合申报明细表" xfId="315"/>
    <cellStyle name="_long term loan - others 300504_货币资金" xfId="316"/>
    <cellStyle name="_long term loan - others 300504_连轧管.报表披露(中文）2package" xfId="317"/>
    <cellStyle name="_long term loan - others 300504_连轧管.报表披露(中文）package" xfId="318"/>
    <cellStyle name="_long term loan - others 300504_请修改正副本华菱钢管合并国贸 报表披露 package" xfId="319"/>
    <cellStyle name="_long term loan - others 300504_审计调查表.V3" xfId="320"/>
    <cellStyle name="_long term loan - others 300504_销售科" xfId="321"/>
    <cellStyle name="_long term loan - others 300504_一年内到期长期负债" xfId="322"/>
    <cellStyle name="_long term loan - others 300504_长期借款" xfId="323"/>
    <cellStyle name="_Notes payable" xfId="324"/>
    <cellStyle name="_Part III.200406.Loan and Liabilities details.(Site Name)" xfId="325"/>
    <cellStyle name="_Part III.200406.Loan and Liabilities details.(Site Name)_(中企华)审计评估联合申报明细表.V1" xfId="326"/>
    <cellStyle name="_Part III.200406.Loan and Liabilities details.(Site Name)_051231.CTE SH.023" xfId="327"/>
    <cellStyle name="_Part III.200406.Loan and Liabilities details.(Site Name)_051231.CTE SH.023_061219..Valin.Disclosure package.ry.v2" xfId="328"/>
    <cellStyle name="_Part III.200406.Loan and Liabilities details.(Site Name)_051231.CTE SH.023_061219..Valin.Disclosure package.ry.v2_1" xfId="329"/>
    <cellStyle name="_Part III.200406.Loan and Liabilities details.(Site Name)_051231.CTE SH.023_061219..Valin.Disclosure package.ry.v2_Book2" xfId="330"/>
    <cellStyle name="_Part III.200406.Loan and Liabilities details.(Site Name)_051231.CTE SH.023_070124.valin.consol.after interco elimination" xfId="331"/>
    <cellStyle name="_Part III.200406.Loan and Liabilities details.(Site Name)_051231.CTE SH.023_2006" xfId="332"/>
    <cellStyle name="_Part III.200406.Loan and Liabilities details.(Site Name)_051231.CTE SH.023_consol disclosure-final" xfId="333"/>
    <cellStyle name="_Part III.200406.Loan and Liabilities details.(Site Name)_051231.CTE SH.023_非正常性损益表" xfId="334"/>
    <cellStyle name="_Part III.200406.Loan and Liabilities details.(Site Name)_051231.CTE SH.023_连轧管.报表披露(中文）package" xfId="335"/>
    <cellStyle name="_Part III.200406.Loan and Liabilities details.(Site Name)_070124.valin.loudi.disclosure notes-other op" xfId="336"/>
    <cellStyle name="_Part III.200406.Loan and Liabilities details.(Site Name)_KPMG original version" xfId="337"/>
    <cellStyle name="_Part III.200406.Loan and Liabilities details.(Site Name)_KPMG original version_(中企华)审计评估联合申报明细表.V1" xfId="338"/>
    <cellStyle name="_Part III.200406.Loan and Liabilities details.(Site Name)_KPMG original version_附件1：审计评估联合申报明细表" xfId="339"/>
    <cellStyle name="_Part III.200406.Loan and Liabilities details.(Site Name)_Sheet1" xfId="340"/>
    <cellStyle name="_Part III.200406.Loan and Liabilities details.(Site Name)_Shenhua PBC package 050530" xfId="341"/>
    <cellStyle name="_Part III.200406.Loan and Liabilities details.(Site Name)_Shenhua PBC package 050530_(中企华)审计评估联合申报明细表.V1" xfId="342"/>
    <cellStyle name="_Part III.200406.Loan and Liabilities details.(Site Name)_Shenhua PBC package 050530_附件1：审计评估联合申报明细表" xfId="343"/>
    <cellStyle name="_Part III.200406.Loan and Liabilities details.(Site Name)_财务费用" xfId="344"/>
    <cellStyle name="_Part III.200406.Loan and Liabilities details.(Site Name)_存货" xfId="345"/>
    <cellStyle name="_Part III.200406.Loan and Liabilities details.(Site Name)_短期借款" xfId="346"/>
    <cellStyle name="_Part III.200406.Loan and Liabilities details.(Site Name)_附件1：审计评估联合申报明细表" xfId="347"/>
    <cellStyle name="_Part III.200406.Loan and Liabilities details.(Site Name)_货币资金" xfId="348"/>
    <cellStyle name="_Part III.200406.Loan and Liabilities details.(Site Name)_连轧管.报表披露(中文）2package" xfId="349"/>
    <cellStyle name="_Part III.200406.Loan and Liabilities details.(Site Name)_连轧管.报表披露(中文）package" xfId="350"/>
    <cellStyle name="_Part III.200406.Loan and Liabilities details.(Site Name)_请修改正副本华菱钢管合并国贸 报表披露 package" xfId="351"/>
    <cellStyle name="_Part III.200406.Loan and Liabilities details.(Site Name)_审计调查表.V3" xfId="352"/>
    <cellStyle name="_Part III.200406.Loan and Liabilities details.(Site Name)_销售科" xfId="353"/>
    <cellStyle name="_Part III.200406.Loan and Liabilities details.(Site Name)_一年内到期长期负债" xfId="354"/>
    <cellStyle name="_Part III.200406.Loan and Liabilities details.(Site Name)_长期借款" xfId="355"/>
    <cellStyle name="_PBC审核提示" xfId="95"/>
    <cellStyle name="_Sheet1" xfId="356"/>
    <cellStyle name="_Sheet3" xfId="357"/>
    <cellStyle name="_Sheet5" xfId="358"/>
    <cellStyle name="_Shenhua PBC package 050530" xfId="359"/>
    <cellStyle name="_Shenhua PBC package 050530_(中企华)审计评估联合申报明细表.V1" xfId="360"/>
    <cellStyle name="_Shenhua PBC package 050530_附件1：审计评估联合申报明细表" xfId="361"/>
    <cellStyle name="_Short Bank detail-06" xfId="362"/>
    <cellStyle name="_Tax recon.v11" xfId="363"/>
    <cellStyle name="_Tax recon.v11_连轧管.报表披露(中文）package" xfId="364"/>
    <cellStyle name="_宝丽华房地产20051231" xfId="96"/>
    <cellStyle name="_保证金-企业填写部分" xfId="97"/>
    <cellStyle name="_北新房屋2004年审-刘" xfId="98"/>
    <cellStyle name="_北新股份2005年审工作底稿" xfId="99"/>
    <cellStyle name="_北新建材关连交易基础表051230（10－12月版）更新稿" xfId="100"/>
    <cellStyle name="_北新建材-会计报表附注模版" xfId="101"/>
    <cellStyle name="_北新龙之星2004年审工作底稿" xfId="102"/>
    <cellStyle name="_北新物流2005底稿-刘" xfId="103"/>
    <cellStyle name="_北新置换memo" xfId="104"/>
    <cellStyle name="_变动" xfId="365"/>
    <cellStyle name="_变动_070124.valin.loudi.disclosure notes-other op" xfId="366"/>
    <cellStyle name="_变动_Sheet1" xfId="367"/>
    <cellStyle name="_变动_财务费用" xfId="368"/>
    <cellStyle name="_变动_存货" xfId="369"/>
    <cellStyle name="_变动_短期借款" xfId="370"/>
    <cellStyle name="_变动_货币资金" xfId="371"/>
    <cellStyle name="_变动_连轧管.报表披露(中文）2package" xfId="372"/>
    <cellStyle name="_变动_连轧管.报表披露(中文）package" xfId="373"/>
    <cellStyle name="_变动_请修改正副本华菱钢管合并国贸 报表披露 package" xfId="374"/>
    <cellStyle name="_变动_一年内到期长期负债" xfId="375"/>
    <cellStyle name="_变动_长期借款" xfId="376"/>
    <cellStyle name="_补充表格" xfId="377"/>
    <cellStyle name="_财务公司" xfId="378"/>
    <cellStyle name="_存货结转测试" xfId="105"/>
    <cellStyle name="_存货数量与明细05.12" xfId="106"/>
    <cellStyle name="_动力厂2004年审工作底稿-刘" xfId="107"/>
    <cellStyle name="_分工" xfId="108"/>
    <cellStyle name="_负债、所有者权益类工作底稿" xfId="379"/>
    <cellStyle name="_附件1：审计评估联合申报明细表" xfId="380"/>
    <cellStyle name="_副本审计资料利润表附表-衡阳钢管" xfId="381"/>
    <cellStyle name="_工程施工项目现场审计提示" xfId="109"/>
    <cellStyle name="_关联交易" xfId="110"/>
    <cellStyle name="_关联交易、往来统计表" xfId="111"/>
    <cellStyle name="_光远" xfId="382"/>
    <cellStyle name="_函证表" xfId="383"/>
    <cellStyle name="_合并" xfId="384"/>
    <cellStyle name="_合并_Advance to suppliers" xfId="385"/>
    <cellStyle name="_合并_ELLEY" xfId="386"/>
    <cellStyle name="_合并_Sheet1" xfId="387"/>
    <cellStyle name="_合并底稿.xls" xfId="388"/>
    <cellStyle name="_衡管" xfId="389"/>
    <cellStyle name="_衡管_ELLEY" xfId="390"/>
    <cellStyle name="_华菱湘钢（合并）2" xfId="391"/>
    <cellStyle name="_华菱湘钢（合并）2_Book2" xfId="392"/>
    <cellStyle name="_华菱信息" xfId="393"/>
    <cellStyle name="_会计附注2007年6月（连轧管）" xfId="394"/>
    <cellStyle name="_建造合同-宜万指（正式版）" xfId="112"/>
    <cellStyle name="_科目核对表" xfId="113"/>
    <cellStyle name="_连轧管" xfId="395"/>
    <cellStyle name="_涟钢" xfId="396"/>
    <cellStyle name="_母PL" xfId="114"/>
    <cellStyle name="_内退和退休" xfId="397"/>
    <cellStyle name="_其他应付款" xfId="398"/>
    <cellStyle name="_其他应交款" xfId="399"/>
    <cellStyle name="_人员分工备忘录" xfId="115"/>
    <cellStyle name="_审计调查表.V3" xfId="400"/>
    <cellStyle name="_审计所需资料清单－子公司" xfId="116"/>
    <cellStyle name="_审计资料利润表附表" xfId="401"/>
    <cellStyle name="_审计资料利润表附表_070124.valin.loudi.disclosure notes-other op" xfId="402"/>
    <cellStyle name="_审计资料利润表附表_Sheet1" xfId="403"/>
    <cellStyle name="_审计资料利润表附表_财务费用" xfId="404"/>
    <cellStyle name="_审计资料利润表附表_存货" xfId="405"/>
    <cellStyle name="_审计资料利润表附表_短期借款" xfId="406"/>
    <cellStyle name="_审计资料利润表附表_货币资金" xfId="407"/>
    <cellStyle name="_审计资料利润表附表_连轧管.报表披露(中文）2package" xfId="408"/>
    <cellStyle name="_审计资料利润表附表_连轧管.报表披露(中文）package" xfId="409"/>
    <cellStyle name="_审计资料利润表附表_请修改正副本华菱钢管合并国贸 报表披露 package" xfId="410"/>
    <cellStyle name="_审计资料利润表附表_一年内到期长期负债" xfId="411"/>
    <cellStyle name="_审计资料利润表附表_长期借款" xfId="412"/>
    <cellStyle name="_实际可能支付的税款" xfId="413"/>
    <cellStyle name="_实际可能支付的税款_连轧管.报表披露(中文）package" xfId="414"/>
    <cellStyle name="_现金流量类" xfId="415"/>
    <cellStyle name="_湘钢" xfId="416"/>
    <cellStyle name="_一公司建造合同前5名" xfId="117"/>
    <cellStyle name="_一公司－刘丰收" xfId="118"/>
    <cellStyle name="_应交税金2005disclosure" xfId="417"/>
    <cellStyle name="_应交税金2005disclosure_连轧管.报表披露(中文）package" xfId="418"/>
    <cellStyle name="_预收账款" xfId="419"/>
    <cellStyle name="_长期借款－江阴" xfId="119"/>
    <cellStyle name="_资产负债表-注册资本12.27" xfId="420"/>
    <cellStyle name="_子公司审计提示模版-Liufs" xfId="120"/>
    <cellStyle name="_总部" xfId="421"/>
    <cellStyle name="{Comma [0]}" xfId="3"/>
    <cellStyle name="{Comma}" xfId="4"/>
    <cellStyle name="{Date}" xfId="5"/>
    <cellStyle name="{Month}" xfId="6"/>
    <cellStyle name="{Percent}" xfId="7"/>
    <cellStyle name="{Thousand [0]}" xfId="8"/>
    <cellStyle name="{Thousand}" xfId="9"/>
    <cellStyle name="{Z'0000(1 dec)}" xfId="10"/>
    <cellStyle name="{Z'0000(4 dec)}" xfId="11"/>
    <cellStyle name="0%" xfId="121"/>
    <cellStyle name="0,0_x000d__x000a_NA_x000d__x000a_" xfId="12"/>
    <cellStyle name="0,0_x000d__x000a_NA_x000d__x000a_ 2" xfId="422"/>
    <cellStyle name="0.0%" xfId="122"/>
    <cellStyle name="0.00%" xfId="123"/>
    <cellStyle name="20% - Accent1" xfId="423"/>
    <cellStyle name="20% - Accent2" xfId="424"/>
    <cellStyle name="20% - Accent3" xfId="425"/>
    <cellStyle name="20% - Accent4" xfId="426"/>
    <cellStyle name="20% - Accent5" xfId="427"/>
    <cellStyle name="20% - Accent6" xfId="428"/>
    <cellStyle name="40% - Accent1" xfId="429"/>
    <cellStyle name="40% - Accent2" xfId="430"/>
    <cellStyle name="40% - Accent3" xfId="431"/>
    <cellStyle name="40% - Accent4" xfId="432"/>
    <cellStyle name="40% - Accent5" xfId="433"/>
    <cellStyle name="40% - Accent6" xfId="434"/>
    <cellStyle name="60% - Accent1" xfId="435"/>
    <cellStyle name="60% - Accent2" xfId="436"/>
    <cellStyle name="60% - Accent3" xfId="437"/>
    <cellStyle name="60% - Accent4" xfId="438"/>
    <cellStyle name="60% - Accent5" xfId="439"/>
    <cellStyle name="60% - Accent6" xfId="440"/>
    <cellStyle name="A4 Small 210 x 297 mm" xfId="441"/>
    <cellStyle name="Accent1" xfId="442"/>
    <cellStyle name="Accent2" xfId="443"/>
    <cellStyle name="Accent3" xfId="444"/>
    <cellStyle name="Accent4" xfId="445"/>
    <cellStyle name="Accent5" xfId="446"/>
    <cellStyle name="Accent6" xfId="447"/>
    <cellStyle name="Bad" xfId="448"/>
    <cellStyle name="Black" xfId="13"/>
    <cellStyle name="Body" xfId="449"/>
    <cellStyle name="Border" xfId="14"/>
    <cellStyle name="Calc Currency (0)" xfId="124"/>
    <cellStyle name="Calc Currency (2)" xfId="450"/>
    <cellStyle name="Calc Percent (0)" xfId="451"/>
    <cellStyle name="Calc Percent (1)" xfId="452"/>
    <cellStyle name="Calc Percent (2)" xfId="453"/>
    <cellStyle name="Calc Units (0)" xfId="454"/>
    <cellStyle name="Calc Units (1)" xfId="455"/>
    <cellStyle name="Calc Units (2)" xfId="456"/>
    <cellStyle name="Calculation" xfId="457"/>
    <cellStyle name="category" xfId="458"/>
    <cellStyle name="Change A&amp;ll" xfId="459"/>
    <cellStyle name="Check Cell" xfId="460"/>
    <cellStyle name="Col Heads" xfId="125"/>
    <cellStyle name="Column Headings" xfId="461"/>
    <cellStyle name="Column$Headings" xfId="462"/>
    <cellStyle name="Column_Title" xfId="126"/>
    <cellStyle name="Comma  - Style1" xfId="127"/>
    <cellStyle name="Comma  - Style2" xfId="128"/>
    <cellStyle name="Comma  - Style3" xfId="129"/>
    <cellStyle name="Comma  - Style4" xfId="130"/>
    <cellStyle name="Comma  - Style5" xfId="131"/>
    <cellStyle name="Comma  - Style6" xfId="132"/>
    <cellStyle name="Comma  - Style7" xfId="133"/>
    <cellStyle name="Comma  - Style8" xfId="134"/>
    <cellStyle name="Comma [0]_ rislugp" xfId="135"/>
    <cellStyle name="Comma [00]" xfId="463"/>
    <cellStyle name="Comma 28" xfId="464"/>
    <cellStyle name="comma zerodec" xfId="465"/>
    <cellStyle name="Comma,0" xfId="136"/>
    <cellStyle name="Comma,1" xfId="137"/>
    <cellStyle name="Comma,2" xfId="138"/>
    <cellStyle name="Comma_ rislugp" xfId="139"/>
    <cellStyle name="comma-d" xfId="466"/>
    <cellStyle name="Currency [0]_ rislugp" xfId="140"/>
    <cellStyle name="Currency [00]" xfId="467"/>
    <cellStyle name="Currency,0" xfId="141"/>
    <cellStyle name="Currency,2" xfId="142"/>
    <cellStyle name="Currency_ rislugp" xfId="143"/>
    <cellStyle name="Currency1" xfId="468"/>
    <cellStyle name="Date" xfId="469"/>
    <cellStyle name="Date Short" xfId="470"/>
    <cellStyle name="Dezimal [0]_laroux" xfId="15"/>
    <cellStyle name="Dezimal_laroux" xfId="16"/>
    <cellStyle name="Dollar (zero dec)" xfId="471"/>
    <cellStyle name="e" xfId="472"/>
    <cellStyle name="Enter Currency (0)" xfId="473"/>
    <cellStyle name="Enter Currency (2)" xfId="474"/>
    <cellStyle name="Enter Units (0)" xfId="475"/>
    <cellStyle name="Enter Units (1)" xfId="476"/>
    <cellStyle name="Enter Units (2)" xfId="477"/>
    <cellStyle name="entry" xfId="144"/>
    <cellStyle name="entry box" xfId="145"/>
    <cellStyle name="Euro" xfId="17"/>
    <cellStyle name="Explanatory Text" xfId="478"/>
    <cellStyle name="e鯪" xfId="479"/>
    <cellStyle name="e鯪9" xfId="480"/>
    <cellStyle name="e鯪9Y" xfId="481"/>
    <cellStyle name="e鯪9Y_x000b_" xfId="482"/>
    <cellStyle name="e鯪9Y_061219..Valin.Disclosure package.ry.v2" xfId="483"/>
    <cellStyle name="Fixed" xfId="484"/>
    <cellStyle name="Followed Hyperlink_AheadBehind.xls Chart 23" xfId="18"/>
    <cellStyle name="Format Number Column" xfId="485"/>
    <cellStyle name="gcd" xfId="486"/>
    <cellStyle name="Good" xfId="487"/>
    <cellStyle name="Grey" xfId="19"/>
    <cellStyle name="HEADER" xfId="488"/>
    <cellStyle name="Header1" xfId="146"/>
    <cellStyle name="Header2" xfId="147"/>
    <cellStyle name="Heading" xfId="148"/>
    <cellStyle name="Heading 1" xfId="489"/>
    <cellStyle name="Heading 2" xfId="490"/>
    <cellStyle name="Heading 3" xfId="491"/>
    <cellStyle name="Heading 4" xfId="492"/>
    <cellStyle name="HEADING1" xfId="493"/>
    <cellStyle name="HEADING2" xfId="494"/>
    <cellStyle name="Hyperlink_071231 Valin disclosure-equity" xfId="495"/>
    <cellStyle name="Input" xfId="496"/>
    <cellStyle name="Input [yellow]" xfId="20"/>
    <cellStyle name="InputArea" xfId="497"/>
    <cellStyle name="KPMG Heading 1" xfId="498"/>
    <cellStyle name="KPMG Heading 2" xfId="499"/>
    <cellStyle name="KPMG Heading 3" xfId="500"/>
    <cellStyle name="KPMG Heading 4" xfId="501"/>
    <cellStyle name="KPMG Normal" xfId="502"/>
    <cellStyle name="KPMG Normal Text" xfId="503"/>
    <cellStyle name="l]_x000d__x000a_Path=h:_x000d__x000a_Name=Diana Chang_x000d__x000a_DDEApps=nsf,nsg,nsh,ntf,ns2,ors,org_x000d__x000a_SmartIcons=Read Message_x000d__x000a__x000d__x000a__x000d__x000a_[cc:Edit" xfId="504"/>
    <cellStyle name="left" xfId="149"/>
    <cellStyle name="Lines Fill" xfId="505"/>
    <cellStyle name="Link Currency (0)" xfId="506"/>
    <cellStyle name="Link Currency (2)" xfId="507"/>
    <cellStyle name="Link Units (0)" xfId="508"/>
    <cellStyle name="Link Units (1)" xfId="509"/>
    <cellStyle name="Link Units (2)" xfId="510"/>
    <cellStyle name="Linked Cell" xfId="511"/>
    <cellStyle name="Millares [0]_laroux" xfId="150"/>
    <cellStyle name="Millares_laroux" xfId="151"/>
    <cellStyle name="Milliers [0]_laroux" xfId="21"/>
    <cellStyle name="Milliers_laroux" xfId="22"/>
    <cellStyle name="Model" xfId="512"/>
    <cellStyle name="Moeda [0]_aola" xfId="513"/>
    <cellStyle name="Moeda_aola" xfId="514"/>
    <cellStyle name="Moneda [0]_laroux" xfId="152"/>
    <cellStyle name="Moneda_laroux" xfId="153"/>
    <cellStyle name="Mon閠aire [0]_laroux" xfId="154"/>
    <cellStyle name="Mon閠aire_laroux" xfId="155"/>
    <cellStyle name="Neutral" xfId="515"/>
    <cellStyle name="no dec" xfId="156"/>
    <cellStyle name="Non défini" xfId="23"/>
    <cellStyle name="Normal - Style1" xfId="24"/>
    <cellStyle name="Normal - Style1 2" xfId="516"/>
    <cellStyle name="Normal - Style1 3" xfId="517"/>
    <cellStyle name="Normal 2" xfId="36"/>
    <cellStyle name="Normal 21" xfId="518"/>
    <cellStyle name="Normal 3 2" xfId="35"/>
    <cellStyle name="Normal_ rislugp" xfId="157"/>
    <cellStyle name="Normalny_Arkusz1" xfId="158"/>
    <cellStyle name="Note" xfId="519"/>
    <cellStyle name="Output" xfId="520"/>
    <cellStyle name="Output Amounts" xfId="521"/>
    <cellStyle name="Output Column Headings" xfId="522"/>
    <cellStyle name="Output Line Items" xfId="523"/>
    <cellStyle name="Output Report Heading" xfId="524"/>
    <cellStyle name="Output Report Title" xfId="525"/>
    <cellStyle name="Percent (0)" xfId="159"/>
    <cellStyle name="Percent [0]" xfId="526"/>
    <cellStyle name="Percent [00]" xfId="527"/>
    <cellStyle name="Percent [2]" xfId="25"/>
    <cellStyle name="Percent_PICC package Sept2002 (V120021005)1" xfId="528"/>
    <cellStyle name="Prefilled" xfId="160"/>
    <cellStyle name="PrePop Currency (0)" xfId="529"/>
    <cellStyle name="PrePop Currency (2)" xfId="530"/>
    <cellStyle name="PrePop Units (0)" xfId="531"/>
    <cellStyle name="PrePop Units (1)" xfId="532"/>
    <cellStyle name="PrePop Units (2)" xfId="533"/>
    <cellStyle name="price" xfId="161"/>
    <cellStyle name="PSDec" xfId="534"/>
    <cellStyle name="Red" xfId="26"/>
    <cellStyle name="revised" xfId="162"/>
    <cellStyle name="row_def_array" xfId="596"/>
    <cellStyle name="section" xfId="163"/>
    <cellStyle name="Separador de milhares [0]_Person" xfId="535"/>
    <cellStyle name="Separador de milhares_Person" xfId="536"/>
    <cellStyle name="Sheet Head" xfId="537"/>
    <cellStyle name="SOR" xfId="538"/>
    <cellStyle name="style" xfId="164"/>
    <cellStyle name="style1" xfId="165"/>
    <cellStyle name="style2" xfId="166"/>
    <cellStyle name="subhead" xfId="539"/>
    <cellStyle name="t]_x000d__x000a_color schemes=默认 Windows_x000d__x000a__x000d__x000a_[color schemes]_x000d__x000a_Arizona=804000,FFFFFF,FFFFFF,0,FFFFFF,0,808040,C0C0C0,FFFFF" xfId="540"/>
    <cellStyle name="Text Indent A" xfId="541"/>
    <cellStyle name="Text Indent B" xfId="542"/>
    <cellStyle name="Text Indent C" xfId="543"/>
    <cellStyle name="Tickmark" xfId="167"/>
    <cellStyle name="title" xfId="168"/>
    <cellStyle name="Total" xfId="544"/>
    <cellStyle name="Tusental (0)_pldt" xfId="545"/>
    <cellStyle name="Tusental_pldt" xfId="546"/>
    <cellStyle name="Valuta (0)_pldt" xfId="547"/>
    <cellStyle name="Valuta_pldt" xfId="548"/>
    <cellStyle name="Warning Text" xfId="549"/>
    <cellStyle name="wrap" xfId="169"/>
    <cellStyle name="パーセント_laroux" xfId="170"/>
    <cellStyle name="_PLDT" xfId="550"/>
    <cellStyle name="_laroux" xfId="597"/>
    <cellStyle name="だ[0]_PLDT" xfId="551"/>
    <cellStyle name="だ_PLDT" xfId="552"/>
    <cellStyle name="だ[0]_Total (2)" xfId="553"/>
    <cellStyle name="だ_laroux" xfId="598"/>
    <cellStyle name="百分比" xfId="27" builtinId="5"/>
    <cellStyle name="百分比 2" xfId="554"/>
    <cellStyle name="百分比 2 2" xfId="555"/>
    <cellStyle name="百分比 2 3" xfId="556"/>
    <cellStyle name="百分比 2 4" xfId="622"/>
    <cellStyle name="百分比 3" xfId="557"/>
    <cellStyle name="百分比 4" xfId="558"/>
    <cellStyle name="百分比 5" xfId="620"/>
    <cellStyle name="捠壿 [0.00]_PRODUCT DETAIL Q1" xfId="599"/>
    <cellStyle name="捠壿_PRODUCT DETAIL Q1" xfId="600"/>
    <cellStyle name="標準_１１月価格表" xfId="171"/>
    <cellStyle name="表头" xfId="559"/>
    <cellStyle name="表头1" xfId="560"/>
    <cellStyle name="差_StartUp" xfId="601"/>
    <cellStyle name="差_T1000-主营业务收入-LJCH" xfId="561"/>
    <cellStyle name="常规" xfId="0" builtinId="0"/>
    <cellStyle name="常规 10" xfId="37"/>
    <cellStyle name="常规 10 2" xfId="38"/>
    <cellStyle name="常规 10 3" xfId="39"/>
    <cellStyle name="常规 10 4" xfId="40"/>
    <cellStyle name="常规 11" xfId="86"/>
    <cellStyle name="常规 11 2" xfId="41"/>
    <cellStyle name="常规 11 3" xfId="42"/>
    <cellStyle name="常规 11 4" xfId="43"/>
    <cellStyle name="常规 11 5" xfId="612"/>
    <cellStyle name="常规 12" xfId="616"/>
    <cellStyle name="常规 12 2" xfId="44"/>
    <cellStyle name="常规 12 3" xfId="45"/>
    <cellStyle name="常规 12 4" xfId="46"/>
    <cellStyle name="常规 13" xfId="618"/>
    <cellStyle name="常规 13 2" xfId="47"/>
    <cellStyle name="常规 13 3" xfId="48"/>
    <cellStyle name="常规 13 4" xfId="49"/>
    <cellStyle name="常规 14" xfId="562"/>
    <cellStyle name="常规 14 2" xfId="563"/>
    <cellStyle name="常规 2" xfId="28"/>
    <cellStyle name="常规 2 2" xfId="50"/>
    <cellStyle name="常规 2 2 2" xfId="564"/>
    <cellStyle name="常规 2 2 2 2" xfId="565"/>
    <cellStyle name="常规 2 2 3" xfId="613"/>
    <cellStyle name="常规 2 3" xfId="51"/>
    <cellStyle name="常规 2 4" xfId="52"/>
    <cellStyle name="常规 2 4 2" xfId="566"/>
    <cellStyle name="常规 2 5" xfId="53"/>
    <cellStyle name="常规 2 6" xfId="54"/>
    <cellStyle name="常规 2 7" xfId="189"/>
    <cellStyle name="常规 2 8" xfId="611"/>
    <cellStyle name="常规 2 9" xfId="615"/>
    <cellStyle name="常规 2_经销商信息-1-原始表" xfId="55"/>
    <cellStyle name="常规 3" xfId="56"/>
    <cellStyle name="常规 3 2" xfId="57"/>
    <cellStyle name="常规 3 2 2" xfId="567"/>
    <cellStyle name="常规 3 3" xfId="58"/>
    <cellStyle name="常规 3 4" xfId="59"/>
    <cellStyle name="常规 3 5" xfId="87"/>
    <cellStyle name="常规 4" xfId="60"/>
    <cellStyle name="常规 4 2" xfId="61"/>
    <cellStyle name="常规 4 3" xfId="62"/>
    <cellStyle name="常规 4 4" xfId="63"/>
    <cellStyle name="常规 5" xfId="64"/>
    <cellStyle name="常规 5 2" xfId="65"/>
    <cellStyle name="常规 5 3" xfId="66"/>
    <cellStyle name="常规 5 4" xfId="67"/>
    <cellStyle name="常规 6" xfId="68"/>
    <cellStyle name="常规 6 2" xfId="69"/>
    <cellStyle name="常规 6 3" xfId="70"/>
    <cellStyle name="常规 6 4" xfId="71"/>
    <cellStyle name="常规 7" xfId="72"/>
    <cellStyle name="常规 7 2" xfId="73"/>
    <cellStyle name="常规 7 3" xfId="74"/>
    <cellStyle name="常规 7 4" xfId="75"/>
    <cellStyle name="常规 8" xfId="76"/>
    <cellStyle name="常规 8 2" xfId="77"/>
    <cellStyle name="常规 8 3" xfId="78"/>
    <cellStyle name="常规 8 4" xfId="79"/>
    <cellStyle name="常规 9" xfId="80"/>
    <cellStyle name="常规 9 2" xfId="81"/>
    <cellStyle name="常规 9 3" xfId="82"/>
    <cellStyle name="常规 9 4" xfId="83"/>
    <cellStyle name="常规_Book1" xfId="29"/>
    <cellStyle name="常规_Book1 2" xfId="85"/>
    <cellStyle name="常规_进一步审计程序--销售与收款循环" xfId="30"/>
    <cellStyle name="常规_审计底稿" xfId="621"/>
    <cellStyle name="常规_制造费用" xfId="31"/>
    <cellStyle name="超级链接_B4-1审计项目工时预算与控制表(集团)" xfId="172"/>
    <cellStyle name="超链接" xfId="32" builtinId="8"/>
    <cellStyle name="超链接 2" xfId="173"/>
    <cellStyle name="超链接 2 2" xfId="174"/>
    <cellStyle name="超链接 3" xfId="568"/>
    <cellStyle name="超链接 4" xfId="569"/>
    <cellStyle name="超链接 4 2" xfId="570"/>
    <cellStyle name="分级显示列_1_Book1" xfId="571"/>
    <cellStyle name="分级显示行_1_4附件二凯旋评估表" xfId="175"/>
    <cellStyle name="公司标准表" xfId="572"/>
    <cellStyle name="好_StartUp" xfId="602"/>
    <cellStyle name="好_T1000-主营业务收入" xfId="573"/>
    <cellStyle name="桁区切り [0.00]_１１月価格表" xfId="176"/>
    <cellStyle name="桁区切り_１１月価格表" xfId="177"/>
    <cellStyle name="貨幣 [0]_SGV" xfId="574"/>
    <cellStyle name="貨幣_2004-09" xfId="575"/>
    <cellStyle name="霓付 [0]_1202" xfId="603"/>
    <cellStyle name="霓付_1202" xfId="604"/>
    <cellStyle name="烹拳 [0]_1202" xfId="605"/>
    <cellStyle name="烹拳_1202" xfId="606"/>
    <cellStyle name="砯刽 [0]_PLDT" xfId="576"/>
    <cellStyle name="砯刽_PLDT" xfId="577"/>
    <cellStyle name="普通_ 白土" xfId="178"/>
    <cellStyle name="千分位[0]_ 白土" xfId="179"/>
    <cellStyle name="千分位_ 白土" xfId="180"/>
    <cellStyle name="千位[0]_ 应交税金审定表" xfId="578"/>
    <cellStyle name="千位_ 应交税金审定表" xfId="579"/>
    <cellStyle name="千位分隔" xfId="33" builtinId="3"/>
    <cellStyle name="千位分隔 10" xfId="580"/>
    <cellStyle name="千位分隔 11" xfId="581"/>
    <cellStyle name="千位分隔 12" xfId="614"/>
    <cellStyle name="千位分隔 13" xfId="619"/>
    <cellStyle name="千位分隔 2" xfId="34"/>
    <cellStyle name="千位分隔 2 2" xfId="84"/>
    <cellStyle name="千位分隔 2 3" xfId="190"/>
    <cellStyle name="千位分隔 2 4" xfId="617"/>
    <cellStyle name="千位分隔 3" xfId="582"/>
    <cellStyle name="千位分隔 4" xfId="583"/>
    <cellStyle name="千位分隔 5" xfId="584"/>
    <cellStyle name="千位分隔 6" xfId="585"/>
    <cellStyle name="千位分隔 7" xfId="586"/>
    <cellStyle name="千位分隔 8" xfId="587"/>
    <cellStyle name="千位分隔 8 2" xfId="588"/>
    <cellStyle name="千位分隔 8 3" xfId="589"/>
    <cellStyle name="千位分隔 9" xfId="590"/>
    <cellStyle name="千位分隔[0] 2" xfId="591"/>
    <cellStyle name="钎霖_(沥焊何巩)岿喊牢盔拌裙" xfId="607"/>
    <cellStyle name="隨後的超連結_Book4" xfId="592"/>
    <cellStyle name="索引" xfId="593"/>
    <cellStyle name="通貨 [0.00]_１１月価格表" xfId="181"/>
    <cellStyle name="通貨_１１月価格表" xfId="182"/>
    <cellStyle name="样式 1" xfId="183"/>
    <cellStyle name="样式 2" xfId="594"/>
    <cellStyle name="一般_BTG307" xfId="595"/>
    <cellStyle name="昗弨_BOOKSHIP" xfId="608"/>
    <cellStyle name="寘嬫愗傝 [0.00]_PRODUCT DETAIL Q1" xfId="609"/>
    <cellStyle name="寘嬫愗傝_PRODUCT DETAIL Q1" xfId="610"/>
    <cellStyle name="콤마 [0]_BOILER-CO1" xfId="184"/>
    <cellStyle name="콤마_BOILER-CO1" xfId="185"/>
    <cellStyle name="통화 [0]_BOILER-CO1" xfId="186"/>
    <cellStyle name="통화_BOILER-CO1" xfId="187"/>
    <cellStyle name="표준_0N-HANDLING " xfId="188"/>
  </cellStyles>
  <dxfs count="0"/>
  <tableStyles count="0" defaultTableStyle="TableStyleMedium9" defaultPivotStyle="PivotStyleLight16"/>
  <colors>
    <mruColors>
      <color rgb="FF3333FF"/>
      <color rgb="FFFFFF9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3"/>
  <sheetViews>
    <sheetView tabSelected="1" workbookViewId="0">
      <selection activeCell="A14" sqref="A14"/>
    </sheetView>
  </sheetViews>
  <sheetFormatPr defaultColWidth="9" defaultRowHeight="18" customHeight="1"/>
  <cols>
    <col min="1" max="1" width="78.09765625" style="3" customWidth="1"/>
    <col min="2" max="2" width="2" style="3" customWidth="1"/>
    <col min="3" max="3" width="2.09765625" style="3" customWidth="1"/>
    <col min="4" max="4" width="6.09765625" style="47" customWidth="1"/>
    <col min="5" max="5" width="44.796875" style="47" customWidth="1"/>
    <col min="6" max="6" width="10.19921875" style="47" customWidth="1"/>
    <col min="7" max="16384" width="9" style="3"/>
  </cols>
  <sheetData>
    <row r="1" spans="1:6" ht="18" customHeight="1">
      <c r="A1" s="1" t="s">
        <v>0</v>
      </c>
    </row>
    <row r="2" spans="1:6" ht="18" customHeight="1">
      <c r="A2" s="205" t="s">
        <v>520</v>
      </c>
      <c r="B2" s="48"/>
      <c r="C2" s="48"/>
      <c r="D2" s="2" t="s">
        <v>1</v>
      </c>
      <c r="E2" s="2" t="s">
        <v>59</v>
      </c>
      <c r="F2" s="108" t="s">
        <v>268</v>
      </c>
    </row>
    <row r="3" spans="1:6" ht="18" customHeight="1">
      <c r="A3" s="271" t="s">
        <v>525</v>
      </c>
      <c r="B3" s="48"/>
      <c r="C3" s="48"/>
      <c r="D3" s="104">
        <v>1</v>
      </c>
      <c r="E3" s="105" t="s">
        <v>356</v>
      </c>
      <c r="F3" s="217" t="s">
        <v>492</v>
      </c>
    </row>
    <row r="4" spans="1:6" ht="18" customHeight="1">
      <c r="A4" s="222" t="s">
        <v>521</v>
      </c>
      <c r="B4" s="48"/>
      <c r="C4" s="48"/>
      <c r="D4" s="104">
        <v>2</v>
      </c>
      <c r="E4" s="105" t="s">
        <v>493</v>
      </c>
      <c r="F4" s="217" t="s">
        <v>496</v>
      </c>
    </row>
    <row r="5" spans="1:6" ht="18" customHeight="1">
      <c r="A5" s="222" t="s">
        <v>522</v>
      </c>
      <c r="B5" s="49"/>
      <c r="C5" s="49"/>
      <c r="D5" s="104">
        <v>3</v>
      </c>
      <c r="E5" s="105" t="s">
        <v>497</v>
      </c>
      <c r="F5" s="217" t="s">
        <v>498</v>
      </c>
    </row>
    <row r="6" spans="1:6" ht="18" customHeight="1">
      <c r="A6" s="222" t="s">
        <v>523</v>
      </c>
      <c r="D6" s="104">
        <v>4</v>
      </c>
      <c r="E6" s="105" t="s">
        <v>509</v>
      </c>
      <c r="F6" s="217" t="s">
        <v>510</v>
      </c>
    </row>
    <row r="7" spans="1:6" ht="18" customHeight="1">
      <c r="A7" s="222" t="s">
        <v>524</v>
      </c>
      <c r="D7" s="104">
        <v>5</v>
      </c>
      <c r="E7" s="105" t="s">
        <v>502</v>
      </c>
      <c r="F7" s="217" t="s">
        <v>511</v>
      </c>
    </row>
    <row r="8" spans="1:6" ht="18" customHeight="1">
      <c r="A8" s="50"/>
      <c r="D8" s="104">
        <v>6</v>
      </c>
      <c r="E8" s="105" t="s">
        <v>433</v>
      </c>
      <c r="F8" s="217" t="s">
        <v>512</v>
      </c>
    </row>
    <row r="9" spans="1:6" ht="18" customHeight="1">
      <c r="D9" s="104">
        <v>7</v>
      </c>
      <c r="E9" s="105" t="s">
        <v>357</v>
      </c>
      <c r="F9" s="217" t="s">
        <v>513</v>
      </c>
    </row>
    <row r="10" spans="1:6" ht="19.5" customHeight="1">
      <c r="A10" s="50"/>
    </row>
    <row r="11" spans="1:6" ht="19.5" customHeight="1">
      <c r="A11" s="51"/>
    </row>
    <row r="12" spans="1:6" ht="19.5" customHeight="1">
      <c r="A12" s="50"/>
    </row>
    <row r="13" spans="1:6" ht="19.5" customHeight="1">
      <c r="A13" s="51"/>
    </row>
    <row r="14" spans="1:6" ht="19.5" customHeight="1">
      <c r="A14" s="52"/>
    </row>
    <row r="15" spans="1:6" ht="19.5" customHeight="1">
      <c r="A15" s="52"/>
    </row>
    <row r="16" spans="1:6" ht="19.5" customHeight="1">
      <c r="A16" s="50"/>
    </row>
    <row r="17" spans="1:1" ht="15.6">
      <c r="A17" s="53"/>
    </row>
    <row r="18" spans="1:1" ht="19.5" customHeight="1">
      <c r="A18" s="50"/>
    </row>
    <row r="19" spans="1:1" ht="19.5" customHeight="1">
      <c r="A19" s="50"/>
    </row>
    <row r="20" spans="1:1" ht="19.5" customHeight="1">
      <c r="A20" s="50"/>
    </row>
    <row r="21" spans="1:1" ht="17.25" customHeight="1">
      <c r="A21" s="51"/>
    </row>
    <row r="22" spans="1:1" ht="19.5" customHeight="1">
      <c r="A22" s="54"/>
    </row>
    <row r="23" spans="1:1" ht="19.5" customHeight="1"/>
  </sheetData>
  <phoneticPr fontId="14" type="noConversion"/>
  <hyperlinks>
    <hyperlink ref="E6" location="'生产成本明细表F2-41'!A1" display="生产成本明细表"/>
    <hyperlink ref="E7" location="'直接人工分析表F2-42'!A1" display="直接人工分析表"/>
    <hyperlink ref="E8" location="'制造费用明细表F2-43'!A1" display="制造费用明细表"/>
    <hyperlink ref="E9" location="'生产成本分配F2-44'!A1" display="生产成本分配"/>
    <hyperlink ref="E3" location="'计价方法测试表-平均F2-38'!A1" display="计价方法测试表-平均"/>
    <hyperlink ref="E5" location="'计价方法测试表-标准成本差异G2-8-3'!A1" display="计价方法测试表-标准成本差异"/>
    <hyperlink ref="E4" location="'计价方法测试表-先进先出F2-29'!A1" display="计价方法测试表-先进先出"/>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8"/>
  <sheetViews>
    <sheetView workbookViewId="0"/>
  </sheetViews>
  <sheetFormatPr defaultRowHeight="15.6"/>
  <sheetData>
    <row r="1" spans="1:2">
      <c r="A1" t="s">
        <v>43</v>
      </c>
      <c r="B1" t="s">
        <v>44</v>
      </c>
    </row>
    <row r="2" spans="1:2">
      <c r="A2" t="s">
        <v>45</v>
      </c>
      <c r="B2" t="s">
        <v>46</v>
      </c>
    </row>
    <row r="3" spans="1:2">
      <c r="A3" t="s">
        <v>47</v>
      </c>
      <c r="B3" t="s">
        <v>48</v>
      </c>
    </row>
    <row r="4" spans="1:2">
      <c r="A4" t="s">
        <v>49</v>
      </c>
      <c r="B4" t="s">
        <v>50</v>
      </c>
    </row>
    <row r="5" spans="1:2">
      <c r="A5" t="s">
        <v>51</v>
      </c>
      <c r="B5" t="s">
        <v>52</v>
      </c>
    </row>
    <row r="6" spans="1:2">
      <c r="A6" t="s">
        <v>53</v>
      </c>
      <c r="B6" t="s">
        <v>54</v>
      </c>
    </row>
    <row r="7" spans="1:2">
      <c r="A7" t="s">
        <v>55</v>
      </c>
      <c r="B7" t="s">
        <v>56</v>
      </c>
    </row>
    <row r="8" spans="1:2">
      <c r="A8" t="s">
        <v>57</v>
      </c>
      <c r="B8" t="s">
        <v>58</v>
      </c>
    </row>
  </sheetData>
  <phoneticPr fontId="1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FF0000"/>
    <pageSetUpPr fitToPage="1"/>
  </sheetPr>
  <dimension ref="A1:O75"/>
  <sheetViews>
    <sheetView view="pageBreakPreview" topLeftCell="A31" zoomScaleSheetLayoutView="100" workbookViewId="0">
      <selection activeCell="B35" sqref="B35:C35"/>
    </sheetView>
  </sheetViews>
  <sheetFormatPr defaultRowHeight="15.6"/>
  <cols>
    <col min="2" max="2" width="18.796875" customWidth="1"/>
    <col min="3" max="3" width="26.296875" customWidth="1"/>
    <col min="4" max="4" width="11.19921875" customWidth="1"/>
    <col min="7" max="7" width="10.59765625" customWidth="1"/>
  </cols>
  <sheetData>
    <row r="1" spans="1:14" s="35" customFormat="1" ht="20.100000000000001" customHeight="1">
      <c r="A1" s="239" t="s">
        <v>63</v>
      </c>
      <c r="B1" s="239"/>
      <c r="C1" s="239"/>
      <c r="D1" s="239"/>
      <c r="E1" s="239"/>
      <c r="F1" s="239"/>
      <c r="G1" s="239"/>
      <c r="H1" s="239"/>
      <c r="I1" s="239"/>
      <c r="J1" s="239"/>
      <c r="K1" s="239"/>
      <c r="L1" s="239"/>
    </row>
    <row r="2" spans="1:14" s="35" customFormat="1" ht="25.05" customHeight="1">
      <c r="A2" s="240" t="s">
        <v>189</v>
      </c>
      <c r="B2" s="241"/>
      <c r="C2" s="241"/>
      <c r="D2" s="241"/>
      <c r="E2" s="241"/>
      <c r="F2" s="241"/>
      <c r="G2" s="241"/>
      <c r="H2" s="241"/>
      <c r="I2" s="241"/>
      <c r="J2" s="241"/>
      <c r="K2" s="241"/>
      <c r="L2" s="241"/>
      <c r="N2" s="109"/>
    </row>
    <row r="3" spans="1:14" s="35" customFormat="1" ht="20.100000000000001" customHeight="1">
      <c r="A3" s="26" t="str">
        <f>底稿目录!A2</f>
        <v>被审计单位：</v>
      </c>
      <c r="B3" s="26"/>
      <c r="C3" s="25" t="str">
        <f>底稿目录!A4</f>
        <v>编制人：</v>
      </c>
      <c r="D3" s="27"/>
      <c r="F3" s="28"/>
      <c r="G3" s="30" t="str">
        <f>底稿目录!A5</f>
        <v>编制日期：</v>
      </c>
      <c r="H3" s="96"/>
      <c r="I3" s="28"/>
      <c r="J3" s="29"/>
      <c r="K3" s="26" t="s">
        <v>24</v>
      </c>
      <c r="L3" s="30" t="s">
        <v>188</v>
      </c>
    </row>
    <row r="4" spans="1:14" s="35" customFormat="1" ht="20.100000000000001" customHeight="1">
      <c r="A4" s="26" t="s">
        <v>141</v>
      </c>
      <c r="B4" s="26"/>
      <c r="C4" s="25" t="str">
        <f>底稿目录!A6</f>
        <v>复核人：</v>
      </c>
      <c r="D4" s="27"/>
      <c r="F4" s="28"/>
      <c r="G4" s="30" t="str">
        <f>底稿目录!A7</f>
        <v>复核日期：</v>
      </c>
      <c r="H4" s="96"/>
      <c r="I4" s="28"/>
      <c r="J4" s="29"/>
      <c r="K4" s="26" t="s">
        <v>142</v>
      </c>
      <c r="L4" s="30"/>
    </row>
    <row r="5" spans="1:14" s="35" customFormat="1" ht="28.5" customHeight="1">
      <c r="A5" s="59" t="s">
        <v>66</v>
      </c>
      <c r="B5" s="244" t="s">
        <v>130</v>
      </c>
      <c r="C5" s="244"/>
      <c r="D5" s="60" t="s">
        <v>131</v>
      </c>
      <c r="E5" s="60" t="s">
        <v>132</v>
      </c>
      <c r="F5" s="245" t="s">
        <v>133</v>
      </c>
      <c r="G5" s="245"/>
      <c r="H5" s="245"/>
      <c r="I5" s="245"/>
      <c r="J5" s="245"/>
      <c r="K5" s="244" t="s">
        <v>134</v>
      </c>
      <c r="L5" s="244"/>
    </row>
    <row r="6" spans="1:14" s="39" customFormat="1" ht="51" customHeight="1">
      <c r="A6" s="31"/>
      <c r="B6" s="232" t="s">
        <v>144</v>
      </c>
      <c r="C6" s="233"/>
      <c r="D6" s="32" t="s">
        <v>135</v>
      </c>
      <c r="E6" s="33" t="s">
        <v>136</v>
      </c>
      <c r="F6" s="229" t="s">
        <v>145</v>
      </c>
      <c r="G6" s="230"/>
      <c r="H6" s="230"/>
      <c r="I6" s="230"/>
      <c r="J6" s="231"/>
      <c r="K6" s="242" t="s">
        <v>265</v>
      </c>
      <c r="L6" s="243"/>
      <c r="M6" s="114" t="s">
        <v>364</v>
      </c>
      <c r="N6" s="109" t="s">
        <v>358</v>
      </c>
    </row>
    <row r="7" spans="1:14" s="35" customFormat="1" ht="84" customHeight="1">
      <c r="A7" s="62" t="s">
        <v>190</v>
      </c>
      <c r="B7" s="234" t="s">
        <v>146</v>
      </c>
      <c r="C7" s="235"/>
      <c r="D7" s="61" t="s">
        <v>135</v>
      </c>
      <c r="E7" s="63" t="s">
        <v>136</v>
      </c>
      <c r="F7" s="236" t="s">
        <v>145</v>
      </c>
      <c r="G7" s="237"/>
      <c r="H7" s="237"/>
      <c r="I7" s="237"/>
      <c r="J7" s="238"/>
      <c r="K7" s="236"/>
      <c r="L7" s="238"/>
      <c r="M7" s="114" t="s">
        <v>364</v>
      </c>
      <c r="N7" s="38"/>
    </row>
    <row r="8" spans="1:14" s="35" customFormat="1" ht="38.25" customHeight="1">
      <c r="A8" s="62" t="s">
        <v>191</v>
      </c>
      <c r="B8" s="234" t="s">
        <v>147</v>
      </c>
      <c r="C8" s="235"/>
      <c r="D8" s="61" t="s">
        <v>135</v>
      </c>
      <c r="E8" s="63" t="s">
        <v>136</v>
      </c>
      <c r="F8" s="236" t="s">
        <v>145</v>
      </c>
      <c r="G8" s="237"/>
      <c r="H8" s="237"/>
      <c r="I8" s="237"/>
      <c r="J8" s="238"/>
      <c r="K8" s="236"/>
      <c r="L8" s="238"/>
      <c r="M8" s="114" t="s">
        <v>364</v>
      </c>
      <c r="N8" s="38"/>
    </row>
    <row r="9" spans="1:14" s="35" customFormat="1" ht="29.25" customHeight="1">
      <c r="A9" s="34" t="s">
        <v>192</v>
      </c>
      <c r="B9" s="227" t="s">
        <v>148</v>
      </c>
      <c r="C9" s="228"/>
      <c r="D9" s="32" t="s">
        <v>135</v>
      </c>
      <c r="E9" s="33" t="s">
        <v>136</v>
      </c>
      <c r="F9" s="229" t="s">
        <v>145</v>
      </c>
      <c r="G9" s="230"/>
      <c r="H9" s="230"/>
      <c r="I9" s="230"/>
      <c r="J9" s="231"/>
      <c r="K9" s="229"/>
      <c r="L9" s="231"/>
      <c r="M9" s="114" t="s">
        <v>364</v>
      </c>
      <c r="N9" s="38"/>
    </row>
    <row r="10" spans="1:14" s="35" customFormat="1" ht="29.25" customHeight="1">
      <c r="A10" s="34" t="s">
        <v>193</v>
      </c>
      <c r="B10" s="227" t="s">
        <v>149</v>
      </c>
      <c r="C10" s="228"/>
      <c r="D10" s="32" t="s">
        <v>135</v>
      </c>
      <c r="E10" s="33" t="s">
        <v>136</v>
      </c>
      <c r="F10" s="229" t="s">
        <v>145</v>
      </c>
      <c r="G10" s="230"/>
      <c r="H10" s="230"/>
      <c r="I10" s="230"/>
      <c r="J10" s="231"/>
      <c r="K10" s="229"/>
      <c r="L10" s="231"/>
      <c r="M10" s="114" t="s">
        <v>364</v>
      </c>
      <c r="N10" s="38"/>
    </row>
    <row r="11" spans="1:14" s="35" customFormat="1" ht="37.5" customHeight="1">
      <c r="A11" s="34" t="s">
        <v>194</v>
      </c>
      <c r="B11" s="227" t="s">
        <v>150</v>
      </c>
      <c r="C11" s="228"/>
      <c r="D11" s="32" t="s">
        <v>135</v>
      </c>
      <c r="E11" s="33" t="s">
        <v>136</v>
      </c>
      <c r="F11" s="229" t="s">
        <v>145</v>
      </c>
      <c r="G11" s="230"/>
      <c r="H11" s="230"/>
      <c r="I11" s="230"/>
      <c r="J11" s="231"/>
      <c r="K11" s="229"/>
      <c r="L11" s="231"/>
      <c r="M11" s="114" t="s">
        <v>364</v>
      </c>
      <c r="N11" s="38"/>
    </row>
    <row r="12" spans="1:14" s="35" customFormat="1" ht="27.75" customHeight="1">
      <c r="A12" s="34" t="s">
        <v>195</v>
      </c>
      <c r="B12" s="227" t="s">
        <v>151</v>
      </c>
      <c r="C12" s="228"/>
      <c r="D12" s="32" t="s">
        <v>135</v>
      </c>
      <c r="E12" s="33" t="s">
        <v>136</v>
      </c>
      <c r="F12" s="229" t="s">
        <v>145</v>
      </c>
      <c r="G12" s="230"/>
      <c r="H12" s="230"/>
      <c r="I12" s="230"/>
      <c r="J12" s="231"/>
      <c r="K12" s="229"/>
      <c r="L12" s="231"/>
      <c r="M12" s="114" t="s">
        <v>364</v>
      </c>
      <c r="N12" s="38"/>
    </row>
    <row r="13" spans="1:14" s="35" customFormat="1" ht="43.5" customHeight="1">
      <c r="A13" s="62" t="s">
        <v>196</v>
      </c>
      <c r="B13" s="234" t="s">
        <v>152</v>
      </c>
      <c r="C13" s="235"/>
      <c r="D13" s="61" t="s">
        <v>135</v>
      </c>
      <c r="E13" s="63" t="s">
        <v>136</v>
      </c>
      <c r="F13" s="236" t="s">
        <v>145</v>
      </c>
      <c r="G13" s="237"/>
      <c r="H13" s="237"/>
      <c r="I13" s="237"/>
      <c r="J13" s="238"/>
      <c r="K13" s="236"/>
      <c r="L13" s="238"/>
      <c r="M13" s="114" t="s">
        <v>364</v>
      </c>
      <c r="N13" s="38"/>
    </row>
    <row r="14" spans="1:14" s="35" customFormat="1" ht="27.75" customHeight="1">
      <c r="A14" s="34" t="s">
        <v>197</v>
      </c>
      <c r="B14" s="227" t="s">
        <v>153</v>
      </c>
      <c r="C14" s="228"/>
      <c r="D14" s="32" t="s">
        <v>135</v>
      </c>
      <c r="E14" s="33" t="s">
        <v>136</v>
      </c>
      <c r="F14" s="229" t="s">
        <v>145</v>
      </c>
      <c r="G14" s="230"/>
      <c r="H14" s="230"/>
      <c r="I14" s="230"/>
      <c r="J14" s="231"/>
      <c r="K14" s="229"/>
      <c r="L14" s="231"/>
      <c r="M14" s="114" t="s">
        <v>364</v>
      </c>
      <c r="N14" s="38"/>
    </row>
    <row r="15" spans="1:14" s="35" customFormat="1" ht="27.75" customHeight="1">
      <c r="A15" s="34" t="s">
        <v>198</v>
      </c>
      <c r="B15" s="227" t="s">
        <v>154</v>
      </c>
      <c r="C15" s="228"/>
      <c r="D15" s="32" t="s">
        <v>135</v>
      </c>
      <c r="E15" s="33" t="s">
        <v>136</v>
      </c>
      <c r="F15" s="229" t="s">
        <v>145</v>
      </c>
      <c r="G15" s="230"/>
      <c r="H15" s="230"/>
      <c r="I15" s="230"/>
      <c r="J15" s="231"/>
      <c r="K15" s="229"/>
      <c r="L15" s="231"/>
      <c r="M15" s="114" t="s">
        <v>364</v>
      </c>
      <c r="N15" s="38"/>
    </row>
    <row r="16" spans="1:14" s="35" customFormat="1" ht="27.75" customHeight="1">
      <c r="A16" s="34" t="s">
        <v>199</v>
      </c>
      <c r="B16" s="227" t="s">
        <v>155</v>
      </c>
      <c r="C16" s="228"/>
      <c r="D16" s="32" t="s">
        <v>135</v>
      </c>
      <c r="E16" s="33" t="s">
        <v>136</v>
      </c>
      <c r="F16" s="229" t="s">
        <v>145</v>
      </c>
      <c r="G16" s="230"/>
      <c r="H16" s="230"/>
      <c r="I16" s="230"/>
      <c r="J16" s="231"/>
      <c r="K16" s="229"/>
      <c r="L16" s="231"/>
      <c r="M16" s="114" t="s">
        <v>364</v>
      </c>
      <c r="N16" s="38"/>
    </row>
    <row r="17" spans="1:14" s="35" customFormat="1" ht="47.25" customHeight="1">
      <c r="A17" s="34" t="s">
        <v>200</v>
      </c>
      <c r="B17" s="227" t="s">
        <v>156</v>
      </c>
      <c r="C17" s="228"/>
      <c r="D17" s="32" t="s">
        <v>135</v>
      </c>
      <c r="E17" s="33" t="s">
        <v>136</v>
      </c>
      <c r="F17" s="229" t="s">
        <v>145</v>
      </c>
      <c r="G17" s="230"/>
      <c r="H17" s="230"/>
      <c r="I17" s="230"/>
      <c r="J17" s="231"/>
      <c r="K17" s="229"/>
      <c r="L17" s="231"/>
      <c r="M17" s="114" t="s">
        <v>364</v>
      </c>
      <c r="N17" s="38"/>
    </row>
    <row r="18" spans="1:14" s="35" customFormat="1" ht="47.25" customHeight="1">
      <c r="A18" s="34" t="s">
        <v>201</v>
      </c>
      <c r="B18" s="227" t="s">
        <v>138</v>
      </c>
      <c r="C18" s="228"/>
      <c r="D18" s="32" t="s">
        <v>135</v>
      </c>
      <c r="E18" s="33" t="s">
        <v>136</v>
      </c>
      <c r="F18" s="229" t="s">
        <v>145</v>
      </c>
      <c r="G18" s="230"/>
      <c r="H18" s="230"/>
      <c r="I18" s="230"/>
      <c r="J18" s="231"/>
      <c r="K18" s="229"/>
      <c r="L18" s="231"/>
      <c r="M18" s="114" t="s">
        <v>364</v>
      </c>
      <c r="N18" s="38"/>
    </row>
    <row r="19" spans="1:14" s="35" customFormat="1" ht="47.25" customHeight="1">
      <c r="A19" s="34" t="s">
        <v>202</v>
      </c>
      <c r="B19" s="227" t="s">
        <v>139</v>
      </c>
      <c r="C19" s="228"/>
      <c r="D19" s="32" t="s">
        <v>135</v>
      </c>
      <c r="E19" s="33" t="s">
        <v>136</v>
      </c>
      <c r="F19" s="229" t="s">
        <v>145</v>
      </c>
      <c r="G19" s="230"/>
      <c r="H19" s="230"/>
      <c r="I19" s="230"/>
      <c r="J19" s="231"/>
      <c r="K19" s="229"/>
      <c r="L19" s="231"/>
      <c r="M19" s="114" t="s">
        <v>364</v>
      </c>
      <c r="N19" s="38"/>
    </row>
    <row r="20" spans="1:14" s="35" customFormat="1" ht="47.25" customHeight="1">
      <c r="A20" s="34" t="s">
        <v>203</v>
      </c>
      <c r="B20" s="227" t="s">
        <v>157</v>
      </c>
      <c r="C20" s="228"/>
      <c r="D20" s="32" t="s">
        <v>135</v>
      </c>
      <c r="E20" s="33" t="s">
        <v>136</v>
      </c>
      <c r="F20" s="229" t="s">
        <v>145</v>
      </c>
      <c r="G20" s="230"/>
      <c r="H20" s="230"/>
      <c r="I20" s="230"/>
      <c r="J20" s="231"/>
      <c r="K20" s="229"/>
      <c r="L20" s="231"/>
      <c r="M20" s="114" t="s">
        <v>364</v>
      </c>
      <c r="N20" s="38"/>
    </row>
    <row r="21" spans="1:14" s="35" customFormat="1" ht="47.25" customHeight="1">
      <c r="A21" s="34" t="s">
        <v>204</v>
      </c>
      <c r="B21" s="227" t="s">
        <v>140</v>
      </c>
      <c r="C21" s="228"/>
      <c r="D21" s="32" t="s">
        <v>135</v>
      </c>
      <c r="E21" s="33" t="s">
        <v>136</v>
      </c>
      <c r="F21" s="229" t="s">
        <v>145</v>
      </c>
      <c r="G21" s="230"/>
      <c r="H21" s="230"/>
      <c r="I21" s="230"/>
      <c r="J21" s="231"/>
      <c r="K21" s="229"/>
      <c r="L21" s="231"/>
      <c r="M21" s="114" t="s">
        <v>364</v>
      </c>
      <c r="N21" s="38"/>
    </row>
    <row r="22" spans="1:14" s="35" customFormat="1" ht="61.5" customHeight="1">
      <c r="A22" s="62" t="s">
        <v>205</v>
      </c>
      <c r="B22" s="234" t="s">
        <v>158</v>
      </c>
      <c r="C22" s="235"/>
      <c r="D22" s="61" t="s">
        <v>135</v>
      </c>
      <c r="E22" s="63" t="s">
        <v>136</v>
      </c>
      <c r="F22" s="236" t="s">
        <v>159</v>
      </c>
      <c r="G22" s="237"/>
      <c r="H22" s="237"/>
      <c r="I22" s="237"/>
      <c r="J22" s="238"/>
      <c r="K22" s="236"/>
      <c r="L22" s="238"/>
      <c r="M22" s="114" t="s">
        <v>364</v>
      </c>
      <c r="N22" s="111" t="s">
        <v>361</v>
      </c>
    </row>
    <row r="23" spans="1:14" s="35" customFormat="1" ht="65.25" customHeight="1">
      <c r="A23" s="31" t="s">
        <v>206</v>
      </c>
      <c r="B23" s="232" t="s">
        <v>160</v>
      </c>
      <c r="C23" s="233"/>
      <c r="D23" s="32" t="s">
        <v>135</v>
      </c>
      <c r="E23" s="33" t="s">
        <v>136</v>
      </c>
      <c r="F23" s="229" t="s">
        <v>145</v>
      </c>
      <c r="G23" s="230"/>
      <c r="H23" s="230"/>
      <c r="I23" s="230"/>
      <c r="J23" s="231"/>
      <c r="K23" s="229"/>
      <c r="L23" s="231"/>
      <c r="M23" s="110" t="s">
        <v>363</v>
      </c>
      <c r="N23" s="112"/>
    </row>
    <row r="24" spans="1:14" s="35" customFormat="1" ht="63" customHeight="1">
      <c r="A24" s="34" t="s">
        <v>207</v>
      </c>
      <c r="B24" s="227" t="s">
        <v>161</v>
      </c>
      <c r="C24" s="228"/>
      <c r="D24" s="32" t="s">
        <v>135</v>
      </c>
      <c r="E24" s="33" t="s">
        <v>136</v>
      </c>
      <c r="F24" s="229" t="s">
        <v>162</v>
      </c>
      <c r="G24" s="230"/>
      <c r="H24" s="230"/>
      <c r="I24" s="230"/>
      <c r="J24" s="231"/>
      <c r="K24" s="229"/>
      <c r="L24" s="231"/>
      <c r="M24" s="110" t="s">
        <v>363</v>
      </c>
      <c r="N24" s="112"/>
    </row>
    <row r="25" spans="1:14" s="35" customFormat="1" ht="41.25" customHeight="1">
      <c r="A25" s="34" t="s">
        <v>208</v>
      </c>
      <c r="B25" s="227" t="s">
        <v>163</v>
      </c>
      <c r="C25" s="228"/>
      <c r="D25" s="32" t="s">
        <v>137</v>
      </c>
      <c r="E25" s="33" t="s">
        <v>136</v>
      </c>
      <c r="F25" s="229" t="s">
        <v>164</v>
      </c>
      <c r="G25" s="230"/>
      <c r="H25" s="230"/>
      <c r="I25" s="230"/>
      <c r="J25" s="231"/>
      <c r="K25" s="229"/>
      <c r="L25" s="231"/>
      <c r="M25" s="110" t="s">
        <v>363</v>
      </c>
      <c r="N25" s="112"/>
    </row>
    <row r="26" spans="1:14" s="35" customFormat="1" ht="71.25" customHeight="1">
      <c r="A26" s="31" t="s">
        <v>209</v>
      </c>
      <c r="B26" s="232" t="s">
        <v>165</v>
      </c>
      <c r="C26" s="233"/>
      <c r="D26" s="32" t="s">
        <v>135</v>
      </c>
      <c r="E26" s="33" t="s">
        <v>136</v>
      </c>
      <c r="F26" s="229" t="s">
        <v>145</v>
      </c>
      <c r="G26" s="230"/>
      <c r="H26" s="230"/>
      <c r="I26" s="230"/>
      <c r="J26" s="231"/>
      <c r="K26" s="229"/>
      <c r="L26" s="231"/>
      <c r="M26" s="110" t="s">
        <v>363</v>
      </c>
      <c r="N26" s="112"/>
    </row>
    <row r="27" spans="1:14" s="35" customFormat="1" ht="47.25" customHeight="1">
      <c r="A27" s="34" t="s">
        <v>210</v>
      </c>
      <c r="B27" s="227" t="s">
        <v>370</v>
      </c>
      <c r="C27" s="228"/>
      <c r="D27" s="32" t="s">
        <v>135</v>
      </c>
      <c r="E27" s="33" t="s">
        <v>136</v>
      </c>
      <c r="F27" s="229" t="s">
        <v>145</v>
      </c>
      <c r="G27" s="230"/>
      <c r="H27" s="230"/>
      <c r="I27" s="230"/>
      <c r="J27" s="231"/>
      <c r="K27" s="229"/>
      <c r="L27" s="231"/>
      <c r="M27" s="40"/>
      <c r="N27" s="111" t="s">
        <v>371</v>
      </c>
    </row>
    <row r="28" spans="1:14" s="35" customFormat="1" ht="38.25" customHeight="1">
      <c r="A28" s="34" t="s">
        <v>211</v>
      </c>
      <c r="B28" s="227" t="s">
        <v>166</v>
      </c>
      <c r="C28" s="228"/>
      <c r="D28" s="32" t="s">
        <v>135</v>
      </c>
      <c r="E28" s="33" t="s">
        <v>136</v>
      </c>
      <c r="F28" s="229" t="s">
        <v>145</v>
      </c>
      <c r="G28" s="230"/>
      <c r="H28" s="230"/>
      <c r="I28" s="230"/>
      <c r="J28" s="231"/>
      <c r="K28" s="229"/>
      <c r="L28" s="231"/>
      <c r="M28" s="110" t="s">
        <v>373</v>
      </c>
      <c r="N28" s="112"/>
    </row>
    <row r="29" spans="1:14" s="35" customFormat="1" ht="33.75" customHeight="1">
      <c r="A29" s="34" t="s">
        <v>212</v>
      </c>
      <c r="B29" s="227" t="s">
        <v>372</v>
      </c>
      <c r="C29" s="228"/>
      <c r="D29" s="32" t="s">
        <v>135</v>
      </c>
      <c r="E29" s="33" t="s">
        <v>136</v>
      </c>
      <c r="F29" s="229" t="s">
        <v>145</v>
      </c>
      <c r="G29" s="230"/>
      <c r="H29" s="230"/>
      <c r="I29" s="230"/>
      <c r="J29" s="231"/>
      <c r="K29" s="229"/>
      <c r="L29" s="231"/>
      <c r="M29" s="40"/>
      <c r="N29" s="111" t="s">
        <v>371</v>
      </c>
    </row>
    <row r="30" spans="1:14" s="35" customFormat="1" ht="32.25" customHeight="1">
      <c r="A30" s="62" t="s">
        <v>213</v>
      </c>
      <c r="B30" s="234" t="s">
        <v>167</v>
      </c>
      <c r="C30" s="235"/>
      <c r="D30" s="61" t="s">
        <v>135</v>
      </c>
      <c r="E30" s="63" t="s">
        <v>136</v>
      </c>
      <c r="F30" s="236" t="s">
        <v>145</v>
      </c>
      <c r="G30" s="237"/>
      <c r="H30" s="237"/>
      <c r="I30" s="237"/>
      <c r="J30" s="238"/>
      <c r="K30" s="236"/>
      <c r="L30" s="238"/>
      <c r="M30" s="40"/>
      <c r="N30" s="113" t="s">
        <v>362</v>
      </c>
    </row>
    <row r="31" spans="1:14" s="35" customFormat="1" ht="33" customHeight="1">
      <c r="A31" s="34" t="s">
        <v>214</v>
      </c>
      <c r="B31" s="227" t="s">
        <v>168</v>
      </c>
      <c r="C31" s="228"/>
      <c r="D31" s="32" t="s">
        <v>135</v>
      </c>
      <c r="E31" s="33" t="s">
        <v>136</v>
      </c>
      <c r="F31" s="229" t="s">
        <v>145</v>
      </c>
      <c r="G31" s="230"/>
      <c r="H31" s="230"/>
      <c r="I31" s="230"/>
      <c r="J31" s="231"/>
      <c r="K31" s="229"/>
      <c r="L31" s="231"/>
      <c r="M31" s="40"/>
      <c r="N31" s="112"/>
    </row>
    <row r="32" spans="1:14" s="35" customFormat="1" ht="47.25" customHeight="1">
      <c r="A32" s="34" t="s">
        <v>215</v>
      </c>
      <c r="B32" s="227" t="s">
        <v>169</v>
      </c>
      <c r="C32" s="228"/>
      <c r="D32" s="32" t="s">
        <v>135</v>
      </c>
      <c r="E32" s="33" t="s">
        <v>136</v>
      </c>
      <c r="F32" s="229" t="s">
        <v>145</v>
      </c>
      <c r="G32" s="230"/>
      <c r="H32" s="230"/>
      <c r="I32" s="230"/>
      <c r="J32" s="231"/>
      <c r="K32" s="229"/>
      <c r="L32" s="231"/>
      <c r="M32" s="40"/>
      <c r="N32" s="112"/>
    </row>
    <row r="33" spans="1:15" s="35" customFormat="1" ht="33" customHeight="1">
      <c r="A33" s="34" t="s">
        <v>216</v>
      </c>
      <c r="B33" s="227" t="s">
        <v>170</v>
      </c>
      <c r="C33" s="228"/>
      <c r="D33" s="32" t="s">
        <v>135</v>
      </c>
      <c r="E33" s="33" t="s">
        <v>136</v>
      </c>
      <c r="F33" s="229" t="s">
        <v>145</v>
      </c>
      <c r="G33" s="230"/>
      <c r="H33" s="230"/>
      <c r="I33" s="230"/>
      <c r="J33" s="231"/>
      <c r="K33" s="229"/>
      <c r="L33" s="231"/>
      <c r="M33" s="40"/>
      <c r="N33" s="112"/>
    </row>
    <row r="34" spans="1:15" s="35" customFormat="1" ht="24" customHeight="1">
      <c r="A34" s="34" t="s">
        <v>217</v>
      </c>
      <c r="B34" s="227" t="s">
        <v>171</v>
      </c>
      <c r="C34" s="228"/>
      <c r="D34" s="32" t="s">
        <v>135</v>
      </c>
      <c r="E34" s="33" t="s">
        <v>136</v>
      </c>
      <c r="F34" s="229" t="s">
        <v>145</v>
      </c>
      <c r="G34" s="230"/>
      <c r="H34" s="230"/>
      <c r="I34" s="230"/>
      <c r="J34" s="231"/>
      <c r="K34" s="229"/>
      <c r="L34" s="231"/>
      <c r="M34" s="40"/>
      <c r="N34" s="112"/>
    </row>
    <row r="35" spans="1:15" s="35" customFormat="1" ht="24" customHeight="1">
      <c r="A35" s="62" t="s">
        <v>218</v>
      </c>
      <c r="B35" s="234" t="s">
        <v>172</v>
      </c>
      <c r="C35" s="235"/>
      <c r="D35" s="61" t="s">
        <v>137</v>
      </c>
      <c r="E35" s="63" t="s">
        <v>136</v>
      </c>
      <c r="F35" s="236" t="s">
        <v>145</v>
      </c>
      <c r="G35" s="237"/>
      <c r="H35" s="237"/>
      <c r="I35" s="237"/>
      <c r="J35" s="238"/>
      <c r="K35" s="236"/>
      <c r="L35" s="238"/>
      <c r="M35" s="110" t="s">
        <v>359</v>
      </c>
      <c r="N35" s="112"/>
    </row>
    <row r="36" spans="1:15" s="35" customFormat="1" ht="51" customHeight="1">
      <c r="A36" s="34" t="s">
        <v>219</v>
      </c>
      <c r="B36" s="227" t="s">
        <v>173</v>
      </c>
      <c r="C36" s="228"/>
      <c r="D36" s="32" t="s">
        <v>137</v>
      </c>
      <c r="E36" s="33" t="s">
        <v>136</v>
      </c>
      <c r="F36" s="229" t="s">
        <v>145</v>
      </c>
      <c r="G36" s="230"/>
      <c r="H36" s="230"/>
      <c r="I36" s="230"/>
      <c r="J36" s="231"/>
      <c r="K36" s="229"/>
      <c r="L36" s="231"/>
      <c r="M36" s="40"/>
      <c r="N36" s="112"/>
    </row>
    <row r="37" spans="1:15" s="35" customFormat="1" ht="51" customHeight="1">
      <c r="A37" s="34" t="s">
        <v>220</v>
      </c>
      <c r="B37" s="227" t="s">
        <v>174</v>
      </c>
      <c r="C37" s="228"/>
      <c r="D37" s="32" t="s">
        <v>137</v>
      </c>
      <c r="E37" s="33" t="s">
        <v>136</v>
      </c>
      <c r="F37" s="229" t="s">
        <v>145</v>
      </c>
      <c r="G37" s="230"/>
      <c r="H37" s="230"/>
      <c r="I37" s="230"/>
      <c r="J37" s="231"/>
      <c r="K37" s="229"/>
      <c r="L37" s="231"/>
      <c r="M37" s="40"/>
      <c r="N37" s="112"/>
    </row>
    <row r="38" spans="1:15" s="35" customFormat="1" ht="51" customHeight="1">
      <c r="A38" s="34" t="s">
        <v>221</v>
      </c>
      <c r="B38" s="227" t="s">
        <v>175</v>
      </c>
      <c r="C38" s="228"/>
      <c r="D38" s="32" t="s">
        <v>137</v>
      </c>
      <c r="E38" s="33" t="s">
        <v>136</v>
      </c>
      <c r="F38" s="229" t="s">
        <v>145</v>
      </c>
      <c r="G38" s="230"/>
      <c r="H38" s="230"/>
      <c r="I38" s="230"/>
      <c r="J38" s="231"/>
      <c r="K38" s="229"/>
      <c r="L38" s="231"/>
      <c r="M38" s="40"/>
      <c r="N38" s="112"/>
    </row>
    <row r="39" spans="1:15" s="35" customFormat="1" ht="51" customHeight="1">
      <c r="A39" s="34" t="s">
        <v>222</v>
      </c>
      <c r="B39" s="227" t="s">
        <v>176</v>
      </c>
      <c r="C39" s="228"/>
      <c r="D39" s="32" t="s">
        <v>137</v>
      </c>
      <c r="E39" s="33" t="s">
        <v>136</v>
      </c>
      <c r="F39" s="229" t="s">
        <v>145</v>
      </c>
      <c r="G39" s="230"/>
      <c r="H39" s="230"/>
      <c r="I39" s="230"/>
      <c r="J39" s="231"/>
      <c r="K39" s="229"/>
      <c r="L39" s="231"/>
      <c r="M39" s="40"/>
      <c r="N39" s="112"/>
    </row>
    <row r="40" spans="1:15" s="35" customFormat="1" ht="51" customHeight="1">
      <c r="A40" s="62" t="s">
        <v>223</v>
      </c>
      <c r="B40" s="234" t="s">
        <v>177</v>
      </c>
      <c r="C40" s="235"/>
      <c r="D40" s="61" t="s">
        <v>135</v>
      </c>
      <c r="E40" s="63" t="s">
        <v>136</v>
      </c>
      <c r="F40" s="236" t="s">
        <v>145</v>
      </c>
      <c r="G40" s="237"/>
      <c r="H40" s="237"/>
      <c r="I40" s="237"/>
      <c r="J40" s="238"/>
      <c r="K40" s="236"/>
      <c r="L40" s="238"/>
      <c r="M40" s="40"/>
      <c r="N40" s="112"/>
    </row>
    <row r="41" spans="1:15" s="35" customFormat="1" ht="51" customHeight="1">
      <c r="A41" s="34" t="s">
        <v>224</v>
      </c>
      <c r="B41" s="227" t="s">
        <v>178</v>
      </c>
      <c r="C41" s="228"/>
      <c r="D41" s="32" t="s">
        <v>135</v>
      </c>
      <c r="E41" s="33" t="s">
        <v>136</v>
      </c>
      <c r="F41" s="229" t="s">
        <v>145</v>
      </c>
      <c r="G41" s="230"/>
      <c r="H41" s="230"/>
      <c r="I41" s="230"/>
      <c r="J41" s="231"/>
      <c r="K41" s="229"/>
      <c r="L41" s="231"/>
      <c r="M41" s="40"/>
      <c r="N41" s="112"/>
    </row>
    <row r="42" spans="1:15" s="35" customFormat="1" ht="51" customHeight="1">
      <c r="A42" s="34" t="s">
        <v>225</v>
      </c>
      <c r="B42" s="227" t="s">
        <v>179</v>
      </c>
      <c r="C42" s="228"/>
      <c r="D42" s="32" t="s">
        <v>135</v>
      </c>
      <c r="E42" s="33" t="s">
        <v>136</v>
      </c>
      <c r="F42" s="229" t="s">
        <v>145</v>
      </c>
      <c r="G42" s="230"/>
      <c r="H42" s="230"/>
      <c r="I42" s="230"/>
      <c r="J42" s="231"/>
      <c r="K42" s="229"/>
      <c r="L42" s="231"/>
      <c r="M42" s="40"/>
      <c r="N42" s="112"/>
    </row>
    <row r="43" spans="1:15" s="35" customFormat="1" ht="51" customHeight="1">
      <c r="A43" s="34" t="s">
        <v>226</v>
      </c>
      <c r="B43" s="227" t="s">
        <v>180</v>
      </c>
      <c r="C43" s="228"/>
      <c r="D43" s="32" t="s">
        <v>135</v>
      </c>
      <c r="E43" s="33" t="s">
        <v>136</v>
      </c>
      <c r="F43" s="229" t="s">
        <v>145</v>
      </c>
      <c r="G43" s="230"/>
      <c r="H43" s="230"/>
      <c r="I43" s="230"/>
      <c r="J43" s="231"/>
      <c r="K43" s="229"/>
      <c r="L43" s="231"/>
      <c r="M43" s="40"/>
      <c r="N43" s="112"/>
    </row>
    <row r="44" spans="1:15" s="35" customFormat="1" ht="28.5" customHeight="1">
      <c r="A44" s="62" t="s">
        <v>227</v>
      </c>
      <c r="B44" s="234" t="s">
        <v>181</v>
      </c>
      <c r="C44" s="235"/>
      <c r="D44" s="61" t="s">
        <v>137</v>
      </c>
      <c r="E44" s="63" t="s">
        <v>136</v>
      </c>
      <c r="F44" s="236" t="s">
        <v>145</v>
      </c>
      <c r="G44" s="237"/>
      <c r="H44" s="237"/>
      <c r="I44" s="237"/>
      <c r="J44" s="238"/>
      <c r="K44" s="236"/>
      <c r="L44" s="238"/>
      <c r="M44" s="113" t="s">
        <v>359</v>
      </c>
      <c r="N44" s="112"/>
      <c r="O44" s="36"/>
    </row>
    <row r="45" spans="1:15" s="35" customFormat="1" ht="33.75" customHeight="1">
      <c r="A45" s="34" t="s">
        <v>228</v>
      </c>
      <c r="B45" s="227" t="s">
        <v>182</v>
      </c>
      <c r="C45" s="228"/>
      <c r="D45" s="32" t="s">
        <v>137</v>
      </c>
      <c r="E45" s="33" t="s">
        <v>136</v>
      </c>
      <c r="F45" s="229" t="s">
        <v>145</v>
      </c>
      <c r="G45" s="230"/>
      <c r="H45" s="230"/>
      <c r="I45" s="230"/>
      <c r="J45" s="231"/>
      <c r="K45" s="229"/>
      <c r="L45" s="231"/>
      <c r="M45" s="40"/>
      <c r="N45" s="112"/>
      <c r="O45" s="36"/>
    </row>
    <row r="46" spans="1:15" s="35" customFormat="1" ht="53.25" customHeight="1">
      <c r="A46" s="34" t="s">
        <v>229</v>
      </c>
      <c r="B46" s="227" t="s">
        <v>183</v>
      </c>
      <c r="C46" s="228"/>
      <c r="D46" s="32" t="s">
        <v>137</v>
      </c>
      <c r="E46" s="33" t="s">
        <v>136</v>
      </c>
      <c r="F46" s="229" t="s">
        <v>145</v>
      </c>
      <c r="G46" s="230"/>
      <c r="H46" s="230"/>
      <c r="I46" s="230"/>
      <c r="J46" s="231"/>
      <c r="K46" s="229"/>
      <c r="L46" s="231"/>
      <c r="M46" s="40"/>
      <c r="N46" s="112"/>
      <c r="O46" s="36"/>
    </row>
    <row r="47" spans="1:15" s="35" customFormat="1" ht="28.5" customHeight="1">
      <c r="A47" s="34" t="s">
        <v>230</v>
      </c>
      <c r="B47" s="227" t="s">
        <v>184</v>
      </c>
      <c r="C47" s="228"/>
      <c r="D47" s="32" t="s">
        <v>137</v>
      </c>
      <c r="E47" s="33" t="s">
        <v>136</v>
      </c>
      <c r="F47" s="229" t="s">
        <v>145</v>
      </c>
      <c r="G47" s="230"/>
      <c r="H47" s="230"/>
      <c r="I47" s="230"/>
      <c r="J47" s="231"/>
      <c r="K47" s="229"/>
      <c r="L47" s="231"/>
      <c r="M47" s="40"/>
      <c r="N47" s="112"/>
      <c r="O47" s="36"/>
    </row>
    <row r="48" spans="1:15" s="35" customFormat="1" ht="28.5" customHeight="1">
      <c r="A48" s="34" t="s">
        <v>231</v>
      </c>
      <c r="B48" s="227" t="s">
        <v>185</v>
      </c>
      <c r="C48" s="228"/>
      <c r="D48" s="32" t="s">
        <v>137</v>
      </c>
      <c r="E48" s="33" t="s">
        <v>136</v>
      </c>
      <c r="F48" s="229" t="s">
        <v>145</v>
      </c>
      <c r="G48" s="230"/>
      <c r="H48" s="230"/>
      <c r="I48" s="230"/>
      <c r="J48" s="231"/>
      <c r="K48" s="229"/>
      <c r="L48" s="231"/>
      <c r="M48" s="40"/>
      <c r="N48" s="112"/>
      <c r="O48" s="36"/>
    </row>
    <row r="49" spans="1:15" s="35" customFormat="1" ht="28.5" customHeight="1">
      <c r="A49" s="34" t="s">
        <v>232</v>
      </c>
      <c r="B49" s="227" t="s">
        <v>186</v>
      </c>
      <c r="C49" s="228"/>
      <c r="D49" s="32" t="s">
        <v>137</v>
      </c>
      <c r="E49" s="33" t="s">
        <v>136</v>
      </c>
      <c r="F49" s="229" t="s">
        <v>145</v>
      </c>
      <c r="G49" s="230"/>
      <c r="H49" s="230"/>
      <c r="I49" s="230"/>
      <c r="J49" s="231"/>
      <c r="K49" s="229"/>
      <c r="L49" s="231"/>
      <c r="M49" s="40"/>
      <c r="N49" s="112"/>
      <c r="O49" s="36"/>
    </row>
    <row r="50" spans="1:15" s="35" customFormat="1" ht="28.5" customHeight="1">
      <c r="A50" s="34" t="s">
        <v>233</v>
      </c>
      <c r="B50" s="227" t="s">
        <v>187</v>
      </c>
      <c r="C50" s="228"/>
      <c r="D50" s="32" t="s">
        <v>137</v>
      </c>
      <c r="E50" s="33" t="s">
        <v>136</v>
      </c>
      <c r="F50" s="229" t="s">
        <v>145</v>
      </c>
      <c r="G50" s="230"/>
      <c r="H50" s="230"/>
      <c r="I50" s="230"/>
      <c r="J50" s="231"/>
      <c r="K50" s="229"/>
      <c r="L50" s="231"/>
      <c r="M50" s="40"/>
      <c r="N50" s="112"/>
      <c r="O50" s="36"/>
    </row>
    <row r="51" spans="1:15" s="35" customFormat="1" ht="54" customHeight="1">
      <c r="A51" s="62" t="s">
        <v>143</v>
      </c>
      <c r="B51" s="234" t="s">
        <v>235</v>
      </c>
      <c r="C51" s="235"/>
      <c r="D51" s="61" t="s">
        <v>135</v>
      </c>
      <c r="E51" s="63" t="s">
        <v>236</v>
      </c>
      <c r="F51" s="236" t="s">
        <v>237</v>
      </c>
      <c r="G51" s="237"/>
      <c r="H51" s="237"/>
      <c r="I51" s="237"/>
      <c r="J51" s="238"/>
      <c r="K51" s="236" t="s">
        <v>238</v>
      </c>
      <c r="L51" s="238"/>
      <c r="M51" s="113" t="s">
        <v>360</v>
      </c>
      <c r="N51" s="112"/>
    </row>
    <row r="52" spans="1:15" s="35" customFormat="1" ht="48.75" customHeight="1">
      <c r="A52" s="31">
        <v>9.1</v>
      </c>
      <c r="B52" s="232" t="s">
        <v>239</v>
      </c>
      <c r="C52" s="233"/>
      <c r="D52" s="32" t="s">
        <v>135</v>
      </c>
      <c r="E52" s="33" t="s">
        <v>236</v>
      </c>
      <c r="F52" s="229" t="s">
        <v>237</v>
      </c>
      <c r="G52" s="230"/>
      <c r="H52" s="230"/>
      <c r="I52" s="230"/>
      <c r="J52" s="231"/>
      <c r="K52" s="229"/>
      <c r="L52" s="231"/>
      <c r="M52" s="37"/>
      <c r="N52" s="112"/>
    </row>
    <row r="53" spans="1:15" s="35" customFormat="1" ht="34.5" customHeight="1">
      <c r="A53" s="31" t="s">
        <v>269</v>
      </c>
      <c r="B53" s="232" t="s">
        <v>240</v>
      </c>
      <c r="C53" s="233"/>
      <c r="D53" s="32" t="s">
        <v>135</v>
      </c>
      <c r="E53" s="33" t="s">
        <v>236</v>
      </c>
      <c r="F53" s="229" t="s">
        <v>241</v>
      </c>
      <c r="G53" s="230"/>
      <c r="H53" s="230"/>
      <c r="I53" s="230"/>
      <c r="J53" s="231"/>
      <c r="K53" s="229"/>
      <c r="L53" s="231"/>
      <c r="M53" s="40"/>
      <c r="N53" s="112"/>
    </row>
    <row r="54" spans="1:15" s="35" customFormat="1" ht="48" customHeight="1">
      <c r="A54" s="31" t="s">
        <v>270</v>
      </c>
      <c r="B54" s="232" t="s">
        <v>242</v>
      </c>
      <c r="C54" s="233"/>
      <c r="D54" s="32" t="s">
        <v>135</v>
      </c>
      <c r="E54" s="33" t="s">
        <v>236</v>
      </c>
      <c r="F54" s="229" t="s">
        <v>241</v>
      </c>
      <c r="G54" s="230"/>
      <c r="H54" s="230"/>
      <c r="I54" s="230"/>
      <c r="J54" s="231"/>
      <c r="K54" s="229"/>
      <c r="L54" s="231"/>
      <c r="M54" s="40"/>
      <c r="N54" s="112"/>
    </row>
    <row r="55" spans="1:15" s="35" customFormat="1" ht="56.25" customHeight="1">
      <c r="A55" s="31">
        <v>9.1999999999999993</v>
      </c>
      <c r="B55" s="232" t="s">
        <v>243</v>
      </c>
      <c r="C55" s="233"/>
      <c r="D55" s="32" t="s">
        <v>135</v>
      </c>
      <c r="E55" s="33" t="s">
        <v>236</v>
      </c>
      <c r="F55" s="229" t="s">
        <v>244</v>
      </c>
      <c r="G55" s="230"/>
      <c r="H55" s="230"/>
      <c r="I55" s="230"/>
      <c r="J55" s="231"/>
      <c r="K55" s="229"/>
      <c r="L55" s="231"/>
      <c r="M55" s="40"/>
      <c r="N55" s="112"/>
    </row>
    <row r="56" spans="1:15" s="35" customFormat="1" ht="45" customHeight="1">
      <c r="A56" s="31">
        <v>9.3000000000000007</v>
      </c>
      <c r="B56" s="232" t="s">
        <v>245</v>
      </c>
      <c r="C56" s="233"/>
      <c r="D56" s="32" t="s">
        <v>135</v>
      </c>
      <c r="E56" s="33" t="s">
        <v>236</v>
      </c>
      <c r="F56" s="229" t="s">
        <v>244</v>
      </c>
      <c r="G56" s="230"/>
      <c r="H56" s="230"/>
      <c r="I56" s="230"/>
      <c r="J56" s="231"/>
      <c r="K56" s="229"/>
      <c r="L56" s="231"/>
      <c r="M56" s="40"/>
      <c r="N56" s="112"/>
    </row>
    <row r="57" spans="1:15" s="35" customFormat="1" ht="45" customHeight="1">
      <c r="A57" s="31">
        <v>9.4</v>
      </c>
      <c r="B57" s="232" t="s">
        <v>246</v>
      </c>
      <c r="C57" s="233"/>
      <c r="D57" s="32" t="s">
        <v>135</v>
      </c>
      <c r="E57" s="33" t="s">
        <v>236</v>
      </c>
      <c r="F57" s="229" t="s">
        <v>244</v>
      </c>
      <c r="G57" s="230"/>
      <c r="H57" s="230"/>
      <c r="I57" s="230"/>
      <c r="J57" s="231"/>
      <c r="K57" s="229"/>
      <c r="L57" s="231"/>
      <c r="M57" s="40"/>
      <c r="N57" s="112"/>
    </row>
    <row r="58" spans="1:15" s="35" customFormat="1" ht="89.25" customHeight="1">
      <c r="A58" s="31">
        <v>9.5</v>
      </c>
      <c r="B58" s="232" t="s">
        <v>247</v>
      </c>
      <c r="C58" s="233"/>
      <c r="D58" s="32" t="s">
        <v>135</v>
      </c>
      <c r="E58" s="33" t="s">
        <v>236</v>
      </c>
      <c r="F58" s="229" t="s">
        <v>244</v>
      </c>
      <c r="G58" s="230"/>
      <c r="H58" s="230"/>
      <c r="I58" s="230"/>
      <c r="J58" s="231"/>
      <c r="K58" s="229"/>
      <c r="L58" s="231"/>
      <c r="M58" s="40"/>
      <c r="N58" s="112"/>
    </row>
    <row r="59" spans="1:15" s="35" customFormat="1" ht="42" customHeight="1">
      <c r="A59" s="31">
        <v>9.6</v>
      </c>
      <c r="B59" s="227" t="s">
        <v>248</v>
      </c>
      <c r="C59" s="228"/>
      <c r="D59" s="32" t="s">
        <v>135</v>
      </c>
      <c r="E59" s="33" t="s">
        <v>236</v>
      </c>
      <c r="F59" s="229" t="s">
        <v>244</v>
      </c>
      <c r="G59" s="230"/>
      <c r="H59" s="230"/>
      <c r="I59" s="230"/>
      <c r="J59" s="231"/>
      <c r="K59" s="229"/>
      <c r="L59" s="231"/>
      <c r="M59" s="40"/>
      <c r="N59" s="112"/>
    </row>
    <row r="60" spans="1:15" s="35" customFormat="1" ht="46.5" customHeight="1">
      <c r="A60" s="34" t="s">
        <v>271</v>
      </c>
      <c r="B60" s="227" t="s">
        <v>249</v>
      </c>
      <c r="C60" s="228"/>
      <c r="D60" s="32" t="s">
        <v>135</v>
      </c>
      <c r="E60" s="33" t="s">
        <v>236</v>
      </c>
      <c r="F60" s="229" t="s">
        <v>244</v>
      </c>
      <c r="G60" s="230"/>
      <c r="H60" s="230"/>
      <c r="I60" s="230"/>
      <c r="J60" s="231"/>
      <c r="K60" s="229"/>
      <c r="L60" s="231"/>
      <c r="M60" s="40"/>
      <c r="N60" s="112"/>
    </row>
    <row r="61" spans="1:15" s="35" customFormat="1" ht="46.5" customHeight="1">
      <c r="A61" s="34" t="s">
        <v>272</v>
      </c>
      <c r="B61" s="227" t="s">
        <v>250</v>
      </c>
      <c r="C61" s="228"/>
      <c r="D61" s="32" t="s">
        <v>135</v>
      </c>
      <c r="E61" s="33" t="s">
        <v>236</v>
      </c>
      <c r="F61" s="229" t="s">
        <v>244</v>
      </c>
      <c r="G61" s="230"/>
      <c r="H61" s="230"/>
      <c r="I61" s="230"/>
      <c r="J61" s="231"/>
      <c r="K61" s="229"/>
      <c r="L61" s="231"/>
      <c r="M61" s="40"/>
      <c r="N61" s="112"/>
    </row>
    <row r="62" spans="1:15" s="35" customFormat="1" ht="46.5" customHeight="1">
      <c r="A62" s="34" t="s">
        <v>273</v>
      </c>
      <c r="B62" s="227" t="s">
        <v>251</v>
      </c>
      <c r="C62" s="228"/>
      <c r="D62" s="32" t="s">
        <v>135</v>
      </c>
      <c r="E62" s="33" t="s">
        <v>236</v>
      </c>
      <c r="F62" s="229" t="s">
        <v>244</v>
      </c>
      <c r="G62" s="230"/>
      <c r="H62" s="230"/>
      <c r="I62" s="230"/>
      <c r="J62" s="231"/>
      <c r="K62" s="229"/>
      <c r="L62" s="231"/>
      <c r="M62" s="40"/>
      <c r="N62" s="112"/>
    </row>
    <row r="63" spans="1:15" s="35" customFormat="1" ht="46.5" customHeight="1">
      <c r="A63" s="34" t="s">
        <v>274</v>
      </c>
      <c r="B63" s="227" t="s">
        <v>252</v>
      </c>
      <c r="C63" s="228"/>
      <c r="D63" s="32" t="s">
        <v>135</v>
      </c>
      <c r="E63" s="33" t="s">
        <v>236</v>
      </c>
      <c r="F63" s="229" t="s">
        <v>244</v>
      </c>
      <c r="G63" s="230"/>
      <c r="H63" s="230"/>
      <c r="I63" s="230"/>
      <c r="J63" s="231"/>
      <c r="K63" s="229"/>
      <c r="L63" s="231"/>
      <c r="M63" s="40"/>
      <c r="N63" s="112"/>
    </row>
    <row r="64" spans="1:15" s="35" customFormat="1" ht="42.75" customHeight="1">
      <c r="A64" s="34">
        <v>9.6999999999999993</v>
      </c>
      <c r="B64" s="227" t="s">
        <v>253</v>
      </c>
      <c r="C64" s="228"/>
      <c r="D64" s="32" t="s">
        <v>135</v>
      </c>
      <c r="E64" s="33" t="s">
        <v>236</v>
      </c>
      <c r="F64" s="229" t="s">
        <v>244</v>
      </c>
      <c r="G64" s="230"/>
      <c r="H64" s="230"/>
      <c r="I64" s="230"/>
      <c r="J64" s="231"/>
      <c r="K64" s="229"/>
      <c r="L64" s="231"/>
      <c r="M64" s="40"/>
      <c r="N64" s="112"/>
    </row>
    <row r="65" spans="1:14" s="35" customFormat="1" ht="38.25" customHeight="1">
      <c r="A65" s="34" t="s">
        <v>275</v>
      </c>
      <c r="B65" s="227" t="s">
        <v>254</v>
      </c>
      <c r="C65" s="228"/>
      <c r="D65" s="32" t="s">
        <v>135</v>
      </c>
      <c r="E65" s="33" t="s">
        <v>236</v>
      </c>
      <c r="F65" s="229" t="s">
        <v>244</v>
      </c>
      <c r="G65" s="230"/>
      <c r="H65" s="230"/>
      <c r="I65" s="230"/>
      <c r="J65" s="231"/>
      <c r="K65" s="229"/>
      <c r="L65" s="231"/>
      <c r="M65" s="40"/>
      <c r="N65" s="112"/>
    </row>
    <row r="66" spans="1:14" s="35" customFormat="1" ht="38.25" customHeight="1">
      <c r="A66" s="34" t="s">
        <v>276</v>
      </c>
      <c r="B66" s="227" t="s">
        <v>255</v>
      </c>
      <c r="C66" s="228"/>
      <c r="D66" s="32" t="s">
        <v>135</v>
      </c>
      <c r="E66" s="33" t="s">
        <v>236</v>
      </c>
      <c r="F66" s="229" t="s">
        <v>244</v>
      </c>
      <c r="G66" s="230"/>
      <c r="H66" s="230"/>
      <c r="I66" s="230"/>
      <c r="J66" s="231"/>
      <c r="K66" s="229"/>
      <c r="L66" s="231"/>
      <c r="M66" s="40"/>
      <c r="N66" s="112"/>
    </row>
    <row r="67" spans="1:14" s="35" customFormat="1" ht="38.25" customHeight="1">
      <c r="A67" s="34" t="s">
        <v>277</v>
      </c>
      <c r="B67" s="227" t="s">
        <v>256</v>
      </c>
      <c r="C67" s="228"/>
      <c r="D67" s="32" t="s">
        <v>135</v>
      </c>
      <c r="E67" s="33" t="s">
        <v>236</v>
      </c>
      <c r="F67" s="229" t="s">
        <v>244</v>
      </c>
      <c r="G67" s="230"/>
      <c r="H67" s="230"/>
      <c r="I67" s="230"/>
      <c r="J67" s="231"/>
      <c r="K67" s="229"/>
      <c r="L67" s="231"/>
      <c r="M67" s="40"/>
      <c r="N67" s="112"/>
    </row>
    <row r="68" spans="1:14" s="35" customFormat="1" ht="38.25" customHeight="1">
      <c r="A68" s="34" t="s">
        <v>278</v>
      </c>
      <c r="B68" s="227" t="s">
        <v>257</v>
      </c>
      <c r="C68" s="228"/>
      <c r="D68" s="32" t="s">
        <v>135</v>
      </c>
      <c r="E68" s="33" t="s">
        <v>236</v>
      </c>
      <c r="F68" s="229" t="s">
        <v>244</v>
      </c>
      <c r="G68" s="230"/>
      <c r="H68" s="230"/>
      <c r="I68" s="230"/>
      <c r="J68" s="231"/>
      <c r="K68" s="229"/>
      <c r="L68" s="231"/>
      <c r="M68" s="40"/>
      <c r="N68" s="112"/>
    </row>
    <row r="69" spans="1:14" s="35" customFormat="1" ht="38.25" customHeight="1">
      <c r="A69" s="34" t="s">
        <v>279</v>
      </c>
      <c r="B69" s="227" t="s">
        <v>258</v>
      </c>
      <c r="C69" s="228"/>
      <c r="D69" s="32" t="s">
        <v>135</v>
      </c>
      <c r="E69" s="33" t="s">
        <v>236</v>
      </c>
      <c r="F69" s="229" t="s">
        <v>244</v>
      </c>
      <c r="G69" s="230"/>
      <c r="H69" s="230"/>
      <c r="I69" s="230"/>
      <c r="J69" s="231"/>
      <c r="K69" s="229"/>
      <c r="L69" s="231"/>
      <c r="M69" s="40"/>
      <c r="N69" s="112"/>
    </row>
    <row r="70" spans="1:14" s="35" customFormat="1" ht="38.25" customHeight="1">
      <c r="A70" s="34">
        <v>9.8000000000000007</v>
      </c>
      <c r="B70" s="227" t="s">
        <v>259</v>
      </c>
      <c r="C70" s="228"/>
      <c r="D70" s="32" t="s">
        <v>135</v>
      </c>
      <c r="E70" s="33" t="s">
        <v>236</v>
      </c>
      <c r="F70" s="229" t="s">
        <v>244</v>
      </c>
      <c r="G70" s="230"/>
      <c r="H70" s="230"/>
      <c r="I70" s="230"/>
      <c r="J70" s="231"/>
      <c r="K70" s="229"/>
      <c r="L70" s="231"/>
      <c r="M70" s="40"/>
      <c r="N70" s="112"/>
    </row>
    <row r="71" spans="1:14" s="35" customFormat="1" ht="38.25" customHeight="1">
      <c r="A71" s="34" t="s">
        <v>280</v>
      </c>
      <c r="B71" s="227" t="s">
        <v>260</v>
      </c>
      <c r="C71" s="228"/>
      <c r="D71" s="32" t="s">
        <v>135</v>
      </c>
      <c r="E71" s="33" t="s">
        <v>236</v>
      </c>
      <c r="F71" s="229" t="s">
        <v>244</v>
      </c>
      <c r="G71" s="230"/>
      <c r="H71" s="230"/>
      <c r="I71" s="230"/>
      <c r="J71" s="231"/>
      <c r="K71" s="229"/>
      <c r="L71" s="231"/>
      <c r="M71" s="40"/>
      <c r="N71" s="112"/>
    </row>
    <row r="72" spans="1:14" s="35" customFormat="1" ht="41.25" customHeight="1">
      <c r="A72" s="34" t="s">
        <v>281</v>
      </c>
      <c r="B72" s="227" t="s">
        <v>261</v>
      </c>
      <c r="C72" s="228"/>
      <c r="D72" s="32" t="s">
        <v>135</v>
      </c>
      <c r="E72" s="33" t="s">
        <v>236</v>
      </c>
      <c r="F72" s="229" t="s">
        <v>244</v>
      </c>
      <c r="G72" s="230"/>
      <c r="H72" s="230"/>
      <c r="I72" s="230"/>
      <c r="J72" s="231"/>
      <c r="K72" s="229"/>
      <c r="L72" s="231"/>
      <c r="M72" s="40"/>
      <c r="N72" s="112"/>
    </row>
    <row r="73" spans="1:14" s="35" customFormat="1" ht="41.25" customHeight="1">
      <c r="A73" s="34" t="s">
        <v>282</v>
      </c>
      <c r="B73" s="227" t="s">
        <v>262</v>
      </c>
      <c r="C73" s="228"/>
      <c r="D73" s="32" t="s">
        <v>135</v>
      </c>
      <c r="E73" s="33" t="s">
        <v>236</v>
      </c>
      <c r="F73" s="229" t="s">
        <v>244</v>
      </c>
      <c r="G73" s="230"/>
      <c r="H73" s="230"/>
      <c r="I73" s="230"/>
      <c r="J73" s="231"/>
      <c r="K73" s="229"/>
      <c r="L73" s="231"/>
      <c r="M73" s="40"/>
      <c r="N73" s="112"/>
    </row>
    <row r="74" spans="1:14" s="35" customFormat="1" ht="47.25" customHeight="1">
      <c r="A74" s="34" t="s">
        <v>283</v>
      </c>
      <c r="B74" s="227" t="s">
        <v>263</v>
      </c>
      <c r="C74" s="228"/>
      <c r="D74" s="32" t="s">
        <v>135</v>
      </c>
      <c r="E74" s="33" t="s">
        <v>236</v>
      </c>
      <c r="F74" s="229" t="s">
        <v>244</v>
      </c>
      <c r="G74" s="230"/>
      <c r="H74" s="230"/>
      <c r="I74" s="230"/>
      <c r="J74" s="231"/>
      <c r="K74" s="229"/>
      <c r="L74" s="231"/>
      <c r="M74" s="40"/>
      <c r="N74" s="112"/>
    </row>
    <row r="75" spans="1:14" s="35" customFormat="1" ht="44.25" customHeight="1">
      <c r="A75" s="34" t="s">
        <v>284</v>
      </c>
      <c r="B75" s="227" t="s">
        <v>264</v>
      </c>
      <c r="C75" s="228"/>
      <c r="D75" s="32" t="s">
        <v>135</v>
      </c>
      <c r="E75" s="33" t="s">
        <v>236</v>
      </c>
      <c r="F75" s="229" t="s">
        <v>244</v>
      </c>
      <c r="G75" s="230"/>
      <c r="H75" s="230"/>
      <c r="I75" s="230"/>
      <c r="J75" s="231"/>
      <c r="K75" s="229"/>
      <c r="L75" s="231"/>
      <c r="M75" s="40"/>
      <c r="N75" s="112"/>
    </row>
  </sheetData>
  <mergeCells count="215">
    <mergeCell ref="A1:L1"/>
    <mergeCell ref="A2:L2"/>
    <mergeCell ref="B6:C6"/>
    <mergeCell ref="F6:J6"/>
    <mergeCell ref="K6:L6"/>
    <mergeCell ref="B7:C7"/>
    <mergeCell ref="F7:J7"/>
    <mergeCell ref="K7:L7"/>
    <mergeCell ref="B8:C8"/>
    <mergeCell ref="F8:J8"/>
    <mergeCell ref="K8:L8"/>
    <mergeCell ref="B5:C5"/>
    <mergeCell ref="F5:J5"/>
    <mergeCell ref="K5:L5"/>
    <mergeCell ref="B11:C11"/>
    <mergeCell ref="F11:J11"/>
    <mergeCell ref="K11:L11"/>
    <mergeCell ref="B12:C12"/>
    <mergeCell ref="F12:J12"/>
    <mergeCell ref="K12:L12"/>
    <mergeCell ref="B9:C9"/>
    <mergeCell ref="F9:J9"/>
    <mergeCell ref="K9:L9"/>
    <mergeCell ref="B10:C10"/>
    <mergeCell ref="F10:J10"/>
    <mergeCell ref="K10:L10"/>
    <mergeCell ref="B15:C15"/>
    <mergeCell ref="F15:J15"/>
    <mergeCell ref="K15:L15"/>
    <mergeCell ref="B16:C16"/>
    <mergeCell ref="F16:J16"/>
    <mergeCell ref="K16:L16"/>
    <mergeCell ref="B13:C13"/>
    <mergeCell ref="F13:J13"/>
    <mergeCell ref="K13:L13"/>
    <mergeCell ref="B14:C14"/>
    <mergeCell ref="F14:J14"/>
    <mergeCell ref="K14:L14"/>
    <mergeCell ref="B19:C19"/>
    <mergeCell ref="F19:J19"/>
    <mergeCell ref="K19:L19"/>
    <mergeCell ref="B20:C20"/>
    <mergeCell ref="F20:J20"/>
    <mergeCell ref="K20:L20"/>
    <mergeCell ref="B17:C17"/>
    <mergeCell ref="F17:J17"/>
    <mergeCell ref="K17:L17"/>
    <mergeCell ref="B18:C18"/>
    <mergeCell ref="F18:J18"/>
    <mergeCell ref="K18:L18"/>
    <mergeCell ref="B23:C23"/>
    <mergeCell ref="F23:J23"/>
    <mergeCell ref="K23:L23"/>
    <mergeCell ref="B24:C24"/>
    <mergeCell ref="F24:J24"/>
    <mergeCell ref="K24:L24"/>
    <mergeCell ref="B21:C21"/>
    <mergeCell ref="F21:J21"/>
    <mergeCell ref="K21:L21"/>
    <mergeCell ref="B22:C22"/>
    <mergeCell ref="F22:J22"/>
    <mergeCell ref="K22:L22"/>
    <mergeCell ref="B27:C27"/>
    <mergeCell ref="F27:J27"/>
    <mergeCell ref="K27:L27"/>
    <mergeCell ref="B28:C28"/>
    <mergeCell ref="F28:J28"/>
    <mergeCell ref="K28:L28"/>
    <mergeCell ref="B25:C25"/>
    <mergeCell ref="F25:J25"/>
    <mergeCell ref="K25:L25"/>
    <mergeCell ref="B26:C26"/>
    <mergeCell ref="F26:J26"/>
    <mergeCell ref="K26:L26"/>
    <mergeCell ref="B31:C31"/>
    <mergeCell ref="F31:J31"/>
    <mergeCell ref="K31:L31"/>
    <mergeCell ref="B32:C32"/>
    <mergeCell ref="F32:J32"/>
    <mergeCell ref="K32:L32"/>
    <mergeCell ref="B29:C29"/>
    <mergeCell ref="F29:J29"/>
    <mergeCell ref="K29:L29"/>
    <mergeCell ref="B30:C30"/>
    <mergeCell ref="F30:J30"/>
    <mergeCell ref="K30:L30"/>
    <mergeCell ref="B35:C35"/>
    <mergeCell ref="F35:J35"/>
    <mergeCell ref="K35:L35"/>
    <mergeCell ref="B36:C36"/>
    <mergeCell ref="F36:J36"/>
    <mergeCell ref="K36:L36"/>
    <mergeCell ref="B33:C33"/>
    <mergeCell ref="F33:J33"/>
    <mergeCell ref="K33:L33"/>
    <mergeCell ref="B34:C34"/>
    <mergeCell ref="F34:J34"/>
    <mergeCell ref="K34:L34"/>
    <mergeCell ref="B39:C39"/>
    <mergeCell ref="F39:J39"/>
    <mergeCell ref="K39:L39"/>
    <mergeCell ref="B40:C40"/>
    <mergeCell ref="F40:J40"/>
    <mergeCell ref="K40:L40"/>
    <mergeCell ref="B37:C37"/>
    <mergeCell ref="F37:J37"/>
    <mergeCell ref="K37:L37"/>
    <mergeCell ref="B38:C38"/>
    <mergeCell ref="F38:J38"/>
    <mergeCell ref="K38:L38"/>
    <mergeCell ref="B43:C43"/>
    <mergeCell ref="F43:J43"/>
    <mergeCell ref="K43:L43"/>
    <mergeCell ref="B44:C44"/>
    <mergeCell ref="F44:J44"/>
    <mergeCell ref="K44:L44"/>
    <mergeCell ref="B41:C41"/>
    <mergeCell ref="F41:J41"/>
    <mergeCell ref="K41:L41"/>
    <mergeCell ref="B42:C42"/>
    <mergeCell ref="F42:J42"/>
    <mergeCell ref="K42:L42"/>
    <mergeCell ref="B47:C47"/>
    <mergeCell ref="F47:J47"/>
    <mergeCell ref="K47:L47"/>
    <mergeCell ref="B48:C48"/>
    <mergeCell ref="F48:J48"/>
    <mergeCell ref="K48:L48"/>
    <mergeCell ref="B45:C45"/>
    <mergeCell ref="F45:J45"/>
    <mergeCell ref="K45:L45"/>
    <mergeCell ref="B46:C46"/>
    <mergeCell ref="F46:J46"/>
    <mergeCell ref="K46:L46"/>
    <mergeCell ref="B51:C51"/>
    <mergeCell ref="F51:J51"/>
    <mergeCell ref="K51:L51"/>
    <mergeCell ref="B52:C52"/>
    <mergeCell ref="F52:J52"/>
    <mergeCell ref="K52:L52"/>
    <mergeCell ref="B49:C49"/>
    <mergeCell ref="F49:J49"/>
    <mergeCell ref="K49:L49"/>
    <mergeCell ref="B50:C50"/>
    <mergeCell ref="F50:J50"/>
    <mergeCell ref="K50:L50"/>
    <mergeCell ref="B55:C55"/>
    <mergeCell ref="F55:J55"/>
    <mergeCell ref="K55:L55"/>
    <mergeCell ref="B56:C56"/>
    <mergeCell ref="F56:J56"/>
    <mergeCell ref="K56:L56"/>
    <mergeCell ref="B53:C53"/>
    <mergeCell ref="F53:J53"/>
    <mergeCell ref="K53:L53"/>
    <mergeCell ref="B54:C54"/>
    <mergeCell ref="F54:J54"/>
    <mergeCell ref="K54:L54"/>
    <mergeCell ref="B59:C59"/>
    <mergeCell ref="F59:J59"/>
    <mergeCell ref="K59:L59"/>
    <mergeCell ref="B60:C60"/>
    <mergeCell ref="F60:J60"/>
    <mergeCell ref="K60:L60"/>
    <mergeCell ref="B57:C57"/>
    <mergeCell ref="F57:J57"/>
    <mergeCell ref="K57:L57"/>
    <mergeCell ref="B58:C58"/>
    <mergeCell ref="F58:J58"/>
    <mergeCell ref="K58:L58"/>
    <mergeCell ref="B63:C63"/>
    <mergeCell ref="F63:J63"/>
    <mergeCell ref="K63:L63"/>
    <mergeCell ref="B64:C64"/>
    <mergeCell ref="F64:J64"/>
    <mergeCell ref="K64:L64"/>
    <mergeCell ref="B61:C61"/>
    <mergeCell ref="F61:J61"/>
    <mergeCell ref="K61:L61"/>
    <mergeCell ref="B62:C62"/>
    <mergeCell ref="F62:J62"/>
    <mergeCell ref="K62:L62"/>
    <mergeCell ref="B67:C67"/>
    <mergeCell ref="F67:J67"/>
    <mergeCell ref="K67:L67"/>
    <mergeCell ref="B68:C68"/>
    <mergeCell ref="F68:J68"/>
    <mergeCell ref="K68:L68"/>
    <mergeCell ref="B65:C65"/>
    <mergeCell ref="F65:J65"/>
    <mergeCell ref="K65:L65"/>
    <mergeCell ref="B66:C66"/>
    <mergeCell ref="F66:J66"/>
    <mergeCell ref="K66:L66"/>
    <mergeCell ref="B71:C71"/>
    <mergeCell ref="F71:J71"/>
    <mergeCell ref="K71:L71"/>
    <mergeCell ref="B72:C72"/>
    <mergeCell ref="F72:J72"/>
    <mergeCell ref="K72:L72"/>
    <mergeCell ref="B69:C69"/>
    <mergeCell ref="F69:J69"/>
    <mergeCell ref="K69:L69"/>
    <mergeCell ref="B70:C70"/>
    <mergeCell ref="F70:J70"/>
    <mergeCell ref="K70:L70"/>
    <mergeCell ref="B75:C75"/>
    <mergeCell ref="F75:J75"/>
    <mergeCell ref="K75:L75"/>
    <mergeCell ref="B73:C73"/>
    <mergeCell ref="F73:J73"/>
    <mergeCell ref="K73:L73"/>
    <mergeCell ref="B74:C74"/>
    <mergeCell ref="F74:J74"/>
    <mergeCell ref="K74:L74"/>
  </mergeCells>
  <phoneticPr fontId="14" type="noConversion"/>
  <pageMargins left="0.70866141732283472" right="0.70866141732283472" top="0.74803149606299213" bottom="0.74803149606299213" header="0.31496062992125984" footer="0.31496062992125984"/>
  <pageSetup paperSize="9" scale="89" fitToHeight="0" orientation="landscape" blackAndWhite="1"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O94"/>
  <sheetViews>
    <sheetView view="pageBreakPreview" topLeftCell="A7" zoomScaleNormal="115" zoomScaleSheetLayoutView="100" workbookViewId="0">
      <selection activeCell="J14" sqref="J14"/>
    </sheetView>
  </sheetViews>
  <sheetFormatPr defaultColWidth="9" defaultRowHeight="13.8"/>
  <cols>
    <col min="1" max="1" width="5.5" style="10" customWidth="1"/>
    <col min="2" max="2" width="9.5" style="10" customWidth="1"/>
    <col min="3" max="3" width="6.5" style="10" customWidth="1"/>
    <col min="4" max="4" width="11.796875" style="10" customWidth="1"/>
    <col min="5" max="5" width="11" style="10" customWidth="1"/>
    <col min="6" max="6" width="6.296875" style="10" customWidth="1"/>
    <col min="7" max="7" width="10.69921875" style="10" customWidth="1"/>
    <col min="8" max="8" width="11.5" style="10" customWidth="1"/>
    <col min="9" max="9" width="7" style="10" customWidth="1"/>
    <col min="10" max="10" width="9.796875" style="10" customWidth="1"/>
    <col min="11" max="11" width="8.296875" style="10" customWidth="1"/>
    <col min="12" max="12" width="11.09765625" style="10" customWidth="1"/>
    <col min="13" max="13" width="9.69921875" style="10" customWidth="1"/>
    <col min="14" max="16384" width="9" style="10"/>
  </cols>
  <sheetData>
    <row r="1" spans="1:15" s="94" customFormat="1" ht="19.95" customHeight="1">
      <c r="A1" s="247" t="s">
        <v>60</v>
      </c>
      <c r="B1" s="248"/>
      <c r="C1" s="248"/>
      <c r="D1" s="248"/>
      <c r="E1" s="248"/>
      <c r="F1" s="248"/>
      <c r="G1" s="248"/>
      <c r="H1" s="248"/>
      <c r="I1" s="248"/>
      <c r="J1" s="248"/>
      <c r="K1" s="248"/>
      <c r="L1" s="248"/>
      <c r="M1" s="248"/>
      <c r="N1" s="248"/>
    </row>
    <row r="2" spans="1:15" s="95" customFormat="1" ht="19.95" customHeight="1">
      <c r="A2" s="249" t="s">
        <v>453</v>
      </c>
      <c r="B2" s="250"/>
      <c r="C2" s="250"/>
      <c r="D2" s="250"/>
      <c r="E2" s="250"/>
      <c r="F2" s="250"/>
      <c r="G2" s="250"/>
      <c r="H2" s="250"/>
      <c r="I2" s="250"/>
      <c r="J2" s="250"/>
      <c r="K2" s="250"/>
      <c r="L2" s="250"/>
      <c r="M2" s="250"/>
      <c r="N2" s="250"/>
    </row>
    <row r="3" spans="1:15" ht="19.95" customHeight="1">
      <c r="A3" s="10" t="str">
        <f>底稿目录!A2</f>
        <v>被审计单位：</v>
      </c>
      <c r="B3" s="18"/>
      <c r="E3" s="10" t="str">
        <f>底稿目录!A4</f>
        <v>编制人：</v>
      </c>
      <c r="I3" s="10" t="str">
        <f>底稿目录!A5</f>
        <v>编制日期：</v>
      </c>
      <c r="M3" s="15" t="s">
        <v>19</v>
      </c>
      <c r="N3" s="220" t="str">
        <f>底稿目录!F3</f>
        <v>F2-38</v>
      </c>
    </row>
    <row r="4" spans="1:15" ht="19.95" customHeight="1">
      <c r="A4" s="10" t="str">
        <f>底稿目录!A3</f>
        <v>截止日：202X年12月31日</v>
      </c>
      <c r="B4" s="18"/>
      <c r="E4" s="15" t="str">
        <f>底稿目录!A6</f>
        <v>复核人：</v>
      </c>
      <c r="I4" s="15" t="str">
        <f>底稿目录!A7</f>
        <v>复核日期：</v>
      </c>
      <c r="M4" s="15" t="s">
        <v>62</v>
      </c>
    </row>
    <row r="5" spans="1:15" s="4" customFormat="1" ht="19.95" customHeight="1">
      <c r="A5" s="14" t="s">
        <v>5</v>
      </c>
      <c r="B5" s="8"/>
      <c r="C5" s="8"/>
      <c r="D5" s="8"/>
      <c r="E5" s="8"/>
      <c r="F5" s="8"/>
      <c r="G5" s="8"/>
      <c r="H5" s="8"/>
      <c r="I5" s="8"/>
    </row>
    <row r="6" spans="1:15" s="4" customFormat="1" ht="19.95" customHeight="1">
      <c r="A6" s="13" t="s">
        <v>452</v>
      </c>
      <c r="B6" s="64"/>
      <c r="C6" s="13"/>
      <c r="D6" s="13"/>
      <c r="E6" s="13"/>
      <c r="F6" s="13"/>
      <c r="G6" s="13"/>
      <c r="H6" s="13"/>
      <c r="I6" s="13"/>
    </row>
    <row r="7" spans="1:15" s="4" customFormat="1" ht="19.95" customHeight="1">
      <c r="A7" s="14" t="s">
        <v>7</v>
      </c>
      <c r="B7" s="8"/>
      <c r="C7" s="8"/>
      <c r="D7" s="8"/>
      <c r="E7" s="8"/>
      <c r="F7" s="8"/>
      <c r="G7" s="8"/>
      <c r="H7" s="8"/>
      <c r="I7" s="8"/>
    </row>
    <row r="8" spans="1:15" s="4" customFormat="1" ht="19.95" customHeight="1">
      <c r="A8" s="13"/>
      <c r="B8" s="13"/>
      <c r="C8" s="13"/>
      <c r="D8" s="13"/>
      <c r="E8" s="13"/>
      <c r="F8" s="13"/>
      <c r="G8" s="13"/>
      <c r="H8" s="13"/>
      <c r="I8" s="13"/>
    </row>
    <row r="9" spans="1:15" s="4" customFormat="1" ht="19.95" customHeight="1">
      <c r="A9" s="14" t="s">
        <v>6</v>
      </c>
      <c r="B9" s="5"/>
      <c r="C9" s="5"/>
      <c r="D9" s="6"/>
      <c r="E9" s="7"/>
    </row>
    <row r="10" spans="1:15" s="66" customFormat="1" ht="19.95" customHeight="1">
      <c r="A10" s="67" t="s">
        <v>75</v>
      </c>
      <c r="B10" s="19"/>
      <c r="C10" s="19"/>
      <c r="D10" s="65" t="s">
        <v>494</v>
      </c>
      <c r="E10" s="19"/>
      <c r="F10" s="19"/>
      <c r="G10" s="19"/>
      <c r="H10" s="19"/>
      <c r="I10" s="19"/>
      <c r="J10" s="19"/>
      <c r="O10" s="65"/>
    </row>
    <row r="11" spans="1:15" s="66" customFormat="1" ht="19.95" customHeight="1">
      <c r="A11" s="67" t="s">
        <v>20</v>
      </c>
      <c r="B11" s="19"/>
      <c r="C11" s="97" t="s">
        <v>15</v>
      </c>
      <c r="D11" s="98"/>
      <c r="E11" s="19"/>
      <c r="F11" s="19"/>
      <c r="G11" s="19"/>
      <c r="H11" s="19"/>
      <c r="I11" s="19"/>
      <c r="J11" s="19"/>
    </row>
    <row r="12" spans="1:15" ht="19.95" customHeight="1">
      <c r="A12" s="246" t="s">
        <v>78</v>
      </c>
      <c r="B12" s="69" t="s">
        <v>76</v>
      </c>
      <c r="C12" s="70"/>
      <c r="D12" s="70"/>
      <c r="E12" s="69" t="s">
        <v>9</v>
      </c>
      <c r="F12" s="70"/>
      <c r="G12" s="70"/>
      <c r="H12" s="69" t="s">
        <v>77</v>
      </c>
      <c r="I12" s="70"/>
      <c r="J12" s="70"/>
      <c r="K12" s="69" t="s">
        <v>10</v>
      </c>
      <c r="L12" s="70"/>
      <c r="M12" s="70"/>
      <c r="N12" s="155" t="s">
        <v>3</v>
      </c>
    </row>
    <row r="13" spans="1:15" ht="19.95" customHeight="1">
      <c r="A13" s="246"/>
      <c r="B13" s="155" t="s">
        <v>79</v>
      </c>
      <c r="C13" s="155" t="s">
        <v>2</v>
      </c>
      <c r="D13" s="155" t="s">
        <v>16</v>
      </c>
      <c r="E13" s="155" t="s">
        <v>79</v>
      </c>
      <c r="F13" s="155" t="s">
        <v>2</v>
      </c>
      <c r="G13" s="155" t="s">
        <v>16</v>
      </c>
      <c r="H13" s="93" t="s">
        <v>79</v>
      </c>
      <c r="I13" s="93" t="s">
        <v>2</v>
      </c>
      <c r="J13" s="93" t="s">
        <v>16</v>
      </c>
      <c r="K13" s="155" t="s">
        <v>2</v>
      </c>
      <c r="L13" s="155" t="s">
        <v>16</v>
      </c>
      <c r="M13" s="155" t="s">
        <v>11</v>
      </c>
      <c r="N13" s="155" t="s">
        <v>80</v>
      </c>
    </row>
    <row r="14" spans="1:15" ht="19.95" customHeight="1">
      <c r="A14" s="161" t="s">
        <v>81</v>
      </c>
      <c r="B14" s="162" t="s">
        <v>82</v>
      </c>
      <c r="C14" s="162" t="s">
        <v>83</v>
      </c>
      <c r="D14" s="162" t="s">
        <v>70</v>
      </c>
      <c r="E14" s="162" t="s">
        <v>71</v>
      </c>
      <c r="F14" s="162" t="s">
        <v>72</v>
      </c>
      <c r="G14" s="162" t="s">
        <v>73</v>
      </c>
      <c r="H14" s="20"/>
      <c r="I14" s="157">
        <f>IF(ISERROR(J14/H14),0,J14/H14)</f>
        <v>0</v>
      </c>
      <c r="J14" s="20"/>
      <c r="K14" s="160" t="s">
        <v>84</v>
      </c>
      <c r="L14" s="162" t="s">
        <v>85</v>
      </c>
      <c r="M14" s="157">
        <f>J14</f>
        <v>0</v>
      </c>
      <c r="N14" s="160" t="s">
        <v>86</v>
      </c>
    </row>
    <row r="15" spans="1:15" ht="19.95" customHeight="1">
      <c r="A15" s="57" t="s">
        <v>87</v>
      </c>
      <c r="B15" s="9"/>
      <c r="C15" s="157">
        <f>IF(ISERROR(D15/B15),0,D15/B15)</f>
        <v>0</v>
      </c>
      <c r="D15" s="9"/>
      <c r="E15" s="9"/>
      <c r="F15" s="157">
        <f>IF(ISERROR(G15/E15),0,G15/E15)</f>
        <v>0</v>
      </c>
      <c r="G15" s="41"/>
      <c r="H15" s="157">
        <f>H14+B15-E15</f>
        <v>0</v>
      </c>
      <c r="I15" s="157">
        <f>IF(ISERROR(J15/H15),0,J15/H15)</f>
        <v>0</v>
      </c>
      <c r="J15" s="157">
        <f>J14+D15-G15</f>
        <v>0</v>
      </c>
      <c r="K15" s="157">
        <f>IF(ISERROR((M14+D15)/(H14+B15)),0,(M14+D15)/(H14+B15))</f>
        <v>0</v>
      </c>
      <c r="L15" s="157">
        <f>K15*E15</f>
        <v>0</v>
      </c>
      <c r="M15" s="157">
        <f>M14+D15-L15</f>
        <v>0</v>
      </c>
      <c r="N15" s="159">
        <f>L15-G15</f>
        <v>0</v>
      </c>
    </row>
    <row r="16" spans="1:15" ht="19.95" customHeight="1">
      <c r="A16" s="57" t="s">
        <v>88</v>
      </c>
      <c r="B16" s="9"/>
      <c r="C16" s="157">
        <f t="shared" ref="C16:C27" si="0">IF(ISERROR(D16/B16),0,D16/B16)</f>
        <v>0</v>
      </c>
      <c r="D16" s="9"/>
      <c r="E16" s="9"/>
      <c r="F16" s="157">
        <f t="shared" ref="F16:F27" si="1">IF(ISERROR(G16/E16),0,G16/E16)</f>
        <v>0</v>
      </c>
      <c r="G16" s="41"/>
      <c r="H16" s="157">
        <f t="shared" ref="H16:H26" si="2">H15+B16-E16</f>
        <v>0</v>
      </c>
      <c r="I16" s="157">
        <f t="shared" ref="I16:I27" si="3">IF(ISERROR(J16/H16),0,J16/H16)</f>
        <v>0</v>
      </c>
      <c r="J16" s="157">
        <f t="shared" ref="J16:J26" si="4">J15+D16-G16</f>
        <v>0</v>
      </c>
      <c r="K16" s="157">
        <f t="shared" ref="K16:K26" si="5">IF(ISERROR((M15+D16)/(H15+B16)),0,(M15+D16)/(H15+B16))</f>
        <v>0</v>
      </c>
      <c r="L16" s="157">
        <f t="shared" ref="L16:L26" si="6">K16*E16</f>
        <v>0</v>
      </c>
      <c r="M16" s="157">
        <f t="shared" ref="M16:M26" si="7">M15+D16-L16</f>
        <v>0</v>
      </c>
      <c r="N16" s="159">
        <f t="shared" ref="N16:N26" si="8">L16-G16</f>
        <v>0</v>
      </c>
    </row>
    <row r="17" spans="1:14" ht="19.95" customHeight="1">
      <c r="A17" s="57" t="s">
        <v>89</v>
      </c>
      <c r="B17" s="9"/>
      <c r="C17" s="157">
        <f t="shared" si="0"/>
        <v>0</v>
      </c>
      <c r="D17" s="9"/>
      <c r="E17" s="9"/>
      <c r="F17" s="157">
        <f t="shared" si="1"/>
        <v>0</v>
      </c>
      <c r="G17" s="41"/>
      <c r="H17" s="157">
        <f t="shared" si="2"/>
        <v>0</v>
      </c>
      <c r="I17" s="157">
        <f t="shared" si="3"/>
        <v>0</v>
      </c>
      <c r="J17" s="157">
        <f t="shared" si="4"/>
        <v>0</v>
      </c>
      <c r="K17" s="157">
        <f t="shared" si="5"/>
        <v>0</v>
      </c>
      <c r="L17" s="157">
        <f t="shared" si="6"/>
        <v>0</v>
      </c>
      <c r="M17" s="157">
        <f t="shared" si="7"/>
        <v>0</v>
      </c>
      <c r="N17" s="159">
        <f t="shared" si="8"/>
        <v>0</v>
      </c>
    </row>
    <row r="18" spans="1:14" ht="19.95" customHeight="1">
      <c r="A18" s="57" t="s">
        <v>90</v>
      </c>
      <c r="B18" s="9"/>
      <c r="C18" s="157">
        <f t="shared" si="0"/>
        <v>0</v>
      </c>
      <c r="D18" s="9"/>
      <c r="E18" s="9"/>
      <c r="F18" s="157">
        <f t="shared" si="1"/>
        <v>0</v>
      </c>
      <c r="G18" s="41"/>
      <c r="H18" s="157">
        <f t="shared" si="2"/>
        <v>0</v>
      </c>
      <c r="I18" s="157">
        <f t="shared" si="3"/>
        <v>0</v>
      </c>
      <c r="J18" s="157">
        <f t="shared" si="4"/>
        <v>0</v>
      </c>
      <c r="K18" s="157">
        <f t="shared" si="5"/>
        <v>0</v>
      </c>
      <c r="L18" s="157">
        <f t="shared" si="6"/>
        <v>0</v>
      </c>
      <c r="M18" s="157">
        <f t="shared" si="7"/>
        <v>0</v>
      </c>
      <c r="N18" s="159">
        <f t="shared" si="8"/>
        <v>0</v>
      </c>
    </row>
    <row r="19" spans="1:14" ht="19.95" customHeight="1">
      <c r="A19" s="57" t="s">
        <v>91</v>
      </c>
      <c r="B19" s="9"/>
      <c r="C19" s="157">
        <f t="shared" si="0"/>
        <v>0</v>
      </c>
      <c r="D19" s="9"/>
      <c r="E19" s="9"/>
      <c r="F19" s="157">
        <f t="shared" si="1"/>
        <v>0</v>
      </c>
      <c r="G19" s="41"/>
      <c r="H19" s="157">
        <f t="shared" si="2"/>
        <v>0</v>
      </c>
      <c r="I19" s="157">
        <f t="shared" si="3"/>
        <v>0</v>
      </c>
      <c r="J19" s="157">
        <f t="shared" si="4"/>
        <v>0</v>
      </c>
      <c r="K19" s="157">
        <f t="shared" si="5"/>
        <v>0</v>
      </c>
      <c r="L19" s="157">
        <f t="shared" si="6"/>
        <v>0</v>
      </c>
      <c r="M19" s="157">
        <f t="shared" si="7"/>
        <v>0</v>
      </c>
      <c r="N19" s="159">
        <f t="shared" si="8"/>
        <v>0</v>
      </c>
    </row>
    <row r="20" spans="1:14" s="16" customFormat="1" ht="19.95" customHeight="1">
      <c r="A20" s="57" t="s">
        <v>92</v>
      </c>
      <c r="B20" s="9"/>
      <c r="C20" s="157">
        <f t="shared" si="0"/>
        <v>0</v>
      </c>
      <c r="D20" s="9"/>
      <c r="E20" s="9"/>
      <c r="F20" s="157">
        <f t="shared" si="1"/>
        <v>0</v>
      </c>
      <c r="G20" s="41"/>
      <c r="H20" s="157">
        <f t="shared" si="2"/>
        <v>0</v>
      </c>
      <c r="I20" s="157">
        <f t="shared" si="3"/>
        <v>0</v>
      </c>
      <c r="J20" s="157">
        <f t="shared" si="4"/>
        <v>0</v>
      </c>
      <c r="K20" s="157">
        <f t="shared" si="5"/>
        <v>0</v>
      </c>
      <c r="L20" s="157">
        <f t="shared" si="6"/>
        <v>0</v>
      </c>
      <c r="M20" s="157">
        <f t="shared" si="7"/>
        <v>0</v>
      </c>
      <c r="N20" s="159">
        <f t="shared" si="8"/>
        <v>0</v>
      </c>
    </row>
    <row r="21" spans="1:14" s="16" customFormat="1" ht="19.95" customHeight="1">
      <c r="A21" s="57" t="s">
        <v>93</v>
      </c>
      <c r="B21" s="9"/>
      <c r="C21" s="157">
        <f t="shared" si="0"/>
        <v>0</v>
      </c>
      <c r="D21" s="9"/>
      <c r="E21" s="9"/>
      <c r="F21" s="157">
        <f t="shared" si="1"/>
        <v>0</v>
      </c>
      <c r="G21" s="41"/>
      <c r="H21" s="157">
        <f t="shared" si="2"/>
        <v>0</v>
      </c>
      <c r="I21" s="157">
        <f t="shared" si="3"/>
        <v>0</v>
      </c>
      <c r="J21" s="157">
        <f t="shared" si="4"/>
        <v>0</v>
      </c>
      <c r="K21" s="157">
        <f t="shared" si="5"/>
        <v>0</v>
      </c>
      <c r="L21" s="157">
        <f t="shared" si="6"/>
        <v>0</v>
      </c>
      <c r="M21" s="157">
        <f t="shared" si="7"/>
        <v>0</v>
      </c>
      <c r="N21" s="159">
        <f t="shared" si="8"/>
        <v>0</v>
      </c>
    </row>
    <row r="22" spans="1:14" s="55" customFormat="1" ht="19.95" customHeight="1">
      <c r="A22" s="57" t="s">
        <v>94</v>
      </c>
      <c r="B22" s="9"/>
      <c r="C22" s="157">
        <f t="shared" si="0"/>
        <v>0</v>
      </c>
      <c r="D22" s="9"/>
      <c r="E22" s="9"/>
      <c r="F22" s="157">
        <f t="shared" si="1"/>
        <v>0</v>
      </c>
      <c r="G22" s="41"/>
      <c r="H22" s="157">
        <f t="shared" si="2"/>
        <v>0</v>
      </c>
      <c r="I22" s="157">
        <f t="shared" si="3"/>
        <v>0</v>
      </c>
      <c r="J22" s="157">
        <f t="shared" si="4"/>
        <v>0</v>
      </c>
      <c r="K22" s="157">
        <f t="shared" si="5"/>
        <v>0</v>
      </c>
      <c r="L22" s="157">
        <f t="shared" si="6"/>
        <v>0</v>
      </c>
      <c r="M22" s="157">
        <f t="shared" si="7"/>
        <v>0</v>
      </c>
      <c r="N22" s="159">
        <f t="shared" si="8"/>
        <v>0</v>
      </c>
    </row>
    <row r="23" spans="1:14" ht="19.95" customHeight="1">
      <c r="A23" s="57" t="s">
        <v>95</v>
      </c>
      <c r="B23" s="9"/>
      <c r="C23" s="157">
        <f t="shared" si="0"/>
        <v>0</v>
      </c>
      <c r="D23" s="9"/>
      <c r="E23" s="9"/>
      <c r="F23" s="157">
        <f t="shared" si="1"/>
        <v>0</v>
      </c>
      <c r="G23" s="41"/>
      <c r="H23" s="157">
        <f t="shared" si="2"/>
        <v>0</v>
      </c>
      <c r="I23" s="157">
        <f t="shared" si="3"/>
        <v>0</v>
      </c>
      <c r="J23" s="157">
        <f t="shared" si="4"/>
        <v>0</v>
      </c>
      <c r="K23" s="157">
        <f t="shared" si="5"/>
        <v>0</v>
      </c>
      <c r="L23" s="157">
        <f t="shared" si="6"/>
        <v>0</v>
      </c>
      <c r="M23" s="157">
        <f t="shared" si="7"/>
        <v>0</v>
      </c>
      <c r="N23" s="159">
        <f t="shared" si="8"/>
        <v>0</v>
      </c>
    </row>
    <row r="24" spans="1:14" ht="19.95" customHeight="1">
      <c r="A24" s="57" t="s">
        <v>96</v>
      </c>
      <c r="B24" s="9"/>
      <c r="C24" s="157">
        <f t="shared" si="0"/>
        <v>0</v>
      </c>
      <c r="D24" s="9"/>
      <c r="E24" s="9"/>
      <c r="F24" s="157">
        <f t="shared" si="1"/>
        <v>0</v>
      </c>
      <c r="G24" s="41"/>
      <c r="H24" s="157">
        <f t="shared" si="2"/>
        <v>0</v>
      </c>
      <c r="I24" s="157">
        <f t="shared" si="3"/>
        <v>0</v>
      </c>
      <c r="J24" s="157">
        <f t="shared" si="4"/>
        <v>0</v>
      </c>
      <c r="K24" s="157">
        <f t="shared" si="5"/>
        <v>0</v>
      </c>
      <c r="L24" s="157">
        <f t="shared" si="6"/>
        <v>0</v>
      </c>
      <c r="M24" s="157">
        <f t="shared" si="7"/>
        <v>0</v>
      </c>
      <c r="N24" s="159">
        <f t="shared" si="8"/>
        <v>0</v>
      </c>
    </row>
    <row r="25" spans="1:14" ht="19.95" customHeight="1">
      <c r="A25" s="57" t="s">
        <v>97</v>
      </c>
      <c r="B25" s="9"/>
      <c r="C25" s="157">
        <f t="shared" si="0"/>
        <v>0</v>
      </c>
      <c r="D25" s="9"/>
      <c r="E25" s="9"/>
      <c r="F25" s="157">
        <f t="shared" si="1"/>
        <v>0</v>
      </c>
      <c r="G25" s="41"/>
      <c r="H25" s="157">
        <f t="shared" si="2"/>
        <v>0</v>
      </c>
      <c r="I25" s="157">
        <f t="shared" si="3"/>
        <v>0</v>
      </c>
      <c r="J25" s="157">
        <f t="shared" si="4"/>
        <v>0</v>
      </c>
      <c r="K25" s="157">
        <f t="shared" si="5"/>
        <v>0</v>
      </c>
      <c r="L25" s="157">
        <f t="shared" si="6"/>
        <v>0</v>
      </c>
      <c r="M25" s="157">
        <f t="shared" si="7"/>
        <v>0</v>
      </c>
      <c r="N25" s="159">
        <f t="shared" si="8"/>
        <v>0</v>
      </c>
    </row>
    <row r="26" spans="1:14" ht="19.95" customHeight="1">
      <c r="A26" s="57" t="s">
        <v>98</v>
      </c>
      <c r="B26" s="9"/>
      <c r="C26" s="157">
        <f t="shared" si="0"/>
        <v>0</v>
      </c>
      <c r="D26" s="9"/>
      <c r="E26" s="9"/>
      <c r="F26" s="157">
        <f t="shared" si="1"/>
        <v>0</v>
      </c>
      <c r="G26" s="41"/>
      <c r="H26" s="157">
        <f t="shared" si="2"/>
        <v>0</v>
      </c>
      <c r="I26" s="157">
        <f t="shared" si="3"/>
        <v>0</v>
      </c>
      <c r="J26" s="157">
        <f t="shared" si="4"/>
        <v>0</v>
      </c>
      <c r="K26" s="157">
        <f t="shared" si="5"/>
        <v>0</v>
      </c>
      <c r="L26" s="157">
        <f t="shared" si="6"/>
        <v>0</v>
      </c>
      <c r="M26" s="157">
        <f t="shared" si="7"/>
        <v>0</v>
      </c>
      <c r="N26" s="159">
        <f t="shared" si="8"/>
        <v>0</v>
      </c>
    </row>
    <row r="27" spans="1:14" ht="19.95" customHeight="1">
      <c r="A27" s="155" t="s">
        <v>65</v>
      </c>
      <c r="B27" s="158">
        <f>SUM(B14:B26)</f>
        <v>0</v>
      </c>
      <c r="C27" s="158">
        <f t="shared" si="0"/>
        <v>0</v>
      </c>
      <c r="D27" s="158">
        <f>SUM(D14:D26)</f>
        <v>0</v>
      </c>
      <c r="E27" s="158">
        <f>SUM(E14:E26)</f>
        <v>0</v>
      </c>
      <c r="F27" s="158">
        <f t="shared" si="1"/>
        <v>0</v>
      </c>
      <c r="G27" s="158">
        <f>SUM(G24:G26)</f>
        <v>0</v>
      </c>
      <c r="H27" s="158">
        <f>H26</f>
        <v>0</v>
      </c>
      <c r="I27" s="158">
        <f t="shared" si="3"/>
        <v>0</v>
      </c>
      <c r="J27" s="158">
        <f>J26</f>
        <v>0</v>
      </c>
      <c r="K27" s="157"/>
      <c r="L27" s="158">
        <f>SUM(L15:L26)</f>
        <v>0</v>
      </c>
      <c r="M27" s="158">
        <f>M26</f>
        <v>0</v>
      </c>
      <c r="N27" s="158">
        <f>SUM(N15:N26)</f>
        <v>0</v>
      </c>
    </row>
    <row r="28" spans="1:14" s="66" customFormat="1" ht="19.95" customHeight="1">
      <c r="A28" s="67" t="s">
        <v>99</v>
      </c>
      <c r="B28" s="19"/>
      <c r="C28" s="97" t="s">
        <v>100</v>
      </c>
      <c r="D28" s="98"/>
      <c r="E28" s="19"/>
      <c r="F28" s="19"/>
      <c r="G28" s="19"/>
      <c r="H28" s="19"/>
      <c r="I28" s="19"/>
      <c r="J28" s="19"/>
    </row>
    <row r="29" spans="1:14" ht="19.95" customHeight="1">
      <c r="A29" s="246" t="s">
        <v>106</v>
      </c>
      <c r="B29" s="69" t="s">
        <v>101</v>
      </c>
      <c r="C29" s="70"/>
      <c r="D29" s="70"/>
      <c r="E29" s="69" t="s">
        <v>102</v>
      </c>
      <c r="F29" s="70"/>
      <c r="G29" s="70"/>
      <c r="H29" s="69" t="s">
        <v>103</v>
      </c>
      <c r="I29" s="70"/>
      <c r="J29" s="70"/>
      <c r="K29" s="69" t="s">
        <v>104</v>
      </c>
      <c r="L29" s="70"/>
      <c r="M29" s="70"/>
      <c r="N29" s="155" t="s">
        <v>105</v>
      </c>
    </row>
    <row r="30" spans="1:14" ht="19.95" customHeight="1">
      <c r="A30" s="246"/>
      <c r="B30" s="155" t="s">
        <v>107</v>
      </c>
      <c r="C30" s="155" t="s">
        <v>108</v>
      </c>
      <c r="D30" s="155" t="s">
        <v>109</v>
      </c>
      <c r="E30" s="155" t="s">
        <v>107</v>
      </c>
      <c r="F30" s="155" t="s">
        <v>108</v>
      </c>
      <c r="G30" s="155" t="s">
        <v>109</v>
      </c>
      <c r="H30" s="93" t="s">
        <v>107</v>
      </c>
      <c r="I30" s="93" t="s">
        <v>108</v>
      </c>
      <c r="J30" s="93" t="s">
        <v>109</v>
      </c>
      <c r="K30" s="155" t="s">
        <v>108</v>
      </c>
      <c r="L30" s="155" t="s">
        <v>109</v>
      </c>
      <c r="M30" s="155" t="s">
        <v>110</v>
      </c>
      <c r="N30" s="155" t="s">
        <v>111</v>
      </c>
    </row>
    <row r="31" spans="1:14" ht="19.95" customHeight="1">
      <c r="A31" s="161" t="s">
        <v>81</v>
      </c>
      <c r="B31" s="162" t="s">
        <v>68</v>
      </c>
      <c r="C31" s="162" t="s">
        <v>69</v>
      </c>
      <c r="D31" s="162" t="s">
        <v>70</v>
      </c>
      <c r="E31" s="162" t="s">
        <v>13</v>
      </c>
      <c r="F31" s="162" t="s">
        <v>61</v>
      </c>
      <c r="G31" s="162" t="s">
        <v>73</v>
      </c>
      <c r="H31" s="20"/>
      <c r="I31" s="157">
        <f>IF(ISERROR(J31/H31),0,J31/H31)</f>
        <v>0</v>
      </c>
      <c r="J31" s="20"/>
      <c r="K31" s="160" t="s">
        <v>84</v>
      </c>
      <c r="L31" s="162" t="s">
        <v>8</v>
      </c>
      <c r="M31" s="157">
        <f>J31</f>
        <v>0</v>
      </c>
      <c r="N31" s="160" t="s">
        <v>14</v>
      </c>
    </row>
    <row r="32" spans="1:14" ht="19.95" customHeight="1">
      <c r="A32" s="57" t="s">
        <v>23</v>
      </c>
      <c r="B32" s="9"/>
      <c r="C32" s="157">
        <f>IF(ISERROR(D32/B32),0,D32/B32)</f>
        <v>0</v>
      </c>
      <c r="D32" s="9"/>
      <c r="E32" s="9"/>
      <c r="F32" s="157">
        <f>IF(ISERROR(G32/E32),0,G32/E32)</f>
        <v>0</v>
      </c>
      <c r="G32" s="41"/>
      <c r="H32" s="157">
        <f t="shared" ref="H32:H43" si="9">H31+B32-E32</f>
        <v>0</v>
      </c>
      <c r="I32" s="157">
        <f t="shared" ref="I32:I44" si="10">IF(ISERROR(J32/H32),0,J32/H32)</f>
        <v>0</v>
      </c>
      <c r="J32" s="157">
        <f t="shared" ref="J32:J43" si="11">J31+D32-G32</f>
        <v>0</v>
      </c>
      <c r="K32" s="157">
        <f>IF(ISERROR((M31+D32)/(H31+B32)),0,(M31+D32)/(H31+B32))</f>
        <v>0</v>
      </c>
      <c r="L32" s="157">
        <f t="shared" ref="L32:L43" si="12">K32*E32</f>
        <v>0</v>
      </c>
      <c r="M32" s="157">
        <f t="shared" ref="M32:M43" si="13">M31+D32-L32</f>
        <v>0</v>
      </c>
      <c r="N32" s="159">
        <f t="shared" ref="N32:N43" si="14">L32-G32</f>
        <v>0</v>
      </c>
    </row>
    <row r="33" spans="1:14" ht="19.95" customHeight="1">
      <c r="A33" s="57" t="s">
        <v>88</v>
      </c>
      <c r="B33" s="9"/>
      <c r="C33" s="157">
        <f t="shared" ref="C33:C44" si="15">IF(ISERROR(D33/B33),0,D33/B33)</f>
        <v>0</v>
      </c>
      <c r="D33" s="9"/>
      <c r="E33" s="9"/>
      <c r="F33" s="157">
        <f t="shared" ref="F33:F44" si="16">IF(ISERROR(G33/E33),0,G33/E33)</f>
        <v>0</v>
      </c>
      <c r="G33" s="41"/>
      <c r="H33" s="157">
        <f t="shared" si="9"/>
        <v>0</v>
      </c>
      <c r="I33" s="157">
        <f t="shared" si="10"/>
        <v>0</v>
      </c>
      <c r="J33" s="157">
        <f t="shared" si="11"/>
        <v>0</v>
      </c>
      <c r="K33" s="157">
        <f t="shared" ref="K33:K43" si="17">IF(ISERROR((M32+D33)/(H32+B33)),0,(M32+D33)/(H32+B33))</f>
        <v>0</v>
      </c>
      <c r="L33" s="157">
        <f t="shared" si="12"/>
        <v>0</v>
      </c>
      <c r="M33" s="157">
        <f t="shared" si="13"/>
        <v>0</v>
      </c>
      <c r="N33" s="159">
        <f t="shared" si="14"/>
        <v>0</v>
      </c>
    </row>
    <row r="34" spans="1:14" ht="19.95" customHeight="1">
      <c r="A34" s="57" t="s">
        <v>89</v>
      </c>
      <c r="B34" s="9"/>
      <c r="C34" s="157">
        <f t="shared" si="15"/>
        <v>0</v>
      </c>
      <c r="D34" s="9"/>
      <c r="E34" s="9"/>
      <c r="F34" s="157">
        <f t="shared" si="16"/>
        <v>0</v>
      </c>
      <c r="G34" s="41"/>
      <c r="H34" s="157">
        <f t="shared" si="9"/>
        <v>0</v>
      </c>
      <c r="I34" s="157">
        <f t="shared" si="10"/>
        <v>0</v>
      </c>
      <c r="J34" s="157">
        <f t="shared" si="11"/>
        <v>0</v>
      </c>
      <c r="K34" s="157">
        <f t="shared" si="17"/>
        <v>0</v>
      </c>
      <c r="L34" s="157">
        <f t="shared" si="12"/>
        <v>0</v>
      </c>
      <c r="M34" s="157">
        <f t="shared" si="13"/>
        <v>0</v>
      </c>
      <c r="N34" s="159">
        <f t="shared" si="14"/>
        <v>0</v>
      </c>
    </row>
    <row r="35" spans="1:14" ht="19.95" customHeight="1">
      <c r="A35" s="57" t="s">
        <v>90</v>
      </c>
      <c r="B35" s="9"/>
      <c r="C35" s="157">
        <f t="shared" si="15"/>
        <v>0</v>
      </c>
      <c r="D35" s="9"/>
      <c r="E35" s="9"/>
      <c r="F35" s="157">
        <f t="shared" si="16"/>
        <v>0</v>
      </c>
      <c r="G35" s="41"/>
      <c r="H35" s="157">
        <f t="shared" si="9"/>
        <v>0</v>
      </c>
      <c r="I35" s="157">
        <f t="shared" si="10"/>
        <v>0</v>
      </c>
      <c r="J35" s="157">
        <f t="shared" si="11"/>
        <v>0</v>
      </c>
      <c r="K35" s="157">
        <f t="shared" si="17"/>
        <v>0</v>
      </c>
      <c r="L35" s="157">
        <f t="shared" si="12"/>
        <v>0</v>
      </c>
      <c r="M35" s="157">
        <f t="shared" si="13"/>
        <v>0</v>
      </c>
      <c r="N35" s="159">
        <f t="shared" si="14"/>
        <v>0</v>
      </c>
    </row>
    <row r="36" spans="1:14" ht="19.95" customHeight="1">
      <c r="A36" s="57" t="s">
        <v>91</v>
      </c>
      <c r="B36" s="9"/>
      <c r="C36" s="157">
        <f t="shared" si="15"/>
        <v>0</v>
      </c>
      <c r="D36" s="9"/>
      <c r="E36" s="9"/>
      <c r="F36" s="157">
        <f t="shared" si="16"/>
        <v>0</v>
      </c>
      <c r="G36" s="41"/>
      <c r="H36" s="157">
        <f t="shared" si="9"/>
        <v>0</v>
      </c>
      <c r="I36" s="157">
        <f t="shared" si="10"/>
        <v>0</v>
      </c>
      <c r="J36" s="157">
        <f t="shared" si="11"/>
        <v>0</v>
      </c>
      <c r="K36" s="157">
        <f t="shared" si="17"/>
        <v>0</v>
      </c>
      <c r="L36" s="157">
        <f t="shared" si="12"/>
        <v>0</v>
      </c>
      <c r="M36" s="157">
        <f t="shared" si="13"/>
        <v>0</v>
      </c>
      <c r="N36" s="159">
        <f t="shared" si="14"/>
        <v>0</v>
      </c>
    </row>
    <row r="37" spans="1:14" s="16" customFormat="1" ht="19.95" customHeight="1">
      <c r="A37" s="57" t="s">
        <v>92</v>
      </c>
      <c r="B37" s="9"/>
      <c r="C37" s="157">
        <f t="shared" si="15"/>
        <v>0</v>
      </c>
      <c r="D37" s="9"/>
      <c r="E37" s="9"/>
      <c r="F37" s="157">
        <f t="shared" si="16"/>
        <v>0</v>
      </c>
      <c r="G37" s="41"/>
      <c r="H37" s="157">
        <f t="shared" si="9"/>
        <v>0</v>
      </c>
      <c r="I37" s="157">
        <f t="shared" si="10"/>
        <v>0</v>
      </c>
      <c r="J37" s="157">
        <f t="shared" si="11"/>
        <v>0</v>
      </c>
      <c r="K37" s="157">
        <f t="shared" si="17"/>
        <v>0</v>
      </c>
      <c r="L37" s="157">
        <f t="shared" si="12"/>
        <v>0</v>
      </c>
      <c r="M37" s="157">
        <f t="shared" si="13"/>
        <v>0</v>
      </c>
      <c r="N37" s="159">
        <f t="shared" si="14"/>
        <v>0</v>
      </c>
    </row>
    <row r="38" spans="1:14" s="16" customFormat="1" ht="19.95" customHeight="1">
      <c r="A38" s="57" t="s">
        <v>93</v>
      </c>
      <c r="B38" s="9"/>
      <c r="C38" s="157">
        <f t="shared" si="15"/>
        <v>0</v>
      </c>
      <c r="D38" s="9"/>
      <c r="E38" s="9"/>
      <c r="F38" s="157">
        <f t="shared" si="16"/>
        <v>0</v>
      </c>
      <c r="G38" s="41"/>
      <c r="H38" s="157">
        <f t="shared" si="9"/>
        <v>0</v>
      </c>
      <c r="I38" s="157">
        <f t="shared" si="10"/>
        <v>0</v>
      </c>
      <c r="J38" s="157">
        <f t="shared" si="11"/>
        <v>0</v>
      </c>
      <c r="K38" s="157">
        <f t="shared" si="17"/>
        <v>0</v>
      </c>
      <c r="L38" s="157">
        <f t="shared" si="12"/>
        <v>0</v>
      </c>
      <c r="M38" s="157">
        <f t="shared" si="13"/>
        <v>0</v>
      </c>
      <c r="N38" s="159">
        <f t="shared" si="14"/>
        <v>0</v>
      </c>
    </row>
    <row r="39" spans="1:14" s="55" customFormat="1" ht="19.95" customHeight="1">
      <c r="A39" s="57" t="s">
        <v>94</v>
      </c>
      <c r="B39" s="9"/>
      <c r="C39" s="157">
        <f t="shared" si="15"/>
        <v>0</v>
      </c>
      <c r="D39" s="9"/>
      <c r="E39" s="9"/>
      <c r="F39" s="157">
        <f t="shared" si="16"/>
        <v>0</v>
      </c>
      <c r="G39" s="41"/>
      <c r="H39" s="157">
        <f t="shared" si="9"/>
        <v>0</v>
      </c>
      <c r="I39" s="157">
        <f t="shared" si="10"/>
        <v>0</v>
      </c>
      <c r="J39" s="157">
        <f t="shared" si="11"/>
        <v>0</v>
      </c>
      <c r="K39" s="157">
        <f t="shared" si="17"/>
        <v>0</v>
      </c>
      <c r="L39" s="157">
        <f t="shared" si="12"/>
        <v>0</v>
      </c>
      <c r="M39" s="157">
        <f t="shared" si="13"/>
        <v>0</v>
      </c>
      <c r="N39" s="159">
        <f t="shared" si="14"/>
        <v>0</v>
      </c>
    </row>
    <row r="40" spans="1:14" ht="19.95" customHeight="1">
      <c r="A40" s="57" t="s">
        <v>95</v>
      </c>
      <c r="B40" s="9"/>
      <c r="C40" s="157">
        <f t="shared" si="15"/>
        <v>0</v>
      </c>
      <c r="D40" s="9"/>
      <c r="E40" s="9"/>
      <c r="F40" s="157">
        <f t="shared" si="16"/>
        <v>0</v>
      </c>
      <c r="G40" s="41"/>
      <c r="H40" s="157">
        <f t="shared" si="9"/>
        <v>0</v>
      </c>
      <c r="I40" s="157">
        <f t="shared" si="10"/>
        <v>0</v>
      </c>
      <c r="J40" s="157">
        <f t="shared" si="11"/>
        <v>0</v>
      </c>
      <c r="K40" s="157">
        <f t="shared" si="17"/>
        <v>0</v>
      </c>
      <c r="L40" s="157">
        <f t="shared" si="12"/>
        <v>0</v>
      </c>
      <c r="M40" s="157">
        <f t="shared" si="13"/>
        <v>0</v>
      </c>
      <c r="N40" s="159">
        <f t="shared" si="14"/>
        <v>0</v>
      </c>
    </row>
    <row r="41" spans="1:14" ht="19.95" customHeight="1">
      <c r="A41" s="57" t="s">
        <v>96</v>
      </c>
      <c r="B41" s="9"/>
      <c r="C41" s="157">
        <f t="shared" si="15"/>
        <v>0</v>
      </c>
      <c r="D41" s="9"/>
      <c r="E41" s="9"/>
      <c r="F41" s="157">
        <f t="shared" si="16"/>
        <v>0</v>
      </c>
      <c r="G41" s="41"/>
      <c r="H41" s="157">
        <f t="shared" si="9"/>
        <v>0</v>
      </c>
      <c r="I41" s="157">
        <f t="shared" si="10"/>
        <v>0</v>
      </c>
      <c r="J41" s="157">
        <f t="shared" si="11"/>
        <v>0</v>
      </c>
      <c r="K41" s="157">
        <f t="shared" si="17"/>
        <v>0</v>
      </c>
      <c r="L41" s="157">
        <f t="shared" si="12"/>
        <v>0</v>
      </c>
      <c r="M41" s="157">
        <f t="shared" si="13"/>
        <v>0</v>
      </c>
      <c r="N41" s="159">
        <f t="shared" si="14"/>
        <v>0</v>
      </c>
    </row>
    <row r="42" spans="1:14" ht="19.95" customHeight="1">
      <c r="A42" s="57" t="s">
        <v>97</v>
      </c>
      <c r="B42" s="9"/>
      <c r="C42" s="157">
        <f t="shared" si="15"/>
        <v>0</v>
      </c>
      <c r="D42" s="9"/>
      <c r="E42" s="9"/>
      <c r="F42" s="157">
        <f t="shared" si="16"/>
        <v>0</v>
      </c>
      <c r="G42" s="41"/>
      <c r="H42" s="157">
        <f t="shared" si="9"/>
        <v>0</v>
      </c>
      <c r="I42" s="157">
        <f t="shared" si="10"/>
        <v>0</v>
      </c>
      <c r="J42" s="157">
        <f t="shared" si="11"/>
        <v>0</v>
      </c>
      <c r="K42" s="157">
        <f t="shared" si="17"/>
        <v>0</v>
      </c>
      <c r="L42" s="157">
        <f t="shared" si="12"/>
        <v>0</v>
      </c>
      <c r="M42" s="157">
        <f t="shared" si="13"/>
        <v>0</v>
      </c>
      <c r="N42" s="159">
        <f t="shared" si="14"/>
        <v>0</v>
      </c>
    </row>
    <row r="43" spans="1:14" ht="19.95" customHeight="1">
      <c r="A43" s="57" t="s">
        <v>98</v>
      </c>
      <c r="B43" s="9"/>
      <c r="C43" s="157">
        <f t="shared" si="15"/>
        <v>0</v>
      </c>
      <c r="D43" s="9"/>
      <c r="E43" s="9"/>
      <c r="F43" s="157">
        <f t="shared" si="16"/>
        <v>0</v>
      </c>
      <c r="G43" s="41"/>
      <c r="H43" s="157">
        <f t="shared" si="9"/>
        <v>0</v>
      </c>
      <c r="I43" s="157">
        <f t="shared" si="10"/>
        <v>0</v>
      </c>
      <c r="J43" s="157">
        <f t="shared" si="11"/>
        <v>0</v>
      </c>
      <c r="K43" s="157">
        <f t="shared" si="17"/>
        <v>0</v>
      </c>
      <c r="L43" s="157">
        <f t="shared" si="12"/>
        <v>0</v>
      </c>
      <c r="M43" s="157">
        <f t="shared" si="13"/>
        <v>0</v>
      </c>
      <c r="N43" s="159">
        <f t="shared" si="14"/>
        <v>0</v>
      </c>
    </row>
    <row r="44" spans="1:14" ht="19.95" customHeight="1">
      <c r="A44" s="155" t="s">
        <v>64</v>
      </c>
      <c r="B44" s="158">
        <f>SUM(B31:B43)</f>
        <v>0</v>
      </c>
      <c r="C44" s="158">
        <f t="shared" si="15"/>
        <v>0</v>
      </c>
      <c r="D44" s="158">
        <f>SUM(D31:D43)</f>
        <v>0</v>
      </c>
      <c r="E44" s="158">
        <f>SUM(E31:E43)</f>
        <v>0</v>
      </c>
      <c r="F44" s="158">
        <f t="shared" si="16"/>
        <v>0</v>
      </c>
      <c r="G44" s="158">
        <f>SUM(G41:G43)</f>
        <v>0</v>
      </c>
      <c r="H44" s="158">
        <f>H43</f>
        <v>0</v>
      </c>
      <c r="I44" s="158">
        <f t="shared" si="10"/>
        <v>0</v>
      </c>
      <c r="J44" s="158">
        <f>J43</f>
        <v>0</v>
      </c>
      <c r="K44" s="157"/>
      <c r="L44" s="158">
        <f>SUM(L32:L43)</f>
        <v>0</v>
      </c>
      <c r="M44" s="158">
        <f>M43</f>
        <v>0</v>
      </c>
      <c r="N44" s="158">
        <f>SUM(N32:N43)</f>
        <v>0</v>
      </c>
    </row>
    <row r="45" spans="1:14" s="66" customFormat="1" ht="19.95" customHeight="1">
      <c r="A45" s="67" t="s">
        <v>112</v>
      </c>
      <c r="B45" s="19"/>
      <c r="C45" s="97" t="s">
        <v>100</v>
      </c>
      <c r="D45" s="98"/>
      <c r="E45" s="19"/>
      <c r="F45" s="19"/>
      <c r="G45" s="19"/>
      <c r="H45" s="19"/>
      <c r="I45" s="19"/>
      <c r="J45" s="19"/>
    </row>
    <row r="46" spans="1:14" ht="19.95" customHeight="1">
      <c r="A46" s="246" t="s">
        <v>106</v>
      </c>
      <c r="B46" s="69" t="s">
        <v>101</v>
      </c>
      <c r="C46" s="70"/>
      <c r="D46" s="70"/>
      <c r="E46" s="69" t="s">
        <v>102</v>
      </c>
      <c r="F46" s="70"/>
      <c r="G46" s="70"/>
      <c r="H46" s="69" t="s">
        <v>103</v>
      </c>
      <c r="I46" s="70"/>
      <c r="J46" s="70"/>
      <c r="K46" s="69" t="s">
        <v>104</v>
      </c>
      <c r="L46" s="70"/>
      <c r="M46" s="70"/>
      <c r="N46" s="155" t="s">
        <v>105</v>
      </c>
    </row>
    <row r="47" spans="1:14" ht="19.95" customHeight="1">
      <c r="A47" s="246"/>
      <c r="B47" s="155" t="s">
        <v>107</v>
      </c>
      <c r="C47" s="155" t="s">
        <v>108</v>
      </c>
      <c r="D47" s="155" t="s">
        <v>109</v>
      </c>
      <c r="E47" s="155" t="s">
        <v>107</v>
      </c>
      <c r="F47" s="155" t="s">
        <v>108</v>
      </c>
      <c r="G47" s="155" t="s">
        <v>109</v>
      </c>
      <c r="H47" s="93" t="s">
        <v>107</v>
      </c>
      <c r="I47" s="155" t="s">
        <v>108</v>
      </c>
      <c r="J47" s="93" t="s">
        <v>109</v>
      </c>
      <c r="K47" s="155" t="s">
        <v>108</v>
      </c>
      <c r="L47" s="155" t="s">
        <v>109</v>
      </c>
      <c r="M47" s="155" t="s">
        <v>110</v>
      </c>
      <c r="N47" s="155" t="s">
        <v>111</v>
      </c>
    </row>
    <row r="48" spans="1:14" ht="19.95" customHeight="1">
      <c r="A48" s="161" t="s">
        <v>81</v>
      </c>
      <c r="B48" s="162" t="s">
        <v>68</v>
      </c>
      <c r="C48" s="162" t="s">
        <v>69</v>
      </c>
      <c r="D48" s="162" t="s">
        <v>70</v>
      </c>
      <c r="E48" s="162" t="s">
        <v>13</v>
      </c>
      <c r="F48" s="162" t="s">
        <v>61</v>
      </c>
      <c r="G48" s="162" t="s">
        <v>73</v>
      </c>
      <c r="H48" s="20"/>
      <c r="I48" s="157">
        <f>IF(ISERROR(J48/H48),0,J48/H48)</f>
        <v>0</v>
      </c>
      <c r="J48" s="20"/>
      <c r="K48" s="160" t="s">
        <v>84</v>
      </c>
      <c r="L48" s="162" t="s">
        <v>8</v>
      </c>
      <c r="M48" s="157">
        <f>J48</f>
        <v>0</v>
      </c>
      <c r="N48" s="160" t="s">
        <v>14</v>
      </c>
    </row>
    <row r="49" spans="1:14" ht="19.95" customHeight="1">
      <c r="A49" s="57" t="s">
        <v>23</v>
      </c>
      <c r="B49" s="9"/>
      <c r="C49" s="157">
        <f>IF(ISERROR(D49/B49),0,D49/B49)</f>
        <v>0</v>
      </c>
      <c r="D49" s="9"/>
      <c r="E49" s="9"/>
      <c r="F49" s="157">
        <f>IF(ISERROR(G49/E49),0,G49/E49)</f>
        <v>0</v>
      </c>
      <c r="G49" s="41"/>
      <c r="H49" s="157">
        <f t="shared" ref="H49:H60" si="18">H48+B49-E49</f>
        <v>0</v>
      </c>
      <c r="I49" s="157">
        <f t="shared" ref="I49:I61" si="19">IF(ISERROR(J49/H49),0,J49/H49)</f>
        <v>0</v>
      </c>
      <c r="J49" s="157">
        <f t="shared" ref="J49:J60" si="20">J48+D49-G49</f>
        <v>0</v>
      </c>
      <c r="K49" s="157">
        <f>IF(ISERROR((M48+D49)/(H48+B49)),0,(M48+D49)/(H48+B49))</f>
        <v>0</v>
      </c>
      <c r="L49" s="157">
        <f t="shared" ref="L49:L60" si="21">K49*E49</f>
        <v>0</v>
      </c>
      <c r="M49" s="157">
        <f t="shared" ref="M49:M60" si="22">M48+D49-L49</f>
        <v>0</v>
      </c>
      <c r="N49" s="159">
        <f t="shared" ref="N49:N60" si="23">L49-G49</f>
        <v>0</v>
      </c>
    </row>
    <row r="50" spans="1:14" ht="19.95" customHeight="1">
      <c r="A50" s="57" t="s">
        <v>88</v>
      </c>
      <c r="B50" s="9"/>
      <c r="C50" s="157">
        <f t="shared" ref="C50:C61" si="24">IF(ISERROR(D50/B50),0,D50/B50)</f>
        <v>0</v>
      </c>
      <c r="D50" s="9"/>
      <c r="E50" s="9"/>
      <c r="F50" s="157">
        <f t="shared" ref="F50:F61" si="25">IF(ISERROR(G50/E50),0,G50/E50)</f>
        <v>0</v>
      </c>
      <c r="G50" s="41"/>
      <c r="H50" s="157">
        <f t="shared" si="18"/>
        <v>0</v>
      </c>
      <c r="I50" s="157">
        <f t="shared" si="19"/>
        <v>0</v>
      </c>
      <c r="J50" s="157">
        <f t="shared" si="20"/>
        <v>0</v>
      </c>
      <c r="K50" s="157">
        <f t="shared" ref="K50:K60" si="26">IF(ISERROR((M49+D50)/(H49+B50)),0,(M49+D50)/(H49+B50))</f>
        <v>0</v>
      </c>
      <c r="L50" s="157">
        <f t="shared" si="21"/>
        <v>0</v>
      </c>
      <c r="M50" s="157">
        <f t="shared" si="22"/>
        <v>0</v>
      </c>
      <c r="N50" s="159">
        <f t="shared" si="23"/>
        <v>0</v>
      </c>
    </row>
    <row r="51" spans="1:14" ht="19.95" customHeight="1">
      <c r="A51" s="57" t="s">
        <v>89</v>
      </c>
      <c r="B51" s="9"/>
      <c r="C51" s="157">
        <f t="shared" si="24"/>
        <v>0</v>
      </c>
      <c r="D51" s="9"/>
      <c r="E51" s="9"/>
      <c r="F51" s="157">
        <f t="shared" si="25"/>
        <v>0</v>
      </c>
      <c r="G51" s="41"/>
      <c r="H51" s="157">
        <f t="shared" si="18"/>
        <v>0</v>
      </c>
      <c r="I51" s="157">
        <f t="shared" si="19"/>
        <v>0</v>
      </c>
      <c r="J51" s="157">
        <f t="shared" si="20"/>
        <v>0</v>
      </c>
      <c r="K51" s="157">
        <f t="shared" si="26"/>
        <v>0</v>
      </c>
      <c r="L51" s="157">
        <f t="shared" si="21"/>
        <v>0</v>
      </c>
      <c r="M51" s="157">
        <f t="shared" si="22"/>
        <v>0</v>
      </c>
      <c r="N51" s="159">
        <f t="shared" si="23"/>
        <v>0</v>
      </c>
    </row>
    <row r="52" spans="1:14" ht="19.95" customHeight="1">
      <c r="A52" s="57" t="s">
        <v>90</v>
      </c>
      <c r="B52" s="9"/>
      <c r="C52" s="157">
        <f t="shared" si="24"/>
        <v>0</v>
      </c>
      <c r="D52" s="9"/>
      <c r="E52" s="9"/>
      <c r="F52" s="157">
        <f t="shared" si="25"/>
        <v>0</v>
      </c>
      <c r="G52" s="41"/>
      <c r="H52" s="157">
        <f t="shared" si="18"/>
        <v>0</v>
      </c>
      <c r="I52" s="157">
        <f t="shared" si="19"/>
        <v>0</v>
      </c>
      <c r="J52" s="157">
        <f t="shared" si="20"/>
        <v>0</v>
      </c>
      <c r="K52" s="157">
        <f t="shared" si="26"/>
        <v>0</v>
      </c>
      <c r="L52" s="157">
        <f t="shared" si="21"/>
        <v>0</v>
      </c>
      <c r="M52" s="157">
        <f t="shared" si="22"/>
        <v>0</v>
      </c>
      <c r="N52" s="159">
        <f t="shared" si="23"/>
        <v>0</v>
      </c>
    </row>
    <row r="53" spans="1:14" ht="19.95" customHeight="1">
      <c r="A53" s="57" t="s">
        <v>91</v>
      </c>
      <c r="B53" s="9"/>
      <c r="C53" s="157">
        <f t="shared" si="24"/>
        <v>0</v>
      </c>
      <c r="D53" s="9"/>
      <c r="E53" s="9"/>
      <c r="F53" s="157">
        <f t="shared" si="25"/>
        <v>0</v>
      </c>
      <c r="G53" s="41"/>
      <c r="H53" s="157">
        <f t="shared" si="18"/>
        <v>0</v>
      </c>
      <c r="I53" s="157">
        <f t="shared" si="19"/>
        <v>0</v>
      </c>
      <c r="J53" s="157">
        <f t="shared" si="20"/>
        <v>0</v>
      </c>
      <c r="K53" s="157">
        <f t="shared" si="26"/>
        <v>0</v>
      </c>
      <c r="L53" s="157">
        <f t="shared" si="21"/>
        <v>0</v>
      </c>
      <c r="M53" s="157">
        <f t="shared" si="22"/>
        <v>0</v>
      </c>
      <c r="N53" s="159">
        <f t="shared" si="23"/>
        <v>0</v>
      </c>
    </row>
    <row r="54" spans="1:14" s="16" customFormat="1" ht="19.95" customHeight="1">
      <c r="A54" s="57" t="s">
        <v>92</v>
      </c>
      <c r="B54" s="9"/>
      <c r="C54" s="157">
        <f t="shared" si="24"/>
        <v>0</v>
      </c>
      <c r="D54" s="9"/>
      <c r="E54" s="9"/>
      <c r="F54" s="157">
        <f t="shared" si="25"/>
        <v>0</v>
      </c>
      <c r="G54" s="41"/>
      <c r="H54" s="157">
        <f t="shared" si="18"/>
        <v>0</v>
      </c>
      <c r="I54" s="157">
        <f t="shared" si="19"/>
        <v>0</v>
      </c>
      <c r="J54" s="157">
        <f t="shared" si="20"/>
        <v>0</v>
      </c>
      <c r="K54" s="157">
        <f t="shared" si="26"/>
        <v>0</v>
      </c>
      <c r="L54" s="157">
        <f t="shared" si="21"/>
        <v>0</v>
      </c>
      <c r="M54" s="157">
        <f t="shared" si="22"/>
        <v>0</v>
      </c>
      <c r="N54" s="159">
        <f t="shared" si="23"/>
        <v>0</v>
      </c>
    </row>
    <row r="55" spans="1:14" s="16" customFormat="1" ht="19.95" customHeight="1">
      <c r="A55" s="57" t="s">
        <v>93</v>
      </c>
      <c r="B55" s="9"/>
      <c r="C55" s="157">
        <f t="shared" si="24"/>
        <v>0</v>
      </c>
      <c r="D55" s="9"/>
      <c r="E55" s="9"/>
      <c r="F55" s="157">
        <f t="shared" si="25"/>
        <v>0</v>
      </c>
      <c r="G55" s="41"/>
      <c r="H55" s="157">
        <f t="shared" si="18"/>
        <v>0</v>
      </c>
      <c r="I55" s="157">
        <f t="shared" si="19"/>
        <v>0</v>
      </c>
      <c r="J55" s="157">
        <f t="shared" si="20"/>
        <v>0</v>
      </c>
      <c r="K55" s="157">
        <f t="shared" si="26"/>
        <v>0</v>
      </c>
      <c r="L55" s="157">
        <f t="shared" si="21"/>
        <v>0</v>
      </c>
      <c r="M55" s="157">
        <f t="shared" si="22"/>
        <v>0</v>
      </c>
      <c r="N55" s="159">
        <f t="shared" si="23"/>
        <v>0</v>
      </c>
    </row>
    <row r="56" spans="1:14" s="55" customFormat="1" ht="19.95" customHeight="1">
      <c r="A56" s="57" t="s">
        <v>94</v>
      </c>
      <c r="B56" s="9"/>
      <c r="C56" s="157">
        <f t="shared" si="24"/>
        <v>0</v>
      </c>
      <c r="D56" s="9"/>
      <c r="E56" s="9"/>
      <c r="F56" s="157">
        <f t="shared" si="25"/>
        <v>0</v>
      </c>
      <c r="G56" s="41"/>
      <c r="H56" s="157">
        <f t="shared" si="18"/>
        <v>0</v>
      </c>
      <c r="I56" s="157">
        <f t="shared" si="19"/>
        <v>0</v>
      </c>
      <c r="J56" s="157">
        <f t="shared" si="20"/>
        <v>0</v>
      </c>
      <c r="K56" s="157">
        <f t="shared" si="26"/>
        <v>0</v>
      </c>
      <c r="L56" s="157">
        <f t="shared" si="21"/>
        <v>0</v>
      </c>
      <c r="M56" s="157">
        <f t="shared" si="22"/>
        <v>0</v>
      </c>
      <c r="N56" s="159">
        <f t="shared" si="23"/>
        <v>0</v>
      </c>
    </row>
    <row r="57" spans="1:14" ht="19.95" customHeight="1">
      <c r="A57" s="57" t="s">
        <v>95</v>
      </c>
      <c r="B57" s="9"/>
      <c r="C57" s="157">
        <f t="shared" si="24"/>
        <v>0</v>
      </c>
      <c r="D57" s="9"/>
      <c r="E57" s="9"/>
      <c r="F57" s="157">
        <f t="shared" si="25"/>
        <v>0</v>
      </c>
      <c r="G57" s="41"/>
      <c r="H57" s="157">
        <f t="shared" si="18"/>
        <v>0</v>
      </c>
      <c r="I57" s="157">
        <f t="shared" si="19"/>
        <v>0</v>
      </c>
      <c r="J57" s="157">
        <f t="shared" si="20"/>
        <v>0</v>
      </c>
      <c r="K57" s="157">
        <f t="shared" si="26"/>
        <v>0</v>
      </c>
      <c r="L57" s="157">
        <f t="shared" si="21"/>
        <v>0</v>
      </c>
      <c r="M57" s="157">
        <f t="shared" si="22"/>
        <v>0</v>
      </c>
      <c r="N57" s="159">
        <f t="shared" si="23"/>
        <v>0</v>
      </c>
    </row>
    <row r="58" spans="1:14" ht="19.95" customHeight="1">
      <c r="A58" s="57" t="s">
        <v>96</v>
      </c>
      <c r="B58" s="9"/>
      <c r="C58" s="157">
        <f t="shared" si="24"/>
        <v>0</v>
      </c>
      <c r="D58" s="9"/>
      <c r="E58" s="9"/>
      <c r="F58" s="157">
        <f t="shared" si="25"/>
        <v>0</v>
      </c>
      <c r="G58" s="41"/>
      <c r="H58" s="157">
        <f t="shared" si="18"/>
        <v>0</v>
      </c>
      <c r="I58" s="157">
        <f t="shared" si="19"/>
        <v>0</v>
      </c>
      <c r="J58" s="157">
        <f t="shared" si="20"/>
        <v>0</v>
      </c>
      <c r="K58" s="157">
        <f t="shared" si="26"/>
        <v>0</v>
      </c>
      <c r="L58" s="157">
        <f t="shared" si="21"/>
        <v>0</v>
      </c>
      <c r="M58" s="157">
        <f t="shared" si="22"/>
        <v>0</v>
      </c>
      <c r="N58" s="159">
        <f t="shared" si="23"/>
        <v>0</v>
      </c>
    </row>
    <row r="59" spans="1:14" ht="19.95" customHeight="1">
      <c r="A59" s="57" t="s">
        <v>97</v>
      </c>
      <c r="B59" s="9"/>
      <c r="C59" s="157">
        <f t="shared" si="24"/>
        <v>0</v>
      </c>
      <c r="D59" s="9"/>
      <c r="E59" s="9"/>
      <c r="F59" s="157">
        <f t="shared" si="25"/>
        <v>0</v>
      </c>
      <c r="G59" s="41"/>
      <c r="H59" s="157">
        <f t="shared" si="18"/>
        <v>0</v>
      </c>
      <c r="I59" s="157">
        <f t="shared" si="19"/>
        <v>0</v>
      </c>
      <c r="J59" s="157">
        <f t="shared" si="20"/>
        <v>0</v>
      </c>
      <c r="K59" s="157">
        <f t="shared" si="26"/>
        <v>0</v>
      </c>
      <c r="L59" s="157">
        <f t="shared" si="21"/>
        <v>0</v>
      </c>
      <c r="M59" s="157">
        <f t="shared" si="22"/>
        <v>0</v>
      </c>
      <c r="N59" s="159">
        <f t="shared" si="23"/>
        <v>0</v>
      </c>
    </row>
    <row r="60" spans="1:14" ht="19.95" customHeight="1">
      <c r="A60" s="57" t="s">
        <v>98</v>
      </c>
      <c r="B60" s="9"/>
      <c r="C60" s="157">
        <f t="shared" si="24"/>
        <v>0</v>
      </c>
      <c r="D60" s="9"/>
      <c r="E60" s="9"/>
      <c r="F60" s="157">
        <f t="shared" si="25"/>
        <v>0</v>
      </c>
      <c r="G60" s="41"/>
      <c r="H60" s="157">
        <f t="shared" si="18"/>
        <v>0</v>
      </c>
      <c r="I60" s="157">
        <f t="shared" si="19"/>
        <v>0</v>
      </c>
      <c r="J60" s="157">
        <f t="shared" si="20"/>
        <v>0</v>
      </c>
      <c r="K60" s="157">
        <f t="shared" si="26"/>
        <v>0</v>
      </c>
      <c r="L60" s="157">
        <f t="shared" si="21"/>
        <v>0</v>
      </c>
      <c r="M60" s="157">
        <f t="shared" si="22"/>
        <v>0</v>
      </c>
      <c r="N60" s="159">
        <f t="shared" si="23"/>
        <v>0</v>
      </c>
    </row>
    <row r="61" spans="1:14" ht="19.95" customHeight="1">
      <c r="A61" s="155" t="s">
        <v>64</v>
      </c>
      <c r="B61" s="158">
        <f>SUM(B48:B60)</f>
        <v>0</v>
      </c>
      <c r="C61" s="158">
        <f t="shared" si="24"/>
        <v>0</v>
      </c>
      <c r="D61" s="158">
        <f>SUM(D48:D60)</f>
        <v>0</v>
      </c>
      <c r="E61" s="158">
        <f>SUM(E48:E60)</f>
        <v>0</v>
      </c>
      <c r="F61" s="158">
        <f t="shared" si="25"/>
        <v>0</v>
      </c>
      <c r="G61" s="158">
        <f>SUM(G58:G60)</f>
        <v>0</v>
      </c>
      <c r="H61" s="158">
        <f>H60</f>
        <v>0</v>
      </c>
      <c r="I61" s="158">
        <f t="shared" si="19"/>
        <v>0</v>
      </c>
      <c r="J61" s="158">
        <f>J60</f>
        <v>0</v>
      </c>
      <c r="K61" s="157"/>
      <c r="L61" s="158">
        <f>SUM(L49:L60)</f>
        <v>0</v>
      </c>
      <c r="M61" s="158">
        <f>M60</f>
        <v>0</v>
      </c>
      <c r="N61" s="158">
        <f>SUM(N49:N60)</f>
        <v>0</v>
      </c>
    </row>
    <row r="62" spans="1:14" s="66" customFormat="1" ht="19.95" customHeight="1">
      <c r="A62" s="67" t="s">
        <v>113</v>
      </c>
      <c r="B62" s="19"/>
      <c r="C62" s="97" t="s">
        <v>100</v>
      </c>
      <c r="D62" s="98"/>
      <c r="E62" s="19"/>
      <c r="F62" s="19"/>
      <c r="G62" s="19"/>
      <c r="H62" s="19"/>
      <c r="I62" s="19"/>
      <c r="J62" s="19"/>
    </row>
    <row r="63" spans="1:14" ht="19.95" customHeight="1">
      <c r="A63" s="246" t="s">
        <v>106</v>
      </c>
      <c r="B63" s="69" t="s">
        <v>101</v>
      </c>
      <c r="C63" s="70"/>
      <c r="D63" s="70"/>
      <c r="E63" s="69" t="s">
        <v>102</v>
      </c>
      <c r="F63" s="70"/>
      <c r="G63" s="70"/>
      <c r="H63" s="69" t="s">
        <v>103</v>
      </c>
      <c r="I63" s="70"/>
      <c r="J63" s="70"/>
      <c r="K63" s="69" t="s">
        <v>104</v>
      </c>
      <c r="L63" s="70"/>
      <c r="M63" s="70"/>
      <c r="N63" s="155" t="s">
        <v>105</v>
      </c>
    </row>
    <row r="64" spans="1:14" ht="19.95" customHeight="1">
      <c r="A64" s="246"/>
      <c r="B64" s="155" t="s">
        <v>107</v>
      </c>
      <c r="C64" s="155" t="s">
        <v>108</v>
      </c>
      <c r="D64" s="155" t="s">
        <v>109</v>
      </c>
      <c r="E64" s="155" t="s">
        <v>107</v>
      </c>
      <c r="F64" s="155" t="s">
        <v>108</v>
      </c>
      <c r="G64" s="155" t="s">
        <v>109</v>
      </c>
      <c r="H64" s="93" t="s">
        <v>107</v>
      </c>
      <c r="I64" s="155" t="s">
        <v>108</v>
      </c>
      <c r="J64" s="93" t="s">
        <v>109</v>
      </c>
      <c r="K64" s="155" t="s">
        <v>108</v>
      </c>
      <c r="L64" s="155" t="s">
        <v>109</v>
      </c>
      <c r="M64" s="155" t="s">
        <v>110</v>
      </c>
      <c r="N64" s="155" t="s">
        <v>111</v>
      </c>
    </row>
    <row r="65" spans="1:14" ht="19.95" customHeight="1">
      <c r="A65" s="161" t="s">
        <v>81</v>
      </c>
      <c r="B65" s="162" t="s">
        <v>68</v>
      </c>
      <c r="C65" s="162" t="s">
        <v>69</v>
      </c>
      <c r="D65" s="162" t="s">
        <v>70</v>
      </c>
      <c r="E65" s="162" t="s">
        <v>13</v>
      </c>
      <c r="F65" s="162" t="s">
        <v>61</v>
      </c>
      <c r="G65" s="162" t="s">
        <v>73</v>
      </c>
      <c r="H65" s="20"/>
      <c r="I65" s="157">
        <f>IF(ISERROR(J65/H65),0,J65/H65)</f>
        <v>0</v>
      </c>
      <c r="J65" s="20"/>
      <c r="K65" s="160" t="s">
        <v>84</v>
      </c>
      <c r="L65" s="162" t="s">
        <v>8</v>
      </c>
      <c r="M65" s="157">
        <f>J65</f>
        <v>0</v>
      </c>
      <c r="N65" s="160" t="s">
        <v>14</v>
      </c>
    </row>
    <row r="66" spans="1:14" ht="19.95" customHeight="1">
      <c r="A66" s="57" t="s">
        <v>23</v>
      </c>
      <c r="B66" s="9"/>
      <c r="C66" s="157">
        <f>IF(ISERROR(D66/B66),0,D66/B66)</f>
        <v>0</v>
      </c>
      <c r="D66" s="9"/>
      <c r="E66" s="9"/>
      <c r="F66" s="157">
        <f>IF(ISERROR(G66/E66),0,G66/E66)</f>
        <v>0</v>
      </c>
      <c r="G66" s="41"/>
      <c r="H66" s="157">
        <f t="shared" ref="H66:H77" si="27">H65+B66-E66</f>
        <v>0</v>
      </c>
      <c r="I66" s="157">
        <f t="shared" ref="I66:I78" si="28">IF(ISERROR(J66/H66),0,J66/H66)</f>
        <v>0</v>
      </c>
      <c r="J66" s="157">
        <f t="shared" ref="J66:J77" si="29">J65+D66-G66</f>
        <v>0</v>
      </c>
      <c r="K66" s="157">
        <f>IF(ISERROR((M65+D66)/(H65+B66)),0,(M65+D66)/(H65+B66))</f>
        <v>0</v>
      </c>
      <c r="L66" s="157">
        <f t="shared" ref="L66:L77" si="30">K66*E66</f>
        <v>0</v>
      </c>
      <c r="M66" s="157">
        <f t="shared" ref="M66:M77" si="31">M65+D66-L66</f>
        <v>0</v>
      </c>
      <c r="N66" s="159">
        <f t="shared" ref="N66:N77" si="32">L66-G66</f>
        <v>0</v>
      </c>
    </row>
    <row r="67" spans="1:14" ht="19.95" customHeight="1">
      <c r="A67" s="57" t="s">
        <v>88</v>
      </c>
      <c r="B67" s="9"/>
      <c r="C67" s="157">
        <f t="shared" ref="C67:C78" si="33">IF(ISERROR(D67/B67),0,D67/B67)</f>
        <v>0</v>
      </c>
      <c r="D67" s="9"/>
      <c r="E67" s="9"/>
      <c r="F67" s="157">
        <f t="shared" ref="F67:F78" si="34">IF(ISERROR(G67/E67),0,G67/E67)</f>
        <v>0</v>
      </c>
      <c r="G67" s="41"/>
      <c r="H67" s="157">
        <f t="shared" si="27"/>
        <v>0</v>
      </c>
      <c r="I67" s="157">
        <f t="shared" si="28"/>
        <v>0</v>
      </c>
      <c r="J67" s="157">
        <f t="shared" si="29"/>
        <v>0</v>
      </c>
      <c r="K67" s="157">
        <f t="shared" ref="K67:K77" si="35">IF(ISERROR((M66+D67)/(H66+B67)),0,(M66+D67)/(H66+B67))</f>
        <v>0</v>
      </c>
      <c r="L67" s="157">
        <f t="shared" si="30"/>
        <v>0</v>
      </c>
      <c r="M67" s="157">
        <f t="shared" si="31"/>
        <v>0</v>
      </c>
      <c r="N67" s="159">
        <f t="shared" si="32"/>
        <v>0</v>
      </c>
    </row>
    <row r="68" spans="1:14" ht="19.95" customHeight="1">
      <c r="A68" s="57" t="s">
        <v>89</v>
      </c>
      <c r="B68" s="9"/>
      <c r="C68" s="157">
        <f t="shared" si="33"/>
        <v>0</v>
      </c>
      <c r="D68" s="9"/>
      <c r="E68" s="9"/>
      <c r="F68" s="157">
        <f t="shared" si="34"/>
        <v>0</v>
      </c>
      <c r="G68" s="41"/>
      <c r="H68" s="157">
        <f t="shared" si="27"/>
        <v>0</v>
      </c>
      <c r="I68" s="157">
        <f t="shared" si="28"/>
        <v>0</v>
      </c>
      <c r="J68" s="157">
        <f t="shared" si="29"/>
        <v>0</v>
      </c>
      <c r="K68" s="157">
        <f t="shared" si="35"/>
        <v>0</v>
      </c>
      <c r="L68" s="157">
        <f t="shared" si="30"/>
        <v>0</v>
      </c>
      <c r="M68" s="157">
        <f t="shared" si="31"/>
        <v>0</v>
      </c>
      <c r="N68" s="159">
        <f t="shared" si="32"/>
        <v>0</v>
      </c>
    </row>
    <row r="69" spans="1:14" ht="19.95" customHeight="1">
      <c r="A69" s="57" t="s">
        <v>90</v>
      </c>
      <c r="B69" s="9"/>
      <c r="C69" s="157">
        <f t="shared" si="33"/>
        <v>0</v>
      </c>
      <c r="D69" s="9"/>
      <c r="E69" s="9"/>
      <c r="F69" s="157">
        <f t="shared" si="34"/>
        <v>0</v>
      </c>
      <c r="G69" s="41"/>
      <c r="H69" s="157">
        <f t="shared" si="27"/>
        <v>0</v>
      </c>
      <c r="I69" s="157">
        <f t="shared" si="28"/>
        <v>0</v>
      </c>
      <c r="J69" s="157">
        <f t="shared" si="29"/>
        <v>0</v>
      </c>
      <c r="K69" s="157">
        <f t="shared" si="35"/>
        <v>0</v>
      </c>
      <c r="L69" s="157">
        <f t="shared" si="30"/>
        <v>0</v>
      </c>
      <c r="M69" s="157">
        <f t="shared" si="31"/>
        <v>0</v>
      </c>
      <c r="N69" s="159">
        <f t="shared" si="32"/>
        <v>0</v>
      </c>
    </row>
    <row r="70" spans="1:14" ht="19.95" customHeight="1">
      <c r="A70" s="57" t="s">
        <v>91</v>
      </c>
      <c r="B70" s="9"/>
      <c r="C70" s="157">
        <f t="shared" si="33"/>
        <v>0</v>
      </c>
      <c r="D70" s="9"/>
      <c r="E70" s="9"/>
      <c r="F70" s="157">
        <f t="shared" si="34"/>
        <v>0</v>
      </c>
      <c r="G70" s="41"/>
      <c r="H70" s="157">
        <f t="shared" si="27"/>
        <v>0</v>
      </c>
      <c r="I70" s="157">
        <f t="shared" si="28"/>
        <v>0</v>
      </c>
      <c r="J70" s="157">
        <f t="shared" si="29"/>
        <v>0</v>
      </c>
      <c r="K70" s="157">
        <f t="shared" si="35"/>
        <v>0</v>
      </c>
      <c r="L70" s="157">
        <f t="shared" si="30"/>
        <v>0</v>
      </c>
      <c r="M70" s="157">
        <f t="shared" si="31"/>
        <v>0</v>
      </c>
      <c r="N70" s="159">
        <f t="shared" si="32"/>
        <v>0</v>
      </c>
    </row>
    <row r="71" spans="1:14" s="16" customFormat="1" ht="19.95" customHeight="1">
      <c r="A71" s="57" t="s">
        <v>92</v>
      </c>
      <c r="B71" s="9"/>
      <c r="C71" s="157">
        <f t="shared" si="33"/>
        <v>0</v>
      </c>
      <c r="D71" s="9"/>
      <c r="E71" s="9"/>
      <c r="F71" s="157">
        <f t="shared" si="34"/>
        <v>0</v>
      </c>
      <c r="G71" s="41"/>
      <c r="H71" s="157">
        <f t="shared" si="27"/>
        <v>0</v>
      </c>
      <c r="I71" s="157">
        <f t="shared" si="28"/>
        <v>0</v>
      </c>
      <c r="J71" s="157">
        <f t="shared" si="29"/>
        <v>0</v>
      </c>
      <c r="K71" s="157">
        <f t="shared" si="35"/>
        <v>0</v>
      </c>
      <c r="L71" s="157">
        <f t="shared" si="30"/>
        <v>0</v>
      </c>
      <c r="M71" s="157">
        <f t="shared" si="31"/>
        <v>0</v>
      </c>
      <c r="N71" s="159">
        <f t="shared" si="32"/>
        <v>0</v>
      </c>
    </row>
    <row r="72" spans="1:14" s="16" customFormat="1" ht="19.95" customHeight="1">
      <c r="A72" s="57" t="s">
        <v>93</v>
      </c>
      <c r="B72" s="9"/>
      <c r="C72" s="157">
        <f t="shared" si="33"/>
        <v>0</v>
      </c>
      <c r="D72" s="9"/>
      <c r="E72" s="9"/>
      <c r="F72" s="157">
        <f t="shared" si="34"/>
        <v>0</v>
      </c>
      <c r="G72" s="41"/>
      <c r="H72" s="157">
        <f t="shared" si="27"/>
        <v>0</v>
      </c>
      <c r="I72" s="157">
        <f t="shared" si="28"/>
        <v>0</v>
      </c>
      <c r="J72" s="157">
        <f t="shared" si="29"/>
        <v>0</v>
      </c>
      <c r="K72" s="157">
        <f t="shared" si="35"/>
        <v>0</v>
      </c>
      <c r="L72" s="157">
        <f t="shared" si="30"/>
        <v>0</v>
      </c>
      <c r="M72" s="157">
        <f t="shared" si="31"/>
        <v>0</v>
      </c>
      <c r="N72" s="159">
        <f t="shared" si="32"/>
        <v>0</v>
      </c>
    </row>
    <row r="73" spans="1:14" s="55" customFormat="1" ht="19.95" customHeight="1">
      <c r="A73" s="57" t="s">
        <v>94</v>
      </c>
      <c r="B73" s="9"/>
      <c r="C73" s="157">
        <f t="shared" si="33"/>
        <v>0</v>
      </c>
      <c r="D73" s="9"/>
      <c r="E73" s="9"/>
      <c r="F73" s="157">
        <f t="shared" si="34"/>
        <v>0</v>
      </c>
      <c r="G73" s="41"/>
      <c r="H73" s="157">
        <f t="shared" si="27"/>
        <v>0</v>
      </c>
      <c r="I73" s="157">
        <f t="shared" si="28"/>
        <v>0</v>
      </c>
      <c r="J73" s="157">
        <f t="shared" si="29"/>
        <v>0</v>
      </c>
      <c r="K73" s="157">
        <f t="shared" si="35"/>
        <v>0</v>
      </c>
      <c r="L73" s="157">
        <f t="shared" si="30"/>
        <v>0</v>
      </c>
      <c r="M73" s="157">
        <f t="shared" si="31"/>
        <v>0</v>
      </c>
      <c r="N73" s="159">
        <f t="shared" si="32"/>
        <v>0</v>
      </c>
    </row>
    <row r="74" spans="1:14" ht="19.95" customHeight="1">
      <c r="A74" s="57" t="s">
        <v>95</v>
      </c>
      <c r="B74" s="9"/>
      <c r="C74" s="157">
        <f t="shared" si="33"/>
        <v>0</v>
      </c>
      <c r="D74" s="9"/>
      <c r="E74" s="9"/>
      <c r="F74" s="157">
        <f t="shared" si="34"/>
        <v>0</v>
      </c>
      <c r="G74" s="41"/>
      <c r="H74" s="157">
        <f t="shared" si="27"/>
        <v>0</v>
      </c>
      <c r="I74" s="157">
        <f t="shared" si="28"/>
        <v>0</v>
      </c>
      <c r="J74" s="157">
        <f t="shared" si="29"/>
        <v>0</v>
      </c>
      <c r="K74" s="157">
        <f t="shared" si="35"/>
        <v>0</v>
      </c>
      <c r="L74" s="157">
        <f t="shared" si="30"/>
        <v>0</v>
      </c>
      <c r="M74" s="157">
        <f t="shared" si="31"/>
        <v>0</v>
      </c>
      <c r="N74" s="159">
        <f t="shared" si="32"/>
        <v>0</v>
      </c>
    </row>
    <row r="75" spans="1:14" ht="19.95" customHeight="1">
      <c r="A75" s="57" t="s">
        <v>96</v>
      </c>
      <c r="B75" s="9"/>
      <c r="C75" s="157">
        <f t="shared" si="33"/>
        <v>0</v>
      </c>
      <c r="D75" s="9"/>
      <c r="E75" s="9"/>
      <c r="F75" s="157">
        <f t="shared" si="34"/>
        <v>0</v>
      </c>
      <c r="G75" s="41"/>
      <c r="H75" s="157">
        <f t="shared" si="27"/>
        <v>0</v>
      </c>
      <c r="I75" s="157">
        <f t="shared" si="28"/>
        <v>0</v>
      </c>
      <c r="J75" s="157">
        <f t="shared" si="29"/>
        <v>0</v>
      </c>
      <c r="K75" s="157">
        <f t="shared" si="35"/>
        <v>0</v>
      </c>
      <c r="L75" s="157">
        <f t="shared" si="30"/>
        <v>0</v>
      </c>
      <c r="M75" s="157">
        <f t="shared" si="31"/>
        <v>0</v>
      </c>
      <c r="N75" s="159">
        <f t="shared" si="32"/>
        <v>0</v>
      </c>
    </row>
    <row r="76" spans="1:14" ht="19.95" customHeight="1">
      <c r="A76" s="57" t="s">
        <v>97</v>
      </c>
      <c r="B76" s="9"/>
      <c r="C76" s="157">
        <f t="shared" si="33"/>
        <v>0</v>
      </c>
      <c r="D76" s="9"/>
      <c r="E76" s="9"/>
      <c r="F76" s="157">
        <f t="shared" si="34"/>
        <v>0</v>
      </c>
      <c r="G76" s="41"/>
      <c r="H76" s="157">
        <f t="shared" si="27"/>
        <v>0</v>
      </c>
      <c r="I76" s="157">
        <f t="shared" si="28"/>
        <v>0</v>
      </c>
      <c r="J76" s="157">
        <f t="shared" si="29"/>
        <v>0</v>
      </c>
      <c r="K76" s="157">
        <f t="shared" si="35"/>
        <v>0</v>
      </c>
      <c r="L76" s="157">
        <f t="shared" si="30"/>
        <v>0</v>
      </c>
      <c r="M76" s="157">
        <f t="shared" si="31"/>
        <v>0</v>
      </c>
      <c r="N76" s="159">
        <f t="shared" si="32"/>
        <v>0</v>
      </c>
    </row>
    <row r="77" spans="1:14" ht="19.95" customHeight="1">
      <c r="A77" s="57" t="s">
        <v>98</v>
      </c>
      <c r="B77" s="9"/>
      <c r="C77" s="157">
        <f t="shared" si="33"/>
        <v>0</v>
      </c>
      <c r="D77" s="9"/>
      <c r="E77" s="9"/>
      <c r="F77" s="157">
        <f t="shared" si="34"/>
        <v>0</v>
      </c>
      <c r="G77" s="41"/>
      <c r="H77" s="157">
        <f t="shared" si="27"/>
        <v>0</v>
      </c>
      <c r="I77" s="157">
        <f t="shared" si="28"/>
        <v>0</v>
      </c>
      <c r="J77" s="157">
        <f t="shared" si="29"/>
        <v>0</v>
      </c>
      <c r="K77" s="157">
        <f t="shared" si="35"/>
        <v>0</v>
      </c>
      <c r="L77" s="157">
        <f t="shared" si="30"/>
        <v>0</v>
      </c>
      <c r="M77" s="157">
        <f t="shared" si="31"/>
        <v>0</v>
      </c>
      <c r="N77" s="159">
        <f t="shared" si="32"/>
        <v>0</v>
      </c>
    </row>
    <row r="78" spans="1:14" ht="19.95" customHeight="1">
      <c r="A78" s="155" t="s">
        <v>64</v>
      </c>
      <c r="B78" s="158">
        <f>SUM(B65:B77)</f>
        <v>0</v>
      </c>
      <c r="C78" s="158">
        <f t="shared" si="33"/>
        <v>0</v>
      </c>
      <c r="D78" s="158">
        <f>SUM(D65:D77)</f>
        <v>0</v>
      </c>
      <c r="E78" s="158">
        <f>SUM(E65:E77)</f>
        <v>0</v>
      </c>
      <c r="F78" s="158">
        <f t="shared" si="34"/>
        <v>0</v>
      </c>
      <c r="G78" s="158">
        <f>SUM(G75:G77)</f>
        <v>0</v>
      </c>
      <c r="H78" s="158">
        <f>H77</f>
        <v>0</v>
      </c>
      <c r="I78" s="158">
        <f t="shared" si="28"/>
        <v>0</v>
      </c>
      <c r="J78" s="158">
        <f>J77</f>
        <v>0</v>
      </c>
      <c r="K78" s="158"/>
      <c r="L78" s="158">
        <f>SUM(L66:L77)</f>
        <v>0</v>
      </c>
      <c r="M78" s="158">
        <f>M77</f>
        <v>0</v>
      </c>
      <c r="N78" s="158">
        <f>SUM(N66:N77)</f>
        <v>0</v>
      </c>
    </row>
    <row r="79" spans="1:14" ht="19.95" customHeight="1">
      <c r="A79" s="17" t="s">
        <v>114</v>
      </c>
    </row>
    <row r="80" spans="1:14" ht="19.95" customHeight="1"/>
    <row r="81" spans="1:1" ht="19.95" customHeight="1"/>
    <row r="82" spans="1:1" ht="19.95" customHeight="1"/>
    <row r="83" spans="1:1" ht="19.95" customHeight="1">
      <c r="A83" s="17" t="s">
        <v>115</v>
      </c>
    </row>
    <row r="84" spans="1:1" ht="19.95" customHeight="1"/>
    <row r="85" spans="1:1" ht="19.95" customHeight="1"/>
    <row r="86" spans="1:1" ht="19.95" customHeight="1"/>
    <row r="87" spans="1:1" ht="16.05" customHeight="1"/>
    <row r="88" spans="1:1" ht="16.05" customHeight="1">
      <c r="A88" s="92" t="s">
        <v>116</v>
      </c>
    </row>
    <row r="89" spans="1:1" ht="16.05" customHeight="1">
      <c r="A89" s="91" t="s">
        <v>365</v>
      </c>
    </row>
    <row r="90" spans="1:1" ht="16.05" customHeight="1">
      <c r="A90" s="91" t="s">
        <v>366</v>
      </c>
    </row>
    <row r="91" spans="1:1" ht="16.05" customHeight="1">
      <c r="A91" s="91" t="s">
        <v>367</v>
      </c>
    </row>
    <row r="92" spans="1:1" ht="16.05" customHeight="1">
      <c r="A92" s="91" t="s">
        <v>368</v>
      </c>
    </row>
    <row r="93" spans="1:1" ht="16.05" customHeight="1">
      <c r="A93" s="90" t="s">
        <v>369</v>
      </c>
    </row>
    <row r="94" spans="1:1" ht="16.05" customHeight="1"/>
  </sheetData>
  <mergeCells count="6">
    <mergeCell ref="A63:A64"/>
    <mergeCell ref="A1:N1"/>
    <mergeCell ref="A2:N2"/>
    <mergeCell ref="A12:A13"/>
    <mergeCell ref="A29:A30"/>
    <mergeCell ref="A46:A47"/>
  </mergeCells>
  <phoneticPr fontId="14" type="noConversion"/>
  <hyperlinks>
    <hyperlink ref="N3" location="底稿目录!A1" display="底稿目录!A1"/>
  </hyperlinks>
  <printOptions horizontalCentered="1"/>
  <pageMargins left="0.51181102362204722" right="0.35433070866141736" top="0.6692913385826772" bottom="0.47244094488188981" header="0.47244094488188981" footer="0.31496062992125984"/>
  <pageSetup paperSize="9" scale="69" fitToHeight="0" orientation="portrait" blackAndWhite="1" cellComments="atEnd" r:id="rId1"/>
  <headerFooter>
    <oddFooter>&amp;C&amp;P/&amp;N</oddFooter>
  </headerFooter>
  <rowBreaks count="1" manualBreakCount="1">
    <brk id="44" max="1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O75"/>
  <sheetViews>
    <sheetView view="pageBreakPreview" zoomScaleNormal="115" zoomScaleSheetLayoutView="100" workbookViewId="0">
      <selection activeCell="A15" sqref="A15"/>
    </sheetView>
  </sheetViews>
  <sheetFormatPr defaultColWidth="9" defaultRowHeight="13.8"/>
  <cols>
    <col min="1" max="1" width="11.796875" style="10" customWidth="1"/>
    <col min="2" max="2" width="9.5" style="10" customWidth="1"/>
    <col min="3" max="3" width="6.5" style="10" customWidth="1"/>
    <col min="4" max="4" width="11.796875" style="10" customWidth="1"/>
    <col min="5" max="5" width="11" style="10" customWidth="1"/>
    <col min="6" max="6" width="6.296875" style="10" customWidth="1"/>
    <col min="7" max="7" width="10.69921875" style="10" customWidth="1"/>
    <col min="8" max="8" width="11.5" style="10" customWidth="1"/>
    <col min="9" max="9" width="7" style="10" customWidth="1"/>
    <col min="10" max="10" width="9.796875" style="10" customWidth="1"/>
    <col min="11" max="11" width="8.296875" style="10" customWidth="1"/>
    <col min="12" max="12" width="11.09765625" style="10" customWidth="1"/>
    <col min="13" max="13" width="9.69921875" style="10" customWidth="1"/>
    <col min="14" max="16384" width="9" style="10"/>
  </cols>
  <sheetData>
    <row r="1" spans="1:15" s="94" customFormat="1" ht="19.95" customHeight="1">
      <c r="A1" s="251" t="s">
        <v>60</v>
      </c>
      <c r="B1" s="250"/>
      <c r="C1" s="250"/>
      <c r="D1" s="250"/>
      <c r="E1" s="250"/>
      <c r="F1" s="250"/>
      <c r="G1" s="250"/>
      <c r="H1" s="250"/>
      <c r="I1" s="250"/>
      <c r="J1" s="250"/>
      <c r="K1" s="250"/>
      <c r="L1" s="250"/>
      <c r="M1" s="250"/>
      <c r="N1" s="250"/>
    </row>
    <row r="2" spans="1:15" s="95" customFormat="1" ht="19.95" customHeight="1">
      <c r="A2" s="252" t="s">
        <v>526</v>
      </c>
      <c r="B2" s="253"/>
      <c r="C2" s="253"/>
      <c r="D2" s="253"/>
      <c r="E2" s="253"/>
      <c r="F2" s="253"/>
      <c r="G2" s="253"/>
      <c r="H2" s="253"/>
      <c r="I2" s="253"/>
      <c r="J2" s="253"/>
      <c r="K2" s="253"/>
      <c r="L2" s="253"/>
      <c r="M2" s="253"/>
      <c r="N2" s="253"/>
    </row>
    <row r="3" spans="1:15" ht="19.95" customHeight="1">
      <c r="A3" s="10" t="str">
        <f>底稿目录!A2</f>
        <v>被审计单位：</v>
      </c>
      <c r="B3" s="18"/>
      <c r="F3" s="10" t="str">
        <f>底稿目录!A4</f>
        <v>编制人：</v>
      </c>
      <c r="G3" s="24"/>
      <c r="J3" s="10" t="str">
        <f>底稿目录!A5</f>
        <v>编制日期：</v>
      </c>
      <c r="M3" s="15" t="s">
        <v>19</v>
      </c>
      <c r="N3" s="220" t="s">
        <v>515</v>
      </c>
    </row>
    <row r="4" spans="1:15" ht="19.95" customHeight="1">
      <c r="A4" s="10" t="str">
        <f>底稿目录!A3</f>
        <v>截止日：202X年12月31日</v>
      </c>
      <c r="B4" s="18"/>
      <c r="F4" s="15" t="str">
        <f>底稿目录!A6</f>
        <v>复核人：</v>
      </c>
      <c r="G4" s="24"/>
      <c r="J4" s="15" t="str">
        <f>底稿目录!A7</f>
        <v>复核日期：</v>
      </c>
      <c r="M4" s="15" t="s">
        <v>62</v>
      </c>
    </row>
    <row r="5" spans="1:15" s="4" customFormat="1" ht="19.95" customHeight="1">
      <c r="A5" s="14" t="s">
        <v>5</v>
      </c>
      <c r="B5" s="8"/>
      <c r="C5" s="8"/>
      <c r="D5" s="8"/>
      <c r="E5" s="8"/>
      <c r="F5" s="8"/>
      <c r="G5" s="8"/>
      <c r="H5" s="8"/>
      <c r="I5" s="8"/>
    </row>
    <row r="6" spans="1:15" s="4" customFormat="1" ht="19.95" customHeight="1">
      <c r="A6" s="13" t="s">
        <v>452</v>
      </c>
      <c r="B6" s="64"/>
      <c r="C6" s="13"/>
      <c r="D6" s="13"/>
      <c r="E6" s="13"/>
      <c r="F6" s="13"/>
      <c r="G6" s="13"/>
      <c r="H6" s="13"/>
      <c r="I6" s="13"/>
    </row>
    <row r="7" spans="1:15" s="4" customFormat="1" ht="19.95" customHeight="1">
      <c r="A7" s="14" t="s">
        <v>7</v>
      </c>
      <c r="B7" s="8"/>
      <c r="C7" s="8"/>
      <c r="D7" s="8"/>
      <c r="E7" s="8"/>
      <c r="F7" s="8"/>
      <c r="G7" s="8"/>
      <c r="H7" s="8"/>
      <c r="I7" s="8"/>
    </row>
    <row r="8" spans="1:15" s="4" customFormat="1" ht="19.95" customHeight="1">
      <c r="A8" s="13"/>
      <c r="B8" s="13"/>
      <c r="C8" s="13"/>
      <c r="D8" s="13"/>
      <c r="E8" s="13"/>
      <c r="F8" s="13"/>
      <c r="G8" s="13"/>
      <c r="H8" s="13"/>
      <c r="I8" s="13"/>
    </row>
    <row r="9" spans="1:15" s="4" customFormat="1" ht="19.95" customHeight="1">
      <c r="A9" s="14" t="s">
        <v>6</v>
      </c>
      <c r="B9" s="5"/>
      <c r="C9" s="5"/>
      <c r="D9" s="6"/>
      <c r="E9" s="7"/>
    </row>
    <row r="10" spans="1:15" s="66" customFormat="1" ht="19.95" customHeight="1">
      <c r="A10" s="67" t="s">
        <v>75</v>
      </c>
      <c r="B10" s="19"/>
      <c r="C10" s="19"/>
      <c r="D10" s="65" t="s">
        <v>527</v>
      </c>
      <c r="E10" s="19"/>
      <c r="F10" s="19"/>
      <c r="G10" s="19"/>
      <c r="H10" s="19"/>
      <c r="I10" s="19"/>
      <c r="J10" s="19"/>
    </row>
    <row r="11" spans="1:15" s="66" customFormat="1" ht="19.95" customHeight="1">
      <c r="A11" s="67" t="s">
        <v>20</v>
      </c>
      <c r="B11" s="19"/>
      <c r="C11" s="97" t="s">
        <v>15</v>
      </c>
      <c r="D11" s="98"/>
      <c r="E11" s="19"/>
      <c r="F11" s="19"/>
      <c r="G11" s="19"/>
      <c r="H11" s="19"/>
      <c r="I11" s="19"/>
      <c r="J11" s="19"/>
    </row>
    <row r="12" spans="1:15" ht="19.95" customHeight="1">
      <c r="A12" s="246" t="s">
        <v>471</v>
      </c>
      <c r="B12" s="69" t="s">
        <v>76</v>
      </c>
      <c r="C12" s="70"/>
      <c r="D12" s="70"/>
      <c r="E12" s="69" t="s">
        <v>9</v>
      </c>
      <c r="F12" s="70"/>
      <c r="G12" s="70"/>
      <c r="H12" s="69" t="s">
        <v>77</v>
      </c>
      <c r="I12" s="70"/>
      <c r="J12" s="70"/>
      <c r="K12" s="69" t="s">
        <v>10</v>
      </c>
      <c r="L12" s="70"/>
      <c r="M12" s="70"/>
      <c r="N12" s="93" t="s">
        <v>3</v>
      </c>
    </row>
    <row r="13" spans="1:15" ht="19.95" customHeight="1">
      <c r="A13" s="246"/>
      <c r="B13" s="93" t="s">
        <v>79</v>
      </c>
      <c r="C13" s="93" t="s">
        <v>2</v>
      </c>
      <c r="D13" s="93" t="s">
        <v>16</v>
      </c>
      <c r="E13" s="93" t="s">
        <v>79</v>
      </c>
      <c r="F13" s="93" t="s">
        <v>2</v>
      </c>
      <c r="G13" s="93" t="s">
        <v>16</v>
      </c>
      <c r="H13" s="93" t="s">
        <v>79</v>
      </c>
      <c r="I13" s="93" t="s">
        <v>2</v>
      </c>
      <c r="J13" s="93" t="s">
        <v>16</v>
      </c>
      <c r="K13" s="93" t="s">
        <v>2</v>
      </c>
      <c r="L13" s="93" t="s">
        <v>16</v>
      </c>
      <c r="M13" s="93" t="s">
        <v>11</v>
      </c>
      <c r="N13" s="93" t="s">
        <v>80</v>
      </c>
      <c r="O13" s="163"/>
    </row>
    <row r="14" spans="1:15" ht="19.95" customHeight="1">
      <c r="A14" s="189" t="s">
        <v>495</v>
      </c>
      <c r="B14" s="21" t="s">
        <v>12</v>
      </c>
      <c r="C14" s="21" t="s">
        <v>117</v>
      </c>
      <c r="D14" s="21" t="s">
        <v>118</v>
      </c>
      <c r="E14" s="21" t="s">
        <v>13</v>
      </c>
      <c r="F14" s="21" t="s">
        <v>61</v>
      </c>
      <c r="G14" s="21" t="s">
        <v>119</v>
      </c>
      <c r="H14" s="9"/>
      <c r="I14" s="157">
        <f>IF(ISERROR(J14/H14),0,J14/H14)</f>
        <v>0</v>
      </c>
      <c r="J14" s="9"/>
      <c r="K14" s="42" t="s">
        <v>120</v>
      </c>
      <c r="L14" s="42" t="s">
        <v>8</v>
      </c>
      <c r="M14" s="157">
        <f>J14</f>
        <v>0</v>
      </c>
      <c r="N14" s="42" t="s">
        <v>14</v>
      </c>
    </row>
    <row r="15" spans="1:15" s="192" customFormat="1" ht="19.95" customHeight="1">
      <c r="A15" s="189"/>
      <c r="B15" s="190"/>
      <c r="C15" s="190"/>
      <c r="D15" s="190"/>
      <c r="E15" s="190"/>
      <c r="F15" s="190"/>
      <c r="G15" s="190"/>
      <c r="H15" s="41"/>
      <c r="I15" s="41"/>
      <c r="J15" s="41"/>
      <c r="K15" s="191"/>
      <c r="L15" s="191"/>
      <c r="M15" s="41"/>
      <c r="N15" s="191"/>
    </row>
    <row r="16" spans="1:15" ht="19.95" customHeight="1">
      <c r="A16" s="188"/>
      <c r="B16" s="41"/>
      <c r="C16" s="41"/>
      <c r="D16" s="41"/>
      <c r="E16" s="41"/>
      <c r="F16" s="41"/>
      <c r="G16" s="41"/>
      <c r="H16" s="41"/>
      <c r="I16" s="41"/>
      <c r="J16" s="41"/>
      <c r="K16" s="41"/>
      <c r="L16" s="41"/>
      <c r="M16" s="41"/>
      <c r="N16" s="41"/>
    </row>
    <row r="17" spans="1:14" ht="19.95" customHeight="1">
      <c r="A17" s="188"/>
      <c r="B17" s="41"/>
      <c r="C17" s="41"/>
      <c r="D17" s="41"/>
      <c r="E17" s="41"/>
      <c r="F17" s="41"/>
      <c r="G17" s="41"/>
      <c r="H17" s="41"/>
      <c r="I17" s="41"/>
      <c r="J17" s="41"/>
      <c r="K17" s="41"/>
      <c r="L17" s="41"/>
      <c r="M17" s="41"/>
      <c r="N17" s="41"/>
    </row>
    <row r="18" spans="1:14" ht="19.95" customHeight="1">
      <c r="A18" s="188"/>
      <c r="B18" s="41"/>
      <c r="C18" s="41"/>
      <c r="D18" s="41"/>
      <c r="E18" s="41"/>
      <c r="F18" s="41"/>
      <c r="G18" s="41"/>
      <c r="H18" s="41"/>
      <c r="I18" s="41"/>
      <c r="J18" s="41"/>
      <c r="K18" s="41"/>
      <c r="L18" s="41"/>
      <c r="M18" s="41"/>
      <c r="N18" s="41"/>
    </row>
    <row r="19" spans="1:14" ht="19.95" customHeight="1">
      <c r="A19" s="188"/>
      <c r="B19" s="41"/>
      <c r="C19" s="41"/>
      <c r="D19" s="41"/>
      <c r="E19" s="41"/>
      <c r="F19" s="41"/>
      <c r="G19" s="41"/>
      <c r="H19" s="41"/>
      <c r="I19" s="41"/>
      <c r="J19" s="41"/>
      <c r="K19" s="41"/>
      <c r="L19" s="41"/>
      <c r="M19" s="41"/>
      <c r="N19" s="41"/>
    </row>
    <row r="20" spans="1:14" ht="19.95" customHeight="1">
      <c r="A20" s="188"/>
      <c r="B20" s="41"/>
      <c r="C20" s="41"/>
      <c r="D20" s="41"/>
      <c r="E20" s="41"/>
      <c r="F20" s="41"/>
      <c r="G20" s="41"/>
      <c r="H20" s="41"/>
      <c r="I20" s="41"/>
      <c r="J20" s="41"/>
      <c r="K20" s="41"/>
      <c r="L20" s="41"/>
      <c r="M20" s="41"/>
      <c r="N20" s="41"/>
    </row>
    <row r="21" spans="1:14" s="16" customFormat="1" ht="19.95" customHeight="1">
      <c r="A21" s="188"/>
      <c r="B21" s="41"/>
      <c r="C21" s="41"/>
      <c r="D21" s="41"/>
      <c r="E21" s="41"/>
      <c r="F21" s="41"/>
      <c r="G21" s="41"/>
      <c r="H21" s="41"/>
      <c r="I21" s="41"/>
      <c r="J21" s="41"/>
      <c r="K21" s="41"/>
      <c r="L21" s="41"/>
      <c r="M21" s="41"/>
      <c r="N21" s="41"/>
    </row>
    <row r="22" spans="1:14" s="16" customFormat="1" ht="19.95" customHeight="1">
      <c r="A22" s="188"/>
      <c r="B22" s="41"/>
      <c r="C22" s="41"/>
      <c r="D22" s="41"/>
      <c r="E22" s="41"/>
      <c r="F22" s="41"/>
      <c r="G22" s="41"/>
      <c r="H22" s="41"/>
      <c r="I22" s="41"/>
      <c r="J22" s="41"/>
      <c r="K22" s="41"/>
      <c r="L22" s="41"/>
      <c r="M22" s="41"/>
      <c r="N22" s="41"/>
    </row>
    <row r="23" spans="1:14" s="55" customFormat="1" ht="19.95" customHeight="1">
      <c r="A23" s="188"/>
      <c r="B23" s="41"/>
      <c r="C23" s="41"/>
      <c r="D23" s="41"/>
      <c r="E23" s="41"/>
      <c r="F23" s="41"/>
      <c r="G23" s="41"/>
      <c r="H23" s="41"/>
      <c r="I23" s="41"/>
      <c r="J23" s="41"/>
      <c r="K23" s="41"/>
      <c r="L23" s="41"/>
      <c r="M23" s="41"/>
      <c r="N23" s="41"/>
    </row>
    <row r="24" spans="1:14" ht="19.95" customHeight="1">
      <c r="A24" s="188"/>
      <c r="B24" s="41"/>
      <c r="C24" s="41"/>
      <c r="D24" s="41"/>
      <c r="E24" s="41"/>
      <c r="F24" s="41"/>
      <c r="G24" s="41"/>
      <c r="H24" s="41"/>
      <c r="I24" s="41"/>
      <c r="J24" s="41"/>
      <c r="K24" s="41"/>
      <c r="L24" s="41"/>
      <c r="M24" s="41"/>
      <c r="N24" s="41"/>
    </row>
    <row r="25" spans="1:14" ht="19.95" customHeight="1">
      <c r="A25" s="188"/>
      <c r="B25" s="41"/>
      <c r="C25" s="41"/>
      <c r="D25" s="41"/>
      <c r="E25" s="41"/>
      <c r="F25" s="41"/>
      <c r="G25" s="41"/>
      <c r="H25" s="41"/>
      <c r="I25" s="41"/>
      <c r="J25" s="41"/>
      <c r="K25" s="41"/>
      <c r="L25" s="41"/>
      <c r="M25" s="41"/>
      <c r="N25" s="41"/>
    </row>
    <row r="26" spans="1:14" ht="19.95" customHeight="1">
      <c r="A26" s="188"/>
      <c r="B26" s="41"/>
      <c r="C26" s="41"/>
      <c r="D26" s="41"/>
      <c r="E26" s="41"/>
      <c r="F26" s="41"/>
      <c r="G26" s="41"/>
      <c r="H26" s="41"/>
      <c r="I26" s="41"/>
      <c r="J26" s="41"/>
      <c r="K26" s="41"/>
      <c r="L26" s="41"/>
      <c r="M26" s="41"/>
      <c r="N26" s="41"/>
    </row>
    <row r="27" spans="1:14" ht="19.95" customHeight="1">
      <c r="A27" s="188"/>
      <c r="B27" s="41"/>
      <c r="C27" s="41"/>
      <c r="D27" s="41"/>
      <c r="E27" s="41"/>
      <c r="F27" s="41"/>
      <c r="G27" s="41"/>
      <c r="H27" s="41"/>
      <c r="I27" s="41"/>
      <c r="J27" s="41"/>
      <c r="K27" s="41"/>
      <c r="L27" s="41"/>
      <c r="M27" s="41"/>
      <c r="N27" s="41"/>
    </row>
    <row r="28" spans="1:14" ht="19.95" customHeight="1">
      <c r="A28" s="156" t="s">
        <v>64</v>
      </c>
      <c r="B28" s="158">
        <f>SUM(B14:B27)</f>
        <v>0</v>
      </c>
      <c r="C28" s="158">
        <f t="shared" ref="C28" si="0">IF(ISERROR(D28/B28),0,D28/B28)</f>
        <v>0</v>
      </c>
      <c r="D28" s="158">
        <f>SUM(D14:D27)</f>
        <v>0</v>
      </c>
      <c r="E28" s="158">
        <f>SUM(E14:E27)</f>
        <v>0</v>
      </c>
      <c r="F28" s="158">
        <f t="shared" ref="F28" si="1">IF(ISERROR(G28/E28),0,G28/E28)</f>
        <v>0</v>
      </c>
      <c r="G28" s="158">
        <f>SUM(G24:G27)</f>
        <v>0</v>
      </c>
      <c r="H28" s="158">
        <f>H27</f>
        <v>0</v>
      </c>
      <c r="I28" s="158">
        <f t="shared" ref="I28" si="2">IF(ISERROR(J28/H28),0,J28/H28)</f>
        <v>0</v>
      </c>
      <c r="J28" s="158">
        <f>J27</f>
        <v>0</v>
      </c>
      <c r="K28" s="158"/>
      <c r="L28" s="158">
        <f>SUM(L16:L27)</f>
        <v>0</v>
      </c>
      <c r="M28" s="158">
        <f>M27</f>
        <v>0</v>
      </c>
      <c r="N28" s="158">
        <f>SUM(N16:N27)</f>
        <v>0</v>
      </c>
    </row>
    <row r="29" spans="1:14" ht="19.95" customHeight="1">
      <c r="A29" s="67" t="s">
        <v>21</v>
      </c>
      <c r="B29" s="19"/>
      <c r="C29" s="97" t="s">
        <v>15</v>
      </c>
      <c r="D29" s="98"/>
      <c r="E29" s="19"/>
      <c r="F29" s="19"/>
      <c r="G29" s="19"/>
      <c r="H29" s="19"/>
      <c r="I29" s="19"/>
      <c r="J29" s="19"/>
      <c r="K29" s="66"/>
      <c r="L29" s="66"/>
      <c r="M29" s="66"/>
      <c r="N29" s="66"/>
    </row>
    <row r="30" spans="1:14" ht="19.95" customHeight="1">
      <c r="A30" s="246" t="s">
        <v>471</v>
      </c>
      <c r="B30" s="69" t="s">
        <v>76</v>
      </c>
      <c r="C30" s="70"/>
      <c r="D30" s="70"/>
      <c r="E30" s="69" t="s">
        <v>9</v>
      </c>
      <c r="F30" s="70"/>
      <c r="G30" s="70"/>
      <c r="H30" s="69" t="s">
        <v>77</v>
      </c>
      <c r="I30" s="70"/>
      <c r="J30" s="70"/>
      <c r="K30" s="69" t="s">
        <v>10</v>
      </c>
      <c r="L30" s="70"/>
      <c r="M30" s="70"/>
      <c r="N30" s="93" t="s">
        <v>3</v>
      </c>
    </row>
    <row r="31" spans="1:14" ht="19.95" customHeight="1">
      <c r="A31" s="246"/>
      <c r="B31" s="93" t="s">
        <v>79</v>
      </c>
      <c r="C31" s="93" t="s">
        <v>2</v>
      </c>
      <c r="D31" s="93" t="s">
        <v>16</v>
      </c>
      <c r="E31" s="93" t="s">
        <v>79</v>
      </c>
      <c r="F31" s="93" t="s">
        <v>2</v>
      </c>
      <c r="G31" s="93" t="s">
        <v>16</v>
      </c>
      <c r="H31" s="93" t="s">
        <v>79</v>
      </c>
      <c r="I31" s="93" t="s">
        <v>2</v>
      </c>
      <c r="J31" s="93" t="s">
        <v>16</v>
      </c>
      <c r="K31" s="93" t="s">
        <v>2</v>
      </c>
      <c r="L31" s="93" t="s">
        <v>16</v>
      </c>
      <c r="M31" s="93" t="s">
        <v>11</v>
      </c>
      <c r="N31" s="93" t="s">
        <v>80</v>
      </c>
    </row>
    <row r="32" spans="1:14" ht="19.95" customHeight="1">
      <c r="A32" s="189" t="s">
        <v>81</v>
      </c>
      <c r="B32" s="21" t="s">
        <v>286</v>
      </c>
      <c r="C32" s="21" t="s">
        <v>287</v>
      </c>
      <c r="D32" s="21" t="s">
        <v>288</v>
      </c>
      <c r="E32" s="21" t="s">
        <v>289</v>
      </c>
      <c r="F32" s="21" t="s">
        <v>290</v>
      </c>
      <c r="G32" s="21" t="s">
        <v>291</v>
      </c>
      <c r="H32" s="9"/>
      <c r="I32" s="157">
        <f>IF(ISERROR(J32/H32),0,J32/H32)</f>
        <v>0</v>
      </c>
      <c r="J32" s="9"/>
      <c r="K32" s="42" t="s">
        <v>292</v>
      </c>
      <c r="L32" s="42" t="s">
        <v>293</v>
      </c>
      <c r="M32" s="157">
        <f>J32</f>
        <v>0</v>
      </c>
      <c r="N32" s="42" t="s">
        <v>294</v>
      </c>
    </row>
    <row r="33" spans="1:14" s="192" customFormat="1" ht="19.95" customHeight="1">
      <c r="A33" s="189"/>
      <c r="B33" s="190"/>
      <c r="C33" s="190"/>
      <c r="D33" s="190"/>
      <c r="E33" s="190"/>
      <c r="F33" s="190"/>
      <c r="G33" s="190"/>
      <c r="H33" s="41"/>
      <c r="I33" s="41"/>
      <c r="J33" s="41"/>
      <c r="K33" s="191"/>
      <c r="L33" s="191"/>
      <c r="M33" s="41"/>
      <c r="N33" s="191"/>
    </row>
    <row r="34" spans="1:14" s="192" customFormat="1" ht="19.95" customHeight="1">
      <c r="A34" s="188"/>
      <c r="B34" s="41"/>
      <c r="C34" s="41"/>
      <c r="D34" s="41"/>
      <c r="E34" s="41"/>
      <c r="F34" s="41"/>
      <c r="G34" s="41"/>
      <c r="H34" s="41"/>
      <c r="I34" s="41"/>
      <c r="J34" s="41"/>
      <c r="K34" s="41"/>
      <c r="L34" s="41"/>
      <c r="M34" s="41"/>
      <c r="N34" s="41"/>
    </row>
    <row r="35" spans="1:14" s="192" customFormat="1" ht="19.95" customHeight="1">
      <c r="A35" s="188"/>
      <c r="B35" s="41"/>
      <c r="C35" s="41"/>
      <c r="D35" s="41"/>
      <c r="E35" s="41"/>
      <c r="F35" s="41"/>
      <c r="G35" s="41"/>
      <c r="H35" s="41"/>
      <c r="I35" s="41"/>
      <c r="J35" s="41"/>
      <c r="K35" s="41"/>
      <c r="L35" s="41"/>
      <c r="M35" s="41"/>
      <c r="N35" s="41"/>
    </row>
    <row r="36" spans="1:14" s="192" customFormat="1" ht="19.95" customHeight="1">
      <c r="A36" s="188"/>
      <c r="B36" s="41"/>
      <c r="C36" s="41"/>
      <c r="D36" s="41"/>
      <c r="E36" s="41"/>
      <c r="F36" s="41"/>
      <c r="G36" s="41"/>
      <c r="H36" s="41"/>
      <c r="I36" s="41"/>
      <c r="J36" s="41"/>
      <c r="K36" s="41"/>
      <c r="L36" s="41"/>
      <c r="M36" s="41"/>
      <c r="N36" s="41"/>
    </row>
    <row r="37" spans="1:14" s="192" customFormat="1" ht="19.95" customHeight="1">
      <c r="A37" s="188"/>
      <c r="B37" s="41"/>
      <c r="C37" s="41"/>
      <c r="D37" s="41"/>
      <c r="E37" s="41"/>
      <c r="F37" s="41"/>
      <c r="G37" s="41"/>
      <c r="H37" s="41"/>
      <c r="I37" s="41"/>
      <c r="J37" s="41"/>
      <c r="K37" s="41"/>
      <c r="L37" s="41"/>
      <c r="M37" s="41"/>
      <c r="N37" s="41"/>
    </row>
    <row r="38" spans="1:14" s="192" customFormat="1" ht="19.95" customHeight="1">
      <c r="A38" s="188"/>
      <c r="B38" s="41"/>
      <c r="C38" s="41"/>
      <c r="D38" s="41"/>
      <c r="E38" s="41"/>
      <c r="F38" s="41"/>
      <c r="G38" s="41"/>
      <c r="H38" s="41"/>
      <c r="I38" s="41"/>
      <c r="J38" s="41"/>
      <c r="K38" s="41"/>
      <c r="L38" s="41"/>
      <c r="M38" s="41"/>
      <c r="N38" s="41"/>
    </row>
    <row r="39" spans="1:14" s="193" customFormat="1" ht="19.95" customHeight="1">
      <c r="A39" s="188"/>
      <c r="B39" s="41"/>
      <c r="C39" s="41"/>
      <c r="D39" s="41"/>
      <c r="E39" s="41"/>
      <c r="F39" s="41"/>
      <c r="G39" s="41"/>
      <c r="H39" s="41"/>
      <c r="I39" s="41"/>
      <c r="J39" s="41"/>
      <c r="K39" s="41"/>
      <c r="L39" s="41"/>
      <c r="M39" s="41"/>
      <c r="N39" s="41"/>
    </row>
    <row r="40" spans="1:14" s="193" customFormat="1" ht="19.95" customHeight="1">
      <c r="A40" s="188"/>
      <c r="B40" s="41"/>
      <c r="C40" s="41"/>
      <c r="D40" s="41"/>
      <c r="E40" s="41"/>
      <c r="F40" s="41"/>
      <c r="G40" s="41"/>
      <c r="H40" s="41"/>
      <c r="I40" s="41"/>
      <c r="J40" s="41"/>
      <c r="K40" s="41"/>
      <c r="L40" s="41"/>
      <c r="M40" s="41"/>
      <c r="N40" s="41"/>
    </row>
    <row r="41" spans="1:14" s="194" customFormat="1" ht="19.95" customHeight="1">
      <c r="A41" s="188"/>
      <c r="B41" s="41"/>
      <c r="C41" s="41"/>
      <c r="D41" s="41"/>
      <c r="E41" s="41"/>
      <c r="F41" s="41"/>
      <c r="G41" s="41"/>
      <c r="H41" s="41"/>
      <c r="I41" s="41"/>
      <c r="J41" s="41"/>
      <c r="K41" s="41"/>
      <c r="L41" s="41"/>
      <c r="M41" s="41"/>
      <c r="N41" s="41"/>
    </row>
    <row r="42" spans="1:14" s="192" customFormat="1" ht="19.95" customHeight="1">
      <c r="A42" s="188"/>
      <c r="B42" s="41"/>
      <c r="C42" s="41"/>
      <c r="D42" s="41"/>
      <c r="E42" s="41"/>
      <c r="F42" s="41"/>
      <c r="G42" s="41"/>
      <c r="H42" s="41"/>
      <c r="I42" s="41"/>
      <c r="J42" s="41"/>
      <c r="K42" s="41"/>
      <c r="L42" s="41"/>
      <c r="M42" s="41"/>
      <c r="N42" s="41"/>
    </row>
    <row r="43" spans="1:14" s="192" customFormat="1" ht="19.95" customHeight="1">
      <c r="A43" s="188"/>
      <c r="B43" s="41"/>
      <c r="C43" s="41"/>
      <c r="D43" s="41"/>
      <c r="E43" s="41"/>
      <c r="F43" s="41"/>
      <c r="G43" s="41"/>
      <c r="H43" s="41"/>
      <c r="I43" s="41"/>
      <c r="J43" s="41"/>
      <c r="K43" s="41"/>
      <c r="L43" s="41"/>
      <c r="M43" s="41"/>
      <c r="N43" s="41"/>
    </row>
    <row r="44" spans="1:14" s="192" customFormat="1" ht="19.95" customHeight="1">
      <c r="A44" s="188"/>
      <c r="B44" s="41"/>
      <c r="C44" s="41"/>
      <c r="D44" s="41"/>
      <c r="E44" s="41"/>
      <c r="F44" s="41"/>
      <c r="G44" s="41"/>
      <c r="H44" s="41"/>
      <c r="I44" s="41"/>
      <c r="J44" s="41"/>
      <c r="K44" s="41"/>
      <c r="L44" s="41"/>
      <c r="M44" s="41"/>
      <c r="N44" s="41"/>
    </row>
    <row r="45" spans="1:14" s="192" customFormat="1" ht="19.95" customHeight="1">
      <c r="A45" s="188"/>
      <c r="B45" s="41"/>
      <c r="C45" s="41"/>
      <c r="D45" s="41"/>
      <c r="E45" s="41"/>
      <c r="F45" s="41"/>
      <c r="G45" s="41"/>
      <c r="H45" s="41"/>
      <c r="I45" s="41"/>
      <c r="J45" s="41"/>
      <c r="K45" s="41"/>
      <c r="L45" s="41"/>
      <c r="M45" s="41"/>
      <c r="N45" s="41"/>
    </row>
    <row r="46" spans="1:14" s="195" customFormat="1" ht="19.95" customHeight="1">
      <c r="A46" s="156" t="s">
        <v>295</v>
      </c>
      <c r="B46" s="158">
        <f>SUM(B32:B45)</f>
        <v>0</v>
      </c>
      <c r="C46" s="158">
        <f t="shared" ref="C46" si="3">IF(ISERROR(D46/B46),0,D46/B46)</f>
        <v>0</v>
      </c>
      <c r="D46" s="158">
        <f>SUM(D32:D45)</f>
        <v>0</v>
      </c>
      <c r="E46" s="158">
        <f>SUM(E32:E45)</f>
        <v>0</v>
      </c>
      <c r="F46" s="158">
        <f t="shared" ref="F46" si="4">IF(ISERROR(G46/E46),0,G46/E46)</f>
        <v>0</v>
      </c>
      <c r="G46" s="158">
        <f>SUM(G42:G45)</f>
        <v>0</v>
      </c>
      <c r="H46" s="158">
        <f>H45</f>
        <v>0</v>
      </c>
      <c r="I46" s="158">
        <f t="shared" ref="I46" si="5">IF(ISERROR(J46/H46),0,J46/H46)</f>
        <v>0</v>
      </c>
      <c r="J46" s="158">
        <f>J45</f>
        <v>0</v>
      </c>
      <c r="K46" s="158"/>
      <c r="L46" s="158">
        <f>SUM(L34:L45)</f>
        <v>0</v>
      </c>
      <c r="M46" s="158">
        <f>M45</f>
        <v>0</v>
      </c>
      <c r="N46" s="158">
        <f>SUM(N34:N45)</f>
        <v>0</v>
      </c>
    </row>
    <row r="47" spans="1:14" ht="19.95" customHeight="1">
      <c r="A47" s="67" t="s">
        <v>22</v>
      </c>
      <c r="B47" s="19"/>
      <c r="C47" s="97" t="s">
        <v>15</v>
      </c>
      <c r="D47" s="98"/>
      <c r="E47" s="19"/>
      <c r="F47" s="19"/>
      <c r="G47" s="19"/>
      <c r="H47" s="19"/>
      <c r="I47" s="19"/>
      <c r="J47" s="19"/>
      <c r="K47" s="66"/>
      <c r="L47" s="66"/>
      <c r="M47" s="66"/>
      <c r="N47" s="66"/>
    </row>
    <row r="48" spans="1:14" ht="19.95" customHeight="1">
      <c r="A48" s="246" t="s">
        <v>471</v>
      </c>
      <c r="B48" s="69" t="s">
        <v>76</v>
      </c>
      <c r="C48" s="70"/>
      <c r="D48" s="70"/>
      <c r="E48" s="69" t="s">
        <v>9</v>
      </c>
      <c r="F48" s="70"/>
      <c r="G48" s="70"/>
      <c r="H48" s="69" t="s">
        <v>77</v>
      </c>
      <c r="I48" s="70"/>
      <c r="J48" s="70"/>
      <c r="K48" s="69" t="s">
        <v>10</v>
      </c>
      <c r="L48" s="70"/>
      <c r="M48" s="70"/>
      <c r="N48" s="93" t="s">
        <v>3</v>
      </c>
    </row>
    <row r="49" spans="1:14" ht="19.95" customHeight="1">
      <c r="A49" s="246"/>
      <c r="B49" s="93" t="s">
        <v>79</v>
      </c>
      <c r="C49" s="93" t="s">
        <v>2</v>
      </c>
      <c r="D49" s="93" t="s">
        <v>16</v>
      </c>
      <c r="E49" s="93" t="s">
        <v>79</v>
      </c>
      <c r="F49" s="93" t="s">
        <v>2</v>
      </c>
      <c r="G49" s="93" t="s">
        <v>16</v>
      </c>
      <c r="H49" s="93" t="s">
        <v>79</v>
      </c>
      <c r="I49" s="93" t="s">
        <v>2</v>
      </c>
      <c r="J49" s="93" t="s">
        <v>16</v>
      </c>
      <c r="K49" s="93" t="s">
        <v>2</v>
      </c>
      <c r="L49" s="93" t="s">
        <v>16</v>
      </c>
      <c r="M49" s="93" t="s">
        <v>11</v>
      </c>
      <c r="N49" s="93" t="s">
        <v>80</v>
      </c>
    </row>
    <row r="50" spans="1:14" ht="19.95" customHeight="1">
      <c r="A50" s="56" t="s">
        <v>285</v>
      </c>
      <c r="B50" s="21" t="s">
        <v>286</v>
      </c>
      <c r="C50" s="21" t="s">
        <v>287</v>
      </c>
      <c r="D50" s="21" t="s">
        <v>288</v>
      </c>
      <c r="E50" s="21" t="s">
        <v>289</v>
      </c>
      <c r="F50" s="21" t="s">
        <v>290</v>
      </c>
      <c r="G50" s="21" t="s">
        <v>291</v>
      </c>
      <c r="H50" s="9"/>
      <c r="I50" s="157">
        <f>IF(ISERROR(J50/H50),0,J50/H50)</f>
        <v>0</v>
      </c>
      <c r="J50" s="9"/>
      <c r="K50" s="42" t="s">
        <v>292</v>
      </c>
      <c r="L50" s="42" t="s">
        <v>293</v>
      </c>
      <c r="M50" s="157">
        <f>J50</f>
        <v>0</v>
      </c>
      <c r="N50" s="42" t="s">
        <v>294</v>
      </c>
    </row>
    <row r="51" spans="1:14" s="192" customFormat="1" ht="19.95" customHeight="1">
      <c r="A51" s="189"/>
      <c r="B51" s="190"/>
      <c r="C51" s="190"/>
      <c r="D51" s="190"/>
      <c r="E51" s="190"/>
      <c r="F51" s="190"/>
      <c r="G51" s="190"/>
      <c r="H51" s="41"/>
      <c r="I51" s="41"/>
      <c r="J51" s="41"/>
      <c r="K51" s="191"/>
      <c r="L51" s="191"/>
      <c r="M51" s="41"/>
      <c r="N51" s="191"/>
    </row>
    <row r="52" spans="1:14" s="192" customFormat="1" ht="19.95" customHeight="1">
      <c r="A52" s="188"/>
      <c r="B52" s="41"/>
      <c r="C52" s="41"/>
      <c r="D52" s="41"/>
      <c r="E52" s="41"/>
      <c r="F52" s="41"/>
      <c r="G52" s="41"/>
      <c r="H52" s="41"/>
      <c r="I52" s="41"/>
      <c r="J52" s="41"/>
      <c r="K52" s="41"/>
      <c r="L52" s="41"/>
      <c r="M52" s="41"/>
      <c r="N52" s="41"/>
    </row>
    <row r="53" spans="1:14" s="192" customFormat="1" ht="19.95" customHeight="1">
      <c r="A53" s="188"/>
      <c r="B53" s="41"/>
      <c r="C53" s="41"/>
      <c r="D53" s="41"/>
      <c r="E53" s="41"/>
      <c r="F53" s="41"/>
      <c r="G53" s="41"/>
      <c r="H53" s="41"/>
      <c r="I53" s="41"/>
      <c r="J53" s="41"/>
      <c r="K53" s="41"/>
      <c r="L53" s="41"/>
      <c r="M53" s="41"/>
      <c r="N53" s="41"/>
    </row>
    <row r="54" spans="1:14" s="192" customFormat="1" ht="19.95" customHeight="1">
      <c r="A54" s="188"/>
      <c r="B54" s="41"/>
      <c r="C54" s="41"/>
      <c r="D54" s="41"/>
      <c r="E54" s="41"/>
      <c r="F54" s="41"/>
      <c r="G54" s="41"/>
      <c r="H54" s="41"/>
      <c r="I54" s="41"/>
      <c r="J54" s="41"/>
      <c r="K54" s="41"/>
      <c r="L54" s="41"/>
      <c r="M54" s="41"/>
      <c r="N54" s="41"/>
    </row>
    <row r="55" spans="1:14" s="192" customFormat="1" ht="19.95" customHeight="1">
      <c r="A55" s="188"/>
      <c r="B55" s="41"/>
      <c r="C55" s="41"/>
      <c r="D55" s="41"/>
      <c r="E55" s="41"/>
      <c r="F55" s="41"/>
      <c r="G55" s="41"/>
      <c r="H55" s="41"/>
      <c r="I55" s="41"/>
      <c r="J55" s="41"/>
      <c r="K55" s="41"/>
      <c r="L55" s="41"/>
      <c r="M55" s="41"/>
      <c r="N55" s="41"/>
    </row>
    <row r="56" spans="1:14" s="192" customFormat="1" ht="19.95" customHeight="1">
      <c r="A56" s="188"/>
      <c r="B56" s="41"/>
      <c r="C56" s="41"/>
      <c r="D56" s="41"/>
      <c r="E56" s="41"/>
      <c r="F56" s="41"/>
      <c r="G56" s="41"/>
      <c r="H56" s="41"/>
      <c r="I56" s="41"/>
      <c r="J56" s="41"/>
      <c r="K56" s="41"/>
      <c r="L56" s="41"/>
      <c r="M56" s="41"/>
      <c r="N56" s="41"/>
    </row>
    <row r="57" spans="1:14" s="193" customFormat="1" ht="19.95" customHeight="1">
      <c r="A57" s="188"/>
      <c r="B57" s="41"/>
      <c r="C57" s="41"/>
      <c r="D57" s="41"/>
      <c r="E57" s="41"/>
      <c r="F57" s="41"/>
      <c r="G57" s="41"/>
      <c r="H57" s="41"/>
      <c r="I57" s="41"/>
      <c r="J57" s="41"/>
      <c r="K57" s="41"/>
      <c r="L57" s="41"/>
      <c r="M57" s="41"/>
      <c r="N57" s="41"/>
    </row>
    <row r="58" spans="1:14" s="193" customFormat="1" ht="19.95" customHeight="1">
      <c r="A58" s="188"/>
      <c r="B58" s="41"/>
      <c r="C58" s="41"/>
      <c r="D58" s="41"/>
      <c r="E58" s="41"/>
      <c r="F58" s="41"/>
      <c r="G58" s="41"/>
      <c r="H58" s="41"/>
      <c r="I58" s="41"/>
      <c r="J58" s="41"/>
      <c r="K58" s="41"/>
      <c r="L58" s="41"/>
      <c r="M58" s="41"/>
      <c r="N58" s="41"/>
    </row>
    <row r="59" spans="1:14" s="194" customFormat="1" ht="19.95" customHeight="1">
      <c r="A59" s="188"/>
      <c r="B59" s="41"/>
      <c r="C59" s="41"/>
      <c r="D59" s="41"/>
      <c r="E59" s="41"/>
      <c r="F59" s="41"/>
      <c r="G59" s="41"/>
      <c r="H59" s="41"/>
      <c r="I59" s="41"/>
      <c r="J59" s="41"/>
      <c r="K59" s="41"/>
      <c r="L59" s="41"/>
      <c r="M59" s="41"/>
      <c r="N59" s="41"/>
    </row>
    <row r="60" spans="1:14" s="192" customFormat="1" ht="19.95" customHeight="1">
      <c r="A60" s="188"/>
      <c r="B60" s="41"/>
      <c r="C60" s="41"/>
      <c r="D60" s="41"/>
      <c r="E60" s="41"/>
      <c r="F60" s="41"/>
      <c r="G60" s="41"/>
      <c r="H60" s="41"/>
      <c r="I60" s="41"/>
      <c r="J60" s="41"/>
      <c r="K60" s="41"/>
      <c r="L60" s="41"/>
      <c r="M60" s="41"/>
      <c r="N60" s="41"/>
    </row>
    <row r="61" spans="1:14" s="192" customFormat="1" ht="19.95" customHeight="1">
      <c r="A61" s="188"/>
      <c r="B61" s="41"/>
      <c r="C61" s="41"/>
      <c r="D61" s="41"/>
      <c r="E61" s="41"/>
      <c r="F61" s="41"/>
      <c r="G61" s="41"/>
      <c r="H61" s="41"/>
      <c r="I61" s="41"/>
      <c r="J61" s="41"/>
      <c r="K61" s="41"/>
      <c r="L61" s="41"/>
      <c r="M61" s="41"/>
      <c r="N61" s="41"/>
    </row>
    <row r="62" spans="1:14" s="192" customFormat="1" ht="19.95" customHeight="1">
      <c r="A62" s="188"/>
      <c r="B62" s="41"/>
      <c r="C62" s="41"/>
      <c r="D62" s="41"/>
      <c r="E62" s="41"/>
      <c r="F62" s="41"/>
      <c r="G62" s="41"/>
      <c r="H62" s="41"/>
      <c r="I62" s="41"/>
      <c r="J62" s="41"/>
      <c r="K62" s="41"/>
      <c r="L62" s="41"/>
      <c r="M62" s="41"/>
      <c r="N62" s="41"/>
    </row>
    <row r="63" spans="1:14" s="192" customFormat="1" ht="19.95" customHeight="1">
      <c r="A63" s="188"/>
      <c r="B63" s="41"/>
      <c r="C63" s="41"/>
      <c r="D63" s="41"/>
      <c r="E63" s="41"/>
      <c r="F63" s="41"/>
      <c r="G63" s="41"/>
      <c r="H63" s="41"/>
      <c r="I63" s="41"/>
      <c r="J63" s="41"/>
      <c r="K63" s="41"/>
      <c r="L63" s="41"/>
      <c r="M63" s="41"/>
      <c r="N63" s="41"/>
    </row>
    <row r="64" spans="1:14" s="195" customFormat="1" ht="19.95" customHeight="1">
      <c r="A64" s="156" t="s">
        <v>295</v>
      </c>
      <c r="B64" s="158">
        <f>SUM(B50:B63)</f>
        <v>0</v>
      </c>
      <c r="C64" s="158">
        <f t="shared" ref="C64" si="6">IF(ISERROR(D64/B64),0,D64/B64)</f>
        <v>0</v>
      </c>
      <c r="D64" s="158">
        <f>SUM(D50:D63)</f>
        <v>0</v>
      </c>
      <c r="E64" s="158">
        <f>SUM(E50:E63)</f>
        <v>0</v>
      </c>
      <c r="F64" s="158">
        <f t="shared" ref="F64" si="7">IF(ISERROR(G64/E64),0,G64/E64)</f>
        <v>0</v>
      </c>
      <c r="G64" s="158">
        <f>SUM(G60:G63)</f>
        <v>0</v>
      </c>
      <c r="H64" s="158">
        <f>H63</f>
        <v>0</v>
      </c>
      <c r="I64" s="158">
        <f t="shared" ref="I64" si="8">IF(ISERROR(J64/H64),0,J64/H64)</f>
        <v>0</v>
      </c>
      <c r="J64" s="158">
        <f>J63</f>
        <v>0</v>
      </c>
      <c r="K64" s="158"/>
      <c r="L64" s="158">
        <f>SUM(L52:L63)</f>
        <v>0</v>
      </c>
      <c r="M64" s="158">
        <f>M63</f>
        <v>0</v>
      </c>
      <c r="N64" s="158">
        <f>SUM(N52:N63)</f>
        <v>0</v>
      </c>
    </row>
    <row r="65" spans="1:14" ht="19.95" customHeight="1">
      <c r="A65" s="71" t="s">
        <v>4</v>
      </c>
      <c r="B65" s="22"/>
      <c r="C65" s="22"/>
      <c r="D65" s="22"/>
      <c r="E65" s="22"/>
      <c r="F65" s="22"/>
      <c r="G65" s="22"/>
      <c r="H65" s="22"/>
      <c r="I65" s="22"/>
      <c r="J65" s="22"/>
      <c r="K65" s="22"/>
      <c r="L65" s="22"/>
      <c r="M65" s="22"/>
      <c r="N65" s="22"/>
    </row>
    <row r="66" spans="1:14" ht="19.95" customHeight="1">
      <c r="A66" s="22"/>
      <c r="B66" s="22"/>
      <c r="C66" s="22"/>
      <c r="D66" s="22"/>
      <c r="E66" s="22"/>
      <c r="F66" s="22"/>
      <c r="G66" s="22"/>
      <c r="H66" s="22"/>
      <c r="I66" s="22"/>
      <c r="J66" s="22"/>
      <c r="K66" s="22"/>
      <c r="L66" s="22"/>
      <c r="M66" s="22"/>
      <c r="N66" s="22"/>
    </row>
    <row r="67" spans="1:14" ht="19.95" customHeight="1">
      <c r="A67" s="22"/>
      <c r="B67" s="22"/>
      <c r="C67" s="22"/>
      <c r="D67" s="22"/>
      <c r="E67" s="22"/>
      <c r="F67" s="22"/>
      <c r="G67" s="22"/>
      <c r="H67" s="22"/>
      <c r="I67" s="22"/>
      <c r="J67" s="22"/>
      <c r="K67" s="22"/>
      <c r="L67" s="22"/>
      <c r="M67" s="22"/>
      <c r="N67" s="22"/>
    </row>
    <row r="68" spans="1:14" ht="19.95" customHeight="1">
      <c r="A68" s="17" t="s">
        <v>74</v>
      </c>
    </row>
    <row r="69" spans="1:14" ht="19.95" customHeight="1"/>
    <row r="70" spans="1:14" ht="19.95" customHeight="1"/>
    <row r="71" spans="1:14" ht="16.05" customHeight="1">
      <c r="A71" s="202" t="s">
        <v>472</v>
      </c>
    </row>
    <row r="72" spans="1:14" ht="16.05" customHeight="1">
      <c r="A72" s="91" t="s">
        <v>17</v>
      </c>
    </row>
    <row r="73" spans="1:14" ht="16.05" customHeight="1">
      <c r="A73" s="91" t="s">
        <v>18</v>
      </c>
    </row>
    <row r="74" spans="1:14" ht="16.05" customHeight="1">
      <c r="A74" s="91" t="s">
        <v>121</v>
      </c>
    </row>
    <row r="75" spans="1:14" ht="16.05" customHeight="1">
      <c r="A75" s="91" t="s">
        <v>122</v>
      </c>
    </row>
  </sheetData>
  <mergeCells count="5">
    <mergeCell ref="A1:N1"/>
    <mergeCell ref="A2:N2"/>
    <mergeCell ref="A12:A13"/>
    <mergeCell ref="A30:A31"/>
    <mergeCell ref="A48:A49"/>
  </mergeCells>
  <phoneticPr fontId="14" type="noConversion"/>
  <hyperlinks>
    <hyperlink ref="N3" location="底稿目录!A1" display="F2-39"/>
  </hyperlinks>
  <printOptions horizontalCentered="1"/>
  <pageMargins left="0.59055118110236227" right="0.47244094488188981" top="0.74803149606299213" bottom="0.74803149606299213" header="0.31496062992125984" footer="0.31496062992125984"/>
  <pageSetup paperSize="9" scale="64" fitToHeight="0" orientation="portrait" blackAndWhite="1" cellComments="atEnd" r:id="rId1"/>
  <headerFooter>
    <oddFooter>&amp;C&amp;P/&amp;N</oddFooter>
  </headerFooter>
  <rowBreaks count="1" manualBreakCount="1">
    <brk id="46" max="1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P64"/>
  <sheetViews>
    <sheetView view="pageBreakPreview" zoomScaleSheetLayoutView="100" workbookViewId="0">
      <selection activeCell="Q14" sqref="Q14"/>
    </sheetView>
  </sheetViews>
  <sheetFormatPr defaultColWidth="9" defaultRowHeight="13.8"/>
  <cols>
    <col min="1" max="1" width="6.59765625" style="10" customWidth="1"/>
    <col min="2" max="2" width="5.8984375" style="10" customWidth="1"/>
    <col min="3" max="3" width="8.19921875" style="10" customWidth="1"/>
    <col min="4" max="4" width="8.3984375" style="10" customWidth="1"/>
    <col min="5" max="5" width="10.796875" style="10" customWidth="1"/>
    <col min="6" max="6" width="6.19921875" style="10" customWidth="1"/>
    <col min="7" max="7" width="8" style="10" customWidth="1"/>
    <col min="8" max="8" width="11.3984375" style="10" customWidth="1"/>
    <col min="9" max="9" width="6.5" style="10" customWidth="1"/>
    <col min="10" max="10" width="10.5" style="10" customWidth="1"/>
    <col min="11" max="11" width="11.3984375" style="10" customWidth="1"/>
    <col min="12" max="12" width="6.09765625" style="10" customWidth="1"/>
    <col min="13" max="13" width="9.296875" style="10" customWidth="1"/>
    <col min="14" max="14" width="11.09765625" style="10" customWidth="1"/>
    <col min="15" max="15" width="7.59765625" style="10" customWidth="1"/>
    <col min="16" max="16384" width="9" style="10"/>
  </cols>
  <sheetData>
    <row r="1" spans="1:16" s="94" customFormat="1" ht="19.95" customHeight="1">
      <c r="A1" s="254" t="s">
        <v>60</v>
      </c>
      <c r="B1" s="254"/>
      <c r="C1" s="254"/>
      <c r="D1" s="254"/>
      <c r="E1" s="254"/>
      <c r="F1" s="254"/>
      <c r="G1" s="254"/>
      <c r="H1" s="254"/>
      <c r="I1" s="254"/>
      <c r="J1" s="254"/>
      <c r="K1" s="254"/>
      <c r="L1" s="254"/>
      <c r="M1" s="254"/>
      <c r="N1" s="254"/>
      <c r="O1" s="254"/>
    </row>
    <row r="2" spans="1:16" s="95" customFormat="1" ht="19.95" customHeight="1">
      <c r="A2" s="255" t="s">
        <v>490</v>
      </c>
      <c r="B2" s="255"/>
      <c r="C2" s="255"/>
      <c r="D2" s="255"/>
      <c r="E2" s="255"/>
      <c r="F2" s="255"/>
      <c r="G2" s="255"/>
      <c r="H2" s="255"/>
      <c r="I2" s="255"/>
      <c r="J2" s="255"/>
      <c r="K2" s="255"/>
      <c r="L2" s="255"/>
      <c r="M2" s="255"/>
      <c r="N2" s="255"/>
      <c r="O2" s="255"/>
    </row>
    <row r="3" spans="1:16" ht="19.95" customHeight="1">
      <c r="A3" s="10" t="str">
        <f>底稿目录!A2</f>
        <v>被审计单位：</v>
      </c>
      <c r="B3" s="18"/>
      <c r="C3" s="18"/>
      <c r="G3" s="10" t="str">
        <f>底稿目录!A4</f>
        <v>编制人：</v>
      </c>
      <c r="H3" s="24"/>
      <c r="J3" s="10" t="str">
        <f>底稿目录!A5</f>
        <v>编制日期：</v>
      </c>
      <c r="N3" s="15" t="s">
        <v>24</v>
      </c>
      <c r="O3" s="220" t="str">
        <f>底稿目录!F5</f>
        <v>F2-40</v>
      </c>
    </row>
    <row r="4" spans="1:16" ht="19.95" customHeight="1">
      <c r="A4" s="10" t="str">
        <f>底稿目录!A3</f>
        <v>截止日：202X年12月31日</v>
      </c>
      <c r="B4" s="18"/>
      <c r="C4" s="18"/>
      <c r="G4" s="15" t="str">
        <f>底稿目录!A6</f>
        <v>复核人：</v>
      </c>
      <c r="H4" s="24"/>
      <c r="J4" s="15" t="str">
        <f>底稿目录!A7</f>
        <v>复核日期：</v>
      </c>
      <c r="N4" s="15" t="s">
        <v>123</v>
      </c>
    </row>
    <row r="5" spans="1:16" s="4" customFormat="1" ht="19.95" customHeight="1">
      <c r="A5" s="8" t="s">
        <v>124</v>
      </c>
      <c r="B5" s="8"/>
      <c r="C5" s="8"/>
      <c r="D5" s="8"/>
      <c r="E5" s="8"/>
      <c r="F5" s="8"/>
      <c r="G5" s="8"/>
      <c r="H5" s="8"/>
      <c r="I5" s="8"/>
      <c r="J5" s="8"/>
    </row>
    <row r="6" spans="1:16" s="4" customFormat="1" ht="19.95" customHeight="1">
      <c r="A6" s="13" t="s">
        <v>489</v>
      </c>
      <c r="B6" s="64"/>
      <c r="C6" s="64"/>
      <c r="D6" s="13"/>
      <c r="E6" s="13"/>
      <c r="F6" s="13"/>
      <c r="G6" s="13"/>
      <c r="H6" s="13"/>
      <c r="I6" s="13"/>
      <c r="J6" s="13"/>
    </row>
    <row r="7" spans="1:16" s="4" customFormat="1" ht="19.95" customHeight="1">
      <c r="A7" s="8" t="s">
        <v>25</v>
      </c>
      <c r="B7" s="8"/>
      <c r="C7" s="8"/>
      <c r="D7" s="8"/>
      <c r="E7" s="8"/>
      <c r="F7" s="8"/>
      <c r="G7" s="8"/>
      <c r="H7" s="8"/>
      <c r="I7" s="8"/>
      <c r="J7" s="8"/>
    </row>
    <row r="8" spans="1:16" s="4" customFormat="1" ht="19.95" customHeight="1">
      <c r="A8" s="13"/>
      <c r="B8" s="13"/>
      <c r="C8" s="13"/>
      <c r="D8" s="13"/>
      <c r="E8" s="13"/>
      <c r="F8" s="13"/>
      <c r="G8" s="13"/>
      <c r="H8" s="13"/>
      <c r="I8" s="13"/>
      <c r="J8" s="13"/>
    </row>
    <row r="9" spans="1:16" s="4" customFormat="1" ht="19.95" customHeight="1">
      <c r="A9" s="8" t="s">
        <v>26</v>
      </c>
      <c r="B9" s="5"/>
      <c r="C9" s="5"/>
      <c r="D9" s="5"/>
      <c r="E9" s="6"/>
      <c r="F9" s="7"/>
      <c r="P9" s="203"/>
    </row>
    <row r="10" spans="1:16" s="4" customFormat="1" ht="19.95" customHeight="1">
      <c r="A10" s="68" t="s">
        <v>27</v>
      </c>
      <c r="B10" s="19"/>
      <c r="C10" s="19"/>
      <c r="D10" s="99" t="s">
        <v>39</v>
      </c>
      <c r="E10" s="6"/>
      <c r="F10" s="11"/>
      <c r="G10" s="196"/>
      <c r="H10" s="197"/>
      <c r="I10" s="197"/>
      <c r="J10" s="196"/>
      <c r="K10" s="197"/>
      <c r="P10" s="187"/>
    </row>
    <row r="11" spans="1:16" s="223" customFormat="1" ht="19.95" customHeight="1">
      <c r="A11" s="257" t="s">
        <v>78</v>
      </c>
      <c r="B11" s="69" t="s">
        <v>101</v>
      </c>
      <c r="C11" s="69"/>
      <c r="D11" s="69"/>
      <c r="E11" s="69"/>
      <c r="F11" s="69" t="s">
        <v>476</v>
      </c>
      <c r="G11" s="69"/>
      <c r="H11" s="69"/>
      <c r="I11" s="69" t="s">
        <v>481</v>
      </c>
      <c r="J11" s="69"/>
      <c r="K11" s="69"/>
      <c r="L11" s="69" t="s">
        <v>482</v>
      </c>
      <c r="M11" s="69"/>
      <c r="N11" s="69"/>
      <c r="O11" s="256" t="s">
        <v>3</v>
      </c>
    </row>
    <row r="12" spans="1:16" s="223" customFormat="1" ht="19.95" customHeight="1">
      <c r="A12" s="257"/>
      <c r="B12" s="204" t="s">
        <v>480</v>
      </c>
      <c r="C12" s="204" t="s">
        <v>473</v>
      </c>
      <c r="D12" s="204" t="s">
        <v>475</v>
      </c>
      <c r="E12" s="224" t="s">
        <v>491</v>
      </c>
      <c r="F12" s="221" t="s">
        <v>480</v>
      </c>
      <c r="G12" s="221" t="s">
        <v>474</v>
      </c>
      <c r="H12" s="224" t="s">
        <v>491</v>
      </c>
      <c r="I12" s="221" t="s">
        <v>479</v>
      </c>
      <c r="J12" s="221" t="s">
        <v>474</v>
      </c>
      <c r="K12" s="224" t="s">
        <v>491</v>
      </c>
      <c r="L12" s="221" t="s">
        <v>480</v>
      </c>
      <c r="M12" s="221" t="s">
        <v>474</v>
      </c>
      <c r="N12" s="224" t="s">
        <v>491</v>
      </c>
      <c r="O12" s="256"/>
    </row>
    <row r="13" spans="1:16" s="4" customFormat="1" ht="19.95" customHeight="1">
      <c r="A13" s="206" t="s">
        <v>81</v>
      </c>
      <c r="B13" s="198"/>
      <c r="C13" s="198"/>
      <c r="D13" s="200">
        <f>B13*C13</f>
        <v>0</v>
      </c>
      <c r="E13" s="23"/>
      <c r="F13" s="199"/>
      <c r="G13" s="9"/>
      <c r="H13" s="9"/>
      <c r="I13" s="157">
        <f>B13</f>
        <v>0</v>
      </c>
      <c r="J13" s="157">
        <f>D13</f>
        <v>0</v>
      </c>
      <c r="K13" s="157">
        <f>E13</f>
        <v>0</v>
      </c>
      <c r="L13" s="9"/>
      <c r="M13" s="9"/>
      <c r="N13" s="9"/>
      <c r="O13" s="157">
        <f>N13-K13</f>
        <v>0</v>
      </c>
    </row>
    <row r="14" spans="1:16" s="4" customFormat="1" ht="19.95" customHeight="1">
      <c r="A14" s="208" t="s">
        <v>23</v>
      </c>
      <c r="B14" s="198"/>
      <c r="C14" s="198"/>
      <c r="D14" s="200">
        <f t="shared" ref="D14:D24" si="0">B14*C14</f>
        <v>0</v>
      </c>
      <c r="E14" s="23"/>
      <c r="F14" s="199"/>
      <c r="G14" s="157">
        <f>F14*C14</f>
        <v>0</v>
      </c>
      <c r="H14" s="157">
        <f>(IF(ISERROR((K13+E14)/(I13+B14)),0,(K13+E14)/(I13+B14)))*G14</f>
        <v>0</v>
      </c>
      <c r="I14" s="157">
        <f t="shared" ref="I14:I25" si="1">I13+B14-F14</f>
        <v>0</v>
      </c>
      <c r="J14" s="157">
        <f>J13+D14-G14</f>
        <v>0</v>
      </c>
      <c r="K14" s="157">
        <f>K13+E14-H14</f>
        <v>0</v>
      </c>
      <c r="L14" s="9"/>
      <c r="M14" s="9"/>
      <c r="N14" s="9"/>
      <c r="O14" s="157">
        <f t="shared" ref="O14:O25" si="2">N14-K14</f>
        <v>0</v>
      </c>
    </row>
    <row r="15" spans="1:16" s="4" customFormat="1" ht="19.95" customHeight="1">
      <c r="A15" s="208" t="s">
        <v>28</v>
      </c>
      <c r="B15" s="198"/>
      <c r="C15" s="198"/>
      <c r="D15" s="200">
        <f t="shared" si="0"/>
        <v>0</v>
      </c>
      <c r="E15" s="23"/>
      <c r="F15" s="199"/>
      <c r="G15" s="157">
        <f t="shared" ref="G15:G24" si="3">F15*C15</f>
        <v>0</v>
      </c>
      <c r="H15" s="157">
        <f>(IF(ISERROR((K14+E15)/(I14+B15)),0,(K14+E15)/(I14+B15)))*G15</f>
        <v>0</v>
      </c>
      <c r="I15" s="157">
        <f t="shared" si="1"/>
        <v>0</v>
      </c>
      <c r="J15" s="157">
        <f t="shared" ref="J15:K25" si="4">J14+D15-G15</f>
        <v>0</v>
      </c>
      <c r="K15" s="157">
        <f>K14+E15-H15</f>
        <v>0</v>
      </c>
      <c r="L15" s="9"/>
      <c r="M15" s="9"/>
      <c r="N15" s="9"/>
      <c r="O15" s="157">
        <f t="shared" si="2"/>
        <v>0</v>
      </c>
    </row>
    <row r="16" spans="1:16" s="4" customFormat="1" ht="19.95" customHeight="1">
      <c r="A16" s="208" t="s">
        <v>29</v>
      </c>
      <c r="B16" s="198"/>
      <c r="C16" s="198"/>
      <c r="D16" s="200">
        <f t="shared" si="0"/>
        <v>0</v>
      </c>
      <c r="E16" s="23"/>
      <c r="F16" s="199"/>
      <c r="G16" s="157">
        <f t="shared" si="3"/>
        <v>0</v>
      </c>
      <c r="H16" s="157">
        <f t="shared" ref="H16:H25" si="5">(IF(ISERROR((K15+E16)/(I15+B16)),0,(K15+E16)/(I15+B16)))*G16</f>
        <v>0</v>
      </c>
      <c r="I16" s="157">
        <f t="shared" si="1"/>
        <v>0</v>
      </c>
      <c r="J16" s="157">
        <f t="shared" si="4"/>
        <v>0</v>
      </c>
      <c r="K16" s="157">
        <f t="shared" si="4"/>
        <v>0</v>
      </c>
      <c r="L16" s="9"/>
      <c r="M16" s="9"/>
      <c r="N16" s="9"/>
      <c r="O16" s="157">
        <f t="shared" si="2"/>
        <v>0</v>
      </c>
    </row>
    <row r="17" spans="1:15" s="4" customFormat="1" ht="19.95" customHeight="1">
      <c r="A17" s="208" t="s">
        <v>30</v>
      </c>
      <c r="B17" s="198"/>
      <c r="C17" s="198"/>
      <c r="D17" s="200">
        <f t="shared" si="0"/>
        <v>0</v>
      </c>
      <c r="E17" s="23"/>
      <c r="F17" s="199"/>
      <c r="G17" s="157">
        <f t="shared" si="3"/>
        <v>0</v>
      </c>
      <c r="H17" s="157">
        <f t="shared" si="5"/>
        <v>0</v>
      </c>
      <c r="I17" s="157">
        <f t="shared" si="1"/>
        <v>0</v>
      </c>
      <c r="J17" s="157">
        <f t="shared" si="4"/>
        <v>0</v>
      </c>
      <c r="K17" s="157">
        <f t="shared" si="4"/>
        <v>0</v>
      </c>
      <c r="L17" s="9"/>
      <c r="M17" s="9"/>
      <c r="N17" s="9"/>
      <c r="O17" s="157">
        <f t="shared" si="2"/>
        <v>0</v>
      </c>
    </row>
    <row r="18" spans="1:15" s="4" customFormat="1" ht="19.95" customHeight="1">
      <c r="A18" s="208" t="s">
        <v>31</v>
      </c>
      <c r="B18" s="198"/>
      <c r="C18" s="198"/>
      <c r="D18" s="200">
        <f t="shared" si="0"/>
        <v>0</v>
      </c>
      <c r="E18" s="23"/>
      <c r="F18" s="199"/>
      <c r="G18" s="157">
        <f t="shared" si="3"/>
        <v>0</v>
      </c>
      <c r="H18" s="157">
        <f t="shared" si="5"/>
        <v>0</v>
      </c>
      <c r="I18" s="157">
        <f t="shared" si="1"/>
        <v>0</v>
      </c>
      <c r="J18" s="157">
        <f t="shared" si="4"/>
        <v>0</v>
      </c>
      <c r="K18" s="157">
        <f t="shared" si="4"/>
        <v>0</v>
      </c>
      <c r="L18" s="9"/>
      <c r="M18" s="9"/>
      <c r="N18" s="9"/>
      <c r="O18" s="157">
        <f t="shared" si="2"/>
        <v>0</v>
      </c>
    </row>
    <row r="19" spans="1:15" s="4" customFormat="1" ht="19.95" customHeight="1">
      <c r="A19" s="208" t="s">
        <v>32</v>
      </c>
      <c r="B19" s="198"/>
      <c r="C19" s="198"/>
      <c r="D19" s="200">
        <f t="shared" si="0"/>
        <v>0</v>
      </c>
      <c r="E19" s="23"/>
      <c r="F19" s="199"/>
      <c r="G19" s="157">
        <f t="shared" si="3"/>
        <v>0</v>
      </c>
      <c r="H19" s="157">
        <f t="shared" si="5"/>
        <v>0</v>
      </c>
      <c r="I19" s="157">
        <f t="shared" si="1"/>
        <v>0</v>
      </c>
      <c r="J19" s="157">
        <f t="shared" si="4"/>
        <v>0</v>
      </c>
      <c r="K19" s="157">
        <f t="shared" si="4"/>
        <v>0</v>
      </c>
      <c r="L19" s="9"/>
      <c r="M19" s="9"/>
      <c r="N19" s="9"/>
      <c r="O19" s="157">
        <f t="shared" si="2"/>
        <v>0</v>
      </c>
    </row>
    <row r="20" spans="1:15" s="4" customFormat="1" ht="19.95" customHeight="1">
      <c r="A20" s="208" t="s">
        <v>33</v>
      </c>
      <c r="B20" s="198"/>
      <c r="C20" s="198"/>
      <c r="D20" s="200">
        <f t="shared" si="0"/>
        <v>0</v>
      </c>
      <c r="E20" s="23"/>
      <c r="F20" s="199"/>
      <c r="G20" s="157">
        <f t="shared" si="3"/>
        <v>0</v>
      </c>
      <c r="H20" s="157">
        <f t="shared" si="5"/>
        <v>0</v>
      </c>
      <c r="I20" s="157">
        <f t="shared" si="1"/>
        <v>0</v>
      </c>
      <c r="J20" s="157">
        <f t="shared" si="4"/>
        <v>0</v>
      </c>
      <c r="K20" s="157">
        <f t="shared" si="4"/>
        <v>0</v>
      </c>
      <c r="L20" s="9"/>
      <c r="M20" s="9"/>
      <c r="N20" s="9"/>
      <c r="O20" s="157">
        <f t="shared" si="2"/>
        <v>0</v>
      </c>
    </row>
    <row r="21" spans="1:15" s="4" customFormat="1" ht="19.95" customHeight="1">
      <c r="A21" s="208" t="s">
        <v>34</v>
      </c>
      <c r="B21" s="198"/>
      <c r="C21" s="198"/>
      <c r="D21" s="200">
        <f t="shared" si="0"/>
        <v>0</v>
      </c>
      <c r="E21" s="23"/>
      <c r="F21" s="199"/>
      <c r="G21" s="157">
        <f t="shared" si="3"/>
        <v>0</v>
      </c>
      <c r="H21" s="157">
        <f t="shared" si="5"/>
        <v>0</v>
      </c>
      <c r="I21" s="157">
        <f t="shared" si="1"/>
        <v>0</v>
      </c>
      <c r="J21" s="157">
        <f t="shared" si="4"/>
        <v>0</v>
      </c>
      <c r="K21" s="157">
        <f t="shared" si="4"/>
        <v>0</v>
      </c>
      <c r="L21" s="9"/>
      <c r="M21" s="9"/>
      <c r="N21" s="9"/>
      <c r="O21" s="157">
        <f t="shared" si="2"/>
        <v>0</v>
      </c>
    </row>
    <row r="22" spans="1:15" s="4" customFormat="1" ht="19.95" customHeight="1">
      <c r="A22" s="208" t="s">
        <v>35</v>
      </c>
      <c r="B22" s="198"/>
      <c r="C22" s="198"/>
      <c r="D22" s="200">
        <f t="shared" si="0"/>
        <v>0</v>
      </c>
      <c r="E22" s="23"/>
      <c r="F22" s="199"/>
      <c r="G22" s="157">
        <f t="shared" si="3"/>
        <v>0</v>
      </c>
      <c r="H22" s="157">
        <f t="shared" si="5"/>
        <v>0</v>
      </c>
      <c r="I22" s="157">
        <f t="shared" si="1"/>
        <v>0</v>
      </c>
      <c r="J22" s="157">
        <f t="shared" si="4"/>
        <v>0</v>
      </c>
      <c r="K22" s="157">
        <f t="shared" si="4"/>
        <v>0</v>
      </c>
      <c r="L22" s="9"/>
      <c r="M22" s="9"/>
      <c r="N22" s="9"/>
      <c r="O22" s="157">
        <f t="shared" si="2"/>
        <v>0</v>
      </c>
    </row>
    <row r="23" spans="1:15" s="4" customFormat="1" ht="19.95" customHeight="1">
      <c r="A23" s="208" t="s">
        <v>36</v>
      </c>
      <c r="B23" s="198"/>
      <c r="C23" s="198"/>
      <c r="D23" s="200">
        <f t="shared" si="0"/>
        <v>0</v>
      </c>
      <c r="E23" s="23"/>
      <c r="F23" s="199"/>
      <c r="G23" s="157">
        <f t="shared" si="3"/>
        <v>0</v>
      </c>
      <c r="H23" s="157">
        <f t="shared" si="5"/>
        <v>0</v>
      </c>
      <c r="I23" s="157">
        <f t="shared" si="1"/>
        <v>0</v>
      </c>
      <c r="J23" s="157">
        <f t="shared" si="4"/>
        <v>0</v>
      </c>
      <c r="K23" s="157">
        <f t="shared" si="4"/>
        <v>0</v>
      </c>
      <c r="L23" s="9"/>
      <c r="M23" s="9"/>
      <c r="N23" s="9"/>
      <c r="O23" s="157">
        <f t="shared" si="2"/>
        <v>0</v>
      </c>
    </row>
    <row r="24" spans="1:15" s="4" customFormat="1" ht="19.95" customHeight="1">
      <c r="A24" s="208" t="s">
        <v>37</v>
      </c>
      <c r="B24" s="198"/>
      <c r="C24" s="198"/>
      <c r="D24" s="200">
        <f t="shared" si="0"/>
        <v>0</v>
      </c>
      <c r="E24" s="23"/>
      <c r="F24" s="199"/>
      <c r="G24" s="157">
        <f t="shared" si="3"/>
        <v>0</v>
      </c>
      <c r="H24" s="157">
        <f t="shared" si="5"/>
        <v>0</v>
      </c>
      <c r="I24" s="157">
        <f t="shared" si="1"/>
        <v>0</v>
      </c>
      <c r="J24" s="157">
        <f t="shared" si="4"/>
        <v>0</v>
      </c>
      <c r="K24" s="157">
        <f t="shared" si="4"/>
        <v>0</v>
      </c>
      <c r="L24" s="9"/>
      <c r="M24" s="9"/>
      <c r="N24" s="9"/>
      <c r="O24" s="157">
        <f t="shared" si="2"/>
        <v>0</v>
      </c>
    </row>
    <row r="25" spans="1:15" s="4" customFormat="1" ht="19.95" customHeight="1">
      <c r="A25" s="208" t="s">
        <v>38</v>
      </c>
      <c r="B25" s="198"/>
      <c r="C25" s="198"/>
      <c r="D25" s="200">
        <f>B25*C25</f>
        <v>0</v>
      </c>
      <c r="E25" s="23"/>
      <c r="F25" s="199"/>
      <c r="G25" s="157">
        <f>F25*C25</f>
        <v>0</v>
      </c>
      <c r="H25" s="157">
        <f t="shared" si="5"/>
        <v>0</v>
      </c>
      <c r="I25" s="157">
        <f t="shared" si="1"/>
        <v>0</v>
      </c>
      <c r="J25" s="157">
        <f t="shared" si="4"/>
        <v>0</v>
      </c>
      <c r="K25" s="157">
        <f t="shared" si="4"/>
        <v>0</v>
      </c>
      <c r="L25" s="9"/>
      <c r="M25" s="9"/>
      <c r="N25" s="9"/>
      <c r="O25" s="157">
        <f t="shared" si="2"/>
        <v>0</v>
      </c>
    </row>
    <row r="26" spans="1:15" s="4" customFormat="1" ht="19.95" customHeight="1">
      <c r="A26" s="68" t="s">
        <v>127</v>
      </c>
      <c r="B26" s="19"/>
      <c r="C26" s="19"/>
      <c r="D26" s="99" t="s">
        <v>39</v>
      </c>
      <c r="E26" s="6"/>
      <c r="F26" s="11"/>
    </row>
    <row r="27" spans="1:15" s="223" customFormat="1" ht="19.95" customHeight="1">
      <c r="A27" s="257" t="s">
        <v>486</v>
      </c>
      <c r="B27" s="69" t="s">
        <v>485</v>
      </c>
      <c r="C27" s="69"/>
      <c r="D27" s="69"/>
      <c r="E27" s="69"/>
      <c r="F27" s="69" t="s">
        <v>487</v>
      </c>
      <c r="G27" s="69"/>
      <c r="H27" s="69"/>
      <c r="I27" s="69" t="s">
        <v>483</v>
      </c>
      <c r="J27" s="69"/>
      <c r="K27" s="69"/>
      <c r="L27" s="69" t="s">
        <v>478</v>
      </c>
      <c r="M27" s="69"/>
      <c r="N27" s="69"/>
      <c r="O27" s="256" t="s">
        <v>3</v>
      </c>
    </row>
    <row r="28" spans="1:15" s="223" customFormat="1" ht="19.95" customHeight="1">
      <c r="A28" s="257"/>
      <c r="B28" s="204" t="s">
        <v>480</v>
      </c>
      <c r="C28" s="204" t="s">
        <v>473</v>
      </c>
      <c r="D28" s="204" t="s">
        <v>475</v>
      </c>
      <c r="E28" s="224" t="s">
        <v>491</v>
      </c>
      <c r="F28" s="221" t="s">
        <v>480</v>
      </c>
      <c r="G28" s="221" t="s">
        <v>474</v>
      </c>
      <c r="H28" s="224" t="s">
        <v>491</v>
      </c>
      <c r="I28" s="221" t="s">
        <v>479</v>
      </c>
      <c r="J28" s="221" t="s">
        <v>474</v>
      </c>
      <c r="K28" s="224" t="s">
        <v>491</v>
      </c>
      <c r="L28" s="221" t="s">
        <v>480</v>
      </c>
      <c r="M28" s="221" t="s">
        <v>474</v>
      </c>
      <c r="N28" s="224" t="s">
        <v>491</v>
      </c>
      <c r="O28" s="256"/>
    </row>
    <row r="29" spans="1:15" ht="19.95" customHeight="1">
      <c r="A29" s="12" t="s">
        <v>126</v>
      </c>
      <c r="B29" s="198"/>
      <c r="C29" s="198"/>
      <c r="D29" s="200">
        <f>B29*C29</f>
        <v>0</v>
      </c>
      <c r="E29" s="23"/>
      <c r="F29" s="199"/>
      <c r="G29" s="9"/>
      <c r="H29" s="9"/>
      <c r="I29" s="157">
        <f>B29</f>
        <v>0</v>
      </c>
      <c r="J29" s="157">
        <f>D29</f>
        <v>0</v>
      </c>
      <c r="K29" s="157">
        <f>E29</f>
        <v>0</v>
      </c>
      <c r="L29" s="9"/>
      <c r="M29" s="9"/>
      <c r="N29" s="9"/>
      <c r="O29" s="157">
        <f>N29-K29</f>
        <v>0</v>
      </c>
    </row>
    <row r="30" spans="1:15" ht="19.95" customHeight="1">
      <c r="A30" s="208" t="s">
        <v>23</v>
      </c>
      <c r="B30" s="198"/>
      <c r="C30" s="198"/>
      <c r="D30" s="200">
        <f t="shared" ref="D30:D41" si="6">B30*C30</f>
        <v>0</v>
      </c>
      <c r="E30" s="23"/>
      <c r="F30" s="199"/>
      <c r="G30" s="157">
        <f>F30*C30</f>
        <v>0</v>
      </c>
      <c r="H30" s="157">
        <f>(IF(ISERROR((K29+E30)/(I29+B30)),0,(K29+E30)/(I29+B30)))*G30</f>
        <v>0</v>
      </c>
      <c r="I30" s="157">
        <f t="shared" ref="I30:I41" si="7">I29+B30-F30</f>
        <v>0</v>
      </c>
      <c r="J30" s="157">
        <f>J29+D30-G30</f>
        <v>0</v>
      </c>
      <c r="K30" s="157">
        <f>K29+E30-H30</f>
        <v>0</v>
      </c>
      <c r="L30" s="9"/>
      <c r="M30" s="9"/>
      <c r="N30" s="9"/>
      <c r="O30" s="157">
        <f>N30-K30</f>
        <v>0</v>
      </c>
    </row>
    <row r="31" spans="1:15" ht="19.95" customHeight="1">
      <c r="A31" s="208" t="s">
        <v>28</v>
      </c>
      <c r="B31" s="198"/>
      <c r="C31" s="198"/>
      <c r="D31" s="200">
        <f t="shared" si="6"/>
        <v>0</v>
      </c>
      <c r="E31" s="23"/>
      <c r="F31" s="199"/>
      <c r="G31" s="157">
        <f t="shared" ref="G31:G41" si="8">F31*C31</f>
        <v>0</v>
      </c>
      <c r="H31" s="157">
        <f t="shared" ref="H31:H41" si="9">(IF(ISERROR((K30+E31)/(I30+B31)),0,(K30+E31)/(I30+B31)))*G31</f>
        <v>0</v>
      </c>
      <c r="I31" s="157">
        <f t="shared" si="7"/>
        <v>0</v>
      </c>
      <c r="J31" s="157">
        <f t="shared" ref="J31:K41" si="10">J30+D31-G31</f>
        <v>0</v>
      </c>
      <c r="K31" s="201">
        <f t="shared" si="10"/>
        <v>0</v>
      </c>
      <c r="L31" s="9"/>
      <c r="M31" s="9"/>
      <c r="N31" s="9"/>
      <c r="O31" s="157">
        <f t="shared" ref="O31:O40" si="11">N31-K31</f>
        <v>0</v>
      </c>
    </row>
    <row r="32" spans="1:15" ht="19.95" customHeight="1">
      <c r="A32" s="208" t="s">
        <v>29</v>
      </c>
      <c r="B32" s="198"/>
      <c r="C32" s="198"/>
      <c r="D32" s="200">
        <f t="shared" si="6"/>
        <v>0</v>
      </c>
      <c r="E32" s="23"/>
      <c r="F32" s="199"/>
      <c r="G32" s="157">
        <f t="shared" si="8"/>
        <v>0</v>
      </c>
      <c r="H32" s="157">
        <f t="shared" si="9"/>
        <v>0</v>
      </c>
      <c r="I32" s="157">
        <f t="shared" si="7"/>
        <v>0</v>
      </c>
      <c r="J32" s="157">
        <f t="shared" si="10"/>
        <v>0</v>
      </c>
      <c r="K32" s="157">
        <f t="shared" si="10"/>
        <v>0</v>
      </c>
      <c r="L32" s="9"/>
      <c r="M32" s="9"/>
      <c r="N32" s="9"/>
      <c r="O32" s="157">
        <f t="shared" si="11"/>
        <v>0</v>
      </c>
    </row>
    <row r="33" spans="1:15" ht="19.95" customHeight="1">
      <c r="A33" s="208" t="s">
        <v>30</v>
      </c>
      <c r="B33" s="198"/>
      <c r="C33" s="198"/>
      <c r="D33" s="200">
        <f t="shared" si="6"/>
        <v>0</v>
      </c>
      <c r="E33" s="23"/>
      <c r="F33" s="199"/>
      <c r="G33" s="157">
        <f t="shared" si="8"/>
        <v>0</v>
      </c>
      <c r="H33" s="157">
        <f t="shared" si="9"/>
        <v>0</v>
      </c>
      <c r="I33" s="157">
        <f t="shared" si="7"/>
        <v>0</v>
      </c>
      <c r="J33" s="157">
        <f t="shared" si="10"/>
        <v>0</v>
      </c>
      <c r="K33" s="157">
        <f t="shared" si="10"/>
        <v>0</v>
      </c>
      <c r="L33" s="9"/>
      <c r="M33" s="9"/>
      <c r="N33" s="9"/>
      <c r="O33" s="157">
        <f t="shared" si="11"/>
        <v>0</v>
      </c>
    </row>
    <row r="34" spans="1:15" ht="19.95" customHeight="1">
      <c r="A34" s="208" t="s">
        <v>31</v>
      </c>
      <c r="B34" s="198"/>
      <c r="C34" s="198"/>
      <c r="D34" s="200">
        <f t="shared" si="6"/>
        <v>0</v>
      </c>
      <c r="E34" s="23"/>
      <c r="F34" s="199"/>
      <c r="G34" s="157">
        <f t="shared" si="8"/>
        <v>0</v>
      </c>
      <c r="H34" s="157">
        <f t="shared" si="9"/>
        <v>0</v>
      </c>
      <c r="I34" s="157">
        <f t="shared" si="7"/>
        <v>0</v>
      </c>
      <c r="J34" s="157">
        <f t="shared" si="10"/>
        <v>0</v>
      </c>
      <c r="K34" s="157">
        <f t="shared" si="10"/>
        <v>0</v>
      </c>
      <c r="L34" s="9"/>
      <c r="M34" s="9"/>
      <c r="N34" s="9"/>
      <c r="O34" s="157">
        <f t="shared" si="11"/>
        <v>0</v>
      </c>
    </row>
    <row r="35" spans="1:15" ht="19.95" customHeight="1">
      <c r="A35" s="208" t="s">
        <v>32</v>
      </c>
      <c r="B35" s="198"/>
      <c r="C35" s="198"/>
      <c r="D35" s="200">
        <f t="shared" si="6"/>
        <v>0</v>
      </c>
      <c r="E35" s="23"/>
      <c r="F35" s="199"/>
      <c r="G35" s="157">
        <f t="shared" si="8"/>
        <v>0</v>
      </c>
      <c r="H35" s="157">
        <f t="shared" si="9"/>
        <v>0</v>
      </c>
      <c r="I35" s="157">
        <f t="shared" si="7"/>
        <v>0</v>
      </c>
      <c r="J35" s="157">
        <f t="shared" si="10"/>
        <v>0</v>
      </c>
      <c r="K35" s="157">
        <f t="shared" si="10"/>
        <v>0</v>
      </c>
      <c r="L35" s="9"/>
      <c r="M35" s="9"/>
      <c r="N35" s="9"/>
      <c r="O35" s="157">
        <f t="shared" si="11"/>
        <v>0</v>
      </c>
    </row>
    <row r="36" spans="1:15" ht="19.95" customHeight="1">
      <c r="A36" s="208" t="s">
        <v>33</v>
      </c>
      <c r="B36" s="198"/>
      <c r="C36" s="198"/>
      <c r="D36" s="200">
        <f t="shared" si="6"/>
        <v>0</v>
      </c>
      <c r="E36" s="23"/>
      <c r="F36" s="199"/>
      <c r="G36" s="157">
        <f t="shared" si="8"/>
        <v>0</v>
      </c>
      <c r="H36" s="157">
        <f t="shared" si="9"/>
        <v>0</v>
      </c>
      <c r="I36" s="157">
        <f t="shared" si="7"/>
        <v>0</v>
      </c>
      <c r="J36" s="157">
        <f t="shared" si="10"/>
        <v>0</v>
      </c>
      <c r="K36" s="157">
        <f t="shared" si="10"/>
        <v>0</v>
      </c>
      <c r="L36" s="9"/>
      <c r="M36" s="9"/>
      <c r="N36" s="9"/>
      <c r="O36" s="157">
        <f t="shared" si="11"/>
        <v>0</v>
      </c>
    </row>
    <row r="37" spans="1:15" ht="19.95" customHeight="1">
      <c r="A37" s="208" t="s">
        <v>34</v>
      </c>
      <c r="B37" s="198"/>
      <c r="C37" s="198"/>
      <c r="D37" s="200">
        <f t="shared" si="6"/>
        <v>0</v>
      </c>
      <c r="E37" s="23"/>
      <c r="F37" s="199"/>
      <c r="G37" s="157">
        <f t="shared" si="8"/>
        <v>0</v>
      </c>
      <c r="H37" s="157">
        <f t="shared" si="9"/>
        <v>0</v>
      </c>
      <c r="I37" s="157">
        <f t="shared" si="7"/>
        <v>0</v>
      </c>
      <c r="J37" s="157">
        <f t="shared" si="10"/>
        <v>0</v>
      </c>
      <c r="K37" s="157">
        <f t="shared" si="10"/>
        <v>0</v>
      </c>
      <c r="L37" s="9"/>
      <c r="M37" s="9"/>
      <c r="N37" s="9"/>
      <c r="O37" s="157">
        <f t="shared" si="11"/>
        <v>0</v>
      </c>
    </row>
    <row r="38" spans="1:15" ht="19.95" customHeight="1">
      <c r="A38" s="208" t="s">
        <v>35</v>
      </c>
      <c r="B38" s="198"/>
      <c r="C38" s="198"/>
      <c r="D38" s="200">
        <f t="shared" si="6"/>
        <v>0</v>
      </c>
      <c r="E38" s="23"/>
      <c r="F38" s="199"/>
      <c r="G38" s="157">
        <f t="shared" si="8"/>
        <v>0</v>
      </c>
      <c r="H38" s="157">
        <f t="shared" si="9"/>
        <v>0</v>
      </c>
      <c r="I38" s="157">
        <f t="shared" si="7"/>
        <v>0</v>
      </c>
      <c r="J38" s="157">
        <f t="shared" si="10"/>
        <v>0</v>
      </c>
      <c r="K38" s="157">
        <f t="shared" si="10"/>
        <v>0</v>
      </c>
      <c r="L38" s="9"/>
      <c r="M38" s="9"/>
      <c r="N38" s="9"/>
      <c r="O38" s="157">
        <f t="shared" si="11"/>
        <v>0</v>
      </c>
    </row>
    <row r="39" spans="1:15" ht="19.95" customHeight="1">
      <c r="A39" s="208" t="s">
        <v>36</v>
      </c>
      <c r="B39" s="198"/>
      <c r="C39" s="198"/>
      <c r="D39" s="200">
        <f t="shared" si="6"/>
        <v>0</v>
      </c>
      <c r="E39" s="23"/>
      <c r="F39" s="199"/>
      <c r="G39" s="157">
        <f t="shared" si="8"/>
        <v>0</v>
      </c>
      <c r="H39" s="157">
        <f t="shared" si="9"/>
        <v>0</v>
      </c>
      <c r="I39" s="157">
        <f t="shared" si="7"/>
        <v>0</v>
      </c>
      <c r="J39" s="157">
        <f t="shared" si="10"/>
        <v>0</v>
      </c>
      <c r="K39" s="157">
        <f t="shared" si="10"/>
        <v>0</v>
      </c>
      <c r="L39" s="9"/>
      <c r="M39" s="9"/>
      <c r="N39" s="9"/>
      <c r="O39" s="157">
        <f t="shared" si="11"/>
        <v>0</v>
      </c>
    </row>
    <row r="40" spans="1:15" ht="19.95" customHeight="1">
      <c r="A40" s="208" t="s">
        <v>37</v>
      </c>
      <c r="B40" s="198"/>
      <c r="C40" s="198"/>
      <c r="D40" s="200">
        <f t="shared" si="6"/>
        <v>0</v>
      </c>
      <c r="E40" s="23"/>
      <c r="F40" s="199"/>
      <c r="G40" s="157">
        <f t="shared" si="8"/>
        <v>0</v>
      </c>
      <c r="H40" s="157">
        <f t="shared" si="9"/>
        <v>0</v>
      </c>
      <c r="I40" s="157">
        <f t="shared" si="7"/>
        <v>0</v>
      </c>
      <c r="J40" s="157">
        <f t="shared" si="10"/>
        <v>0</v>
      </c>
      <c r="K40" s="157">
        <f t="shared" si="10"/>
        <v>0</v>
      </c>
      <c r="L40" s="9"/>
      <c r="M40" s="9"/>
      <c r="N40" s="9"/>
      <c r="O40" s="157">
        <f t="shared" si="11"/>
        <v>0</v>
      </c>
    </row>
    <row r="41" spans="1:15" ht="19.95" customHeight="1">
      <c r="A41" s="208" t="s">
        <v>38</v>
      </c>
      <c r="B41" s="198"/>
      <c r="C41" s="198"/>
      <c r="D41" s="200">
        <f t="shared" si="6"/>
        <v>0</v>
      </c>
      <c r="E41" s="23"/>
      <c r="F41" s="199"/>
      <c r="G41" s="157">
        <f t="shared" si="8"/>
        <v>0</v>
      </c>
      <c r="H41" s="157">
        <f t="shared" si="9"/>
        <v>0</v>
      </c>
      <c r="I41" s="157">
        <f t="shared" si="7"/>
        <v>0</v>
      </c>
      <c r="J41" s="157">
        <f t="shared" si="10"/>
        <v>0</v>
      </c>
      <c r="K41" s="157">
        <f t="shared" si="10"/>
        <v>0</v>
      </c>
      <c r="L41" s="9"/>
      <c r="M41" s="9"/>
      <c r="N41" s="9"/>
      <c r="O41" s="157">
        <f>N41-K41</f>
        <v>0</v>
      </c>
    </row>
    <row r="42" spans="1:15" ht="19.95" customHeight="1">
      <c r="A42" s="68" t="s">
        <v>40</v>
      </c>
      <c r="B42" s="19"/>
      <c r="C42" s="19"/>
      <c r="D42" s="99" t="s">
        <v>39</v>
      </c>
      <c r="E42" s="6"/>
      <c r="F42" s="11"/>
      <c r="G42" s="4"/>
      <c r="H42" s="4"/>
      <c r="I42" s="4"/>
      <c r="J42" s="4"/>
      <c r="K42" s="4"/>
      <c r="L42" s="4"/>
      <c r="M42" s="4"/>
      <c r="N42" s="4"/>
      <c r="O42" s="4"/>
    </row>
    <row r="43" spans="1:15" s="225" customFormat="1" ht="19.95" customHeight="1">
      <c r="A43" s="257" t="s">
        <v>78</v>
      </c>
      <c r="B43" s="69" t="s">
        <v>101</v>
      </c>
      <c r="C43" s="69"/>
      <c r="D43" s="69"/>
      <c r="E43" s="69"/>
      <c r="F43" s="69" t="s">
        <v>488</v>
      </c>
      <c r="G43" s="69"/>
      <c r="H43" s="69"/>
      <c r="I43" s="69" t="s">
        <v>477</v>
      </c>
      <c r="J43" s="69"/>
      <c r="K43" s="69"/>
      <c r="L43" s="69" t="s">
        <v>484</v>
      </c>
      <c r="M43" s="69"/>
      <c r="N43" s="69"/>
      <c r="O43" s="256" t="s">
        <v>3</v>
      </c>
    </row>
    <row r="44" spans="1:15" s="223" customFormat="1" ht="19.95" customHeight="1">
      <c r="A44" s="257"/>
      <c r="B44" s="204" t="s">
        <v>480</v>
      </c>
      <c r="C44" s="204" t="s">
        <v>473</v>
      </c>
      <c r="D44" s="204" t="s">
        <v>475</v>
      </c>
      <c r="E44" s="224" t="s">
        <v>491</v>
      </c>
      <c r="F44" s="221" t="s">
        <v>480</v>
      </c>
      <c r="G44" s="221" t="s">
        <v>474</v>
      </c>
      <c r="H44" s="224" t="s">
        <v>491</v>
      </c>
      <c r="I44" s="221" t="s">
        <v>479</v>
      </c>
      <c r="J44" s="221" t="s">
        <v>474</v>
      </c>
      <c r="K44" s="224" t="s">
        <v>491</v>
      </c>
      <c r="L44" s="221" t="s">
        <v>480</v>
      </c>
      <c r="M44" s="221" t="s">
        <v>474</v>
      </c>
      <c r="N44" s="224" t="s">
        <v>491</v>
      </c>
      <c r="O44" s="256"/>
    </row>
    <row r="45" spans="1:15" ht="19.95" customHeight="1">
      <c r="A45" s="12" t="s">
        <v>126</v>
      </c>
      <c r="B45" s="198"/>
      <c r="C45" s="198"/>
      <c r="D45" s="200">
        <f>B45*C45</f>
        <v>0</v>
      </c>
      <c r="E45" s="23"/>
      <c r="F45" s="199"/>
      <c r="G45" s="9"/>
      <c r="H45" s="9"/>
      <c r="I45" s="157">
        <f>B45</f>
        <v>0</v>
      </c>
      <c r="J45" s="157">
        <f>D45</f>
        <v>0</v>
      </c>
      <c r="K45" s="157">
        <f>E45</f>
        <v>0</v>
      </c>
      <c r="L45" s="9"/>
      <c r="M45" s="9"/>
      <c r="N45" s="9"/>
      <c r="O45" s="157">
        <f t="shared" ref="O45:O57" si="12">N45-K45</f>
        <v>0</v>
      </c>
    </row>
    <row r="46" spans="1:15" ht="19.95" customHeight="1">
      <c r="A46" s="208" t="s">
        <v>23</v>
      </c>
      <c r="B46" s="198"/>
      <c r="C46" s="198"/>
      <c r="D46" s="200">
        <f t="shared" ref="D46:D56" si="13">B46*C46</f>
        <v>0</v>
      </c>
      <c r="E46" s="23"/>
      <c r="F46" s="199"/>
      <c r="G46" s="157">
        <f>F46*C46</f>
        <v>0</v>
      </c>
      <c r="H46" s="157">
        <f>(IF(ISERROR((K45+E46)/(I45+B46)),0,(K45+E46)/(I45+B46)))*G46</f>
        <v>0</v>
      </c>
      <c r="I46" s="157">
        <f t="shared" ref="I46:I57" si="14">I45+B46-F46</f>
        <v>0</v>
      </c>
      <c r="J46" s="157">
        <f>J45+D46-G46</f>
        <v>0</v>
      </c>
      <c r="K46" s="157">
        <f>K45+E46-H46</f>
        <v>0</v>
      </c>
      <c r="L46" s="9"/>
      <c r="M46" s="9"/>
      <c r="N46" s="9"/>
      <c r="O46" s="157">
        <f>N46-K46</f>
        <v>0</v>
      </c>
    </row>
    <row r="47" spans="1:15" ht="19.95" customHeight="1">
      <c r="A47" s="208" t="s">
        <v>28</v>
      </c>
      <c r="B47" s="198"/>
      <c r="C47" s="198"/>
      <c r="D47" s="200">
        <f t="shared" si="13"/>
        <v>0</v>
      </c>
      <c r="E47" s="23"/>
      <c r="F47" s="199"/>
      <c r="G47" s="157">
        <f t="shared" ref="G47:G57" si="15">F47*C47</f>
        <v>0</v>
      </c>
      <c r="H47" s="157">
        <f t="shared" ref="H47:H57" si="16">(IF(ISERROR((K46+E47)/(I46+B47)),0,(K46+E47)/(I46+B47)))*G47</f>
        <v>0</v>
      </c>
      <c r="I47" s="157">
        <f t="shared" si="14"/>
        <v>0</v>
      </c>
      <c r="J47" s="157">
        <f t="shared" ref="J47:K57" si="17">J46+D47-G47</f>
        <v>0</v>
      </c>
      <c r="K47" s="157">
        <f t="shared" si="17"/>
        <v>0</v>
      </c>
      <c r="L47" s="9"/>
      <c r="M47" s="9"/>
      <c r="N47" s="9"/>
      <c r="O47" s="157">
        <f t="shared" si="12"/>
        <v>0</v>
      </c>
    </row>
    <row r="48" spans="1:15" ht="19.95" customHeight="1">
      <c r="A48" s="208" t="s">
        <v>29</v>
      </c>
      <c r="B48" s="198"/>
      <c r="C48" s="198"/>
      <c r="D48" s="200">
        <f t="shared" si="13"/>
        <v>0</v>
      </c>
      <c r="E48" s="23"/>
      <c r="F48" s="199"/>
      <c r="G48" s="157">
        <f t="shared" si="15"/>
        <v>0</v>
      </c>
      <c r="H48" s="157">
        <f t="shared" si="16"/>
        <v>0</v>
      </c>
      <c r="I48" s="157">
        <f t="shared" si="14"/>
        <v>0</v>
      </c>
      <c r="J48" s="157">
        <f t="shared" si="17"/>
        <v>0</v>
      </c>
      <c r="K48" s="157">
        <f t="shared" si="17"/>
        <v>0</v>
      </c>
      <c r="L48" s="9"/>
      <c r="M48" s="9"/>
      <c r="N48" s="9"/>
      <c r="O48" s="157">
        <f t="shared" si="12"/>
        <v>0</v>
      </c>
    </row>
    <row r="49" spans="1:15" ht="19.95" customHeight="1">
      <c r="A49" s="208" t="s">
        <v>30</v>
      </c>
      <c r="B49" s="198"/>
      <c r="C49" s="198"/>
      <c r="D49" s="200">
        <f t="shared" si="13"/>
        <v>0</v>
      </c>
      <c r="E49" s="23"/>
      <c r="F49" s="199"/>
      <c r="G49" s="157">
        <f t="shared" si="15"/>
        <v>0</v>
      </c>
      <c r="H49" s="157">
        <f t="shared" si="16"/>
        <v>0</v>
      </c>
      <c r="I49" s="157">
        <f t="shared" si="14"/>
        <v>0</v>
      </c>
      <c r="J49" s="157">
        <f t="shared" si="17"/>
        <v>0</v>
      </c>
      <c r="K49" s="157">
        <f t="shared" si="17"/>
        <v>0</v>
      </c>
      <c r="L49" s="9"/>
      <c r="M49" s="9"/>
      <c r="N49" s="9"/>
      <c r="O49" s="157">
        <f t="shared" si="12"/>
        <v>0</v>
      </c>
    </row>
    <row r="50" spans="1:15" ht="19.95" customHeight="1">
      <c r="A50" s="208" t="s">
        <v>31</v>
      </c>
      <c r="B50" s="198"/>
      <c r="C50" s="198"/>
      <c r="D50" s="200">
        <f t="shared" si="13"/>
        <v>0</v>
      </c>
      <c r="E50" s="23"/>
      <c r="F50" s="199"/>
      <c r="G50" s="157">
        <f t="shared" si="15"/>
        <v>0</v>
      </c>
      <c r="H50" s="157">
        <f t="shared" si="16"/>
        <v>0</v>
      </c>
      <c r="I50" s="157">
        <f t="shared" si="14"/>
        <v>0</v>
      </c>
      <c r="J50" s="157">
        <f t="shared" si="17"/>
        <v>0</v>
      </c>
      <c r="K50" s="157">
        <f t="shared" si="17"/>
        <v>0</v>
      </c>
      <c r="L50" s="9"/>
      <c r="M50" s="9"/>
      <c r="N50" s="9"/>
      <c r="O50" s="157">
        <f t="shared" si="12"/>
        <v>0</v>
      </c>
    </row>
    <row r="51" spans="1:15" ht="19.95" customHeight="1">
      <c r="A51" s="208" t="s">
        <v>32</v>
      </c>
      <c r="B51" s="198"/>
      <c r="C51" s="198"/>
      <c r="D51" s="200">
        <f t="shared" si="13"/>
        <v>0</v>
      </c>
      <c r="E51" s="23"/>
      <c r="F51" s="199"/>
      <c r="G51" s="157">
        <f t="shared" si="15"/>
        <v>0</v>
      </c>
      <c r="H51" s="157">
        <f t="shared" si="16"/>
        <v>0</v>
      </c>
      <c r="I51" s="157">
        <f t="shared" si="14"/>
        <v>0</v>
      </c>
      <c r="J51" s="157">
        <f t="shared" si="17"/>
        <v>0</v>
      </c>
      <c r="K51" s="157">
        <f t="shared" si="17"/>
        <v>0</v>
      </c>
      <c r="L51" s="9"/>
      <c r="M51" s="9"/>
      <c r="N51" s="9"/>
      <c r="O51" s="157">
        <f t="shared" si="12"/>
        <v>0</v>
      </c>
    </row>
    <row r="52" spans="1:15" ht="19.95" customHeight="1">
      <c r="A52" s="208" t="s">
        <v>33</v>
      </c>
      <c r="B52" s="198"/>
      <c r="C52" s="198"/>
      <c r="D52" s="200">
        <f t="shared" si="13"/>
        <v>0</v>
      </c>
      <c r="E52" s="23"/>
      <c r="F52" s="199"/>
      <c r="G52" s="157">
        <f t="shared" si="15"/>
        <v>0</v>
      </c>
      <c r="H52" s="157">
        <f t="shared" si="16"/>
        <v>0</v>
      </c>
      <c r="I52" s="157">
        <f t="shared" si="14"/>
        <v>0</v>
      </c>
      <c r="J52" s="157">
        <f t="shared" si="17"/>
        <v>0</v>
      </c>
      <c r="K52" s="157">
        <f t="shared" si="17"/>
        <v>0</v>
      </c>
      <c r="L52" s="9"/>
      <c r="M52" s="9"/>
      <c r="N52" s="9"/>
      <c r="O52" s="157">
        <f t="shared" si="12"/>
        <v>0</v>
      </c>
    </row>
    <row r="53" spans="1:15" ht="19.95" customHeight="1">
      <c r="A53" s="208" t="s">
        <v>34</v>
      </c>
      <c r="B53" s="198"/>
      <c r="C53" s="198"/>
      <c r="D53" s="200">
        <f t="shared" si="13"/>
        <v>0</v>
      </c>
      <c r="E53" s="23"/>
      <c r="F53" s="199"/>
      <c r="G53" s="157">
        <f t="shared" si="15"/>
        <v>0</v>
      </c>
      <c r="H53" s="157">
        <f t="shared" si="16"/>
        <v>0</v>
      </c>
      <c r="I53" s="157">
        <f t="shared" si="14"/>
        <v>0</v>
      </c>
      <c r="J53" s="157">
        <f t="shared" si="17"/>
        <v>0</v>
      </c>
      <c r="K53" s="157">
        <f t="shared" si="17"/>
        <v>0</v>
      </c>
      <c r="L53" s="9"/>
      <c r="M53" s="9"/>
      <c r="N53" s="9"/>
      <c r="O53" s="157">
        <f t="shared" si="12"/>
        <v>0</v>
      </c>
    </row>
    <row r="54" spans="1:15" ht="19.95" customHeight="1">
      <c r="A54" s="208" t="s">
        <v>35</v>
      </c>
      <c r="B54" s="198"/>
      <c r="C54" s="198"/>
      <c r="D54" s="200">
        <f t="shared" si="13"/>
        <v>0</v>
      </c>
      <c r="E54" s="23"/>
      <c r="F54" s="199"/>
      <c r="G54" s="157">
        <f t="shared" si="15"/>
        <v>0</v>
      </c>
      <c r="H54" s="157">
        <f t="shared" si="16"/>
        <v>0</v>
      </c>
      <c r="I54" s="157">
        <f t="shared" si="14"/>
        <v>0</v>
      </c>
      <c r="J54" s="157">
        <f t="shared" si="17"/>
        <v>0</v>
      </c>
      <c r="K54" s="157">
        <f t="shared" si="17"/>
        <v>0</v>
      </c>
      <c r="L54" s="9"/>
      <c r="M54" s="9"/>
      <c r="N54" s="9"/>
      <c r="O54" s="157">
        <f t="shared" si="12"/>
        <v>0</v>
      </c>
    </row>
    <row r="55" spans="1:15" ht="19.95" customHeight="1">
      <c r="A55" s="208" t="s">
        <v>36</v>
      </c>
      <c r="B55" s="198"/>
      <c r="C55" s="198"/>
      <c r="D55" s="200">
        <f t="shared" si="13"/>
        <v>0</v>
      </c>
      <c r="E55" s="23"/>
      <c r="F55" s="199"/>
      <c r="G55" s="157">
        <f t="shared" si="15"/>
        <v>0</v>
      </c>
      <c r="H55" s="157">
        <f t="shared" si="16"/>
        <v>0</v>
      </c>
      <c r="I55" s="157">
        <f t="shared" si="14"/>
        <v>0</v>
      </c>
      <c r="J55" s="157">
        <f t="shared" si="17"/>
        <v>0</v>
      </c>
      <c r="K55" s="157">
        <f t="shared" si="17"/>
        <v>0</v>
      </c>
      <c r="L55" s="9"/>
      <c r="M55" s="9"/>
      <c r="N55" s="9"/>
      <c r="O55" s="157">
        <f t="shared" si="12"/>
        <v>0</v>
      </c>
    </row>
    <row r="56" spans="1:15" ht="19.95" customHeight="1">
      <c r="A56" s="208" t="s">
        <v>37</v>
      </c>
      <c r="B56" s="198"/>
      <c r="C56" s="198"/>
      <c r="D56" s="200">
        <f t="shared" si="13"/>
        <v>0</v>
      </c>
      <c r="E56" s="23"/>
      <c r="F56" s="199"/>
      <c r="G56" s="157">
        <f t="shared" si="15"/>
        <v>0</v>
      </c>
      <c r="H56" s="157">
        <f t="shared" si="16"/>
        <v>0</v>
      </c>
      <c r="I56" s="157">
        <f t="shared" si="14"/>
        <v>0</v>
      </c>
      <c r="J56" s="157">
        <f t="shared" si="17"/>
        <v>0</v>
      </c>
      <c r="K56" s="157">
        <f t="shared" si="17"/>
        <v>0</v>
      </c>
      <c r="L56" s="9"/>
      <c r="M56" s="9"/>
      <c r="N56" s="9"/>
      <c r="O56" s="157">
        <f t="shared" si="12"/>
        <v>0</v>
      </c>
    </row>
    <row r="57" spans="1:15" ht="19.95" customHeight="1">
      <c r="A57" s="208" t="s">
        <v>38</v>
      </c>
      <c r="B57" s="198"/>
      <c r="C57" s="198"/>
      <c r="D57" s="200">
        <f>B57*C57</f>
        <v>0</v>
      </c>
      <c r="E57" s="23"/>
      <c r="F57" s="199"/>
      <c r="G57" s="157">
        <f t="shared" si="15"/>
        <v>0</v>
      </c>
      <c r="H57" s="157">
        <f t="shared" si="16"/>
        <v>0</v>
      </c>
      <c r="I57" s="157">
        <f t="shared" si="14"/>
        <v>0</v>
      </c>
      <c r="J57" s="157">
        <f t="shared" si="17"/>
        <v>0</v>
      </c>
      <c r="K57" s="157">
        <f t="shared" si="17"/>
        <v>0</v>
      </c>
      <c r="L57" s="9"/>
      <c r="M57" s="9"/>
      <c r="N57" s="9"/>
      <c r="O57" s="157">
        <f t="shared" si="12"/>
        <v>0</v>
      </c>
    </row>
    <row r="58" spans="1:15" ht="19.95" customHeight="1">
      <c r="A58" s="55" t="s">
        <v>41</v>
      </c>
    </row>
    <row r="59" spans="1:15" ht="19.95" customHeight="1"/>
    <row r="60" spans="1:15" ht="19.95" customHeight="1"/>
    <row r="61" spans="1:15" ht="19.95" customHeight="1">
      <c r="A61" s="55" t="s">
        <v>42</v>
      </c>
    </row>
    <row r="62" spans="1:15" ht="19.95" customHeight="1"/>
    <row r="63" spans="1:15" ht="19.95" customHeight="1"/>
    <row r="64" spans="1:15" ht="18" customHeight="1"/>
  </sheetData>
  <mergeCells count="8">
    <mergeCell ref="A1:O1"/>
    <mergeCell ref="A2:O2"/>
    <mergeCell ref="O11:O12"/>
    <mergeCell ref="O27:O28"/>
    <mergeCell ref="O43:O44"/>
    <mergeCell ref="A11:A12"/>
    <mergeCell ref="A27:A28"/>
    <mergeCell ref="A43:A44"/>
  </mergeCells>
  <phoneticPr fontId="14" type="noConversion"/>
  <hyperlinks>
    <hyperlink ref="O3" location="底稿目录!A1" display="底稿目录!A1"/>
  </hyperlinks>
  <printOptions horizontalCentered="1"/>
  <pageMargins left="0.47244094488188981" right="0.31496062992125984" top="0.51181102362204722" bottom="0.39370078740157483" header="0.47244094488188981" footer="0.23622047244094491"/>
  <pageSetup paperSize="9" scale="70" fitToHeight="0" orientation="portrait" blackAndWhite="1" cellComments="atEnd" r:id="rId1"/>
  <headerFooter>
    <oddFooter>&amp;C&amp;P/&amp;N</oddFooter>
  </headerFooter>
  <rowBreaks count="1" manualBreakCount="1">
    <brk id="41" max="14"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Q27"/>
  <sheetViews>
    <sheetView view="pageBreakPreview" zoomScaleNormal="115" zoomScaleSheetLayoutView="100" workbookViewId="0">
      <selection sqref="A1:Q1"/>
    </sheetView>
  </sheetViews>
  <sheetFormatPr defaultColWidth="9" defaultRowHeight="13.8"/>
  <cols>
    <col min="1" max="1" width="13.69921875" style="119" customWidth="1"/>
    <col min="2" max="2" width="9" style="119"/>
    <col min="3" max="3" width="8.5" style="119" customWidth="1"/>
    <col min="4" max="4" width="8.09765625" style="119" customWidth="1"/>
    <col min="5" max="5" width="8.5" style="119" customWidth="1"/>
    <col min="6" max="6" width="8" style="119" customWidth="1"/>
    <col min="7" max="7" width="7.796875" style="119" customWidth="1"/>
    <col min="8" max="8" width="8.09765625" style="119" customWidth="1"/>
    <col min="9" max="10" width="9" style="119"/>
    <col min="11" max="11" width="8.19921875" style="119" customWidth="1"/>
    <col min="12" max="16" width="9" style="119"/>
    <col min="17" max="17" width="14.09765625" style="119" customWidth="1"/>
    <col min="18" max="16384" width="9" style="119"/>
  </cols>
  <sheetData>
    <row r="1" spans="1:17" s="115" customFormat="1" ht="19.95" customHeight="1">
      <c r="A1" s="258" t="s">
        <v>60</v>
      </c>
      <c r="B1" s="258"/>
      <c r="C1" s="258"/>
      <c r="D1" s="258"/>
      <c r="E1" s="258"/>
      <c r="F1" s="258"/>
      <c r="G1" s="258"/>
      <c r="H1" s="258"/>
      <c r="I1" s="258"/>
      <c r="J1" s="258"/>
      <c r="K1" s="258"/>
      <c r="L1" s="258"/>
      <c r="M1" s="258"/>
      <c r="N1" s="258"/>
      <c r="O1" s="258"/>
      <c r="P1" s="258"/>
      <c r="Q1" s="258"/>
    </row>
    <row r="2" spans="1:17" s="116" customFormat="1" ht="19.95" customHeight="1">
      <c r="A2" s="259" t="s">
        <v>374</v>
      </c>
      <c r="B2" s="259"/>
      <c r="C2" s="259"/>
      <c r="D2" s="259"/>
      <c r="E2" s="259"/>
      <c r="F2" s="259"/>
      <c r="G2" s="259"/>
      <c r="H2" s="259"/>
      <c r="I2" s="259"/>
      <c r="J2" s="259"/>
      <c r="K2" s="259"/>
      <c r="L2" s="259"/>
      <c r="M2" s="259"/>
      <c r="N2" s="259"/>
      <c r="O2" s="259"/>
      <c r="P2" s="259"/>
      <c r="Q2" s="259"/>
    </row>
    <row r="3" spans="1:17" ht="19.95" customHeight="1">
      <c r="A3" s="10" t="str">
        <f>底稿目录!A2</f>
        <v>被审计单位：</v>
      </c>
      <c r="B3" s="117"/>
      <c r="C3" s="118"/>
      <c r="D3" s="118"/>
      <c r="F3" s="118"/>
      <c r="G3" s="10" t="str">
        <f>底稿目录!A4</f>
        <v>编制人：</v>
      </c>
      <c r="H3" s="118"/>
      <c r="I3" s="118"/>
      <c r="J3" s="118"/>
      <c r="K3" s="10" t="str">
        <f>底稿目录!A5</f>
        <v>编制日期：</v>
      </c>
      <c r="N3" s="10"/>
      <c r="P3" s="10" t="s">
        <v>24</v>
      </c>
      <c r="Q3" s="220" t="str">
        <f>底稿目录!F6</f>
        <v>F2-41</v>
      </c>
    </row>
    <row r="4" spans="1:17" ht="19.95" customHeight="1">
      <c r="A4" s="10" t="str">
        <f>底稿目录!A3</f>
        <v>截止日：202X年12月31日</v>
      </c>
      <c r="B4" s="117"/>
      <c r="C4" s="118"/>
      <c r="D4" s="118"/>
      <c r="F4" s="118"/>
      <c r="G4" s="10" t="str">
        <f>底稿目录!A6</f>
        <v>复核人：</v>
      </c>
      <c r="H4" s="118"/>
      <c r="I4" s="118"/>
      <c r="J4" s="118"/>
      <c r="K4" s="10" t="str">
        <f>底稿目录!A7</f>
        <v>复核日期：</v>
      </c>
      <c r="N4" s="10"/>
      <c r="P4" s="10" t="s">
        <v>375</v>
      </c>
      <c r="Q4" s="10"/>
    </row>
    <row r="5" spans="1:17" s="123" customFormat="1" ht="19.95" customHeight="1">
      <c r="A5" s="120" t="s">
        <v>376</v>
      </c>
      <c r="B5" s="121" t="s">
        <v>377</v>
      </c>
      <c r="C5" s="121" t="s">
        <v>378</v>
      </c>
      <c r="D5" s="121" t="s">
        <v>379</v>
      </c>
      <c r="E5" s="121" t="s">
        <v>380</v>
      </c>
      <c r="F5" s="121" t="s">
        <v>381</v>
      </c>
      <c r="G5" s="121" t="s">
        <v>382</v>
      </c>
      <c r="H5" s="121" t="s">
        <v>383</v>
      </c>
      <c r="I5" s="121" t="s">
        <v>384</v>
      </c>
      <c r="J5" s="121" t="s">
        <v>385</v>
      </c>
      <c r="K5" s="121" t="s">
        <v>386</v>
      </c>
      <c r="L5" s="121" t="s">
        <v>387</v>
      </c>
      <c r="M5" s="121" t="s">
        <v>388</v>
      </c>
      <c r="N5" s="121" t="s">
        <v>389</v>
      </c>
      <c r="O5" s="122" t="s">
        <v>390</v>
      </c>
      <c r="P5" s="122" t="s">
        <v>391</v>
      </c>
      <c r="Q5" s="122" t="s">
        <v>461</v>
      </c>
    </row>
    <row r="6" spans="1:17" s="127" customFormat="1" ht="19.95" customHeight="1">
      <c r="A6" s="124" t="s">
        <v>392</v>
      </c>
      <c r="B6" s="169"/>
      <c r="C6" s="169"/>
      <c r="D6" s="169"/>
      <c r="E6" s="169"/>
      <c r="F6" s="169"/>
      <c r="G6" s="169"/>
      <c r="H6" s="169"/>
      <c r="I6" s="169"/>
      <c r="J6" s="169"/>
      <c r="K6" s="169"/>
      <c r="L6" s="169"/>
      <c r="M6" s="169"/>
      <c r="N6" s="170">
        <f>SUM(B6:M6)</f>
        <v>0</v>
      </c>
      <c r="O6" s="126"/>
      <c r="P6" s="126"/>
      <c r="Q6" s="126"/>
    </row>
    <row r="7" spans="1:17" s="127" customFormat="1" ht="19.95" customHeight="1">
      <c r="A7" s="124" t="s">
        <v>393</v>
      </c>
      <c r="B7" s="125"/>
      <c r="C7" s="125"/>
      <c r="D7" s="125"/>
      <c r="E7" s="125"/>
      <c r="F7" s="125"/>
      <c r="G7" s="125"/>
      <c r="H7" s="125"/>
      <c r="I7" s="125"/>
      <c r="J7" s="125"/>
      <c r="K7" s="125"/>
      <c r="L7" s="125"/>
      <c r="M7" s="125"/>
      <c r="N7" s="125"/>
      <c r="O7" s="126"/>
      <c r="P7" s="126"/>
      <c r="Q7" s="126"/>
    </row>
    <row r="8" spans="1:17" ht="19.95" customHeight="1">
      <c r="A8" s="128" t="s">
        <v>394</v>
      </c>
      <c r="B8" s="129"/>
      <c r="C8" s="129"/>
      <c r="D8" s="129"/>
      <c r="E8" s="129"/>
      <c r="F8" s="129"/>
      <c r="G8" s="129"/>
      <c r="H8" s="129"/>
      <c r="I8" s="129"/>
      <c r="J8" s="129"/>
      <c r="K8" s="129"/>
      <c r="L8" s="129"/>
      <c r="M8" s="129"/>
      <c r="N8" s="170">
        <f>SUM(B8:M8)</f>
        <v>0</v>
      </c>
      <c r="O8" s="129"/>
      <c r="P8" s="171" t="e">
        <f>(N8-O8)/O8</f>
        <v>#DIV/0!</v>
      </c>
      <c r="Q8" s="174"/>
    </row>
    <row r="9" spans="1:17" ht="19.95" customHeight="1">
      <c r="A9" s="130" t="s">
        <v>395</v>
      </c>
      <c r="B9" s="129"/>
      <c r="C9" s="129"/>
      <c r="D9" s="129"/>
      <c r="E9" s="129"/>
      <c r="F9" s="129"/>
      <c r="G9" s="129"/>
      <c r="H9" s="129"/>
      <c r="I9" s="129"/>
      <c r="J9" s="129"/>
      <c r="K9" s="129"/>
      <c r="L9" s="129"/>
      <c r="M9" s="129"/>
      <c r="N9" s="170">
        <f t="shared" ref="N9:N12" si="0">SUM(B9:M9)</f>
        <v>0</v>
      </c>
      <c r="O9" s="129"/>
      <c r="P9" s="171" t="e">
        <f>(N9-O9)/O9</f>
        <v>#DIV/0!</v>
      </c>
      <c r="Q9" s="175"/>
    </row>
    <row r="10" spans="1:17" ht="19.95" customHeight="1">
      <c r="A10" s="130" t="s">
        <v>396</v>
      </c>
      <c r="B10" s="129"/>
      <c r="C10" s="129"/>
      <c r="D10" s="129"/>
      <c r="E10" s="129"/>
      <c r="F10" s="129"/>
      <c r="G10" s="129"/>
      <c r="H10" s="129"/>
      <c r="I10" s="129"/>
      <c r="J10" s="129"/>
      <c r="K10" s="129"/>
      <c r="L10" s="129"/>
      <c r="M10" s="129"/>
      <c r="N10" s="170">
        <f t="shared" si="0"/>
        <v>0</v>
      </c>
      <c r="O10" s="129"/>
      <c r="P10" s="171" t="e">
        <f t="shared" ref="P10:P13" si="1">(N10-O10)/O10</f>
        <v>#DIV/0!</v>
      </c>
      <c r="Q10" s="175"/>
    </row>
    <row r="11" spans="1:17" ht="19.95" customHeight="1">
      <c r="A11" s="130" t="s">
        <v>397</v>
      </c>
      <c r="B11" s="129"/>
      <c r="C11" s="129"/>
      <c r="D11" s="129"/>
      <c r="E11" s="129"/>
      <c r="F11" s="129"/>
      <c r="G11" s="129"/>
      <c r="H11" s="129"/>
      <c r="I11" s="129"/>
      <c r="J11" s="129"/>
      <c r="K11" s="129"/>
      <c r="L11" s="129"/>
      <c r="M11" s="129"/>
      <c r="N11" s="170">
        <f t="shared" si="0"/>
        <v>0</v>
      </c>
      <c r="O11" s="129"/>
      <c r="P11" s="171" t="e">
        <f t="shared" si="1"/>
        <v>#DIV/0!</v>
      </c>
      <c r="Q11" s="175"/>
    </row>
    <row r="12" spans="1:17" ht="19.95" customHeight="1">
      <c r="A12" s="130" t="s">
        <v>398</v>
      </c>
      <c r="B12" s="129"/>
      <c r="C12" s="129"/>
      <c r="D12" s="129"/>
      <c r="E12" s="129"/>
      <c r="F12" s="129"/>
      <c r="G12" s="129"/>
      <c r="H12" s="129"/>
      <c r="I12" s="129"/>
      <c r="J12" s="129"/>
      <c r="K12" s="129"/>
      <c r="L12" s="129"/>
      <c r="M12" s="129"/>
      <c r="N12" s="170">
        <f t="shared" si="0"/>
        <v>0</v>
      </c>
      <c r="O12" s="129"/>
      <c r="P12" s="171" t="e">
        <f t="shared" si="1"/>
        <v>#DIV/0!</v>
      </c>
      <c r="Q12" s="175"/>
    </row>
    <row r="13" spans="1:17" ht="19.95" customHeight="1">
      <c r="A13" s="131" t="s">
        <v>399</v>
      </c>
      <c r="B13" s="129">
        <f>SUM(B8:B12)</f>
        <v>0</v>
      </c>
      <c r="C13" s="129">
        <f t="shared" ref="C13:M13" si="2">SUM(C8:C12)</f>
        <v>0</v>
      </c>
      <c r="D13" s="129">
        <f t="shared" si="2"/>
        <v>0</v>
      </c>
      <c r="E13" s="129">
        <f t="shared" si="2"/>
        <v>0</v>
      </c>
      <c r="F13" s="129">
        <f t="shared" si="2"/>
        <v>0</v>
      </c>
      <c r="G13" s="129">
        <f t="shared" si="2"/>
        <v>0</v>
      </c>
      <c r="H13" s="129">
        <f t="shared" si="2"/>
        <v>0</v>
      </c>
      <c r="I13" s="129">
        <f t="shared" si="2"/>
        <v>0</v>
      </c>
      <c r="J13" s="129">
        <f t="shared" si="2"/>
        <v>0</v>
      </c>
      <c r="K13" s="129">
        <f t="shared" si="2"/>
        <v>0</v>
      </c>
      <c r="L13" s="129">
        <f t="shared" si="2"/>
        <v>0</v>
      </c>
      <c r="M13" s="129">
        <f t="shared" si="2"/>
        <v>0</v>
      </c>
      <c r="N13" s="170">
        <f>SUM(B13:M13)</f>
        <v>0</v>
      </c>
      <c r="O13" s="129"/>
      <c r="P13" s="171" t="e">
        <f t="shared" si="1"/>
        <v>#DIV/0!</v>
      </c>
      <c r="Q13" s="175"/>
    </row>
    <row r="14" spans="1:17" ht="19.95" customHeight="1">
      <c r="A14" s="131" t="s">
        <v>400</v>
      </c>
      <c r="B14" s="129"/>
      <c r="C14" s="129"/>
      <c r="D14" s="129"/>
      <c r="E14" s="129"/>
      <c r="F14" s="129"/>
      <c r="G14" s="129"/>
      <c r="H14" s="129"/>
      <c r="I14" s="129"/>
      <c r="J14" s="129"/>
      <c r="K14" s="129"/>
      <c r="L14" s="129"/>
      <c r="M14" s="129"/>
      <c r="N14" s="170">
        <f>SUM(B14:M14)</f>
        <v>0</v>
      </c>
      <c r="O14" s="129"/>
      <c r="P14" s="172" t="e">
        <f>(N14-O14)/O14</f>
        <v>#DIV/0!</v>
      </c>
      <c r="Q14" s="175"/>
    </row>
    <row r="15" spans="1:17" ht="19.95" customHeight="1">
      <c r="A15" s="131" t="s">
        <v>401</v>
      </c>
      <c r="B15" s="129"/>
      <c r="C15" s="129"/>
      <c r="D15" s="129"/>
      <c r="E15" s="129"/>
      <c r="F15" s="129"/>
      <c r="G15" s="129"/>
      <c r="H15" s="129"/>
      <c r="I15" s="129"/>
      <c r="J15" s="129"/>
      <c r="K15" s="129"/>
      <c r="L15" s="129"/>
      <c r="M15" s="129"/>
      <c r="N15" s="129"/>
      <c r="O15" s="129"/>
      <c r="P15" s="173"/>
      <c r="Q15" s="175"/>
    </row>
    <row r="16" spans="1:17" ht="19.95" customHeight="1">
      <c r="A16" s="131" t="s">
        <v>402</v>
      </c>
      <c r="B16" s="154">
        <f>B6+B13-B14-B15</f>
        <v>0</v>
      </c>
      <c r="C16" s="154">
        <f t="shared" ref="C16:M16" si="3">C6+C13-C14-C15</f>
        <v>0</v>
      </c>
      <c r="D16" s="154">
        <f t="shared" si="3"/>
        <v>0</v>
      </c>
      <c r="E16" s="154">
        <f t="shared" si="3"/>
        <v>0</v>
      </c>
      <c r="F16" s="154">
        <f t="shared" si="3"/>
        <v>0</v>
      </c>
      <c r="G16" s="154">
        <f t="shared" si="3"/>
        <v>0</v>
      </c>
      <c r="H16" s="154">
        <f t="shared" si="3"/>
        <v>0</v>
      </c>
      <c r="I16" s="154">
        <f t="shared" si="3"/>
        <v>0</v>
      </c>
      <c r="J16" s="154">
        <f t="shared" si="3"/>
        <v>0</v>
      </c>
      <c r="K16" s="154">
        <f t="shared" si="3"/>
        <v>0</v>
      </c>
      <c r="L16" s="154">
        <f t="shared" si="3"/>
        <v>0</v>
      </c>
      <c r="M16" s="154">
        <f t="shared" si="3"/>
        <v>0</v>
      </c>
      <c r="N16" s="154">
        <f>N6+N13-N14-N15</f>
        <v>0</v>
      </c>
      <c r="O16" s="154"/>
      <c r="P16" s="177" t="e">
        <f>(N16-O16)/O16</f>
        <v>#DIV/0!</v>
      </c>
      <c r="Q16" s="176"/>
    </row>
    <row r="17" spans="1:16" ht="19.95" customHeight="1">
      <c r="A17" s="17" t="s">
        <v>454</v>
      </c>
      <c r="B17" s="10"/>
      <c r="C17" s="10"/>
      <c r="D17" s="10"/>
      <c r="E17" s="10"/>
      <c r="F17" s="10"/>
      <c r="G17" s="10"/>
      <c r="H17" s="10"/>
      <c r="I17" s="10"/>
      <c r="J17" s="10"/>
      <c r="K17" s="10"/>
      <c r="L17" s="10"/>
      <c r="M17" s="10"/>
      <c r="N17" s="10"/>
      <c r="O17" s="10"/>
      <c r="P17" s="10"/>
    </row>
    <row r="18" spans="1:16" ht="19.95" customHeight="1">
      <c r="A18" s="55"/>
      <c r="B18" s="10"/>
      <c r="C18" s="10"/>
      <c r="D18" s="10"/>
      <c r="E18" s="10"/>
      <c r="F18" s="10"/>
      <c r="G18" s="10"/>
      <c r="H18" s="10"/>
      <c r="I18" s="10"/>
      <c r="J18" s="10"/>
      <c r="K18" s="10"/>
      <c r="L18" s="10"/>
      <c r="M18" s="10"/>
      <c r="N18" s="10"/>
      <c r="O18" s="10"/>
      <c r="P18" s="10"/>
    </row>
    <row r="19" spans="1:16" ht="19.95" customHeight="1">
      <c r="A19" s="55"/>
      <c r="B19" s="10"/>
      <c r="C19" s="10"/>
      <c r="D19" s="10"/>
      <c r="E19" s="10"/>
      <c r="F19" s="10"/>
      <c r="G19" s="10"/>
      <c r="H19" s="10"/>
      <c r="I19" s="10"/>
      <c r="J19" s="10"/>
      <c r="K19" s="10"/>
      <c r="L19" s="10"/>
      <c r="M19" s="10"/>
      <c r="N19" s="10"/>
      <c r="O19" s="10"/>
      <c r="P19" s="10"/>
    </row>
    <row r="20" spans="1:16" ht="19.95" customHeight="1">
      <c r="A20" s="10"/>
      <c r="B20" s="10"/>
      <c r="C20" s="10"/>
      <c r="D20" s="10"/>
      <c r="E20" s="10"/>
      <c r="F20" s="10"/>
      <c r="G20" s="10"/>
      <c r="H20" s="10"/>
      <c r="I20" s="10"/>
      <c r="J20" s="10"/>
      <c r="K20" s="10"/>
      <c r="L20" s="10"/>
      <c r="M20" s="10"/>
      <c r="N20" s="10"/>
      <c r="O20" s="10"/>
      <c r="P20" s="10"/>
    </row>
    <row r="21" spans="1:16" ht="19.95" customHeight="1">
      <c r="A21" s="17" t="s">
        <v>456</v>
      </c>
      <c r="B21" s="10"/>
      <c r="C21" s="10"/>
      <c r="D21" s="10"/>
      <c r="E21" s="10"/>
      <c r="F21" s="10"/>
      <c r="G21" s="10"/>
      <c r="H21" s="10"/>
      <c r="I21" s="10"/>
      <c r="J21" s="10"/>
      <c r="K21" s="10"/>
      <c r="L21" s="10"/>
      <c r="M21" s="10"/>
      <c r="N21" s="10"/>
      <c r="O21" s="10"/>
      <c r="P21" s="10"/>
    </row>
    <row r="22" spans="1:16" ht="19.95" customHeight="1">
      <c r="A22" s="55"/>
      <c r="B22" s="10"/>
      <c r="C22" s="10"/>
      <c r="D22" s="10"/>
      <c r="E22" s="10"/>
      <c r="F22" s="10"/>
      <c r="G22" s="10"/>
      <c r="H22" s="10"/>
      <c r="I22" s="10"/>
      <c r="J22" s="10"/>
      <c r="K22" s="10"/>
      <c r="L22" s="10"/>
      <c r="M22" s="10"/>
      <c r="N22" s="10"/>
      <c r="O22" s="10"/>
      <c r="P22" s="10"/>
    </row>
    <row r="23" spans="1:16" ht="19.95" customHeight="1">
      <c r="A23" s="55"/>
      <c r="B23" s="10"/>
      <c r="C23" s="10"/>
      <c r="D23" s="10"/>
      <c r="E23" s="10"/>
      <c r="F23" s="10"/>
      <c r="G23" s="10"/>
      <c r="H23" s="10"/>
      <c r="I23" s="10"/>
      <c r="J23" s="10"/>
      <c r="K23" s="10"/>
      <c r="L23" s="10"/>
      <c r="M23" s="10"/>
      <c r="N23" s="10"/>
      <c r="O23" s="10"/>
      <c r="P23" s="10"/>
    </row>
    <row r="24" spans="1:16" ht="18" customHeight="1">
      <c r="A24" s="132" t="s">
        <v>404</v>
      </c>
    </row>
    <row r="25" spans="1:16" ht="18" customHeight="1">
      <c r="A25" s="184" t="s">
        <v>499</v>
      </c>
    </row>
    <row r="26" spans="1:16" ht="15" customHeight="1">
      <c r="A26" s="184" t="s">
        <v>500</v>
      </c>
    </row>
    <row r="27" spans="1:16" ht="18.600000000000001" customHeight="1">
      <c r="A27" s="184" t="s">
        <v>501</v>
      </c>
    </row>
  </sheetData>
  <mergeCells count="2">
    <mergeCell ref="A1:Q1"/>
    <mergeCell ref="A2:Q2"/>
  </mergeCells>
  <phoneticPr fontId="14" type="noConversion"/>
  <hyperlinks>
    <hyperlink ref="Q3" location="底稿目录!A1" display="底稿目录!A1"/>
  </hyperlinks>
  <printOptions horizontalCentered="1"/>
  <pageMargins left="0.70866141732283472" right="0.70866141732283472" top="0.62992125984251968" bottom="0.43307086614173229" header="0.31496062992125984" footer="0.31496062992125984"/>
  <pageSetup paperSize="9" scale="75" fitToHeight="0" orientation="landscape" blackAndWhite="1" cellComments="atEnd"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3">
    <tabColor rgb="FFFF0000"/>
    <pageSetUpPr fitToPage="1"/>
  </sheetPr>
  <dimension ref="A1:R26"/>
  <sheetViews>
    <sheetView view="pageBreakPreview" zoomScaleSheetLayoutView="100" workbookViewId="0">
      <selection activeCell="I18" sqref="I18"/>
    </sheetView>
  </sheetViews>
  <sheetFormatPr defaultRowHeight="15.6"/>
  <cols>
    <col min="1" max="1" width="16" style="73" customWidth="1"/>
    <col min="2" max="256" width="9" style="73"/>
    <col min="257" max="257" width="16" style="73" customWidth="1"/>
    <col min="258" max="512" width="9" style="73"/>
    <col min="513" max="513" width="16" style="73" customWidth="1"/>
    <col min="514" max="768" width="9" style="73"/>
    <col min="769" max="769" width="16" style="73" customWidth="1"/>
    <col min="770" max="1024" width="9" style="73"/>
    <col min="1025" max="1025" width="16" style="73" customWidth="1"/>
    <col min="1026" max="1280" width="9" style="73"/>
    <col min="1281" max="1281" width="16" style="73" customWidth="1"/>
    <col min="1282" max="1536" width="9" style="73"/>
    <col min="1537" max="1537" width="16" style="73" customWidth="1"/>
    <col min="1538" max="1792" width="9" style="73"/>
    <col min="1793" max="1793" width="16" style="73" customWidth="1"/>
    <col min="1794" max="2048" width="9" style="73"/>
    <col min="2049" max="2049" width="16" style="73" customWidth="1"/>
    <col min="2050" max="2304" width="9" style="73"/>
    <col min="2305" max="2305" width="16" style="73" customWidth="1"/>
    <col min="2306" max="2560" width="9" style="73"/>
    <col min="2561" max="2561" width="16" style="73" customWidth="1"/>
    <col min="2562" max="2816" width="9" style="73"/>
    <col min="2817" max="2817" width="16" style="73" customWidth="1"/>
    <col min="2818" max="3072" width="9" style="73"/>
    <col min="3073" max="3073" width="16" style="73" customWidth="1"/>
    <col min="3074" max="3328" width="9" style="73"/>
    <col min="3329" max="3329" width="16" style="73" customWidth="1"/>
    <col min="3330" max="3584" width="9" style="73"/>
    <col min="3585" max="3585" width="16" style="73" customWidth="1"/>
    <col min="3586" max="3840" width="9" style="73"/>
    <col min="3841" max="3841" width="16" style="73" customWidth="1"/>
    <col min="3842" max="4096" width="9" style="73"/>
    <col min="4097" max="4097" width="16" style="73" customWidth="1"/>
    <col min="4098" max="4352" width="9" style="73"/>
    <col min="4353" max="4353" width="16" style="73" customWidth="1"/>
    <col min="4354" max="4608" width="9" style="73"/>
    <col min="4609" max="4609" width="16" style="73" customWidth="1"/>
    <col min="4610" max="4864" width="9" style="73"/>
    <col min="4865" max="4865" width="16" style="73" customWidth="1"/>
    <col min="4866" max="5120" width="9" style="73"/>
    <col min="5121" max="5121" width="16" style="73" customWidth="1"/>
    <col min="5122" max="5376" width="9" style="73"/>
    <col min="5377" max="5377" width="16" style="73" customWidth="1"/>
    <col min="5378" max="5632" width="9" style="73"/>
    <col min="5633" max="5633" width="16" style="73" customWidth="1"/>
    <col min="5634" max="5888" width="9" style="73"/>
    <col min="5889" max="5889" width="16" style="73" customWidth="1"/>
    <col min="5890" max="6144" width="9" style="73"/>
    <col min="6145" max="6145" width="16" style="73" customWidth="1"/>
    <col min="6146" max="6400" width="9" style="73"/>
    <col min="6401" max="6401" width="16" style="73" customWidth="1"/>
    <col min="6402" max="6656" width="9" style="73"/>
    <col min="6657" max="6657" width="16" style="73" customWidth="1"/>
    <col min="6658" max="6912" width="9" style="73"/>
    <col min="6913" max="6913" width="16" style="73" customWidth="1"/>
    <col min="6914" max="7168" width="9" style="73"/>
    <col min="7169" max="7169" width="16" style="73" customWidth="1"/>
    <col min="7170" max="7424" width="9" style="73"/>
    <col min="7425" max="7425" width="16" style="73" customWidth="1"/>
    <col min="7426" max="7680" width="9" style="73"/>
    <col min="7681" max="7681" width="16" style="73" customWidth="1"/>
    <col min="7682" max="7936" width="9" style="73"/>
    <col min="7937" max="7937" width="16" style="73" customWidth="1"/>
    <col min="7938" max="8192" width="9" style="73"/>
    <col min="8193" max="8193" width="16" style="73" customWidth="1"/>
    <col min="8194" max="8448" width="9" style="73"/>
    <col min="8449" max="8449" width="16" style="73" customWidth="1"/>
    <col min="8450" max="8704" width="9" style="73"/>
    <col min="8705" max="8705" width="16" style="73" customWidth="1"/>
    <col min="8706" max="8960" width="9" style="73"/>
    <col min="8961" max="8961" width="16" style="73" customWidth="1"/>
    <col min="8962" max="9216" width="9" style="73"/>
    <col min="9217" max="9217" width="16" style="73" customWidth="1"/>
    <col min="9218" max="9472" width="9" style="73"/>
    <col min="9473" max="9473" width="16" style="73" customWidth="1"/>
    <col min="9474" max="9728" width="9" style="73"/>
    <col min="9729" max="9729" width="16" style="73" customWidth="1"/>
    <col min="9730" max="9984" width="9" style="73"/>
    <col min="9985" max="9985" width="16" style="73" customWidth="1"/>
    <col min="9986" max="10240" width="9" style="73"/>
    <col min="10241" max="10241" width="16" style="73" customWidth="1"/>
    <col min="10242" max="10496" width="9" style="73"/>
    <col min="10497" max="10497" width="16" style="73" customWidth="1"/>
    <col min="10498" max="10752" width="9" style="73"/>
    <col min="10753" max="10753" width="16" style="73" customWidth="1"/>
    <col min="10754" max="11008" width="9" style="73"/>
    <col min="11009" max="11009" width="16" style="73" customWidth="1"/>
    <col min="11010" max="11264" width="9" style="73"/>
    <col min="11265" max="11265" width="16" style="73" customWidth="1"/>
    <col min="11266" max="11520" width="9" style="73"/>
    <col min="11521" max="11521" width="16" style="73" customWidth="1"/>
    <col min="11522" max="11776" width="9" style="73"/>
    <col min="11777" max="11777" width="16" style="73" customWidth="1"/>
    <col min="11778" max="12032" width="9" style="73"/>
    <col min="12033" max="12033" width="16" style="73" customWidth="1"/>
    <col min="12034" max="12288" width="9" style="73"/>
    <col min="12289" max="12289" width="16" style="73" customWidth="1"/>
    <col min="12290" max="12544" width="9" style="73"/>
    <col min="12545" max="12545" width="16" style="73" customWidth="1"/>
    <col min="12546" max="12800" width="9" style="73"/>
    <col min="12801" max="12801" width="16" style="73" customWidth="1"/>
    <col min="12802" max="13056" width="9" style="73"/>
    <col min="13057" max="13057" width="16" style="73" customWidth="1"/>
    <col min="13058" max="13312" width="9" style="73"/>
    <col min="13313" max="13313" width="16" style="73" customWidth="1"/>
    <col min="13314" max="13568" width="9" style="73"/>
    <col min="13569" max="13569" width="16" style="73" customWidth="1"/>
    <col min="13570" max="13824" width="9" style="73"/>
    <col min="13825" max="13825" width="16" style="73" customWidth="1"/>
    <col min="13826" max="14080" width="9" style="73"/>
    <col min="14081" max="14081" width="16" style="73" customWidth="1"/>
    <col min="14082" max="14336" width="9" style="73"/>
    <col min="14337" max="14337" width="16" style="73" customWidth="1"/>
    <col min="14338" max="14592" width="9" style="73"/>
    <col min="14593" max="14593" width="16" style="73" customWidth="1"/>
    <col min="14594" max="14848" width="9" style="73"/>
    <col min="14849" max="14849" width="16" style="73" customWidth="1"/>
    <col min="14850" max="15104" width="9" style="73"/>
    <col min="15105" max="15105" width="16" style="73" customWidth="1"/>
    <col min="15106" max="15360" width="9" style="73"/>
    <col min="15361" max="15361" width="16" style="73" customWidth="1"/>
    <col min="15362" max="15616" width="9" style="73"/>
    <col min="15617" max="15617" width="16" style="73" customWidth="1"/>
    <col min="15618" max="15872" width="9" style="73"/>
    <col min="15873" max="15873" width="16" style="73" customWidth="1"/>
    <col min="15874" max="16128" width="9" style="73"/>
    <col min="16129" max="16129" width="16" style="73" customWidth="1"/>
    <col min="16130" max="16384" width="9" style="73"/>
  </cols>
  <sheetData>
    <row r="1" spans="1:18" ht="20.100000000000001" customHeight="1">
      <c r="A1" s="263" t="s">
        <v>129</v>
      </c>
      <c r="B1" s="263"/>
      <c r="C1" s="263"/>
      <c r="D1" s="263"/>
      <c r="E1" s="263"/>
      <c r="F1" s="263"/>
      <c r="G1" s="263"/>
      <c r="H1" s="263"/>
      <c r="I1" s="263"/>
      <c r="J1" s="263"/>
      <c r="K1" s="263"/>
      <c r="L1" s="263"/>
      <c r="M1" s="263"/>
      <c r="N1" s="263"/>
      <c r="O1" s="263"/>
      <c r="P1" s="263"/>
      <c r="Q1" s="263"/>
      <c r="R1" s="263"/>
    </row>
    <row r="2" spans="1:18" s="45" customFormat="1" ht="25.05" customHeight="1">
      <c r="A2" s="262" t="s">
        <v>296</v>
      </c>
      <c r="B2" s="262"/>
      <c r="C2" s="262"/>
      <c r="D2" s="262"/>
      <c r="E2" s="262"/>
      <c r="F2" s="262"/>
      <c r="G2" s="262"/>
      <c r="H2" s="262"/>
      <c r="I2" s="262"/>
      <c r="J2" s="262"/>
      <c r="K2" s="262"/>
      <c r="L2" s="262"/>
      <c r="M2" s="262"/>
      <c r="N2" s="262"/>
      <c r="O2" s="262"/>
      <c r="P2" s="262"/>
      <c r="Q2" s="262"/>
      <c r="R2" s="262"/>
    </row>
    <row r="3" spans="1:18" s="45" customFormat="1" ht="20.100000000000001" customHeight="1">
      <c r="A3" s="74" t="str">
        <f>底稿目录!A2</f>
        <v>被审计单位：</v>
      </c>
      <c r="B3" s="75"/>
      <c r="C3" s="75"/>
      <c r="D3" s="75"/>
      <c r="E3" s="75"/>
      <c r="F3" s="74" t="str">
        <f>底稿目录!A4</f>
        <v>编制人：</v>
      </c>
      <c r="H3" s="75"/>
      <c r="I3" s="75"/>
      <c r="J3" s="75"/>
      <c r="K3" s="76"/>
      <c r="L3" s="76" t="str">
        <f>底稿目录!A5</f>
        <v>编制日期：</v>
      </c>
      <c r="M3" s="100"/>
      <c r="O3" s="76"/>
      <c r="P3" s="76"/>
      <c r="Q3" s="76" t="s">
        <v>297</v>
      </c>
      <c r="R3" s="76" t="s">
        <v>234</v>
      </c>
    </row>
    <row r="4" spans="1:18" s="45" customFormat="1" ht="20.100000000000001" customHeight="1">
      <c r="A4" s="74" t="str">
        <f>底稿目录!A3</f>
        <v>截止日：202X年12月31日</v>
      </c>
      <c r="B4" s="75"/>
      <c r="C4" s="75"/>
      <c r="D4" s="75"/>
      <c r="E4" s="75"/>
      <c r="F4" s="74" t="str">
        <f>底稿目录!A6</f>
        <v>复核人：</v>
      </c>
      <c r="H4" s="75"/>
      <c r="I4" s="75"/>
      <c r="J4" s="75"/>
      <c r="K4" s="76"/>
      <c r="L4" s="76" t="str">
        <f>底稿目录!A7</f>
        <v>复核日期：</v>
      </c>
      <c r="M4" s="100"/>
      <c r="O4" s="76"/>
      <c r="P4" s="76"/>
      <c r="Q4" s="76" t="s">
        <v>298</v>
      </c>
      <c r="R4" s="76"/>
    </row>
    <row r="5" spans="1:18" ht="20.100000000000001" customHeight="1">
      <c r="A5" s="260" t="s">
        <v>299</v>
      </c>
      <c r="B5" s="77" t="s">
        <v>300</v>
      </c>
      <c r="C5" s="77"/>
      <c r="D5" s="77"/>
      <c r="E5" s="77"/>
      <c r="F5" s="77"/>
      <c r="G5" s="77" t="s">
        <v>301</v>
      </c>
      <c r="H5" s="77"/>
      <c r="I5" s="77"/>
      <c r="J5" s="77"/>
      <c r="K5" s="77"/>
      <c r="L5" s="77" t="s">
        <v>302</v>
      </c>
      <c r="M5" s="77"/>
      <c r="N5" s="77"/>
      <c r="O5" s="77"/>
      <c r="P5" s="77"/>
      <c r="Q5" s="260" t="s">
        <v>303</v>
      </c>
      <c r="R5" s="261" t="s">
        <v>460</v>
      </c>
    </row>
    <row r="6" spans="1:18" ht="20.100000000000001" customHeight="1">
      <c r="A6" s="260"/>
      <c r="B6" s="78" t="s">
        <v>305</v>
      </c>
      <c r="C6" s="78" t="s">
        <v>306</v>
      </c>
      <c r="D6" s="78" t="s">
        <v>307</v>
      </c>
      <c r="E6" s="78"/>
      <c r="F6" s="78" t="s">
        <v>308</v>
      </c>
      <c r="G6" s="78" t="s">
        <v>305</v>
      </c>
      <c r="H6" s="78" t="s">
        <v>306</v>
      </c>
      <c r="I6" s="78" t="s">
        <v>307</v>
      </c>
      <c r="J6" s="78"/>
      <c r="K6" s="78" t="s">
        <v>308</v>
      </c>
      <c r="L6" s="78" t="s">
        <v>305</v>
      </c>
      <c r="M6" s="78" t="s">
        <v>306</v>
      </c>
      <c r="N6" s="78" t="s">
        <v>307</v>
      </c>
      <c r="O6" s="78"/>
      <c r="P6" s="78" t="s">
        <v>308</v>
      </c>
      <c r="Q6" s="260"/>
      <c r="R6" s="260"/>
    </row>
    <row r="7" spans="1:18" ht="20.100000000000001" customHeight="1">
      <c r="A7" s="167" t="s">
        <v>458</v>
      </c>
      <c r="B7" s="80">
        <v>1</v>
      </c>
      <c r="C7" s="80">
        <v>2</v>
      </c>
      <c r="D7" s="80">
        <v>3</v>
      </c>
      <c r="E7" s="80">
        <v>4</v>
      </c>
      <c r="F7" s="164">
        <f>SUM(B7:E7)</f>
        <v>10</v>
      </c>
      <c r="G7" s="43">
        <v>4</v>
      </c>
      <c r="H7" s="43">
        <v>5</v>
      </c>
      <c r="I7" s="43">
        <v>6</v>
      </c>
      <c r="J7" s="43">
        <v>8</v>
      </c>
      <c r="K7" s="164">
        <f>SUM(G7:J7)</f>
        <v>23</v>
      </c>
      <c r="L7" s="165">
        <f>IF(G7=0,0,(B7-G7)/G7)</f>
        <v>-0.75</v>
      </c>
      <c r="M7" s="165">
        <f>IF(H7=0,0,(C7-H7)/H7)</f>
        <v>-0.6</v>
      </c>
      <c r="N7" s="165">
        <f>IF(I7=0,0,(D7-I7)/I7)</f>
        <v>-0.5</v>
      </c>
      <c r="O7" s="165">
        <f>IF(J7=0,0,(E7-J7)/J7)</f>
        <v>-0.5</v>
      </c>
      <c r="P7" s="165">
        <f>IF(K7=0,0,(F7-K7)/K7)</f>
        <v>-0.56521739130434778</v>
      </c>
      <c r="Q7" s="168" t="s">
        <v>459</v>
      </c>
      <c r="R7" s="81">
        <v>123</v>
      </c>
    </row>
    <row r="8" spans="1:18" ht="20.100000000000001" customHeight="1">
      <c r="A8" s="79"/>
      <c r="B8" s="80"/>
      <c r="C8" s="80"/>
      <c r="D8" s="80"/>
      <c r="E8" s="80"/>
      <c r="F8" s="164">
        <f t="shared" ref="F8:F20" si="0">SUM(B8:E8)</f>
        <v>0</v>
      </c>
      <c r="G8" s="43"/>
      <c r="H8" s="43"/>
      <c r="I8" s="43"/>
      <c r="J8" s="43"/>
      <c r="K8" s="164">
        <f t="shared" ref="K8:K20" si="1">SUM(G8:J8)</f>
        <v>0</v>
      </c>
      <c r="L8" s="165">
        <f t="shared" ref="L8:P20" si="2">IF(G8=0,0,(B8-G8)/G8)</f>
        <v>0</v>
      </c>
      <c r="M8" s="165">
        <f t="shared" si="2"/>
        <v>0</v>
      </c>
      <c r="N8" s="165">
        <f t="shared" si="2"/>
        <v>0</v>
      </c>
      <c r="O8" s="165">
        <f t="shared" si="2"/>
        <v>0</v>
      </c>
      <c r="P8" s="165">
        <f t="shared" si="2"/>
        <v>0</v>
      </c>
      <c r="Q8" s="81"/>
      <c r="R8" s="81"/>
    </row>
    <row r="9" spans="1:18" ht="20.100000000000001" customHeight="1">
      <c r="A9" s="79"/>
      <c r="B9" s="80"/>
      <c r="C9" s="80"/>
      <c r="D9" s="80"/>
      <c r="E9" s="80"/>
      <c r="F9" s="164">
        <f t="shared" si="0"/>
        <v>0</v>
      </c>
      <c r="G9" s="43"/>
      <c r="H9" s="43"/>
      <c r="I9" s="43"/>
      <c r="J9" s="43"/>
      <c r="K9" s="164">
        <f t="shared" si="1"/>
        <v>0</v>
      </c>
      <c r="L9" s="165">
        <f t="shared" si="2"/>
        <v>0</v>
      </c>
      <c r="M9" s="165">
        <f t="shared" si="2"/>
        <v>0</v>
      </c>
      <c r="N9" s="165">
        <f t="shared" si="2"/>
        <v>0</v>
      </c>
      <c r="O9" s="165">
        <f t="shared" si="2"/>
        <v>0</v>
      </c>
      <c r="P9" s="165">
        <f t="shared" si="2"/>
        <v>0</v>
      </c>
      <c r="Q9" s="81"/>
      <c r="R9" s="81"/>
    </row>
    <row r="10" spans="1:18" ht="20.100000000000001" customHeight="1">
      <c r="A10" s="79"/>
      <c r="B10" s="80"/>
      <c r="C10" s="80"/>
      <c r="D10" s="80"/>
      <c r="E10" s="80"/>
      <c r="F10" s="164">
        <f t="shared" si="0"/>
        <v>0</v>
      </c>
      <c r="G10" s="43"/>
      <c r="H10" s="43"/>
      <c r="I10" s="43"/>
      <c r="J10" s="43"/>
      <c r="K10" s="164">
        <f t="shared" si="1"/>
        <v>0</v>
      </c>
      <c r="L10" s="165">
        <f t="shared" si="2"/>
        <v>0</v>
      </c>
      <c r="M10" s="165">
        <f t="shared" si="2"/>
        <v>0</v>
      </c>
      <c r="N10" s="165">
        <f t="shared" si="2"/>
        <v>0</v>
      </c>
      <c r="O10" s="165">
        <f t="shared" si="2"/>
        <v>0</v>
      </c>
      <c r="P10" s="165">
        <f t="shared" si="2"/>
        <v>0</v>
      </c>
      <c r="Q10" s="81"/>
      <c r="R10" s="81"/>
    </row>
    <row r="11" spans="1:18" ht="20.100000000000001" customHeight="1">
      <c r="A11" s="79"/>
      <c r="B11" s="80"/>
      <c r="C11" s="80"/>
      <c r="D11" s="80"/>
      <c r="E11" s="80"/>
      <c r="F11" s="164">
        <f t="shared" si="0"/>
        <v>0</v>
      </c>
      <c r="G11" s="43"/>
      <c r="H11" s="43"/>
      <c r="I11" s="43"/>
      <c r="J11" s="43"/>
      <c r="K11" s="164">
        <f t="shared" si="1"/>
        <v>0</v>
      </c>
      <c r="L11" s="165">
        <f t="shared" si="2"/>
        <v>0</v>
      </c>
      <c r="M11" s="165">
        <f t="shared" si="2"/>
        <v>0</v>
      </c>
      <c r="N11" s="165">
        <f t="shared" si="2"/>
        <v>0</v>
      </c>
      <c r="O11" s="165">
        <f t="shared" si="2"/>
        <v>0</v>
      </c>
      <c r="P11" s="165">
        <f t="shared" si="2"/>
        <v>0</v>
      </c>
      <c r="Q11" s="81"/>
      <c r="R11" s="81"/>
    </row>
    <row r="12" spans="1:18" ht="20.100000000000001" customHeight="1">
      <c r="A12" s="79"/>
      <c r="B12" s="80"/>
      <c r="C12" s="80"/>
      <c r="D12" s="80"/>
      <c r="E12" s="80"/>
      <c r="F12" s="164">
        <f t="shared" si="0"/>
        <v>0</v>
      </c>
      <c r="G12" s="43"/>
      <c r="H12" s="43"/>
      <c r="I12" s="43"/>
      <c r="J12" s="43"/>
      <c r="K12" s="164">
        <f t="shared" si="1"/>
        <v>0</v>
      </c>
      <c r="L12" s="165">
        <f t="shared" si="2"/>
        <v>0</v>
      </c>
      <c r="M12" s="165">
        <f t="shared" si="2"/>
        <v>0</v>
      </c>
      <c r="N12" s="165">
        <f t="shared" si="2"/>
        <v>0</v>
      </c>
      <c r="O12" s="165">
        <f t="shared" si="2"/>
        <v>0</v>
      </c>
      <c r="P12" s="165">
        <f t="shared" si="2"/>
        <v>0</v>
      </c>
      <c r="Q12" s="81"/>
      <c r="R12" s="81"/>
    </row>
    <row r="13" spans="1:18" ht="20.100000000000001" customHeight="1">
      <c r="A13" s="79"/>
      <c r="B13" s="80"/>
      <c r="C13" s="80"/>
      <c r="D13" s="80"/>
      <c r="E13" s="80"/>
      <c r="F13" s="164">
        <f t="shared" si="0"/>
        <v>0</v>
      </c>
      <c r="G13" s="43"/>
      <c r="H13" s="43"/>
      <c r="I13" s="43"/>
      <c r="J13" s="43"/>
      <c r="K13" s="164">
        <f t="shared" si="1"/>
        <v>0</v>
      </c>
      <c r="L13" s="165">
        <f t="shared" si="2"/>
        <v>0</v>
      </c>
      <c r="M13" s="165">
        <f t="shared" si="2"/>
        <v>0</v>
      </c>
      <c r="N13" s="165">
        <f t="shared" si="2"/>
        <v>0</v>
      </c>
      <c r="O13" s="165">
        <f t="shared" si="2"/>
        <v>0</v>
      </c>
      <c r="P13" s="165">
        <f t="shared" si="2"/>
        <v>0</v>
      </c>
      <c r="Q13" s="81"/>
      <c r="R13" s="81"/>
    </row>
    <row r="14" spans="1:18" ht="20.100000000000001" customHeight="1">
      <c r="A14" s="79"/>
      <c r="B14" s="80"/>
      <c r="C14" s="80"/>
      <c r="D14" s="80"/>
      <c r="E14" s="80"/>
      <c r="F14" s="164">
        <f t="shared" si="0"/>
        <v>0</v>
      </c>
      <c r="G14" s="43"/>
      <c r="H14" s="43"/>
      <c r="I14" s="43"/>
      <c r="J14" s="43"/>
      <c r="K14" s="164">
        <f t="shared" si="1"/>
        <v>0</v>
      </c>
      <c r="L14" s="165">
        <f t="shared" si="2"/>
        <v>0</v>
      </c>
      <c r="M14" s="165">
        <f t="shared" si="2"/>
        <v>0</v>
      </c>
      <c r="N14" s="165">
        <f t="shared" si="2"/>
        <v>0</v>
      </c>
      <c r="O14" s="165">
        <f t="shared" si="2"/>
        <v>0</v>
      </c>
      <c r="P14" s="165">
        <f t="shared" si="2"/>
        <v>0</v>
      </c>
      <c r="Q14" s="81"/>
      <c r="R14" s="81"/>
    </row>
    <row r="15" spans="1:18" ht="20.100000000000001" customHeight="1">
      <c r="A15" s="79"/>
      <c r="B15" s="80"/>
      <c r="C15" s="80"/>
      <c r="D15" s="80"/>
      <c r="E15" s="80"/>
      <c r="F15" s="164">
        <f t="shared" si="0"/>
        <v>0</v>
      </c>
      <c r="G15" s="43"/>
      <c r="H15" s="43"/>
      <c r="I15" s="43"/>
      <c r="J15" s="43"/>
      <c r="K15" s="164">
        <f t="shared" si="1"/>
        <v>0</v>
      </c>
      <c r="L15" s="165">
        <f t="shared" si="2"/>
        <v>0</v>
      </c>
      <c r="M15" s="165">
        <f t="shared" si="2"/>
        <v>0</v>
      </c>
      <c r="N15" s="165">
        <f t="shared" si="2"/>
        <v>0</v>
      </c>
      <c r="O15" s="165">
        <f t="shared" si="2"/>
        <v>0</v>
      </c>
      <c r="P15" s="165">
        <f t="shared" si="2"/>
        <v>0</v>
      </c>
      <c r="Q15" s="81"/>
      <c r="R15" s="81"/>
    </row>
    <row r="16" spans="1:18" ht="20.100000000000001" customHeight="1">
      <c r="A16" s="79"/>
      <c r="B16" s="80"/>
      <c r="C16" s="80"/>
      <c r="D16" s="80"/>
      <c r="E16" s="80"/>
      <c r="F16" s="164">
        <f t="shared" si="0"/>
        <v>0</v>
      </c>
      <c r="G16" s="43"/>
      <c r="H16" s="43"/>
      <c r="I16" s="43"/>
      <c r="J16" s="43"/>
      <c r="K16" s="164">
        <f t="shared" si="1"/>
        <v>0</v>
      </c>
      <c r="L16" s="165">
        <f t="shared" si="2"/>
        <v>0</v>
      </c>
      <c r="M16" s="165">
        <f t="shared" si="2"/>
        <v>0</v>
      </c>
      <c r="N16" s="165">
        <f t="shared" si="2"/>
        <v>0</v>
      </c>
      <c r="O16" s="165">
        <f t="shared" si="2"/>
        <v>0</v>
      </c>
      <c r="P16" s="165">
        <f t="shared" si="2"/>
        <v>0</v>
      </c>
      <c r="Q16" s="81"/>
      <c r="R16" s="81"/>
    </row>
    <row r="17" spans="1:18" ht="20.100000000000001" customHeight="1">
      <c r="A17" s="79"/>
      <c r="B17" s="80"/>
      <c r="C17" s="80"/>
      <c r="D17" s="80"/>
      <c r="E17" s="80"/>
      <c r="F17" s="164">
        <f t="shared" si="0"/>
        <v>0</v>
      </c>
      <c r="G17" s="43"/>
      <c r="H17" s="43"/>
      <c r="I17" s="43"/>
      <c r="J17" s="43"/>
      <c r="K17" s="164">
        <f t="shared" si="1"/>
        <v>0</v>
      </c>
      <c r="L17" s="165">
        <f t="shared" si="2"/>
        <v>0</v>
      </c>
      <c r="M17" s="165">
        <f t="shared" si="2"/>
        <v>0</v>
      </c>
      <c r="N17" s="165">
        <f t="shared" si="2"/>
        <v>0</v>
      </c>
      <c r="O17" s="165">
        <f t="shared" si="2"/>
        <v>0</v>
      </c>
      <c r="P17" s="165">
        <f t="shared" si="2"/>
        <v>0</v>
      </c>
      <c r="Q17" s="81"/>
      <c r="R17" s="81"/>
    </row>
    <row r="18" spans="1:18" ht="20.100000000000001" customHeight="1">
      <c r="A18" s="79"/>
      <c r="B18" s="80"/>
      <c r="C18" s="80"/>
      <c r="D18" s="80"/>
      <c r="E18" s="80"/>
      <c r="F18" s="164">
        <f t="shared" si="0"/>
        <v>0</v>
      </c>
      <c r="G18" s="43"/>
      <c r="H18" s="43"/>
      <c r="I18" s="43"/>
      <c r="J18" s="43"/>
      <c r="K18" s="164">
        <f t="shared" si="1"/>
        <v>0</v>
      </c>
      <c r="L18" s="165">
        <f t="shared" si="2"/>
        <v>0</v>
      </c>
      <c r="M18" s="165">
        <f t="shared" si="2"/>
        <v>0</v>
      </c>
      <c r="N18" s="165">
        <f t="shared" si="2"/>
        <v>0</v>
      </c>
      <c r="O18" s="165">
        <f t="shared" si="2"/>
        <v>0</v>
      </c>
      <c r="P18" s="165">
        <f t="shared" si="2"/>
        <v>0</v>
      </c>
      <c r="Q18" s="81"/>
      <c r="R18" s="81"/>
    </row>
    <row r="19" spans="1:18" ht="20.100000000000001" customHeight="1">
      <c r="A19" s="79"/>
      <c r="B19" s="80"/>
      <c r="C19" s="80"/>
      <c r="D19" s="80"/>
      <c r="E19" s="80"/>
      <c r="F19" s="164">
        <f t="shared" si="0"/>
        <v>0</v>
      </c>
      <c r="G19" s="43"/>
      <c r="H19" s="43"/>
      <c r="I19" s="43"/>
      <c r="J19" s="43"/>
      <c r="K19" s="164">
        <f t="shared" si="1"/>
        <v>0</v>
      </c>
      <c r="L19" s="165">
        <f t="shared" si="2"/>
        <v>0</v>
      </c>
      <c r="M19" s="165">
        <f t="shared" si="2"/>
        <v>0</v>
      </c>
      <c r="N19" s="165">
        <f t="shared" si="2"/>
        <v>0</v>
      </c>
      <c r="O19" s="165">
        <f t="shared" si="2"/>
        <v>0</v>
      </c>
      <c r="P19" s="165">
        <f t="shared" si="2"/>
        <v>0</v>
      </c>
      <c r="Q19" s="81"/>
      <c r="R19" s="81"/>
    </row>
    <row r="20" spans="1:18" ht="20.100000000000001" customHeight="1">
      <c r="A20" s="79"/>
      <c r="B20" s="80"/>
      <c r="C20" s="80"/>
      <c r="D20" s="80"/>
      <c r="E20" s="80"/>
      <c r="F20" s="164">
        <f t="shared" si="0"/>
        <v>0</v>
      </c>
      <c r="G20" s="43"/>
      <c r="H20" s="43"/>
      <c r="I20" s="43"/>
      <c r="J20" s="43"/>
      <c r="K20" s="164">
        <f t="shared" si="1"/>
        <v>0</v>
      </c>
      <c r="L20" s="165">
        <f t="shared" si="2"/>
        <v>0</v>
      </c>
      <c r="M20" s="165">
        <f t="shared" si="2"/>
        <v>0</v>
      </c>
      <c r="N20" s="165">
        <f t="shared" si="2"/>
        <v>0</v>
      </c>
      <c r="O20" s="165">
        <f t="shared" si="2"/>
        <v>0</v>
      </c>
      <c r="P20" s="165">
        <f t="shared" si="2"/>
        <v>0</v>
      </c>
      <c r="Q20" s="81"/>
      <c r="R20" s="81"/>
    </row>
    <row r="22" spans="1:18">
      <c r="A22" s="166" t="s">
        <v>455</v>
      </c>
    </row>
    <row r="26" spans="1:18">
      <c r="A26" s="166" t="s">
        <v>457</v>
      </c>
    </row>
  </sheetData>
  <mergeCells count="5">
    <mergeCell ref="A5:A6"/>
    <mergeCell ref="Q5:Q6"/>
    <mergeCell ref="R5:R6"/>
    <mergeCell ref="A2:R2"/>
    <mergeCell ref="A1:R1"/>
  </mergeCells>
  <phoneticPr fontId="14" type="noConversion"/>
  <printOptions horizontalCentered="1"/>
  <pageMargins left="0.74803149606299213" right="0.74803149606299213" top="0.98425196850393704" bottom="0.98425196850393704" header="0.51181102362204722" footer="0.51181102362204722"/>
  <pageSetup paperSize="9" scale="72" orientation="landscape" blackAndWhite="1" r:id="rId1"/>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Q48"/>
  <sheetViews>
    <sheetView view="pageBreakPreview" zoomScaleSheetLayoutView="100" workbookViewId="0">
      <selection sqref="A1:P1"/>
    </sheetView>
  </sheetViews>
  <sheetFormatPr defaultColWidth="9" defaultRowHeight="13.8"/>
  <cols>
    <col min="1" max="1" width="12.296875" style="119" customWidth="1"/>
    <col min="2" max="16384" width="9" style="119"/>
  </cols>
  <sheetData>
    <row r="1" spans="1:16" ht="19.95" customHeight="1">
      <c r="A1" s="264" t="s">
        <v>60</v>
      </c>
      <c r="B1" s="264"/>
      <c r="C1" s="264"/>
      <c r="D1" s="264"/>
      <c r="E1" s="264"/>
      <c r="F1" s="264"/>
      <c r="G1" s="264"/>
      <c r="H1" s="264"/>
      <c r="I1" s="264"/>
      <c r="J1" s="264"/>
      <c r="K1" s="264"/>
      <c r="L1" s="264"/>
      <c r="M1" s="264"/>
      <c r="N1" s="264"/>
      <c r="O1" s="264"/>
      <c r="P1" s="264"/>
    </row>
    <row r="2" spans="1:16" s="133" customFormat="1" ht="19.95" customHeight="1">
      <c r="A2" s="265" t="s">
        <v>503</v>
      </c>
      <c r="B2" s="265"/>
      <c r="C2" s="265"/>
      <c r="D2" s="265"/>
      <c r="E2" s="265"/>
      <c r="F2" s="265"/>
      <c r="G2" s="265"/>
      <c r="H2" s="265"/>
      <c r="I2" s="265"/>
      <c r="J2" s="265"/>
      <c r="K2" s="265"/>
      <c r="L2" s="265"/>
      <c r="M2" s="265"/>
      <c r="N2" s="265"/>
      <c r="O2" s="265"/>
      <c r="P2" s="265"/>
    </row>
    <row r="3" spans="1:16" ht="19.95" customHeight="1">
      <c r="A3" s="10" t="str">
        <f>底稿目录!A2</f>
        <v>被审计单位：</v>
      </c>
      <c r="B3" s="117"/>
      <c r="F3" s="10" t="str">
        <f>底稿目录!A4</f>
        <v>编制人：</v>
      </c>
      <c r="K3" s="10" t="str">
        <f>底稿目录!A5</f>
        <v>编制日期：</v>
      </c>
      <c r="O3" s="218" t="s">
        <v>516</v>
      </c>
      <c r="P3" s="220" t="str">
        <f>底稿目录!F7</f>
        <v>F2-42</v>
      </c>
    </row>
    <row r="4" spans="1:16" ht="19.95" customHeight="1">
      <c r="A4" s="10" t="str">
        <f>底稿目录!A3</f>
        <v>截止日：202X年12月31日</v>
      </c>
      <c r="B4" s="18"/>
      <c r="C4" s="10"/>
      <c r="D4" s="10"/>
      <c r="F4" s="10" t="str">
        <f>底稿目录!A6</f>
        <v>复核人：</v>
      </c>
      <c r="G4" s="10"/>
      <c r="H4" s="10"/>
      <c r="I4" s="10"/>
      <c r="J4" s="10"/>
      <c r="K4" s="10" t="str">
        <f>底稿目录!A7</f>
        <v>复核日期：</v>
      </c>
      <c r="L4" s="10"/>
      <c r="M4" s="10"/>
      <c r="N4" s="10"/>
      <c r="O4" s="218" t="s">
        <v>517</v>
      </c>
      <c r="P4" s="10"/>
    </row>
    <row r="5" spans="1:16" ht="19.95" customHeight="1">
      <c r="A5" s="134" t="s">
        <v>405</v>
      </c>
      <c r="B5" s="135"/>
      <c r="C5" s="135"/>
      <c r="D5" s="135"/>
      <c r="E5" s="135"/>
      <c r="F5" s="10"/>
      <c r="G5" s="10"/>
      <c r="H5" s="10"/>
      <c r="I5" s="10"/>
      <c r="J5" s="10"/>
      <c r="K5" s="10"/>
      <c r="L5" s="10"/>
      <c r="M5" s="10"/>
      <c r="N5" s="10"/>
      <c r="O5" s="10"/>
      <c r="P5" s="10"/>
    </row>
    <row r="6" spans="1:16" ht="19.95" customHeight="1">
      <c r="A6" s="10" t="s">
        <v>462</v>
      </c>
      <c r="B6" s="135"/>
      <c r="C6" s="135"/>
      <c r="D6" s="135"/>
      <c r="E6" s="135"/>
      <c r="F6" s="10"/>
      <c r="G6" s="10"/>
      <c r="H6" s="10"/>
      <c r="I6" s="10"/>
      <c r="J6" s="10"/>
      <c r="K6" s="10"/>
      <c r="L6" s="10"/>
      <c r="M6" s="10"/>
      <c r="N6" s="10"/>
      <c r="O6" s="10"/>
      <c r="P6" s="10"/>
    </row>
    <row r="7" spans="1:16" ht="19.95" customHeight="1">
      <c r="A7" s="134" t="s">
        <v>406</v>
      </c>
      <c r="B7" s="135"/>
      <c r="C7" s="135"/>
      <c r="D7" s="135"/>
      <c r="E7" s="135"/>
      <c r="F7" s="10"/>
      <c r="G7" s="10"/>
      <c r="H7" s="10"/>
      <c r="I7" s="10"/>
      <c r="J7" s="10"/>
      <c r="K7" s="10"/>
      <c r="L7" s="10"/>
      <c r="M7" s="10"/>
      <c r="N7" s="10"/>
      <c r="O7" s="10"/>
      <c r="P7" s="10"/>
    </row>
    <row r="8" spans="1:16" ht="19.95" customHeight="1">
      <c r="A8" s="178" t="s">
        <v>506</v>
      </c>
      <c r="B8" s="179"/>
      <c r="C8" s="179"/>
      <c r="D8" s="179"/>
      <c r="E8" s="179"/>
      <c r="F8" s="179"/>
      <c r="G8" s="179"/>
      <c r="H8" s="179"/>
      <c r="I8" s="179"/>
      <c r="J8" s="179"/>
      <c r="K8" s="179"/>
      <c r="L8" s="179"/>
      <c r="M8" s="179"/>
      <c r="N8" s="179"/>
      <c r="O8" s="179"/>
      <c r="P8" s="179"/>
    </row>
    <row r="9" spans="1:16" ht="19.95" customHeight="1">
      <c r="A9" s="136" t="s">
        <v>407</v>
      </c>
      <c r="B9" s="137"/>
      <c r="C9" s="137"/>
      <c r="D9" s="137"/>
      <c r="E9" s="137"/>
      <c r="F9" s="138"/>
      <c r="G9" s="138"/>
      <c r="H9" s="138"/>
      <c r="I9" s="138"/>
      <c r="J9" s="138"/>
      <c r="K9" s="138"/>
      <c r="L9" s="138"/>
      <c r="M9" s="138"/>
      <c r="N9" s="138"/>
      <c r="O9" s="138"/>
      <c r="P9" s="138"/>
    </row>
    <row r="10" spans="1:16" ht="19.95" customHeight="1">
      <c r="A10" s="226" t="s">
        <v>408</v>
      </c>
      <c r="B10" s="140" t="s">
        <v>409</v>
      </c>
      <c r="C10" s="140" t="s">
        <v>410</v>
      </c>
      <c r="D10" s="140" t="s">
        <v>411</v>
      </c>
      <c r="E10" s="140" t="s">
        <v>412</v>
      </c>
      <c r="F10" s="140" t="s">
        <v>413</v>
      </c>
      <c r="G10" s="140" t="s">
        <v>414</v>
      </c>
      <c r="H10" s="140" t="s">
        <v>415</v>
      </c>
      <c r="I10" s="140" t="s">
        <v>416</v>
      </c>
      <c r="J10" s="140" t="s">
        <v>417</v>
      </c>
      <c r="K10" s="140" t="s">
        <v>418</v>
      </c>
      <c r="L10" s="140" t="s">
        <v>419</v>
      </c>
      <c r="M10" s="140" t="s">
        <v>420</v>
      </c>
      <c r="N10" s="141" t="s">
        <v>421</v>
      </c>
      <c r="O10" s="141" t="s">
        <v>422</v>
      </c>
      <c r="P10" s="141" t="s">
        <v>423</v>
      </c>
    </row>
    <row r="11" spans="1:16" ht="19.95" customHeight="1">
      <c r="A11" s="180"/>
      <c r="B11" s="143"/>
      <c r="C11" s="143"/>
      <c r="D11" s="143"/>
      <c r="E11" s="143"/>
      <c r="F11" s="143"/>
      <c r="G11" s="143"/>
      <c r="H11" s="143"/>
      <c r="I11" s="143"/>
      <c r="J11" s="143"/>
      <c r="K11" s="143"/>
      <c r="L11" s="143"/>
      <c r="M11" s="143"/>
      <c r="N11" s="181">
        <f t="shared" ref="N11:N19" si="0">SUM(B11:M11)</f>
        <v>0</v>
      </c>
      <c r="O11" s="143"/>
      <c r="P11" s="182">
        <f t="shared" ref="P11:P19" si="1">IF(AND(O11=0,N11-O11=0),0,IF(AND(O11=0,N11-O11&gt;0),1,(N11-O11)/O11))</f>
        <v>0</v>
      </c>
    </row>
    <row r="12" spans="1:16" ht="19.95" customHeight="1">
      <c r="A12" s="142"/>
      <c r="B12" s="143"/>
      <c r="C12" s="143"/>
      <c r="D12" s="143"/>
      <c r="E12" s="143"/>
      <c r="F12" s="143"/>
      <c r="G12" s="143"/>
      <c r="H12" s="143"/>
      <c r="I12" s="143"/>
      <c r="J12" s="143"/>
      <c r="K12" s="143"/>
      <c r="L12" s="143"/>
      <c r="M12" s="143"/>
      <c r="N12" s="181">
        <f t="shared" si="0"/>
        <v>0</v>
      </c>
      <c r="O12" s="143"/>
      <c r="P12" s="182">
        <f t="shared" si="1"/>
        <v>0</v>
      </c>
    </row>
    <row r="13" spans="1:16" ht="19.95" customHeight="1">
      <c r="A13" s="142"/>
      <c r="B13" s="143"/>
      <c r="C13" s="143"/>
      <c r="D13" s="143"/>
      <c r="E13" s="143"/>
      <c r="F13" s="143"/>
      <c r="G13" s="143"/>
      <c r="H13" s="143"/>
      <c r="I13" s="143"/>
      <c r="J13" s="143"/>
      <c r="K13" s="143"/>
      <c r="L13" s="143"/>
      <c r="M13" s="143"/>
      <c r="N13" s="181">
        <f t="shared" si="0"/>
        <v>0</v>
      </c>
      <c r="O13" s="143"/>
      <c r="P13" s="182">
        <f t="shared" si="1"/>
        <v>0</v>
      </c>
    </row>
    <row r="14" spans="1:16" ht="19.95" customHeight="1">
      <c r="A14" s="142"/>
      <c r="B14" s="143"/>
      <c r="C14" s="143"/>
      <c r="D14" s="143"/>
      <c r="E14" s="143"/>
      <c r="F14" s="143"/>
      <c r="G14" s="143"/>
      <c r="H14" s="143"/>
      <c r="I14" s="143"/>
      <c r="J14" s="143"/>
      <c r="K14" s="143"/>
      <c r="L14" s="143"/>
      <c r="M14" s="143"/>
      <c r="N14" s="181">
        <f t="shared" si="0"/>
        <v>0</v>
      </c>
      <c r="O14" s="143"/>
      <c r="P14" s="182">
        <f t="shared" si="1"/>
        <v>0</v>
      </c>
    </row>
    <row r="15" spans="1:16" ht="19.95" customHeight="1">
      <c r="A15" s="142"/>
      <c r="B15" s="143"/>
      <c r="C15" s="143"/>
      <c r="D15" s="143"/>
      <c r="E15" s="143"/>
      <c r="F15" s="143"/>
      <c r="G15" s="143"/>
      <c r="H15" s="143"/>
      <c r="I15" s="143"/>
      <c r="J15" s="143"/>
      <c r="K15" s="143"/>
      <c r="L15" s="143"/>
      <c r="M15" s="143"/>
      <c r="N15" s="181">
        <f t="shared" si="0"/>
        <v>0</v>
      </c>
      <c r="O15" s="143"/>
      <c r="P15" s="182">
        <f t="shared" si="1"/>
        <v>0</v>
      </c>
    </row>
    <row r="16" spans="1:16" ht="19.95" customHeight="1">
      <c r="A16" s="142"/>
      <c r="B16" s="143"/>
      <c r="C16" s="143"/>
      <c r="D16" s="143"/>
      <c r="E16" s="143"/>
      <c r="F16" s="143"/>
      <c r="G16" s="143"/>
      <c r="H16" s="143"/>
      <c r="I16" s="143"/>
      <c r="J16" s="143"/>
      <c r="K16" s="143"/>
      <c r="L16" s="143"/>
      <c r="M16" s="143"/>
      <c r="N16" s="181">
        <f t="shared" si="0"/>
        <v>0</v>
      </c>
      <c r="O16" s="143"/>
      <c r="P16" s="182">
        <f t="shared" si="1"/>
        <v>0</v>
      </c>
    </row>
    <row r="17" spans="1:16" ht="19.95" customHeight="1">
      <c r="A17" s="142"/>
      <c r="B17" s="143"/>
      <c r="C17" s="143"/>
      <c r="D17" s="143"/>
      <c r="E17" s="143"/>
      <c r="F17" s="143"/>
      <c r="G17" s="143"/>
      <c r="H17" s="143"/>
      <c r="I17" s="143"/>
      <c r="J17" s="143"/>
      <c r="K17" s="143"/>
      <c r="L17" s="143"/>
      <c r="M17" s="143"/>
      <c r="N17" s="181">
        <f t="shared" si="0"/>
        <v>0</v>
      </c>
      <c r="O17" s="143"/>
      <c r="P17" s="182">
        <f t="shared" si="1"/>
        <v>0</v>
      </c>
    </row>
    <row r="18" spans="1:16" ht="19.95" customHeight="1">
      <c r="A18" s="142"/>
      <c r="B18" s="143"/>
      <c r="C18" s="143"/>
      <c r="D18" s="143"/>
      <c r="E18" s="143"/>
      <c r="F18" s="143"/>
      <c r="G18" s="143"/>
      <c r="H18" s="143"/>
      <c r="I18" s="143"/>
      <c r="J18" s="143"/>
      <c r="K18" s="143"/>
      <c r="L18" s="143"/>
      <c r="M18" s="143"/>
      <c r="N18" s="181">
        <f t="shared" si="0"/>
        <v>0</v>
      </c>
      <c r="O18" s="143"/>
      <c r="P18" s="182">
        <f t="shared" si="1"/>
        <v>0</v>
      </c>
    </row>
    <row r="19" spans="1:16" ht="19.95" customHeight="1">
      <c r="A19" s="142"/>
      <c r="B19" s="143"/>
      <c r="C19" s="143"/>
      <c r="D19" s="143"/>
      <c r="E19" s="143"/>
      <c r="F19" s="143"/>
      <c r="G19" s="143"/>
      <c r="H19" s="143"/>
      <c r="I19" s="143"/>
      <c r="J19" s="143"/>
      <c r="K19" s="143"/>
      <c r="L19" s="143"/>
      <c r="M19" s="143"/>
      <c r="N19" s="181">
        <f t="shared" si="0"/>
        <v>0</v>
      </c>
      <c r="O19" s="143"/>
      <c r="P19" s="182">
        <f t="shared" si="1"/>
        <v>0</v>
      </c>
    </row>
    <row r="20" spans="1:16" ht="19.95" customHeight="1">
      <c r="A20" s="207" t="s">
        <v>504</v>
      </c>
    </row>
    <row r="21" spans="1:16" ht="19.95" customHeight="1">
      <c r="A21" s="226" t="s">
        <v>408</v>
      </c>
      <c r="B21" s="140" t="s">
        <v>409</v>
      </c>
      <c r="C21" s="140" t="s">
        <v>410</v>
      </c>
      <c r="D21" s="140" t="s">
        <v>411</v>
      </c>
      <c r="E21" s="140" t="s">
        <v>412</v>
      </c>
      <c r="F21" s="140" t="s">
        <v>413</v>
      </c>
      <c r="G21" s="140" t="s">
        <v>414</v>
      </c>
      <c r="H21" s="140" t="s">
        <v>415</v>
      </c>
      <c r="I21" s="140" t="s">
        <v>416</v>
      </c>
      <c r="J21" s="140" t="s">
        <v>417</v>
      </c>
      <c r="K21" s="140" t="s">
        <v>418</v>
      </c>
      <c r="L21" s="140" t="s">
        <v>419</v>
      </c>
      <c r="M21" s="140" t="s">
        <v>420</v>
      </c>
      <c r="N21" s="141" t="s">
        <v>424</v>
      </c>
      <c r="O21" s="141" t="s">
        <v>425</v>
      </c>
      <c r="P21" s="141" t="s">
        <v>426</v>
      </c>
    </row>
    <row r="22" spans="1:16" ht="19.95" customHeight="1">
      <c r="A22" s="142"/>
      <c r="B22" s="143"/>
      <c r="C22" s="143"/>
      <c r="D22" s="143"/>
      <c r="E22" s="143"/>
      <c r="F22" s="143"/>
      <c r="G22" s="143"/>
      <c r="H22" s="143"/>
      <c r="I22" s="143"/>
      <c r="J22" s="143"/>
      <c r="K22" s="143"/>
      <c r="L22" s="143"/>
      <c r="M22" s="143"/>
      <c r="N22" s="181">
        <f t="shared" ref="N22:N30" si="2">SUM(B22:M22)</f>
        <v>0</v>
      </c>
      <c r="O22" s="143"/>
      <c r="P22" s="182">
        <f t="shared" ref="P22:P30" si="3">IF(AND(O22=0,N22-O22=0),0,IF(AND(O22=0,N22-O22&gt;0),1,(N22-O22)/O22))</f>
        <v>0</v>
      </c>
    </row>
    <row r="23" spans="1:16" ht="19.95" customHeight="1">
      <c r="A23" s="142"/>
      <c r="B23" s="143"/>
      <c r="C23" s="143"/>
      <c r="D23" s="143"/>
      <c r="E23" s="143"/>
      <c r="F23" s="143"/>
      <c r="G23" s="143"/>
      <c r="H23" s="143"/>
      <c r="I23" s="143"/>
      <c r="J23" s="143"/>
      <c r="K23" s="143"/>
      <c r="L23" s="143"/>
      <c r="M23" s="143"/>
      <c r="N23" s="181">
        <f t="shared" si="2"/>
        <v>0</v>
      </c>
      <c r="O23" s="143"/>
      <c r="P23" s="182">
        <f t="shared" si="3"/>
        <v>0</v>
      </c>
    </row>
    <row r="24" spans="1:16" ht="19.95" customHeight="1">
      <c r="A24" s="142"/>
      <c r="B24" s="143"/>
      <c r="C24" s="143"/>
      <c r="D24" s="143"/>
      <c r="E24" s="143"/>
      <c r="F24" s="143"/>
      <c r="G24" s="143"/>
      <c r="H24" s="143"/>
      <c r="I24" s="143"/>
      <c r="J24" s="143"/>
      <c r="K24" s="143"/>
      <c r="L24" s="143"/>
      <c r="M24" s="143"/>
      <c r="N24" s="181">
        <f t="shared" si="2"/>
        <v>0</v>
      </c>
      <c r="O24" s="143"/>
      <c r="P24" s="182">
        <f t="shared" si="3"/>
        <v>0</v>
      </c>
    </row>
    <row r="25" spans="1:16" ht="19.95" customHeight="1">
      <c r="A25" s="142"/>
      <c r="B25" s="143"/>
      <c r="C25" s="143"/>
      <c r="D25" s="143"/>
      <c r="E25" s="143"/>
      <c r="F25" s="143"/>
      <c r="G25" s="143"/>
      <c r="H25" s="143"/>
      <c r="I25" s="143"/>
      <c r="J25" s="143"/>
      <c r="K25" s="143"/>
      <c r="L25" s="143"/>
      <c r="M25" s="143"/>
      <c r="N25" s="181">
        <f t="shared" si="2"/>
        <v>0</v>
      </c>
      <c r="O25" s="143"/>
      <c r="P25" s="182">
        <f t="shared" si="3"/>
        <v>0</v>
      </c>
    </row>
    <row r="26" spans="1:16" ht="19.95" customHeight="1">
      <c r="A26" s="142"/>
      <c r="B26" s="143"/>
      <c r="C26" s="143"/>
      <c r="D26" s="143"/>
      <c r="E26" s="143"/>
      <c r="F26" s="143"/>
      <c r="G26" s="143"/>
      <c r="H26" s="143"/>
      <c r="I26" s="143"/>
      <c r="J26" s="143"/>
      <c r="K26" s="143"/>
      <c r="L26" s="143"/>
      <c r="M26" s="143"/>
      <c r="N26" s="181">
        <f t="shared" si="2"/>
        <v>0</v>
      </c>
      <c r="O26" s="143"/>
      <c r="P26" s="182">
        <f t="shared" si="3"/>
        <v>0</v>
      </c>
    </row>
    <row r="27" spans="1:16" ht="19.95" customHeight="1">
      <c r="A27" s="142"/>
      <c r="B27" s="143"/>
      <c r="C27" s="143"/>
      <c r="D27" s="143"/>
      <c r="E27" s="143"/>
      <c r="F27" s="143"/>
      <c r="G27" s="143"/>
      <c r="H27" s="143"/>
      <c r="I27" s="143"/>
      <c r="J27" s="143"/>
      <c r="K27" s="143"/>
      <c r="L27" s="143"/>
      <c r="M27" s="143"/>
      <c r="N27" s="181">
        <f t="shared" si="2"/>
        <v>0</v>
      </c>
      <c r="O27" s="143"/>
      <c r="P27" s="182">
        <f t="shared" si="3"/>
        <v>0</v>
      </c>
    </row>
    <row r="28" spans="1:16" ht="19.95" customHeight="1">
      <c r="A28" s="142"/>
      <c r="B28" s="143"/>
      <c r="C28" s="143"/>
      <c r="D28" s="143"/>
      <c r="E28" s="143"/>
      <c r="F28" s="143"/>
      <c r="G28" s="143"/>
      <c r="H28" s="143"/>
      <c r="I28" s="143"/>
      <c r="J28" s="143"/>
      <c r="K28" s="143"/>
      <c r="L28" s="143"/>
      <c r="M28" s="143"/>
      <c r="N28" s="181">
        <f t="shared" si="2"/>
        <v>0</v>
      </c>
      <c r="O28" s="143"/>
      <c r="P28" s="182">
        <f t="shared" si="3"/>
        <v>0</v>
      </c>
    </row>
    <row r="29" spans="1:16" ht="19.95" customHeight="1">
      <c r="A29" s="142"/>
      <c r="B29" s="143"/>
      <c r="C29" s="143"/>
      <c r="D29" s="143"/>
      <c r="E29" s="143"/>
      <c r="F29" s="143"/>
      <c r="G29" s="143"/>
      <c r="H29" s="143"/>
      <c r="I29" s="143"/>
      <c r="J29" s="143"/>
      <c r="K29" s="143"/>
      <c r="L29" s="143"/>
      <c r="M29" s="143"/>
      <c r="N29" s="181">
        <f t="shared" si="2"/>
        <v>0</v>
      </c>
      <c r="O29" s="143"/>
      <c r="P29" s="182">
        <f t="shared" si="3"/>
        <v>0</v>
      </c>
    </row>
    <row r="30" spans="1:16" ht="19.95" customHeight="1">
      <c r="A30" s="142"/>
      <c r="B30" s="143"/>
      <c r="C30" s="143"/>
      <c r="D30" s="143"/>
      <c r="E30" s="143"/>
      <c r="F30" s="143"/>
      <c r="G30" s="143"/>
      <c r="H30" s="143"/>
      <c r="I30" s="143"/>
      <c r="J30" s="143"/>
      <c r="K30" s="143"/>
      <c r="L30" s="143"/>
      <c r="M30" s="143"/>
      <c r="N30" s="181">
        <f t="shared" si="2"/>
        <v>0</v>
      </c>
      <c r="O30" s="143"/>
      <c r="P30" s="182">
        <f t="shared" si="3"/>
        <v>0</v>
      </c>
    </row>
    <row r="31" spans="1:16" ht="19.95" customHeight="1">
      <c r="A31" s="144" t="s">
        <v>505</v>
      </c>
    </row>
    <row r="32" spans="1:16" ht="19.95" customHeight="1">
      <c r="A32" s="139" t="s">
        <v>427</v>
      </c>
      <c r="B32" s="140" t="s">
        <v>428</v>
      </c>
      <c r="C32" s="140" t="s">
        <v>410</v>
      </c>
      <c r="D32" s="140" t="s">
        <v>411</v>
      </c>
      <c r="E32" s="140" t="s">
        <v>412</v>
      </c>
      <c r="F32" s="140" t="s">
        <v>413</v>
      </c>
      <c r="G32" s="140" t="s">
        <v>414</v>
      </c>
      <c r="H32" s="140" t="s">
        <v>415</v>
      </c>
      <c r="I32" s="140" t="s">
        <v>416</v>
      </c>
      <c r="J32" s="140" t="s">
        <v>417</v>
      </c>
      <c r="K32" s="140" t="s">
        <v>418</v>
      </c>
      <c r="L32" s="140" t="s">
        <v>419</v>
      </c>
      <c r="M32" s="140" t="s">
        <v>420</v>
      </c>
      <c r="N32" s="141" t="s">
        <v>429</v>
      </c>
      <c r="O32" s="141" t="s">
        <v>425</v>
      </c>
      <c r="P32" s="141" t="s">
        <v>426</v>
      </c>
    </row>
    <row r="33" spans="1:17" ht="19.95" customHeight="1">
      <c r="A33" s="142"/>
      <c r="B33" s="181">
        <f>IF(B22=0,0,B11/B22)</f>
        <v>0</v>
      </c>
      <c r="C33" s="181">
        <f t="shared" ref="C33:N33" si="4">IF(C22=0,0,C11/C22)</f>
        <v>0</v>
      </c>
      <c r="D33" s="181">
        <f t="shared" si="4"/>
        <v>0</v>
      </c>
      <c r="E33" s="181">
        <f t="shared" si="4"/>
        <v>0</v>
      </c>
      <c r="F33" s="181">
        <f t="shared" si="4"/>
        <v>0</v>
      </c>
      <c r="G33" s="181">
        <f t="shared" si="4"/>
        <v>0</v>
      </c>
      <c r="H33" s="181">
        <f t="shared" si="4"/>
        <v>0</v>
      </c>
      <c r="I33" s="181">
        <f t="shared" si="4"/>
        <v>0</v>
      </c>
      <c r="J33" s="181">
        <f t="shared" si="4"/>
        <v>0</v>
      </c>
      <c r="K33" s="181">
        <f t="shared" si="4"/>
        <v>0</v>
      </c>
      <c r="L33" s="181">
        <f t="shared" si="4"/>
        <v>0</v>
      </c>
      <c r="M33" s="181">
        <f t="shared" si="4"/>
        <v>0</v>
      </c>
      <c r="N33" s="181">
        <f t="shared" si="4"/>
        <v>0</v>
      </c>
      <c r="O33" s="143">
        <v>2</v>
      </c>
      <c r="P33" s="182">
        <f t="shared" ref="P33:P41" si="5">IF(AND(O33=0,N33-O33=0),0,IF(AND(O33=0,N33-O33&gt;0),1,(N33-O33)/O33))</f>
        <v>-1</v>
      </c>
      <c r="Q33" s="132" t="s">
        <v>514</v>
      </c>
    </row>
    <row r="34" spans="1:17" ht="19.95" customHeight="1">
      <c r="A34" s="142"/>
      <c r="B34" s="181">
        <f t="shared" ref="B34:N41" si="6">IF(B23=0,0,B12/B23)</f>
        <v>0</v>
      </c>
      <c r="C34" s="181">
        <f t="shared" si="6"/>
        <v>0</v>
      </c>
      <c r="D34" s="181">
        <f t="shared" si="6"/>
        <v>0</v>
      </c>
      <c r="E34" s="181">
        <f t="shared" si="6"/>
        <v>0</v>
      </c>
      <c r="F34" s="181">
        <f t="shared" si="6"/>
        <v>0</v>
      </c>
      <c r="G34" s="181">
        <f t="shared" si="6"/>
        <v>0</v>
      </c>
      <c r="H34" s="181">
        <f t="shared" si="6"/>
        <v>0</v>
      </c>
      <c r="I34" s="181">
        <f t="shared" si="6"/>
        <v>0</v>
      </c>
      <c r="J34" s="181">
        <f t="shared" si="6"/>
        <v>0</v>
      </c>
      <c r="K34" s="181">
        <f t="shared" si="6"/>
        <v>0</v>
      </c>
      <c r="L34" s="181">
        <f t="shared" si="6"/>
        <v>0</v>
      </c>
      <c r="M34" s="181">
        <f t="shared" si="6"/>
        <v>0</v>
      </c>
      <c r="N34" s="181">
        <f t="shared" si="6"/>
        <v>0</v>
      </c>
      <c r="O34" s="143"/>
      <c r="P34" s="182">
        <f t="shared" si="5"/>
        <v>0</v>
      </c>
    </row>
    <row r="35" spans="1:17" ht="19.95" customHeight="1">
      <c r="A35" s="142"/>
      <c r="B35" s="181">
        <f t="shared" si="6"/>
        <v>0</v>
      </c>
      <c r="C35" s="181">
        <f t="shared" si="6"/>
        <v>0</v>
      </c>
      <c r="D35" s="181">
        <f t="shared" si="6"/>
        <v>0</v>
      </c>
      <c r="E35" s="181">
        <f t="shared" si="6"/>
        <v>0</v>
      </c>
      <c r="F35" s="181">
        <f t="shared" si="6"/>
        <v>0</v>
      </c>
      <c r="G35" s="181">
        <f t="shared" si="6"/>
        <v>0</v>
      </c>
      <c r="H35" s="181">
        <f t="shared" si="6"/>
        <v>0</v>
      </c>
      <c r="I35" s="181">
        <f t="shared" si="6"/>
        <v>0</v>
      </c>
      <c r="J35" s="181">
        <f t="shared" si="6"/>
        <v>0</v>
      </c>
      <c r="K35" s="181">
        <f t="shared" si="6"/>
        <v>0</v>
      </c>
      <c r="L35" s="181">
        <f t="shared" si="6"/>
        <v>0</v>
      </c>
      <c r="M35" s="181">
        <f t="shared" si="6"/>
        <v>0</v>
      </c>
      <c r="N35" s="181">
        <f t="shared" si="6"/>
        <v>0</v>
      </c>
      <c r="O35" s="143"/>
      <c r="P35" s="182">
        <f t="shared" si="5"/>
        <v>0</v>
      </c>
    </row>
    <row r="36" spans="1:17" ht="19.95" customHeight="1">
      <c r="A36" s="142"/>
      <c r="B36" s="181">
        <f t="shared" si="6"/>
        <v>0</v>
      </c>
      <c r="C36" s="181">
        <f t="shared" si="6"/>
        <v>0</v>
      </c>
      <c r="D36" s="181">
        <f t="shared" si="6"/>
        <v>0</v>
      </c>
      <c r="E36" s="181">
        <f t="shared" si="6"/>
        <v>0</v>
      </c>
      <c r="F36" s="181">
        <f t="shared" si="6"/>
        <v>0</v>
      </c>
      <c r="G36" s="181">
        <f t="shared" si="6"/>
        <v>0</v>
      </c>
      <c r="H36" s="181">
        <f t="shared" si="6"/>
        <v>0</v>
      </c>
      <c r="I36" s="181">
        <f t="shared" si="6"/>
        <v>0</v>
      </c>
      <c r="J36" s="181">
        <f t="shared" si="6"/>
        <v>0</v>
      </c>
      <c r="K36" s="181">
        <f t="shared" si="6"/>
        <v>0</v>
      </c>
      <c r="L36" s="181">
        <f t="shared" si="6"/>
        <v>0</v>
      </c>
      <c r="M36" s="181">
        <f t="shared" si="6"/>
        <v>0</v>
      </c>
      <c r="N36" s="181">
        <f t="shared" si="6"/>
        <v>0</v>
      </c>
      <c r="O36" s="143"/>
      <c r="P36" s="182">
        <f t="shared" si="5"/>
        <v>0</v>
      </c>
    </row>
    <row r="37" spans="1:17" ht="19.95" customHeight="1">
      <c r="A37" s="142"/>
      <c r="B37" s="181">
        <f t="shared" si="6"/>
        <v>0</v>
      </c>
      <c r="C37" s="181">
        <f t="shared" si="6"/>
        <v>0</v>
      </c>
      <c r="D37" s="181">
        <f t="shared" si="6"/>
        <v>0</v>
      </c>
      <c r="E37" s="181">
        <f t="shared" si="6"/>
        <v>0</v>
      </c>
      <c r="F37" s="181">
        <f t="shared" si="6"/>
        <v>0</v>
      </c>
      <c r="G37" s="181">
        <f t="shared" si="6"/>
        <v>0</v>
      </c>
      <c r="H37" s="181">
        <f t="shared" si="6"/>
        <v>0</v>
      </c>
      <c r="I37" s="181">
        <f t="shared" si="6"/>
        <v>0</v>
      </c>
      <c r="J37" s="181">
        <f t="shared" si="6"/>
        <v>0</v>
      </c>
      <c r="K37" s="181">
        <f t="shared" si="6"/>
        <v>0</v>
      </c>
      <c r="L37" s="181">
        <f t="shared" si="6"/>
        <v>0</v>
      </c>
      <c r="M37" s="181">
        <f t="shared" si="6"/>
        <v>0</v>
      </c>
      <c r="N37" s="181">
        <f t="shared" si="6"/>
        <v>0</v>
      </c>
      <c r="O37" s="143"/>
      <c r="P37" s="182">
        <f t="shared" si="5"/>
        <v>0</v>
      </c>
    </row>
    <row r="38" spans="1:17" ht="19.95" customHeight="1">
      <c r="A38" s="142"/>
      <c r="B38" s="181">
        <f t="shared" si="6"/>
        <v>0</v>
      </c>
      <c r="C38" s="181">
        <f t="shared" si="6"/>
        <v>0</v>
      </c>
      <c r="D38" s="181">
        <f t="shared" si="6"/>
        <v>0</v>
      </c>
      <c r="E38" s="181">
        <f t="shared" si="6"/>
        <v>0</v>
      </c>
      <c r="F38" s="181">
        <f t="shared" si="6"/>
        <v>0</v>
      </c>
      <c r="G38" s="181">
        <f t="shared" si="6"/>
        <v>0</v>
      </c>
      <c r="H38" s="181">
        <f t="shared" si="6"/>
        <v>0</v>
      </c>
      <c r="I38" s="181">
        <f t="shared" si="6"/>
        <v>0</v>
      </c>
      <c r="J38" s="181">
        <f t="shared" si="6"/>
        <v>0</v>
      </c>
      <c r="K38" s="181">
        <f t="shared" si="6"/>
        <v>0</v>
      </c>
      <c r="L38" s="181">
        <f t="shared" si="6"/>
        <v>0</v>
      </c>
      <c r="M38" s="181">
        <f t="shared" si="6"/>
        <v>0</v>
      </c>
      <c r="N38" s="181">
        <f t="shared" si="6"/>
        <v>0</v>
      </c>
      <c r="O38" s="143"/>
      <c r="P38" s="182">
        <f t="shared" si="5"/>
        <v>0</v>
      </c>
    </row>
    <row r="39" spans="1:17" ht="19.95" customHeight="1">
      <c r="A39" s="142"/>
      <c r="B39" s="181">
        <f t="shared" si="6"/>
        <v>0</v>
      </c>
      <c r="C39" s="181">
        <f t="shared" si="6"/>
        <v>0</v>
      </c>
      <c r="D39" s="181">
        <f t="shared" si="6"/>
        <v>0</v>
      </c>
      <c r="E39" s="181">
        <f t="shared" si="6"/>
        <v>0</v>
      </c>
      <c r="F39" s="181">
        <f t="shared" si="6"/>
        <v>0</v>
      </c>
      <c r="G39" s="181">
        <f t="shared" si="6"/>
        <v>0</v>
      </c>
      <c r="H39" s="181">
        <f t="shared" si="6"/>
        <v>0</v>
      </c>
      <c r="I39" s="181">
        <f t="shared" si="6"/>
        <v>0</v>
      </c>
      <c r="J39" s="181">
        <f t="shared" si="6"/>
        <v>0</v>
      </c>
      <c r="K39" s="181">
        <f t="shared" si="6"/>
        <v>0</v>
      </c>
      <c r="L39" s="181">
        <f t="shared" si="6"/>
        <v>0</v>
      </c>
      <c r="M39" s="181">
        <f t="shared" si="6"/>
        <v>0</v>
      </c>
      <c r="N39" s="181">
        <f t="shared" si="6"/>
        <v>0</v>
      </c>
      <c r="O39" s="143"/>
      <c r="P39" s="182">
        <f t="shared" si="5"/>
        <v>0</v>
      </c>
    </row>
    <row r="40" spans="1:17" ht="19.95" customHeight="1">
      <c r="A40" s="142"/>
      <c r="B40" s="181">
        <f t="shared" si="6"/>
        <v>0</v>
      </c>
      <c r="C40" s="181">
        <f t="shared" si="6"/>
        <v>0</v>
      </c>
      <c r="D40" s="181">
        <f t="shared" si="6"/>
        <v>0</v>
      </c>
      <c r="E40" s="181">
        <f t="shared" si="6"/>
        <v>0</v>
      </c>
      <c r="F40" s="181">
        <f t="shared" si="6"/>
        <v>0</v>
      </c>
      <c r="G40" s="181">
        <f t="shared" si="6"/>
        <v>0</v>
      </c>
      <c r="H40" s="181">
        <f t="shared" si="6"/>
        <v>0</v>
      </c>
      <c r="I40" s="181">
        <f t="shared" si="6"/>
        <v>0</v>
      </c>
      <c r="J40" s="181">
        <f t="shared" si="6"/>
        <v>0</v>
      </c>
      <c r="K40" s="181">
        <f t="shared" si="6"/>
        <v>0</v>
      </c>
      <c r="L40" s="181">
        <f t="shared" si="6"/>
        <v>0</v>
      </c>
      <c r="M40" s="181">
        <f t="shared" si="6"/>
        <v>0</v>
      </c>
      <c r="N40" s="181">
        <f t="shared" si="6"/>
        <v>0</v>
      </c>
      <c r="O40" s="143"/>
      <c r="P40" s="182">
        <f t="shared" si="5"/>
        <v>0</v>
      </c>
    </row>
    <row r="41" spans="1:17" ht="19.95" customHeight="1">
      <c r="A41" s="142"/>
      <c r="B41" s="181">
        <f t="shared" si="6"/>
        <v>0</v>
      </c>
      <c r="C41" s="181">
        <f t="shared" si="6"/>
        <v>0</v>
      </c>
      <c r="D41" s="181">
        <f t="shared" si="6"/>
        <v>0</v>
      </c>
      <c r="E41" s="181">
        <f t="shared" si="6"/>
        <v>0</v>
      </c>
      <c r="F41" s="181">
        <f t="shared" si="6"/>
        <v>0</v>
      </c>
      <c r="G41" s="181">
        <f t="shared" si="6"/>
        <v>0</v>
      </c>
      <c r="H41" s="181">
        <f t="shared" si="6"/>
        <v>0</v>
      </c>
      <c r="I41" s="181">
        <f t="shared" si="6"/>
        <v>0</v>
      </c>
      <c r="J41" s="181">
        <f t="shared" si="6"/>
        <v>0</v>
      </c>
      <c r="K41" s="181">
        <f t="shared" si="6"/>
        <v>0</v>
      </c>
      <c r="L41" s="181">
        <f t="shared" si="6"/>
        <v>0</v>
      </c>
      <c r="M41" s="181">
        <f>IF(M30=0,0,M19/M30)</f>
        <v>0</v>
      </c>
      <c r="N41" s="181">
        <f>IF(N30=0,0,N19/N30)</f>
        <v>0</v>
      </c>
      <c r="O41" s="143"/>
      <c r="P41" s="182">
        <f t="shared" si="5"/>
        <v>0</v>
      </c>
    </row>
    <row r="42" spans="1:17" ht="19.95" customHeight="1">
      <c r="A42" s="134" t="s">
        <v>430</v>
      </c>
      <c r="B42" s="135"/>
      <c r="C42" s="10"/>
      <c r="D42" s="10"/>
      <c r="E42" s="10"/>
      <c r="F42" s="10"/>
      <c r="G42" s="10"/>
      <c r="H42" s="10"/>
      <c r="I42" s="10"/>
      <c r="J42" s="10"/>
      <c r="K42" s="10"/>
      <c r="L42" s="10"/>
      <c r="M42" s="10"/>
      <c r="N42" s="10"/>
      <c r="O42" s="10"/>
      <c r="P42" s="10"/>
    </row>
    <row r="43" spans="1:17" ht="19.95" customHeight="1">
      <c r="A43" s="145"/>
      <c r="B43" s="146"/>
      <c r="C43" s="10"/>
      <c r="D43" s="10"/>
      <c r="E43" s="10"/>
      <c r="F43" s="10"/>
      <c r="G43" s="10"/>
      <c r="H43" s="10"/>
      <c r="I43" s="10"/>
      <c r="J43" s="10"/>
      <c r="K43" s="10"/>
      <c r="L43" s="10"/>
      <c r="M43" s="10"/>
      <c r="N43" s="10"/>
      <c r="O43" s="10"/>
      <c r="P43" s="10"/>
    </row>
    <row r="44" spans="1:17" ht="19.95" customHeight="1">
      <c r="A44" s="145"/>
      <c r="B44" s="146"/>
      <c r="C44" s="10"/>
      <c r="D44" s="10"/>
      <c r="E44" s="10"/>
      <c r="F44" s="10"/>
      <c r="G44" s="10"/>
      <c r="H44" s="10"/>
      <c r="I44" s="10"/>
      <c r="J44" s="10"/>
      <c r="K44" s="10"/>
      <c r="L44" s="10"/>
      <c r="M44" s="10"/>
      <c r="N44" s="10"/>
      <c r="O44" s="10"/>
      <c r="P44" s="10"/>
    </row>
    <row r="45" spans="1:17" ht="19.95" customHeight="1">
      <c r="A45" s="134" t="s">
        <v>431</v>
      </c>
      <c r="B45" s="10"/>
      <c r="C45" s="10"/>
      <c r="D45" s="10"/>
      <c r="E45" s="10"/>
      <c r="F45" s="10"/>
      <c r="G45" s="10"/>
      <c r="H45" s="10"/>
      <c r="I45" s="10"/>
      <c r="J45" s="10"/>
      <c r="K45" s="10"/>
      <c r="L45" s="10"/>
      <c r="M45" s="10"/>
      <c r="N45" s="10"/>
      <c r="O45" s="10"/>
      <c r="P45" s="10"/>
    </row>
    <row r="46" spans="1:17" ht="19.95" customHeight="1">
      <c r="A46" s="10"/>
      <c r="B46" s="10"/>
      <c r="C46" s="10"/>
      <c r="D46" s="10"/>
      <c r="E46" s="10"/>
      <c r="F46" s="10"/>
      <c r="G46" s="10"/>
      <c r="H46" s="10"/>
      <c r="I46" s="10"/>
      <c r="J46" s="10"/>
      <c r="K46" s="10"/>
      <c r="L46" s="10"/>
      <c r="M46" s="10"/>
      <c r="N46" s="10"/>
      <c r="O46" s="10"/>
      <c r="P46" s="10"/>
    </row>
    <row r="47" spans="1:17" ht="19.95" customHeight="1">
      <c r="A47" s="10"/>
      <c r="B47" s="10"/>
      <c r="C47" s="10"/>
      <c r="D47" s="10"/>
      <c r="E47" s="10"/>
      <c r="F47" s="10"/>
      <c r="G47" s="10"/>
      <c r="H47" s="10"/>
      <c r="I47" s="10"/>
      <c r="J47" s="10"/>
      <c r="K47" s="10"/>
      <c r="L47" s="10"/>
      <c r="M47" s="10"/>
      <c r="N47" s="10"/>
      <c r="O47" s="10"/>
      <c r="P47" s="10"/>
    </row>
    <row r="48" spans="1:17" ht="20.100000000000001" customHeight="1">
      <c r="A48" s="132" t="s">
        <v>432</v>
      </c>
    </row>
  </sheetData>
  <mergeCells count="2">
    <mergeCell ref="A1:P1"/>
    <mergeCell ref="A2:P2"/>
  </mergeCells>
  <phoneticPr fontId="14" type="noConversion"/>
  <hyperlinks>
    <hyperlink ref="P3" location="底稿目录!A1" display="底稿目录!A1"/>
  </hyperlinks>
  <printOptions horizontalCentered="1"/>
  <pageMargins left="0.47244094488188981" right="0.31496062992125984" top="0.51181102362204722" bottom="0.39370078740157483" header="0.47244094488188981" footer="0.23622047244094491"/>
  <pageSetup paperSize="9" scale="80" fitToHeight="10" orientation="landscape" blackAndWhite="1" cellComments="atEnd" r:id="rId1"/>
  <headerFooter>
    <oddFooter>&amp;C&amp;P/&amp;N</oddFooter>
  </headerFooter>
  <rowBreaks count="1" manualBreakCount="1">
    <brk id="30" max="15"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P36"/>
  <sheetViews>
    <sheetView view="pageBreakPreview" zoomScaleNormal="115" zoomScaleSheetLayoutView="100" workbookViewId="0">
      <selection sqref="A1:P1"/>
    </sheetView>
  </sheetViews>
  <sheetFormatPr defaultColWidth="9" defaultRowHeight="13.8"/>
  <cols>
    <col min="1" max="1" width="15.09765625" style="119" customWidth="1"/>
    <col min="2" max="2" width="9" style="119"/>
    <col min="3" max="3" width="8.5" style="119" customWidth="1"/>
    <col min="4" max="4" width="8.09765625" style="119" customWidth="1"/>
    <col min="5" max="5" width="8.5" style="119" customWidth="1"/>
    <col min="6" max="6" width="8" style="119" customWidth="1"/>
    <col min="7" max="7" width="7.796875" style="119" customWidth="1"/>
    <col min="8" max="8" width="8.09765625" style="119" customWidth="1"/>
    <col min="9" max="10" width="9" style="119"/>
    <col min="11" max="11" width="8.19921875" style="119" customWidth="1"/>
    <col min="12" max="14" width="9" style="119"/>
    <col min="15" max="15" width="10.3984375" style="119" customWidth="1"/>
    <col min="16" max="16384" width="9" style="119"/>
  </cols>
  <sheetData>
    <row r="1" spans="1:16" s="115" customFormat="1" ht="19.95" customHeight="1">
      <c r="A1" s="266" t="s">
        <v>60</v>
      </c>
      <c r="B1" s="266"/>
      <c r="C1" s="266"/>
      <c r="D1" s="266"/>
      <c r="E1" s="266"/>
      <c r="F1" s="266"/>
      <c r="G1" s="266"/>
      <c r="H1" s="266"/>
      <c r="I1" s="266"/>
      <c r="J1" s="266"/>
      <c r="K1" s="266"/>
      <c r="L1" s="266"/>
      <c r="M1" s="266"/>
      <c r="N1" s="266"/>
      <c r="O1" s="266"/>
      <c r="P1" s="266"/>
    </row>
    <row r="2" spans="1:16" s="116" customFormat="1" ht="19.95" customHeight="1">
      <c r="A2" s="267" t="s">
        <v>433</v>
      </c>
      <c r="B2" s="267"/>
      <c r="C2" s="267"/>
      <c r="D2" s="267"/>
      <c r="E2" s="267"/>
      <c r="F2" s="267"/>
      <c r="G2" s="267"/>
      <c r="H2" s="267"/>
      <c r="I2" s="267"/>
      <c r="J2" s="267"/>
      <c r="K2" s="267"/>
      <c r="L2" s="267"/>
      <c r="M2" s="267"/>
      <c r="N2" s="267"/>
      <c r="O2" s="267"/>
      <c r="P2" s="267"/>
    </row>
    <row r="3" spans="1:16" ht="19.95" customHeight="1">
      <c r="A3" s="10" t="str">
        <f>底稿目录!A2</f>
        <v>被审计单位：</v>
      </c>
      <c r="B3" s="117"/>
      <c r="C3" s="118"/>
      <c r="D3" s="118"/>
      <c r="F3" s="10" t="str">
        <f>底稿目录!A4</f>
        <v>编制人：</v>
      </c>
      <c r="G3" s="118"/>
      <c r="H3" s="118"/>
      <c r="I3" s="118"/>
      <c r="J3" s="118"/>
      <c r="K3" s="10" t="str">
        <f>底稿目录!A5</f>
        <v>编制日期：</v>
      </c>
      <c r="N3" s="15"/>
      <c r="O3" s="15" t="s">
        <v>24</v>
      </c>
      <c r="P3" s="220" t="s">
        <v>518</v>
      </c>
    </row>
    <row r="4" spans="1:16" ht="19.95" customHeight="1">
      <c r="A4" s="10" t="str">
        <f>底稿目录!A3</f>
        <v>截止日：202X年12月31日</v>
      </c>
      <c r="B4" s="117"/>
      <c r="C4" s="118"/>
      <c r="D4" s="118"/>
      <c r="F4" s="15" t="str">
        <f>底稿目录!A6</f>
        <v>复核人：</v>
      </c>
      <c r="G4" s="118"/>
      <c r="H4" s="118"/>
      <c r="I4" s="118"/>
      <c r="J4" s="118"/>
      <c r="K4" s="15" t="str">
        <f>底稿目录!A7</f>
        <v>复核日期：</v>
      </c>
      <c r="N4" s="15"/>
      <c r="O4" s="15" t="s">
        <v>434</v>
      </c>
      <c r="P4" s="10"/>
    </row>
    <row r="5" spans="1:16" ht="19.95" customHeight="1">
      <c r="A5" s="148" t="s">
        <v>435</v>
      </c>
      <c r="B5" s="149"/>
      <c r="E5" s="10"/>
      <c r="F5" s="150"/>
      <c r="I5" s="10"/>
      <c r="M5" s="151"/>
      <c r="N5" s="151"/>
      <c r="O5" s="151"/>
      <c r="P5" s="10"/>
    </row>
    <row r="6" spans="1:16" ht="19.95" customHeight="1">
      <c r="A6" s="152" t="s">
        <v>463</v>
      </c>
      <c r="B6" s="152"/>
      <c r="E6" s="10"/>
      <c r="F6" s="150"/>
      <c r="I6" s="10"/>
      <c r="M6" s="151"/>
      <c r="N6" s="151"/>
      <c r="O6" s="151"/>
      <c r="P6" s="10"/>
    </row>
    <row r="7" spans="1:16" ht="19.95" customHeight="1">
      <c r="A7" s="152" t="s">
        <v>464</v>
      </c>
      <c r="B7" s="152"/>
      <c r="E7" s="10"/>
      <c r="F7" s="150"/>
      <c r="I7" s="10"/>
      <c r="M7" s="151"/>
      <c r="N7" s="151"/>
      <c r="O7" s="151"/>
      <c r="P7" s="10"/>
    </row>
    <row r="8" spans="1:16" ht="19.95" customHeight="1">
      <c r="A8" s="152" t="s">
        <v>465</v>
      </c>
      <c r="B8" s="152"/>
      <c r="E8" s="10"/>
      <c r="F8" s="150"/>
      <c r="I8" s="10"/>
      <c r="M8" s="151"/>
      <c r="N8" s="151"/>
      <c r="O8" s="151"/>
      <c r="P8" s="10"/>
    </row>
    <row r="9" spans="1:16" ht="19.95" customHeight="1">
      <c r="A9" s="148" t="s">
        <v>436</v>
      </c>
      <c r="B9" s="149"/>
    </row>
    <row r="10" spans="1:16" ht="19.95" customHeight="1">
      <c r="A10" s="183" t="s">
        <v>470</v>
      </c>
    </row>
    <row r="11" spans="1:16" s="123" customFormat="1" ht="25.2" customHeight="1">
      <c r="A11" s="120" t="s">
        <v>437</v>
      </c>
      <c r="B11" s="121" t="s">
        <v>377</v>
      </c>
      <c r="C11" s="121" t="s">
        <v>378</v>
      </c>
      <c r="D11" s="121" t="s">
        <v>379</v>
      </c>
      <c r="E11" s="121" t="s">
        <v>380</v>
      </c>
      <c r="F11" s="121" t="s">
        <v>381</v>
      </c>
      <c r="G11" s="121" t="s">
        <v>382</v>
      </c>
      <c r="H11" s="121" t="s">
        <v>383</v>
      </c>
      <c r="I11" s="121" t="s">
        <v>384</v>
      </c>
      <c r="J11" s="121" t="s">
        <v>385</v>
      </c>
      <c r="K11" s="121" t="s">
        <v>386</v>
      </c>
      <c r="L11" s="121" t="s">
        <v>387</v>
      </c>
      <c r="M11" s="121" t="s">
        <v>388</v>
      </c>
      <c r="N11" s="121" t="s">
        <v>389</v>
      </c>
      <c r="O11" s="122" t="s">
        <v>390</v>
      </c>
      <c r="P11" s="122" t="s">
        <v>391</v>
      </c>
    </row>
    <row r="12" spans="1:16" ht="19.95" customHeight="1">
      <c r="A12" s="153" t="s">
        <v>438</v>
      </c>
      <c r="B12" s="129"/>
      <c r="C12" s="129"/>
      <c r="D12" s="129"/>
      <c r="E12" s="129"/>
      <c r="F12" s="129"/>
      <c r="G12" s="129"/>
      <c r="H12" s="129"/>
      <c r="I12" s="129"/>
      <c r="J12" s="129"/>
      <c r="K12" s="129"/>
      <c r="L12" s="129"/>
      <c r="M12" s="129"/>
      <c r="N12" s="170">
        <f>SUM(B12:M12)</f>
        <v>0</v>
      </c>
      <c r="O12" s="129"/>
      <c r="P12" s="171" t="e">
        <f>(N12-O12)/O12</f>
        <v>#DIV/0!</v>
      </c>
    </row>
    <row r="13" spans="1:16" ht="19.95" customHeight="1">
      <c r="A13" s="130" t="s">
        <v>439</v>
      </c>
      <c r="B13" s="129"/>
      <c r="C13" s="129"/>
      <c r="D13" s="129"/>
      <c r="E13" s="129"/>
      <c r="F13" s="129"/>
      <c r="G13" s="129"/>
      <c r="H13" s="129"/>
      <c r="I13" s="129"/>
      <c r="J13" s="129"/>
      <c r="K13" s="129"/>
      <c r="L13" s="129"/>
      <c r="M13" s="129"/>
      <c r="N13" s="170">
        <f t="shared" ref="N13:N24" si="0">SUM(B13:M13)</f>
        <v>0</v>
      </c>
      <c r="O13" s="129"/>
      <c r="P13" s="171" t="e">
        <f t="shared" ref="P13:P25" si="1">(N13-O13)/O13</f>
        <v>#DIV/0!</v>
      </c>
    </row>
    <row r="14" spans="1:16" ht="19.95" customHeight="1">
      <c r="A14" s="130" t="s">
        <v>440</v>
      </c>
      <c r="B14" s="129"/>
      <c r="C14" s="129"/>
      <c r="D14" s="129"/>
      <c r="E14" s="129"/>
      <c r="F14" s="129"/>
      <c r="G14" s="129"/>
      <c r="H14" s="129"/>
      <c r="I14" s="129"/>
      <c r="J14" s="129"/>
      <c r="K14" s="129"/>
      <c r="L14" s="129"/>
      <c r="M14" s="129"/>
      <c r="N14" s="170">
        <f t="shared" si="0"/>
        <v>0</v>
      </c>
      <c r="O14" s="129"/>
      <c r="P14" s="171" t="e">
        <f t="shared" si="1"/>
        <v>#DIV/0!</v>
      </c>
    </row>
    <row r="15" spans="1:16" ht="19.95" customHeight="1">
      <c r="A15" s="130" t="s">
        <v>441</v>
      </c>
      <c r="B15" s="129"/>
      <c r="C15" s="129"/>
      <c r="D15" s="129"/>
      <c r="E15" s="129"/>
      <c r="F15" s="129"/>
      <c r="G15" s="129"/>
      <c r="H15" s="129"/>
      <c r="I15" s="129"/>
      <c r="J15" s="129"/>
      <c r="K15" s="129"/>
      <c r="L15" s="129"/>
      <c r="M15" s="129"/>
      <c r="N15" s="170">
        <f t="shared" si="0"/>
        <v>0</v>
      </c>
      <c r="O15" s="129"/>
      <c r="P15" s="171" t="e">
        <f t="shared" si="1"/>
        <v>#DIV/0!</v>
      </c>
    </row>
    <row r="16" spans="1:16" ht="19.95" customHeight="1">
      <c r="A16" s="130" t="s">
        <v>442</v>
      </c>
      <c r="B16" s="129"/>
      <c r="C16" s="129"/>
      <c r="D16" s="129"/>
      <c r="E16" s="129"/>
      <c r="F16" s="129"/>
      <c r="G16" s="129"/>
      <c r="H16" s="129"/>
      <c r="I16" s="129"/>
      <c r="J16" s="129"/>
      <c r="K16" s="129"/>
      <c r="L16" s="129"/>
      <c r="M16" s="129"/>
      <c r="N16" s="170">
        <f t="shared" si="0"/>
        <v>0</v>
      </c>
      <c r="O16" s="129"/>
      <c r="P16" s="171" t="e">
        <f t="shared" si="1"/>
        <v>#DIV/0!</v>
      </c>
    </row>
    <row r="17" spans="1:16" ht="19.95" customHeight="1">
      <c r="A17" s="130" t="s">
        <v>443</v>
      </c>
      <c r="B17" s="129"/>
      <c r="C17" s="129"/>
      <c r="D17" s="129"/>
      <c r="E17" s="129"/>
      <c r="F17" s="129"/>
      <c r="G17" s="129"/>
      <c r="H17" s="129"/>
      <c r="I17" s="129"/>
      <c r="J17" s="129"/>
      <c r="K17" s="129"/>
      <c r="L17" s="129"/>
      <c r="M17" s="129"/>
      <c r="N17" s="170">
        <f t="shared" si="0"/>
        <v>0</v>
      </c>
      <c r="O17" s="129"/>
      <c r="P17" s="171" t="e">
        <f t="shared" si="1"/>
        <v>#DIV/0!</v>
      </c>
    </row>
    <row r="18" spans="1:16" ht="19.95" customHeight="1">
      <c r="A18" s="130" t="s">
        <v>444</v>
      </c>
      <c r="B18" s="129"/>
      <c r="C18" s="129"/>
      <c r="D18" s="129"/>
      <c r="E18" s="129"/>
      <c r="F18" s="129"/>
      <c r="G18" s="129"/>
      <c r="H18" s="129"/>
      <c r="I18" s="129"/>
      <c r="J18" s="129"/>
      <c r="K18" s="129"/>
      <c r="L18" s="129"/>
      <c r="M18" s="129"/>
      <c r="N18" s="170">
        <f t="shared" si="0"/>
        <v>0</v>
      </c>
      <c r="O18" s="129"/>
      <c r="P18" s="171" t="e">
        <f t="shared" si="1"/>
        <v>#DIV/0!</v>
      </c>
    </row>
    <row r="19" spans="1:16" ht="19.95" customHeight="1">
      <c r="A19" s="130" t="s">
        <v>445</v>
      </c>
      <c r="B19" s="129"/>
      <c r="C19" s="129"/>
      <c r="D19" s="129"/>
      <c r="E19" s="129"/>
      <c r="F19" s="129"/>
      <c r="G19" s="129"/>
      <c r="H19" s="129"/>
      <c r="I19" s="129"/>
      <c r="J19" s="129"/>
      <c r="K19" s="129"/>
      <c r="L19" s="129"/>
      <c r="M19" s="129"/>
      <c r="N19" s="170">
        <f t="shared" si="0"/>
        <v>0</v>
      </c>
      <c r="O19" s="129"/>
      <c r="P19" s="171" t="e">
        <f t="shared" si="1"/>
        <v>#DIV/0!</v>
      </c>
    </row>
    <row r="20" spans="1:16" ht="19.95" customHeight="1">
      <c r="A20" s="130" t="s">
        <v>446</v>
      </c>
      <c r="B20" s="129"/>
      <c r="C20" s="129"/>
      <c r="D20" s="129"/>
      <c r="E20" s="129"/>
      <c r="F20" s="129"/>
      <c r="G20" s="129"/>
      <c r="H20" s="129"/>
      <c r="I20" s="129"/>
      <c r="J20" s="129"/>
      <c r="K20" s="129"/>
      <c r="L20" s="129"/>
      <c r="M20" s="129"/>
      <c r="N20" s="170">
        <f t="shared" si="0"/>
        <v>0</v>
      </c>
      <c r="O20" s="129"/>
      <c r="P20" s="171" t="e">
        <f t="shared" si="1"/>
        <v>#DIV/0!</v>
      </c>
    </row>
    <row r="21" spans="1:16" ht="19.95" customHeight="1">
      <c r="A21" s="130" t="s">
        <v>447</v>
      </c>
      <c r="B21" s="129"/>
      <c r="C21" s="129"/>
      <c r="D21" s="129"/>
      <c r="E21" s="129"/>
      <c r="F21" s="129"/>
      <c r="G21" s="129"/>
      <c r="H21" s="129"/>
      <c r="I21" s="129"/>
      <c r="J21" s="129"/>
      <c r="K21" s="129"/>
      <c r="L21" s="129"/>
      <c r="M21" s="129"/>
      <c r="N21" s="170">
        <f t="shared" si="0"/>
        <v>0</v>
      </c>
      <c r="O21" s="129"/>
      <c r="P21" s="171" t="e">
        <f t="shared" si="1"/>
        <v>#DIV/0!</v>
      </c>
    </row>
    <row r="22" spans="1:16" ht="19.95" customHeight="1">
      <c r="A22" s="130" t="s">
        <v>448</v>
      </c>
      <c r="B22" s="129"/>
      <c r="C22" s="129"/>
      <c r="D22" s="129"/>
      <c r="E22" s="129"/>
      <c r="F22" s="129"/>
      <c r="G22" s="129"/>
      <c r="H22" s="129"/>
      <c r="I22" s="129"/>
      <c r="J22" s="129"/>
      <c r="K22" s="129"/>
      <c r="L22" s="129"/>
      <c r="M22" s="129"/>
      <c r="N22" s="170">
        <f t="shared" si="0"/>
        <v>0</v>
      </c>
      <c r="O22" s="129"/>
      <c r="P22" s="171" t="e">
        <f t="shared" si="1"/>
        <v>#DIV/0!</v>
      </c>
    </row>
    <row r="23" spans="1:16" ht="19.95" customHeight="1">
      <c r="A23" s="130" t="s">
        <v>449</v>
      </c>
      <c r="B23" s="129"/>
      <c r="C23" s="129"/>
      <c r="D23" s="129"/>
      <c r="E23" s="129"/>
      <c r="F23" s="129"/>
      <c r="G23" s="129"/>
      <c r="H23" s="129"/>
      <c r="I23" s="129"/>
      <c r="J23" s="129"/>
      <c r="K23" s="154"/>
      <c r="L23" s="154"/>
      <c r="M23" s="154"/>
      <c r="N23" s="170">
        <f t="shared" si="0"/>
        <v>0</v>
      </c>
      <c r="O23" s="154"/>
      <c r="P23" s="171" t="e">
        <f t="shared" si="1"/>
        <v>#DIV/0!</v>
      </c>
    </row>
    <row r="24" spans="1:16" ht="19.95" customHeight="1">
      <c r="A24" s="130" t="s">
        <v>398</v>
      </c>
      <c r="B24" s="129"/>
      <c r="C24" s="129"/>
      <c r="D24" s="129"/>
      <c r="E24" s="129"/>
      <c r="F24" s="129"/>
      <c r="G24" s="129"/>
      <c r="H24" s="129"/>
      <c r="I24" s="129"/>
      <c r="J24" s="129"/>
      <c r="K24" s="129"/>
      <c r="L24" s="129"/>
      <c r="M24" s="129"/>
      <c r="N24" s="170">
        <f t="shared" si="0"/>
        <v>0</v>
      </c>
      <c r="O24" s="129"/>
      <c r="P24" s="171" t="e">
        <f t="shared" si="1"/>
        <v>#DIV/0!</v>
      </c>
    </row>
    <row r="25" spans="1:16" ht="19.95" customHeight="1">
      <c r="A25" s="186" t="s">
        <v>389</v>
      </c>
      <c r="B25" s="170">
        <f t="shared" ref="B25:M25" si="2">SUM(B12:B24)</f>
        <v>0</v>
      </c>
      <c r="C25" s="170">
        <f t="shared" si="2"/>
        <v>0</v>
      </c>
      <c r="D25" s="170">
        <f t="shared" si="2"/>
        <v>0</v>
      </c>
      <c r="E25" s="170">
        <f t="shared" si="2"/>
        <v>0</v>
      </c>
      <c r="F25" s="170">
        <f t="shared" si="2"/>
        <v>0</v>
      </c>
      <c r="G25" s="170">
        <f t="shared" si="2"/>
        <v>0</v>
      </c>
      <c r="H25" s="170">
        <f t="shared" si="2"/>
        <v>0</v>
      </c>
      <c r="I25" s="170">
        <f t="shared" si="2"/>
        <v>0</v>
      </c>
      <c r="J25" s="170">
        <f t="shared" si="2"/>
        <v>0</v>
      </c>
      <c r="K25" s="170">
        <f t="shared" si="2"/>
        <v>0</v>
      </c>
      <c r="L25" s="170">
        <f t="shared" si="2"/>
        <v>0</v>
      </c>
      <c r="M25" s="170">
        <f t="shared" si="2"/>
        <v>0</v>
      </c>
      <c r="N25" s="170">
        <f>SUM(B25:M25)</f>
        <v>0</v>
      </c>
      <c r="O25" s="170">
        <f>SUM(O12:O24)</f>
        <v>0</v>
      </c>
      <c r="P25" s="171" t="e">
        <f t="shared" si="1"/>
        <v>#DIV/0!</v>
      </c>
    </row>
    <row r="26" spans="1:16" ht="19.95" customHeight="1">
      <c r="A26" s="55" t="s">
        <v>450</v>
      </c>
      <c r="B26" s="10"/>
      <c r="C26" s="10"/>
      <c r="D26" s="10"/>
      <c r="E26" s="10"/>
      <c r="F26" s="10"/>
      <c r="G26" s="10"/>
      <c r="H26" s="10"/>
      <c r="I26" s="10"/>
      <c r="J26" s="10"/>
      <c r="K26" s="10"/>
      <c r="L26" s="10"/>
      <c r="M26" s="10"/>
      <c r="N26" s="10"/>
      <c r="O26" s="10"/>
      <c r="P26" s="10"/>
    </row>
    <row r="27" spans="1:16" ht="19.95" customHeight="1">
      <c r="A27" s="55"/>
      <c r="B27" s="10"/>
      <c r="C27" s="10"/>
      <c r="D27" s="10"/>
      <c r="E27" s="10"/>
      <c r="F27" s="10"/>
      <c r="G27" s="10"/>
      <c r="H27" s="10"/>
      <c r="I27" s="10"/>
      <c r="J27" s="10"/>
      <c r="K27" s="10"/>
      <c r="L27" s="10"/>
      <c r="M27" s="10"/>
      <c r="N27" s="10"/>
      <c r="O27" s="10"/>
      <c r="P27" s="10"/>
    </row>
    <row r="28" spans="1:16" ht="19.95" customHeight="1">
      <c r="A28" s="10"/>
      <c r="B28" s="10"/>
      <c r="C28" s="10"/>
      <c r="D28" s="10"/>
      <c r="E28" s="10"/>
      <c r="F28" s="10"/>
      <c r="G28" s="10"/>
      <c r="H28" s="10"/>
      <c r="I28" s="10"/>
      <c r="J28" s="10"/>
      <c r="K28" s="10"/>
      <c r="L28" s="10"/>
      <c r="M28" s="10"/>
      <c r="N28" s="10"/>
      <c r="O28" s="10"/>
      <c r="P28" s="10"/>
    </row>
    <row r="29" spans="1:16" ht="19.95" customHeight="1">
      <c r="A29" s="55" t="s">
        <v>403</v>
      </c>
      <c r="B29" s="10"/>
      <c r="C29" s="10"/>
      <c r="D29" s="10"/>
      <c r="E29" s="10"/>
      <c r="F29" s="10"/>
      <c r="G29" s="10"/>
      <c r="H29" s="10"/>
      <c r="I29" s="10"/>
      <c r="J29" s="10"/>
      <c r="K29" s="10"/>
      <c r="L29" s="10"/>
      <c r="M29" s="10"/>
      <c r="N29" s="10"/>
      <c r="O29" s="10"/>
      <c r="P29" s="10"/>
    </row>
    <row r="30" spans="1:16" ht="19.95" customHeight="1">
      <c r="A30" s="55"/>
      <c r="B30" s="10"/>
      <c r="C30" s="10"/>
      <c r="D30" s="10"/>
      <c r="E30" s="10"/>
      <c r="F30" s="10"/>
      <c r="G30" s="10"/>
      <c r="H30" s="10"/>
      <c r="I30" s="10"/>
      <c r="J30" s="10"/>
      <c r="K30" s="10"/>
      <c r="L30" s="10"/>
      <c r="M30" s="10"/>
      <c r="N30" s="10"/>
      <c r="O30" s="10"/>
      <c r="P30" s="10"/>
    </row>
    <row r="31" spans="1:16" ht="19.95" customHeight="1">
      <c r="A31" s="55"/>
      <c r="B31" s="10"/>
      <c r="C31" s="10"/>
      <c r="D31" s="10"/>
      <c r="E31" s="10"/>
      <c r="F31" s="10"/>
      <c r="G31" s="10"/>
      <c r="H31" s="10"/>
      <c r="I31" s="10"/>
      <c r="J31" s="10"/>
      <c r="K31" s="10"/>
      <c r="L31" s="10"/>
      <c r="M31" s="10"/>
      <c r="N31" s="10"/>
      <c r="O31" s="10"/>
      <c r="P31" s="10"/>
    </row>
    <row r="32" spans="1:16" ht="18" customHeight="1">
      <c r="A32" s="132" t="s">
        <v>451</v>
      </c>
    </row>
    <row r="33" spans="1:1">
      <c r="A33" s="184" t="s">
        <v>466</v>
      </c>
    </row>
    <row r="34" spans="1:1" ht="18" customHeight="1">
      <c r="A34" s="184" t="s">
        <v>467</v>
      </c>
    </row>
    <row r="35" spans="1:1">
      <c r="A35" s="184" t="s">
        <v>468</v>
      </c>
    </row>
    <row r="36" spans="1:1">
      <c r="A36" s="185" t="s">
        <v>469</v>
      </c>
    </row>
  </sheetData>
  <mergeCells count="2">
    <mergeCell ref="A1:P1"/>
    <mergeCell ref="A2:P2"/>
  </mergeCells>
  <phoneticPr fontId="14" type="noConversion"/>
  <hyperlinks>
    <hyperlink ref="P3" location="底稿目录!A1" display="F2-43"/>
  </hyperlinks>
  <printOptions horizontalCentered="1"/>
  <pageMargins left="0.47244094488188976" right="0.31496062992125984" top="0.51181102362204722" bottom="0.39370078740157483" header="0.47244094488188976" footer="0.23622047244094488"/>
  <pageSetup paperSize="9" scale="85" fitToHeight="0" orientation="landscape" blackAndWhite="1" cellComments="atEnd" r:id="rId1"/>
  <headerFoot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5">
    <pageSetUpPr fitToPage="1"/>
  </sheetPr>
  <dimension ref="A1:O29"/>
  <sheetViews>
    <sheetView view="pageBreakPreview" zoomScaleSheetLayoutView="100" workbookViewId="0">
      <selection sqref="A1:N1"/>
    </sheetView>
  </sheetViews>
  <sheetFormatPr defaultRowHeight="15.6"/>
  <cols>
    <col min="1" max="1" width="16.296875" style="73" customWidth="1"/>
    <col min="2" max="3" width="9" style="73"/>
    <col min="4" max="4" width="13" style="73" customWidth="1"/>
    <col min="5" max="6" width="9.19921875" style="73" bestFit="1" customWidth="1"/>
    <col min="7" max="10" width="9" style="73"/>
    <col min="11" max="11" width="10.296875" style="73" customWidth="1"/>
    <col min="12" max="12" width="10.09765625" style="73" customWidth="1"/>
    <col min="13" max="256" width="9" style="73"/>
    <col min="257" max="257" width="16.296875" style="73" customWidth="1"/>
    <col min="258" max="259" width="9" style="73"/>
    <col min="260" max="260" width="13" style="73" customWidth="1"/>
    <col min="261" max="512" width="9" style="73"/>
    <col min="513" max="513" width="16.296875" style="73" customWidth="1"/>
    <col min="514" max="515" width="9" style="73"/>
    <col min="516" max="516" width="13" style="73" customWidth="1"/>
    <col min="517" max="768" width="9" style="73"/>
    <col min="769" max="769" width="16.296875" style="73" customWidth="1"/>
    <col min="770" max="771" width="9" style="73"/>
    <col min="772" max="772" width="13" style="73" customWidth="1"/>
    <col min="773" max="1024" width="9" style="73"/>
    <col min="1025" max="1025" width="16.296875" style="73" customWidth="1"/>
    <col min="1026" max="1027" width="9" style="73"/>
    <col min="1028" max="1028" width="13" style="73" customWidth="1"/>
    <col min="1029" max="1280" width="9" style="73"/>
    <col min="1281" max="1281" width="16.296875" style="73" customWidth="1"/>
    <col min="1282" max="1283" width="9" style="73"/>
    <col min="1284" max="1284" width="13" style="73" customWidth="1"/>
    <col min="1285" max="1536" width="9" style="73"/>
    <col min="1537" max="1537" width="16.296875" style="73" customWidth="1"/>
    <col min="1538" max="1539" width="9" style="73"/>
    <col min="1540" max="1540" width="13" style="73" customWidth="1"/>
    <col min="1541" max="1792" width="9" style="73"/>
    <col min="1793" max="1793" width="16.296875" style="73" customWidth="1"/>
    <col min="1794" max="1795" width="9" style="73"/>
    <col min="1796" max="1796" width="13" style="73" customWidth="1"/>
    <col min="1797" max="2048" width="9" style="73"/>
    <col min="2049" max="2049" width="16.296875" style="73" customWidth="1"/>
    <col min="2050" max="2051" width="9" style="73"/>
    <col min="2052" max="2052" width="13" style="73" customWidth="1"/>
    <col min="2053" max="2304" width="9" style="73"/>
    <col min="2305" max="2305" width="16.296875" style="73" customWidth="1"/>
    <col min="2306" max="2307" width="9" style="73"/>
    <col min="2308" max="2308" width="13" style="73" customWidth="1"/>
    <col min="2309" max="2560" width="9" style="73"/>
    <col min="2561" max="2561" width="16.296875" style="73" customWidth="1"/>
    <col min="2562" max="2563" width="9" style="73"/>
    <col min="2564" max="2564" width="13" style="73" customWidth="1"/>
    <col min="2565" max="2816" width="9" style="73"/>
    <col min="2817" max="2817" width="16.296875" style="73" customWidth="1"/>
    <col min="2818" max="2819" width="9" style="73"/>
    <col min="2820" max="2820" width="13" style="73" customWidth="1"/>
    <col min="2821" max="3072" width="9" style="73"/>
    <col min="3073" max="3073" width="16.296875" style="73" customWidth="1"/>
    <col min="3074" max="3075" width="9" style="73"/>
    <col min="3076" max="3076" width="13" style="73" customWidth="1"/>
    <col min="3077" max="3328" width="9" style="73"/>
    <col min="3329" max="3329" width="16.296875" style="73" customWidth="1"/>
    <col min="3330" max="3331" width="9" style="73"/>
    <col min="3332" max="3332" width="13" style="73" customWidth="1"/>
    <col min="3333" max="3584" width="9" style="73"/>
    <col min="3585" max="3585" width="16.296875" style="73" customWidth="1"/>
    <col min="3586" max="3587" width="9" style="73"/>
    <col min="3588" max="3588" width="13" style="73" customWidth="1"/>
    <col min="3589" max="3840" width="9" style="73"/>
    <col min="3841" max="3841" width="16.296875" style="73" customWidth="1"/>
    <col min="3842" max="3843" width="9" style="73"/>
    <col min="3844" max="3844" width="13" style="73" customWidth="1"/>
    <col min="3845" max="4096" width="9" style="73"/>
    <col min="4097" max="4097" width="16.296875" style="73" customWidth="1"/>
    <col min="4098" max="4099" width="9" style="73"/>
    <col min="4100" max="4100" width="13" style="73" customWidth="1"/>
    <col min="4101" max="4352" width="9" style="73"/>
    <col min="4353" max="4353" width="16.296875" style="73" customWidth="1"/>
    <col min="4354" max="4355" width="9" style="73"/>
    <col min="4356" max="4356" width="13" style="73" customWidth="1"/>
    <col min="4357" max="4608" width="9" style="73"/>
    <col min="4609" max="4609" width="16.296875" style="73" customWidth="1"/>
    <col min="4610" max="4611" width="9" style="73"/>
    <col min="4612" max="4612" width="13" style="73" customWidth="1"/>
    <col min="4613" max="4864" width="9" style="73"/>
    <col min="4865" max="4865" width="16.296875" style="73" customWidth="1"/>
    <col min="4866" max="4867" width="9" style="73"/>
    <col min="4868" max="4868" width="13" style="73" customWidth="1"/>
    <col min="4869" max="5120" width="9" style="73"/>
    <col min="5121" max="5121" width="16.296875" style="73" customWidth="1"/>
    <col min="5122" max="5123" width="9" style="73"/>
    <col min="5124" max="5124" width="13" style="73" customWidth="1"/>
    <col min="5125" max="5376" width="9" style="73"/>
    <col min="5377" max="5377" width="16.296875" style="73" customWidth="1"/>
    <col min="5378" max="5379" width="9" style="73"/>
    <col min="5380" max="5380" width="13" style="73" customWidth="1"/>
    <col min="5381" max="5632" width="9" style="73"/>
    <col min="5633" max="5633" width="16.296875" style="73" customWidth="1"/>
    <col min="5634" max="5635" width="9" style="73"/>
    <col min="5636" max="5636" width="13" style="73" customWidth="1"/>
    <col min="5637" max="5888" width="9" style="73"/>
    <col min="5889" max="5889" width="16.296875" style="73" customWidth="1"/>
    <col min="5890" max="5891" width="9" style="73"/>
    <col min="5892" max="5892" width="13" style="73" customWidth="1"/>
    <col min="5893" max="6144" width="9" style="73"/>
    <col min="6145" max="6145" width="16.296875" style="73" customWidth="1"/>
    <col min="6146" max="6147" width="9" style="73"/>
    <col min="6148" max="6148" width="13" style="73" customWidth="1"/>
    <col min="6149" max="6400" width="9" style="73"/>
    <col min="6401" max="6401" width="16.296875" style="73" customWidth="1"/>
    <col min="6402" max="6403" width="9" style="73"/>
    <col min="6404" max="6404" width="13" style="73" customWidth="1"/>
    <col min="6405" max="6656" width="9" style="73"/>
    <col min="6657" max="6657" width="16.296875" style="73" customWidth="1"/>
    <col min="6658" max="6659" width="9" style="73"/>
    <col min="6660" max="6660" width="13" style="73" customWidth="1"/>
    <col min="6661" max="6912" width="9" style="73"/>
    <col min="6913" max="6913" width="16.296875" style="73" customWidth="1"/>
    <col min="6914" max="6915" width="9" style="73"/>
    <col min="6916" max="6916" width="13" style="73" customWidth="1"/>
    <col min="6917" max="7168" width="9" style="73"/>
    <col min="7169" max="7169" width="16.296875" style="73" customWidth="1"/>
    <col min="7170" max="7171" width="9" style="73"/>
    <col min="7172" max="7172" width="13" style="73" customWidth="1"/>
    <col min="7173" max="7424" width="9" style="73"/>
    <col min="7425" max="7425" width="16.296875" style="73" customWidth="1"/>
    <col min="7426" max="7427" width="9" style="73"/>
    <col min="7428" max="7428" width="13" style="73" customWidth="1"/>
    <col min="7429" max="7680" width="9" style="73"/>
    <col min="7681" max="7681" width="16.296875" style="73" customWidth="1"/>
    <col min="7682" max="7683" width="9" style="73"/>
    <col min="7684" max="7684" width="13" style="73" customWidth="1"/>
    <col min="7685" max="7936" width="9" style="73"/>
    <col min="7937" max="7937" width="16.296875" style="73" customWidth="1"/>
    <col min="7938" max="7939" width="9" style="73"/>
    <col min="7940" max="7940" width="13" style="73" customWidth="1"/>
    <col min="7941" max="8192" width="9" style="73"/>
    <col min="8193" max="8193" width="16.296875" style="73" customWidth="1"/>
    <col min="8194" max="8195" width="9" style="73"/>
    <col min="8196" max="8196" width="13" style="73" customWidth="1"/>
    <col min="8197" max="8448" width="9" style="73"/>
    <col min="8449" max="8449" width="16.296875" style="73" customWidth="1"/>
    <col min="8450" max="8451" width="9" style="73"/>
    <col min="8452" max="8452" width="13" style="73" customWidth="1"/>
    <col min="8453" max="8704" width="9" style="73"/>
    <col min="8705" max="8705" width="16.296875" style="73" customWidth="1"/>
    <col min="8706" max="8707" width="9" style="73"/>
    <col min="8708" max="8708" width="13" style="73" customWidth="1"/>
    <col min="8709" max="8960" width="9" style="73"/>
    <col min="8961" max="8961" width="16.296875" style="73" customWidth="1"/>
    <col min="8962" max="8963" width="9" style="73"/>
    <col min="8964" max="8964" width="13" style="73" customWidth="1"/>
    <col min="8965" max="9216" width="9" style="73"/>
    <col min="9217" max="9217" width="16.296875" style="73" customWidth="1"/>
    <col min="9218" max="9219" width="9" style="73"/>
    <col min="9220" max="9220" width="13" style="73" customWidth="1"/>
    <col min="9221" max="9472" width="9" style="73"/>
    <col min="9473" max="9473" width="16.296875" style="73" customWidth="1"/>
    <col min="9474" max="9475" width="9" style="73"/>
    <col min="9476" max="9476" width="13" style="73" customWidth="1"/>
    <col min="9477" max="9728" width="9" style="73"/>
    <col min="9729" max="9729" width="16.296875" style="73" customWidth="1"/>
    <col min="9730" max="9731" width="9" style="73"/>
    <col min="9732" max="9732" width="13" style="73" customWidth="1"/>
    <col min="9733" max="9984" width="9" style="73"/>
    <col min="9985" max="9985" width="16.296875" style="73" customWidth="1"/>
    <col min="9986" max="9987" width="9" style="73"/>
    <col min="9988" max="9988" width="13" style="73" customWidth="1"/>
    <col min="9989" max="10240" width="9" style="73"/>
    <col min="10241" max="10241" width="16.296875" style="73" customWidth="1"/>
    <col min="10242" max="10243" width="9" style="73"/>
    <col min="10244" max="10244" width="13" style="73" customWidth="1"/>
    <col min="10245" max="10496" width="9" style="73"/>
    <col min="10497" max="10497" width="16.296875" style="73" customWidth="1"/>
    <col min="10498" max="10499" width="9" style="73"/>
    <col min="10500" max="10500" width="13" style="73" customWidth="1"/>
    <col min="10501" max="10752" width="9" style="73"/>
    <col min="10753" max="10753" width="16.296875" style="73" customWidth="1"/>
    <col min="10754" max="10755" width="9" style="73"/>
    <col min="10756" max="10756" width="13" style="73" customWidth="1"/>
    <col min="10757" max="11008" width="9" style="73"/>
    <col min="11009" max="11009" width="16.296875" style="73" customWidth="1"/>
    <col min="11010" max="11011" width="9" style="73"/>
    <col min="11012" max="11012" width="13" style="73" customWidth="1"/>
    <col min="11013" max="11264" width="9" style="73"/>
    <col min="11265" max="11265" width="16.296875" style="73" customWidth="1"/>
    <col min="11266" max="11267" width="9" style="73"/>
    <col min="11268" max="11268" width="13" style="73" customWidth="1"/>
    <col min="11269" max="11520" width="9" style="73"/>
    <col min="11521" max="11521" width="16.296875" style="73" customWidth="1"/>
    <col min="11522" max="11523" width="9" style="73"/>
    <col min="11524" max="11524" width="13" style="73" customWidth="1"/>
    <col min="11525" max="11776" width="9" style="73"/>
    <col min="11777" max="11777" width="16.296875" style="73" customWidth="1"/>
    <col min="11778" max="11779" width="9" style="73"/>
    <col min="11780" max="11780" width="13" style="73" customWidth="1"/>
    <col min="11781" max="12032" width="9" style="73"/>
    <col min="12033" max="12033" width="16.296875" style="73" customWidth="1"/>
    <col min="12034" max="12035" width="9" style="73"/>
    <col min="12036" max="12036" width="13" style="73" customWidth="1"/>
    <col min="12037" max="12288" width="9" style="73"/>
    <col min="12289" max="12289" width="16.296875" style="73" customWidth="1"/>
    <col min="12290" max="12291" width="9" style="73"/>
    <col min="12292" max="12292" width="13" style="73" customWidth="1"/>
    <col min="12293" max="12544" width="9" style="73"/>
    <col min="12545" max="12545" width="16.296875" style="73" customWidth="1"/>
    <col min="12546" max="12547" width="9" style="73"/>
    <col min="12548" max="12548" width="13" style="73" customWidth="1"/>
    <col min="12549" max="12800" width="9" style="73"/>
    <col min="12801" max="12801" width="16.296875" style="73" customWidth="1"/>
    <col min="12802" max="12803" width="9" style="73"/>
    <col min="12804" max="12804" width="13" style="73" customWidth="1"/>
    <col min="12805" max="13056" width="9" style="73"/>
    <col min="13057" max="13057" width="16.296875" style="73" customWidth="1"/>
    <col min="13058" max="13059" width="9" style="73"/>
    <col min="13060" max="13060" width="13" style="73" customWidth="1"/>
    <col min="13061" max="13312" width="9" style="73"/>
    <col min="13313" max="13313" width="16.296875" style="73" customWidth="1"/>
    <col min="13314" max="13315" width="9" style="73"/>
    <col min="13316" max="13316" width="13" style="73" customWidth="1"/>
    <col min="13317" max="13568" width="9" style="73"/>
    <col min="13569" max="13569" width="16.296875" style="73" customWidth="1"/>
    <col min="13570" max="13571" width="9" style="73"/>
    <col min="13572" max="13572" width="13" style="73" customWidth="1"/>
    <col min="13573" max="13824" width="9" style="73"/>
    <col min="13825" max="13825" width="16.296875" style="73" customWidth="1"/>
    <col min="13826" max="13827" width="9" style="73"/>
    <col min="13828" max="13828" width="13" style="73" customWidth="1"/>
    <col min="13829" max="14080" width="9" style="73"/>
    <col min="14081" max="14081" width="16.296875" style="73" customWidth="1"/>
    <col min="14082" max="14083" width="9" style="73"/>
    <col min="14084" max="14084" width="13" style="73" customWidth="1"/>
    <col min="14085" max="14336" width="9" style="73"/>
    <col min="14337" max="14337" width="16.296875" style="73" customWidth="1"/>
    <col min="14338" max="14339" width="9" style="73"/>
    <col min="14340" max="14340" width="13" style="73" customWidth="1"/>
    <col min="14341" max="14592" width="9" style="73"/>
    <col min="14593" max="14593" width="16.296875" style="73" customWidth="1"/>
    <col min="14594" max="14595" width="9" style="73"/>
    <col min="14596" max="14596" width="13" style="73" customWidth="1"/>
    <col min="14597" max="14848" width="9" style="73"/>
    <col min="14849" max="14849" width="16.296875" style="73" customWidth="1"/>
    <col min="14850" max="14851" width="9" style="73"/>
    <col min="14852" max="14852" width="13" style="73" customWidth="1"/>
    <col min="14853" max="15104" width="9" style="73"/>
    <col min="15105" max="15105" width="16.296875" style="73" customWidth="1"/>
    <col min="15106" max="15107" width="9" style="73"/>
    <col min="15108" max="15108" width="13" style="73" customWidth="1"/>
    <col min="15109" max="15360" width="9" style="73"/>
    <col min="15361" max="15361" width="16.296875" style="73" customWidth="1"/>
    <col min="15362" max="15363" width="9" style="73"/>
    <col min="15364" max="15364" width="13" style="73" customWidth="1"/>
    <col min="15365" max="15616" width="9" style="73"/>
    <col min="15617" max="15617" width="16.296875" style="73" customWidth="1"/>
    <col min="15618" max="15619" width="9" style="73"/>
    <col min="15620" max="15620" width="13" style="73" customWidth="1"/>
    <col min="15621" max="15872" width="9" style="73"/>
    <col min="15873" max="15873" width="16.296875" style="73" customWidth="1"/>
    <col min="15874" max="15875" width="9" style="73"/>
    <col min="15876" max="15876" width="13" style="73" customWidth="1"/>
    <col min="15877" max="16128" width="9" style="73"/>
    <col min="16129" max="16129" width="16.296875" style="73" customWidth="1"/>
    <col min="16130" max="16131" width="9" style="73"/>
    <col min="16132" max="16132" width="13" style="73" customWidth="1"/>
    <col min="16133" max="16384" width="9" style="73"/>
  </cols>
  <sheetData>
    <row r="1" spans="1:15" ht="20.100000000000001" customHeight="1">
      <c r="A1" s="269" t="s">
        <v>508</v>
      </c>
      <c r="B1" s="269"/>
      <c r="C1" s="269"/>
      <c r="D1" s="269"/>
      <c r="E1" s="269"/>
      <c r="F1" s="269"/>
      <c r="G1" s="269"/>
      <c r="H1" s="269"/>
      <c r="I1" s="269"/>
      <c r="J1" s="269"/>
      <c r="K1" s="269"/>
      <c r="L1" s="269"/>
      <c r="M1" s="269"/>
      <c r="N1" s="269"/>
    </row>
    <row r="2" spans="1:15" ht="25.05" customHeight="1">
      <c r="A2" s="268" t="s">
        <v>507</v>
      </c>
      <c r="B2" s="268"/>
      <c r="C2" s="268"/>
      <c r="D2" s="268"/>
      <c r="E2" s="268"/>
      <c r="F2" s="268"/>
      <c r="G2" s="268"/>
      <c r="H2" s="268"/>
      <c r="I2" s="268"/>
      <c r="J2" s="268"/>
      <c r="K2" s="268"/>
      <c r="L2" s="268"/>
      <c r="M2" s="268"/>
      <c r="N2" s="268"/>
    </row>
    <row r="3" spans="1:15" ht="20.100000000000001" customHeight="1">
      <c r="A3" s="74" t="str">
        <f>底稿目录!A2</f>
        <v>被审计单位：</v>
      </c>
      <c r="B3" s="74"/>
      <c r="C3" s="74"/>
      <c r="E3" s="74" t="str">
        <f>底稿目录!A4</f>
        <v>编制人：</v>
      </c>
      <c r="F3" s="74"/>
      <c r="G3" s="74"/>
      <c r="I3" s="74" t="str">
        <f>底稿目录!A5</f>
        <v>编制日期：</v>
      </c>
      <c r="J3" s="102"/>
      <c r="K3" s="74"/>
      <c r="L3" s="74"/>
      <c r="M3" s="74" t="s">
        <v>297</v>
      </c>
      <c r="N3" s="220" t="str">
        <f>底稿目录!F9</f>
        <v>F2-44</v>
      </c>
    </row>
    <row r="4" spans="1:15" ht="20.100000000000001" customHeight="1">
      <c r="A4" s="74" t="str">
        <f>底稿目录!A3</f>
        <v>截止日：202X年12月31日</v>
      </c>
      <c r="B4" s="74"/>
      <c r="C4" s="74"/>
      <c r="E4" s="74" t="str">
        <f>底稿目录!A6</f>
        <v>复核人：</v>
      </c>
      <c r="F4" s="74"/>
      <c r="G4" s="74"/>
      <c r="I4" s="74" t="str">
        <f>底稿目录!A7</f>
        <v>复核日期：</v>
      </c>
      <c r="J4" s="102"/>
      <c r="K4" s="74"/>
      <c r="L4" s="74"/>
      <c r="M4" s="219" t="s">
        <v>519</v>
      </c>
      <c r="N4" s="83"/>
    </row>
    <row r="5" spans="1:15" ht="20.100000000000001" customHeight="1">
      <c r="A5" s="82" t="s">
        <v>331</v>
      </c>
      <c r="B5" s="82"/>
      <c r="C5" s="82" t="s">
        <v>332</v>
      </c>
      <c r="D5" s="89"/>
      <c r="E5" s="82"/>
      <c r="F5" s="82"/>
      <c r="G5" s="82"/>
      <c r="H5" s="82"/>
      <c r="I5" s="82"/>
      <c r="J5" s="82"/>
      <c r="K5" s="82"/>
      <c r="L5" s="82"/>
      <c r="M5" s="82"/>
      <c r="N5" s="82"/>
    </row>
    <row r="6" spans="1:15" ht="20.100000000000001" customHeight="1">
      <c r="A6" s="82"/>
      <c r="B6" s="82"/>
      <c r="C6" s="82" t="s">
        <v>333</v>
      </c>
      <c r="D6" s="89"/>
      <c r="E6" s="82"/>
      <c r="F6" s="82"/>
      <c r="G6" s="82"/>
      <c r="H6" s="82"/>
      <c r="I6" s="82"/>
      <c r="J6" s="82"/>
      <c r="K6" s="82"/>
      <c r="L6" s="82"/>
      <c r="M6" s="82"/>
      <c r="N6" s="82"/>
    </row>
    <row r="7" spans="1:15" ht="20.100000000000001" customHeight="1">
      <c r="A7" s="82"/>
      <c r="B7" s="82"/>
      <c r="C7" s="82" t="s">
        <v>334</v>
      </c>
      <c r="D7" s="89"/>
      <c r="E7" s="82"/>
      <c r="F7" s="82"/>
      <c r="G7" s="82"/>
      <c r="H7" s="82"/>
      <c r="I7" s="82"/>
      <c r="J7" s="82"/>
      <c r="K7" s="82"/>
      <c r="L7" s="82"/>
      <c r="M7" s="82"/>
      <c r="N7" s="82"/>
    </row>
    <row r="8" spans="1:15" ht="20.100000000000001" customHeight="1">
      <c r="A8" s="82"/>
      <c r="B8" s="82"/>
      <c r="C8" s="82" t="s">
        <v>335</v>
      </c>
      <c r="D8" s="89"/>
      <c r="E8" s="82"/>
      <c r="F8" s="82"/>
      <c r="G8" s="82"/>
      <c r="H8" s="82"/>
      <c r="I8" s="82"/>
      <c r="J8" s="82"/>
      <c r="K8" s="82"/>
      <c r="L8" s="82"/>
      <c r="M8" s="82"/>
      <c r="N8" s="82"/>
    </row>
    <row r="9" spans="1:15" ht="20.100000000000001" customHeight="1">
      <c r="A9" s="82"/>
      <c r="B9" s="82"/>
      <c r="C9" s="82" t="s">
        <v>336</v>
      </c>
      <c r="D9" s="209">
        <f>SUM(D5:D8)</f>
        <v>0</v>
      </c>
      <c r="E9" s="82"/>
      <c r="F9" s="82"/>
      <c r="G9" s="82"/>
      <c r="H9" s="82"/>
      <c r="I9" s="82"/>
      <c r="J9" s="82"/>
      <c r="K9" s="82"/>
      <c r="L9" s="82"/>
      <c r="M9" s="82"/>
      <c r="N9" s="82"/>
    </row>
    <row r="10" spans="1:15" ht="38.25" customHeight="1">
      <c r="A10" s="78" t="s">
        <v>337</v>
      </c>
      <c r="B10" s="78" t="s">
        <v>310</v>
      </c>
      <c r="C10" s="78" t="s">
        <v>338</v>
      </c>
      <c r="D10" s="78" t="s">
        <v>339</v>
      </c>
      <c r="E10" s="78" t="s">
        <v>340</v>
      </c>
      <c r="F10" s="78" t="s">
        <v>341</v>
      </c>
      <c r="G10" s="78" t="s">
        <v>342</v>
      </c>
      <c r="H10" s="78" t="s">
        <v>343</v>
      </c>
      <c r="I10" s="78" t="s">
        <v>344</v>
      </c>
      <c r="J10" s="78" t="s">
        <v>345</v>
      </c>
      <c r="K10" s="78" t="s">
        <v>346</v>
      </c>
      <c r="L10" s="78" t="s">
        <v>347</v>
      </c>
      <c r="M10" s="78" t="s">
        <v>348</v>
      </c>
      <c r="N10" s="78" t="s">
        <v>349</v>
      </c>
      <c r="O10" s="147"/>
    </row>
    <row r="11" spans="1:15" s="45" customFormat="1" ht="20.100000000000001" customHeight="1">
      <c r="A11" s="44"/>
      <c r="B11" s="46"/>
      <c r="C11" s="43"/>
      <c r="D11" s="43"/>
      <c r="E11" s="210">
        <f>IF($D$23=0,0,$D$5/$D$23)</f>
        <v>0</v>
      </c>
      <c r="F11" s="164">
        <f>E11*D11</f>
        <v>0</v>
      </c>
      <c r="G11" s="210">
        <f t="shared" ref="G11:G23" si="0">IF($D$23=0,0,$D$6/$D$23)</f>
        <v>0</v>
      </c>
      <c r="H11" s="164">
        <f>G11*D11</f>
        <v>0</v>
      </c>
      <c r="I11" s="210">
        <f t="shared" ref="I11:I23" si="1">IF($D$23=0,0,$D$7/$D$23)</f>
        <v>0</v>
      </c>
      <c r="J11" s="164">
        <f>I11*D11</f>
        <v>0</v>
      </c>
      <c r="K11" s="210">
        <f t="shared" ref="K11:K23" si="2">IF($D$23=0,0,$D$8/$D$23)</f>
        <v>0</v>
      </c>
      <c r="L11" s="164">
        <f>K11*D11</f>
        <v>0</v>
      </c>
      <c r="M11" s="164">
        <f>IF(B11=0,0,SUM(F11,H11,J11,L11)/B11)</f>
        <v>0</v>
      </c>
      <c r="N11" s="216" t="str">
        <f>IF(M11=C11,"OK",M11-C11)</f>
        <v>OK</v>
      </c>
    </row>
    <row r="12" spans="1:15" s="45" customFormat="1" ht="20.100000000000001" customHeight="1">
      <c r="A12" s="44"/>
      <c r="B12" s="46"/>
      <c r="C12" s="43"/>
      <c r="D12" s="43"/>
      <c r="E12" s="210">
        <f>IF($D$23=0,0,$D$5/$D$23)</f>
        <v>0</v>
      </c>
      <c r="F12" s="164">
        <f>E12*D12</f>
        <v>0</v>
      </c>
      <c r="G12" s="210">
        <f t="shared" si="0"/>
        <v>0</v>
      </c>
      <c r="H12" s="164">
        <f t="shared" ref="H12:H22" si="3">G12*D12</f>
        <v>0</v>
      </c>
      <c r="I12" s="210">
        <f t="shared" si="1"/>
        <v>0</v>
      </c>
      <c r="J12" s="164">
        <f t="shared" ref="J12:J22" si="4">I12*D12</f>
        <v>0</v>
      </c>
      <c r="K12" s="210">
        <f t="shared" si="2"/>
        <v>0</v>
      </c>
      <c r="L12" s="164">
        <f t="shared" ref="L12:L22" si="5">K12*D12</f>
        <v>0</v>
      </c>
      <c r="M12" s="164">
        <f t="shared" ref="M12:M22" si="6">IF(B12=0,0,SUM(F12,H12,J12,L12)/B12)</f>
        <v>0</v>
      </c>
      <c r="N12" s="216" t="str">
        <f t="shared" ref="N12:N22" si="7">IF(M12=C12,"OK",M12-C12)</f>
        <v>OK</v>
      </c>
    </row>
    <row r="13" spans="1:15" s="45" customFormat="1" ht="20.100000000000001" customHeight="1">
      <c r="A13" s="44"/>
      <c r="B13" s="46"/>
      <c r="C13" s="43"/>
      <c r="D13" s="43"/>
      <c r="E13" s="210">
        <f t="shared" ref="E13:E23" si="8">IF($D$23=0,0,$D$5/$D$23)</f>
        <v>0</v>
      </c>
      <c r="F13" s="164">
        <f t="shared" ref="F13:F22" si="9">E13*D13</f>
        <v>0</v>
      </c>
      <c r="G13" s="210">
        <f t="shared" si="0"/>
        <v>0</v>
      </c>
      <c r="H13" s="164">
        <f t="shared" si="3"/>
        <v>0</v>
      </c>
      <c r="I13" s="210">
        <f t="shared" si="1"/>
        <v>0</v>
      </c>
      <c r="J13" s="164">
        <f t="shared" si="4"/>
        <v>0</v>
      </c>
      <c r="K13" s="210">
        <f t="shared" si="2"/>
        <v>0</v>
      </c>
      <c r="L13" s="164">
        <f t="shared" si="5"/>
        <v>0</v>
      </c>
      <c r="M13" s="164">
        <f t="shared" si="6"/>
        <v>0</v>
      </c>
      <c r="N13" s="216" t="str">
        <f t="shared" si="7"/>
        <v>OK</v>
      </c>
    </row>
    <row r="14" spans="1:15" s="45" customFormat="1" ht="20.100000000000001" customHeight="1">
      <c r="A14" s="44"/>
      <c r="B14" s="46"/>
      <c r="C14" s="43"/>
      <c r="D14" s="43"/>
      <c r="E14" s="210">
        <f t="shared" si="8"/>
        <v>0</v>
      </c>
      <c r="F14" s="164">
        <f t="shared" si="9"/>
        <v>0</v>
      </c>
      <c r="G14" s="210">
        <f t="shared" si="0"/>
        <v>0</v>
      </c>
      <c r="H14" s="164">
        <f t="shared" si="3"/>
        <v>0</v>
      </c>
      <c r="I14" s="210">
        <f t="shared" si="1"/>
        <v>0</v>
      </c>
      <c r="J14" s="164">
        <f t="shared" si="4"/>
        <v>0</v>
      </c>
      <c r="K14" s="210">
        <f t="shared" si="2"/>
        <v>0</v>
      </c>
      <c r="L14" s="164">
        <f t="shared" si="5"/>
        <v>0</v>
      </c>
      <c r="M14" s="164">
        <f t="shared" si="6"/>
        <v>0</v>
      </c>
      <c r="N14" s="216" t="str">
        <f t="shared" si="7"/>
        <v>OK</v>
      </c>
    </row>
    <row r="15" spans="1:15" s="45" customFormat="1" ht="20.100000000000001" customHeight="1">
      <c r="A15" s="44"/>
      <c r="B15" s="46"/>
      <c r="C15" s="43"/>
      <c r="D15" s="43"/>
      <c r="E15" s="210">
        <f t="shared" si="8"/>
        <v>0</v>
      </c>
      <c r="F15" s="164">
        <f t="shared" si="9"/>
        <v>0</v>
      </c>
      <c r="G15" s="210">
        <f t="shared" si="0"/>
        <v>0</v>
      </c>
      <c r="H15" s="164">
        <f t="shared" si="3"/>
        <v>0</v>
      </c>
      <c r="I15" s="210">
        <f t="shared" si="1"/>
        <v>0</v>
      </c>
      <c r="J15" s="164">
        <f t="shared" si="4"/>
        <v>0</v>
      </c>
      <c r="K15" s="210">
        <f t="shared" si="2"/>
        <v>0</v>
      </c>
      <c r="L15" s="164">
        <f t="shared" si="5"/>
        <v>0</v>
      </c>
      <c r="M15" s="164">
        <f t="shared" si="6"/>
        <v>0</v>
      </c>
      <c r="N15" s="216" t="str">
        <f t="shared" si="7"/>
        <v>OK</v>
      </c>
    </row>
    <row r="16" spans="1:15" s="45" customFormat="1" ht="20.100000000000001" customHeight="1">
      <c r="A16" s="44"/>
      <c r="B16" s="46"/>
      <c r="C16" s="43"/>
      <c r="D16" s="43"/>
      <c r="E16" s="210">
        <f t="shared" si="8"/>
        <v>0</v>
      </c>
      <c r="F16" s="164">
        <f t="shared" si="9"/>
        <v>0</v>
      </c>
      <c r="G16" s="210">
        <f t="shared" si="0"/>
        <v>0</v>
      </c>
      <c r="H16" s="164">
        <f t="shared" si="3"/>
        <v>0</v>
      </c>
      <c r="I16" s="210">
        <f t="shared" si="1"/>
        <v>0</v>
      </c>
      <c r="J16" s="164">
        <f t="shared" si="4"/>
        <v>0</v>
      </c>
      <c r="K16" s="210">
        <f t="shared" si="2"/>
        <v>0</v>
      </c>
      <c r="L16" s="164">
        <f t="shared" si="5"/>
        <v>0</v>
      </c>
      <c r="M16" s="164">
        <f t="shared" si="6"/>
        <v>0</v>
      </c>
      <c r="N16" s="216" t="str">
        <f t="shared" si="7"/>
        <v>OK</v>
      </c>
    </row>
    <row r="17" spans="1:14" s="45" customFormat="1" ht="20.100000000000001" customHeight="1">
      <c r="A17" s="44"/>
      <c r="B17" s="46"/>
      <c r="C17" s="43"/>
      <c r="D17" s="43"/>
      <c r="E17" s="210">
        <f t="shared" si="8"/>
        <v>0</v>
      </c>
      <c r="F17" s="164">
        <f t="shared" si="9"/>
        <v>0</v>
      </c>
      <c r="G17" s="210">
        <f t="shared" si="0"/>
        <v>0</v>
      </c>
      <c r="H17" s="164">
        <f t="shared" si="3"/>
        <v>0</v>
      </c>
      <c r="I17" s="210">
        <f t="shared" si="1"/>
        <v>0</v>
      </c>
      <c r="J17" s="164">
        <f t="shared" si="4"/>
        <v>0</v>
      </c>
      <c r="K17" s="210">
        <f t="shared" si="2"/>
        <v>0</v>
      </c>
      <c r="L17" s="164">
        <f t="shared" si="5"/>
        <v>0</v>
      </c>
      <c r="M17" s="164">
        <f t="shared" si="6"/>
        <v>0</v>
      </c>
      <c r="N17" s="216" t="str">
        <f t="shared" si="7"/>
        <v>OK</v>
      </c>
    </row>
    <row r="18" spans="1:14" s="45" customFormat="1" ht="20.100000000000001" customHeight="1">
      <c r="A18" s="44"/>
      <c r="B18" s="46"/>
      <c r="C18" s="43"/>
      <c r="D18" s="43"/>
      <c r="E18" s="210">
        <f t="shared" si="8"/>
        <v>0</v>
      </c>
      <c r="F18" s="164">
        <f t="shared" si="9"/>
        <v>0</v>
      </c>
      <c r="G18" s="210">
        <f t="shared" si="0"/>
        <v>0</v>
      </c>
      <c r="H18" s="164">
        <f t="shared" si="3"/>
        <v>0</v>
      </c>
      <c r="I18" s="210">
        <f t="shared" si="1"/>
        <v>0</v>
      </c>
      <c r="J18" s="164">
        <f t="shared" si="4"/>
        <v>0</v>
      </c>
      <c r="K18" s="210">
        <f t="shared" si="2"/>
        <v>0</v>
      </c>
      <c r="L18" s="164">
        <f t="shared" si="5"/>
        <v>0</v>
      </c>
      <c r="M18" s="164">
        <f t="shared" si="6"/>
        <v>0</v>
      </c>
      <c r="N18" s="216" t="str">
        <f t="shared" si="7"/>
        <v>OK</v>
      </c>
    </row>
    <row r="19" spans="1:14" s="45" customFormat="1" ht="20.100000000000001" customHeight="1">
      <c r="A19" s="44"/>
      <c r="B19" s="46"/>
      <c r="C19" s="43"/>
      <c r="D19" s="43"/>
      <c r="E19" s="210">
        <f t="shared" si="8"/>
        <v>0</v>
      </c>
      <c r="F19" s="164">
        <f t="shared" si="9"/>
        <v>0</v>
      </c>
      <c r="G19" s="210">
        <f t="shared" si="0"/>
        <v>0</v>
      </c>
      <c r="H19" s="164">
        <f t="shared" si="3"/>
        <v>0</v>
      </c>
      <c r="I19" s="210">
        <f t="shared" si="1"/>
        <v>0</v>
      </c>
      <c r="J19" s="164">
        <f t="shared" si="4"/>
        <v>0</v>
      </c>
      <c r="K19" s="210">
        <f t="shared" si="2"/>
        <v>0</v>
      </c>
      <c r="L19" s="164">
        <f t="shared" si="5"/>
        <v>0</v>
      </c>
      <c r="M19" s="164">
        <f t="shared" si="6"/>
        <v>0</v>
      </c>
      <c r="N19" s="216" t="str">
        <f t="shared" si="7"/>
        <v>OK</v>
      </c>
    </row>
    <row r="20" spans="1:14" s="45" customFormat="1" ht="20.100000000000001" customHeight="1">
      <c r="A20" s="44"/>
      <c r="B20" s="46"/>
      <c r="C20" s="43"/>
      <c r="D20" s="43"/>
      <c r="E20" s="210">
        <f t="shared" si="8"/>
        <v>0</v>
      </c>
      <c r="F20" s="164">
        <f t="shared" si="9"/>
        <v>0</v>
      </c>
      <c r="G20" s="210">
        <f t="shared" si="0"/>
        <v>0</v>
      </c>
      <c r="H20" s="164">
        <f t="shared" si="3"/>
        <v>0</v>
      </c>
      <c r="I20" s="210">
        <f t="shared" si="1"/>
        <v>0</v>
      </c>
      <c r="J20" s="164">
        <f t="shared" si="4"/>
        <v>0</v>
      </c>
      <c r="K20" s="210">
        <f t="shared" si="2"/>
        <v>0</v>
      </c>
      <c r="L20" s="164">
        <f t="shared" si="5"/>
        <v>0</v>
      </c>
      <c r="M20" s="164">
        <f t="shared" si="6"/>
        <v>0</v>
      </c>
      <c r="N20" s="216" t="str">
        <f t="shared" si="7"/>
        <v>OK</v>
      </c>
    </row>
    <row r="21" spans="1:14" s="45" customFormat="1" ht="20.100000000000001" customHeight="1">
      <c r="A21" s="44"/>
      <c r="B21" s="46"/>
      <c r="C21" s="43"/>
      <c r="D21" s="43"/>
      <c r="E21" s="210">
        <f t="shared" si="8"/>
        <v>0</v>
      </c>
      <c r="F21" s="164">
        <f t="shared" si="9"/>
        <v>0</v>
      </c>
      <c r="G21" s="210">
        <f t="shared" si="0"/>
        <v>0</v>
      </c>
      <c r="H21" s="164">
        <f t="shared" si="3"/>
        <v>0</v>
      </c>
      <c r="I21" s="210">
        <f t="shared" si="1"/>
        <v>0</v>
      </c>
      <c r="J21" s="164">
        <f t="shared" si="4"/>
        <v>0</v>
      </c>
      <c r="K21" s="210">
        <f t="shared" si="2"/>
        <v>0</v>
      </c>
      <c r="L21" s="164">
        <f t="shared" si="5"/>
        <v>0</v>
      </c>
      <c r="M21" s="164">
        <f t="shared" si="6"/>
        <v>0</v>
      </c>
      <c r="N21" s="216" t="str">
        <f t="shared" si="7"/>
        <v>OK</v>
      </c>
    </row>
    <row r="22" spans="1:14" s="45" customFormat="1" ht="20.100000000000001" customHeight="1">
      <c r="A22" s="44"/>
      <c r="B22" s="46"/>
      <c r="C22" s="43"/>
      <c r="D22" s="43"/>
      <c r="E22" s="210">
        <f t="shared" si="8"/>
        <v>0</v>
      </c>
      <c r="F22" s="164">
        <f t="shared" si="9"/>
        <v>0</v>
      </c>
      <c r="G22" s="210">
        <f t="shared" si="0"/>
        <v>0</v>
      </c>
      <c r="H22" s="164">
        <f t="shared" si="3"/>
        <v>0</v>
      </c>
      <c r="I22" s="210">
        <f t="shared" si="1"/>
        <v>0</v>
      </c>
      <c r="J22" s="164">
        <f t="shared" si="4"/>
        <v>0</v>
      </c>
      <c r="K22" s="210">
        <f t="shared" si="2"/>
        <v>0</v>
      </c>
      <c r="L22" s="164">
        <f t="shared" si="5"/>
        <v>0</v>
      </c>
      <c r="M22" s="164">
        <f t="shared" si="6"/>
        <v>0</v>
      </c>
      <c r="N22" s="216" t="str">
        <f t="shared" si="7"/>
        <v>OK</v>
      </c>
    </row>
    <row r="23" spans="1:14" s="45" customFormat="1" ht="20.100000000000001" customHeight="1">
      <c r="A23" s="211" t="s">
        <v>267</v>
      </c>
      <c r="B23" s="212">
        <f>SUM(B11:B22)</f>
        <v>0</v>
      </c>
      <c r="C23" s="170">
        <f>IF(COUNTA(C11:C22)=0,0,SUM(C11:C22)/COUNTA(C11:C22))</f>
        <v>0</v>
      </c>
      <c r="D23" s="170">
        <f>SUM(D11:D22)</f>
        <v>0</v>
      </c>
      <c r="E23" s="213">
        <f t="shared" si="8"/>
        <v>0</v>
      </c>
      <c r="F23" s="170">
        <f>SUM(F11:F22)</f>
        <v>0</v>
      </c>
      <c r="G23" s="213">
        <f t="shared" si="0"/>
        <v>0</v>
      </c>
      <c r="H23" s="170">
        <f>SUM(H11:H22)</f>
        <v>0</v>
      </c>
      <c r="I23" s="213">
        <f t="shared" si="1"/>
        <v>0</v>
      </c>
      <c r="J23" s="170">
        <f>SUM(J11:J22)</f>
        <v>0</v>
      </c>
      <c r="K23" s="213">
        <f t="shared" si="2"/>
        <v>0</v>
      </c>
      <c r="L23" s="170">
        <f>SUM(L11:L22)</f>
        <v>0</v>
      </c>
      <c r="M23" s="214" t="s">
        <v>350</v>
      </c>
      <c r="N23" s="215"/>
    </row>
    <row r="24" spans="1:14" ht="20.100000000000001" customHeight="1">
      <c r="A24" s="88" t="s">
        <v>329</v>
      </c>
    </row>
    <row r="25" spans="1:14" ht="20.100000000000001" customHeight="1">
      <c r="A25" s="87"/>
    </row>
    <row r="26" spans="1:14" ht="20.100000000000001" customHeight="1">
      <c r="A26" s="87"/>
    </row>
    <row r="27" spans="1:14" ht="20.100000000000001" customHeight="1">
      <c r="A27" s="88" t="s">
        <v>330</v>
      </c>
    </row>
    <row r="28" spans="1:14" ht="20.100000000000001" customHeight="1"/>
    <row r="29" spans="1:14" ht="20.100000000000001" customHeight="1"/>
  </sheetData>
  <mergeCells count="2">
    <mergeCell ref="A2:N2"/>
    <mergeCell ref="A1:N1"/>
  </mergeCells>
  <phoneticPr fontId="19" type="noConversion"/>
  <hyperlinks>
    <hyperlink ref="N3" location="底稿目录!A1" display="底稿目录!A1"/>
  </hyperlinks>
  <printOptions horizontalCentered="1"/>
  <pageMargins left="0.74803149606299213" right="0.74803149606299213" top="0.98425196850393704" bottom="0.98425196850393704" header="0.51181102362204722" footer="0.51181102362204722"/>
  <pageSetup paperSize="9" scale="82" orientation="landscape" blackAndWhite="1"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4">
    <tabColor rgb="FFFFFF00"/>
    <pageSetUpPr fitToPage="1"/>
  </sheetPr>
  <dimension ref="A1:T41"/>
  <sheetViews>
    <sheetView view="pageBreakPreview" zoomScaleSheetLayoutView="100" workbookViewId="0">
      <selection activeCell="K48" sqref="K48"/>
    </sheetView>
  </sheetViews>
  <sheetFormatPr defaultColWidth="9" defaultRowHeight="15.6"/>
  <cols>
    <col min="1" max="16384" width="9" style="73"/>
  </cols>
  <sheetData>
    <row r="1" spans="1:20" ht="20.100000000000001" customHeight="1">
      <c r="A1" s="263" t="s">
        <v>318</v>
      </c>
      <c r="B1" s="263"/>
      <c r="C1" s="263"/>
      <c r="D1" s="263"/>
      <c r="E1" s="263"/>
      <c r="F1" s="263"/>
      <c r="G1" s="263"/>
      <c r="H1" s="263"/>
      <c r="I1" s="263"/>
      <c r="J1" s="263"/>
      <c r="K1" s="263"/>
      <c r="L1" s="263"/>
      <c r="M1" s="263"/>
      <c r="N1" s="263"/>
      <c r="O1" s="263"/>
      <c r="P1" s="263"/>
      <c r="Q1" s="263"/>
      <c r="R1" s="263"/>
      <c r="S1" s="263"/>
      <c r="T1" s="263"/>
    </row>
    <row r="2" spans="1:20" s="45" customFormat="1" ht="25.05" customHeight="1">
      <c r="A2" s="262" t="s">
        <v>319</v>
      </c>
      <c r="B2" s="262"/>
      <c r="C2" s="262"/>
      <c r="D2" s="262"/>
      <c r="E2" s="262"/>
      <c r="F2" s="262"/>
      <c r="G2" s="262"/>
      <c r="H2" s="262"/>
      <c r="I2" s="262"/>
      <c r="J2" s="262"/>
      <c r="K2" s="262"/>
      <c r="L2" s="262"/>
      <c r="M2" s="262"/>
      <c r="N2" s="262"/>
      <c r="O2" s="262"/>
      <c r="P2" s="262"/>
      <c r="Q2" s="262"/>
      <c r="R2" s="262"/>
      <c r="S2" s="262"/>
      <c r="T2" s="262"/>
    </row>
    <row r="3" spans="1:20" s="45" customFormat="1" ht="20.100000000000001" customHeight="1">
      <c r="A3" s="82" t="str">
        <f>底稿目录!A2</f>
        <v>被审计单位：</v>
      </c>
      <c r="B3" s="82"/>
      <c r="C3" s="82"/>
      <c r="D3" s="82"/>
      <c r="E3" s="82"/>
      <c r="F3" s="82"/>
      <c r="G3" s="82"/>
      <c r="H3" s="82" t="str">
        <f>底稿目录!A4</f>
        <v>编制人：</v>
      </c>
      <c r="I3" s="82"/>
      <c r="J3" s="82"/>
      <c r="K3" s="82"/>
      <c r="L3" s="82"/>
      <c r="M3" s="82"/>
      <c r="N3" s="82"/>
      <c r="O3" s="82" t="str">
        <f>底稿目录!A5</f>
        <v>编制日期：</v>
      </c>
      <c r="P3" s="101"/>
      <c r="Q3" s="82"/>
      <c r="R3" s="82"/>
      <c r="S3" s="82" t="s">
        <v>297</v>
      </c>
      <c r="T3" s="76" t="s">
        <v>266</v>
      </c>
    </row>
    <row r="4" spans="1:20" s="45" customFormat="1" ht="20.100000000000001" customHeight="1">
      <c r="A4" s="82" t="str">
        <f>底稿目录!A3</f>
        <v>截止日：202X年12月31日</v>
      </c>
      <c r="B4" s="82"/>
      <c r="C4" s="82"/>
      <c r="D4" s="82"/>
      <c r="E4" s="82"/>
      <c r="F4" s="82"/>
      <c r="G4" s="82"/>
      <c r="H4" s="82" t="str">
        <f>底稿目录!A6</f>
        <v>复核人：</v>
      </c>
      <c r="I4" s="82"/>
      <c r="J4" s="82"/>
      <c r="K4" s="82"/>
      <c r="L4" s="82"/>
      <c r="M4" s="82"/>
      <c r="N4" s="82"/>
      <c r="O4" s="82" t="str">
        <f>底稿目录!A7</f>
        <v>复核日期：</v>
      </c>
      <c r="P4" s="101"/>
      <c r="Q4" s="82"/>
      <c r="R4" s="82"/>
      <c r="S4" s="82" t="s">
        <v>298</v>
      </c>
      <c r="T4" s="83"/>
    </row>
    <row r="5" spans="1:20" s="45" customFormat="1" ht="20.100000000000001" customHeight="1">
      <c r="A5" s="84" t="s">
        <v>320</v>
      </c>
      <c r="B5" s="85"/>
      <c r="C5" s="85"/>
      <c r="D5" s="85"/>
      <c r="E5" s="85"/>
      <c r="F5" s="85"/>
      <c r="G5" s="85"/>
      <c r="H5" s="85"/>
      <c r="I5" s="85"/>
      <c r="J5" s="85"/>
      <c r="K5" s="85"/>
      <c r="L5" s="85"/>
      <c r="M5" s="85"/>
      <c r="N5" s="85"/>
      <c r="O5" s="85"/>
      <c r="P5" s="85"/>
      <c r="Q5" s="85"/>
      <c r="R5" s="85"/>
      <c r="S5" s="85"/>
      <c r="T5" s="85"/>
    </row>
    <row r="6" spans="1:20" ht="20.100000000000001" customHeight="1">
      <c r="A6" s="260" t="s">
        <v>309</v>
      </c>
      <c r="B6" s="260" t="s">
        <v>310</v>
      </c>
      <c r="C6" s="77" t="s">
        <v>311</v>
      </c>
      <c r="D6" s="77"/>
      <c r="E6" s="77"/>
      <c r="F6" s="77" t="s">
        <v>312</v>
      </c>
      <c r="G6" s="77"/>
      <c r="H6" s="77"/>
      <c r="I6" s="77" t="s">
        <v>313</v>
      </c>
      <c r="J6" s="77"/>
      <c r="K6" s="77"/>
      <c r="L6" s="77" t="s">
        <v>128</v>
      </c>
      <c r="M6" s="77"/>
      <c r="N6" s="77"/>
      <c r="O6" s="77" t="s">
        <v>128</v>
      </c>
      <c r="P6" s="77"/>
      <c r="Q6" s="77"/>
      <c r="R6" s="77" t="s">
        <v>314</v>
      </c>
      <c r="S6" s="77"/>
      <c r="T6" s="77"/>
    </row>
    <row r="7" spans="1:20" ht="43.5" customHeight="1">
      <c r="A7" s="260"/>
      <c r="B7" s="260"/>
      <c r="C7" s="78" t="s">
        <v>315</v>
      </c>
      <c r="D7" s="78" t="s">
        <v>316</v>
      </c>
      <c r="E7" s="78" t="s">
        <v>317</v>
      </c>
      <c r="F7" s="78" t="s">
        <v>315</v>
      </c>
      <c r="G7" s="78" t="s">
        <v>316</v>
      </c>
      <c r="H7" s="78" t="s">
        <v>317</v>
      </c>
      <c r="I7" s="78" t="s">
        <v>315</v>
      </c>
      <c r="J7" s="78" t="s">
        <v>316</v>
      </c>
      <c r="K7" s="78" t="s">
        <v>317</v>
      </c>
      <c r="L7" s="78" t="s">
        <v>315</v>
      </c>
      <c r="M7" s="78" t="s">
        <v>316</v>
      </c>
      <c r="N7" s="78" t="s">
        <v>317</v>
      </c>
      <c r="O7" s="78" t="s">
        <v>315</v>
      </c>
      <c r="P7" s="78" t="s">
        <v>316</v>
      </c>
      <c r="Q7" s="78" t="s">
        <v>317</v>
      </c>
      <c r="R7" s="78" t="s">
        <v>315</v>
      </c>
      <c r="S7" s="78" t="s">
        <v>316</v>
      </c>
      <c r="T7" s="78" t="s">
        <v>317</v>
      </c>
    </row>
    <row r="8" spans="1:20" s="45" customFormat="1" ht="20.100000000000001" customHeight="1">
      <c r="A8" s="44">
        <v>1</v>
      </c>
      <c r="B8" s="43"/>
      <c r="C8" s="43"/>
      <c r="D8" s="58">
        <f t="shared" ref="D8:D20" si="0">IF($B8=0,0,$C8/$B8)</f>
        <v>0</v>
      </c>
      <c r="E8" s="86">
        <f>IF($D$20=0,0,($D8-$D$20)/$D$20)</f>
        <v>0</v>
      </c>
      <c r="F8" s="43"/>
      <c r="G8" s="58">
        <f>IF($B8=0,0,$F8/$B8)</f>
        <v>0</v>
      </c>
      <c r="H8" s="86">
        <f>IF($G$20=0,0,($G8-$G$20)/$G$20)</f>
        <v>0</v>
      </c>
      <c r="I8" s="43"/>
      <c r="J8" s="58">
        <f t="shared" ref="J8:J20" si="1">IF($B8=0,0,$I8/$B8)</f>
        <v>0</v>
      </c>
      <c r="K8" s="86">
        <f>IF($J$20=0,0,($J8-$J$20)/$J$20)</f>
        <v>0</v>
      </c>
      <c r="L8" s="43"/>
      <c r="M8" s="58">
        <f t="shared" ref="M8:M20" si="2">IF($B8=0,0,$L8/$B8)</f>
        <v>0</v>
      </c>
      <c r="N8" s="86">
        <f>IF($M$20=0,0,($M8-$M$20)/$M$20)</f>
        <v>0</v>
      </c>
      <c r="O8" s="43"/>
      <c r="P8" s="58">
        <f t="shared" ref="P8:P20" si="3">IF($B8=0,0,$O8/$B8)</f>
        <v>0</v>
      </c>
      <c r="Q8" s="86">
        <f>IF($P$20=0,0,($P8-$P$20)/$P$20)</f>
        <v>0</v>
      </c>
      <c r="R8" s="58">
        <f>SUM(C8,F8,I8,L8,O8)</f>
        <v>0</v>
      </c>
      <c r="S8" s="58">
        <f t="shared" ref="S8:S20" si="4">IF($B8=0,0,$R8/$B8)</f>
        <v>0</v>
      </c>
      <c r="T8" s="86">
        <f>IF($S$20=0,0,($S8-$S$20)/$S$20)</f>
        <v>0</v>
      </c>
    </row>
    <row r="9" spans="1:20" s="45" customFormat="1" ht="20.100000000000001" customHeight="1">
      <c r="A9" s="44">
        <v>2</v>
      </c>
      <c r="B9" s="43"/>
      <c r="C9" s="43"/>
      <c r="D9" s="58">
        <f t="shared" si="0"/>
        <v>0</v>
      </c>
      <c r="E9" s="86">
        <f t="shared" ref="E9:E19" si="5">IF($D$20=0,0,($D9-$D$20)/$D$20)</f>
        <v>0</v>
      </c>
      <c r="F9" s="43"/>
      <c r="G9" s="58">
        <f t="shared" ref="G9:G20" si="6">IF($B9=0,0,$F9/$B9)</f>
        <v>0</v>
      </c>
      <c r="H9" s="86">
        <f t="shared" ref="H9:H19" si="7">IF($G$20=0,0,($G9-$G$20)/$G$20)</f>
        <v>0</v>
      </c>
      <c r="I9" s="43"/>
      <c r="J9" s="58">
        <f t="shared" si="1"/>
        <v>0</v>
      </c>
      <c r="K9" s="86">
        <f t="shared" ref="K9:K19" si="8">IF($J$20=0,0,($J9-$J$20)/$J$20)</f>
        <v>0</v>
      </c>
      <c r="L9" s="43"/>
      <c r="M9" s="58">
        <f t="shared" si="2"/>
        <v>0</v>
      </c>
      <c r="N9" s="86">
        <f t="shared" ref="N9:N19" si="9">IF($M$20=0,0,($M9-$M$20)/$M$20)</f>
        <v>0</v>
      </c>
      <c r="O9" s="43"/>
      <c r="P9" s="58">
        <f t="shared" si="3"/>
        <v>0</v>
      </c>
      <c r="Q9" s="86">
        <f t="shared" ref="Q9:Q19" si="10">IF($P$20=0,0,($P9-$P$20)/$P$20)</f>
        <v>0</v>
      </c>
      <c r="R9" s="58">
        <f t="shared" ref="R9:R19" si="11">SUM(C9,F9,I9,L9,O9)</f>
        <v>0</v>
      </c>
      <c r="S9" s="58">
        <f t="shared" si="4"/>
        <v>0</v>
      </c>
      <c r="T9" s="86">
        <f t="shared" ref="T9:T19" si="12">IF($S$20=0,0,($S9-$S$20)/$S$20)</f>
        <v>0</v>
      </c>
    </row>
    <row r="10" spans="1:20" s="45" customFormat="1" ht="20.100000000000001" customHeight="1">
      <c r="A10" s="44">
        <v>3</v>
      </c>
      <c r="B10" s="43"/>
      <c r="C10" s="43"/>
      <c r="D10" s="58">
        <f t="shared" si="0"/>
        <v>0</v>
      </c>
      <c r="E10" s="86">
        <f t="shared" si="5"/>
        <v>0</v>
      </c>
      <c r="F10" s="43"/>
      <c r="G10" s="58">
        <f t="shared" si="6"/>
        <v>0</v>
      </c>
      <c r="H10" s="86">
        <f t="shared" si="7"/>
        <v>0</v>
      </c>
      <c r="I10" s="43"/>
      <c r="J10" s="58">
        <f t="shared" si="1"/>
        <v>0</v>
      </c>
      <c r="K10" s="86">
        <f t="shared" si="8"/>
        <v>0</v>
      </c>
      <c r="L10" s="43"/>
      <c r="M10" s="58">
        <f t="shared" si="2"/>
        <v>0</v>
      </c>
      <c r="N10" s="86">
        <f t="shared" si="9"/>
        <v>0</v>
      </c>
      <c r="O10" s="43"/>
      <c r="P10" s="58">
        <f t="shared" si="3"/>
        <v>0</v>
      </c>
      <c r="Q10" s="86">
        <f t="shared" si="10"/>
        <v>0</v>
      </c>
      <c r="R10" s="58">
        <f t="shared" si="11"/>
        <v>0</v>
      </c>
      <c r="S10" s="58">
        <f t="shared" si="4"/>
        <v>0</v>
      </c>
      <c r="T10" s="86">
        <f t="shared" si="12"/>
        <v>0</v>
      </c>
    </row>
    <row r="11" spans="1:20" s="45" customFormat="1" ht="20.100000000000001" customHeight="1">
      <c r="A11" s="44">
        <v>4</v>
      </c>
      <c r="B11" s="43"/>
      <c r="C11" s="43"/>
      <c r="D11" s="58">
        <f t="shared" si="0"/>
        <v>0</v>
      </c>
      <c r="E11" s="86">
        <f t="shared" si="5"/>
        <v>0</v>
      </c>
      <c r="F11" s="43"/>
      <c r="G11" s="58">
        <f t="shared" si="6"/>
        <v>0</v>
      </c>
      <c r="H11" s="86">
        <f t="shared" si="7"/>
        <v>0</v>
      </c>
      <c r="I11" s="43"/>
      <c r="J11" s="58">
        <f t="shared" si="1"/>
        <v>0</v>
      </c>
      <c r="K11" s="86">
        <f t="shared" si="8"/>
        <v>0</v>
      </c>
      <c r="L11" s="43"/>
      <c r="M11" s="58">
        <f t="shared" si="2"/>
        <v>0</v>
      </c>
      <c r="N11" s="86">
        <f t="shared" si="9"/>
        <v>0</v>
      </c>
      <c r="O11" s="43"/>
      <c r="P11" s="58">
        <f t="shared" si="3"/>
        <v>0</v>
      </c>
      <c r="Q11" s="86">
        <f t="shared" si="10"/>
        <v>0</v>
      </c>
      <c r="R11" s="58">
        <f t="shared" si="11"/>
        <v>0</v>
      </c>
      <c r="S11" s="58">
        <f t="shared" si="4"/>
        <v>0</v>
      </c>
      <c r="T11" s="86">
        <f t="shared" si="12"/>
        <v>0</v>
      </c>
    </row>
    <row r="12" spans="1:20" s="45" customFormat="1" ht="20.100000000000001" customHeight="1">
      <c r="A12" s="44">
        <v>5</v>
      </c>
      <c r="B12" s="43"/>
      <c r="C12" s="43"/>
      <c r="D12" s="58">
        <f t="shared" si="0"/>
        <v>0</v>
      </c>
      <c r="E12" s="86">
        <f t="shared" si="5"/>
        <v>0</v>
      </c>
      <c r="F12" s="43"/>
      <c r="G12" s="58">
        <f t="shared" si="6"/>
        <v>0</v>
      </c>
      <c r="H12" s="86">
        <f t="shared" si="7"/>
        <v>0</v>
      </c>
      <c r="I12" s="43"/>
      <c r="J12" s="58">
        <f t="shared" si="1"/>
        <v>0</v>
      </c>
      <c r="K12" s="86">
        <f t="shared" si="8"/>
        <v>0</v>
      </c>
      <c r="L12" s="43"/>
      <c r="M12" s="58">
        <f t="shared" si="2"/>
        <v>0</v>
      </c>
      <c r="N12" s="86">
        <f t="shared" si="9"/>
        <v>0</v>
      </c>
      <c r="O12" s="43"/>
      <c r="P12" s="58">
        <f t="shared" si="3"/>
        <v>0</v>
      </c>
      <c r="Q12" s="86">
        <f t="shared" si="10"/>
        <v>0</v>
      </c>
      <c r="R12" s="58">
        <f t="shared" si="11"/>
        <v>0</v>
      </c>
      <c r="S12" s="58">
        <f t="shared" si="4"/>
        <v>0</v>
      </c>
      <c r="T12" s="86">
        <f t="shared" si="12"/>
        <v>0</v>
      </c>
    </row>
    <row r="13" spans="1:20" s="45" customFormat="1" ht="20.100000000000001" customHeight="1">
      <c r="A13" s="44">
        <v>6</v>
      </c>
      <c r="B13" s="43"/>
      <c r="C13" s="43"/>
      <c r="D13" s="58">
        <f t="shared" si="0"/>
        <v>0</v>
      </c>
      <c r="E13" s="86">
        <f t="shared" si="5"/>
        <v>0</v>
      </c>
      <c r="F13" s="43"/>
      <c r="G13" s="58">
        <f t="shared" si="6"/>
        <v>0</v>
      </c>
      <c r="H13" s="86">
        <f t="shared" si="7"/>
        <v>0</v>
      </c>
      <c r="I13" s="43"/>
      <c r="J13" s="58">
        <f t="shared" si="1"/>
        <v>0</v>
      </c>
      <c r="K13" s="86">
        <f t="shared" si="8"/>
        <v>0</v>
      </c>
      <c r="L13" s="43"/>
      <c r="M13" s="58">
        <f t="shared" si="2"/>
        <v>0</v>
      </c>
      <c r="N13" s="86">
        <f t="shared" si="9"/>
        <v>0</v>
      </c>
      <c r="O13" s="43"/>
      <c r="P13" s="58">
        <f t="shared" si="3"/>
        <v>0</v>
      </c>
      <c r="Q13" s="86">
        <f t="shared" si="10"/>
        <v>0</v>
      </c>
      <c r="R13" s="58">
        <f t="shared" si="11"/>
        <v>0</v>
      </c>
      <c r="S13" s="58">
        <f t="shared" si="4"/>
        <v>0</v>
      </c>
      <c r="T13" s="86">
        <f t="shared" si="12"/>
        <v>0</v>
      </c>
    </row>
    <row r="14" spans="1:20" s="45" customFormat="1" ht="20.100000000000001" customHeight="1">
      <c r="A14" s="44">
        <v>7</v>
      </c>
      <c r="B14" s="43"/>
      <c r="C14" s="43"/>
      <c r="D14" s="58">
        <f t="shared" si="0"/>
        <v>0</v>
      </c>
      <c r="E14" s="86">
        <f t="shared" si="5"/>
        <v>0</v>
      </c>
      <c r="F14" s="43"/>
      <c r="G14" s="58">
        <f t="shared" si="6"/>
        <v>0</v>
      </c>
      <c r="H14" s="86">
        <f t="shared" si="7"/>
        <v>0</v>
      </c>
      <c r="I14" s="43"/>
      <c r="J14" s="58">
        <f t="shared" si="1"/>
        <v>0</v>
      </c>
      <c r="K14" s="86">
        <f t="shared" si="8"/>
        <v>0</v>
      </c>
      <c r="L14" s="43"/>
      <c r="M14" s="58">
        <f t="shared" si="2"/>
        <v>0</v>
      </c>
      <c r="N14" s="86">
        <f t="shared" si="9"/>
        <v>0</v>
      </c>
      <c r="O14" s="43"/>
      <c r="P14" s="58">
        <f t="shared" si="3"/>
        <v>0</v>
      </c>
      <c r="Q14" s="86">
        <f t="shared" si="10"/>
        <v>0</v>
      </c>
      <c r="R14" s="58">
        <f t="shared" si="11"/>
        <v>0</v>
      </c>
      <c r="S14" s="58">
        <f t="shared" si="4"/>
        <v>0</v>
      </c>
      <c r="T14" s="86">
        <f t="shared" si="12"/>
        <v>0</v>
      </c>
    </row>
    <row r="15" spans="1:20" s="45" customFormat="1" ht="20.100000000000001" customHeight="1">
      <c r="A15" s="44">
        <v>8</v>
      </c>
      <c r="B15" s="43"/>
      <c r="C15" s="43"/>
      <c r="D15" s="58">
        <f t="shared" si="0"/>
        <v>0</v>
      </c>
      <c r="E15" s="86">
        <f t="shared" si="5"/>
        <v>0</v>
      </c>
      <c r="F15" s="43"/>
      <c r="G15" s="58">
        <f t="shared" si="6"/>
        <v>0</v>
      </c>
      <c r="H15" s="86">
        <f t="shared" si="7"/>
        <v>0</v>
      </c>
      <c r="I15" s="43"/>
      <c r="J15" s="58">
        <f t="shared" si="1"/>
        <v>0</v>
      </c>
      <c r="K15" s="86">
        <f t="shared" si="8"/>
        <v>0</v>
      </c>
      <c r="L15" s="43"/>
      <c r="M15" s="58">
        <f t="shared" si="2"/>
        <v>0</v>
      </c>
      <c r="N15" s="86">
        <f t="shared" si="9"/>
        <v>0</v>
      </c>
      <c r="O15" s="43"/>
      <c r="P15" s="58">
        <f t="shared" si="3"/>
        <v>0</v>
      </c>
      <c r="Q15" s="86">
        <f t="shared" si="10"/>
        <v>0</v>
      </c>
      <c r="R15" s="58">
        <f t="shared" si="11"/>
        <v>0</v>
      </c>
      <c r="S15" s="58">
        <f t="shared" si="4"/>
        <v>0</v>
      </c>
      <c r="T15" s="86">
        <f t="shared" si="12"/>
        <v>0</v>
      </c>
    </row>
    <row r="16" spans="1:20" s="45" customFormat="1" ht="20.100000000000001" customHeight="1">
      <c r="A16" s="44">
        <v>9</v>
      </c>
      <c r="B16" s="43"/>
      <c r="C16" s="43"/>
      <c r="D16" s="58">
        <f t="shared" si="0"/>
        <v>0</v>
      </c>
      <c r="E16" s="86">
        <f t="shared" si="5"/>
        <v>0</v>
      </c>
      <c r="F16" s="43"/>
      <c r="G16" s="58">
        <f t="shared" si="6"/>
        <v>0</v>
      </c>
      <c r="H16" s="86">
        <f t="shared" si="7"/>
        <v>0</v>
      </c>
      <c r="I16" s="43"/>
      <c r="J16" s="58">
        <f t="shared" si="1"/>
        <v>0</v>
      </c>
      <c r="K16" s="86">
        <f t="shared" si="8"/>
        <v>0</v>
      </c>
      <c r="L16" s="43"/>
      <c r="M16" s="58">
        <f t="shared" si="2"/>
        <v>0</v>
      </c>
      <c r="N16" s="86">
        <f t="shared" si="9"/>
        <v>0</v>
      </c>
      <c r="O16" s="43"/>
      <c r="P16" s="58">
        <f t="shared" si="3"/>
        <v>0</v>
      </c>
      <c r="Q16" s="86">
        <f t="shared" si="10"/>
        <v>0</v>
      </c>
      <c r="R16" s="58">
        <f t="shared" si="11"/>
        <v>0</v>
      </c>
      <c r="S16" s="58">
        <f t="shared" si="4"/>
        <v>0</v>
      </c>
      <c r="T16" s="86">
        <f t="shared" si="12"/>
        <v>0</v>
      </c>
    </row>
    <row r="17" spans="1:20" s="45" customFormat="1" ht="20.100000000000001" customHeight="1">
      <c r="A17" s="44">
        <v>10</v>
      </c>
      <c r="B17" s="43"/>
      <c r="C17" s="43"/>
      <c r="D17" s="58">
        <f t="shared" si="0"/>
        <v>0</v>
      </c>
      <c r="E17" s="86">
        <f t="shared" si="5"/>
        <v>0</v>
      </c>
      <c r="F17" s="43"/>
      <c r="G17" s="58">
        <f t="shared" si="6"/>
        <v>0</v>
      </c>
      <c r="H17" s="86">
        <f t="shared" si="7"/>
        <v>0</v>
      </c>
      <c r="I17" s="43"/>
      <c r="J17" s="58">
        <f t="shared" si="1"/>
        <v>0</v>
      </c>
      <c r="K17" s="86">
        <f t="shared" si="8"/>
        <v>0</v>
      </c>
      <c r="L17" s="43"/>
      <c r="M17" s="58">
        <f t="shared" si="2"/>
        <v>0</v>
      </c>
      <c r="N17" s="86">
        <f t="shared" si="9"/>
        <v>0</v>
      </c>
      <c r="O17" s="43"/>
      <c r="P17" s="58">
        <f t="shared" si="3"/>
        <v>0</v>
      </c>
      <c r="Q17" s="86">
        <f t="shared" si="10"/>
        <v>0</v>
      </c>
      <c r="R17" s="58">
        <f t="shared" si="11"/>
        <v>0</v>
      </c>
      <c r="S17" s="58">
        <f t="shared" si="4"/>
        <v>0</v>
      </c>
      <c r="T17" s="86">
        <f t="shared" si="12"/>
        <v>0</v>
      </c>
    </row>
    <row r="18" spans="1:20" s="45" customFormat="1" ht="20.100000000000001" customHeight="1">
      <c r="A18" s="44">
        <v>11</v>
      </c>
      <c r="B18" s="43"/>
      <c r="C18" s="43"/>
      <c r="D18" s="58">
        <f t="shared" si="0"/>
        <v>0</v>
      </c>
      <c r="E18" s="86">
        <f t="shared" si="5"/>
        <v>0</v>
      </c>
      <c r="F18" s="43"/>
      <c r="G18" s="58">
        <f t="shared" si="6"/>
        <v>0</v>
      </c>
      <c r="H18" s="86">
        <f t="shared" si="7"/>
        <v>0</v>
      </c>
      <c r="I18" s="43"/>
      <c r="J18" s="58">
        <f t="shared" si="1"/>
        <v>0</v>
      </c>
      <c r="K18" s="86">
        <f t="shared" si="8"/>
        <v>0</v>
      </c>
      <c r="L18" s="43"/>
      <c r="M18" s="58">
        <f t="shared" si="2"/>
        <v>0</v>
      </c>
      <c r="N18" s="86">
        <f t="shared" si="9"/>
        <v>0</v>
      </c>
      <c r="O18" s="43"/>
      <c r="P18" s="58">
        <f t="shared" si="3"/>
        <v>0</v>
      </c>
      <c r="Q18" s="86">
        <f t="shared" si="10"/>
        <v>0</v>
      </c>
      <c r="R18" s="58">
        <f t="shared" si="11"/>
        <v>0</v>
      </c>
      <c r="S18" s="58">
        <f t="shared" si="4"/>
        <v>0</v>
      </c>
      <c r="T18" s="86">
        <f t="shared" si="12"/>
        <v>0</v>
      </c>
    </row>
    <row r="19" spans="1:20" s="45" customFormat="1" ht="20.100000000000001" customHeight="1">
      <c r="A19" s="44">
        <v>12</v>
      </c>
      <c r="B19" s="43"/>
      <c r="C19" s="43"/>
      <c r="D19" s="58">
        <f t="shared" si="0"/>
        <v>0</v>
      </c>
      <c r="E19" s="86">
        <f t="shared" si="5"/>
        <v>0</v>
      </c>
      <c r="F19" s="43"/>
      <c r="G19" s="58">
        <f t="shared" si="6"/>
        <v>0</v>
      </c>
      <c r="H19" s="86">
        <f t="shared" si="7"/>
        <v>0</v>
      </c>
      <c r="I19" s="43"/>
      <c r="J19" s="58">
        <f t="shared" si="1"/>
        <v>0</v>
      </c>
      <c r="K19" s="86">
        <f t="shared" si="8"/>
        <v>0</v>
      </c>
      <c r="L19" s="43"/>
      <c r="M19" s="58">
        <f t="shared" si="2"/>
        <v>0</v>
      </c>
      <c r="N19" s="86">
        <f t="shared" si="9"/>
        <v>0</v>
      </c>
      <c r="O19" s="43"/>
      <c r="P19" s="58">
        <f t="shared" si="3"/>
        <v>0</v>
      </c>
      <c r="Q19" s="86">
        <f t="shared" si="10"/>
        <v>0</v>
      </c>
      <c r="R19" s="58">
        <f t="shared" si="11"/>
        <v>0</v>
      </c>
      <c r="S19" s="58">
        <f t="shared" si="4"/>
        <v>0</v>
      </c>
      <c r="T19" s="86">
        <f t="shared" si="12"/>
        <v>0</v>
      </c>
    </row>
    <row r="20" spans="1:20" s="45" customFormat="1" ht="20.100000000000001" customHeight="1">
      <c r="A20" s="44" t="s">
        <v>267</v>
      </c>
      <c r="B20" s="58">
        <f>SUM(B8:B19)</f>
        <v>0</v>
      </c>
      <c r="C20" s="58">
        <f>SUM(C8:C19)</f>
        <v>0</v>
      </c>
      <c r="D20" s="58">
        <f t="shared" si="0"/>
        <v>0</v>
      </c>
      <c r="E20" s="103" t="s">
        <v>350</v>
      </c>
      <c r="F20" s="58">
        <f>SUM(F8:F19)</f>
        <v>0</v>
      </c>
      <c r="G20" s="58">
        <f t="shared" si="6"/>
        <v>0</v>
      </c>
      <c r="H20" s="103" t="s">
        <v>350</v>
      </c>
      <c r="I20" s="58">
        <f>SUM(I8:I19)</f>
        <v>0</v>
      </c>
      <c r="J20" s="58">
        <f t="shared" si="1"/>
        <v>0</v>
      </c>
      <c r="K20" s="103" t="s">
        <v>350</v>
      </c>
      <c r="L20" s="58">
        <f>SUM(L8:L19)</f>
        <v>0</v>
      </c>
      <c r="M20" s="58">
        <f t="shared" si="2"/>
        <v>0</v>
      </c>
      <c r="N20" s="103" t="s">
        <v>350</v>
      </c>
      <c r="O20" s="58">
        <f>SUM(O8:O19)</f>
        <v>0</v>
      </c>
      <c r="P20" s="58">
        <f t="shared" si="3"/>
        <v>0</v>
      </c>
      <c r="Q20" s="103" t="s">
        <v>350</v>
      </c>
      <c r="R20" s="58">
        <f>SUM(R8:R19)</f>
        <v>0</v>
      </c>
      <c r="S20" s="58">
        <f t="shared" si="4"/>
        <v>0</v>
      </c>
      <c r="T20" s="103" t="s">
        <v>350</v>
      </c>
    </row>
    <row r="21" spans="1:20" s="45" customFormat="1" ht="20.100000000000001" customHeight="1">
      <c r="A21" s="84" t="s">
        <v>321</v>
      </c>
      <c r="B21" s="85"/>
      <c r="C21" s="85"/>
      <c r="D21" s="85"/>
      <c r="E21" s="85"/>
      <c r="F21" s="85"/>
      <c r="G21" s="85"/>
      <c r="H21" s="85"/>
      <c r="I21" s="85"/>
      <c r="J21" s="85"/>
      <c r="K21" s="85"/>
      <c r="L21" s="85"/>
      <c r="M21" s="85"/>
      <c r="N21" s="85"/>
      <c r="O21" s="85"/>
      <c r="P21" s="85"/>
      <c r="Q21" s="85"/>
      <c r="R21" s="85"/>
      <c r="S21" s="85"/>
      <c r="T21" s="85"/>
    </row>
    <row r="22" spans="1:20" ht="20.100000000000001" customHeight="1">
      <c r="A22" s="260" t="s">
        <v>125</v>
      </c>
      <c r="B22" s="260" t="s">
        <v>322</v>
      </c>
      <c r="C22" s="77" t="s">
        <v>323</v>
      </c>
      <c r="D22" s="77"/>
      <c r="E22" s="77"/>
      <c r="F22" s="77" t="s">
        <v>324</v>
      </c>
      <c r="G22" s="77"/>
      <c r="H22" s="77"/>
      <c r="I22" s="77" t="s">
        <v>325</v>
      </c>
      <c r="J22" s="77"/>
      <c r="K22" s="77"/>
      <c r="L22" s="77" t="s">
        <v>128</v>
      </c>
      <c r="M22" s="77"/>
      <c r="N22" s="77"/>
      <c r="O22" s="77" t="s">
        <v>128</v>
      </c>
      <c r="P22" s="77"/>
      <c r="Q22" s="77"/>
      <c r="R22" s="77" t="s">
        <v>326</v>
      </c>
      <c r="S22" s="77"/>
      <c r="T22" s="77"/>
    </row>
    <row r="23" spans="1:20" ht="45.75" customHeight="1">
      <c r="A23" s="260"/>
      <c r="B23" s="260"/>
      <c r="C23" s="78" t="s">
        <v>67</v>
      </c>
      <c r="D23" s="78" t="s">
        <v>327</v>
      </c>
      <c r="E23" s="78" t="s">
        <v>328</v>
      </c>
      <c r="F23" s="78" t="s">
        <v>67</v>
      </c>
      <c r="G23" s="78" t="s">
        <v>327</v>
      </c>
      <c r="H23" s="78" t="s">
        <v>328</v>
      </c>
      <c r="I23" s="78" t="s">
        <v>67</v>
      </c>
      <c r="J23" s="78" t="s">
        <v>327</v>
      </c>
      <c r="K23" s="78" t="s">
        <v>328</v>
      </c>
      <c r="L23" s="78" t="s">
        <v>67</v>
      </c>
      <c r="M23" s="78" t="s">
        <v>327</v>
      </c>
      <c r="N23" s="78" t="s">
        <v>328</v>
      </c>
      <c r="O23" s="78" t="s">
        <v>67</v>
      </c>
      <c r="P23" s="78" t="s">
        <v>327</v>
      </c>
      <c r="Q23" s="78" t="s">
        <v>328</v>
      </c>
      <c r="R23" s="78" t="s">
        <v>67</v>
      </c>
      <c r="S23" s="78" t="s">
        <v>327</v>
      </c>
      <c r="T23" s="78" t="s">
        <v>328</v>
      </c>
    </row>
    <row r="24" spans="1:20" s="45" customFormat="1" ht="20.100000000000001" customHeight="1">
      <c r="A24" s="44">
        <v>1</v>
      </c>
      <c r="B24" s="43"/>
      <c r="C24" s="43"/>
      <c r="D24" s="58">
        <f t="shared" ref="D24:D36" si="13">IF($B24=0,0,$C24/$B24)</f>
        <v>0</v>
      </c>
      <c r="E24" s="86">
        <f>IF($D$20=0,0,($D24-$D$20)/$D$20)</f>
        <v>0</v>
      </c>
      <c r="F24" s="43"/>
      <c r="G24" s="58">
        <f t="shared" ref="G24:G36" si="14">IF($B24=0,0,$F24/$B24)</f>
        <v>0</v>
      </c>
      <c r="H24" s="86">
        <f>IF($G$20=0,0,($G24-$G$20)/$G$20)</f>
        <v>0</v>
      </c>
      <c r="I24" s="43"/>
      <c r="J24" s="58">
        <f t="shared" ref="J24:J36" si="15">IF($B24=0,0,$I24/$B24)</f>
        <v>0</v>
      </c>
      <c r="K24" s="86">
        <f>IF($J$20=0,0,($J24-$J$20)/$J$20)</f>
        <v>0</v>
      </c>
      <c r="L24" s="43"/>
      <c r="M24" s="58">
        <f t="shared" ref="M24:M36" si="16">IF($B24=0,0,$L24/$B24)</f>
        <v>0</v>
      </c>
      <c r="N24" s="86">
        <f>IF($M$20=0,0,($M24-$M$20)/$M$20)</f>
        <v>0</v>
      </c>
      <c r="O24" s="43"/>
      <c r="P24" s="58">
        <f t="shared" ref="P24:P36" si="17">IF($B24=0,0,$O24/$B24)</f>
        <v>0</v>
      </c>
      <c r="Q24" s="86">
        <f>IF($P$20=0,0,($P24-$P$20)/$P$20)</f>
        <v>0</v>
      </c>
      <c r="R24" s="58">
        <f>SUM(C24,F24,I24,L24,O24)</f>
        <v>0</v>
      </c>
      <c r="S24" s="58">
        <f t="shared" ref="S24:S36" si="18">IF($B24=0,0,$R24/$B24)</f>
        <v>0</v>
      </c>
      <c r="T24" s="86">
        <f>IF($S$20=0,0,($S24-$S$20)/$S$20)</f>
        <v>0</v>
      </c>
    </row>
    <row r="25" spans="1:20" s="45" customFormat="1" ht="20.100000000000001" customHeight="1">
      <c r="A25" s="44">
        <v>2</v>
      </c>
      <c r="B25" s="43"/>
      <c r="C25" s="43"/>
      <c r="D25" s="58">
        <f t="shared" si="13"/>
        <v>0</v>
      </c>
      <c r="E25" s="86">
        <f t="shared" ref="E25:E35" si="19">IF($D$20=0,0,($D25-$D$20)/$D$20)</f>
        <v>0</v>
      </c>
      <c r="F25" s="43"/>
      <c r="G25" s="58">
        <f t="shared" si="14"/>
        <v>0</v>
      </c>
      <c r="H25" s="86">
        <f t="shared" ref="H25:H35" si="20">IF($G$20=0,0,($G25-$G$20)/$G$20)</f>
        <v>0</v>
      </c>
      <c r="I25" s="43"/>
      <c r="J25" s="58">
        <f t="shared" si="15"/>
        <v>0</v>
      </c>
      <c r="K25" s="86">
        <f t="shared" ref="K25:K35" si="21">IF($J$20=0,0,($J25-$J$20)/$J$20)</f>
        <v>0</v>
      </c>
      <c r="L25" s="43"/>
      <c r="M25" s="58">
        <f t="shared" si="16"/>
        <v>0</v>
      </c>
      <c r="N25" s="86">
        <f t="shared" ref="N25:N35" si="22">IF($M$20=0,0,($M25-$M$20)/$M$20)</f>
        <v>0</v>
      </c>
      <c r="O25" s="43"/>
      <c r="P25" s="58">
        <f t="shared" si="17"/>
        <v>0</v>
      </c>
      <c r="Q25" s="86">
        <f t="shared" ref="Q25:Q35" si="23">IF($P$20=0,0,($P25-$P$20)/$P$20)</f>
        <v>0</v>
      </c>
      <c r="R25" s="58">
        <f t="shared" ref="R25:R35" si="24">SUM(C25,F25,I25,L25,O25)</f>
        <v>0</v>
      </c>
      <c r="S25" s="58">
        <f t="shared" si="18"/>
        <v>0</v>
      </c>
      <c r="T25" s="86">
        <f t="shared" ref="T25:T36" si="25">IF($S$20=0,0,($S25-$S$20)/$S$20)</f>
        <v>0</v>
      </c>
    </row>
    <row r="26" spans="1:20" s="45" customFormat="1" ht="20.100000000000001" customHeight="1">
      <c r="A26" s="44">
        <v>3</v>
      </c>
      <c r="B26" s="43"/>
      <c r="C26" s="43"/>
      <c r="D26" s="58">
        <f t="shared" si="13"/>
        <v>0</v>
      </c>
      <c r="E26" s="86">
        <f t="shared" si="19"/>
        <v>0</v>
      </c>
      <c r="F26" s="43"/>
      <c r="G26" s="58">
        <f t="shared" si="14"/>
        <v>0</v>
      </c>
      <c r="H26" s="86">
        <f t="shared" si="20"/>
        <v>0</v>
      </c>
      <c r="I26" s="43"/>
      <c r="J26" s="58">
        <f t="shared" si="15"/>
        <v>0</v>
      </c>
      <c r="K26" s="86">
        <f t="shared" si="21"/>
        <v>0</v>
      </c>
      <c r="L26" s="43"/>
      <c r="M26" s="58">
        <f t="shared" si="16"/>
        <v>0</v>
      </c>
      <c r="N26" s="86">
        <f t="shared" si="22"/>
        <v>0</v>
      </c>
      <c r="O26" s="43"/>
      <c r="P26" s="58">
        <f t="shared" si="17"/>
        <v>0</v>
      </c>
      <c r="Q26" s="86">
        <f t="shared" si="23"/>
        <v>0</v>
      </c>
      <c r="R26" s="58">
        <f t="shared" si="24"/>
        <v>0</v>
      </c>
      <c r="S26" s="58">
        <f t="shared" si="18"/>
        <v>0</v>
      </c>
      <c r="T26" s="86">
        <f t="shared" si="25"/>
        <v>0</v>
      </c>
    </row>
    <row r="27" spans="1:20" s="45" customFormat="1" ht="20.100000000000001" customHeight="1">
      <c r="A27" s="44">
        <v>4</v>
      </c>
      <c r="B27" s="43"/>
      <c r="C27" s="43"/>
      <c r="D27" s="58">
        <f t="shared" si="13"/>
        <v>0</v>
      </c>
      <c r="E27" s="86">
        <f t="shared" si="19"/>
        <v>0</v>
      </c>
      <c r="F27" s="43"/>
      <c r="G27" s="58">
        <f t="shared" si="14"/>
        <v>0</v>
      </c>
      <c r="H27" s="86">
        <f t="shared" si="20"/>
        <v>0</v>
      </c>
      <c r="I27" s="43"/>
      <c r="J27" s="58">
        <f t="shared" si="15"/>
        <v>0</v>
      </c>
      <c r="K27" s="86">
        <f t="shared" si="21"/>
        <v>0</v>
      </c>
      <c r="L27" s="43"/>
      <c r="M27" s="58">
        <f t="shared" si="16"/>
        <v>0</v>
      </c>
      <c r="N27" s="86">
        <f t="shared" si="22"/>
        <v>0</v>
      </c>
      <c r="O27" s="43"/>
      <c r="P27" s="58">
        <f t="shared" si="17"/>
        <v>0</v>
      </c>
      <c r="Q27" s="86">
        <f t="shared" si="23"/>
        <v>0</v>
      </c>
      <c r="R27" s="58">
        <f t="shared" si="24"/>
        <v>0</v>
      </c>
      <c r="S27" s="58">
        <f t="shared" si="18"/>
        <v>0</v>
      </c>
      <c r="T27" s="86">
        <f t="shared" si="25"/>
        <v>0</v>
      </c>
    </row>
    <row r="28" spans="1:20" s="45" customFormat="1" ht="20.100000000000001" customHeight="1">
      <c r="A28" s="44">
        <v>5</v>
      </c>
      <c r="B28" s="43"/>
      <c r="C28" s="43"/>
      <c r="D28" s="58">
        <f t="shared" si="13"/>
        <v>0</v>
      </c>
      <c r="E28" s="86">
        <f t="shared" si="19"/>
        <v>0</v>
      </c>
      <c r="F28" s="43"/>
      <c r="G28" s="58">
        <f t="shared" si="14"/>
        <v>0</v>
      </c>
      <c r="H28" s="86">
        <f t="shared" si="20"/>
        <v>0</v>
      </c>
      <c r="I28" s="43"/>
      <c r="J28" s="58">
        <f t="shared" si="15"/>
        <v>0</v>
      </c>
      <c r="K28" s="86">
        <f t="shared" si="21"/>
        <v>0</v>
      </c>
      <c r="L28" s="43"/>
      <c r="M28" s="58">
        <f t="shared" si="16"/>
        <v>0</v>
      </c>
      <c r="N28" s="86">
        <f t="shared" si="22"/>
        <v>0</v>
      </c>
      <c r="O28" s="43"/>
      <c r="P28" s="58">
        <f t="shared" si="17"/>
        <v>0</v>
      </c>
      <c r="Q28" s="86">
        <f t="shared" si="23"/>
        <v>0</v>
      </c>
      <c r="R28" s="58">
        <f t="shared" si="24"/>
        <v>0</v>
      </c>
      <c r="S28" s="58">
        <f t="shared" si="18"/>
        <v>0</v>
      </c>
      <c r="T28" s="86">
        <f t="shared" si="25"/>
        <v>0</v>
      </c>
    </row>
    <row r="29" spans="1:20" s="45" customFormat="1" ht="20.100000000000001" customHeight="1">
      <c r="A29" s="44">
        <v>6</v>
      </c>
      <c r="B29" s="43"/>
      <c r="C29" s="43"/>
      <c r="D29" s="58">
        <f t="shared" si="13"/>
        <v>0</v>
      </c>
      <c r="E29" s="86">
        <f t="shared" si="19"/>
        <v>0</v>
      </c>
      <c r="F29" s="43"/>
      <c r="G29" s="58">
        <f t="shared" si="14"/>
        <v>0</v>
      </c>
      <c r="H29" s="86">
        <f t="shared" si="20"/>
        <v>0</v>
      </c>
      <c r="I29" s="43"/>
      <c r="J29" s="58">
        <f t="shared" si="15"/>
        <v>0</v>
      </c>
      <c r="K29" s="86">
        <f t="shared" si="21"/>
        <v>0</v>
      </c>
      <c r="L29" s="43"/>
      <c r="M29" s="58">
        <f t="shared" si="16"/>
        <v>0</v>
      </c>
      <c r="N29" s="86">
        <f t="shared" si="22"/>
        <v>0</v>
      </c>
      <c r="O29" s="43"/>
      <c r="P29" s="58">
        <f t="shared" si="17"/>
        <v>0</v>
      </c>
      <c r="Q29" s="86">
        <f t="shared" si="23"/>
        <v>0</v>
      </c>
      <c r="R29" s="58">
        <f t="shared" si="24"/>
        <v>0</v>
      </c>
      <c r="S29" s="58">
        <f t="shared" si="18"/>
        <v>0</v>
      </c>
      <c r="T29" s="86">
        <f t="shared" si="25"/>
        <v>0</v>
      </c>
    </row>
    <row r="30" spans="1:20" s="45" customFormat="1" ht="20.100000000000001" customHeight="1">
      <c r="A30" s="44">
        <v>7</v>
      </c>
      <c r="B30" s="43"/>
      <c r="C30" s="43"/>
      <c r="D30" s="58">
        <f t="shared" si="13"/>
        <v>0</v>
      </c>
      <c r="E30" s="86">
        <f t="shared" si="19"/>
        <v>0</v>
      </c>
      <c r="F30" s="43"/>
      <c r="G30" s="58">
        <f t="shared" si="14"/>
        <v>0</v>
      </c>
      <c r="H30" s="86">
        <f t="shared" si="20"/>
        <v>0</v>
      </c>
      <c r="I30" s="43"/>
      <c r="J30" s="58">
        <f t="shared" si="15"/>
        <v>0</v>
      </c>
      <c r="K30" s="86">
        <f t="shared" si="21"/>
        <v>0</v>
      </c>
      <c r="L30" s="43"/>
      <c r="M30" s="58">
        <f t="shared" si="16"/>
        <v>0</v>
      </c>
      <c r="N30" s="86">
        <f t="shared" si="22"/>
        <v>0</v>
      </c>
      <c r="O30" s="43"/>
      <c r="P30" s="58">
        <f t="shared" si="17"/>
        <v>0</v>
      </c>
      <c r="Q30" s="86">
        <f t="shared" si="23"/>
        <v>0</v>
      </c>
      <c r="R30" s="58">
        <f t="shared" si="24"/>
        <v>0</v>
      </c>
      <c r="S30" s="58">
        <f t="shared" si="18"/>
        <v>0</v>
      </c>
      <c r="T30" s="86">
        <f t="shared" si="25"/>
        <v>0</v>
      </c>
    </row>
    <row r="31" spans="1:20" s="45" customFormat="1" ht="20.100000000000001" customHeight="1">
      <c r="A31" s="44">
        <v>8</v>
      </c>
      <c r="B31" s="43"/>
      <c r="C31" s="43"/>
      <c r="D31" s="58">
        <f t="shared" si="13"/>
        <v>0</v>
      </c>
      <c r="E31" s="86">
        <f t="shared" si="19"/>
        <v>0</v>
      </c>
      <c r="F31" s="43"/>
      <c r="G31" s="58">
        <f t="shared" si="14"/>
        <v>0</v>
      </c>
      <c r="H31" s="86">
        <f t="shared" si="20"/>
        <v>0</v>
      </c>
      <c r="I31" s="43"/>
      <c r="J31" s="58">
        <f t="shared" si="15"/>
        <v>0</v>
      </c>
      <c r="K31" s="86">
        <f t="shared" si="21"/>
        <v>0</v>
      </c>
      <c r="L31" s="43"/>
      <c r="M31" s="58">
        <f t="shared" si="16"/>
        <v>0</v>
      </c>
      <c r="N31" s="86">
        <f t="shared" si="22"/>
        <v>0</v>
      </c>
      <c r="O31" s="43"/>
      <c r="P31" s="58">
        <f t="shared" si="17"/>
        <v>0</v>
      </c>
      <c r="Q31" s="86">
        <f t="shared" si="23"/>
        <v>0</v>
      </c>
      <c r="R31" s="58">
        <f t="shared" si="24"/>
        <v>0</v>
      </c>
      <c r="S31" s="58">
        <f t="shared" si="18"/>
        <v>0</v>
      </c>
      <c r="T31" s="86">
        <f t="shared" si="25"/>
        <v>0</v>
      </c>
    </row>
    <row r="32" spans="1:20" s="45" customFormat="1" ht="20.100000000000001" customHeight="1">
      <c r="A32" s="44">
        <v>9</v>
      </c>
      <c r="B32" s="43"/>
      <c r="C32" s="43"/>
      <c r="D32" s="58">
        <f t="shared" si="13"/>
        <v>0</v>
      </c>
      <c r="E32" s="86">
        <f t="shared" si="19"/>
        <v>0</v>
      </c>
      <c r="F32" s="43"/>
      <c r="G32" s="58">
        <f t="shared" si="14"/>
        <v>0</v>
      </c>
      <c r="H32" s="86">
        <f t="shared" si="20"/>
        <v>0</v>
      </c>
      <c r="I32" s="43"/>
      <c r="J32" s="58">
        <f t="shared" si="15"/>
        <v>0</v>
      </c>
      <c r="K32" s="86">
        <f t="shared" si="21"/>
        <v>0</v>
      </c>
      <c r="L32" s="43"/>
      <c r="M32" s="58">
        <f t="shared" si="16"/>
        <v>0</v>
      </c>
      <c r="N32" s="86">
        <f t="shared" si="22"/>
        <v>0</v>
      </c>
      <c r="O32" s="43"/>
      <c r="P32" s="58">
        <f t="shared" si="17"/>
        <v>0</v>
      </c>
      <c r="Q32" s="86">
        <f t="shared" si="23"/>
        <v>0</v>
      </c>
      <c r="R32" s="58">
        <f t="shared" si="24"/>
        <v>0</v>
      </c>
      <c r="S32" s="58">
        <f t="shared" si="18"/>
        <v>0</v>
      </c>
      <c r="T32" s="86">
        <f t="shared" si="25"/>
        <v>0</v>
      </c>
    </row>
    <row r="33" spans="1:20" s="45" customFormat="1" ht="20.100000000000001" customHeight="1">
      <c r="A33" s="44">
        <v>10</v>
      </c>
      <c r="B33" s="43"/>
      <c r="C33" s="43"/>
      <c r="D33" s="58">
        <f t="shared" si="13"/>
        <v>0</v>
      </c>
      <c r="E33" s="86">
        <f t="shared" si="19"/>
        <v>0</v>
      </c>
      <c r="F33" s="43"/>
      <c r="G33" s="58">
        <f t="shared" si="14"/>
        <v>0</v>
      </c>
      <c r="H33" s="86">
        <f t="shared" si="20"/>
        <v>0</v>
      </c>
      <c r="I33" s="43"/>
      <c r="J33" s="58">
        <f t="shared" si="15"/>
        <v>0</v>
      </c>
      <c r="K33" s="86">
        <f t="shared" si="21"/>
        <v>0</v>
      </c>
      <c r="L33" s="43"/>
      <c r="M33" s="58">
        <f t="shared" si="16"/>
        <v>0</v>
      </c>
      <c r="N33" s="86">
        <f t="shared" si="22"/>
        <v>0</v>
      </c>
      <c r="O33" s="43"/>
      <c r="P33" s="58">
        <f t="shared" si="17"/>
        <v>0</v>
      </c>
      <c r="Q33" s="86">
        <f t="shared" si="23"/>
        <v>0</v>
      </c>
      <c r="R33" s="58">
        <f t="shared" si="24"/>
        <v>0</v>
      </c>
      <c r="S33" s="58">
        <f t="shared" si="18"/>
        <v>0</v>
      </c>
      <c r="T33" s="86">
        <f t="shared" si="25"/>
        <v>0</v>
      </c>
    </row>
    <row r="34" spans="1:20" s="45" customFormat="1" ht="20.100000000000001" customHeight="1">
      <c r="A34" s="44">
        <v>11</v>
      </c>
      <c r="B34" s="43"/>
      <c r="C34" s="43"/>
      <c r="D34" s="58">
        <f t="shared" si="13"/>
        <v>0</v>
      </c>
      <c r="E34" s="86">
        <f t="shared" si="19"/>
        <v>0</v>
      </c>
      <c r="F34" s="43"/>
      <c r="G34" s="58">
        <f t="shared" si="14"/>
        <v>0</v>
      </c>
      <c r="H34" s="86">
        <f t="shared" si="20"/>
        <v>0</v>
      </c>
      <c r="I34" s="43"/>
      <c r="J34" s="58">
        <f t="shared" si="15"/>
        <v>0</v>
      </c>
      <c r="K34" s="86">
        <f t="shared" si="21"/>
        <v>0</v>
      </c>
      <c r="L34" s="43"/>
      <c r="M34" s="58">
        <f t="shared" si="16"/>
        <v>0</v>
      </c>
      <c r="N34" s="86">
        <f t="shared" si="22"/>
        <v>0</v>
      </c>
      <c r="O34" s="43"/>
      <c r="P34" s="58">
        <f t="shared" si="17"/>
        <v>0</v>
      </c>
      <c r="Q34" s="86">
        <f t="shared" si="23"/>
        <v>0</v>
      </c>
      <c r="R34" s="58">
        <f t="shared" si="24"/>
        <v>0</v>
      </c>
      <c r="S34" s="58">
        <f t="shared" si="18"/>
        <v>0</v>
      </c>
      <c r="T34" s="86">
        <f t="shared" si="25"/>
        <v>0</v>
      </c>
    </row>
    <row r="35" spans="1:20" s="45" customFormat="1" ht="20.100000000000001" customHeight="1">
      <c r="A35" s="44">
        <v>12</v>
      </c>
      <c r="B35" s="43"/>
      <c r="C35" s="43"/>
      <c r="D35" s="58">
        <f t="shared" si="13"/>
        <v>0</v>
      </c>
      <c r="E35" s="86">
        <f t="shared" si="19"/>
        <v>0</v>
      </c>
      <c r="F35" s="43"/>
      <c r="G35" s="58">
        <f t="shared" si="14"/>
        <v>0</v>
      </c>
      <c r="H35" s="86">
        <f t="shared" si="20"/>
        <v>0</v>
      </c>
      <c r="I35" s="43"/>
      <c r="J35" s="58">
        <f t="shared" si="15"/>
        <v>0</v>
      </c>
      <c r="K35" s="86">
        <f t="shared" si="21"/>
        <v>0</v>
      </c>
      <c r="L35" s="43"/>
      <c r="M35" s="58">
        <f t="shared" si="16"/>
        <v>0</v>
      </c>
      <c r="N35" s="86">
        <f t="shared" si="22"/>
        <v>0</v>
      </c>
      <c r="O35" s="43"/>
      <c r="P35" s="58">
        <f t="shared" si="17"/>
        <v>0</v>
      </c>
      <c r="Q35" s="86">
        <f t="shared" si="23"/>
        <v>0</v>
      </c>
      <c r="R35" s="58">
        <f t="shared" si="24"/>
        <v>0</v>
      </c>
      <c r="S35" s="58">
        <f t="shared" si="18"/>
        <v>0</v>
      </c>
      <c r="T35" s="86">
        <f t="shared" si="25"/>
        <v>0</v>
      </c>
    </row>
    <row r="36" spans="1:20" s="45" customFormat="1" ht="20.100000000000001" customHeight="1">
      <c r="A36" s="44" t="s">
        <v>267</v>
      </c>
      <c r="B36" s="58">
        <f>SUM(B24:B35)</f>
        <v>0</v>
      </c>
      <c r="C36" s="58">
        <f>SUM(C24:C35)</f>
        <v>0</v>
      </c>
      <c r="D36" s="58">
        <f t="shared" si="13"/>
        <v>0</v>
      </c>
      <c r="E36" s="103" t="s">
        <v>350</v>
      </c>
      <c r="F36" s="58">
        <f>SUM(F24:F35)</f>
        <v>0</v>
      </c>
      <c r="G36" s="58">
        <f t="shared" si="14"/>
        <v>0</v>
      </c>
      <c r="H36" s="103" t="s">
        <v>350</v>
      </c>
      <c r="I36" s="58">
        <f>SUM(I24:I35)</f>
        <v>0</v>
      </c>
      <c r="J36" s="58">
        <f t="shared" si="15"/>
        <v>0</v>
      </c>
      <c r="K36" s="103" t="s">
        <v>350</v>
      </c>
      <c r="L36" s="58">
        <f>SUM(L24:L35)</f>
        <v>0</v>
      </c>
      <c r="M36" s="58">
        <f t="shared" si="16"/>
        <v>0</v>
      </c>
      <c r="N36" s="103" t="s">
        <v>350</v>
      </c>
      <c r="O36" s="58">
        <f>SUM(O24:O35)</f>
        <v>0</v>
      </c>
      <c r="P36" s="58">
        <f t="shared" si="17"/>
        <v>0</v>
      </c>
      <c r="Q36" s="103" t="s">
        <v>350</v>
      </c>
      <c r="R36" s="58">
        <f>SUM(R24:R35)</f>
        <v>0</v>
      </c>
      <c r="S36" s="58">
        <f t="shared" si="18"/>
        <v>0</v>
      </c>
      <c r="T36" s="86">
        <f t="shared" si="25"/>
        <v>0</v>
      </c>
    </row>
    <row r="37" spans="1:20" s="87" customFormat="1" ht="20.100000000000001" customHeight="1">
      <c r="A37" s="88" t="s">
        <v>329</v>
      </c>
    </row>
    <row r="38" spans="1:20" s="87" customFormat="1" ht="20.100000000000001" customHeight="1"/>
    <row r="39" spans="1:20" s="87" customFormat="1" ht="20.100000000000001" customHeight="1"/>
    <row r="40" spans="1:20" s="87" customFormat="1" ht="20.100000000000001" customHeight="1">
      <c r="A40" s="88" t="s">
        <v>330</v>
      </c>
    </row>
    <row r="41" spans="1:20" s="87" customFormat="1" ht="20.100000000000001" customHeight="1"/>
  </sheetData>
  <mergeCells count="6">
    <mergeCell ref="A6:A7"/>
    <mergeCell ref="B6:B7"/>
    <mergeCell ref="A2:T2"/>
    <mergeCell ref="A1:T1"/>
    <mergeCell ref="A22:A23"/>
    <mergeCell ref="B22:B23"/>
  </mergeCells>
  <phoneticPr fontId="14" type="noConversion"/>
  <printOptions horizontalCentered="1"/>
  <pageMargins left="0.74803149606299213" right="0.74803149606299213" top="0.98425196850393704" bottom="0.98425196850393704" header="0.51181102362204722" footer="0.51181102362204722"/>
  <pageSetup paperSize="9" scale="67" fitToHeight="0" orientation="landscape" blackAndWhite="1" r:id="rId1"/>
  <headerFooter alignWithMargins="0"/>
  <rowBreaks count="1" manualBreakCount="1">
    <brk id="20" max="19"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FFFF00"/>
    <pageSetUpPr fitToPage="1"/>
  </sheetPr>
  <dimension ref="A1:P25"/>
  <sheetViews>
    <sheetView view="pageBreakPreview" zoomScaleSheetLayoutView="100" workbookViewId="0">
      <selection activeCell="S9" sqref="S9"/>
    </sheetView>
  </sheetViews>
  <sheetFormatPr defaultRowHeight="15.6"/>
  <cols>
    <col min="1" max="1" width="16" style="73" customWidth="1"/>
    <col min="2" max="254" width="9" style="73"/>
    <col min="255" max="255" width="16" style="73" customWidth="1"/>
    <col min="256" max="510" width="9" style="73"/>
    <col min="511" max="511" width="16" style="73" customWidth="1"/>
    <col min="512" max="766" width="9" style="73"/>
    <col min="767" max="767" width="16" style="73" customWidth="1"/>
    <col min="768" max="1022" width="9" style="73"/>
    <col min="1023" max="1023" width="16" style="73" customWidth="1"/>
    <col min="1024" max="1278" width="9" style="73"/>
    <col min="1279" max="1279" width="16" style="73" customWidth="1"/>
    <col min="1280" max="1534" width="9" style="73"/>
    <col min="1535" max="1535" width="16" style="73" customWidth="1"/>
    <col min="1536" max="1790" width="9" style="73"/>
    <col min="1791" max="1791" width="16" style="73" customWidth="1"/>
    <col min="1792" max="2046" width="9" style="73"/>
    <col min="2047" max="2047" width="16" style="73" customWidth="1"/>
    <col min="2048" max="2302" width="9" style="73"/>
    <col min="2303" max="2303" width="16" style="73" customWidth="1"/>
    <col min="2304" max="2558" width="9" style="73"/>
    <col min="2559" max="2559" width="16" style="73" customWidth="1"/>
    <col min="2560" max="2814" width="9" style="73"/>
    <col min="2815" max="2815" width="16" style="73" customWidth="1"/>
    <col min="2816" max="3070" width="9" style="73"/>
    <col min="3071" max="3071" width="16" style="73" customWidth="1"/>
    <col min="3072" max="3326" width="9" style="73"/>
    <col min="3327" max="3327" width="16" style="73" customWidth="1"/>
    <col min="3328" max="3582" width="9" style="73"/>
    <col min="3583" max="3583" width="16" style="73" customWidth="1"/>
    <col min="3584" max="3838" width="9" style="73"/>
    <col min="3839" max="3839" width="16" style="73" customWidth="1"/>
    <col min="3840" max="4094" width="9" style="73"/>
    <col min="4095" max="4095" width="16" style="73" customWidth="1"/>
    <col min="4096" max="4350" width="9" style="73"/>
    <col min="4351" max="4351" width="16" style="73" customWidth="1"/>
    <col min="4352" max="4606" width="9" style="73"/>
    <col min="4607" max="4607" width="16" style="73" customWidth="1"/>
    <col min="4608" max="4862" width="9" style="73"/>
    <col min="4863" max="4863" width="16" style="73" customWidth="1"/>
    <col min="4864" max="5118" width="9" style="73"/>
    <col min="5119" max="5119" width="16" style="73" customWidth="1"/>
    <col min="5120" max="5374" width="9" style="73"/>
    <col min="5375" max="5375" width="16" style="73" customWidth="1"/>
    <col min="5376" max="5630" width="9" style="73"/>
    <col min="5631" max="5631" width="16" style="73" customWidth="1"/>
    <col min="5632" max="5886" width="9" style="73"/>
    <col min="5887" max="5887" width="16" style="73" customWidth="1"/>
    <col min="5888" max="6142" width="9" style="73"/>
    <col min="6143" max="6143" width="16" style="73" customWidth="1"/>
    <col min="6144" max="6398" width="9" style="73"/>
    <col min="6399" max="6399" width="16" style="73" customWidth="1"/>
    <col min="6400" max="6654" width="9" style="73"/>
    <col min="6655" max="6655" width="16" style="73" customWidth="1"/>
    <col min="6656" max="6910" width="9" style="73"/>
    <col min="6911" max="6911" width="16" style="73" customWidth="1"/>
    <col min="6912" max="7166" width="9" style="73"/>
    <col min="7167" max="7167" width="16" style="73" customWidth="1"/>
    <col min="7168" max="7422" width="9" style="73"/>
    <col min="7423" max="7423" width="16" style="73" customWidth="1"/>
    <col min="7424" max="7678" width="9" style="73"/>
    <col min="7679" max="7679" width="16" style="73" customWidth="1"/>
    <col min="7680" max="7934" width="9" style="73"/>
    <col min="7935" max="7935" width="16" style="73" customWidth="1"/>
    <col min="7936" max="8190" width="9" style="73"/>
    <col min="8191" max="8191" width="16" style="73" customWidth="1"/>
    <col min="8192" max="8446" width="9" style="73"/>
    <col min="8447" max="8447" width="16" style="73" customWidth="1"/>
    <col min="8448" max="8702" width="9" style="73"/>
    <col min="8703" max="8703" width="16" style="73" customWidth="1"/>
    <col min="8704" max="8958" width="9" style="73"/>
    <col min="8959" max="8959" width="16" style="73" customWidth="1"/>
    <col min="8960" max="9214" width="9" style="73"/>
    <col min="9215" max="9215" width="16" style="73" customWidth="1"/>
    <col min="9216" max="9470" width="9" style="73"/>
    <col min="9471" max="9471" width="16" style="73" customWidth="1"/>
    <col min="9472" max="9726" width="9" style="73"/>
    <col min="9727" max="9727" width="16" style="73" customWidth="1"/>
    <col min="9728" max="9982" width="9" style="73"/>
    <col min="9983" max="9983" width="16" style="73" customWidth="1"/>
    <col min="9984" max="10238" width="9" style="73"/>
    <col min="10239" max="10239" width="16" style="73" customWidth="1"/>
    <col min="10240" max="10494" width="9" style="73"/>
    <col min="10495" max="10495" width="16" style="73" customWidth="1"/>
    <col min="10496" max="10750" width="9" style="73"/>
    <col min="10751" max="10751" width="16" style="73" customWidth="1"/>
    <col min="10752" max="11006" width="9" style="73"/>
    <col min="11007" max="11007" width="16" style="73" customWidth="1"/>
    <col min="11008" max="11262" width="9" style="73"/>
    <col min="11263" max="11263" width="16" style="73" customWidth="1"/>
    <col min="11264" max="11518" width="9" style="73"/>
    <col min="11519" max="11519" width="16" style="73" customWidth="1"/>
    <col min="11520" max="11774" width="9" style="73"/>
    <col min="11775" max="11775" width="16" style="73" customWidth="1"/>
    <col min="11776" max="12030" width="9" style="73"/>
    <col min="12031" max="12031" width="16" style="73" customWidth="1"/>
    <col min="12032" max="12286" width="9" style="73"/>
    <col min="12287" max="12287" width="16" style="73" customWidth="1"/>
    <col min="12288" max="12542" width="9" style="73"/>
    <col min="12543" max="12543" width="16" style="73" customWidth="1"/>
    <col min="12544" max="12798" width="9" style="73"/>
    <col min="12799" max="12799" width="16" style="73" customWidth="1"/>
    <col min="12800" max="13054" width="9" style="73"/>
    <col min="13055" max="13055" width="16" style="73" customWidth="1"/>
    <col min="13056" max="13310" width="9" style="73"/>
    <col min="13311" max="13311" width="16" style="73" customWidth="1"/>
    <col min="13312" max="13566" width="9" style="73"/>
    <col min="13567" max="13567" width="16" style="73" customWidth="1"/>
    <col min="13568" max="13822" width="9" style="73"/>
    <col min="13823" max="13823" width="16" style="73" customWidth="1"/>
    <col min="13824" max="14078" width="9" style="73"/>
    <col min="14079" max="14079" width="16" style="73" customWidth="1"/>
    <col min="14080" max="14334" width="9" style="73"/>
    <col min="14335" max="14335" width="16" style="73" customWidth="1"/>
    <col min="14336" max="14590" width="9" style="73"/>
    <col min="14591" max="14591" width="16" style="73" customWidth="1"/>
    <col min="14592" max="14846" width="9" style="73"/>
    <col min="14847" max="14847" width="16" style="73" customWidth="1"/>
    <col min="14848" max="15102" width="9" style="73"/>
    <col min="15103" max="15103" width="16" style="73" customWidth="1"/>
    <col min="15104" max="15358" width="9" style="73"/>
    <col min="15359" max="15359" width="16" style="73" customWidth="1"/>
    <col min="15360" max="15614" width="9" style="73"/>
    <col min="15615" max="15615" width="16" style="73" customWidth="1"/>
    <col min="15616" max="15870" width="9" style="73"/>
    <col min="15871" max="15871" width="16" style="73" customWidth="1"/>
    <col min="15872" max="16126" width="9" style="73"/>
    <col min="16127" max="16127" width="16" style="73" customWidth="1"/>
    <col min="16128" max="16384" width="9" style="73"/>
  </cols>
  <sheetData>
    <row r="1" spans="1:16" ht="20.100000000000001" customHeight="1">
      <c r="A1" s="263" t="s">
        <v>129</v>
      </c>
      <c r="B1" s="263"/>
      <c r="C1" s="263"/>
      <c r="D1" s="263"/>
      <c r="E1" s="263"/>
      <c r="F1" s="263"/>
      <c r="G1" s="263"/>
      <c r="H1" s="263"/>
      <c r="I1" s="263"/>
      <c r="J1" s="263"/>
      <c r="K1" s="263"/>
      <c r="L1" s="263"/>
      <c r="M1" s="263"/>
      <c r="N1" s="263"/>
      <c r="O1" s="263"/>
      <c r="P1" s="263"/>
    </row>
    <row r="2" spans="1:16" s="45" customFormat="1" ht="25.05" customHeight="1">
      <c r="A2" s="270" t="s">
        <v>355</v>
      </c>
      <c r="B2" s="262"/>
      <c r="C2" s="262"/>
      <c r="D2" s="262"/>
      <c r="E2" s="262"/>
      <c r="F2" s="262"/>
      <c r="G2" s="262"/>
      <c r="H2" s="262"/>
      <c r="I2" s="262"/>
      <c r="J2" s="262"/>
      <c r="K2" s="262"/>
      <c r="L2" s="262"/>
      <c r="M2" s="262"/>
      <c r="N2" s="262"/>
      <c r="O2" s="262"/>
      <c r="P2" s="262"/>
    </row>
    <row r="3" spans="1:16" s="45" customFormat="1" ht="20.100000000000001" customHeight="1">
      <c r="A3" s="74" t="str">
        <f>底稿目录!A2</f>
        <v>被审计单位：</v>
      </c>
      <c r="B3" s="75"/>
      <c r="C3" s="75"/>
      <c r="D3" s="75"/>
      <c r="E3" s="75"/>
      <c r="F3" s="74" t="str">
        <f>底稿目录!A4</f>
        <v>编制人：</v>
      </c>
      <c r="H3" s="75"/>
      <c r="I3" s="75"/>
      <c r="J3" s="75"/>
      <c r="K3" s="76"/>
      <c r="L3" s="76" t="str">
        <f>底稿目录!A5</f>
        <v>编制日期：</v>
      </c>
      <c r="M3" s="100"/>
      <c r="O3" s="76" t="s">
        <v>297</v>
      </c>
      <c r="P3" s="76" t="s">
        <v>354</v>
      </c>
    </row>
    <row r="4" spans="1:16" s="45" customFormat="1" ht="20.100000000000001" customHeight="1">
      <c r="A4" s="74" t="str">
        <f>底稿目录!A3</f>
        <v>截止日：202X年12月31日</v>
      </c>
      <c r="B4" s="75"/>
      <c r="C4" s="75"/>
      <c r="D4" s="75"/>
      <c r="E4" s="75"/>
      <c r="F4" s="74" t="str">
        <f>底稿目录!A6</f>
        <v>复核人：</v>
      </c>
      <c r="H4" s="75"/>
      <c r="I4" s="75"/>
      <c r="J4" s="75"/>
      <c r="K4" s="76"/>
      <c r="L4" s="76" t="str">
        <f>底稿目录!A7</f>
        <v>复核日期：</v>
      </c>
      <c r="M4" s="100"/>
      <c r="O4" s="76" t="s">
        <v>298</v>
      </c>
      <c r="P4" s="76"/>
    </row>
    <row r="5" spans="1:16" ht="20.100000000000001" customHeight="1">
      <c r="A5" s="260" t="s">
        <v>299</v>
      </c>
      <c r="B5" s="107" t="s">
        <v>351</v>
      </c>
      <c r="C5" s="77"/>
      <c r="D5" s="77"/>
      <c r="E5" s="77"/>
      <c r="F5" s="77"/>
      <c r="G5" s="107" t="s">
        <v>352</v>
      </c>
      <c r="H5" s="77"/>
      <c r="I5" s="77"/>
      <c r="J5" s="77"/>
      <c r="K5" s="77"/>
      <c r="L5" s="107" t="s">
        <v>353</v>
      </c>
      <c r="M5" s="77"/>
      <c r="N5" s="77"/>
      <c r="O5" s="260" t="s">
        <v>303</v>
      </c>
      <c r="P5" s="260" t="s">
        <v>304</v>
      </c>
    </row>
    <row r="6" spans="1:16" ht="20.100000000000001" customHeight="1">
      <c r="A6" s="260"/>
      <c r="B6" s="106" t="s">
        <v>305</v>
      </c>
      <c r="C6" s="106" t="s">
        <v>306</v>
      </c>
      <c r="D6" s="106" t="s">
        <v>307</v>
      </c>
      <c r="E6" s="106"/>
      <c r="F6" s="106" t="s">
        <v>308</v>
      </c>
      <c r="G6" s="106" t="s">
        <v>305</v>
      </c>
      <c r="H6" s="106" t="s">
        <v>306</v>
      </c>
      <c r="I6" s="106" t="s">
        <v>307</v>
      </c>
      <c r="J6" s="106"/>
      <c r="K6" s="106" t="s">
        <v>308</v>
      </c>
      <c r="L6" s="106" t="s">
        <v>305</v>
      </c>
      <c r="M6" s="106" t="s">
        <v>306</v>
      </c>
      <c r="N6" s="106" t="s">
        <v>307</v>
      </c>
      <c r="O6" s="260"/>
      <c r="P6" s="260"/>
    </row>
    <row r="7" spans="1:16" ht="20.100000000000001" customHeight="1">
      <c r="A7" s="79"/>
      <c r="B7" s="80"/>
      <c r="C7" s="80"/>
      <c r="D7" s="80"/>
      <c r="E7" s="80"/>
      <c r="F7" s="58">
        <f>SUM(B7:E7)</f>
        <v>0</v>
      </c>
      <c r="G7" s="43"/>
      <c r="H7" s="43"/>
      <c r="I7" s="43"/>
      <c r="J7" s="43"/>
      <c r="K7" s="58">
        <f>SUM(G7:J7)</f>
        <v>0</v>
      </c>
      <c r="L7" s="72" t="e">
        <f>(B7/$F$7)-(G7/$K$7)</f>
        <v>#DIV/0!</v>
      </c>
      <c r="M7" s="72" t="e">
        <f t="shared" ref="M7:N7" si="0">(C7/$F$7)-(H7/$K$7)</f>
        <v>#DIV/0!</v>
      </c>
      <c r="N7" s="72" t="e">
        <f t="shared" si="0"/>
        <v>#DIV/0!</v>
      </c>
      <c r="O7" s="81"/>
      <c r="P7" s="81"/>
    </row>
    <row r="8" spans="1:16" ht="20.100000000000001" customHeight="1">
      <c r="A8" s="79"/>
      <c r="B8" s="80"/>
      <c r="C8" s="80"/>
      <c r="D8" s="80"/>
      <c r="E8" s="80"/>
      <c r="F8" s="58">
        <f t="shared" ref="F8:F25" si="1">SUM(B8:E8)</f>
        <v>0</v>
      </c>
      <c r="G8" s="43"/>
      <c r="H8" s="43"/>
      <c r="I8" s="43"/>
      <c r="J8" s="43"/>
      <c r="K8" s="58">
        <f t="shared" ref="K8:K25" si="2">SUM(G8:J8)</f>
        <v>0</v>
      </c>
      <c r="L8" s="72" t="e">
        <f t="shared" ref="L8:L25" si="3">(B8/$F$7)-(G8/$K$7)</f>
        <v>#DIV/0!</v>
      </c>
      <c r="M8" s="72" t="e">
        <f t="shared" ref="M8:M25" si="4">(C8/$F$7)-(H8/$K$7)</f>
        <v>#DIV/0!</v>
      </c>
      <c r="N8" s="72" t="e">
        <f t="shared" ref="N8:N25" si="5">(D8/$F$7)-(I8/$K$7)</f>
        <v>#DIV/0!</v>
      </c>
      <c r="O8" s="81"/>
      <c r="P8" s="81"/>
    </row>
    <row r="9" spans="1:16" ht="20.100000000000001" customHeight="1">
      <c r="A9" s="79"/>
      <c r="B9" s="80"/>
      <c r="C9" s="80"/>
      <c r="D9" s="80"/>
      <c r="E9" s="80"/>
      <c r="F9" s="58">
        <f t="shared" si="1"/>
        <v>0</v>
      </c>
      <c r="G9" s="43"/>
      <c r="H9" s="43"/>
      <c r="I9" s="43"/>
      <c r="J9" s="43"/>
      <c r="K9" s="58">
        <f t="shared" si="2"/>
        <v>0</v>
      </c>
      <c r="L9" s="72" t="e">
        <f t="shared" si="3"/>
        <v>#DIV/0!</v>
      </c>
      <c r="M9" s="72" t="e">
        <f t="shared" si="4"/>
        <v>#DIV/0!</v>
      </c>
      <c r="N9" s="72" t="e">
        <f t="shared" si="5"/>
        <v>#DIV/0!</v>
      </c>
      <c r="O9" s="81"/>
      <c r="P9" s="81"/>
    </row>
    <row r="10" spans="1:16" ht="20.100000000000001" customHeight="1">
      <c r="A10" s="79"/>
      <c r="B10" s="80"/>
      <c r="C10" s="80"/>
      <c r="D10" s="80"/>
      <c r="E10" s="80"/>
      <c r="F10" s="58">
        <f t="shared" si="1"/>
        <v>0</v>
      </c>
      <c r="G10" s="43"/>
      <c r="H10" s="43"/>
      <c r="I10" s="43"/>
      <c r="J10" s="43"/>
      <c r="K10" s="58">
        <f t="shared" si="2"/>
        <v>0</v>
      </c>
      <c r="L10" s="72" t="e">
        <f t="shared" si="3"/>
        <v>#DIV/0!</v>
      </c>
      <c r="M10" s="72" t="e">
        <f t="shared" si="4"/>
        <v>#DIV/0!</v>
      </c>
      <c r="N10" s="72" t="e">
        <f t="shared" si="5"/>
        <v>#DIV/0!</v>
      </c>
      <c r="O10" s="81"/>
      <c r="P10" s="81"/>
    </row>
    <row r="11" spans="1:16" ht="20.100000000000001" customHeight="1">
      <c r="A11" s="79"/>
      <c r="B11" s="80"/>
      <c r="C11" s="80"/>
      <c r="D11" s="80"/>
      <c r="E11" s="80"/>
      <c r="F11" s="58">
        <f t="shared" si="1"/>
        <v>0</v>
      </c>
      <c r="G11" s="43"/>
      <c r="H11" s="43"/>
      <c r="I11" s="43"/>
      <c r="J11" s="43"/>
      <c r="K11" s="58">
        <f t="shared" si="2"/>
        <v>0</v>
      </c>
      <c r="L11" s="72" t="e">
        <f t="shared" si="3"/>
        <v>#DIV/0!</v>
      </c>
      <c r="M11" s="72" t="e">
        <f t="shared" si="4"/>
        <v>#DIV/0!</v>
      </c>
      <c r="N11" s="72" t="e">
        <f t="shared" si="5"/>
        <v>#DIV/0!</v>
      </c>
      <c r="O11" s="81"/>
      <c r="P11" s="81"/>
    </row>
    <row r="12" spans="1:16" ht="20.100000000000001" customHeight="1">
      <c r="A12" s="79"/>
      <c r="B12" s="80"/>
      <c r="C12" s="80"/>
      <c r="D12" s="80"/>
      <c r="E12" s="80"/>
      <c r="F12" s="58">
        <f t="shared" si="1"/>
        <v>0</v>
      </c>
      <c r="G12" s="43"/>
      <c r="H12" s="43"/>
      <c r="I12" s="43"/>
      <c r="J12" s="43"/>
      <c r="K12" s="58">
        <f t="shared" si="2"/>
        <v>0</v>
      </c>
      <c r="L12" s="72" t="e">
        <f t="shared" si="3"/>
        <v>#DIV/0!</v>
      </c>
      <c r="M12" s="72" t="e">
        <f t="shared" si="4"/>
        <v>#DIV/0!</v>
      </c>
      <c r="N12" s="72" t="e">
        <f t="shared" si="5"/>
        <v>#DIV/0!</v>
      </c>
      <c r="O12" s="81"/>
      <c r="P12" s="81"/>
    </row>
    <row r="13" spans="1:16" ht="20.100000000000001" customHeight="1">
      <c r="A13" s="79"/>
      <c r="B13" s="80"/>
      <c r="C13" s="80"/>
      <c r="D13" s="80"/>
      <c r="E13" s="80"/>
      <c r="F13" s="58">
        <f t="shared" si="1"/>
        <v>0</v>
      </c>
      <c r="G13" s="43"/>
      <c r="H13" s="43"/>
      <c r="I13" s="43"/>
      <c r="J13" s="43"/>
      <c r="K13" s="58">
        <f t="shared" si="2"/>
        <v>0</v>
      </c>
      <c r="L13" s="72" t="e">
        <f t="shared" si="3"/>
        <v>#DIV/0!</v>
      </c>
      <c r="M13" s="72" t="e">
        <f t="shared" si="4"/>
        <v>#DIV/0!</v>
      </c>
      <c r="N13" s="72" t="e">
        <f t="shared" si="5"/>
        <v>#DIV/0!</v>
      </c>
      <c r="O13" s="81"/>
      <c r="P13" s="81"/>
    </row>
    <row r="14" spans="1:16" ht="20.100000000000001" customHeight="1">
      <c r="A14" s="79"/>
      <c r="B14" s="80"/>
      <c r="C14" s="80"/>
      <c r="D14" s="80"/>
      <c r="E14" s="80"/>
      <c r="F14" s="58">
        <f t="shared" si="1"/>
        <v>0</v>
      </c>
      <c r="G14" s="43"/>
      <c r="H14" s="43"/>
      <c r="I14" s="43"/>
      <c r="J14" s="43"/>
      <c r="K14" s="58">
        <f t="shared" si="2"/>
        <v>0</v>
      </c>
      <c r="L14" s="72" t="e">
        <f t="shared" si="3"/>
        <v>#DIV/0!</v>
      </c>
      <c r="M14" s="72" t="e">
        <f t="shared" si="4"/>
        <v>#DIV/0!</v>
      </c>
      <c r="N14" s="72" t="e">
        <f t="shared" si="5"/>
        <v>#DIV/0!</v>
      </c>
      <c r="O14" s="81"/>
      <c r="P14" s="81"/>
    </row>
    <row r="15" spans="1:16" ht="20.100000000000001" customHeight="1">
      <c r="A15" s="79"/>
      <c r="B15" s="80"/>
      <c r="C15" s="80"/>
      <c r="D15" s="80"/>
      <c r="E15" s="80"/>
      <c r="F15" s="58">
        <f t="shared" si="1"/>
        <v>0</v>
      </c>
      <c r="G15" s="43"/>
      <c r="H15" s="43"/>
      <c r="I15" s="43"/>
      <c r="J15" s="43"/>
      <c r="K15" s="58">
        <f t="shared" si="2"/>
        <v>0</v>
      </c>
      <c r="L15" s="72" t="e">
        <f t="shared" si="3"/>
        <v>#DIV/0!</v>
      </c>
      <c r="M15" s="72" t="e">
        <f t="shared" si="4"/>
        <v>#DIV/0!</v>
      </c>
      <c r="N15" s="72" t="e">
        <f t="shared" si="5"/>
        <v>#DIV/0!</v>
      </c>
      <c r="O15" s="81"/>
      <c r="P15" s="81"/>
    </row>
    <row r="16" spans="1:16" ht="20.100000000000001" customHeight="1">
      <c r="A16" s="79"/>
      <c r="B16" s="80"/>
      <c r="C16" s="80"/>
      <c r="D16" s="80"/>
      <c r="E16" s="80"/>
      <c r="F16" s="58">
        <f t="shared" si="1"/>
        <v>0</v>
      </c>
      <c r="G16" s="43"/>
      <c r="H16" s="43"/>
      <c r="I16" s="43"/>
      <c r="J16" s="43"/>
      <c r="K16" s="58">
        <f t="shared" si="2"/>
        <v>0</v>
      </c>
      <c r="L16" s="72" t="e">
        <f t="shared" si="3"/>
        <v>#DIV/0!</v>
      </c>
      <c r="M16" s="72" t="e">
        <f t="shared" si="4"/>
        <v>#DIV/0!</v>
      </c>
      <c r="N16" s="72" t="e">
        <f t="shared" si="5"/>
        <v>#DIV/0!</v>
      </c>
      <c r="O16" s="81"/>
      <c r="P16" s="81"/>
    </row>
    <row r="17" spans="1:16" ht="20.100000000000001" customHeight="1">
      <c r="A17" s="79"/>
      <c r="B17" s="80"/>
      <c r="C17" s="80"/>
      <c r="D17" s="80"/>
      <c r="E17" s="80"/>
      <c r="F17" s="58">
        <f t="shared" si="1"/>
        <v>0</v>
      </c>
      <c r="G17" s="43"/>
      <c r="H17" s="43"/>
      <c r="I17" s="43"/>
      <c r="J17" s="43"/>
      <c r="K17" s="58">
        <f t="shared" si="2"/>
        <v>0</v>
      </c>
      <c r="L17" s="72" t="e">
        <f t="shared" si="3"/>
        <v>#DIV/0!</v>
      </c>
      <c r="M17" s="72" t="e">
        <f t="shared" si="4"/>
        <v>#DIV/0!</v>
      </c>
      <c r="N17" s="72" t="e">
        <f t="shared" si="5"/>
        <v>#DIV/0!</v>
      </c>
      <c r="O17" s="81"/>
      <c r="P17" s="81"/>
    </row>
    <row r="18" spans="1:16" ht="20.100000000000001" customHeight="1">
      <c r="A18" s="79"/>
      <c r="B18" s="80"/>
      <c r="C18" s="80"/>
      <c r="D18" s="80"/>
      <c r="E18" s="80"/>
      <c r="F18" s="58">
        <f t="shared" si="1"/>
        <v>0</v>
      </c>
      <c r="G18" s="43"/>
      <c r="H18" s="43"/>
      <c r="I18" s="43"/>
      <c r="J18" s="43"/>
      <c r="K18" s="58">
        <f t="shared" si="2"/>
        <v>0</v>
      </c>
      <c r="L18" s="72" t="e">
        <f t="shared" si="3"/>
        <v>#DIV/0!</v>
      </c>
      <c r="M18" s="72" t="e">
        <f t="shared" si="4"/>
        <v>#DIV/0!</v>
      </c>
      <c r="N18" s="72" t="e">
        <f t="shared" si="5"/>
        <v>#DIV/0!</v>
      </c>
      <c r="O18" s="81"/>
      <c r="P18" s="81"/>
    </row>
    <row r="19" spans="1:16" ht="20.100000000000001" customHeight="1">
      <c r="A19" s="79"/>
      <c r="B19" s="80"/>
      <c r="C19" s="80"/>
      <c r="D19" s="80"/>
      <c r="E19" s="80"/>
      <c r="F19" s="58">
        <f t="shared" si="1"/>
        <v>0</v>
      </c>
      <c r="G19" s="43"/>
      <c r="H19" s="43"/>
      <c r="I19" s="43"/>
      <c r="J19" s="43"/>
      <c r="K19" s="58">
        <f t="shared" si="2"/>
        <v>0</v>
      </c>
      <c r="L19" s="72" t="e">
        <f t="shared" si="3"/>
        <v>#DIV/0!</v>
      </c>
      <c r="M19" s="72" t="e">
        <f t="shared" si="4"/>
        <v>#DIV/0!</v>
      </c>
      <c r="N19" s="72" t="e">
        <f t="shared" si="5"/>
        <v>#DIV/0!</v>
      </c>
      <c r="O19" s="81"/>
      <c r="P19" s="81"/>
    </row>
    <row r="20" spans="1:16" ht="20.100000000000001" customHeight="1">
      <c r="A20" s="79"/>
      <c r="B20" s="80"/>
      <c r="C20" s="80"/>
      <c r="D20" s="80"/>
      <c r="E20" s="80"/>
      <c r="F20" s="58">
        <f t="shared" si="1"/>
        <v>0</v>
      </c>
      <c r="G20" s="43"/>
      <c r="H20" s="43"/>
      <c r="I20" s="43"/>
      <c r="J20" s="43"/>
      <c r="K20" s="58">
        <f t="shared" si="2"/>
        <v>0</v>
      </c>
      <c r="L20" s="72" t="e">
        <f t="shared" si="3"/>
        <v>#DIV/0!</v>
      </c>
      <c r="M20" s="72" t="e">
        <f t="shared" si="4"/>
        <v>#DIV/0!</v>
      </c>
      <c r="N20" s="72" t="e">
        <f t="shared" si="5"/>
        <v>#DIV/0!</v>
      </c>
      <c r="O20" s="81"/>
      <c r="P20" s="81"/>
    </row>
    <row r="21" spans="1:16" ht="20.100000000000001" customHeight="1">
      <c r="A21" s="79"/>
      <c r="B21" s="80"/>
      <c r="C21" s="80"/>
      <c r="D21" s="80"/>
      <c r="E21" s="80"/>
      <c r="F21" s="58">
        <f t="shared" si="1"/>
        <v>0</v>
      </c>
      <c r="G21" s="43"/>
      <c r="H21" s="43"/>
      <c r="I21" s="43"/>
      <c r="J21" s="43"/>
      <c r="K21" s="58">
        <f t="shared" si="2"/>
        <v>0</v>
      </c>
      <c r="L21" s="72" t="e">
        <f t="shared" si="3"/>
        <v>#DIV/0!</v>
      </c>
      <c r="M21" s="72" t="e">
        <f t="shared" si="4"/>
        <v>#DIV/0!</v>
      </c>
      <c r="N21" s="72" t="e">
        <f t="shared" si="5"/>
        <v>#DIV/0!</v>
      </c>
      <c r="O21" s="81"/>
      <c r="P21" s="81"/>
    </row>
    <row r="22" spans="1:16" ht="20.100000000000001" customHeight="1">
      <c r="A22" s="79"/>
      <c r="B22" s="80"/>
      <c r="C22" s="80"/>
      <c r="D22" s="80"/>
      <c r="E22" s="80"/>
      <c r="F22" s="58">
        <f t="shared" si="1"/>
        <v>0</v>
      </c>
      <c r="G22" s="43"/>
      <c r="H22" s="43"/>
      <c r="I22" s="43"/>
      <c r="J22" s="43"/>
      <c r="K22" s="58">
        <f t="shared" si="2"/>
        <v>0</v>
      </c>
      <c r="L22" s="72" t="e">
        <f t="shared" si="3"/>
        <v>#DIV/0!</v>
      </c>
      <c r="M22" s="72" t="e">
        <f t="shared" si="4"/>
        <v>#DIV/0!</v>
      </c>
      <c r="N22" s="72" t="e">
        <f t="shared" si="5"/>
        <v>#DIV/0!</v>
      </c>
      <c r="O22" s="81"/>
      <c r="P22" s="81"/>
    </row>
    <row r="23" spans="1:16" ht="20.100000000000001" customHeight="1">
      <c r="A23" s="79"/>
      <c r="B23" s="80"/>
      <c r="C23" s="80"/>
      <c r="D23" s="80"/>
      <c r="E23" s="80"/>
      <c r="F23" s="58">
        <f t="shared" si="1"/>
        <v>0</v>
      </c>
      <c r="G23" s="43"/>
      <c r="H23" s="43"/>
      <c r="I23" s="43"/>
      <c r="J23" s="43"/>
      <c r="K23" s="58">
        <f t="shared" si="2"/>
        <v>0</v>
      </c>
      <c r="L23" s="72" t="e">
        <f t="shared" si="3"/>
        <v>#DIV/0!</v>
      </c>
      <c r="M23" s="72" t="e">
        <f t="shared" si="4"/>
        <v>#DIV/0!</v>
      </c>
      <c r="N23" s="72" t="e">
        <f t="shared" si="5"/>
        <v>#DIV/0!</v>
      </c>
      <c r="O23" s="81"/>
      <c r="P23" s="81"/>
    </row>
    <row r="24" spans="1:16" ht="20.100000000000001" customHeight="1">
      <c r="A24" s="79"/>
      <c r="B24" s="80"/>
      <c r="C24" s="80"/>
      <c r="D24" s="80"/>
      <c r="E24" s="80"/>
      <c r="F24" s="58">
        <f t="shared" si="1"/>
        <v>0</v>
      </c>
      <c r="G24" s="43"/>
      <c r="H24" s="43"/>
      <c r="I24" s="43"/>
      <c r="J24" s="43"/>
      <c r="K24" s="58">
        <f t="shared" si="2"/>
        <v>0</v>
      </c>
      <c r="L24" s="72" t="e">
        <f t="shared" si="3"/>
        <v>#DIV/0!</v>
      </c>
      <c r="M24" s="72" t="e">
        <f t="shared" si="4"/>
        <v>#DIV/0!</v>
      </c>
      <c r="N24" s="72" t="e">
        <f t="shared" si="5"/>
        <v>#DIV/0!</v>
      </c>
      <c r="O24" s="81"/>
      <c r="P24" s="81"/>
    </row>
    <row r="25" spans="1:16" ht="20.100000000000001" customHeight="1">
      <c r="A25" s="79"/>
      <c r="B25" s="80"/>
      <c r="C25" s="80"/>
      <c r="D25" s="80"/>
      <c r="E25" s="80"/>
      <c r="F25" s="58">
        <f t="shared" si="1"/>
        <v>0</v>
      </c>
      <c r="G25" s="43"/>
      <c r="H25" s="43"/>
      <c r="I25" s="43"/>
      <c r="J25" s="43"/>
      <c r="K25" s="58">
        <f t="shared" si="2"/>
        <v>0</v>
      </c>
      <c r="L25" s="72" t="e">
        <f t="shared" si="3"/>
        <v>#DIV/0!</v>
      </c>
      <c r="M25" s="72" t="e">
        <f t="shared" si="4"/>
        <v>#DIV/0!</v>
      </c>
      <c r="N25" s="72" t="e">
        <f t="shared" si="5"/>
        <v>#DIV/0!</v>
      </c>
      <c r="O25" s="81"/>
      <c r="P25" s="81"/>
    </row>
  </sheetData>
  <mergeCells count="5">
    <mergeCell ref="A1:P1"/>
    <mergeCell ref="A2:P2"/>
    <mergeCell ref="A5:A6"/>
    <mergeCell ref="O5:O6"/>
    <mergeCell ref="P5:P6"/>
  </mergeCells>
  <phoneticPr fontId="14" type="noConversion"/>
  <printOptions horizontalCentered="1"/>
  <pageMargins left="0.74803149606299213" right="0.74803149606299213" top="0.98425196850393704" bottom="0.98425196850393704" header="0.51181102362204722" footer="0.51181102362204722"/>
  <pageSetup paperSize="9" scale="80" orientation="landscape" blackAndWhite="1"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13</vt:i4>
      </vt:variant>
      <vt:variant>
        <vt:lpstr>命名范围</vt:lpstr>
      </vt:variant>
      <vt:variant>
        <vt:i4>11</vt:i4>
      </vt:variant>
    </vt:vector>
  </HeadingPairs>
  <TitlesOfParts>
    <vt:vector size="24" baseType="lpstr">
      <vt:lpstr>底稿目录</vt:lpstr>
      <vt:lpstr>GT_Custom</vt:lpstr>
      <vt:lpstr>存货计价测试程序G2-8-删除</vt:lpstr>
      <vt:lpstr>计价方法测试表-平均F2-38</vt:lpstr>
      <vt:lpstr>计价方法测试表-先进先出F2-39</vt:lpstr>
      <vt:lpstr>计价方法测试表-标准成本差异F2-40</vt:lpstr>
      <vt:lpstr>生产成本明细表F2-41</vt:lpstr>
      <vt:lpstr>产品年度成本比较G2-8-4-移至分析类</vt:lpstr>
      <vt:lpstr>直接人工分析表F2-42</vt:lpstr>
      <vt:lpstr>制造费用明细表F2-43</vt:lpstr>
      <vt:lpstr>生产成本分配F2-44</vt:lpstr>
      <vt:lpstr>产品月度成本比较G2-8-5（删除 在舞弊应对单耗分析中）</vt:lpstr>
      <vt:lpstr>产品同行业成本比较G2-8-7-移至舞弊应对单耗分析中</vt:lpstr>
      <vt:lpstr>'产品年度成本比较G2-8-4-移至分析类'!Print_Area</vt:lpstr>
      <vt:lpstr>'产品月度成本比较G2-8-5（删除 在舞弊应对单耗分析中）'!Print_Area</vt:lpstr>
      <vt:lpstr>'存货计价测试程序G2-8-删除'!Print_Area</vt:lpstr>
      <vt:lpstr>'计价方法测试表-标准成本差异F2-40'!Print_Area</vt:lpstr>
      <vt:lpstr>'计价方法测试表-平均F2-38'!Print_Area</vt:lpstr>
      <vt:lpstr>'计价方法测试表-先进先出F2-39'!Print_Area</vt:lpstr>
      <vt:lpstr>'生产成本分配F2-44'!Print_Area</vt:lpstr>
      <vt:lpstr>'生产成本明细表F2-41'!Print_Area</vt:lpstr>
      <vt:lpstr>'直接人工分析表F2-42'!Print_Area</vt:lpstr>
      <vt:lpstr>'制造费用明细表F2-43'!Print_Area</vt:lpstr>
      <vt:lpstr>'直接人工分析表F2-42'!Print_Titles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2025-10-17T08:01:37Z</cp:lastPrinted>
  <dcterms:created xsi:type="dcterms:W3CDTF">2007-05-20T08:51:05Z</dcterms:created>
  <dcterms:modified xsi:type="dcterms:W3CDTF">2025-10-17T08:09:09Z</dcterms:modified>
</cp:coreProperties>
</file>