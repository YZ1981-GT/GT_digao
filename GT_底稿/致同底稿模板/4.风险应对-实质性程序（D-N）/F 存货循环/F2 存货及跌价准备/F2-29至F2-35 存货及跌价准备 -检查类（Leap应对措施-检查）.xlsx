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F 存货循环\F2存货\"/>
    </mc:Choice>
  </mc:AlternateContent>
  <bookViews>
    <workbookView xWindow="-120" yWindow="-120" windowWidth="20736" windowHeight="11760" tabRatio="803"/>
  </bookViews>
  <sheets>
    <sheet name="底稿目录" sheetId="1" r:id="rId1"/>
    <sheet name="GT_Custom" sheetId="63" state="hidden" r:id="rId2"/>
    <sheet name="截止测试-入库（记账凭证至原始凭证）F2-29" sheetId="89" r:id="rId3"/>
    <sheet name="截止测试-入库（原始凭证至记账凭证）F2-30" sheetId="147" r:id="rId4"/>
    <sheet name="截止测试-出库（记账凭证至原始凭证）F2-31" sheetId="90" r:id="rId5"/>
    <sheet name="截止测试-出库（原始凭证至记账凭证）F2-32" sheetId="148" r:id="rId6"/>
    <sheet name="存货采购入库检查表F2-33-新增" sheetId="149" r:id="rId7"/>
    <sheet name="材料领用检查表F2-34-新增" sheetId="151" r:id="rId8"/>
    <sheet name="委托加工物资核查表F2-35" sheetId="100" r:id="rId9"/>
  </sheets>
  <definedNames>
    <definedName name="_xlnm.Print_Area" localSheetId="7">'材料领用检查表F2-34-新增'!$A$1:$N$38</definedName>
    <definedName name="_xlnm.Print_Area" localSheetId="6">'存货采购入库检查表F2-33-新增'!$A$1:$V$45</definedName>
    <definedName name="_xlnm.Print_Area" localSheetId="4">'截止测试-出库（记账凭证至原始凭证）F2-31'!$A$1:$J$46</definedName>
    <definedName name="_xlnm.Print_Area" localSheetId="5">'截止测试-出库（原始凭证至记账凭证）F2-32'!$A$1:$J$46</definedName>
    <definedName name="_xlnm.Print_Area" localSheetId="2">'截止测试-入库（记账凭证至原始凭证）F2-29'!$A$1:$L$48</definedName>
    <definedName name="_xlnm.Print_Area" localSheetId="3">'截止测试-入库（原始凭证至记账凭证）F2-30'!$A$1:$L$48</definedName>
    <definedName name="_xlnm.Print_Area" localSheetId="8">'委托加工物资核查表F2-35'!$A$1:$I$41</definedName>
  </definedNames>
  <calcPr calcId="162913"/>
</workbook>
</file>

<file path=xl/calcChain.xml><?xml version="1.0" encoding="utf-8"?>
<calcChain xmlns="http://schemas.openxmlformats.org/spreadsheetml/2006/main">
  <c r="H35" i="151" l="1"/>
  <c r="G35" i="151"/>
  <c r="F32" i="151"/>
  <c r="I39" i="149"/>
  <c r="H36" i="149"/>
  <c r="I41" i="149" s="1"/>
  <c r="I40" i="149"/>
  <c r="I3" i="100" l="1"/>
  <c r="N3" i="151"/>
  <c r="V3" i="149"/>
  <c r="J3" i="148"/>
  <c r="J3" i="90"/>
  <c r="L3" i="147"/>
  <c r="L3" i="89"/>
  <c r="I4" i="151" l="1"/>
  <c r="F4" i="151"/>
  <c r="A4" i="151"/>
  <c r="I3" i="151"/>
  <c r="F3" i="151"/>
  <c r="A3" i="151"/>
  <c r="S36" i="149" l="1"/>
  <c r="O4" i="149" l="1"/>
  <c r="I4" i="149"/>
  <c r="A4" i="149"/>
  <c r="O3" i="149"/>
  <c r="I3" i="149"/>
  <c r="A3" i="149"/>
  <c r="A27" i="148" l="1"/>
  <c r="G4" i="148"/>
  <c r="D4" i="148"/>
  <c r="A4" i="148"/>
  <c r="G3" i="148"/>
  <c r="D3" i="148"/>
  <c r="A3" i="148"/>
  <c r="A27" i="90"/>
  <c r="H4" i="147" l="1"/>
  <c r="D4" i="147"/>
  <c r="A4" i="147"/>
  <c r="H3" i="147"/>
  <c r="D3" i="147"/>
  <c r="A3" i="147"/>
  <c r="F4" i="100" l="1"/>
  <c r="F4" i="90"/>
  <c r="G4" i="89"/>
  <c r="D4" i="100"/>
  <c r="D4" i="90"/>
  <c r="E4" i="89"/>
  <c r="A4" i="100" l="1"/>
  <c r="D3" i="100"/>
  <c r="F3" i="100"/>
  <c r="A4" i="90"/>
  <c r="D3" i="90"/>
  <c r="F3" i="90"/>
  <c r="A4" i="89"/>
  <c r="E3" i="89"/>
  <c r="G3" i="89"/>
  <c r="A3" i="100" l="1"/>
  <c r="A3" i="90"/>
  <c r="A3" i="89"/>
</calcChain>
</file>

<file path=xl/sharedStrings.xml><?xml version="1.0" encoding="utf-8"?>
<sst xmlns="http://schemas.openxmlformats.org/spreadsheetml/2006/main" count="323" uniqueCount="221">
  <si>
    <t>索引号：</t>
    <phoneticPr fontId="14" type="noConversion"/>
  </si>
  <si>
    <t>序号</t>
    <phoneticPr fontId="14" type="noConversion"/>
  </si>
  <si>
    <t>四、审计说明：</t>
    <phoneticPr fontId="14" type="noConversion"/>
  </si>
  <si>
    <t>索引号：</t>
  </si>
  <si>
    <t>索引号</t>
  </si>
  <si>
    <t>日期</t>
  </si>
  <si>
    <t>加工单位名称</t>
  </si>
  <si>
    <t>编号</t>
  </si>
  <si>
    <t>发出材料成本</t>
  </si>
  <si>
    <t>加工费</t>
  </si>
  <si>
    <t>未收回原因及是否需函证</t>
  </si>
  <si>
    <t>C1</t>
  </si>
  <si>
    <t>Custom 1</t>
  </si>
  <si>
    <t>C2</t>
  </si>
  <si>
    <t>Custom 2</t>
  </si>
  <si>
    <t>C3</t>
  </si>
  <si>
    <t>Custom 3</t>
  </si>
  <si>
    <t>C4</t>
  </si>
  <si>
    <t>Custom 4</t>
  </si>
  <si>
    <t>C5</t>
  </si>
  <si>
    <t>Custom 5</t>
  </si>
  <si>
    <t>C6</t>
  </si>
  <si>
    <t>Custom 6</t>
  </si>
  <si>
    <t>C7</t>
  </si>
  <si>
    <t>Custom 7</t>
  </si>
  <si>
    <t>C8</t>
  </si>
  <si>
    <t>Custom 8</t>
  </si>
  <si>
    <t>内容</t>
  </si>
  <si>
    <t>致同会计师事务所</t>
  </si>
  <si>
    <r>
      <t xml:space="preserve">页 </t>
    </r>
    <r>
      <rPr>
        <sz val="10"/>
        <rFont val="宋体"/>
        <family val="3"/>
        <charset val="134"/>
      </rPr>
      <t xml:space="preserve"> </t>
    </r>
    <r>
      <rPr>
        <sz val="10"/>
        <rFont val="宋体"/>
        <family val="3"/>
        <charset val="134"/>
      </rPr>
      <t>次：</t>
    </r>
    <phoneticPr fontId="14" type="noConversion"/>
  </si>
  <si>
    <t>五、审计结论：</t>
    <phoneticPr fontId="14" type="noConversion"/>
  </si>
  <si>
    <t>委托加工物资核查表</t>
    <phoneticPr fontId="14" type="noConversion"/>
  </si>
  <si>
    <t>二、样本选取标准与规模：</t>
    <phoneticPr fontId="20" type="noConversion"/>
  </si>
  <si>
    <t>发出时间</t>
    <phoneticPr fontId="20" type="noConversion"/>
  </si>
  <si>
    <t>收回材料成本</t>
    <phoneticPr fontId="20" type="noConversion"/>
  </si>
  <si>
    <t>备注</t>
    <phoneticPr fontId="20" type="noConversion"/>
  </si>
  <si>
    <t>四、审计说明：</t>
    <phoneticPr fontId="14" type="noConversion"/>
  </si>
  <si>
    <t>五、审计结论：</t>
    <phoneticPr fontId="20" type="noConversion"/>
  </si>
  <si>
    <t>页次：</t>
    <phoneticPr fontId="14" type="noConversion"/>
  </si>
  <si>
    <t>一、审计目标：</t>
    <phoneticPr fontId="20" type="noConversion"/>
  </si>
  <si>
    <t>三、审计过程：</t>
    <phoneticPr fontId="20" type="noConversion"/>
  </si>
  <si>
    <t>索引号</t>
    <phoneticPr fontId="14" type="noConversion"/>
  </si>
  <si>
    <t>供应商名称</t>
    <phoneticPr fontId="14" type="noConversion"/>
  </si>
  <si>
    <t>主要加工工序</t>
    <phoneticPr fontId="14" type="noConversion"/>
  </si>
  <si>
    <t>委外加工入库数量</t>
    <phoneticPr fontId="14" type="noConversion"/>
  </si>
  <si>
    <t>委外加工入库金额</t>
    <phoneticPr fontId="14" type="noConversion"/>
  </si>
  <si>
    <t>加工费金额</t>
    <phoneticPr fontId="14" type="noConversion"/>
  </si>
  <si>
    <t>（一）委托加工物资基本情况</t>
    <phoneticPr fontId="14" type="noConversion"/>
  </si>
  <si>
    <t>年度</t>
    <phoneticPr fontId="20" type="noConversion"/>
  </si>
  <si>
    <t>期初金额</t>
    <phoneticPr fontId="20" type="noConversion"/>
  </si>
  <si>
    <t>本期增加</t>
    <phoneticPr fontId="20" type="noConversion"/>
  </si>
  <si>
    <t>本期减少</t>
    <phoneticPr fontId="20" type="noConversion"/>
  </si>
  <si>
    <t>期末金额</t>
    <phoneticPr fontId="20" type="noConversion"/>
  </si>
  <si>
    <t>其中加工费发生额</t>
    <phoneticPr fontId="20" type="noConversion"/>
  </si>
  <si>
    <t>（二）主要委外供应商情况1</t>
    <phoneticPr fontId="14" type="noConversion"/>
  </si>
  <si>
    <t>（三）主要委外供应商情况2</t>
    <phoneticPr fontId="14" type="noConversion"/>
  </si>
  <si>
    <t>二、审计过程：</t>
    <phoneticPr fontId="20" type="noConversion"/>
  </si>
  <si>
    <t>提示：如果存在跨期舞弊风险或者所检查样本中发现有跨期的，应扩大测试期间和样本，甚至可以考虑将截止测试期间延长至审计报告日。同时考虑是否存在内控缺陷。</t>
    <phoneticPr fontId="14" type="noConversion"/>
  </si>
  <si>
    <t>记账凭证</t>
    <phoneticPr fontId="14" type="noConversion"/>
  </si>
  <si>
    <t>凭证编号</t>
  </si>
  <si>
    <t>业务内容</t>
  </si>
  <si>
    <t>金额</t>
    <phoneticPr fontId="14" type="noConversion"/>
  </si>
  <si>
    <t>入库单</t>
    <phoneticPr fontId="14" type="noConversion"/>
  </si>
  <si>
    <t>三、审计说明：</t>
    <phoneticPr fontId="14" type="noConversion"/>
  </si>
  <si>
    <t>四、审计结论：</t>
    <phoneticPr fontId="14" type="noConversion"/>
  </si>
  <si>
    <t>2.结合存货监盘程序，检查入库记录编号是否与执行存货监盘程序中获取的截止性资料编号存在冲突。</t>
    <phoneticPr fontId="14" type="noConversion"/>
  </si>
  <si>
    <t>三、审计说明：</t>
    <phoneticPr fontId="14" type="noConversion"/>
  </si>
  <si>
    <t>四、审计结论：</t>
    <phoneticPr fontId="14" type="noConversion"/>
  </si>
  <si>
    <t>是否跨期√（×）</t>
    <phoneticPr fontId="14" type="noConversion"/>
  </si>
  <si>
    <r>
      <t>——————</t>
    </r>
    <r>
      <rPr>
        <b/>
        <sz val="10"/>
        <rFont val="宋体"/>
        <family val="3"/>
        <charset val="134"/>
      </rPr>
      <t>截止日期：</t>
    </r>
    <r>
      <rPr>
        <b/>
        <sz val="10"/>
        <rFont val="Arial Narrow"/>
        <family val="2"/>
      </rPr>
      <t>202X</t>
    </r>
    <r>
      <rPr>
        <b/>
        <sz val="10"/>
        <rFont val="宋体"/>
        <family val="3"/>
        <charset val="134"/>
      </rPr>
      <t>年</t>
    </r>
    <r>
      <rPr>
        <b/>
        <sz val="10"/>
        <rFont val="Arial Narrow"/>
        <family val="2"/>
      </rPr>
      <t>12</t>
    </r>
    <r>
      <rPr>
        <b/>
        <sz val="10"/>
        <rFont val="宋体"/>
        <family val="3"/>
        <charset val="134"/>
      </rPr>
      <t>月</t>
    </r>
    <r>
      <rPr>
        <b/>
        <sz val="10"/>
        <rFont val="Arial Narrow"/>
        <family val="2"/>
      </rPr>
      <t>31</t>
    </r>
    <r>
      <rPr>
        <b/>
        <sz val="10"/>
        <rFont val="宋体"/>
        <family val="3"/>
        <charset val="134"/>
      </rPr>
      <t>日</t>
    </r>
    <r>
      <rPr>
        <b/>
        <sz val="10"/>
        <rFont val="Arial Narrow"/>
        <family val="2"/>
      </rPr>
      <t>——————</t>
    </r>
    <phoneticPr fontId="14" type="noConversion"/>
  </si>
  <si>
    <t>一、审计目标：</t>
    <phoneticPr fontId="20" type="noConversion"/>
  </si>
  <si>
    <t>……</t>
    <phoneticPr fontId="14" type="noConversion"/>
  </si>
  <si>
    <t>是否跨期√（×）</t>
    <phoneticPr fontId="14" type="noConversion"/>
  </si>
  <si>
    <r>
      <t>1.</t>
    </r>
    <r>
      <rPr>
        <sz val="10"/>
        <rFont val="宋体"/>
        <family val="3"/>
        <charset val="134"/>
      </rPr>
      <t>资产负债表中记录的存货是存在的，且已经记录在恰当的账户中</t>
    </r>
    <phoneticPr fontId="14" type="noConversion"/>
  </si>
  <si>
    <r>
      <t>2.</t>
    </r>
    <r>
      <rPr>
        <sz val="10"/>
        <rFont val="宋体"/>
        <family val="3"/>
        <charset val="134"/>
      </rPr>
      <t>所有应记录的存货均已记录，所有应当包括在财务报表中的相关披露均已包括</t>
    </r>
    <phoneticPr fontId="14" type="noConversion"/>
  </si>
  <si>
    <r>
      <t>2.</t>
    </r>
    <r>
      <rPr>
        <sz val="10"/>
        <rFont val="宋体"/>
        <family val="3"/>
        <charset val="134"/>
      </rPr>
      <t>所有应记录的存货均已记录，所有应当包括在财务报表中的相关披露均已包括</t>
    </r>
    <phoneticPr fontId="14" type="noConversion"/>
  </si>
  <si>
    <r>
      <t>1.</t>
    </r>
    <r>
      <rPr>
        <sz val="10"/>
        <rFont val="宋体"/>
        <family val="3"/>
        <charset val="134"/>
      </rPr>
      <t>资产负债表中记录的存货是存在的，且已经记录在恰当的账户中</t>
    </r>
    <phoneticPr fontId="14" type="noConversion"/>
  </si>
  <si>
    <t>质检报告</t>
    <phoneticPr fontId="14" type="noConversion"/>
  </si>
  <si>
    <r>
      <t>1.</t>
    </r>
    <r>
      <rPr>
        <sz val="10"/>
        <color theme="1"/>
        <rFont val="宋体"/>
        <family val="3"/>
        <charset val="134"/>
      </rPr>
      <t>从入库记录中抽取资产负债表日前（</t>
    </r>
    <r>
      <rPr>
        <sz val="10"/>
        <color theme="1"/>
        <rFont val="Arial Narrow"/>
        <family val="2"/>
      </rPr>
      <t>______</t>
    </r>
    <r>
      <rPr>
        <sz val="10"/>
        <color theme="1"/>
        <rFont val="宋体"/>
        <family val="3"/>
        <charset val="134"/>
      </rPr>
      <t>）天、后（</t>
    </r>
    <r>
      <rPr>
        <sz val="10"/>
        <color theme="1"/>
        <rFont val="Arial Narrow"/>
        <family val="2"/>
      </rPr>
      <t>______</t>
    </r>
    <r>
      <rPr>
        <sz val="10"/>
        <color theme="1"/>
        <rFont val="宋体"/>
        <family val="3"/>
        <charset val="134"/>
      </rPr>
      <t>）天，且金额大于</t>
    </r>
    <r>
      <rPr>
        <sz val="10"/>
        <color theme="1"/>
        <rFont val="Arial Narrow"/>
        <family val="2"/>
      </rPr>
      <t>______</t>
    </r>
    <r>
      <rPr>
        <sz val="10"/>
        <color theme="1"/>
        <rFont val="宋体"/>
        <family val="3"/>
        <charset val="134"/>
      </rPr>
      <t>元的的凭据，与存货明细账的借方发生额进行核对；</t>
    </r>
    <phoneticPr fontId="14" type="noConversion"/>
  </si>
  <si>
    <r>
      <t>2.</t>
    </r>
    <r>
      <rPr>
        <sz val="10"/>
        <color theme="1"/>
        <rFont val="宋体"/>
        <family val="3"/>
        <charset val="134"/>
      </rPr>
      <t>结合存货监盘程序，检查入库记录编号是否与执行存货监盘程序中获取的截止性资料编号存在冲突。</t>
    </r>
    <phoneticPr fontId="14" type="noConversion"/>
  </si>
  <si>
    <r>
      <t>存货</t>
    </r>
    <r>
      <rPr>
        <b/>
        <sz val="12"/>
        <color rgb="FFFF0000"/>
        <rFont val="宋体"/>
        <family val="3"/>
        <charset val="134"/>
      </rPr>
      <t>（原材料/产成品）</t>
    </r>
    <r>
      <rPr>
        <b/>
        <sz val="12"/>
        <rFont val="宋体"/>
        <family val="3"/>
        <charset val="134"/>
      </rPr>
      <t>截止测试-出库（从记账凭证至原始凭证）</t>
    </r>
    <phoneticPr fontId="14" type="noConversion"/>
  </si>
  <si>
    <r>
      <t>1.</t>
    </r>
    <r>
      <rPr>
        <sz val="10"/>
        <color theme="1"/>
        <rFont val="宋体"/>
        <family val="3"/>
        <charset val="134"/>
      </rPr>
      <t>从存货明细账借方发生额中抽取资产负债表日前（</t>
    </r>
    <r>
      <rPr>
        <sz val="10"/>
        <color theme="1"/>
        <rFont val="Arial Narrow"/>
        <family val="2"/>
      </rPr>
      <t>______</t>
    </r>
    <r>
      <rPr>
        <sz val="10"/>
        <color theme="1"/>
        <rFont val="宋体"/>
        <family val="3"/>
        <charset val="134"/>
      </rPr>
      <t>）天、后（</t>
    </r>
    <r>
      <rPr>
        <sz val="10"/>
        <color theme="1"/>
        <rFont val="Arial Narrow"/>
        <family val="2"/>
      </rPr>
      <t>______</t>
    </r>
    <r>
      <rPr>
        <sz val="10"/>
        <color theme="1"/>
        <rFont val="宋体"/>
        <family val="3"/>
        <charset val="134"/>
      </rPr>
      <t>）天，且金额大于</t>
    </r>
    <r>
      <rPr>
        <sz val="10"/>
        <color theme="1"/>
        <rFont val="Arial Narrow"/>
        <family val="2"/>
      </rPr>
      <t>______</t>
    </r>
    <r>
      <rPr>
        <sz val="10"/>
        <color theme="1"/>
        <rFont val="宋体"/>
        <family val="3"/>
        <charset val="134"/>
      </rPr>
      <t>元的凭证，与入库记录（如入库单，或购货发票，或运输单据）核对；</t>
    </r>
    <phoneticPr fontId="14" type="noConversion"/>
  </si>
  <si>
    <r>
      <t>3.</t>
    </r>
    <r>
      <rPr>
        <sz val="10"/>
        <rFont val="宋体"/>
        <family val="3"/>
        <charset val="134"/>
      </rPr>
      <t>产成品出库截止测试可与营业收入截止测试程序结合完成。</t>
    </r>
    <phoneticPr fontId="14" type="noConversion"/>
  </si>
  <si>
    <r>
      <t>2.</t>
    </r>
    <r>
      <rPr>
        <sz val="10"/>
        <rFont val="宋体"/>
        <family val="3"/>
        <charset val="134"/>
      </rPr>
      <t>结合存货监盘程序，检查出库记录编号是否与执行存货监盘程序中获取的截止性资料编号存在冲突。</t>
    </r>
    <phoneticPr fontId="14" type="noConversion"/>
  </si>
  <si>
    <r>
      <t>1.</t>
    </r>
    <r>
      <rPr>
        <sz val="10"/>
        <rFont val="宋体"/>
        <family val="3"/>
        <charset val="134"/>
      </rPr>
      <t>从出库记录中抽取资产负债表日前（</t>
    </r>
    <r>
      <rPr>
        <u/>
        <sz val="10"/>
        <rFont val="Arial Narrow"/>
        <family val="2"/>
      </rPr>
      <t xml:space="preserve">    </t>
    </r>
    <r>
      <rPr>
        <sz val="10"/>
        <rFont val="宋体"/>
        <family val="3"/>
        <charset val="134"/>
      </rPr>
      <t>）天、后（</t>
    </r>
    <r>
      <rPr>
        <u/>
        <sz val="10"/>
        <rFont val="Arial Narrow"/>
        <family val="2"/>
      </rPr>
      <t xml:space="preserve">    </t>
    </r>
    <r>
      <rPr>
        <sz val="10"/>
        <rFont val="宋体"/>
        <family val="3"/>
        <charset val="134"/>
      </rPr>
      <t>）天，且金额大于</t>
    </r>
    <r>
      <rPr>
        <sz val="10"/>
        <rFont val="Arial Narrow"/>
        <family val="2"/>
      </rPr>
      <t xml:space="preserve"> </t>
    </r>
    <r>
      <rPr>
        <u/>
        <sz val="10"/>
        <rFont val="Arial Narrow"/>
        <family val="2"/>
      </rPr>
      <t xml:space="preserve">        </t>
    </r>
    <r>
      <rPr>
        <sz val="10"/>
        <rFont val="宋体"/>
        <family val="3"/>
        <charset val="134"/>
      </rPr>
      <t>元的凭据，与存货明细账的贷方发生额进行核对；</t>
    </r>
    <phoneticPr fontId="14" type="noConversion"/>
  </si>
  <si>
    <r>
      <t>2.</t>
    </r>
    <r>
      <rPr>
        <sz val="10"/>
        <rFont val="宋体"/>
        <family val="3"/>
        <charset val="134"/>
      </rPr>
      <t>结合存货监盘程序，检查出库记录编号是否与执行存货监盘程序中获取的截止性资料编号存在冲突。</t>
    </r>
    <phoneticPr fontId="14" type="noConversion"/>
  </si>
  <si>
    <r>
      <t>3.</t>
    </r>
    <r>
      <rPr>
        <sz val="10"/>
        <rFont val="宋体"/>
        <family val="3"/>
        <charset val="134"/>
      </rPr>
      <t>记录的存货由被审计单位拥有或控制</t>
    </r>
    <phoneticPr fontId="14" type="noConversion"/>
  </si>
  <si>
    <r>
      <t xml:space="preserve">4. </t>
    </r>
    <r>
      <rPr>
        <sz val="10"/>
        <rFont val="宋体"/>
        <family val="3"/>
        <charset val="134"/>
      </rPr>
      <t>存货以恰当的金额包括在财务报表中，与之相关的计价或分摊调整已恰当记录，相关披露已得到恰当计量和描述</t>
    </r>
    <r>
      <rPr>
        <sz val="10"/>
        <rFont val="Arial Narrow"/>
        <family val="2"/>
      </rPr>
      <t xml:space="preserve"> </t>
    </r>
    <phoneticPr fontId="14" type="noConversion"/>
  </si>
  <si>
    <r>
      <t>1.</t>
    </r>
    <r>
      <rPr>
        <sz val="10"/>
        <rFont val="宋体"/>
        <family val="3"/>
        <charset val="134"/>
      </rPr>
      <t>获取或编制委托加工物资的明细表，抽查委托加工业务合同，检查有关发料凭证、加工费结算凭证。</t>
    </r>
    <phoneticPr fontId="14" type="noConversion"/>
  </si>
  <si>
    <r>
      <t>2.</t>
    </r>
    <r>
      <rPr>
        <sz val="10"/>
        <rFont val="宋体"/>
        <family val="3"/>
        <charset val="134"/>
      </rPr>
      <t>针对当期加工工费及期末委托加工物资对被委托方进行函证。</t>
    </r>
    <phoneticPr fontId="14" type="noConversion"/>
  </si>
  <si>
    <t>3.……</t>
    <phoneticPr fontId="14" type="noConversion"/>
  </si>
  <si>
    <t>函证编号</t>
    <phoneticPr fontId="14" type="noConversion"/>
  </si>
  <si>
    <t>合同或协议号</t>
    <phoneticPr fontId="20" type="noConversion"/>
  </si>
  <si>
    <t>加工费结算单索引</t>
    <phoneticPr fontId="14" type="noConversion"/>
  </si>
  <si>
    <t>一、审计目标：</t>
    <phoneticPr fontId="20" type="noConversion"/>
  </si>
  <si>
    <t>二、样本选取标准与规模：</t>
    <phoneticPr fontId="20" type="noConversion"/>
  </si>
  <si>
    <t>三、测试：</t>
    <phoneticPr fontId="20" type="noConversion"/>
  </si>
  <si>
    <t>……</t>
    <phoneticPr fontId="14" type="noConversion"/>
  </si>
  <si>
    <t>四、审计说明：</t>
    <phoneticPr fontId="20" type="noConversion"/>
  </si>
  <si>
    <t>五、审计结论：</t>
    <phoneticPr fontId="14" type="noConversion"/>
  </si>
  <si>
    <r>
      <t>1.</t>
    </r>
    <r>
      <rPr>
        <sz val="10"/>
        <rFont val="宋体"/>
        <family val="3"/>
        <charset val="134"/>
      </rPr>
      <t>资产负债表中记录的存货是存在的，且已经记录在恰当的账户中</t>
    </r>
    <phoneticPr fontId="14" type="noConversion"/>
  </si>
  <si>
    <r>
      <t>2.</t>
    </r>
    <r>
      <rPr>
        <sz val="10"/>
        <rFont val="宋体"/>
        <family val="3"/>
        <charset val="134"/>
      </rPr>
      <t>记录的存货由被审计单位拥有或控制</t>
    </r>
    <phoneticPr fontId="14" type="noConversion"/>
  </si>
  <si>
    <r>
      <t>3.</t>
    </r>
    <r>
      <rPr>
        <sz val="10"/>
        <rFont val="宋体"/>
        <family val="3"/>
        <charset val="134"/>
      </rPr>
      <t>存货以恰当的金额包括在财务报表中，与之相关的计价或分摊调整已恰当记录，相关披露已得到恰当计量和描述</t>
    </r>
    <r>
      <rPr>
        <sz val="10"/>
        <rFont val="Arial Narrow"/>
        <family val="2"/>
      </rPr>
      <t xml:space="preserve"> </t>
    </r>
    <phoneticPr fontId="14" type="noConversion"/>
  </si>
  <si>
    <r>
      <rPr>
        <sz val="10"/>
        <rFont val="宋体"/>
        <family val="3"/>
        <charset val="134"/>
      </rPr>
      <t>索引号：</t>
    </r>
  </si>
  <si>
    <r>
      <rPr>
        <sz val="10"/>
        <rFont val="宋体"/>
        <family val="3"/>
        <charset val="134"/>
      </rPr>
      <t>页</t>
    </r>
    <r>
      <rPr>
        <sz val="10"/>
        <rFont val="Arial Narrow"/>
        <family val="2"/>
      </rPr>
      <t xml:space="preserve">  </t>
    </r>
    <r>
      <rPr>
        <sz val="10"/>
        <rFont val="宋体"/>
        <family val="3"/>
        <charset val="134"/>
      </rPr>
      <t>次：</t>
    </r>
    <phoneticPr fontId="14" type="noConversion"/>
  </si>
  <si>
    <t>材料领用检查表</t>
    <phoneticPr fontId="14" type="noConversion"/>
  </si>
  <si>
    <r>
      <rPr>
        <b/>
        <sz val="10"/>
        <rFont val="宋体"/>
        <family val="3"/>
        <charset val="134"/>
      </rPr>
      <t>凭证编号</t>
    </r>
  </si>
  <si>
    <r>
      <rPr>
        <b/>
        <sz val="10"/>
        <rFont val="宋体"/>
        <family val="3"/>
        <charset val="134"/>
      </rPr>
      <t>对方科目</t>
    </r>
    <phoneticPr fontId="14" type="noConversion"/>
  </si>
  <si>
    <r>
      <rPr>
        <b/>
        <sz val="10"/>
        <rFont val="宋体"/>
        <family val="3"/>
        <charset val="134"/>
      </rPr>
      <t>对方明细科目</t>
    </r>
    <phoneticPr fontId="14" type="noConversion"/>
  </si>
  <si>
    <r>
      <rPr>
        <b/>
        <sz val="9"/>
        <rFont val="宋体"/>
        <family val="3"/>
        <charset val="134"/>
      </rPr>
      <t>合计</t>
    </r>
    <phoneticPr fontId="14" type="noConversion"/>
  </si>
  <si>
    <r>
      <rPr>
        <b/>
        <sz val="9"/>
        <rFont val="宋体"/>
        <family val="3"/>
        <charset val="134"/>
      </rPr>
      <t>记账凭证</t>
    </r>
    <phoneticPr fontId="116" type="noConversion"/>
  </si>
  <si>
    <r>
      <rPr>
        <b/>
        <sz val="10"/>
        <color rgb="FF000000"/>
        <rFont val="宋体"/>
        <family val="3"/>
        <charset val="134"/>
      </rPr>
      <t>出库单</t>
    </r>
    <r>
      <rPr>
        <b/>
        <sz val="10"/>
        <color rgb="FF000000"/>
        <rFont val="Arial Narrow"/>
        <family val="2"/>
      </rPr>
      <t>/</t>
    </r>
    <r>
      <rPr>
        <b/>
        <sz val="10"/>
        <color rgb="FF000000"/>
        <rFont val="宋体"/>
        <family val="3"/>
        <charset val="134"/>
      </rPr>
      <t>领料单</t>
    </r>
    <phoneticPr fontId="14" type="noConversion"/>
  </si>
  <si>
    <r>
      <rPr>
        <b/>
        <sz val="9"/>
        <rFont val="宋体"/>
        <family val="3"/>
        <charset val="134"/>
      </rPr>
      <t>索引号</t>
    </r>
    <phoneticPr fontId="14" type="noConversion"/>
  </si>
  <si>
    <r>
      <rPr>
        <b/>
        <sz val="10"/>
        <rFont val="宋体"/>
        <family val="3"/>
        <charset val="134"/>
      </rPr>
      <t>是否异常</t>
    </r>
    <phoneticPr fontId="14" type="noConversion"/>
  </si>
  <si>
    <r>
      <rPr>
        <b/>
        <sz val="10"/>
        <rFont val="宋体"/>
        <family val="3"/>
        <charset val="134"/>
      </rPr>
      <t>业务内容</t>
    </r>
    <phoneticPr fontId="14" type="noConversion"/>
  </si>
  <si>
    <r>
      <rPr>
        <b/>
        <sz val="10"/>
        <rFont val="宋体"/>
        <family val="3"/>
        <charset val="134"/>
      </rPr>
      <t>对方科目</t>
    </r>
    <phoneticPr fontId="14" type="noConversion"/>
  </si>
  <si>
    <r>
      <rPr>
        <b/>
        <sz val="10"/>
        <rFont val="宋体"/>
        <family val="3"/>
        <charset val="134"/>
      </rPr>
      <t>贷方金额</t>
    </r>
    <phoneticPr fontId="14" type="noConversion"/>
  </si>
  <si>
    <r>
      <rPr>
        <b/>
        <sz val="10"/>
        <color rgb="FF000000"/>
        <rFont val="宋体"/>
        <family val="3"/>
        <charset val="134"/>
      </rPr>
      <t>日期</t>
    </r>
    <r>
      <rPr>
        <b/>
        <sz val="10"/>
        <color rgb="FF000000"/>
        <rFont val="Arial Narrow"/>
        <family val="2"/>
      </rPr>
      <t>/</t>
    </r>
    <r>
      <rPr>
        <b/>
        <sz val="10"/>
        <color rgb="FF000000"/>
        <rFont val="宋体"/>
        <family val="3"/>
        <charset val="134"/>
      </rPr>
      <t>编号</t>
    </r>
    <phoneticPr fontId="14" type="noConversion"/>
  </si>
  <si>
    <r>
      <rPr>
        <b/>
        <sz val="9"/>
        <rFont val="宋体"/>
        <family val="3"/>
        <charset val="134"/>
      </rPr>
      <t>合计</t>
    </r>
    <phoneticPr fontId="14" type="noConversion"/>
  </si>
  <si>
    <r>
      <rPr>
        <b/>
        <sz val="10"/>
        <rFont val="宋体"/>
        <family val="3"/>
        <charset val="134"/>
      </rPr>
      <t>是否异常</t>
    </r>
    <phoneticPr fontId="14" type="noConversion"/>
  </si>
  <si>
    <r>
      <rPr>
        <b/>
        <sz val="10"/>
        <color rgb="FFFF0000"/>
        <rFont val="宋体"/>
        <family val="3"/>
        <charset val="134"/>
      </rPr>
      <t>数量</t>
    </r>
  </si>
  <si>
    <r>
      <rPr>
        <b/>
        <sz val="9"/>
        <rFont val="宋体"/>
        <family val="3"/>
        <charset val="134"/>
      </rPr>
      <t>供应商名称</t>
    </r>
    <phoneticPr fontId="14" type="noConversion"/>
  </si>
  <si>
    <r>
      <rPr>
        <b/>
        <sz val="10"/>
        <color rgb="FFFF0000"/>
        <rFont val="宋体"/>
        <family val="3"/>
        <charset val="134"/>
      </rPr>
      <t>物流单（运输单）</t>
    </r>
    <phoneticPr fontId="14" type="noConversion"/>
  </si>
  <si>
    <r>
      <rPr>
        <b/>
        <sz val="10"/>
        <rFont val="宋体"/>
        <family val="3"/>
        <charset val="134"/>
      </rPr>
      <t>对方明细科目</t>
    </r>
    <phoneticPr fontId="14" type="noConversion"/>
  </si>
  <si>
    <r>
      <rPr>
        <b/>
        <sz val="10"/>
        <rFont val="宋体"/>
        <family val="3"/>
        <charset val="134"/>
      </rPr>
      <t>借方金额</t>
    </r>
    <phoneticPr fontId="14" type="noConversion"/>
  </si>
  <si>
    <r>
      <rPr>
        <b/>
        <sz val="10"/>
        <color rgb="FF000000"/>
        <rFont val="宋体"/>
        <family val="3"/>
        <charset val="134"/>
      </rPr>
      <t>数量</t>
    </r>
    <phoneticPr fontId="14" type="noConversion"/>
  </si>
  <si>
    <r>
      <rPr>
        <b/>
        <sz val="10"/>
        <color rgb="FFFF0000"/>
        <rFont val="宋体"/>
        <family val="3"/>
        <charset val="134"/>
      </rPr>
      <t>物流单位</t>
    </r>
    <phoneticPr fontId="14" type="noConversion"/>
  </si>
  <si>
    <r>
      <rPr>
        <b/>
        <sz val="10"/>
        <color rgb="FFFF0000"/>
        <rFont val="宋体"/>
        <family val="3"/>
        <charset val="134"/>
      </rPr>
      <t>对手方名称</t>
    </r>
    <phoneticPr fontId="14" type="noConversion"/>
  </si>
  <si>
    <r>
      <rPr>
        <b/>
        <sz val="10"/>
        <color rgb="FFFF0000"/>
        <rFont val="宋体"/>
        <family val="3"/>
        <charset val="134"/>
      </rPr>
      <t>金额</t>
    </r>
    <phoneticPr fontId="14" type="noConversion"/>
  </si>
  <si>
    <r>
      <rPr>
        <b/>
        <sz val="10"/>
        <color rgb="FF000000"/>
        <rFont val="宋体"/>
        <family val="3"/>
        <charset val="134"/>
      </rPr>
      <t>日期</t>
    </r>
    <r>
      <rPr>
        <b/>
        <sz val="10"/>
        <color rgb="FF000000"/>
        <rFont val="Arial Narrow"/>
        <family val="2"/>
      </rPr>
      <t>/</t>
    </r>
    <r>
      <rPr>
        <b/>
        <sz val="10"/>
        <color rgb="FF000000"/>
        <rFont val="宋体"/>
        <family val="3"/>
        <charset val="134"/>
      </rPr>
      <t>编号</t>
    </r>
    <phoneticPr fontId="14" type="noConversion"/>
  </si>
  <si>
    <r>
      <rPr>
        <b/>
        <sz val="10"/>
        <color rgb="FFFF0000"/>
        <rFont val="宋体"/>
        <family val="3"/>
        <charset val="134"/>
      </rPr>
      <t>日期</t>
    </r>
    <r>
      <rPr>
        <b/>
        <sz val="10"/>
        <color rgb="FFFF0000"/>
        <rFont val="Arial Narrow"/>
        <family val="2"/>
      </rPr>
      <t>/</t>
    </r>
    <r>
      <rPr>
        <b/>
        <sz val="10"/>
        <color rgb="FFFF0000"/>
        <rFont val="宋体"/>
        <family val="3"/>
        <charset val="134"/>
      </rPr>
      <t>编号</t>
    </r>
    <phoneticPr fontId="14" type="noConversion"/>
  </si>
  <si>
    <r>
      <rPr>
        <b/>
        <sz val="10"/>
        <color rgb="FF000000"/>
        <rFont val="宋体"/>
        <family val="3"/>
        <charset val="134"/>
      </rPr>
      <t>入库单</t>
    </r>
    <r>
      <rPr>
        <b/>
        <sz val="10"/>
        <color rgb="FF000000"/>
        <rFont val="Arial Narrow"/>
        <family val="2"/>
      </rPr>
      <t>/</t>
    </r>
    <r>
      <rPr>
        <b/>
        <sz val="10"/>
        <color rgb="FF000000"/>
        <rFont val="宋体"/>
        <family val="3"/>
        <charset val="134"/>
      </rPr>
      <t>验收单</t>
    </r>
    <phoneticPr fontId="14" type="noConversion"/>
  </si>
  <si>
    <r>
      <rPr>
        <b/>
        <sz val="10"/>
        <color rgb="FFFF0000"/>
        <rFont val="宋体"/>
        <family val="3"/>
        <charset val="134"/>
      </rPr>
      <t>质检报告</t>
    </r>
    <phoneticPr fontId="14" type="noConversion"/>
  </si>
  <si>
    <r>
      <rPr>
        <b/>
        <sz val="10"/>
        <color rgb="FFFF0000"/>
        <rFont val="宋体"/>
        <family val="3"/>
        <charset val="134"/>
      </rPr>
      <t>采购发票</t>
    </r>
    <phoneticPr fontId="14" type="noConversion"/>
  </si>
  <si>
    <r>
      <rPr>
        <b/>
        <sz val="10"/>
        <color rgb="FFFF0000"/>
        <rFont val="宋体"/>
        <family val="3"/>
        <charset val="134"/>
      </rPr>
      <t>日期</t>
    </r>
    <r>
      <rPr>
        <b/>
        <sz val="10"/>
        <color rgb="FFFF0000"/>
        <rFont val="Arial Narrow"/>
        <family val="2"/>
      </rPr>
      <t>/</t>
    </r>
    <r>
      <rPr>
        <b/>
        <sz val="10"/>
        <color rgb="FFFF0000"/>
        <rFont val="宋体"/>
        <family val="3"/>
        <charset val="134"/>
      </rPr>
      <t>编号</t>
    </r>
    <phoneticPr fontId="14" type="noConversion"/>
  </si>
  <si>
    <t>出库单/领料单</t>
    <phoneticPr fontId="14" type="noConversion"/>
  </si>
  <si>
    <t>出库单/领料单</t>
    <phoneticPr fontId="14" type="noConversion"/>
  </si>
  <si>
    <t>存货截止测试-入库（从记账凭证至原始凭证）</t>
    <phoneticPr fontId="14" type="noConversion"/>
  </si>
  <si>
    <t>存货截止测试-入库（从原始凭证至记账凭证）</t>
    <phoneticPr fontId="14" type="noConversion"/>
  </si>
  <si>
    <t>存货截止测试-出库（记账凭证至原始凭证）</t>
    <phoneticPr fontId="14" type="noConversion"/>
  </si>
  <si>
    <t>存货截止测试-出库（原始凭证至记账凭证）</t>
    <phoneticPr fontId="14" type="noConversion"/>
  </si>
  <si>
    <t>存货采购入库检查表</t>
    <phoneticPr fontId="14" type="noConversion"/>
  </si>
  <si>
    <t>存货采购入库检查表</t>
    <phoneticPr fontId="14" type="noConversion"/>
  </si>
  <si>
    <t>材料领用检查表</t>
    <phoneticPr fontId="14" type="noConversion"/>
  </si>
  <si>
    <t>委托加工物资核查表</t>
    <phoneticPr fontId="14" type="noConversion"/>
  </si>
  <si>
    <t>F2-29</t>
    <phoneticPr fontId="14" type="noConversion"/>
  </si>
  <si>
    <t>F2-30</t>
  </si>
  <si>
    <t>F2-32</t>
  </si>
  <si>
    <t>F2-33</t>
  </si>
  <si>
    <t>F2-34</t>
  </si>
  <si>
    <t>F2-35</t>
  </si>
  <si>
    <r>
      <t>存货</t>
    </r>
    <r>
      <rPr>
        <b/>
        <sz val="14"/>
        <color rgb="FFFF0000"/>
        <rFont val="宋体"/>
        <family val="3"/>
        <charset val="134"/>
      </rPr>
      <t>（原材料/产成品）</t>
    </r>
    <r>
      <rPr>
        <b/>
        <sz val="14"/>
        <rFont val="宋体"/>
        <family val="3"/>
        <charset val="134"/>
      </rPr>
      <t>截止测试-入库（从记账凭证至原始凭证）</t>
    </r>
    <phoneticPr fontId="14" type="noConversion"/>
  </si>
  <si>
    <r>
      <t>1.</t>
    </r>
    <r>
      <rPr>
        <sz val="10"/>
        <color indexed="12"/>
        <rFont val="宋体"/>
        <family val="3"/>
        <charset val="134"/>
      </rPr>
      <t>应分别存货类别（如原材料、产成品）进行截止测试。</t>
    </r>
    <phoneticPr fontId="14" type="noConversion"/>
  </si>
  <si>
    <r>
      <t>3.</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14" type="noConversion"/>
  </si>
  <si>
    <r>
      <t>4.</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14" type="noConversion"/>
  </si>
  <si>
    <t>提示：</t>
    <phoneticPr fontId="14" type="noConversion"/>
  </si>
  <si>
    <r>
      <t>存货</t>
    </r>
    <r>
      <rPr>
        <b/>
        <sz val="14"/>
        <color rgb="FFFF0000"/>
        <rFont val="宋体"/>
        <family val="3"/>
        <charset val="134"/>
      </rPr>
      <t>（原材料/产成品）</t>
    </r>
    <r>
      <rPr>
        <b/>
        <sz val="14"/>
        <rFont val="宋体"/>
        <family val="3"/>
        <charset val="134"/>
      </rPr>
      <t>截止测试-入库（从原始凭证至记账凭证）</t>
    </r>
    <phoneticPr fontId="14" type="noConversion"/>
  </si>
  <si>
    <r>
      <t>2.</t>
    </r>
    <r>
      <rPr>
        <sz val="10"/>
        <color indexed="12"/>
        <rFont val="宋体"/>
        <family val="3"/>
        <charset val="134"/>
      </rPr>
      <t>上述测试基于入库单作为存货入库的依据，如果存货入库的依据不是入库单，则相应调整。</t>
    </r>
    <phoneticPr fontId="14" type="noConversion"/>
  </si>
  <si>
    <t>……</t>
    <phoneticPr fontId="14" type="noConversion"/>
  </si>
  <si>
    <t>……</t>
    <phoneticPr fontId="14" type="noConversion"/>
  </si>
  <si>
    <t>存货名称</t>
    <phoneticPr fontId="14" type="noConversion"/>
  </si>
  <si>
    <t>提示：</t>
    <phoneticPr fontId="14" type="noConversion"/>
  </si>
  <si>
    <r>
      <t>1.</t>
    </r>
    <r>
      <rPr>
        <sz val="10"/>
        <rFont val="宋体"/>
        <family val="3"/>
        <charset val="134"/>
      </rPr>
      <t>从存货明细账贷方发生额中抽取资产负债表日前（</t>
    </r>
    <r>
      <rPr>
        <sz val="10"/>
        <rFont val="Arial Narrow"/>
        <family val="2"/>
      </rPr>
      <t>______</t>
    </r>
    <r>
      <rPr>
        <sz val="10"/>
        <rFont val="宋体"/>
        <family val="3"/>
        <charset val="134"/>
      </rPr>
      <t>）天、后（</t>
    </r>
    <r>
      <rPr>
        <sz val="10"/>
        <rFont val="Arial Narrow"/>
        <family val="2"/>
      </rPr>
      <t>______</t>
    </r>
    <r>
      <rPr>
        <sz val="10"/>
        <rFont val="宋体"/>
        <family val="3"/>
        <charset val="134"/>
      </rPr>
      <t>）天，且金额大于</t>
    </r>
    <r>
      <rPr>
        <sz val="10"/>
        <rFont val="Arial Narrow"/>
        <family val="2"/>
      </rPr>
      <t>______</t>
    </r>
    <r>
      <rPr>
        <sz val="10"/>
        <rFont val="宋体"/>
        <family val="3"/>
        <charset val="134"/>
      </rPr>
      <t>元的凭证，与出库记录（如出库单、原材料领用单、运输单据）核对；</t>
    </r>
    <phoneticPr fontId="14" type="noConversion"/>
  </si>
  <si>
    <t>提示：如果存在跨期舞弊风险或者所检查样本中发现有跨期的，应扩大测试期间和样本，甚至可以考虑将截止测试期间延长至审计报告日。同时考虑是否存在内控缺陷。</t>
    <phoneticPr fontId="14" type="noConversion"/>
  </si>
  <si>
    <r>
      <t>1.</t>
    </r>
    <r>
      <rPr>
        <sz val="10"/>
        <color indexed="12"/>
        <rFont val="宋体"/>
        <family val="3"/>
        <charset val="134"/>
      </rPr>
      <t>应分别存货类别（如原材料、产成品等）进行截止测试。</t>
    </r>
    <phoneticPr fontId="14" type="noConversion"/>
  </si>
  <si>
    <r>
      <t>2.</t>
    </r>
    <r>
      <rPr>
        <sz val="10"/>
        <color indexed="12"/>
        <rFont val="宋体"/>
        <family val="3"/>
        <charset val="134"/>
      </rPr>
      <t>上述测试基于出库单作为存货出库的依据，如果存货出库的依据不是出库单，则相应调整。</t>
    </r>
    <phoneticPr fontId="14" type="noConversion"/>
  </si>
  <si>
    <r>
      <t>3.</t>
    </r>
    <r>
      <rPr>
        <sz val="10"/>
        <color indexed="12"/>
        <rFont val="宋体"/>
        <family val="3"/>
        <charset val="134"/>
      </rPr>
      <t>如果公司核算发出商品或存在不符合收入确认而已经发出产品或消耗产品等，产成品的出库截止性测试相应调整。</t>
    </r>
    <phoneticPr fontId="14" type="noConversion"/>
  </si>
  <si>
    <r>
      <t>3.</t>
    </r>
    <r>
      <rPr>
        <sz val="10"/>
        <color indexed="12"/>
        <rFont val="宋体"/>
        <family val="3"/>
        <charset val="134"/>
      </rPr>
      <t>如果公司核算发出商品或存在不符合收入确认而已经发出产品或消耗产品等，产成品的出库截止性测试相应调整。</t>
    </r>
    <phoneticPr fontId="14" type="noConversion"/>
  </si>
  <si>
    <r>
      <t>存货</t>
    </r>
    <r>
      <rPr>
        <b/>
        <sz val="14"/>
        <color rgb="FFFF0000"/>
        <rFont val="宋体"/>
        <family val="3"/>
        <charset val="134"/>
      </rPr>
      <t>（原材料/产成品）</t>
    </r>
    <r>
      <rPr>
        <b/>
        <sz val="14"/>
        <rFont val="宋体"/>
        <family val="3"/>
        <charset val="134"/>
      </rPr>
      <t>截止测试-出库（从原始凭证至记账凭证）</t>
    </r>
    <phoneticPr fontId="14" type="noConversion"/>
  </si>
  <si>
    <t>测试总体：</t>
    <phoneticPr fontId="14" type="noConversion"/>
  </si>
  <si>
    <t>特定样本：</t>
    <phoneticPr fontId="14" type="noConversion"/>
  </si>
  <si>
    <t>抽样总体：</t>
    <phoneticPr fontId="14" type="noConversion"/>
  </si>
  <si>
    <t>测试总体扣除特定样本以外的样本，共XX笔、金额XX</t>
    <phoneticPr fontId="14" type="noConversion"/>
  </si>
  <si>
    <t>确定的抽样样本量：</t>
    <phoneticPr fontId="14" type="noConversion"/>
  </si>
  <si>
    <t>抽取XX笔</t>
    <phoneticPr fontId="14" type="noConversion"/>
  </si>
  <si>
    <t>抽样方法：</t>
    <phoneticPr fontId="14" type="noConversion"/>
  </si>
  <si>
    <t>抽样过程：</t>
    <phoneticPr fontId="14" type="noConversion"/>
  </si>
  <si>
    <t>如存货借方发生额所有凭证共XX笔金额XX</t>
    <phoneticPr fontId="14" type="noConversion"/>
  </si>
  <si>
    <t>存货名称</t>
    <phoneticPr fontId="14" type="noConversion"/>
  </si>
  <si>
    <t>单位</t>
    <phoneticPr fontId="14" type="noConversion"/>
  </si>
  <si>
    <t>数量</t>
    <phoneticPr fontId="14" type="noConversion"/>
  </si>
  <si>
    <t>特定样本：</t>
    <phoneticPr fontId="14" type="noConversion"/>
  </si>
  <si>
    <t>确定的抽样样本量：</t>
    <phoneticPr fontId="14" type="noConversion"/>
  </si>
  <si>
    <t>使用IDEA（XX抽样工具）选择XX数量、金额XX的样本进行测试，抽样工具中的样本选择过程和结果见&lt;XX&gt;底稿</t>
    <phoneticPr fontId="14" type="noConversion"/>
  </si>
  <si>
    <t>（如果使用了样本计算器计算样本量，样本量计算过程见&lt;XX&gt;底稿）</t>
    <phoneticPr fontId="14" type="noConversion"/>
  </si>
  <si>
    <t>……</t>
    <phoneticPr fontId="14" type="noConversion"/>
  </si>
  <si>
    <r>
      <rPr>
        <b/>
        <sz val="10"/>
        <color rgb="FFFF0000"/>
        <rFont val="宋体"/>
        <family val="3"/>
        <charset val="134"/>
      </rPr>
      <t>领用部门</t>
    </r>
    <phoneticPr fontId="14" type="noConversion"/>
  </si>
  <si>
    <r>
      <rPr>
        <b/>
        <sz val="10"/>
        <color rgb="FFFF0000"/>
        <rFont val="宋体"/>
        <family val="3"/>
        <charset val="134"/>
      </rPr>
      <t>数量</t>
    </r>
    <phoneticPr fontId="14" type="noConversion"/>
  </si>
  <si>
    <t>抽样总体：</t>
    <phoneticPr fontId="14" type="noConversion"/>
  </si>
  <si>
    <t>测试总体扣除特定样本以外的样本，共XX笔、金额XX</t>
    <phoneticPr fontId="14" type="noConversion"/>
  </si>
  <si>
    <t>抽取XX笔</t>
    <phoneticPr fontId="14" type="noConversion"/>
  </si>
  <si>
    <t>抽样方法：</t>
    <phoneticPr fontId="14" type="noConversion"/>
  </si>
  <si>
    <t>抽样过程：</t>
    <phoneticPr fontId="14" type="noConversion"/>
  </si>
  <si>
    <t>如原材料贷方发生额所有凭证共XX笔金额XX</t>
    <phoneticPr fontId="14" type="noConversion"/>
  </si>
  <si>
    <t>底稿开列时，可先在以下单元格填写有关内容，以便其他底稿引用有关数据：</t>
    <phoneticPr fontId="14" type="noConversion"/>
  </si>
  <si>
    <t>F2-31</t>
    <phoneticPr fontId="14" type="noConversion"/>
  </si>
  <si>
    <t>XX金额以上（大额）、关联方/关联交易形成的款项、XX异常款项全部测试，共XX笔</t>
    <phoneticPr fontId="14" type="noConversion"/>
  </si>
  <si>
    <t>XX金额以上（大额）、关联方/关联交易形成的款项、XX异常款项全部测试，共XX笔</t>
    <phoneticPr fontId="14" type="noConversion"/>
  </si>
  <si>
    <t>提示：如果存在跨期舞弊风险或者所检查样本中发现有跨期的，应扩大测试期间和样本，甚至可以考虑将截止测试期间延长至审计报告日。同时考虑是否存在内控缺陷。</t>
    <phoneticPr fontId="14" type="noConversion"/>
  </si>
  <si>
    <r>
      <t>——————</t>
    </r>
    <r>
      <rPr>
        <b/>
        <sz val="10"/>
        <rFont val="宋体"/>
        <family val="3"/>
        <charset val="134"/>
      </rPr>
      <t>截止日期：</t>
    </r>
    <r>
      <rPr>
        <b/>
        <sz val="10"/>
        <rFont val="Arial Narrow"/>
        <family val="2"/>
      </rPr>
      <t>202X</t>
    </r>
    <r>
      <rPr>
        <b/>
        <sz val="10"/>
        <rFont val="宋体"/>
        <family val="3"/>
        <charset val="134"/>
      </rPr>
      <t>年</t>
    </r>
    <r>
      <rPr>
        <b/>
        <sz val="10"/>
        <rFont val="Arial Narrow"/>
        <family val="2"/>
      </rPr>
      <t>12</t>
    </r>
    <r>
      <rPr>
        <b/>
        <sz val="10"/>
        <rFont val="宋体"/>
        <family val="3"/>
        <charset val="134"/>
      </rPr>
      <t>月</t>
    </r>
    <r>
      <rPr>
        <b/>
        <sz val="10"/>
        <rFont val="Arial Narrow"/>
        <family val="2"/>
      </rPr>
      <t>31</t>
    </r>
    <r>
      <rPr>
        <b/>
        <sz val="10"/>
        <rFont val="宋体"/>
        <family val="3"/>
        <charset val="134"/>
      </rPr>
      <t>日</t>
    </r>
    <r>
      <rPr>
        <b/>
        <sz val="10"/>
        <rFont val="Arial Narrow"/>
        <family val="2"/>
      </rPr>
      <t>——————</t>
    </r>
    <phoneticPr fontId="14" type="noConversion"/>
  </si>
  <si>
    <r>
      <rPr>
        <sz val="10"/>
        <rFont val="宋体"/>
        <family val="3"/>
        <charset val="134"/>
      </rPr>
      <t>被审计单位：</t>
    </r>
    <r>
      <rPr>
        <sz val="10"/>
        <rFont val="Arial Narrow"/>
        <family val="2"/>
      </rPr>
      <t/>
    </r>
    <phoneticPr fontId="14" type="noConversion"/>
  </si>
  <si>
    <t>编制人：</t>
    <phoneticPr fontId="14" type="noConversion"/>
  </si>
  <si>
    <t>编制日期：</t>
    <phoneticPr fontId="14" type="noConversion"/>
  </si>
  <si>
    <t>复核人：</t>
    <phoneticPr fontId="14" type="noConversion"/>
  </si>
  <si>
    <t>复核日期：</t>
    <phoneticPr fontId="14" type="noConversion"/>
  </si>
  <si>
    <t>截止日：202X年12月31日</t>
    <phoneticPr fontId="14" type="noConversion"/>
  </si>
  <si>
    <t>随机选样/系统选样/货币单元抽样/随意选样（非统计抽样适用）</t>
    <phoneticPr fontId="14"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</si>
  <si>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4" type="noConversion"/>
  </si>
  <si>
    <r>
      <t>1.</t>
    </r>
    <r>
      <rPr>
        <sz val="10"/>
        <rFont val="宋体"/>
        <family val="3"/>
        <charset val="134"/>
      </rPr>
      <t>本期发生额、期末余额检查比例：</t>
    </r>
    <phoneticPr fontId="14" type="noConversion"/>
  </si>
  <si>
    <t>账面金额</t>
    <phoneticPr fontId="14" type="noConversion"/>
  </si>
  <si>
    <t>检查金额</t>
    <phoneticPr fontId="14" type="noConversion"/>
  </si>
  <si>
    <t>检查比例</t>
    <phoneticPr fontId="14" type="noConversion"/>
  </si>
  <si>
    <t>存货类别</t>
    <phoneticPr fontId="14" type="noConversion"/>
  </si>
  <si>
    <t>存货类别</t>
    <phoneticPr fontId="14" type="noConversion"/>
  </si>
  <si>
    <t>四、审计说明：</t>
    <phoneticPr fontId="20" type="noConversion"/>
  </si>
  <si>
    <r>
      <t>1.</t>
    </r>
    <r>
      <rPr>
        <sz val="10"/>
        <rFont val="宋体"/>
        <family val="3"/>
        <charset val="134"/>
      </rPr>
      <t>资产负债表中记录的存货是存在的，且已经记录在恰当的账户中；</t>
    </r>
    <r>
      <rPr>
        <sz val="10"/>
        <rFont val="Arial Narrow"/>
        <family val="2"/>
      </rPr>
      <t>2.</t>
    </r>
    <r>
      <rPr>
        <sz val="10"/>
        <rFont val="宋体"/>
        <family val="3"/>
        <charset val="134"/>
      </rPr>
      <t>所有应记录的存货均已记录，所有应当包括在财务报表中的相关披露均已包括</t>
    </r>
    <phoneticPr fontId="14" type="noConversion"/>
  </si>
  <si>
    <t>检查金额</t>
    <phoneticPr fontId="14" type="noConversion"/>
  </si>
  <si>
    <t>项目</t>
    <phoneticPr fontId="14" type="noConversion"/>
  </si>
  <si>
    <t>原材料贷方</t>
    <phoneticPr fontId="14" type="noConversion"/>
  </si>
  <si>
    <t>2.……</t>
    <phoneticPr fontId="14" type="noConversion"/>
  </si>
  <si>
    <t>如果检查比例较低应扩大检查样本量或说明原因</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</si>
</sst>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9">
    <numFmt numFmtId="41" formatCode="_ * #,##0_ ;_ * \-#,##0_ ;_ * &quot;-&quot;_ ;_ @_ "/>
    <numFmt numFmtId="43" formatCode="_ * #,##0.00_ ;_ * \-#,##0.00_ ;_ * &quot;-&quot;??_ ;_ @_ "/>
    <numFmt numFmtId="176" formatCode="&quot;$&quot;#,##0_);\(&quot;$&quot;#,##0\)"/>
    <numFmt numFmtId="177" formatCode="&quot;\&quot;#,##0;&quot;\&quot;&quot;\&quot;\-#,##0"/>
    <numFmt numFmtId="178" formatCode="&quot;\&quot;#,##0;[Red]&quot;\&quot;&quot;\&quot;\-#,##0"/>
    <numFmt numFmtId="179" formatCode="&quot;\&quot;#,##0.00;[Red]&quot;\&quot;&quot;\&quot;\-#,##0.00"/>
    <numFmt numFmtId="180" formatCode="_-#,##0.00_-;\(#,##0.00\);_-\ \ &quot;-&quot;_-;_-@_-"/>
    <numFmt numFmtId="181" formatCode="mmm/yyyy;_-\ &quot;N/A&quot;_-;_-\ &quot;-&quot;_-"/>
    <numFmt numFmtId="182" formatCode="mmm/dd/yyyy;_-\ &quot;N/A&quot;_-;_-\ &quot;-&quot;_-"/>
    <numFmt numFmtId="183" formatCode="_-#,##0_-;\(#,##0\);_-\ \ &quot;-&quot;_-;_-@_-"/>
    <numFmt numFmtId="184" formatCode="_-#,##0%_-;\(#,##0%\);_-\ &quot;-&quot;_-"/>
    <numFmt numFmtId="185" formatCode="_-#,###,_-;\(#,###,\);_-\ \ &quot;-&quot;_-;_-@_-"/>
    <numFmt numFmtId="186" formatCode="_-#,###.00,_-;\(#,###.00,\);_-\ \ &quot;-&quot;_-;_-@_-"/>
    <numFmt numFmtId="187" formatCode="_([$€-2]* #,##0.00_);_([$€-2]* \(#,##0.00\);_([$€-2]* &quot;-&quot;??_)"/>
    <numFmt numFmtId="188" formatCode="_-#0&quot;.&quot;0000_-;\(#0&quot;.&quot;0000\);_-\ \ &quot;-&quot;_-;_-@_-"/>
    <numFmt numFmtId="189" formatCode="_-#0&quot;.&quot;0,_-;\(#0&quot;.&quot;0,\);_-\ \ &quot;-&quot;_-;_-@_-"/>
    <numFmt numFmtId="190" formatCode="0%;\(0%\)"/>
    <numFmt numFmtId="191" formatCode="0.0%"/>
    <numFmt numFmtId="192" formatCode="#,##0;\-#,##0;&quot;-&quot;"/>
    <numFmt numFmtId="193" formatCode="&quot;$&quot;#,##0;[Red]&quot;$&quot;&quot;$&quot;&quot;$&quot;&quot;$&quot;&quot;$&quot;&quot;$&quot;&quot;$&quot;\-#,##0"/>
    <numFmt numFmtId="194" formatCode="#,##0.0_);\(#,##0.0\)"/>
    <numFmt numFmtId="195" formatCode="hh:mm\ AM/PM_)"/>
    <numFmt numFmtId="196" formatCode="&quot;$&quot;#,##0.00_);\(&quot;$&quot;#,##0.00\)"/>
    <numFmt numFmtId="197" formatCode=";;;"/>
    <numFmt numFmtId="198" formatCode="_(&quot;$&quot;* #,##0_);_(&quot;$&quot;* \(#,##0\);_(&quot;$&quot;* &quot;-&quot;_);_(@_)"/>
    <numFmt numFmtId="199" formatCode="_(&quot;$&quot;* #,##0.00_);_(&quot;$&quot;* \(#,##0.00\);_(&quot;$&quot;* &quot;-&quot;??_);_(@_)"/>
    <numFmt numFmtId="200" formatCode="_-* #,##0_-;\-* #,##0_-;_-* &quot;-&quot;??_-;_-@_-"/>
    <numFmt numFmtId="201" formatCode="0.00000000000_);[Red]\(0.00000000000\)"/>
    <numFmt numFmtId="202" formatCode="0%_);\(0%\)"/>
    <numFmt numFmtId="203"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4" formatCode="\(#,##0\)\ "/>
    <numFmt numFmtId="205" formatCode="[Blue]0.0%;[Blue]\(0.0%\)"/>
    <numFmt numFmtId="206" formatCode="0.0%;\(0.0%\)"/>
    <numFmt numFmtId="207" formatCode="[Red]0.0%;[Red]\(0.0%\)"/>
    <numFmt numFmtId="208" formatCode="[Blue]#,##0_);[Blue]\(#,##0\)"/>
    <numFmt numFmtId="209" formatCode="#,##0_);[Blue]\(#,##0\)"/>
    <numFmt numFmtId="210" formatCode="#,##0;\(#,##0\)"/>
    <numFmt numFmtId="211" formatCode="#,##0.0"/>
    <numFmt numFmtId="212" formatCode="\$#,##0.00;\(\$#,##0.00\)"/>
    <numFmt numFmtId="213" formatCode="\$#,##0;\(\$#,##0\)"/>
    <numFmt numFmtId="214" formatCode="#,##0\ &quot; &quot;;\(#,##0\)\ ;&quot;—&quot;&quot; &quot;&quot; &quot;&quot; &quot;&quot; &quot;"/>
    <numFmt numFmtId="215" formatCode="_(&quot;Cr$&quot;* #,##0_);_(&quot;Cr$&quot;* \(#,##0\);_(&quot;Cr$&quot;* &quot;-&quot;_);_(@_)"/>
    <numFmt numFmtId="216" formatCode="_(&quot;Cr$&quot;* #,##0.00_);_(&quot;Cr$&quot;* \(#,##0.00\);_(&quot;Cr$&quot;* &quot;-&quot;??_);_(@_)"/>
    <numFmt numFmtId="217" formatCode="_ * #,##0_)\ _R_$_ ;_ * \(#,##0\)\ _R_$_ ;_ * &quot;-&quot;_)\ _R_$_ ;_ @_ "/>
    <numFmt numFmtId="218" formatCode="_ * #,##0.00_)\ _R_$_ ;_ * \(#,##0.00\)\ _R_$_ ;_ * &quot;-&quot;??_)\ _R_$_ ;_ @_ "/>
    <numFmt numFmtId="219" formatCode="\ \ @"/>
    <numFmt numFmtId="220" formatCode="#,##0_);\(#,##0_)"/>
    <numFmt numFmtId="221" formatCode="_-* #,##0\ _k_r_-;\-* #,##0\ _k_r_-;_-* &quot;-&quot;\ _k_r_-;_-@_-"/>
    <numFmt numFmtId="222" formatCode="_-* #,##0.00\ _k_r_-;\-* #,##0.00\ _k_r_-;_-* &quot;-&quot;??\ _k_r_-;_-@_-"/>
    <numFmt numFmtId="223" formatCode="&quot;綅&quot;\t#,##0_);[Red]\(&quot;綅&quot;\t#,##0\)"/>
    <numFmt numFmtId="224" formatCode="&quot;?\t#,##0_);[Red]\(&quot;&quot;?&quot;\t#,##0\)"/>
    <numFmt numFmtId="225" formatCode="_-* #,##0_-;\-* #,##0_-;_-* &quot;-&quot;_-;_-@_-"/>
    <numFmt numFmtId="226" formatCode="_-* #,##0.00_-;\-* #,##0.00_-;_-* &quot;-&quot;??_-;_-@_-"/>
    <numFmt numFmtId="227" formatCode="_-&quot;$&quot;* #,##0_-;\-&quot;$&quot;* #,##0_-;_-&quot;$&quot;* &quot;-&quot;_-;_-@_-"/>
    <numFmt numFmtId="228" formatCode="_-&quot;$&quot;* #,##0.00_-;\-&quot;$&quot;* #,##0.00_-;_-&quot;$&quot;* &quot;-&quot;??_-;_-@_-"/>
    <numFmt numFmtId="229" formatCode="&quot;\&quot;#,##0.00;[Red]&quot;\&quot;&quot;\&quot;&quot;\&quot;&quot;\&quot;&quot;\&quot;&quot;\&quot;\-#,##0.00"/>
    <numFmt numFmtId="230" formatCode="&quot;\&quot;#,##0.00;[Red]&quot;\&quot;\-#,##0.00"/>
    <numFmt numFmtId="231" formatCode="&quot;\&quot;#,##0;[Red]&quot;\&quot;\-#,##0"/>
    <numFmt numFmtId="232" formatCode="#,##0.00_ "/>
  </numFmts>
  <fonts count="131">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sz val="12"/>
      <name val="宋体"/>
      <family val="3"/>
      <charset val="134"/>
    </font>
    <font>
      <sz val="10"/>
      <name val="Courier"/>
      <family val="3"/>
    </font>
    <font>
      <sz val="7"/>
      <color indexed="10"/>
      <name val="Helv"/>
      <family val="2"/>
    </font>
    <font>
      <u/>
      <sz val="12"/>
      <color indexed="12"/>
      <name val="宋体"/>
      <family val="3"/>
      <charset val="134"/>
    </font>
    <font>
      <sz val="9"/>
      <name val="宋体"/>
      <family val="3"/>
      <charset val="134"/>
    </font>
    <font>
      <sz val="10"/>
      <name val="宋体"/>
      <family val="3"/>
      <charset val="134"/>
    </font>
    <font>
      <b/>
      <sz val="12"/>
      <name val="宋体"/>
      <family val="3"/>
      <charset val="134"/>
    </font>
    <font>
      <sz val="10"/>
      <name val="Times New Roman"/>
      <family val="1"/>
    </font>
    <font>
      <b/>
      <sz val="14"/>
      <name val="黑体"/>
      <family val="3"/>
      <charset val="134"/>
    </font>
    <font>
      <sz val="12"/>
      <name val="Times New Roman"/>
      <family val="1"/>
    </font>
    <font>
      <sz val="18"/>
      <color indexed="48"/>
      <name val="魏碑"/>
      <family val="3"/>
      <charset val="134"/>
    </font>
    <font>
      <sz val="12"/>
      <name val="Arial"/>
      <family val="2"/>
    </font>
    <font>
      <sz val="10.5"/>
      <name val="Arial"/>
      <family val="2"/>
    </font>
    <font>
      <b/>
      <sz val="10"/>
      <color indexed="10"/>
      <name val="Arial"/>
      <family val="2"/>
    </font>
    <font>
      <b/>
      <sz val="12"/>
      <name val="Arial"/>
      <family val="2"/>
    </font>
    <font>
      <b/>
      <sz val="12"/>
      <name val="Arial Narrow"/>
      <family val="2"/>
    </font>
    <font>
      <sz val="12"/>
      <name val="Arial Narrow"/>
      <family val="2"/>
    </font>
    <font>
      <sz val="10"/>
      <name val="Arial Narrow"/>
      <family val="2"/>
    </font>
    <font>
      <b/>
      <sz val="10"/>
      <name val="Arial Narrow"/>
      <family val="2"/>
    </font>
    <font>
      <sz val="10"/>
      <color indexed="12"/>
      <name val="Arial Narrow"/>
      <family val="2"/>
    </font>
    <font>
      <u val="singleAccounting"/>
      <vertAlign val="subscript"/>
      <sz val="10"/>
      <name val="Times New Roman"/>
      <family val="1"/>
    </font>
    <font>
      <i/>
      <sz val="9"/>
      <name val="Times New Roman"/>
      <family val="1"/>
    </font>
    <font>
      <sz val="10"/>
      <color indexed="8"/>
      <name val="宋体"/>
      <family val="3"/>
      <charset val="134"/>
    </font>
    <font>
      <sz val="11"/>
      <color indexed="9"/>
      <name val="宋体"/>
      <family val="3"/>
      <charset val="134"/>
    </font>
    <font>
      <b/>
      <sz val="10"/>
      <name val="宋体"/>
      <family val="3"/>
      <charset val="134"/>
    </font>
    <font>
      <sz val="10"/>
      <color indexed="12"/>
      <name val="宋体"/>
      <family val="3"/>
      <charset val="134"/>
    </font>
    <font>
      <b/>
      <sz val="10"/>
      <color indexed="12"/>
      <name val="宋体"/>
      <family val="3"/>
      <charset val="134"/>
    </font>
    <font>
      <sz val="10"/>
      <color indexed="8"/>
      <name val="宋体"/>
      <family val="3"/>
      <charset val="134"/>
    </font>
    <font>
      <sz val="12"/>
      <color indexed="8"/>
      <name val="宋体"/>
      <family val="3"/>
      <charset val="134"/>
    </font>
    <font>
      <sz val="10"/>
      <color rgb="FFFF0000"/>
      <name val="宋体"/>
      <family val="3"/>
      <charset val="134"/>
    </font>
    <font>
      <sz val="11"/>
      <color theme="1"/>
      <name val="宋体"/>
      <family val="3"/>
      <charset val="134"/>
      <scheme val="minor"/>
    </font>
    <font>
      <sz val="11"/>
      <color theme="1"/>
      <name val="宋体"/>
      <family val="2"/>
      <scheme val="minor"/>
    </font>
    <font>
      <sz val="10"/>
      <color theme="1"/>
      <name val="Arial Narrow"/>
      <family val="2"/>
    </font>
    <font>
      <sz val="10"/>
      <color theme="1"/>
      <name val="宋体"/>
      <family val="3"/>
      <charset val="134"/>
    </font>
    <font>
      <sz val="10"/>
      <color indexed="8"/>
      <name val="Arial"/>
      <family val="2"/>
    </font>
    <font>
      <sz val="13"/>
      <name val="Tms Rmn"/>
      <family val="1"/>
    </font>
    <font>
      <b/>
      <sz val="13"/>
      <name val="Tms Rmn"/>
      <family val="1"/>
    </font>
    <font>
      <b/>
      <sz val="8"/>
      <name val="Arial"/>
      <family val="2"/>
    </font>
    <font>
      <sz val="10"/>
      <name val="MS Sans Serif"/>
      <family val="2"/>
    </font>
    <font>
      <sz val="9"/>
      <name val="Times New Roman"/>
      <family val="1"/>
    </font>
    <font>
      <b/>
      <sz val="10"/>
      <name val="Arial"/>
      <family val="2"/>
    </font>
    <font>
      <sz val="7"/>
      <name val="Small Fonts"/>
      <family val="2"/>
    </font>
    <font>
      <sz val="10"/>
      <color indexed="8"/>
      <name val="MS Sans Serif"/>
      <family val="2"/>
    </font>
    <font>
      <sz val="8"/>
      <color indexed="16"/>
      <name val="Century Schoolbook"/>
      <family val="1"/>
    </font>
    <font>
      <b/>
      <i/>
      <sz val="10"/>
      <name val="Times New Roman"/>
      <family val="1"/>
    </font>
    <font>
      <b/>
      <sz val="12"/>
      <name val="MS Sans Serif"/>
      <family val="2"/>
    </font>
    <font>
      <sz val="12"/>
      <name val="MS Sans Serif"/>
      <family val="2"/>
    </font>
    <font>
      <b/>
      <sz val="9"/>
      <name val="Times New Roman"/>
      <family val="1"/>
    </font>
    <font>
      <sz val="10"/>
      <name val="Geneva"/>
      <family val="2"/>
    </font>
    <font>
      <sz val="11"/>
      <name val="明朝"/>
      <family val="2"/>
    </font>
    <font>
      <sz val="8"/>
      <name val="Century Schoolbook"/>
      <family val="1"/>
    </font>
    <font>
      <u/>
      <sz val="10"/>
      <color indexed="12"/>
      <name val="宋体"/>
      <family val="3"/>
      <charset val="134"/>
    </font>
    <font>
      <sz val="11"/>
      <name val="ＭＳ Ｐゴシック"/>
      <family val="2"/>
    </font>
    <font>
      <sz val="12"/>
      <name val="바탕체"/>
      <family val="3"/>
    </font>
    <font>
      <sz val="10"/>
      <color indexed="72"/>
      <name val="宋体"/>
      <family val="3"/>
      <charset val="134"/>
    </font>
    <font>
      <sz val="10"/>
      <name val="Helv"/>
      <family val="2"/>
    </font>
    <font>
      <sz val="11"/>
      <color indexed="8"/>
      <name val="Calibri"/>
      <family val="2"/>
    </font>
    <font>
      <sz val="11"/>
      <color indexed="9"/>
      <name val="Calibri"/>
      <family val="2"/>
    </font>
    <font>
      <sz val="11"/>
      <color indexed="20"/>
      <name val="Calibri"/>
      <family val="2"/>
    </font>
    <font>
      <sz val="12"/>
      <name val="Tms Rmn"/>
      <family val="1"/>
    </font>
    <font>
      <b/>
      <sz val="11"/>
      <color indexed="52"/>
      <name val="Calibri"/>
      <family val="2"/>
    </font>
    <font>
      <b/>
      <sz val="10"/>
      <name val="Helv"/>
      <family val="2"/>
    </font>
    <font>
      <b/>
      <sz val="11"/>
      <color indexed="9"/>
      <name val="Calibri"/>
      <family val="2"/>
    </font>
    <font>
      <i/>
      <sz val="12"/>
      <name val="Times New Roman"/>
      <family val="1"/>
    </font>
    <font>
      <i/>
      <sz val="11"/>
      <color indexed="23"/>
      <name val="Calibri"/>
      <family val="2"/>
    </font>
    <font>
      <sz val="11"/>
      <name val="Times New Roman"/>
      <family val="1"/>
    </font>
    <font>
      <sz val="11"/>
      <color indexed="17"/>
      <name val="Calibri"/>
      <family val="2"/>
    </font>
    <font>
      <b/>
      <sz val="12"/>
      <name val="Helv"/>
      <family val="2"/>
    </font>
    <font>
      <b/>
      <sz val="15"/>
      <color indexed="56"/>
      <name val="Calibri"/>
      <family val="2"/>
    </font>
    <font>
      <b/>
      <sz val="13"/>
      <color indexed="56"/>
      <name val="Calibri"/>
      <family val="2"/>
    </font>
    <font>
      <b/>
      <sz val="11"/>
      <color indexed="56"/>
      <name val="Calibri"/>
      <family val="2"/>
    </font>
    <font>
      <u/>
      <sz val="10"/>
      <color indexed="12"/>
      <name val="Times New Roman"/>
      <family val="1"/>
    </font>
    <font>
      <sz val="11"/>
      <color indexed="62"/>
      <name val="Calibri"/>
      <family val="2"/>
    </font>
    <font>
      <sz val="18"/>
      <name val="Times New Roman"/>
      <family val="1"/>
    </font>
    <font>
      <b/>
      <sz val="13"/>
      <name val="Times New Roman"/>
      <family val="1"/>
    </font>
    <font>
      <b/>
      <i/>
      <sz val="12"/>
      <name val="Times New Roman"/>
      <family val="1"/>
    </font>
    <font>
      <sz val="11"/>
      <color indexed="52"/>
      <name val="Calibri"/>
      <family val="2"/>
    </font>
    <font>
      <b/>
      <sz val="11"/>
      <name val="Helv"/>
      <family val="2"/>
    </font>
    <font>
      <sz val="11"/>
      <color indexed="60"/>
      <name val="Calibri"/>
      <family val="2"/>
    </font>
    <font>
      <b/>
      <sz val="11"/>
      <color indexed="63"/>
      <name val="Calibri"/>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b/>
      <sz val="14"/>
      <color indexed="9"/>
      <name val="Times New Roman"/>
      <family val="1"/>
    </font>
    <font>
      <b/>
      <sz val="11"/>
      <color indexed="8"/>
      <name val="Calibri"/>
      <family val="2"/>
    </font>
    <font>
      <sz val="11"/>
      <color indexed="10"/>
      <name val="Calibri"/>
      <family val="2"/>
    </font>
    <font>
      <sz val="12"/>
      <color indexed="20"/>
      <name val="宋体"/>
      <family val="3"/>
      <charset val="134"/>
    </font>
    <font>
      <sz val="10"/>
      <color theme="1"/>
      <name val="宋体"/>
      <family val="3"/>
      <charset val="134"/>
      <scheme val="minor"/>
    </font>
    <font>
      <b/>
      <sz val="12"/>
      <name val="Times New Roman"/>
      <family val="1"/>
    </font>
    <font>
      <sz val="10"/>
      <color indexed="17"/>
      <name val="Times New Roman"/>
      <family val="1"/>
    </font>
    <font>
      <sz val="12"/>
      <name val="新細明體"/>
      <family val="1"/>
      <charset val="134"/>
    </font>
    <font>
      <u/>
      <sz val="10"/>
      <color indexed="36"/>
      <name val="新細明體"/>
      <family val="1"/>
      <charset val="134"/>
    </font>
    <font>
      <u/>
      <sz val="10"/>
      <color indexed="12"/>
      <name val="Arial"/>
      <family val="2"/>
    </font>
    <font>
      <sz val="14"/>
      <name val="柧挬"/>
      <family val="2"/>
    </font>
    <font>
      <sz val="11"/>
      <color rgb="FF9C0006"/>
      <name val="宋体"/>
      <family val="3"/>
      <charset val="134"/>
      <scheme val="minor"/>
    </font>
    <font>
      <sz val="11"/>
      <color rgb="FF006100"/>
      <name val="宋体"/>
      <family val="3"/>
      <charset val="134"/>
      <scheme val="minor"/>
    </font>
    <font>
      <sz val="12"/>
      <name val="官帕眉"/>
      <family val="2"/>
    </font>
    <font>
      <sz val="10"/>
      <name val="奔覆眉"/>
      <family val="2"/>
    </font>
    <font>
      <sz val="12"/>
      <name val="柧挬"/>
      <family val="2"/>
    </font>
    <font>
      <b/>
      <sz val="9"/>
      <name val="宋体"/>
      <family val="3"/>
      <charset val="134"/>
    </font>
    <font>
      <sz val="11"/>
      <color indexed="8"/>
      <name val="宋体"/>
      <family val="3"/>
      <charset val="134"/>
    </font>
    <font>
      <b/>
      <sz val="12"/>
      <color rgb="FFFF0000"/>
      <name val="宋体"/>
      <family val="3"/>
      <charset val="134"/>
    </font>
    <font>
      <sz val="10"/>
      <color rgb="FF0000FF"/>
      <name val="宋体"/>
      <family val="3"/>
      <charset val="134"/>
    </font>
    <font>
      <b/>
      <sz val="10"/>
      <color rgb="FFFF0000"/>
      <name val="宋体"/>
      <family val="3"/>
      <charset val="134"/>
    </font>
    <font>
      <u/>
      <sz val="10"/>
      <name val="Arial Narrow"/>
      <family val="2"/>
    </font>
    <font>
      <sz val="9"/>
      <name val="宋体"/>
      <family val="2"/>
      <charset val="134"/>
      <scheme val="minor"/>
    </font>
    <font>
      <b/>
      <sz val="10"/>
      <color rgb="FF000000"/>
      <name val="宋体"/>
      <family val="3"/>
      <charset val="134"/>
    </font>
    <font>
      <b/>
      <sz val="9"/>
      <name val="Arial Narrow"/>
      <family val="2"/>
    </font>
    <font>
      <b/>
      <sz val="10"/>
      <color rgb="FF000000"/>
      <name val="Arial Narrow"/>
      <family val="2"/>
    </font>
    <font>
      <b/>
      <sz val="10"/>
      <color rgb="FFFF0000"/>
      <name val="Arial Narrow"/>
      <family val="2"/>
    </font>
    <font>
      <sz val="9"/>
      <name val="Arial Narrow"/>
      <family val="2"/>
    </font>
    <font>
      <b/>
      <sz val="9"/>
      <color rgb="FFFF0000"/>
      <name val="Arial Narrow"/>
      <family val="2"/>
    </font>
    <font>
      <sz val="10"/>
      <color rgb="FFFF0000"/>
      <name val="Arial Narrow"/>
      <family val="2"/>
    </font>
    <font>
      <b/>
      <sz val="14"/>
      <name val="宋体"/>
      <family val="3"/>
      <charset val="134"/>
    </font>
    <font>
      <b/>
      <sz val="14"/>
      <color rgb="FFFF0000"/>
      <name val="宋体"/>
      <family val="3"/>
      <charset val="134"/>
    </font>
    <font>
      <b/>
      <sz val="14"/>
      <name val="Arial Narrow"/>
      <family val="2"/>
    </font>
    <font>
      <b/>
      <sz val="10"/>
      <color rgb="FF0000FF"/>
      <name val="宋体"/>
      <family val="3"/>
      <charset val="134"/>
    </font>
    <font>
      <sz val="10"/>
      <color rgb="FF0000FF"/>
      <name val="宋体"/>
      <family val="3"/>
      <charset val="134"/>
      <scheme val="minor"/>
    </font>
    <font>
      <sz val="12"/>
      <color rgb="FF0000FF"/>
      <name val="宋体"/>
      <family val="3"/>
      <charset val="134"/>
    </font>
    <font>
      <sz val="12"/>
      <color indexed="12"/>
      <name val="宋体"/>
      <family val="3"/>
      <charset val="134"/>
    </font>
  </fonts>
  <fills count="38">
    <fill>
      <patternFill patternType="none"/>
    </fill>
    <fill>
      <patternFill patternType="gray125"/>
    </fill>
    <fill>
      <patternFill patternType="solid">
        <fgColor indexed="30"/>
      </patternFill>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13"/>
        <bgColor indexed="64"/>
      </patternFill>
    </fill>
    <fill>
      <patternFill patternType="solid">
        <fgColor indexed="27"/>
        <bgColor indexed="64"/>
      </patternFill>
    </fill>
    <fill>
      <patternFill patternType="solid">
        <fgColor indexed="9"/>
        <bgColor indexed="9"/>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31"/>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54"/>
        <bgColor indexed="64"/>
      </patternFill>
    </fill>
    <fill>
      <patternFill patternType="solid">
        <fgColor indexed="55"/>
        <bgColor indexed="64"/>
      </patternFill>
    </fill>
    <fill>
      <patternFill patternType="solid">
        <fgColor rgb="FFC6EFCE"/>
      </patternFill>
    </fill>
    <fill>
      <patternFill patternType="solid">
        <fgColor rgb="FFFFC7CE"/>
      </patternFill>
    </fill>
    <fill>
      <patternFill patternType="solid">
        <fgColor theme="7" tint="0.79998168889431442"/>
        <bgColor indexed="64"/>
      </patternFill>
    </fill>
    <fill>
      <patternFill patternType="solid">
        <fgColor rgb="FFE4DFEC"/>
        <bgColor rgb="FFB7DEE8"/>
      </patternFill>
    </fill>
  </fills>
  <borders count="25">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bottom style="hair">
        <color indexed="64"/>
      </bottom>
      <diagonal/>
    </border>
    <border>
      <left/>
      <right/>
      <top style="thin">
        <color indexed="64"/>
      </top>
      <bottom style="thin">
        <color indexed="64"/>
      </bottom>
      <diagonal/>
    </border>
    <border>
      <left style="hair">
        <color indexed="64"/>
      </left>
      <right/>
      <top style="hair">
        <color indexed="64"/>
      </top>
      <bottom style="hair">
        <color indexed="64"/>
      </bottom>
      <diagonal/>
    </border>
    <border>
      <left style="hair">
        <color indexed="64"/>
      </left>
      <right style="hair">
        <color indexed="64"/>
      </right>
      <top/>
      <bottom style="hair">
        <color indexed="64"/>
      </bottom>
      <diagonal/>
    </border>
    <border>
      <left/>
      <right style="thin">
        <color indexed="64"/>
      </right>
      <top/>
      <bottom/>
      <diagonal/>
    </border>
    <border>
      <left/>
      <right/>
      <top/>
      <bottom style="thin">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621">
    <xf numFmtId="0" fontId="0" fillId="0" borderId="0">
      <protection locked="0"/>
    </xf>
    <xf numFmtId="0" fontId="33" fillId="2" borderId="0" applyNumberFormat="0" applyBorder="0" applyAlignment="0" applyProtection="0">
      <alignment vertical="center"/>
    </xf>
    <xf numFmtId="49" fontId="17" fillId="0" borderId="0" applyProtection="0">
      <alignment horizontal="left"/>
    </xf>
    <xf numFmtId="183" fontId="17" fillId="0" borderId="0" applyFill="0" applyBorder="0" applyProtection="0">
      <alignment horizontal="right"/>
    </xf>
    <xf numFmtId="180" fontId="17" fillId="0" borderId="0" applyFill="0" applyBorder="0" applyProtection="0">
      <alignment horizontal="right"/>
    </xf>
    <xf numFmtId="182" fontId="30" fillId="0" borderId="0" applyFill="0" applyBorder="0" applyProtection="0">
      <alignment horizontal="center"/>
    </xf>
    <xf numFmtId="181" fontId="30" fillId="0" borderId="0" applyFill="0" applyBorder="0" applyProtection="0">
      <alignment horizontal="center"/>
    </xf>
    <xf numFmtId="184" fontId="31" fillId="0" borderId="0" applyFill="0" applyBorder="0" applyProtection="0">
      <alignment horizontal="right"/>
    </xf>
    <xf numFmtId="185" fontId="17" fillId="0" borderId="0" applyFill="0" applyBorder="0" applyProtection="0">
      <alignment horizontal="right"/>
    </xf>
    <xf numFmtId="186" fontId="17" fillId="0" borderId="0" applyFill="0" applyBorder="0" applyProtection="0">
      <alignment horizontal="right"/>
    </xf>
    <xf numFmtId="189" fontId="17" fillId="0" borderId="0" applyFill="0" applyBorder="0" applyProtection="0">
      <alignment horizontal="right"/>
    </xf>
    <xf numFmtId="188" fontId="17" fillId="0" borderId="0" applyFill="0" applyBorder="0" applyProtection="0">
      <alignment horizontal="right"/>
    </xf>
    <xf numFmtId="0" fontId="10" fillId="0" borderId="0"/>
    <xf numFmtId="3" fontId="5" fillId="0" borderId="0"/>
    <xf numFmtId="176" fontId="6" fillId="0" borderId="1" applyAlignment="0" applyProtection="0"/>
    <xf numFmtId="41" fontId="7" fillId="0" borderId="0" applyFont="0" applyFill="0" applyBorder="0" applyAlignment="0" applyProtection="0"/>
    <xf numFmtId="43" fontId="7" fillId="0" borderId="0" applyFont="0" applyFill="0" applyBorder="0" applyAlignment="0" applyProtection="0"/>
    <xf numFmtId="187" fontId="17" fillId="0" borderId="0" applyFont="0" applyFill="0" applyBorder="0" applyAlignment="0" applyProtection="0"/>
    <xf numFmtId="0" fontId="8" fillId="0" borderId="0" applyNumberFormat="0" applyFill="0" applyBorder="0" applyAlignment="0" applyProtection="0">
      <alignment vertical="top"/>
      <protection locked="0"/>
    </xf>
    <xf numFmtId="38" fontId="9" fillId="3" borderId="0" applyNumberFormat="0" applyBorder="0" applyAlignment="0" applyProtection="0"/>
    <xf numFmtId="10" fontId="9" fillId="4" borderId="2" applyNumberFormat="0" applyBorder="0" applyAlignment="0" applyProtection="0"/>
    <xf numFmtId="178" fontId="10" fillId="0" borderId="0" applyFont="0" applyFill="0" applyBorder="0" applyAlignment="0" applyProtection="0"/>
    <xf numFmtId="179" fontId="10" fillId="0" borderId="0" applyFont="0" applyFill="0" applyBorder="0" applyAlignment="0" applyProtection="0"/>
    <xf numFmtId="0" fontId="11" fillId="0" borderId="0"/>
    <xf numFmtId="177" fontId="10" fillId="0" borderId="0"/>
    <xf numFmtId="10" fontId="7" fillId="0" borderId="0" applyFont="0" applyFill="0" applyBorder="0" applyAlignment="0" applyProtection="0"/>
    <xf numFmtId="3" fontId="12" fillId="0" borderId="0"/>
    <xf numFmtId="0" fontId="10" fillId="0" borderId="0">
      <protection locked="0"/>
    </xf>
    <xf numFmtId="0" fontId="10" fillId="0" borderId="0">
      <alignment vertical="center"/>
    </xf>
    <xf numFmtId="0" fontId="10" fillId="0" borderId="0"/>
    <xf numFmtId="0" fontId="10" fillId="0" borderId="0">
      <alignment vertical="center"/>
    </xf>
    <xf numFmtId="0" fontId="13" fillId="0" borderId="0" applyNumberFormat="0" applyFill="0" applyBorder="0" applyAlignment="0" applyProtection="0">
      <alignment vertical="top"/>
      <protection locked="0"/>
    </xf>
    <xf numFmtId="43" fontId="10" fillId="0" borderId="0" applyFont="0" applyFill="0" applyBorder="0" applyAlignment="0" applyProtection="0"/>
    <xf numFmtId="43" fontId="37" fillId="0" borderId="0" applyFont="0" applyFill="0" applyBorder="0" applyAlignment="0" applyProtection="0">
      <alignment vertical="center"/>
    </xf>
    <xf numFmtId="0" fontId="10" fillId="0" borderId="0">
      <alignment vertical="center"/>
    </xf>
    <xf numFmtId="0" fontId="7" fillId="0" borderId="0"/>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10" fillId="0" borderId="0">
      <alignment vertical="center"/>
    </xf>
    <xf numFmtId="0" fontId="10" fillId="0" borderId="0">
      <alignment vertical="center"/>
    </xf>
    <xf numFmtId="0" fontId="1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1"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38" fillId="0" borderId="0" applyNumberFormat="0" applyBorder="0" applyAlignment="0">
      <alignment vertical="center"/>
      <protection locked="0"/>
    </xf>
    <xf numFmtId="0" fontId="10" fillId="0" borderId="0">
      <alignment vertical="center"/>
    </xf>
    <xf numFmtId="0" fontId="10" fillId="0" borderId="0">
      <alignment vertical="center"/>
    </xf>
    <xf numFmtId="0" fontId="38" fillId="0"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40" fillId="0" borderId="0">
      <alignment vertical="center"/>
    </xf>
    <xf numFmtId="0" fontId="40" fillId="0" borderId="0">
      <alignment vertical="center"/>
    </xf>
    <xf numFmtId="0" fontId="40" fillId="0" borderId="0">
      <alignment vertical="center"/>
    </xf>
    <xf numFmtId="0" fontId="38" fillId="0" borderId="0" applyNumberFormat="0" applyBorder="0" applyAlignment="0" applyProtection="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43" fontId="32" fillId="0" borderId="0" applyFont="0" applyFill="0" applyBorder="0" applyAlignment="0" applyProtection="0">
      <alignment vertical="center"/>
    </xf>
    <xf numFmtId="187" fontId="4" fillId="0" borderId="0">
      <alignment vertical="center"/>
    </xf>
    <xf numFmtId="0" fontId="10" fillId="0" borderId="0">
      <protection locked="0"/>
    </xf>
    <xf numFmtId="0" fontId="7" fillId="0" borderId="0"/>
    <xf numFmtId="0" fontId="7" fillId="0" borderId="0"/>
    <xf numFmtId="0" fontId="7" fillId="0" borderId="0"/>
    <xf numFmtId="0" fontId="44" fillId="0" borderId="0">
      <alignment vertical="top"/>
      <protection locked="0"/>
    </xf>
    <xf numFmtId="0" fontId="44" fillId="0" borderId="0">
      <alignment vertical="top"/>
      <protection locked="0"/>
    </xf>
    <xf numFmtId="0" fontId="44" fillId="0" borderId="0">
      <alignment vertical="top"/>
      <protection locked="0"/>
    </xf>
    <xf numFmtId="0" fontId="44" fillId="0" borderId="0">
      <alignment vertical="top"/>
    </xf>
    <xf numFmtId="0" fontId="44" fillId="0" borderId="0">
      <alignment vertical="top"/>
    </xf>
    <xf numFmtId="0" fontId="44" fillId="0" borderId="0">
      <alignment vertical="top"/>
      <protection locked="0"/>
    </xf>
    <xf numFmtId="0" fontId="44" fillId="0" borderId="0">
      <alignment vertical="top"/>
    </xf>
    <xf numFmtId="0" fontId="44" fillId="0" borderId="0">
      <alignment vertical="top"/>
    </xf>
    <xf numFmtId="0" fontId="44" fillId="0" borderId="0">
      <alignment vertical="top"/>
      <protection locked="0"/>
    </xf>
    <xf numFmtId="0" fontId="44" fillId="0" borderId="0">
      <alignment vertical="top"/>
      <protection locked="0"/>
    </xf>
    <xf numFmtId="0" fontId="44" fillId="0" borderId="0">
      <alignment vertical="top"/>
      <protection locked="0"/>
    </xf>
    <xf numFmtId="0" fontId="44" fillId="0" borderId="0">
      <alignment vertical="top"/>
    </xf>
    <xf numFmtId="0" fontId="44" fillId="0" borderId="0">
      <alignment vertical="top"/>
    </xf>
    <xf numFmtId="0" fontId="44" fillId="0" borderId="0">
      <alignment vertical="top"/>
      <protection locked="0"/>
    </xf>
    <xf numFmtId="0" fontId="44" fillId="0" borderId="0">
      <alignment vertical="top"/>
    </xf>
    <xf numFmtId="0" fontId="44" fillId="0" borderId="0">
      <alignment vertical="top"/>
    </xf>
    <xf numFmtId="0" fontId="44" fillId="0" borderId="0">
      <alignment vertical="top"/>
    </xf>
    <xf numFmtId="0" fontId="44" fillId="0" borderId="0">
      <alignment vertical="top"/>
      <protection locked="0"/>
    </xf>
    <xf numFmtId="0" fontId="44" fillId="0" borderId="0">
      <alignment vertical="top"/>
    </xf>
    <xf numFmtId="0" fontId="44" fillId="0" borderId="0">
      <alignment vertical="top"/>
      <protection locked="0"/>
    </xf>
    <xf numFmtId="0" fontId="44" fillId="0" borderId="0">
      <alignment vertical="top"/>
      <protection locked="0"/>
    </xf>
    <xf numFmtId="0" fontId="44" fillId="0" borderId="0">
      <alignment vertical="top"/>
      <protection locked="0"/>
    </xf>
    <xf numFmtId="0" fontId="44" fillId="0" borderId="0">
      <alignment vertical="top"/>
    </xf>
    <xf numFmtId="0" fontId="44" fillId="0" borderId="0">
      <alignment vertical="top"/>
    </xf>
    <xf numFmtId="0" fontId="44" fillId="0" borderId="0">
      <alignment vertical="top"/>
    </xf>
    <xf numFmtId="0" fontId="44" fillId="0" borderId="0">
      <alignment vertical="top"/>
    </xf>
    <xf numFmtId="0" fontId="44" fillId="0" borderId="0">
      <alignment vertical="top"/>
      <protection locked="0"/>
    </xf>
    <xf numFmtId="0" fontId="44" fillId="0" borderId="0">
      <alignment vertical="top"/>
      <protection locked="0"/>
    </xf>
    <xf numFmtId="0" fontId="44" fillId="0" borderId="0">
      <alignment vertical="top"/>
    </xf>
    <xf numFmtId="0" fontId="44" fillId="0" borderId="0">
      <alignment vertical="top"/>
      <protection locked="0"/>
    </xf>
    <xf numFmtId="190" fontId="45" fillId="0" borderId="0" applyFont="0" applyFill="0" applyBorder="0" applyAlignment="0" applyProtection="0"/>
    <xf numFmtId="191" fontId="45" fillId="0" borderId="0" applyFont="0" applyFill="0" applyBorder="0" applyAlignment="0" applyProtection="0"/>
    <xf numFmtId="10" fontId="45" fillId="0" borderId="0" applyFont="0" applyFill="0" applyBorder="0" applyAlignment="0" applyProtection="0"/>
    <xf numFmtId="192" fontId="44" fillId="0" borderId="0" applyFill="0" applyBorder="0" applyAlignment="0"/>
    <xf numFmtId="0" fontId="46" fillId="0" borderId="9" applyNumberFormat="0" applyFill="0" applyProtection="0">
      <alignment horizontal="center"/>
    </xf>
    <xf numFmtId="0" fontId="47" fillId="0" borderId="12">
      <alignment horizontal="center"/>
    </xf>
    <xf numFmtId="193" fontId="7" fillId="0" borderId="0"/>
    <xf numFmtId="193" fontId="7" fillId="0" borderId="0"/>
    <xf numFmtId="193" fontId="7" fillId="0" borderId="0"/>
    <xf numFmtId="193" fontId="7" fillId="0" borderId="0"/>
    <xf numFmtId="193" fontId="7" fillId="0" borderId="0"/>
    <xf numFmtId="193" fontId="7" fillId="0" borderId="0"/>
    <xf numFmtId="193" fontId="7" fillId="0" borderId="0"/>
    <xf numFmtId="193" fontId="7" fillId="0" borderId="0"/>
    <xf numFmtId="38" fontId="48" fillId="0" borderId="0" applyFont="0" applyFill="0" applyBorder="0" applyAlignment="0" applyProtection="0"/>
    <xf numFmtId="37" fontId="45" fillId="0" borderId="0" applyFont="0" applyFill="0" applyBorder="0" applyAlignment="0" applyProtection="0"/>
    <xf numFmtId="194" fontId="45" fillId="0" borderId="0" applyFont="0" applyFill="0" applyBorder="0" applyAlignment="0" applyProtection="0"/>
    <xf numFmtId="39" fontId="45" fillId="0" borderId="0" applyFont="0" applyFill="0" applyBorder="0" applyAlignment="0" applyProtection="0"/>
    <xf numFmtId="40" fontId="48" fillId="0" borderId="0" applyFont="0" applyFill="0" applyBorder="0" applyAlignment="0" applyProtection="0"/>
    <xf numFmtId="195" fontId="10" fillId="0" borderId="0" applyFont="0" applyFill="0" applyBorder="0" applyAlignment="0" applyProtection="0"/>
    <xf numFmtId="176" fontId="45" fillId="0" borderId="0" applyFont="0" applyFill="0" applyBorder="0" applyAlignment="0" applyProtection="0"/>
    <xf numFmtId="196" fontId="45" fillId="0" borderId="0" applyFont="0" applyFill="0" applyBorder="0" applyAlignment="0" applyProtection="0"/>
    <xf numFmtId="197" fontId="10" fillId="0" borderId="0" applyFont="0" applyFill="0" applyBorder="0" applyAlignment="0" applyProtection="0"/>
    <xf numFmtId="0" fontId="49" fillId="0" borderId="0">
      <alignment horizontal="left"/>
    </xf>
    <xf numFmtId="0" fontId="9" fillId="6" borderId="2"/>
    <xf numFmtId="0" fontId="24" fillId="0" borderId="10" applyNumberFormat="0" applyAlignment="0" applyProtection="0">
      <alignment horizontal="left" vertical="center"/>
    </xf>
    <xf numFmtId="0" fontId="24" fillId="0" borderId="5">
      <alignment horizontal="left" vertical="center"/>
    </xf>
    <xf numFmtId="14" fontId="50" fillId="7" borderId="11">
      <alignment horizontal="center" vertical="center" wrapText="1"/>
    </xf>
    <xf numFmtId="0" fontId="17" fillId="0" borderId="0" applyNumberFormat="0" applyFont="0" applyFill="0" applyBorder="0" applyProtection="0">
      <alignment horizontal="left" vertical="center"/>
    </xf>
    <xf numFmtId="41" fontId="7" fillId="0" borderId="0" applyFont="0" applyFill="0" applyBorder="0" applyAlignment="0" applyProtection="0"/>
    <xf numFmtId="43" fontId="7" fillId="0" borderId="0" applyFont="0" applyFill="0" applyBorder="0" applyAlignment="0" applyProtection="0"/>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10" fillId="0" borderId="0" applyFont="0" applyFill="0" applyBorder="0" applyAlignment="0" applyProtection="0"/>
    <xf numFmtId="37" fontId="51" fillId="0" borderId="0"/>
    <xf numFmtId="0" fontId="48" fillId="0" borderId="0"/>
    <xf numFmtId="0" fontId="52" fillId="0" borderId="0"/>
    <xf numFmtId="202" fontId="7" fillId="0" borderId="0" applyFont="0" applyFill="0" applyBorder="0" applyAlignment="0" applyProtection="0"/>
    <xf numFmtId="0" fontId="9" fillId="3" borderId="2"/>
    <xf numFmtId="4" fontId="49" fillId="0" borderId="0">
      <alignment horizontal="right"/>
    </xf>
    <xf numFmtId="4" fontId="53" fillId="0" borderId="0">
      <alignment horizontal="right"/>
    </xf>
    <xf numFmtId="0" fontId="54" fillId="0" borderId="0">
      <alignment horizontal="left"/>
    </xf>
    <xf numFmtId="0" fontId="55" fillId="0" borderId="2">
      <alignment horizontal="center"/>
    </xf>
    <xf numFmtId="0" fontId="55" fillId="0" borderId="0">
      <alignment horizontal="center" vertical="center"/>
    </xf>
    <xf numFmtId="0" fontId="56" fillId="8" borderId="0" applyNumberFormat="0" applyFill="0">
      <alignment horizontal="left" vertical="center"/>
    </xf>
    <xf numFmtId="0" fontId="23" fillId="0" borderId="0" applyFill="0" applyBorder="0" applyProtection="0">
      <alignment horizontal="left" vertical="top"/>
    </xf>
    <xf numFmtId="0" fontId="57" fillId="0" borderId="0">
      <alignment horizontal="center"/>
    </xf>
    <xf numFmtId="0" fontId="58" fillId="0" borderId="0" applyNumberFormat="0" applyFont="0" applyFill="0" applyBorder="0" applyProtection="0">
      <alignment horizontal="center" vertical="center" wrapText="1"/>
    </xf>
    <xf numFmtId="9" fontId="59" fillId="0" borderId="0" applyFont="0" applyFill="0" applyBorder="0" applyAlignment="0" applyProtection="0"/>
    <xf numFmtId="4" fontId="60" fillId="0" borderId="0">
      <alignment horizontal="right"/>
    </xf>
    <xf numFmtId="0" fontId="61" fillId="0" borderId="0" applyNumberFormat="0" applyFill="0" applyBorder="0" applyAlignment="0" applyProtection="0">
      <alignment vertical="top"/>
      <protection locked="0"/>
    </xf>
    <xf numFmtId="187" fontId="13"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6" fillId="0" borderId="0" applyNumberFormat="0" applyFill="0" applyBorder="0" applyAlignment="0" applyProtection="0"/>
    <xf numFmtId="4" fontId="58" fillId="0" borderId="0" applyFont="0" applyFill="0" applyBorder="0" applyAlignment="0" applyProtection="0"/>
    <xf numFmtId="41" fontId="7" fillId="0" borderId="0" applyFont="0" applyFill="0" applyBorder="0" applyAlignment="0" applyProtection="0"/>
    <xf numFmtId="0" fontId="17" fillId="0" borderId="0"/>
    <xf numFmtId="41" fontId="17" fillId="0" borderId="0" applyFont="0" applyFill="0" applyBorder="0" applyAlignment="0" applyProtection="0"/>
    <xf numFmtId="43" fontId="17" fillId="0" borderId="0" applyFont="0" applyFill="0" applyBorder="0" applyAlignment="0" applyProtection="0"/>
    <xf numFmtId="199" fontId="7" fillId="0" borderId="0" applyFont="0" applyFill="0" applyBorder="0" applyAlignment="0" applyProtection="0"/>
    <xf numFmtId="203" fontId="58" fillId="0" borderId="0" applyFont="0" applyFill="0" applyBorder="0" applyAlignment="0" applyProtection="0"/>
    <xf numFmtId="187" fontId="44" fillId="0" borderId="0">
      <alignment vertical="top"/>
    </xf>
    <xf numFmtId="38" fontId="62" fillId="0" borderId="0" applyFont="0" applyFill="0" applyBorder="0" applyAlignment="0" applyProtection="0"/>
    <xf numFmtId="40"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0" fontId="63" fillId="0" borderId="0"/>
    <xf numFmtId="0" fontId="64" fillId="0" borderId="0"/>
    <xf numFmtId="40" fontId="64" fillId="0" borderId="0" applyFont="0" applyFill="0" applyBorder="0" applyAlignment="0" applyProtection="0"/>
    <xf numFmtId="0" fontId="7" fillId="0" borderId="0"/>
    <xf numFmtId="37" fontId="7" fillId="0" borderId="0" applyFont="0" applyFill="0" applyBorder="0" applyAlignment="0" applyProtection="0"/>
    <xf numFmtId="0" fontId="33" fillId="2" borderId="0" applyNumberFormat="0" applyBorder="0" applyAlignment="0" applyProtection="0">
      <alignment vertical="center"/>
    </xf>
    <xf numFmtId="187" fontId="10" fillId="0" borderId="0">
      <protection locked="0"/>
    </xf>
    <xf numFmtId="49" fontId="17" fillId="0" borderId="0"/>
    <xf numFmtId="49" fontId="17" fillId="0" borderId="0" applyProtection="0">
      <alignment horizontal="left"/>
    </xf>
    <xf numFmtId="49" fontId="17" fillId="0" borderId="0" applyProtection="0">
      <alignment horizontal="left"/>
    </xf>
    <xf numFmtId="49" fontId="17" fillId="0" borderId="0" applyProtection="0">
      <alignment horizontal="left"/>
    </xf>
    <xf numFmtId="49" fontId="17" fillId="0" borderId="0" applyProtection="0">
      <alignment horizontal="left"/>
    </xf>
    <xf numFmtId="49" fontId="17" fillId="0" borderId="0" applyProtection="0">
      <alignment horizontal="left"/>
    </xf>
    <xf numFmtId="49" fontId="17" fillId="0" borderId="0" applyProtection="0">
      <alignment horizontal="left"/>
    </xf>
    <xf numFmtId="49" fontId="17" fillId="0" borderId="0" applyProtection="0">
      <alignment horizontal="left"/>
    </xf>
    <xf numFmtId="49" fontId="17" fillId="0" borderId="0" applyProtection="0">
      <alignment horizontal="left"/>
    </xf>
    <xf numFmtId="49" fontId="17" fillId="0" borderId="0" applyProtection="0">
      <alignment horizontal="left"/>
    </xf>
    <xf numFmtId="49" fontId="17" fillId="0" borderId="0" applyProtection="0">
      <alignment horizontal="left"/>
    </xf>
    <xf numFmtId="49" fontId="17" fillId="0" borderId="0" applyProtection="0">
      <alignment horizontal="left"/>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65" fillId="0" borderId="0"/>
    <xf numFmtId="187" fontId="65" fillId="0" borderId="0"/>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65" fillId="0" borderId="0">
      <protection locked="0"/>
    </xf>
    <xf numFmtId="187" fontId="65" fillId="0" borderId="0"/>
    <xf numFmtId="187" fontId="65" fillId="0" borderId="0"/>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19" fillId="0" borderId="0">
      <protection locked="0"/>
    </xf>
    <xf numFmtId="187" fontId="65" fillId="0" borderId="0">
      <protection locked="0"/>
    </xf>
    <xf numFmtId="187" fontId="19" fillId="0" borderId="0">
      <protection locked="0"/>
    </xf>
    <xf numFmtId="187" fontId="65"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xf numFmtId="0" fontId="19" fillId="0" borderId="0"/>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19"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19" fillId="0" borderId="0"/>
    <xf numFmtId="187" fontId="65" fillId="0" borderId="0">
      <protection locked="0"/>
    </xf>
    <xf numFmtId="187" fontId="7" fillId="0" borderId="0"/>
    <xf numFmtId="187" fontId="7" fillId="0" borderId="0">
      <protection locked="0"/>
    </xf>
    <xf numFmtId="187" fontId="7" fillId="0" borderId="0">
      <protection locked="0"/>
    </xf>
    <xf numFmtId="187" fontId="65" fillId="0" borderId="0">
      <protection locked="0"/>
    </xf>
    <xf numFmtId="187" fontId="7" fillId="0" borderId="0"/>
    <xf numFmtId="187" fontId="7" fillId="0" borderId="0">
      <protection locked="0"/>
    </xf>
    <xf numFmtId="187" fontId="7" fillId="0" borderId="0">
      <protection locked="0"/>
    </xf>
    <xf numFmtId="187" fontId="65" fillId="0" borderId="0">
      <protection locked="0"/>
    </xf>
    <xf numFmtId="187" fontId="65" fillId="0" borderId="0">
      <protection locked="0"/>
    </xf>
    <xf numFmtId="187" fontId="19" fillId="0" borderId="0"/>
    <xf numFmtId="187" fontId="7" fillId="0" borderId="0">
      <protection locked="0"/>
    </xf>
    <xf numFmtId="187" fontId="65" fillId="0" borderId="0">
      <protection locked="0"/>
    </xf>
    <xf numFmtId="187" fontId="7" fillId="0" borderId="0">
      <protection locked="0"/>
    </xf>
    <xf numFmtId="187" fontId="7" fillId="0" borderId="0">
      <protection locked="0"/>
    </xf>
    <xf numFmtId="187" fontId="65" fillId="0" borderId="0">
      <protection locked="0"/>
    </xf>
    <xf numFmtId="187" fontId="65" fillId="0" borderId="0">
      <protection locked="0"/>
    </xf>
    <xf numFmtId="187" fontId="65" fillId="0" borderId="0">
      <protection locked="0"/>
    </xf>
    <xf numFmtId="187" fontId="65" fillId="0" borderId="0">
      <protection locked="0"/>
    </xf>
    <xf numFmtId="187" fontId="44" fillId="0" borderId="0">
      <alignment vertical="top"/>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65" fillId="0" borderId="0">
      <protection locked="0"/>
    </xf>
    <xf numFmtId="187" fontId="65" fillId="0" borderId="0">
      <protection locked="0"/>
    </xf>
    <xf numFmtId="187" fontId="7" fillId="0" borderId="0">
      <protection locked="0"/>
    </xf>
    <xf numFmtId="187" fontId="7" fillId="0" borderId="0">
      <protection locked="0"/>
    </xf>
    <xf numFmtId="187" fontId="7" fillId="0" borderId="0">
      <protection locked="0"/>
    </xf>
    <xf numFmtId="187" fontId="65" fillId="0" borderId="0"/>
    <xf numFmtId="187" fontId="65" fillId="0" borderId="0">
      <protection locked="0"/>
    </xf>
    <xf numFmtId="0" fontId="10" fillId="0" borderId="0"/>
    <xf numFmtId="0" fontId="66" fillId="9" borderId="0" applyNumberFormat="0" applyBorder="0" applyAlignment="0" applyProtection="0"/>
    <xf numFmtId="0" fontId="66" fillId="10" borderId="0" applyNumberFormat="0" applyBorder="0" applyAlignment="0" applyProtection="0"/>
    <xf numFmtId="0" fontId="66" fillId="11" borderId="0" applyNumberFormat="0" applyBorder="0" applyAlignment="0" applyProtection="0"/>
    <xf numFmtId="0" fontId="66" fillId="12"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5" borderId="0" applyNumberFormat="0" applyBorder="0" applyAlignment="0" applyProtection="0"/>
    <xf numFmtId="0" fontId="66" fillId="16" borderId="0" applyNumberFormat="0" applyBorder="0" applyAlignment="0" applyProtection="0"/>
    <xf numFmtId="0" fontId="66" fillId="17" borderId="0" applyNumberFormat="0" applyBorder="0" applyAlignment="0" applyProtection="0"/>
    <xf numFmtId="0" fontId="66" fillId="12" borderId="0" applyNumberFormat="0" applyBorder="0" applyAlignment="0" applyProtection="0"/>
    <xf numFmtId="0" fontId="66" fillId="15" borderId="0" applyNumberFormat="0" applyBorder="0" applyAlignment="0" applyProtection="0"/>
    <xf numFmtId="0" fontId="66" fillId="18" borderId="0" applyNumberFormat="0" applyBorder="0" applyAlignment="0" applyProtection="0"/>
    <xf numFmtId="0" fontId="67" fillId="2" borderId="0" applyNumberFormat="0" applyBorder="0" applyAlignment="0" applyProtection="0"/>
    <xf numFmtId="0" fontId="67" fillId="16" borderId="0" applyNumberFormat="0" applyBorder="0" applyAlignment="0" applyProtection="0"/>
    <xf numFmtId="0" fontId="67" fillId="17" borderId="0" applyNumberFormat="0" applyBorder="0" applyAlignment="0" applyProtection="0"/>
    <xf numFmtId="0" fontId="67" fillId="19" borderId="0" applyNumberFormat="0" applyBorder="0" applyAlignment="0" applyProtection="0"/>
    <xf numFmtId="0" fontId="67" fillId="20" borderId="0" applyNumberFormat="0" applyBorder="0" applyAlignment="0" applyProtection="0"/>
    <xf numFmtId="0" fontId="67" fillId="21" borderId="0" applyNumberFormat="0" applyBorder="0" applyAlignment="0" applyProtection="0"/>
    <xf numFmtId="187" fontId="65" fillId="0" borderId="0"/>
    <xf numFmtId="0" fontId="67" fillId="22" borderId="0" applyNumberFormat="0" applyBorder="0" applyAlignment="0" applyProtection="0"/>
    <xf numFmtId="0" fontId="67" fillId="23" borderId="0" applyNumberFormat="0" applyBorder="0" applyAlignment="0" applyProtection="0"/>
    <xf numFmtId="0" fontId="67" fillId="24" borderId="0" applyNumberFormat="0" applyBorder="0" applyAlignment="0" applyProtection="0"/>
    <xf numFmtId="0" fontId="67" fillId="19" borderId="0" applyNumberFormat="0" applyBorder="0" applyAlignment="0" applyProtection="0"/>
    <xf numFmtId="0" fontId="67" fillId="20" borderId="0" applyNumberFormat="0" applyBorder="0" applyAlignment="0" applyProtection="0"/>
    <xf numFmtId="0" fontId="67" fillId="25" borderId="0" applyNumberFormat="0" applyBorder="0" applyAlignment="0" applyProtection="0"/>
    <xf numFmtId="0" fontId="68" fillId="10" borderId="0" applyNumberFormat="0" applyBorder="0" applyAlignment="0" applyProtection="0"/>
    <xf numFmtId="187" fontId="69" fillId="0" borderId="0" applyNumberFormat="0" applyFill="0" applyBorder="0" applyAlignment="0" applyProtection="0"/>
    <xf numFmtId="204" fontId="7" fillId="0" borderId="0" applyFill="0" applyBorder="0" applyAlignment="0"/>
    <xf numFmtId="205" fontId="7" fillId="0" borderId="0" applyFill="0" applyBorder="0" applyAlignment="0"/>
    <xf numFmtId="206" fontId="7" fillId="0" borderId="0" applyFill="0" applyBorder="0" applyAlignment="0"/>
    <xf numFmtId="207" fontId="7" fillId="0" borderId="0" applyFill="0" applyBorder="0" applyAlignment="0"/>
    <xf numFmtId="208" fontId="7" fillId="0" borderId="0" applyFill="0" applyBorder="0" applyAlignment="0"/>
    <xf numFmtId="209" fontId="7" fillId="0" borderId="0" applyFill="0" applyBorder="0" applyAlignment="0"/>
    <xf numFmtId="204" fontId="7" fillId="0" borderId="0" applyFill="0" applyBorder="0" applyAlignment="0"/>
    <xf numFmtId="0" fontId="70" fillId="26" borderId="13" applyNumberFormat="0" applyAlignment="0" applyProtection="0"/>
    <xf numFmtId="0" fontId="71" fillId="0" borderId="0"/>
    <xf numFmtId="3" fontId="48" fillId="0" borderId="2">
      <protection locked="0"/>
    </xf>
    <xf numFmtId="0" fontId="72" fillId="27" borderId="14" applyNumberFormat="0" applyAlignment="0" applyProtection="0"/>
    <xf numFmtId="187" fontId="73" fillId="0" borderId="0" applyFill="0" applyBorder="0">
      <alignment horizontal="right"/>
    </xf>
    <xf numFmtId="187" fontId="19" fillId="0" borderId="0" applyFill="0" applyBorder="0">
      <alignment horizontal="right"/>
    </xf>
    <xf numFmtId="208" fontId="7" fillId="0" borderId="0" applyFont="0" applyFill="0" applyBorder="0" applyAlignment="0" applyProtection="0"/>
    <xf numFmtId="43" fontId="10" fillId="0" borderId="0" applyFont="0" applyFill="0" applyBorder="0" applyAlignment="0" applyProtection="0"/>
    <xf numFmtId="210" fontId="17" fillId="0" borderId="0"/>
    <xf numFmtId="211" fontId="17" fillId="0" borderId="0"/>
    <xf numFmtId="204" fontId="7" fillId="0" borderId="0" applyFont="0" applyFill="0" applyBorder="0" applyAlignment="0" applyProtection="0"/>
    <xf numFmtId="212" fontId="17" fillId="0" borderId="0"/>
    <xf numFmtId="187" fontId="19" fillId="0" borderId="0" applyFont="0" applyFill="0" applyBorder="0" applyAlignment="0" applyProtection="0"/>
    <xf numFmtId="14" fontId="44" fillId="0" borderId="0" applyFill="0" applyBorder="0" applyAlignment="0"/>
    <xf numFmtId="213" fontId="17" fillId="0" borderId="0"/>
    <xf numFmtId="187" fontId="7" fillId="0" borderId="0">
      <protection locked="0"/>
    </xf>
    <xf numFmtId="208" fontId="7" fillId="0" borderId="0" applyFill="0" applyBorder="0" applyAlignment="0"/>
    <xf numFmtId="204" fontId="7" fillId="0" borderId="0" applyFill="0" applyBorder="0" applyAlignment="0"/>
    <xf numFmtId="208" fontId="7" fillId="0" borderId="0" applyFill="0" applyBorder="0" applyAlignment="0"/>
    <xf numFmtId="209" fontId="7" fillId="0" borderId="0" applyFill="0" applyBorder="0" applyAlignment="0"/>
    <xf numFmtId="204" fontId="7" fillId="0" borderId="0" applyFill="0" applyBorder="0" applyAlignment="0"/>
    <xf numFmtId="0" fontId="74" fillId="0" borderId="0" applyNumberFormat="0" applyFill="0" applyBorder="0" applyAlignment="0" applyProtection="0"/>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2" fontId="19" fillId="0" borderId="0" applyFont="0" applyFill="0" applyBorder="0" applyAlignment="0" applyProtection="0"/>
    <xf numFmtId="214" fontId="75" fillId="0" borderId="0">
      <alignment horizontal="right"/>
    </xf>
    <xf numFmtId="187" fontId="7" fillId="0" borderId="0"/>
    <xf numFmtId="0" fontId="76" fillId="11" borderId="0" applyNumberFormat="0" applyBorder="0" applyAlignment="0" applyProtection="0"/>
    <xf numFmtId="0" fontId="77" fillId="0" borderId="0">
      <alignment horizontal="left"/>
    </xf>
    <xf numFmtId="0" fontId="78" fillId="0" borderId="15" applyNumberFormat="0" applyFill="0" applyAlignment="0" applyProtection="0"/>
    <xf numFmtId="0" fontId="79" fillId="0" borderId="16" applyNumberFormat="0" applyFill="0" applyAlignment="0" applyProtection="0"/>
    <xf numFmtId="0" fontId="80" fillId="0" borderId="17" applyNumberFormat="0" applyFill="0" applyAlignment="0" applyProtection="0"/>
    <xf numFmtId="0" fontId="80" fillId="0" borderId="0" applyNumberFormat="0" applyFill="0" applyBorder="0" applyAlignment="0" applyProtection="0"/>
    <xf numFmtId="187" fontId="19" fillId="0" borderId="0" applyNumberFormat="0" applyFont="0" applyFill="0" applyBorder="0" applyAlignment="0" applyProtection="0"/>
    <xf numFmtId="187" fontId="19" fillId="0" borderId="0" applyNumberFormat="0" applyFont="0" applyFill="0" applyBorder="0" applyAlignment="0" applyProtection="0"/>
    <xf numFmtId="187" fontId="81" fillId="0" borderId="0" applyNumberFormat="0" applyFill="0" applyBorder="0" applyAlignment="0" applyProtection="0">
      <alignment vertical="top"/>
      <protection locked="0"/>
    </xf>
    <xf numFmtId="0" fontId="82" fillId="14" borderId="13" applyNumberFormat="0" applyAlignment="0" applyProtection="0"/>
    <xf numFmtId="187" fontId="73" fillId="28" borderId="0" applyNumberFormat="0" applyFont="0" applyBorder="0" applyAlignment="0" applyProtection="0">
      <alignment horizontal="right"/>
    </xf>
    <xf numFmtId="38" fontId="83" fillId="0" borderId="0"/>
    <xf numFmtId="38" fontId="84" fillId="0" borderId="0"/>
    <xf numFmtId="38" fontId="85" fillId="0" borderId="0"/>
    <xf numFmtId="38" fontId="73" fillId="0" borderId="0"/>
    <xf numFmtId="187" fontId="75" fillId="0" borderId="0"/>
    <xf numFmtId="187" fontId="75" fillId="0" borderId="0"/>
    <xf numFmtId="187" fontId="7" fillId="0" borderId="0"/>
    <xf numFmtId="187" fontId="19" fillId="0" borderId="0" applyFont="0" applyFill="0">
      <alignment horizontal="fill"/>
    </xf>
    <xf numFmtId="208" fontId="7" fillId="0" borderId="0" applyFill="0" applyBorder="0" applyAlignment="0"/>
    <xf numFmtId="204" fontId="7" fillId="0" borderId="0" applyFill="0" applyBorder="0" applyAlignment="0"/>
    <xf numFmtId="208" fontId="7" fillId="0" borderId="0" applyFill="0" applyBorder="0" applyAlignment="0"/>
    <xf numFmtId="209" fontId="7" fillId="0" borderId="0" applyFill="0" applyBorder="0" applyAlignment="0"/>
    <xf numFmtId="204" fontId="7" fillId="0" borderId="0" applyFill="0" applyBorder="0" applyAlignment="0"/>
    <xf numFmtId="0" fontId="86" fillId="0" borderId="18" applyNumberFormat="0" applyFill="0" applyAlignment="0" applyProtection="0"/>
    <xf numFmtId="0" fontId="87" fillId="0" borderId="11"/>
    <xf numFmtId="215" fontId="75" fillId="0" borderId="0" applyFont="0" applyFill="0" applyBorder="0" applyAlignment="0" applyProtection="0"/>
    <xf numFmtId="216" fontId="75" fillId="0" borderId="0" applyFont="0" applyFill="0" applyBorder="0" applyAlignment="0" applyProtection="0"/>
    <xf numFmtId="0" fontId="88" fillId="29" borderId="0" applyNumberFormat="0" applyBorder="0" applyAlignment="0" applyProtection="0"/>
    <xf numFmtId="177" fontId="10" fillId="0" borderId="0"/>
    <xf numFmtId="177" fontId="10" fillId="0" borderId="0"/>
    <xf numFmtId="0" fontId="10" fillId="0" borderId="0"/>
    <xf numFmtId="0" fontId="7" fillId="30" borderId="19" applyNumberFormat="0" applyFont="0" applyAlignment="0" applyProtection="0"/>
    <xf numFmtId="0" fontId="89" fillId="26" borderId="20" applyNumberFormat="0" applyAlignment="0" applyProtection="0"/>
    <xf numFmtId="40" fontId="90" fillId="31" borderId="0">
      <alignment horizontal="right"/>
    </xf>
    <xf numFmtId="187" fontId="91" fillId="31" borderId="0">
      <alignment horizontal="right"/>
    </xf>
    <xf numFmtId="187" fontId="92" fillId="31" borderId="8"/>
    <xf numFmtId="187" fontId="92" fillId="0" borderId="0" applyBorder="0">
      <alignment horizontal="centerContinuous"/>
    </xf>
    <xf numFmtId="187" fontId="93" fillId="0" borderId="0" applyBorder="0">
      <alignment horizontal="centerContinuous"/>
    </xf>
    <xf numFmtId="207" fontId="7" fillId="0" borderId="0" applyFont="0" applyFill="0" applyBorder="0" applyAlignment="0" applyProtection="0"/>
    <xf numFmtId="190" fontId="7" fillId="0" borderId="0" applyFont="0" applyFill="0" applyBorder="0" applyAlignment="0" applyProtection="0"/>
    <xf numFmtId="9" fontId="17" fillId="0" borderId="0" applyFont="0" applyFill="0" applyBorder="0" applyAlignment="0" applyProtection="0"/>
    <xf numFmtId="208" fontId="7" fillId="0" borderId="0" applyFill="0" applyBorder="0" applyAlignment="0"/>
    <xf numFmtId="204" fontId="7" fillId="0" borderId="0" applyFill="0" applyBorder="0" applyAlignment="0"/>
    <xf numFmtId="208" fontId="7" fillId="0" borderId="0" applyFill="0" applyBorder="0" applyAlignment="0"/>
    <xf numFmtId="209" fontId="7" fillId="0" borderId="0" applyFill="0" applyBorder="0" applyAlignment="0"/>
    <xf numFmtId="204" fontId="7" fillId="0" borderId="0" applyFill="0" applyBorder="0" applyAlignment="0"/>
    <xf numFmtId="4" fontId="48" fillId="0" borderId="0" applyFont="0" applyFill="0" applyBorder="0" applyAlignment="0" applyProtection="0"/>
    <xf numFmtId="217" fontId="7" fillId="0" borderId="0" applyFont="0" applyFill="0" applyBorder="0" applyAlignment="0" applyProtection="0"/>
    <xf numFmtId="218" fontId="7" fillId="0" borderId="0" applyFont="0" applyFill="0" applyBorder="0" applyAlignment="0" applyProtection="0"/>
    <xf numFmtId="187" fontId="94" fillId="32" borderId="0" applyNumberFormat="0"/>
    <xf numFmtId="43" fontId="9" fillId="0" borderId="3"/>
    <xf numFmtId="0" fontId="87" fillId="0" borderId="0"/>
    <xf numFmtId="187" fontId="7" fillId="0" borderId="0"/>
    <xf numFmtId="49" fontId="44" fillId="0" borderId="0" applyFill="0" applyBorder="0" applyAlignment="0"/>
    <xf numFmtId="219" fontId="44" fillId="0" borderId="0" applyFill="0" applyBorder="0" applyAlignment="0"/>
    <xf numFmtId="220" fontId="7" fillId="0" borderId="0" applyFill="0" applyBorder="0" applyAlignment="0"/>
    <xf numFmtId="0" fontId="95" fillId="0" borderId="21" applyNumberFormat="0" applyFill="0" applyAlignment="0" applyProtection="0"/>
    <xf numFmtId="221" fontId="7" fillId="0" borderId="0" applyFont="0" applyFill="0" applyBorder="0" applyAlignment="0" applyProtection="0"/>
    <xf numFmtId="222" fontId="7" fillId="0" borderId="0" applyFont="0" applyFill="0" applyBorder="0" applyAlignment="0" applyProtection="0"/>
    <xf numFmtId="223" fontId="19" fillId="0" borderId="0" applyFont="0" applyFill="0" applyBorder="0" applyAlignment="0" applyProtection="0"/>
    <xf numFmtId="224" fontId="19" fillId="0" borderId="0" applyFont="0" applyFill="0" applyBorder="0" applyAlignment="0" applyProtection="0"/>
    <xf numFmtId="0" fontId="96" fillId="0" borderId="0" applyNumberFormat="0" applyFill="0" applyBorder="0" applyAlignment="0" applyProtection="0"/>
    <xf numFmtId="0" fontId="19" fillId="0" borderId="0"/>
    <xf numFmtId="225" fontId="19" fillId="0" borderId="0" applyFont="0" applyFill="0" applyBorder="0" applyAlignment="0" applyProtection="0"/>
    <xf numFmtId="226" fontId="19" fillId="0" borderId="0" applyFont="0" applyFill="0" applyBorder="0" applyAlignment="0" applyProtection="0"/>
    <xf numFmtId="41" fontId="7" fillId="0" borderId="0" applyFont="0" applyFill="0" applyBorder="0" applyAlignment="0" applyProtection="0"/>
    <xf numFmtId="9" fontId="10" fillId="0" borderId="0" applyFont="0" applyFill="0" applyBorder="0" applyAlignment="0" applyProtection="0">
      <alignment vertical="center"/>
    </xf>
    <xf numFmtId="9" fontId="10" fillId="0" borderId="0" applyFont="0" applyFill="0" applyBorder="0" applyAlignment="0" applyProtection="0">
      <alignment vertical="center"/>
    </xf>
    <xf numFmtId="9" fontId="10" fillId="0" borderId="0" applyFont="0" applyFill="0" applyBorder="0" applyAlignment="0" applyProtection="0">
      <alignment vertical="center"/>
    </xf>
    <xf numFmtId="9" fontId="10" fillId="0" borderId="0" applyFont="0" applyFill="0" applyBorder="0" applyAlignment="0" applyProtection="0"/>
    <xf numFmtId="9" fontId="10" fillId="0" borderId="0" applyFont="0" applyFill="0" applyBorder="0" applyAlignment="0" applyProtection="0"/>
    <xf numFmtId="49" fontId="7" fillId="0" borderId="0" applyNumberFormat="0" applyFont="0">
      <alignment horizontal="left"/>
    </xf>
    <xf numFmtId="49" fontId="7" fillId="0" borderId="0" applyNumberFormat="0" applyFont="0" applyBorder="0" applyAlignment="0" applyProtection="0">
      <alignment horizontal="left"/>
      <protection hidden="1"/>
    </xf>
    <xf numFmtId="0" fontId="97" fillId="10" borderId="0" applyNumberFormat="0" applyBorder="0" applyAlignment="0" applyProtection="0">
      <alignment vertical="center"/>
    </xf>
    <xf numFmtId="0" fontId="98" fillId="0" borderId="0">
      <alignment vertical="center"/>
    </xf>
    <xf numFmtId="0" fontId="98" fillId="0" borderId="0">
      <alignment vertical="center"/>
    </xf>
    <xf numFmtId="0" fontId="15" fillId="0" borderId="0"/>
    <xf numFmtId="187" fontId="15" fillId="0" borderId="0"/>
    <xf numFmtId="187" fontId="10" fillId="0" borderId="0">
      <protection locked="0"/>
    </xf>
    <xf numFmtId="187" fontId="15" fillId="0" borderId="0"/>
    <xf numFmtId="0" fontId="13" fillId="0" borderId="0" applyNumberFormat="0" applyFill="0" applyBorder="0" applyAlignment="0" applyProtection="0">
      <alignment vertical="top"/>
      <protection locked="0"/>
    </xf>
    <xf numFmtId="187" fontId="13" fillId="0" borderId="0" applyNumberFormat="0" applyFill="0" applyBorder="0" applyAlignment="0" applyProtection="0">
      <alignment vertical="top"/>
      <protection locked="0"/>
    </xf>
    <xf numFmtId="187" fontId="13" fillId="0" borderId="0" applyNumberFormat="0" applyFill="0" applyBorder="0" applyAlignment="0" applyProtection="0">
      <alignment vertical="top"/>
      <protection locked="0"/>
    </xf>
    <xf numFmtId="187" fontId="99" fillId="0" borderId="0" applyNumberFormat="0" applyFill="0" applyBorder="0" applyAlignment="0" applyProtection="0"/>
    <xf numFmtId="187" fontId="15" fillId="0" borderId="0" applyFill="0" applyBorder="0" applyAlignment="0"/>
    <xf numFmtId="0" fontId="100" fillId="11" borderId="0" applyNumberFormat="0" applyBorder="0" applyAlignment="0" applyProtection="0">
      <alignment vertical="center"/>
    </xf>
    <xf numFmtId="227" fontId="101" fillId="0" borderId="0" applyFont="0" applyFill="0" applyBorder="0" applyAlignment="0" applyProtection="0"/>
    <xf numFmtId="228" fontId="49" fillId="0" borderId="0" applyFont="0" applyFill="0" applyBorder="0" applyAlignment="0" applyProtection="0"/>
    <xf numFmtId="227" fontId="19" fillId="0" borderId="0" applyFont="0" applyFill="0" applyBorder="0" applyAlignment="0" applyProtection="0"/>
    <xf numFmtId="228" fontId="19" fillId="0" borderId="0" applyFont="0" applyFill="0" applyBorder="0" applyAlignment="0" applyProtection="0"/>
    <xf numFmtId="41" fontId="19" fillId="0" borderId="0" applyFont="0" applyFill="0" applyBorder="0" applyAlignment="0" applyProtection="0"/>
    <xf numFmtId="43" fontId="19" fillId="0" borderId="0" applyFont="0" applyFill="0" applyBorder="0" applyAlignment="0" applyProtection="0"/>
    <xf numFmtId="43" fontId="40"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0" fillId="0" borderId="0" applyFont="0" applyFill="0" applyBorder="0" applyAlignment="0" applyProtection="0">
      <alignment vertical="center"/>
    </xf>
    <xf numFmtId="43" fontId="40" fillId="0" borderId="0" applyFont="0" applyFill="0" applyBorder="0" applyAlignment="0" applyProtection="0">
      <alignment vertical="center"/>
    </xf>
    <xf numFmtId="43" fontId="40" fillId="0" borderId="0" applyFont="0" applyFill="0" applyBorder="0" applyAlignment="0" applyProtection="0">
      <alignment vertical="center"/>
    </xf>
    <xf numFmtId="43" fontId="40" fillId="0" borderId="0" applyFont="0" applyFill="0" applyBorder="0" applyAlignment="0" applyProtection="0">
      <alignment vertical="center"/>
    </xf>
    <xf numFmtId="43" fontId="15" fillId="0" borderId="0" applyFont="0" applyFill="0" applyBorder="0" applyAlignment="0" applyProtection="0"/>
    <xf numFmtId="41" fontId="10" fillId="0" borderId="0" applyFont="0" applyFill="0" applyBorder="0" applyAlignment="0" applyProtection="0"/>
    <xf numFmtId="187" fontId="102" fillId="0" borderId="0" applyNumberFormat="0" applyFill="0" applyBorder="0" applyAlignment="0" applyProtection="0">
      <alignment vertical="top"/>
      <protection locked="0"/>
    </xf>
    <xf numFmtId="187" fontId="103" fillId="33" borderId="2">
      <alignment horizontal="center" vertical="center"/>
    </xf>
    <xf numFmtId="187" fontId="65" fillId="0" borderId="0">
      <protection locked="0"/>
    </xf>
    <xf numFmtId="187" fontId="7" fillId="0" borderId="0"/>
    <xf numFmtId="41" fontId="17" fillId="0" borderId="0" applyFont="0" applyFill="0" applyBorder="0" applyAlignment="0" applyProtection="0"/>
    <xf numFmtId="0" fontId="27" fillId="0" borderId="0"/>
    <xf numFmtId="9" fontId="19" fillId="0" borderId="0" applyFont="0" applyFill="0" applyBorder="0" applyAlignment="0" applyProtection="0"/>
    <xf numFmtId="0" fontId="104" fillId="0" borderId="0" applyFont="0" applyFill="0" applyBorder="0" applyAlignment="0" applyProtection="0"/>
    <xf numFmtId="0" fontId="104" fillId="0" borderId="0" applyFont="0" applyFill="0" applyBorder="0" applyAlignment="0" applyProtection="0"/>
    <xf numFmtId="0" fontId="105" fillId="35" borderId="0" applyNumberFormat="0" applyBorder="0" applyAlignment="0" applyProtection="0">
      <alignment vertical="center"/>
    </xf>
    <xf numFmtId="0" fontId="106" fillId="34" borderId="0" applyNumberFormat="0" applyBorder="0" applyAlignment="0" applyProtection="0">
      <alignment vertical="center"/>
    </xf>
    <xf numFmtId="178" fontId="7" fillId="0" borderId="0" applyFont="0" applyFill="0" applyBorder="0" applyAlignment="0" applyProtection="0"/>
    <xf numFmtId="229" fontId="7" fillId="0" borderId="0" applyFont="0" applyFill="0" applyBorder="0" applyAlignment="0" applyProtection="0"/>
    <xf numFmtId="230" fontId="107" fillId="0" borderId="0" applyFont="0" applyFill="0" applyBorder="0" applyAlignment="0" applyProtection="0"/>
    <xf numFmtId="231" fontId="107" fillId="0" borderId="0" applyFont="0" applyFill="0" applyBorder="0" applyAlignment="0" applyProtection="0"/>
    <xf numFmtId="0" fontId="108" fillId="0" borderId="0"/>
    <xf numFmtId="0" fontId="109" fillId="0" borderId="0"/>
    <xf numFmtId="40" fontId="104" fillId="0" borderId="0" applyFont="0" applyFill="0" applyBorder="0" applyAlignment="0" applyProtection="0"/>
    <xf numFmtId="38" fontId="104" fillId="0" borderId="0" applyFont="0" applyFill="0" applyBorder="0" applyAlignment="0" applyProtection="0"/>
    <xf numFmtId="0" fontId="10" fillId="0" borderId="0">
      <protection locked="0"/>
    </xf>
    <xf numFmtId="187" fontId="3" fillId="0" borderId="0">
      <alignment vertical="center"/>
    </xf>
    <xf numFmtId="0" fontId="10" fillId="0" borderId="0">
      <protection locked="0"/>
    </xf>
    <xf numFmtId="43" fontId="111" fillId="0" borderId="0" applyFont="0" applyFill="0" applyBorder="0" applyAlignment="0" applyProtection="0">
      <alignment vertical="center"/>
    </xf>
    <xf numFmtId="187" fontId="2" fillId="0" borderId="0">
      <alignment vertical="center"/>
    </xf>
    <xf numFmtId="187" fontId="1" fillId="0" borderId="0">
      <alignment vertical="center"/>
    </xf>
    <xf numFmtId="43" fontId="10" fillId="0" borderId="0" applyFont="0" applyFill="0" applyBorder="0" applyAlignment="0" applyProtection="0"/>
    <xf numFmtId="0" fontId="1" fillId="0" borderId="0">
      <alignment vertical="center"/>
    </xf>
    <xf numFmtId="43" fontId="1" fillId="0" borderId="0" applyFont="0" applyFill="0" applyBorder="0" applyAlignment="0" applyProtection="0">
      <alignment vertical="center"/>
    </xf>
    <xf numFmtId="9" fontId="1" fillId="0" borderId="0" applyFont="0" applyFill="0" applyBorder="0" applyAlignment="0" applyProtection="0">
      <alignment vertical="center"/>
    </xf>
    <xf numFmtId="0" fontId="10" fillId="0" borderId="0">
      <alignment vertical="center"/>
    </xf>
    <xf numFmtId="0" fontId="15" fillId="0" borderId="0"/>
  </cellStyleXfs>
  <cellXfs count="198">
    <xf numFmtId="0" fontId="0" fillId="0" borderId="0" xfId="0">
      <protection locked="0"/>
    </xf>
    <xf numFmtId="0" fontId="16" fillId="0" borderId="0" xfId="0" applyFont="1" applyAlignment="1">
      <alignment vertical="center"/>
      <protection locked="0"/>
    </xf>
    <xf numFmtId="0" fontId="15" fillId="0" borderId="0" xfId="0" applyFont="1" applyAlignment="1">
      <alignment horizontal="center" vertical="center"/>
      <protection locked="0"/>
    </xf>
    <xf numFmtId="0" fontId="21" fillId="0" borderId="0" xfId="0" applyFont="1" applyAlignment="1">
      <alignment vertical="center"/>
      <protection locked="0"/>
    </xf>
    <xf numFmtId="0" fontId="27" fillId="0" borderId="0" xfId="30" applyFont="1" applyAlignment="1">
      <alignment vertical="center"/>
    </xf>
    <xf numFmtId="0" fontId="27" fillId="0" borderId="0" xfId="29" applyFont="1" applyBorder="1" applyAlignment="1" applyProtection="1">
      <alignment vertical="center"/>
      <protection locked="0"/>
    </xf>
    <xf numFmtId="0" fontId="29" fillId="0" borderId="0" xfId="29" applyFont="1" applyBorder="1" applyAlignment="1" applyProtection="1">
      <alignment horizontal="center" vertical="center"/>
      <protection hidden="1"/>
    </xf>
    <xf numFmtId="0" fontId="27" fillId="0" borderId="0" xfId="29" applyFont="1" applyBorder="1" applyAlignment="1" applyProtection="1">
      <alignment horizontal="left" vertical="center"/>
      <protection hidden="1"/>
    </xf>
    <xf numFmtId="0" fontId="29" fillId="0" borderId="0" xfId="29" applyFont="1" applyBorder="1" applyAlignment="1" applyProtection="1">
      <alignment horizontal="left" vertical="center"/>
      <protection locked="0"/>
    </xf>
    <xf numFmtId="0" fontId="28" fillId="0" borderId="0" xfId="29" applyFont="1" applyBorder="1" applyAlignment="1">
      <alignment vertical="center"/>
    </xf>
    <xf numFmtId="0" fontId="27" fillId="0" borderId="4" xfId="29" applyFont="1" applyBorder="1" applyAlignment="1" applyProtection="1">
      <alignment vertical="center"/>
      <protection locked="0"/>
    </xf>
    <xf numFmtId="0" fontId="25" fillId="0" borderId="0" xfId="28" applyFont="1" applyAlignment="1">
      <alignment vertical="center"/>
    </xf>
    <xf numFmtId="43" fontId="27" fillId="0" borderId="3" xfId="32" applyFont="1" applyBorder="1" applyAlignment="1" applyProtection="1">
      <alignment vertical="center"/>
      <protection locked="0"/>
    </xf>
    <xf numFmtId="0" fontId="27" fillId="0" borderId="0" xfId="27" applyFont="1" applyBorder="1" applyAlignment="1">
      <alignment vertical="center"/>
      <protection locked="0"/>
    </xf>
    <xf numFmtId="0" fontId="27" fillId="0" borderId="0" xfId="27" applyFont="1" applyAlignment="1">
      <alignment vertical="center"/>
      <protection locked="0"/>
    </xf>
    <xf numFmtId="0" fontId="28" fillId="0" borderId="0" xfId="27" applyFont="1" applyAlignment="1">
      <alignment vertical="center"/>
      <protection locked="0"/>
    </xf>
    <xf numFmtId="0" fontId="27" fillId="0" borderId="3" xfId="27" applyFont="1" applyBorder="1" applyAlignment="1">
      <alignment horizontal="left" vertical="center" wrapText="1"/>
      <protection locked="0"/>
    </xf>
    <xf numFmtId="43" fontId="27" fillId="0" borderId="3" xfId="27" applyNumberFormat="1" applyFont="1" applyBorder="1" applyAlignment="1">
      <alignment horizontal="left" vertical="center" wrapText="1"/>
      <protection locked="0"/>
    </xf>
    <xf numFmtId="0" fontId="28" fillId="0" borderId="3" xfId="27" applyFont="1" applyBorder="1" applyAlignment="1">
      <alignment horizontal="left" vertical="center" wrapText="1"/>
      <protection locked="0"/>
    </xf>
    <xf numFmtId="0" fontId="27" fillId="0" borderId="0" xfId="27" applyFont="1" applyAlignment="1">
      <alignment vertical="center" wrapText="1"/>
      <protection locked="0"/>
    </xf>
    <xf numFmtId="0" fontId="27" fillId="0" borderId="0" xfId="29" applyFont="1" applyBorder="1" applyAlignment="1">
      <alignment vertical="center"/>
    </xf>
    <xf numFmtId="0" fontId="34" fillId="0" borderId="0" xfId="29" applyFont="1" applyBorder="1" applyAlignment="1">
      <alignment vertical="center"/>
    </xf>
    <xf numFmtId="0" fontId="28" fillId="0" borderId="0" xfId="28" applyFont="1" applyAlignment="1">
      <alignment vertical="center"/>
    </xf>
    <xf numFmtId="0" fontId="15" fillId="0" borderId="0" xfId="27" applyFont="1" applyBorder="1" applyAlignment="1">
      <alignment vertical="center"/>
      <protection locked="0"/>
    </xf>
    <xf numFmtId="0" fontId="27" fillId="0" borderId="3" xfId="27" applyFont="1" applyBorder="1" applyAlignment="1">
      <alignment vertical="center"/>
      <protection locked="0"/>
    </xf>
    <xf numFmtId="0" fontId="28" fillId="0" borderId="3" xfId="27" applyFont="1" applyBorder="1" applyAlignment="1">
      <alignment horizontal="centerContinuous" vertical="center"/>
      <protection locked="0"/>
    </xf>
    <xf numFmtId="0" fontId="34" fillId="0" borderId="0" xfId="27" applyFont="1" applyBorder="1" applyAlignment="1">
      <alignment vertical="center"/>
      <protection locked="0"/>
    </xf>
    <xf numFmtId="0" fontId="27" fillId="0" borderId="0" xfId="27" applyFont="1" applyBorder="1" applyAlignment="1">
      <alignment vertical="center" wrapText="1"/>
      <protection locked="0"/>
    </xf>
    <xf numFmtId="0" fontId="15" fillId="0" borderId="0" xfId="27" applyFont="1" applyAlignment="1">
      <alignment vertical="center"/>
      <protection locked="0"/>
    </xf>
    <xf numFmtId="0" fontId="27" fillId="0" borderId="3" xfId="27" applyFont="1" applyBorder="1" applyAlignment="1">
      <alignment horizontal="justify" vertical="center"/>
      <protection locked="0"/>
    </xf>
    <xf numFmtId="0" fontId="28" fillId="0" borderId="3" xfId="27" applyFont="1" applyBorder="1" applyAlignment="1">
      <alignment horizontal="justify" vertical="center" wrapText="1"/>
      <protection locked="0"/>
    </xf>
    <xf numFmtId="0" fontId="27" fillId="0" borderId="0" xfId="30" applyFont="1" applyBorder="1" applyAlignment="1">
      <alignment vertical="center"/>
    </xf>
    <xf numFmtId="43" fontId="27" fillId="0" borderId="3" xfId="32" applyFont="1" applyFill="1" applyBorder="1" applyAlignment="1" applyProtection="1">
      <alignment vertical="center"/>
      <protection locked="0"/>
    </xf>
    <xf numFmtId="0" fontId="7" fillId="0" borderId="0" xfId="0" applyFont="1" applyAlignment="1">
      <alignment vertical="center"/>
      <protection locked="0"/>
    </xf>
    <xf numFmtId="0" fontId="22" fillId="0" borderId="0" xfId="0" applyFont="1" applyBorder="1" applyAlignment="1">
      <alignment horizontal="justify" vertical="center" wrapText="1"/>
      <protection locked="0"/>
    </xf>
    <xf numFmtId="0" fontId="21" fillId="0" borderId="0" xfId="0" applyFont="1" applyBorder="1" applyAlignment="1">
      <alignment vertical="center"/>
      <protection locked="0"/>
    </xf>
    <xf numFmtId="0" fontId="24" fillId="0" borderId="0" xfId="0" applyFont="1" applyAlignment="1">
      <alignment horizontal="justify" vertical="center"/>
      <protection locked="0"/>
    </xf>
    <xf numFmtId="0" fontId="18" fillId="0" borderId="0" xfId="0" applyFont="1" applyAlignment="1">
      <alignment horizontal="center" vertical="center"/>
      <protection locked="0"/>
    </xf>
    <xf numFmtId="0" fontId="10" fillId="0" borderId="0" xfId="0" applyFont="1" applyAlignment="1">
      <alignment horizontal="justify" vertical="center"/>
      <protection locked="0"/>
    </xf>
    <xf numFmtId="0" fontId="10" fillId="0" borderId="0" xfId="0" applyFont="1" applyAlignment="1">
      <alignment vertical="center"/>
      <protection locked="0"/>
    </xf>
    <xf numFmtId="0" fontId="10" fillId="0" borderId="0" xfId="0" applyFont="1" applyAlignment="1">
      <alignment horizontal="justify" vertical="center" wrapText="1"/>
      <protection locked="0"/>
    </xf>
    <xf numFmtId="0" fontId="10" fillId="0" borderId="0" xfId="0" applyFont="1" applyAlignment="1">
      <alignment horizontal="left" vertical="center"/>
      <protection locked="0"/>
    </xf>
    <xf numFmtId="0" fontId="28" fillId="0" borderId="0" xfId="27" applyFont="1" applyBorder="1" applyAlignment="1">
      <alignment vertical="center"/>
      <protection locked="0"/>
    </xf>
    <xf numFmtId="0" fontId="27" fillId="0" borderId="3" xfId="27" applyFont="1" applyBorder="1" applyAlignment="1">
      <alignment horizontal="center" vertical="center"/>
      <protection locked="0"/>
    </xf>
    <xf numFmtId="0" fontId="15" fillId="0" borderId="0" xfId="29" applyFont="1" applyBorder="1" applyAlignment="1">
      <alignment vertical="center"/>
    </xf>
    <xf numFmtId="0" fontId="29" fillId="0" borderId="4" xfId="29" applyFont="1" applyBorder="1" applyAlignment="1" applyProtection="1">
      <alignment horizontal="center" vertical="center"/>
      <protection hidden="1"/>
    </xf>
    <xf numFmtId="0" fontId="27" fillId="0" borderId="4" xfId="29" applyFont="1" applyBorder="1" applyAlignment="1" applyProtection="1">
      <alignment horizontal="left" vertical="center"/>
      <protection hidden="1"/>
    </xf>
    <xf numFmtId="0" fontId="29" fillId="0" borderId="4" xfId="29" applyFont="1" applyBorder="1" applyAlignment="1" applyProtection="1">
      <alignment horizontal="left" vertical="center"/>
      <protection locked="0"/>
    </xf>
    <xf numFmtId="14" fontId="27" fillId="0" borderId="0" xfId="27" applyNumberFormat="1" applyFont="1" applyAlignment="1">
      <alignment vertical="center"/>
      <protection locked="0"/>
    </xf>
    <xf numFmtId="0" fontId="29" fillId="0" borderId="0" xfId="27" applyFont="1" applyBorder="1" applyAlignment="1">
      <alignment vertical="center"/>
      <protection locked="0"/>
    </xf>
    <xf numFmtId="0" fontId="29" fillId="0" borderId="0" xfId="27" applyFont="1" applyBorder="1">
      <protection locked="0"/>
    </xf>
    <xf numFmtId="0" fontId="29" fillId="0" borderId="0" xfId="27" applyFont="1" applyBorder="1" applyAlignment="1">
      <protection locked="0"/>
    </xf>
    <xf numFmtId="0" fontId="35" fillId="0" borderId="0" xfId="27" applyFont="1" applyBorder="1" applyAlignment="1">
      <protection locked="0"/>
    </xf>
    <xf numFmtId="0" fontId="27" fillId="0" borderId="3" xfId="27" applyFont="1" applyBorder="1" applyAlignment="1">
      <alignment horizontal="center" vertical="center" wrapText="1"/>
      <protection locked="0"/>
    </xf>
    <xf numFmtId="0" fontId="27" fillId="0" borderId="0" xfId="28" applyFont="1" applyBorder="1" applyAlignment="1">
      <alignment vertical="center"/>
    </xf>
    <xf numFmtId="0" fontId="26" fillId="0" borderId="0" xfId="28" applyFont="1" applyBorder="1" applyAlignment="1">
      <alignment vertical="center"/>
    </xf>
    <xf numFmtId="0" fontId="36" fillId="0" borderId="0" xfId="27" applyFont="1" applyBorder="1" applyAlignment="1">
      <alignment horizontal="left"/>
      <protection locked="0"/>
    </xf>
    <xf numFmtId="0" fontId="29" fillId="0" borderId="0" xfId="27" applyFont="1" applyBorder="1" applyAlignment="1">
      <alignment horizontal="right"/>
      <protection locked="0"/>
    </xf>
    <xf numFmtId="31" fontId="28" fillId="0" borderId="3" xfId="27" applyNumberFormat="1" applyFont="1" applyBorder="1" applyAlignment="1">
      <alignment horizontal="centerContinuous" vertical="center"/>
      <protection locked="0"/>
    </xf>
    <xf numFmtId="0" fontId="7" fillId="0" borderId="2" xfId="0" applyFont="1" applyBorder="1" applyAlignment="1">
      <alignment horizontal="center" vertical="center"/>
      <protection locked="0"/>
    </xf>
    <xf numFmtId="0" fontId="15" fillId="0" borderId="2" xfId="0" applyFont="1" applyBorder="1" applyAlignment="1">
      <alignment vertical="center"/>
      <protection locked="0"/>
    </xf>
    <xf numFmtId="0" fontId="27" fillId="0" borderId="3" xfId="27" applyFont="1" applyBorder="1" applyAlignment="1">
      <alignment horizontal="left" vertical="center" wrapText="1"/>
      <protection locked="0"/>
    </xf>
    <xf numFmtId="0" fontId="10" fillId="0" borderId="0" xfId="0" applyFont="1" applyAlignment="1">
      <alignment horizontal="center" vertical="center"/>
      <protection locked="0"/>
    </xf>
    <xf numFmtId="0" fontId="34" fillId="36" borderId="3" xfId="27" applyFont="1" applyFill="1" applyBorder="1" applyAlignment="1">
      <alignment horizontal="center" vertical="center"/>
      <protection locked="0"/>
    </xf>
    <xf numFmtId="0" fontId="27" fillId="0" borderId="0" xfId="29" applyFont="1" applyBorder="1" applyAlignment="1">
      <alignment horizontal="left" vertical="center"/>
    </xf>
    <xf numFmtId="0" fontId="42" fillId="0" borderId="0" xfId="29" applyFont="1" applyBorder="1" applyAlignment="1">
      <alignment horizontal="left" vertical="center"/>
    </xf>
    <xf numFmtId="0" fontId="15" fillId="0" borderId="0" xfId="29" applyFont="1" applyBorder="1" applyAlignment="1" applyProtection="1">
      <alignment vertical="center"/>
      <protection locked="0"/>
    </xf>
    <xf numFmtId="0" fontId="27" fillId="0" borderId="0" xfId="29" applyFont="1" applyBorder="1" applyAlignment="1">
      <alignment vertical="center" wrapText="1"/>
    </xf>
    <xf numFmtId="0" fontId="43" fillId="0" borderId="0" xfId="29" applyFont="1" applyBorder="1" applyAlignment="1">
      <alignment vertical="center"/>
    </xf>
    <xf numFmtId="0" fontId="113" fillId="0" borderId="0" xfId="29" applyFont="1" applyBorder="1" applyAlignment="1">
      <alignment vertical="center"/>
    </xf>
    <xf numFmtId="0" fontId="114" fillId="36" borderId="3" xfId="27" applyFont="1" applyFill="1" applyBorder="1" applyAlignment="1">
      <alignment horizontal="center" vertical="center"/>
      <protection locked="0"/>
    </xf>
    <xf numFmtId="0" fontId="27" fillId="0" borderId="0" xfId="29" applyFont="1" applyBorder="1" applyAlignment="1">
      <alignment horizontal="left" vertical="center" wrapText="1"/>
    </xf>
    <xf numFmtId="0" fontId="34" fillId="36" borderId="3" xfId="27" applyFont="1" applyFill="1" applyBorder="1" applyAlignment="1">
      <alignment horizontal="center" vertical="center" wrapText="1"/>
      <protection locked="0"/>
    </xf>
    <xf numFmtId="0" fontId="34" fillId="36" borderId="3" xfId="27" applyFont="1" applyFill="1" applyBorder="1" applyAlignment="1">
      <alignment horizontal="center" vertical="center"/>
      <protection locked="0"/>
    </xf>
    <xf numFmtId="0" fontId="114" fillId="36" borderId="3" xfId="27" applyFont="1" applyFill="1" applyBorder="1" applyAlignment="1">
      <alignment horizontal="center" vertical="center"/>
      <protection locked="0"/>
    </xf>
    <xf numFmtId="14" fontId="27" fillId="0" borderId="3" xfId="27" applyNumberFormat="1" applyFont="1" applyBorder="1" applyAlignment="1">
      <alignment horizontal="center" vertical="center"/>
      <protection locked="0"/>
    </xf>
    <xf numFmtId="0" fontId="15" fillId="0" borderId="3" xfId="27" applyFont="1" applyBorder="1" applyAlignment="1">
      <alignment horizontal="left" vertical="center"/>
      <protection locked="0"/>
    </xf>
    <xf numFmtId="0" fontId="27" fillId="0" borderId="3" xfId="27" applyFont="1" applyBorder="1" applyAlignment="1">
      <alignment horizontal="left" vertical="center"/>
      <protection locked="0"/>
    </xf>
    <xf numFmtId="43" fontId="27" fillId="0" borderId="3" xfId="32" applyFont="1" applyBorder="1" applyAlignment="1" applyProtection="1">
      <alignment horizontal="center" vertical="center"/>
      <protection locked="0"/>
    </xf>
    <xf numFmtId="43" fontId="27" fillId="0" borderId="3" xfId="32" applyFont="1" applyBorder="1" applyAlignment="1" applyProtection="1">
      <alignment horizontal="justify" vertical="center"/>
      <protection locked="0"/>
    </xf>
    <xf numFmtId="14" fontId="27" fillId="0" borderId="3" xfId="27" applyNumberFormat="1" applyFont="1" applyBorder="1" applyAlignment="1">
      <alignment vertical="center"/>
      <protection locked="0"/>
    </xf>
    <xf numFmtId="14" fontId="27" fillId="0" borderId="3" xfId="27" applyNumberFormat="1" applyFont="1" applyBorder="1" applyAlignment="1">
      <alignment horizontal="justify" vertical="center"/>
      <protection locked="0"/>
    </xf>
    <xf numFmtId="0" fontId="42" fillId="0" borderId="0" xfId="29" applyFont="1" applyBorder="1" applyAlignment="1">
      <alignment vertical="center"/>
    </xf>
    <xf numFmtId="43" fontId="27" fillId="0" borderId="0" xfId="32" applyFont="1" applyBorder="1" applyAlignment="1" applyProtection="1">
      <alignment vertical="center"/>
      <protection locked="0"/>
    </xf>
    <xf numFmtId="0" fontId="34" fillId="0" borderId="3" xfId="29" applyFont="1" applyBorder="1" applyAlignment="1">
      <alignment vertical="center"/>
    </xf>
    <xf numFmtId="0" fontId="29" fillId="0" borderId="3" xfId="29" applyFont="1" applyBorder="1" applyAlignment="1" applyProtection="1">
      <alignment horizontal="center" vertical="center"/>
      <protection hidden="1"/>
    </xf>
    <xf numFmtId="0" fontId="27" fillId="0" borderId="3" xfId="29" applyFont="1" applyBorder="1" applyAlignment="1" applyProtection="1">
      <alignment horizontal="left" vertical="center"/>
      <protection hidden="1"/>
    </xf>
    <xf numFmtId="0" fontId="29" fillId="0" borderId="3" xfId="29" applyFont="1" applyBorder="1" applyAlignment="1" applyProtection="1">
      <alignment horizontal="left" vertical="center"/>
      <protection locked="0"/>
    </xf>
    <xf numFmtId="0" fontId="27" fillId="0" borderId="3" xfId="29" applyFont="1" applyBorder="1" applyAlignment="1" applyProtection="1">
      <alignment vertical="center"/>
      <protection locked="0"/>
    </xf>
    <xf numFmtId="0" fontId="34" fillId="0" borderId="0" xfId="0" applyFont="1" applyAlignment="1">
      <alignment vertical="center"/>
      <protection locked="0"/>
    </xf>
    <xf numFmtId="0" fontId="0" fillId="0" borderId="0" xfId="0" applyAlignment="1">
      <alignment horizontal="center"/>
      <protection locked="0"/>
    </xf>
    <xf numFmtId="0" fontId="34" fillId="0" borderId="0" xfId="29" applyFont="1" applyAlignment="1">
      <alignment vertical="center"/>
    </xf>
    <xf numFmtId="0" fontId="34" fillId="0" borderId="0" xfId="29" applyFont="1" applyAlignment="1">
      <alignment horizontal="left" vertical="center"/>
    </xf>
    <xf numFmtId="0" fontId="15" fillId="0" borderId="0" xfId="29" applyFont="1" applyAlignment="1">
      <alignment horizontal="left" vertical="center"/>
    </xf>
    <xf numFmtId="0" fontId="113" fillId="0" borderId="0" xfId="29" applyFont="1" applyAlignment="1">
      <alignment horizontal="left" vertical="center"/>
    </xf>
    <xf numFmtId="0" fontId="0" fillId="0" borderId="0" xfId="0" applyFill="1">
      <protection locked="0"/>
    </xf>
    <xf numFmtId="0" fontId="16" fillId="0" borderId="0" xfId="0" applyFont="1">
      <protection locked="0"/>
    </xf>
    <xf numFmtId="0" fontId="34" fillId="0" borderId="0" xfId="27" applyFont="1" applyAlignment="1">
      <alignment vertical="center"/>
      <protection locked="0"/>
    </xf>
    <xf numFmtId="0" fontId="27" fillId="0" borderId="0" xfId="29" applyFont="1" applyAlignment="1">
      <alignment vertical="center"/>
    </xf>
    <xf numFmtId="0" fontId="120" fillId="37" borderId="3" xfId="27" applyNumberFormat="1" applyFont="1" applyFill="1" applyBorder="1" applyAlignment="1" applyProtection="1">
      <alignment horizontal="center" vertical="center" wrapText="1"/>
    </xf>
    <xf numFmtId="0" fontId="28" fillId="36" borderId="3" xfId="27" applyFont="1" applyFill="1" applyBorder="1" applyAlignment="1">
      <alignment horizontal="center" vertical="center"/>
      <protection locked="0"/>
    </xf>
    <xf numFmtId="0" fontId="119" fillId="37" borderId="3" xfId="27" applyNumberFormat="1" applyFont="1" applyFill="1" applyBorder="1" applyAlignment="1" applyProtection="1">
      <alignment horizontal="center" vertical="center" wrapText="1"/>
    </xf>
    <xf numFmtId="0" fontId="121" fillId="0" borderId="3" xfId="619" applyNumberFormat="1" applyFont="1" applyFill="1" applyBorder="1" applyAlignment="1" applyProtection="1">
      <alignment horizontal="left" vertical="center" wrapText="1"/>
    </xf>
    <xf numFmtId="49" fontId="121" fillId="0" borderId="3" xfId="619" applyNumberFormat="1" applyFont="1" applyFill="1" applyBorder="1" applyAlignment="1" applyProtection="1">
      <alignment horizontal="left" vertical="center" wrapText="1"/>
    </xf>
    <xf numFmtId="0" fontId="121" fillId="0" borderId="3" xfId="619" applyNumberFormat="1" applyFont="1" applyFill="1" applyBorder="1" applyAlignment="1" applyProtection="1">
      <alignment horizontal="center" vertical="center" wrapText="1"/>
    </xf>
    <xf numFmtId="43" fontId="121" fillId="0" borderId="3" xfId="619" applyNumberFormat="1" applyFont="1" applyFill="1" applyBorder="1" applyAlignment="1" applyProtection="1">
      <alignment horizontal="right" vertical="center" shrinkToFit="1"/>
    </xf>
    <xf numFmtId="49" fontId="121" fillId="0" borderId="3" xfId="619" applyNumberFormat="1" applyFont="1" applyFill="1" applyBorder="1" applyAlignment="1" applyProtection="1">
      <alignment horizontal="center" vertical="center" wrapText="1"/>
    </xf>
    <xf numFmtId="0" fontId="118" fillId="36" borderId="3" xfId="619" applyNumberFormat="1" applyFont="1" applyFill="1" applyBorder="1" applyAlignment="1" applyProtection="1">
      <alignment horizontal="center" vertical="center" wrapText="1"/>
    </xf>
    <xf numFmtId="49" fontId="118" fillId="36" borderId="3" xfId="619" applyNumberFormat="1" applyFont="1" applyFill="1" applyBorder="1" applyAlignment="1" applyProtection="1">
      <alignment horizontal="left" vertical="center" wrapText="1"/>
    </xf>
    <xf numFmtId="43" fontId="118" fillId="36" borderId="3" xfId="619" applyNumberFormat="1" applyFont="1" applyFill="1" applyBorder="1" applyAlignment="1" applyProtection="1">
      <alignment horizontal="right" vertical="center" shrinkToFit="1"/>
    </xf>
    <xf numFmtId="49" fontId="118" fillId="36" borderId="3" xfId="619" applyNumberFormat="1" applyFont="1" applyFill="1" applyBorder="1" applyAlignment="1" applyProtection="1">
      <alignment horizontal="center" vertical="center" wrapText="1"/>
    </xf>
    <xf numFmtId="43" fontId="121" fillId="0" borderId="3" xfId="32" applyFont="1" applyFill="1" applyBorder="1" applyAlignment="1" applyProtection="1">
      <alignment horizontal="right" vertical="center" shrinkToFit="1"/>
    </xf>
    <xf numFmtId="0" fontId="26" fillId="0" borderId="0" xfId="0" applyFont="1" applyAlignment="1">
      <alignment horizontal="center"/>
      <protection locked="0"/>
    </xf>
    <xf numFmtId="0" fontId="120" fillId="37" borderId="3" xfId="27" applyNumberFormat="1" applyFont="1" applyFill="1" applyBorder="1" applyAlignment="1" applyProtection="1">
      <alignment horizontal="center" vertical="center"/>
    </xf>
    <xf numFmtId="0" fontId="26" fillId="0" borderId="0" xfId="0" applyFont="1">
      <protection locked="0"/>
    </xf>
    <xf numFmtId="0" fontId="26" fillId="0" borderId="0" xfId="0" applyFont="1" applyFill="1">
      <protection locked="0"/>
    </xf>
    <xf numFmtId="43" fontId="118" fillId="36" borderId="3" xfId="32" applyFont="1" applyFill="1" applyBorder="1" applyAlignment="1" applyProtection="1">
      <alignment horizontal="left" vertical="center" wrapText="1"/>
    </xf>
    <xf numFmtId="0" fontId="25" fillId="0" borderId="0" xfId="0" applyFont="1">
      <protection locked="0"/>
    </xf>
    <xf numFmtId="232" fontId="121" fillId="0" borderId="3" xfId="619" applyNumberFormat="1" applyFont="1" applyFill="1" applyBorder="1" applyAlignment="1" applyProtection="1">
      <alignment horizontal="right" vertical="center" shrinkToFit="1"/>
    </xf>
    <xf numFmtId="43" fontId="121" fillId="0" borderId="3" xfId="32" applyFont="1" applyFill="1" applyBorder="1" applyAlignment="1" applyProtection="1">
      <alignment horizontal="center" vertical="center" wrapText="1"/>
    </xf>
    <xf numFmtId="0" fontId="121" fillId="0" borderId="3" xfId="619" applyNumberFormat="1" applyFont="1" applyFill="1" applyBorder="1" applyAlignment="1" applyProtection="1">
      <alignment horizontal="center" vertical="center" shrinkToFit="1"/>
    </xf>
    <xf numFmtId="0" fontId="112" fillId="0" borderId="0" xfId="0" applyFont="1" applyAlignment="1">
      <alignment horizontal="left"/>
      <protection locked="0"/>
    </xf>
    <xf numFmtId="0" fontId="10" fillId="0" borderId="0" xfId="0" applyFont="1">
      <protection locked="0"/>
    </xf>
    <xf numFmtId="0" fontId="28" fillId="36" borderId="3" xfId="27" applyFont="1" applyFill="1" applyBorder="1" applyAlignment="1">
      <alignment horizontal="center" vertical="center" wrapText="1"/>
      <protection locked="0"/>
    </xf>
    <xf numFmtId="0" fontId="34" fillId="36" borderId="3" xfId="27" applyFont="1" applyFill="1" applyBorder="1" applyAlignment="1">
      <alignment horizontal="center" vertical="center"/>
      <protection locked="0"/>
    </xf>
    <xf numFmtId="0" fontId="114" fillId="36" borderId="3" xfId="27" applyFont="1" applyFill="1" applyBorder="1" applyAlignment="1">
      <alignment horizontal="center" vertical="center"/>
      <protection locked="0"/>
    </xf>
    <xf numFmtId="0" fontId="118" fillId="36" borderId="3" xfId="619" applyNumberFormat="1" applyFont="1" applyFill="1" applyBorder="1" applyAlignment="1" applyProtection="1">
      <alignment horizontal="center" vertical="center" wrapText="1"/>
    </xf>
    <xf numFmtId="0" fontId="120" fillId="37" borderId="3" xfId="27" applyNumberFormat="1" applyFont="1" applyFill="1" applyBorder="1" applyAlignment="1" applyProtection="1">
      <alignment horizontal="center" vertical="center" wrapText="1"/>
    </xf>
    <xf numFmtId="0" fontId="27" fillId="5" borderId="0" xfId="0" applyFont="1" applyFill="1" applyBorder="1" applyAlignment="1">
      <alignment horizontal="justify" vertical="center" wrapText="1"/>
      <protection locked="0"/>
    </xf>
    <xf numFmtId="0" fontId="27" fillId="0" borderId="2" xfId="0" applyFont="1" applyBorder="1" applyAlignment="1">
      <alignment horizontal="center" vertical="center"/>
      <protection locked="0"/>
    </xf>
    <xf numFmtId="0" fontId="29" fillId="0" borderId="0" xfId="0" applyFont="1" applyAlignment="1">
      <alignment vertical="center"/>
      <protection locked="0"/>
    </xf>
    <xf numFmtId="0" fontId="36" fillId="0" borderId="0" xfId="27" applyFont="1" applyBorder="1" applyAlignment="1">
      <alignment vertical="center"/>
      <protection locked="0"/>
    </xf>
    <xf numFmtId="0" fontId="127" fillId="0" borderId="0" xfId="27" applyFont="1" applyBorder="1" applyAlignment="1">
      <alignment vertical="center"/>
      <protection locked="0"/>
    </xf>
    <xf numFmtId="0" fontId="128" fillId="0" borderId="0" xfId="0" applyFont="1">
      <protection locked="0"/>
    </xf>
    <xf numFmtId="0" fontId="129" fillId="0" borderId="0" xfId="0" applyFont="1">
      <protection locked="0"/>
    </xf>
    <xf numFmtId="49" fontId="14" fillId="0" borderId="3" xfId="619" applyNumberFormat="1" applyFont="1" applyFill="1" applyBorder="1" applyAlignment="1" applyProtection="1">
      <alignment horizontal="left" vertical="center" wrapText="1"/>
    </xf>
    <xf numFmtId="49" fontId="14" fillId="0" borderId="3" xfId="619" applyNumberFormat="1" applyFont="1" applyFill="1" applyBorder="1" applyAlignment="1" applyProtection="1">
      <alignment horizontal="center" vertical="center" wrapText="1"/>
    </xf>
    <xf numFmtId="0" fontId="14" fillId="0" borderId="3" xfId="619" applyNumberFormat="1" applyFont="1" applyFill="1" applyBorder="1" applyAlignment="1" applyProtection="1">
      <alignment horizontal="left" vertical="center" wrapText="1"/>
    </xf>
    <xf numFmtId="0" fontId="29" fillId="0" borderId="0" xfId="31" applyFont="1" applyBorder="1" applyAlignment="1">
      <alignment vertical="center"/>
      <protection locked="0"/>
    </xf>
    <xf numFmtId="0" fontId="130" fillId="0" borderId="2" xfId="31" applyFont="1" applyBorder="1" applyAlignment="1">
      <alignment vertical="center"/>
      <protection locked="0"/>
    </xf>
    <xf numFmtId="0" fontId="34" fillId="36" borderId="3" xfId="27" applyFont="1" applyFill="1" applyBorder="1" applyAlignment="1">
      <alignment horizontal="center" vertical="center" wrapText="1"/>
      <protection locked="0"/>
    </xf>
    <xf numFmtId="0" fontId="34" fillId="36" borderId="3" xfId="27" applyFont="1" applyFill="1" applyBorder="1" applyAlignment="1">
      <alignment horizontal="center" vertical="center"/>
      <protection locked="0"/>
    </xf>
    <xf numFmtId="0" fontId="15" fillId="5" borderId="0" xfId="0" applyFont="1" applyFill="1" applyBorder="1" applyAlignment="1" applyProtection="1">
      <alignment horizontal="justify" vertical="center" wrapText="1"/>
      <protection locked="0"/>
    </xf>
    <xf numFmtId="0" fontId="118" fillId="36" borderId="3" xfId="619" applyNumberFormat="1" applyFont="1" applyFill="1" applyBorder="1" applyAlignment="1" applyProtection="1">
      <alignment horizontal="center" vertical="center" wrapText="1"/>
    </xf>
    <xf numFmtId="0" fontId="15" fillId="5" borderId="0" xfId="0" applyFont="1" applyFill="1" applyBorder="1" applyAlignment="1">
      <alignment horizontal="justify" vertical="center" wrapText="1"/>
      <protection locked="0"/>
    </xf>
    <xf numFmtId="0" fontId="123" fillId="0" borderId="0" xfId="0" applyFont="1" applyFill="1" applyBorder="1" applyAlignment="1">
      <alignment horizontal="left" vertical="center"/>
      <protection locked="0"/>
    </xf>
    <xf numFmtId="0" fontId="15" fillId="0" borderId="3" xfId="0" applyFont="1" applyBorder="1" applyAlignment="1">
      <alignment horizontal="center" vertical="center"/>
      <protection locked="0"/>
    </xf>
    <xf numFmtId="0" fontId="39" fillId="0" borderId="0" xfId="27" applyFont="1" applyAlignment="1">
      <alignment vertical="center"/>
      <protection locked="0"/>
    </xf>
    <xf numFmtId="0" fontId="15" fillId="0" borderId="0" xfId="0" applyFont="1" applyAlignment="1">
      <alignment vertical="center"/>
      <protection locked="0"/>
    </xf>
    <xf numFmtId="10" fontId="27" fillId="0" borderId="3" xfId="552" applyNumberFormat="1" applyFont="1" applyBorder="1" applyAlignment="1" applyProtection="1">
      <alignment horizontal="center" vertical="center"/>
      <protection locked="0"/>
    </xf>
    <xf numFmtId="0" fontId="15" fillId="0" borderId="0" xfId="0" applyFont="1" applyBorder="1" applyAlignment="1">
      <alignment horizontal="center" vertical="center"/>
      <protection locked="0"/>
    </xf>
    <xf numFmtId="43" fontId="27" fillId="0" borderId="0" xfId="32" applyFont="1" applyBorder="1" applyAlignment="1" applyProtection="1">
      <alignment horizontal="center" vertical="center"/>
      <protection locked="0"/>
    </xf>
    <xf numFmtId="10" fontId="27" fillId="0" borderId="0" xfId="552" applyNumberFormat="1" applyFont="1" applyBorder="1" applyAlignment="1" applyProtection="1">
      <alignment horizontal="center" vertical="center"/>
      <protection locked="0"/>
    </xf>
    <xf numFmtId="0" fontId="123" fillId="0" borderId="0" xfId="27" applyFont="1" applyAlignment="1">
      <alignment vertical="center"/>
      <protection locked="0"/>
    </xf>
    <xf numFmtId="0" fontId="28" fillId="0" borderId="6" xfId="27" applyFont="1" applyBorder="1" applyAlignment="1">
      <alignment horizontal="center" vertical="center"/>
      <protection locked="0"/>
    </xf>
    <xf numFmtId="0" fontId="28" fillId="0" borderId="23" xfId="27" applyFont="1" applyBorder="1" applyAlignment="1">
      <alignment horizontal="center" vertical="center"/>
      <protection locked="0"/>
    </xf>
    <xf numFmtId="0" fontId="28" fillId="0" borderId="24" xfId="27" applyFont="1" applyBorder="1" applyAlignment="1">
      <alignment horizontal="center" vertical="center"/>
      <protection locked="0"/>
    </xf>
    <xf numFmtId="0" fontId="16" fillId="0" borderId="0" xfId="28" applyFont="1" applyBorder="1" applyAlignment="1">
      <alignment horizontal="center" vertical="center"/>
    </xf>
    <xf numFmtId="0" fontId="25" fillId="0" borderId="0" xfId="28" applyFont="1" applyBorder="1" applyAlignment="1">
      <alignment horizontal="center" vertical="center"/>
    </xf>
    <xf numFmtId="0" fontId="124" fillId="0" borderId="0" xfId="28" applyFont="1" applyBorder="1" applyAlignment="1">
      <alignment horizontal="center" vertical="center" wrapText="1"/>
    </xf>
    <xf numFmtId="0" fontId="126" fillId="0" borderId="0" xfId="28" applyFont="1" applyBorder="1" applyAlignment="1">
      <alignment horizontal="center" vertical="center"/>
    </xf>
    <xf numFmtId="0" fontId="34" fillId="36" borderId="3" xfId="27" applyFont="1" applyFill="1" applyBorder="1" applyAlignment="1">
      <alignment horizontal="center" vertical="center" wrapText="1"/>
      <protection locked="0"/>
    </xf>
    <xf numFmtId="0" fontId="28" fillId="36" borderId="3" xfId="27" applyFont="1" applyFill="1" applyBorder="1" applyAlignment="1">
      <alignment horizontal="center" vertical="center" wrapText="1"/>
      <protection locked="0"/>
    </xf>
    <xf numFmtId="0" fontId="34" fillId="36" borderId="3" xfId="27" applyFont="1" applyFill="1" applyBorder="1" applyAlignment="1">
      <alignment horizontal="center" vertical="center"/>
      <protection locked="0"/>
    </xf>
    <xf numFmtId="0" fontId="114" fillId="36" borderId="3" xfId="27" applyFont="1" applyFill="1" applyBorder="1" applyAlignment="1">
      <alignment horizontal="center" vertical="center"/>
      <protection locked="0"/>
    </xf>
    <xf numFmtId="0" fontId="42" fillId="0" borderId="0" xfId="29" applyFont="1" applyBorder="1" applyAlignment="1">
      <alignment horizontal="left" vertical="center" wrapText="1"/>
    </xf>
    <xf numFmtId="0" fontId="113" fillId="0" borderId="4" xfId="29" applyFont="1" applyBorder="1" applyAlignment="1">
      <alignment horizontal="left" vertical="center" wrapText="1"/>
    </xf>
    <xf numFmtId="0" fontId="34" fillId="36" borderId="22" xfId="27" applyFont="1" applyFill="1" applyBorder="1" applyAlignment="1">
      <alignment horizontal="center" vertical="center" wrapText="1"/>
      <protection locked="0"/>
    </xf>
    <xf numFmtId="0" fontId="34" fillId="36" borderId="7" xfId="27" applyFont="1" applyFill="1" applyBorder="1" applyAlignment="1">
      <alignment horizontal="center" vertical="center" wrapText="1"/>
      <protection locked="0"/>
    </xf>
    <xf numFmtId="0" fontId="34" fillId="0" borderId="0" xfId="28" applyFont="1" applyBorder="1" applyAlignment="1">
      <alignment horizontal="center" vertical="center"/>
    </xf>
    <xf numFmtId="0" fontId="28" fillId="0" borderId="0" xfId="28" applyFont="1" applyBorder="1" applyAlignment="1">
      <alignment horizontal="center" vertical="center"/>
    </xf>
    <xf numFmtId="0" fontId="16" fillId="0" borderId="0" xfId="28" applyFont="1" applyBorder="1" applyAlignment="1">
      <alignment horizontal="center" vertical="center" wrapText="1"/>
    </xf>
    <xf numFmtId="0" fontId="34" fillId="36" borderId="6" xfId="27" applyFont="1" applyFill="1" applyBorder="1" applyAlignment="1">
      <alignment horizontal="center" vertical="center"/>
      <protection locked="0"/>
    </xf>
    <xf numFmtId="0" fontId="34" fillId="36" borderId="24" xfId="27" applyFont="1" applyFill="1" applyBorder="1" applyAlignment="1">
      <alignment horizontal="center" vertical="center"/>
      <protection locked="0"/>
    </xf>
    <xf numFmtId="0" fontId="114" fillId="36" borderId="6" xfId="27" applyFont="1" applyFill="1" applyBorder="1" applyAlignment="1">
      <alignment horizontal="center" vertical="center"/>
      <protection locked="0"/>
    </xf>
    <xf numFmtId="0" fontId="114" fillId="36" borderId="24" xfId="27" applyFont="1" applyFill="1" applyBorder="1" applyAlignment="1">
      <alignment horizontal="center" vertical="center"/>
      <protection locked="0"/>
    </xf>
    <xf numFmtId="0" fontId="27" fillId="0" borderId="0" xfId="29" applyFont="1" applyBorder="1" applyAlignment="1">
      <alignment horizontal="left" vertical="center" wrapText="1"/>
    </xf>
    <xf numFmtId="0" fontId="113" fillId="0" borderId="0" xfId="29" applyFont="1" applyBorder="1" applyAlignment="1">
      <alignment horizontal="left" vertical="center" wrapText="1"/>
    </xf>
    <xf numFmtId="0" fontId="28" fillId="37" borderId="3" xfId="27" applyNumberFormat="1" applyFont="1" applyFill="1" applyBorder="1" applyAlignment="1" applyProtection="1">
      <alignment horizontal="center" vertical="center" wrapText="1"/>
    </xf>
    <xf numFmtId="0" fontId="118" fillId="36" borderId="3" xfId="619" applyNumberFormat="1" applyFont="1" applyFill="1" applyBorder="1" applyAlignment="1" applyProtection="1">
      <alignment horizontal="center" vertical="center" wrapText="1"/>
    </xf>
    <xf numFmtId="0" fontId="118" fillId="36" borderId="6" xfId="619" applyNumberFormat="1" applyFont="1" applyFill="1" applyBorder="1" applyAlignment="1" applyProtection="1">
      <alignment horizontal="center" vertical="center" wrapText="1"/>
    </xf>
    <xf numFmtId="0" fontId="118" fillId="36" borderId="23" xfId="619" applyNumberFormat="1" applyFont="1" applyFill="1" applyBorder="1" applyAlignment="1" applyProtection="1">
      <alignment horizontal="center" vertical="center" wrapText="1"/>
    </xf>
    <xf numFmtId="0" fontId="118" fillId="36" borderId="24" xfId="619" applyNumberFormat="1" applyFont="1" applyFill="1" applyBorder="1" applyAlignment="1" applyProtection="1">
      <alignment horizontal="center" vertical="center" wrapText="1"/>
    </xf>
    <xf numFmtId="0" fontId="120" fillId="37" borderId="3" xfId="27" applyNumberFormat="1" applyFont="1" applyFill="1" applyBorder="1" applyAlignment="1" applyProtection="1">
      <alignment horizontal="center" vertical="center" wrapText="1"/>
    </xf>
    <xf numFmtId="0" fontId="122" fillId="36" borderId="3" xfId="619" applyNumberFormat="1" applyFont="1" applyFill="1" applyBorder="1" applyAlignment="1" applyProtection="1">
      <alignment horizontal="center" vertical="center" wrapText="1"/>
    </xf>
    <xf numFmtId="0" fontId="119" fillId="37" borderId="6" xfId="27" applyNumberFormat="1" applyFont="1" applyFill="1" applyBorder="1" applyAlignment="1" applyProtection="1">
      <alignment horizontal="center" vertical="center" wrapText="1"/>
    </xf>
    <xf numFmtId="0" fontId="119" fillId="37" borderId="24" xfId="27" applyNumberFormat="1" applyFont="1" applyFill="1" applyBorder="1" applyAlignment="1" applyProtection="1">
      <alignment horizontal="center" vertical="center" wrapText="1"/>
    </xf>
    <xf numFmtId="0" fontId="120" fillId="37" borderId="6" xfId="27" applyNumberFormat="1" applyFont="1" applyFill="1" applyBorder="1" applyAlignment="1" applyProtection="1">
      <alignment horizontal="center" vertical="center" wrapText="1"/>
    </xf>
    <xf numFmtId="0" fontId="120" fillId="37" borderId="23" xfId="27" applyNumberFormat="1" applyFont="1" applyFill="1" applyBorder="1" applyAlignment="1" applyProtection="1">
      <alignment horizontal="center" vertical="center" wrapText="1"/>
    </xf>
    <xf numFmtId="0" fontId="120" fillId="37" borderId="24" xfId="27" applyNumberFormat="1" applyFont="1" applyFill="1" applyBorder="1" applyAlignment="1" applyProtection="1">
      <alignment horizontal="center" vertical="center" wrapText="1"/>
    </xf>
    <xf numFmtId="0" fontId="15" fillId="0" borderId="3" xfId="0" applyFont="1" applyBorder="1" applyAlignment="1">
      <alignment horizontal="center" vertical="center"/>
      <protection locked="0"/>
    </xf>
    <xf numFmtId="43" fontId="27" fillId="0" borderId="3" xfId="32" applyFont="1" applyBorder="1" applyAlignment="1" applyProtection="1">
      <alignment horizontal="center" vertical="center"/>
      <protection locked="0"/>
    </xf>
    <xf numFmtId="0" fontId="110" fillId="36" borderId="3" xfId="619" applyNumberFormat="1" applyFont="1" applyFill="1" applyBorder="1" applyAlignment="1" applyProtection="1">
      <alignment horizontal="center" vertical="center" wrapText="1"/>
    </xf>
    <xf numFmtId="0" fontId="114" fillId="37" borderId="22" xfId="27" applyNumberFormat="1" applyFont="1" applyFill="1" applyBorder="1" applyAlignment="1" applyProtection="1">
      <alignment horizontal="center" vertical="center" wrapText="1"/>
    </xf>
    <xf numFmtId="0" fontId="120" fillId="37" borderId="7" xfId="27" applyNumberFormat="1" applyFont="1" applyFill="1" applyBorder="1" applyAlignment="1" applyProtection="1">
      <alignment horizontal="center" vertical="center" wrapText="1"/>
    </xf>
    <xf numFmtId="0" fontId="119" fillId="37" borderId="23" xfId="27" applyNumberFormat="1" applyFont="1" applyFill="1" applyBorder="1" applyAlignment="1" applyProtection="1">
      <alignment horizontal="center" vertical="center" wrapText="1"/>
    </xf>
    <xf numFmtId="0" fontId="16" fillId="0" borderId="0" xfId="27" applyFont="1" applyAlignment="1">
      <alignment horizontal="center" vertical="center"/>
      <protection locked="0"/>
    </xf>
    <xf numFmtId="0" fontId="124" fillId="0" borderId="0" xfId="27" applyFont="1" applyAlignment="1">
      <alignment horizontal="center" vertical="center"/>
      <protection locked="0"/>
    </xf>
  </cellXfs>
  <cellStyles count="621">
    <cellStyle name="%" xfId="189"/>
    <cellStyle name="(0)" xfId="190"/>
    <cellStyle name="?" xfId="1"/>
    <cellStyle name="? 2" xfId="191"/>
    <cellStyle name="??" xfId="192"/>
    <cellStyle name="?餡_x000c_k" xfId="86"/>
    <cellStyle name="?餡_x000c_k?_x000d_^" xfId="87"/>
    <cellStyle name="?餡_x000c_k?_x000d_^黇_x0001_??_x0007__x0001__x0001_" xfId="88"/>
    <cellStyle name="@_text" xfId="2"/>
    <cellStyle name="@_text_050302.Becker 2004.TB and Cash flow.JZ" xfId="193"/>
    <cellStyle name="@_text_061219..Valin.Disclosure package.ry.v2" xfId="194"/>
    <cellStyle name="@_text_Disclosure" xfId="195"/>
    <cellStyle name="@_text_Long term payables" xfId="196"/>
    <cellStyle name="@_text_Sheet1" xfId="197"/>
    <cellStyle name="@_text_Sheet1_Long term payables" xfId="198"/>
    <cellStyle name="@_text_Sheet3" xfId="199"/>
    <cellStyle name="@_text_Sheet4" xfId="200"/>
    <cellStyle name="@_text_Sheet6" xfId="201"/>
    <cellStyle name="@_text_Sheet7" xfId="202"/>
    <cellStyle name="@_text_涟钢" xfId="203"/>
    <cellStyle name="@_text_湘钢" xfId="204"/>
    <cellStyle name="_(中企华)审计评估联合申报明细表.V1" xfId="205"/>
    <cellStyle name="_005.v9" xfId="206"/>
    <cellStyle name="_005.v9_070124.valin.loudi.disclosure notes-other op" xfId="207"/>
    <cellStyle name="_005.v9_Sheet1" xfId="208"/>
    <cellStyle name="_005.v9_财务费用" xfId="209"/>
    <cellStyle name="_005.v9_存货" xfId="210"/>
    <cellStyle name="_005.v9_短期借款" xfId="211"/>
    <cellStyle name="_005.v9_货币资金" xfId="212"/>
    <cellStyle name="_005.v9_连轧管.报表披露(中文）2package" xfId="213"/>
    <cellStyle name="_005.v9_连轧管.报表披露(中文）package" xfId="214"/>
    <cellStyle name="_005.v9_请修改正副本华菱钢管合并国贸 报表披露 package" xfId="215"/>
    <cellStyle name="_005.v9_销售科" xfId="216"/>
    <cellStyle name="_005.v9_一年内到期长期负债" xfId="217"/>
    <cellStyle name="_005.v9_长期借款" xfId="218"/>
    <cellStyle name="_051231.CTE SH.023" xfId="219"/>
    <cellStyle name="_051231.CTE SH.023_061219..Valin.Disclosure package.ry.v2" xfId="220"/>
    <cellStyle name="_051231.CTE SH.023_061219..Valin.Disclosure package.ry.v2_1" xfId="221"/>
    <cellStyle name="_051231.CTE SH.023_061219..Valin.Disclosure package.ry.v2_Book2" xfId="222"/>
    <cellStyle name="_051231.CTE SH.023_070124.valin.consol.after interco elimination" xfId="223"/>
    <cellStyle name="_051231.CTE SH.023_2006" xfId="224"/>
    <cellStyle name="_051231.CTE SH.023_consol disclosure-final" xfId="225"/>
    <cellStyle name="_051231.CTE SH.023_非正常性损益表" xfId="226"/>
    <cellStyle name="_051231.CTE SH.023_连轧管.报表披露(中文）package" xfId="227"/>
    <cellStyle name="_060410.MMXM.AR,stock,sales,tax updated" xfId="228"/>
    <cellStyle name="_060417.Allied.cut off" xfId="229"/>
    <cellStyle name="_060930 valin-ez" xfId="230"/>
    <cellStyle name="_060930 valin-ez_070124.valin.loudi.disclosure notes-other op" xfId="231"/>
    <cellStyle name="_060930 valin-ez_Sheet1" xfId="232"/>
    <cellStyle name="_060930 valin-ez_财务费用" xfId="233"/>
    <cellStyle name="_060930 valin-ez_存货" xfId="234"/>
    <cellStyle name="_060930 valin-ez_短期借款" xfId="235"/>
    <cellStyle name="_060930 valin-ez_货币资金" xfId="236"/>
    <cellStyle name="_060930 valin-ez_连轧管.报表披露(中文）2package" xfId="237"/>
    <cellStyle name="_060930 valin-ez_连轧管.报表披露(中文）package" xfId="238"/>
    <cellStyle name="_060930 valin-ez_请修改正副本华菱钢管合并国贸 报表披露 package" xfId="239"/>
    <cellStyle name="_060930 valin-ez_一年内到期长期负债" xfId="240"/>
    <cellStyle name="_060930 valin-ez_长期借款" xfId="241"/>
    <cellStyle name="_061118.valin.K.hardclose" xfId="242"/>
    <cellStyle name="_061118.valin-XG.O.hardclose" xfId="243"/>
    <cellStyle name="_061119.valin.Q.hardclose" xfId="244"/>
    <cellStyle name="_0612.连轧管.Q section.taxation" xfId="245"/>
    <cellStyle name="_0612.连轧管.Q section.taxation_070124.valin.loudi.disclosure notes-other op" xfId="246"/>
    <cellStyle name="_0612.连轧管.Q section.taxation_Sheet1" xfId="247"/>
    <cellStyle name="_0612.连轧管.Q section.taxation_财务费用" xfId="248"/>
    <cellStyle name="_0612.连轧管.Q section.taxation_存货" xfId="249"/>
    <cellStyle name="_0612.连轧管.Q section.taxation_短期借款" xfId="250"/>
    <cellStyle name="_0612.连轧管.Q section.taxation_货币资金" xfId="251"/>
    <cellStyle name="_0612.连轧管.Q section.taxation_连轧管.报表披露(中文）2package" xfId="252"/>
    <cellStyle name="_0612.连轧管.Q section.taxation_连轧管.报表披露(中文）package" xfId="253"/>
    <cellStyle name="_0612.连轧管.Q section.taxation_请修改正副本华菱钢管合并国贸 报表披露 package" xfId="254"/>
    <cellStyle name="_0612.连轧管.Q section.taxation_一年内到期长期负债" xfId="255"/>
    <cellStyle name="_0612.连轧管.Q section.taxation_长期借款" xfId="256"/>
    <cellStyle name="_061204.Valin Info.Spreadsheet" xfId="257"/>
    <cellStyle name="_061214.Valin.XX.sales.tax.tw" xfId="258"/>
    <cellStyle name="_061214.Valin.XX.sales.tax.tw_070124.valin.loudi.disclosure notes-other op" xfId="259"/>
    <cellStyle name="_061214.Valin.XX.sales.tax.tw_Sheet1" xfId="260"/>
    <cellStyle name="_061214.Valin.XX.sales.tax.tw_财务费用" xfId="261"/>
    <cellStyle name="_061214.Valin.XX.sales.tax.tw_存货" xfId="262"/>
    <cellStyle name="_061214.Valin.XX.sales.tax.tw_短期借款" xfId="263"/>
    <cellStyle name="_061214.Valin.XX.sales.tax.tw_货币资金" xfId="264"/>
    <cellStyle name="_061214.Valin.XX.sales.tax.tw_连轧管.报表披露(中文）2package" xfId="265"/>
    <cellStyle name="_061214.Valin.XX.sales.tax.tw_连轧管.报表披露(中文）package" xfId="266"/>
    <cellStyle name="_061214.Valin.XX.sales.tax.tw_请修改正副本华菱钢管合并国贸 报表披露 package" xfId="267"/>
    <cellStyle name="_061214.Valin.XX.sales.tax.tw_一年内到期长期负债" xfId="268"/>
    <cellStyle name="_061214.Valin.XX.sales.tax.tw_长期借款" xfId="269"/>
    <cellStyle name="_2005审计报表及附注-中国建材股份模板（房屋）" xfId="89"/>
    <cellStyle name="_2006年年报审计PBC表-XXX" xfId="90"/>
    <cellStyle name="_2006年年报审计填报资料" xfId="91"/>
    <cellStyle name="_50存货移动表" xfId="270"/>
    <cellStyle name="_Book1" xfId="92"/>
    <cellStyle name="_Disclosure" xfId="271"/>
    <cellStyle name="_Exchange rate adj" xfId="272"/>
    <cellStyle name="_exp&amp;loan Disclosure format" xfId="273"/>
    <cellStyle name="_HY exp disclousure" xfId="274"/>
    <cellStyle name="_HY exp disclousure_070124.valin.loudi.disclosure notes-other op" xfId="275"/>
    <cellStyle name="_HY exp disclousure_Sheet1" xfId="276"/>
    <cellStyle name="_HY exp disclousure_财务费用" xfId="277"/>
    <cellStyle name="_HY exp disclousure_存货" xfId="278"/>
    <cellStyle name="_HY exp disclousure_短期借款" xfId="279"/>
    <cellStyle name="_HY exp disclousure_货币资金" xfId="280"/>
    <cellStyle name="_HY exp disclousure_连轧管.报表披露(中文）2package" xfId="281"/>
    <cellStyle name="_HY exp disclousure_连轧管.报表披露(中文）package" xfId="282"/>
    <cellStyle name="_HY exp disclousure_请修改正副本华菱钢管合并国贸 报表披露 package" xfId="283"/>
    <cellStyle name="_HY exp disclousure_一年内到期长期负债" xfId="284"/>
    <cellStyle name="_HY exp disclousure_长期借款" xfId="285"/>
    <cellStyle name="_interest rate of Holding" xfId="286"/>
    <cellStyle name="_J1000-存货-ZHHG" xfId="287"/>
    <cellStyle name="_KPMG original version" xfId="288"/>
    <cellStyle name="_KPMG original version_(中企华)审计评估联合申报明细表.V1" xfId="289"/>
    <cellStyle name="_KPMG original version_附件1：审计评估联合申报明细表" xfId="290"/>
    <cellStyle name="_long term loan - others 300504" xfId="291"/>
    <cellStyle name="_long term loan - others 300504_(中企华)审计评估联合申报明细表.V1" xfId="292"/>
    <cellStyle name="_long term loan - others 300504_051231.CTE SH.023" xfId="293"/>
    <cellStyle name="_long term loan - others 300504_051231.CTE SH.023_061219..Valin.Disclosure package.ry.v2" xfId="294"/>
    <cellStyle name="_long term loan - others 300504_051231.CTE SH.023_061219..Valin.Disclosure package.ry.v2_1" xfId="295"/>
    <cellStyle name="_long term loan - others 300504_051231.CTE SH.023_061219..Valin.Disclosure package.ry.v2_Book2" xfId="296"/>
    <cellStyle name="_long term loan - others 300504_051231.CTE SH.023_070124.valin.consol.after interco elimination" xfId="297"/>
    <cellStyle name="_long term loan - others 300504_051231.CTE SH.023_2006" xfId="298"/>
    <cellStyle name="_long term loan - others 300504_051231.CTE SH.023_consol disclosure-final" xfId="299"/>
    <cellStyle name="_long term loan - others 300504_051231.CTE SH.023_非正常性损益表" xfId="300"/>
    <cellStyle name="_long term loan - others 300504_051231.CTE SH.023_连轧管.报表披露(中文）package" xfId="301"/>
    <cellStyle name="_long term loan - others 300504_070124.valin.loudi.disclosure notes-other op" xfId="302"/>
    <cellStyle name="_long term loan - others 300504_KPMG original version" xfId="303"/>
    <cellStyle name="_long term loan - others 300504_KPMG original version_(中企华)审计评估联合申报明细表.V1" xfId="304"/>
    <cellStyle name="_long term loan - others 300504_KPMG original version_附件1：审计评估联合申报明细表" xfId="305"/>
    <cellStyle name="_long term loan - others 300504_Sheet1" xfId="306"/>
    <cellStyle name="_long term loan - others 300504_Shenhua PBC package 050530" xfId="307"/>
    <cellStyle name="_long term loan - others 300504_Shenhua PBC package 050530_(中企华)审计评估联合申报明细表.V1" xfId="308"/>
    <cellStyle name="_long term loan - others 300504_Shenhua PBC package 050530_附件1：审计评估联合申报明细表" xfId="309"/>
    <cellStyle name="_long term loan - others 300504_财务费用" xfId="310"/>
    <cellStyle name="_long term loan - others 300504_存货" xfId="311"/>
    <cellStyle name="_long term loan - others 300504_短期借款" xfId="312"/>
    <cellStyle name="_long term loan - others 300504_附件1：审计评估联合申报明细表" xfId="313"/>
    <cellStyle name="_long term loan - others 300504_货币资金" xfId="314"/>
    <cellStyle name="_long term loan - others 300504_连轧管.报表披露(中文）2package" xfId="315"/>
    <cellStyle name="_long term loan - others 300504_连轧管.报表披露(中文）package" xfId="316"/>
    <cellStyle name="_long term loan - others 300504_请修改正副本华菱钢管合并国贸 报表披露 package" xfId="317"/>
    <cellStyle name="_long term loan - others 300504_审计调查表.V3" xfId="318"/>
    <cellStyle name="_long term loan - others 300504_销售科" xfId="319"/>
    <cellStyle name="_long term loan - others 300504_一年内到期长期负债" xfId="320"/>
    <cellStyle name="_long term loan - others 300504_长期借款" xfId="321"/>
    <cellStyle name="_Notes payable" xfId="322"/>
    <cellStyle name="_Part III.200406.Loan and Liabilities details.(Site Name)" xfId="323"/>
    <cellStyle name="_Part III.200406.Loan and Liabilities details.(Site Name)_(中企华)审计评估联合申报明细表.V1" xfId="324"/>
    <cellStyle name="_Part III.200406.Loan and Liabilities details.(Site Name)_051231.CTE SH.023" xfId="325"/>
    <cellStyle name="_Part III.200406.Loan and Liabilities details.(Site Name)_051231.CTE SH.023_061219..Valin.Disclosure package.ry.v2" xfId="326"/>
    <cellStyle name="_Part III.200406.Loan and Liabilities details.(Site Name)_051231.CTE SH.023_061219..Valin.Disclosure package.ry.v2_1" xfId="327"/>
    <cellStyle name="_Part III.200406.Loan and Liabilities details.(Site Name)_051231.CTE SH.023_061219..Valin.Disclosure package.ry.v2_Book2" xfId="328"/>
    <cellStyle name="_Part III.200406.Loan and Liabilities details.(Site Name)_051231.CTE SH.023_070124.valin.consol.after interco elimination" xfId="329"/>
    <cellStyle name="_Part III.200406.Loan and Liabilities details.(Site Name)_051231.CTE SH.023_2006" xfId="330"/>
    <cellStyle name="_Part III.200406.Loan and Liabilities details.(Site Name)_051231.CTE SH.023_consol disclosure-final" xfId="331"/>
    <cellStyle name="_Part III.200406.Loan and Liabilities details.(Site Name)_051231.CTE SH.023_非正常性损益表" xfId="332"/>
    <cellStyle name="_Part III.200406.Loan and Liabilities details.(Site Name)_051231.CTE SH.023_连轧管.报表披露(中文）package" xfId="333"/>
    <cellStyle name="_Part III.200406.Loan and Liabilities details.(Site Name)_070124.valin.loudi.disclosure notes-other op" xfId="334"/>
    <cellStyle name="_Part III.200406.Loan and Liabilities details.(Site Name)_KPMG original version" xfId="335"/>
    <cellStyle name="_Part III.200406.Loan and Liabilities details.(Site Name)_KPMG original version_(中企华)审计评估联合申报明细表.V1" xfId="336"/>
    <cellStyle name="_Part III.200406.Loan and Liabilities details.(Site Name)_KPMG original version_附件1：审计评估联合申报明细表" xfId="337"/>
    <cellStyle name="_Part III.200406.Loan and Liabilities details.(Site Name)_Sheet1" xfId="338"/>
    <cellStyle name="_Part III.200406.Loan and Liabilities details.(Site Name)_Shenhua PBC package 050530" xfId="339"/>
    <cellStyle name="_Part III.200406.Loan and Liabilities details.(Site Name)_Shenhua PBC package 050530_(中企华)审计评估联合申报明细表.V1" xfId="340"/>
    <cellStyle name="_Part III.200406.Loan and Liabilities details.(Site Name)_Shenhua PBC package 050530_附件1：审计评估联合申报明细表" xfId="341"/>
    <cellStyle name="_Part III.200406.Loan and Liabilities details.(Site Name)_财务费用" xfId="342"/>
    <cellStyle name="_Part III.200406.Loan and Liabilities details.(Site Name)_存货" xfId="343"/>
    <cellStyle name="_Part III.200406.Loan and Liabilities details.(Site Name)_短期借款" xfId="344"/>
    <cellStyle name="_Part III.200406.Loan and Liabilities details.(Site Name)_附件1：审计评估联合申报明细表" xfId="345"/>
    <cellStyle name="_Part III.200406.Loan and Liabilities details.(Site Name)_货币资金" xfId="346"/>
    <cellStyle name="_Part III.200406.Loan and Liabilities details.(Site Name)_连轧管.报表披露(中文）2package" xfId="347"/>
    <cellStyle name="_Part III.200406.Loan and Liabilities details.(Site Name)_连轧管.报表披露(中文）package" xfId="348"/>
    <cellStyle name="_Part III.200406.Loan and Liabilities details.(Site Name)_请修改正副本华菱钢管合并国贸 报表披露 package" xfId="349"/>
    <cellStyle name="_Part III.200406.Loan and Liabilities details.(Site Name)_审计调查表.V3" xfId="350"/>
    <cellStyle name="_Part III.200406.Loan and Liabilities details.(Site Name)_销售科" xfId="351"/>
    <cellStyle name="_Part III.200406.Loan and Liabilities details.(Site Name)_一年内到期长期负债" xfId="352"/>
    <cellStyle name="_Part III.200406.Loan and Liabilities details.(Site Name)_长期借款" xfId="353"/>
    <cellStyle name="_PBC审核提示" xfId="93"/>
    <cellStyle name="_Sheet1" xfId="354"/>
    <cellStyle name="_Sheet3" xfId="355"/>
    <cellStyle name="_Sheet5" xfId="356"/>
    <cellStyle name="_Shenhua PBC package 050530" xfId="357"/>
    <cellStyle name="_Shenhua PBC package 050530_(中企华)审计评估联合申报明细表.V1" xfId="358"/>
    <cellStyle name="_Shenhua PBC package 050530_附件1：审计评估联合申报明细表" xfId="359"/>
    <cellStyle name="_Short Bank detail-06" xfId="360"/>
    <cellStyle name="_Tax recon.v11" xfId="361"/>
    <cellStyle name="_Tax recon.v11_连轧管.报表披露(中文）package" xfId="362"/>
    <cellStyle name="_宝丽华房地产20051231" xfId="94"/>
    <cellStyle name="_保证金-企业填写部分" xfId="95"/>
    <cellStyle name="_北新房屋2004年审-刘" xfId="96"/>
    <cellStyle name="_北新股份2005年审工作底稿" xfId="97"/>
    <cellStyle name="_北新建材关连交易基础表051230（10－12月版）更新稿" xfId="98"/>
    <cellStyle name="_北新建材-会计报表附注模版" xfId="99"/>
    <cellStyle name="_北新龙之星2004年审工作底稿" xfId="100"/>
    <cellStyle name="_北新物流2005底稿-刘" xfId="101"/>
    <cellStyle name="_北新置换memo" xfId="102"/>
    <cellStyle name="_变动" xfId="363"/>
    <cellStyle name="_变动_070124.valin.loudi.disclosure notes-other op" xfId="364"/>
    <cellStyle name="_变动_Sheet1" xfId="365"/>
    <cellStyle name="_变动_财务费用" xfId="366"/>
    <cellStyle name="_变动_存货" xfId="367"/>
    <cellStyle name="_变动_短期借款" xfId="368"/>
    <cellStyle name="_变动_货币资金" xfId="369"/>
    <cellStyle name="_变动_连轧管.报表披露(中文）2package" xfId="370"/>
    <cellStyle name="_变动_连轧管.报表披露(中文）package" xfId="371"/>
    <cellStyle name="_变动_请修改正副本华菱钢管合并国贸 报表披露 package" xfId="372"/>
    <cellStyle name="_变动_一年内到期长期负债" xfId="373"/>
    <cellStyle name="_变动_长期借款" xfId="374"/>
    <cellStyle name="_补充表格" xfId="375"/>
    <cellStyle name="_财务公司" xfId="376"/>
    <cellStyle name="_存货结转测试" xfId="103"/>
    <cellStyle name="_存货数量与明细05.12" xfId="104"/>
    <cellStyle name="_动力厂2004年审工作底稿-刘" xfId="105"/>
    <cellStyle name="_分工" xfId="106"/>
    <cellStyle name="_负债、所有者权益类工作底稿" xfId="377"/>
    <cellStyle name="_附件1：审计评估联合申报明细表" xfId="378"/>
    <cellStyle name="_副本审计资料利润表附表-衡阳钢管" xfId="379"/>
    <cellStyle name="_工程施工项目现场审计提示" xfId="107"/>
    <cellStyle name="_关联交易" xfId="108"/>
    <cellStyle name="_关联交易、往来统计表" xfId="109"/>
    <cellStyle name="_光远" xfId="380"/>
    <cellStyle name="_函证表" xfId="381"/>
    <cellStyle name="_合并" xfId="382"/>
    <cellStyle name="_合并_Advance to suppliers" xfId="383"/>
    <cellStyle name="_合并_ELLEY" xfId="384"/>
    <cellStyle name="_合并_Sheet1" xfId="385"/>
    <cellStyle name="_合并底稿.xls" xfId="386"/>
    <cellStyle name="_衡管" xfId="387"/>
    <cellStyle name="_衡管_ELLEY" xfId="388"/>
    <cellStyle name="_华菱湘钢（合并）2" xfId="389"/>
    <cellStyle name="_华菱湘钢（合并）2_Book2" xfId="390"/>
    <cellStyle name="_华菱信息" xfId="391"/>
    <cellStyle name="_会计附注2007年6月（连轧管）" xfId="392"/>
    <cellStyle name="_建造合同-宜万指（正式版）" xfId="110"/>
    <cellStyle name="_科目核对表" xfId="111"/>
    <cellStyle name="_连轧管" xfId="393"/>
    <cellStyle name="_涟钢" xfId="394"/>
    <cellStyle name="_母PL" xfId="112"/>
    <cellStyle name="_内退和退休" xfId="395"/>
    <cellStyle name="_其他应付款" xfId="396"/>
    <cellStyle name="_其他应交款" xfId="397"/>
    <cellStyle name="_人员分工备忘录" xfId="113"/>
    <cellStyle name="_审计调查表.V3" xfId="398"/>
    <cellStyle name="_审计所需资料清单－子公司" xfId="114"/>
    <cellStyle name="_审计资料利润表附表" xfId="399"/>
    <cellStyle name="_审计资料利润表附表_070124.valin.loudi.disclosure notes-other op" xfId="400"/>
    <cellStyle name="_审计资料利润表附表_Sheet1" xfId="401"/>
    <cellStyle name="_审计资料利润表附表_财务费用" xfId="402"/>
    <cellStyle name="_审计资料利润表附表_存货" xfId="403"/>
    <cellStyle name="_审计资料利润表附表_短期借款" xfId="404"/>
    <cellStyle name="_审计资料利润表附表_货币资金" xfId="405"/>
    <cellStyle name="_审计资料利润表附表_连轧管.报表披露(中文）2package" xfId="406"/>
    <cellStyle name="_审计资料利润表附表_连轧管.报表披露(中文）package" xfId="407"/>
    <cellStyle name="_审计资料利润表附表_请修改正副本华菱钢管合并国贸 报表披露 package" xfId="408"/>
    <cellStyle name="_审计资料利润表附表_一年内到期长期负债" xfId="409"/>
    <cellStyle name="_审计资料利润表附表_长期借款" xfId="410"/>
    <cellStyle name="_实际可能支付的税款" xfId="411"/>
    <cellStyle name="_实际可能支付的税款_连轧管.报表披露(中文）package" xfId="412"/>
    <cellStyle name="_现金流量类" xfId="413"/>
    <cellStyle name="_湘钢" xfId="414"/>
    <cellStyle name="_一公司建造合同前5名" xfId="115"/>
    <cellStyle name="_一公司－刘丰收" xfId="116"/>
    <cellStyle name="_应交税金2005disclosure" xfId="415"/>
    <cellStyle name="_应交税金2005disclosure_连轧管.报表披露(中文）package" xfId="416"/>
    <cellStyle name="_预收账款" xfId="417"/>
    <cellStyle name="_长期借款－江阴" xfId="117"/>
    <cellStyle name="_资产负债表-注册资本12.27" xfId="418"/>
    <cellStyle name="_子公司审计提示模版-Liufs" xfId="118"/>
    <cellStyle name="_总部" xfId="419"/>
    <cellStyle name="{Comma [0]}" xfId="3"/>
    <cellStyle name="{Comma}" xfId="4"/>
    <cellStyle name="{Date}" xfId="5"/>
    <cellStyle name="{Month}" xfId="6"/>
    <cellStyle name="{Percent}" xfId="7"/>
    <cellStyle name="{Thousand [0]}" xfId="8"/>
    <cellStyle name="{Thousand}" xfId="9"/>
    <cellStyle name="{Z'0000(1 dec)}" xfId="10"/>
    <cellStyle name="{Z'0000(4 dec)}" xfId="11"/>
    <cellStyle name="0%" xfId="119"/>
    <cellStyle name="0,0_x000d__x000a_NA_x000d__x000a_" xfId="12"/>
    <cellStyle name="0,0_x000d__x000a_NA_x000d__x000a_ 2" xfId="420"/>
    <cellStyle name="0.0%" xfId="120"/>
    <cellStyle name="0.00%" xfId="121"/>
    <cellStyle name="20% - Accent1" xfId="421"/>
    <cellStyle name="20% - Accent2" xfId="422"/>
    <cellStyle name="20% - Accent3" xfId="423"/>
    <cellStyle name="20% - Accent4" xfId="424"/>
    <cellStyle name="20% - Accent5" xfId="425"/>
    <cellStyle name="20% - Accent6" xfId="426"/>
    <cellStyle name="40% - Accent1" xfId="427"/>
    <cellStyle name="40% - Accent2" xfId="428"/>
    <cellStyle name="40% - Accent3" xfId="429"/>
    <cellStyle name="40% - Accent4" xfId="430"/>
    <cellStyle name="40% - Accent5" xfId="431"/>
    <cellStyle name="40% - Accent6" xfId="432"/>
    <cellStyle name="60% - Accent1" xfId="433"/>
    <cellStyle name="60% - Accent2" xfId="434"/>
    <cellStyle name="60% - Accent3" xfId="435"/>
    <cellStyle name="60% - Accent4" xfId="436"/>
    <cellStyle name="60% - Accent5" xfId="437"/>
    <cellStyle name="60% - Accent6" xfId="438"/>
    <cellStyle name="A4 Small 210 x 297 mm" xfId="439"/>
    <cellStyle name="Accent1" xfId="440"/>
    <cellStyle name="Accent2" xfId="441"/>
    <cellStyle name="Accent3" xfId="442"/>
    <cellStyle name="Accent4" xfId="443"/>
    <cellStyle name="Accent5" xfId="444"/>
    <cellStyle name="Accent6" xfId="445"/>
    <cellStyle name="Bad" xfId="446"/>
    <cellStyle name="Black" xfId="13"/>
    <cellStyle name="Body" xfId="447"/>
    <cellStyle name="Border" xfId="14"/>
    <cellStyle name="Calc Currency (0)" xfId="122"/>
    <cellStyle name="Calc Currency (2)" xfId="448"/>
    <cellStyle name="Calc Percent (0)" xfId="449"/>
    <cellStyle name="Calc Percent (1)" xfId="450"/>
    <cellStyle name="Calc Percent (2)" xfId="451"/>
    <cellStyle name="Calc Units (0)" xfId="452"/>
    <cellStyle name="Calc Units (1)" xfId="453"/>
    <cellStyle name="Calc Units (2)" xfId="454"/>
    <cellStyle name="Calculation" xfId="455"/>
    <cellStyle name="category" xfId="456"/>
    <cellStyle name="Change A&amp;ll" xfId="457"/>
    <cellStyle name="Check Cell" xfId="458"/>
    <cellStyle name="Col Heads" xfId="123"/>
    <cellStyle name="Column Headings" xfId="459"/>
    <cellStyle name="Column$Headings" xfId="460"/>
    <cellStyle name="Column_Title" xfId="124"/>
    <cellStyle name="Comma  - Style1" xfId="125"/>
    <cellStyle name="Comma  - Style2" xfId="126"/>
    <cellStyle name="Comma  - Style3" xfId="127"/>
    <cellStyle name="Comma  - Style4" xfId="128"/>
    <cellStyle name="Comma  - Style5" xfId="129"/>
    <cellStyle name="Comma  - Style6" xfId="130"/>
    <cellStyle name="Comma  - Style7" xfId="131"/>
    <cellStyle name="Comma  - Style8" xfId="132"/>
    <cellStyle name="Comma [0]_ rislugp" xfId="133"/>
    <cellStyle name="Comma [00]" xfId="461"/>
    <cellStyle name="Comma 28" xfId="462"/>
    <cellStyle name="comma zerodec" xfId="463"/>
    <cellStyle name="Comma,0" xfId="134"/>
    <cellStyle name="Comma,1" xfId="135"/>
    <cellStyle name="Comma,2" xfId="136"/>
    <cellStyle name="Comma_ rislugp" xfId="137"/>
    <cellStyle name="comma-d" xfId="464"/>
    <cellStyle name="Currency [0]_ rislugp" xfId="138"/>
    <cellStyle name="Currency [00]" xfId="465"/>
    <cellStyle name="Currency,0" xfId="139"/>
    <cellStyle name="Currency,2" xfId="140"/>
    <cellStyle name="Currency_ rislugp" xfId="141"/>
    <cellStyle name="Currency1" xfId="466"/>
    <cellStyle name="Date" xfId="467"/>
    <cellStyle name="Date Short" xfId="468"/>
    <cellStyle name="Dezimal [0]_laroux" xfId="15"/>
    <cellStyle name="Dezimal_laroux" xfId="16"/>
    <cellStyle name="Dollar (zero dec)" xfId="469"/>
    <cellStyle name="e" xfId="470"/>
    <cellStyle name="Enter Currency (0)" xfId="471"/>
    <cellStyle name="Enter Currency (2)" xfId="472"/>
    <cellStyle name="Enter Units (0)" xfId="473"/>
    <cellStyle name="Enter Units (1)" xfId="474"/>
    <cellStyle name="Enter Units (2)" xfId="475"/>
    <cellStyle name="entry" xfId="142"/>
    <cellStyle name="entry box" xfId="143"/>
    <cellStyle name="Euro" xfId="17"/>
    <cellStyle name="Explanatory Text" xfId="476"/>
    <cellStyle name="e鯪" xfId="477"/>
    <cellStyle name="e鯪9" xfId="478"/>
    <cellStyle name="e鯪9Y" xfId="479"/>
    <cellStyle name="e鯪9Y_x000b_" xfId="480"/>
    <cellStyle name="e鯪9Y_061219..Valin.Disclosure package.ry.v2" xfId="481"/>
    <cellStyle name="Fixed" xfId="482"/>
    <cellStyle name="Followed Hyperlink_AheadBehind.xls Chart 23" xfId="18"/>
    <cellStyle name="Format Number Column" xfId="483"/>
    <cellStyle name="gcd" xfId="484"/>
    <cellStyle name="Good" xfId="485"/>
    <cellStyle name="Grey" xfId="19"/>
    <cellStyle name="HEADER" xfId="486"/>
    <cellStyle name="Header1" xfId="144"/>
    <cellStyle name="Header2" xfId="145"/>
    <cellStyle name="Heading" xfId="146"/>
    <cellStyle name="Heading 1" xfId="487"/>
    <cellStyle name="Heading 2" xfId="488"/>
    <cellStyle name="Heading 3" xfId="489"/>
    <cellStyle name="Heading 4" xfId="490"/>
    <cellStyle name="HEADING1" xfId="491"/>
    <cellStyle name="HEADING2" xfId="492"/>
    <cellStyle name="Hyperlink_071231 Valin disclosure-equity" xfId="493"/>
    <cellStyle name="Input" xfId="494"/>
    <cellStyle name="Input [yellow]" xfId="20"/>
    <cellStyle name="InputArea" xfId="495"/>
    <cellStyle name="KPMG Heading 1" xfId="496"/>
    <cellStyle name="KPMG Heading 2" xfId="497"/>
    <cellStyle name="KPMG Heading 3" xfId="498"/>
    <cellStyle name="KPMG Heading 4" xfId="499"/>
    <cellStyle name="KPMG Normal" xfId="500"/>
    <cellStyle name="KPMG Normal Text" xfId="501"/>
    <cellStyle name="l]_x000d__x000a_Path=h:_x000d__x000a_Name=Diana Chang_x000d__x000a_DDEApps=nsf,nsg,nsh,ntf,ns2,ors,org_x000d__x000a_SmartIcons=Read Message_x000d__x000a__x000d__x000a__x000d__x000a_[cc:Edit" xfId="502"/>
    <cellStyle name="left" xfId="147"/>
    <cellStyle name="Lines Fill" xfId="503"/>
    <cellStyle name="Link Currency (0)" xfId="504"/>
    <cellStyle name="Link Currency (2)" xfId="505"/>
    <cellStyle name="Link Units (0)" xfId="506"/>
    <cellStyle name="Link Units (1)" xfId="507"/>
    <cellStyle name="Link Units (2)" xfId="508"/>
    <cellStyle name="Linked Cell" xfId="509"/>
    <cellStyle name="Millares [0]_laroux" xfId="148"/>
    <cellStyle name="Millares_laroux" xfId="149"/>
    <cellStyle name="Milliers [0]_laroux" xfId="21"/>
    <cellStyle name="Milliers_laroux" xfId="22"/>
    <cellStyle name="Model" xfId="510"/>
    <cellStyle name="Moeda [0]_aola" xfId="511"/>
    <cellStyle name="Moeda_aola" xfId="512"/>
    <cellStyle name="Moneda [0]_laroux" xfId="150"/>
    <cellStyle name="Moneda_laroux" xfId="151"/>
    <cellStyle name="Mon閠aire [0]_laroux" xfId="152"/>
    <cellStyle name="Mon閠aire_laroux" xfId="153"/>
    <cellStyle name="Neutral" xfId="513"/>
    <cellStyle name="no dec" xfId="154"/>
    <cellStyle name="Non défini" xfId="23"/>
    <cellStyle name="Normal - Style1" xfId="24"/>
    <cellStyle name="Normal - Style1 2" xfId="514"/>
    <cellStyle name="Normal - Style1 3" xfId="515"/>
    <cellStyle name="Normal 2" xfId="35"/>
    <cellStyle name="Normal 21" xfId="516"/>
    <cellStyle name="Normal 3 2" xfId="34"/>
    <cellStyle name="Normal_ rislugp" xfId="155"/>
    <cellStyle name="Normalny_Arkusz1" xfId="156"/>
    <cellStyle name="Note" xfId="517"/>
    <cellStyle name="Output" xfId="518"/>
    <cellStyle name="Output Amounts" xfId="519"/>
    <cellStyle name="Output Column Headings" xfId="520"/>
    <cellStyle name="Output Line Items" xfId="521"/>
    <cellStyle name="Output Report Heading" xfId="522"/>
    <cellStyle name="Output Report Title" xfId="523"/>
    <cellStyle name="Percent (0)" xfId="157"/>
    <cellStyle name="Percent [0]" xfId="524"/>
    <cellStyle name="Percent [00]" xfId="525"/>
    <cellStyle name="Percent [2]" xfId="25"/>
    <cellStyle name="Percent_PICC package Sept2002 (V120021005)1" xfId="526"/>
    <cellStyle name="Prefilled" xfId="158"/>
    <cellStyle name="PrePop Currency (0)" xfId="527"/>
    <cellStyle name="PrePop Currency (2)" xfId="528"/>
    <cellStyle name="PrePop Units (0)" xfId="529"/>
    <cellStyle name="PrePop Units (1)" xfId="530"/>
    <cellStyle name="PrePop Units (2)" xfId="531"/>
    <cellStyle name="price" xfId="159"/>
    <cellStyle name="PSDec" xfId="532"/>
    <cellStyle name="Red" xfId="26"/>
    <cellStyle name="revised" xfId="160"/>
    <cellStyle name="row_def_array" xfId="594"/>
    <cellStyle name="section" xfId="161"/>
    <cellStyle name="Separador de milhares [0]_Person" xfId="533"/>
    <cellStyle name="Separador de milhares_Person" xfId="534"/>
    <cellStyle name="Sheet Head" xfId="535"/>
    <cellStyle name="SOR" xfId="536"/>
    <cellStyle name="style" xfId="162"/>
    <cellStyle name="style1" xfId="163"/>
    <cellStyle name="style2" xfId="164"/>
    <cellStyle name="subhead" xfId="537"/>
    <cellStyle name="t]_x000d__x000a_color schemes=默认 Windows_x000d__x000a__x000d__x000a_[color schemes]_x000d__x000a_Arizona=804000,FFFFFF,FFFFFF,0,FFFFFF,0,808040,C0C0C0,FFFFF" xfId="538"/>
    <cellStyle name="Text Indent A" xfId="539"/>
    <cellStyle name="Text Indent B" xfId="540"/>
    <cellStyle name="Text Indent C" xfId="541"/>
    <cellStyle name="Tickmark" xfId="165"/>
    <cellStyle name="title" xfId="166"/>
    <cellStyle name="Total" xfId="542"/>
    <cellStyle name="Tusental (0)_pldt" xfId="543"/>
    <cellStyle name="Tusental_pldt" xfId="544"/>
    <cellStyle name="Valuta (0)_pldt" xfId="545"/>
    <cellStyle name="Valuta_pldt" xfId="546"/>
    <cellStyle name="Warning Text" xfId="547"/>
    <cellStyle name="wrap" xfId="167"/>
    <cellStyle name="パーセント_laroux" xfId="168"/>
    <cellStyle name="_PLDT" xfId="548"/>
    <cellStyle name="_laroux" xfId="595"/>
    <cellStyle name="だ[0]_PLDT" xfId="549"/>
    <cellStyle name="だ_PLDT" xfId="550"/>
    <cellStyle name="だ[0]_Total (2)" xfId="551"/>
    <cellStyle name="だ_laroux" xfId="596"/>
    <cellStyle name="百分比 2" xfId="552"/>
    <cellStyle name="百分比 2 2" xfId="553"/>
    <cellStyle name="百分比 2 3" xfId="554"/>
    <cellStyle name="百分比 3" xfId="555"/>
    <cellStyle name="百分比 4" xfId="556"/>
    <cellStyle name="百分比 5" xfId="618"/>
    <cellStyle name="捠壿 [0.00]_PRODUCT DETAIL Q1" xfId="597"/>
    <cellStyle name="捠壿_PRODUCT DETAIL Q1" xfId="598"/>
    <cellStyle name="標準_１１月価格表" xfId="169"/>
    <cellStyle name="表头" xfId="557"/>
    <cellStyle name="表头1" xfId="558"/>
    <cellStyle name="差_StartUp" xfId="599"/>
    <cellStyle name="差_T1000-主营业务收入-LJCH" xfId="559"/>
    <cellStyle name="常规" xfId="0" builtinId="0"/>
    <cellStyle name="常规 10" xfId="36"/>
    <cellStyle name="常规 10 2" xfId="37"/>
    <cellStyle name="常规 10 3" xfId="38"/>
    <cellStyle name="常规 10 4" xfId="39"/>
    <cellStyle name="常规 104" xfId="620"/>
    <cellStyle name="常规 11" xfId="84"/>
    <cellStyle name="常规 11 2" xfId="40"/>
    <cellStyle name="常规 11 3" xfId="41"/>
    <cellStyle name="常规 11 4" xfId="42"/>
    <cellStyle name="常规 11 5" xfId="610"/>
    <cellStyle name="常规 12" xfId="614"/>
    <cellStyle name="常规 12 2" xfId="43"/>
    <cellStyle name="常规 12 3" xfId="44"/>
    <cellStyle name="常规 12 4" xfId="45"/>
    <cellStyle name="常规 13" xfId="616"/>
    <cellStyle name="常规 13 2" xfId="46"/>
    <cellStyle name="常规 13 3" xfId="47"/>
    <cellStyle name="常规 13 4" xfId="48"/>
    <cellStyle name="常规 14" xfId="560"/>
    <cellStyle name="常规 14 2" xfId="561"/>
    <cellStyle name="常规 2" xfId="27"/>
    <cellStyle name="常规 2 2" xfId="49"/>
    <cellStyle name="常规 2 2 2" xfId="562"/>
    <cellStyle name="常规 2 2 2 2" xfId="563"/>
    <cellStyle name="常规 2 2 3" xfId="611"/>
    <cellStyle name="常规 2 3" xfId="50"/>
    <cellStyle name="常规 2 4" xfId="51"/>
    <cellStyle name="常规 2 4 2" xfId="564"/>
    <cellStyle name="常规 2 5" xfId="52"/>
    <cellStyle name="常规 2 6" xfId="53"/>
    <cellStyle name="常规 2 7" xfId="187"/>
    <cellStyle name="常规 2 8" xfId="609"/>
    <cellStyle name="常规 2 9" xfId="613"/>
    <cellStyle name="常规 2_经销商信息-1-原始表" xfId="54"/>
    <cellStyle name="常规 3" xfId="55"/>
    <cellStyle name="常规 3 2" xfId="56"/>
    <cellStyle name="常规 3 2 2" xfId="565"/>
    <cellStyle name="常规 3 3" xfId="57"/>
    <cellStyle name="常规 3 4" xfId="58"/>
    <cellStyle name="常规 3 5" xfId="85"/>
    <cellStyle name="常规 4" xfId="59"/>
    <cellStyle name="常规 4 2" xfId="60"/>
    <cellStyle name="常规 4 3" xfId="61"/>
    <cellStyle name="常规 4 4" xfId="62"/>
    <cellStyle name="常规 5" xfId="63"/>
    <cellStyle name="常规 5 2" xfId="64"/>
    <cellStyle name="常规 5 3" xfId="65"/>
    <cellStyle name="常规 5 4" xfId="66"/>
    <cellStyle name="常规 6" xfId="67"/>
    <cellStyle name="常规 6 2" xfId="68"/>
    <cellStyle name="常规 6 3" xfId="69"/>
    <cellStyle name="常规 6 4" xfId="70"/>
    <cellStyle name="常规 7" xfId="71"/>
    <cellStyle name="常规 7 2" xfId="72"/>
    <cellStyle name="常规 7 3" xfId="73"/>
    <cellStyle name="常规 7 4" xfId="74"/>
    <cellStyle name="常规 8" xfId="75"/>
    <cellStyle name="常规 8 2" xfId="76"/>
    <cellStyle name="常规 8 3" xfId="77"/>
    <cellStyle name="常规 8 4" xfId="78"/>
    <cellStyle name="常规 9" xfId="79"/>
    <cellStyle name="常规 9 2" xfId="80"/>
    <cellStyle name="常规 9 3" xfId="81"/>
    <cellStyle name="常规 9 4" xfId="82"/>
    <cellStyle name="常规_Book1" xfId="28"/>
    <cellStyle name="常规_进一步审计程序--销售与收款循环" xfId="29"/>
    <cellStyle name="常规_模板 2" xfId="619"/>
    <cellStyle name="常规_制造费用" xfId="30"/>
    <cellStyle name="超级链接_B4-1审计项目工时预算与控制表(集团)" xfId="170"/>
    <cellStyle name="超链接" xfId="31" builtinId="8"/>
    <cellStyle name="超链接 2" xfId="171"/>
    <cellStyle name="超链接 2 2" xfId="172"/>
    <cellStyle name="超链接 3" xfId="566"/>
    <cellStyle name="超链接 4" xfId="567"/>
    <cellStyle name="超链接 4 2" xfId="568"/>
    <cellStyle name="分级显示列_1_Book1" xfId="569"/>
    <cellStyle name="分级显示行_1_4附件二凯旋评估表" xfId="173"/>
    <cellStyle name="公司标准表" xfId="570"/>
    <cellStyle name="好_StartUp" xfId="600"/>
    <cellStyle name="好_T1000-主营业务收入" xfId="571"/>
    <cellStyle name="桁区切り [0.00]_１１月価格表" xfId="174"/>
    <cellStyle name="桁区切り_１１月価格表" xfId="175"/>
    <cellStyle name="貨幣 [0]_SGV" xfId="572"/>
    <cellStyle name="貨幣_2004-09" xfId="573"/>
    <cellStyle name="霓付 [0]_1202" xfId="601"/>
    <cellStyle name="霓付_1202" xfId="602"/>
    <cellStyle name="烹拳 [0]_1202" xfId="603"/>
    <cellStyle name="烹拳_1202" xfId="604"/>
    <cellStyle name="砯刽 [0]_PLDT" xfId="574"/>
    <cellStyle name="砯刽_PLDT" xfId="575"/>
    <cellStyle name="普通_ 白土" xfId="176"/>
    <cellStyle name="千分位[0]_ 白土" xfId="177"/>
    <cellStyle name="千分位_ 白土" xfId="178"/>
    <cellStyle name="千位[0]_ 应交税金审定表" xfId="576"/>
    <cellStyle name="千位_ 应交税金审定表" xfId="577"/>
    <cellStyle name="千位分隔" xfId="32" builtinId="3"/>
    <cellStyle name="千位分隔 10" xfId="578"/>
    <cellStyle name="千位分隔 11" xfId="579"/>
    <cellStyle name="千位分隔 12" xfId="612"/>
    <cellStyle name="千位分隔 13" xfId="617"/>
    <cellStyle name="千位分隔 2" xfId="33"/>
    <cellStyle name="千位分隔 2 2" xfId="83"/>
    <cellStyle name="千位分隔 2 3" xfId="188"/>
    <cellStyle name="千位分隔 2 4" xfId="615"/>
    <cellStyle name="千位分隔 3" xfId="580"/>
    <cellStyle name="千位分隔 4" xfId="581"/>
    <cellStyle name="千位分隔 5" xfId="582"/>
    <cellStyle name="千位分隔 6" xfId="583"/>
    <cellStyle name="千位分隔 7" xfId="584"/>
    <cellStyle name="千位分隔 8" xfId="585"/>
    <cellStyle name="千位分隔 8 2" xfId="586"/>
    <cellStyle name="千位分隔 8 3" xfId="587"/>
    <cellStyle name="千位分隔 9" xfId="588"/>
    <cellStyle name="千位分隔[0] 2" xfId="589"/>
    <cellStyle name="钎霖_(沥焊何巩)岿喊牢盔拌裙" xfId="605"/>
    <cellStyle name="隨後的超連結_Book4" xfId="590"/>
    <cellStyle name="索引" xfId="591"/>
    <cellStyle name="通貨 [0.00]_１１月価格表" xfId="179"/>
    <cellStyle name="通貨_１１月価格表" xfId="180"/>
    <cellStyle name="样式 1" xfId="181"/>
    <cellStyle name="样式 2" xfId="592"/>
    <cellStyle name="一般_BTG307" xfId="593"/>
    <cellStyle name="昗弨_BOOKSHIP" xfId="606"/>
    <cellStyle name="寘嬫愗傝 [0.00]_PRODUCT DETAIL Q1" xfId="607"/>
    <cellStyle name="寘嬫愗傝_PRODUCT DETAIL Q1" xfId="608"/>
    <cellStyle name="콤마 [0]_BOILER-CO1" xfId="182"/>
    <cellStyle name="콤마_BOILER-CO1" xfId="183"/>
    <cellStyle name="통화 [0]_BOILER-CO1" xfId="184"/>
    <cellStyle name="통화_BOILER-CO1" xfId="185"/>
    <cellStyle name="표준_0N-HANDLING " xfId="186"/>
  </cellStyles>
  <dxfs count="0"/>
  <tableStyles count="0" defaultTableStyle="TableStyleMedium9" defaultPivotStyle="PivotStyleLight16"/>
  <colors>
    <mruColors>
      <color rgb="FF0000FF"/>
      <color rgb="FF3333FF"/>
      <color rgb="FF99FF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4"/>
  <sheetViews>
    <sheetView tabSelected="1" workbookViewId="0">
      <selection activeCell="A3" sqref="A3"/>
    </sheetView>
  </sheetViews>
  <sheetFormatPr defaultColWidth="9" defaultRowHeight="18" customHeight="1"/>
  <cols>
    <col min="1" max="1" width="78.09765625" style="3" customWidth="1"/>
    <col min="2" max="2" width="2" style="3" customWidth="1"/>
    <col min="3" max="3" width="2.09765625" style="3" customWidth="1"/>
    <col min="4" max="4" width="6.09765625" style="33" customWidth="1"/>
    <col min="5" max="5" width="46" style="33" customWidth="1"/>
    <col min="6" max="6" width="12.296875" style="33" customWidth="1"/>
    <col min="7" max="16384" width="9" style="3"/>
  </cols>
  <sheetData>
    <row r="1" spans="1:6" ht="18" customHeight="1">
      <c r="A1" s="1" t="s">
        <v>194</v>
      </c>
    </row>
    <row r="2" spans="1:6" ht="18" customHeight="1">
      <c r="A2" s="128" t="s">
        <v>200</v>
      </c>
      <c r="B2" s="34"/>
      <c r="C2" s="34"/>
      <c r="D2" s="2" t="s">
        <v>1</v>
      </c>
      <c r="E2" s="2" t="s">
        <v>27</v>
      </c>
      <c r="F2" s="62" t="s">
        <v>41</v>
      </c>
    </row>
    <row r="3" spans="1:6" ht="18" customHeight="1">
      <c r="A3" s="144" t="s">
        <v>205</v>
      </c>
      <c r="B3" s="34"/>
      <c r="C3" s="34"/>
      <c r="D3" s="59">
        <v>1</v>
      </c>
      <c r="E3" s="139" t="s">
        <v>137</v>
      </c>
      <c r="F3" s="129" t="s">
        <v>145</v>
      </c>
    </row>
    <row r="4" spans="1:6" ht="18" customHeight="1">
      <c r="A4" s="142" t="s">
        <v>201</v>
      </c>
      <c r="B4" s="34"/>
      <c r="C4" s="34"/>
      <c r="D4" s="59">
        <v>2</v>
      </c>
      <c r="E4" s="139" t="s">
        <v>138</v>
      </c>
      <c r="F4" s="129" t="s">
        <v>146</v>
      </c>
    </row>
    <row r="5" spans="1:6" ht="18" customHeight="1">
      <c r="A5" s="142" t="s">
        <v>202</v>
      </c>
      <c r="B5" s="35"/>
      <c r="C5" s="35"/>
      <c r="D5" s="59">
        <v>3</v>
      </c>
      <c r="E5" s="139" t="s">
        <v>139</v>
      </c>
      <c r="F5" s="129" t="s">
        <v>195</v>
      </c>
    </row>
    <row r="6" spans="1:6" ht="18" customHeight="1">
      <c r="A6" s="142" t="s">
        <v>203</v>
      </c>
      <c r="D6" s="59">
        <v>4</v>
      </c>
      <c r="E6" s="139" t="s">
        <v>140</v>
      </c>
      <c r="F6" s="129" t="s">
        <v>147</v>
      </c>
    </row>
    <row r="7" spans="1:6" ht="18" customHeight="1">
      <c r="A7" s="142" t="s">
        <v>204</v>
      </c>
      <c r="D7" s="59">
        <v>5</v>
      </c>
      <c r="E7" s="139" t="s">
        <v>142</v>
      </c>
      <c r="F7" s="129" t="s">
        <v>148</v>
      </c>
    </row>
    <row r="8" spans="1:6" ht="18" customHeight="1">
      <c r="A8" s="36"/>
      <c r="D8" s="59">
        <v>6</v>
      </c>
      <c r="E8" s="139" t="s">
        <v>143</v>
      </c>
      <c r="F8" s="129" t="s">
        <v>149</v>
      </c>
    </row>
    <row r="9" spans="1:6" ht="18" customHeight="1">
      <c r="D9" s="59">
        <v>7</v>
      </c>
      <c r="E9" s="139" t="s">
        <v>144</v>
      </c>
      <c r="F9" s="129" t="s">
        <v>150</v>
      </c>
    </row>
    <row r="10" spans="1:6" ht="20.25" customHeight="1">
      <c r="A10" s="37"/>
      <c r="D10" s="59"/>
      <c r="E10" s="60"/>
      <c r="F10" s="129"/>
    </row>
    <row r="11" spans="1:6" ht="19.5" customHeight="1">
      <c r="A11" s="36"/>
    </row>
    <row r="12" spans="1:6" ht="19.5" customHeight="1">
      <c r="A12" s="38"/>
    </row>
    <row r="13" spans="1:6" ht="19.5" customHeight="1">
      <c r="A13" s="36"/>
    </row>
    <row r="14" spans="1:6" ht="19.5" customHeight="1">
      <c r="A14" s="38"/>
    </row>
    <row r="15" spans="1:6" ht="19.5" customHeight="1">
      <c r="A15" s="39"/>
    </row>
    <row r="16" spans="1:6" ht="19.5" customHeight="1">
      <c r="A16" s="39"/>
    </row>
    <row r="17" spans="1:1" ht="19.5" customHeight="1">
      <c r="A17" s="36"/>
    </row>
    <row r="18" spans="1:1" ht="15.6">
      <c r="A18" s="40"/>
    </row>
    <row r="19" spans="1:1" ht="19.5" customHeight="1">
      <c r="A19" s="36"/>
    </row>
    <row r="20" spans="1:1" ht="19.5" customHeight="1">
      <c r="A20" s="36"/>
    </row>
    <row r="21" spans="1:1" ht="19.5" customHeight="1">
      <c r="A21" s="36"/>
    </row>
    <row r="22" spans="1:1" ht="17.25" customHeight="1">
      <c r="A22" s="38"/>
    </row>
    <row r="23" spans="1:1" ht="19.5" customHeight="1">
      <c r="A23" s="41"/>
    </row>
    <row r="24" spans="1:1" ht="19.5" customHeight="1"/>
  </sheetData>
  <phoneticPr fontId="14" type="noConversion"/>
  <hyperlinks>
    <hyperlink ref="E3" location="'截止测试-入库（记账凭证至原始凭证）F2-29'!A1" display="存货截止测试-入库（从记账凭证至原始凭证）"/>
    <hyperlink ref="E5" location="'截止测试-出库（记账凭证至原始凭证）F2-31'!A1" display="存货截止测试-出库（记账凭证至原始凭证）"/>
    <hyperlink ref="E4" location="'截止测试-入库（原始凭证至记账凭证）F2-30'!A1" display="存货截止测试-入库（从原始凭证至记账凭证）"/>
    <hyperlink ref="E6" location="'截止测试-出库（原始凭证至记账凭证）F2-32'!A1" display="存货截止测试-出库（原始凭证至记账凭证）"/>
    <hyperlink ref="E7" location="'存货采购入库检查表G2-33-新增'!A1" display="存货采购入库检查表"/>
    <hyperlink ref="E8" location="'材料领用检查表F2-34-新增'!A1" display="材料领用检查表"/>
    <hyperlink ref="E9" location="'委托加工物资核查表F2-35'!A1" display="委托加工物资核查表"/>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8"/>
  <sheetViews>
    <sheetView workbookViewId="0"/>
  </sheetViews>
  <sheetFormatPr defaultRowHeight="15.6"/>
  <sheetData>
    <row r="1" spans="1:2">
      <c r="A1" t="s">
        <v>11</v>
      </c>
      <c r="B1" t="s">
        <v>12</v>
      </c>
    </row>
    <row r="2" spans="1:2">
      <c r="A2" t="s">
        <v>13</v>
      </c>
      <c r="B2" t="s">
        <v>14</v>
      </c>
    </row>
    <row r="3" spans="1:2">
      <c r="A3" t="s">
        <v>15</v>
      </c>
      <c r="B3" t="s">
        <v>16</v>
      </c>
    </row>
    <row r="4" spans="1:2">
      <c r="A4" t="s">
        <v>17</v>
      </c>
      <c r="B4" t="s">
        <v>18</v>
      </c>
    </row>
    <row r="5" spans="1:2">
      <c r="A5" t="s">
        <v>19</v>
      </c>
      <c r="B5" t="s">
        <v>20</v>
      </c>
    </row>
    <row r="6" spans="1:2">
      <c r="A6" t="s">
        <v>21</v>
      </c>
      <c r="B6" t="s">
        <v>22</v>
      </c>
    </row>
    <row r="7" spans="1:2">
      <c r="A7" t="s">
        <v>23</v>
      </c>
      <c r="B7" t="s">
        <v>24</v>
      </c>
    </row>
    <row r="8" spans="1:2">
      <c r="A8" t="s">
        <v>25</v>
      </c>
      <c r="B8" t="s">
        <v>26</v>
      </c>
    </row>
  </sheetData>
  <phoneticPr fontId="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O57"/>
  <sheetViews>
    <sheetView view="pageBreakPreview" topLeftCell="A37" zoomScale="96" zoomScaleNormal="145" zoomScaleSheetLayoutView="96" workbookViewId="0">
      <selection sqref="A1:L1"/>
    </sheetView>
  </sheetViews>
  <sheetFormatPr defaultColWidth="9" defaultRowHeight="13.8"/>
  <cols>
    <col min="1" max="1" width="10" style="13" customWidth="1"/>
    <col min="2" max="2" width="10.8984375" style="13" customWidth="1"/>
    <col min="3" max="3" width="21.5" style="13" customWidth="1"/>
    <col min="4" max="4" width="10.8984375" style="13" customWidth="1"/>
    <col min="5" max="5" width="11.296875" style="13" customWidth="1"/>
    <col min="6" max="6" width="12.09765625" style="13" customWidth="1"/>
    <col min="7" max="7" width="10.5" style="13" customWidth="1"/>
    <col min="8" max="11" width="8.69921875" style="13" customWidth="1"/>
    <col min="12" max="12" width="7.5" style="13" customWidth="1"/>
    <col min="13" max="16384" width="9" style="13"/>
  </cols>
  <sheetData>
    <row r="1" spans="1:12" s="54" customFormat="1" ht="19.95" customHeight="1">
      <c r="A1" s="157" t="s">
        <v>28</v>
      </c>
      <c r="B1" s="158"/>
      <c r="C1" s="158"/>
      <c r="D1" s="158"/>
      <c r="E1" s="158"/>
      <c r="F1" s="158"/>
      <c r="G1" s="158"/>
      <c r="H1" s="158"/>
      <c r="I1" s="158"/>
      <c r="J1" s="158"/>
      <c r="K1" s="158"/>
      <c r="L1" s="158"/>
    </row>
    <row r="2" spans="1:12" s="55" customFormat="1" ht="19.95" customHeight="1">
      <c r="A2" s="159" t="s">
        <v>151</v>
      </c>
      <c r="B2" s="160"/>
      <c r="C2" s="160"/>
      <c r="D2" s="160"/>
      <c r="E2" s="160"/>
      <c r="F2" s="160"/>
      <c r="G2" s="160"/>
      <c r="H2" s="160"/>
      <c r="I2" s="160"/>
      <c r="J2" s="160"/>
      <c r="K2" s="160"/>
      <c r="L2" s="160"/>
    </row>
    <row r="3" spans="1:12" ht="19.95" customHeight="1">
      <c r="A3" s="13" t="str">
        <f>底稿目录!A2</f>
        <v>被审计单位：</v>
      </c>
      <c r="B3" s="27"/>
      <c r="E3" s="13" t="str">
        <f>底稿目录!A4</f>
        <v>编制人：</v>
      </c>
      <c r="G3" s="13" t="str">
        <f>底稿目录!A5</f>
        <v>编制日期：</v>
      </c>
      <c r="K3" s="23" t="s">
        <v>3</v>
      </c>
      <c r="L3" s="138" t="str">
        <f>底稿目录!F3</f>
        <v>F2-29</v>
      </c>
    </row>
    <row r="4" spans="1:12" ht="19.95" customHeight="1">
      <c r="A4" s="13" t="str">
        <f>底稿目录!A3</f>
        <v>截止日：202X年12月31日</v>
      </c>
      <c r="B4" s="27"/>
      <c r="E4" s="23" t="str">
        <f>底稿目录!A6</f>
        <v>复核人：</v>
      </c>
      <c r="G4" s="23" t="str">
        <f>底稿目录!A7</f>
        <v>复核日期：</v>
      </c>
      <c r="H4" s="23"/>
      <c r="I4" s="23"/>
      <c r="K4" s="23" t="s">
        <v>29</v>
      </c>
    </row>
    <row r="5" spans="1:12" s="5" customFormat="1" ht="19.95" customHeight="1">
      <c r="A5" s="21" t="s">
        <v>70</v>
      </c>
      <c r="B5" s="9"/>
      <c r="C5" s="9"/>
      <c r="D5" s="9"/>
      <c r="E5" s="9"/>
      <c r="F5" s="9"/>
      <c r="G5" s="9"/>
      <c r="H5" s="9"/>
      <c r="I5" s="9"/>
      <c r="J5" s="9"/>
      <c r="K5" s="9"/>
      <c r="L5" s="9"/>
    </row>
    <row r="6" spans="1:12" s="5" customFormat="1" ht="19.95" customHeight="1">
      <c r="A6" s="20" t="s">
        <v>76</v>
      </c>
      <c r="B6" s="64"/>
      <c r="C6" s="20"/>
      <c r="D6" s="20"/>
      <c r="E6" s="20"/>
      <c r="F6" s="20"/>
      <c r="G6" s="20"/>
      <c r="H6" s="20"/>
      <c r="I6" s="20"/>
      <c r="J6" s="20"/>
      <c r="K6" s="20"/>
      <c r="L6" s="20"/>
    </row>
    <row r="7" spans="1:12" s="5" customFormat="1" ht="19.95" customHeight="1">
      <c r="A7" s="20" t="s">
        <v>75</v>
      </c>
      <c r="B7" s="64"/>
      <c r="C7" s="20"/>
      <c r="D7" s="20"/>
      <c r="E7" s="20"/>
      <c r="F7" s="20"/>
      <c r="G7" s="20"/>
      <c r="H7" s="20"/>
      <c r="I7" s="20"/>
      <c r="J7" s="20"/>
      <c r="K7" s="20"/>
      <c r="L7" s="20"/>
    </row>
    <row r="8" spans="1:12" s="5" customFormat="1" ht="19.95" customHeight="1">
      <c r="A8" s="21" t="s">
        <v>56</v>
      </c>
      <c r="B8" s="9"/>
      <c r="C8" s="9"/>
      <c r="D8" s="9"/>
      <c r="E8" s="9"/>
      <c r="F8" s="9"/>
      <c r="G8" s="9"/>
      <c r="H8" s="9"/>
      <c r="I8" s="9"/>
      <c r="J8" s="9"/>
      <c r="K8" s="9"/>
      <c r="L8" s="9"/>
    </row>
    <row r="9" spans="1:12" s="5" customFormat="1" ht="27.6" customHeight="1">
      <c r="A9" s="165" t="s">
        <v>81</v>
      </c>
      <c r="B9" s="165"/>
      <c r="C9" s="165"/>
      <c r="D9" s="165"/>
      <c r="E9" s="165"/>
      <c r="F9" s="165"/>
      <c r="G9" s="165"/>
      <c r="H9" s="165"/>
      <c r="I9" s="165"/>
      <c r="J9" s="165"/>
      <c r="K9" s="165"/>
      <c r="L9" s="165"/>
    </row>
    <row r="10" spans="1:12" s="5" customFormat="1" ht="19.95" customHeight="1">
      <c r="A10" s="68" t="s">
        <v>65</v>
      </c>
      <c r="B10" s="68"/>
      <c r="C10" s="68"/>
      <c r="D10" s="68"/>
      <c r="E10" s="68"/>
      <c r="F10" s="68"/>
      <c r="G10" s="68"/>
      <c r="H10" s="68"/>
      <c r="I10" s="68"/>
      <c r="J10" s="68"/>
      <c r="K10" s="68"/>
      <c r="L10" s="68"/>
    </row>
    <row r="11" spans="1:12" s="5" customFormat="1" ht="28.2" customHeight="1">
      <c r="A11" s="166" t="s">
        <v>57</v>
      </c>
      <c r="B11" s="166"/>
      <c r="C11" s="166"/>
      <c r="D11" s="166"/>
      <c r="E11" s="166"/>
      <c r="F11" s="166"/>
      <c r="G11" s="166"/>
      <c r="H11" s="166"/>
      <c r="I11" s="166"/>
      <c r="J11" s="166"/>
      <c r="K11" s="166"/>
      <c r="L11" s="166"/>
    </row>
    <row r="12" spans="1:12" ht="19.95" customHeight="1">
      <c r="A12" s="163" t="s">
        <v>58</v>
      </c>
      <c r="B12" s="163"/>
      <c r="C12" s="163"/>
      <c r="D12" s="163"/>
      <c r="E12" s="163"/>
      <c r="F12" s="163" t="s">
        <v>62</v>
      </c>
      <c r="G12" s="163"/>
      <c r="H12" s="164" t="s">
        <v>77</v>
      </c>
      <c r="I12" s="164"/>
      <c r="J12" s="164" t="s">
        <v>158</v>
      </c>
      <c r="K12" s="164"/>
      <c r="L12" s="161" t="s">
        <v>72</v>
      </c>
    </row>
    <row r="13" spans="1:12" ht="19.95" customHeight="1">
      <c r="A13" s="63" t="s">
        <v>5</v>
      </c>
      <c r="B13" s="63" t="s">
        <v>59</v>
      </c>
      <c r="C13" s="63" t="s">
        <v>60</v>
      </c>
      <c r="D13" s="124" t="s">
        <v>160</v>
      </c>
      <c r="E13" s="63" t="s">
        <v>61</v>
      </c>
      <c r="F13" s="63" t="s">
        <v>7</v>
      </c>
      <c r="G13" s="63" t="s">
        <v>5</v>
      </c>
      <c r="H13" s="125" t="s">
        <v>7</v>
      </c>
      <c r="I13" s="125" t="s">
        <v>5</v>
      </c>
      <c r="J13" s="70" t="s">
        <v>7</v>
      </c>
      <c r="K13" s="70" t="s">
        <v>5</v>
      </c>
      <c r="L13" s="162"/>
    </row>
    <row r="14" spans="1:12" ht="19.95" customHeight="1">
      <c r="A14" s="75"/>
      <c r="B14" s="43"/>
      <c r="C14" s="76"/>
      <c r="D14" s="76"/>
      <c r="E14" s="78"/>
      <c r="F14" s="43"/>
      <c r="G14" s="75"/>
      <c r="H14" s="43"/>
      <c r="I14" s="75"/>
      <c r="J14" s="43"/>
      <c r="K14" s="75"/>
      <c r="L14" s="53"/>
    </row>
    <row r="15" spans="1:12" ht="19.95" customHeight="1">
      <c r="A15" s="75"/>
      <c r="B15" s="43"/>
      <c r="C15" s="77"/>
      <c r="D15" s="77"/>
      <c r="E15" s="78"/>
      <c r="F15" s="43"/>
      <c r="G15" s="75"/>
      <c r="H15" s="43"/>
      <c r="I15" s="75"/>
      <c r="J15" s="43"/>
      <c r="K15" s="75"/>
      <c r="L15" s="53"/>
    </row>
    <row r="16" spans="1:12" ht="19.95" customHeight="1">
      <c r="A16" s="75"/>
      <c r="B16" s="43"/>
      <c r="C16" s="77"/>
      <c r="D16" s="77"/>
      <c r="E16" s="78"/>
      <c r="F16" s="43"/>
      <c r="G16" s="75"/>
      <c r="H16" s="43"/>
      <c r="I16" s="75"/>
      <c r="J16" s="43"/>
      <c r="K16" s="75"/>
      <c r="L16" s="53"/>
    </row>
    <row r="17" spans="1:12" ht="19.95" customHeight="1">
      <c r="A17" s="75"/>
      <c r="B17" s="43"/>
      <c r="C17" s="77"/>
      <c r="D17" s="77"/>
      <c r="E17" s="78"/>
      <c r="F17" s="43"/>
      <c r="G17" s="75"/>
      <c r="H17" s="43"/>
      <c r="I17" s="75"/>
      <c r="J17" s="43"/>
      <c r="K17" s="75"/>
      <c r="L17" s="53"/>
    </row>
    <row r="18" spans="1:12" ht="19.95" customHeight="1">
      <c r="A18" s="75"/>
      <c r="B18" s="43"/>
      <c r="C18" s="77"/>
      <c r="D18" s="77"/>
      <c r="E18" s="78"/>
      <c r="F18" s="43"/>
      <c r="G18" s="75"/>
      <c r="H18" s="43"/>
      <c r="I18" s="75"/>
      <c r="J18" s="43"/>
      <c r="K18" s="75"/>
      <c r="L18" s="53"/>
    </row>
    <row r="19" spans="1:12" ht="19.95" customHeight="1">
      <c r="A19" s="75"/>
      <c r="B19" s="43"/>
      <c r="C19" s="77"/>
      <c r="D19" s="77"/>
      <c r="E19" s="78"/>
      <c r="F19" s="43"/>
      <c r="G19" s="75"/>
      <c r="H19" s="43"/>
      <c r="I19" s="75"/>
      <c r="J19" s="43"/>
      <c r="K19" s="75"/>
      <c r="L19" s="53"/>
    </row>
    <row r="20" spans="1:12" ht="19.95" customHeight="1">
      <c r="A20" s="75"/>
      <c r="B20" s="43"/>
      <c r="C20" s="77"/>
      <c r="D20" s="77"/>
      <c r="E20" s="78"/>
      <c r="F20" s="43"/>
      <c r="G20" s="75"/>
      <c r="H20" s="43"/>
      <c r="I20" s="75"/>
      <c r="J20" s="43"/>
      <c r="K20" s="75"/>
      <c r="L20" s="53"/>
    </row>
    <row r="21" spans="1:12" ht="19.95" customHeight="1">
      <c r="A21" s="75"/>
      <c r="B21" s="43"/>
      <c r="C21" s="77"/>
      <c r="D21" s="77"/>
      <c r="E21" s="78"/>
      <c r="F21" s="43"/>
      <c r="G21" s="75"/>
      <c r="H21" s="43"/>
      <c r="I21" s="75"/>
      <c r="J21" s="43"/>
      <c r="K21" s="75"/>
      <c r="L21" s="53"/>
    </row>
    <row r="22" spans="1:12" ht="19.95" customHeight="1">
      <c r="A22" s="75"/>
      <c r="B22" s="43"/>
      <c r="C22" s="77"/>
      <c r="D22" s="77"/>
      <c r="E22" s="78"/>
      <c r="F22" s="43"/>
      <c r="G22" s="75"/>
      <c r="H22" s="43"/>
      <c r="I22" s="75"/>
      <c r="J22" s="43"/>
      <c r="K22" s="75"/>
      <c r="L22" s="53"/>
    </row>
    <row r="23" spans="1:12" ht="19.95" customHeight="1">
      <c r="A23" s="75"/>
      <c r="B23" s="43"/>
      <c r="C23" s="77"/>
      <c r="D23" s="77"/>
      <c r="E23" s="78"/>
      <c r="F23" s="43"/>
      <c r="G23" s="75"/>
      <c r="H23" s="43"/>
      <c r="I23" s="75"/>
      <c r="J23" s="43"/>
      <c r="K23" s="75"/>
      <c r="L23" s="53"/>
    </row>
    <row r="24" spans="1:12" ht="19.95" customHeight="1">
      <c r="A24" s="75"/>
      <c r="B24" s="43"/>
      <c r="C24" s="77"/>
      <c r="D24" s="77"/>
      <c r="E24" s="78"/>
      <c r="F24" s="43"/>
      <c r="G24" s="75"/>
      <c r="H24" s="43"/>
      <c r="I24" s="75"/>
      <c r="J24" s="43"/>
      <c r="K24" s="75"/>
      <c r="L24" s="53"/>
    </row>
    <row r="25" spans="1:12" ht="19.95" customHeight="1">
      <c r="A25" s="75"/>
      <c r="B25" s="43"/>
      <c r="C25" s="77"/>
      <c r="D25" s="77"/>
      <c r="E25" s="78"/>
      <c r="F25" s="43"/>
      <c r="G25" s="75"/>
      <c r="H25" s="43"/>
      <c r="I25" s="75"/>
      <c r="J25" s="43"/>
      <c r="K25" s="75"/>
      <c r="L25" s="53"/>
    </row>
    <row r="26" spans="1:12" ht="19.95" customHeight="1">
      <c r="A26" s="75"/>
      <c r="B26" s="24"/>
      <c r="C26" s="77"/>
      <c r="D26" s="77"/>
      <c r="E26" s="12"/>
      <c r="F26" s="24"/>
      <c r="G26" s="80"/>
      <c r="H26" s="24"/>
      <c r="I26" s="80"/>
      <c r="J26" s="24"/>
      <c r="K26" s="80"/>
      <c r="L26" s="53"/>
    </row>
    <row r="27" spans="1:12" ht="19.95" customHeight="1">
      <c r="A27" s="154" t="s">
        <v>199</v>
      </c>
      <c r="B27" s="155"/>
      <c r="C27" s="155"/>
      <c r="D27" s="155"/>
      <c r="E27" s="155"/>
      <c r="F27" s="155"/>
      <c r="G27" s="155"/>
      <c r="H27" s="155"/>
      <c r="I27" s="155"/>
      <c r="J27" s="155"/>
      <c r="K27" s="155"/>
      <c r="L27" s="156"/>
    </row>
    <row r="28" spans="1:12" ht="19.95" customHeight="1">
      <c r="A28" s="75"/>
      <c r="B28" s="43"/>
      <c r="C28" s="77"/>
      <c r="D28" s="77"/>
      <c r="E28" s="78"/>
      <c r="F28" s="43"/>
      <c r="G28" s="75"/>
      <c r="H28" s="75"/>
      <c r="I28" s="75"/>
      <c r="J28" s="43"/>
      <c r="K28" s="75"/>
      <c r="L28" s="53"/>
    </row>
    <row r="29" spans="1:12" ht="19.95" customHeight="1">
      <c r="A29" s="75"/>
      <c r="B29" s="43"/>
      <c r="C29" s="77"/>
      <c r="D29" s="77"/>
      <c r="E29" s="78"/>
      <c r="F29" s="43"/>
      <c r="G29" s="75"/>
      <c r="H29" s="75"/>
      <c r="I29" s="75"/>
      <c r="J29" s="43"/>
      <c r="K29" s="75"/>
      <c r="L29" s="53"/>
    </row>
    <row r="30" spans="1:12" ht="19.95" customHeight="1">
      <c r="A30" s="75"/>
      <c r="B30" s="43"/>
      <c r="C30" s="77"/>
      <c r="D30" s="77"/>
      <c r="E30" s="78"/>
      <c r="F30" s="43"/>
      <c r="G30" s="75"/>
      <c r="H30" s="75"/>
      <c r="I30" s="75"/>
      <c r="J30" s="43"/>
      <c r="K30" s="75"/>
      <c r="L30" s="53"/>
    </row>
    <row r="31" spans="1:12" ht="19.95" customHeight="1">
      <c r="A31" s="75"/>
      <c r="B31" s="43"/>
      <c r="C31" s="77"/>
      <c r="D31" s="77"/>
      <c r="E31" s="78"/>
      <c r="F31" s="43"/>
      <c r="G31" s="75"/>
      <c r="H31" s="75"/>
      <c r="I31" s="75"/>
      <c r="J31" s="43"/>
      <c r="K31" s="75"/>
      <c r="L31" s="53"/>
    </row>
    <row r="32" spans="1:12" ht="19.95" customHeight="1">
      <c r="A32" s="75"/>
      <c r="B32" s="43"/>
      <c r="C32" s="77"/>
      <c r="D32" s="77"/>
      <c r="E32" s="78"/>
      <c r="F32" s="43"/>
      <c r="G32" s="75"/>
      <c r="H32" s="75"/>
      <c r="I32" s="75"/>
      <c r="J32" s="43"/>
      <c r="K32" s="75"/>
      <c r="L32" s="53"/>
    </row>
    <row r="33" spans="1:12" ht="19.95" customHeight="1">
      <c r="A33" s="75"/>
      <c r="B33" s="43"/>
      <c r="C33" s="77"/>
      <c r="D33" s="77"/>
      <c r="E33" s="78"/>
      <c r="F33" s="43"/>
      <c r="G33" s="75"/>
      <c r="H33" s="75"/>
      <c r="I33" s="75"/>
      <c r="J33" s="43"/>
      <c r="K33" s="75"/>
      <c r="L33" s="53"/>
    </row>
    <row r="34" spans="1:12" ht="19.95" customHeight="1">
      <c r="A34" s="75"/>
      <c r="B34" s="43"/>
      <c r="C34" s="77"/>
      <c r="D34" s="77"/>
      <c r="E34" s="78"/>
      <c r="F34" s="43"/>
      <c r="G34" s="75"/>
      <c r="H34" s="75"/>
      <c r="I34" s="75"/>
      <c r="J34" s="43"/>
      <c r="K34" s="75"/>
      <c r="L34" s="53"/>
    </row>
    <row r="35" spans="1:12" ht="19.95" customHeight="1">
      <c r="A35" s="75"/>
      <c r="B35" s="43"/>
      <c r="C35" s="77"/>
      <c r="D35" s="77"/>
      <c r="E35" s="78"/>
      <c r="F35" s="43"/>
      <c r="G35" s="75"/>
      <c r="H35" s="75"/>
      <c r="I35" s="75"/>
      <c r="J35" s="43"/>
      <c r="K35" s="75"/>
      <c r="L35" s="53"/>
    </row>
    <row r="36" spans="1:12" ht="19.95" customHeight="1">
      <c r="A36" s="75"/>
      <c r="B36" s="43"/>
      <c r="C36" s="77"/>
      <c r="D36" s="77"/>
      <c r="E36" s="78"/>
      <c r="F36" s="43"/>
      <c r="G36" s="75"/>
      <c r="H36" s="75"/>
      <c r="I36" s="75"/>
      <c r="J36" s="43"/>
      <c r="K36" s="75"/>
      <c r="L36" s="53"/>
    </row>
    <row r="37" spans="1:12" ht="19.95" customHeight="1">
      <c r="A37" s="75"/>
      <c r="B37" s="43"/>
      <c r="C37" s="77"/>
      <c r="D37" s="77"/>
      <c r="E37" s="78"/>
      <c r="F37" s="43"/>
      <c r="G37" s="75"/>
      <c r="H37" s="75"/>
      <c r="I37" s="75"/>
      <c r="J37" s="43"/>
      <c r="K37" s="75"/>
      <c r="L37" s="53"/>
    </row>
    <row r="38" spans="1:12" ht="19.95" customHeight="1">
      <c r="A38" s="75"/>
      <c r="B38" s="43"/>
      <c r="C38" s="77"/>
      <c r="D38" s="77"/>
      <c r="E38" s="78"/>
      <c r="F38" s="43"/>
      <c r="G38" s="75"/>
      <c r="H38" s="75"/>
      <c r="I38" s="75"/>
      <c r="J38" s="43"/>
      <c r="K38" s="75"/>
      <c r="L38" s="53"/>
    </row>
    <row r="39" spans="1:12" ht="19.95" customHeight="1">
      <c r="A39" s="75"/>
      <c r="B39" s="43"/>
      <c r="C39" s="77"/>
      <c r="D39" s="77"/>
      <c r="E39" s="78"/>
      <c r="F39" s="43"/>
      <c r="G39" s="75"/>
      <c r="H39" s="75"/>
      <c r="I39" s="75"/>
      <c r="J39" s="43"/>
      <c r="K39" s="75"/>
      <c r="L39" s="53"/>
    </row>
    <row r="40" spans="1:12" ht="19.95" customHeight="1">
      <c r="A40" s="75"/>
      <c r="B40" s="29"/>
      <c r="C40" s="77"/>
      <c r="D40" s="77"/>
      <c r="E40" s="79"/>
      <c r="F40" s="29"/>
      <c r="G40" s="75"/>
      <c r="H40" s="75"/>
      <c r="I40" s="75"/>
      <c r="J40" s="29"/>
      <c r="K40" s="81"/>
      <c r="L40" s="53"/>
    </row>
    <row r="41" spans="1:12" ht="19.95" customHeight="1">
      <c r="A41" s="75"/>
      <c r="B41" s="29"/>
      <c r="C41" s="77"/>
      <c r="D41" s="77"/>
      <c r="E41" s="79"/>
      <c r="F41" s="29"/>
      <c r="G41" s="80"/>
      <c r="H41" s="80"/>
      <c r="I41" s="80"/>
      <c r="J41" s="29"/>
      <c r="K41" s="81"/>
      <c r="L41" s="53"/>
    </row>
    <row r="42" spans="1:12" ht="19.95" customHeight="1">
      <c r="A42" s="26" t="s">
        <v>63</v>
      </c>
    </row>
    <row r="43" spans="1:12" ht="19.95" customHeight="1"/>
    <row r="44" spans="1:12" ht="19.95" customHeight="1"/>
    <row r="45" spans="1:12" ht="19.95" customHeight="1"/>
    <row r="46" spans="1:12" ht="19.95" customHeight="1">
      <c r="A46" s="26" t="s">
        <v>64</v>
      </c>
    </row>
    <row r="47" spans="1:12" ht="19.95" customHeight="1"/>
    <row r="48" spans="1:12" ht="19.95" customHeight="1"/>
    <row r="49" spans="1:15" ht="18" customHeight="1">
      <c r="A49" s="131" t="s">
        <v>155</v>
      </c>
    </row>
    <row r="50" spans="1:15" ht="18" customHeight="1">
      <c r="A50" s="49" t="s">
        <v>152</v>
      </c>
    </row>
    <row r="51" spans="1:15" ht="18" customHeight="1">
      <c r="A51" s="49" t="s">
        <v>157</v>
      </c>
    </row>
    <row r="52" spans="1:15" s="49" customFormat="1" ht="18" customHeight="1">
      <c r="A52" s="130" t="s">
        <v>153</v>
      </c>
    </row>
    <row r="53" spans="1:15" s="50" customFormat="1" ht="18" customHeight="1">
      <c r="A53" s="130" t="s">
        <v>154</v>
      </c>
      <c r="B53" s="51"/>
      <c r="C53" s="51"/>
      <c r="D53" s="51"/>
      <c r="E53" s="51"/>
      <c r="F53" s="51"/>
      <c r="G53" s="51"/>
      <c r="H53" s="51"/>
      <c r="I53" s="51"/>
      <c r="J53" s="51"/>
      <c r="K53" s="51"/>
      <c r="L53" s="51"/>
      <c r="M53" s="51"/>
      <c r="N53" s="51"/>
      <c r="O53" s="51"/>
    </row>
    <row r="54" spans="1:15" s="50" customFormat="1" ht="18" customHeight="1">
      <c r="A54" s="56"/>
      <c r="B54" s="51"/>
      <c r="C54" s="51"/>
      <c r="D54" s="51"/>
      <c r="E54" s="51"/>
      <c r="F54" s="51"/>
      <c r="G54" s="51"/>
      <c r="H54" s="51"/>
      <c r="I54" s="51"/>
      <c r="J54" s="51"/>
      <c r="K54" s="51"/>
      <c r="L54" s="51"/>
      <c r="M54" s="51"/>
      <c r="N54" s="51"/>
      <c r="O54" s="51"/>
    </row>
    <row r="55" spans="1:15" s="50" customFormat="1" ht="18" customHeight="1">
      <c r="A55" s="57"/>
      <c r="B55" s="52"/>
      <c r="C55" s="51"/>
      <c r="D55" s="51"/>
      <c r="E55" s="51"/>
      <c r="F55" s="51"/>
      <c r="G55" s="51"/>
      <c r="H55" s="51"/>
      <c r="I55" s="51"/>
      <c r="J55" s="51"/>
      <c r="K55" s="51"/>
      <c r="L55" s="51"/>
      <c r="M55" s="51"/>
      <c r="N55" s="51"/>
      <c r="O55" s="51"/>
    </row>
    <row r="56" spans="1:15" s="50" customFormat="1" ht="18" customHeight="1">
      <c r="A56" s="57"/>
      <c r="B56" s="52"/>
      <c r="C56" s="51"/>
      <c r="D56" s="51"/>
      <c r="E56" s="51"/>
      <c r="F56" s="51"/>
      <c r="G56" s="51"/>
      <c r="H56" s="51"/>
      <c r="I56" s="51"/>
      <c r="J56" s="51"/>
      <c r="K56" s="51"/>
      <c r="L56" s="51"/>
      <c r="M56" s="51"/>
      <c r="N56" s="51"/>
      <c r="O56" s="51"/>
    </row>
    <row r="57" spans="1:15" s="50" customFormat="1" ht="18" customHeight="1">
      <c r="A57" s="57"/>
      <c r="B57" s="52"/>
      <c r="C57" s="51"/>
      <c r="D57" s="51"/>
      <c r="E57" s="51"/>
      <c r="F57" s="51"/>
      <c r="G57" s="51"/>
      <c r="H57" s="51"/>
      <c r="I57" s="51"/>
      <c r="J57" s="51"/>
      <c r="K57" s="51"/>
      <c r="L57" s="51"/>
      <c r="M57" s="51"/>
      <c r="N57" s="51"/>
      <c r="O57" s="51"/>
    </row>
  </sheetData>
  <mergeCells count="10">
    <mergeCell ref="A27:L27"/>
    <mergeCell ref="A1:L1"/>
    <mergeCell ref="A2:L2"/>
    <mergeCell ref="L12:L13"/>
    <mergeCell ref="A12:E12"/>
    <mergeCell ref="F12:G12"/>
    <mergeCell ref="J12:K12"/>
    <mergeCell ref="A9:L9"/>
    <mergeCell ref="A11:L11"/>
    <mergeCell ref="H12:I12"/>
  </mergeCells>
  <phoneticPr fontId="14" type="noConversion"/>
  <dataValidations count="1">
    <dataValidation type="list" allowBlank="1" showInputMessage="1" showErrorMessage="1" sqref="L14:L26 L28:L41">
      <formula1>"√,×"</formula1>
    </dataValidation>
  </dataValidations>
  <hyperlinks>
    <hyperlink ref="L3" location="底稿目录!A1" display="G2-7-1"/>
  </hyperlinks>
  <printOptions horizontalCentered="1"/>
  <pageMargins left="0.7" right="0.7" top="0.75" bottom="0.75" header="0.3" footer="0.3"/>
  <pageSetup paperSize="9" scale="63" fitToHeight="0" orientation="portrait" blackAndWhite="1" cellComments="atEnd"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O57"/>
  <sheetViews>
    <sheetView view="pageBreakPreview" topLeftCell="A37" zoomScale="98" zoomScaleNormal="145" zoomScaleSheetLayoutView="98" workbookViewId="0">
      <selection sqref="A1:L1"/>
    </sheetView>
  </sheetViews>
  <sheetFormatPr defaultColWidth="9" defaultRowHeight="13.8"/>
  <cols>
    <col min="1" max="1" width="10" style="13" customWidth="1"/>
    <col min="2" max="2" width="10.296875" style="13" customWidth="1"/>
    <col min="3" max="3" width="11" style="13" customWidth="1"/>
    <col min="4" max="6" width="10.09765625" style="13" customWidth="1"/>
    <col min="7" max="7" width="11.296875" style="13" customWidth="1"/>
    <col min="8" max="8" width="11.19921875" style="13" customWidth="1"/>
    <col min="9" max="9" width="18.3984375" style="13" customWidth="1"/>
    <col min="10" max="10" width="12.296875" style="13" customWidth="1"/>
    <col min="11" max="11" width="9.5" style="13" customWidth="1"/>
    <col min="12" max="12" width="7.5" style="13" customWidth="1"/>
    <col min="13" max="16384" width="9" style="13"/>
  </cols>
  <sheetData>
    <row r="1" spans="1:15" s="54" customFormat="1" ht="19.95" customHeight="1">
      <c r="A1" s="157" t="s">
        <v>28</v>
      </c>
      <c r="B1" s="158"/>
      <c r="C1" s="158"/>
      <c r="D1" s="158"/>
      <c r="E1" s="158"/>
      <c r="F1" s="158"/>
      <c r="G1" s="158"/>
      <c r="H1" s="158"/>
      <c r="I1" s="158"/>
      <c r="J1" s="158"/>
      <c r="K1" s="158"/>
      <c r="L1" s="158"/>
    </row>
    <row r="2" spans="1:15" s="55" customFormat="1" ht="19.95" customHeight="1">
      <c r="A2" s="159" t="s">
        <v>156</v>
      </c>
      <c r="B2" s="159"/>
      <c r="C2" s="159"/>
      <c r="D2" s="159"/>
      <c r="E2" s="159"/>
      <c r="F2" s="159"/>
      <c r="G2" s="159"/>
      <c r="H2" s="159"/>
      <c r="I2" s="159"/>
      <c r="J2" s="159"/>
      <c r="K2" s="159"/>
      <c r="L2" s="159"/>
    </row>
    <row r="3" spans="1:15" ht="19.95" customHeight="1">
      <c r="A3" s="13" t="str">
        <f>底稿目录!A2</f>
        <v>被审计单位：</v>
      </c>
      <c r="B3" s="27"/>
      <c r="D3" s="13" t="str">
        <f>底稿目录!A4</f>
        <v>编制人：</v>
      </c>
      <c r="G3" s="31"/>
      <c r="H3" s="13" t="str">
        <f>底稿目录!A5</f>
        <v>编制日期：</v>
      </c>
      <c r="K3" s="23" t="s">
        <v>3</v>
      </c>
      <c r="L3" s="138" t="str">
        <f>底稿目录!F4</f>
        <v>F2-30</v>
      </c>
    </row>
    <row r="4" spans="1:15" ht="19.95" customHeight="1">
      <c r="A4" s="13" t="str">
        <f>底稿目录!A3</f>
        <v>截止日：202X年12月31日</v>
      </c>
      <c r="B4" s="27"/>
      <c r="D4" s="23" t="str">
        <f>底稿目录!A6</f>
        <v>复核人：</v>
      </c>
      <c r="E4" s="23"/>
      <c r="F4" s="23"/>
      <c r="G4" s="31"/>
      <c r="H4" s="23" t="str">
        <f>底稿目录!A7</f>
        <v>复核日期：</v>
      </c>
      <c r="K4" s="23" t="s">
        <v>29</v>
      </c>
    </row>
    <row r="5" spans="1:15" s="5" customFormat="1" ht="19.95" customHeight="1">
      <c r="A5" s="21" t="s">
        <v>39</v>
      </c>
      <c r="B5" s="9"/>
      <c r="C5" s="9"/>
      <c r="D5" s="9"/>
      <c r="E5" s="9"/>
      <c r="F5" s="9"/>
      <c r="G5" s="9"/>
      <c r="H5" s="9"/>
      <c r="I5" s="9"/>
      <c r="J5" s="9"/>
      <c r="K5" s="9"/>
      <c r="L5" s="9"/>
    </row>
    <row r="6" spans="1:15" s="5" customFormat="1" ht="19.95" customHeight="1">
      <c r="A6" s="20" t="s">
        <v>76</v>
      </c>
      <c r="B6" s="64"/>
      <c r="C6" s="20"/>
      <c r="D6" s="20"/>
      <c r="E6" s="20"/>
      <c r="F6" s="20"/>
      <c r="G6" s="20"/>
      <c r="H6" s="20"/>
      <c r="I6" s="20"/>
      <c r="J6" s="20"/>
      <c r="K6" s="20"/>
      <c r="L6" s="20"/>
    </row>
    <row r="7" spans="1:15" s="5" customFormat="1" ht="19.95" customHeight="1">
      <c r="A7" s="20" t="s">
        <v>75</v>
      </c>
      <c r="B7" s="64"/>
      <c r="C7" s="20"/>
      <c r="D7" s="20"/>
      <c r="E7" s="20"/>
      <c r="F7" s="20"/>
      <c r="G7" s="20"/>
      <c r="H7" s="20"/>
      <c r="I7" s="20"/>
      <c r="J7" s="20"/>
      <c r="K7" s="20"/>
      <c r="L7" s="20"/>
    </row>
    <row r="8" spans="1:15" s="5" customFormat="1" ht="19.95" customHeight="1">
      <c r="A8" s="21" t="s">
        <v>56</v>
      </c>
      <c r="B8" s="9"/>
      <c r="C8" s="9"/>
      <c r="D8" s="9"/>
      <c r="E8" s="9"/>
      <c r="F8" s="9"/>
      <c r="G8" s="9"/>
      <c r="H8" s="9"/>
      <c r="I8" s="9"/>
      <c r="J8" s="9"/>
      <c r="K8" s="9"/>
      <c r="L8" s="9"/>
    </row>
    <row r="9" spans="1:15" s="5" customFormat="1" ht="19.95" customHeight="1">
      <c r="A9" s="65" t="s">
        <v>78</v>
      </c>
      <c r="B9" s="64"/>
      <c r="C9" s="64"/>
      <c r="D9" s="64"/>
      <c r="E9" s="64"/>
      <c r="F9" s="64"/>
      <c r="G9" s="64"/>
      <c r="H9" s="64"/>
      <c r="I9" s="64"/>
      <c r="J9" s="64"/>
      <c r="K9" s="64"/>
      <c r="L9" s="64"/>
    </row>
    <row r="10" spans="1:15" s="5" customFormat="1" ht="19.95" customHeight="1">
      <c r="A10" s="82" t="s">
        <v>79</v>
      </c>
      <c r="B10" s="65"/>
      <c r="C10" s="65"/>
      <c r="D10" s="65"/>
      <c r="E10" s="65"/>
      <c r="F10" s="65"/>
      <c r="G10" s="65"/>
      <c r="H10" s="65"/>
      <c r="I10" s="65"/>
      <c r="J10" s="65"/>
      <c r="K10" s="65"/>
      <c r="L10" s="65"/>
      <c r="O10" s="66"/>
    </row>
    <row r="11" spans="1:15" s="5" customFormat="1" ht="19.95" customHeight="1">
      <c r="A11" s="69" t="s">
        <v>57</v>
      </c>
      <c r="B11" s="67"/>
      <c r="C11" s="67"/>
      <c r="D11" s="67"/>
      <c r="E11" s="67"/>
      <c r="F11" s="67"/>
      <c r="G11" s="67"/>
      <c r="H11" s="67"/>
      <c r="I11" s="67"/>
      <c r="J11" s="67"/>
      <c r="K11" s="67"/>
      <c r="L11" s="67"/>
    </row>
    <row r="12" spans="1:15" ht="19.95" customHeight="1">
      <c r="A12" s="163" t="s">
        <v>62</v>
      </c>
      <c r="B12" s="163"/>
      <c r="C12" s="164" t="s">
        <v>77</v>
      </c>
      <c r="D12" s="164"/>
      <c r="E12" s="164" t="s">
        <v>159</v>
      </c>
      <c r="F12" s="164"/>
      <c r="G12" s="163" t="s">
        <v>58</v>
      </c>
      <c r="H12" s="163"/>
      <c r="I12" s="163"/>
      <c r="J12" s="163"/>
      <c r="K12" s="163"/>
      <c r="L12" s="167" t="s">
        <v>68</v>
      </c>
    </row>
    <row r="13" spans="1:15" ht="19.95" customHeight="1">
      <c r="A13" s="63" t="s">
        <v>7</v>
      </c>
      <c r="B13" s="63" t="s">
        <v>5</v>
      </c>
      <c r="C13" s="125" t="s">
        <v>7</v>
      </c>
      <c r="D13" s="125" t="s">
        <v>5</v>
      </c>
      <c r="E13" s="125" t="s">
        <v>7</v>
      </c>
      <c r="F13" s="125" t="s">
        <v>5</v>
      </c>
      <c r="G13" s="63" t="s">
        <v>5</v>
      </c>
      <c r="H13" s="63" t="s">
        <v>59</v>
      </c>
      <c r="I13" s="63" t="s">
        <v>60</v>
      </c>
      <c r="J13" s="124" t="s">
        <v>160</v>
      </c>
      <c r="K13" s="63" t="s">
        <v>61</v>
      </c>
      <c r="L13" s="168"/>
    </row>
    <row r="14" spans="1:15" ht="19.95" customHeight="1">
      <c r="A14" s="43"/>
      <c r="B14" s="75"/>
      <c r="C14" s="43"/>
      <c r="D14" s="75"/>
      <c r="E14" s="43"/>
      <c r="F14" s="75"/>
      <c r="G14" s="75"/>
      <c r="H14" s="43"/>
      <c r="I14" s="76"/>
      <c r="J14" s="76"/>
      <c r="K14" s="78"/>
      <c r="L14" s="53"/>
    </row>
    <row r="15" spans="1:15" ht="19.95" customHeight="1">
      <c r="A15" s="43"/>
      <c r="B15" s="75"/>
      <c r="C15" s="43"/>
      <c r="D15" s="75"/>
      <c r="E15" s="43"/>
      <c r="F15" s="75"/>
      <c r="G15" s="75"/>
      <c r="H15" s="43"/>
      <c r="I15" s="76"/>
      <c r="J15" s="76"/>
      <c r="K15" s="78"/>
      <c r="L15" s="53"/>
    </row>
    <row r="16" spans="1:15" ht="19.95" customHeight="1">
      <c r="A16" s="43"/>
      <c r="B16" s="75"/>
      <c r="C16" s="43"/>
      <c r="D16" s="75"/>
      <c r="E16" s="43"/>
      <c r="F16" s="75"/>
      <c r="G16" s="75"/>
      <c r="H16" s="43"/>
      <c r="I16" s="76"/>
      <c r="J16" s="76"/>
      <c r="K16" s="78"/>
      <c r="L16" s="53"/>
    </row>
    <row r="17" spans="1:12" ht="19.95" customHeight="1">
      <c r="A17" s="43"/>
      <c r="B17" s="75"/>
      <c r="C17" s="43"/>
      <c r="D17" s="75"/>
      <c r="E17" s="43"/>
      <c r="F17" s="75"/>
      <c r="G17" s="75"/>
      <c r="H17" s="43"/>
      <c r="I17" s="76"/>
      <c r="J17" s="76"/>
      <c r="K17" s="78"/>
      <c r="L17" s="53"/>
    </row>
    <row r="18" spans="1:12" ht="19.95" customHeight="1">
      <c r="A18" s="43"/>
      <c r="B18" s="75"/>
      <c r="C18" s="43"/>
      <c r="D18" s="75"/>
      <c r="E18" s="43"/>
      <c r="F18" s="75"/>
      <c r="G18" s="75"/>
      <c r="H18" s="43"/>
      <c r="I18" s="76"/>
      <c r="J18" s="76"/>
      <c r="K18" s="78"/>
      <c r="L18" s="53"/>
    </row>
    <row r="19" spans="1:12" ht="19.95" customHeight="1">
      <c r="A19" s="43"/>
      <c r="B19" s="75"/>
      <c r="C19" s="43"/>
      <c r="D19" s="75"/>
      <c r="E19" s="43"/>
      <c r="F19" s="75"/>
      <c r="G19" s="75"/>
      <c r="H19" s="43"/>
      <c r="I19" s="76"/>
      <c r="J19" s="76"/>
      <c r="K19" s="78"/>
      <c r="L19" s="53"/>
    </row>
    <row r="20" spans="1:12" ht="19.95" customHeight="1">
      <c r="A20" s="43"/>
      <c r="B20" s="75"/>
      <c r="C20" s="43"/>
      <c r="D20" s="75"/>
      <c r="E20" s="43"/>
      <c r="F20" s="75"/>
      <c r="G20" s="75"/>
      <c r="H20" s="43"/>
      <c r="I20" s="76"/>
      <c r="J20" s="76"/>
      <c r="K20" s="78"/>
      <c r="L20" s="53"/>
    </row>
    <row r="21" spans="1:12" ht="19.95" customHeight="1">
      <c r="A21" s="43"/>
      <c r="B21" s="75"/>
      <c r="C21" s="43"/>
      <c r="D21" s="75"/>
      <c r="E21" s="43"/>
      <c r="F21" s="75"/>
      <c r="G21" s="75"/>
      <c r="H21" s="43"/>
      <c r="I21" s="76"/>
      <c r="J21" s="76"/>
      <c r="K21" s="78"/>
      <c r="L21" s="53"/>
    </row>
    <row r="22" spans="1:12" ht="19.95" customHeight="1">
      <c r="A22" s="43"/>
      <c r="B22" s="75"/>
      <c r="C22" s="43"/>
      <c r="D22" s="75"/>
      <c r="E22" s="43"/>
      <c r="F22" s="75"/>
      <c r="G22" s="75"/>
      <c r="H22" s="43"/>
      <c r="I22" s="76"/>
      <c r="J22" s="76"/>
      <c r="K22" s="78"/>
      <c r="L22" s="53"/>
    </row>
    <row r="23" spans="1:12" ht="19.95" customHeight="1">
      <c r="A23" s="43"/>
      <c r="B23" s="75"/>
      <c r="C23" s="43"/>
      <c r="D23" s="75"/>
      <c r="E23" s="43"/>
      <c r="F23" s="75"/>
      <c r="G23" s="75"/>
      <c r="H23" s="43"/>
      <c r="I23" s="77"/>
      <c r="J23" s="77"/>
      <c r="K23" s="78"/>
      <c r="L23" s="53"/>
    </row>
    <row r="24" spans="1:12" ht="19.95" customHeight="1">
      <c r="A24" s="43"/>
      <c r="B24" s="75"/>
      <c r="C24" s="43"/>
      <c r="D24" s="75"/>
      <c r="E24" s="43"/>
      <c r="F24" s="75"/>
      <c r="G24" s="75"/>
      <c r="H24" s="43"/>
      <c r="I24" s="77"/>
      <c r="J24" s="77"/>
      <c r="K24" s="78"/>
      <c r="L24" s="53"/>
    </row>
    <row r="25" spans="1:12" ht="19.95" customHeight="1">
      <c r="A25" s="43"/>
      <c r="B25" s="75"/>
      <c r="C25" s="43"/>
      <c r="D25" s="75"/>
      <c r="E25" s="43"/>
      <c r="F25" s="75"/>
      <c r="G25" s="75"/>
      <c r="H25" s="43"/>
      <c r="I25" s="77"/>
      <c r="J25" s="77"/>
      <c r="K25" s="78"/>
      <c r="L25" s="53"/>
    </row>
    <row r="26" spans="1:12" ht="19.95" customHeight="1">
      <c r="A26" s="43"/>
      <c r="B26" s="80"/>
      <c r="C26" s="24"/>
      <c r="D26" s="80"/>
      <c r="E26" s="24"/>
      <c r="F26" s="80"/>
      <c r="G26" s="80"/>
      <c r="H26" s="24"/>
      <c r="I26" s="77"/>
      <c r="J26" s="77"/>
      <c r="K26" s="12"/>
      <c r="L26" s="53"/>
    </row>
    <row r="27" spans="1:12" ht="19.95" customHeight="1">
      <c r="A27" s="25" t="s">
        <v>69</v>
      </c>
      <c r="B27" s="25"/>
      <c r="C27" s="25"/>
      <c r="D27" s="25"/>
      <c r="E27" s="25"/>
      <c r="F27" s="25"/>
      <c r="G27" s="25"/>
      <c r="H27" s="25"/>
      <c r="I27" s="25"/>
      <c r="J27" s="25"/>
      <c r="K27" s="25"/>
      <c r="L27" s="25"/>
    </row>
    <row r="28" spans="1:12" ht="19.95" customHeight="1">
      <c r="A28" s="43"/>
      <c r="B28" s="75"/>
      <c r="C28" s="43"/>
      <c r="D28" s="75"/>
      <c r="E28" s="75"/>
      <c r="F28" s="75"/>
      <c r="G28" s="75"/>
      <c r="H28" s="43"/>
      <c r="I28" s="77"/>
      <c r="J28" s="77"/>
      <c r="K28" s="78"/>
      <c r="L28" s="53"/>
    </row>
    <row r="29" spans="1:12" ht="19.95" customHeight="1">
      <c r="A29" s="43"/>
      <c r="B29" s="75"/>
      <c r="C29" s="43"/>
      <c r="D29" s="75"/>
      <c r="E29" s="75"/>
      <c r="F29" s="75"/>
      <c r="G29" s="75"/>
      <c r="H29" s="43"/>
      <c r="I29" s="77"/>
      <c r="J29" s="77"/>
      <c r="K29" s="78"/>
      <c r="L29" s="53"/>
    </row>
    <row r="30" spans="1:12" ht="19.95" customHeight="1">
      <c r="A30" s="43"/>
      <c r="B30" s="75"/>
      <c r="C30" s="43"/>
      <c r="D30" s="75"/>
      <c r="E30" s="75"/>
      <c r="F30" s="75"/>
      <c r="G30" s="75"/>
      <c r="H30" s="43"/>
      <c r="I30" s="77"/>
      <c r="J30" s="77"/>
      <c r="K30" s="78"/>
      <c r="L30" s="53"/>
    </row>
    <row r="31" spans="1:12" ht="19.95" customHeight="1">
      <c r="A31" s="43"/>
      <c r="B31" s="75"/>
      <c r="C31" s="43"/>
      <c r="D31" s="75"/>
      <c r="E31" s="75"/>
      <c r="F31" s="75"/>
      <c r="G31" s="75"/>
      <c r="H31" s="43"/>
      <c r="I31" s="77"/>
      <c r="J31" s="77"/>
      <c r="K31" s="78"/>
      <c r="L31" s="53"/>
    </row>
    <row r="32" spans="1:12" ht="19.95" customHeight="1">
      <c r="A32" s="43"/>
      <c r="B32" s="75"/>
      <c r="C32" s="43"/>
      <c r="D32" s="75"/>
      <c r="E32" s="75"/>
      <c r="F32" s="75"/>
      <c r="G32" s="75"/>
      <c r="H32" s="43"/>
      <c r="I32" s="77"/>
      <c r="J32" s="77"/>
      <c r="K32" s="78"/>
      <c r="L32" s="53"/>
    </row>
    <row r="33" spans="1:12" ht="19.95" customHeight="1">
      <c r="A33" s="43"/>
      <c r="B33" s="75"/>
      <c r="C33" s="43"/>
      <c r="D33" s="75"/>
      <c r="E33" s="75"/>
      <c r="F33" s="75"/>
      <c r="G33" s="75"/>
      <c r="H33" s="43"/>
      <c r="I33" s="77"/>
      <c r="J33" s="77"/>
      <c r="K33" s="78"/>
      <c r="L33" s="53"/>
    </row>
    <row r="34" spans="1:12" ht="19.95" customHeight="1">
      <c r="A34" s="43"/>
      <c r="B34" s="75"/>
      <c r="C34" s="43"/>
      <c r="D34" s="75"/>
      <c r="E34" s="75"/>
      <c r="F34" s="75"/>
      <c r="G34" s="75"/>
      <c r="H34" s="43"/>
      <c r="I34" s="77"/>
      <c r="J34" s="77"/>
      <c r="K34" s="78"/>
      <c r="L34" s="53"/>
    </row>
    <row r="35" spans="1:12" ht="19.95" customHeight="1">
      <c r="A35" s="43"/>
      <c r="B35" s="75"/>
      <c r="C35" s="43"/>
      <c r="D35" s="75"/>
      <c r="E35" s="75"/>
      <c r="F35" s="75"/>
      <c r="G35" s="75"/>
      <c r="H35" s="43"/>
      <c r="I35" s="77"/>
      <c r="J35" s="77"/>
      <c r="K35" s="78"/>
      <c r="L35" s="53"/>
    </row>
    <row r="36" spans="1:12" ht="19.95" customHeight="1">
      <c r="A36" s="43"/>
      <c r="B36" s="75"/>
      <c r="C36" s="43"/>
      <c r="D36" s="75"/>
      <c r="E36" s="75"/>
      <c r="F36" s="75"/>
      <c r="G36" s="75"/>
      <c r="H36" s="43"/>
      <c r="I36" s="77"/>
      <c r="J36" s="77"/>
      <c r="K36" s="78"/>
      <c r="L36" s="53"/>
    </row>
    <row r="37" spans="1:12" ht="19.95" customHeight="1">
      <c r="A37" s="43"/>
      <c r="B37" s="75"/>
      <c r="C37" s="43"/>
      <c r="D37" s="75"/>
      <c r="E37" s="75"/>
      <c r="F37" s="75"/>
      <c r="G37" s="75"/>
      <c r="H37" s="43"/>
      <c r="I37" s="77"/>
      <c r="J37" s="77"/>
      <c r="K37" s="78"/>
      <c r="L37" s="53"/>
    </row>
    <row r="38" spans="1:12" ht="19.95" customHeight="1">
      <c r="A38" s="43"/>
      <c r="B38" s="75"/>
      <c r="C38" s="43"/>
      <c r="D38" s="75"/>
      <c r="E38" s="75"/>
      <c r="F38" s="75"/>
      <c r="G38" s="75"/>
      <c r="H38" s="43"/>
      <c r="I38" s="77"/>
      <c r="J38" s="77"/>
      <c r="K38" s="78"/>
      <c r="L38" s="53"/>
    </row>
    <row r="39" spans="1:12" ht="19.95" customHeight="1">
      <c r="A39" s="43"/>
      <c r="B39" s="81"/>
      <c r="C39" s="29"/>
      <c r="D39" s="81"/>
      <c r="E39" s="81"/>
      <c r="F39" s="81"/>
      <c r="G39" s="75"/>
      <c r="H39" s="29"/>
      <c r="I39" s="77"/>
      <c r="J39" s="77"/>
      <c r="K39" s="78"/>
      <c r="L39" s="53"/>
    </row>
    <row r="40" spans="1:12" ht="19.95" customHeight="1">
      <c r="A40" s="43"/>
      <c r="B40" s="81"/>
      <c r="C40" s="29"/>
      <c r="D40" s="81"/>
      <c r="E40" s="81"/>
      <c r="F40" s="81"/>
      <c r="G40" s="80"/>
      <c r="H40" s="29"/>
      <c r="I40" s="77"/>
      <c r="J40" s="77"/>
      <c r="K40" s="12"/>
      <c r="L40" s="53"/>
    </row>
    <row r="41" spans="1:12" ht="19.95" customHeight="1">
      <c r="A41" s="43"/>
      <c r="B41" s="81"/>
      <c r="C41" s="29"/>
      <c r="D41" s="81"/>
      <c r="E41" s="81"/>
      <c r="F41" s="81"/>
      <c r="G41" s="80"/>
      <c r="H41" s="29"/>
      <c r="I41" s="77"/>
      <c r="J41" s="77"/>
      <c r="K41" s="12"/>
      <c r="L41" s="53"/>
    </row>
    <row r="42" spans="1:12" ht="19.95" customHeight="1">
      <c r="A42" s="26" t="s">
        <v>66</v>
      </c>
    </row>
    <row r="43" spans="1:12" ht="19.95" customHeight="1"/>
    <row r="44" spans="1:12" ht="19.95" customHeight="1"/>
    <row r="45" spans="1:12" ht="19.95" customHeight="1"/>
    <row r="46" spans="1:12" ht="19.95" customHeight="1">
      <c r="A46" s="26" t="s">
        <v>67</v>
      </c>
    </row>
    <row r="47" spans="1:12" ht="19.95" customHeight="1"/>
    <row r="48" spans="1:12" ht="19.95" customHeight="1"/>
    <row r="49" spans="1:15" ht="18" customHeight="1">
      <c r="A49" s="131" t="s">
        <v>155</v>
      </c>
    </row>
    <row r="50" spans="1:15" ht="18" customHeight="1">
      <c r="A50" s="49" t="s">
        <v>152</v>
      </c>
    </row>
    <row r="51" spans="1:15" ht="18" customHeight="1">
      <c r="A51" s="49" t="s">
        <v>157</v>
      </c>
    </row>
    <row r="52" spans="1:15" s="49" customFormat="1" ht="18" customHeight="1"/>
    <row r="53" spans="1:15" s="50" customFormat="1" ht="18" customHeight="1">
      <c r="A53" s="51"/>
      <c r="B53" s="51"/>
      <c r="C53" s="51"/>
      <c r="D53" s="51"/>
      <c r="E53" s="51"/>
      <c r="F53" s="51"/>
      <c r="G53" s="51"/>
      <c r="H53" s="51"/>
      <c r="I53" s="51"/>
      <c r="J53" s="51"/>
      <c r="K53" s="51"/>
      <c r="L53" s="51"/>
      <c r="M53" s="51"/>
      <c r="N53" s="51"/>
      <c r="O53" s="51"/>
    </row>
    <row r="54" spans="1:15" s="50" customFormat="1" ht="18" customHeight="1">
      <c r="A54" s="56"/>
      <c r="B54" s="51"/>
      <c r="C54" s="51"/>
      <c r="D54" s="51"/>
      <c r="E54" s="51"/>
      <c r="F54" s="51"/>
      <c r="G54" s="51"/>
      <c r="H54" s="51"/>
      <c r="I54" s="51"/>
      <c r="J54" s="51"/>
      <c r="K54" s="51"/>
      <c r="L54" s="51"/>
      <c r="M54" s="51"/>
      <c r="N54" s="51"/>
      <c r="O54" s="51"/>
    </row>
    <row r="55" spans="1:15" s="50" customFormat="1" ht="18" customHeight="1">
      <c r="A55" s="57"/>
      <c r="B55" s="52"/>
      <c r="C55" s="51"/>
      <c r="D55" s="51"/>
      <c r="E55" s="51"/>
      <c r="F55" s="51"/>
      <c r="G55" s="51"/>
      <c r="H55" s="51"/>
      <c r="I55" s="51"/>
      <c r="J55" s="51"/>
      <c r="K55" s="51"/>
      <c r="L55" s="51"/>
      <c r="M55" s="51"/>
      <c r="N55" s="51"/>
      <c r="O55" s="51"/>
    </row>
    <row r="56" spans="1:15" s="50" customFormat="1" ht="18" customHeight="1">
      <c r="A56" s="57"/>
      <c r="B56" s="52"/>
      <c r="C56" s="51"/>
      <c r="D56" s="51"/>
      <c r="E56" s="51"/>
      <c r="F56" s="51"/>
      <c r="G56" s="51"/>
      <c r="H56" s="51"/>
      <c r="I56" s="51"/>
      <c r="J56" s="51"/>
      <c r="K56" s="51"/>
      <c r="L56" s="51"/>
      <c r="M56" s="51"/>
      <c r="N56" s="51"/>
      <c r="O56" s="51"/>
    </row>
    <row r="57" spans="1:15" s="50" customFormat="1" ht="18" customHeight="1">
      <c r="A57" s="57"/>
      <c r="B57" s="52"/>
      <c r="C57" s="51"/>
      <c r="D57" s="51"/>
      <c r="E57" s="51"/>
      <c r="F57" s="51"/>
      <c r="G57" s="51"/>
      <c r="H57" s="51"/>
      <c r="I57" s="51"/>
      <c r="J57" s="51"/>
      <c r="K57" s="51"/>
      <c r="L57" s="51"/>
      <c r="M57" s="51"/>
      <c r="N57" s="51"/>
      <c r="O57" s="51"/>
    </row>
  </sheetData>
  <mergeCells count="7">
    <mergeCell ref="G12:K12"/>
    <mergeCell ref="L12:L13"/>
    <mergeCell ref="A1:L1"/>
    <mergeCell ref="A2:L2"/>
    <mergeCell ref="A12:B12"/>
    <mergeCell ref="C12:D12"/>
    <mergeCell ref="E12:F12"/>
  </mergeCells>
  <phoneticPr fontId="14" type="noConversion"/>
  <dataValidations count="1">
    <dataValidation type="list" allowBlank="1" showInputMessage="1" showErrorMessage="1" sqref="L14:L26 L28:L41">
      <formula1>"√,×"</formula1>
    </dataValidation>
  </dataValidations>
  <hyperlinks>
    <hyperlink ref="L3" location="底稿目录!A1" display="底稿目录!A1"/>
  </hyperlinks>
  <printOptions horizontalCentered="1"/>
  <pageMargins left="0.47244094488188976" right="0.31496062992125984" top="0.51181102362204722" bottom="0.39370078740157483" header="0.47244094488188976" footer="0.23622047244094488"/>
  <pageSetup paperSize="9" scale="68" fitToHeight="0" orientation="portrait" blackAndWhite="1" cellComments="atEnd" r:id="rId1"/>
  <headerFooter alignWithMargins="0">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J51"/>
  <sheetViews>
    <sheetView view="pageBreakPreview" zoomScale="99" zoomScaleNormal="145" zoomScaleSheetLayoutView="99" workbookViewId="0">
      <selection sqref="A1:J1"/>
    </sheetView>
  </sheetViews>
  <sheetFormatPr defaultColWidth="9" defaultRowHeight="13.8"/>
  <cols>
    <col min="1" max="1" width="9.8984375" style="13" customWidth="1"/>
    <col min="2" max="2" width="10.59765625" style="13" customWidth="1"/>
    <col min="3" max="3" width="17.296875" style="13" customWidth="1"/>
    <col min="4" max="4" width="13.69921875" style="13" customWidth="1"/>
    <col min="5" max="5" width="9.69921875" style="13" customWidth="1"/>
    <col min="6" max="6" width="10.796875" style="13" customWidth="1"/>
    <col min="7" max="7" width="8.796875" style="13" customWidth="1"/>
    <col min="8" max="8" width="9.59765625" style="13" customWidth="1"/>
    <col min="9" max="9" width="8.796875" style="13" customWidth="1"/>
    <col min="10" max="10" width="7.19921875" style="13" customWidth="1"/>
    <col min="11" max="16384" width="9" style="13"/>
  </cols>
  <sheetData>
    <row r="1" spans="1:10" s="54" customFormat="1" ht="20.100000000000001" customHeight="1">
      <c r="A1" s="169" t="s">
        <v>28</v>
      </c>
      <c r="B1" s="170"/>
      <c r="C1" s="170"/>
      <c r="D1" s="170"/>
      <c r="E1" s="170"/>
      <c r="F1" s="170"/>
      <c r="G1" s="170"/>
      <c r="H1" s="170"/>
      <c r="I1" s="170"/>
      <c r="J1" s="170"/>
    </row>
    <row r="2" spans="1:10" s="55" customFormat="1" ht="25.05" customHeight="1">
      <c r="A2" s="171" t="s">
        <v>80</v>
      </c>
      <c r="B2" s="158"/>
      <c r="C2" s="158"/>
      <c r="D2" s="158"/>
      <c r="E2" s="158"/>
      <c r="F2" s="158"/>
      <c r="G2" s="158"/>
      <c r="H2" s="158"/>
      <c r="I2" s="158"/>
      <c r="J2" s="158"/>
    </row>
    <row r="3" spans="1:10" ht="20.100000000000001" customHeight="1">
      <c r="A3" s="13" t="str">
        <f>底稿目录!A2</f>
        <v>被审计单位：</v>
      </c>
      <c r="B3" s="27"/>
      <c r="D3" s="13" t="str">
        <f>底稿目录!A4</f>
        <v>编制人：</v>
      </c>
      <c r="F3" s="13" t="str">
        <f>底稿目录!A5</f>
        <v>编制日期：</v>
      </c>
      <c r="G3" s="31"/>
      <c r="I3" s="23" t="s">
        <v>3</v>
      </c>
      <c r="J3" s="138" t="str">
        <f>底稿目录!F5</f>
        <v>F2-31</v>
      </c>
    </row>
    <row r="4" spans="1:10" ht="20.100000000000001" customHeight="1">
      <c r="A4" s="13" t="str">
        <f>底稿目录!A3</f>
        <v>截止日：202X年12月31日</v>
      </c>
      <c r="B4" s="27"/>
      <c r="D4" s="23" t="str">
        <f>底稿目录!A6</f>
        <v>复核人：</v>
      </c>
      <c r="F4" s="23" t="str">
        <f>底稿目录!A7</f>
        <v>复核日期：</v>
      </c>
      <c r="G4" s="31"/>
      <c r="I4" s="23" t="s">
        <v>29</v>
      </c>
    </row>
    <row r="5" spans="1:10" s="5" customFormat="1" ht="20.100000000000001" customHeight="1">
      <c r="A5" s="21" t="s">
        <v>39</v>
      </c>
      <c r="B5" s="9"/>
      <c r="C5" s="9"/>
      <c r="D5" s="9"/>
      <c r="E5" s="9"/>
      <c r="F5" s="9"/>
      <c r="G5" s="9"/>
      <c r="H5" s="9"/>
      <c r="I5" s="9"/>
      <c r="J5" s="9"/>
    </row>
    <row r="6" spans="1:10" s="5" customFormat="1" ht="16.8" customHeight="1">
      <c r="A6" s="20" t="s">
        <v>76</v>
      </c>
      <c r="B6" s="44"/>
      <c r="C6" s="20"/>
      <c r="D6" s="20"/>
      <c r="E6" s="20"/>
      <c r="F6" s="20"/>
      <c r="G6" s="20"/>
      <c r="H6" s="20"/>
      <c r="I6" s="20"/>
      <c r="J6" s="20"/>
    </row>
    <row r="7" spans="1:10" s="5" customFormat="1" ht="16.8" customHeight="1">
      <c r="A7" s="20" t="s">
        <v>75</v>
      </c>
      <c r="B7" s="44"/>
      <c r="C7" s="20"/>
      <c r="D7" s="20"/>
      <c r="E7" s="20"/>
      <c r="F7" s="20"/>
      <c r="G7" s="20"/>
      <c r="H7" s="20"/>
      <c r="I7" s="20"/>
      <c r="J7" s="20"/>
    </row>
    <row r="8" spans="1:10" s="5" customFormat="1" ht="16.8" customHeight="1">
      <c r="A8" s="21" t="s">
        <v>56</v>
      </c>
      <c r="B8" s="21"/>
      <c r="C8" s="21"/>
      <c r="D8" s="21"/>
      <c r="E8" s="21"/>
      <c r="F8" s="21"/>
      <c r="G8" s="21"/>
      <c r="H8" s="21"/>
      <c r="I8" s="21"/>
      <c r="J8" s="21"/>
    </row>
    <row r="9" spans="1:10" s="5" customFormat="1" ht="30" customHeight="1">
      <c r="A9" s="176" t="s">
        <v>162</v>
      </c>
      <c r="B9" s="176"/>
      <c r="C9" s="176"/>
      <c r="D9" s="176"/>
      <c r="E9" s="176"/>
      <c r="F9" s="176"/>
      <c r="G9" s="176"/>
      <c r="H9" s="176"/>
      <c r="I9" s="176"/>
      <c r="J9" s="176"/>
    </row>
    <row r="10" spans="1:10" s="5" customFormat="1" ht="16.8" customHeight="1">
      <c r="A10" s="20" t="s">
        <v>83</v>
      </c>
      <c r="B10" s="20"/>
      <c r="C10" s="20"/>
      <c r="D10" s="20"/>
      <c r="E10" s="20"/>
      <c r="F10" s="20"/>
      <c r="G10" s="20"/>
      <c r="H10" s="20"/>
      <c r="I10" s="20"/>
      <c r="J10" s="20"/>
    </row>
    <row r="11" spans="1:10" s="5" customFormat="1" ht="16.8" customHeight="1">
      <c r="A11" s="64" t="s">
        <v>82</v>
      </c>
      <c r="B11" s="71"/>
      <c r="C11" s="71"/>
      <c r="D11" s="71"/>
      <c r="E11" s="71"/>
      <c r="F11" s="71"/>
      <c r="G11" s="71"/>
      <c r="H11" s="71"/>
      <c r="I11" s="71"/>
      <c r="J11" s="71"/>
    </row>
    <row r="12" spans="1:10" s="5" customFormat="1" ht="26.4" customHeight="1">
      <c r="A12" s="177" t="s">
        <v>198</v>
      </c>
      <c r="B12" s="177"/>
      <c r="C12" s="177"/>
      <c r="D12" s="177"/>
      <c r="E12" s="177"/>
      <c r="F12" s="177"/>
      <c r="G12" s="177"/>
      <c r="H12" s="177"/>
      <c r="I12" s="177"/>
      <c r="J12" s="177"/>
    </row>
    <row r="13" spans="1:10" ht="16.8" customHeight="1">
      <c r="A13" s="163" t="s">
        <v>58</v>
      </c>
      <c r="B13" s="163"/>
      <c r="C13" s="163"/>
      <c r="D13" s="163"/>
      <c r="E13" s="163"/>
      <c r="F13" s="172" t="s">
        <v>135</v>
      </c>
      <c r="G13" s="173"/>
      <c r="H13" s="174" t="s">
        <v>71</v>
      </c>
      <c r="I13" s="175"/>
      <c r="J13" s="167" t="s">
        <v>68</v>
      </c>
    </row>
    <row r="14" spans="1:10" ht="16.8" customHeight="1">
      <c r="A14" s="63" t="s">
        <v>5</v>
      </c>
      <c r="B14" s="63" t="s">
        <v>59</v>
      </c>
      <c r="C14" s="63" t="s">
        <v>60</v>
      </c>
      <c r="D14" s="124" t="s">
        <v>160</v>
      </c>
      <c r="E14" s="63" t="s">
        <v>61</v>
      </c>
      <c r="F14" s="63" t="s">
        <v>7</v>
      </c>
      <c r="G14" s="63" t="s">
        <v>5</v>
      </c>
      <c r="H14" s="74" t="s">
        <v>7</v>
      </c>
      <c r="I14" s="74" t="s">
        <v>5</v>
      </c>
      <c r="J14" s="168"/>
    </row>
    <row r="15" spans="1:10" ht="20.100000000000001" customHeight="1">
      <c r="A15" s="75"/>
      <c r="B15" s="43"/>
      <c r="C15" s="76"/>
      <c r="D15" s="76"/>
      <c r="E15" s="78"/>
      <c r="F15" s="43"/>
      <c r="G15" s="75"/>
      <c r="H15" s="43"/>
      <c r="I15" s="75"/>
      <c r="J15" s="53"/>
    </row>
    <row r="16" spans="1:10" ht="20.100000000000001" customHeight="1">
      <c r="A16" s="75"/>
      <c r="B16" s="43"/>
      <c r="C16" s="76"/>
      <c r="D16" s="76"/>
      <c r="E16" s="78"/>
      <c r="F16" s="43"/>
      <c r="G16" s="75"/>
      <c r="H16" s="43"/>
      <c r="I16" s="75"/>
      <c r="J16" s="53"/>
    </row>
    <row r="17" spans="1:10" ht="20.100000000000001" customHeight="1">
      <c r="A17" s="75"/>
      <c r="B17" s="43"/>
      <c r="C17" s="76"/>
      <c r="D17" s="76"/>
      <c r="E17" s="78"/>
      <c r="F17" s="43"/>
      <c r="G17" s="75"/>
      <c r="H17" s="43"/>
      <c r="I17" s="75"/>
      <c r="J17" s="53"/>
    </row>
    <row r="18" spans="1:10" ht="20.100000000000001" customHeight="1">
      <c r="A18" s="75"/>
      <c r="B18" s="43"/>
      <c r="C18" s="76"/>
      <c r="D18" s="76"/>
      <c r="E18" s="78"/>
      <c r="F18" s="43"/>
      <c r="G18" s="75"/>
      <c r="H18" s="43"/>
      <c r="I18" s="75"/>
      <c r="J18" s="53"/>
    </row>
    <row r="19" spans="1:10" ht="20.100000000000001" customHeight="1">
      <c r="A19" s="75"/>
      <c r="B19" s="43"/>
      <c r="C19" s="76"/>
      <c r="D19" s="76"/>
      <c r="E19" s="78"/>
      <c r="F19" s="43"/>
      <c r="G19" s="75"/>
      <c r="H19" s="43"/>
      <c r="I19" s="75"/>
      <c r="J19" s="53"/>
    </row>
    <row r="20" spans="1:10" ht="20.100000000000001" customHeight="1">
      <c r="A20" s="75"/>
      <c r="B20" s="43"/>
      <c r="C20" s="76"/>
      <c r="D20" s="76"/>
      <c r="E20" s="78"/>
      <c r="F20" s="43"/>
      <c r="G20" s="75"/>
      <c r="H20" s="43"/>
      <c r="I20" s="75"/>
      <c r="J20" s="53"/>
    </row>
    <row r="21" spans="1:10" ht="20.100000000000001" customHeight="1">
      <c r="A21" s="75"/>
      <c r="B21" s="43"/>
      <c r="C21" s="76"/>
      <c r="D21" s="76"/>
      <c r="E21" s="78"/>
      <c r="F21" s="43"/>
      <c r="G21" s="75"/>
      <c r="H21" s="43"/>
      <c r="I21" s="75"/>
      <c r="J21" s="53"/>
    </row>
    <row r="22" spans="1:10" ht="20.100000000000001" customHeight="1">
      <c r="A22" s="75"/>
      <c r="B22" s="43"/>
      <c r="C22" s="76"/>
      <c r="D22" s="76"/>
      <c r="E22" s="78"/>
      <c r="F22" s="43"/>
      <c r="G22" s="75"/>
      <c r="H22" s="43"/>
      <c r="I22" s="75"/>
      <c r="J22" s="53"/>
    </row>
    <row r="23" spans="1:10" ht="20.100000000000001" customHeight="1">
      <c r="A23" s="75"/>
      <c r="B23" s="43"/>
      <c r="C23" s="77"/>
      <c r="D23" s="77"/>
      <c r="E23" s="78"/>
      <c r="F23" s="43"/>
      <c r="G23" s="75"/>
      <c r="H23" s="43"/>
      <c r="I23" s="75"/>
      <c r="J23" s="53"/>
    </row>
    <row r="24" spans="1:10" ht="20.100000000000001" customHeight="1">
      <c r="A24" s="75"/>
      <c r="B24" s="43"/>
      <c r="C24" s="77"/>
      <c r="D24" s="77"/>
      <c r="E24" s="78"/>
      <c r="F24" s="43"/>
      <c r="G24" s="75"/>
      <c r="H24" s="43"/>
      <c r="I24" s="75"/>
      <c r="J24" s="53"/>
    </row>
    <row r="25" spans="1:10" ht="20.100000000000001" customHeight="1">
      <c r="A25" s="75"/>
      <c r="B25" s="43"/>
      <c r="C25" s="77"/>
      <c r="D25" s="77"/>
      <c r="E25" s="78"/>
      <c r="F25" s="43"/>
      <c r="G25" s="75"/>
      <c r="H25" s="43"/>
      <c r="I25" s="75"/>
      <c r="J25" s="53"/>
    </row>
    <row r="26" spans="1:10" ht="20.100000000000001" customHeight="1">
      <c r="A26" s="75"/>
      <c r="B26" s="24"/>
      <c r="C26" s="77"/>
      <c r="D26" s="77"/>
      <c r="E26" s="12"/>
      <c r="F26" s="24"/>
      <c r="G26" s="80"/>
      <c r="H26" s="24"/>
      <c r="I26" s="80"/>
      <c r="J26" s="53"/>
    </row>
    <row r="27" spans="1:10" ht="20.100000000000001" customHeight="1">
      <c r="A27" s="58" t="str">
        <f>'截止测试-入库（记账凭证至原始凭证）F2-29'!A27</f>
        <v>——————截止日期：202X年12月31日——————</v>
      </c>
      <c r="B27" s="25"/>
      <c r="C27" s="25"/>
      <c r="D27" s="25"/>
      <c r="E27" s="25"/>
      <c r="F27" s="25"/>
      <c r="G27" s="25"/>
      <c r="H27" s="25"/>
      <c r="I27" s="25"/>
      <c r="J27" s="25"/>
    </row>
    <row r="28" spans="1:10" ht="20.100000000000001" customHeight="1">
      <c r="A28" s="75"/>
      <c r="B28" s="43"/>
      <c r="C28" s="77"/>
      <c r="D28" s="77"/>
      <c r="E28" s="78"/>
      <c r="F28" s="43"/>
      <c r="G28" s="75"/>
      <c r="H28" s="43"/>
      <c r="I28" s="75"/>
      <c r="J28" s="53"/>
    </row>
    <row r="29" spans="1:10" ht="20.100000000000001" customHeight="1">
      <c r="A29" s="75"/>
      <c r="B29" s="43"/>
      <c r="C29" s="77"/>
      <c r="D29" s="77"/>
      <c r="E29" s="78"/>
      <c r="F29" s="43"/>
      <c r="G29" s="75"/>
      <c r="H29" s="43"/>
      <c r="I29" s="75"/>
      <c r="J29" s="53"/>
    </row>
    <row r="30" spans="1:10" ht="20.100000000000001" customHeight="1">
      <c r="A30" s="75"/>
      <c r="B30" s="43"/>
      <c r="C30" s="77"/>
      <c r="D30" s="77"/>
      <c r="E30" s="78"/>
      <c r="F30" s="43"/>
      <c r="G30" s="75"/>
      <c r="H30" s="43"/>
      <c r="I30" s="75"/>
      <c r="J30" s="53"/>
    </row>
    <row r="31" spans="1:10" ht="20.100000000000001" customHeight="1">
      <c r="A31" s="75"/>
      <c r="B31" s="43"/>
      <c r="C31" s="77"/>
      <c r="D31" s="77"/>
      <c r="E31" s="78"/>
      <c r="F31" s="43"/>
      <c r="G31" s="75"/>
      <c r="H31" s="43"/>
      <c r="I31" s="75"/>
      <c r="J31" s="53"/>
    </row>
    <row r="32" spans="1:10" ht="20.100000000000001" customHeight="1">
      <c r="A32" s="75"/>
      <c r="B32" s="43"/>
      <c r="C32" s="77"/>
      <c r="D32" s="77"/>
      <c r="E32" s="78"/>
      <c r="F32" s="43"/>
      <c r="G32" s="75"/>
      <c r="H32" s="43"/>
      <c r="I32" s="75"/>
      <c r="J32" s="53"/>
    </row>
    <row r="33" spans="1:10" ht="20.100000000000001" customHeight="1">
      <c r="A33" s="75"/>
      <c r="B33" s="43"/>
      <c r="C33" s="77"/>
      <c r="D33" s="77"/>
      <c r="E33" s="78"/>
      <c r="F33" s="43"/>
      <c r="G33" s="75"/>
      <c r="H33" s="43"/>
      <c r="I33" s="75"/>
      <c r="J33" s="53"/>
    </row>
    <row r="34" spans="1:10" ht="20.100000000000001" customHeight="1">
      <c r="A34" s="75"/>
      <c r="B34" s="43"/>
      <c r="C34" s="77"/>
      <c r="D34" s="77"/>
      <c r="E34" s="78"/>
      <c r="F34" s="43"/>
      <c r="G34" s="75"/>
      <c r="H34" s="43"/>
      <c r="I34" s="75"/>
      <c r="J34" s="53"/>
    </row>
    <row r="35" spans="1:10" ht="20.100000000000001" customHeight="1">
      <c r="A35" s="75"/>
      <c r="B35" s="43"/>
      <c r="C35" s="77"/>
      <c r="D35" s="77"/>
      <c r="E35" s="78"/>
      <c r="F35" s="43"/>
      <c r="G35" s="75"/>
      <c r="H35" s="43"/>
      <c r="I35" s="75"/>
      <c r="J35" s="53"/>
    </row>
    <row r="36" spans="1:10" ht="20.100000000000001" customHeight="1">
      <c r="A36" s="75"/>
      <c r="B36" s="43"/>
      <c r="C36" s="77"/>
      <c r="D36" s="77"/>
      <c r="E36" s="78"/>
      <c r="F36" s="43"/>
      <c r="G36" s="75"/>
      <c r="H36" s="43"/>
      <c r="I36" s="75"/>
      <c r="J36" s="53"/>
    </row>
    <row r="37" spans="1:10" ht="20.100000000000001" customHeight="1">
      <c r="A37" s="75"/>
      <c r="B37" s="43"/>
      <c r="C37" s="77"/>
      <c r="D37" s="77"/>
      <c r="E37" s="78"/>
      <c r="F37" s="43"/>
      <c r="G37" s="75"/>
      <c r="H37" s="43"/>
      <c r="I37" s="75"/>
      <c r="J37" s="53"/>
    </row>
    <row r="38" spans="1:10" ht="20.100000000000001" customHeight="1">
      <c r="A38" s="75"/>
      <c r="B38" s="29"/>
      <c r="C38" s="77"/>
      <c r="D38" s="77"/>
      <c r="E38" s="79"/>
      <c r="F38" s="29"/>
      <c r="G38" s="75"/>
      <c r="H38" s="29"/>
      <c r="I38" s="81"/>
      <c r="J38" s="53"/>
    </row>
    <row r="39" spans="1:10" ht="20.100000000000001" customHeight="1">
      <c r="A39" s="75"/>
      <c r="B39" s="29"/>
      <c r="C39" s="77"/>
      <c r="D39" s="77"/>
      <c r="E39" s="79"/>
      <c r="F39" s="29"/>
      <c r="G39" s="80"/>
      <c r="H39" s="29"/>
      <c r="I39" s="81"/>
      <c r="J39" s="53"/>
    </row>
    <row r="40" spans="1:10" ht="20.100000000000001" customHeight="1">
      <c r="A40" s="26" t="s">
        <v>2</v>
      </c>
    </row>
    <row r="41" spans="1:10" ht="20.100000000000001" customHeight="1"/>
    <row r="42" spans="1:10" ht="20.100000000000001" customHeight="1"/>
    <row r="43" spans="1:10" ht="20.100000000000001" customHeight="1"/>
    <row r="44" spans="1:10" ht="20.100000000000001" customHeight="1">
      <c r="A44" s="26" t="s">
        <v>30</v>
      </c>
    </row>
    <row r="45" spans="1:10" ht="20.100000000000001" customHeight="1"/>
    <row r="46" spans="1:10" ht="20.100000000000001" customHeight="1"/>
    <row r="47" spans="1:10" ht="18" customHeight="1"/>
    <row r="48" spans="1:10" ht="18" customHeight="1">
      <c r="A48" s="132" t="s">
        <v>161</v>
      </c>
    </row>
    <row r="49" spans="1:1" ht="18" customHeight="1">
      <c r="A49" s="49" t="s">
        <v>164</v>
      </c>
    </row>
    <row r="50" spans="1:1" ht="18" customHeight="1">
      <c r="A50" s="49" t="s">
        <v>165</v>
      </c>
    </row>
    <row r="51" spans="1:1" ht="18" customHeight="1">
      <c r="A51" s="49" t="s">
        <v>166</v>
      </c>
    </row>
  </sheetData>
  <mergeCells count="8">
    <mergeCell ref="A1:J1"/>
    <mergeCell ref="A2:J2"/>
    <mergeCell ref="J13:J14"/>
    <mergeCell ref="A13:E13"/>
    <mergeCell ref="F13:G13"/>
    <mergeCell ref="H13:I13"/>
    <mergeCell ref="A9:J9"/>
    <mergeCell ref="A12:J12"/>
  </mergeCells>
  <phoneticPr fontId="14" type="noConversion"/>
  <dataValidations count="1">
    <dataValidation type="list" allowBlank="1" showInputMessage="1" showErrorMessage="1" sqref="J15:J26 J28:J39">
      <formula1>"√,×"</formula1>
    </dataValidation>
  </dataValidations>
  <hyperlinks>
    <hyperlink ref="J3" location="底稿目录!A1" display="底稿目录!A1"/>
  </hyperlinks>
  <printOptions horizontalCentered="1"/>
  <pageMargins left="0.47244094488188981" right="0.31496062992125984" top="0.51181102362204722" bottom="0.39370078740157483" header="0.47244094488188981" footer="0.23622047244094491"/>
  <pageSetup paperSize="9" scale="84" fitToHeight="0" orientation="portrait" blackAndWhite="1" cellComments="atEnd" r:id="rId1"/>
  <headerFooter alignWithMargins="0">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J51"/>
  <sheetViews>
    <sheetView view="pageBreakPreview" topLeftCell="A13" zoomScale="99" zoomScaleNormal="145" zoomScaleSheetLayoutView="99" workbookViewId="0">
      <selection sqref="A1:J1"/>
    </sheetView>
  </sheetViews>
  <sheetFormatPr defaultColWidth="9" defaultRowHeight="13.8"/>
  <cols>
    <col min="1" max="1" width="9.8984375" style="13" customWidth="1"/>
    <col min="2" max="2" width="10" style="13" customWidth="1"/>
    <col min="3" max="3" width="9.69921875" style="13" customWidth="1"/>
    <col min="4" max="4" width="8.796875" style="13" customWidth="1"/>
    <col min="5" max="5" width="10.3984375" style="13" customWidth="1"/>
    <col min="6" max="6" width="9.296875" style="13" customWidth="1"/>
    <col min="7" max="7" width="16" style="13" customWidth="1"/>
    <col min="8" max="8" width="15.19921875" style="13" customWidth="1"/>
    <col min="9" max="9" width="8.796875" style="13" customWidth="1"/>
    <col min="10" max="10" width="7.19921875" style="13" customWidth="1"/>
    <col min="11" max="16384" width="9" style="13"/>
  </cols>
  <sheetData>
    <row r="1" spans="1:10" s="54" customFormat="1" ht="20.100000000000001" customHeight="1">
      <c r="A1" s="157" t="s">
        <v>28</v>
      </c>
      <c r="B1" s="158"/>
      <c r="C1" s="158"/>
      <c r="D1" s="158"/>
      <c r="E1" s="158"/>
      <c r="F1" s="158"/>
      <c r="G1" s="158"/>
      <c r="H1" s="158"/>
      <c r="I1" s="158"/>
      <c r="J1" s="158"/>
    </row>
    <row r="2" spans="1:10" s="55" customFormat="1" ht="25.05" customHeight="1">
      <c r="A2" s="159" t="s">
        <v>168</v>
      </c>
      <c r="B2" s="160"/>
      <c r="C2" s="160"/>
      <c r="D2" s="160"/>
      <c r="E2" s="160"/>
      <c r="F2" s="160"/>
      <c r="G2" s="160"/>
      <c r="H2" s="160"/>
      <c r="I2" s="160"/>
      <c r="J2" s="160"/>
    </row>
    <row r="3" spans="1:10" ht="20.100000000000001" customHeight="1">
      <c r="A3" s="13" t="str">
        <f>底稿目录!A2</f>
        <v>被审计单位：</v>
      </c>
      <c r="B3" s="27"/>
      <c r="D3" s="13" t="str">
        <f>底稿目录!A4</f>
        <v>编制人：</v>
      </c>
      <c r="E3" s="31"/>
      <c r="G3" s="13" t="str">
        <f>底稿目录!A5</f>
        <v>编制日期：</v>
      </c>
      <c r="I3" s="23" t="s">
        <v>3</v>
      </c>
      <c r="J3" s="138" t="str">
        <f>底稿目录!F6</f>
        <v>F2-32</v>
      </c>
    </row>
    <row r="4" spans="1:10" ht="20.100000000000001" customHeight="1">
      <c r="A4" s="13" t="str">
        <f>底稿目录!A3</f>
        <v>截止日：202X年12月31日</v>
      </c>
      <c r="B4" s="27"/>
      <c r="D4" s="13" t="str">
        <f>底稿目录!A6</f>
        <v>复核人：</v>
      </c>
      <c r="E4" s="31"/>
      <c r="G4" s="13" t="str">
        <f>底稿目录!A7</f>
        <v>复核日期：</v>
      </c>
      <c r="I4" s="23" t="s">
        <v>29</v>
      </c>
    </row>
    <row r="5" spans="1:10" s="5" customFormat="1" ht="20.100000000000001" customHeight="1">
      <c r="A5" s="21" t="s">
        <v>39</v>
      </c>
      <c r="B5" s="9"/>
      <c r="C5" s="9"/>
      <c r="D5" s="9"/>
      <c r="E5" s="9"/>
      <c r="F5" s="9"/>
      <c r="G5" s="9"/>
      <c r="H5" s="9"/>
      <c r="I5" s="9"/>
      <c r="J5" s="9"/>
    </row>
    <row r="6" spans="1:10" s="5" customFormat="1" ht="16.8" customHeight="1">
      <c r="A6" s="20" t="s">
        <v>76</v>
      </c>
      <c r="B6" s="44"/>
      <c r="C6" s="20"/>
      <c r="D6" s="20"/>
      <c r="E6" s="20"/>
      <c r="F6" s="20"/>
      <c r="G6" s="20"/>
      <c r="H6" s="20"/>
      <c r="I6" s="20"/>
      <c r="J6" s="20"/>
    </row>
    <row r="7" spans="1:10" s="5" customFormat="1" ht="16.8" customHeight="1">
      <c r="A7" s="20" t="s">
        <v>75</v>
      </c>
      <c r="B7" s="44"/>
      <c r="C7" s="20"/>
      <c r="D7" s="20"/>
      <c r="E7" s="20"/>
      <c r="F7" s="20"/>
      <c r="G7" s="20"/>
      <c r="H7" s="20"/>
      <c r="I7" s="20"/>
      <c r="J7" s="20"/>
    </row>
    <row r="8" spans="1:10" s="5" customFormat="1" ht="16.8" customHeight="1">
      <c r="A8" s="21" t="s">
        <v>56</v>
      </c>
      <c r="B8" s="21"/>
      <c r="C8" s="21"/>
      <c r="D8" s="21"/>
      <c r="E8" s="21"/>
      <c r="F8" s="21"/>
      <c r="G8" s="21"/>
      <c r="H8" s="21"/>
      <c r="I8" s="21"/>
      <c r="J8" s="21"/>
    </row>
    <row r="9" spans="1:10" s="5" customFormat="1" ht="16.8" customHeight="1">
      <c r="A9" s="20" t="s">
        <v>84</v>
      </c>
      <c r="B9" s="20"/>
      <c r="C9" s="20"/>
      <c r="D9" s="20"/>
      <c r="E9" s="20"/>
      <c r="F9" s="20"/>
      <c r="G9" s="20"/>
      <c r="H9" s="20"/>
      <c r="I9" s="20"/>
      <c r="J9" s="20"/>
    </row>
    <row r="10" spans="1:10" s="5" customFormat="1" ht="16.8" customHeight="1">
      <c r="A10" s="20" t="s">
        <v>85</v>
      </c>
      <c r="B10" s="20"/>
      <c r="C10" s="20"/>
      <c r="D10" s="20"/>
      <c r="E10" s="20"/>
      <c r="F10" s="20"/>
      <c r="G10" s="20"/>
      <c r="H10" s="20"/>
      <c r="I10" s="20"/>
      <c r="J10" s="20"/>
    </row>
    <row r="11" spans="1:10" s="5" customFormat="1" ht="16.8" customHeight="1">
      <c r="A11" s="64" t="s">
        <v>82</v>
      </c>
      <c r="B11" s="71"/>
      <c r="C11" s="71"/>
      <c r="D11" s="71"/>
      <c r="E11" s="71"/>
      <c r="F11" s="71"/>
      <c r="G11" s="71"/>
      <c r="H11" s="71"/>
      <c r="I11" s="71"/>
      <c r="J11" s="71"/>
    </row>
    <row r="12" spans="1:10" s="5" customFormat="1" ht="26.4" customHeight="1">
      <c r="A12" s="177" t="s">
        <v>163</v>
      </c>
      <c r="B12" s="177"/>
      <c r="C12" s="177"/>
      <c r="D12" s="177"/>
      <c r="E12" s="177"/>
      <c r="F12" s="177"/>
      <c r="G12" s="177"/>
      <c r="H12" s="177"/>
      <c r="I12" s="177"/>
      <c r="J12" s="177"/>
    </row>
    <row r="13" spans="1:10" ht="16.8" customHeight="1">
      <c r="A13" s="172" t="s">
        <v>136</v>
      </c>
      <c r="B13" s="173"/>
      <c r="C13" s="174" t="s">
        <v>71</v>
      </c>
      <c r="D13" s="175"/>
      <c r="E13" s="163" t="s">
        <v>58</v>
      </c>
      <c r="F13" s="163"/>
      <c r="G13" s="163"/>
      <c r="H13" s="163"/>
      <c r="I13" s="163"/>
      <c r="J13" s="167" t="s">
        <v>68</v>
      </c>
    </row>
    <row r="14" spans="1:10" ht="16.8" customHeight="1">
      <c r="A14" s="63" t="s">
        <v>7</v>
      </c>
      <c r="B14" s="63" t="s">
        <v>5</v>
      </c>
      <c r="C14" s="74" t="s">
        <v>7</v>
      </c>
      <c r="D14" s="74" t="s">
        <v>5</v>
      </c>
      <c r="E14" s="63" t="s">
        <v>5</v>
      </c>
      <c r="F14" s="63" t="s">
        <v>59</v>
      </c>
      <c r="G14" s="63" t="s">
        <v>60</v>
      </c>
      <c r="H14" s="124" t="s">
        <v>160</v>
      </c>
      <c r="I14" s="63" t="s">
        <v>61</v>
      </c>
      <c r="J14" s="168"/>
    </row>
    <row r="15" spans="1:10" ht="20.100000000000001" customHeight="1">
      <c r="A15" s="43"/>
      <c r="B15" s="75"/>
      <c r="C15" s="43"/>
      <c r="D15" s="75"/>
      <c r="E15" s="75"/>
      <c r="F15" s="43"/>
      <c r="G15" s="77"/>
      <c r="H15" s="77"/>
      <c r="I15" s="78"/>
      <c r="J15" s="53"/>
    </row>
    <row r="16" spans="1:10" ht="20.100000000000001" customHeight="1">
      <c r="A16" s="43"/>
      <c r="B16" s="75"/>
      <c r="C16" s="43"/>
      <c r="D16" s="75"/>
      <c r="E16" s="75"/>
      <c r="F16" s="43"/>
      <c r="G16" s="77"/>
      <c r="H16" s="77"/>
      <c r="I16" s="78"/>
      <c r="J16" s="53"/>
    </row>
    <row r="17" spans="1:10" ht="20.100000000000001" customHeight="1">
      <c r="A17" s="43"/>
      <c r="B17" s="75"/>
      <c r="C17" s="43"/>
      <c r="D17" s="75"/>
      <c r="E17" s="75"/>
      <c r="F17" s="43"/>
      <c r="G17" s="77"/>
      <c r="H17" s="77"/>
      <c r="I17" s="78"/>
      <c r="J17" s="53"/>
    </row>
    <row r="18" spans="1:10" ht="20.100000000000001" customHeight="1">
      <c r="A18" s="43"/>
      <c r="B18" s="75"/>
      <c r="C18" s="43"/>
      <c r="D18" s="75"/>
      <c r="E18" s="75"/>
      <c r="F18" s="43"/>
      <c r="G18" s="77"/>
      <c r="H18" s="77"/>
      <c r="I18" s="78"/>
      <c r="J18" s="53"/>
    </row>
    <row r="19" spans="1:10" ht="20.100000000000001" customHeight="1">
      <c r="A19" s="43"/>
      <c r="B19" s="75"/>
      <c r="C19" s="43"/>
      <c r="D19" s="75"/>
      <c r="E19" s="75"/>
      <c r="F19" s="43"/>
      <c r="G19" s="77"/>
      <c r="H19" s="77"/>
      <c r="I19" s="78"/>
      <c r="J19" s="53"/>
    </row>
    <row r="20" spans="1:10" ht="20.100000000000001" customHeight="1">
      <c r="A20" s="43"/>
      <c r="B20" s="75"/>
      <c r="C20" s="43"/>
      <c r="D20" s="75"/>
      <c r="E20" s="75"/>
      <c r="F20" s="43"/>
      <c r="G20" s="77"/>
      <c r="H20" s="77"/>
      <c r="I20" s="78"/>
      <c r="J20" s="53"/>
    </row>
    <row r="21" spans="1:10" ht="20.100000000000001" customHeight="1">
      <c r="A21" s="43"/>
      <c r="B21" s="75"/>
      <c r="C21" s="43"/>
      <c r="D21" s="75"/>
      <c r="E21" s="75"/>
      <c r="F21" s="43"/>
      <c r="G21" s="77"/>
      <c r="H21" s="77"/>
      <c r="I21" s="78"/>
      <c r="J21" s="53"/>
    </row>
    <row r="22" spans="1:10" ht="20.100000000000001" customHeight="1">
      <c r="A22" s="43"/>
      <c r="B22" s="75"/>
      <c r="C22" s="43"/>
      <c r="D22" s="75"/>
      <c r="E22" s="75"/>
      <c r="F22" s="43"/>
      <c r="G22" s="77"/>
      <c r="H22" s="77"/>
      <c r="I22" s="78"/>
      <c r="J22" s="53"/>
    </row>
    <row r="23" spans="1:10" ht="20.100000000000001" customHeight="1">
      <c r="A23" s="43"/>
      <c r="B23" s="75"/>
      <c r="C23" s="43"/>
      <c r="D23" s="75"/>
      <c r="E23" s="75"/>
      <c r="F23" s="43"/>
      <c r="G23" s="77"/>
      <c r="H23" s="77"/>
      <c r="I23" s="78"/>
      <c r="J23" s="53"/>
    </row>
    <row r="24" spans="1:10" ht="20.100000000000001" customHeight="1">
      <c r="A24" s="43"/>
      <c r="B24" s="75"/>
      <c r="C24" s="43"/>
      <c r="D24" s="75"/>
      <c r="E24" s="75"/>
      <c r="F24" s="43"/>
      <c r="G24" s="77"/>
      <c r="H24" s="77"/>
      <c r="I24" s="78"/>
      <c r="J24" s="53"/>
    </row>
    <row r="25" spans="1:10" ht="20.100000000000001" customHeight="1">
      <c r="A25" s="43"/>
      <c r="B25" s="75"/>
      <c r="C25" s="43"/>
      <c r="D25" s="75"/>
      <c r="E25" s="75"/>
      <c r="F25" s="43"/>
      <c r="G25" s="77"/>
      <c r="H25" s="77"/>
      <c r="I25" s="78"/>
      <c r="J25" s="53"/>
    </row>
    <row r="26" spans="1:10" ht="20.100000000000001" customHeight="1">
      <c r="A26" s="43"/>
      <c r="B26" s="80"/>
      <c r="C26" s="24"/>
      <c r="D26" s="80"/>
      <c r="E26" s="80"/>
      <c r="F26" s="24"/>
      <c r="G26" s="77"/>
      <c r="H26" s="77"/>
      <c r="I26" s="12"/>
      <c r="J26" s="53"/>
    </row>
    <row r="27" spans="1:10" ht="20.100000000000001" customHeight="1">
      <c r="A27" s="58" t="str">
        <f>'截止测试-入库（记账凭证至原始凭证）F2-29'!A27</f>
        <v>——————截止日期：202X年12月31日——————</v>
      </c>
      <c r="B27" s="25"/>
      <c r="C27" s="25"/>
      <c r="D27" s="25"/>
      <c r="E27" s="25"/>
      <c r="F27" s="25"/>
      <c r="G27" s="25"/>
      <c r="H27" s="25"/>
      <c r="I27" s="25"/>
      <c r="J27" s="25"/>
    </row>
    <row r="28" spans="1:10" ht="20.100000000000001" customHeight="1">
      <c r="A28" s="43"/>
      <c r="B28" s="75"/>
      <c r="C28" s="43"/>
      <c r="D28" s="75"/>
      <c r="E28" s="75"/>
      <c r="F28" s="43"/>
      <c r="G28" s="77"/>
      <c r="H28" s="77"/>
      <c r="I28" s="78"/>
      <c r="J28" s="53"/>
    </row>
    <row r="29" spans="1:10" ht="20.100000000000001" customHeight="1">
      <c r="A29" s="43"/>
      <c r="B29" s="75"/>
      <c r="C29" s="43"/>
      <c r="D29" s="75"/>
      <c r="E29" s="75"/>
      <c r="F29" s="43"/>
      <c r="G29" s="77"/>
      <c r="H29" s="77"/>
      <c r="I29" s="78"/>
      <c r="J29" s="53"/>
    </row>
    <row r="30" spans="1:10" ht="20.100000000000001" customHeight="1">
      <c r="A30" s="43"/>
      <c r="B30" s="75"/>
      <c r="C30" s="43"/>
      <c r="D30" s="75"/>
      <c r="E30" s="75"/>
      <c r="F30" s="43"/>
      <c r="G30" s="77"/>
      <c r="H30" s="77"/>
      <c r="I30" s="78"/>
      <c r="J30" s="53"/>
    </row>
    <row r="31" spans="1:10" ht="20.100000000000001" customHeight="1">
      <c r="A31" s="43"/>
      <c r="B31" s="75"/>
      <c r="C31" s="43"/>
      <c r="D31" s="75"/>
      <c r="E31" s="75"/>
      <c r="F31" s="43"/>
      <c r="G31" s="77"/>
      <c r="H31" s="77"/>
      <c r="I31" s="78"/>
      <c r="J31" s="53"/>
    </row>
    <row r="32" spans="1:10" ht="20.100000000000001" customHeight="1">
      <c r="A32" s="43"/>
      <c r="B32" s="75"/>
      <c r="C32" s="43"/>
      <c r="D32" s="75"/>
      <c r="E32" s="75"/>
      <c r="F32" s="43"/>
      <c r="G32" s="77"/>
      <c r="H32" s="77"/>
      <c r="I32" s="78"/>
      <c r="J32" s="53"/>
    </row>
    <row r="33" spans="1:10" ht="20.100000000000001" customHeight="1">
      <c r="A33" s="43"/>
      <c r="B33" s="75"/>
      <c r="C33" s="43"/>
      <c r="D33" s="75"/>
      <c r="E33" s="75"/>
      <c r="F33" s="43"/>
      <c r="G33" s="77"/>
      <c r="H33" s="77"/>
      <c r="I33" s="78"/>
      <c r="J33" s="53"/>
    </row>
    <row r="34" spans="1:10" ht="20.100000000000001" customHeight="1">
      <c r="A34" s="43"/>
      <c r="B34" s="75"/>
      <c r="C34" s="43"/>
      <c r="D34" s="75"/>
      <c r="E34" s="75"/>
      <c r="F34" s="43"/>
      <c r="G34" s="77"/>
      <c r="H34" s="77"/>
      <c r="I34" s="78"/>
      <c r="J34" s="53"/>
    </row>
    <row r="35" spans="1:10" ht="20.100000000000001" customHeight="1">
      <c r="A35" s="43"/>
      <c r="B35" s="75"/>
      <c r="C35" s="43"/>
      <c r="D35" s="75"/>
      <c r="E35" s="75"/>
      <c r="F35" s="43"/>
      <c r="G35" s="77"/>
      <c r="H35" s="77"/>
      <c r="I35" s="78"/>
      <c r="J35" s="53"/>
    </row>
    <row r="36" spans="1:10" ht="20.100000000000001" customHeight="1">
      <c r="A36" s="43"/>
      <c r="B36" s="75"/>
      <c r="C36" s="43"/>
      <c r="D36" s="75"/>
      <c r="E36" s="75"/>
      <c r="F36" s="43"/>
      <c r="G36" s="77"/>
      <c r="H36" s="77"/>
      <c r="I36" s="78"/>
      <c r="J36" s="53"/>
    </row>
    <row r="37" spans="1:10" ht="20.100000000000001" customHeight="1">
      <c r="A37" s="43"/>
      <c r="B37" s="75"/>
      <c r="C37" s="43"/>
      <c r="D37" s="75"/>
      <c r="E37" s="75"/>
      <c r="F37" s="43"/>
      <c r="G37" s="77"/>
      <c r="H37" s="77"/>
      <c r="I37" s="78"/>
      <c r="J37" s="53"/>
    </row>
    <row r="38" spans="1:10" ht="20.100000000000001" customHeight="1">
      <c r="A38" s="43"/>
      <c r="B38" s="81"/>
      <c r="C38" s="29"/>
      <c r="D38" s="81"/>
      <c r="E38" s="75"/>
      <c r="F38" s="29"/>
      <c r="G38" s="77"/>
      <c r="H38" s="77"/>
      <c r="I38" s="78"/>
      <c r="J38" s="53"/>
    </row>
    <row r="39" spans="1:10" ht="20.100000000000001" customHeight="1">
      <c r="A39" s="43"/>
      <c r="B39" s="81"/>
      <c r="C39" s="29"/>
      <c r="D39" s="81"/>
      <c r="E39" s="80"/>
      <c r="F39" s="29"/>
      <c r="G39" s="77"/>
      <c r="H39" s="77"/>
      <c r="I39" s="12"/>
      <c r="J39" s="53"/>
    </row>
    <row r="40" spans="1:10" ht="20.100000000000001" customHeight="1">
      <c r="A40" s="26" t="s">
        <v>2</v>
      </c>
    </row>
    <row r="41" spans="1:10" ht="20.100000000000001" customHeight="1"/>
    <row r="42" spans="1:10" ht="20.100000000000001" customHeight="1"/>
    <row r="43" spans="1:10" ht="20.100000000000001" customHeight="1"/>
    <row r="44" spans="1:10" ht="20.100000000000001" customHeight="1">
      <c r="A44" s="26" t="s">
        <v>30</v>
      </c>
    </row>
    <row r="45" spans="1:10" ht="20.100000000000001" customHeight="1"/>
    <row r="46" spans="1:10" ht="20.100000000000001" customHeight="1"/>
    <row r="47" spans="1:10" ht="18" customHeight="1"/>
    <row r="48" spans="1:10" ht="18" customHeight="1">
      <c r="A48" s="132" t="s">
        <v>161</v>
      </c>
    </row>
    <row r="49" spans="1:1" ht="18" customHeight="1">
      <c r="A49" s="49" t="s">
        <v>164</v>
      </c>
    </row>
    <row r="50" spans="1:1" ht="18" customHeight="1">
      <c r="A50" s="49" t="s">
        <v>165</v>
      </c>
    </row>
    <row r="51" spans="1:1" ht="18" customHeight="1">
      <c r="A51" s="49" t="s">
        <v>167</v>
      </c>
    </row>
  </sheetData>
  <mergeCells count="7">
    <mergeCell ref="A1:J1"/>
    <mergeCell ref="A2:J2"/>
    <mergeCell ref="J13:J14"/>
    <mergeCell ref="E13:I13"/>
    <mergeCell ref="C13:D13"/>
    <mergeCell ref="A13:B13"/>
    <mergeCell ref="A12:J12"/>
  </mergeCells>
  <phoneticPr fontId="14" type="noConversion"/>
  <dataValidations count="1">
    <dataValidation type="list" allowBlank="1" showInputMessage="1" showErrorMessage="1" sqref="J15:J26 J28:J39">
      <formula1>"√,×"</formula1>
    </dataValidation>
  </dataValidations>
  <hyperlinks>
    <hyperlink ref="J3" location="底稿目录!A1" display="底稿目录!A1"/>
  </hyperlinks>
  <printOptions horizontalCentered="1"/>
  <pageMargins left="0.55118110236220474" right="0.27559055118110237" top="0.62992125984251968" bottom="0.51181102362204722" header="0.51181102362204722" footer="0.35433070866141736"/>
  <pageSetup paperSize="9" scale="84" fitToHeight="0" orientation="portrait" blackAndWhite="1" cellComments="atEnd" r:id="rId1"/>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V43"/>
  <sheetViews>
    <sheetView view="pageBreakPreview" topLeftCell="A22" zoomScaleNormal="100" zoomScaleSheetLayoutView="100" workbookViewId="0">
      <selection activeCell="B17" sqref="B17"/>
    </sheetView>
  </sheetViews>
  <sheetFormatPr defaultRowHeight="15.6"/>
  <cols>
    <col min="1" max="1" width="13" customWidth="1"/>
    <col min="2" max="2" width="9.09765625" customWidth="1"/>
    <col min="3" max="3" width="8.796875" customWidth="1"/>
    <col min="4" max="4" width="13.5" customWidth="1"/>
    <col min="5" max="5" width="11.5" customWidth="1"/>
    <col min="6" max="6" width="5.59765625" customWidth="1"/>
    <col min="7" max="7" width="5.796875" customWidth="1"/>
    <col min="8" max="8" width="9.69921875" customWidth="1"/>
    <col min="9" max="9" width="10" customWidth="1"/>
    <col min="10" max="10" width="11.69921875" customWidth="1"/>
    <col min="11" max="11" width="8.69921875" customWidth="1"/>
    <col min="12" max="12" width="7.796875" customWidth="1"/>
    <col min="13" max="13" width="8.59765625" customWidth="1"/>
    <col min="14" max="14" width="8.296875" customWidth="1"/>
    <col min="15" max="15" width="14.19921875" customWidth="1"/>
    <col min="16" max="16" width="6.3984375" customWidth="1"/>
    <col min="17" max="17" width="8.296875" customWidth="1"/>
    <col min="18" max="18" width="12.09765625" customWidth="1"/>
    <col min="19" max="19" width="8" customWidth="1"/>
    <col min="20" max="20" width="6" customWidth="1"/>
    <col min="21" max="21" width="7.796875" customWidth="1"/>
    <col min="22" max="22" width="5.296875" customWidth="1"/>
  </cols>
  <sheetData>
    <row r="1" spans="1:22" ht="19.95" customHeight="1">
      <c r="A1" s="169" t="s">
        <v>28</v>
      </c>
      <c r="B1" s="169"/>
      <c r="C1" s="169"/>
      <c r="D1" s="169"/>
      <c r="E1" s="169"/>
      <c r="F1" s="169"/>
      <c r="G1" s="169"/>
      <c r="H1" s="169"/>
      <c r="I1" s="169"/>
      <c r="J1" s="169"/>
      <c r="K1" s="169"/>
      <c r="L1" s="169"/>
      <c r="M1" s="169"/>
      <c r="N1" s="169"/>
      <c r="O1" s="169"/>
      <c r="P1" s="169"/>
      <c r="Q1" s="169"/>
      <c r="R1" s="169"/>
      <c r="S1" s="169"/>
      <c r="T1" s="169"/>
      <c r="U1" s="169"/>
      <c r="V1" s="169"/>
    </row>
    <row r="2" spans="1:22" ht="19.95" customHeight="1">
      <c r="A2" s="171" t="s">
        <v>141</v>
      </c>
      <c r="B2" s="171"/>
      <c r="C2" s="171"/>
      <c r="D2" s="171"/>
      <c r="E2" s="171"/>
      <c r="F2" s="171"/>
      <c r="G2" s="171"/>
      <c r="H2" s="171"/>
      <c r="I2" s="171"/>
      <c r="J2" s="171"/>
      <c r="K2" s="171"/>
      <c r="L2" s="171"/>
      <c r="M2" s="171"/>
      <c r="N2" s="171"/>
      <c r="O2" s="171"/>
      <c r="P2" s="171"/>
      <c r="Q2" s="171"/>
      <c r="R2" s="171"/>
      <c r="S2" s="171"/>
      <c r="T2" s="171"/>
      <c r="U2" s="171"/>
      <c r="V2" s="171"/>
    </row>
    <row r="3" spans="1:22" ht="19.95" customHeight="1">
      <c r="A3" s="13" t="str">
        <f>底稿目录!A2</f>
        <v>被审计单位：</v>
      </c>
      <c r="B3" s="13"/>
      <c r="C3" s="27"/>
      <c r="D3" s="13"/>
      <c r="E3" s="13"/>
      <c r="F3" s="13"/>
      <c r="G3" s="13"/>
      <c r="H3" s="13"/>
      <c r="I3" s="13" t="str">
        <f>底稿目录!A4</f>
        <v>编制人：</v>
      </c>
      <c r="M3" s="13"/>
      <c r="O3" s="13" t="str">
        <f>底稿目录!A5</f>
        <v>编制日期：</v>
      </c>
      <c r="P3" s="13"/>
      <c r="Q3" s="13"/>
      <c r="U3" s="13" t="s">
        <v>103</v>
      </c>
      <c r="V3" s="138" t="str">
        <f>底稿目录!F7</f>
        <v>F2-33</v>
      </c>
    </row>
    <row r="4" spans="1:22" ht="19.95" customHeight="1">
      <c r="A4" s="13" t="str">
        <f>底稿目录!A3</f>
        <v>截止日：202X年12月31日</v>
      </c>
      <c r="B4" s="13"/>
      <c r="C4" s="27"/>
      <c r="D4" s="13"/>
      <c r="E4" s="13"/>
      <c r="F4" s="13"/>
      <c r="G4" s="13"/>
      <c r="H4" s="13"/>
      <c r="I4" s="13" t="str">
        <f>底稿目录!A6</f>
        <v>复核人：</v>
      </c>
      <c r="M4" s="13"/>
      <c r="O4" s="13" t="str">
        <f>底稿目录!A7</f>
        <v>复核日期：</v>
      </c>
      <c r="P4" s="13"/>
      <c r="Q4" s="13"/>
      <c r="U4" s="13" t="s">
        <v>104</v>
      </c>
      <c r="V4" s="13"/>
    </row>
    <row r="5" spans="1:22" ht="19.95" customHeight="1">
      <c r="A5" s="91" t="s">
        <v>94</v>
      </c>
      <c r="B5" s="91"/>
      <c r="C5" s="27"/>
      <c r="D5" s="13"/>
      <c r="E5" s="13"/>
      <c r="F5" s="13"/>
      <c r="G5" s="13"/>
      <c r="H5" s="13"/>
      <c r="I5" s="13"/>
      <c r="J5" s="13"/>
      <c r="K5" s="13"/>
      <c r="L5" s="13"/>
      <c r="M5" s="13"/>
      <c r="N5" s="13"/>
      <c r="O5" s="13"/>
      <c r="P5" s="13"/>
      <c r="Q5" s="13"/>
      <c r="R5" s="23"/>
      <c r="S5" s="13"/>
      <c r="T5" s="13"/>
    </row>
    <row r="6" spans="1:22" ht="19.95" customHeight="1">
      <c r="A6" s="98" t="s">
        <v>100</v>
      </c>
      <c r="B6" s="98"/>
      <c r="C6" s="27"/>
      <c r="D6" s="13"/>
      <c r="E6" s="13"/>
      <c r="F6" s="13"/>
      <c r="G6" s="13"/>
      <c r="H6" s="13"/>
      <c r="I6" s="13"/>
      <c r="J6" s="13"/>
      <c r="K6" s="13"/>
      <c r="L6" s="13"/>
      <c r="M6" s="13"/>
      <c r="N6" s="13"/>
      <c r="O6" s="13"/>
      <c r="P6" s="13"/>
      <c r="Q6" s="13"/>
      <c r="R6" s="23"/>
      <c r="S6" s="13"/>
      <c r="T6" s="13"/>
    </row>
    <row r="7" spans="1:22" ht="19.95" customHeight="1">
      <c r="A7" s="98" t="s">
        <v>101</v>
      </c>
      <c r="B7" s="98"/>
      <c r="C7" s="27"/>
      <c r="D7" s="13"/>
      <c r="E7" s="13"/>
      <c r="F7" s="13"/>
      <c r="G7" s="13"/>
      <c r="H7" s="13"/>
      <c r="I7" s="13"/>
      <c r="J7" s="13"/>
      <c r="K7" s="13"/>
      <c r="L7" s="13"/>
      <c r="M7" s="13"/>
      <c r="N7" s="13"/>
      <c r="O7" s="13"/>
      <c r="P7" s="13"/>
      <c r="Q7" s="13"/>
      <c r="R7" s="23"/>
      <c r="S7" s="13"/>
      <c r="T7" s="13"/>
    </row>
    <row r="8" spans="1:22" ht="19.95" customHeight="1">
      <c r="A8" s="98" t="s">
        <v>102</v>
      </c>
      <c r="B8" s="98"/>
      <c r="C8" s="27"/>
      <c r="D8" s="13"/>
      <c r="E8" s="13"/>
      <c r="F8" s="13"/>
      <c r="G8" s="13"/>
      <c r="H8" s="13"/>
      <c r="I8" s="13"/>
      <c r="J8" s="13"/>
      <c r="K8" s="13"/>
      <c r="L8" s="13"/>
      <c r="M8" s="13"/>
      <c r="N8" s="13"/>
      <c r="O8" s="13"/>
      <c r="P8" s="13"/>
      <c r="Q8" s="13"/>
      <c r="R8" s="23"/>
      <c r="S8" s="13"/>
      <c r="T8" s="13"/>
    </row>
    <row r="9" spans="1:22" ht="19.95" customHeight="1">
      <c r="A9" s="92" t="s">
        <v>95</v>
      </c>
      <c r="B9" s="92"/>
    </row>
    <row r="10" spans="1:22" ht="19.95" customHeight="1">
      <c r="A10" s="93" t="s">
        <v>169</v>
      </c>
      <c r="B10" s="94" t="s">
        <v>177</v>
      </c>
      <c r="J10" s="93" t="s">
        <v>170</v>
      </c>
      <c r="K10" s="94" t="s">
        <v>197</v>
      </c>
      <c r="O10" s="93"/>
      <c r="P10" s="93"/>
    </row>
    <row r="11" spans="1:22" ht="19.95" customHeight="1">
      <c r="A11" s="93" t="s">
        <v>171</v>
      </c>
      <c r="B11" s="94" t="s">
        <v>172</v>
      </c>
      <c r="J11" s="93" t="s">
        <v>173</v>
      </c>
      <c r="K11" s="94"/>
      <c r="L11" s="94" t="s">
        <v>174</v>
      </c>
      <c r="M11" s="94" t="s">
        <v>184</v>
      </c>
      <c r="O11" s="94"/>
      <c r="P11" s="93"/>
      <c r="V11" s="93"/>
    </row>
    <row r="12" spans="1:22" ht="19.95" customHeight="1">
      <c r="A12" s="93" t="s">
        <v>175</v>
      </c>
      <c r="B12" s="94" t="s">
        <v>206</v>
      </c>
      <c r="J12" s="93" t="s">
        <v>176</v>
      </c>
      <c r="K12" s="94" t="s">
        <v>183</v>
      </c>
      <c r="O12" s="93"/>
      <c r="P12" s="93"/>
      <c r="Q12" s="94"/>
      <c r="V12" s="93"/>
    </row>
    <row r="13" spans="1:22" ht="19.8" customHeight="1">
      <c r="A13" s="21" t="s">
        <v>96</v>
      </c>
      <c r="B13" s="21"/>
      <c r="C13" s="27"/>
      <c r="D13" s="13"/>
      <c r="E13" s="13"/>
      <c r="F13" s="13"/>
      <c r="G13" s="13"/>
      <c r="H13" s="13"/>
      <c r="I13" s="13"/>
      <c r="J13" s="13"/>
      <c r="K13" s="13"/>
      <c r="L13" s="13"/>
      <c r="M13" s="13"/>
      <c r="N13" s="13"/>
      <c r="O13" s="13"/>
      <c r="P13" s="13"/>
      <c r="Q13" s="13"/>
      <c r="R13" s="23"/>
      <c r="S13" s="13"/>
      <c r="T13" s="13"/>
    </row>
    <row r="14" spans="1:22" ht="19.8" customHeight="1">
      <c r="A14" s="145" t="s">
        <v>207</v>
      </c>
      <c r="B14" s="145"/>
      <c r="C14" s="27"/>
      <c r="D14" s="13"/>
      <c r="E14" s="13"/>
      <c r="F14" s="13"/>
      <c r="G14" s="13"/>
      <c r="H14" s="13"/>
      <c r="I14" s="13"/>
      <c r="J14" s="13"/>
      <c r="K14" s="13"/>
      <c r="L14" s="13"/>
      <c r="M14" s="13"/>
      <c r="N14" s="13"/>
      <c r="O14" s="13"/>
      <c r="P14" s="13"/>
      <c r="Q14" s="13"/>
      <c r="R14" s="23"/>
      <c r="S14" s="13"/>
      <c r="T14" s="13"/>
    </row>
    <row r="15" spans="1:22" s="112" customFormat="1" ht="19.95" customHeight="1">
      <c r="A15" s="179" t="s">
        <v>121</v>
      </c>
      <c r="B15" s="192" t="s">
        <v>213</v>
      </c>
      <c r="C15" s="180" t="s">
        <v>110</v>
      </c>
      <c r="D15" s="181"/>
      <c r="E15" s="181"/>
      <c r="F15" s="181"/>
      <c r="G15" s="181"/>
      <c r="H15" s="181"/>
      <c r="I15" s="181"/>
      <c r="J15" s="182"/>
      <c r="K15" s="185" t="s">
        <v>131</v>
      </c>
      <c r="L15" s="186"/>
      <c r="M15" s="99" t="s">
        <v>132</v>
      </c>
      <c r="N15" s="187" t="s">
        <v>122</v>
      </c>
      <c r="O15" s="188"/>
      <c r="P15" s="189"/>
      <c r="Q15" s="183" t="s">
        <v>133</v>
      </c>
      <c r="R15" s="183"/>
      <c r="S15" s="183"/>
      <c r="T15" s="184" t="s">
        <v>97</v>
      </c>
      <c r="U15" s="179" t="s">
        <v>112</v>
      </c>
      <c r="V15" s="178" t="s">
        <v>119</v>
      </c>
    </row>
    <row r="16" spans="1:22" s="114" customFormat="1" ht="19.95" customHeight="1">
      <c r="A16" s="179"/>
      <c r="B16" s="179"/>
      <c r="C16" s="100" t="s">
        <v>106</v>
      </c>
      <c r="D16" s="100" t="s">
        <v>114</v>
      </c>
      <c r="E16" s="124" t="s">
        <v>178</v>
      </c>
      <c r="F16" s="124" t="s">
        <v>179</v>
      </c>
      <c r="G16" s="124" t="s">
        <v>180</v>
      </c>
      <c r="H16" s="123" t="s">
        <v>124</v>
      </c>
      <c r="I16" s="100" t="s">
        <v>107</v>
      </c>
      <c r="J16" s="100" t="s">
        <v>123</v>
      </c>
      <c r="K16" s="101" t="s">
        <v>129</v>
      </c>
      <c r="L16" s="101" t="s">
        <v>125</v>
      </c>
      <c r="M16" s="99" t="s">
        <v>134</v>
      </c>
      <c r="N16" s="99" t="s">
        <v>130</v>
      </c>
      <c r="O16" s="99" t="s">
        <v>126</v>
      </c>
      <c r="P16" s="99" t="s">
        <v>120</v>
      </c>
      <c r="Q16" s="113" t="s">
        <v>130</v>
      </c>
      <c r="R16" s="113" t="s">
        <v>127</v>
      </c>
      <c r="S16" s="113" t="s">
        <v>128</v>
      </c>
      <c r="T16" s="184"/>
      <c r="U16" s="179"/>
      <c r="V16" s="178"/>
    </row>
    <row r="17" spans="1:22" s="115" customFormat="1" ht="19.95" customHeight="1">
      <c r="A17" s="102"/>
      <c r="B17" s="102"/>
      <c r="C17" s="102"/>
      <c r="D17" s="103"/>
      <c r="E17" s="135"/>
      <c r="F17" s="136"/>
      <c r="G17" s="119"/>
      <c r="H17" s="118"/>
      <c r="I17" s="103"/>
      <c r="J17" s="103"/>
      <c r="K17" s="104"/>
      <c r="L17" s="119"/>
      <c r="M17" s="104"/>
      <c r="N17" s="104"/>
      <c r="O17" s="104"/>
      <c r="P17" s="119"/>
      <c r="Q17" s="106"/>
      <c r="R17" s="104"/>
      <c r="S17" s="119"/>
      <c r="T17" s="104"/>
      <c r="U17" s="120"/>
      <c r="V17" s="106"/>
    </row>
    <row r="18" spans="1:22" s="115" customFormat="1" ht="19.95" customHeight="1">
      <c r="A18" s="102"/>
      <c r="B18" s="102"/>
      <c r="C18" s="102"/>
      <c r="D18" s="103"/>
      <c r="E18" s="135"/>
      <c r="F18" s="136"/>
      <c r="G18" s="119"/>
      <c r="H18" s="118"/>
      <c r="I18" s="103"/>
      <c r="J18" s="103"/>
      <c r="K18" s="104"/>
      <c r="L18" s="119"/>
      <c r="M18" s="104"/>
      <c r="N18" s="104"/>
      <c r="O18" s="104"/>
      <c r="P18" s="119"/>
      <c r="Q18" s="106"/>
      <c r="R18" s="104"/>
      <c r="S18" s="119"/>
      <c r="T18" s="104"/>
      <c r="U18" s="120"/>
      <c r="V18" s="106"/>
    </row>
    <row r="19" spans="1:22" s="115" customFormat="1" ht="19.95" customHeight="1">
      <c r="A19" s="102"/>
      <c r="B19" s="102"/>
      <c r="C19" s="102"/>
      <c r="D19" s="103"/>
      <c r="E19" s="135"/>
      <c r="F19" s="136"/>
      <c r="G19" s="119"/>
      <c r="H19" s="118"/>
      <c r="I19" s="103"/>
      <c r="J19" s="103"/>
      <c r="K19" s="104"/>
      <c r="L19" s="119"/>
      <c r="M19" s="104"/>
      <c r="N19" s="104"/>
      <c r="O19" s="104"/>
      <c r="P19" s="119"/>
      <c r="Q19" s="106"/>
      <c r="R19" s="104"/>
      <c r="S19" s="119"/>
      <c r="T19" s="104"/>
      <c r="U19" s="120"/>
      <c r="V19" s="106"/>
    </row>
    <row r="20" spans="1:22" s="115" customFormat="1" ht="19.95" customHeight="1">
      <c r="A20" s="102"/>
      <c r="B20" s="102"/>
      <c r="C20" s="102"/>
      <c r="D20" s="103"/>
      <c r="E20" s="135"/>
      <c r="F20" s="136"/>
      <c r="G20" s="119"/>
      <c r="H20" s="118"/>
      <c r="I20" s="103"/>
      <c r="J20" s="103"/>
      <c r="K20" s="104"/>
      <c r="L20" s="119"/>
      <c r="M20" s="104"/>
      <c r="N20" s="104"/>
      <c r="O20" s="104"/>
      <c r="P20" s="119"/>
      <c r="Q20" s="106"/>
      <c r="R20" s="104"/>
      <c r="S20" s="119"/>
      <c r="T20" s="104"/>
      <c r="U20" s="120"/>
      <c r="V20" s="106"/>
    </row>
    <row r="21" spans="1:22" s="115" customFormat="1" ht="19.95" customHeight="1">
      <c r="A21" s="102"/>
      <c r="B21" s="102"/>
      <c r="C21" s="102"/>
      <c r="D21" s="103"/>
      <c r="E21" s="135"/>
      <c r="F21" s="136"/>
      <c r="G21" s="119"/>
      <c r="H21" s="118"/>
      <c r="I21" s="103"/>
      <c r="J21" s="103"/>
      <c r="K21" s="104"/>
      <c r="L21" s="119"/>
      <c r="M21" s="104"/>
      <c r="N21" s="104"/>
      <c r="O21" s="104"/>
      <c r="P21" s="119"/>
      <c r="Q21" s="106"/>
      <c r="R21" s="104"/>
      <c r="S21" s="119"/>
      <c r="T21" s="104"/>
      <c r="U21" s="120"/>
      <c r="V21" s="106"/>
    </row>
    <row r="22" spans="1:22" s="115" customFormat="1" ht="19.95" customHeight="1">
      <c r="A22" s="102"/>
      <c r="B22" s="102"/>
      <c r="C22" s="102"/>
      <c r="D22" s="103"/>
      <c r="E22" s="135"/>
      <c r="F22" s="136"/>
      <c r="G22" s="119"/>
      <c r="H22" s="118"/>
      <c r="I22" s="103"/>
      <c r="J22" s="103"/>
      <c r="K22" s="104"/>
      <c r="L22" s="119"/>
      <c r="M22" s="104"/>
      <c r="N22" s="104"/>
      <c r="O22" s="104"/>
      <c r="P22" s="119"/>
      <c r="Q22" s="106"/>
      <c r="R22" s="104"/>
      <c r="S22" s="119"/>
      <c r="T22" s="104"/>
      <c r="U22" s="120"/>
      <c r="V22" s="106"/>
    </row>
    <row r="23" spans="1:22" s="115" customFormat="1" ht="19.95" customHeight="1">
      <c r="A23" s="102"/>
      <c r="B23" s="102"/>
      <c r="C23" s="102"/>
      <c r="D23" s="103"/>
      <c r="E23" s="135"/>
      <c r="F23" s="136"/>
      <c r="G23" s="119"/>
      <c r="H23" s="118"/>
      <c r="I23" s="103"/>
      <c r="J23" s="103"/>
      <c r="K23" s="104"/>
      <c r="L23" s="119"/>
      <c r="M23" s="104"/>
      <c r="N23" s="104"/>
      <c r="O23" s="104"/>
      <c r="P23" s="119"/>
      <c r="Q23" s="106"/>
      <c r="R23" s="104"/>
      <c r="S23" s="119"/>
      <c r="T23" s="104"/>
      <c r="U23" s="120"/>
      <c r="V23" s="106"/>
    </row>
    <row r="24" spans="1:22" s="115" customFormat="1" ht="19.95" customHeight="1">
      <c r="A24" s="102"/>
      <c r="B24" s="102"/>
      <c r="C24" s="102"/>
      <c r="D24" s="103"/>
      <c r="E24" s="135"/>
      <c r="F24" s="136"/>
      <c r="G24" s="119"/>
      <c r="H24" s="118"/>
      <c r="I24" s="103"/>
      <c r="J24" s="103"/>
      <c r="K24" s="104"/>
      <c r="L24" s="119"/>
      <c r="M24" s="104"/>
      <c r="N24" s="104"/>
      <c r="O24" s="104"/>
      <c r="P24" s="119"/>
      <c r="Q24" s="106"/>
      <c r="R24" s="104"/>
      <c r="S24" s="119"/>
      <c r="T24" s="104"/>
      <c r="U24" s="120"/>
      <c r="V24" s="106"/>
    </row>
    <row r="25" spans="1:22" s="115" customFormat="1" ht="19.95" customHeight="1">
      <c r="A25" s="102"/>
      <c r="B25" s="102"/>
      <c r="C25" s="102"/>
      <c r="D25" s="103"/>
      <c r="E25" s="135"/>
      <c r="F25" s="136"/>
      <c r="G25" s="119"/>
      <c r="H25" s="118"/>
      <c r="I25" s="103"/>
      <c r="J25" s="103"/>
      <c r="K25" s="104"/>
      <c r="L25" s="119"/>
      <c r="M25" s="104"/>
      <c r="N25" s="104"/>
      <c r="O25" s="104"/>
      <c r="P25" s="119"/>
      <c r="Q25" s="106"/>
      <c r="R25" s="104"/>
      <c r="S25" s="119"/>
      <c r="T25" s="104"/>
      <c r="U25" s="120"/>
      <c r="V25" s="106"/>
    </row>
    <row r="26" spans="1:22" s="115" customFormat="1" ht="19.95" customHeight="1">
      <c r="A26" s="102"/>
      <c r="B26" s="102"/>
      <c r="C26" s="102"/>
      <c r="D26" s="103"/>
      <c r="E26" s="135"/>
      <c r="F26" s="136"/>
      <c r="G26" s="119"/>
      <c r="H26" s="118"/>
      <c r="I26" s="103"/>
      <c r="J26" s="103"/>
      <c r="K26" s="104"/>
      <c r="L26" s="119"/>
      <c r="M26" s="104"/>
      <c r="N26" s="104"/>
      <c r="O26" s="104"/>
      <c r="P26" s="119"/>
      <c r="Q26" s="106"/>
      <c r="R26" s="104"/>
      <c r="S26" s="119"/>
      <c r="T26" s="104"/>
      <c r="U26" s="120"/>
      <c r="V26" s="106"/>
    </row>
    <row r="27" spans="1:22" s="115" customFormat="1" ht="19.95" customHeight="1">
      <c r="A27" s="102"/>
      <c r="B27" s="102"/>
      <c r="C27" s="102"/>
      <c r="D27" s="103"/>
      <c r="E27" s="135"/>
      <c r="F27" s="136"/>
      <c r="G27" s="119"/>
      <c r="H27" s="118"/>
      <c r="I27" s="103"/>
      <c r="J27" s="103"/>
      <c r="K27" s="104"/>
      <c r="L27" s="119"/>
      <c r="M27" s="104"/>
      <c r="N27" s="104"/>
      <c r="O27" s="104"/>
      <c r="P27" s="119"/>
      <c r="Q27" s="106"/>
      <c r="R27" s="104"/>
      <c r="S27" s="119"/>
      <c r="T27" s="104"/>
      <c r="U27" s="120"/>
      <c r="V27" s="106"/>
    </row>
    <row r="28" spans="1:22" s="115" customFormat="1" ht="19.95" customHeight="1">
      <c r="A28" s="102"/>
      <c r="B28" s="102"/>
      <c r="C28" s="102"/>
      <c r="D28" s="103"/>
      <c r="E28" s="135"/>
      <c r="F28" s="136"/>
      <c r="G28" s="119"/>
      <c r="H28" s="118"/>
      <c r="I28" s="103"/>
      <c r="J28" s="103"/>
      <c r="K28" s="104"/>
      <c r="L28" s="119"/>
      <c r="M28" s="104"/>
      <c r="N28" s="104"/>
      <c r="O28" s="104"/>
      <c r="P28" s="119"/>
      <c r="Q28" s="106"/>
      <c r="R28" s="104"/>
      <c r="S28" s="119"/>
      <c r="T28" s="104"/>
      <c r="U28" s="120"/>
      <c r="V28" s="106"/>
    </row>
    <row r="29" spans="1:22" s="115" customFormat="1" ht="19.95" customHeight="1">
      <c r="A29" s="102"/>
      <c r="B29" s="102"/>
      <c r="C29" s="102"/>
      <c r="D29" s="103"/>
      <c r="E29" s="135"/>
      <c r="F29" s="136"/>
      <c r="G29" s="119"/>
      <c r="H29" s="118"/>
      <c r="I29" s="103"/>
      <c r="J29" s="103"/>
      <c r="K29" s="104"/>
      <c r="L29" s="119"/>
      <c r="M29" s="104"/>
      <c r="N29" s="104"/>
      <c r="O29" s="104"/>
      <c r="P29" s="119"/>
      <c r="Q29" s="106"/>
      <c r="R29" s="104"/>
      <c r="S29" s="119"/>
      <c r="T29" s="104"/>
      <c r="U29" s="120"/>
      <c r="V29" s="106"/>
    </row>
    <row r="30" spans="1:22" s="115" customFormat="1" ht="19.95" customHeight="1">
      <c r="A30" s="102"/>
      <c r="B30" s="102"/>
      <c r="C30" s="102"/>
      <c r="D30" s="103"/>
      <c r="E30" s="103"/>
      <c r="F30" s="106"/>
      <c r="G30" s="119"/>
      <c r="H30" s="118"/>
      <c r="I30" s="103"/>
      <c r="J30" s="103"/>
      <c r="K30" s="104"/>
      <c r="L30" s="119"/>
      <c r="M30" s="104"/>
      <c r="N30" s="104"/>
      <c r="O30" s="104"/>
      <c r="P30" s="119"/>
      <c r="Q30" s="106"/>
      <c r="R30" s="104"/>
      <c r="S30" s="119"/>
      <c r="T30" s="104"/>
      <c r="U30" s="120"/>
      <c r="V30" s="106"/>
    </row>
    <row r="31" spans="1:22" s="115" customFormat="1" ht="19.95" customHeight="1">
      <c r="A31" s="102"/>
      <c r="B31" s="102"/>
      <c r="C31" s="102"/>
      <c r="D31" s="103"/>
      <c r="E31" s="103"/>
      <c r="F31" s="106"/>
      <c r="G31" s="119"/>
      <c r="H31" s="118"/>
      <c r="I31" s="103"/>
      <c r="J31" s="103"/>
      <c r="K31" s="104"/>
      <c r="L31" s="119"/>
      <c r="M31" s="104"/>
      <c r="N31" s="104"/>
      <c r="O31" s="104"/>
      <c r="P31" s="119"/>
      <c r="Q31" s="106"/>
      <c r="R31" s="104"/>
      <c r="S31" s="119"/>
      <c r="T31" s="104"/>
      <c r="U31" s="120"/>
      <c r="V31" s="106"/>
    </row>
    <row r="32" spans="1:22" s="115" customFormat="1" ht="19.95" customHeight="1">
      <c r="A32" s="102"/>
      <c r="B32" s="102"/>
      <c r="C32" s="102"/>
      <c r="D32" s="103"/>
      <c r="E32" s="103"/>
      <c r="F32" s="106"/>
      <c r="G32" s="119"/>
      <c r="H32" s="118"/>
      <c r="I32" s="103"/>
      <c r="J32" s="103"/>
      <c r="K32" s="104"/>
      <c r="L32" s="119"/>
      <c r="M32" s="104"/>
      <c r="N32" s="104"/>
      <c r="O32" s="104"/>
      <c r="P32" s="119"/>
      <c r="Q32" s="106"/>
      <c r="R32" s="104"/>
      <c r="S32" s="119"/>
      <c r="T32" s="104"/>
      <c r="U32" s="120"/>
      <c r="V32" s="106"/>
    </row>
    <row r="33" spans="1:22" s="115" customFormat="1" ht="19.95" customHeight="1">
      <c r="A33" s="102"/>
      <c r="B33" s="102"/>
      <c r="C33" s="102"/>
      <c r="D33" s="103"/>
      <c r="E33" s="103"/>
      <c r="F33" s="106"/>
      <c r="G33" s="119"/>
      <c r="H33" s="118"/>
      <c r="I33" s="103"/>
      <c r="J33" s="103"/>
      <c r="K33" s="104"/>
      <c r="L33" s="119"/>
      <c r="M33" s="104"/>
      <c r="N33" s="104"/>
      <c r="O33" s="104"/>
      <c r="P33" s="119"/>
      <c r="Q33" s="106"/>
      <c r="R33" s="104"/>
      <c r="S33" s="119"/>
      <c r="T33" s="104"/>
      <c r="U33" s="120"/>
      <c r="V33" s="106"/>
    </row>
    <row r="34" spans="1:22" s="115" customFormat="1" ht="19.95" customHeight="1">
      <c r="A34" s="102"/>
      <c r="B34" s="102"/>
      <c r="C34" s="102"/>
      <c r="D34" s="103"/>
      <c r="E34" s="103"/>
      <c r="F34" s="106"/>
      <c r="G34" s="119"/>
      <c r="H34" s="118"/>
      <c r="I34" s="103"/>
      <c r="J34" s="103"/>
      <c r="K34" s="104"/>
      <c r="L34" s="119"/>
      <c r="M34" s="104"/>
      <c r="N34" s="104"/>
      <c r="O34" s="104"/>
      <c r="P34" s="119"/>
      <c r="Q34" s="106"/>
      <c r="R34" s="104"/>
      <c r="S34" s="119"/>
      <c r="T34" s="104"/>
      <c r="U34" s="120"/>
      <c r="V34" s="106"/>
    </row>
    <row r="35" spans="1:22" s="115" customFormat="1" ht="19.95" customHeight="1">
      <c r="A35" s="102"/>
      <c r="B35" s="102"/>
      <c r="C35" s="102"/>
      <c r="D35" s="103"/>
      <c r="E35" s="103"/>
      <c r="F35" s="106"/>
      <c r="G35" s="119"/>
      <c r="H35" s="118"/>
      <c r="I35" s="103"/>
      <c r="J35" s="103"/>
      <c r="K35" s="104"/>
      <c r="L35" s="119"/>
      <c r="M35" s="104"/>
      <c r="N35" s="104"/>
      <c r="O35" s="104"/>
      <c r="P35" s="119"/>
      <c r="Q35" s="106"/>
      <c r="R35" s="104"/>
      <c r="S35" s="119"/>
      <c r="T35" s="104"/>
      <c r="U35" s="120"/>
      <c r="V35" s="106"/>
    </row>
    <row r="36" spans="1:22" s="117" customFormat="1" ht="19.95" customHeight="1">
      <c r="A36" s="107" t="s">
        <v>109</v>
      </c>
      <c r="B36" s="143"/>
      <c r="C36" s="107"/>
      <c r="D36" s="108"/>
      <c r="E36" s="108"/>
      <c r="F36" s="108"/>
      <c r="G36" s="108"/>
      <c r="H36" s="116">
        <f>SUM(H17:H35)</f>
        <v>0</v>
      </c>
      <c r="I36" s="108"/>
      <c r="J36" s="108"/>
      <c r="K36" s="109"/>
      <c r="L36" s="109"/>
      <c r="M36" s="109"/>
      <c r="N36" s="109"/>
      <c r="O36" s="109"/>
      <c r="P36" s="109"/>
      <c r="Q36" s="109"/>
      <c r="R36" s="109"/>
      <c r="S36" s="109">
        <f>SUM(S17:S35)</f>
        <v>0</v>
      </c>
      <c r="T36" s="109"/>
      <c r="U36" s="109"/>
      <c r="V36" s="110"/>
    </row>
    <row r="37" spans="1:22">
      <c r="A37" s="21" t="s">
        <v>98</v>
      </c>
      <c r="B37" s="21"/>
      <c r="L37" s="26"/>
      <c r="N37" s="133"/>
      <c r="O37" s="134"/>
      <c r="P37" s="134"/>
      <c r="Q37" s="133"/>
    </row>
    <row r="38" spans="1:22">
      <c r="A38" s="14" t="s">
        <v>208</v>
      </c>
      <c r="B38" s="14"/>
      <c r="C38" s="14"/>
      <c r="E38" s="146" t="s">
        <v>212</v>
      </c>
      <c r="F38" s="190" t="s">
        <v>209</v>
      </c>
      <c r="G38" s="190"/>
      <c r="H38" s="146" t="s">
        <v>210</v>
      </c>
      <c r="I38" s="146" t="s">
        <v>211</v>
      </c>
      <c r="J38" s="147" t="s">
        <v>220</v>
      </c>
      <c r="N38" s="133"/>
      <c r="O38" s="134"/>
      <c r="P38" s="134"/>
      <c r="Q38" s="133"/>
    </row>
    <row r="39" spans="1:22">
      <c r="A39" s="15"/>
      <c r="B39" s="15"/>
      <c r="C39" s="15"/>
      <c r="E39" s="146"/>
      <c r="F39" s="191"/>
      <c r="G39" s="191"/>
      <c r="H39" s="78"/>
      <c r="I39" s="149" t="e">
        <f>ROUND(H39/F39,4)</f>
        <v>#DIV/0!</v>
      </c>
      <c r="J39" s="148"/>
      <c r="N39" s="133"/>
      <c r="O39" s="134"/>
      <c r="P39" s="134"/>
      <c r="Q39" s="133"/>
    </row>
    <row r="40" spans="1:22">
      <c r="A40" s="15"/>
      <c r="B40" s="15"/>
      <c r="C40" s="15"/>
      <c r="E40" s="146"/>
      <c r="F40" s="191"/>
      <c r="G40" s="191"/>
      <c r="H40" s="78"/>
      <c r="I40" s="149" t="e">
        <f>ROUND(H40/F40,2)</f>
        <v>#DIV/0!</v>
      </c>
      <c r="J40" s="148"/>
      <c r="N40" s="133"/>
      <c r="O40" s="134"/>
      <c r="P40" s="134"/>
      <c r="Q40" s="133"/>
    </row>
    <row r="41" spans="1:22">
      <c r="A41" s="15"/>
      <c r="B41" s="15"/>
      <c r="C41" s="15"/>
      <c r="E41" s="146"/>
      <c r="F41" s="191"/>
      <c r="G41" s="191"/>
      <c r="H41" s="78"/>
      <c r="I41" s="149" t="e">
        <f>ROUND(H41/F41,2)</f>
        <v>#DIV/0!</v>
      </c>
      <c r="J41" s="148"/>
      <c r="N41" s="133"/>
      <c r="O41" s="134"/>
      <c r="P41" s="134"/>
      <c r="Q41" s="133"/>
    </row>
    <row r="42" spans="1:22">
      <c r="A42" s="153" t="s">
        <v>219</v>
      </c>
      <c r="B42" s="15"/>
      <c r="N42" s="133"/>
      <c r="O42" s="134"/>
      <c r="P42" s="134"/>
    </row>
    <row r="43" spans="1:22">
      <c r="A43" s="97" t="s">
        <v>99</v>
      </c>
      <c r="B43" s="97"/>
    </row>
  </sheetData>
  <mergeCells count="15">
    <mergeCell ref="F38:G38"/>
    <mergeCell ref="F39:G39"/>
    <mergeCell ref="F40:G40"/>
    <mergeCell ref="F41:G41"/>
    <mergeCell ref="B15:B16"/>
    <mergeCell ref="A1:V1"/>
    <mergeCell ref="A2:V2"/>
    <mergeCell ref="V15:V16"/>
    <mergeCell ref="A15:A16"/>
    <mergeCell ref="C15:J15"/>
    <mergeCell ref="Q15:S15"/>
    <mergeCell ref="U15:U16"/>
    <mergeCell ref="T15:T16"/>
    <mergeCell ref="K15:L15"/>
    <mergeCell ref="N15:P15"/>
  </mergeCells>
  <phoneticPr fontId="14" type="noConversion"/>
  <pageMargins left="0.47244094488188981" right="0.31496062992125984" top="0.51181102362204722" bottom="0.39370078740157483" header="0.47244094488188981" footer="0.23622047244094491"/>
  <pageSetup paperSize="9" scale="6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O37"/>
  <sheetViews>
    <sheetView view="pageBreakPreview" zoomScaleNormal="100" zoomScaleSheetLayoutView="100" workbookViewId="0">
      <selection activeCell="N3" sqref="N3"/>
    </sheetView>
  </sheetViews>
  <sheetFormatPr defaultRowHeight="15.6"/>
  <cols>
    <col min="1" max="1" width="9.3984375" customWidth="1"/>
    <col min="2" max="3" width="14.3984375" customWidth="1"/>
    <col min="4" max="4" width="7.3984375" customWidth="1"/>
    <col min="5" max="5" width="7.296875" customWidth="1"/>
    <col min="6" max="6" width="14.3984375" customWidth="1"/>
    <col min="7" max="7" width="13.5" customWidth="1"/>
    <col min="8" max="8" width="11.5" customWidth="1"/>
    <col min="9" max="10" width="10.8984375" customWidth="1"/>
    <col min="11" max="11" width="7.69921875" customWidth="1"/>
    <col min="12" max="12" width="12" customWidth="1"/>
    <col min="13" max="13" width="7.796875" customWidth="1"/>
    <col min="14" max="14" width="5.796875" customWidth="1"/>
  </cols>
  <sheetData>
    <row r="1" spans="1:15" ht="19.95" customHeight="1">
      <c r="A1" s="157" t="s">
        <v>28</v>
      </c>
      <c r="B1" s="157"/>
      <c r="C1" s="157"/>
      <c r="D1" s="157"/>
      <c r="E1" s="157"/>
      <c r="F1" s="157"/>
      <c r="G1" s="157"/>
      <c r="H1" s="157"/>
      <c r="I1" s="157"/>
      <c r="J1" s="157"/>
      <c r="K1" s="157"/>
      <c r="L1" s="157"/>
      <c r="M1" s="157"/>
      <c r="N1" s="157"/>
    </row>
    <row r="2" spans="1:15" ht="19.95" customHeight="1">
      <c r="A2" s="159" t="s">
        <v>105</v>
      </c>
      <c r="B2" s="159"/>
      <c r="C2" s="159"/>
      <c r="D2" s="159"/>
      <c r="E2" s="159"/>
      <c r="F2" s="159"/>
      <c r="G2" s="159"/>
      <c r="H2" s="159"/>
      <c r="I2" s="159"/>
      <c r="J2" s="159"/>
      <c r="K2" s="159"/>
      <c r="L2" s="159"/>
      <c r="M2" s="159"/>
      <c r="N2" s="159"/>
    </row>
    <row r="3" spans="1:15" ht="19.95" customHeight="1">
      <c r="A3" s="13" t="str">
        <f>底稿目录!A2</f>
        <v>被审计单位：</v>
      </c>
      <c r="B3" s="27"/>
      <c r="C3" s="27"/>
      <c r="D3" s="27"/>
      <c r="E3" s="27"/>
      <c r="F3" s="13" t="str">
        <f>底稿目录!A4</f>
        <v>编制人：</v>
      </c>
      <c r="G3" s="13"/>
      <c r="H3" s="13"/>
      <c r="I3" s="13" t="str">
        <f>底稿目录!A5</f>
        <v>编制日期：</v>
      </c>
      <c r="M3" s="13" t="s">
        <v>103</v>
      </c>
      <c r="N3" s="138" t="str">
        <f>底稿目录!F8</f>
        <v>F2-34</v>
      </c>
    </row>
    <row r="4" spans="1:15" ht="19.95" customHeight="1">
      <c r="A4" s="13" t="str">
        <f>底稿目录!A3</f>
        <v>截止日：202X年12月31日</v>
      </c>
      <c r="B4" s="27"/>
      <c r="C4" s="27"/>
      <c r="D4" s="27"/>
      <c r="E4" s="27"/>
      <c r="F4" s="13" t="str">
        <f>底稿目录!A6</f>
        <v>复核人：</v>
      </c>
      <c r="G4" s="13"/>
      <c r="H4" s="13"/>
      <c r="I4" s="13" t="str">
        <f>底稿目录!A7</f>
        <v>复核日期：</v>
      </c>
      <c r="M4" s="13" t="s">
        <v>104</v>
      </c>
    </row>
    <row r="5" spans="1:15" ht="19.95" customHeight="1">
      <c r="A5" s="91" t="s">
        <v>70</v>
      </c>
      <c r="B5" s="27"/>
      <c r="C5" s="27"/>
      <c r="D5" s="27"/>
      <c r="E5" s="27"/>
      <c r="F5" s="27"/>
      <c r="G5" s="13"/>
      <c r="H5" s="13"/>
      <c r="I5" s="13"/>
      <c r="J5" s="13"/>
      <c r="K5" s="13"/>
      <c r="L5" s="13"/>
    </row>
    <row r="6" spans="1:15" ht="19.95" customHeight="1">
      <c r="A6" s="98" t="s">
        <v>215</v>
      </c>
      <c r="B6" s="27"/>
      <c r="C6" s="27"/>
      <c r="D6" s="27"/>
      <c r="E6" s="27"/>
      <c r="F6" s="27"/>
      <c r="G6" s="13"/>
      <c r="H6" s="13"/>
      <c r="I6" s="13"/>
      <c r="J6" s="13"/>
      <c r="K6" s="13"/>
      <c r="L6" s="13"/>
    </row>
    <row r="7" spans="1:15" ht="19.95" customHeight="1">
      <c r="A7" s="98" t="s">
        <v>102</v>
      </c>
      <c r="B7" s="27"/>
      <c r="C7" s="27"/>
      <c r="D7" s="27"/>
      <c r="E7" s="27"/>
      <c r="F7" s="27"/>
      <c r="G7" s="13"/>
      <c r="H7" s="13"/>
      <c r="I7" s="13"/>
      <c r="J7" s="13"/>
      <c r="K7" s="13"/>
      <c r="L7" s="13"/>
    </row>
    <row r="8" spans="1:15" ht="19.95" customHeight="1">
      <c r="A8" s="92" t="s">
        <v>95</v>
      </c>
    </row>
    <row r="9" spans="1:15" ht="19.95" customHeight="1">
      <c r="A9" s="93" t="s">
        <v>169</v>
      </c>
      <c r="B9" s="94" t="s">
        <v>193</v>
      </c>
      <c r="F9" s="93" t="s">
        <v>181</v>
      </c>
      <c r="G9" s="94" t="s">
        <v>196</v>
      </c>
    </row>
    <row r="10" spans="1:15" ht="19.95" customHeight="1">
      <c r="A10" s="93" t="s">
        <v>188</v>
      </c>
      <c r="B10" s="94" t="s">
        <v>189</v>
      </c>
      <c r="F10" s="93" t="s">
        <v>182</v>
      </c>
      <c r="G10" s="94"/>
      <c r="H10" s="94" t="s">
        <v>190</v>
      </c>
      <c r="I10" s="94" t="s">
        <v>184</v>
      </c>
      <c r="N10" s="93"/>
      <c r="O10" s="122"/>
    </row>
    <row r="11" spans="1:15" ht="19.95" customHeight="1">
      <c r="A11" s="93" t="s">
        <v>191</v>
      </c>
      <c r="B11" s="94" t="s">
        <v>206</v>
      </c>
      <c r="F11" s="93" t="s">
        <v>192</v>
      </c>
      <c r="G11" s="94" t="s">
        <v>183</v>
      </c>
      <c r="N11" s="93"/>
      <c r="O11" s="122"/>
    </row>
    <row r="12" spans="1:15" ht="19.95" customHeight="1">
      <c r="A12" s="21" t="s">
        <v>96</v>
      </c>
      <c r="B12" s="27"/>
      <c r="C12" s="27"/>
      <c r="D12" s="27"/>
      <c r="E12" s="27"/>
      <c r="F12" s="27"/>
      <c r="G12" s="13"/>
      <c r="H12" s="13"/>
      <c r="I12" s="13"/>
      <c r="J12" s="13"/>
      <c r="K12" s="13"/>
      <c r="L12" s="13"/>
    </row>
    <row r="13" spans="1:15" ht="19.95" customHeight="1">
      <c r="A13" s="145" t="s">
        <v>207</v>
      </c>
      <c r="B13" s="27"/>
      <c r="C13" s="27"/>
      <c r="D13" s="27"/>
      <c r="E13" s="27"/>
      <c r="F13" s="27"/>
      <c r="G13" s="13"/>
      <c r="H13" s="13"/>
      <c r="I13" s="13"/>
      <c r="J13" s="13"/>
      <c r="K13" s="13"/>
      <c r="L13" s="13"/>
    </row>
    <row r="14" spans="1:15" s="90" customFormat="1" ht="19.95" customHeight="1">
      <c r="A14" s="180" t="s">
        <v>110</v>
      </c>
      <c r="B14" s="181"/>
      <c r="C14" s="181"/>
      <c r="D14" s="181"/>
      <c r="E14" s="181"/>
      <c r="F14" s="181"/>
      <c r="G14" s="181"/>
      <c r="H14" s="181"/>
      <c r="I14" s="185" t="s">
        <v>111</v>
      </c>
      <c r="J14" s="195"/>
      <c r="K14" s="186"/>
      <c r="L14" s="193" t="s">
        <v>185</v>
      </c>
      <c r="M14" s="179" t="s">
        <v>112</v>
      </c>
      <c r="N14" s="178" t="s">
        <v>113</v>
      </c>
      <c r="O14" s="121"/>
    </row>
    <row r="15" spans="1:15" ht="19.95" customHeight="1">
      <c r="A15" s="100" t="s">
        <v>106</v>
      </c>
      <c r="B15" s="100" t="s">
        <v>114</v>
      </c>
      <c r="C15" s="124" t="s">
        <v>178</v>
      </c>
      <c r="D15" s="124" t="s">
        <v>179</v>
      </c>
      <c r="E15" s="124" t="s">
        <v>180</v>
      </c>
      <c r="F15" s="123" t="s">
        <v>116</v>
      </c>
      <c r="G15" s="100" t="s">
        <v>115</v>
      </c>
      <c r="H15" s="100" t="s">
        <v>108</v>
      </c>
      <c r="I15" s="101" t="s">
        <v>117</v>
      </c>
      <c r="J15" s="127" t="s">
        <v>186</v>
      </c>
      <c r="K15" s="127" t="s">
        <v>187</v>
      </c>
      <c r="L15" s="194"/>
      <c r="M15" s="179"/>
      <c r="N15" s="178"/>
    </row>
    <row r="16" spans="1:15" s="95" customFormat="1" ht="19.95" customHeight="1">
      <c r="A16" s="102"/>
      <c r="B16" s="102"/>
      <c r="C16" s="137"/>
      <c r="D16" s="136"/>
      <c r="E16" s="111"/>
      <c r="F16" s="111"/>
      <c r="G16" s="103"/>
      <c r="H16" s="103"/>
      <c r="I16" s="104"/>
      <c r="J16" s="104"/>
      <c r="K16" s="119"/>
      <c r="L16" s="104"/>
      <c r="M16" s="120"/>
      <c r="N16" s="106"/>
    </row>
    <row r="17" spans="1:14" s="95" customFormat="1" ht="19.95" customHeight="1">
      <c r="A17" s="104"/>
      <c r="B17" s="104"/>
      <c r="C17" s="104"/>
      <c r="D17" s="106"/>
      <c r="E17" s="111"/>
      <c r="F17" s="103"/>
      <c r="G17" s="103"/>
      <c r="H17" s="103"/>
      <c r="I17" s="102"/>
      <c r="J17" s="102"/>
      <c r="K17" s="104"/>
      <c r="L17" s="102"/>
      <c r="M17" s="105"/>
      <c r="N17" s="106"/>
    </row>
    <row r="18" spans="1:14" s="95" customFormat="1" ht="19.95" customHeight="1">
      <c r="A18" s="104"/>
      <c r="B18" s="104"/>
      <c r="C18" s="104"/>
      <c r="D18" s="106"/>
      <c r="E18" s="111"/>
      <c r="F18" s="103"/>
      <c r="G18" s="103"/>
      <c r="H18" s="103"/>
      <c r="I18" s="102"/>
      <c r="J18" s="102"/>
      <c r="K18" s="104"/>
      <c r="L18" s="102"/>
      <c r="M18" s="105"/>
      <c r="N18" s="106"/>
    </row>
    <row r="19" spans="1:14" s="95" customFormat="1" ht="19.95" customHeight="1">
      <c r="A19" s="104"/>
      <c r="B19" s="104"/>
      <c r="C19" s="104"/>
      <c r="D19" s="106"/>
      <c r="E19" s="111"/>
      <c r="F19" s="103"/>
      <c r="G19" s="103"/>
      <c r="H19" s="103"/>
      <c r="I19" s="102"/>
      <c r="J19" s="102"/>
      <c r="K19" s="104"/>
      <c r="L19" s="102"/>
      <c r="M19" s="105"/>
      <c r="N19" s="106"/>
    </row>
    <row r="20" spans="1:14" s="95" customFormat="1" ht="19.95" customHeight="1">
      <c r="A20" s="104"/>
      <c r="B20" s="104"/>
      <c r="C20" s="104"/>
      <c r="D20" s="106"/>
      <c r="E20" s="111"/>
      <c r="F20" s="103"/>
      <c r="G20" s="103"/>
      <c r="H20" s="103"/>
      <c r="I20" s="102"/>
      <c r="J20" s="102"/>
      <c r="K20" s="104"/>
      <c r="L20" s="102"/>
      <c r="M20" s="105"/>
      <c r="N20" s="106"/>
    </row>
    <row r="21" spans="1:14" s="95" customFormat="1" ht="19.95" customHeight="1">
      <c r="A21" s="104"/>
      <c r="B21" s="104"/>
      <c r="C21" s="104"/>
      <c r="D21" s="106"/>
      <c r="E21" s="111"/>
      <c r="F21" s="103"/>
      <c r="G21" s="103"/>
      <c r="H21" s="103"/>
      <c r="I21" s="102"/>
      <c r="J21" s="102"/>
      <c r="K21" s="104"/>
      <c r="L21" s="102"/>
      <c r="M21" s="105"/>
      <c r="N21" s="106"/>
    </row>
    <row r="22" spans="1:14" s="95" customFormat="1" ht="19.95" customHeight="1">
      <c r="A22" s="104"/>
      <c r="B22" s="104"/>
      <c r="C22" s="104"/>
      <c r="D22" s="106"/>
      <c r="E22" s="111"/>
      <c r="F22" s="103"/>
      <c r="G22" s="103"/>
      <c r="H22" s="103"/>
      <c r="I22" s="102"/>
      <c r="J22" s="102"/>
      <c r="K22" s="104"/>
      <c r="L22" s="102"/>
      <c r="M22" s="105"/>
      <c r="N22" s="106"/>
    </row>
    <row r="23" spans="1:14" s="95" customFormat="1" ht="19.95" customHeight="1">
      <c r="A23" s="104"/>
      <c r="B23" s="104"/>
      <c r="C23" s="104"/>
      <c r="D23" s="106"/>
      <c r="E23" s="111"/>
      <c r="F23" s="103"/>
      <c r="G23" s="103"/>
      <c r="H23" s="103"/>
      <c r="I23" s="102"/>
      <c r="J23" s="102"/>
      <c r="K23" s="104"/>
      <c r="L23" s="102"/>
      <c r="M23" s="105"/>
      <c r="N23" s="106"/>
    </row>
    <row r="24" spans="1:14" s="95" customFormat="1" ht="19.95" customHeight="1">
      <c r="A24" s="104"/>
      <c r="B24" s="104"/>
      <c r="C24" s="104"/>
      <c r="D24" s="106"/>
      <c r="E24" s="111"/>
      <c r="F24" s="103"/>
      <c r="G24" s="103"/>
      <c r="H24" s="103"/>
      <c r="I24" s="102"/>
      <c r="J24" s="102"/>
      <c r="K24" s="104"/>
      <c r="L24" s="102"/>
      <c r="M24" s="105"/>
      <c r="N24" s="106"/>
    </row>
    <row r="25" spans="1:14" s="95" customFormat="1" ht="19.95" customHeight="1">
      <c r="A25" s="104"/>
      <c r="B25" s="104"/>
      <c r="C25" s="104"/>
      <c r="D25" s="106"/>
      <c r="E25" s="111"/>
      <c r="F25" s="103"/>
      <c r="G25" s="103"/>
      <c r="H25" s="103"/>
      <c r="I25" s="102"/>
      <c r="J25" s="102"/>
      <c r="K25" s="104"/>
      <c r="L25" s="102"/>
      <c r="M25" s="105"/>
      <c r="N25" s="106"/>
    </row>
    <row r="26" spans="1:14" s="95" customFormat="1" ht="19.95" customHeight="1">
      <c r="A26" s="104"/>
      <c r="B26" s="104"/>
      <c r="C26" s="104"/>
      <c r="D26" s="106"/>
      <c r="E26" s="111"/>
      <c r="F26" s="103"/>
      <c r="G26" s="103"/>
      <c r="H26" s="103"/>
      <c r="I26" s="102"/>
      <c r="J26" s="102"/>
      <c r="K26" s="104"/>
      <c r="L26" s="102"/>
      <c r="M26" s="105"/>
      <c r="N26" s="106"/>
    </row>
    <row r="27" spans="1:14" s="95" customFormat="1" ht="19.95" customHeight="1">
      <c r="A27" s="104"/>
      <c r="B27" s="104"/>
      <c r="C27" s="104"/>
      <c r="D27" s="106"/>
      <c r="E27" s="111"/>
      <c r="F27" s="103"/>
      <c r="G27" s="103"/>
      <c r="H27" s="103"/>
      <c r="I27" s="102"/>
      <c r="J27" s="102"/>
      <c r="K27" s="104"/>
      <c r="L27" s="102"/>
      <c r="M27" s="105"/>
      <c r="N27" s="106"/>
    </row>
    <row r="28" spans="1:14" s="95" customFormat="1" ht="19.95" customHeight="1">
      <c r="A28" s="104"/>
      <c r="B28" s="104"/>
      <c r="C28" s="104"/>
      <c r="D28" s="106"/>
      <c r="E28" s="111"/>
      <c r="F28" s="103"/>
      <c r="G28" s="103"/>
      <c r="H28" s="103"/>
      <c r="I28" s="102"/>
      <c r="J28" s="102"/>
      <c r="K28" s="104"/>
      <c r="L28" s="102"/>
      <c r="M28" s="105"/>
      <c r="N28" s="106"/>
    </row>
    <row r="29" spans="1:14" s="95" customFormat="1" ht="19.95" customHeight="1">
      <c r="A29" s="104"/>
      <c r="B29" s="104"/>
      <c r="C29" s="104"/>
      <c r="D29" s="106"/>
      <c r="E29" s="111"/>
      <c r="F29" s="103"/>
      <c r="G29" s="103"/>
      <c r="H29" s="103"/>
      <c r="I29" s="102"/>
      <c r="J29" s="102"/>
      <c r="K29" s="104"/>
      <c r="L29" s="102"/>
      <c r="M29" s="105"/>
      <c r="N29" s="106"/>
    </row>
    <row r="30" spans="1:14" s="95" customFormat="1" ht="19.95" customHeight="1">
      <c r="A30" s="104"/>
      <c r="B30" s="104"/>
      <c r="C30" s="104"/>
      <c r="D30" s="106"/>
      <c r="E30" s="111"/>
      <c r="F30" s="103"/>
      <c r="G30" s="103"/>
      <c r="H30" s="103"/>
      <c r="I30" s="103"/>
      <c r="J30" s="103"/>
      <c r="K30" s="104"/>
      <c r="L30" s="103"/>
      <c r="M30" s="105"/>
      <c r="N30" s="106"/>
    </row>
    <row r="31" spans="1:14" s="95" customFormat="1" ht="19.95" customHeight="1">
      <c r="A31" s="104"/>
      <c r="B31" s="104"/>
      <c r="C31" s="104"/>
      <c r="D31" s="106"/>
      <c r="E31" s="111"/>
      <c r="F31" s="103"/>
      <c r="G31" s="103"/>
      <c r="H31" s="103"/>
      <c r="I31" s="103"/>
      <c r="J31" s="103"/>
      <c r="K31" s="104"/>
      <c r="L31" s="103"/>
      <c r="M31" s="105"/>
      <c r="N31" s="106"/>
    </row>
    <row r="32" spans="1:14" s="96" customFormat="1" ht="19.95" customHeight="1">
      <c r="A32" s="107" t="s">
        <v>118</v>
      </c>
      <c r="B32" s="107"/>
      <c r="C32" s="126"/>
      <c r="D32" s="108"/>
      <c r="E32" s="108"/>
      <c r="F32" s="116">
        <f>SUM(F16:F31)</f>
        <v>0</v>
      </c>
      <c r="G32" s="108"/>
      <c r="H32" s="108"/>
      <c r="I32" s="109"/>
      <c r="J32" s="109"/>
      <c r="K32" s="109"/>
      <c r="L32" s="116"/>
      <c r="M32" s="109"/>
      <c r="N32" s="110"/>
    </row>
    <row r="33" spans="1:11">
      <c r="A33" s="21" t="s">
        <v>214</v>
      </c>
      <c r="I33" s="26"/>
    </row>
    <row r="34" spans="1:11">
      <c r="A34" s="14" t="s">
        <v>208</v>
      </c>
      <c r="B34" s="14"/>
      <c r="D34" s="190" t="s">
        <v>217</v>
      </c>
      <c r="E34" s="190"/>
      <c r="F34" s="146" t="s">
        <v>209</v>
      </c>
      <c r="G34" s="146" t="s">
        <v>216</v>
      </c>
      <c r="H34" s="146" t="s">
        <v>211</v>
      </c>
      <c r="I34" s="147" t="s">
        <v>220</v>
      </c>
      <c r="J34" s="134"/>
      <c r="K34" s="133"/>
    </row>
    <row r="35" spans="1:11">
      <c r="A35" s="15"/>
      <c r="B35" s="15"/>
      <c r="D35" s="190" t="s">
        <v>218</v>
      </c>
      <c r="E35" s="190"/>
      <c r="F35" s="78"/>
      <c r="G35" s="78">
        <f>F32</f>
        <v>0</v>
      </c>
      <c r="H35" s="149" t="e">
        <f>ROUND(G35/F35,4)</f>
        <v>#DIV/0!</v>
      </c>
      <c r="I35" s="148"/>
      <c r="J35" s="134"/>
      <c r="K35" s="133"/>
    </row>
    <row r="36" spans="1:11">
      <c r="A36" s="153" t="s">
        <v>219</v>
      </c>
      <c r="B36" s="15"/>
      <c r="D36" s="150"/>
      <c r="E36" s="150"/>
      <c r="F36" s="151"/>
      <c r="G36" s="151"/>
      <c r="H36" s="152"/>
      <c r="I36" s="148"/>
      <c r="J36" s="134"/>
      <c r="K36" s="133"/>
    </row>
    <row r="37" spans="1:11">
      <c r="A37" s="97" t="s">
        <v>99</v>
      </c>
      <c r="I37" s="133"/>
      <c r="J37" s="134"/>
      <c r="K37" s="134"/>
    </row>
  </sheetData>
  <mergeCells count="9">
    <mergeCell ref="D35:E35"/>
    <mergeCell ref="D34:E34"/>
    <mergeCell ref="A14:H14"/>
    <mergeCell ref="A1:N1"/>
    <mergeCell ref="A2:N2"/>
    <mergeCell ref="M14:M15"/>
    <mergeCell ref="N14:N15"/>
    <mergeCell ref="L14:L15"/>
    <mergeCell ref="I14:K14"/>
  </mergeCells>
  <phoneticPr fontId="14" type="noConversion"/>
  <hyperlinks>
    <hyperlink ref="N3" location="底稿目录!A1" display="底稿目录!A1"/>
  </hyperlinks>
  <pageMargins left="0.7" right="0.7" top="0.75" bottom="0.75" header="0.3" footer="0.3"/>
  <pageSetup paperSize="9" scale="80"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I41"/>
  <sheetViews>
    <sheetView view="pageBreakPreview" zoomScaleNormal="145" zoomScaleSheetLayoutView="100" workbookViewId="0">
      <selection sqref="A1:I1"/>
    </sheetView>
  </sheetViews>
  <sheetFormatPr defaultColWidth="9" defaultRowHeight="13.8"/>
  <cols>
    <col min="1" max="1" width="15.59765625" style="14" customWidth="1"/>
    <col min="2" max="2" width="11.09765625" style="14" customWidth="1"/>
    <col min="3" max="3" width="11.796875" style="14" bestFit="1" customWidth="1"/>
    <col min="4" max="4" width="15.59765625" style="14" bestFit="1" customWidth="1"/>
    <col min="5" max="6" width="14.796875" style="14" customWidth="1"/>
    <col min="7" max="7" width="13.8984375" style="14" customWidth="1"/>
    <col min="8" max="8" width="9.59765625" style="14" customWidth="1"/>
    <col min="9" max="16384" width="9" style="14"/>
  </cols>
  <sheetData>
    <row r="1" spans="1:9" s="22" customFormat="1" ht="20.100000000000001" customHeight="1">
      <c r="A1" s="196" t="s">
        <v>28</v>
      </c>
      <c r="B1" s="196"/>
      <c r="C1" s="196"/>
      <c r="D1" s="196"/>
      <c r="E1" s="196"/>
      <c r="F1" s="196"/>
      <c r="G1" s="196"/>
      <c r="H1" s="196"/>
      <c r="I1" s="196"/>
    </row>
    <row r="2" spans="1:9" s="11" customFormat="1" ht="25.05" customHeight="1">
      <c r="A2" s="197" t="s">
        <v>31</v>
      </c>
      <c r="B2" s="197"/>
      <c r="C2" s="197"/>
      <c r="D2" s="197"/>
      <c r="E2" s="197"/>
      <c r="F2" s="197"/>
      <c r="G2" s="197"/>
      <c r="H2" s="197"/>
      <c r="I2" s="197"/>
    </row>
    <row r="3" spans="1:9" ht="20.100000000000001" customHeight="1">
      <c r="A3" s="13" t="str">
        <f>底稿目录!A2</f>
        <v>被审计单位：</v>
      </c>
      <c r="B3" s="19"/>
      <c r="D3" s="13" t="str">
        <f>底稿目录!A4</f>
        <v>编制人：</v>
      </c>
      <c r="E3" s="4"/>
      <c r="F3" s="13" t="str">
        <f>底稿目录!A5</f>
        <v>编制日期：</v>
      </c>
      <c r="G3" s="48"/>
      <c r="H3" s="28" t="s">
        <v>0</v>
      </c>
      <c r="I3" s="138" t="str">
        <f>底稿目录!F9</f>
        <v>F2-35</v>
      </c>
    </row>
    <row r="4" spans="1:9" ht="20.100000000000001" customHeight="1">
      <c r="A4" s="13" t="str">
        <f>底稿目录!A3</f>
        <v>截止日：202X年12月31日</v>
      </c>
      <c r="B4" s="19"/>
      <c r="D4" s="23" t="str">
        <f>底稿目录!A6</f>
        <v>复核人：</v>
      </c>
      <c r="E4" s="4"/>
      <c r="F4" s="23" t="str">
        <f>底稿目录!A7</f>
        <v>复核日期：</v>
      </c>
      <c r="G4" s="48"/>
      <c r="H4" s="28" t="s">
        <v>38</v>
      </c>
      <c r="I4" s="13"/>
    </row>
    <row r="5" spans="1:9" s="5" customFormat="1" ht="20.100000000000001" customHeight="1">
      <c r="A5" s="21" t="s">
        <v>39</v>
      </c>
      <c r="B5" s="9"/>
      <c r="C5" s="9"/>
      <c r="D5" s="9"/>
      <c r="E5" s="9"/>
      <c r="F5" s="9"/>
      <c r="G5" s="9"/>
      <c r="H5" s="9"/>
      <c r="I5" s="9"/>
    </row>
    <row r="6" spans="1:9" s="5" customFormat="1" ht="20.100000000000001" customHeight="1">
      <c r="A6" s="20" t="s">
        <v>73</v>
      </c>
      <c r="C6" s="20"/>
      <c r="D6" s="20"/>
      <c r="E6" s="20"/>
      <c r="F6" s="20"/>
      <c r="G6" s="20"/>
      <c r="H6" s="20"/>
      <c r="I6" s="20"/>
    </row>
    <row r="7" spans="1:9" s="5" customFormat="1" ht="20.100000000000001" customHeight="1">
      <c r="A7" s="20" t="s">
        <v>74</v>
      </c>
      <c r="C7" s="20"/>
      <c r="D7" s="20"/>
      <c r="E7" s="20"/>
      <c r="F7" s="20"/>
      <c r="G7" s="20"/>
      <c r="H7" s="20"/>
      <c r="I7" s="20"/>
    </row>
    <row r="8" spans="1:9" s="5" customFormat="1" ht="20.100000000000001" customHeight="1">
      <c r="A8" s="20" t="s">
        <v>86</v>
      </c>
      <c r="C8" s="20"/>
      <c r="D8" s="20"/>
      <c r="E8" s="20"/>
      <c r="F8" s="20"/>
      <c r="G8" s="20"/>
      <c r="H8" s="20"/>
      <c r="I8" s="20"/>
    </row>
    <row r="9" spans="1:9" s="5" customFormat="1" ht="20.100000000000001" customHeight="1">
      <c r="A9" s="20" t="s">
        <v>87</v>
      </c>
      <c r="C9" s="20"/>
      <c r="D9" s="20"/>
      <c r="E9" s="20"/>
      <c r="F9" s="20"/>
      <c r="G9" s="20"/>
      <c r="H9" s="20"/>
      <c r="I9" s="20"/>
    </row>
    <row r="10" spans="1:9" s="5" customFormat="1" ht="20.100000000000001" customHeight="1">
      <c r="A10" s="21" t="s">
        <v>32</v>
      </c>
      <c r="B10" s="21"/>
      <c r="C10" s="21"/>
      <c r="D10" s="21"/>
      <c r="E10" s="21"/>
      <c r="F10" s="21"/>
      <c r="G10" s="21"/>
      <c r="H10" s="21"/>
      <c r="I10" s="21"/>
    </row>
    <row r="11" spans="1:9" s="5" customFormat="1" ht="20.100000000000001" customHeight="1">
      <c r="A11" s="93"/>
      <c r="B11" s="94"/>
      <c r="C11"/>
      <c r="D11" s="21"/>
      <c r="E11" s="21"/>
      <c r="F11" s="21"/>
      <c r="G11" s="21"/>
      <c r="H11" s="21"/>
      <c r="I11" s="21"/>
    </row>
    <row r="12" spans="1:9" s="5" customFormat="1" ht="20.100000000000001" customHeight="1">
      <c r="A12" s="93"/>
      <c r="B12" s="94"/>
      <c r="C12"/>
      <c r="D12" s="21"/>
      <c r="E12" s="21"/>
      <c r="F12" s="21"/>
      <c r="G12" s="21"/>
      <c r="H12" s="21"/>
      <c r="I12" s="21"/>
    </row>
    <row r="13" spans="1:9" s="5" customFormat="1" ht="20.100000000000001" customHeight="1">
      <c r="A13" s="21" t="s">
        <v>40</v>
      </c>
      <c r="B13" s="6"/>
      <c r="C13" s="6"/>
      <c r="D13" s="7"/>
      <c r="E13" s="8"/>
    </row>
    <row r="14" spans="1:9" s="5" customFormat="1" ht="20.100000000000001" customHeight="1">
      <c r="A14" s="20" t="s">
        <v>88</v>
      </c>
      <c r="B14" s="6"/>
      <c r="C14" s="6"/>
      <c r="D14" s="7"/>
      <c r="E14" s="8"/>
    </row>
    <row r="15" spans="1:9" s="5" customFormat="1" ht="20.100000000000001" customHeight="1">
      <c r="A15" s="20" t="s">
        <v>89</v>
      </c>
      <c r="B15" s="6"/>
      <c r="C15" s="6"/>
      <c r="D15" s="7"/>
      <c r="E15" s="8"/>
    </row>
    <row r="16" spans="1:9" s="5" customFormat="1" ht="20.100000000000001" customHeight="1">
      <c r="A16" s="20" t="s">
        <v>90</v>
      </c>
      <c r="B16" s="6"/>
      <c r="C16" s="6"/>
      <c r="D16" s="7"/>
      <c r="E16" s="8"/>
    </row>
    <row r="17" spans="1:9" s="5" customFormat="1" ht="20.100000000000001" customHeight="1">
      <c r="A17" s="21" t="s">
        <v>47</v>
      </c>
      <c r="B17" s="6"/>
      <c r="C17" s="6"/>
      <c r="D17" s="7"/>
      <c r="E17" s="8"/>
    </row>
    <row r="18" spans="1:9" s="5" customFormat="1" ht="20.100000000000001" customHeight="1">
      <c r="A18" s="72" t="s">
        <v>48</v>
      </c>
      <c r="B18" s="72" t="s">
        <v>49</v>
      </c>
      <c r="C18" s="72" t="s">
        <v>50</v>
      </c>
      <c r="D18" s="72" t="s">
        <v>51</v>
      </c>
      <c r="E18" s="72" t="s">
        <v>52</v>
      </c>
      <c r="F18" s="72" t="s">
        <v>53</v>
      </c>
    </row>
    <row r="19" spans="1:9" s="5" customFormat="1" ht="20.100000000000001" customHeight="1">
      <c r="A19" s="84"/>
      <c r="B19" s="24"/>
      <c r="C19" s="12"/>
      <c r="D19" s="12"/>
      <c r="E19" s="12"/>
      <c r="F19" s="12"/>
      <c r="G19" s="83"/>
    </row>
    <row r="20" spans="1:9" s="5" customFormat="1" ht="20.100000000000001" customHeight="1">
      <c r="A20" s="84"/>
      <c r="B20" s="24"/>
      <c r="C20" s="12"/>
      <c r="D20" s="12"/>
      <c r="E20" s="12"/>
      <c r="F20" s="12"/>
      <c r="G20" s="83"/>
    </row>
    <row r="21" spans="1:9" s="5" customFormat="1" ht="20.100000000000001" customHeight="1">
      <c r="A21" s="84"/>
      <c r="B21" s="24"/>
      <c r="C21" s="12"/>
      <c r="D21" s="32"/>
      <c r="E21" s="32"/>
      <c r="F21" s="12"/>
      <c r="G21" s="83"/>
    </row>
    <row r="22" spans="1:9" s="5" customFormat="1" ht="20.100000000000001" customHeight="1">
      <c r="A22" s="89" t="s">
        <v>54</v>
      </c>
      <c r="B22"/>
      <c r="C22"/>
      <c r="D22"/>
      <c r="E22"/>
      <c r="F22"/>
      <c r="G22"/>
    </row>
    <row r="23" spans="1:9" s="5" customFormat="1" ht="20.100000000000001" customHeight="1">
      <c r="A23" s="72" t="s">
        <v>48</v>
      </c>
      <c r="B23" s="73" t="s">
        <v>42</v>
      </c>
      <c r="C23" s="73" t="s">
        <v>43</v>
      </c>
      <c r="D23" s="73" t="s">
        <v>44</v>
      </c>
      <c r="E23" s="73" t="s">
        <v>45</v>
      </c>
      <c r="F23" s="73" t="s">
        <v>46</v>
      </c>
      <c r="G23" s="140" t="s">
        <v>93</v>
      </c>
      <c r="H23" s="141" t="s">
        <v>91</v>
      </c>
    </row>
    <row r="24" spans="1:9" s="5" customFormat="1" ht="20.100000000000001" customHeight="1">
      <c r="A24" s="84"/>
      <c r="B24" s="85"/>
      <c r="C24" s="85"/>
      <c r="D24" s="86"/>
      <c r="E24" s="87"/>
      <c r="F24" s="88"/>
      <c r="G24" s="88"/>
      <c r="H24" s="88"/>
    </row>
    <row r="25" spans="1:9" s="5" customFormat="1" ht="20.100000000000001" customHeight="1">
      <c r="A25" s="84"/>
      <c r="B25" s="85"/>
      <c r="C25" s="85"/>
      <c r="D25" s="86"/>
      <c r="E25" s="87"/>
      <c r="F25" s="88"/>
      <c r="G25" s="88"/>
      <c r="H25" s="88"/>
    </row>
    <row r="26" spans="1:9" s="5" customFormat="1" ht="20.100000000000001" customHeight="1">
      <c r="A26" s="84"/>
      <c r="B26" s="85"/>
      <c r="C26" s="85"/>
      <c r="D26" s="86"/>
      <c r="E26" s="87"/>
      <c r="F26" s="88"/>
      <c r="G26" s="88"/>
      <c r="H26" s="88"/>
    </row>
    <row r="27" spans="1:9" s="5" customFormat="1" ht="20.100000000000001" customHeight="1">
      <c r="A27" s="84"/>
      <c r="B27" s="85"/>
      <c r="C27" s="85"/>
      <c r="D27" s="86"/>
      <c r="E27" s="87"/>
      <c r="F27" s="88"/>
      <c r="G27" s="88"/>
      <c r="H27" s="88"/>
    </row>
    <row r="28" spans="1:9" s="5" customFormat="1" ht="20.100000000000001" customHeight="1">
      <c r="A28" s="84"/>
      <c r="B28" s="85"/>
      <c r="C28" s="85"/>
      <c r="D28" s="86"/>
      <c r="E28" s="87"/>
      <c r="F28" s="88"/>
      <c r="G28" s="88"/>
      <c r="H28" s="88"/>
    </row>
    <row r="29" spans="1:9" s="5" customFormat="1" ht="20.100000000000001" customHeight="1">
      <c r="A29" s="89" t="s">
        <v>55</v>
      </c>
      <c r="B29" s="45"/>
      <c r="C29" s="45"/>
      <c r="D29" s="46"/>
      <c r="E29" s="47"/>
      <c r="F29" s="10"/>
      <c r="G29" s="10"/>
      <c r="H29" s="10"/>
      <c r="I29" s="10"/>
    </row>
    <row r="30" spans="1:9" ht="20.100000000000001" customHeight="1">
      <c r="A30" s="167" t="s">
        <v>6</v>
      </c>
      <c r="B30" s="167" t="s">
        <v>92</v>
      </c>
      <c r="C30" s="167" t="s">
        <v>33</v>
      </c>
      <c r="D30" s="167" t="s">
        <v>8</v>
      </c>
      <c r="E30" s="167" t="s">
        <v>9</v>
      </c>
      <c r="F30" s="167" t="s">
        <v>34</v>
      </c>
      <c r="G30" s="167" t="s">
        <v>10</v>
      </c>
      <c r="H30" s="161" t="s">
        <v>4</v>
      </c>
      <c r="I30" s="161" t="s">
        <v>35</v>
      </c>
    </row>
    <row r="31" spans="1:9" ht="20.100000000000001" customHeight="1">
      <c r="A31" s="168"/>
      <c r="B31" s="168"/>
      <c r="C31" s="168"/>
      <c r="D31" s="168"/>
      <c r="E31" s="168"/>
      <c r="F31" s="168"/>
      <c r="G31" s="168"/>
      <c r="H31" s="162"/>
      <c r="I31" s="162"/>
    </row>
    <row r="32" spans="1:9" ht="20.100000000000001" customHeight="1">
      <c r="A32" s="18"/>
      <c r="B32" s="18"/>
      <c r="C32" s="61"/>
      <c r="D32" s="17"/>
      <c r="E32" s="17"/>
      <c r="F32" s="17"/>
      <c r="G32" s="61"/>
      <c r="H32" s="16"/>
      <c r="I32" s="24"/>
    </row>
    <row r="33" spans="1:9" ht="20.100000000000001" customHeight="1">
      <c r="A33" s="18"/>
      <c r="B33" s="18"/>
      <c r="C33" s="61"/>
      <c r="D33" s="17"/>
      <c r="E33" s="17"/>
      <c r="F33" s="17"/>
      <c r="G33" s="61"/>
      <c r="H33" s="16"/>
      <c r="I33" s="24"/>
    </row>
    <row r="34" spans="1:9" ht="20.100000000000001" customHeight="1">
      <c r="A34" s="18"/>
      <c r="B34" s="18"/>
      <c r="C34" s="61"/>
      <c r="D34" s="17"/>
      <c r="E34" s="17"/>
      <c r="F34" s="17"/>
      <c r="G34" s="61"/>
      <c r="H34" s="16"/>
      <c r="I34" s="24"/>
    </row>
    <row r="35" spans="1:9" ht="20.100000000000001" customHeight="1">
      <c r="A35" s="30"/>
      <c r="B35" s="18"/>
      <c r="C35" s="16"/>
      <c r="D35" s="17"/>
      <c r="E35" s="17"/>
      <c r="F35" s="17"/>
      <c r="G35" s="16"/>
      <c r="H35" s="16"/>
      <c r="I35" s="24"/>
    </row>
    <row r="36" spans="1:9" s="15" customFormat="1" ht="20.100000000000001" customHeight="1">
      <c r="A36" s="26" t="s">
        <v>36</v>
      </c>
      <c r="B36" s="42"/>
      <c r="C36" s="42"/>
      <c r="D36" s="42"/>
      <c r="E36" s="42"/>
      <c r="F36" s="42"/>
      <c r="G36" s="42"/>
      <c r="H36" s="42"/>
      <c r="I36" s="42"/>
    </row>
    <row r="37" spans="1:9" ht="20.100000000000001" customHeight="1">
      <c r="A37" s="13"/>
      <c r="B37" s="13"/>
      <c r="C37" s="13"/>
      <c r="D37" s="13"/>
      <c r="E37" s="13"/>
      <c r="F37" s="13"/>
      <c r="G37" s="13"/>
      <c r="H37" s="13"/>
      <c r="I37" s="13"/>
    </row>
    <row r="38" spans="1:9" ht="20.100000000000001" customHeight="1">
      <c r="A38" s="13"/>
      <c r="B38" s="13"/>
      <c r="C38" s="13"/>
      <c r="D38" s="13"/>
      <c r="E38" s="13"/>
      <c r="F38" s="13"/>
      <c r="G38" s="13"/>
      <c r="H38" s="13"/>
      <c r="I38" s="13"/>
    </row>
    <row r="39" spans="1:9" ht="20.100000000000001" customHeight="1">
      <c r="A39" s="26" t="s">
        <v>37</v>
      </c>
      <c r="B39" s="13"/>
      <c r="C39" s="13"/>
      <c r="D39" s="13"/>
      <c r="E39" s="13"/>
      <c r="F39" s="13"/>
      <c r="G39" s="13"/>
      <c r="H39" s="13"/>
      <c r="I39" s="13"/>
    </row>
    <row r="40" spans="1:9" ht="20.100000000000001" customHeight="1">
      <c r="A40" s="13"/>
      <c r="B40" s="13"/>
      <c r="C40" s="13"/>
      <c r="D40" s="13"/>
      <c r="E40" s="13"/>
      <c r="F40" s="13"/>
      <c r="G40" s="13"/>
      <c r="H40" s="13"/>
      <c r="I40" s="13"/>
    </row>
    <row r="41" spans="1:9" ht="20.100000000000001" customHeight="1">
      <c r="A41" s="13"/>
      <c r="B41" s="13"/>
      <c r="C41" s="13"/>
      <c r="D41" s="13"/>
      <c r="E41" s="13"/>
      <c r="F41" s="13"/>
      <c r="G41" s="13"/>
      <c r="H41" s="13"/>
      <c r="I41" s="13"/>
    </row>
  </sheetData>
  <mergeCells count="11">
    <mergeCell ref="I30:I31"/>
    <mergeCell ref="A1:I1"/>
    <mergeCell ref="A2:I2"/>
    <mergeCell ref="A30:A31"/>
    <mergeCell ref="B30:B31"/>
    <mergeCell ref="C30:C31"/>
    <mergeCell ref="D30:D31"/>
    <mergeCell ref="E30:E31"/>
    <mergeCell ref="F30:F31"/>
    <mergeCell ref="G30:G31"/>
    <mergeCell ref="H30:H31"/>
  </mergeCells>
  <phoneticPr fontId="14" type="noConversion"/>
  <hyperlinks>
    <hyperlink ref="I3" location="底稿目录!A1" display="底稿目录!A1"/>
  </hyperlinks>
  <printOptions horizontalCentered="1"/>
  <pageMargins left="0.74803149606299213" right="0.43307086614173229" top="0.59055118110236227" bottom="0.59055118110236227" header="0.31496062992125984" footer="0.31496062992125984"/>
  <pageSetup paperSize="9" scale="73" orientation="portrait" blackAndWhite="1" r:id="rId1"/>
  <headerFooter alignWithMargins="0">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7</vt:i4>
      </vt:variant>
    </vt:vector>
  </HeadingPairs>
  <TitlesOfParts>
    <vt:vector size="16" baseType="lpstr">
      <vt:lpstr>底稿目录</vt:lpstr>
      <vt:lpstr>GT_Custom</vt:lpstr>
      <vt:lpstr>截止测试-入库（记账凭证至原始凭证）F2-29</vt:lpstr>
      <vt:lpstr>截止测试-入库（原始凭证至记账凭证）F2-30</vt:lpstr>
      <vt:lpstr>截止测试-出库（记账凭证至原始凭证）F2-31</vt:lpstr>
      <vt:lpstr>截止测试-出库（原始凭证至记账凭证）F2-32</vt:lpstr>
      <vt:lpstr>存货采购入库检查表F2-33-新增</vt:lpstr>
      <vt:lpstr>材料领用检查表F2-34-新增</vt:lpstr>
      <vt:lpstr>委托加工物资核查表F2-35</vt:lpstr>
      <vt:lpstr>'材料领用检查表F2-34-新增'!Print_Area</vt:lpstr>
      <vt:lpstr>'存货采购入库检查表F2-33-新增'!Print_Area</vt:lpstr>
      <vt:lpstr>'截止测试-出库（记账凭证至原始凭证）F2-31'!Print_Area</vt:lpstr>
      <vt:lpstr>'截止测试-出库（原始凭证至记账凭证）F2-32'!Print_Area</vt:lpstr>
      <vt:lpstr>'截止测试-入库（记账凭证至原始凭证）F2-29'!Print_Area</vt:lpstr>
      <vt:lpstr>'截止测试-入库（原始凭证至记账凭证）F2-30'!Print_Area</vt:lpstr>
      <vt:lpstr>'委托加工物资核查表F2-35'!Print_Area</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2025-10-20T02:26:35Z</cp:lastPrinted>
  <dcterms:created xsi:type="dcterms:W3CDTF">2007-05-20T08:51:05Z</dcterms:created>
  <dcterms:modified xsi:type="dcterms:W3CDTF">2025-10-23T07:59:14Z</dcterms:modified>
</cp:coreProperties>
</file>