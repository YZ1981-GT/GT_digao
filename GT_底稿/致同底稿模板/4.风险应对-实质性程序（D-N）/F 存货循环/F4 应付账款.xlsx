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
    </mc:Choice>
  </mc:AlternateContent>
  <bookViews>
    <workbookView xWindow="0" yWindow="0" windowWidth="23040" windowHeight="9144" tabRatio="838" firstSheet="1" activeTab="1"/>
  </bookViews>
  <sheets>
    <sheet name="修订说明" sheetId="65" state="hidden" r:id="rId1"/>
    <sheet name="底稿目录" sheetId="1" r:id="rId2"/>
    <sheet name="应付账款实质性程序表F4A" sheetId="58" r:id="rId3"/>
    <sheet name="审定表F4-1" sheetId="46" r:id="rId4"/>
    <sheet name="附注披露信息(上市公司)" sheetId="32" r:id="rId5"/>
    <sheet name="附注披露信息(国企)" sheetId="33" r:id="rId6"/>
    <sheet name="明细表F4-2" sheetId="22" r:id="rId7"/>
    <sheet name="调整分录汇总F4-3" sheetId="59" r:id="rId8"/>
    <sheet name="实质性分析F4-4" sheetId="51" r:id="rId9"/>
    <sheet name="长期挂账检查表F4-5" sheetId="48" r:id="rId10"/>
    <sheet name="关联方及交易检查表F4-6" sheetId="61" r:id="rId11"/>
    <sheet name="未入账检查表F4-7" sheetId="44" r:id="rId12"/>
    <sheet name="应付账款检查表F4-8" sheetId="62" r:id="rId13"/>
    <sheet name="供应商融资检查表F4-9" sheetId="64" r:id="rId14"/>
    <sheet name="GT_Custom" sheetId="35" state="hidden" r:id="rId15"/>
  </sheets>
  <definedNames>
    <definedName name="_xlnm._FilterDatabase" localSheetId="2">应付账款实质性程序表F4A!$A$16:$M$38</definedName>
    <definedName name="bs" localSheetId="10">{#N/A,#N/A,FALSE,"BBPREP"}</definedName>
    <definedName name="bs" localSheetId="12">{#N/A,#N/A,FALSE,"BBPREP"}</definedName>
    <definedName name="bs_1" localSheetId="10">{#N/A,#N/A,FALSE,"BBPREP"}</definedName>
    <definedName name="bs_1" localSheetId="12">{#N/A,#N/A,FALSE,"BBPREP"}</definedName>
    <definedName name="_xlnm.Print_Area" localSheetId="7">'调整分录汇总F4-3'!$A$1:$J$20</definedName>
    <definedName name="_xlnm.Print_Area" localSheetId="5">'附注披露信息(国企)'!$A$1:$E$17</definedName>
    <definedName name="_xlnm.Print_Area" localSheetId="4">'附注披露信息(上市公司)'!$A$1:$D$16</definedName>
    <definedName name="_xlnm.Print_Area" localSheetId="13">'供应商融资检查表F4-9'!$A$1:$N$33</definedName>
    <definedName name="_xlnm.Print_Area" localSheetId="10">'关联方及交易检查表F4-6'!$A$1:$L$16</definedName>
    <definedName name="_xlnm.Print_Area" localSheetId="6">'明细表F4-2'!$A$1:$AA$42</definedName>
    <definedName name="_xlnm.Print_Area" localSheetId="3">'审定表F4-1'!$A$1:$L$31</definedName>
    <definedName name="_xlnm.Print_Area" localSheetId="8">'实质性分析F4-4'!$A$1:$F$41</definedName>
    <definedName name="_xlnm.Print_Area" localSheetId="11">'未入账检查表F4-7'!$A$1:$K$98</definedName>
    <definedName name="_xlnm.Print_Area" localSheetId="12">'应付账款检查表F4-8'!$A$1:$Q$66</definedName>
    <definedName name="_xlnm.Print_Area" localSheetId="2">应付账款实质性程序表F4A!$A$1:$I$38</definedName>
    <definedName name="_xlnm.Print_Area" localSheetId="9">'长期挂账检查表F4-5'!$A$1:$K$21</definedName>
    <definedName name="_xlnm.Print_Titles" localSheetId="6">'明细表F4-2'!$9:$10</definedName>
    <definedName name="_xlnm.Print_Titles" localSheetId="2">应付账款实质性程序表F4A!$15:$16</definedName>
  </definedNames>
  <calcPr calcId="162913"/>
</workbook>
</file>

<file path=xl/calcChain.xml><?xml version="1.0" encoding="utf-8"?>
<calcChain xmlns="http://schemas.openxmlformats.org/spreadsheetml/2006/main">
  <c r="E62" i="62" l="1"/>
  <c r="E61" i="62"/>
  <c r="G38" i="62"/>
  <c r="F61" i="62" s="1"/>
  <c r="G61" i="62" s="1"/>
  <c r="F33" i="44"/>
  <c r="F34" i="44"/>
  <c r="F35" i="44"/>
  <c r="F36" i="44"/>
  <c r="F37" i="44"/>
  <c r="F38" i="44"/>
  <c r="F31" i="44"/>
  <c r="F32" i="44"/>
  <c r="F39" i="44"/>
  <c r="F40" i="44"/>
  <c r="F41" i="44"/>
  <c r="F42" i="44"/>
  <c r="F43" i="44"/>
  <c r="F18" i="44"/>
  <c r="I18" i="44" s="1"/>
  <c r="F19" i="44"/>
  <c r="G19" i="44" s="1"/>
  <c r="F20" i="44"/>
  <c r="I20" i="44" s="1"/>
  <c r="T33" i="22"/>
  <c r="N32" i="22"/>
  <c r="M11" i="22"/>
  <c r="M32" i="22"/>
  <c r="M12" i="22"/>
  <c r="M13" i="22"/>
  <c r="M14" i="22"/>
  <c r="M15" i="22"/>
  <c r="M16" i="22"/>
  <c r="M17" i="22"/>
  <c r="M18" i="22"/>
  <c r="M19" i="22"/>
  <c r="M20" i="22"/>
  <c r="M21" i="22"/>
  <c r="M22" i="22"/>
  <c r="M23" i="22"/>
  <c r="M24" i="22"/>
  <c r="M25" i="22"/>
  <c r="M26" i="22"/>
  <c r="M27" i="22"/>
  <c r="M28" i="22"/>
  <c r="M29" i="22"/>
  <c r="M30" i="22"/>
  <c r="M31" i="22"/>
  <c r="K32" i="22"/>
  <c r="K12" i="22"/>
  <c r="K13" i="22"/>
  <c r="K14" i="22"/>
  <c r="K15" i="22"/>
  <c r="K16" i="22"/>
  <c r="K17" i="22"/>
  <c r="K18" i="22"/>
  <c r="K19" i="22"/>
  <c r="K20" i="22"/>
  <c r="K21" i="22"/>
  <c r="K22" i="22"/>
  <c r="K23" i="22"/>
  <c r="K24" i="22"/>
  <c r="K25" i="22"/>
  <c r="K26" i="22"/>
  <c r="K27" i="22"/>
  <c r="K28" i="22"/>
  <c r="K29" i="22"/>
  <c r="K30" i="22"/>
  <c r="K31" i="22"/>
  <c r="K11" i="22"/>
  <c r="G20" i="44" l="1"/>
  <c r="G18" i="44"/>
  <c r="I19" i="44"/>
  <c r="E31" i="51" l="1"/>
  <c r="E32" i="51"/>
  <c r="E33" i="51"/>
  <c r="E34" i="51"/>
  <c r="E35" i="51"/>
  <c r="D31" i="51"/>
  <c r="D32" i="51"/>
  <c r="D33" i="51"/>
  <c r="D34" i="51"/>
  <c r="D35" i="51"/>
  <c r="I15" i="48" l="1"/>
  <c r="N27" i="64" l="1"/>
  <c r="L27" i="64"/>
  <c r="N3" i="64"/>
  <c r="Q3" i="62"/>
  <c r="K3" i="44"/>
  <c r="L3" i="61"/>
  <c r="K3" i="48"/>
  <c r="F3" i="51"/>
  <c r="J3" i="59"/>
  <c r="I3" i="58"/>
  <c r="L3" i="46"/>
  <c r="AA3" i="22"/>
  <c r="D6" i="1"/>
  <c r="D7" i="1" s="1"/>
  <c r="D8" i="1" s="1"/>
  <c r="D9" i="1" s="1"/>
  <c r="D10" i="1" s="1"/>
  <c r="D11" i="1" s="1"/>
  <c r="D12" i="1" s="1"/>
  <c r="D13" i="1" s="1"/>
  <c r="D14" i="1" s="1"/>
  <c r="D15" i="1" s="1"/>
  <c r="D16" i="1" s="1"/>
  <c r="D17" i="1" s="1"/>
  <c r="D18" i="1" s="1"/>
  <c r="D19" i="1" s="1"/>
  <c r="D20" i="1" s="1"/>
  <c r="D21" i="1" s="1"/>
  <c r="D5" i="1"/>
  <c r="D4" i="1"/>
  <c r="N58" i="62" l="1"/>
  <c r="I92" i="44" l="1"/>
  <c r="F11" i="61"/>
  <c r="F9" i="61"/>
  <c r="F12" i="61" s="1"/>
  <c r="F10" i="61"/>
  <c r="J12" i="61"/>
  <c r="C36" i="51" l="1"/>
  <c r="B36" i="51"/>
  <c r="F21" i="64" l="1"/>
  <c r="F16" i="64"/>
  <c r="M16" i="64" l="1"/>
  <c r="M27" i="64" s="1"/>
  <c r="F27" i="64"/>
  <c r="F26" i="64"/>
  <c r="M21" i="64"/>
  <c r="I4" i="64"/>
  <c r="E4" i="64"/>
  <c r="A4" i="64"/>
  <c r="I3" i="64"/>
  <c r="E3" i="64"/>
  <c r="A3" i="64"/>
  <c r="M26" i="64" l="1"/>
  <c r="L4" i="62" l="1"/>
  <c r="L3" i="62"/>
  <c r="H4" i="62"/>
  <c r="H3" i="62"/>
  <c r="A4" i="62"/>
  <c r="A3" i="62"/>
  <c r="I4" i="61"/>
  <c r="I3" i="61"/>
  <c r="E4" i="61"/>
  <c r="E3" i="61"/>
  <c r="A4" i="61"/>
  <c r="A3" i="61"/>
  <c r="G58" i="62"/>
  <c r="F62" i="62" s="1"/>
  <c r="G62" i="62" s="1"/>
  <c r="O38" i="62"/>
  <c r="L38" i="62"/>
  <c r="F92" i="44"/>
  <c r="I76" i="44"/>
  <c r="I45" i="44"/>
  <c r="F29" i="44"/>
  <c r="F60" i="44"/>
  <c r="I60" i="44"/>
  <c r="H25" i="44" l="1"/>
  <c r="F16" i="44"/>
  <c r="I16" i="44" s="1"/>
  <c r="F17" i="44"/>
  <c r="I17" i="44" s="1"/>
  <c r="F21" i="44"/>
  <c r="I21" i="44" s="1"/>
  <c r="F22" i="44"/>
  <c r="I22" i="44" s="1"/>
  <c r="F23" i="44"/>
  <c r="F24" i="44"/>
  <c r="D25" i="44"/>
  <c r="E25" i="44"/>
  <c r="C25" i="44"/>
  <c r="F15" i="44"/>
  <c r="C12" i="61"/>
  <c r="D12" i="61"/>
  <c r="E12" i="61"/>
  <c r="F8" i="61"/>
  <c r="F7" i="61"/>
  <c r="G21" i="44" l="1"/>
  <c r="I15" i="44"/>
  <c r="G15" i="44"/>
  <c r="G22" i="44"/>
  <c r="G24" i="44"/>
  <c r="I24" i="44"/>
  <c r="G23" i="44"/>
  <c r="I23" i="44"/>
  <c r="F25" i="44"/>
  <c r="G25" i="44" s="1"/>
  <c r="G17" i="44"/>
  <c r="G16" i="44"/>
  <c r="I25" i="44" l="1"/>
  <c r="B15" i="48"/>
  <c r="D27" i="51" l="1"/>
  <c r="E27" i="51" s="1"/>
  <c r="D28" i="51"/>
  <c r="E28" i="51" s="1"/>
  <c r="D29" i="51"/>
  <c r="E29" i="51" s="1"/>
  <c r="D30" i="51"/>
  <c r="E30" i="51" s="1"/>
  <c r="D26" i="51"/>
  <c r="E26" i="51" l="1"/>
  <c r="D36" i="51"/>
  <c r="E36" i="51" s="1"/>
  <c r="F32" i="22" l="1"/>
  <c r="G32" i="22"/>
  <c r="T11" i="22"/>
  <c r="E4" i="58" l="1"/>
  <c r="C4" i="58"/>
  <c r="C4" i="32" l="1"/>
  <c r="B4" i="32"/>
  <c r="D4" i="33"/>
  <c r="C4" i="33"/>
  <c r="T4" i="22"/>
  <c r="M4" i="22"/>
  <c r="D4" i="51"/>
  <c r="B4" i="51"/>
  <c r="G4" i="48"/>
  <c r="D4" i="48"/>
  <c r="G4" i="44"/>
  <c r="E4" i="44"/>
  <c r="H12" i="22" l="1"/>
  <c r="H13" i="22"/>
  <c r="H14" i="22"/>
  <c r="H15" i="22"/>
  <c r="H16" i="22"/>
  <c r="H17" i="22"/>
  <c r="H18" i="22"/>
  <c r="H19" i="22"/>
  <c r="H20" i="22"/>
  <c r="H21" i="22"/>
  <c r="H22" i="22"/>
  <c r="H23" i="22"/>
  <c r="H24" i="22"/>
  <c r="H25" i="22"/>
  <c r="H26" i="22"/>
  <c r="H27" i="22"/>
  <c r="H28" i="22"/>
  <c r="H29" i="22"/>
  <c r="H30" i="22"/>
  <c r="H31" i="22"/>
  <c r="H11" i="22"/>
  <c r="Z32" i="22" l="1"/>
  <c r="I32" i="22"/>
  <c r="J32" i="22"/>
  <c r="O32" i="22"/>
  <c r="P32" i="22"/>
  <c r="Q32" i="22"/>
  <c r="R32" i="22"/>
  <c r="S32" i="22"/>
  <c r="U32" i="22"/>
  <c r="V32" i="22"/>
  <c r="W32" i="22"/>
  <c r="X32" i="22"/>
  <c r="E32" i="22"/>
  <c r="H32" i="22" s="1"/>
  <c r="H3" i="46" l="1"/>
  <c r="H4" i="46"/>
  <c r="E4" i="46"/>
  <c r="F4" i="59" l="1"/>
  <c r="F3" i="59"/>
  <c r="D3" i="59"/>
  <c r="D4" i="59"/>
  <c r="A4" i="59"/>
  <c r="A3" i="59"/>
  <c r="E3" i="58" l="1"/>
  <c r="C3" i="58"/>
  <c r="A4" i="58"/>
  <c r="A3" i="58" l="1"/>
  <c r="G8" i="46" l="1"/>
  <c r="H8" i="46"/>
  <c r="F9" i="46"/>
  <c r="G9" i="46"/>
  <c r="H9" i="46"/>
  <c r="F10" i="46"/>
  <c r="G10" i="46"/>
  <c r="H10" i="46"/>
  <c r="F11" i="46"/>
  <c r="G11" i="46"/>
  <c r="H11" i="46"/>
  <c r="F12" i="46"/>
  <c r="G12" i="46"/>
  <c r="H12" i="46"/>
  <c r="E20" i="46"/>
  <c r="D10" i="33" s="1"/>
  <c r="E21" i="46"/>
  <c r="E19" i="46"/>
  <c r="D9" i="33" s="1"/>
  <c r="E18" i="46"/>
  <c r="D26" i="46" s="1"/>
  <c r="E17" i="46"/>
  <c r="D7" i="33" s="1"/>
  <c r="E8" i="46"/>
  <c r="E9" i="46"/>
  <c r="D8" i="32" s="1"/>
  <c r="E10" i="46"/>
  <c r="E11" i="46"/>
  <c r="E12" i="46"/>
  <c r="D3" i="51"/>
  <c r="B3" i="51"/>
  <c r="A4" i="51"/>
  <c r="A3" i="51"/>
  <c r="T20" i="22"/>
  <c r="T21" i="22"/>
  <c r="T22" i="22"/>
  <c r="T23" i="22"/>
  <c r="T24" i="22"/>
  <c r="T25" i="22"/>
  <c r="T26" i="22"/>
  <c r="T27" i="22"/>
  <c r="T28" i="22"/>
  <c r="T29" i="22"/>
  <c r="T30" i="22"/>
  <c r="T31" i="22"/>
  <c r="T19" i="22"/>
  <c r="T12" i="22"/>
  <c r="T13" i="22"/>
  <c r="T14" i="22"/>
  <c r="F8" i="46"/>
  <c r="D15" i="33"/>
  <c r="D16" i="33"/>
  <c r="D14" i="33"/>
  <c r="C15" i="33"/>
  <c r="C16" i="33"/>
  <c r="C14" i="33"/>
  <c r="A15" i="33"/>
  <c r="A16" i="33"/>
  <c r="A14" i="33"/>
  <c r="C14" i="32"/>
  <c r="C15" i="32"/>
  <c r="C13" i="32"/>
  <c r="B14" i="32"/>
  <c r="B15" i="32"/>
  <c r="B13" i="32"/>
  <c r="A15" i="32"/>
  <c r="A14" i="32"/>
  <c r="A13" i="32"/>
  <c r="G3" i="48"/>
  <c r="D3" i="48"/>
  <c r="A4" i="48"/>
  <c r="A3" i="48"/>
  <c r="T18" i="22"/>
  <c r="T17" i="22"/>
  <c r="T16" i="22"/>
  <c r="A4" i="46"/>
  <c r="E3" i="46"/>
  <c r="A3" i="46"/>
  <c r="H22" i="46"/>
  <c r="D22" i="46"/>
  <c r="I21" i="46"/>
  <c r="C13" i="46"/>
  <c r="D13" i="46"/>
  <c r="B13" i="46"/>
  <c r="B22" i="46"/>
  <c r="C22" i="46"/>
  <c r="A4" i="44"/>
  <c r="G3" i="44"/>
  <c r="E3" i="44"/>
  <c r="A3" i="44"/>
  <c r="F76" i="44"/>
  <c r="F44" i="44"/>
  <c r="F30" i="44"/>
  <c r="F45" i="44" s="1"/>
  <c r="D3" i="33"/>
  <c r="C3" i="33"/>
  <c r="A4" i="33"/>
  <c r="A3" i="33"/>
  <c r="C3" i="32"/>
  <c r="B3" i="32"/>
  <c r="A4" i="32"/>
  <c r="A3" i="32"/>
  <c r="T3" i="22"/>
  <c r="M3" i="22"/>
  <c r="A4" i="22"/>
  <c r="A3" i="22"/>
  <c r="D8" i="33" l="1"/>
  <c r="D7" i="32"/>
  <c r="D11" i="33"/>
  <c r="B16" i="32"/>
  <c r="I20" i="46"/>
  <c r="J20" i="46" s="1"/>
  <c r="K20" i="46" s="1"/>
  <c r="F18" i="46"/>
  <c r="I19" i="46"/>
  <c r="C9" i="33" s="1"/>
  <c r="F17" i="46"/>
  <c r="I8" i="46"/>
  <c r="C7" i="32" s="1"/>
  <c r="I9" i="46"/>
  <c r="J9" i="46" s="1"/>
  <c r="K9" i="46" s="1"/>
  <c r="H13" i="46"/>
  <c r="I17" i="46"/>
  <c r="J17" i="46" s="1"/>
  <c r="K17" i="46" s="1"/>
  <c r="F19" i="46"/>
  <c r="F20" i="46"/>
  <c r="I11" i="46"/>
  <c r="J11" i="46" s="1"/>
  <c r="K11" i="46" s="1"/>
  <c r="G13" i="46"/>
  <c r="I12" i="46"/>
  <c r="F13" i="46"/>
  <c r="I10" i="46"/>
  <c r="J10" i="46" s="1"/>
  <c r="K10" i="46" s="1"/>
  <c r="T15" i="22"/>
  <c r="I18" i="46"/>
  <c r="J18" i="46" s="1"/>
  <c r="K18" i="46" s="1"/>
  <c r="D10" i="32"/>
  <c r="E22" i="46"/>
  <c r="E24" i="46" s="1"/>
  <c r="E13" i="46"/>
  <c r="J21" i="46"/>
  <c r="K21" i="46" s="1"/>
  <c r="C17" i="33"/>
  <c r="C13" i="51" l="1"/>
  <c r="C17" i="51" s="1"/>
  <c r="B12" i="51"/>
  <c r="G20" i="46"/>
  <c r="C10" i="33"/>
  <c r="T32" i="22"/>
  <c r="J19" i="46"/>
  <c r="K19" i="46" s="1"/>
  <c r="C8" i="32"/>
  <c r="J8" i="46"/>
  <c r="K8" i="46" s="1"/>
  <c r="G17" i="46"/>
  <c r="G19" i="46"/>
  <c r="F22" i="46"/>
  <c r="C7" i="33"/>
  <c r="I13" i="46"/>
  <c r="B13" i="51" s="1"/>
  <c r="B17" i="51" s="1"/>
  <c r="J12" i="46"/>
  <c r="K12" i="46" s="1"/>
  <c r="C8" i="33"/>
  <c r="I22" i="46"/>
  <c r="I24" i="46" s="1"/>
  <c r="G18" i="46"/>
  <c r="M33" i="22"/>
  <c r="C18" i="51" l="1"/>
  <c r="C20" i="51"/>
  <c r="B18" i="51"/>
  <c r="B20" i="51"/>
  <c r="J22" i="46"/>
  <c r="K22" i="46" s="1"/>
  <c r="C11" i="33"/>
  <c r="J13" i="46"/>
  <c r="K13" i="46" s="1"/>
  <c r="C10" i="32"/>
  <c r="G22" i="46"/>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24"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24"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Zhang Na 章娜</author>
  </authors>
  <commentList>
    <comment ref="B9" authorId="0" shapeId="0">
      <text>
        <r>
          <rPr>
            <b/>
            <sz val="9"/>
            <color indexed="81"/>
            <rFont val="宋体"/>
            <family val="3"/>
            <charset val="134"/>
          </rPr>
          <t>Windows 用户:</t>
        </r>
        <r>
          <rPr>
            <sz val="9"/>
            <color indexed="81"/>
            <rFont val="宋体"/>
            <family val="3"/>
            <charset val="134"/>
          </rPr>
          <t xml:space="preserve">
可填写债权人的唯一识别编码，如被审计单位财务或业务系统中的公司编码</t>
        </r>
      </text>
    </comment>
    <comment ref="C9" authorId="1" shapeId="0">
      <text>
        <r>
          <rPr>
            <sz val="9"/>
            <color indexed="81"/>
            <rFont val="宋体"/>
            <family val="3"/>
            <charset val="134"/>
          </rPr>
          <t xml:space="preserve">期末关联方类型
</t>
        </r>
      </text>
    </comment>
    <comment ref="D9" authorId="1" shapeId="0">
      <text>
        <r>
          <rPr>
            <sz val="9"/>
            <color indexed="81"/>
            <rFont val="宋体"/>
            <family val="3"/>
            <charset val="134"/>
          </rPr>
          <t xml:space="preserve">期末款项性质
</t>
        </r>
      </text>
    </comment>
  </commentList>
</comments>
</file>

<file path=xl/comments4.xml><?xml version="1.0" encoding="utf-8"?>
<comments xmlns="http://schemas.openxmlformats.org/spreadsheetml/2006/main">
  <authors>
    <author>Liufs</author>
  </authors>
  <commentList>
    <comment ref="F27" authorId="0" shapeId="0">
      <text>
        <r>
          <rPr>
            <b/>
            <sz val="9"/>
            <color indexed="81"/>
            <rFont val="宋体"/>
            <family val="3"/>
            <charset val="134"/>
          </rPr>
          <t>Liufs:</t>
        </r>
        <r>
          <rPr>
            <sz val="9"/>
            <color indexed="81"/>
            <rFont val="宋体"/>
            <family val="3"/>
            <charset val="134"/>
          </rPr>
          <t xml:space="preserve">
存货暂估入库金额不包含增值税。</t>
        </r>
      </text>
    </comment>
    <comment ref="F62" authorId="0" shapeId="0">
      <text>
        <r>
          <rPr>
            <b/>
            <sz val="9"/>
            <color indexed="81"/>
            <rFont val="宋体"/>
            <family val="3"/>
            <charset val="134"/>
          </rPr>
          <t>Liufs:</t>
        </r>
        <r>
          <rPr>
            <sz val="9"/>
            <color indexed="81"/>
            <rFont val="宋体"/>
            <family val="3"/>
            <charset val="134"/>
          </rPr>
          <t xml:space="preserve">
应与银行对账单核对一致</t>
        </r>
      </text>
    </comment>
  </commentList>
</comments>
</file>

<file path=xl/comments5.xml><?xml version="1.0" encoding="utf-8"?>
<comments xmlns="http://schemas.openxmlformats.org/spreadsheetml/2006/main">
  <authors>
    <author>Windows 用户</author>
  </authors>
  <commentList>
    <comment ref="M11" authorId="0" shapeId="0">
      <text>
        <r>
          <rPr>
            <b/>
            <sz val="9"/>
            <color indexed="81"/>
            <rFont val="宋体"/>
            <family val="3"/>
            <charset val="134"/>
          </rPr>
          <t>Windows 用户:</t>
        </r>
        <r>
          <rPr>
            <sz val="9"/>
            <color indexed="81"/>
            <rFont val="宋体"/>
            <family val="3"/>
            <charset val="134"/>
          </rPr>
          <t xml:space="preserve">
如果供应商融资金额大于采购金额重点关注供应商资金流向，是否存在体外资金循环，必要时执行供应商资金穿透检查程序</t>
        </r>
      </text>
    </comment>
  </commentList>
</comments>
</file>

<file path=xl/sharedStrings.xml><?xml version="1.0" encoding="utf-8"?>
<sst xmlns="http://schemas.openxmlformats.org/spreadsheetml/2006/main" count="732" uniqueCount="579">
  <si>
    <t>底稿开列时，可先在以下单元格填写有关内容，以便其他底稿引用有关数据：</t>
    <phoneticPr fontId="15" type="noConversion"/>
  </si>
  <si>
    <t>序号</t>
    <phoneticPr fontId="15" type="noConversion"/>
  </si>
  <si>
    <t>审定表</t>
    <phoneticPr fontId="15" type="noConversion"/>
  </si>
  <si>
    <t>期末余额</t>
  </si>
  <si>
    <t>应付账款附注披露信息：</t>
    <phoneticPr fontId="15" type="noConversion"/>
  </si>
  <si>
    <t>应付账款附注披露信息（国企）</t>
    <phoneticPr fontId="15" type="noConversion"/>
  </si>
  <si>
    <r>
      <t>1</t>
    </r>
    <r>
      <rPr>
        <b/>
        <sz val="10"/>
        <rFont val="宋体"/>
        <family val="3"/>
        <charset val="134"/>
      </rPr>
      <t>年以下</t>
    </r>
  </si>
  <si>
    <r>
      <t>1</t>
    </r>
    <r>
      <rPr>
        <b/>
        <sz val="10"/>
        <rFont val="宋体"/>
        <family val="3"/>
        <charset val="134"/>
      </rPr>
      <t>～</t>
    </r>
    <r>
      <rPr>
        <b/>
        <sz val="10"/>
        <rFont val="Arial Narrow"/>
        <family val="2"/>
      </rPr>
      <t>2</t>
    </r>
    <r>
      <rPr>
        <b/>
        <sz val="10"/>
        <rFont val="宋体"/>
        <family val="3"/>
        <charset val="134"/>
      </rPr>
      <t>年</t>
    </r>
  </si>
  <si>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</si>
  <si>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</si>
  <si>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</si>
  <si>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</si>
  <si>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</si>
  <si>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</si>
  <si>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</si>
  <si>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</si>
  <si>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</si>
  <si>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</si>
  <si>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</si>
  <si>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</si>
  <si>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</si>
  <si>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</si>
  <si>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</si>
  <si>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</si>
  <si>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</si>
  <si>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</si>
  <si>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合计</t>
  </si>
  <si>
    <r>
      <rPr>
        <sz val="10"/>
        <rFont val="宋体"/>
        <family val="3"/>
        <charset val="134"/>
      </rPr>
      <t>页次：</t>
    </r>
  </si>
  <si>
    <t>索引号：</t>
    <phoneticPr fontId="15" type="noConversion"/>
  </si>
  <si>
    <t>货款</t>
  </si>
  <si>
    <t>工程款</t>
  </si>
  <si>
    <t>债权单位名称</t>
  </si>
  <si>
    <t>未偿还原因</t>
  </si>
  <si>
    <r>
      <t>1</t>
    </r>
    <r>
      <rPr>
        <sz val="10"/>
        <color indexed="8"/>
        <rFont val="宋体"/>
        <family val="3"/>
        <charset val="134"/>
      </rPr>
      <t>至</t>
    </r>
    <r>
      <rPr>
        <sz val="10"/>
        <color indexed="8"/>
        <rFont val="Arial Narrow"/>
        <family val="2"/>
      </rPr>
      <t>2</t>
    </r>
    <r>
      <rPr>
        <sz val="10"/>
        <color indexed="8"/>
        <rFont val="宋体"/>
        <family val="3"/>
        <charset val="134"/>
      </rPr>
      <t>年（含</t>
    </r>
    <r>
      <rPr>
        <sz val="10"/>
        <color indexed="8"/>
        <rFont val="Arial Narrow"/>
        <family val="2"/>
      </rPr>
      <t>2</t>
    </r>
    <r>
      <rPr>
        <sz val="10"/>
        <color indexed="8"/>
        <rFont val="宋体"/>
        <family val="3"/>
        <charset val="134"/>
      </rPr>
      <t>年）</t>
    </r>
  </si>
  <si>
    <r>
      <t>2</t>
    </r>
    <r>
      <rPr>
        <sz val="10"/>
        <color indexed="8"/>
        <rFont val="宋体"/>
        <family val="3"/>
        <charset val="134"/>
      </rPr>
      <t>至</t>
    </r>
    <r>
      <rPr>
        <sz val="10"/>
        <color indexed="8"/>
        <rFont val="Arial Narrow"/>
        <family val="2"/>
      </rPr>
      <t>3</t>
    </r>
    <r>
      <rPr>
        <sz val="10"/>
        <color indexed="8"/>
        <rFont val="宋体"/>
        <family val="3"/>
        <charset val="134"/>
      </rPr>
      <t>年（含</t>
    </r>
    <r>
      <rPr>
        <sz val="10"/>
        <color indexed="8"/>
        <rFont val="Arial Narrow"/>
        <family val="2"/>
      </rPr>
      <t>3</t>
    </r>
    <r>
      <rPr>
        <sz val="10"/>
        <color indexed="8"/>
        <rFont val="宋体"/>
        <family val="3"/>
        <charset val="134"/>
      </rPr>
      <t>年）</t>
    </r>
  </si>
  <si>
    <r>
      <t>3</t>
    </r>
    <r>
      <rPr>
        <sz val="10"/>
        <color indexed="8"/>
        <rFont val="宋体"/>
        <family val="3"/>
        <charset val="134"/>
      </rPr>
      <t>年以上</t>
    </r>
  </si>
  <si>
    <t>设备款</t>
  </si>
  <si>
    <t>其他</t>
  </si>
  <si>
    <r>
      <t>1</t>
    </r>
    <r>
      <rPr>
        <sz val="10"/>
        <color indexed="8"/>
        <rFont val="宋体"/>
        <family val="3"/>
        <charset val="134"/>
      </rPr>
      <t>年以内（含</t>
    </r>
    <r>
      <rPr>
        <sz val="10"/>
        <color indexed="8"/>
        <rFont val="Arial Narrow"/>
        <family val="2"/>
      </rPr>
      <t>1</t>
    </r>
    <r>
      <rPr>
        <sz val="10"/>
        <color indexed="8"/>
        <rFont val="宋体"/>
        <family val="3"/>
        <charset val="134"/>
      </rPr>
      <t>年）</t>
    </r>
  </si>
  <si>
    <r>
      <rPr>
        <b/>
        <sz val="10"/>
        <rFont val="宋体"/>
        <family val="3"/>
        <charset val="134"/>
      </rPr>
      <t>审定数</t>
    </r>
  </si>
  <si>
    <r>
      <rPr>
        <b/>
        <sz val="10"/>
        <rFont val="宋体"/>
        <family val="3"/>
        <charset val="134"/>
      </rPr>
      <t>备注</t>
    </r>
  </si>
  <si>
    <r>
      <rPr>
        <b/>
        <sz val="10"/>
        <rFont val="宋体"/>
        <family val="3"/>
        <charset val="134"/>
      </rPr>
      <t>款项性质</t>
    </r>
    <phoneticPr fontId="19" type="noConversion"/>
  </si>
  <si>
    <r>
      <rPr>
        <b/>
        <sz val="10"/>
        <rFont val="宋体"/>
        <family val="3"/>
        <charset val="134"/>
      </rPr>
      <t>借方发生</t>
    </r>
    <phoneticPr fontId="19" type="noConversion"/>
  </si>
  <si>
    <r>
      <rPr>
        <b/>
        <sz val="10"/>
        <rFont val="宋体"/>
        <family val="3"/>
        <charset val="134"/>
      </rPr>
      <t>贷方发生</t>
    </r>
    <phoneticPr fontId="19" type="noConversion"/>
  </si>
  <si>
    <r>
      <rPr>
        <b/>
        <sz val="10"/>
        <rFont val="宋体"/>
        <family val="3"/>
        <charset val="134"/>
      </rPr>
      <t>期末余额</t>
    </r>
    <phoneticPr fontId="19" type="noConversion"/>
  </si>
  <si>
    <r>
      <rPr>
        <b/>
        <sz val="10"/>
        <rFont val="宋体"/>
        <family val="3"/>
        <charset val="134"/>
      </rPr>
      <t>２～</t>
    </r>
    <r>
      <rPr>
        <b/>
        <sz val="10"/>
        <rFont val="Arial Narrow"/>
        <family val="2"/>
      </rPr>
      <t>3</t>
    </r>
    <r>
      <rPr>
        <b/>
        <sz val="10"/>
        <rFont val="宋体"/>
        <family val="3"/>
        <charset val="134"/>
      </rPr>
      <t>年</t>
    </r>
  </si>
  <si>
    <r>
      <t>3</t>
    </r>
    <r>
      <rPr>
        <b/>
        <sz val="10"/>
        <rFont val="宋体"/>
        <family val="3"/>
        <charset val="134"/>
      </rPr>
      <t>年以上</t>
    </r>
  </si>
  <si>
    <r>
      <rPr>
        <b/>
        <sz val="10"/>
        <color indexed="8"/>
        <rFont val="宋体"/>
        <family val="3"/>
        <charset val="134"/>
      </rPr>
      <t>合计</t>
    </r>
  </si>
  <si>
    <r>
      <rPr>
        <b/>
        <sz val="10"/>
        <rFont val="宋体"/>
        <family val="3"/>
        <charset val="134"/>
      </rPr>
      <t>三、审计说明：</t>
    </r>
    <r>
      <rPr>
        <b/>
        <sz val="10"/>
        <color indexed="12"/>
        <rFont val="Arial Narrow"/>
        <family val="2"/>
      </rPr>
      <t/>
    </r>
    <phoneticPr fontId="15" type="noConversion"/>
  </si>
  <si>
    <r>
      <rPr>
        <b/>
        <sz val="10"/>
        <rFont val="宋体"/>
        <family val="3"/>
        <charset val="134"/>
      </rPr>
      <t>四、审计结论：</t>
    </r>
    <phoneticPr fontId="19" type="noConversion"/>
  </si>
  <si>
    <t>服务费</t>
  </si>
  <si>
    <r>
      <rPr>
        <b/>
        <sz val="12"/>
        <rFont val="宋体"/>
        <family val="3"/>
        <charset val="134"/>
      </rPr>
      <t>应付账款附注披露信息（上市公司）</t>
    </r>
    <phoneticPr fontId="15" type="noConversion"/>
  </si>
  <si>
    <r>
      <rPr>
        <b/>
        <sz val="10"/>
        <rFont val="宋体"/>
        <family val="3"/>
        <charset val="134"/>
      </rPr>
      <t>债权人名称</t>
    </r>
    <phoneticPr fontId="15" type="noConversion"/>
  </si>
  <si>
    <r>
      <rPr>
        <b/>
        <sz val="10"/>
        <rFont val="宋体"/>
        <family val="3"/>
        <charset val="134"/>
      </rPr>
      <t>期末余额</t>
    </r>
    <phoneticPr fontId="15" type="noConversion"/>
  </si>
  <si>
    <r>
      <rPr>
        <b/>
        <sz val="10"/>
        <rFont val="宋体"/>
        <family val="3"/>
        <charset val="134"/>
      </rPr>
      <t>账龄</t>
    </r>
    <phoneticPr fontId="15" type="noConversion"/>
  </si>
  <si>
    <r>
      <rPr>
        <b/>
        <sz val="10"/>
        <rFont val="宋体"/>
        <family val="3"/>
        <charset val="134"/>
      </rPr>
      <t>经济业务说明</t>
    </r>
    <phoneticPr fontId="15" type="noConversion"/>
  </si>
  <si>
    <r>
      <rPr>
        <b/>
        <sz val="10"/>
        <rFont val="宋体"/>
        <family val="3"/>
        <charset val="134"/>
      </rPr>
      <t>是否无法支付</t>
    </r>
    <phoneticPr fontId="15" type="noConversion"/>
  </si>
  <si>
    <r>
      <rPr>
        <b/>
        <sz val="10"/>
        <rFont val="宋体"/>
        <family val="3"/>
        <charset val="134"/>
      </rPr>
      <t>备注</t>
    </r>
    <phoneticPr fontId="15" type="noConversion"/>
  </si>
  <si>
    <t>未偿还或未结转的原因</t>
    <phoneticPr fontId="15" type="noConversion"/>
  </si>
  <si>
    <t>未偿还或未结转的原因</t>
    <phoneticPr fontId="15" type="noConversion"/>
  </si>
  <si>
    <t>四、审计结论：</t>
    <phoneticPr fontId="15" type="noConversion"/>
  </si>
  <si>
    <t>3</t>
  </si>
  <si>
    <r>
      <rPr>
        <b/>
        <sz val="10"/>
        <color indexed="8"/>
        <rFont val="宋体"/>
        <family val="3"/>
        <charset val="134"/>
      </rPr>
      <t>一、审计目标</t>
    </r>
    <r>
      <rPr>
        <b/>
        <sz val="10"/>
        <color indexed="8"/>
        <rFont val="Arial Narrow"/>
        <family val="2"/>
      </rPr>
      <t>:</t>
    </r>
    <phoneticPr fontId="19" type="noConversion"/>
  </si>
  <si>
    <r>
      <rPr>
        <b/>
        <sz val="10"/>
        <rFont val="宋体"/>
        <family val="3"/>
        <charset val="134"/>
      </rPr>
      <t>二、审计过程：</t>
    </r>
    <phoneticPr fontId="19" type="noConversion"/>
  </si>
  <si>
    <r>
      <rPr>
        <b/>
        <sz val="10"/>
        <rFont val="宋体"/>
        <family val="3"/>
        <charset val="134"/>
      </rPr>
      <t>债权人名称</t>
    </r>
    <phoneticPr fontId="15" type="noConversion"/>
  </si>
  <si>
    <r>
      <rPr>
        <b/>
        <sz val="10"/>
        <rFont val="宋体"/>
        <family val="3"/>
        <charset val="134"/>
      </rPr>
      <t>未审账龄</t>
    </r>
    <phoneticPr fontId="19" type="noConversion"/>
  </si>
  <si>
    <r>
      <rPr>
        <b/>
        <sz val="10"/>
        <rFont val="宋体"/>
        <family val="3"/>
        <charset val="134"/>
      </rPr>
      <t>账项调整</t>
    </r>
    <phoneticPr fontId="15" type="noConversion"/>
  </si>
  <si>
    <r>
      <rPr>
        <b/>
        <sz val="10"/>
        <rFont val="宋体"/>
        <family val="3"/>
        <charset val="134"/>
      </rPr>
      <t>重分类调整</t>
    </r>
    <phoneticPr fontId="15" type="noConversion"/>
  </si>
  <si>
    <r>
      <rPr>
        <b/>
        <sz val="10"/>
        <rFont val="宋体"/>
        <family val="3"/>
        <charset val="134"/>
      </rPr>
      <t>审定账龄</t>
    </r>
    <phoneticPr fontId="19" type="noConversion"/>
  </si>
  <si>
    <r>
      <rPr>
        <b/>
        <sz val="10"/>
        <rFont val="宋体"/>
        <family val="3"/>
        <charset val="134"/>
      </rPr>
      <t>期后付款</t>
    </r>
    <phoneticPr fontId="19" type="noConversion"/>
  </si>
  <si>
    <t>一、审计目标：</t>
    <phoneticPr fontId="15" type="noConversion"/>
  </si>
  <si>
    <t>二、审计过程：</t>
    <phoneticPr fontId="15" type="noConversion"/>
  </si>
  <si>
    <t>三、审计说明：</t>
    <phoneticPr fontId="15" type="noConversion"/>
  </si>
  <si>
    <t>四、审计结论：</t>
    <phoneticPr fontId="15" type="noConversion"/>
  </si>
  <si>
    <r>
      <rPr>
        <b/>
        <sz val="10"/>
        <rFont val="宋体"/>
        <family val="3"/>
        <charset val="134"/>
      </rPr>
      <t>三、审计说明：</t>
    </r>
    <phoneticPr fontId="15" type="noConversion"/>
  </si>
  <si>
    <r>
      <rPr>
        <b/>
        <sz val="10"/>
        <rFont val="宋体"/>
        <family val="3"/>
        <charset val="134"/>
      </rPr>
      <t>四、审计结论：</t>
    </r>
    <phoneticPr fontId="15" type="noConversion"/>
  </si>
  <si>
    <r>
      <rPr>
        <b/>
        <sz val="10"/>
        <rFont val="宋体"/>
        <family val="3"/>
        <charset val="134"/>
      </rPr>
      <t>一、审计目标：</t>
    </r>
    <phoneticPr fontId="15" type="noConversion"/>
  </si>
  <si>
    <r>
      <rPr>
        <b/>
        <sz val="10"/>
        <rFont val="宋体"/>
        <family val="3"/>
        <charset val="134"/>
      </rPr>
      <t>二、审计过程：</t>
    </r>
    <phoneticPr fontId="15" type="noConversion"/>
  </si>
  <si>
    <r>
      <rPr>
        <b/>
        <sz val="10"/>
        <rFont val="宋体"/>
        <family val="3"/>
        <charset val="134"/>
      </rPr>
      <t>序号</t>
    </r>
  </si>
  <si>
    <r>
      <rPr>
        <b/>
        <sz val="10"/>
        <rFont val="宋体"/>
        <family val="3"/>
        <charset val="134"/>
      </rPr>
      <t>购货发票</t>
    </r>
  </si>
  <si>
    <r>
      <rPr>
        <b/>
        <sz val="10"/>
        <rFont val="宋体"/>
        <family val="3"/>
        <charset val="134"/>
      </rPr>
      <t>供应商名称</t>
    </r>
    <phoneticPr fontId="15" type="noConversion"/>
  </si>
  <si>
    <r>
      <rPr>
        <b/>
        <sz val="10"/>
        <rFont val="宋体"/>
        <family val="3"/>
        <charset val="134"/>
      </rPr>
      <t>应计入报告期金额</t>
    </r>
    <phoneticPr fontId="15" type="noConversion"/>
  </si>
  <si>
    <r>
      <rPr>
        <b/>
        <sz val="10"/>
        <rFont val="宋体"/>
        <family val="3"/>
        <charset val="134"/>
      </rPr>
      <t>备注</t>
    </r>
    <phoneticPr fontId="15" type="noConversion"/>
  </si>
  <si>
    <r>
      <rPr>
        <b/>
        <sz val="10"/>
        <rFont val="宋体"/>
        <family val="3"/>
        <charset val="134"/>
      </rPr>
      <t>日期</t>
    </r>
    <phoneticPr fontId="15" type="noConversion"/>
  </si>
  <si>
    <r>
      <rPr>
        <b/>
        <sz val="10"/>
        <rFont val="宋体"/>
        <family val="3"/>
        <charset val="134"/>
      </rPr>
      <t>编号</t>
    </r>
    <phoneticPr fontId="15" type="noConversion"/>
  </si>
  <si>
    <r>
      <rPr>
        <b/>
        <sz val="10"/>
        <rFont val="宋体"/>
        <family val="3"/>
        <charset val="134"/>
      </rPr>
      <t>数量</t>
    </r>
    <phoneticPr fontId="15" type="noConversion"/>
  </si>
  <si>
    <r>
      <rPr>
        <b/>
        <sz val="10"/>
        <color indexed="8"/>
        <rFont val="宋体"/>
        <family val="3"/>
        <charset val="134"/>
      </rPr>
      <t>合计</t>
    </r>
    <phoneticPr fontId="15" type="noConversion"/>
  </si>
  <si>
    <r>
      <rPr>
        <b/>
        <sz val="10"/>
        <rFont val="宋体"/>
        <family val="3"/>
        <charset val="134"/>
      </rPr>
      <t>金额</t>
    </r>
    <phoneticPr fontId="15" type="noConversion"/>
  </si>
  <si>
    <r>
      <rPr>
        <b/>
        <sz val="10"/>
        <rFont val="宋体"/>
        <family val="3"/>
        <charset val="134"/>
      </rPr>
      <t>备注</t>
    </r>
    <phoneticPr fontId="15" type="noConversion"/>
  </si>
  <si>
    <r>
      <t>1</t>
    </r>
    <r>
      <rPr>
        <sz val="10"/>
        <color indexed="12"/>
        <rFont val="宋体"/>
        <family val="3"/>
        <charset val="134"/>
      </rPr>
      <t>、本表主要用于验证应付账款的完整性。</t>
    </r>
    <phoneticPr fontId="15" type="noConversion"/>
  </si>
  <si>
    <t>项目</t>
  </si>
  <si>
    <r>
      <rPr>
        <b/>
        <sz val="10"/>
        <rFont val="宋体"/>
        <family val="3"/>
        <charset val="134"/>
      </rPr>
      <t>债权人名称</t>
    </r>
  </si>
  <si>
    <r>
      <rPr>
        <b/>
        <sz val="10"/>
        <rFont val="宋体"/>
        <family val="3"/>
        <charset val="134"/>
      </rPr>
      <t>发生原因（款项性质）</t>
    </r>
    <phoneticPr fontId="15" type="noConversion"/>
  </si>
  <si>
    <r>
      <rPr>
        <sz val="10"/>
        <rFont val="宋体"/>
        <family val="3"/>
        <charset val="134"/>
      </rPr>
      <t>债权人</t>
    </r>
    <r>
      <rPr>
        <sz val="10"/>
        <rFont val="Arial Narrow"/>
        <family val="2"/>
      </rPr>
      <t>1</t>
    </r>
  </si>
  <si>
    <r>
      <rPr>
        <sz val="10"/>
        <rFont val="宋体"/>
        <family val="3"/>
        <charset val="134"/>
      </rPr>
      <t>债权人</t>
    </r>
    <r>
      <rPr>
        <sz val="10"/>
        <rFont val="Arial Narrow"/>
        <family val="2"/>
      </rPr>
      <t>2</t>
    </r>
  </si>
  <si>
    <r>
      <rPr>
        <sz val="10"/>
        <rFont val="宋体"/>
        <family val="3"/>
        <charset val="134"/>
      </rPr>
      <t>债权人</t>
    </r>
    <r>
      <rPr>
        <sz val="10"/>
        <rFont val="Arial Narrow"/>
        <family val="2"/>
      </rPr>
      <t>3</t>
    </r>
  </si>
  <si>
    <r>
      <rPr>
        <sz val="10"/>
        <rFont val="宋体"/>
        <family val="3"/>
        <charset val="134"/>
      </rPr>
      <t>债权人</t>
    </r>
    <r>
      <rPr>
        <sz val="10"/>
        <rFont val="Arial Narrow"/>
        <family val="2"/>
      </rPr>
      <t>4</t>
    </r>
  </si>
  <si>
    <r>
      <rPr>
        <sz val="10"/>
        <rFont val="宋体"/>
        <family val="3"/>
        <charset val="134"/>
      </rPr>
      <t>债权人</t>
    </r>
    <r>
      <rPr>
        <sz val="10"/>
        <rFont val="Arial Narrow"/>
        <family val="2"/>
      </rPr>
      <t>5</t>
    </r>
  </si>
  <si>
    <r>
      <rPr>
        <b/>
        <sz val="10"/>
        <rFont val="宋体"/>
        <family val="3"/>
        <charset val="134"/>
      </rPr>
      <t>小计</t>
    </r>
    <phoneticPr fontId="15" type="noConversion"/>
  </si>
  <si>
    <r>
      <rPr>
        <b/>
        <sz val="10"/>
        <rFont val="宋体"/>
        <family val="3"/>
        <charset val="134"/>
      </rPr>
      <t>审计说明：</t>
    </r>
    <r>
      <rPr>
        <b/>
        <sz val="10"/>
        <color indexed="12"/>
        <rFont val="Arial Narrow"/>
        <family val="2"/>
      </rPr>
      <t/>
    </r>
    <phoneticPr fontId="15" type="noConversion"/>
  </si>
  <si>
    <t>序号</t>
  </si>
  <si>
    <t>明细科目</t>
  </si>
  <si>
    <r>
      <rPr>
        <b/>
        <sz val="12"/>
        <rFont val="宋体"/>
        <family val="3"/>
        <charset val="134"/>
      </rPr>
      <t>致同会计师事务所</t>
    </r>
  </si>
  <si>
    <t>应付账款实质性程序</t>
    <phoneticPr fontId="15" type="noConversion"/>
  </si>
  <si>
    <t>页  次：</t>
    <phoneticPr fontId="49" type="noConversion"/>
  </si>
  <si>
    <r>
      <rPr>
        <b/>
        <sz val="10"/>
        <rFont val="宋体"/>
        <family val="3"/>
        <charset val="134"/>
      </rPr>
      <t>财务报表的认定　</t>
    </r>
  </si>
  <si>
    <t>常规★</t>
    <phoneticPr fontId="49" type="noConversion"/>
  </si>
  <si>
    <t>备选</t>
    <phoneticPr fontId="49" type="noConversion"/>
  </si>
  <si>
    <t>6</t>
  </si>
  <si>
    <t>4</t>
  </si>
  <si>
    <t>5</t>
  </si>
  <si>
    <t>7</t>
  </si>
  <si>
    <t>8</t>
  </si>
  <si>
    <t>9</t>
  </si>
  <si>
    <t>10</t>
  </si>
  <si>
    <t>提示：</t>
    <phoneticPr fontId="15" type="noConversion"/>
  </si>
  <si>
    <t>调整事项说明</t>
    <phoneticPr fontId="15" type="noConversion"/>
  </si>
  <si>
    <t>类别（报表调整/账项调整/其他）</t>
    <phoneticPr fontId="15" type="noConversion"/>
  </si>
  <si>
    <t>借方调整金额</t>
    <phoneticPr fontId="15" type="noConversion"/>
  </si>
  <si>
    <t>贷方调整金额</t>
    <phoneticPr fontId="15" type="noConversion"/>
  </si>
  <si>
    <t>索引</t>
    <phoneticPr fontId="15" type="noConversion"/>
  </si>
  <si>
    <t>备注</t>
    <phoneticPr fontId="15" type="noConversion"/>
  </si>
  <si>
    <t>【注：本底稿适用于调整分录较多、较复杂的项目，且仅列示与本报表项目相关的审计调整。项目组可根据项目实际情况选择是否使用该底稿。】</t>
    <phoneticPr fontId="15" type="noConversion"/>
  </si>
  <si>
    <t>索引号</t>
    <phoneticPr fontId="15" type="noConversion"/>
  </si>
  <si>
    <t>应付账款实质性程序表</t>
    <phoneticPr fontId="15" type="noConversion"/>
  </si>
  <si>
    <t>附注披露信息(上市公司)</t>
    <phoneticPr fontId="15" type="noConversion"/>
  </si>
  <si>
    <t>附注披露信息(国企)</t>
    <phoneticPr fontId="15" type="noConversion"/>
  </si>
  <si>
    <t>应付账款明细表</t>
    <phoneticPr fontId="15" type="noConversion"/>
  </si>
  <si>
    <t>调整分录汇总</t>
  </si>
  <si>
    <t>应付账款调整分录汇总表</t>
    <phoneticPr fontId="15" type="noConversion"/>
  </si>
  <si>
    <r>
      <rPr>
        <b/>
        <sz val="10"/>
        <rFont val="宋体"/>
        <family val="3"/>
        <charset val="134"/>
      </rPr>
      <t>款项性质</t>
    </r>
    <phoneticPr fontId="15" type="noConversion"/>
  </si>
  <si>
    <t>关联方类型</t>
    <phoneticPr fontId="15" type="noConversion"/>
  </si>
  <si>
    <t>关联方类型</t>
    <phoneticPr fontId="19" type="noConversion"/>
  </si>
  <si>
    <t>期初未审余额</t>
    <phoneticPr fontId="15" type="noConversion"/>
  </si>
  <si>
    <t>期初账项调整</t>
    <phoneticPr fontId="15" type="noConversion"/>
  </si>
  <si>
    <t>期初重分类调整</t>
    <phoneticPr fontId="15" type="noConversion"/>
  </si>
  <si>
    <t>期初审定余额</t>
    <phoneticPr fontId="15" type="noConversion"/>
  </si>
  <si>
    <t>期初余额</t>
    <phoneticPr fontId="19" type="noConversion"/>
  </si>
  <si>
    <t>账项调整</t>
    <phoneticPr fontId="19" type="noConversion"/>
  </si>
  <si>
    <t>重分类调整</t>
    <phoneticPr fontId="19" type="noConversion"/>
  </si>
  <si>
    <t>期初审定</t>
    <phoneticPr fontId="19" type="noConversion"/>
  </si>
  <si>
    <r>
      <rPr>
        <b/>
        <sz val="10"/>
        <rFont val="宋体"/>
        <family val="3"/>
        <charset val="134"/>
      </rPr>
      <t>借方发生</t>
    </r>
    <phoneticPr fontId="15" type="noConversion"/>
  </si>
  <si>
    <r>
      <rPr>
        <b/>
        <sz val="10"/>
        <rFont val="宋体"/>
        <family val="3"/>
        <charset val="134"/>
      </rPr>
      <t>贷方发生</t>
    </r>
    <phoneticPr fontId="15" type="noConversion"/>
  </si>
  <si>
    <t>期末未审余额</t>
    <phoneticPr fontId="15" type="noConversion"/>
  </si>
  <si>
    <t>日期</t>
  </si>
  <si>
    <t>金额</t>
  </si>
  <si>
    <t>账龄超过1年的重要应付账款</t>
    <phoneticPr fontId="15" type="noConversion"/>
  </si>
  <si>
    <t>期末余额</t>
    <phoneticPr fontId="15" type="noConversion"/>
  </si>
  <si>
    <t>期初余额</t>
    <phoneticPr fontId="15" type="noConversion"/>
  </si>
  <si>
    <t>账  龄</t>
  </si>
  <si>
    <t>合  计</t>
  </si>
  <si>
    <t>项 目</t>
  </si>
  <si>
    <t>可无限量添加行</t>
  </si>
  <si>
    <t>合 计</t>
  </si>
  <si>
    <t>其中，账龄超过1年的重要应付账款</t>
  </si>
  <si>
    <t>期末余额</t>
    <phoneticPr fontId="15" type="noConversion"/>
  </si>
  <si>
    <t>上年年末余额</t>
    <phoneticPr fontId="15" type="noConversion"/>
  </si>
  <si>
    <t>期末余额</t>
    <phoneticPr fontId="15" type="noConversion"/>
  </si>
  <si>
    <t>一、本账户涉及的科目</t>
    <phoneticPr fontId="49" type="noConversion"/>
  </si>
  <si>
    <t>应付票据</t>
    <phoneticPr fontId="49" type="noConversion"/>
  </si>
  <si>
    <t>二、审计目标与认定的对应关系</t>
    <phoneticPr fontId="15" type="noConversion"/>
  </si>
  <si>
    <t>审计目标</t>
    <phoneticPr fontId="15" type="noConversion"/>
  </si>
  <si>
    <t>存在</t>
    <phoneticPr fontId="15" type="noConversion"/>
  </si>
  <si>
    <t>权利和义务</t>
    <phoneticPr fontId="15" type="noConversion"/>
  </si>
  <si>
    <t>准确性、计价和分摊</t>
    <phoneticPr fontId="15" type="noConversion"/>
  </si>
  <si>
    <t>列报</t>
    <phoneticPr fontId="15" type="noConversion"/>
  </si>
  <si>
    <r>
      <t xml:space="preserve">A. </t>
    </r>
    <r>
      <rPr>
        <sz val="10"/>
        <rFont val="宋体"/>
        <family val="3"/>
        <charset val="134"/>
      </rPr>
      <t>资产负债表中记录的应付账款是存在的，且已经记录在恰当的账户中</t>
    </r>
    <phoneticPr fontId="15" type="noConversion"/>
  </si>
  <si>
    <r>
      <t xml:space="preserve">C. </t>
    </r>
    <r>
      <rPr>
        <sz val="10"/>
        <rFont val="宋体"/>
        <family val="3"/>
        <charset val="134"/>
      </rPr>
      <t>记录的应付账款由被审计单位拥有或控制</t>
    </r>
    <phoneticPr fontId="15" type="noConversion"/>
  </si>
  <si>
    <t>应付账款中的由被审计单位生成的信息例如：采购合同台账、被函证方信息、单独提供的账龄明细表等</t>
    <phoneticPr fontId="49" type="noConversion"/>
  </si>
  <si>
    <r>
      <rPr>
        <sz val="10"/>
        <rFont val="宋体"/>
        <family val="3"/>
        <charset val="134"/>
      </rPr>
      <t>对期初余额的审计，取得应付账款期初余额明细表复核加计是否正确，与总账、明细账合计数是否相符，检查上期应付账款在本期支付情况，函证期初余额以及其他必要追加的审计程序。</t>
    </r>
    <r>
      <rPr>
        <sz val="10"/>
        <color rgb="FFFF0000"/>
        <rFont val="宋体"/>
        <family val="3"/>
        <charset val="134"/>
      </rPr>
      <t>（适用于首次承接）</t>
    </r>
    <phoneticPr fontId="49" type="noConversion"/>
  </si>
  <si>
    <r>
      <rPr>
        <b/>
        <sz val="10"/>
        <color indexed="8"/>
        <rFont val="宋体"/>
        <family val="3"/>
        <charset val="134"/>
      </rPr>
      <t>（二）资产负债表日是否存在料到单未到的经济业务</t>
    </r>
    <r>
      <rPr>
        <b/>
        <sz val="10"/>
        <color indexed="8"/>
        <rFont val="Arial Narrow"/>
        <family val="2"/>
      </rPr>
      <t>——</t>
    </r>
    <r>
      <rPr>
        <b/>
        <sz val="10"/>
        <color indexed="8"/>
        <rFont val="宋体"/>
        <family val="3"/>
        <charset val="134"/>
      </rPr>
      <t>存货暂估入库：</t>
    </r>
    <phoneticPr fontId="15" type="noConversion"/>
  </si>
  <si>
    <t>1</t>
    <phoneticPr fontId="49" type="noConversion"/>
  </si>
  <si>
    <t>2</t>
    <phoneticPr fontId="15" type="noConversion"/>
  </si>
  <si>
    <t>11</t>
  </si>
  <si>
    <t>12</t>
  </si>
  <si>
    <t>13</t>
  </si>
  <si>
    <t>14</t>
  </si>
  <si>
    <t>15</t>
  </si>
  <si>
    <t>16</t>
  </si>
  <si>
    <t>17</t>
  </si>
  <si>
    <t>18</t>
  </si>
  <si>
    <t>19</t>
  </si>
  <si>
    <t>20</t>
  </si>
  <si>
    <t>21</t>
  </si>
  <si>
    <t>程序分类</t>
    <phoneticPr fontId="15" type="noConversion"/>
  </si>
  <si>
    <t>财务报表的认定</t>
    <phoneticPr fontId="15" type="noConversion"/>
  </si>
  <si>
    <t>完整性</t>
    <phoneticPr fontId="15" type="noConversion"/>
  </si>
  <si>
    <t>准确性、计价和分摊</t>
  </si>
  <si>
    <t>存在</t>
    <phoneticPr fontId="15" type="noConversion"/>
  </si>
  <si>
    <t>权利和
义务</t>
    <phoneticPr fontId="15" type="noConversion"/>
  </si>
  <si>
    <t>列报</t>
    <phoneticPr fontId="15" type="noConversion"/>
  </si>
  <si>
    <t>底稿索引号</t>
    <phoneticPr fontId="15" type="noConversion"/>
  </si>
  <si>
    <r>
      <rPr>
        <sz val="10"/>
        <color theme="1"/>
        <rFont val="宋体"/>
        <family val="3"/>
        <charset val="134"/>
      </rPr>
      <t>获取并检查被审计单位与其供应商之间的对账单以及被审计单位编制的差异调节表，确定应付账款金额的准确性。</t>
    </r>
    <phoneticPr fontId="15" type="noConversion"/>
  </si>
  <si>
    <r>
      <rPr>
        <sz val="10"/>
        <color theme="1"/>
        <rFont val="宋体"/>
        <family val="3"/>
        <charset val="134"/>
      </rPr>
      <t>根据评估的舞弊风险等因素增加的审计程序。</t>
    </r>
  </si>
  <si>
    <r>
      <rPr>
        <sz val="10"/>
        <color theme="1"/>
        <rFont val="宋体"/>
        <family val="3"/>
        <charset val="134"/>
      </rPr>
      <t>检查应付账款是否已按企业会计准则或其他适用的规定在财务报表中做出恰当列报和披露。</t>
    </r>
    <phoneticPr fontId="15" type="noConversion"/>
  </si>
  <si>
    <r>
      <rPr>
        <sz val="10"/>
        <color theme="1"/>
        <rFont val="宋体"/>
        <family val="3"/>
        <charset val="134"/>
      </rPr>
      <t>关注会计政策、会计估计合理性、一贯性，关注其是否利用会计政策和会计估计及其变更操纵利润。</t>
    </r>
    <phoneticPr fontId="15" type="noConversion"/>
  </si>
  <si>
    <r>
      <rPr>
        <sz val="10"/>
        <color theme="1"/>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phoneticPr fontId="49" type="noConversion"/>
  </si>
  <si>
    <r>
      <rPr>
        <sz val="10"/>
        <color theme="1"/>
        <rFont val="宋体"/>
        <family val="3"/>
        <charset val="134"/>
      </rPr>
      <t>如果存在供应商折扣（返利），检查大额或异常供应商折扣计算的准确性、与采购合同核对折扣条件</t>
    </r>
    <r>
      <rPr>
        <sz val="10"/>
        <color theme="1"/>
        <rFont val="Arial Narrow"/>
        <family val="2"/>
      </rPr>
      <t>/</t>
    </r>
    <r>
      <rPr>
        <sz val="10"/>
        <color theme="1"/>
        <rFont val="宋体"/>
        <family val="3"/>
        <charset val="134"/>
      </rPr>
      <t>折扣比例</t>
    </r>
    <r>
      <rPr>
        <sz val="10"/>
        <color theme="1"/>
        <rFont val="Arial Narrow"/>
        <family val="2"/>
      </rPr>
      <t>/</t>
    </r>
    <r>
      <rPr>
        <sz val="10"/>
        <color theme="1"/>
        <rFont val="宋体"/>
        <family val="3"/>
        <charset val="134"/>
      </rPr>
      <t>折扣方式，会计处理是否正确、是否保持一惯性。</t>
    </r>
    <phoneticPr fontId="49" type="noConversion"/>
  </si>
  <si>
    <r>
      <rPr>
        <sz val="10"/>
        <color theme="1"/>
        <rFont val="宋体"/>
        <family val="3"/>
        <charset val="134"/>
      </rPr>
      <t>检查应付关联方款项：
（</t>
    </r>
    <r>
      <rPr>
        <sz val="10"/>
        <color theme="1"/>
        <rFont val="Arial Narrow"/>
        <family val="2"/>
      </rPr>
      <t>1</t>
    </r>
    <r>
      <rPr>
        <sz val="10"/>
        <color theme="1"/>
        <rFont val="宋体"/>
        <family val="3"/>
        <charset val="134"/>
      </rPr>
      <t>）了解交易的商业理由、交易事项的目的、价格和条件，确定关联交易价格是否远高于或低于非关联方交易价格，考虑对关联方应付账款的合理性、合法性；
（</t>
    </r>
    <r>
      <rPr>
        <sz val="10"/>
        <color theme="1"/>
        <rFont val="Arial Narrow"/>
        <family val="2"/>
      </rPr>
      <t>2</t>
    </r>
    <r>
      <rPr>
        <sz val="10"/>
        <color theme="1"/>
        <rFont val="宋体"/>
        <family val="3"/>
        <charset val="134"/>
      </rPr>
      <t>）检查对关联方应付账款的真实性相关的支持性文件、检查会计处理是否正确；
（</t>
    </r>
    <r>
      <rPr>
        <sz val="10"/>
        <color theme="1"/>
        <rFont val="Arial Narrow"/>
        <family val="2"/>
      </rPr>
      <t>3</t>
    </r>
    <r>
      <rPr>
        <sz val="10"/>
        <color theme="1"/>
        <rFont val="宋体"/>
        <family val="3"/>
        <charset val="134"/>
      </rPr>
      <t>）考虑向关联方或其他注册会计师函证重大的关联采购交易和余额（包括担保和其他重要信息）；
（</t>
    </r>
    <r>
      <rPr>
        <sz val="10"/>
        <color theme="1"/>
        <rFont val="Arial Narrow"/>
        <family val="2"/>
      </rPr>
      <t>4</t>
    </r>
    <r>
      <rPr>
        <sz val="10"/>
        <color theme="1"/>
        <rFont val="宋体"/>
        <family val="3"/>
        <charset val="134"/>
      </rPr>
      <t>）必要时，向与交易相关的人员和机构（如银行、律师）函证或与其讨论有关信息；
（</t>
    </r>
    <r>
      <rPr>
        <sz val="10"/>
        <color theme="1"/>
        <rFont val="Arial Narrow"/>
        <family val="2"/>
      </rPr>
      <t>5</t>
    </r>
    <r>
      <rPr>
        <sz val="10"/>
        <color theme="1"/>
        <rFont val="宋体"/>
        <family val="3"/>
        <charset val="134"/>
      </rPr>
      <t>）考虑是否存在未识别的关联方，关联交易和余额披露是否正确。</t>
    </r>
    <phoneticPr fontId="15" type="noConversion"/>
  </si>
  <si>
    <r>
      <rPr>
        <sz val="10"/>
        <color theme="1"/>
        <rFont val="宋体"/>
        <family val="3"/>
        <charset val="134"/>
      </rPr>
      <t>结合存货监盘程序，检查被审计单位在资产负债日前后的存货人库资料</t>
    </r>
    <r>
      <rPr>
        <sz val="10"/>
        <color theme="1"/>
        <rFont val="Arial Narrow"/>
        <family val="2"/>
      </rPr>
      <t>(</t>
    </r>
    <r>
      <rPr>
        <sz val="10"/>
        <color theme="1"/>
        <rFont val="宋体"/>
        <family val="3"/>
        <charset val="134"/>
      </rPr>
      <t>验收报告或人库单</t>
    </r>
    <r>
      <rPr>
        <sz val="10"/>
        <color theme="1"/>
        <rFont val="Arial Narrow"/>
        <family val="2"/>
      </rPr>
      <t>)</t>
    </r>
    <r>
      <rPr>
        <sz val="10"/>
        <color theme="1"/>
        <rFont val="宋体"/>
        <family val="3"/>
        <charset val="134"/>
      </rPr>
      <t>，以及是否重大存货盘点调整，检查相关负债是否计人了正确的会计期间；</t>
    </r>
    <phoneticPr fontId="15" type="noConversion"/>
  </si>
  <si>
    <t>√</t>
    <phoneticPr fontId="15" type="noConversion"/>
  </si>
  <si>
    <t>√</t>
    <phoneticPr fontId="15" type="noConversion"/>
  </si>
  <si>
    <t>√</t>
    <phoneticPr fontId="15" type="noConversion"/>
  </si>
  <si>
    <t>√</t>
    <phoneticPr fontId="15" type="noConversion"/>
  </si>
  <si>
    <t>√</t>
    <phoneticPr fontId="15" type="noConversion"/>
  </si>
  <si>
    <t>√</t>
    <phoneticPr fontId="15" type="noConversion"/>
  </si>
  <si>
    <t>√</t>
  </si>
  <si>
    <t>√</t>
    <phoneticPr fontId="15" type="noConversion"/>
  </si>
  <si>
    <t>合计</t>
    <phoneticPr fontId="15" type="noConversion"/>
  </si>
  <si>
    <t>二、按照账龄分类</t>
    <phoneticPr fontId="15" type="noConversion"/>
  </si>
  <si>
    <t>三、审计说明：</t>
    <phoneticPr fontId="15" type="noConversion"/>
  </si>
  <si>
    <r>
      <t>主要原因</t>
    </r>
    <r>
      <rPr>
        <sz val="10"/>
        <color indexed="10"/>
        <rFont val="宋体"/>
        <family val="3"/>
        <charset val="134"/>
        <scheme val="minor"/>
      </rPr>
      <t>（比例超过30%的）</t>
    </r>
    <r>
      <rPr>
        <sz val="10"/>
        <rFont val="宋体"/>
        <family val="3"/>
        <charset val="134"/>
        <scheme val="minor"/>
      </rPr>
      <t>：</t>
    </r>
    <phoneticPr fontId="15" type="noConversion"/>
  </si>
  <si>
    <t>期末数</t>
    <phoneticPr fontId="15" type="noConversion"/>
  </si>
  <si>
    <t>期末数</t>
    <phoneticPr fontId="15" type="noConversion"/>
  </si>
  <si>
    <t>期初数</t>
    <phoneticPr fontId="15" type="noConversion"/>
  </si>
  <si>
    <t>本期审定数与上期
审定数的比较</t>
    <phoneticPr fontId="15" type="noConversion"/>
  </si>
  <si>
    <t>原因分析</t>
    <phoneticPr fontId="15" type="noConversion"/>
  </si>
  <si>
    <t>未审数</t>
    <phoneticPr fontId="15" type="noConversion"/>
  </si>
  <si>
    <t>账项调整</t>
    <phoneticPr fontId="15" type="noConversion"/>
  </si>
  <si>
    <t>变动率</t>
    <phoneticPr fontId="15" type="noConversion"/>
  </si>
  <si>
    <t>账项调整</t>
    <phoneticPr fontId="15" type="noConversion"/>
  </si>
  <si>
    <t>重分类调整</t>
    <phoneticPr fontId="15" type="noConversion"/>
  </si>
  <si>
    <t>审定数</t>
    <phoneticPr fontId="15" type="noConversion"/>
  </si>
  <si>
    <t>变动率</t>
    <phoneticPr fontId="15" type="noConversion"/>
  </si>
  <si>
    <t>未审数</t>
    <phoneticPr fontId="15" type="noConversion"/>
  </si>
  <si>
    <t>本期审定数与上期
审定数的比较</t>
    <phoneticPr fontId="15" type="noConversion"/>
  </si>
  <si>
    <t>变动额</t>
    <phoneticPr fontId="15" type="noConversion"/>
  </si>
  <si>
    <t>试算平衡表数</t>
    <phoneticPr fontId="15" type="noConversion"/>
  </si>
  <si>
    <t>一、按照性质分类</t>
    <phoneticPr fontId="15" type="noConversion"/>
  </si>
  <si>
    <t>变动额</t>
    <phoneticPr fontId="15" type="noConversion"/>
  </si>
  <si>
    <t>合计</t>
    <phoneticPr fontId="15" type="noConversion"/>
  </si>
  <si>
    <t>差异数</t>
    <phoneticPr fontId="15" type="noConversion"/>
  </si>
  <si>
    <r>
      <rPr>
        <sz val="10"/>
        <rFont val="宋体"/>
        <family val="3"/>
        <charset val="134"/>
      </rPr>
      <t>（</t>
    </r>
    <r>
      <rPr>
        <sz val="10"/>
        <rFont val="Arial Narrow"/>
        <family val="2"/>
      </rPr>
      <t>2</t>
    </r>
    <r>
      <rPr>
        <sz val="10"/>
        <rFont val="宋体"/>
        <family val="3"/>
        <charset val="134"/>
      </rPr>
      <t>）</t>
    </r>
    <r>
      <rPr>
        <sz val="10"/>
        <rFont val="Arial Narrow"/>
        <family val="2"/>
      </rPr>
      <t>……</t>
    </r>
    <phoneticPr fontId="15" type="noConversion"/>
  </si>
  <si>
    <r>
      <rPr>
        <sz val="10"/>
        <rFont val="宋体"/>
        <family val="3"/>
        <charset val="134"/>
      </rPr>
      <t>（</t>
    </r>
    <r>
      <rPr>
        <sz val="10"/>
        <rFont val="Arial Narrow"/>
        <family val="2"/>
      </rPr>
      <t>1</t>
    </r>
    <r>
      <rPr>
        <sz val="10"/>
        <rFont val="宋体"/>
        <family val="3"/>
        <charset val="134"/>
      </rPr>
      <t>）应付账款期末余额较期初余额增加（负数为减少）：</t>
    </r>
    <phoneticPr fontId="15" type="noConversion"/>
  </si>
  <si>
    <t>应付账款附注披露信息：</t>
    <phoneticPr fontId="15" type="noConversion"/>
  </si>
  <si>
    <r>
      <t>3</t>
    </r>
    <r>
      <rPr>
        <sz val="10"/>
        <rFont val="宋体"/>
        <family val="3"/>
        <charset val="134"/>
      </rPr>
      <t>年以上</t>
    </r>
  </si>
  <si>
    <r>
      <t>1</t>
    </r>
    <r>
      <rPr>
        <sz val="10"/>
        <rFont val="宋体"/>
        <family val="3"/>
        <charset val="134"/>
      </rPr>
      <t>年以内（含</t>
    </r>
    <r>
      <rPr>
        <sz val="10"/>
        <rFont val="Arial Narrow"/>
        <family val="2"/>
      </rPr>
      <t>1</t>
    </r>
    <r>
      <rPr>
        <sz val="10"/>
        <rFont val="宋体"/>
        <family val="3"/>
        <charset val="134"/>
      </rPr>
      <t>年）</t>
    </r>
  </si>
  <si>
    <r>
      <t>1</t>
    </r>
    <r>
      <rPr>
        <sz val="10"/>
        <rFont val="宋体"/>
        <family val="3"/>
        <charset val="134"/>
      </rPr>
      <t>至</t>
    </r>
    <r>
      <rPr>
        <sz val="10"/>
        <rFont val="Arial Narrow"/>
        <family val="2"/>
      </rPr>
      <t>2</t>
    </r>
    <r>
      <rPr>
        <sz val="10"/>
        <rFont val="宋体"/>
        <family val="3"/>
        <charset val="134"/>
      </rPr>
      <t>年（含</t>
    </r>
    <r>
      <rPr>
        <sz val="10"/>
        <rFont val="Arial Narrow"/>
        <family val="2"/>
      </rPr>
      <t>2</t>
    </r>
    <r>
      <rPr>
        <sz val="10"/>
        <rFont val="宋体"/>
        <family val="3"/>
        <charset val="134"/>
      </rPr>
      <t>年）</t>
    </r>
  </si>
  <si>
    <r>
      <t>2</t>
    </r>
    <r>
      <rPr>
        <sz val="10"/>
        <rFont val="宋体"/>
        <family val="3"/>
        <charset val="134"/>
      </rPr>
      <t>至</t>
    </r>
    <r>
      <rPr>
        <sz val="10"/>
        <rFont val="Arial Narrow"/>
        <family val="2"/>
      </rPr>
      <t>3</t>
    </r>
    <r>
      <rPr>
        <sz val="10"/>
        <rFont val="宋体"/>
        <family val="3"/>
        <charset val="134"/>
      </rPr>
      <t>年（含</t>
    </r>
    <r>
      <rPr>
        <sz val="10"/>
        <rFont val="Arial Narrow"/>
        <family val="2"/>
      </rPr>
      <t>3</t>
    </r>
    <r>
      <rPr>
        <sz val="10"/>
        <rFont val="宋体"/>
        <family val="3"/>
        <charset val="134"/>
      </rPr>
      <t>年）</t>
    </r>
  </si>
  <si>
    <r>
      <t xml:space="preserve">D. </t>
    </r>
    <r>
      <rPr>
        <sz val="10"/>
        <rFont val="宋体"/>
        <family val="3"/>
        <charset val="134"/>
      </rPr>
      <t>应付账款以恰当的金额包括在财务报表中，与之相关的计价或分摊调整已恰当记录，相关披露已得到恰当计量和描述</t>
    </r>
    <r>
      <rPr>
        <sz val="10"/>
        <rFont val="Arial"/>
        <family val="2"/>
      </rPr>
      <t xml:space="preserve"> </t>
    </r>
    <phoneticPr fontId="15" type="noConversion"/>
  </si>
  <si>
    <r>
      <t xml:space="preserve">3. </t>
    </r>
    <r>
      <rPr>
        <sz val="10"/>
        <rFont val="宋体"/>
        <family val="3"/>
        <charset val="134"/>
      </rPr>
      <t>应付账款以恰当的金额包括在财务报表中，与之相关的计价或分摊调整已恰当记录，相关披露已得到恰当计量和描述</t>
    </r>
    <r>
      <rPr>
        <sz val="10"/>
        <rFont val="Arial Narrow"/>
        <family val="2"/>
      </rPr>
      <t xml:space="preserve"> </t>
    </r>
    <phoneticPr fontId="15" type="noConversion"/>
  </si>
  <si>
    <r>
      <rPr>
        <sz val="10"/>
        <color theme="1"/>
        <rFont val="宋体"/>
        <family val="3"/>
        <charset val="134"/>
      </rPr>
      <t>获取或编制应付账款的明细表，完成以下工作，并编制审定表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）获取管理层编制的应付账款账龄分析表，检查账龄划分是否正确；
（</t>
    </r>
    <r>
      <rPr>
        <sz val="10"/>
        <color theme="1"/>
        <rFont val="Arial Narrow"/>
        <family val="2"/>
      </rPr>
      <t>3</t>
    </r>
    <r>
      <rPr>
        <sz val="10"/>
        <color theme="1"/>
        <rFont val="宋体"/>
        <family val="3"/>
        <charset val="134"/>
      </rPr>
      <t>）结合预付账款等往来项目的明细余额，检查有无重复付款或将同一笔已付清的款项在预付账款和应付账款两个科目中同时挂账的情况、重大或异常调节项目，以及与购货无关的其他款项；
（</t>
    </r>
    <r>
      <rPr>
        <sz val="10"/>
        <color theme="1"/>
        <rFont val="Arial Narrow"/>
        <family val="2"/>
      </rPr>
      <t>4</t>
    </r>
    <r>
      <rPr>
        <sz val="10"/>
        <color theme="1"/>
        <rFont val="宋体"/>
        <family val="3"/>
        <charset val="134"/>
      </rPr>
      <t>）检查借方余额是否需要重分类、非记账本位币应付账款折算是否正确。</t>
    </r>
    <phoneticPr fontId="49" type="noConversion"/>
  </si>
  <si>
    <r>
      <t>3</t>
    </r>
    <r>
      <rPr>
        <b/>
        <sz val="10"/>
        <rFont val="宋体"/>
        <family val="3"/>
        <charset val="134"/>
      </rPr>
      <t>年以上</t>
    </r>
    <phoneticPr fontId="15" type="noConversion"/>
  </si>
  <si>
    <r>
      <t>1</t>
    </r>
    <r>
      <rPr>
        <b/>
        <sz val="10"/>
        <rFont val="宋体"/>
        <family val="3"/>
        <charset val="134"/>
      </rPr>
      <t>～</t>
    </r>
    <r>
      <rPr>
        <b/>
        <sz val="10"/>
        <rFont val="Arial Narrow"/>
        <family val="2"/>
      </rPr>
      <t>2</t>
    </r>
    <r>
      <rPr>
        <b/>
        <sz val="10"/>
        <rFont val="宋体"/>
        <family val="3"/>
        <charset val="134"/>
      </rPr>
      <t>年</t>
    </r>
    <phoneticPr fontId="19" type="noConversion"/>
  </si>
  <si>
    <t>2～3年</t>
    <phoneticPr fontId="19" type="noConversion"/>
  </si>
  <si>
    <t>应付账款实质性分析表</t>
    <phoneticPr fontId="15" type="noConversion"/>
  </si>
  <si>
    <t>报表项目</t>
    <phoneticPr fontId="15" type="noConversion"/>
  </si>
  <si>
    <t>科目名称</t>
    <phoneticPr fontId="15" type="noConversion"/>
  </si>
  <si>
    <t>附注项目</t>
    <phoneticPr fontId="15" type="noConversion"/>
  </si>
  <si>
    <t>……</t>
    <phoneticPr fontId="15" type="noConversion"/>
  </si>
  <si>
    <t>一、审计目标:</t>
    <phoneticPr fontId="19" type="noConversion"/>
  </si>
  <si>
    <t>二、审计过程：</t>
    <phoneticPr fontId="19" type="noConversion"/>
  </si>
  <si>
    <t>与同行业应收账款周转率的差异</t>
  </si>
  <si>
    <t>本期金额</t>
    <phoneticPr fontId="49" type="noConversion"/>
  </si>
  <si>
    <t>上期金额</t>
    <phoneticPr fontId="49" type="noConversion"/>
  </si>
  <si>
    <t>期初应付账款</t>
    <phoneticPr fontId="63" type="noConversion"/>
  </si>
  <si>
    <t>期末应付账款</t>
    <phoneticPr fontId="63" type="noConversion"/>
  </si>
  <si>
    <t>主营业务成本</t>
    <phoneticPr fontId="63" type="noConversion"/>
  </si>
  <si>
    <t>存货期初余额</t>
    <phoneticPr fontId="63" type="noConversion"/>
  </si>
  <si>
    <t>存货期末余额</t>
    <phoneticPr fontId="63" type="noConversion"/>
  </si>
  <si>
    <t>应付账款周转率</t>
    <phoneticPr fontId="63" type="noConversion"/>
  </si>
  <si>
    <t>平均周转(支付）天数（天）</t>
    <phoneticPr fontId="63" type="noConversion"/>
  </si>
  <si>
    <t>同行业应付账款平均周转率</t>
    <phoneticPr fontId="63" type="noConversion"/>
  </si>
  <si>
    <t>1、应付账款周转率（支付期）分析</t>
    <phoneticPr fontId="49" type="noConversion"/>
  </si>
  <si>
    <r>
      <rPr>
        <sz val="10"/>
        <color theme="1"/>
        <rFont val="宋体"/>
        <family val="3"/>
        <charset val="134"/>
      </rPr>
      <t>分析应付账款余额及发生额：
（</t>
    </r>
    <r>
      <rPr>
        <sz val="10"/>
        <color theme="1"/>
        <rFont val="Arial Narrow"/>
        <family val="2"/>
      </rPr>
      <t>1</t>
    </r>
    <r>
      <rPr>
        <sz val="10"/>
        <color theme="1"/>
        <rFont val="宋体"/>
        <family val="3"/>
        <charset val="134"/>
      </rPr>
      <t>）分析平均应付账款支付期与上期以及同行业的变化，关注异常情况；
（</t>
    </r>
    <r>
      <rPr>
        <sz val="10"/>
        <color theme="1"/>
        <rFont val="Arial Narrow"/>
        <family val="2"/>
      </rPr>
      <t>2</t>
    </r>
    <r>
      <rPr>
        <sz val="10"/>
        <color theme="1"/>
        <rFont val="宋体"/>
        <family val="3"/>
        <charset val="134"/>
      </rPr>
      <t>）分析主要供应商应付账款应付账款余额的变化，关注异常情况；</t>
    </r>
    <phoneticPr fontId="49" type="noConversion"/>
  </si>
  <si>
    <t>期末余额</t>
    <phoneticPr fontId="15" type="noConversion"/>
  </si>
  <si>
    <t>期初余额</t>
  </si>
  <si>
    <t>上年年末余额</t>
    <phoneticPr fontId="15" type="noConversion"/>
  </si>
  <si>
    <t>变动金额</t>
    <phoneticPr fontId="63" type="noConversion"/>
  </si>
  <si>
    <t>变动比例</t>
    <phoneticPr fontId="15" type="noConversion"/>
  </si>
  <si>
    <t>审计说明：</t>
    <phoneticPr fontId="63" type="noConversion"/>
  </si>
  <si>
    <r>
      <rPr>
        <b/>
        <sz val="10"/>
        <rFont val="宋体"/>
        <family val="3"/>
        <charset val="134"/>
      </rPr>
      <t>备注</t>
    </r>
    <phoneticPr fontId="15" type="noConversion"/>
  </si>
  <si>
    <t>三、审计结论：</t>
    <phoneticPr fontId="63" type="noConversion"/>
  </si>
  <si>
    <r>
      <t>1.</t>
    </r>
    <r>
      <rPr>
        <sz val="10"/>
        <color indexed="8"/>
        <rFont val="宋体"/>
        <family val="3"/>
        <charset val="134"/>
      </rPr>
      <t>资产负债表中记录的应付账款是存在的，且已经记录在恰当的账户中；</t>
    </r>
    <r>
      <rPr>
        <sz val="10"/>
        <color indexed="8"/>
        <rFont val="Arial Narrow"/>
        <family val="2"/>
      </rPr>
      <t/>
    </r>
    <phoneticPr fontId="49" type="noConversion"/>
  </si>
  <si>
    <r>
      <t>2.</t>
    </r>
    <r>
      <rPr>
        <sz val="10"/>
        <color indexed="8"/>
        <rFont val="宋体"/>
        <family val="3"/>
        <charset val="134"/>
      </rPr>
      <t>所有应记录的应付账款均已记录，所有应当包括在财务报表中的相关披露均已包括；</t>
    </r>
    <phoneticPr fontId="63" type="noConversion"/>
  </si>
  <si>
    <r>
      <t>3.</t>
    </r>
    <r>
      <rPr>
        <sz val="10"/>
        <color indexed="8"/>
        <rFont val="宋体"/>
        <family val="3"/>
        <charset val="134"/>
      </rPr>
      <t>应付账款以恰当的金额包括在财务报表中，与之相关的计价或分摊调整已恰当记录，相关披露已得到恰当计量和描述</t>
    </r>
    <r>
      <rPr>
        <sz val="10"/>
        <color indexed="8"/>
        <rFont val="Arial Narrow"/>
        <family val="2"/>
      </rPr>
      <t xml:space="preserve"> </t>
    </r>
    <r>
      <rPr>
        <sz val="10"/>
        <color indexed="8"/>
        <rFont val="宋体"/>
        <family val="3"/>
        <charset val="134"/>
      </rPr>
      <t>。</t>
    </r>
    <phoneticPr fontId="49" type="noConversion"/>
  </si>
  <si>
    <t>资产负债表中记录的应付账款是存在的，且已经记录在恰当的账户中</t>
    <phoneticPr fontId="15" type="noConversion"/>
  </si>
  <si>
    <t>合计</t>
    <phoneticPr fontId="15" type="noConversion"/>
  </si>
  <si>
    <r>
      <rPr>
        <sz val="10"/>
        <rFont val="宋体"/>
        <family val="3"/>
        <charset val="134"/>
      </rPr>
      <t>索引号：</t>
    </r>
    <phoneticPr fontId="15" type="noConversion"/>
  </si>
  <si>
    <t>关联方名称</t>
    <phoneticPr fontId="15" type="noConversion"/>
  </si>
  <si>
    <t>期末余额</t>
    <phoneticPr fontId="15" type="noConversion"/>
  </si>
  <si>
    <t>关联关系</t>
    <phoneticPr fontId="15" type="noConversion"/>
  </si>
  <si>
    <r>
      <rPr>
        <b/>
        <sz val="10"/>
        <rFont val="宋体"/>
        <family val="3"/>
        <charset val="134"/>
      </rPr>
      <t>发生原因（款项性质）</t>
    </r>
    <phoneticPr fontId="15" type="noConversion"/>
  </si>
  <si>
    <r>
      <rPr>
        <b/>
        <sz val="10"/>
        <rFont val="宋体"/>
        <family val="3"/>
        <charset val="134"/>
      </rPr>
      <t>索引号</t>
    </r>
    <phoneticPr fontId="15" type="noConversion"/>
  </si>
  <si>
    <r>
      <rPr>
        <b/>
        <sz val="10"/>
        <rFont val="宋体"/>
        <family val="3"/>
        <charset val="134"/>
      </rPr>
      <t>备注</t>
    </r>
    <phoneticPr fontId="15" type="noConversion"/>
  </si>
  <si>
    <t>实际控制人</t>
    <phoneticPr fontId="15" type="noConversion"/>
  </si>
  <si>
    <t>控股股东</t>
    <phoneticPr fontId="15" type="noConversion"/>
  </si>
  <si>
    <t>控股股东、实际控制人的附属企业</t>
    <phoneticPr fontId="15" type="noConversion"/>
  </si>
  <si>
    <t>合计</t>
    <phoneticPr fontId="15" type="noConversion"/>
  </si>
  <si>
    <r>
      <rPr>
        <sz val="10"/>
        <rFont val="宋体"/>
        <family val="3"/>
        <charset val="134"/>
      </rPr>
      <t>持有</t>
    </r>
    <r>
      <rPr>
        <sz val="10"/>
        <rFont val="Arial Narrow"/>
        <family val="2"/>
      </rPr>
      <t>5%</t>
    </r>
    <r>
      <rPr>
        <sz val="10"/>
        <rFont val="宋体"/>
        <family val="3"/>
        <charset val="134"/>
      </rPr>
      <t>以上股份的法人或其他组织</t>
    </r>
    <phoneticPr fontId="15" type="noConversion"/>
  </si>
  <si>
    <r>
      <t>1</t>
    </r>
    <r>
      <rPr>
        <b/>
        <sz val="10"/>
        <rFont val="宋体"/>
        <family val="3"/>
        <charset val="134"/>
      </rPr>
      <t>、审计说明：</t>
    </r>
    <r>
      <rPr>
        <b/>
        <sz val="10"/>
        <color indexed="12"/>
        <rFont val="Arial Narrow"/>
        <family val="2"/>
      </rPr>
      <t/>
    </r>
    <phoneticPr fontId="15" type="noConversion"/>
  </si>
  <si>
    <t>联营企业</t>
    <phoneticPr fontId="15" type="noConversion"/>
  </si>
  <si>
    <t>合营企业</t>
    <phoneticPr fontId="15" type="noConversion"/>
  </si>
  <si>
    <r>
      <t>2</t>
    </r>
    <r>
      <rPr>
        <b/>
        <sz val="10"/>
        <rFont val="宋体"/>
        <family val="3"/>
        <charset val="134"/>
      </rPr>
      <t>、审计结论：</t>
    </r>
    <phoneticPr fontId="15" type="noConversion"/>
  </si>
  <si>
    <t>董高监等关键管理人员</t>
    <phoneticPr fontId="15" type="noConversion"/>
  </si>
  <si>
    <t>其他关联方</t>
    <phoneticPr fontId="15" type="noConversion"/>
  </si>
  <si>
    <t>账龄</t>
    <phoneticPr fontId="15" type="noConversion"/>
  </si>
  <si>
    <t>本期借方</t>
    <phoneticPr fontId="15" type="noConversion"/>
  </si>
  <si>
    <t>本期贷方</t>
    <phoneticPr fontId="15" type="noConversion"/>
  </si>
  <si>
    <t>定价政策</t>
    <phoneticPr fontId="15" type="noConversion"/>
  </si>
  <si>
    <t>未入账应付账款情况检查表</t>
    <phoneticPr fontId="15" type="noConversion"/>
  </si>
  <si>
    <t>所有应记录的应付账款均已记录，所有应当包括在财务报表中的相关披露均已包括</t>
    <phoneticPr fontId="15" type="noConversion"/>
  </si>
  <si>
    <r>
      <t>5.</t>
    </r>
    <r>
      <rPr>
        <sz val="10"/>
        <color theme="1"/>
        <rFont val="宋体"/>
        <family val="3"/>
        <charset val="134"/>
      </rPr>
      <t>检查资产负债表日后应付账款增加凭证，关注购货发票日期，入账期间是否合理；</t>
    </r>
    <phoneticPr fontId="49" type="noConversion"/>
  </si>
  <si>
    <r>
      <t>4.</t>
    </r>
    <r>
      <rPr>
        <sz val="10"/>
        <color theme="1"/>
        <rFont val="宋体"/>
        <family val="3"/>
        <charset val="134"/>
      </rPr>
      <t>检查资产负债表日后付款凭证，银行对账单及有关付款凭证；</t>
    </r>
    <phoneticPr fontId="15" type="noConversion"/>
  </si>
  <si>
    <t>期后付款金额</t>
    <phoneticPr fontId="15" type="noConversion"/>
  </si>
  <si>
    <t>平均付款天数</t>
    <phoneticPr fontId="15" type="noConversion"/>
  </si>
  <si>
    <t>期后付款是否在平均付款天数内</t>
    <phoneticPr fontId="15" type="noConversion"/>
  </si>
  <si>
    <t>（一）期后付款是否在平均付款天数内：</t>
    <phoneticPr fontId="15" type="noConversion"/>
  </si>
  <si>
    <r>
      <t>1.</t>
    </r>
    <r>
      <rPr>
        <sz val="10"/>
        <color theme="1"/>
        <rFont val="宋体"/>
        <family val="3"/>
        <charset val="134"/>
      </rPr>
      <t>分析大额供应商应付账款平均付款期，考虑期后付款金额大于期末余额的情况下，是否在平均付款天数内；</t>
    </r>
    <phoneticPr fontId="49" type="noConversion"/>
  </si>
  <si>
    <t>本期借方</t>
    <phoneticPr fontId="15" type="noConversion"/>
  </si>
  <si>
    <t>本期贷方</t>
    <phoneticPr fontId="15" type="noConversion"/>
  </si>
  <si>
    <t>供应商名称</t>
    <phoneticPr fontId="15" type="noConversion"/>
  </si>
  <si>
    <t>差异</t>
    <phoneticPr fontId="15" type="noConversion"/>
  </si>
  <si>
    <t>备注</t>
    <phoneticPr fontId="15" type="noConversion"/>
  </si>
  <si>
    <t>发票内容</t>
    <phoneticPr fontId="15" type="noConversion"/>
  </si>
  <si>
    <t>金额</t>
    <phoneticPr fontId="15" type="noConversion"/>
  </si>
  <si>
    <t>是否应计入报告期</t>
    <phoneticPr fontId="15" type="noConversion"/>
  </si>
  <si>
    <t>记账凭证</t>
    <phoneticPr fontId="49" type="noConversion"/>
  </si>
  <si>
    <t>日期</t>
    <phoneticPr fontId="49" type="noConversion"/>
  </si>
  <si>
    <t>凭证号</t>
    <phoneticPr fontId="49" type="noConversion"/>
  </si>
  <si>
    <t>是否应调整</t>
    <phoneticPr fontId="15" type="noConversion"/>
  </si>
  <si>
    <t>日期</t>
    <phoneticPr fontId="15" type="noConversion"/>
  </si>
  <si>
    <t>合同单价</t>
    <phoneticPr fontId="15" type="noConversion"/>
  </si>
  <si>
    <t>日期</t>
    <phoneticPr fontId="15" type="noConversion"/>
  </si>
  <si>
    <t>编号</t>
    <phoneticPr fontId="15" type="noConversion"/>
  </si>
  <si>
    <t>数量</t>
    <phoneticPr fontId="15" type="noConversion"/>
  </si>
  <si>
    <t>暂估金额</t>
    <phoneticPr fontId="15" type="noConversion"/>
  </si>
  <si>
    <t>编号</t>
    <phoneticPr fontId="15" type="noConversion"/>
  </si>
  <si>
    <t>入库单</t>
    <phoneticPr fontId="15" type="noConversion"/>
  </si>
  <si>
    <t>备注</t>
    <phoneticPr fontId="15" type="noConversion"/>
  </si>
  <si>
    <t>银行付款凭单</t>
    <phoneticPr fontId="15" type="noConversion"/>
  </si>
  <si>
    <t>记账凭证</t>
  </si>
  <si>
    <t>记账凭证</t>
    <phoneticPr fontId="15" type="noConversion"/>
  </si>
  <si>
    <t>购货发票</t>
    <phoneticPr fontId="15" type="noConversion"/>
  </si>
  <si>
    <t>金额</t>
    <phoneticPr fontId="15" type="noConversion"/>
  </si>
  <si>
    <r>
      <t>2.</t>
    </r>
    <r>
      <rPr>
        <sz val="10"/>
        <color theme="1"/>
        <rFont val="宋体"/>
        <family val="3"/>
        <charset val="134"/>
      </rPr>
      <t>检查资产负债表日是否存在料到单未到的存货暂估入库；</t>
    </r>
    <phoneticPr fontId="15" type="noConversion"/>
  </si>
  <si>
    <r>
      <t>3.</t>
    </r>
    <r>
      <rPr>
        <sz val="10"/>
        <color theme="1"/>
        <rFont val="宋体"/>
        <family val="3"/>
        <charset val="134"/>
      </rPr>
      <t>检查截止审计现场结束日未处理的供应商发票，是否与期末负债有关；</t>
    </r>
    <phoneticPr fontId="49" type="noConversion"/>
  </si>
  <si>
    <r>
      <rPr>
        <sz val="10"/>
        <color theme="1"/>
        <rFont val="宋体"/>
        <family val="3"/>
        <charset val="134"/>
      </rPr>
      <t>查找未入账的负债：
（</t>
    </r>
    <r>
      <rPr>
        <sz val="10"/>
        <color theme="1"/>
        <rFont val="Arial Narrow"/>
        <family val="2"/>
      </rPr>
      <t>1</t>
    </r>
    <r>
      <rPr>
        <sz val="10"/>
        <color theme="1"/>
        <rFont val="宋体"/>
        <family val="3"/>
        <charset val="134"/>
      </rPr>
      <t>）分析大额供应商应付账款平均付款期，考虑期后付款金额大于期末余额的情况下，是否在平均付款天数内；
（</t>
    </r>
    <r>
      <rPr>
        <sz val="10"/>
        <color theme="1"/>
        <rFont val="Arial Narrow"/>
        <family val="2"/>
      </rPr>
      <t>2</t>
    </r>
    <r>
      <rPr>
        <sz val="10"/>
        <color theme="1"/>
        <rFont val="宋体"/>
        <family val="3"/>
        <charset val="134"/>
      </rPr>
      <t>）检查资产负债表日是否存在料到单未到的存货暂估入库；
（</t>
    </r>
    <r>
      <rPr>
        <sz val="10"/>
        <color theme="1"/>
        <rFont val="Arial Narrow"/>
        <family val="2"/>
      </rPr>
      <t>3</t>
    </r>
    <r>
      <rPr>
        <sz val="10"/>
        <color theme="1"/>
        <rFont val="宋体"/>
        <family val="3"/>
        <charset val="134"/>
      </rPr>
      <t>）检查截止审计现场结束日未处理的供应商发票，是否与期末负债有关；
（</t>
    </r>
    <r>
      <rPr>
        <sz val="10"/>
        <color theme="1"/>
        <rFont val="Arial Narrow"/>
        <family val="2"/>
      </rPr>
      <t>4</t>
    </r>
    <r>
      <rPr>
        <sz val="10"/>
        <color theme="1"/>
        <rFont val="宋体"/>
        <family val="3"/>
        <charset val="134"/>
      </rPr>
      <t>）检查资产负债表日后付款凭证，银行对账单及有关付款凭证；
（</t>
    </r>
    <r>
      <rPr>
        <sz val="10"/>
        <color theme="1"/>
        <rFont val="Arial Narrow"/>
        <family val="2"/>
      </rPr>
      <t>5</t>
    </r>
    <r>
      <rPr>
        <sz val="10"/>
        <color theme="1"/>
        <rFont val="宋体"/>
        <family val="3"/>
        <charset val="134"/>
      </rPr>
      <t>）检查资产负债表日后应付账款增加凭证，关注购货发票日期，入账期间是否合理；</t>
    </r>
    <phoneticPr fontId="15" type="noConversion"/>
  </si>
  <si>
    <r>
      <t>2</t>
    </r>
    <r>
      <rPr>
        <sz val="10"/>
        <color indexed="12"/>
        <rFont val="宋体"/>
        <family val="3"/>
        <charset val="134"/>
      </rPr>
      <t>、应付账款的截止性测试，包括采购的截止测试和付款的截止测试。付款的截止测试</t>
    </r>
    <r>
      <rPr>
        <sz val="10"/>
        <color indexed="12"/>
        <rFont val="Arial Narrow"/>
        <family val="2"/>
      </rPr>
      <t>——</t>
    </r>
    <r>
      <rPr>
        <sz val="10"/>
        <color indexed="12"/>
        <rFont val="宋体"/>
        <family val="3"/>
        <charset val="134"/>
      </rPr>
      <t>审阅银行对账单；采购的截止测试</t>
    </r>
    <r>
      <rPr>
        <sz val="10"/>
        <color indexed="12"/>
        <rFont val="Arial Narrow"/>
        <family val="2"/>
      </rPr>
      <t>——</t>
    </r>
    <r>
      <rPr>
        <sz val="10"/>
        <color indexed="12"/>
        <rFont val="宋体"/>
        <family val="3"/>
        <charset val="134"/>
      </rPr>
      <t>存货入库截止测试。</t>
    </r>
    <phoneticPr fontId="15" type="noConversion"/>
  </si>
  <si>
    <t>一、审计目标：</t>
    <phoneticPr fontId="23" type="noConversion"/>
  </si>
  <si>
    <t>二、样本选取标准与规模：</t>
    <phoneticPr fontId="23" type="noConversion"/>
  </si>
  <si>
    <t>测试总体：</t>
    <phoneticPr fontId="15" type="noConversion"/>
  </si>
  <si>
    <t>特定样本：</t>
    <phoneticPr fontId="15" type="noConversion"/>
  </si>
  <si>
    <t>抽样总体：</t>
    <phoneticPr fontId="15" type="noConversion"/>
  </si>
  <si>
    <t>三、测试：</t>
    <phoneticPr fontId="23" type="noConversion"/>
  </si>
  <si>
    <t>记账凭证</t>
    <phoneticPr fontId="15" type="noConversion"/>
  </si>
  <si>
    <t>付款审批单</t>
    <phoneticPr fontId="15" type="noConversion"/>
  </si>
  <si>
    <t>……</t>
    <phoneticPr fontId="15" type="noConversion"/>
  </si>
  <si>
    <t>索引号</t>
    <phoneticPr fontId="15" type="noConversion"/>
  </si>
  <si>
    <t>是否异常</t>
    <phoneticPr fontId="15" type="noConversion"/>
  </si>
  <si>
    <t>凭证编号</t>
  </si>
  <si>
    <t>业务内容</t>
    <phoneticPr fontId="15" type="noConversion"/>
  </si>
  <si>
    <t>对方科目</t>
    <phoneticPr fontId="15" type="noConversion"/>
  </si>
  <si>
    <t>借方金额</t>
    <phoneticPr fontId="15" type="noConversion"/>
  </si>
  <si>
    <t>日期/编号</t>
    <phoneticPr fontId="15" type="noConversion"/>
  </si>
  <si>
    <t>金额</t>
    <phoneticPr fontId="15" type="noConversion"/>
  </si>
  <si>
    <t>检查的关键证据和要素根据被审计单位具体情况修改</t>
    <phoneticPr fontId="15" type="noConversion"/>
  </si>
  <si>
    <t>合计</t>
    <phoneticPr fontId="15" type="noConversion"/>
  </si>
  <si>
    <t>入库单/验收单</t>
    <phoneticPr fontId="15" type="noConversion"/>
  </si>
  <si>
    <t>采购发票</t>
    <phoneticPr fontId="15" type="noConversion"/>
  </si>
  <si>
    <t>贷方金额</t>
    <phoneticPr fontId="15" type="noConversion"/>
  </si>
  <si>
    <t>品名</t>
    <phoneticPr fontId="15" type="noConversion"/>
  </si>
  <si>
    <t>单位</t>
    <phoneticPr fontId="15" type="noConversion"/>
  </si>
  <si>
    <t>数量</t>
    <phoneticPr fontId="15" type="noConversion"/>
  </si>
  <si>
    <t>对手方名称</t>
    <phoneticPr fontId="15" type="noConversion"/>
  </si>
  <si>
    <t>四、审计说明：</t>
    <phoneticPr fontId="23" type="noConversion"/>
  </si>
  <si>
    <t>五、审计结论：</t>
    <phoneticPr fontId="15" type="noConversion"/>
  </si>
  <si>
    <t>应付账款检查表</t>
    <phoneticPr fontId="15" type="noConversion"/>
  </si>
  <si>
    <r>
      <t>3.</t>
    </r>
    <r>
      <rPr>
        <sz val="10"/>
        <rFont val="宋体"/>
        <family val="3"/>
        <charset val="134"/>
      </rPr>
      <t>应付账款以恰当的金额包括在财务报表中，与之相关的计价或分摊调整已恰当记录，相关披露已得到恰当计量和描述</t>
    </r>
    <r>
      <rPr>
        <sz val="10"/>
        <rFont val="Arial Narrow"/>
        <family val="2"/>
      </rPr>
      <t xml:space="preserve"> </t>
    </r>
    <phoneticPr fontId="15"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</si>
  <si>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9"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</si>
  <si>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9" type="noConversion"/>
  </si>
  <si>
    <r>
      <rPr>
        <sz val="10"/>
        <rFont val="宋体"/>
        <family val="3"/>
        <charset val="134"/>
      </rPr>
      <t>索引号：</t>
    </r>
    <phoneticPr fontId="49" type="noConversion"/>
  </si>
  <si>
    <t>（三）截止审计现场结束日未处理的供应商发票：</t>
    <phoneticPr fontId="15" type="noConversion"/>
  </si>
  <si>
    <t>（四）应付账款期后付款核对：</t>
    <phoneticPr fontId="15" type="noConversion"/>
  </si>
  <si>
    <t>（五）应付账款期后增加额核对：</t>
    <phoneticPr fontId="15" type="noConversion"/>
  </si>
  <si>
    <t>检查应付账款长期挂账的原因并作出记录，分析账龄较长的原因，是否双方有纠纷等，考虑负债计提是否充分，对确实无需支付的应付款的会计处理是否正确。</t>
    <phoneticPr fontId="15" type="noConversion"/>
  </si>
  <si>
    <t>分析应付账款明细账，按供应商、发票号排序，关注账龄划分是否正确、异常发票记录、同一供应商不同时点的连号发票、未纳入付款计划的应付账款。</t>
    <phoneticPr fontId="15" type="noConversion"/>
  </si>
  <si>
    <t>22</t>
  </si>
  <si>
    <t>如果存在供应链融资业务，取得从供应链融资平台导出的融资业务明细表，与供应商融资台账核对一致，检查供应商采购业务是否真实，对于金融机构直接支付给供应商的款项账务处理和披露是否完整。</t>
    <phoneticPr fontId="15" type="noConversion"/>
  </si>
  <si>
    <t>融资金额</t>
    <phoneticPr fontId="15" type="noConversion"/>
  </si>
  <si>
    <t>转让日期</t>
  </si>
  <si>
    <t>放款日期</t>
  </si>
  <si>
    <r>
      <t>2.</t>
    </r>
    <r>
      <rPr>
        <sz val="10"/>
        <rFont val="宋体"/>
        <family val="3"/>
        <charset val="134"/>
      </rPr>
      <t>检查供应商融资金额与采购金额的差异，关注是否存在虚假采购合同的供应商融资，检查对金融机构直接支付给供应商款项的账务处理和披露是否正确、完整</t>
    </r>
    <phoneticPr fontId="15" type="noConversion"/>
  </si>
  <si>
    <t>状态</t>
    <phoneticPr fontId="15" type="noConversion"/>
  </si>
  <si>
    <t>供应商签收日期</t>
    <phoneticPr fontId="15" type="noConversion"/>
  </si>
  <si>
    <t>小计</t>
    <phoneticPr fontId="15" type="noConversion"/>
  </si>
  <si>
    <t>差异</t>
    <phoneticPr fontId="15" type="noConversion"/>
  </si>
  <si>
    <r>
      <rPr>
        <sz val="10"/>
        <color rgb="FF0000FF"/>
        <rFont val="宋体"/>
        <family val="3"/>
        <charset val="134"/>
      </rPr>
      <t>供应商</t>
    </r>
    <r>
      <rPr>
        <sz val="10"/>
        <color rgb="FF0000FF"/>
        <rFont val="Arial Narrow"/>
        <family val="2"/>
      </rPr>
      <t>2</t>
    </r>
    <phoneticPr fontId="15" type="noConversion"/>
  </si>
  <si>
    <r>
      <rPr>
        <sz val="10"/>
        <color rgb="FF0000FF"/>
        <rFont val="宋体"/>
        <family val="3"/>
        <charset val="134"/>
      </rPr>
      <t>供应商</t>
    </r>
    <r>
      <rPr>
        <sz val="10"/>
        <color rgb="FF0000FF"/>
        <rFont val="Arial Narrow"/>
        <family val="2"/>
      </rPr>
      <t>1</t>
    </r>
    <phoneticPr fontId="15" type="noConversion"/>
  </si>
  <si>
    <t>合计</t>
    <phoneticPr fontId="15" type="noConversion"/>
  </si>
  <si>
    <r>
      <t>1.</t>
    </r>
    <r>
      <rPr>
        <sz val="10"/>
        <rFont val="宋体"/>
        <family val="3"/>
        <charset val="134"/>
      </rPr>
      <t>所有应记录的应付账款均已记录，所有应当包括在财务报表中的相关披露均已包括</t>
    </r>
    <phoneticPr fontId="15" type="noConversion"/>
  </si>
  <si>
    <t>承诺还款日期</t>
    <phoneticPr fontId="15" type="noConversion"/>
  </si>
  <si>
    <t>实际还款日期</t>
    <phoneticPr fontId="15" type="noConversion"/>
  </si>
  <si>
    <t>如果供应商融资金额大于采购金额重点关注供应商资金流向，是否存在体外资金循环，必要时执行供应商资金穿透检查程序</t>
    <phoneticPr fontId="15" type="noConversion"/>
  </si>
  <si>
    <t>借款余额</t>
    <phoneticPr fontId="15" type="noConversion"/>
  </si>
  <si>
    <t>资金提供方（金融机构）</t>
    <phoneticPr fontId="15" type="noConversion"/>
  </si>
  <si>
    <t>承诺付款方</t>
    <phoneticPr fontId="15" type="noConversion"/>
  </si>
  <si>
    <t>融资单号</t>
    <phoneticPr fontId="15" type="noConversion"/>
  </si>
  <si>
    <t>是否函证</t>
    <phoneticPr fontId="19" type="noConversion"/>
  </si>
  <si>
    <t>期后付款金额</t>
    <phoneticPr fontId="15" type="noConversion"/>
  </si>
  <si>
    <t>本期采购金额</t>
    <phoneticPr fontId="15" type="noConversion"/>
  </si>
  <si>
    <t>主要供应商交易及变化情况：
（1）比较分析主要供应商的采购数量、采购金额、信用期、支付方式的变动以及原因，关注新增和异常供应商交易的合理性及持续性；
（2）检查向主要供应商采购金额是否与供应商规模是否匹配，采购的物资是否与供应商经营范围匹配；
（2）分析主要和异常供应商的采购物资种类、采购金额、采购单价、与平均单价的差异等；</t>
    <phoneticPr fontId="15" type="noConversion"/>
  </si>
  <si>
    <t>结合销售循环审计，分析客户、供应商名单以及应收、应付等往来明细，检查是否针对同一对方单位或存在关联关系的对方单位同时存在销售、采购的情况，是否有合理的商业理由，关注是否存在第三方配合舞弊的情形。</t>
    <phoneticPr fontId="15" type="noConversion"/>
  </si>
  <si>
    <t>关注是否存在重要采购承诺，采购承诺是否会产生损失。</t>
    <phoneticPr fontId="15" type="noConversion"/>
  </si>
  <si>
    <r>
      <t>2</t>
    </r>
    <r>
      <rPr>
        <b/>
        <sz val="10"/>
        <rFont val="宋体"/>
        <family val="3"/>
        <charset val="134"/>
      </rPr>
      <t>、期末应付账款前十名（审定数）分析</t>
    </r>
    <phoneticPr fontId="15" type="noConversion"/>
  </si>
  <si>
    <r>
      <rPr>
        <sz val="10"/>
        <rFont val="宋体"/>
        <family val="3"/>
        <charset val="134"/>
      </rPr>
      <t>债权人</t>
    </r>
    <r>
      <rPr>
        <sz val="10"/>
        <rFont val="Arial Narrow"/>
        <family val="2"/>
      </rPr>
      <t>6</t>
    </r>
    <r>
      <rPr>
        <sz val="11"/>
        <color theme="1"/>
        <rFont val="宋体"/>
        <family val="2"/>
        <charset val="134"/>
        <scheme val="minor"/>
      </rPr>
      <t/>
    </r>
  </si>
  <si>
    <r>
      <rPr>
        <sz val="10"/>
        <rFont val="宋体"/>
        <family val="3"/>
        <charset val="134"/>
      </rPr>
      <t>债权人</t>
    </r>
    <r>
      <rPr>
        <sz val="10"/>
        <rFont val="Arial Narrow"/>
        <family val="2"/>
      </rPr>
      <t>7</t>
    </r>
    <r>
      <rPr>
        <sz val="11"/>
        <color theme="1"/>
        <rFont val="宋体"/>
        <family val="2"/>
        <charset val="134"/>
        <scheme val="minor"/>
      </rPr>
      <t/>
    </r>
  </si>
  <si>
    <r>
      <rPr>
        <sz val="10"/>
        <rFont val="宋体"/>
        <family val="3"/>
        <charset val="134"/>
      </rPr>
      <t>债权人</t>
    </r>
    <r>
      <rPr>
        <sz val="10"/>
        <rFont val="Arial Narrow"/>
        <family val="2"/>
      </rPr>
      <t>8</t>
    </r>
    <r>
      <rPr>
        <sz val="11"/>
        <color theme="1"/>
        <rFont val="宋体"/>
        <family val="2"/>
        <charset val="134"/>
        <scheme val="minor"/>
      </rPr>
      <t/>
    </r>
  </si>
  <si>
    <r>
      <rPr>
        <sz val="10"/>
        <rFont val="宋体"/>
        <family val="3"/>
        <charset val="134"/>
      </rPr>
      <t>债权人</t>
    </r>
    <r>
      <rPr>
        <sz val="10"/>
        <rFont val="Arial Narrow"/>
        <family val="2"/>
      </rPr>
      <t>9</t>
    </r>
    <r>
      <rPr>
        <sz val="11"/>
        <color theme="1"/>
        <rFont val="宋体"/>
        <family val="2"/>
        <charset val="134"/>
        <scheme val="minor"/>
      </rPr>
      <t/>
    </r>
  </si>
  <si>
    <r>
      <rPr>
        <sz val="10"/>
        <rFont val="宋体"/>
        <family val="3"/>
        <charset val="134"/>
      </rPr>
      <t>债权人</t>
    </r>
    <r>
      <rPr>
        <sz val="10"/>
        <rFont val="Arial Narrow"/>
        <family val="2"/>
      </rPr>
      <t>10</t>
    </r>
    <r>
      <rPr>
        <sz val="11"/>
        <color theme="1"/>
        <rFont val="宋体"/>
        <family val="2"/>
        <charset val="134"/>
        <scheme val="minor"/>
      </rPr>
      <t/>
    </r>
  </si>
  <si>
    <t>原底稿表页</t>
    <phoneticPr fontId="141" type="noConversion"/>
  </si>
  <si>
    <t>修改后底稿表页</t>
    <phoneticPr fontId="141" type="noConversion"/>
  </si>
  <si>
    <t>应付账款实质性程序表G4A</t>
    <phoneticPr fontId="141" type="noConversion"/>
  </si>
  <si>
    <t>应付账款实质性程序表G4A</t>
    <phoneticPr fontId="141" type="noConversion"/>
  </si>
  <si>
    <t>审定表G4</t>
    <phoneticPr fontId="141" type="noConversion"/>
  </si>
  <si>
    <t>期末应付账款明细表G4-2</t>
    <phoneticPr fontId="141" type="noConversion"/>
  </si>
  <si>
    <t>明细表G4-2</t>
    <phoneticPr fontId="141" type="noConversion"/>
  </si>
  <si>
    <t>调整分录汇总G4-3</t>
    <phoneticPr fontId="141" type="noConversion"/>
  </si>
  <si>
    <t>调整分录汇总G4-2-3</t>
    <phoneticPr fontId="141" type="noConversion"/>
  </si>
  <si>
    <t>实质性分析G4-4</t>
    <phoneticPr fontId="141" type="noConversion"/>
  </si>
  <si>
    <t>长期挂账应付账款检查表G4-2-2</t>
    <phoneticPr fontId="141" type="noConversion"/>
  </si>
  <si>
    <t>长期挂账检查表G4-5</t>
    <phoneticPr fontId="141" type="noConversion"/>
  </si>
  <si>
    <t>大额及关联方明细表G4-2-1</t>
    <phoneticPr fontId="141" type="noConversion"/>
  </si>
  <si>
    <t>关联方及交易检查表G4-6</t>
    <phoneticPr fontId="141" type="noConversion"/>
  </si>
  <si>
    <t>应付账款核对表G4-4、查找未入账负债（自动化控制）G4-5、未入账负债测试记录（非自动化控制）G4-5</t>
    <phoneticPr fontId="141" type="noConversion"/>
  </si>
  <si>
    <t>未入账检查表G4-7</t>
    <phoneticPr fontId="141" type="noConversion"/>
  </si>
  <si>
    <t>应付账款检查表G4-8</t>
    <phoneticPr fontId="141" type="noConversion"/>
  </si>
  <si>
    <t>供应商融资检查表G4-9</t>
    <phoneticPr fontId="141" type="noConversion"/>
  </si>
  <si>
    <t>将155条程序、提示、过程梳理整合到21条程序中，将程序-认定-底稿对应，相关认定“打钩”加粗</t>
    <phoneticPr fontId="141" type="noConversion"/>
  </si>
  <si>
    <t>增加供应链融资业务舞弊应对程序和底稿</t>
    <phoneticPr fontId="141" type="noConversion"/>
  </si>
  <si>
    <t>删除（2）应付持本公司5%（含5%）以上表决权股份的股东单位款项情况说明、（3）与经审计的财务报表核对</t>
    <phoneticPr fontId="141" type="noConversion"/>
  </si>
  <si>
    <t>修改审计目标、整合审计过程，调整审计说明格式</t>
    <phoneticPr fontId="141" type="noConversion"/>
  </si>
  <si>
    <t>增加报表项目，删除审计说明、审计结论</t>
    <phoneticPr fontId="141" type="noConversion"/>
  </si>
  <si>
    <t>增加应付账款支付期、前五名分析</t>
    <phoneticPr fontId="141" type="noConversion"/>
  </si>
  <si>
    <t>1、将期末应付账款前五名（审定数）分析移至分析性程序底稿
2、”B、持有5%以上股份股东欠款情况（审定数）“改为“B、关联方欠款情况（审定数）”，增加关联关系列同时增加下拉选项，增加期初、本期发生额列，增加定价政策列</t>
    <phoneticPr fontId="141" type="noConversion"/>
  </si>
  <si>
    <t>将原三张底稿整合为一张，包含一项分析性检查、从4个方面实质性检查</t>
    <phoneticPr fontId="141" type="noConversion"/>
  </si>
  <si>
    <t>根据程序增加此底稿</t>
    <phoneticPr fontId="141" type="noConversion"/>
  </si>
  <si>
    <t>修订内容</t>
    <phoneticPr fontId="141" type="noConversion"/>
  </si>
  <si>
    <t>常规★</t>
    <phoneticPr fontId="49" type="noConversion"/>
  </si>
  <si>
    <r>
      <t>A1-1/</t>
    </r>
    <r>
      <rPr>
        <sz val="10"/>
        <color rgb="FFFF0000"/>
        <rFont val="Arial Narrow"/>
        <family val="2"/>
      </rPr>
      <t>A1-15 /A1-16</t>
    </r>
    <phoneticPr fontId="15" type="noConversion"/>
  </si>
  <si>
    <t>索引号：</t>
    <phoneticPr fontId="15" type="noConversion"/>
  </si>
  <si>
    <t>页  次：</t>
    <phoneticPr fontId="15" type="noConversion"/>
  </si>
  <si>
    <t>F4-1</t>
  </si>
  <si>
    <t>应付账款审定表</t>
    <phoneticPr fontId="15" type="noConversion"/>
  </si>
  <si>
    <t>索引号：</t>
    <phoneticPr fontId="15" type="noConversion"/>
  </si>
  <si>
    <t>页  次：</t>
    <phoneticPr fontId="15" type="noConversion"/>
  </si>
  <si>
    <r>
      <t>1.</t>
    </r>
    <r>
      <rPr>
        <sz val="10"/>
        <color rgb="FFFF0000"/>
        <rFont val="宋体"/>
        <family val="3"/>
        <charset val="134"/>
      </rPr>
      <t>期初数与上期审定数一致</t>
    </r>
    <r>
      <rPr>
        <sz val="10"/>
        <color rgb="FFFF0000"/>
        <rFont val="Arial Narrow"/>
        <family val="2"/>
      </rPr>
      <t>,</t>
    </r>
    <r>
      <rPr>
        <sz val="10"/>
        <color rgb="FFFF0000"/>
        <rFont val="宋体"/>
        <family val="3"/>
        <charset val="134"/>
      </rPr>
      <t>期末总账、明细账、报表相符。</t>
    </r>
    <phoneticPr fontId="19" type="noConversion"/>
  </si>
  <si>
    <r>
      <t>2.</t>
    </r>
    <r>
      <rPr>
        <sz val="10"/>
        <color rgb="FFFF0000"/>
        <rFont val="宋体"/>
        <family val="3"/>
        <charset val="134"/>
      </rPr>
      <t>与期初相比，期末余额变动较大的原因：</t>
    </r>
    <phoneticPr fontId="19" type="noConversion"/>
  </si>
  <si>
    <r>
      <t>3.**</t>
    </r>
    <r>
      <rPr>
        <sz val="10"/>
        <color rgb="FFFF0000"/>
        <rFont val="宋体"/>
        <family val="3"/>
        <charset val="134"/>
      </rPr>
      <t>应付账款发生额大，其主要原因列示如下：</t>
    </r>
    <phoneticPr fontId="19" type="noConversion"/>
  </si>
  <si>
    <r>
      <t>4.</t>
    </r>
    <r>
      <rPr>
        <sz val="10"/>
        <color rgb="FFFF0000"/>
        <rFont val="宋体"/>
        <family val="3"/>
        <charset val="134"/>
      </rPr>
      <t>超过</t>
    </r>
    <r>
      <rPr>
        <sz val="10"/>
        <color rgb="FFFF0000"/>
        <rFont val="Arial Narrow"/>
        <family val="2"/>
      </rPr>
      <t>1</t>
    </r>
    <r>
      <rPr>
        <sz val="10"/>
        <color rgb="FFFF0000"/>
        <rFont val="宋体"/>
        <family val="3"/>
        <charset val="134"/>
      </rPr>
      <t>年的大额应付账款，其性质及发生原因如下：</t>
    </r>
    <phoneticPr fontId="15" type="noConversion"/>
  </si>
  <si>
    <r>
      <t>5.**</t>
    </r>
    <r>
      <rPr>
        <sz val="10"/>
        <color rgb="FFFF0000"/>
        <rFont val="宋体"/>
        <family val="3"/>
        <charset val="134"/>
      </rPr>
      <t>供应商期后付款超过资产负债表日余额的原因如下：</t>
    </r>
    <phoneticPr fontId="15" type="noConversion"/>
  </si>
  <si>
    <t>提示：</t>
    <phoneticPr fontId="15" type="noConversion"/>
  </si>
  <si>
    <r>
      <t>1.</t>
    </r>
    <r>
      <rPr>
        <sz val="10"/>
        <color indexed="12"/>
        <rFont val="宋体"/>
        <family val="3"/>
        <charset val="134"/>
      </rPr>
      <t>账龄超过</t>
    </r>
    <r>
      <rPr>
        <sz val="10"/>
        <color indexed="12"/>
        <rFont val="Arial Narrow"/>
        <family val="2"/>
      </rPr>
      <t>1</t>
    </r>
    <r>
      <rPr>
        <sz val="10"/>
        <color indexed="12"/>
        <rFont val="宋体"/>
        <family val="3"/>
        <charset val="134"/>
      </rPr>
      <t>年的大额应付账款，应说明未偿还或未结转的原因，并在资产负债表日后事项中说明是否偿还。</t>
    </r>
    <phoneticPr fontId="19" type="noConversion"/>
  </si>
  <si>
    <r>
      <t>2.</t>
    </r>
    <r>
      <rPr>
        <sz val="10"/>
        <color indexed="12"/>
        <rFont val="宋体"/>
        <family val="3"/>
        <charset val="134"/>
      </rPr>
      <t>账龄超过</t>
    </r>
    <r>
      <rPr>
        <sz val="10"/>
        <color indexed="12"/>
        <rFont val="Arial Narrow"/>
        <family val="2"/>
      </rPr>
      <t>3</t>
    </r>
    <r>
      <rPr>
        <sz val="10"/>
        <color indexed="12"/>
        <rFont val="宋体"/>
        <family val="3"/>
        <charset val="134"/>
      </rPr>
      <t>年以上的应付账款应说明未偿还的原因。</t>
    </r>
    <phoneticPr fontId="19" type="noConversion"/>
  </si>
  <si>
    <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5"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</si>
  <si>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5" type="noConversion"/>
  </si>
  <si>
    <t>索引号：</t>
    <phoneticPr fontId="19" type="noConversion"/>
  </si>
  <si>
    <t>页  次：</t>
    <phoneticPr fontId="19" type="noConversion"/>
  </si>
  <si>
    <t>致同会计师事务所</t>
    <phoneticPr fontId="19" type="noConversion"/>
  </si>
  <si>
    <t>索引号：</t>
    <phoneticPr fontId="15" type="noConversion"/>
  </si>
  <si>
    <t>页  次：</t>
    <phoneticPr fontId="15" type="noConversion"/>
  </si>
  <si>
    <t>索引号：</t>
    <phoneticPr fontId="63" type="noConversion"/>
  </si>
  <si>
    <t>页  次：</t>
    <phoneticPr fontId="63" type="noConversion"/>
  </si>
  <si>
    <t>F4-4</t>
  </si>
  <si>
    <t>是否诉讼</t>
    <phoneticPr fontId="15" type="noConversion"/>
  </si>
  <si>
    <t>支付计划</t>
    <phoneticPr fontId="15" type="noConversion"/>
  </si>
  <si>
    <t>支持性证据</t>
    <phoneticPr fontId="15" type="noConversion"/>
  </si>
  <si>
    <t>将处理金额、审定金额改为是否诉讼、支付计划、支持性证据</t>
    <phoneticPr fontId="141" type="noConversion"/>
  </si>
  <si>
    <t>F4-1
/F4-2</t>
    <phoneticPr fontId="49" type="noConversion"/>
  </si>
  <si>
    <t>F4-4</t>
    <phoneticPr fontId="15" type="noConversion"/>
  </si>
  <si>
    <r>
      <rPr>
        <sz val="10"/>
        <rFont val="宋体"/>
        <family val="3"/>
        <charset val="134"/>
      </rPr>
      <t>索引号：</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</si>
  <si>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</si>
  <si>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t>致同会计师事务所</t>
    <phoneticPr fontId="15" type="noConversion"/>
  </si>
  <si>
    <t>关注对关联方应付账款的真实性、合理性、合法性、会计处理是否正确，考虑是否存在未识别的关联方，检查关联交易和余额披露是否正确。</t>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</si>
  <si>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</si>
  <si>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t>F4-6</t>
  </si>
  <si>
    <t>F4-5</t>
    <phoneticPr fontId="15" type="noConversion"/>
  </si>
  <si>
    <t>F0</t>
    <phoneticPr fontId="15" type="noConversion"/>
  </si>
  <si>
    <t>F0</t>
    <phoneticPr fontId="15" type="noConversion"/>
  </si>
  <si>
    <t>F4-6/F4-8/F0</t>
    <phoneticPr fontId="15" type="noConversion"/>
  </si>
  <si>
    <t>F4-7</t>
  </si>
  <si>
    <r>
      <rPr>
        <sz val="10"/>
        <rFont val="宋体"/>
        <family val="3"/>
        <charset val="134"/>
      </rPr>
      <t>页</t>
    </r>
    <r>
      <rPr>
        <sz val="10"/>
        <rFont val="Arial Narrow"/>
        <family val="2"/>
      </rPr>
      <t xml:space="preserve">    </t>
    </r>
    <r>
      <rPr>
        <sz val="10"/>
        <rFont val="宋体"/>
        <family val="3"/>
        <charset val="134"/>
      </rPr>
      <t>次：</t>
    </r>
    <phoneticPr fontId="15" type="noConversion"/>
  </si>
  <si>
    <t>如应付账款借方发生额所有凭证共XX笔金额XX、贷方发生额所有凭证共XX笔金额XX</t>
    <phoneticPr fontId="15" type="noConversion"/>
  </si>
  <si>
    <t>测试总体扣除特定样本以外的样本，共XX笔、金额XX</t>
    <phoneticPr fontId="15" type="noConversion"/>
  </si>
  <si>
    <t>抽样方法：</t>
    <phoneticPr fontId="15" type="noConversion"/>
  </si>
  <si>
    <t>XX金额以上（大额）、关联方/关联交易形成的款项、XX异常款项全部测试，共XX笔；</t>
    <phoneticPr fontId="15" type="noConversion"/>
  </si>
  <si>
    <t>确定的抽样样本量：</t>
    <phoneticPr fontId="15" type="noConversion"/>
  </si>
  <si>
    <t>抽取XX笔</t>
    <phoneticPr fontId="15" type="noConversion"/>
  </si>
  <si>
    <t>（如果使用了样本计算器计算样本量，样本量计算过程见&lt;XX&gt;底稿）</t>
    <phoneticPr fontId="15" type="noConversion"/>
  </si>
  <si>
    <t>抽样过程：</t>
    <phoneticPr fontId="15" type="noConversion"/>
  </si>
  <si>
    <t>使用IDEA（XX抽样工具）选择XX数量、金额XX的样本进行测试，抽样工具中的样本选择过程和结果见&lt;XX&gt;底稿</t>
    <phoneticPr fontId="15" type="noConversion"/>
  </si>
  <si>
    <t>供应商名称</t>
    <phoneticPr fontId="15" type="noConversion"/>
  </si>
  <si>
    <t>银行回单</t>
    <phoneticPr fontId="15" type="noConversion"/>
  </si>
  <si>
    <t>收款方</t>
    <phoneticPr fontId="15" type="noConversion"/>
  </si>
  <si>
    <r>
      <t>2.本期贷方金额检查</t>
    </r>
    <r>
      <rPr>
        <b/>
        <sz val="10"/>
        <color rgb="FF0000FF"/>
        <rFont val="宋体"/>
        <family val="3"/>
        <charset val="134"/>
      </rPr>
      <t>（可结合存货采购入库检查&lt;F2-33&gt;完成）</t>
    </r>
    <phoneticPr fontId="15" type="noConversion"/>
  </si>
  <si>
    <t>索引号：</t>
    <phoneticPr fontId="15" type="noConversion"/>
  </si>
  <si>
    <t>页  次：</t>
    <phoneticPr fontId="15" type="noConversion"/>
  </si>
  <si>
    <r>
      <rPr>
        <sz val="10"/>
        <color rgb="FF0000FF"/>
        <rFont val="宋体"/>
        <family val="3"/>
        <charset val="134"/>
      </rPr>
      <t>供应商</t>
    </r>
    <r>
      <rPr>
        <sz val="10"/>
        <color rgb="FF0000FF"/>
        <rFont val="Arial Narrow"/>
        <family val="2"/>
      </rPr>
      <t>1</t>
    </r>
    <phoneticPr fontId="15" type="noConversion"/>
  </si>
  <si>
    <r>
      <rPr>
        <sz val="10"/>
        <color rgb="FF0000FF"/>
        <rFont val="宋体"/>
        <family val="3"/>
        <charset val="134"/>
      </rPr>
      <t>供应商</t>
    </r>
    <r>
      <rPr>
        <sz val="10"/>
        <color rgb="FF0000FF"/>
        <rFont val="Arial Narrow"/>
        <family val="2"/>
      </rPr>
      <t>2</t>
    </r>
    <phoneticPr fontId="15" type="noConversion"/>
  </si>
  <si>
    <r>
      <rPr>
        <sz val="10"/>
        <color rgb="FF0000FF"/>
        <rFont val="宋体"/>
        <family val="3"/>
        <charset val="134"/>
      </rPr>
      <t>供应商</t>
    </r>
    <r>
      <rPr>
        <sz val="10"/>
        <color rgb="FF0000FF"/>
        <rFont val="Arial Narrow"/>
        <family val="2"/>
      </rPr>
      <t>3</t>
    </r>
    <phoneticPr fontId="15" type="noConversion"/>
  </si>
  <si>
    <t>F4-7</t>
    <phoneticPr fontId="15" type="noConversion"/>
  </si>
  <si>
    <t>F4-8</t>
  </si>
  <si>
    <t>F4-8</t>
    <phoneticPr fontId="15" type="noConversion"/>
  </si>
  <si>
    <t>F4-9</t>
  </si>
  <si>
    <t>F4-9</t>
    <phoneticPr fontId="15" type="noConversion"/>
  </si>
  <si>
    <t>F2-68
/F2-62</t>
    <phoneticPr fontId="15" type="noConversion"/>
  </si>
  <si>
    <t>F4A</t>
  </si>
  <si>
    <t>无需打印</t>
    <phoneticPr fontId="15" type="noConversion"/>
  </si>
  <si>
    <t>实质性分析</t>
    <phoneticPr fontId="15" type="noConversion"/>
  </si>
  <si>
    <t>F4-2</t>
    <phoneticPr fontId="15" type="noConversion"/>
  </si>
  <si>
    <t>F4-3</t>
    <phoneticPr fontId="15" type="noConversion"/>
  </si>
  <si>
    <t>F0-1</t>
  </si>
  <si>
    <t>F0-2</t>
  </si>
  <si>
    <t>F0-3</t>
  </si>
  <si>
    <t>F0-4</t>
  </si>
  <si>
    <t>F0-7</t>
  </si>
  <si>
    <t>F0-8</t>
  </si>
  <si>
    <t>账龄1年以上的应付账款检查表</t>
    <phoneticPr fontId="15" type="noConversion"/>
  </si>
  <si>
    <t>应付账款关联方及交易检查表</t>
    <phoneticPr fontId="15" type="noConversion"/>
  </si>
  <si>
    <t>供应商融资检查表</t>
    <phoneticPr fontId="15" type="noConversion"/>
  </si>
  <si>
    <t>函证结果汇总表</t>
    <phoneticPr fontId="15" type="noConversion"/>
  </si>
  <si>
    <t>核实被函证单位信息</t>
    <phoneticPr fontId="15" type="noConversion"/>
  </si>
  <si>
    <t>跟函函证过程控制</t>
    <phoneticPr fontId="15" type="noConversion"/>
  </si>
  <si>
    <t>函证差异调节表</t>
    <phoneticPr fontId="15" type="noConversion"/>
  </si>
  <si>
    <t>邮件传真回函可靠性验证</t>
    <phoneticPr fontId="15" type="noConversion"/>
  </si>
  <si>
    <t>函证程序舞弊风险评价表</t>
    <phoneticPr fontId="15" type="noConversion"/>
  </si>
  <si>
    <t>账龄1年以上的应付账款检查表</t>
    <phoneticPr fontId="15" type="noConversion"/>
  </si>
  <si>
    <t>应付账款关联方及交易检查表</t>
    <phoneticPr fontId="15" type="noConversion"/>
  </si>
  <si>
    <t>未入账应付账款情况检查表</t>
    <phoneticPr fontId="15" type="noConversion"/>
  </si>
  <si>
    <t>应付账款检查表</t>
    <phoneticPr fontId="15" type="noConversion"/>
  </si>
  <si>
    <t>供应商融资检查表</t>
    <phoneticPr fontId="15" type="noConversion"/>
  </si>
  <si>
    <t>F4-5</t>
    <phoneticPr fontId="15" type="noConversion"/>
  </si>
  <si>
    <t>审定金额</t>
    <phoneticPr fontId="15" type="noConversion"/>
  </si>
  <si>
    <t>1.本期借方金额检查</t>
    <phoneticPr fontId="15"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</si>
  <si>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5" type="noConversion"/>
  </si>
  <si>
    <t>公司代码</t>
    <phoneticPr fontId="15" type="noConversion"/>
  </si>
  <si>
    <r>
      <t xml:space="preserve">1. </t>
    </r>
    <r>
      <rPr>
        <sz val="10"/>
        <rFont val="宋体"/>
        <family val="3"/>
        <charset val="134"/>
      </rPr>
      <t>资产负债表中记录的应付账款是存在的，且已经记录在恰当的账户中；</t>
    </r>
    <r>
      <rPr>
        <sz val="10"/>
        <rFont val="Arial Narrow"/>
        <family val="2"/>
      </rPr>
      <t xml:space="preserve">       2. </t>
    </r>
    <r>
      <rPr>
        <sz val="10"/>
        <rFont val="宋体"/>
        <family val="3"/>
        <charset val="134"/>
      </rPr>
      <t>所有应记录的应付账款均已记录，所有应当包括在财务报表中的相关披露均已包括；</t>
    </r>
    <phoneticPr fontId="15" type="noConversion"/>
  </si>
  <si>
    <r>
      <t>1.</t>
    </r>
    <r>
      <rPr>
        <sz val="10"/>
        <rFont val="宋体"/>
        <family val="3"/>
        <charset val="134"/>
      </rPr>
      <t>产负债表中记录的应付账款是存在的，且已经记录在恰当的账户中；</t>
    </r>
    <r>
      <rPr>
        <sz val="10"/>
        <rFont val="Arial Narrow"/>
        <family val="2"/>
      </rPr>
      <t xml:space="preserve">            2.</t>
    </r>
    <r>
      <rPr>
        <sz val="10"/>
        <rFont val="宋体"/>
        <family val="3"/>
        <charset val="134"/>
      </rPr>
      <t>记录的应付账款由被审计单位拥有或控制；</t>
    </r>
    <phoneticPr fontId="15" type="noConversion"/>
  </si>
  <si>
    <r>
      <t>2.</t>
    </r>
    <r>
      <rPr>
        <sz val="10"/>
        <rFont val="宋体"/>
        <family val="3"/>
        <charset val="134"/>
      </rPr>
      <t>应付账款已被恰当地汇总或分解且表述清楚，供应商融资相关披露在按照企业会计准则的编制基础下是相关的、可理解的</t>
    </r>
    <phoneticPr fontId="15" type="noConversion"/>
  </si>
  <si>
    <r>
      <t>1.</t>
    </r>
    <r>
      <rPr>
        <sz val="10"/>
        <rFont val="宋体"/>
        <family val="3"/>
        <charset val="134"/>
      </rPr>
      <t>从供应链融资平台导出的供应链融资明细表，将其中的供应商融资与企业供应商融资台账核对一致；</t>
    </r>
    <phoneticPr fontId="15" type="noConversion"/>
  </si>
  <si>
    <t>选择主要供应商、异常供应商，考虑对采购额、合同条款、是否存在关联方关系及是否存在补充协议实施函证程序。</t>
    <phoneticPr fontId="15" type="noConversion"/>
  </si>
  <si>
    <t>IPO/上市/新三板/重组/舞弊应对</t>
    <phoneticPr fontId="49" type="noConversion"/>
  </si>
  <si>
    <t>是否经过恰当审批</t>
    <phoneticPr fontId="15" type="noConversion"/>
  </si>
  <si>
    <t>勿改、勿删</t>
    <phoneticPr fontId="15" type="noConversion"/>
  </si>
  <si>
    <t>三、计划实施的实质性程序</t>
    <phoneticPr fontId="15" type="noConversion"/>
  </si>
  <si>
    <t>被审计单位：</t>
    <phoneticPr fontId="15" type="noConversion"/>
  </si>
  <si>
    <t>编制人：</t>
    <phoneticPr fontId="15" type="noConversion"/>
  </si>
  <si>
    <t>编制日期：</t>
    <phoneticPr fontId="15" type="noConversion"/>
  </si>
  <si>
    <t>复核人：</t>
    <phoneticPr fontId="15" type="noConversion"/>
  </si>
  <si>
    <t>复核日期：</t>
    <phoneticPr fontId="15" type="noConversion"/>
  </si>
  <si>
    <t>T1
/F0-1
/</t>
    <phoneticPr fontId="15" type="noConversion"/>
  </si>
  <si>
    <r>
      <rPr>
        <sz val="10"/>
        <color theme="1"/>
        <rFont val="宋体"/>
        <family val="3"/>
        <charset val="134"/>
      </rPr>
      <t>实施函证程序：
（</t>
    </r>
    <r>
      <rPr>
        <sz val="10"/>
        <color theme="1"/>
        <rFont val="Arial Narrow"/>
        <family val="2"/>
      </rPr>
      <t>1</t>
    </r>
    <r>
      <rPr>
        <sz val="10"/>
        <color theme="1"/>
        <rFont val="宋体"/>
        <family val="3"/>
        <charset val="134"/>
      </rPr>
      <t>）以积极方式对应付账款进行函证，设计询证函、发函前核实被函证单位信息；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15" type="noConversion"/>
  </si>
  <si>
    <t>检查与应付账款有关的的记账凭证和相应的支持性证据以确定交易的真实性，是否按规定进行相应的会计处理和披露。</t>
    <phoneticPr fontId="15" type="noConversion"/>
  </si>
  <si>
    <t>完整性</t>
    <phoneticPr fontId="15" type="noConversion"/>
  </si>
  <si>
    <r>
      <t xml:space="preserve">B. </t>
    </r>
    <r>
      <rPr>
        <sz val="10"/>
        <rFont val="宋体"/>
        <family val="3"/>
        <charset val="134"/>
      </rPr>
      <t>所有应记录的应付账款均已记录，所有应当包括在财务报表中的相关披露均已包括</t>
    </r>
    <phoneticPr fontId="15" type="noConversion"/>
  </si>
  <si>
    <r>
      <t xml:space="preserve">E. </t>
    </r>
    <r>
      <rPr>
        <sz val="10"/>
        <rFont val="宋体"/>
        <family val="3"/>
        <charset val="134"/>
      </rPr>
      <t>应付账款已被恰当地汇总或分解且表述清楚，相关披露在按照企业会计准则的编制基础下是相关的、可理解的</t>
    </r>
    <phoneticPr fontId="15" type="noConversion"/>
  </si>
  <si>
    <t>关于工作底稿与审计程序索引号对应的说明</t>
    <phoneticPr fontId="15"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</si>
  <si>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5"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</si>
  <si>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5"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</si>
  <si>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5" type="noConversion"/>
  </si>
  <si>
    <t>截止日：202X年12月31日</t>
  </si>
  <si>
    <t>结合存货审计，考虑对重大、新增、异常等供应商进行背景调查、电话访谈、实地走访等。</t>
  </si>
  <si>
    <t>F2-69
/F2-70
/F2-71
/F2-72
/D4-32</t>
  </si>
  <si>
    <r>
      <rPr>
        <b/>
        <sz val="10"/>
        <rFont val="宋体"/>
        <family val="3"/>
        <charset val="134"/>
      </rPr>
      <t>期末余额</t>
    </r>
    <phoneticPr fontId="19" type="noConversion"/>
  </si>
  <si>
    <t>被审计单位重分类调整</t>
    <phoneticPr fontId="15" type="noConversion"/>
  </si>
  <si>
    <t>方向</t>
    <phoneticPr fontId="15" type="noConversion"/>
  </si>
  <si>
    <t>账面金额</t>
    <phoneticPr fontId="15" type="noConversion"/>
  </si>
  <si>
    <t>检查金额</t>
    <phoneticPr fontId="15" type="noConversion"/>
  </si>
  <si>
    <t>检查比例</t>
    <phoneticPr fontId="15" type="noConversion"/>
  </si>
  <si>
    <t>本期借方</t>
    <phoneticPr fontId="15" type="noConversion"/>
  </si>
  <si>
    <t>本期贷方</t>
    <phoneticPr fontId="15" type="noConversion"/>
  </si>
  <si>
    <r>
      <t>1.</t>
    </r>
    <r>
      <rPr>
        <sz val="10"/>
        <rFont val="宋体"/>
        <family val="3"/>
        <charset val="134"/>
      </rPr>
      <t>本期发生额检查比例：</t>
    </r>
    <phoneticPr fontId="15" type="noConversion"/>
  </si>
  <si>
    <t>2.……</t>
    <phoneticPr fontId="15" type="noConversion"/>
  </si>
  <si>
    <t>根据被审计单位实际情况和风险评估情况裁剪、修改或增加审计程序</t>
    <phoneticPr fontId="15" type="noConversion"/>
  </si>
  <si>
    <t>审计程序</t>
    <phoneticPr fontId="49" type="noConversion"/>
  </si>
  <si>
    <t>随机选样/系统选样/货币单元抽样/随意选样（非统计抽样适用）</t>
    <phoneticPr fontId="15" type="noConversion"/>
  </si>
  <si>
    <t>如果检查比例较低应扩大检查样本量或说明原因</t>
    <phoneticPr fontId="15" type="noConversion"/>
  </si>
  <si>
    <t>应付及采购替代程序检查表</t>
    <phoneticPr fontId="15" type="noConversion"/>
  </si>
  <si>
    <t>F0-6</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</si>
</sst>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8">
    <numFmt numFmtId="41" formatCode="_ * #,##0_ ;_ * \-#,##0_ ;_ * &quot;-&quot;_ ;_ @_ "/>
    <numFmt numFmtId="44" formatCode="_ &quot;¥&quot;* #,##0.00_ ;_ &quot;¥&quot;* \-#,##0.00_ ;_ &quot;¥&quot;*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_-#,##0.00_-;\(#,##0.00\);_-\ \ &quot;-&quot;_-;_-@_-"/>
    <numFmt numFmtId="181" formatCode="mmm/yyyy;_-\ &quot;N/A&quot;_-;_-\ &quot;-&quot;_-"/>
    <numFmt numFmtId="182" formatCode="mmm/dd/yyyy;_-\ &quot;N/A&quot;_-;_-\ &quot;-&quot;_-"/>
    <numFmt numFmtId="183" formatCode="_-#,##0_-;\(#,##0\);_-\ \ &quot;-&quot;_-;_-@_-"/>
    <numFmt numFmtId="184" formatCode="_-#,##0%_-;\(#,##0%\);_-\ &quot;-&quot;_-"/>
    <numFmt numFmtId="185" formatCode="_-#,###,_-;\(#,###,\);_-\ \ &quot;-&quot;_-;_-@_-"/>
    <numFmt numFmtId="186" formatCode="_-#,###.00,_-;\(#,###.00,\);_-\ \ &quot;-&quot;_-;_-@_-"/>
    <numFmt numFmtId="187" formatCode="_([$€-2]* #,##0.00_);_([$€-2]* \(#,##0.00\);_([$€-2]* &quot;-&quot;??_)"/>
    <numFmt numFmtId="188" formatCode="_-#0&quot;.&quot;0000_-;\(#0&quot;.&quot;0000\);_-\ \ &quot;-&quot;_-;_-@_-"/>
    <numFmt numFmtId="189" formatCode="_-#0&quot;.&quot;0,_-;\(#0&quot;.&quot;0,\);_-\ \ &quot;-&quot;_-;_-@_-"/>
    <numFmt numFmtId="190" formatCode="#,##0.00_ "/>
    <numFmt numFmtId="191" formatCode="0%;\(0%\)"/>
    <numFmt numFmtId="192" formatCode="0.0%"/>
    <numFmt numFmtId="193" formatCode="#,##0;\-#,##0;&quot;-&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5" formatCode="&quot;\&quot;#,##0.00;[Red]&quot;\&quot;&quot;\&quot;&quot;\&quot;&quot;\&quot;&quot;\&quot;&quot;\&quot;\-#,##0.00"/>
    <numFmt numFmtId="206" formatCode="&quot;\&quot;#,##0.00;[Red]&quot;\&quot;\-#,##0.00"/>
    <numFmt numFmtId="207" formatCode="&quot;\&quot;#,##0;[Red]&quot;\&quot;\-#,##0"/>
    <numFmt numFmtId="208" formatCode="0.0000_ "/>
    <numFmt numFmtId="209" formatCode="0_ "/>
    <numFmt numFmtId="210" formatCode="yyyy/mm/dd;@"/>
  </numFmts>
  <fonts count="146">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4"/>
      <name val="黑体"/>
      <family val="3"/>
      <charset val="134"/>
    </font>
    <font>
      <sz val="12"/>
      <name val="Times New Roman"/>
      <family val="1"/>
    </font>
    <font>
      <sz val="10"/>
      <color indexed="12"/>
      <name val="宋体"/>
      <family val="3"/>
      <charset val="134"/>
    </font>
    <font>
      <sz val="18"/>
      <color indexed="48"/>
      <name val="魏碑"/>
      <family val="3"/>
      <charset val="134"/>
    </font>
    <font>
      <sz val="12"/>
      <name val="Arial"/>
      <family val="2"/>
    </font>
    <font>
      <sz val="10.5"/>
      <name val="Arial"/>
      <family val="2"/>
    </font>
    <font>
      <sz val="10.5"/>
      <name val="Times New Roman"/>
      <family val="1"/>
    </font>
    <font>
      <b/>
      <sz val="10"/>
      <color indexed="10"/>
      <name val="Arial"/>
      <family val="2"/>
    </font>
    <font>
      <b/>
      <sz val="12"/>
      <name val="Arial"/>
      <family val="2"/>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sz val="10"/>
      <color indexed="12"/>
      <name val="Arial Narrow"/>
      <family val="2"/>
    </font>
    <font>
      <b/>
      <sz val="9"/>
      <color indexed="81"/>
      <name val="宋体"/>
      <family val="3"/>
      <charset val="134"/>
    </font>
    <font>
      <sz val="9"/>
      <color indexed="81"/>
      <name val="宋体"/>
      <family val="3"/>
      <charset val="134"/>
    </font>
    <font>
      <b/>
      <sz val="10"/>
      <color indexed="8"/>
      <name val="Arial Narrow"/>
      <family val="2"/>
    </font>
    <font>
      <b/>
      <sz val="10"/>
      <color indexed="12"/>
      <name val="Arial Narrow"/>
      <family val="2"/>
    </font>
    <font>
      <sz val="10"/>
      <color indexed="8"/>
      <name val="Arial Narrow"/>
      <family val="2"/>
    </font>
    <font>
      <sz val="10"/>
      <color indexed="10"/>
      <name val="Arial Narrow"/>
      <family val="2"/>
    </font>
    <font>
      <sz val="11"/>
      <color indexed="9"/>
      <name val="宋体"/>
      <family val="3"/>
      <charset val="134"/>
    </font>
    <font>
      <b/>
      <sz val="10"/>
      <name val="宋体"/>
      <family val="3"/>
      <charset val="134"/>
    </font>
    <font>
      <sz val="10"/>
      <name val="宋体"/>
      <family val="3"/>
      <charset val="134"/>
    </font>
    <font>
      <b/>
      <sz val="10"/>
      <color indexed="8"/>
      <name val="宋体"/>
      <family val="3"/>
      <charset val="134"/>
    </font>
    <font>
      <b/>
      <sz val="12"/>
      <name val="宋体"/>
      <family val="3"/>
      <charset val="134"/>
    </font>
    <font>
      <sz val="12"/>
      <name val="宋体"/>
      <family val="3"/>
      <charset val="134"/>
    </font>
    <font>
      <sz val="10"/>
      <color rgb="FFFF0000"/>
      <name val="宋体"/>
      <family val="3"/>
      <charset val="134"/>
    </font>
    <font>
      <sz val="9"/>
      <name val="宋体"/>
      <family val="2"/>
      <charset val="134"/>
      <scheme val="minor"/>
    </font>
    <font>
      <sz val="11"/>
      <color theme="1"/>
      <name val="宋体"/>
      <family val="2"/>
      <scheme val="minor"/>
    </font>
    <font>
      <sz val="10"/>
      <color rgb="FFFF0000"/>
      <name val="Arial Narrow"/>
      <family val="2"/>
    </font>
    <font>
      <sz val="10"/>
      <color rgb="FF0000FF"/>
      <name val="Arial Narrow"/>
      <family val="2"/>
    </font>
    <font>
      <sz val="10"/>
      <color rgb="FF0000FF"/>
      <name val="宋体"/>
      <family val="3"/>
      <charset val="134"/>
    </font>
    <font>
      <i/>
      <sz val="10"/>
      <color indexed="12"/>
      <name val="Arial Narrow"/>
      <family val="2"/>
    </font>
    <font>
      <sz val="10"/>
      <color theme="1"/>
      <name val="Arial Narrow"/>
      <family val="2"/>
    </font>
    <font>
      <sz val="10"/>
      <color indexed="8"/>
      <name val="Arial"/>
      <family val="2"/>
    </font>
    <font>
      <b/>
      <sz val="10"/>
      <color rgb="FFFF0000"/>
      <name val="Arial Narrow"/>
      <family val="2"/>
    </font>
    <font>
      <b/>
      <sz val="10"/>
      <color rgb="FF0000FF"/>
      <name val="Arial Narrow"/>
      <family val="2"/>
    </font>
    <font>
      <sz val="11"/>
      <color theme="1"/>
      <name val="Arial Narrow"/>
      <family val="2"/>
    </font>
    <font>
      <i/>
      <u/>
      <sz val="10"/>
      <color indexed="12"/>
      <name val="Arial Narrow"/>
      <family val="2"/>
    </font>
    <font>
      <sz val="10"/>
      <color indexed="8"/>
      <name val="宋体"/>
      <family val="3"/>
      <charset val="134"/>
    </font>
    <font>
      <sz val="10"/>
      <color theme="1"/>
      <name val="宋体"/>
      <family val="3"/>
      <charset val="134"/>
    </font>
    <font>
      <sz val="9"/>
      <name val="宋体"/>
      <family val="3"/>
      <charset val="134"/>
    </font>
    <font>
      <sz val="12"/>
      <color rgb="FFFFFF99"/>
      <name val="Arial Narrow"/>
      <family val="2"/>
    </font>
    <font>
      <b/>
      <sz val="10"/>
      <color theme="1"/>
      <name val="宋体"/>
      <family val="3"/>
      <charset val="134"/>
    </font>
    <font>
      <b/>
      <sz val="10"/>
      <color rgb="FFFF0000"/>
      <name val="宋体"/>
      <family val="3"/>
      <charset val="134"/>
    </font>
    <font>
      <sz val="13"/>
      <name val="Tms Rm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u/>
      <sz val="10"/>
      <color indexed="12"/>
      <name val="宋体"/>
      <family val="3"/>
      <charset val="134"/>
    </font>
    <font>
      <sz val="11"/>
      <name val="ＭＳ Ｐゴシック"/>
      <family val="2"/>
    </font>
    <font>
      <sz val="12"/>
      <name val="바탕체"/>
      <family val="3"/>
    </font>
    <font>
      <b/>
      <u/>
      <sz val="10"/>
      <color indexed="10"/>
      <name val="Arial Narrow"/>
      <family val="2"/>
    </font>
    <font>
      <sz val="10"/>
      <color rgb="FF0000FF"/>
      <name val="宋体"/>
      <family val="3"/>
      <charset val="134"/>
      <scheme val="minor"/>
    </font>
    <font>
      <sz val="10"/>
      <color indexed="17"/>
      <name val="宋体"/>
      <family val="3"/>
      <charset val="134"/>
    </font>
    <font>
      <sz val="10"/>
      <name val="Helv"/>
      <family val="2"/>
    </font>
    <font>
      <sz val="12"/>
      <color indexed="8"/>
      <name val="宋体"/>
      <family val="3"/>
      <charset val="134"/>
    </font>
    <font>
      <sz val="12"/>
      <color indexed="9"/>
      <name val="宋体"/>
      <family val="3"/>
      <charset val="134"/>
    </font>
    <font>
      <sz val="11"/>
      <color indexed="8"/>
      <name val="宋体"/>
      <family val="3"/>
      <charset val="134"/>
    </font>
    <font>
      <b/>
      <sz val="24"/>
      <color indexed="20"/>
      <name val="隶书"/>
      <family val="3"/>
      <charset val="134"/>
    </font>
    <font>
      <b/>
      <i/>
      <sz val="12"/>
      <name val="Times New Roman"/>
      <family val="1"/>
    </font>
    <font>
      <sz val="10"/>
      <name val="宋体"/>
      <family val="3"/>
      <charset val="134"/>
      <scheme val="minor"/>
    </font>
    <font>
      <sz val="14"/>
      <name val="柧挬"/>
      <family val="2"/>
    </font>
    <font>
      <b/>
      <sz val="18"/>
      <color indexed="62"/>
      <name val="宋体"/>
      <family val="3"/>
      <charset val="134"/>
    </font>
    <font>
      <sz val="10"/>
      <color indexed="20"/>
      <name val="宋体"/>
      <family val="3"/>
      <charset val="134"/>
    </font>
    <font>
      <sz val="10"/>
      <color rgb="FF9C0006"/>
      <name val="Arial Narrow"/>
      <family val="2"/>
    </font>
    <font>
      <sz val="11"/>
      <name val="Arial"/>
      <family val="2"/>
    </font>
    <font>
      <sz val="10"/>
      <color indexed="17"/>
      <name val="Arial Narrow"/>
      <family val="2"/>
    </font>
    <font>
      <sz val="10"/>
      <color rgb="FF006100"/>
      <name val="Arial Narrow"/>
      <family val="2"/>
    </font>
    <font>
      <sz val="12"/>
      <name val="官帕眉"/>
      <family val="2"/>
    </font>
    <font>
      <sz val="10"/>
      <name val="奔覆眉"/>
      <family val="2"/>
    </font>
    <font>
      <b/>
      <sz val="12"/>
      <color indexed="8"/>
      <name val="宋体"/>
      <family val="3"/>
      <charset val="134"/>
    </font>
    <font>
      <sz val="12"/>
      <name val="柧挬"/>
      <family val="2"/>
    </font>
    <font>
      <b/>
      <sz val="14"/>
      <name val="宋体"/>
      <family val="3"/>
      <charset val="134"/>
    </font>
    <font>
      <b/>
      <sz val="14"/>
      <name val="Arial Narrow"/>
      <family val="2"/>
    </font>
    <font>
      <sz val="10"/>
      <color rgb="FF000000"/>
      <name val="宋体"/>
      <family val="3"/>
      <charset val="134"/>
    </font>
    <font>
      <b/>
      <sz val="10"/>
      <color theme="0" tint="-0.499984740745262"/>
      <name val="Arial Narrow"/>
      <family val="2"/>
    </font>
    <font>
      <b/>
      <sz val="10"/>
      <color rgb="FFE92841"/>
      <name val="Arial Narrow"/>
      <family val="2"/>
    </font>
    <font>
      <sz val="12"/>
      <color indexed="12"/>
      <name val="仿宋_GB2312"/>
      <family val="3"/>
      <charset val="134"/>
    </font>
    <font>
      <b/>
      <sz val="10"/>
      <name val="宋体"/>
      <family val="3"/>
      <charset val="134"/>
      <scheme val="minor"/>
    </font>
    <font>
      <sz val="12"/>
      <name val="宋体"/>
      <family val="3"/>
      <charset val="134"/>
      <scheme val="minor"/>
    </font>
    <font>
      <b/>
      <sz val="10"/>
      <color rgb="FF000000"/>
      <name val="宋体"/>
      <family val="3"/>
      <charset val="134"/>
      <scheme val="minor"/>
    </font>
    <font>
      <sz val="10"/>
      <color rgb="FFFF0000"/>
      <name val="宋体"/>
      <family val="3"/>
      <charset val="134"/>
      <scheme val="minor"/>
    </font>
    <font>
      <b/>
      <sz val="10"/>
      <color indexed="8"/>
      <name val="宋体"/>
      <family val="3"/>
      <charset val="134"/>
      <scheme val="minor"/>
    </font>
    <font>
      <sz val="10"/>
      <color indexed="8"/>
      <name val="宋体"/>
      <family val="3"/>
      <charset val="134"/>
      <scheme val="minor"/>
    </font>
    <font>
      <u/>
      <sz val="10"/>
      <name val="宋体"/>
      <family val="3"/>
      <charset val="134"/>
      <scheme val="minor"/>
    </font>
    <font>
      <sz val="10"/>
      <color indexed="10"/>
      <name val="宋体"/>
      <family val="3"/>
      <charset val="134"/>
      <scheme val="minor"/>
    </font>
    <font>
      <sz val="10"/>
      <color rgb="FF000000"/>
      <name val="Arial Narrow"/>
      <family val="2"/>
    </font>
    <font>
      <b/>
      <sz val="10"/>
      <color rgb="FF000000"/>
      <name val="Arial Narrow"/>
      <family val="2"/>
    </font>
    <font>
      <b/>
      <sz val="11"/>
      <color theme="1"/>
      <name val="宋体"/>
      <family val="3"/>
      <charset val="134"/>
      <scheme val="minor"/>
    </font>
    <font>
      <sz val="9"/>
      <name val="宋体"/>
      <family val="3"/>
      <charset val="134"/>
      <scheme val="minor"/>
    </font>
    <font>
      <b/>
      <sz val="10"/>
      <color rgb="FF0000FF"/>
      <name val="宋体"/>
      <family val="3"/>
      <charset val="134"/>
    </font>
    <font>
      <b/>
      <sz val="10"/>
      <color indexed="12"/>
      <name val="宋体"/>
      <family val="3"/>
      <charset val="134"/>
    </font>
    <font>
      <b/>
      <sz val="10"/>
      <color rgb="FF000000"/>
      <name val="宋体"/>
      <family val="3"/>
      <charset val="134"/>
    </font>
    <font>
      <u/>
      <sz val="12"/>
      <color rgb="FF0000FF"/>
      <name val="宋体"/>
      <family val="3"/>
      <charset val="134"/>
    </font>
  </fonts>
  <fills count="49">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C6EFCE"/>
      </patternFill>
    </fill>
    <fill>
      <patternFill patternType="solid">
        <fgColor rgb="FFFFC7CE"/>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45"/>
        <bgColor indexed="64"/>
      </patternFill>
    </fill>
    <fill>
      <patternFill patternType="solid">
        <fgColor indexed="4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14999847407452621"/>
        <bgColor indexed="64"/>
      </patternFill>
    </fill>
    <fill>
      <patternFill patternType="solid">
        <fgColor rgb="FF00B050"/>
        <bgColor indexed="64"/>
      </patternFill>
    </fill>
    <fill>
      <patternFill patternType="solid">
        <fgColor rgb="FFE4DFEC"/>
        <bgColor rgb="FFB7DEE8"/>
      </patternFill>
    </fill>
  </fills>
  <borders count="3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style="hair">
        <color auto="1"/>
      </top>
      <bottom/>
      <diagonal/>
    </border>
    <border>
      <left/>
      <right style="hair">
        <color auto="1"/>
      </right>
      <top style="hair">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double">
        <color indexed="11"/>
      </left>
      <right style="double">
        <color indexed="11"/>
      </right>
      <top style="double">
        <color indexed="11"/>
      </top>
      <bottom style="double">
        <color indexed="11"/>
      </bottom>
      <diagonal/>
    </border>
    <border>
      <left style="hair">
        <color indexed="64"/>
      </left>
      <right/>
      <top/>
      <bottom/>
      <diagonal/>
    </border>
    <border>
      <left/>
      <right/>
      <top/>
      <bottom style="hair">
        <color indexed="64"/>
      </bottom>
      <diagonal/>
    </border>
    <border>
      <left/>
      <right style="hair">
        <color auto="1"/>
      </right>
      <top/>
      <bottom/>
      <diagonal/>
    </border>
    <border>
      <left/>
      <right style="hair">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389">
    <xf numFmtId="0" fontId="0" fillId="0" borderId="0">
      <protection locked="0"/>
    </xf>
    <xf numFmtId="0" fontId="42" fillId="2" borderId="0" applyNumberFormat="0" applyBorder="0" applyAlignment="0" applyProtection="0">
      <alignment vertical="center"/>
    </xf>
    <xf numFmtId="49" fontId="19" fillId="0" borderId="0" applyProtection="0">
      <alignment horizontal="left"/>
    </xf>
    <xf numFmtId="183" fontId="19" fillId="0" borderId="0" applyFill="0" applyBorder="0" applyProtection="0">
      <alignment horizontal="right"/>
    </xf>
    <xf numFmtId="180" fontId="19" fillId="0" borderId="0" applyFill="0" applyBorder="0" applyProtection="0">
      <alignment horizontal="right"/>
    </xf>
    <xf numFmtId="182" fontId="29" fillId="0" borderId="0" applyFill="0" applyBorder="0" applyProtection="0">
      <alignment horizontal="center"/>
    </xf>
    <xf numFmtId="181" fontId="29" fillId="0" borderId="0" applyFill="0" applyBorder="0" applyProtection="0">
      <alignment horizontal="center"/>
    </xf>
    <xf numFmtId="184" fontId="30" fillId="0" borderId="0" applyFill="0" applyBorder="0" applyProtection="0">
      <alignment horizontal="right"/>
    </xf>
    <xf numFmtId="185" fontId="19" fillId="0" borderId="0" applyFill="0" applyBorder="0" applyProtection="0">
      <alignment horizontal="right"/>
    </xf>
    <xf numFmtId="186" fontId="19" fillId="0" borderId="0" applyFill="0" applyBorder="0" applyProtection="0">
      <alignment horizontal="right"/>
    </xf>
    <xf numFmtId="189" fontId="19" fillId="0" borderId="0" applyFill="0" applyBorder="0" applyProtection="0">
      <alignment horizontal="right"/>
    </xf>
    <xf numFmtId="188" fontId="19" fillId="0" borderId="0" applyFill="0" applyBorder="0" applyProtection="0">
      <alignment horizontal="right"/>
    </xf>
    <xf numFmtId="3" fontId="5" fillId="0" borderId="0"/>
    <xf numFmtId="176" fontId="6" fillId="0" borderId="1" applyAlignment="0" applyProtection="0"/>
    <xf numFmtId="41" fontId="7" fillId="0" borderId="0" applyFont="0" applyFill="0" applyBorder="0" applyAlignment="0" applyProtection="0"/>
    <xf numFmtId="43" fontId="7" fillId="0" borderId="0" applyFont="0" applyFill="0" applyBorder="0" applyAlignment="0" applyProtection="0"/>
    <xf numFmtId="187" fontId="19" fillId="0" borderId="0" applyFont="0" applyFill="0" applyBorder="0" applyAlignment="0" applyProtection="0"/>
    <xf numFmtId="0" fontId="8" fillId="0" borderId="0" applyNumberFormat="0" applyFill="0" applyBorder="0" applyAlignment="0" applyProtection="0">
      <alignment vertical="top"/>
      <protection locked="0"/>
    </xf>
    <xf numFmtId="38" fontId="9" fillId="3" borderId="0" applyNumberFormat="0" applyBorder="0" applyAlignment="0" applyProtection="0"/>
    <xf numFmtId="0" fontId="10" fillId="0" borderId="0" applyNumberFormat="0" applyFill="0" applyBorder="0" applyAlignment="0" applyProtection="0">
      <alignment vertical="top"/>
      <protection locked="0"/>
    </xf>
    <xf numFmtId="10" fontId="9" fillId="4" borderId="2" applyNumberFormat="0" applyBorder="0" applyAlignment="0" applyProtection="0"/>
    <xf numFmtId="178" fontId="11" fillId="0" borderId="0" applyFont="0" applyFill="0" applyBorder="0" applyAlignment="0" applyProtection="0"/>
    <xf numFmtId="179" fontId="11" fillId="0" borderId="0" applyFont="0" applyFill="0" applyBorder="0" applyAlignment="0" applyProtection="0"/>
    <xf numFmtId="0" fontId="12" fillId="0" borderId="0"/>
    <xf numFmtId="177" fontId="11" fillId="0" borderId="0"/>
    <xf numFmtId="10" fontId="7" fillId="0" borderId="0" applyFont="0" applyFill="0" applyBorder="0" applyAlignment="0" applyProtection="0"/>
    <xf numFmtId="3" fontId="13" fillId="0" borderId="0"/>
    <xf numFmtId="9" fontId="11" fillId="0" borderId="0" applyFont="0" applyFill="0" applyBorder="0" applyAlignment="0" applyProtection="0"/>
    <xf numFmtId="0" fontId="11" fillId="0" borderId="0">
      <protection locked="0"/>
    </xf>
    <xf numFmtId="0" fontId="11" fillId="0" borderId="0">
      <alignment vertical="center"/>
    </xf>
    <xf numFmtId="0" fontId="19" fillId="0" borderId="0">
      <protection locked="0"/>
    </xf>
    <xf numFmtId="0" fontId="11" fillId="0" borderId="0"/>
    <xf numFmtId="0" fontId="11" fillId="0" borderId="0" applyFill="0" applyBorder="0"/>
    <xf numFmtId="0" fontId="11" fillId="0" borderId="0">
      <alignment vertical="center"/>
    </xf>
    <xf numFmtId="0" fontId="14" fillId="0" borderId="0" applyNumberFormat="0" applyFill="0" applyBorder="0" applyAlignment="0" applyProtection="0">
      <alignment vertical="top"/>
      <protection locked="0"/>
    </xf>
    <xf numFmtId="43" fontId="11" fillId="0" borderId="0" applyFont="0" applyFill="0" applyBorder="0" applyAlignment="0" applyProtection="0"/>
    <xf numFmtId="0" fontId="11" fillId="0" borderId="0">
      <alignment vertical="center"/>
    </xf>
    <xf numFmtId="0" fontId="7" fillId="0" borderId="0"/>
    <xf numFmtId="0" fontId="50" fillId="0" borderId="0"/>
    <xf numFmtId="43" fontId="11" fillId="0" borderId="0" applyFont="0" applyFill="0" applyBorder="0" applyAlignment="0" applyProtection="0">
      <alignment vertical="center"/>
    </xf>
    <xf numFmtId="0" fontId="21" fillId="0" borderId="0">
      <alignment vertical="center" shrinkToFit="1"/>
    </xf>
    <xf numFmtId="187" fontId="11" fillId="0" borderId="0"/>
    <xf numFmtId="0" fontId="11" fillId="0" borderId="0">
      <protection locked="0"/>
    </xf>
    <xf numFmtId="9" fontId="11" fillId="0" borderId="0" applyFont="0" applyFill="0" applyBorder="0" applyAlignment="0" applyProtection="0"/>
    <xf numFmtId="0" fontId="11" fillId="0" borderId="0">
      <alignment vertical="center"/>
    </xf>
    <xf numFmtId="43" fontId="11" fillId="0" borderId="0" applyFont="0" applyFill="0" applyBorder="0" applyAlignment="0" applyProtection="0">
      <alignment vertical="center"/>
    </xf>
    <xf numFmtId="0" fontId="11" fillId="0" borderId="0">
      <protection locked="0"/>
    </xf>
    <xf numFmtId="0" fontId="4" fillId="0" borderId="0">
      <alignment vertical="center"/>
    </xf>
    <xf numFmtId="187" fontId="7" fillId="0" borderId="0"/>
    <xf numFmtId="187" fontId="7" fillId="0" borderId="0"/>
    <xf numFmtId="187" fontId="7" fillId="0" borderId="0"/>
    <xf numFmtId="187" fontId="56" fillId="0" borderId="0">
      <alignment vertical="top"/>
      <protection locked="0"/>
    </xf>
    <xf numFmtId="187" fontId="56" fillId="0" borderId="0">
      <alignment vertical="top"/>
      <protection locked="0"/>
    </xf>
    <xf numFmtId="187" fontId="56" fillId="0" borderId="0">
      <alignment vertical="top"/>
      <protection locked="0"/>
    </xf>
    <xf numFmtId="187" fontId="56" fillId="0" borderId="0">
      <alignment vertical="top"/>
    </xf>
    <xf numFmtId="187" fontId="56" fillId="0" borderId="0">
      <alignment vertical="top"/>
    </xf>
    <xf numFmtId="187" fontId="56" fillId="0" borderId="0">
      <alignment vertical="top"/>
      <protection locked="0"/>
    </xf>
    <xf numFmtId="187" fontId="56" fillId="0" borderId="0">
      <alignment vertical="top"/>
    </xf>
    <xf numFmtId="187" fontId="56" fillId="0" borderId="0">
      <alignment vertical="top"/>
    </xf>
    <xf numFmtId="187" fontId="56" fillId="0" borderId="0">
      <alignment vertical="top"/>
      <protection locked="0"/>
    </xf>
    <xf numFmtId="187" fontId="56" fillId="0" borderId="0">
      <alignment vertical="top"/>
      <protection locked="0"/>
    </xf>
    <xf numFmtId="187" fontId="56" fillId="0" borderId="0">
      <alignment vertical="top"/>
      <protection locked="0"/>
    </xf>
    <xf numFmtId="187" fontId="56" fillId="0" borderId="0">
      <alignment vertical="top"/>
    </xf>
    <xf numFmtId="187" fontId="56" fillId="0" borderId="0">
      <alignment vertical="top"/>
    </xf>
    <xf numFmtId="187" fontId="56" fillId="0" borderId="0">
      <alignment vertical="top"/>
      <protection locked="0"/>
    </xf>
    <xf numFmtId="187" fontId="56" fillId="0" borderId="0">
      <alignment vertical="top"/>
    </xf>
    <xf numFmtId="187" fontId="56" fillId="0" borderId="0">
      <alignment vertical="top"/>
    </xf>
    <xf numFmtId="187" fontId="56" fillId="0" borderId="0">
      <alignment vertical="top"/>
    </xf>
    <xf numFmtId="187" fontId="56" fillId="0" borderId="0">
      <alignment vertical="top"/>
      <protection locked="0"/>
    </xf>
    <xf numFmtId="187" fontId="56" fillId="0" borderId="0">
      <alignment vertical="top"/>
    </xf>
    <xf numFmtId="187" fontId="56" fillId="0" borderId="0">
      <alignment vertical="top"/>
      <protection locked="0"/>
    </xf>
    <xf numFmtId="187" fontId="56" fillId="0" borderId="0">
      <alignment vertical="top"/>
      <protection locked="0"/>
    </xf>
    <xf numFmtId="187" fontId="56" fillId="0" borderId="0">
      <alignment vertical="top"/>
      <protection locked="0"/>
    </xf>
    <xf numFmtId="187" fontId="56" fillId="0" borderId="0">
      <alignment vertical="top"/>
    </xf>
    <xf numFmtId="187" fontId="56" fillId="0" borderId="0">
      <alignment vertical="top"/>
    </xf>
    <xf numFmtId="187" fontId="56" fillId="0" borderId="0">
      <alignment vertical="top"/>
    </xf>
    <xf numFmtId="187" fontId="56" fillId="0" borderId="0">
      <alignment vertical="top"/>
    </xf>
    <xf numFmtId="187" fontId="56" fillId="0" borderId="0">
      <alignment vertical="top"/>
      <protection locked="0"/>
    </xf>
    <xf numFmtId="187" fontId="56" fillId="0" borderId="0">
      <alignment vertical="top"/>
      <protection locked="0"/>
    </xf>
    <xf numFmtId="187" fontId="56" fillId="0" borderId="0">
      <alignment vertical="top"/>
    </xf>
    <xf numFmtId="187" fontId="56" fillId="0" borderId="0">
      <alignment vertical="top"/>
      <protection locked="0"/>
    </xf>
    <xf numFmtId="191" fontId="67" fillId="0" borderId="0" applyFont="0" applyFill="0" applyBorder="0" applyAlignment="0" applyProtection="0"/>
    <xf numFmtId="192" fontId="67" fillId="0" borderId="0" applyFont="0" applyFill="0" applyBorder="0" applyAlignment="0" applyProtection="0"/>
    <xf numFmtId="10" fontId="67" fillId="0" borderId="0" applyFont="0" applyFill="0" applyBorder="0" applyAlignment="0" applyProtection="0"/>
    <xf numFmtId="187" fontId="68" fillId="7" borderId="0" applyNumberFormat="0" applyBorder="0" applyAlignment="0" applyProtection="0"/>
    <xf numFmtId="187" fontId="68" fillId="8" borderId="0" applyNumberFormat="0" applyBorder="0" applyAlignment="0" applyProtection="0"/>
    <xf numFmtId="187" fontId="68" fillId="9" borderId="0" applyNumberFormat="0" applyBorder="0" applyAlignment="0" applyProtection="0"/>
    <xf numFmtId="187" fontId="68" fillId="10" borderId="0" applyNumberFormat="0" applyBorder="0" applyAlignment="0" applyProtection="0"/>
    <xf numFmtId="187" fontId="68" fillId="11" borderId="0" applyNumberFormat="0" applyBorder="0" applyAlignment="0" applyProtection="0"/>
    <xf numFmtId="187" fontId="68" fillId="12" borderId="0" applyNumberFormat="0" applyBorder="0" applyAlignment="0" applyProtection="0"/>
    <xf numFmtId="187" fontId="68" fillId="13" borderId="0" applyNumberFormat="0" applyBorder="0" applyAlignment="0" applyProtection="0"/>
    <xf numFmtId="187" fontId="68" fillId="14" borderId="0" applyNumberFormat="0" applyBorder="0" applyAlignment="0" applyProtection="0"/>
    <xf numFmtId="187" fontId="68" fillId="15" borderId="0" applyNumberFormat="0" applyBorder="0" applyAlignment="0" applyProtection="0"/>
    <xf numFmtId="187" fontId="68" fillId="10" borderId="0" applyNumberFormat="0" applyBorder="0" applyAlignment="0" applyProtection="0"/>
    <xf numFmtId="187" fontId="68" fillId="13" borderId="0" applyNumberFormat="0" applyBorder="0" applyAlignment="0" applyProtection="0"/>
    <xf numFmtId="187" fontId="68" fillId="16" borderId="0" applyNumberFormat="0" applyBorder="0" applyAlignment="0" applyProtection="0"/>
    <xf numFmtId="187" fontId="69" fillId="2" borderId="0" applyNumberFormat="0" applyBorder="0" applyAlignment="0" applyProtection="0"/>
    <xf numFmtId="187" fontId="69" fillId="14" borderId="0" applyNumberFormat="0" applyBorder="0" applyAlignment="0" applyProtection="0"/>
    <xf numFmtId="187" fontId="69" fillId="15" borderId="0" applyNumberFormat="0" applyBorder="0" applyAlignment="0" applyProtection="0"/>
    <xf numFmtId="187" fontId="69" fillId="17" borderId="0" applyNumberFormat="0" applyBorder="0" applyAlignment="0" applyProtection="0"/>
    <xf numFmtId="187" fontId="69" fillId="18" borderId="0" applyNumberFormat="0" applyBorder="0" applyAlignment="0" applyProtection="0"/>
    <xf numFmtId="187" fontId="69" fillId="19" borderId="0" applyNumberFormat="0" applyBorder="0" applyAlignment="0" applyProtection="0"/>
    <xf numFmtId="187" fontId="69" fillId="20" borderId="0" applyNumberFormat="0" applyBorder="0" applyAlignment="0" applyProtection="0"/>
    <xf numFmtId="187" fontId="69" fillId="21" borderId="0" applyNumberFormat="0" applyBorder="0" applyAlignment="0" applyProtection="0"/>
    <xf numFmtId="187" fontId="69" fillId="22" borderId="0" applyNumberFormat="0" applyBorder="0" applyAlignment="0" applyProtection="0"/>
    <xf numFmtId="187" fontId="69" fillId="17" borderId="0" applyNumberFormat="0" applyBorder="0" applyAlignment="0" applyProtection="0"/>
    <xf numFmtId="187" fontId="69" fillId="18" borderId="0" applyNumberFormat="0" applyBorder="0" applyAlignment="0" applyProtection="0"/>
    <xf numFmtId="187" fontId="69" fillId="23" borderId="0" applyNumberFormat="0" applyBorder="0" applyAlignment="0" applyProtection="0"/>
    <xf numFmtId="187" fontId="70" fillId="8" borderId="0" applyNumberFormat="0" applyBorder="0" applyAlignment="0" applyProtection="0"/>
    <xf numFmtId="193" fontId="56" fillId="0" borderId="0" applyFill="0" applyBorder="0" applyAlignment="0"/>
    <xf numFmtId="187" fontId="71" fillId="24" borderId="17" applyNumberFormat="0" applyAlignment="0" applyProtection="0"/>
    <xf numFmtId="187" fontId="72" fillId="25" borderId="18" applyNumberFormat="0" applyAlignment="0" applyProtection="0"/>
    <xf numFmtId="0" fontId="73" fillId="0" borderId="9" applyNumberFormat="0" applyFill="0" applyProtection="0">
      <alignment horizontal="center"/>
    </xf>
    <xf numFmtId="187" fontId="74" fillId="0" borderId="19">
      <alignment horizontal="center"/>
    </xf>
    <xf numFmtId="194" fontId="7" fillId="0" borderId="0"/>
    <xf numFmtId="194" fontId="7" fillId="0" borderId="0"/>
    <xf numFmtId="194" fontId="7" fillId="0" borderId="0"/>
    <xf numFmtId="194" fontId="7" fillId="0" borderId="0"/>
    <xf numFmtId="194" fontId="7" fillId="0" borderId="0"/>
    <xf numFmtId="194" fontId="7" fillId="0" borderId="0"/>
    <xf numFmtId="194" fontId="7" fillId="0" borderId="0"/>
    <xf numFmtId="194" fontId="7" fillId="0" borderId="0"/>
    <xf numFmtId="38" fontId="75" fillId="0" borderId="0" applyFont="0" applyFill="0" applyBorder="0" applyAlignment="0" applyProtection="0"/>
    <xf numFmtId="37" fontId="67" fillId="0" borderId="0" applyFont="0" applyFill="0" applyBorder="0" applyAlignment="0" applyProtection="0"/>
    <xf numFmtId="195" fontId="67" fillId="0" borderId="0" applyFont="0" applyFill="0" applyBorder="0" applyAlignment="0" applyProtection="0"/>
    <xf numFmtId="39" fontId="67" fillId="0" borderId="0" applyFont="0" applyFill="0" applyBorder="0" applyAlignment="0" applyProtection="0"/>
    <xf numFmtId="40" fontId="75" fillId="0" borderId="0" applyFont="0" applyFill="0" applyBorder="0" applyAlignment="0" applyProtection="0"/>
    <xf numFmtId="196" fontId="11" fillId="0" borderId="0" applyFont="0" applyFill="0" applyBorder="0" applyAlignment="0" applyProtection="0"/>
    <xf numFmtId="176" fontId="67" fillId="0" borderId="0" applyFont="0" applyFill="0" applyBorder="0" applyAlignment="0" applyProtection="0"/>
    <xf numFmtId="197" fontId="67" fillId="0" borderId="0" applyFont="0" applyFill="0" applyBorder="0" applyAlignment="0" applyProtection="0"/>
    <xf numFmtId="198" fontId="11" fillId="0" borderId="0" applyFont="0" applyFill="0" applyBorder="0" applyAlignment="0" applyProtection="0"/>
    <xf numFmtId="187" fontId="76" fillId="0" borderId="0">
      <alignment horizontal="left"/>
    </xf>
    <xf numFmtId="187" fontId="9" fillId="26" borderId="2"/>
    <xf numFmtId="187" fontId="77" fillId="0" borderId="0" applyNumberFormat="0" applyFill="0" applyBorder="0" applyAlignment="0" applyProtection="0"/>
    <xf numFmtId="187" fontId="78" fillId="9" borderId="0" applyNumberFormat="0" applyBorder="0" applyAlignment="0" applyProtection="0"/>
    <xf numFmtId="187" fontId="28" fillId="0" borderId="14" applyNumberFormat="0" applyAlignment="0" applyProtection="0">
      <alignment horizontal="left" vertical="center"/>
    </xf>
    <xf numFmtId="187" fontId="28" fillId="0" borderId="20">
      <alignment horizontal="left" vertical="center"/>
    </xf>
    <xf numFmtId="14" fontId="79" fillId="27" borderId="13">
      <alignment horizontal="center" vertical="center" wrapText="1"/>
    </xf>
    <xf numFmtId="187" fontId="80" fillId="0" borderId="21" applyNumberFormat="0" applyFill="0" applyAlignment="0" applyProtection="0"/>
    <xf numFmtId="187" fontId="81" fillId="0" borderId="22" applyNumberFormat="0" applyFill="0" applyAlignment="0" applyProtection="0"/>
    <xf numFmtId="187" fontId="82" fillId="0" borderId="23" applyNumberFormat="0" applyFill="0" applyAlignment="0" applyProtection="0"/>
    <xf numFmtId="187" fontId="82" fillId="0" borderId="0" applyNumberFormat="0" applyFill="0" applyBorder="0" applyAlignment="0" applyProtection="0"/>
    <xf numFmtId="187" fontId="83" fillId="12" borderId="17" applyNumberFormat="0" applyAlignment="0" applyProtection="0"/>
    <xf numFmtId="187" fontId="19" fillId="0" borderId="0" applyNumberFormat="0" applyFont="0" applyFill="0" applyBorder="0" applyProtection="0">
      <alignment horizontal="left" vertical="center"/>
    </xf>
    <xf numFmtId="187" fontId="84" fillId="0" borderId="24"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11" fillId="0" borderId="0" applyFont="0" applyFill="0" applyBorder="0" applyAlignment="0" applyProtection="0"/>
    <xf numFmtId="187" fontId="85" fillId="28" borderId="0" applyNumberFormat="0" applyBorder="0" applyAlignment="0" applyProtection="0"/>
    <xf numFmtId="37" fontId="86" fillId="0" borderId="0"/>
    <xf numFmtId="0" fontId="7" fillId="0" borderId="0"/>
    <xf numFmtId="187" fontId="75" fillId="0" borderId="0"/>
    <xf numFmtId="187" fontId="87" fillId="0" borderId="0"/>
    <xf numFmtId="187" fontId="7" fillId="29" borderId="25" applyNumberFormat="0" applyFont="0" applyAlignment="0" applyProtection="0"/>
    <xf numFmtId="187" fontId="88" fillId="24" borderId="26" applyNumberFormat="0" applyAlignment="0" applyProtection="0"/>
    <xf numFmtId="203" fontId="7" fillId="0" borderId="0" applyFont="0" applyFill="0" applyBorder="0" applyAlignment="0" applyProtection="0"/>
    <xf numFmtId="187" fontId="9" fillId="3" borderId="2"/>
    <xf numFmtId="4" fontId="76" fillId="0" borderId="0">
      <alignment horizontal="right"/>
    </xf>
    <xf numFmtId="4" fontId="89" fillId="0" borderId="0">
      <alignment horizontal="right"/>
    </xf>
    <xf numFmtId="187" fontId="90" fillId="0" borderId="0">
      <alignment horizontal="left"/>
    </xf>
    <xf numFmtId="187" fontId="91" fillId="0" borderId="2">
      <alignment horizontal="center"/>
    </xf>
    <xf numFmtId="187" fontId="91" fillId="0" borderId="0">
      <alignment horizontal="center" vertical="center"/>
    </xf>
    <xf numFmtId="187" fontId="92" fillId="30" borderId="0" applyNumberFormat="0" applyFill="0">
      <alignment horizontal="left" vertical="center"/>
    </xf>
    <xf numFmtId="187" fontId="27" fillId="0" borderId="0" applyFill="0" applyBorder="0" applyProtection="0">
      <alignment horizontal="left" vertical="top"/>
    </xf>
    <xf numFmtId="187" fontId="93" fillId="0" borderId="0">
      <alignment horizontal="center"/>
    </xf>
    <xf numFmtId="187" fontId="94" fillId="0" borderId="27" applyNumberFormat="0" applyFill="0" applyAlignment="0" applyProtection="0"/>
    <xf numFmtId="187" fontId="95" fillId="0" borderId="0" applyNumberFormat="0" applyFill="0" applyBorder="0" applyAlignment="0" applyProtection="0"/>
    <xf numFmtId="187" fontId="96" fillId="0" borderId="0" applyNumberFormat="0" applyFont="0" applyFill="0" applyBorder="0" applyProtection="0">
      <alignment horizontal="center" vertical="center" wrapText="1"/>
    </xf>
    <xf numFmtId="9" fontId="97" fillId="0" borderId="0" applyFont="0" applyFill="0" applyBorder="0" applyAlignment="0" applyProtection="0"/>
    <xf numFmtId="4" fontId="98" fillId="0" borderId="0">
      <alignment horizontal="right"/>
    </xf>
    <xf numFmtId="0" fontId="7" fillId="0" borderId="0"/>
    <xf numFmtId="0" fontId="50" fillId="0" borderId="0"/>
    <xf numFmtId="0" fontId="16" fillId="0" borderId="0"/>
    <xf numFmtId="0" fontId="11" fillId="0" borderId="0">
      <alignment vertical="center"/>
      <protection locked="0"/>
    </xf>
    <xf numFmtId="0" fontId="99" fillId="0" borderId="0">
      <alignment vertical="center"/>
    </xf>
    <xf numFmtId="187" fontId="100" fillId="0" borderId="0" applyNumberFormat="0" applyFill="0" applyBorder="0" applyAlignment="0" applyProtection="0">
      <alignment vertical="top"/>
      <protection locked="0"/>
    </xf>
    <xf numFmtId="187" fontId="14" fillId="0" borderId="0" applyNumberFormat="0" applyFill="0" applyBorder="0" applyAlignment="0" applyProtection="0">
      <alignment vertical="top"/>
      <protection locked="0"/>
    </xf>
    <xf numFmtId="187" fontId="14" fillId="0" borderId="0" applyNumberFormat="0" applyFill="0" applyBorder="0" applyAlignment="0" applyProtection="0">
      <alignment vertical="top"/>
      <protection locked="0"/>
    </xf>
    <xf numFmtId="187" fontId="6" fillId="0" borderId="0" applyNumberFormat="0" applyFill="0" applyBorder="0" applyAlignment="0" applyProtection="0"/>
    <xf numFmtId="4" fontId="96" fillId="0" borderId="0" applyFont="0" applyFill="0" applyBorder="0" applyAlignment="0" applyProtection="0"/>
    <xf numFmtId="41" fontId="7" fillId="0" borderId="0" applyFont="0" applyFill="0" applyBorder="0" applyAlignment="0" applyProtection="0"/>
    <xf numFmtId="187" fontId="19" fillId="0" borderId="0"/>
    <xf numFmtId="41" fontId="19" fillId="0" borderId="0" applyFont="0" applyFill="0" applyBorder="0" applyAlignment="0" applyProtection="0"/>
    <xf numFmtId="43" fontId="19"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0" fontId="7" fillId="0" borderId="0" applyFont="0" applyFill="0" applyBorder="0" applyAlignment="0" applyProtection="0"/>
    <xf numFmtId="200" fontId="7" fillId="0" borderId="0" applyFont="0" applyFill="0" applyBorder="0" applyAlignment="0" applyProtection="0"/>
    <xf numFmtId="204" fontId="96" fillId="0" borderId="0" applyFont="0" applyFill="0" applyBorder="0" applyAlignment="0" applyProtection="0"/>
    <xf numFmtId="187" fontId="56" fillId="0" borderId="0">
      <alignment vertical="top"/>
    </xf>
    <xf numFmtId="38" fontId="101" fillId="0" borderId="0" applyFont="0" applyFill="0" applyBorder="0" applyAlignment="0" applyProtection="0"/>
    <xf numFmtId="40" fontId="101" fillId="0" borderId="0" applyFont="0" applyFill="0" applyBorder="0" applyAlignment="0" applyProtection="0"/>
    <xf numFmtId="187" fontId="101" fillId="0" borderId="0" applyFont="0" applyFill="0" applyBorder="0" applyAlignment="0" applyProtection="0"/>
    <xf numFmtId="187" fontId="101" fillId="0" borderId="0" applyFont="0" applyFill="0" applyBorder="0" applyAlignment="0" applyProtection="0"/>
    <xf numFmtId="187" fontId="102" fillId="0" borderId="0"/>
    <xf numFmtId="0" fontId="11" fillId="0" borderId="0"/>
    <xf numFmtId="43" fontId="4" fillId="0" borderId="0" applyFont="0" applyFill="0" applyBorder="0" applyAlignment="0" applyProtection="0">
      <alignment vertical="center"/>
    </xf>
    <xf numFmtId="0" fontId="11" fillId="0" borderId="0"/>
    <xf numFmtId="0" fontId="21" fillId="0" borderId="0"/>
    <xf numFmtId="0" fontId="106" fillId="0" borderId="0"/>
    <xf numFmtId="0" fontId="106" fillId="0" borderId="0"/>
    <xf numFmtId="0" fontId="11" fillId="0" borderId="0"/>
    <xf numFmtId="0" fontId="87" fillId="0" borderId="0"/>
    <xf numFmtId="0" fontId="9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5" fillId="0" borderId="0"/>
    <xf numFmtId="0" fontId="11" fillId="0" borderId="0"/>
    <xf numFmtId="0" fontId="11" fillId="0" borderId="0"/>
    <xf numFmtId="0" fontId="21" fillId="0" borderId="0"/>
    <xf numFmtId="0" fontId="11" fillId="0" borderId="0"/>
    <xf numFmtId="0" fontId="11" fillId="0" borderId="0"/>
    <xf numFmtId="0" fontId="11" fillId="0" borderId="0"/>
    <xf numFmtId="0" fontId="11" fillId="0" borderId="0"/>
    <xf numFmtId="0" fontId="56" fillId="0" borderId="0">
      <alignment vertical="top"/>
    </xf>
    <xf numFmtId="0" fontId="87" fillId="0" borderId="0"/>
    <xf numFmtId="0" fontId="75" fillId="0" borderId="0"/>
    <xf numFmtId="0" fontId="87" fillId="0" borderId="0"/>
    <xf numFmtId="0" fontId="56" fillId="0" borderId="0">
      <alignment vertical="top"/>
    </xf>
    <xf numFmtId="0" fontId="56" fillId="0" borderId="0">
      <alignment vertical="top"/>
    </xf>
    <xf numFmtId="0" fontId="56" fillId="0" borderId="0">
      <alignment vertical="top"/>
    </xf>
    <xf numFmtId="0" fontId="75" fillId="0" borderId="0"/>
    <xf numFmtId="0" fontId="21" fillId="0" borderId="0"/>
    <xf numFmtId="0" fontId="107" fillId="33" borderId="0" applyNumberFormat="0" applyBorder="0" applyAlignment="0" applyProtection="0"/>
    <xf numFmtId="0" fontId="107" fillId="33" borderId="0" applyNumberFormat="0" applyBorder="0" applyAlignment="0" applyProtection="0"/>
    <xf numFmtId="0" fontId="108" fillId="34" borderId="0" applyNumberFormat="0" applyBorder="0" applyAlignment="0" applyProtection="0"/>
    <xf numFmtId="0" fontId="107" fillId="35" borderId="0" applyNumberFormat="0" applyBorder="0" applyAlignment="0" applyProtection="0"/>
    <xf numFmtId="0" fontId="107" fillId="36" borderId="0" applyNumberFormat="0" applyBorder="0" applyAlignment="0" applyProtection="0"/>
    <xf numFmtId="0" fontId="108" fillId="37" borderId="0" applyNumberFormat="0" applyBorder="0" applyAlignment="0" applyProtection="0"/>
    <xf numFmtId="0" fontId="107" fillId="35" borderId="0" applyNumberFormat="0" applyBorder="0" applyAlignment="0" applyProtection="0"/>
    <xf numFmtId="0" fontId="107" fillId="38" borderId="0" applyNumberFormat="0" applyBorder="0" applyAlignment="0" applyProtection="0"/>
    <xf numFmtId="0" fontId="108" fillId="36" borderId="0" applyNumberFormat="0" applyBorder="0" applyAlignment="0" applyProtection="0"/>
    <xf numFmtId="0" fontId="107" fillId="33" borderId="0" applyNumberFormat="0" applyBorder="0" applyAlignment="0" applyProtection="0"/>
    <xf numFmtId="0" fontId="107" fillId="36" borderId="0" applyNumberFormat="0" applyBorder="0" applyAlignment="0" applyProtection="0"/>
    <xf numFmtId="0" fontId="108" fillId="36" borderId="0" applyNumberFormat="0" applyBorder="0" applyAlignment="0" applyProtection="0"/>
    <xf numFmtId="0" fontId="107" fillId="39" borderId="0" applyNumberFormat="0" applyBorder="0" applyAlignment="0" applyProtection="0"/>
    <xf numFmtId="0" fontId="107" fillId="33" borderId="0" applyNumberFormat="0" applyBorder="0" applyAlignment="0" applyProtection="0"/>
    <xf numFmtId="0" fontId="108" fillId="34" borderId="0" applyNumberFormat="0" applyBorder="0" applyAlignment="0" applyProtection="0"/>
    <xf numFmtId="0" fontId="107" fillId="35" borderId="0" applyNumberFormat="0" applyBorder="0" applyAlignment="0" applyProtection="0"/>
    <xf numFmtId="0" fontId="107" fillId="40" borderId="0" applyNumberFormat="0" applyBorder="0" applyAlignment="0" applyProtection="0"/>
    <xf numFmtId="0" fontId="108" fillId="40" borderId="0" applyNumberFormat="0" applyBorder="0" applyAlignment="0" applyProtection="0"/>
    <xf numFmtId="0" fontId="109" fillId="0" borderId="0">
      <alignment vertical="center"/>
    </xf>
    <xf numFmtId="44" fontId="110" fillId="0" borderId="0">
      <alignment horizontal="center" vertical="center"/>
      <protection locked="0"/>
    </xf>
    <xf numFmtId="0" fontId="111" fillId="21" borderId="28">
      <alignment horizontal="center"/>
    </xf>
    <xf numFmtId="41" fontId="19" fillId="0" borderId="0" applyFont="0" applyFill="0" applyBorder="0" applyAlignment="0" applyProtection="0"/>
    <xf numFmtId="190" fontId="34" fillId="0" borderId="0" applyFill="0" applyBorder="0" applyProtection="0">
      <alignment horizontal="right" vertical="center"/>
    </xf>
    <xf numFmtId="0" fontId="112" fillId="0" borderId="0" applyNumberFormat="0" applyFill="0" applyBorder="0" applyProtection="0">
      <alignment vertical="center"/>
    </xf>
    <xf numFmtId="0" fontId="34" fillId="0" borderId="0"/>
    <xf numFmtId="9" fontId="21" fillId="0" borderId="0" applyFont="0" applyFill="0" applyBorder="0" applyAlignment="0" applyProtection="0"/>
    <xf numFmtId="9" fontId="99" fillId="0" borderId="0" applyFont="0" applyFill="0" applyBorder="0" applyAlignment="0" applyProtection="0">
      <alignment vertical="center"/>
    </xf>
    <xf numFmtId="9" fontId="11" fillId="0" borderId="0" applyFont="0" applyFill="0" applyBorder="0" applyAlignment="0" applyProtection="0"/>
    <xf numFmtId="9" fontId="16" fillId="0" borderId="0" applyFont="0" applyFill="0" applyBorder="0" applyAlignment="0" applyProtection="0">
      <alignment vertical="center"/>
    </xf>
    <xf numFmtId="9" fontId="16" fillId="0" borderId="0" applyFont="0" applyFill="0" applyBorder="0" applyAlignment="0" applyProtection="0">
      <alignment vertical="center"/>
    </xf>
    <xf numFmtId="0" fontId="113" fillId="0" borderId="0" applyFont="0" applyFill="0" applyBorder="0" applyAlignment="0" applyProtection="0"/>
    <xf numFmtId="0" fontId="113" fillId="0" borderId="0" applyFont="0" applyFill="0" applyBorder="0" applyAlignment="0" applyProtection="0"/>
    <xf numFmtId="0" fontId="114" fillId="0" borderId="0" applyNumberFormat="0" applyFill="0" applyBorder="0" applyAlignment="0" applyProtection="0"/>
    <xf numFmtId="0" fontId="115" fillId="41" borderId="0" applyNumberFormat="0" applyBorder="0" applyAlignment="0" applyProtection="0">
      <alignment vertical="center"/>
    </xf>
    <xf numFmtId="0" fontId="116" fillId="32" borderId="0" applyNumberFormat="0" applyBorder="0" applyAlignment="0" applyProtection="0">
      <alignment vertical="center"/>
    </xf>
    <xf numFmtId="0" fontId="61" fillId="0" borderId="0">
      <alignment vertical="center"/>
    </xf>
    <xf numFmtId="0" fontId="11" fillId="0" borderId="0">
      <protection locked="0"/>
    </xf>
    <xf numFmtId="0" fontId="117" fillId="0" borderId="0"/>
    <xf numFmtId="0" fontId="16" fillId="0" borderId="0"/>
    <xf numFmtId="0" fontId="16" fillId="0" borderId="0">
      <alignment vertical="center"/>
    </xf>
    <xf numFmtId="0" fontId="11" fillId="0" borderId="0"/>
    <xf numFmtId="0" fontId="99" fillId="0" borderId="0">
      <alignment vertical="center"/>
    </xf>
    <xf numFmtId="0" fontId="16" fillId="0" borderId="0"/>
    <xf numFmtId="0" fontId="105" fillId="42" borderId="0" applyNumberFormat="0" applyBorder="0" applyAlignment="0" applyProtection="0">
      <alignment vertical="center"/>
    </xf>
    <xf numFmtId="0" fontId="105" fillId="42" borderId="0" applyNumberFormat="0" applyBorder="0" applyAlignment="0" applyProtection="0">
      <alignment vertical="center"/>
    </xf>
    <xf numFmtId="0" fontId="118" fillId="42" borderId="0" applyNumberFormat="0" applyBorder="0" applyAlignment="0" applyProtection="0">
      <alignment vertical="center"/>
    </xf>
    <xf numFmtId="0" fontId="118" fillId="42" borderId="0" applyNumberFormat="0" applyBorder="0" applyAlignment="0" applyProtection="0">
      <alignment vertical="center"/>
    </xf>
    <xf numFmtId="0" fontId="105" fillId="42" borderId="0" applyNumberFormat="0" applyBorder="0" applyAlignment="0" applyProtection="0">
      <alignment vertical="center"/>
    </xf>
    <xf numFmtId="0" fontId="119" fillId="31" borderId="0" applyNumberFormat="0" applyBorder="0" applyAlignment="0" applyProtection="0">
      <alignment vertical="center"/>
    </xf>
    <xf numFmtId="0" fontId="105" fillId="42" borderId="0" applyNumberFormat="0" applyBorder="0" applyAlignment="0" applyProtection="0">
      <alignment vertical="center"/>
    </xf>
    <xf numFmtId="0" fontId="105" fillId="42" borderId="0" applyNumberFormat="0" applyBorder="0" applyAlignment="0" applyProtection="0">
      <alignment vertical="center"/>
    </xf>
    <xf numFmtId="0" fontId="105" fillId="42" borderId="0" applyNumberFormat="0" applyBorder="0" applyAlignment="0" applyProtection="0">
      <alignment vertical="center"/>
    </xf>
    <xf numFmtId="178" fontId="7" fillId="0" borderId="0" applyFont="0" applyFill="0" applyBorder="0" applyAlignment="0" applyProtection="0"/>
    <xf numFmtId="205" fontId="7" fillId="0" borderId="0" applyFont="0" applyFill="0" applyBorder="0" applyAlignment="0" applyProtection="0"/>
    <xf numFmtId="206" fontId="120" fillId="0" borderId="0" applyFont="0" applyFill="0" applyBorder="0" applyAlignment="0" applyProtection="0"/>
    <xf numFmtId="207" fontId="120" fillId="0" borderId="0" applyFont="0" applyFill="0" applyBorder="0" applyAlignment="0" applyProtection="0"/>
    <xf numFmtId="208" fontId="99" fillId="0" borderId="0" applyFont="0" applyFill="0" applyBorder="0" applyAlignment="0" applyProtection="0">
      <alignment vertical="center"/>
    </xf>
    <xf numFmtId="43" fontId="99"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alignment vertical="center"/>
    </xf>
    <xf numFmtId="43" fontId="61" fillId="0" borderId="0" applyFont="0" applyFill="0" applyBorder="0" applyAlignment="0" applyProtection="0">
      <alignment vertical="center"/>
    </xf>
    <xf numFmtId="43" fontId="117" fillId="0" borderId="0" applyFont="0" applyFill="0" applyBorder="0" applyAlignment="0" applyProtection="0"/>
    <xf numFmtId="41" fontId="99" fillId="0" borderId="0" applyFont="0" applyFill="0" applyBorder="0" applyAlignment="0" applyProtection="0">
      <alignment vertical="center"/>
    </xf>
    <xf numFmtId="0" fontId="121" fillId="0" borderId="0"/>
    <xf numFmtId="0" fontId="122" fillId="43" borderId="0" applyNumberFormat="0" applyBorder="0" applyAlignment="0" applyProtection="0"/>
    <xf numFmtId="0" fontId="122" fillId="44" borderId="0" applyNumberFormat="0" applyBorder="0" applyAlignment="0" applyProtection="0"/>
    <xf numFmtId="0" fontId="122" fillId="45" borderId="0" applyNumberFormat="0" applyBorder="0" applyAlignment="0" applyProtection="0"/>
    <xf numFmtId="0" fontId="123" fillId="0" borderId="0"/>
    <xf numFmtId="40" fontId="113" fillId="0" borderId="0" applyFont="0" applyFill="0" applyBorder="0" applyAlignment="0" applyProtection="0"/>
    <xf numFmtId="38" fontId="113" fillId="0" borderId="0" applyFont="0" applyFill="0" applyBorder="0" applyAlignment="0" applyProtection="0"/>
    <xf numFmtId="0" fontId="21" fillId="0" borderId="0"/>
    <xf numFmtId="187" fontId="11" fillId="0" borderId="0">
      <alignment vertical="center"/>
    </xf>
    <xf numFmtId="187" fontId="3" fillId="0" borderId="0">
      <alignment vertical="center"/>
    </xf>
    <xf numFmtId="0" fontId="11" fillId="0" borderId="0">
      <alignment vertical="center"/>
    </xf>
    <xf numFmtId="0" fontId="16" fillId="0" borderId="0"/>
    <xf numFmtId="187" fontId="11" fillId="0" borderId="0">
      <alignment vertical="center"/>
    </xf>
    <xf numFmtId="187" fontId="2" fillId="0" borderId="0">
      <alignment vertical="center"/>
    </xf>
  </cellStyleXfs>
  <cellXfs count="504">
    <xf numFmtId="0" fontId="0" fillId="0" borderId="0" xfId="0">
      <protection locked="0"/>
    </xf>
    <xf numFmtId="0" fontId="16" fillId="5" borderId="0" xfId="0" applyFont="1" applyFill="1" applyBorder="1" applyAlignment="1">
      <alignment horizontal="justify" vertical="center" wrapText="1"/>
      <protection locked="0"/>
    </xf>
    <xf numFmtId="0" fontId="17" fillId="0" borderId="0" xfId="0" applyFont="1" applyAlignment="1">
      <alignment vertical="center"/>
      <protection locked="0"/>
    </xf>
    <xf numFmtId="0" fontId="0" fillId="0" borderId="0" xfId="0" applyAlignment="1">
      <alignment vertical="center"/>
      <protection locked="0"/>
    </xf>
    <xf numFmtId="0" fontId="24" fillId="0" borderId="0" xfId="0" applyFont="1" applyAlignment="1">
      <alignment vertical="center"/>
      <protection locked="0"/>
    </xf>
    <xf numFmtId="0" fontId="11" fillId="0" borderId="0" xfId="0" applyFont="1" applyAlignment="1">
      <alignment vertical="center"/>
      <protection locked="0"/>
    </xf>
    <xf numFmtId="0" fontId="11" fillId="0" borderId="0" xfId="0" applyFont="1" applyAlignment="1">
      <alignment horizontal="center" vertical="center"/>
      <protection locked="0"/>
    </xf>
    <xf numFmtId="43" fontId="34" fillId="0" borderId="0" xfId="32" applyNumberFormat="1" applyFont="1" applyBorder="1" applyAlignment="1">
      <alignment vertical="center"/>
    </xf>
    <xf numFmtId="49" fontId="34" fillId="0" borderId="0" xfId="32" applyNumberFormat="1" applyFont="1" applyBorder="1" applyAlignment="1">
      <alignment vertical="center"/>
    </xf>
    <xf numFmtId="0" fontId="34" fillId="0" borderId="0" xfId="0" applyFont="1" applyBorder="1" applyAlignment="1">
      <alignment vertical="center"/>
      <protection locked="0"/>
    </xf>
    <xf numFmtId="0" fontId="34" fillId="0" borderId="0" xfId="0" applyFont="1" applyAlignment="1">
      <alignment vertical="center"/>
      <protection locked="0"/>
    </xf>
    <xf numFmtId="0" fontId="34" fillId="0" borderId="0" xfId="33" applyFont="1" applyAlignment="1">
      <alignment vertical="center"/>
    </xf>
    <xf numFmtId="0" fontId="34" fillId="0" borderId="0" xfId="30" applyFont="1">
      <protection locked="0"/>
    </xf>
    <xf numFmtId="0" fontId="34" fillId="0" borderId="3" xfId="0" applyFont="1" applyBorder="1" applyAlignment="1">
      <alignment horizontal="left" vertical="center" wrapText="1"/>
      <protection locked="0"/>
    </xf>
    <xf numFmtId="43" fontId="34" fillId="0" borderId="3" xfId="0" applyNumberFormat="1" applyFont="1" applyBorder="1" applyAlignment="1">
      <alignment horizontal="left" vertical="center" wrapText="1"/>
      <protection locked="0"/>
    </xf>
    <xf numFmtId="43" fontId="40" fillId="0" borderId="3" xfId="0" applyNumberFormat="1" applyFont="1" applyBorder="1" applyAlignment="1">
      <alignment horizontal="right" vertical="center" wrapText="1"/>
      <protection locked="0"/>
    </xf>
    <xf numFmtId="0" fontId="40" fillId="0" borderId="3" xfId="0" applyFont="1" applyBorder="1" applyAlignment="1">
      <alignment horizontal="left" vertical="center" wrapText="1"/>
      <protection locked="0"/>
    </xf>
    <xf numFmtId="43" fontId="40" fillId="0" borderId="3" xfId="0" applyNumberFormat="1" applyFont="1" applyBorder="1" applyAlignment="1">
      <alignment horizontal="left" vertical="center" wrapText="1"/>
      <protection locked="0"/>
    </xf>
    <xf numFmtId="0" fontId="34" fillId="0" borderId="0" xfId="30" applyFont="1" applyBorder="1" applyAlignment="1">
      <alignment vertical="center"/>
      <protection locked="0"/>
    </xf>
    <xf numFmtId="0" fontId="35" fillId="0" borderId="0" xfId="0" applyFont="1" applyAlignment="1">
      <alignment vertical="center"/>
      <protection locked="0"/>
    </xf>
    <xf numFmtId="0" fontId="39" fillId="0" borderId="0" xfId="0" applyFont="1" applyAlignment="1">
      <alignment horizontal="right" vertical="center"/>
      <protection locked="0"/>
    </xf>
    <xf numFmtId="0" fontId="35" fillId="0" borderId="0" xfId="0" applyFont="1" applyAlignment="1">
      <alignment horizontal="right" vertical="center"/>
      <protection locked="0"/>
    </xf>
    <xf numFmtId="0" fontId="34" fillId="0" borderId="0" xfId="0" applyFont="1" applyBorder="1" applyAlignment="1">
      <alignment horizontal="left" vertical="center"/>
      <protection locked="0"/>
    </xf>
    <xf numFmtId="43" fontId="34" fillId="0" borderId="3" xfId="35" applyFont="1" applyBorder="1" applyAlignment="1">
      <alignment horizontal="right" vertical="center" wrapText="1"/>
    </xf>
    <xf numFmtId="0" fontId="34" fillId="0" borderId="0" xfId="28" applyFont="1" applyAlignment="1">
      <alignment vertical="center"/>
      <protection locked="0"/>
    </xf>
    <xf numFmtId="0" fontId="32" fillId="0" borderId="0" xfId="30" applyFont="1">
      <protection locked="0"/>
    </xf>
    <xf numFmtId="0" fontId="34" fillId="0" borderId="0" xfId="28" applyFont="1" applyBorder="1" applyAlignment="1">
      <alignment vertical="center"/>
      <protection locked="0"/>
    </xf>
    <xf numFmtId="0" fontId="16" fillId="0" borderId="0" xfId="28" applyFont="1" applyBorder="1" applyAlignment="1">
      <alignment vertical="center"/>
      <protection locked="0"/>
    </xf>
    <xf numFmtId="0" fontId="34" fillId="0" borderId="15" xfId="28" applyFont="1" applyBorder="1" applyAlignment="1">
      <alignment vertical="center"/>
      <protection locked="0"/>
    </xf>
    <xf numFmtId="0" fontId="35" fillId="0" borderId="0" xfId="28" applyFont="1" applyAlignment="1">
      <alignment vertical="center"/>
      <protection locked="0"/>
    </xf>
    <xf numFmtId="0" fontId="32" fillId="0" borderId="0" xfId="28" applyFont="1" applyAlignment="1">
      <alignment vertical="center"/>
      <protection locked="0"/>
    </xf>
    <xf numFmtId="0" fontId="43" fillId="0" borderId="0" xfId="28" applyFont="1" applyBorder="1" applyAlignment="1">
      <alignment vertical="center"/>
      <protection locked="0"/>
    </xf>
    <xf numFmtId="0" fontId="40" fillId="0" borderId="0" xfId="28" applyFont="1" applyBorder="1" applyAlignment="1">
      <alignment vertical="center"/>
      <protection locked="0"/>
    </xf>
    <xf numFmtId="0" fontId="35" fillId="0" borderId="15" xfId="0" applyFont="1" applyBorder="1" applyAlignment="1">
      <alignment vertical="center"/>
      <protection locked="0"/>
    </xf>
    <xf numFmtId="43" fontId="41" fillId="0" borderId="15" xfId="30" applyNumberFormat="1" applyFont="1" applyBorder="1" applyAlignment="1">
      <alignment vertical="center"/>
      <protection locked="0"/>
    </xf>
    <xf numFmtId="0" fontId="34" fillId="0" borderId="15" xfId="30" applyFont="1" applyBorder="1" applyAlignment="1">
      <alignment vertical="center"/>
      <protection locked="0"/>
    </xf>
    <xf numFmtId="0" fontId="31" fillId="0" borderId="3" xfId="0" applyFont="1" applyBorder="1" applyAlignment="1">
      <alignment horizontal="center" vertical="center" wrapText="1"/>
      <protection locked="0"/>
    </xf>
    <xf numFmtId="0" fontId="44" fillId="0" borderId="0" xfId="0" applyFont="1" applyAlignment="1">
      <alignment vertical="center"/>
      <protection locked="0"/>
    </xf>
    <xf numFmtId="0" fontId="47" fillId="0" borderId="0" xfId="0" applyFont="1" applyAlignment="1">
      <alignment vertical="center"/>
      <protection locked="0"/>
    </xf>
    <xf numFmtId="0" fontId="31" fillId="6" borderId="3" xfId="0" applyFont="1" applyFill="1" applyBorder="1" applyAlignment="1">
      <alignment horizontal="centerContinuous" vertical="center" wrapText="1"/>
      <protection locked="0"/>
    </xf>
    <xf numFmtId="0" fontId="31" fillId="0" borderId="0" xfId="30" applyFont="1" applyFill="1">
      <protection locked="0"/>
    </xf>
    <xf numFmtId="0" fontId="51" fillId="0" borderId="3" xfId="0" applyFont="1" applyBorder="1" applyAlignment="1">
      <alignment horizontal="left" vertical="center" wrapText="1"/>
      <protection locked="0"/>
    </xf>
    <xf numFmtId="0" fontId="34" fillId="0" borderId="0" xfId="0" applyFont="1" applyFill="1" applyBorder="1" applyAlignment="1" applyProtection="1">
      <alignment vertical="center"/>
    </xf>
    <xf numFmtId="0" fontId="57" fillId="6" borderId="5" xfId="0" applyFont="1" applyFill="1" applyBorder="1" applyAlignment="1">
      <alignment horizontal="center" vertical="center"/>
      <protection locked="0"/>
    </xf>
    <xf numFmtId="0" fontId="38" fillId="6" borderId="10" xfId="0" applyFont="1" applyFill="1" applyBorder="1" applyAlignment="1">
      <alignment horizontal="centerContinuous" vertical="center" wrapText="1"/>
      <protection locked="0"/>
    </xf>
    <xf numFmtId="0" fontId="31" fillId="6" borderId="15" xfId="0" applyFont="1" applyFill="1" applyBorder="1" applyAlignment="1">
      <alignment horizontal="centerContinuous" vertical="center" wrapText="1"/>
      <protection locked="0"/>
    </xf>
    <xf numFmtId="43" fontId="38" fillId="6" borderId="15" xfId="0" applyNumberFormat="1" applyFont="1" applyFill="1" applyBorder="1" applyAlignment="1">
      <alignment horizontal="right" vertical="center" wrapText="1"/>
      <protection locked="0"/>
    </xf>
    <xf numFmtId="0" fontId="31" fillId="6" borderId="15" xfId="0" applyFont="1" applyFill="1" applyBorder="1" applyAlignment="1">
      <alignment horizontal="left" vertical="center" wrapText="1"/>
      <protection locked="0"/>
    </xf>
    <xf numFmtId="0" fontId="31" fillId="6" borderId="16" xfId="0" applyFont="1" applyFill="1" applyBorder="1" applyAlignment="1">
      <alignment horizontal="left" vertical="center" wrapText="1"/>
      <protection locked="0"/>
    </xf>
    <xf numFmtId="0" fontId="16" fillId="0" borderId="0" xfId="0" applyFont="1" applyAlignment="1">
      <alignment vertical="center"/>
      <protection locked="0"/>
    </xf>
    <xf numFmtId="0" fontId="32" fillId="0" borderId="0" xfId="0" applyFont="1" applyAlignment="1">
      <alignment vertical="center"/>
      <protection locked="0"/>
    </xf>
    <xf numFmtId="0" fontId="34" fillId="0" borderId="3" xfId="42" applyFont="1" applyBorder="1" applyAlignment="1" applyProtection="1">
      <alignment vertical="center"/>
    </xf>
    <xf numFmtId="190" fontId="34" fillId="0" borderId="3" xfId="42" applyNumberFormat="1" applyFont="1" applyBorder="1" applyAlignment="1" applyProtection="1">
      <alignment vertical="center"/>
    </xf>
    <xf numFmtId="43" fontId="34" fillId="0" borderId="3" xfId="35" applyFont="1" applyBorder="1" applyAlignment="1" applyProtection="1">
      <alignment vertical="center"/>
    </xf>
    <xf numFmtId="190" fontId="31" fillId="6" borderId="3" xfId="42" applyNumberFormat="1" applyFont="1" applyFill="1" applyBorder="1" applyAlignment="1" applyProtection="1">
      <alignment horizontal="centerContinuous" vertical="center"/>
    </xf>
    <xf numFmtId="190" fontId="31" fillId="6" borderId="3" xfId="42" applyNumberFormat="1" applyFont="1" applyFill="1" applyBorder="1" applyAlignment="1" applyProtection="1">
      <alignment horizontal="center" vertical="center"/>
    </xf>
    <xf numFmtId="190" fontId="43" fillId="6" borderId="3" xfId="42" applyNumberFormat="1" applyFont="1" applyFill="1" applyBorder="1" applyAlignment="1" applyProtection="1">
      <alignment horizontal="center" vertical="center" wrapText="1"/>
    </xf>
    <xf numFmtId="0" fontId="33" fillId="0" borderId="0" xfId="0" applyFont="1" applyAlignment="1">
      <alignment horizontal="center" vertical="center"/>
      <protection locked="0"/>
    </xf>
    <xf numFmtId="0" fontId="31" fillId="0" borderId="3" xfId="28" applyFont="1" applyBorder="1" applyAlignment="1">
      <alignment horizontal="center" vertical="center" wrapText="1"/>
      <protection locked="0"/>
    </xf>
    <xf numFmtId="0" fontId="35" fillId="0" borderId="0" xfId="0" applyFont="1" applyBorder="1" applyAlignment="1">
      <alignment vertical="center"/>
      <protection locked="0"/>
    </xf>
    <xf numFmtId="0" fontId="16" fillId="0" borderId="0" xfId="28" applyFont="1" applyAlignment="1">
      <alignment vertical="center"/>
      <protection locked="0"/>
    </xf>
    <xf numFmtId="43" fontId="34" fillId="0" borderId="0" xfId="32" applyNumberFormat="1" applyFont="1" applyBorder="1" applyAlignment="1">
      <alignment horizontal="left" vertical="center"/>
    </xf>
    <xf numFmtId="0" fontId="31" fillId="6" borderId="3" xfId="0" applyFont="1" applyFill="1" applyBorder="1" applyAlignment="1">
      <alignment horizontal="center" vertical="center" wrapText="1"/>
      <protection locked="0"/>
    </xf>
    <xf numFmtId="0" fontId="34" fillId="0" borderId="3" xfId="28" applyFont="1" applyBorder="1" applyAlignment="1">
      <alignment horizontal="left" vertical="center" wrapText="1"/>
      <protection locked="0"/>
    </xf>
    <xf numFmtId="0" fontId="34" fillId="0" borderId="3" xfId="28" applyFont="1" applyBorder="1" applyAlignment="1">
      <alignment horizontal="center" vertical="center" wrapText="1"/>
      <protection locked="0"/>
    </xf>
    <xf numFmtId="0" fontId="25" fillId="0" borderId="0" xfId="0" applyFont="1" applyBorder="1" applyAlignment="1">
      <alignment horizontal="justify" vertical="center" wrapText="1"/>
      <protection locked="0"/>
    </xf>
    <xf numFmtId="0" fontId="18" fillId="0" borderId="0" xfId="0" applyFont="1" applyBorder="1" applyAlignment="1">
      <alignment horizontal="justify" vertical="center" wrapText="1"/>
      <protection locked="0"/>
    </xf>
    <xf numFmtId="0" fontId="24" fillId="0" borderId="0" xfId="0" applyFont="1" applyBorder="1" applyAlignment="1">
      <alignment vertical="center"/>
      <protection locked="0"/>
    </xf>
    <xf numFmtId="0" fontId="26" fillId="0" borderId="0" xfId="0" applyFont="1" applyBorder="1" applyAlignment="1">
      <alignment horizontal="justify" vertical="center" wrapText="1"/>
      <protection locked="0"/>
    </xf>
    <xf numFmtId="0" fontId="0" fillId="0" borderId="0" xfId="0" applyBorder="1" applyAlignment="1">
      <alignment vertical="center"/>
      <protection locked="0"/>
    </xf>
    <xf numFmtId="0" fontId="20" fillId="0" borderId="0" xfId="0" applyFont="1" applyAlignment="1">
      <alignment horizontal="center" vertical="center"/>
      <protection locked="0"/>
    </xf>
    <xf numFmtId="0" fontId="64" fillId="0" borderId="0" xfId="0" applyFont="1" applyAlignment="1">
      <alignment vertical="center"/>
      <protection locked="0"/>
    </xf>
    <xf numFmtId="0" fontId="43" fillId="0" borderId="0" xfId="0" applyFont="1" applyAlignment="1">
      <alignment vertical="center"/>
      <protection locked="0"/>
    </xf>
    <xf numFmtId="0" fontId="38" fillId="0" borderId="0" xfId="0" applyFont="1" applyFill="1" applyAlignment="1" applyProtection="1">
      <alignment vertical="center"/>
    </xf>
    <xf numFmtId="0" fontId="103" fillId="0" borderId="0" xfId="0" applyFont="1" applyFill="1" applyAlignment="1" applyProtection="1">
      <alignment horizontal="center"/>
    </xf>
    <xf numFmtId="0" fontId="34" fillId="0" borderId="0" xfId="0" applyFont="1" applyFill="1" applyAlignment="1" applyProtection="1">
      <alignment vertical="center"/>
    </xf>
    <xf numFmtId="0" fontId="31" fillId="0" borderId="0" xfId="0" applyFont="1" applyBorder="1" applyAlignment="1">
      <alignment vertical="center"/>
      <protection locked="0"/>
    </xf>
    <xf numFmtId="0" fontId="31" fillId="0" borderId="0" xfId="28" applyFont="1" applyBorder="1" applyAlignment="1">
      <alignment vertical="center"/>
      <protection locked="0"/>
    </xf>
    <xf numFmtId="0" fontId="34" fillId="0" borderId="0" xfId="28" applyFont="1" applyBorder="1" applyAlignment="1">
      <alignment horizontal="right" vertical="center"/>
      <protection locked="0"/>
    </xf>
    <xf numFmtId="0" fontId="31" fillId="6" borderId="7" xfId="28" applyFont="1" applyFill="1" applyBorder="1" applyAlignment="1">
      <alignment horizontal="centerContinuous" vertical="center" wrapText="1"/>
      <protection locked="0"/>
    </xf>
    <xf numFmtId="0" fontId="31" fillId="6" borderId="5" xfId="28" applyFont="1" applyFill="1" applyBorder="1" applyAlignment="1">
      <alignment horizontal="centerContinuous" vertical="center" wrapText="1"/>
      <protection locked="0"/>
    </xf>
    <xf numFmtId="0" fontId="31" fillId="6" borderId="6" xfId="28" applyFont="1" applyFill="1" applyBorder="1" applyAlignment="1">
      <alignment horizontal="centerContinuous" vertical="center" wrapText="1"/>
      <protection locked="0"/>
    </xf>
    <xf numFmtId="0" fontId="31" fillId="6" borderId="3" xfId="28" applyFont="1" applyFill="1" applyBorder="1" applyAlignment="1">
      <alignment horizontal="center" vertical="center" wrapText="1"/>
      <protection locked="0"/>
    </xf>
    <xf numFmtId="0" fontId="38" fillId="0" borderId="0" xfId="28" applyFont="1" applyBorder="1" applyAlignment="1">
      <alignment vertical="center"/>
      <protection locked="0"/>
    </xf>
    <xf numFmtId="0" fontId="31" fillId="6" borderId="3" xfId="28" applyFont="1" applyFill="1" applyBorder="1" applyAlignment="1">
      <alignment horizontal="centerContinuous" vertical="center" wrapText="1"/>
      <protection locked="0"/>
    </xf>
    <xf numFmtId="14" fontId="34" fillId="0" borderId="0" xfId="0" applyNumberFormat="1" applyFont="1" applyAlignment="1">
      <alignment vertical="center"/>
      <protection locked="0"/>
    </xf>
    <xf numFmtId="0" fontId="31" fillId="0" borderId="15" xfId="0" applyFont="1" applyBorder="1" applyAlignment="1">
      <alignment vertical="center"/>
      <protection locked="0"/>
    </xf>
    <xf numFmtId="0" fontId="34" fillId="0" borderId="0" xfId="0" applyFont="1" applyBorder="1" applyAlignment="1">
      <alignment horizontal="right" vertical="center"/>
      <protection locked="0"/>
    </xf>
    <xf numFmtId="0" fontId="34" fillId="0" borderId="0" xfId="29" applyFont="1" applyBorder="1" applyAlignment="1">
      <alignment vertical="center" wrapText="1"/>
    </xf>
    <xf numFmtId="0" fontId="32" fillId="0" borderId="0" xfId="29" applyFont="1" applyBorder="1" applyAlignment="1">
      <alignment vertical="center" wrapText="1"/>
    </xf>
    <xf numFmtId="0" fontId="34" fillId="0" borderId="0" xfId="0" applyFont="1" applyBorder="1" applyAlignment="1">
      <alignment vertical="center" wrapText="1"/>
      <protection locked="0"/>
    </xf>
    <xf numFmtId="0" fontId="31" fillId="0" borderId="0" xfId="0" applyFont="1" applyBorder="1" applyAlignment="1">
      <alignment horizontal="left" vertical="center"/>
      <protection locked="0"/>
    </xf>
    <xf numFmtId="0" fontId="31" fillId="0" borderId="0" xfId="0" applyFont="1" applyBorder="1" applyAlignment="1">
      <alignment horizontal="left" vertical="center" wrapText="1"/>
      <protection locked="0"/>
    </xf>
    <xf numFmtId="0" fontId="31" fillId="0" borderId="0" xfId="0" applyFont="1" applyBorder="1" applyAlignment="1">
      <alignment vertical="center" wrapText="1"/>
      <protection locked="0"/>
    </xf>
    <xf numFmtId="0" fontId="31" fillId="0" borderId="0" xfId="0" applyFont="1" applyBorder="1" applyAlignment="1">
      <alignment horizontal="center" vertical="center" wrapText="1"/>
      <protection locked="0"/>
    </xf>
    <xf numFmtId="0" fontId="39" fillId="0" borderId="0" xfId="0" applyFont="1" applyBorder="1" applyAlignment="1">
      <alignment horizontal="right" vertical="center"/>
      <protection locked="0"/>
    </xf>
    <xf numFmtId="0" fontId="35" fillId="0" borderId="0" xfId="0" applyFont="1" applyBorder="1" applyAlignment="1">
      <alignment horizontal="right" vertical="center"/>
      <protection locked="0"/>
    </xf>
    <xf numFmtId="0" fontId="31" fillId="0" borderId="0" xfId="28" applyFont="1" applyBorder="1" applyAlignment="1">
      <alignment vertical="center" wrapText="1"/>
      <protection locked="0"/>
    </xf>
    <xf numFmtId="0" fontId="35" fillId="0" borderId="0" xfId="28" applyFont="1" applyBorder="1" applyAlignment="1">
      <alignment vertical="center"/>
      <protection locked="0"/>
    </xf>
    <xf numFmtId="14" fontId="34" fillId="0" borderId="0" xfId="28" applyNumberFormat="1" applyFont="1" applyBorder="1" applyAlignment="1">
      <alignment vertical="center"/>
      <protection locked="0"/>
    </xf>
    <xf numFmtId="0" fontId="31" fillId="0" borderId="15" xfId="28" applyFont="1" applyBorder="1" applyAlignment="1">
      <alignment vertical="center"/>
      <protection locked="0"/>
    </xf>
    <xf numFmtId="0" fontId="40" fillId="0" borderId="3" xfId="0" applyFont="1" applyFill="1" applyBorder="1" applyAlignment="1" applyProtection="1">
      <alignment vertical="center"/>
    </xf>
    <xf numFmtId="0" fontId="40" fillId="0" borderId="3" xfId="0" applyFont="1" applyFill="1" applyBorder="1" applyAlignment="1" applyProtection="1">
      <alignment horizontal="left" vertical="center"/>
    </xf>
    <xf numFmtId="0" fontId="54" fillId="0" borderId="0" xfId="0" applyFont="1" applyBorder="1" applyAlignment="1">
      <alignment vertical="center"/>
      <protection locked="0"/>
    </xf>
    <xf numFmtId="0" fontId="24" fillId="0" borderId="2" xfId="0" applyFont="1" applyBorder="1" applyAlignment="1">
      <alignment horizontal="center" vertical="center" wrapText="1"/>
      <protection locked="0"/>
    </xf>
    <xf numFmtId="0" fontId="34" fillId="0" borderId="0" xfId="28" applyFont="1" applyBorder="1" applyAlignment="1">
      <alignment vertical="center" wrapText="1"/>
      <protection locked="0"/>
    </xf>
    <xf numFmtId="0" fontId="34" fillId="0" borderId="0" xfId="382" applyFont="1" applyBorder="1" applyAlignment="1">
      <alignment vertical="center"/>
    </xf>
    <xf numFmtId="43" fontId="40" fillId="0" borderId="3" xfId="35" applyFont="1" applyFill="1" applyBorder="1" applyAlignment="1">
      <alignment horizontal="right" vertical="center"/>
    </xf>
    <xf numFmtId="187" fontId="55" fillId="0" borderId="0" xfId="384" applyFont="1" applyFill="1">
      <alignment vertical="center"/>
    </xf>
    <xf numFmtId="187" fontId="59" fillId="0" borderId="0" xfId="384" applyFont="1" applyFill="1">
      <alignment vertical="center"/>
    </xf>
    <xf numFmtId="187" fontId="34" fillId="0" borderId="0" xfId="384" applyFont="1" applyFill="1" applyBorder="1" applyAlignment="1" applyProtection="1">
      <alignment vertical="center"/>
      <protection locked="0"/>
    </xf>
    <xf numFmtId="0" fontId="34" fillId="0" borderId="0" xfId="42" applyFont="1" applyFill="1" applyBorder="1" applyAlignment="1">
      <alignment horizontal="left" vertical="center"/>
      <protection locked="0"/>
    </xf>
    <xf numFmtId="187" fontId="34" fillId="0" borderId="0" xfId="384" applyFont="1" applyFill="1" applyAlignment="1" applyProtection="1">
      <alignment vertical="center"/>
      <protection locked="0"/>
    </xf>
    <xf numFmtId="187" fontId="34" fillId="0" borderId="0" xfId="384" applyFont="1" applyFill="1" applyBorder="1" applyAlignment="1" applyProtection="1">
      <alignment vertical="center" wrapText="1"/>
      <protection locked="0"/>
    </xf>
    <xf numFmtId="187" fontId="16" fillId="0" borderId="0" xfId="384" applyFont="1" applyFill="1" applyBorder="1" applyAlignment="1" applyProtection="1">
      <alignment vertical="center"/>
      <protection locked="0"/>
    </xf>
    <xf numFmtId="187" fontId="57" fillId="0" borderId="0" xfId="384" applyFont="1" applyFill="1" applyAlignment="1" applyProtection="1">
      <alignment horizontal="center" vertical="center"/>
      <protection locked="0"/>
    </xf>
    <xf numFmtId="187" fontId="7" fillId="0" borderId="0" xfId="384" applyFont="1" applyFill="1" applyAlignment="1" applyProtection="1">
      <alignment vertical="center"/>
      <protection locked="0"/>
    </xf>
    <xf numFmtId="187" fontId="127" fillId="46" borderId="0" xfId="384" applyFont="1" applyFill="1" applyAlignment="1" applyProtection="1">
      <alignment horizontal="center" vertical="center"/>
      <protection locked="0"/>
    </xf>
    <xf numFmtId="187" fontId="127" fillId="46" borderId="0" xfId="384" applyFont="1" applyFill="1" applyAlignment="1" applyProtection="1">
      <alignment horizontal="left" vertical="center"/>
      <protection locked="0"/>
    </xf>
    <xf numFmtId="187" fontId="62" fillId="0" borderId="3" xfId="384" applyFont="1" applyFill="1" applyBorder="1" applyAlignment="1">
      <alignment horizontal="center" vertical="center" wrapText="1"/>
    </xf>
    <xf numFmtId="187" fontId="55" fillId="0" borderId="3" xfId="384" applyFont="1" applyFill="1" applyBorder="1" applyAlignment="1">
      <alignment horizontal="center" vertical="center" wrapText="1"/>
    </xf>
    <xf numFmtId="0" fontId="43" fillId="0" borderId="0" xfId="0" applyFont="1" applyFill="1" applyBorder="1" applyAlignment="1" applyProtection="1">
      <alignment vertical="center"/>
      <protection locked="0"/>
    </xf>
    <xf numFmtId="0" fontId="45" fillId="6" borderId="3" xfId="38" applyFont="1" applyFill="1" applyBorder="1" applyAlignment="1" applyProtection="1">
      <alignment vertical="center"/>
    </xf>
    <xf numFmtId="0" fontId="43" fillId="6" borderId="3" xfId="350" applyFont="1" applyFill="1" applyBorder="1" applyAlignment="1" applyProtection="1">
      <alignment horizontal="center" vertical="center" wrapText="1"/>
      <protection locked="0"/>
    </xf>
    <xf numFmtId="0" fontId="128" fillId="6" borderId="3" xfId="350" applyFont="1" applyFill="1" applyBorder="1" applyAlignment="1" applyProtection="1">
      <alignment horizontal="center" vertical="center" wrapText="1"/>
      <protection locked="0"/>
    </xf>
    <xf numFmtId="0" fontId="61" fillId="0" borderId="3" xfId="38" applyFont="1" applyFill="1" applyBorder="1" applyAlignment="1" applyProtection="1">
      <alignment vertical="center"/>
    </xf>
    <xf numFmtId="43" fontId="31" fillId="0" borderId="15" xfId="32" applyNumberFormat="1" applyFont="1" applyBorder="1" applyAlignment="1">
      <alignment horizontal="left" vertical="center"/>
    </xf>
    <xf numFmtId="43" fontId="34" fillId="0" borderId="15" xfId="32" applyNumberFormat="1" applyFont="1" applyBorder="1" applyAlignment="1">
      <alignment horizontal="left" vertical="center"/>
    </xf>
    <xf numFmtId="43" fontId="60" fillId="0" borderId="15" xfId="179" applyNumberFormat="1" applyFont="1" applyBorder="1" applyAlignment="1" applyProtection="1">
      <alignment horizontal="center" vertical="center"/>
    </xf>
    <xf numFmtId="0" fontId="31" fillId="0" borderId="0" xfId="382" applyFont="1" applyBorder="1" applyAlignment="1">
      <alignment vertical="center"/>
    </xf>
    <xf numFmtId="0" fontId="50" fillId="0" borderId="0" xfId="38" applyProtection="1">
      <protection locked="0"/>
    </xf>
    <xf numFmtId="0" fontId="16" fillId="5" borderId="0" xfId="0" applyFont="1" applyFill="1" applyBorder="1" applyAlignment="1" applyProtection="1">
      <alignment horizontal="justify" vertical="center" wrapText="1"/>
      <protection locked="0"/>
    </xf>
    <xf numFmtId="0" fontId="131" fillId="0" borderId="0" xfId="0" applyFont="1" applyAlignment="1">
      <alignment vertical="center"/>
      <protection locked="0"/>
    </xf>
    <xf numFmtId="0" fontId="112" fillId="0" borderId="0" xfId="0" applyFont="1" applyAlignment="1">
      <alignment vertical="center"/>
      <protection locked="0"/>
    </xf>
    <xf numFmtId="0" fontId="132" fillId="0" borderId="14" xfId="0" applyFont="1" applyBorder="1" applyAlignment="1">
      <alignment vertical="center" wrapText="1"/>
      <protection locked="0"/>
    </xf>
    <xf numFmtId="0" fontId="130" fillId="0" borderId="14" xfId="0" applyFont="1" applyBorder="1" applyAlignment="1">
      <alignment horizontal="justify" vertical="center" wrapText="1"/>
      <protection locked="0"/>
    </xf>
    <xf numFmtId="0" fontId="112" fillId="0" borderId="0" xfId="35" applyNumberFormat="1" applyFont="1" applyAlignment="1" applyProtection="1">
      <alignment horizontal="justify" vertical="center" wrapText="1"/>
      <protection locked="0"/>
    </xf>
    <xf numFmtId="43" fontId="112" fillId="0" borderId="0" xfId="35" applyFont="1" applyAlignment="1" applyProtection="1">
      <alignment horizontal="right" vertical="center" wrapText="1"/>
      <protection locked="0"/>
    </xf>
    <xf numFmtId="0" fontId="130" fillId="0" borderId="14" xfId="0" applyFont="1" applyBorder="1" applyAlignment="1">
      <alignment horizontal="right" vertical="center" wrapText="1"/>
      <protection locked="0"/>
    </xf>
    <xf numFmtId="0" fontId="133" fillId="0" borderId="0" xfId="0" applyFont="1" applyAlignment="1">
      <alignment horizontal="justify" vertical="center" wrapText="1"/>
      <protection locked="0"/>
    </xf>
    <xf numFmtId="0" fontId="104" fillId="0" borderId="0" xfId="0" applyFont="1" applyAlignment="1">
      <alignment horizontal="justify" vertical="center" wrapText="1"/>
      <protection locked="0"/>
    </xf>
    <xf numFmtId="0" fontId="112" fillId="0" borderId="0" xfId="0" applyFont="1" applyAlignment="1">
      <alignment horizontal="left" vertical="center"/>
      <protection locked="0"/>
    </xf>
    <xf numFmtId="0" fontId="130" fillId="0" borderId="14" xfId="0" applyFont="1" applyBorder="1" applyAlignment="1">
      <alignment horizontal="left" vertical="center" wrapText="1"/>
      <protection locked="0"/>
    </xf>
    <xf numFmtId="43" fontId="104" fillId="0" borderId="12" xfId="35" applyFont="1" applyBorder="1" applyAlignment="1" applyProtection="1">
      <alignment horizontal="justify" vertical="center" wrapText="1"/>
      <protection locked="0"/>
    </xf>
    <xf numFmtId="43" fontId="104" fillId="0" borderId="12" xfId="35" applyFont="1" applyBorder="1" applyAlignment="1" applyProtection="1">
      <alignment horizontal="left" vertical="center" wrapText="1"/>
      <protection locked="0"/>
    </xf>
    <xf numFmtId="43" fontId="104" fillId="0" borderId="0" xfId="35" applyFont="1" applyBorder="1" applyAlignment="1" applyProtection="1">
      <alignment horizontal="justify" vertical="center" wrapText="1"/>
      <protection locked="0"/>
    </xf>
    <xf numFmtId="43" fontId="104" fillId="0" borderId="0" xfId="35" applyFont="1" applyBorder="1" applyAlignment="1" applyProtection="1">
      <alignment horizontal="left" vertical="center" wrapText="1"/>
      <protection locked="0"/>
    </xf>
    <xf numFmtId="43" fontId="104" fillId="0" borderId="13" xfId="35" applyFont="1" applyBorder="1" applyAlignment="1" applyProtection="1">
      <alignment horizontal="justify" vertical="center" wrapText="1"/>
      <protection locked="0"/>
    </xf>
    <xf numFmtId="43" fontId="104" fillId="0" borderId="13" xfId="35" applyFont="1" applyBorder="1" applyAlignment="1" applyProtection="1">
      <alignment horizontal="left" vertical="center" wrapText="1"/>
      <protection locked="0"/>
    </xf>
    <xf numFmtId="0" fontId="130" fillId="0" borderId="13" xfId="0" applyFont="1" applyBorder="1" applyAlignment="1">
      <alignment horizontal="left" vertical="center" wrapText="1"/>
      <protection locked="0"/>
    </xf>
    <xf numFmtId="0" fontId="132" fillId="0" borderId="14" xfId="0" applyFont="1" applyBorder="1" applyAlignment="1">
      <alignment horizontal="center" vertical="center" wrapText="1"/>
      <protection locked="0"/>
    </xf>
    <xf numFmtId="0" fontId="112" fillId="0" borderId="14" xfId="0" applyFont="1" applyBorder="1" applyAlignment="1">
      <alignment horizontal="center" vertical="center"/>
      <protection locked="0"/>
    </xf>
    <xf numFmtId="0" fontId="130" fillId="0" borderId="14" xfId="0" applyFont="1" applyBorder="1" applyAlignment="1">
      <alignment horizontal="center" vertical="center" wrapText="1"/>
      <protection locked="0"/>
    </xf>
    <xf numFmtId="0" fontId="130" fillId="0" borderId="13" xfId="0" applyFont="1" applyBorder="1" applyAlignment="1">
      <alignment horizontal="center" vertical="center" wrapText="1"/>
      <protection locked="0"/>
    </xf>
    <xf numFmtId="187" fontId="66" fillId="46" borderId="0" xfId="384" applyFont="1" applyFill="1" applyAlignment="1" applyProtection="1">
      <alignment horizontal="left" vertical="center"/>
      <protection locked="0"/>
    </xf>
    <xf numFmtId="0" fontId="31" fillId="6" borderId="3" xfId="0" applyFont="1" applyFill="1" applyBorder="1" applyAlignment="1">
      <alignment horizontal="center" vertical="center" wrapText="1"/>
      <protection locked="0"/>
    </xf>
    <xf numFmtId="0" fontId="31" fillId="6" borderId="3" xfId="28" applyFont="1" applyFill="1" applyBorder="1" applyAlignment="1">
      <alignment horizontal="center" vertical="center" wrapText="1"/>
      <protection locked="0"/>
    </xf>
    <xf numFmtId="0" fontId="34" fillId="0" borderId="0" xfId="176" applyFont="1" applyFill="1" applyBorder="1" applyAlignment="1" applyProtection="1">
      <alignment vertical="center"/>
      <protection locked="0"/>
    </xf>
    <xf numFmtId="0" fontId="34" fillId="0" borderId="0" xfId="176" applyFont="1" applyFill="1" applyAlignment="1" applyProtection="1">
      <alignment vertical="center"/>
      <protection locked="0"/>
    </xf>
    <xf numFmtId="0" fontId="126" fillId="0" borderId="0" xfId="176" applyFont="1" applyProtection="1">
      <alignment vertical="center"/>
    </xf>
    <xf numFmtId="49" fontId="43" fillId="0" borderId="0" xfId="351" applyNumberFormat="1" applyFont="1" applyFill="1" applyAlignment="1" applyProtection="1">
      <alignment horizontal="left" vertical="center"/>
      <protection locked="0"/>
    </xf>
    <xf numFmtId="0" fontId="31" fillId="0" borderId="0" xfId="176" applyFont="1" applyFill="1" applyAlignment="1" applyProtection="1">
      <alignment horizontal="justify" vertical="center"/>
      <protection locked="0"/>
    </xf>
    <xf numFmtId="0" fontId="7" fillId="0" borderId="30" xfId="351" applyFont="1" applyFill="1" applyBorder="1" applyAlignment="1" applyProtection="1">
      <alignment horizontal="center" vertical="center" wrapText="1"/>
      <protection locked="0"/>
    </xf>
    <xf numFmtId="187" fontId="127" fillId="0" borderId="0" xfId="384" applyFont="1" applyFill="1" applyAlignment="1" applyProtection="1">
      <alignment horizontal="left" vertical="center"/>
      <protection locked="0"/>
    </xf>
    <xf numFmtId="187" fontId="127" fillId="0" borderId="0" xfId="384" applyFont="1" applyFill="1" applyAlignment="1" applyProtection="1">
      <alignment horizontal="center" vertical="center"/>
      <protection locked="0"/>
    </xf>
    <xf numFmtId="0" fontId="62" fillId="0" borderId="3" xfId="176" applyFont="1" applyFill="1" applyBorder="1" applyAlignment="1" applyProtection="1">
      <alignment vertical="center" wrapText="1"/>
    </xf>
    <xf numFmtId="0" fontId="55" fillId="0" borderId="3" xfId="351" applyFont="1" applyFill="1" applyBorder="1" applyAlignment="1">
      <alignment vertical="center" wrapText="1"/>
    </xf>
    <xf numFmtId="0" fontId="55" fillId="0" borderId="3" xfId="176" applyFont="1" applyFill="1" applyBorder="1" applyAlignment="1" applyProtection="1">
      <alignment vertical="center" wrapText="1"/>
    </xf>
    <xf numFmtId="187" fontId="66" fillId="0" borderId="0" xfId="384" applyFont="1" applyFill="1" applyAlignment="1" applyProtection="1">
      <alignment horizontal="left" vertical="center"/>
      <protection locked="0"/>
    </xf>
    <xf numFmtId="0" fontId="43" fillId="0" borderId="0" xfId="28" applyFont="1" applyAlignment="1">
      <alignment vertical="center"/>
      <protection locked="0"/>
    </xf>
    <xf numFmtId="0" fontId="45" fillId="0" borderId="0" xfId="28" applyFont="1" applyBorder="1" applyAlignment="1">
      <alignment vertical="center"/>
      <protection locked="0"/>
    </xf>
    <xf numFmtId="0" fontId="16" fillId="0" borderId="0" xfId="28" applyFont="1" applyAlignment="1">
      <alignment vertical="center" wrapText="1"/>
      <protection locked="0"/>
    </xf>
    <xf numFmtId="49" fontId="34" fillId="0" borderId="3" xfId="384" applyNumberFormat="1" applyFont="1" applyFill="1" applyBorder="1" applyAlignment="1" applyProtection="1">
      <alignment horizontal="center" vertical="center"/>
      <protection locked="0"/>
    </xf>
    <xf numFmtId="187" fontId="55" fillId="0" borderId="3" xfId="384" applyFont="1" applyFill="1" applyBorder="1" applyAlignment="1">
      <alignment vertical="center" wrapText="1"/>
    </xf>
    <xf numFmtId="0" fontId="62" fillId="0" borderId="3" xfId="351" applyFont="1" applyFill="1" applyBorder="1" applyAlignment="1">
      <alignment horizontal="center" vertical="center" wrapText="1"/>
    </xf>
    <xf numFmtId="0" fontId="55" fillId="0" borderId="3" xfId="351" applyFont="1" applyFill="1" applyBorder="1" applyAlignment="1">
      <alignment horizontal="center" vertical="center" wrapText="1"/>
    </xf>
    <xf numFmtId="0" fontId="65" fillId="0" borderId="3" xfId="351" applyFont="1" applyFill="1" applyBorder="1" applyAlignment="1">
      <alignment horizontal="center" vertical="center" wrapText="1"/>
    </xf>
    <xf numFmtId="187" fontId="62" fillId="0" borderId="3" xfId="384" applyFont="1" applyFill="1" applyBorder="1" applyAlignment="1">
      <alignment vertical="center" wrapText="1"/>
    </xf>
    <xf numFmtId="187" fontId="58" fillId="46" borderId="0" xfId="384" applyFont="1" applyFill="1" applyAlignment="1" applyProtection="1">
      <alignment horizontal="left" vertical="center"/>
      <protection locked="0"/>
    </xf>
    <xf numFmtId="43" fontId="130" fillId="0" borderId="0" xfId="32" applyNumberFormat="1" applyFont="1" applyBorder="1" applyAlignment="1">
      <alignment vertical="center"/>
    </xf>
    <xf numFmtId="49" fontId="112" fillId="0" borderId="0" xfId="32" applyNumberFormat="1" applyFont="1" applyBorder="1" applyAlignment="1">
      <alignment vertical="center"/>
    </xf>
    <xf numFmtId="43" fontId="112" fillId="0" borderId="0" xfId="32" applyNumberFormat="1" applyFont="1" applyBorder="1" applyAlignment="1">
      <alignment vertical="center"/>
    </xf>
    <xf numFmtId="49" fontId="112" fillId="0" borderId="0" xfId="32" applyNumberFormat="1" applyFont="1" applyBorder="1" applyAlignment="1">
      <alignment horizontal="center" vertical="center"/>
    </xf>
    <xf numFmtId="187" fontId="130" fillId="6" borderId="3" xfId="41" applyFont="1" applyFill="1" applyBorder="1" applyAlignment="1" applyProtection="1">
      <alignment horizontal="center" vertical="center" wrapText="1"/>
      <protection locked="0"/>
    </xf>
    <xf numFmtId="187" fontId="130" fillId="6" borderId="3" xfId="42" applyNumberFormat="1" applyFont="1" applyFill="1" applyBorder="1" applyAlignment="1" applyProtection="1">
      <alignment horizontal="center" vertical="center"/>
      <protection locked="0"/>
    </xf>
    <xf numFmtId="187" fontId="134" fillId="6" borderId="3" xfId="42" applyNumberFormat="1" applyFont="1" applyFill="1" applyBorder="1" applyAlignment="1" applyProtection="1">
      <alignment horizontal="center" vertical="center" wrapText="1"/>
      <protection locked="0"/>
    </xf>
    <xf numFmtId="0" fontId="135" fillId="0" borderId="3" xfId="0" applyFont="1" applyFill="1" applyBorder="1" applyAlignment="1" applyProtection="1">
      <alignment vertical="center"/>
    </xf>
    <xf numFmtId="43" fontId="130" fillId="0" borderId="0" xfId="32" applyNumberFormat="1" applyFont="1" applyFill="1" applyBorder="1" applyAlignment="1">
      <alignment vertical="center"/>
    </xf>
    <xf numFmtId="43" fontId="130" fillId="47" borderId="0" xfId="32" applyNumberFormat="1" applyFont="1" applyFill="1" applyBorder="1" applyAlignment="1">
      <alignment vertical="center"/>
    </xf>
    <xf numFmtId="0" fontId="130" fillId="0" borderId="0" xfId="0" applyFont="1" applyAlignment="1">
      <alignment vertical="center"/>
      <protection locked="0"/>
    </xf>
    <xf numFmtId="0" fontId="112" fillId="0" borderId="0" xfId="382" applyFont="1" applyBorder="1" applyAlignment="1">
      <alignment vertical="center"/>
    </xf>
    <xf numFmtId="43" fontId="40" fillId="6" borderId="3" xfId="35" applyFont="1" applyFill="1" applyBorder="1" applyAlignment="1">
      <alignment horizontal="right" vertical="center"/>
    </xf>
    <xf numFmtId="43" fontId="34" fillId="6" borderId="3" xfId="35" applyFont="1" applyFill="1" applyBorder="1" applyAlignment="1">
      <alignment horizontal="right" vertical="center" wrapText="1"/>
    </xf>
    <xf numFmtId="10" fontId="34" fillId="6" borderId="3" xfId="27" applyNumberFormat="1" applyFont="1" applyFill="1" applyBorder="1" applyAlignment="1">
      <alignment horizontal="right" vertical="center" wrapText="1"/>
    </xf>
    <xf numFmtId="43" fontId="38" fillId="6" borderId="3" xfId="35" applyFont="1" applyFill="1" applyBorder="1" applyAlignment="1">
      <alignment horizontal="right" vertical="center"/>
    </xf>
    <xf numFmtId="10" fontId="31" fillId="6" borderId="3" xfId="27" applyNumberFormat="1" applyFont="1" applyFill="1" applyBorder="1" applyAlignment="1">
      <alignment horizontal="right" vertical="center" wrapText="1"/>
    </xf>
    <xf numFmtId="43" fontId="112" fillId="0" borderId="3" xfId="35" applyFont="1" applyFill="1" applyBorder="1" applyAlignment="1">
      <alignment horizontal="right" vertical="center" wrapText="1"/>
    </xf>
    <xf numFmtId="43" fontId="134" fillId="0" borderId="3" xfId="35" applyFont="1" applyFill="1" applyBorder="1" applyAlignment="1">
      <alignment horizontal="right" vertical="center"/>
    </xf>
    <xf numFmtId="0" fontId="134" fillId="6" borderId="3" xfId="0" applyFont="1" applyFill="1" applyBorder="1" applyAlignment="1" applyProtection="1">
      <alignment horizontal="center" vertical="center"/>
    </xf>
    <xf numFmtId="43" fontId="31" fillId="0" borderId="0" xfId="35" applyFont="1" applyFill="1" applyBorder="1" applyAlignment="1">
      <alignment vertical="center"/>
    </xf>
    <xf numFmtId="0" fontId="31" fillId="0" borderId="14" xfId="0" applyFont="1" applyBorder="1" applyAlignment="1">
      <alignment horizontal="right" vertical="center" wrapText="1"/>
      <protection locked="0"/>
    </xf>
    <xf numFmtId="43" fontId="31" fillId="0" borderId="14" xfId="0" applyNumberFormat="1" applyFont="1" applyBorder="1" applyAlignment="1">
      <alignment vertical="center"/>
      <protection locked="0"/>
    </xf>
    <xf numFmtId="43" fontId="34" fillId="0" borderId="0" xfId="35" applyFont="1" applyAlignment="1" applyProtection="1">
      <alignment horizontal="right" vertical="center" wrapText="1"/>
      <protection locked="0"/>
    </xf>
    <xf numFmtId="43" fontId="52" fillId="0" borderId="12" xfId="35" applyFont="1" applyBorder="1" applyAlignment="1" applyProtection="1">
      <alignment horizontal="right" vertical="center" wrapText="1"/>
      <protection locked="0"/>
    </xf>
    <xf numFmtId="43" fontId="52" fillId="0" borderId="0" xfId="35" applyFont="1" applyBorder="1" applyAlignment="1" applyProtection="1">
      <alignment horizontal="right" vertical="center" wrapText="1"/>
      <protection locked="0"/>
    </xf>
    <xf numFmtId="43" fontId="52" fillId="0" borderId="13" xfId="35" applyFont="1" applyBorder="1" applyAlignment="1" applyProtection="1">
      <alignment horizontal="right" vertical="center" wrapText="1"/>
      <protection locked="0"/>
    </xf>
    <xf numFmtId="43" fontId="31" fillId="0" borderId="13" xfId="35" applyFont="1" applyBorder="1" applyAlignment="1" applyProtection="1">
      <alignment horizontal="right" vertical="center" wrapText="1"/>
      <protection locked="0"/>
    </xf>
    <xf numFmtId="0" fontId="34" fillId="0" borderId="12" xfId="0" applyFont="1" applyBorder="1" applyAlignment="1">
      <alignment horizontal="justify" vertical="center" wrapText="1"/>
      <protection locked="0"/>
    </xf>
    <xf numFmtId="0" fontId="138" fillId="0" borderId="12" xfId="0" applyFont="1" applyBorder="1" applyAlignment="1">
      <alignment vertical="center" wrapText="1"/>
      <protection locked="0"/>
    </xf>
    <xf numFmtId="0" fontId="34" fillId="0" borderId="0" xfId="0" applyFont="1" applyAlignment="1">
      <alignment horizontal="justify" vertical="center" wrapText="1"/>
      <protection locked="0"/>
    </xf>
    <xf numFmtId="0" fontId="138" fillId="0" borderId="0" xfId="0" applyFont="1" applyAlignment="1">
      <alignment vertical="center" wrapText="1"/>
      <protection locked="0"/>
    </xf>
    <xf numFmtId="0" fontId="34" fillId="0" borderId="13" xfId="0" applyFont="1" applyBorder="1" applyAlignment="1">
      <alignment horizontal="justify" vertical="center" wrapText="1"/>
      <protection locked="0"/>
    </xf>
    <xf numFmtId="0" fontId="138" fillId="0" borderId="13" xfId="0" applyFont="1" applyBorder="1" applyAlignment="1">
      <alignment vertical="center" wrapText="1"/>
      <protection locked="0"/>
    </xf>
    <xf numFmtId="43" fontId="138" fillId="0" borderId="12" xfId="35" applyFont="1" applyBorder="1" applyAlignment="1" applyProtection="1">
      <alignment vertical="center"/>
      <protection locked="0"/>
    </xf>
    <xf numFmtId="43" fontId="138" fillId="0" borderId="0" xfId="35" applyFont="1" applyBorder="1" applyAlignment="1" applyProtection="1">
      <alignment vertical="center"/>
      <protection locked="0"/>
    </xf>
    <xf numFmtId="43" fontId="138" fillId="0" borderId="13" xfId="35" applyFont="1" applyBorder="1" applyAlignment="1" applyProtection="1">
      <alignment vertical="center"/>
      <protection locked="0"/>
    </xf>
    <xf numFmtId="43" fontId="139" fillId="0" borderId="14" xfId="35" applyFont="1" applyBorder="1" applyAlignment="1" applyProtection="1">
      <alignment vertical="center"/>
      <protection locked="0"/>
    </xf>
    <xf numFmtId="43" fontId="34" fillId="0" borderId="0" xfId="35" applyFont="1" applyAlignment="1" applyProtection="1">
      <alignment vertical="center"/>
      <protection locked="0"/>
    </xf>
    <xf numFmtId="43" fontId="112" fillId="0" borderId="0" xfId="35" applyFont="1" applyAlignment="1" applyProtection="1">
      <alignment horizontal="left" vertical="center" wrapText="1"/>
      <protection locked="0"/>
    </xf>
    <xf numFmtId="43" fontId="130" fillId="0" borderId="13" xfId="35" applyFont="1" applyBorder="1" applyAlignment="1" applyProtection="1">
      <alignment horizontal="right" vertical="center" wrapText="1"/>
      <protection locked="0"/>
    </xf>
    <xf numFmtId="0" fontId="43" fillId="6" borderId="3" xfId="0" applyFont="1" applyFill="1" applyBorder="1" applyAlignment="1">
      <alignment horizontal="center" vertical="center" wrapText="1"/>
      <protection locked="0"/>
    </xf>
    <xf numFmtId="0" fontId="16" fillId="0" borderId="3" xfId="0" applyFont="1" applyBorder="1" applyAlignment="1">
      <alignment horizontal="center" vertical="center" wrapText="1"/>
      <protection locked="0"/>
    </xf>
    <xf numFmtId="0" fontId="34" fillId="0" borderId="3" xfId="0" applyFont="1" applyBorder="1" applyAlignment="1">
      <alignment horizontal="center" vertical="center" wrapText="1"/>
      <protection locked="0"/>
    </xf>
    <xf numFmtId="0" fontId="40" fillId="0" borderId="3" xfId="0" applyFont="1" applyBorder="1" applyAlignment="1">
      <alignment horizontal="center" vertical="center" wrapText="1"/>
      <protection locked="0"/>
    </xf>
    <xf numFmtId="0" fontId="38" fillId="6" borderId="3" xfId="0" applyFont="1" applyFill="1" applyBorder="1" applyAlignment="1">
      <alignment horizontal="centerContinuous" vertical="center" wrapText="1"/>
      <protection locked="0"/>
    </xf>
    <xf numFmtId="43" fontId="38" fillId="6" borderId="3" xfId="0" applyNumberFormat="1" applyFont="1" applyFill="1" applyBorder="1" applyAlignment="1">
      <alignment horizontal="right" vertical="center" wrapText="1"/>
      <protection locked="0"/>
    </xf>
    <xf numFmtId="0" fontId="31" fillId="6" borderId="3" xfId="0" applyFont="1" applyFill="1" applyBorder="1" applyAlignment="1">
      <alignment horizontal="left" vertical="center" wrapText="1"/>
      <protection locked="0"/>
    </xf>
    <xf numFmtId="43" fontId="40" fillId="6" borderId="3" xfId="0" applyNumberFormat="1" applyFont="1" applyFill="1" applyBorder="1" applyAlignment="1">
      <alignment horizontal="right" vertical="center" wrapText="1"/>
      <protection locked="0"/>
    </xf>
    <xf numFmtId="0" fontId="45" fillId="6" borderId="3" xfId="38" applyFont="1" applyFill="1" applyBorder="1" applyAlignment="1" applyProtection="1">
      <alignment vertical="center" wrapText="1"/>
    </xf>
    <xf numFmtId="43" fontId="40" fillId="0" borderId="3" xfId="35" applyFont="1" applyFill="1" applyBorder="1" applyAlignment="1" applyProtection="1">
      <alignment vertical="center"/>
    </xf>
    <xf numFmtId="0" fontId="134" fillId="0" borderId="0" xfId="0" applyFont="1" applyFill="1" applyAlignment="1" applyProtection="1">
      <alignment vertical="center" wrapText="1"/>
    </xf>
    <xf numFmtId="0" fontId="40" fillId="0" borderId="0" xfId="0" applyFont="1" applyFill="1" applyAlignment="1" applyProtection="1">
      <alignment vertical="center"/>
    </xf>
    <xf numFmtId="0" fontId="130" fillId="0" borderId="0" xfId="0" applyFont="1" applyBorder="1" applyAlignment="1">
      <alignment vertical="center" wrapText="1"/>
      <protection locked="0"/>
    </xf>
    <xf numFmtId="0" fontId="130" fillId="6" borderId="3" xfId="40" applyNumberFormat="1" applyFont="1" applyFill="1" applyBorder="1" applyAlignment="1">
      <alignment horizontal="center" vertical="center"/>
    </xf>
    <xf numFmtId="43" fontId="34" fillId="0" borderId="0" xfId="0" applyNumberFormat="1" applyFont="1" applyBorder="1" applyAlignment="1">
      <alignment vertical="center" wrapText="1"/>
      <protection locked="0"/>
    </xf>
    <xf numFmtId="0" fontId="130" fillId="0" borderId="0" xfId="0" applyFont="1" applyBorder="1" applyAlignment="1">
      <alignment vertical="center"/>
      <protection locked="0"/>
    </xf>
    <xf numFmtId="43" fontId="34" fillId="0" borderId="3" xfId="35" applyFont="1" applyBorder="1" applyAlignment="1" applyProtection="1">
      <alignment vertical="center"/>
      <protection locked="0"/>
    </xf>
    <xf numFmtId="43" fontId="34" fillId="0" borderId="3" xfId="35" applyFont="1" applyBorder="1" applyAlignment="1" applyProtection="1">
      <alignment vertical="center" wrapText="1"/>
      <protection locked="0"/>
    </xf>
    <xf numFmtId="43" fontId="34" fillId="6" borderId="3" xfId="35" applyFont="1" applyFill="1" applyBorder="1" applyAlignment="1" applyProtection="1">
      <alignment vertical="center"/>
      <protection locked="0"/>
    </xf>
    <xf numFmtId="0" fontId="34" fillId="6" borderId="3" xfId="35" applyNumberFormat="1" applyFont="1" applyFill="1" applyBorder="1" applyAlignment="1" applyProtection="1">
      <alignment vertical="center"/>
      <protection locked="0"/>
    </xf>
    <xf numFmtId="43" fontId="34" fillId="6" borderId="3" xfId="35" applyFont="1" applyFill="1" applyBorder="1" applyAlignment="1" applyProtection="1">
      <alignment vertical="center" wrapText="1"/>
      <protection locked="0"/>
    </xf>
    <xf numFmtId="43" fontId="34" fillId="0" borderId="3" xfId="35" applyFont="1" applyBorder="1" applyAlignment="1" applyProtection="1">
      <alignment horizontal="left" vertical="center" wrapText="1"/>
      <protection locked="0"/>
    </xf>
    <xf numFmtId="0" fontId="34" fillId="0" borderId="0" xfId="0" applyFont="1" applyFill="1" applyBorder="1" applyAlignment="1">
      <alignment vertical="center" wrapText="1"/>
      <protection locked="0"/>
    </xf>
    <xf numFmtId="0" fontId="34" fillId="0" borderId="0" xfId="0" applyFont="1" applyFill="1" applyBorder="1" applyAlignment="1">
      <alignment horizontal="left" vertical="center"/>
      <protection locked="0"/>
    </xf>
    <xf numFmtId="43" fontId="34" fillId="0" borderId="0" xfId="0" applyNumberFormat="1" applyFont="1" applyFill="1" applyBorder="1" applyAlignment="1">
      <alignment vertical="center" wrapText="1"/>
      <protection locked="0"/>
    </xf>
    <xf numFmtId="0" fontId="16" fillId="6" borderId="3" xfId="385" applyFont="1" applyFill="1" applyBorder="1" applyAlignment="1">
      <alignment horizontal="centerContinuous" vertical="center"/>
    </xf>
    <xf numFmtId="0" fontId="16" fillId="6" borderId="3" xfId="385" applyFont="1" applyFill="1" applyBorder="1" applyAlignment="1">
      <alignment vertical="center"/>
    </xf>
    <xf numFmtId="0" fontId="43" fillId="0" borderId="0" xfId="0" applyFont="1" applyBorder="1" applyAlignment="1">
      <alignment vertical="center"/>
      <protection locked="0"/>
    </xf>
    <xf numFmtId="43" fontId="34" fillId="6" borderId="3" xfId="35" applyFont="1" applyFill="1" applyBorder="1" applyAlignment="1" applyProtection="1">
      <alignment vertical="center"/>
    </xf>
    <xf numFmtId="0" fontId="34" fillId="6" borderId="3" xfId="42" applyFont="1" applyFill="1" applyBorder="1" applyAlignment="1" applyProtection="1">
      <alignment vertical="center"/>
    </xf>
    <xf numFmtId="0" fontId="112" fillId="0" borderId="3" xfId="42" applyFont="1" applyBorder="1" applyAlignment="1" applyProtection="1">
      <alignment vertical="center"/>
    </xf>
    <xf numFmtId="0" fontId="130" fillId="6" borderId="3" xfId="42" applyFont="1" applyFill="1" applyBorder="1" applyAlignment="1" applyProtection="1">
      <alignment horizontal="center" vertical="center"/>
    </xf>
    <xf numFmtId="190" fontId="31" fillId="6" borderId="3" xfId="42" applyNumberFormat="1" applyFont="1" applyFill="1" applyBorder="1" applyAlignment="1" applyProtection="1">
      <alignment horizontal="center" vertical="center" wrapText="1"/>
    </xf>
    <xf numFmtId="0" fontId="34" fillId="0" borderId="3" xfId="42" applyFont="1" applyBorder="1" applyAlignment="1" applyProtection="1">
      <alignment horizontal="center" vertical="center"/>
    </xf>
    <xf numFmtId="43" fontId="31" fillId="6" borderId="3" xfId="35" applyFont="1" applyFill="1" applyBorder="1" applyAlignment="1" applyProtection="1">
      <alignment vertical="center"/>
    </xf>
    <xf numFmtId="0" fontId="34" fillId="0" borderId="0" xfId="28" applyFont="1" applyAlignment="1">
      <alignment vertical="center" wrapText="1"/>
      <protection locked="0"/>
    </xf>
    <xf numFmtId="187" fontId="14" fillId="0" borderId="0" xfId="34" applyNumberFormat="1" applyFill="1" applyAlignment="1" applyProtection="1">
      <alignment vertical="center"/>
    </xf>
    <xf numFmtId="43" fontId="34" fillId="0" borderId="0" xfId="32" applyNumberFormat="1" applyFont="1" applyBorder="1" applyAlignment="1">
      <alignment horizontal="right" vertical="center"/>
    </xf>
    <xf numFmtId="0" fontId="104" fillId="0" borderId="0" xfId="28" applyFont="1" applyBorder="1" applyAlignment="1">
      <alignment vertical="center"/>
      <protection locked="0"/>
    </xf>
    <xf numFmtId="0" fontId="43" fillId="6" borderId="3" xfId="28" applyFont="1" applyFill="1" applyBorder="1" applyAlignment="1">
      <alignment horizontal="center" vertical="center" wrapText="1"/>
      <protection locked="0"/>
    </xf>
    <xf numFmtId="0" fontId="16" fillId="0" borderId="0" xfId="28" applyFont="1" applyBorder="1" applyAlignment="1">
      <alignment vertical="center" wrapText="1"/>
      <protection locked="0"/>
    </xf>
    <xf numFmtId="0" fontId="66" fillId="0" borderId="0" xfId="28" applyFont="1" applyBorder="1" applyAlignment="1">
      <alignment vertical="center" wrapText="1"/>
      <protection locked="0"/>
    </xf>
    <xf numFmtId="43" fontId="16" fillId="0" borderId="3" xfId="35" applyFont="1" applyFill="1" applyBorder="1" applyAlignment="1">
      <alignment horizontal="left" vertical="center"/>
    </xf>
    <xf numFmtId="0" fontId="39" fillId="0" borderId="0" xfId="28" applyFont="1" applyBorder="1" applyAlignment="1">
      <alignment horizontal="right" vertical="center"/>
      <protection locked="0"/>
    </xf>
    <xf numFmtId="0" fontId="35" fillId="0" borderId="0" xfId="28" applyFont="1" applyBorder="1" applyAlignment="1">
      <alignment horizontal="right" vertical="center"/>
      <protection locked="0"/>
    </xf>
    <xf numFmtId="0" fontId="55" fillId="0" borderId="0" xfId="28" applyFont="1" applyAlignment="1">
      <alignment vertical="center"/>
      <protection locked="0"/>
    </xf>
    <xf numFmtId="0" fontId="31" fillId="0" borderId="3" xfId="28" applyFont="1" applyFill="1" applyBorder="1" applyAlignment="1">
      <alignment vertical="center" wrapText="1"/>
      <protection locked="0"/>
    </xf>
    <xf numFmtId="0" fontId="130" fillId="6" borderId="3" xfId="28" applyFont="1" applyFill="1" applyBorder="1" applyAlignment="1">
      <alignment horizontal="center" vertical="center" wrapText="1"/>
      <protection locked="0"/>
    </xf>
    <xf numFmtId="0" fontId="130" fillId="6" borderId="3" xfId="28" applyFont="1" applyFill="1" applyBorder="1" applyAlignment="1">
      <alignment horizontal="center" vertical="center"/>
      <protection locked="0"/>
    </xf>
    <xf numFmtId="0" fontId="38" fillId="6" borderId="3" xfId="28" applyFont="1" applyFill="1" applyBorder="1" applyAlignment="1">
      <alignment horizontal="center" vertical="center"/>
      <protection locked="0"/>
    </xf>
    <xf numFmtId="43" fontId="31" fillId="6" borderId="3" xfId="35" applyFont="1" applyFill="1" applyBorder="1" applyAlignment="1" applyProtection="1">
      <alignment vertical="center"/>
      <protection locked="0"/>
    </xf>
    <xf numFmtId="0" fontId="31" fillId="0" borderId="0" xfId="28" applyFont="1" applyAlignment="1">
      <alignment vertical="center"/>
      <protection locked="0"/>
    </xf>
    <xf numFmtId="43" fontId="34" fillId="0" borderId="3" xfId="28" applyNumberFormat="1" applyFont="1" applyFill="1" applyBorder="1" applyAlignment="1">
      <alignment horizontal="center" vertical="center" wrapText="1"/>
      <protection locked="0"/>
    </xf>
    <xf numFmtId="0" fontId="31" fillId="0" borderId="29" xfId="28" applyFont="1" applyBorder="1" applyAlignment="1">
      <alignment horizontal="center" vertical="center" wrapText="1"/>
      <protection locked="0"/>
    </xf>
    <xf numFmtId="0" fontId="34" fillId="0" borderId="29" xfId="28" applyFont="1" applyBorder="1" applyAlignment="1">
      <alignment vertical="center"/>
      <protection locked="0"/>
    </xf>
    <xf numFmtId="43" fontId="34" fillId="0" borderId="3" xfId="35" applyFont="1" applyBorder="1" applyAlignment="1" applyProtection="1">
      <alignment horizontal="center" vertical="center" wrapText="1"/>
      <protection locked="0"/>
    </xf>
    <xf numFmtId="0" fontId="34" fillId="6" borderId="3" xfId="28" applyFont="1" applyFill="1" applyBorder="1" applyAlignment="1">
      <alignment vertical="center"/>
      <protection locked="0"/>
    </xf>
    <xf numFmtId="43" fontId="34" fillId="6" borderId="3" xfId="35" applyFont="1" applyFill="1" applyBorder="1" applyAlignment="1">
      <alignment horizontal="right" vertical="center"/>
    </xf>
    <xf numFmtId="43" fontId="31" fillId="6" borderId="3" xfId="28" applyNumberFormat="1" applyFont="1" applyFill="1" applyBorder="1" applyAlignment="1">
      <alignment vertical="center"/>
      <protection locked="0"/>
    </xf>
    <xf numFmtId="14" fontId="34" fillId="0" borderId="3" xfId="28" applyNumberFormat="1" applyFont="1" applyBorder="1" applyAlignment="1">
      <alignment horizontal="center" vertical="center" wrapText="1"/>
      <protection locked="0"/>
    </xf>
    <xf numFmtId="43" fontId="31" fillId="6" borderId="3" xfId="28" applyNumberFormat="1" applyFont="1" applyFill="1" applyBorder="1" applyAlignment="1">
      <alignment horizontal="right" vertical="center"/>
      <protection locked="0"/>
    </xf>
    <xf numFmtId="14" fontId="34" fillId="0" borderId="3" xfId="28" applyNumberFormat="1" applyFont="1" applyFill="1" applyBorder="1" applyAlignment="1">
      <alignment horizontal="center" vertical="center" wrapText="1"/>
      <protection locked="0"/>
    </xf>
    <xf numFmtId="43" fontId="34" fillId="0" borderId="3" xfId="35" applyFont="1" applyFill="1" applyBorder="1" applyAlignment="1" applyProtection="1">
      <alignment horizontal="center" vertical="center" wrapText="1"/>
      <protection locked="0"/>
    </xf>
    <xf numFmtId="43" fontId="112" fillId="0" borderId="3" xfId="35" applyFont="1" applyBorder="1" applyAlignment="1" applyProtection="1">
      <alignment horizontal="center" vertical="center"/>
      <protection locked="0"/>
    </xf>
    <xf numFmtId="43" fontId="112" fillId="0" borderId="3" xfId="35" applyFont="1" applyBorder="1" applyAlignment="1" applyProtection="1">
      <alignment vertical="center"/>
      <protection locked="0"/>
    </xf>
    <xf numFmtId="0" fontId="112" fillId="0" borderId="3" xfId="28" applyFont="1" applyBorder="1" applyAlignment="1">
      <alignment horizontal="left" vertical="center" wrapText="1"/>
      <protection locked="0"/>
    </xf>
    <xf numFmtId="43" fontId="34" fillId="6" borderId="3" xfId="35" applyFont="1" applyFill="1" applyBorder="1" applyAlignment="1" applyProtection="1">
      <alignment horizontal="center" vertical="center" wrapText="1"/>
      <protection locked="0"/>
    </xf>
    <xf numFmtId="43" fontId="31" fillId="6" borderId="3" xfId="35" applyFont="1" applyFill="1" applyBorder="1" applyAlignment="1" applyProtection="1">
      <alignment horizontal="right" vertical="center"/>
      <protection locked="0"/>
    </xf>
    <xf numFmtId="14" fontId="31" fillId="6" borderId="3" xfId="28" applyNumberFormat="1" applyFont="1" applyFill="1" applyBorder="1" applyAlignment="1">
      <alignment horizontal="right" vertical="center"/>
      <protection locked="0"/>
    </xf>
    <xf numFmtId="43" fontId="130" fillId="6" borderId="3" xfId="28" applyNumberFormat="1" applyFont="1" applyFill="1" applyBorder="1" applyAlignment="1">
      <alignment horizontal="right" vertical="center"/>
      <protection locked="0"/>
    </xf>
    <xf numFmtId="0" fontId="43" fillId="6" borderId="3" xfId="28" applyFont="1" applyFill="1" applyBorder="1" applyAlignment="1">
      <alignment horizontal="centerContinuous" vertical="center" wrapText="1"/>
      <protection locked="0"/>
    </xf>
    <xf numFmtId="0" fontId="130" fillId="6" borderId="3" xfId="28" applyFont="1" applyFill="1" applyBorder="1" applyAlignment="1">
      <alignment horizontal="centerContinuous" vertical="center" wrapText="1"/>
      <protection locked="0"/>
    </xf>
    <xf numFmtId="0" fontId="134" fillId="6" borderId="3" xfId="386" applyNumberFormat="1" applyFont="1" applyFill="1" applyBorder="1" applyAlignment="1" applyProtection="1">
      <alignment horizontal="center" vertical="center" wrapText="1"/>
    </xf>
    <xf numFmtId="0" fontId="43" fillId="6" borderId="7" xfId="28" applyFont="1" applyFill="1" applyBorder="1" applyAlignment="1">
      <alignment horizontal="centerContinuous" vertical="center" wrapText="1"/>
      <protection locked="0"/>
    </xf>
    <xf numFmtId="43" fontId="112" fillId="6" borderId="3" xfId="35" applyFont="1" applyFill="1" applyBorder="1" applyAlignment="1" applyProtection="1">
      <alignment horizontal="center" vertical="center"/>
      <protection locked="0"/>
    </xf>
    <xf numFmtId="0" fontId="112" fillId="6" borderId="3" xfId="28" applyFont="1" applyFill="1" applyBorder="1" applyAlignment="1">
      <alignment vertical="center"/>
      <protection locked="0"/>
    </xf>
    <xf numFmtId="0" fontId="31" fillId="0" borderId="29" xfId="28" applyFont="1" applyFill="1" applyBorder="1" applyAlignment="1">
      <alignment horizontal="center" vertical="center" wrapText="1"/>
      <protection locked="0"/>
    </xf>
    <xf numFmtId="0" fontId="34" fillId="0" borderId="29" xfId="28" applyFont="1" applyFill="1" applyBorder="1" applyAlignment="1">
      <alignment vertical="center"/>
      <protection locked="0"/>
    </xf>
    <xf numFmtId="0" fontId="130" fillId="6" borderId="7" xfId="28" applyFont="1" applyFill="1" applyBorder="1" applyAlignment="1">
      <alignment horizontal="centerContinuous" vertical="center" wrapText="1"/>
      <protection locked="0"/>
    </xf>
    <xf numFmtId="0" fontId="130" fillId="6" borderId="5" xfId="28" applyFont="1" applyFill="1" applyBorder="1" applyAlignment="1">
      <alignment horizontal="centerContinuous" vertical="center" wrapText="1"/>
      <protection locked="0"/>
    </xf>
    <xf numFmtId="14" fontId="34" fillId="0" borderId="3" xfId="35" applyNumberFormat="1" applyFont="1" applyBorder="1" applyAlignment="1">
      <alignment horizontal="center" vertical="center" wrapText="1"/>
    </xf>
    <xf numFmtId="209" fontId="34" fillId="0" borderId="3" xfId="35" applyNumberFormat="1" applyFont="1" applyBorder="1" applyAlignment="1">
      <alignment horizontal="center" vertical="center" wrapText="1"/>
    </xf>
    <xf numFmtId="0" fontId="11" fillId="0" borderId="0" xfId="28">
      <protection locked="0"/>
    </xf>
    <xf numFmtId="0" fontId="43" fillId="0" borderId="0" xfId="31" applyFont="1" applyAlignment="1">
      <alignment vertical="center"/>
    </xf>
    <xf numFmtId="0" fontId="43" fillId="0" borderId="0" xfId="31" applyFont="1" applyAlignment="1">
      <alignment vertical="center" wrapText="1"/>
    </xf>
    <xf numFmtId="0" fontId="34" fillId="0" borderId="0" xfId="31" applyFont="1" applyAlignment="1">
      <alignment vertical="center"/>
    </xf>
    <xf numFmtId="0" fontId="43" fillId="0" borderId="0" xfId="31" applyFont="1" applyAlignment="1">
      <alignment horizontal="left" vertical="center"/>
    </xf>
    <xf numFmtId="0" fontId="16" fillId="0" borderId="0" xfId="31" applyFont="1" applyAlignment="1">
      <alignment horizontal="left" vertical="center"/>
    </xf>
    <xf numFmtId="0" fontId="53" fillId="0" borderId="0" xfId="31" applyFont="1" applyAlignment="1">
      <alignment horizontal="left" vertical="center"/>
    </xf>
    <xf numFmtId="0" fontId="43" fillId="0" borderId="0" xfId="31" applyFont="1" applyBorder="1" applyAlignment="1">
      <alignment vertical="center"/>
    </xf>
    <xf numFmtId="0" fontId="43" fillId="0" borderId="30" xfId="31" applyFont="1" applyBorder="1" applyAlignment="1">
      <alignment vertical="center"/>
    </xf>
    <xf numFmtId="0" fontId="53" fillId="0" borderId="0" xfId="28" applyFont="1">
      <protection locked="0"/>
    </xf>
    <xf numFmtId="0" fontId="16" fillId="0" borderId="0" xfId="28" applyFont="1">
      <protection locked="0"/>
    </xf>
    <xf numFmtId="0" fontId="43" fillId="6" borderId="3" xfId="28" applyFont="1" applyFill="1" applyBorder="1" applyAlignment="1">
      <alignment horizontal="center" vertical="center"/>
      <protection locked="0"/>
    </xf>
    <xf numFmtId="0" fontId="66" fillId="48" borderId="3" xfId="28" applyNumberFormat="1" applyFont="1" applyFill="1" applyBorder="1" applyAlignment="1" applyProtection="1">
      <alignment horizontal="center" vertical="center" wrapText="1"/>
    </xf>
    <xf numFmtId="0" fontId="66" fillId="48" borderId="3" xfId="28" applyNumberFormat="1" applyFont="1" applyFill="1" applyBorder="1" applyAlignment="1" applyProtection="1">
      <alignment horizontal="center" vertical="center"/>
    </xf>
    <xf numFmtId="0" fontId="53" fillId="0" borderId="0" xfId="28" applyFont="1" applyAlignment="1">
      <alignment horizontal="left"/>
      <protection locked="0"/>
    </xf>
    <xf numFmtId="0" fontId="16" fillId="0" borderId="0" xfId="28" applyFont="1" applyAlignment="1">
      <alignment horizontal="center"/>
      <protection locked="0"/>
    </xf>
    <xf numFmtId="0" fontId="16" fillId="6" borderId="3" xfId="28" applyFont="1" applyFill="1" applyBorder="1" applyAlignment="1">
      <alignment vertical="center"/>
      <protection locked="0"/>
    </xf>
    <xf numFmtId="43" fontId="34" fillId="6" borderId="3" xfId="39" applyFont="1" applyFill="1" applyBorder="1" applyAlignment="1" applyProtection="1">
      <alignment vertical="center"/>
      <protection locked="0"/>
    </xf>
    <xf numFmtId="0" fontId="16" fillId="0" borderId="29" xfId="28" applyFont="1" applyFill="1" applyBorder="1" applyAlignment="1">
      <alignment vertical="center"/>
      <protection locked="0"/>
    </xf>
    <xf numFmtId="0" fontId="16" fillId="0" borderId="0" xfId="28" applyFont="1" applyFill="1" applyBorder="1" applyAlignment="1">
      <alignment vertical="center"/>
      <protection locked="0"/>
    </xf>
    <xf numFmtId="0" fontId="11" fillId="0" borderId="0" xfId="28" applyFont="1">
      <protection locked="0"/>
    </xf>
    <xf numFmtId="43" fontId="138" fillId="0" borderId="3" xfId="39" applyFont="1" applyFill="1" applyBorder="1" applyAlignment="1" applyProtection="1">
      <alignment horizontal="center" vertical="center"/>
    </xf>
    <xf numFmtId="0" fontId="53" fillId="0" borderId="0" xfId="28" applyFont="1" applyAlignment="1">
      <alignment wrapText="1"/>
      <protection locked="0"/>
    </xf>
    <xf numFmtId="43" fontId="31" fillId="6" borderId="3" xfId="35" applyFont="1" applyFill="1" applyBorder="1" applyAlignment="1" applyProtection="1">
      <alignment horizontal="left" vertical="center" wrapText="1"/>
      <protection locked="0"/>
    </xf>
    <xf numFmtId="10" fontId="31" fillId="6" borderId="3" xfId="27" applyNumberFormat="1" applyFont="1" applyFill="1" applyBorder="1" applyAlignment="1" applyProtection="1">
      <alignment horizontal="center" vertical="center" wrapText="1"/>
      <protection locked="0"/>
    </xf>
    <xf numFmtId="10" fontId="34" fillId="6" borderId="3" xfId="27" applyNumberFormat="1" applyFont="1" applyFill="1" applyBorder="1" applyAlignment="1" applyProtection="1">
      <alignment horizontal="center" vertical="center" wrapText="1"/>
      <protection locked="0"/>
    </xf>
    <xf numFmtId="0" fontId="52" fillId="46" borderId="0" xfId="351" applyFont="1" applyFill="1" applyAlignment="1" applyProtection="1">
      <alignment horizontal="left" vertical="center" wrapText="1"/>
      <protection locked="0"/>
    </xf>
    <xf numFmtId="0" fontId="53" fillId="46" borderId="0" xfId="351" applyFont="1" applyFill="1" applyAlignment="1" applyProtection="1">
      <alignment horizontal="left" vertical="center" wrapText="1"/>
      <protection locked="0"/>
    </xf>
    <xf numFmtId="0" fontId="34" fillId="0" borderId="0" xfId="31" applyFont="1" applyAlignment="1">
      <alignment horizontal="left" vertical="center"/>
    </xf>
    <xf numFmtId="0" fontId="31" fillId="0" borderId="0" xfId="29" applyFont="1" applyAlignment="1">
      <alignment vertical="center" wrapText="1"/>
    </xf>
    <xf numFmtId="0" fontId="17" fillId="0" borderId="0" xfId="29" applyFont="1" applyAlignment="1">
      <alignment vertical="center" wrapText="1"/>
    </xf>
    <xf numFmtId="0" fontId="52" fillId="0" borderId="3" xfId="0" applyFont="1" applyBorder="1" applyAlignment="1">
      <alignment vertical="center"/>
      <protection locked="0"/>
    </xf>
    <xf numFmtId="0" fontId="16" fillId="0" borderId="3" xfId="0" applyFont="1" applyBorder="1" applyAlignment="1">
      <alignment horizontal="center" vertical="center"/>
      <protection locked="0"/>
    </xf>
    <xf numFmtId="43" fontId="34" fillId="0" borderId="3" xfId="35" applyFont="1" applyBorder="1" applyAlignment="1" applyProtection="1">
      <alignment horizontal="right" vertical="center"/>
      <protection locked="0"/>
    </xf>
    <xf numFmtId="210" fontId="34" fillId="0" borderId="3" xfId="0" applyNumberFormat="1" applyFont="1" applyBorder="1" applyAlignment="1">
      <alignment horizontal="center" vertical="center"/>
      <protection locked="0"/>
    </xf>
    <xf numFmtId="0" fontId="16" fillId="6" borderId="3" xfId="0" applyFont="1" applyFill="1" applyBorder="1" applyAlignment="1">
      <alignment horizontal="center" vertical="center"/>
      <protection locked="0"/>
    </xf>
    <xf numFmtId="43" fontId="34" fillId="6" borderId="3" xfId="35" applyFont="1" applyFill="1" applyBorder="1" applyAlignment="1" applyProtection="1">
      <alignment horizontal="right" vertical="center"/>
      <protection locked="0"/>
    </xf>
    <xf numFmtId="43" fontId="34" fillId="0" borderId="3" xfId="35" applyFont="1" applyFill="1" applyBorder="1" applyAlignment="1" applyProtection="1">
      <alignment horizontal="right" vertical="center"/>
      <protection locked="0"/>
    </xf>
    <xf numFmtId="0" fontId="43" fillId="6" borderId="3" xfId="0" applyFont="1" applyFill="1" applyBorder="1" applyAlignment="1">
      <alignment horizontal="center" vertical="center"/>
      <protection locked="0"/>
    </xf>
    <xf numFmtId="0" fontId="0" fillId="0" borderId="35" xfId="0" applyBorder="1" applyAlignment="1" applyProtection="1">
      <alignment vertical="center"/>
    </xf>
    <xf numFmtId="0" fontId="0" fillId="0" borderId="35" xfId="0" applyBorder="1" applyAlignment="1" applyProtection="1">
      <alignment vertical="center" wrapText="1"/>
    </xf>
    <xf numFmtId="0" fontId="43" fillId="6" borderId="3" xfId="351" applyFont="1" applyFill="1" applyBorder="1" applyAlignment="1" applyProtection="1">
      <alignment horizontal="center" vertical="center" wrapText="1"/>
      <protection locked="0"/>
    </xf>
    <xf numFmtId="0" fontId="43" fillId="6" borderId="3" xfId="351" applyFont="1" applyFill="1" applyBorder="1" applyAlignment="1" applyProtection="1">
      <alignment horizontal="center" vertical="center"/>
      <protection locked="0"/>
    </xf>
    <xf numFmtId="0" fontId="31" fillId="0" borderId="29" xfId="28" applyFont="1" applyFill="1" applyBorder="1" applyAlignment="1">
      <alignment horizontal="center" vertical="center" wrapText="1"/>
      <protection locked="0"/>
    </xf>
    <xf numFmtId="0" fontId="43" fillId="6" borderId="3" xfId="28" applyFont="1" applyFill="1" applyBorder="1" applyAlignment="1">
      <alignment horizontal="center" vertical="center"/>
      <protection locked="0"/>
    </xf>
    <xf numFmtId="0" fontId="16" fillId="0" borderId="30" xfId="351" applyFont="1" applyFill="1" applyBorder="1" applyAlignment="1" applyProtection="1">
      <alignment horizontal="center" vertical="center" wrapText="1"/>
      <protection locked="0"/>
    </xf>
    <xf numFmtId="0" fontId="16" fillId="0" borderId="0" xfId="0" applyFont="1" applyBorder="1" applyAlignment="1">
      <alignment vertical="center"/>
      <protection locked="0"/>
    </xf>
    <xf numFmtId="0" fontId="34" fillId="0" borderId="0" xfId="0" applyFont="1" applyAlignment="1">
      <alignment horizontal="right" vertical="center"/>
      <protection locked="0"/>
    </xf>
    <xf numFmtId="0" fontId="16" fillId="0" borderId="0" xfId="0" applyFont="1" applyAlignment="1">
      <alignment horizontal="right" vertical="center"/>
      <protection locked="0"/>
    </xf>
    <xf numFmtId="0" fontId="16" fillId="0" borderId="0" xfId="0" applyFont="1" applyBorder="1" applyAlignment="1">
      <alignment horizontal="right" vertical="center"/>
      <protection locked="0"/>
    </xf>
    <xf numFmtId="0" fontId="16" fillId="0" borderId="0" xfId="0" applyFont="1" applyBorder="1" applyAlignment="1">
      <alignment horizontal="left" vertical="center"/>
      <protection locked="0"/>
    </xf>
    <xf numFmtId="0" fontId="51" fillId="0" borderId="0" xfId="0" applyFont="1" applyBorder="1" applyAlignment="1" applyProtection="1">
      <alignment vertical="center"/>
    </xf>
    <xf numFmtId="0" fontId="51" fillId="0" borderId="0" xfId="0" applyFont="1" applyBorder="1" applyAlignment="1">
      <alignment vertical="center"/>
      <protection locked="0"/>
    </xf>
    <xf numFmtId="0" fontId="143" fillId="0" borderId="0" xfId="0" applyFont="1" applyAlignment="1">
      <alignment vertical="center"/>
      <protection locked="0"/>
    </xf>
    <xf numFmtId="43" fontId="16" fillId="0" borderId="0" xfId="32" applyNumberFormat="1" applyFont="1" applyBorder="1" applyAlignment="1">
      <alignment horizontal="left" vertical="center"/>
    </xf>
    <xf numFmtId="0" fontId="40" fillId="0" borderId="3" xfId="38" applyFont="1" applyFill="1" applyBorder="1" applyAlignment="1" applyProtection="1">
      <alignment horizontal="center" vertical="center"/>
    </xf>
    <xf numFmtId="0" fontId="16" fillId="0" borderId="0" xfId="0" applyFont="1" applyBorder="1" applyAlignment="1">
      <alignment horizontal="right" vertical="center" wrapText="1"/>
      <protection locked="0"/>
    </xf>
    <xf numFmtId="0" fontId="11" fillId="0" borderId="35" xfId="0" applyFont="1" applyBorder="1" applyAlignment="1" applyProtection="1">
      <alignment vertical="center"/>
    </xf>
    <xf numFmtId="0" fontId="16" fillId="0" borderId="3" xfId="42" applyFont="1" applyBorder="1" applyAlignment="1" applyProtection="1">
      <alignment vertical="center"/>
    </xf>
    <xf numFmtId="43" fontId="16" fillId="0" borderId="3" xfId="35" applyFont="1" applyBorder="1" applyAlignment="1" applyProtection="1">
      <alignment vertical="center"/>
    </xf>
    <xf numFmtId="187" fontId="34" fillId="0" borderId="3" xfId="384" applyFont="1" applyFill="1" applyBorder="1" applyAlignment="1">
      <alignment horizontal="center" vertical="center" wrapText="1"/>
    </xf>
    <xf numFmtId="43" fontId="34" fillId="0" borderId="0" xfId="35" applyFont="1" applyBorder="1" applyAlignment="1">
      <alignment vertical="center"/>
    </xf>
    <xf numFmtId="0" fontId="32" fillId="0" borderId="10" xfId="0" applyFont="1" applyBorder="1" applyAlignment="1">
      <alignment vertical="center"/>
      <protection locked="0"/>
    </xf>
    <xf numFmtId="0" fontId="31" fillId="6" borderId="3" xfId="28" applyFont="1" applyFill="1" applyBorder="1" applyAlignment="1">
      <alignment horizontal="left" vertical="center" wrapText="1"/>
      <protection locked="0"/>
    </xf>
    <xf numFmtId="0" fontId="16" fillId="0" borderId="3" xfId="28" applyFont="1" applyFill="1" applyBorder="1" applyAlignment="1">
      <alignment vertical="center" wrapText="1"/>
      <protection locked="0"/>
    </xf>
    <xf numFmtId="43" fontId="34" fillId="0" borderId="3" xfId="35" applyFont="1" applyBorder="1" applyAlignment="1" applyProtection="1">
      <alignment horizontal="center" vertical="center"/>
      <protection locked="0"/>
    </xf>
    <xf numFmtId="43" fontId="16" fillId="0" borderId="3" xfId="35" applyFont="1" applyBorder="1" applyAlignment="1">
      <alignment horizontal="left" vertical="center" wrapText="1"/>
    </xf>
    <xf numFmtId="43" fontId="16" fillId="0" borderId="3" xfId="28" applyNumberFormat="1" applyFont="1" applyFill="1" applyBorder="1" applyAlignment="1">
      <alignment horizontal="left" vertical="center" wrapText="1"/>
      <protection locked="0"/>
    </xf>
    <xf numFmtId="0" fontId="16" fillId="0" borderId="3" xfId="28" applyFont="1" applyBorder="1" applyAlignment="1">
      <alignment horizontal="left" vertical="center" wrapText="1"/>
      <protection locked="0"/>
    </xf>
    <xf numFmtId="0" fontId="143" fillId="0" borderId="0" xfId="28" applyFont="1" applyAlignment="1">
      <alignment vertical="center"/>
      <protection locked="0"/>
    </xf>
    <xf numFmtId="0" fontId="16" fillId="0" borderId="3" xfId="28" applyFont="1" applyBorder="1" applyAlignment="1">
      <alignment vertical="center"/>
      <protection locked="0"/>
    </xf>
    <xf numFmtId="43" fontId="34" fillId="0" borderId="3" xfId="39" applyFont="1" applyBorder="1" applyAlignment="1" applyProtection="1">
      <alignment vertical="center"/>
      <protection locked="0"/>
    </xf>
    <xf numFmtId="0" fontId="11" fillId="0" borderId="0" xfId="28" applyAlignment="1">
      <alignment vertical="center"/>
      <protection locked="0"/>
    </xf>
    <xf numFmtId="0" fontId="34" fillId="0" borderId="3" xfId="28" applyFont="1" applyBorder="1" applyAlignment="1">
      <alignment horizontal="left" vertical="center"/>
      <protection locked="0"/>
    </xf>
    <xf numFmtId="0" fontId="34" fillId="0" borderId="3" xfId="28" applyFont="1" applyBorder="1" applyAlignment="1">
      <alignment horizontal="center" vertical="center"/>
      <protection locked="0"/>
    </xf>
    <xf numFmtId="0" fontId="16" fillId="0" borderId="3" xfId="28" applyFont="1" applyBorder="1" applyAlignment="1">
      <alignment horizontal="center" vertical="center"/>
      <protection locked="0"/>
    </xf>
    <xf numFmtId="43" fontId="16" fillId="0" borderId="3" xfId="39" applyFont="1" applyBorder="1" applyAlignment="1" applyProtection="1">
      <alignment horizontal="center" vertical="center"/>
      <protection locked="0"/>
    </xf>
    <xf numFmtId="14" fontId="34" fillId="0" borderId="3" xfId="28" applyNumberFormat="1" applyFont="1" applyBorder="1" applyAlignment="1">
      <alignment horizontal="center" vertical="center"/>
      <protection locked="0"/>
    </xf>
    <xf numFmtId="0" fontId="16" fillId="6" borderId="3" xfId="28" applyFont="1" applyFill="1" applyBorder="1" applyAlignment="1">
      <alignment horizontal="center" vertical="center"/>
      <protection locked="0"/>
    </xf>
    <xf numFmtId="43" fontId="126" fillId="0" borderId="3" xfId="39" applyFont="1" applyFill="1" applyBorder="1" applyAlignment="1" applyProtection="1">
      <alignment horizontal="center" vertical="center"/>
    </xf>
    <xf numFmtId="43" fontId="126" fillId="0" borderId="3" xfId="28" applyNumberFormat="1" applyFont="1" applyFill="1" applyBorder="1" applyAlignment="1" applyProtection="1">
      <alignment horizontal="center" vertical="center" wrapText="1"/>
    </xf>
    <xf numFmtId="0" fontId="16" fillId="6" borderId="3" xfId="28" applyFont="1" applyFill="1" applyBorder="1" applyAlignment="1">
      <alignment horizontal="left" vertical="center"/>
      <protection locked="0"/>
    </xf>
    <xf numFmtId="43" fontId="126" fillId="0" borderId="3" xfId="39" applyFont="1" applyFill="1" applyBorder="1" applyAlignment="1" applyProtection="1">
      <alignment horizontal="left" vertical="center"/>
    </xf>
    <xf numFmtId="0" fontId="126" fillId="0" borderId="3" xfId="28" applyNumberFormat="1" applyFont="1" applyFill="1" applyBorder="1" applyAlignment="1" applyProtection="1">
      <alignment horizontal="left" vertical="center"/>
    </xf>
    <xf numFmtId="0" fontId="104" fillId="0" borderId="0" xfId="28" applyFont="1">
      <protection locked="0"/>
    </xf>
    <xf numFmtId="0" fontId="16" fillId="0" borderId="3" xfId="0" applyFont="1" applyBorder="1" applyAlignment="1">
      <alignment horizontal="left" vertical="center"/>
      <protection locked="0"/>
    </xf>
    <xf numFmtId="0" fontId="34" fillId="0" borderId="3" xfId="0" applyFont="1" applyBorder="1" applyAlignment="1">
      <alignment horizontal="center" vertical="center"/>
      <protection locked="0"/>
    </xf>
    <xf numFmtId="0" fontId="53" fillId="0" borderId="0" xfId="0" applyFont="1" applyAlignment="1">
      <alignment vertical="center"/>
      <protection locked="0"/>
    </xf>
    <xf numFmtId="0" fontId="0" fillId="0" borderId="15" xfId="0" applyBorder="1" applyAlignment="1">
      <alignment vertical="center"/>
      <protection locked="0"/>
    </xf>
    <xf numFmtId="187" fontId="112" fillId="0" borderId="3" xfId="387" applyFont="1" applyBorder="1" applyAlignment="1">
      <alignment vertical="center" wrapText="1"/>
    </xf>
    <xf numFmtId="0" fontId="11" fillId="0" borderId="2" xfId="0" applyFont="1" applyBorder="1" applyAlignment="1">
      <alignment horizontal="center" vertical="center"/>
      <protection locked="0"/>
    </xf>
    <xf numFmtId="0" fontId="11" fillId="0" borderId="2" xfId="34" quotePrefix="1" applyFont="1" applyBorder="1" applyAlignment="1">
      <alignment vertical="center"/>
      <protection locked="0"/>
    </xf>
    <xf numFmtId="187" fontId="35" fillId="0" borderId="0" xfId="34" applyNumberFormat="1" applyFont="1" applyFill="1" applyBorder="1" applyAlignment="1" applyProtection="1">
      <alignment vertical="center" wrapText="1"/>
      <protection locked="0"/>
    </xf>
    <xf numFmtId="0" fontId="51" fillId="0" borderId="0" xfId="0" applyFont="1" applyFill="1" applyBorder="1" applyAlignment="1">
      <alignment horizontal="left" vertical="center"/>
      <protection locked="0"/>
    </xf>
    <xf numFmtId="0" fontId="38" fillId="6" borderId="15" xfId="0" applyFont="1" applyFill="1" applyBorder="1" applyAlignment="1">
      <alignment horizontal="centerContinuous" vertical="center" wrapText="1"/>
      <protection locked="0"/>
    </xf>
    <xf numFmtId="0" fontId="145" fillId="0" borderId="2" xfId="34" applyFont="1" applyBorder="1" applyAlignment="1">
      <alignment vertical="center"/>
      <protection locked="0"/>
    </xf>
    <xf numFmtId="0" fontId="145" fillId="0" borderId="2" xfId="34" quotePrefix="1" applyFont="1" applyBorder="1" applyAlignment="1">
      <alignment vertical="center"/>
      <protection locked="0"/>
    </xf>
    <xf numFmtId="0" fontId="22" fillId="0" borderId="0" xfId="28" applyFont="1" applyBorder="1" applyAlignment="1">
      <alignment vertical="center"/>
      <protection locked="0"/>
    </xf>
    <xf numFmtId="0" fontId="43" fillId="6" borderId="3" xfId="38" applyFont="1" applyFill="1" applyBorder="1" applyAlignment="1" applyProtection="1">
      <alignment horizontal="center" vertical="center"/>
    </xf>
    <xf numFmtId="190" fontId="43" fillId="6" borderId="3" xfId="42" applyNumberFormat="1" applyFont="1" applyFill="1" applyBorder="1" applyAlignment="1" applyProtection="1">
      <alignment horizontal="center" vertical="center"/>
    </xf>
    <xf numFmtId="0" fontId="34" fillId="0" borderId="3" xfId="28" applyFont="1" applyFill="1" applyBorder="1" applyAlignment="1">
      <alignment horizontal="left" vertical="center" wrapText="1"/>
      <protection locked="0"/>
    </xf>
    <xf numFmtId="0" fontId="31" fillId="6" borderId="0" xfId="28" applyFont="1" applyFill="1" applyBorder="1" applyAlignment="1">
      <alignment vertical="center" wrapText="1"/>
      <protection locked="0"/>
    </xf>
    <xf numFmtId="0" fontId="16" fillId="6" borderId="0" xfId="28" applyFont="1" applyFill="1" applyBorder="1" applyAlignment="1">
      <alignment vertical="center" wrapText="1"/>
      <protection locked="0"/>
    </xf>
    <xf numFmtId="0" fontId="66" fillId="6" borderId="0" xfId="28" applyFont="1" applyFill="1" applyBorder="1" applyAlignment="1">
      <alignment vertical="center" wrapText="1"/>
      <protection locked="0"/>
    </xf>
    <xf numFmtId="43" fontId="34" fillId="6" borderId="3" xfId="35" applyFont="1" applyFill="1" applyBorder="1" applyAlignment="1" applyProtection="1">
      <alignment horizontal="left" vertical="center" wrapText="1"/>
      <protection locked="0"/>
    </xf>
    <xf numFmtId="187" fontId="51" fillId="0" borderId="3" xfId="384" applyFont="1" applyFill="1" applyBorder="1" applyAlignment="1">
      <alignment horizontal="center" vertical="center" wrapText="1"/>
    </xf>
    <xf numFmtId="0" fontId="62" fillId="0" borderId="3" xfId="351" applyFont="1" applyFill="1" applyBorder="1" applyAlignment="1">
      <alignment vertical="center" wrapText="1"/>
    </xf>
    <xf numFmtId="0" fontId="124" fillId="0" borderId="0" xfId="0" applyFont="1" applyAlignment="1">
      <alignment horizontal="center" vertical="center"/>
      <protection locked="0"/>
    </xf>
    <xf numFmtId="0" fontId="31" fillId="0" borderId="29" xfId="28" applyFont="1" applyFill="1" applyBorder="1" applyAlignment="1">
      <alignment horizontal="center" vertical="center" wrapText="1"/>
      <protection locked="0"/>
    </xf>
    <xf numFmtId="43" fontId="34" fillId="6" borderId="3" xfId="0" applyNumberFormat="1" applyFont="1" applyFill="1" applyBorder="1" applyAlignment="1">
      <alignment horizontal="left" vertical="center" wrapText="1"/>
      <protection locked="0"/>
    </xf>
    <xf numFmtId="0" fontId="48" fillId="0" borderId="0" xfId="28" applyFont="1" applyAlignment="1">
      <alignment vertical="center"/>
      <protection locked="0"/>
    </xf>
    <xf numFmtId="43" fontId="34" fillId="0" borderId="3" xfId="39" applyFont="1" applyBorder="1" applyAlignment="1" applyProtection="1">
      <alignment horizontal="center" vertical="center"/>
      <protection locked="0"/>
    </xf>
    <xf numFmtId="10" fontId="34" fillId="0" borderId="3" xfId="27" applyNumberFormat="1" applyFont="1" applyBorder="1" applyAlignment="1" applyProtection="1">
      <alignment horizontal="center" vertical="center"/>
      <protection locked="0"/>
    </xf>
    <xf numFmtId="0" fontId="51" fillId="0" borderId="0" xfId="28" applyFont="1" applyAlignment="1">
      <alignment vertical="center"/>
      <protection locked="0"/>
    </xf>
    <xf numFmtId="187" fontId="53" fillId="0" borderId="0" xfId="388" applyFont="1" applyFill="1" applyAlignment="1">
      <alignment horizontal="left" vertical="center"/>
    </xf>
    <xf numFmtId="0" fontId="140" fillId="0" borderId="33" xfId="0" applyFont="1" applyBorder="1" applyAlignment="1" applyProtection="1">
      <alignment horizontal="center" vertical="center"/>
    </xf>
    <xf numFmtId="0" fontId="140" fillId="0" borderId="34" xfId="0" applyFont="1" applyBorder="1" applyAlignment="1" applyProtection="1">
      <alignment horizontal="center" vertical="center"/>
    </xf>
    <xf numFmtId="0" fontId="33" fillId="0" borderId="0" xfId="0" applyFont="1" applyAlignment="1">
      <alignment horizontal="left" vertical="center" wrapText="1"/>
      <protection locked="0"/>
    </xf>
    <xf numFmtId="0" fontId="32" fillId="0" borderId="0" xfId="0" applyFont="1" applyAlignment="1">
      <alignment horizontal="left" vertical="center" wrapText="1"/>
      <protection locked="0"/>
    </xf>
    <xf numFmtId="0" fontId="43" fillId="0" borderId="30" xfId="351" applyFont="1" applyFill="1" applyBorder="1" applyAlignment="1" applyProtection="1">
      <alignment horizontal="left" vertical="center" wrapText="1"/>
      <protection locked="0"/>
    </xf>
    <xf numFmtId="187" fontId="33" fillId="0" borderId="0" xfId="383" applyFont="1" applyFill="1" applyAlignment="1">
      <alignment horizontal="center" vertical="center"/>
    </xf>
    <xf numFmtId="187" fontId="124" fillId="0" borderId="0" xfId="383" applyFont="1" applyFill="1" applyAlignment="1">
      <alignment horizontal="center" vertical="center"/>
    </xf>
    <xf numFmtId="187" fontId="125" fillId="0" borderId="0" xfId="383" applyFont="1" applyFill="1" applyAlignment="1">
      <alignment horizontal="center" vertical="center"/>
    </xf>
    <xf numFmtId="0" fontId="43" fillId="6" borderId="3" xfId="351" applyFont="1" applyFill="1" applyBorder="1" applyAlignment="1" applyProtection="1">
      <alignment horizontal="center" vertical="center" wrapText="1"/>
      <protection locked="0"/>
    </xf>
    <xf numFmtId="0" fontId="7" fillId="0" borderId="3" xfId="351" applyFont="1" applyFill="1" applyBorder="1" applyAlignment="1" applyProtection="1">
      <alignment horizontal="left" vertical="center" wrapText="1"/>
      <protection locked="0"/>
    </xf>
    <xf numFmtId="0" fontId="79" fillId="6" borderId="3" xfId="351" applyFont="1" applyFill="1" applyBorder="1" applyAlignment="1" applyProtection="1">
      <alignment horizontal="center" vertical="center" wrapText="1"/>
      <protection locked="0"/>
    </xf>
    <xf numFmtId="0" fontId="16" fillId="0" borderId="3" xfId="351" applyFont="1" applyFill="1" applyBorder="1" applyAlignment="1" applyProtection="1">
      <alignment horizontal="center" vertical="center" wrapText="1"/>
      <protection locked="0"/>
    </xf>
    <xf numFmtId="0" fontId="43" fillId="6" borderId="3" xfId="351" applyFont="1" applyFill="1" applyBorder="1" applyAlignment="1" applyProtection="1">
      <alignment horizontal="center" vertical="center"/>
      <protection locked="0"/>
    </xf>
    <xf numFmtId="0" fontId="31" fillId="6" borderId="3" xfId="351" applyFont="1" applyFill="1" applyBorder="1" applyAlignment="1" applyProtection="1">
      <alignment horizontal="center" vertical="center"/>
      <protection locked="0"/>
    </xf>
    <xf numFmtId="0" fontId="31" fillId="6" borderId="3" xfId="351" applyFont="1" applyFill="1" applyBorder="1" applyAlignment="1" applyProtection="1">
      <alignment horizontal="center" vertical="center" wrapText="1"/>
      <protection locked="0"/>
    </xf>
    <xf numFmtId="49" fontId="43" fillId="6" borderId="3" xfId="384" applyNumberFormat="1" applyFont="1" applyFill="1" applyBorder="1" applyAlignment="1" applyProtection="1">
      <alignment horizontal="center" vertical="center"/>
      <protection locked="0"/>
    </xf>
    <xf numFmtId="10" fontId="136" fillId="0" borderId="0" xfId="27" applyNumberFormat="1" applyFont="1" applyBorder="1" applyAlignment="1">
      <alignment horizontal="left" vertical="center"/>
    </xf>
    <xf numFmtId="43" fontId="17" fillId="0" borderId="0" xfId="32" applyNumberFormat="1" applyFont="1" applyBorder="1" applyAlignment="1">
      <alignment horizontal="center" vertical="center"/>
    </xf>
    <xf numFmtId="43" fontId="124" fillId="0" borderId="0" xfId="32" applyNumberFormat="1" applyFont="1" applyBorder="1" applyAlignment="1">
      <alignment horizontal="center" vertical="center"/>
    </xf>
    <xf numFmtId="0" fontId="134" fillId="6" borderId="3" xfId="0" applyFont="1" applyFill="1" applyBorder="1" applyAlignment="1" applyProtection="1">
      <alignment horizontal="center" vertical="center"/>
    </xf>
    <xf numFmtId="0" fontId="135" fillId="6" borderId="3" xfId="0" applyFont="1" applyFill="1" applyBorder="1" applyAlignment="1" applyProtection="1">
      <alignment vertical="center"/>
    </xf>
    <xf numFmtId="0" fontId="134" fillId="6" borderId="3" xfId="0" applyFont="1" applyFill="1" applyBorder="1" applyAlignment="1" applyProtection="1">
      <alignment vertical="center"/>
    </xf>
    <xf numFmtId="187" fontId="130" fillId="6" borderId="7" xfId="41" applyFont="1" applyFill="1" applyBorder="1" applyAlignment="1" applyProtection="1">
      <alignment horizontal="center" vertical="center" wrapText="1"/>
      <protection locked="0"/>
    </xf>
    <xf numFmtId="187" fontId="130" fillId="6" borderId="5" xfId="41" applyFont="1" applyFill="1" applyBorder="1" applyAlignment="1" applyProtection="1">
      <alignment horizontal="center" vertical="center" wrapText="1"/>
      <protection locked="0"/>
    </xf>
    <xf numFmtId="187" fontId="130" fillId="6" borderId="6" xfId="41" applyFont="1" applyFill="1" applyBorder="1" applyAlignment="1" applyProtection="1">
      <alignment horizontal="center" vertical="center" wrapText="1"/>
      <protection locked="0"/>
    </xf>
    <xf numFmtId="187" fontId="134" fillId="6" borderId="3" xfId="42" applyNumberFormat="1" applyFont="1" applyFill="1" applyBorder="1" applyAlignment="1" applyProtection="1">
      <alignment horizontal="center" vertical="center" wrapText="1"/>
      <protection locked="0"/>
    </xf>
    <xf numFmtId="0" fontId="130" fillId="6" borderId="3" xfId="42" applyFont="1" applyFill="1" applyBorder="1" applyAlignment="1" applyProtection="1">
      <alignment horizontal="center" vertical="center" wrapText="1"/>
      <protection locked="0"/>
    </xf>
    <xf numFmtId="0" fontId="33" fillId="0" borderId="0" xfId="0" applyFont="1" applyAlignment="1">
      <alignment horizontal="center" vertical="center"/>
      <protection locked="0"/>
    </xf>
    <xf numFmtId="0" fontId="17" fillId="0" borderId="0" xfId="0" applyFont="1" applyAlignment="1">
      <alignment horizontal="center" vertical="center"/>
      <protection locked="0"/>
    </xf>
    <xf numFmtId="0" fontId="46" fillId="0" borderId="0" xfId="0" applyFont="1" applyAlignment="1">
      <alignment horizontal="center" vertical="center"/>
      <protection locked="0"/>
    </xf>
    <xf numFmtId="0" fontId="31" fillId="6" borderId="7" xfId="0" applyFont="1" applyFill="1" applyBorder="1" applyAlignment="1">
      <alignment horizontal="center" vertical="center" wrapText="1"/>
      <protection locked="0"/>
    </xf>
    <xf numFmtId="0" fontId="31" fillId="6" borderId="5" xfId="0" applyFont="1" applyFill="1" applyBorder="1" applyAlignment="1">
      <alignment horizontal="center" vertical="center" wrapText="1"/>
      <protection locked="0"/>
    </xf>
    <xf numFmtId="0" fontId="31" fillId="6" borderId="6" xfId="0" applyFont="1" applyFill="1" applyBorder="1" applyAlignment="1">
      <alignment horizontal="center" vertical="center" wrapText="1"/>
      <protection locked="0"/>
    </xf>
    <xf numFmtId="0" fontId="130" fillId="6" borderId="3" xfId="0" applyFont="1" applyFill="1" applyBorder="1" applyAlignment="1">
      <alignment horizontal="center" vertical="center" wrapText="1"/>
      <protection locked="0"/>
    </xf>
    <xf numFmtId="0" fontId="130" fillId="6" borderId="11" xfId="0" applyFont="1" applyFill="1" applyBorder="1" applyAlignment="1">
      <alignment horizontal="center" vertical="center" wrapText="1"/>
      <protection locked="0"/>
    </xf>
    <xf numFmtId="0" fontId="130" fillId="6" borderId="8" xfId="0" applyFont="1" applyFill="1" applyBorder="1" applyAlignment="1">
      <alignment horizontal="center" vertical="center" wrapText="1"/>
      <protection locked="0"/>
    </xf>
    <xf numFmtId="0" fontId="31" fillId="6" borderId="3" xfId="0" applyFont="1" applyFill="1" applyBorder="1" applyAlignment="1">
      <alignment horizontal="center" vertical="center" wrapText="1"/>
      <protection locked="0"/>
    </xf>
    <xf numFmtId="0" fontId="31" fillId="6" borderId="11" xfId="0" applyFont="1" applyFill="1" applyBorder="1" applyAlignment="1">
      <alignment horizontal="center" vertical="center" wrapText="1"/>
      <protection locked="0"/>
    </xf>
    <xf numFmtId="0" fontId="31" fillId="6" borderId="8" xfId="0" applyFont="1" applyFill="1" applyBorder="1" applyAlignment="1">
      <alignment horizontal="center" vertical="center" wrapText="1"/>
      <protection locked="0"/>
    </xf>
    <xf numFmtId="0" fontId="17" fillId="0" borderId="0" xfId="29" applyFont="1" applyAlignment="1">
      <alignment horizontal="center" vertical="center" wrapText="1"/>
    </xf>
    <xf numFmtId="0" fontId="124" fillId="0" borderId="0" xfId="29" applyFont="1" applyAlignment="1">
      <alignment horizontal="center" vertical="center" wrapText="1"/>
    </xf>
    <xf numFmtId="0" fontId="43" fillId="6" borderId="11" xfId="0" applyFont="1" applyFill="1" applyBorder="1" applyAlignment="1">
      <alignment horizontal="center" vertical="center" wrapText="1"/>
      <protection locked="0"/>
    </xf>
    <xf numFmtId="0" fontId="43" fillId="6" borderId="3" xfId="0" applyFont="1" applyFill="1" applyBorder="1" applyAlignment="1">
      <alignment horizontal="center" vertical="center" wrapText="1"/>
      <protection locked="0"/>
    </xf>
    <xf numFmtId="0" fontId="129" fillId="0" borderId="0" xfId="38" applyFont="1" applyFill="1" applyBorder="1" applyAlignment="1" applyProtection="1">
      <alignment horizontal="left" vertical="center" wrapText="1"/>
      <protection locked="0"/>
    </xf>
    <xf numFmtId="0" fontId="32" fillId="0" borderId="0" xfId="38" applyFont="1" applyFill="1" applyBorder="1" applyAlignment="1" applyProtection="1">
      <alignment horizontal="left" vertical="center" wrapText="1"/>
      <protection locked="0"/>
    </xf>
    <xf numFmtId="0" fontId="17" fillId="0" borderId="0" xfId="44" applyFont="1" applyBorder="1" applyAlignment="1">
      <alignment horizontal="center" vertical="center" wrapText="1"/>
    </xf>
    <xf numFmtId="0" fontId="124" fillId="0" borderId="0" xfId="44" applyFont="1" applyBorder="1" applyAlignment="1">
      <alignment horizontal="center" vertical="center" wrapText="1"/>
    </xf>
    <xf numFmtId="0" fontId="43" fillId="0" borderId="10" xfId="385" applyFont="1" applyFill="1" applyBorder="1" applyAlignment="1">
      <alignment horizontal="left" vertical="top"/>
    </xf>
    <xf numFmtId="0" fontId="15" fillId="0" borderId="15" xfId="385" applyFont="1" applyFill="1" applyBorder="1" applyAlignment="1">
      <alignment horizontal="left" vertical="top"/>
    </xf>
    <xf numFmtId="0" fontId="15" fillId="0" borderId="16" xfId="385" applyFont="1" applyFill="1" applyBorder="1" applyAlignment="1">
      <alignment horizontal="left" vertical="top"/>
    </xf>
    <xf numFmtId="0" fontId="15" fillId="0" borderId="29" xfId="385" applyFont="1" applyFill="1" applyBorder="1" applyAlignment="1">
      <alignment horizontal="left" vertical="top"/>
    </xf>
    <xf numFmtId="0" fontId="15" fillId="0" borderId="0" xfId="385" applyFont="1" applyFill="1" applyBorder="1" applyAlignment="1">
      <alignment horizontal="left" vertical="top"/>
    </xf>
    <xf numFmtId="0" fontId="15" fillId="0" borderId="31" xfId="385" applyFont="1" applyFill="1" applyBorder="1" applyAlignment="1">
      <alignment horizontal="left" vertical="top"/>
    </xf>
    <xf numFmtId="0" fontId="15" fillId="0" borderId="4" xfId="385" applyFont="1" applyFill="1" applyBorder="1" applyAlignment="1">
      <alignment horizontal="left" vertical="top"/>
    </xf>
    <xf numFmtId="0" fontId="15" fillId="0" borderId="30" xfId="385" applyFont="1" applyFill="1" applyBorder="1" applyAlignment="1">
      <alignment horizontal="left" vertical="top"/>
    </xf>
    <xf numFmtId="0" fontId="15" fillId="0" borderId="32" xfId="385" applyFont="1" applyFill="1" applyBorder="1" applyAlignment="1">
      <alignment horizontal="left" vertical="top"/>
    </xf>
    <xf numFmtId="0" fontId="31" fillId="0" borderId="10" xfId="0" applyFont="1" applyBorder="1" applyAlignment="1">
      <alignment horizontal="left" vertical="top"/>
      <protection locked="0"/>
    </xf>
    <xf numFmtId="0" fontId="31" fillId="0" borderId="15" xfId="0" applyFont="1" applyBorder="1" applyAlignment="1">
      <alignment horizontal="left" vertical="top"/>
      <protection locked="0"/>
    </xf>
    <xf numFmtId="0" fontId="31" fillId="0" borderId="16" xfId="0" applyFont="1" applyBorder="1" applyAlignment="1">
      <alignment horizontal="left" vertical="top"/>
      <protection locked="0"/>
    </xf>
    <xf numFmtId="0" fontId="31" fillId="0" borderId="29" xfId="0" applyFont="1" applyBorder="1" applyAlignment="1">
      <alignment horizontal="left" vertical="top"/>
      <protection locked="0"/>
    </xf>
    <xf numFmtId="0" fontId="31" fillId="0" borderId="0" xfId="0" applyFont="1" applyBorder="1" applyAlignment="1">
      <alignment horizontal="left" vertical="top"/>
      <protection locked="0"/>
    </xf>
    <xf numFmtId="0" fontId="31" fillId="0" borderId="31" xfId="0" applyFont="1" applyBorder="1" applyAlignment="1">
      <alignment horizontal="left" vertical="top"/>
      <protection locked="0"/>
    </xf>
    <xf numFmtId="0" fontId="31" fillId="0" borderId="4" xfId="0" applyFont="1" applyBorder="1" applyAlignment="1">
      <alignment horizontal="left" vertical="top"/>
      <protection locked="0"/>
    </xf>
    <xf numFmtId="0" fontId="31" fillId="0" borderId="30" xfId="0" applyFont="1" applyBorder="1" applyAlignment="1">
      <alignment horizontal="left" vertical="top"/>
      <protection locked="0"/>
    </xf>
    <xf numFmtId="0" fontId="31" fillId="0" borderId="32" xfId="0" applyFont="1" applyBorder="1" applyAlignment="1">
      <alignment horizontal="left" vertical="top"/>
      <protection locked="0"/>
    </xf>
    <xf numFmtId="0" fontId="124" fillId="0" borderId="0" xfId="0" applyFont="1" applyAlignment="1">
      <alignment horizontal="center" vertical="center"/>
      <protection locked="0"/>
    </xf>
    <xf numFmtId="0" fontId="38" fillId="6" borderId="7" xfId="28" applyFont="1" applyFill="1" applyBorder="1" applyAlignment="1">
      <alignment horizontal="center" vertical="center"/>
      <protection locked="0"/>
    </xf>
    <xf numFmtId="0" fontId="38" fillId="6" borderId="6" xfId="28" applyFont="1" applyFill="1" applyBorder="1" applyAlignment="1">
      <alignment horizontal="center" vertical="center"/>
      <protection locked="0"/>
    </xf>
    <xf numFmtId="0" fontId="31" fillId="6" borderId="11" xfId="28" applyFont="1" applyFill="1" applyBorder="1" applyAlignment="1">
      <alignment horizontal="center" vertical="center" wrapText="1"/>
      <protection locked="0"/>
    </xf>
    <xf numFmtId="0" fontId="31" fillId="6" borderId="8" xfId="28" applyFont="1" applyFill="1" applyBorder="1" applyAlignment="1">
      <alignment horizontal="center" vertical="center" wrapText="1"/>
      <protection locked="0"/>
    </xf>
    <xf numFmtId="0" fontId="31" fillId="0" borderId="29" xfId="28" applyFont="1" applyFill="1" applyBorder="1" applyAlignment="1">
      <alignment horizontal="center" vertical="center" wrapText="1"/>
      <protection locked="0"/>
    </xf>
    <xf numFmtId="0" fontId="130" fillId="6" borderId="11" xfId="28" applyFont="1" applyFill="1" applyBorder="1" applyAlignment="1">
      <alignment horizontal="center" vertical="center" wrapText="1"/>
      <protection locked="0"/>
    </xf>
    <xf numFmtId="0" fontId="130" fillId="6" borderId="8" xfId="28" applyFont="1" applyFill="1" applyBorder="1" applyAlignment="1">
      <alignment horizontal="center" vertical="center" wrapText="1"/>
      <protection locked="0"/>
    </xf>
    <xf numFmtId="0" fontId="43" fillId="6" borderId="10" xfId="28" applyFont="1" applyFill="1" applyBorder="1" applyAlignment="1">
      <alignment horizontal="center" vertical="center" wrapText="1"/>
      <protection locked="0"/>
    </xf>
    <xf numFmtId="0" fontId="31" fillId="6" borderId="4" xfId="28" applyFont="1" applyFill="1" applyBorder="1" applyAlignment="1">
      <alignment horizontal="center" vertical="center" wrapText="1"/>
      <protection locked="0"/>
    </xf>
    <xf numFmtId="0" fontId="31" fillId="6" borderId="10" xfId="28" applyFont="1" applyFill="1" applyBorder="1" applyAlignment="1">
      <alignment horizontal="center" vertical="center" wrapText="1"/>
      <protection locked="0"/>
    </xf>
    <xf numFmtId="0" fontId="17" fillId="0" borderId="0" xfId="29" applyFont="1" applyAlignment="1">
      <alignment horizontal="center" vertical="center"/>
    </xf>
    <xf numFmtId="0" fontId="124" fillId="0" borderId="0" xfId="29" applyFont="1" applyAlignment="1">
      <alignment horizontal="center" vertical="center"/>
    </xf>
    <xf numFmtId="0" fontId="43" fillId="6" borderId="11" xfId="28" applyFont="1" applyFill="1" applyBorder="1" applyAlignment="1">
      <alignment horizontal="center" vertical="center" wrapText="1"/>
      <protection locked="0"/>
    </xf>
    <xf numFmtId="0" fontId="130" fillId="6" borderId="3" xfId="28" applyFont="1" applyFill="1" applyBorder="1" applyAlignment="1">
      <alignment horizontal="center" vertical="center" wrapText="1"/>
      <protection locked="0"/>
    </xf>
    <xf numFmtId="0" fontId="134" fillId="6" borderId="3" xfId="386" applyNumberFormat="1" applyFont="1" applyFill="1" applyBorder="1" applyAlignment="1" applyProtection="1">
      <alignment horizontal="center" vertical="center" wrapText="1"/>
    </xf>
    <xf numFmtId="0" fontId="43" fillId="6" borderId="3" xfId="28" applyFont="1" applyFill="1" applyBorder="1" applyAlignment="1">
      <alignment horizontal="center" vertical="center"/>
      <protection locked="0"/>
    </xf>
    <xf numFmtId="0" fontId="66" fillId="48" borderId="3" xfId="28" applyNumberFormat="1" applyFont="1" applyFill="1" applyBorder="1" applyAlignment="1" applyProtection="1">
      <alignment horizontal="center" vertical="center" wrapText="1"/>
    </xf>
    <xf numFmtId="0" fontId="144" fillId="48" borderId="3" xfId="28" applyNumberFormat="1" applyFont="1" applyFill="1" applyBorder="1" applyAlignment="1" applyProtection="1">
      <alignment horizontal="center" vertical="center" wrapText="1"/>
    </xf>
    <xf numFmtId="0" fontId="43" fillId="48" borderId="3" xfId="28" applyNumberFormat="1" applyFont="1" applyFill="1" applyBorder="1" applyAlignment="1" applyProtection="1">
      <alignment horizontal="center" vertical="center" wrapText="1"/>
    </xf>
    <xf numFmtId="0" fontId="66" fillId="0" borderId="29" xfId="28" applyNumberFormat="1" applyFont="1" applyFill="1" applyBorder="1" applyAlignment="1" applyProtection="1">
      <alignment horizontal="center" vertical="center" wrapText="1"/>
    </xf>
    <xf numFmtId="0" fontId="43" fillId="0" borderId="0" xfId="28" applyNumberFormat="1" applyFont="1" applyFill="1" applyBorder="1" applyAlignment="1" applyProtection="1">
      <alignment horizontal="center" vertical="center" wrapText="1"/>
    </xf>
  </cellXfs>
  <cellStyles count="389">
    <cellStyle name="?" xfId="1"/>
    <cellStyle name="?餡_x000c_k" xfId="48"/>
    <cellStyle name="?餡_x000c_k?_x000d_^" xfId="49"/>
    <cellStyle name="?餡_x000c_k?_x000d_^黇_x0001_??_x0007__x0001__x0001_" xfId="50"/>
    <cellStyle name="@_text" xfId="2"/>
    <cellStyle name="_10月报表" xfId="200"/>
    <cellStyle name="_2005审计报表及附注-中国建材股份模板（房屋）" xfId="51"/>
    <cellStyle name="_2006年年报审计PBC表-XXX" xfId="52"/>
    <cellStyle name="_2006年年报审计填报资料" xfId="53"/>
    <cellStyle name="_2008-2010研发费用" xfId="201"/>
    <cellStyle name="_2009存货处理" xfId="202"/>
    <cellStyle name="_2009收入调整" xfId="203"/>
    <cellStyle name="_Book1" xfId="54"/>
    <cellStyle name="_Book1_ND1 应付账款_实质性程序re" xfId="204"/>
    <cellStyle name="_PBC审核提示" xfId="55"/>
    <cellStyle name="_TP~GB1 应收账款_实质性程序_YHY" xfId="205"/>
    <cellStyle name="_宝丽华房地产20051231" xfId="56"/>
    <cellStyle name="_保证金-企业填写部分" xfId="57"/>
    <cellStyle name="_报表调整-新大陆电脑_20070325" xfId="206"/>
    <cellStyle name="_北新房屋2004年审-刘" xfId="58"/>
    <cellStyle name="_北新股份2005年审工作底稿" xfId="59"/>
    <cellStyle name="_北新建材关连交易基础表051230（10－12月版）更新稿" xfId="60"/>
    <cellStyle name="_北新建材-会计报表附注模版" xfId="61"/>
    <cellStyle name="_北新龙之星2004年审工作底稿" xfId="62"/>
    <cellStyle name="_北新物流2005底稿-刘" xfId="63"/>
    <cellStyle name="_北新置换memo" xfId="64"/>
    <cellStyle name="_存货结转测试" xfId="65"/>
    <cellStyle name="_存货数量与明细05.12" xfId="66"/>
    <cellStyle name="_单体" xfId="207"/>
    <cellStyle name="_单体_ND1 应付账款_实质性程序re" xfId="208"/>
    <cellStyle name="_单体_SA1营业收入_实质性程序_YHY20101026" xfId="209"/>
    <cellStyle name="_单体_底稿_F14_辽阳项目部_2007（张）" xfId="210"/>
    <cellStyle name="_单体_底稿_F14_辽阳项目部_2007（张）_SA1营业收入_实质性程序_YHY20101026" xfId="211"/>
    <cellStyle name="_单体_附件3-账面收入分析10" xfId="212"/>
    <cellStyle name="_单体_附件3-账面收入分析3" xfId="213"/>
    <cellStyle name="_单体_附件3-账面收入分析终" xfId="214"/>
    <cellStyle name="_单体_个别报表_200912_亿中邮" xfId="215"/>
    <cellStyle name="_单体_个别报表_200912_亿中邮（截止2010年3月）" xfId="216"/>
    <cellStyle name="_单体_个别报表_200912_亿中邮_附件3-账面收入分析10" xfId="217"/>
    <cellStyle name="_单体_个别报表_200912_亿中邮_附件3-账面收入分析3" xfId="218"/>
    <cellStyle name="_单体_吉林化建_2007_项目部" xfId="219"/>
    <cellStyle name="_单体_吉林化建_2007_项目部_SA1营业收入_实质性程序_YHY20101026" xfId="220"/>
    <cellStyle name="_单体_年度工程结算单检查" xfId="221"/>
    <cellStyle name="_单体_年度工程结算单检查_SA1营业收入_实质性程序_YHY20101026" xfId="222"/>
    <cellStyle name="_单体_圣农发展_2008年1-6月_销售收款循环-小叶" xfId="223"/>
    <cellStyle name="_单体_圣农发展_2008年1-6月_销售收款循环-小叶_ND1 应付账款_实质性程序re" xfId="224"/>
    <cellStyle name="_单体_天健会计报表（母表）" xfId="225"/>
    <cellStyle name="_单体_天健会计报表（母表）_ND1 应付账款_实质性程序re" xfId="226"/>
    <cellStyle name="_单体_天健会计报表（母表）_SA1营业收入_实质性程序_YHY20101026" xfId="227"/>
    <cellStyle name="_单体_天健会计报表（母表）_附件3-账面收入分析10" xfId="228"/>
    <cellStyle name="_单体_天健会计报表（母表）_附件3-账面收入分析3" xfId="229"/>
    <cellStyle name="_单体_中油化建_2007_建筑公司项目部预审" xfId="230"/>
    <cellStyle name="_单体_中油化建_2007_建筑公司项目部预审_SA1营业收入_实质性程序_YHY20101026" xfId="231"/>
    <cellStyle name="_单体_中油化建_2007_项目部" xfId="232"/>
    <cellStyle name="_单体_中油化建_2007_项目部_SA1营业收入_实质性程序_YHY20101026" xfId="233"/>
    <cellStyle name="_底稿_F14_辽阳项目部_2007（张）" xfId="234"/>
    <cellStyle name="_底稿_F14_辽阳项目部_2007（张）_SA1营业收入_实质性程序_YHY20101026" xfId="235"/>
    <cellStyle name="_动力厂2004年审工作底稿-刘" xfId="67"/>
    <cellStyle name="_分工" xfId="68"/>
    <cellStyle name="_附件3-账面收入分析10" xfId="236"/>
    <cellStyle name="_附件3-账面收入分析3" xfId="237"/>
    <cellStyle name="_港务会计报表" xfId="238"/>
    <cellStyle name="_港务会计报表（送小明）" xfId="239"/>
    <cellStyle name="_港务会计报表（送小明）_ND1 应付账款_实质性程序re" xfId="240"/>
    <cellStyle name="_港务会计报表（送小明）_SA1营业收入_实质性程序_YHY20101026" xfId="241"/>
    <cellStyle name="_港务会计报表（送小明）_底稿_F14_辽阳项目部_2007（张）" xfId="242"/>
    <cellStyle name="_港务会计报表（送小明）_底稿_F14_辽阳项目部_2007（张）_SA1营业收入_实质性程序_YHY20101026" xfId="243"/>
    <cellStyle name="_港务会计报表（送小明）_附件3-账面收入分析10" xfId="244"/>
    <cellStyle name="_港务会计报表（送小明）_附件3-账面收入分析3" xfId="245"/>
    <cellStyle name="_港务会计报表（送小明）_附件3-账面收入分析终" xfId="246"/>
    <cellStyle name="_港务会计报表（送小明）_个别报表_200912_亿中邮" xfId="247"/>
    <cellStyle name="_港务会计报表（送小明）_个别报表_200912_亿中邮（截止2010年3月）" xfId="248"/>
    <cellStyle name="_港务会计报表（送小明）_个别报表_200912_亿中邮_附件3-账面收入分析10" xfId="249"/>
    <cellStyle name="_港务会计报表（送小明）_个别报表_200912_亿中邮_附件3-账面收入分析3" xfId="250"/>
    <cellStyle name="_港务会计报表（送小明）_吉林化建_2007_项目部" xfId="251"/>
    <cellStyle name="_港务会计报表（送小明）_吉林化建_2007_项目部_SA1营业收入_实质性程序_YHY20101026" xfId="252"/>
    <cellStyle name="_港务会计报表（送小明）_年度工程结算单检查" xfId="253"/>
    <cellStyle name="_港务会计报表（送小明）_年度工程结算单检查_SA1营业收入_实质性程序_YHY20101026" xfId="254"/>
    <cellStyle name="_港务会计报表（送小明）_圣农发展_2008年1-6月_销售收款循环-小叶" xfId="255"/>
    <cellStyle name="_港务会计报表（送小明）_圣农发展_2008年1-6月_销售收款循环-小叶_ND1 应付账款_实质性程序re" xfId="256"/>
    <cellStyle name="_港务会计报表（送小明）_天健会计报表（母表）" xfId="257"/>
    <cellStyle name="_港务会计报表（送小明）_天健会计报表（母表）_ND1 应付账款_实质性程序re" xfId="258"/>
    <cellStyle name="_港务会计报表（送小明）_天健会计报表（母表）_SA1营业收入_实质性程序_YHY20101026" xfId="259"/>
    <cellStyle name="_港务会计报表（送小明）_天健会计报表（母表）_附件3-账面收入分析10" xfId="260"/>
    <cellStyle name="_港务会计报表（送小明）_天健会计报表（母表）_附件3-账面收入分析3" xfId="261"/>
    <cellStyle name="_港务会计报表（送小明）_中油化建_2007_建筑公司项目部预审" xfId="262"/>
    <cellStyle name="_港务会计报表（送小明）_中油化建_2007_建筑公司项目部预审_SA1营业收入_实质性程序_YHY20101026" xfId="263"/>
    <cellStyle name="_港务会计报表（送小明）_中油化建_2007_项目部" xfId="264"/>
    <cellStyle name="_港务会计报表（送小明）_中油化建_2007_项目部_SA1营业收入_实质性程序_YHY20101026" xfId="265"/>
    <cellStyle name="_港务会计报表_ND1 应付账款_实质性程序re" xfId="266"/>
    <cellStyle name="_港务会计报表_SA1营业收入_实质性程序_YHY20101026" xfId="267"/>
    <cellStyle name="_港务会计报表_底稿_F14_辽阳项目部_2007（张）" xfId="268"/>
    <cellStyle name="_港务会计报表_底稿_F14_辽阳项目部_2007（张）_SA1营业收入_实质性程序_YHY20101026" xfId="269"/>
    <cellStyle name="_港务会计报表_附件3-账面收入分析10" xfId="270"/>
    <cellStyle name="_港务会计报表_附件3-账面收入分析3" xfId="271"/>
    <cellStyle name="_港务会计报表_附件3-账面收入分析终" xfId="272"/>
    <cellStyle name="_港务会计报表_个别报表_200912_亿中邮" xfId="273"/>
    <cellStyle name="_港务会计报表_个别报表_200912_亿中邮（截止2010年3月）" xfId="274"/>
    <cellStyle name="_港务会计报表_个别报表_200912_亿中邮_附件3-账面收入分析10" xfId="275"/>
    <cellStyle name="_港务会计报表_个别报表_200912_亿中邮_附件3-账面收入分析3" xfId="276"/>
    <cellStyle name="_港务会计报表_吉林化建_2007_项目部" xfId="277"/>
    <cellStyle name="_港务会计报表_吉林化建_2007_项目部_SA1营业收入_实质性程序_YHY20101026" xfId="278"/>
    <cellStyle name="_港务会计报表_年度工程结算单检查" xfId="279"/>
    <cellStyle name="_港务会计报表_年度工程结算单检查_SA1营业收入_实质性程序_YHY20101026" xfId="280"/>
    <cellStyle name="_港务会计报表_圣农发展_2008年1-6月_销售收款循环-小叶" xfId="281"/>
    <cellStyle name="_港务会计报表_圣农发展_2008年1-6月_销售收款循环-小叶_ND1 应付账款_实质性程序re" xfId="282"/>
    <cellStyle name="_港务会计报表_天健会计报表（母表）" xfId="283"/>
    <cellStyle name="_港务会计报表_天健会计报表（母表）_ND1 应付账款_实质性程序re" xfId="284"/>
    <cellStyle name="_港务会计报表_天健会计报表（母表）_SA1营业收入_实质性程序_YHY20101026" xfId="285"/>
    <cellStyle name="_港务会计报表_天健会计报表（母表）_附件3-账面收入分析10" xfId="286"/>
    <cellStyle name="_港务会计报表_天健会计报表（母表）_附件3-账面收入分析3" xfId="287"/>
    <cellStyle name="_港务会计报表_中油化建_2007_建筑公司项目部预审" xfId="288"/>
    <cellStyle name="_港务会计报表_中油化建_2007_建筑公司项目部预审_SA1营业收入_实质性程序_YHY20101026" xfId="289"/>
    <cellStyle name="_港务会计报表_中油化建_2007_项目部" xfId="290"/>
    <cellStyle name="_港务会计报表_中油化建_2007_项目部_SA1营业收入_实质性程序_YHY20101026" xfId="291"/>
    <cellStyle name="_个别报表_200806_圣农发展" xfId="292"/>
    <cellStyle name="_个别报表_200806_圣农发展_ND1 应付账款_实质性程序re" xfId="293"/>
    <cellStyle name="_个别报表_200912_亿中邮（截止2010年3月）" xfId="294"/>
    <cellStyle name="_个别报表_200912_亿中邮20100817" xfId="295"/>
    <cellStyle name="_个别报表_201003_亿中邮20100817" xfId="296"/>
    <cellStyle name="_工程施工项目现场审计提示" xfId="69"/>
    <cellStyle name="_关联交易" xfId="70"/>
    <cellStyle name="_关联交易、往来统计表" xfId="71"/>
    <cellStyle name="_建造合同-宜万指（正式版）" xfId="72"/>
    <cellStyle name="_科目核对表" xfId="73"/>
    <cellStyle name="_母PL" xfId="74"/>
    <cellStyle name="_人员分工备忘录" xfId="75"/>
    <cellStyle name="_审2008NZ020304_新大陆软件_2007_销售与收款循环" xfId="297"/>
    <cellStyle name="_审计所需资料清单－子公司" xfId="76"/>
    <cellStyle name="_生产经营数据统计（2008年中报）" xfId="298"/>
    <cellStyle name="_生产经营数据统计（2008年中报）_ND1 应付账款_实质性程序re" xfId="299"/>
    <cellStyle name="_生产经营数据统计（2008年中报饶）" xfId="300"/>
    <cellStyle name="_生产经营数据统计（2008年中报饶）_ND1 应付账款_实质性程序re" xfId="301"/>
    <cellStyle name="_圣农发展_2008年1-6月_销售收款循环-小叶" xfId="302"/>
    <cellStyle name="_项目结算情况-陈建" xfId="303"/>
    <cellStyle name="_销售合同清单2" xfId="304"/>
    <cellStyle name="_新大陆软件_2006_销售与收款循环_修改未审数10-16" xfId="305"/>
    <cellStyle name="_一公司建造合同前5名" xfId="77"/>
    <cellStyle name="_一公司－刘丰收" xfId="78"/>
    <cellStyle name="_亿中邮_2009_收入" xfId="306"/>
    <cellStyle name="_亿中邮_2009_收入_附件3-账面收入分析终" xfId="307"/>
    <cellStyle name="_亿中邮_2009_收入_个别报表_200912_亿中邮（截止2010年3月）" xfId="308"/>
    <cellStyle name="_长期借款－江阴" xfId="79"/>
    <cellStyle name="_子公司审计提示模版-Liufs" xfId="80"/>
    <cellStyle name="{Comma [0]}" xfId="3"/>
    <cellStyle name="{Comma}" xfId="4"/>
    <cellStyle name="{Date}" xfId="5"/>
    <cellStyle name="{Month}" xfId="6"/>
    <cellStyle name="{Percent}" xfId="7"/>
    <cellStyle name="{Thousand [0]}" xfId="8"/>
    <cellStyle name="{Thousand}" xfId="9"/>
    <cellStyle name="{Z'0000(1 dec)}" xfId="10"/>
    <cellStyle name="{Z'0000(4 dec)}" xfId="11"/>
    <cellStyle name="=C:\WINDOWS\SYSTEM32\COMMAND.COM" xfId="309"/>
    <cellStyle name="0%" xfId="81"/>
    <cellStyle name="0,0_x000d__x000a_NA_x000d__x000a_" xfId="310"/>
    <cellStyle name="0.0%" xfId="82"/>
    <cellStyle name="0.00%" xfId="83"/>
    <cellStyle name="20% - Accent1" xfId="84"/>
    <cellStyle name="20% - Accent2" xfId="85"/>
    <cellStyle name="20% - Accent3" xfId="86"/>
    <cellStyle name="20% - Accent4" xfId="87"/>
    <cellStyle name="20% - Accent5" xfId="88"/>
    <cellStyle name="20% - Accent6" xfId="89"/>
    <cellStyle name="40% - Accent1" xfId="90"/>
    <cellStyle name="40% - Accent2" xfId="91"/>
    <cellStyle name="40% - Accent3" xfId="92"/>
    <cellStyle name="40% - Accent4" xfId="93"/>
    <cellStyle name="40% - Accent5" xfId="94"/>
    <cellStyle name="40% - Accent6" xfId="95"/>
    <cellStyle name="60% - Accent1" xfId="96"/>
    <cellStyle name="60% - Accent2" xfId="97"/>
    <cellStyle name="60% - Accent3" xfId="98"/>
    <cellStyle name="60% - Accent4" xfId="99"/>
    <cellStyle name="60% - Accent5" xfId="100"/>
    <cellStyle name="60% - Accent6" xfId="101"/>
    <cellStyle name="Accent1" xfId="102"/>
    <cellStyle name="Accent1 - 20%" xfId="311"/>
    <cellStyle name="Accent1 - 40%" xfId="312"/>
    <cellStyle name="Accent1 - 60%" xfId="313"/>
    <cellStyle name="Accent2" xfId="103"/>
    <cellStyle name="Accent2 - 20%" xfId="314"/>
    <cellStyle name="Accent2 - 40%" xfId="315"/>
    <cellStyle name="Accent2 - 60%" xfId="316"/>
    <cellStyle name="Accent3" xfId="104"/>
    <cellStyle name="Accent3 - 20%" xfId="317"/>
    <cellStyle name="Accent3 - 40%" xfId="318"/>
    <cellStyle name="Accent3 - 60%" xfId="319"/>
    <cellStyle name="Accent4" xfId="105"/>
    <cellStyle name="Accent4 - 20%" xfId="320"/>
    <cellStyle name="Accent4 - 40%" xfId="321"/>
    <cellStyle name="Accent4 - 60%" xfId="322"/>
    <cellStyle name="Accent5" xfId="106"/>
    <cellStyle name="Accent5 - 20%" xfId="323"/>
    <cellStyle name="Accent5 - 40%" xfId="324"/>
    <cellStyle name="Accent5 - 60%" xfId="325"/>
    <cellStyle name="Accent6" xfId="107"/>
    <cellStyle name="Accent6 - 20%" xfId="326"/>
    <cellStyle name="Accent6 - 40%" xfId="327"/>
    <cellStyle name="Accent6 - 60%" xfId="328"/>
    <cellStyle name="Bad" xfId="108"/>
    <cellStyle name="Black" xfId="12"/>
    <cellStyle name="Border" xfId="13"/>
    <cellStyle name="Calc Currency (0)" xfId="109"/>
    <cellStyle name="Calculation" xfId="110"/>
    <cellStyle name="Check Cell" xfId="111"/>
    <cellStyle name="Col Heads" xfId="112"/>
    <cellStyle name="Column_Title" xfId="113"/>
    <cellStyle name="Comma  - Style1" xfId="114"/>
    <cellStyle name="Comma  - Style2" xfId="115"/>
    <cellStyle name="Comma  - Style3" xfId="116"/>
    <cellStyle name="Comma  - Style4" xfId="117"/>
    <cellStyle name="Comma  - Style5" xfId="118"/>
    <cellStyle name="Comma  - Style6" xfId="119"/>
    <cellStyle name="Comma  - Style7" xfId="120"/>
    <cellStyle name="Comma  - Style8" xfId="121"/>
    <cellStyle name="Comma [0]_ rislugp" xfId="122"/>
    <cellStyle name="Comma,0" xfId="123"/>
    <cellStyle name="Comma,1" xfId="124"/>
    <cellStyle name="Comma,2" xfId="125"/>
    <cellStyle name="Comma_ rislugp" xfId="126"/>
    <cellStyle name="Currency [0]_ rislugp" xfId="127"/>
    <cellStyle name="Currency,0" xfId="128"/>
    <cellStyle name="Currency,2" xfId="129"/>
    <cellStyle name="Currency_ rislugp" xfId="130"/>
    <cellStyle name="Dezimal [0]_laroux" xfId="14"/>
    <cellStyle name="Dezimal_laroux" xfId="15"/>
    <cellStyle name="entry" xfId="131"/>
    <cellStyle name="entry box" xfId="132"/>
    <cellStyle name="Euro" xfId="16"/>
    <cellStyle name="Excel Built-in Normal" xfId="329"/>
    <cellStyle name="Explanatory Text" xfId="133"/>
    <cellStyle name="Followed Hyperlink_AheadBehind.xls Chart 23" xfId="17"/>
    <cellStyle name="Good" xfId="134"/>
    <cellStyle name="Grey" xfId="18"/>
    <cellStyle name="Header1" xfId="135"/>
    <cellStyle name="Header2" xfId="136"/>
    <cellStyle name="Heading" xfId="137"/>
    <cellStyle name="Heading 1" xfId="138"/>
    <cellStyle name="Heading 2" xfId="139"/>
    <cellStyle name="Heading 3" xfId="140"/>
    <cellStyle name="Heading 4" xfId="141"/>
    <cellStyle name="Hyperlink_AheadBehind.xls Chart 23" xfId="19"/>
    <cellStyle name="Input" xfId="142"/>
    <cellStyle name="Input [yellow]" xfId="20"/>
    <cellStyle name="jktitle" xfId="330"/>
    <cellStyle name="left" xfId="143"/>
    <cellStyle name="Linked Cell" xfId="144"/>
    <cellStyle name="Millares [0]_laroux" xfId="145"/>
    <cellStyle name="Millares_laroux" xfId="146"/>
    <cellStyle name="Milliers [0]_laroux" xfId="21"/>
    <cellStyle name="Milliers_laroux" xfId="22"/>
    <cellStyle name="Moneda [0]_laroux" xfId="147"/>
    <cellStyle name="Moneda_laroux" xfId="148"/>
    <cellStyle name="Mon閠aire [0]_laroux" xfId="149"/>
    <cellStyle name="Mon閠aire_laroux" xfId="150"/>
    <cellStyle name="Neutral" xfId="151"/>
    <cellStyle name="NewStyle" xfId="331"/>
    <cellStyle name="no dec" xfId="152"/>
    <cellStyle name="Non défini" xfId="23"/>
    <cellStyle name="Normal - Style1" xfId="24"/>
    <cellStyle name="Normal 2" xfId="37"/>
    <cellStyle name="Normal 2 2" xfId="153"/>
    <cellStyle name="Normal 3 2" xfId="36"/>
    <cellStyle name="Normal_ rislugp" xfId="154"/>
    <cellStyle name="Normalny_Arkusz1" xfId="155"/>
    <cellStyle name="Note" xfId="156"/>
    <cellStyle name="Output" xfId="157"/>
    <cellStyle name="Percent (0)" xfId="158"/>
    <cellStyle name="Percent [2]" xfId="25"/>
    <cellStyle name="Prefilled" xfId="159"/>
    <cellStyle name="price" xfId="160"/>
    <cellStyle name="Red" xfId="26"/>
    <cellStyle name="revised" xfId="161"/>
    <cellStyle name="row_def_array" xfId="332"/>
    <cellStyle name="section" xfId="162"/>
    <cellStyle name="style" xfId="163"/>
    <cellStyle name="style1" xfId="164"/>
    <cellStyle name="style2" xfId="165"/>
    <cellStyle name="Tickmark" xfId="166"/>
    <cellStyle name="title" xfId="167"/>
    <cellStyle name="Total" xfId="168"/>
    <cellStyle name="Warning Text" xfId="169"/>
    <cellStyle name="WPEの数" xfId="333"/>
    <cellStyle name="WPEの字" xfId="334"/>
    <cellStyle name="wrap" xfId="170"/>
    <cellStyle name="パーセント_laroux" xfId="171"/>
    <cellStyle name="_laroux" xfId="335"/>
    <cellStyle name="だ_laroux" xfId="336"/>
    <cellStyle name="百分比" xfId="27" builtinId="5"/>
    <cellStyle name="百分比 2" xfId="43"/>
    <cellStyle name="百分比 2 2" xfId="337"/>
    <cellStyle name="百分比 3" xfId="338"/>
    <cellStyle name="百分比 3 2" xfId="339"/>
    <cellStyle name="百分比 4" xfId="340"/>
    <cellStyle name="捠壿 [0.00]_PRODUCT DETAIL Q1" xfId="341"/>
    <cellStyle name="捠壿_PRODUCT DETAIL Q1" xfId="342"/>
    <cellStyle name="標準_１１月価格表" xfId="172"/>
    <cellStyle name="表标题" xfId="343"/>
    <cellStyle name="差_GF1 其他应收款_实质性程序-" xfId="344"/>
    <cellStyle name="差_RESULTS" xfId="345"/>
    <cellStyle name="常规" xfId="0" builtinId="0"/>
    <cellStyle name="常规 10" xfId="346"/>
    <cellStyle name="常规 11" xfId="347"/>
    <cellStyle name="常规 11 5" xfId="388"/>
    <cellStyle name="常规 12" xfId="348"/>
    <cellStyle name="常规 13" xfId="384"/>
    <cellStyle name="常规 2" xfId="28"/>
    <cellStyle name="常规 2 2" xfId="38"/>
    <cellStyle name="常规 2 2 2" xfId="173"/>
    <cellStyle name="常规 2 3" xfId="174"/>
    <cellStyle name="常规 2 4" xfId="198"/>
    <cellStyle name="常规 2 8" xfId="46"/>
    <cellStyle name="常规 3" xfId="42"/>
    <cellStyle name="常规 3 16" xfId="386"/>
    <cellStyle name="常规 3 2" xfId="175"/>
    <cellStyle name="常规 3 3" xfId="349"/>
    <cellStyle name="常规 4" xfId="41"/>
    <cellStyle name="常规 4 2" xfId="350"/>
    <cellStyle name="常规 5" xfId="176"/>
    <cellStyle name="常规 5 2" xfId="177"/>
    <cellStyle name="常规 6" xfId="47"/>
    <cellStyle name="常规 7" xfId="351"/>
    <cellStyle name="常规 8" xfId="352"/>
    <cellStyle name="常规 9" xfId="353"/>
    <cellStyle name="常规_2-1项目审定表－模板" xfId="44"/>
    <cellStyle name="常规_Book1" xfId="29"/>
    <cellStyle name="常规_Book1 2" xfId="383"/>
    <cellStyle name="常规_c-资产类" xfId="382"/>
    <cellStyle name="常规_sheet" xfId="30"/>
    <cellStyle name="常规_WOOKSHEET2" xfId="40"/>
    <cellStyle name="常规_ZD－应收账款" xfId="385"/>
    <cellStyle name="常规_进一步审计程序--销售与收款循环" xfId="31"/>
    <cellStyle name="常规_新审定表" xfId="32"/>
    <cellStyle name="常规_制造费用" xfId="33"/>
    <cellStyle name="常规_制造费用 2" xfId="387"/>
    <cellStyle name="超级链接_B4-1审计项目工时预算与控制表(集团)" xfId="178"/>
    <cellStyle name="超链接" xfId="34" builtinId="8"/>
    <cellStyle name="超链接 2" xfId="179"/>
    <cellStyle name="超链接 2 2" xfId="180"/>
    <cellStyle name="分级显示行_1_4附件二凯旋评估表" xfId="181"/>
    <cellStyle name="好_GF1 其他应收款_实质性程序" xfId="354"/>
    <cellStyle name="好_GF1 其他应收款_实质性程序-" xfId="355"/>
    <cellStyle name="好_ND1 应付账款_实质性程序" xfId="356"/>
    <cellStyle name="好_ND1 应付账款_实质性程序re" xfId="357"/>
    <cellStyle name="好_NEW1圣农发展_2008_生产与仓储循环" xfId="358"/>
    <cellStyle name="好_RESULTS" xfId="359"/>
    <cellStyle name="好_UD1 管理费用_实质性程序" xfId="360"/>
    <cellStyle name="好_茹萍核对" xfId="361"/>
    <cellStyle name="好_茹萍凭证测试" xfId="362"/>
    <cellStyle name="桁区切り [0.00]_１１月価格表" xfId="182"/>
    <cellStyle name="桁区切り_１１月価格表" xfId="183"/>
    <cellStyle name="霓付 [0]_1202" xfId="363"/>
    <cellStyle name="霓付_1202" xfId="364"/>
    <cellStyle name="烹拳 [0]_1202" xfId="365"/>
    <cellStyle name="烹拳_1202" xfId="366"/>
    <cellStyle name="普通_ 白土" xfId="184"/>
    <cellStyle name="千分位[0]_ 白土" xfId="185"/>
    <cellStyle name="千分位_ 白土" xfId="186"/>
    <cellStyle name="千位[0]_97汇总" xfId="187"/>
    <cellStyle name="千位_97汇总" xfId="188"/>
    <cellStyle name="千位分隔" xfId="35" builtinId="3"/>
    <cellStyle name="千位分隔 2" xfId="39"/>
    <cellStyle name="千位分隔 2 2" xfId="45"/>
    <cellStyle name="千位分隔 2 2 2" xfId="367"/>
    <cellStyle name="千位分隔 2 3" xfId="368"/>
    <cellStyle name="千位分隔 2 4" xfId="369"/>
    <cellStyle name="千位分隔 2 5" xfId="370"/>
    <cellStyle name="千位分隔 3" xfId="189"/>
    <cellStyle name="千位分隔 3 2" xfId="371"/>
    <cellStyle name="千位分隔 4" xfId="199"/>
    <cellStyle name="千位分隔 5" xfId="372"/>
    <cellStyle name="千位分隔 6" xfId="373"/>
    <cellStyle name="千位分隔[0] 2" xfId="374"/>
    <cellStyle name="钎霖_(沥焊何巩)岿喊牢盔拌裙" xfId="375"/>
    <cellStyle name="强调 1" xfId="376"/>
    <cellStyle name="强调 2" xfId="377"/>
    <cellStyle name="强调 3" xfId="378"/>
    <cellStyle name="通貨 [0.00]_１１月価格表" xfId="190"/>
    <cellStyle name="通貨_１１月価格表" xfId="191"/>
    <cellStyle name="样式 1" xfId="192"/>
    <cellStyle name="昗弨_BOOKSHIP" xfId="379"/>
    <cellStyle name="寘嬫愗傝 [0.00]_PRODUCT DETAIL Q1" xfId="380"/>
    <cellStyle name="寘嬫愗傝_PRODUCT DETAIL Q1" xfId="381"/>
    <cellStyle name="콤마 [0]_BOILER-CO1" xfId="193"/>
    <cellStyle name="콤마_BOILER-CO1" xfId="194"/>
    <cellStyle name="통화 [0]_BOILER-CO1" xfId="195"/>
    <cellStyle name="통화_BOILER-CO1" xfId="196"/>
    <cellStyle name="표준_0N-HANDLING " xfId="197"/>
  </cellStyles>
  <dxfs count="0"/>
  <tableStyles count="0" defaultTableStyle="TableStyleMedium9" defaultPivotStyle="PivotStyleLight16"/>
  <colors>
    <mruColors>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0000"/>
  </sheetPr>
  <dimension ref="A1:C13"/>
  <sheetViews>
    <sheetView workbookViewId="0">
      <selection activeCell="B17" sqref="B17"/>
    </sheetView>
  </sheetViews>
  <sheetFormatPr defaultRowHeight="15.6"/>
  <cols>
    <col min="1" max="1" width="32.69921875" customWidth="1"/>
    <col min="2" max="2" width="32" customWidth="1"/>
    <col min="3" max="3" width="94.19921875" customWidth="1"/>
  </cols>
  <sheetData>
    <row r="1" spans="1:3">
      <c r="A1" s="417" t="s">
        <v>410</v>
      </c>
      <c r="B1" s="417" t="s">
        <v>411</v>
      </c>
      <c r="C1" s="417" t="s">
        <v>437</v>
      </c>
    </row>
    <row r="2" spans="1:3">
      <c r="A2" s="418"/>
      <c r="B2" s="418"/>
      <c r="C2" s="418"/>
    </row>
    <row r="3" spans="1:3">
      <c r="A3" s="341" t="s">
        <v>412</v>
      </c>
      <c r="B3" s="341" t="s">
        <v>412</v>
      </c>
      <c r="C3" s="342" t="s">
        <v>428</v>
      </c>
    </row>
    <row r="4" spans="1:3">
      <c r="A4" s="341" t="s">
        <v>413</v>
      </c>
      <c r="B4" s="341" t="s">
        <v>412</v>
      </c>
      <c r="C4" s="342" t="s">
        <v>429</v>
      </c>
    </row>
    <row r="5" spans="1:3" ht="31.2">
      <c r="A5" s="341" t="s">
        <v>414</v>
      </c>
      <c r="B5" s="341" t="s">
        <v>414</v>
      </c>
      <c r="C5" s="342" t="s">
        <v>430</v>
      </c>
    </row>
    <row r="6" spans="1:3">
      <c r="A6" s="341" t="s">
        <v>415</v>
      </c>
      <c r="B6" s="341" t="s">
        <v>416</v>
      </c>
      <c r="C6" s="341" t="s">
        <v>431</v>
      </c>
    </row>
    <row r="7" spans="1:3">
      <c r="A7" s="341" t="s">
        <v>417</v>
      </c>
      <c r="B7" s="341" t="s">
        <v>418</v>
      </c>
      <c r="C7" s="341" t="s">
        <v>432</v>
      </c>
    </row>
    <row r="8" spans="1:3">
      <c r="A8" s="341"/>
      <c r="B8" s="341" t="s">
        <v>419</v>
      </c>
      <c r="C8" s="341" t="s">
        <v>433</v>
      </c>
    </row>
    <row r="9" spans="1:3">
      <c r="A9" s="341" t="s">
        <v>420</v>
      </c>
      <c r="B9" s="341" t="s">
        <v>421</v>
      </c>
      <c r="C9" s="359" t="s">
        <v>467</v>
      </c>
    </row>
    <row r="10" spans="1:3" ht="46.8">
      <c r="A10" s="341" t="s">
        <v>422</v>
      </c>
      <c r="B10" s="341" t="s">
        <v>423</v>
      </c>
      <c r="C10" s="342" t="s">
        <v>434</v>
      </c>
    </row>
    <row r="11" spans="1:3" ht="46.8">
      <c r="A11" s="342" t="s">
        <v>424</v>
      </c>
      <c r="B11" s="341" t="s">
        <v>425</v>
      </c>
      <c r="C11" s="342" t="s">
        <v>435</v>
      </c>
    </row>
    <row r="12" spans="1:3">
      <c r="A12" s="341"/>
      <c r="B12" s="341" t="s">
        <v>426</v>
      </c>
      <c r="C12" s="341" t="s">
        <v>436</v>
      </c>
    </row>
    <row r="13" spans="1:3">
      <c r="A13" s="341"/>
      <c r="B13" s="341" t="s">
        <v>427</v>
      </c>
      <c r="C13" s="341" t="s">
        <v>436</v>
      </c>
    </row>
  </sheetData>
  <mergeCells count="3">
    <mergeCell ref="A1:A2"/>
    <mergeCell ref="B1:B2"/>
    <mergeCell ref="C1:C2"/>
  </mergeCells>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1"/>
  <sheetViews>
    <sheetView tabSelected="1" topLeftCell="A4" workbookViewId="0">
      <selection activeCell="G14" sqref="G14"/>
    </sheetView>
  </sheetViews>
  <sheetFormatPr defaultColWidth="9" defaultRowHeight="20.100000000000001" customHeight="1"/>
  <cols>
    <col min="1" max="1" width="77.59765625" style="4" customWidth="1"/>
    <col min="2" max="2" width="2" style="4" customWidth="1"/>
    <col min="3" max="3" width="2.09765625" style="4" customWidth="1"/>
    <col min="4" max="4" width="6.09765625" style="4" customWidth="1"/>
    <col min="5" max="5" width="34.69921875" style="4" customWidth="1"/>
    <col min="6" max="6" width="13.19921875" style="4" customWidth="1"/>
    <col min="7" max="7" width="11.19921875" style="3" customWidth="1"/>
    <col min="8" max="16384" width="9" style="3"/>
  </cols>
  <sheetData>
    <row r="1" spans="1:8" ht="20.100000000000001" customHeight="1">
      <c r="A1" s="2" t="s">
        <v>0</v>
      </c>
      <c r="D1" s="5"/>
      <c r="E1" s="5"/>
      <c r="F1" s="5"/>
    </row>
    <row r="2" spans="1:8" ht="20.100000000000001" customHeight="1">
      <c r="A2" s="1" t="s">
        <v>545</v>
      </c>
      <c r="B2" s="65"/>
      <c r="C2" s="65"/>
      <c r="D2" s="6" t="s">
        <v>1</v>
      </c>
      <c r="E2" s="6" t="s">
        <v>24</v>
      </c>
      <c r="F2" s="6" t="s">
        <v>123</v>
      </c>
      <c r="G2" s="66"/>
      <c r="H2" s="66"/>
    </row>
    <row r="3" spans="1:8" ht="20.100000000000001" customHeight="1">
      <c r="A3" s="1" t="s">
        <v>560</v>
      </c>
      <c r="B3" s="65"/>
      <c r="C3" s="65"/>
      <c r="D3" s="104">
        <v>1</v>
      </c>
      <c r="E3" s="397" t="s">
        <v>124</v>
      </c>
      <c r="F3" s="392" t="s">
        <v>506</v>
      </c>
      <c r="G3" s="66"/>
      <c r="H3" s="66"/>
    </row>
    <row r="4" spans="1:8" ht="20.100000000000001" customHeight="1">
      <c r="A4" s="131" t="s">
        <v>546</v>
      </c>
      <c r="B4" s="65"/>
      <c r="C4" s="65"/>
      <c r="D4" s="104">
        <f>D3+1</f>
        <v>2</v>
      </c>
      <c r="E4" s="397" t="s">
        <v>2</v>
      </c>
      <c r="F4" s="392" t="s">
        <v>442</v>
      </c>
      <c r="G4" s="66"/>
      <c r="H4" s="66"/>
    </row>
    <row r="5" spans="1:8" ht="20.100000000000001" customHeight="1">
      <c r="A5" s="131" t="s">
        <v>547</v>
      </c>
      <c r="B5" s="67"/>
      <c r="C5" s="67"/>
      <c r="D5" s="104">
        <f>D4+1</f>
        <v>3</v>
      </c>
      <c r="E5" s="397" t="s">
        <v>125</v>
      </c>
      <c r="F5" s="392"/>
      <c r="G5" s="3" t="s">
        <v>507</v>
      </c>
      <c r="H5" s="68"/>
    </row>
    <row r="6" spans="1:8" ht="20.100000000000001" customHeight="1">
      <c r="A6" s="131" t="s">
        <v>548</v>
      </c>
      <c r="D6" s="104">
        <f t="shared" ref="D6:D21" si="0">D5+1</f>
        <v>4</v>
      </c>
      <c r="E6" s="397" t="s">
        <v>126</v>
      </c>
      <c r="F6" s="392"/>
      <c r="G6" s="3" t="s">
        <v>507</v>
      </c>
      <c r="H6" s="69"/>
    </row>
    <row r="7" spans="1:8" ht="20.100000000000001" customHeight="1">
      <c r="A7" s="131" t="s">
        <v>549</v>
      </c>
      <c r="D7" s="104">
        <f t="shared" si="0"/>
        <v>5</v>
      </c>
      <c r="E7" s="397" t="s">
        <v>127</v>
      </c>
      <c r="F7" s="392" t="s">
        <v>509</v>
      </c>
      <c r="G7" s="5"/>
    </row>
    <row r="8" spans="1:8" ht="20.100000000000001" customHeight="1">
      <c r="A8" s="70"/>
      <c r="D8" s="104">
        <f t="shared" si="0"/>
        <v>6</v>
      </c>
      <c r="E8" s="398" t="s">
        <v>128</v>
      </c>
      <c r="F8" s="392" t="s">
        <v>510</v>
      </c>
    </row>
    <row r="9" spans="1:8" ht="20.100000000000001" customHeight="1">
      <c r="A9" s="409" t="s">
        <v>556</v>
      </c>
      <c r="D9" s="104">
        <f t="shared" si="0"/>
        <v>7</v>
      </c>
      <c r="E9" s="398" t="s">
        <v>508</v>
      </c>
      <c r="F9" s="392" t="s">
        <v>463</v>
      </c>
    </row>
    <row r="10" spans="1:8" ht="20.100000000000001" customHeight="1">
      <c r="A10" s="419" t="s">
        <v>557</v>
      </c>
      <c r="D10" s="104">
        <f t="shared" si="0"/>
        <v>8</v>
      </c>
      <c r="E10" s="393" t="s">
        <v>520</v>
      </c>
      <c r="F10" s="392" t="s">
        <v>511</v>
      </c>
    </row>
    <row r="11" spans="1:8" ht="20.100000000000001" customHeight="1">
      <c r="A11" s="419"/>
      <c r="D11" s="104">
        <f t="shared" si="0"/>
        <v>9</v>
      </c>
      <c r="E11" s="393" t="s">
        <v>521</v>
      </c>
      <c r="F11" s="392" t="s">
        <v>512</v>
      </c>
    </row>
    <row r="12" spans="1:8" ht="20.100000000000001" customHeight="1">
      <c r="A12" s="419"/>
      <c r="D12" s="104">
        <f t="shared" si="0"/>
        <v>10</v>
      </c>
      <c r="E12" s="393" t="s">
        <v>522</v>
      </c>
      <c r="F12" s="392" t="s">
        <v>513</v>
      </c>
    </row>
    <row r="13" spans="1:8" ht="20.100000000000001" customHeight="1">
      <c r="A13" s="419"/>
      <c r="D13" s="104">
        <f t="shared" si="0"/>
        <v>11</v>
      </c>
      <c r="E13" s="393" t="s">
        <v>523</v>
      </c>
      <c r="F13" s="392" t="s">
        <v>514</v>
      </c>
    </row>
    <row r="14" spans="1:8" ht="20.100000000000001" customHeight="1">
      <c r="A14" s="419" t="s">
        <v>558</v>
      </c>
      <c r="D14" s="104">
        <f t="shared" si="0"/>
        <v>12</v>
      </c>
      <c r="E14" s="393" t="s">
        <v>577</v>
      </c>
      <c r="F14" s="392" t="s">
        <v>578</v>
      </c>
    </row>
    <row r="15" spans="1:8" ht="20.100000000000001" customHeight="1">
      <c r="A15" s="419"/>
      <c r="D15" s="104">
        <f t="shared" si="0"/>
        <v>13</v>
      </c>
      <c r="E15" s="393" t="s">
        <v>524</v>
      </c>
      <c r="F15" s="392" t="s">
        <v>515</v>
      </c>
    </row>
    <row r="16" spans="1:8" ht="20.100000000000001" customHeight="1">
      <c r="A16" s="419"/>
      <c r="D16" s="104">
        <f t="shared" si="0"/>
        <v>14</v>
      </c>
      <c r="E16" s="393" t="s">
        <v>525</v>
      </c>
      <c r="F16" s="392" t="s">
        <v>516</v>
      </c>
    </row>
    <row r="17" spans="1:6" ht="20.100000000000001" customHeight="1">
      <c r="A17" s="420" t="s">
        <v>559</v>
      </c>
      <c r="D17" s="104">
        <f t="shared" si="0"/>
        <v>15</v>
      </c>
      <c r="E17" s="398" t="s">
        <v>526</v>
      </c>
      <c r="F17" s="392" t="s">
        <v>531</v>
      </c>
    </row>
    <row r="18" spans="1:6" ht="20.100000000000001" customHeight="1">
      <c r="A18" s="420"/>
      <c r="D18" s="104">
        <f t="shared" si="0"/>
        <v>16</v>
      </c>
      <c r="E18" s="398" t="s">
        <v>527</v>
      </c>
      <c r="F18" s="392" t="s">
        <v>475</v>
      </c>
    </row>
    <row r="19" spans="1:6" ht="20.100000000000001" customHeight="1">
      <c r="A19" s="420"/>
      <c r="D19" s="104">
        <f t="shared" si="0"/>
        <v>17</v>
      </c>
      <c r="E19" s="398" t="s">
        <v>528</v>
      </c>
      <c r="F19" s="392" t="s">
        <v>480</v>
      </c>
    </row>
    <row r="20" spans="1:6" ht="20.100000000000001" customHeight="1">
      <c r="A20" s="70"/>
      <c r="D20" s="104">
        <f t="shared" si="0"/>
        <v>18</v>
      </c>
      <c r="E20" s="398" t="s">
        <v>529</v>
      </c>
      <c r="F20" s="392" t="s">
        <v>501</v>
      </c>
    </row>
    <row r="21" spans="1:6" ht="20.100000000000001" customHeight="1">
      <c r="A21" s="70"/>
      <c r="D21" s="104">
        <f t="shared" si="0"/>
        <v>19</v>
      </c>
      <c r="E21" s="398" t="s">
        <v>530</v>
      </c>
      <c r="F21" s="392" t="s">
        <v>503</v>
      </c>
    </row>
  </sheetData>
  <mergeCells count="3">
    <mergeCell ref="A10:A13"/>
    <mergeCell ref="A14:A16"/>
    <mergeCell ref="A17:A19"/>
  </mergeCells>
  <phoneticPr fontId="15" type="noConversion"/>
  <hyperlinks>
    <hyperlink ref="E4" location="'审定表F4-1'!A1" display="审定表"/>
    <hyperlink ref="E7" location="'明细表F4-2'!A1" display="应付账款明细表"/>
    <hyperlink ref="E5" location="'附注披露信息(上市公司)'!A1" display="附注披露信息(上市公司)"/>
    <hyperlink ref="E6" location="'附注披露信息(国企)'!A1" display="附注披露信息(国企)"/>
    <hyperlink ref="E18" location="'关联方及交易检查表F4-6'!A1" display="应付账款关联方及交易检查表"/>
    <hyperlink ref="E19" location="'未入账检查表F4-7'!A1" display="未入账应付账款情况检查表"/>
    <hyperlink ref="E17" location="'长期挂账检查表F4-5'!A1" display="账龄1年以上的应付账款检查表"/>
    <hyperlink ref="E3" location="应付账款实质性程序表F4A!A1" display="应付账款实质性程序表"/>
    <hyperlink ref="E8" location="'调整分录汇总F4-3'!A1" display="调整分录汇总"/>
    <hyperlink ref="E9" location="'实质性分析F4-4'!A1" display="实质性分析"/>
    <hyperlink ref="E20" location="'应付账款检查表F4-8'!A1" display="应付账款检查表"/>
    <hyperlink ref="E21" location="'供应商融资检查表F4-9'!A1" display="供应商融资检查表"/>
  </hyperlinks>
  <pageMargins left="0.75" right="0.75" top="1" bottom="1" header="0.5" footer="0.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41"/>
  <sheetViews>
    <sheetView view="pageBreakPreview" zoomScaleNormal="115" zoomScaleSheetLayoutView="100" workbookViewId="0">
      <selection activeCell="K6" sqref="K6"/>
    </sheetView>
  </sheetViews>
  <sheetFormatPr defaultColWidth="9" defaultRowHeight="13.8"/>
  <cols>
    <col min="1" max="1" width="4.69921875" style="109" customWidth="1"/>
    <col min="2" max="2" width="67.19921875" style="109" customWidth="1"/>
    <col min="3" max="3" width="10.19921875" style="109" customWidth="1"/>
    <col min="4" max="5" width="5.8984375" style="109" customWidth="1"/>
    <col min="6" max="6" width="6.3984375" style="109" customWidth="1"/>
    <col min="7" max="7" width="7.296875" style="109" customWidth="1"/>
    <col min="8" max="8" width="5.8984375" style="109" customWidth="1"/>
    <col min="9" max="9" width="7.09765625" style="109" customWidth="1"/>
    <col min="10" max="10" width="2.3984375" style="108" customWidth="1"/>
    <col min="11" max="11" width="72" style="108" customWidth="1"/>
    <col min="12" max="16384" width="9" style="109"/>
  </cols>
  <sheetData>
    <row r="1" spans="1:13" ht="19.95" customHeight="1">
      <c r="A1" s="422" t="s">
        <v>102</v>
      </c>
      <c r="B1" s="422"/>
      <c r="C1" s="422"/>
      <c r="D1" s="422"/>
      <c r="E1" s="422"/>
      <c r="F1" s="422"/>
      <c r="G1" s="422"/>
      <c r="H1" s="422"/>
      <c r="I1" s="422"/>
    </row>
    <row r="2" spans="1:13" ht="19.95" customHeight="1">
      <c r="A2" s="423" t="s">
        <v>103</v>
      </c>
      <c r="B2" s="424"/>
      <c r="C2" s="424"/>
      <c r="D2" s="424"/>
      <c r="E2" s="424"/>
      <c r="F2" s="424"/>
      <c r="G2" s="424"/>
      <c r="H2" s="424"/>
      <c r="I2" s="424"/>
    </row>
    <row r="3" spans="1:13" ht="19.95" customHeight="1">
      <c r="A3" s="110" t="str">
        <f>底稿目录!A2</f>
        <v>被审计单位：</v>
      </c>
      <c r="B3" s="110"/>
      <c r="C3" s="111" t="str">
        <f>底稿目录!A4</f>
        <v>编制人：</v>
      </c>
      <c r="D3" s="112"/>
      <c r="E3" s="110" t="str">
        <f>底稿目录!A5</f>
        <v>编制日期：</v>
      </c>
      <c r="F3" s="110"/>
      <c r="G3" s="110"/>
      <c r="H3" s="110" t="s">
        <v>371</v>
      </c>
      <c r="I3" s="394" t="str">
        <f>底稿目录!F3</f>
        <v>F4A</v>
      </c>
    </row>
    <row r="4" spans="1:13" ht="19.95" customHeight="1">
      <c r="A4" s="110" t="str">
        <f>底稿目录!A3</f>
        <v>截止日：202X年12月31日</v>
      </c>
      <c r="B4" s="110"/>
      <c r="C4" s="111" t="str">
        <f>底稿目录!A6</f>
        <v>复核人：</v>
      </c>
      <c r="D4" s="112"/>
      <c r="E4" s="110" t="str">
        <f>底稿目录!A7</f>
        <v>复核日期：</v>
      </c>
      <c r="F4" s="110"/>
      <c r="G4" s="114"/>
      <c r="H4" s="110" t="s">
        <v>104</v>
      </c>
      <c r="I4" s="113"/>
    </row>
    <row r="5" spans="1:13" ht="19.95" customHeight="1">
      <c r="A5" s="121" t="s">
        <v>158</v>
      </c>
      <c r="B5" s="157"/>
      <c r="C5" s="157"/>
      <c r="D5" s="158"/>
      <c r="E5" s="157"/>
      <c r="F5" s="157"/>
      <c r="G5" s="157"/>
      <c r="H5" s="158"/>
      <c r="I5" s="157"/>
    </row>
    <row r="6" spans="1:13" ht="19.95" customHeight="1">
      <c r="A6" s="159" t="s">
        <v>159</v>
      </c>
      <c r="B6" s="157"/>
      <c r="C6" s="157"/>
      <c r="D6" s="158"/>
      <c r="E6" s="157"/>
      <c r="F6" s="157"/>
      <c r="G6" s="157"/>
      <c r="H6" s="158"/>
      <c r="I6" s="157"/>
    </row>
    <row r="7" spans="1:13" ht="19.95" customHeight="1">
      <c r="A7" s="160" t="s">
        <v>160</v>
      </c>
      <c r="B7" s="161"/>
      <c r="C7" s="161"/>
      <c r="D7" s="158"/>
      <c r="E7" s="158"/>
      <c r="F7" s="158"/>
      <c r="G7" s="158"/>
      <c r="H7" s="158"/>
      <c r="I7" s="158"/>
      <c r="J7" s="115"/>
      <c r="K7" s="115"/>
    </row>
    <row r="8" spans="1:13" s="116" customFormat="1" ht="19.95" customHeight="1">
      <c r="A8" s="425" t="s">
        <v>161</v>
      </c>
      <c r="B8" s="425"/>
      <c r="C8" s="425"/>
      <c r="D8" s="425"/>
      <c r="E8" s="425"/>
      <c r="F8" s="425"/>
      <c r="G8" s="427" t="s">
        <v>105</v>
      </c>
      <c r="H8" s="427"/>
      <c r="I8" s="427"/>
    </row>
    <row r="9" spans="1:13" s="116" customFormat="1" ht="19.95" customHeight="1">
      <c r="A9" s="426" t="s">
        <v>166</v>
      </c>
      <c r="B9" s="426"/>
      <c r="C9" s="426"/>
      <c r="D9" s="426"/>
      <c r="E9" s="426"/>
      <c r="F9" s="426"/>
      <c r="G9" s="428" t="s">
        <v>162</v>
      </c>
      <c r="H9" s="428"/>
      <c r="I9" s="428"/>
    </row>
    <row r="10" spans="1:13" s="116" customFormat="1" ht="19.95" customHeight="1">
      <c r="A10" s="426" t="s">
        <v>554</v>
      </c>
      <c r="B10" s="426"/>
      <c r="C10" s="426"/>
      <c r="D10" s="426"/>
      <c r="E10" s="426"/>
      <c r="F10" s="426"/>
      <c r="G10" s="428" t="s">
        <v>553</v>
      </c>
      <c r="H10" s="428"/>
      <c r="I10" s="428"/>
    </row>
    <row r="11" spans="1:13" s="116" customFormat="1" ht="19.95" customHeight="1">
      <c r="A11" s="426" t="s">
        <v>167</v>
      </c>
      <c r="B11" s="426"/>
      <c r="C11" s="426"/>
      <c r="D11" s="426"/>
      <c r="E11" s="426"/>
      <c r="F11" s="426"/>
      <c r="G11" s="428" t="s">
        <v>163</v>
      </c>
      <c r="H11" s="428"/>
      <c r="I11" s="428"/>
    </row>
    <row r="12" spans="1:13" s="116" customFormat="1" ht="19.95" customHeight="1">
      <c r="A12" s="426" t="s">
        <v>239</v>
      </c>
      <c r="B12" s="426"/>
      <c r="C12" s="426"/>
      <c r="D12" s="426"/>
      <c r="E12" s="426"/>
      <c r="F12" s="426"/>
      <c r="G12" s="428" t="s">
        <v>164</v>
      </c>
      <c r="H12" s="428"/>
      <c r="I12" s="428"/>
    </row>
    <row r="13" spans="1:13" s="116" customFormat="1" ht="19.95" customHeight="1">
      <c r="A13" s="426" t="s">
        <v>555</v>
      </c>
      <c r="B13" s="426"/>
      <c r="C13" s="426"/>
      <c r="D13" s="426"/>
      <c r="E13" s="426"/>
      <c r="F13" s="426"/>
      <c r="G13" s="428" t="s">
        <v>165</v>
      </c>
      <c r="H13" s="428"/>
      <c r="I13" s="428"/>
    </row>
    <row r="14" spans="1:13" s="116" customFormat="1" ht="24.6" customHeight="1">
      <c r="A14" s="421" t="s">
        <v>544</v>
      </c>
      <c r="B14" s="421"/>
      <c r="C14" s="347"/>
      <c r="D14" s="162"/>
      <c r="E14" s="162"/>
      <c r="F14" s="162"/>
      <c r="G14" s="162"/>
      <c r="H14" s="162"/>
      <c r="I14" s="162"/>
    </row>
    <row r="15" spans="1:13" ht="19.8" customHeight="1">
      <c r="A15" s="432" t="s">
        <v>1</v>
      </c>
      <c r="B15" s="425" t="s">
        <v>574</v>
      </c>
      <c r="C15" s="425" t="s">
        <v>184</v>
      </c>
      <c r="D15" s="429" t="s">
        <v>185</v>
      </c>
      <c r="E15" s="430"/>
      <c r="F15" s="430"/>
      <c r="G15" s="430"/>
      <c r="H15" s="430"/>
      <c r="I15" s="425" t="s">
        <v>191</v>
      </c>
      <c r="J15" s="115"/>
      <c r="K15" s="117"/>
      <c r="L15" s="117"/>
      <c r="M15" s="117"/>
    </row>
    <row r="16" spans="1:13" ht="39" customHeight="1">
      <c r="A16" s="432"/>
      <c r="B16" s="425"/>
      <c r="C16" s="425"/>
      <c r="D16" s="344" t="s">
        <v>188</v>
      </c>
      <c r="E16" s="344" t="s">
        <v>186</v>
      </c>
      <c r="F16" s="343" t="s">
        <v>189</v>
      </c>
      <c r="G16" s="343" t="s">
        <v>187</v>
      </c>
      <c r="H16" s="343" t="s">
        <v>190</v>
      </c>
      <c r="I16" s="431"/>
      <c r="J16" s="115"/>
      <c r="K16" s="416" t="s">
        <v>573</v>
      </c>
      <c r="L16" s="117"/>
      <c r="M16" s="117"/>
    </row>
    <row r="17" spans="1:13" ht="106.2" customHeight="1">
      <c r="A17" s="172" t="s">
        <v>171</v>
      </c>
      <c r="B17" s="173" t="s">
        <v>241</v>
      </c>
      <c r="C17" s="119" t="s">
        <v>438</v>
      </c>
      <c r="D17" s="174" t="s">
        <v>200</v>
      </c>
      <c r="E17" s="174" t="s">
        <v>200</v>
      </c>
      <c r="F17" s="175"/>
      <c r="G17" s="176" t="s">
        <v>201</v>
      </c>
      <c r="H17" s="175"/>
      <c r="I17" s="362" t="s">
        <v>468</v>
      </c>
      <c r="J17" s="115"/>
      <c r="K17" s="163"/>
      <c r="L17" s="164"/>
      <c r="M17" s="164"/>
    </row>
    <row r="18" spans="1:13" ht="28.8" customHeight="1">
      <c r="A18" s="172" t="s">
        <v>172</v>
      </c>
      <c r="B18" s="173" t="s">
        <v>192</v>
      </c>
      <c r="C18" s="119" t="s">
        <v>106</v>
      </c>
      <c r="D18" s="174" t="s">
        <v>200</v>
      </c>
      <c r="E18" s="174" t="s">
        <v>200</v>
      </c>
      <c r="F18" s="175"/>
      <c r="G18" s="176" t="s">
        <v>200</v>
      </c>
      <c r="H18" s="120"/>
      <c r="I18" s="362"/>
      <c r="J18" s="115"/>
      <c r="K18" s="163"/>
      <c r="L18" s="164"/>
      <c r="M18" s="164"/>
    </row>
    <row r="19" spans="1:13" ht="48.75" customHeight="1">
      <c r="A19" s="172" t="s">
        <v>61</v>
      </c>
      <c r="B19" s="166" t="s">
        <v>196</v>
      </c>
      <c r="C19" s="119" t="s">
        <v>106</v>
      </c>
      <c r="D19" s="175"/>
      <c r="E19" s="176" t="s">
        <v>202</v>
      </c>
      <c r="F19" s="175"/>
      <c r="G19" s="174" t="s">
        <v>200</v>
      </c>
      <c r="H19" s="173"/>
      <c r="I19" s="407" t="s">
        <v>550</v>
      </c>
      <c r="J19" s="115"/>
      <c r="K19" s="328" t="s">
        <v>369</v>
      </c>
      <c r="L19" s="164"/>
      <c r="M19" s="164"/>
    </row>
    <row r="20" spans="1:13" ht="43.2" customHeight="1">
      <c r="A20" s="172" t="s">
        <v>109</v>
      </c>
      <c r="B20" s="408" t="s">
        <v>169</v>
      </c>
      <c r="C20" s="119" t="s">
        <v>107</v>
      </c>
      <c r="D20" s="174" t="s">
        <v>202</v>
      </c>
      <c r="E20" s="176" t="s">
        <v>203</v>
      </c>
      <c r="F20" s="174" t="s">
        <v>200</v>
      </c>
      <c r="G20" s="174" t="s">
        <v>200</v>
      </c>
      <c r="H20" s="173"/>
      <c r="I20" s="362"/>
      <c r="J20" s="115"/>
      <c r="K20" s="328" t="s">
        <v>370</v>
      </c>
      <c r="L20" s="117"/>
      <c r="M20" s="117"/>
    </row>
    <row r="21" spans="1:13" ht="27" customHeight="1">
      <c r="A21" s="172" t="s">
        <v>110</v>
      </c>
      <c r="B21" s="167" t="s">
        <v>195</v>
      </c>
      <c r="C21" s="119" t="s">
        <v>106</v>
      </c>
      <c r="D21" s="174" t="s">
        <v>204</v>
      </c>
      <c r="E21" s="174" t="s">
        <v>203</v>
      </c>
      <c r="F21" s="175"/>
      <c r="G21" s="174" t="s">
        <v>203</v>
      </c>
      <c r="H21" s="173"/>
      <c r="I21" s="362" t="s">
        <v>468</v>
      </c>
      <c r="J21" s="115"/>
      <c r="K21" s="329" t="s">
        <v>168</v>
      </c>
      <c r="L21" s="117"/>
      <c r="M21" s="117"/>
    </row>
    <row r="22" spans="1:13" ht="46.2" customHeight="1">
      <c r="A22" s="172" t="s">
        <v>108</v>
      </c>
      <c r="B22" s="166" t="s">
        <v>264</v>
      </c>
      <c r="C22" s="119" t="s">
        <v>106</v>
      </c>
      <c r="D22" s="176" t="s">
        <v>200</v>
      </c>
      <c r="E22" s="176"/>
      <c r="F22" s="175"/>
      <c r="G22" s="174" t="s">
        <v>200</v>
      </c>
      <c r="H22" s="173"/>
      <c r="I22" s="362" t="s">
        <v>469</v>
      </c>
      <c r="J22" s="115"/>
      <c r="K22" s="118"/>
      <c r="L22" s="117"/>
      <c r="M22" s="117"/>
    </row>
    <row r="23" spans="1:13" ht="157.19999999999999" customHeight="1">
      <c r="A23" s="172" t="s">
        <v>111</v>
      </c>
      <c r="B23" s="167" t="s">
        <v>551</v>
      </c>
      <c r="C23" s="119" t="s">
        <v>106</v>
      </c>
      <c r="D23" s="176" t="s">
        <v>202</v>
      </c>
      <c r="E23" s="174" t="s">
        <v>202</v>
      </c>
      <c r="F23" s="176" t="s">
        <v>202</v>
      </c>
      <c r="G23" s="174" t="s">
        <v>203</v>
      </c>
      <c r="H23" s="173"/>
      <c r="I23" s="362" t="s">
        <v>477</v>
      </c>
      <c r="J23" s="115"/>
      <c r="K23" s="118"/>
      <c r="L23" s="117"/>
      <c r="M23" s="117"/>
    </row>
    <row r="24" spans="1:13" ht="37.200000000000003" customHeight="1">
      <c r="A24" s="172" t="s">
        <v>112</v>
      </c>
      <c r="B24" s="177" t="s">
        <v>540</v>
      </c>
      <c r="C24" s="174" t="s">
        <v>541</v>
      </c>
      <c r="D24" s="176" t="s">
        <v>205</v>
      </c>
      <c r="E24" s="174" t="s">
        <v>202</v>
      </c>
      <c r="F24" s="176" t="s">
        <v>203</v>
      </c>
      <c r="G24" s="174" t="s">
        <v>205</v>
      </c>
      <c r="H24" s="173"/>
      <c r="I24" s="362" t="s">
        <v>478</v>
      </c>
      <c r="J24" s="115"/>
      <c r="K24" s="118"/>
      <c r="L24" s="117"/>
      <c r="M24" s="117"/>
    </row>
    <row r="25" spans="1:13" ht="29.4" customHeight="1">
      <c r="A25" s="172" t="s">
        <v>113</v>
      </c>
      <c r="B25" s="177" t="s">
        <v>375</v>
      </c>
      <c r="C25" s="119" t="s">
        <v>106</v>
      </c>
      <c r="D25" s="174" t="s">
        <v>200</v>
      </c>
      <c r="E25" s="174"/>
      <c r="F25" s="175"/>
      <c r="G25" s="176" t="s">
        <v>200</v>
      </c>
      <c r="H25" s="173"/>
      <c r="I25" s="362" t="s">
        <v>476</v>
      </c>
      <c r="J25" s="115"/>
      <c r="K25" s="118"/>
      <c r="L25" s="117"/>
      <c r="M25" s="117"/>
    </row>
    <row r="26" spans="1:13" ht="109.2" customHeight="1">
      <c r="A26" s="172" t="s">
        <v>114</v>
      </c>
      <c r="B26" s="173" t="s">
        <v>198</v>
      </c>
      <c r="C26" s="119" t="s">
        <v>106</v>
      </c>
      <c r="D26" s="176" t="s">
        <v>206</v>
      </c>
      <c r="E26" s="176" t="s">
        <v>206</v>
      </c>
      <c r="F26" s="174" t="s">
        <v>206</v>
      </c>
      <c r="G26" s="176" t="s">
        <v>206</v>
      </c>
      <c r="H26" s="174" t="s">
        <v>206</v>
      </c>
      <c r="I26" s="362" t="s">
        <v>479</v>
      </c>
      <c r="J26" s="115"/>
      <c r="K26" s="118"/>
      <c r="L26" s="117"/>
      <c r="M26" s="117"/>
    </row>
    <row r="27" spans="1:13" ht="31.2" customHeight="1">
      <c r="A27" s="172" t="s">
        <v>173</v>
      </c>
      <c r="B27" s="173" t="s">
        <v>197</v>
      </c>
      <c r="C27" s="119" t="s">
        <v>107</v>
      </c>
      <c r="D27" s="119"/>
      <c r="E27" s="173"/>
      <c r="F27" s="176"/>
      <c r="G27" s="176" t="s">
        <v>203</v>
      </c>
      <c r="H27" s="173"/>
      <c r="I27" s="362"/>
      <c r="J27" s="115"/>
      <c r="K27" s="163"/>
      <c r="L27" s="168"/>
      <c r="M27" s="164"/>
    </row>
    <row r="28" spans="1:13" ht="94.2" customHeight="1">
      <c r="A28" s="172" t="s">
        <v>174</v>
      </c>
      <c r="B28" s="173" t="s">
        <v>337</v>
      </c>
      <c r="C28" s="119" t="s">
        <v>106</v>
      </c>
      <c r="D28" s="120"/>
      <c r="E28" s="176" t="s">
        <v>203</v>
      </c>
      <c r="F28" s="120"/>
      <c r="G28" s="174"/>
      <c r="H28" s="120"/>
      <c r="I28" s="362" t="s">
        <v>500</v>
      </c>
      <c r="J28" s="115"/>
      <c r="K28" s="118"/>
      <c r="L28" s="117"/>
      <c r="M28" s="117"/>
    </row>
    <row r="29" spans="1:13" ht="35.4" customHeight="1">
      <c r="A29" s="172" t="s">
        <v>175</v>
      </c>
      <c r="B29" s="173" t="s">
        <v>199</v>
      </c>
      <c r="C29" s="119" t="s">
        <v>106</v>
      </c>
      <c r="D29" s="120"/>
      <c r="E29" s="176" t="s">
        <v>203</v>
      </c>
      <c r="F29" s="120"/>
      <c r="G29" s="174" t="s">
        <v>206</v>
      </c>
      <c r="H29" s="120"/>
      <c r="I29" s="362"/>
      <c r="J29" s="115"/>
      <c r="K29" s="118"/>
      <c r="L29" s="117"/>
      <c r="M29" s="117"/>
    </row>
    <row r="30" spans="1:13" ht="34.799999999999997" customHeight="1">
      <c r="A30" s="172" t="s">
        <v>176</v>
      </c>
      <c r="B30" s="165" t="s">
        <v>552</v>
      </c>
      <c r="C30" s="119" t="s">
        <v>106</v>
      </c>
      <c r="D30" s="176" t="s">
        <v>202</v>
      </c>
      <c r="E30" s="175"/>
      <c r="F30" s="174" t="s">
        <v>202</v>
      </c>
      <c r="G30" s="174" t="s">
        <v>207</v>
      </c>
      <c r="H30" s="120"/>
      <c r="I30" s="362" t="s">
        <v>502</v>
      </c>
      <c r="J30" s="115"/>
      <c r="K30" s="154"/>
      <c r="L30" s="117"/>
      <c r="M30" s="117"/>
    </row>
    <row r="31" spans="1:13" ht="41.4" customHeight="1">
      <c r="A31" s="172" t="s">
        <v>177</v>
      </c>
      <c r="B31" s="177" t="s">
        <v>378</v>
      </c>
      <c r="C31" s="174" t="s">
        <v>541</v>
      </c>
      <c r="D31" s="174" t="s">
        <v>200</v>
      </c>
      <c r="E31" s="176" t="s">
        <v>200</v>
      </c>
      <c r="F31" s="174" t="s">
        <v>200</v>
      </c>
      <c r="G31" s="174"/>
      <c r="H31" s="174" t="s">
        <v>200</v>
      </c>
      <c r="I31" s="362" t="s">
        <v>504</v>
      </c>
      <c r="J31" s="115"/>
      <c r="K31" s="118"/>
      <c r="L31" s="117"/>
      <c r="M31" s="117"/>
    </row>
    <row r="32" spans="1:13" ht="49.2" customHeight="1">
      <c r="A32" s="172" t="s">
        <v>178</v>
      </c>
      <c r="B32" s="177" t="s">
        <v>376</v>
      </c>
      <c r="C32" s="174" t="s">
        <v>541</v>
      </c>
      <c r="D32" s="176" t="s">
        <v>204</v>
      </c>
      <c r="E32" s="174" t="s">
        <v>202</v>
      </c>
      <c r="F32" s="175"/>
      <c r="G32" s="174" t="s">
        <v>200</v>
      </c>
      <c r="H32" s="120"/>
      <c r="I32" s="362"/>
      <c r="J32" s="115"/>
      <c r="K32" s="118"/>
      <c r="L32" s="117"/>
      <c r="M32" s="117"/>
    </row>
    <row r="33" spans="1:13" ht="87.6" customHeight="1">
      <c r="A33" s="172" t="s">
        <v>179</v>
      </c>
      <c r="B33" s="391" t="s">
        <v>401</v>
      </c>
      <c r="C33" s="174" t="s">
        <v>541</v>
      </c>
      <c r="D33" s="176" t="s">
        <v>204</v>
      </c>
      <c r="E33" s="174" t="s">
        <v>202</v>
      </c>
      <c r="F33" s="120"/>
      <c r="G33" s="120"/>
      <c r="H33" s="120"/>
      <c r="I33" s="362" t="s">
        <v>505</v>
      </c>
      <c r="J33" s="115"/>
      <c r="K33" s="118"/>
      <c r="L33" s="117"/>
      <c r="M33" s="117"/>
    </row>
    <row r="34" spans="1:13" ht="69.599999999999994" customHeight="1">
      <c r="A34" s="172" t="s">
        <v>180</v>
      </c>
      <c r="B34" s="391" t="s">
        <v>561</v>
      </c>
      <c r="C34" s="174" t="s">
        <v>541</v>
      </c>
      <c r="D34" s="176" t="s">
        <v>202</v>
      </c>
      <c r="E34" s="176" t="s">
        <v>206</v>
      </c>
      <c r="F34" s="174" t="s">
        <v>206</v>
      </c>
      <c r="G34" s="176" t="s">
        <v>206</v>
      </c>
      <c r="H34" s="120"/>
      <c r="I34" s="362" t="s">
        <v>562</v>
      </c>
      <c r="J34" s="115"/>
      <c r="K34" s="154"/>
      <c r="L34" s="117"/>
      <c r="M34" s="117"/>
    </row>
    <row r="35" spans="1:13" ht="43.8" customHeight="1">
      <c r="A35" s="172" t="s">
        <v>181</v>
      </c>
      <c r="B35" s="177" t="s">
        <v>402</v>
      </c>
      <c r="C35" s="174" t="s">
        <v>541</v>
      </c>
      <c r="D35" s="176" t="s">
        <v>202</v>
      </c>
      <c r="E35" s="174"/>
      <c r="F35" s="173"/>
      <c r="G35" s="174" t="s">
        <v>206</v>
      </c>
      <c r="H35" s="173"/>
      <c r="I35" s="362"/>
      <c r="J35" s="115"/>
      <c r="K35" s="178"/>
      <c r="L35" s="117"/>
      <c r="M35" s="117"/>
    </row>
    <row r="36" spans="1:13" ht="44.4" customHeight="1">
      <c r="A36" s="172" t="s">
        <v>182</v>
      </c>
      <c r="B36" s="173" t="s">
        <v>193</v>
      </c>
      <c r="C36" s="174" t="s">
        <v>541</v>
      </c>
      <c r="D36" s="120"/>
      <c r="E36" s="120"/>
      <c r="F36" s="120"/>
      <c r="G36" s="120"/>
      <c r="H36" s="120"/>
      <c r="I36" s="362"/>
      <c r="J36" s="115"/>
      <c r="K36" s="154"/>
      <c r="L36" s="117"/>
      <c r="M36" s="117"/>
    </row>
    <row r="37" spans="1:13" ht="25.2" customHeight="1">
      <c r="A37" s="172" t="s">
        <v>183</v>
      </c>
      <c r="B37" s="177" t="s">
        <v>403</v>
      </c>
      <c r="C37" s="119" t="s">
        <v>106</v>
      </c>
      <c r="D37" s="175"/>
      <c r="E37" s="175"/>
      <c r="F37" s="176" t="s">
        <v>206</v>
      </c>
      <c r="G37" s="174" t="s">
        <v>206</v>
      </c>
      <c r="H37" s="174" t="s">
        <v>206</v>
      </c>
      <c r="I37" s="362"/>
      <c r="J37" s="115"/>
      <c r="K37" s="118"/>
      <c r="L37" s="117"/>
      <c r="M37" s="117"/>
    </row>
    <row r="38" spans="1:13" ht="27" customHeight="1">
      <c r="A38" s="172" t="s">
        <v>377</v>
      </c>
      <c r="B38" s="173" t="s">
        <v>194</v>
      </c>
      <c r="C38" s="119" t="s">
        <v>106</v>
      </c>
      <c r="D38" s="119"/>
      <c r="E38" s="120"/>
      <c r="F38" s="120"/>
      <c r="G38" s="120"/>
      <c r="H38" s="176" t="s">
        <v>206</v>
      </c>
      <c r="I38" s="362" t="s">
        <v>439</v>
      </c>
      <c r="J38" s="115"/>
      <c r="K38" s="118"/>
      <c r="L38" s="117"/>
      <c r="M38" s="117"/>
    </row>
    <row r="41" spans="1:13">
      <c r="A41" s="118"/>
    </row>
  </sheetData>
  <mergeCells count="20">
    <mergeCell ref="C15:C16"/>
    <mergeCell ref="D15:H15"/>
    <mergeCell ref="I15:I16"/>
    <mergeCell ref="B15:B16"/>
    <mergeCell ref="A15:A16"/>
    <mergeCell ref="A14:B14"/>
    <mergeCell ref="A1:I1"/>
    <mergeCell ref="A2:I2"/>
    <mergeCell ref="A8:F8"/>
    <mergeCell ref="A9:F9"/>
    <mergeCell ref="A10:F10"/>
    <mergeCell ref="A11:F11"/>
    <mergeCell ref="A12:F12"/>
    <mergeCell ref="A13:F13"/>
    <mergeCell ref="G8:I8"/>
    <mergeCell ref="G9:I9"/>
    <mergeCell ref="G10:I10"/>
    <mergeCell ref="G11:I11"/>
    <mergeCell ref="G12:I12"/>
    <mergeCell ref="G13:I13"/>
  </mergeCells>
  <phoneticPr fontId="15" type="noConversion"/>
  <hyperlinks>
    <hyperlink ref="I3" location="底稿目录!A1" display="F4A"/>
  </hyperlinks>
  <printOptions horizontalCentered="1"/>
  <pageMargins left="0.47244094488188981" right="0.31496062992125984" top="0.51181102362204722" bottom="0.39370078740157483" header="0.47244094488188981" footer="0.23622047244094491"/>
  <pageSetup paperSize="9" scale="72" fitToHeight="100" orientation="portrait" blackAndWhite="1" r:id="rId1"/>
  <headerFooter alignWithMargins="0">
    <oddFooter>&amp;C&amp;P/&amp;N</oddFooter>
  </headerFooter>
  <rowBreaks count="1" manualBreakCount="1">
    <brk id="26" max="8"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L31"/>
  <sheetViews>
    <sheetView view="pageBreakPreview" zoomScaleSheetLayoutView="100" workbookViewId="0">
      <selection sqref="A1:L1"/>
    </sheetView>
  </sheetViews>
  <sheetFormatPr defaultColWidth="9" defaultRowHeight="15.6"/>
  <cols>
    <col min="1" max="1" width="18.59765625" style="50" customWidth="1"/>
    <col min="2" max="3" width="9" style="50"/>
    <col min="4" max="4" width="10.19921875" style="50" bestFit="1" customWidth="1"/>
    <col min="5" max="5" width="11.796875" style="50" customWidth="1"/>
    <col min="6" max="7" width="9" style="50"/>
    <col min="8" max="8" width="10.796875" style="50" customWidth="1"/>
    <col min="9" max="9" width="11.59765625" style="50" customWidth="1"/>
    <col min="10" max="11" width="13.796875" style="50" customWidth="1"/>
    <col min="12" max="12" width="14.296875" style="50" customWidth="1"/>
    <col min="13" max="16384" width="9" style="50"/>
  </cols>
  <sheetData>
    <row r="1" spans="1:12" ht="20.100000000000001" customHeight="1">
      <c r="A1" s="434" t="s">
        <v>25</v>
      </c>
      <c r="B1" s="434"/>
      <c r="C1" s="434"/>
      <c r="D1" s="434"/>
      <c r="E1" s="434"/>
      <c r="F1" s="434"/>
      <c r="G1" s="434"/>
      <c r="H1" s="434"/>
      <c r="I1" s="434"/>
      <c r="J1" s="434"/>
      <c r="K1" s="434"/>
      <c r="L1" s="434"/>
    </row>
    <row r="2" spans="1:12" ht="25.05" customHeight="1">
      <c r="A2" s="435" t="s">
        <v>443</v>
      </c>
      <c r="B2" s="435"/>
      <c r="C2" s="435"/>
      <c r="D2" s="435"/>
      <c r="E2" s="435"/>
      <c r="F2" s="435"/>
      <c r="G2" s="435"/>
      <c r="H2" s="435"/>
      <c r="I2" s="435"/>
      <c r="J2" s="435"/>
      <c r="K2" s="435"/>
      <c r="L2" s="435"/>
    </row>
    <row r="3" spans="1:12" ht="20.100000000000001" customHeight="1">
      <c r="A3" s="7" t="str">
        <f>底稿目录!A2</f>
        <v>被审计单位：</v>
      </c>
      <c r="B3" s="7"/>
      <c r="D3" s="7"/>
      <c r="E3" s="7" t="str">
        <f>底稿目录!A4</f>
        <v>编制人：</v>
      </c>
      <c r="H3" s="7" t="str">
        <f>底稿目录!A5</f>
        <v>编制日期：</v>
      </c>
      <c r="K3" s="350" t="s">
        <v>440</v>
      </c>
      <c r="L3" s="394" t="str">
        <f>底稿目录!F4</f>
        <v>F4-1</v>
      </c>
    </row>
    <row r="4" spans="1:12" ht="20.100000000000001" customHeight="1">
      <c r="A4" s="7" t="str">
        <f>底稿目录!A3</f>
        <v>截止日：202X年12月31日</v>
      </c>
      <c r="B4" s="8"/>
      <c r="C4" s="71"/>
      <c r="D4" s="7"/>
      <c r="E4" s="7" t="str">
        <f>底稿目录!A6</f>
        <v>复核人：</v>
      </c>
      <c r="H4" s="7" t="str">
        <f>底稿目录!A7</f>
        <v>复核日期：</v>
      </c>
      <c r="K4" s="351" t="s">
        <v>441</v>
      </c>
      <c r="L4" s="7"/>
    </row>
    <row r="5" spans="1:12" s="132" customFormat="1" ht="20.100000000000001" customHeight="1">
      <c r="A5" s="179" t="s">
        <v>228</v>
      </c>
      <c r="B5" s="180"/>
      <c r="D5" s="181"/>
      <c r="E5" s="181"/>
      <c r="F5" s="181"/>
      <c r="H5" s="182"/>
      <c r="L5" s="181"/>
    </row>
    <row r="6" spans="1:12" s="132" customFormat="1" ht="26.25" customHeight="1">
      <c r="A6" s="436" t="s">
        <v>90</v>
      </c>
      <c r="B6" s="439" t="s">
        <v>214</v>
      </c>
      <c r="C6" s="440"/>
      <c r="D6" s="440"/>
      <c r="E6" s="441"/>
      <c r="F6" s="439" t="s">
        <v>213</v>
      </c>
      <c r="G6" s="440"/>
      <c r="H6" s="440"/>
      <c r="I6" s="441"/>
      <c r="J6" s="442" t="s">
        <v>215</v>
      </c>
      <c r="K6" s="443"/>
      <c r="L6" s="436" t="s">
        <v>216</v>
      </c>
    </row>
    <row r="7" spans="1:12" s="132" customFormat="1" ht="20.100000000000001" customHeight="1">
      <c r="A7" s="438"/>
      <c r="B7" s="183" t="s">
        <v>224</v>
      </c>
      <c r="C7" s="183" t="s">
        <v>220</v>
      </c>
      <c r="D7" s="183" t="s">
        <v>221</v>
      </c>
      <c r="E7" s="183" t="s">
        <v>222</v>
      </c>
      <c r="F7" s="183" t="s">
        <v>224</v>
      </c>
      <c r="G7" s="183" t="s">
        <v>220</v>
      </c>
      <c r="H7" s="183" t="s">
        <v>221</v>
      </c>
      <c r="I7" s="183" t="s">
        <v>222</v>
      </c>
      <c r="J7" s="184" t="s">
        <v>229</v>
      </c>
      <c r="K7" s="185" t="s">
        <v>223</v>
      </c>
      <c r="L7" s="437"/>
    </row>
    <row r="8" spans="1:12" s="132" customFormat="1" ht="20.100000000000001" customHeight="1">
      <c r="A8" s="186" t="s">
        <v>29</v>
      </c>
      <c r="B8" s="107"/>
      <c r="C8" s="107"/>
      <c r="D8" s="107"/>
      <c r="E8" s="191">
        <f>B8+C8+D8</f>
        <v>0</v>
      </c>
      <c r="F8" s="191">
        <f>SUMIF('明细表F4-2'!$D$11:$D$32,'审定表F4-1'!A8,'明细表F4-2'!$M$11:$M$32)</f>
        <v>0</v>
      </c>
      <c r="G8" s="191">
        <f>SUMIF('明细表F4-2'!$D$11:$D$32,'审定表F4-1'!A8,'明细表F4-2'!$R$11:$R$32)</f>
        <v>0</v>
      </c>
      <c r="H8" s="191">
        <f>SUMIF('明细表F4-2'!$D$11:$D$32,'审定表F4-1'!A8,'明细表F4-2'!$S$11:$S$32)</f>
        <v>0</v>
      </c>
      <c r="I8" s="191">
        <f>F8+G8+H8</f>
        <v>0</v>
      </c>
      <c r="J8" s="192">
        <f>I8-E8</f>
        <v>0</v>
      </c>
      <c r="K8" s="193">
        <f>IF(AND(E8=0,J8=0),0,IF(AND(E8=0,J8&gt;0),1,J8/E8))</f>
        <v>0</v>
      </c>
      <c r="L8" s="196"/>
    </row>
    <row r="9" spans="1:12" s="132" customFormat="1" ht="20.100000000000001" customHeight="1">
      <c r="A9" s="186" t="s">
        <v>30</v>
      </c>
      <c r="B9" s="107"/>
      <c r="C9" s="107"/>
      <c r="D9" s="107"/>
      <c r="E9" s="191">
        <f t="shared" ref="E9:E12" si="0">B9+C9+D9</f>
        <v>0</v>
      </c>
      <c r="F9" s="191">
        <f>SUMIF('明细表F4-2'!$D$11:$D$32,'审定表F4-1'!A9,'明细表F4-2'!$M$11:$M$32)</f>
        <v>0</v>
      </c>
      <c r="G9" s="191">
        <f>SUMIF('明细表F4-2'!$D$11:$D$32,'审定表F4-1'!A9,'明细表F4-2'!$R$11:$R$32)</f>
        <v>0</v>
      </c>
      <c r="H9" s="191">
        <f>SUMIF('明细表F4-2'!$D$11:$D$32,'审定表F4-1'!A9,'明细表F4-2'!$S$11:$S$32)</f>
        <v>0</v>
      </c>
      <c r="I9" s="191">
        <f t="shared" ref="I9:I12" si="1">F9+G9+H9</f>
        <v>0</v>
      </c>
      <c r="J9" s="192">
        <f>I9-E9</f>
        <v>0</v>
      </c>
      <c r="K9" s="193">
        <f t="shared" ref="K9:K13" si="2">IF(AND(E9=0,J9=0),0,IF(AND(E9=0,J9&gt;0),1,J9/E9))</f>
        <v>0</v>
      </c>
      <c r="L9" s="196"/>
    </row>
    <row r="10" spans="1:12" s="132" customFormat="1" ht="20.100000000000001" customHeight="1">
      <c r="A10" s="186" t="s">
        <v>36</v>
      </c>
      <c r="B10" s="107"/>
      <c r="C10" s="107"/>
      <c r="D10" s="107"/>
      <c r="E10" s="191">
        <f t="shared" si="0"/>
        <v>0</v>
      </c>
      <c r="F10" s="191">
        <f>SUMIF('明细表F4-2'!$D$11:$D$32,'审定表F4-1'!A10,'明细表F4-2'!$M$11:$M$32)</f>
        <v>0</v>
      </c>
      <c r="G10" s="191">
        <f>SUMIF('明细表F4-2'!$D$11:$D$32,'审定表F4-1'!A10,'明细表F4-2'!$R$11:$R$32)</f>
        <v>0</v>
      </c>
      <c r="H10" s="191">
        <f>SUMIF('明细表F4-2'!$D$11:$D$32,'审定表F4-1'!A10,'明细表F4-2'!$S$11:$S$32)</f>
        <v>0</v>
      </c>
      <c r="I10" s="191">
        <f t="shared" si="1"/>
        <v>0</v>
      </c>
      <c r="J10" s="192">
        <f>I10-E10</f>
        <v>0</v>
      </c>
      <c r="K10" s="193">
        <f t="shared" si="2"/>
        <v>0</v>
      </c>
      <c r="L10" s="196"/>
    </row>
    <row r="11" spans="1:12" s="132" customFormat="1" ht="20.100000000000001" customHeight="1">
      <c r="A11" s="186" t="s">
        <v>50</v>
      </c>
      <c r="B11" s="107"/>
      <c r="C11" s="107"/>
      <c r="D11" s="107"/>
      <c r="E11" s="191">
        <f t="shared" si="0"/>
        <v>0</v>
      </c>
      <c r="F11" s="191">
        <f>SUMIF('明细表F4-2'!$D$11:$D$32,'审定表F4-1'!A11,'明细表F4-2'!$M$11:$M$32)</f>
        <v>0</v>
      </c>
      <c r="G11" s="191">
        <f>SUMIF('明细表F4-2'!$D$11:$D$32,'审定表F4-1'!A11,'明细表F4-2'!$R$11:$R$32)</f>
        <v>0</v>
      </c>
      <c r="H11" s="191">
        <f>SUMIF('明细表F4-2'!$D$11:$D$32,'审定表F4-1'!A11,'明细表F4-2'!$S$11:$S$32)</f>
        <v>0</v>
      </c>
      <c r="I11" s="191">
        <f t="shared" si="1"/>
        <v>0</v>
      </c>
      <c r="J11" s="192">
        <f>I11-E11</f>
        <v>0</v>
      </c>
      <c r="K11" s="193">
        <f t="shared" si="2"/>
        <v>0</v>
      </c>
      <c r="L11" s="196"/>
    </row>
    <row r="12" spans="1:12" s="132" customFormat="1" ht="20.100000000000001" customHeight="1">
      <c r="A12" s="186" t="s">
        <v>37</v>
      </c>
      <c r="B12" s="107"/>
      <c r="C12" s="107"/>
      <c r="D12" s="107"/>
      <c r="E12" s="191">
        <f t="shared" si="0"/>
        <v>0</v>
      </c>
      <c r="F12" s="191">
        <f>SUMIF('明细表F4-2'!$D$11:$D$32,'审定表F4-1'!A12,'明细表F4-2'!$M$11:$M$32)</f>
        <v>0</v>
      </c>
      <c r="G12" s="191">
        <f>SUMIF('明细表F4-2'!$D$11:$D$32,'审定表F4-1'!A12,'明细表F4-2'!$R$11:$R$32)</f>
        <v>0</v>
      </c>
      <c r="H12" s="191">
        <f>SUMIF('明细表F4-2'!$D$11:$D$32,'审定表F4-1'!A12,'明细表F4-2'!$S$11:$S$32)</f>
        <v>0</v>
      </c>
      <c r="I12" s="191">
        <f t="shared" si="1"/>
        <v>0</v>
      </c>
      <c r="J12" s="192">
        <f>I12-E12</f>
        <v>0</v>
      </c>
      <c r="K12" s="193">
        <f t="shared" si="2"/>
        <v>0</v>
      </c>
      <c r="L12" s="196"/>
    </row>
    <row r="13" spans="1:12" s="132" customFormat="1" ht="20.100000000000001" customHeight="1">
      <c r="A13" s="198" t="s">
        <v>208</v>
      </c>
      <c r="B13" s="194">
        <f>SUM(B8:B12)</f>
        <v>0</v>
      </c>
      <c r="C13" s="194">
        <f t="shared" ref="C13:I13" si="3">SUM(C8:C12)</f>
        <v>0</v>
      </c>
      <c r="D13" s="194">
        <f t="shared" si="3"/>
        <v>0</v>
      </c>
      <c r="E13" s="194">
        <f t="shared" si="3"/>
        <v>0</v>
      </c>
      <c r="F13" s="194">
        <f t="shared" si="3"/>
        <v>0</v>
      </c>
      <c r="G13" s="194">
        <f t="shared" si="3"/>
        <v>0</v>
      </c>
      <c r="H13" s="194">
        <f t="shared" si="3"/>
        <v>0</v>
      </c>
      <c r="I13" s="194">
        <f t="shared" si="3"/>
        <v>0</v>
      </c>
      <c r="J13" s="194">
        <f>SUM(J8:J12)</f>
        <v>0</v>
      </c>
      <c r="K13" s="195">
        <f t="shared" si="2"/>
        <v>0</v>
      </c>
      <c r="L13" s="197"/>
    </row>
    <row r="14" spans="1:12" s="132" customFormat="1" ht="20.100000000000001" customHeight="1">
      <c r="A14" s="179" t="s">
        <v>209</v>
      </c>
    </row>
    <row r="15" spans="1:12" s="132" customFormat="1" ht="27.75" customHeight="1">
      <c r="A15" s="436" t="s">
        <v>90</v>
      </c>
      <c r="B15" s="439" t="s">
        <v>214</v>
      </c>
      <c r="C15" s="440"/>
      <c r="D15" s="440"/>
      <c r="E15" s="441"/>
      <c r="F15" s="439" t="s">
        <v>212</v>
      </c>
      <c r="G15" s="440"/>
      <c r="H15" s="440"/>
      <c r="I15" s="441"/>
      <c r="J15" s="442" t="s">
        <v>225</v>
      </c>
      <c r="K15" s="443"/>
      <c r="L15" s="436" t="s">
        <v>216</v>
      </c>
    </row>
    <row r="16" spans="1:12" s="132" customFormat="1" ht="20.100000000000001" customHeight="1">
      <c r="A16" s="438"/>
      <c r="B16" s="183" t="s">
        <v>224</v>
      </c>
      <c r="C16" s="183" t="s">
        <v>218</v>
      </c>
      <c r="D16" s="183" t="s">
        <v>221</v>
      </c>
      <c r="E16" s="183" t="s">
        <v>222</v>
      </c>
      <c r="F16" s="183" t="s">
        <v>217</v>
      </c>
      <c r="G16" s="183" t="s">
        <v>220</v>
      </c>
      <c r="H16" s="183" t="s">
        <v>221</v>
      </c>
      <c r="I16" s="183" t="s">
        <v>222</v>
      </c>
      <c r="J16" s="184" t="s">
        <v>226</v>
      </c>
      <c r="K16" s="185" t="s">
        <v>219</v>
      </c>
      <c r="L16" s="437"/>
    </row>
    <row r="17" spans="1:12" s="132" customFormat="1" ht="20.100000000000001" customHeight="1">
      <c r="A17" s="101" t="s">
        <v>38</v>
      </c>
      <c r="B17" s="107"/>
      <c r="C17" s="107"/>
      <c r="D17" s="107"/>
      <c r="E17" s="191">
        <f t="shared" ref="E17:E21" si="4">B17+C17+D17</f>
        <v>0</v>
      </c>
      <c r="F17" s="191">
        <f>'明细表F4-2'!N32</f>
        <v>0</v>
      </c>
      <c r="G17" s="191">
        <f>I17-F17-H17</f>
        <v>0</v>
      </c>
      <c r="H17" s="191"/>
      <c r="I17" s="191">
        <f>'明细表F4-2'!U32</f>
        <v>0</v>
      </c>
      <c r="J17" s="192">
        <f>I17-E17</f>
        <v>0</v>
      </c>
      <c r="K17" s="193">
        <f t="shared" ref="K17:K22" si="5">IF(AND(E17=0,J17=0),0,IF(AND(E17=0,J17&gt;0),1,J17/E17))</f>
        <v>0</v>
      </c>
      <c r="L17" s="196"/>
    </row>
    <row r="18" spans="1:12" s="132" customFormat="1" ht="20.100000000000001" customHeight="1">
      <c r="A18" s="101" t="s">
        <v>33</v>
      </c>
      <c r="B18" s="107"/>
      <c r="C18" s="107"/>
      <c r="D18" s="107"/>
      <c r="E18" s="191">
        <f t="shared" si="4"/>
        <v>0</v>
      </c>
      <c r="F18" s="191">
        <f>'明细表F4-2'!O32</f>
        <v>0</v>
      </c>
      <c r="G18" s="191">
        <f t="shared" ref="G18:G20" si="6">I18-F18-H18</f>
        <v>0</v>
      </c>
      <c r="H18" s="191"/>
      <c r="I18" s="191">
        <f>'明细表F4-2'!V32</f>
        <v>0</v>
      </c>
      <c r="J18" s="192">
        <f>I18-E18</f>
        <v>0</v>
      </c>
      <c r="K18" s="193">
        <f t="shared" si="5"/>
        <v>0</v>
      </c>
      <c r="L18" s="196"/>
    </row>
    <row r="19" spans="1:12" s="132" customFormat="1" ht="20.100000000000001" customHeight="1">
      <c r="A19" s="101" t="s">
        <v>34</v>
      </c>
      <c r="B19" s="107"/>
      <c r="C19" s="107"/>
      <c r="D19" s="107"/>
      <c r="E19" s="191">
        <f t="shared" si="4"/>
        <v>0</v>
      </c>
      <c r="F19" s="191">
        <f>'明细表F4-2'!P32</f>
        <v>0</v>
      </c>
      <c r="G19" s="191">
        <f t="shared" si="6"/>
        <v>0</v>
      </c>
      <c r="H19" s="191"/>
      <c r="I19" s="191">
        <f>'明细表F4-2'!W32</f>
        <v>0</v>
      </c>
      <c r="J19" s="192">
        <f>I19-E19</f>
        <v>0</v>
      </c>
      <c r="K19" s="193">
        <f t="shared" si="5"/>
        <v>0</v>
      </c>
      <c r="L19" s="196"/>
    </row>
    <row r="20" spans="1:12" s="132" customFormat="1" ht="20.100000000000001" customHeight="1">
      <c r="A20" s="101" t="s">
        <v>35</v>
      </c>
      <c r="B20" s="107"/>
      <c r="C20" s="107"/>
      <c r="D20" s="107"/>
      <c r="E20" s="191">
        <f>B20+C20+D20</f>
        <v>0</v>
      </c>
      <c r="F20" s="191">
        <f>'明细表F4-2'!Q32</f>
        <v>0</v>
      </c>
      <c r="G20" s="191">
        <f t="shared" si="6"/>
        <v>0</v>
      </c>
      <c r="H20" s="191"/>
      <c r="I20" s="191">
        <f>'明细表F4-2'!X32</f>
        <v>0</v>
      </c>
      <c r="J20" s="192">
        <f>I20-E20</f>
        <v>0</v>
      </c>
      <c r="K20" s="193">
        <f t="shared" si="5"/>
        <v>0</v>
      </c>
      <c r="L20" s="196"/>
    </row>
    <row r="21" spans="1:12" s="132" customFormat="1" ht="20.100000000000001" customHeight="1">
      <c r="A21" s="102"/>
      <c r="B21" s="107"/>
      <c r="C21" s="107"/>
      <c r="D21" s="107"/>
      <c r="E21" s="191">
        <f t="shared" si="4"/>
        <v>0</v>
      </c>
      <c r="F21" s="191"/>
      <c r="G21" s="191"/>
      <c r="H21" s="191"/>
      <c r="I21" s="191">
        <f t="shared" ref="I21" si="7">F21+G21+H21</f>
        <v>0</v>
      </c>
      <c r="J21" s="192">
        <f>I21-E21</f>
        <v>0</v>
      </c>
      <c r="K21" s="193">
        <f t="shared" si="5"/>
        <v>0</v>
      </c>
      <c r="L21" s="196"/>
    </row>
    <row r="22" spans="1:12" s="132" customFormat="1" ht="20.100000000000001" customHeight="1">
      <c r="A22" s="198" t="s">
        <v>230</v>
      </c>
      <c r="B22" s="194">
        <f>SUM(B17:B21)</f>
        <v>0</v>
      </c>
      <c r="C22" s="194">
        <f t="shared" ref="C22" si="8">SUM(C17:C21)</f>
        <v>0</v>
      </c>
      <c r="D22" s="194">
        <f t="shared" ref="D22" si="9">SUM(D17:D21)</f>
        <v>0</v>
      </c>
      <c r="E22" s="194">
        <f t="shared" ref="E22" si="10">SUM(E17:E21)</f>
        <v>0</v>
      </c>
      <c r="F22" s="194">
        <f t="shared" ref="F22" si="11">SUM(F17:F21)</f>
        <v>0</v>
      </c>
      <c r="G22" s="194">
        <f t="shared" ref="G22" si="12">SUM(G17:G21)</f>
        <v>0</v>
      </c>
      <c r="H22" s="194">
        <f t="shared" ref="H22" si="13">SUM(H17:H21)</f>
        <v>0</v>
      </c>
      <c r="I22" s="194">
        <f t="shared" ref="I22" si="14">SUM(I17:I21)</f>
        <v>0</v>
      </c>
      <c r="J22" s="194">
        <f t="shared" ref="J22" si="15">SUM(J17:J21)</f>
        <v>0</v>
      </c>
      <c r="K22" s="195">
        <f t="shared" si="5"/>
        <v>0</v>
      </c>
      <c r="L22" s="197"/>
    </row>
    <row r="23" spans="1:12" s="188" customFormat="1" ht="20.100000000000001" customHeight="1">
      <c r="A23" s="187" t="s">
        <v>227</v>
      </c>
      <c r="B23" s="199"/>
      <c r="C23" s="199"/>
      <c r="D23" s="199"/>
      <c r="E23" s="107"/>
      <c r="F23" s="199"/>
      <c r="G23" s="199"/>
      <c r="H23" s="199"/>
      <c r="I23" s="107"/>
      <c r="J23" s="364"/>
      <c r="K23" s="50"/>
      <c r="L23" s="132"/>
    </row>
    <row r="24" spans="1:12" s="188" customFormat="1" ht="20.100000000000001" customHeight="1">
      <c r="A24" s="187" t="s">
        <v>231</v>
      </c>
      <c r="B24" s="199"/>
      <c r="C24" s="199"/>
      <c r="D24" s="199"/>
      <c r="E24" s="191">
        <f>E22-E23</f>
        <v>0</v>
      </c>
      <c r="F24" s="199"/>
      <c r="G24" s="199"/>
      <c r="H24" s="199"/>
      <c r="I24" s="191">
        <f>I22-I23</f>
        <v>0</v>
      </c>
      <c r="J24" s="363"/>
      <c r="K24" s="50"/>
      <c r="L24" s="132"/>
    </row>
    <row r="25" spans="1:12" s="132" customFormat="1" ht="20.100000000000001" customHeight="1">
      <c r="A25" s="189" t="s">
        <v>210</v>
      </c>
    </row>
    <row r="26" spans="1:12" s="132" customFormat="1" ht="20.100000000000001" customHeight="1">
      <c r="A26" s="106" t="s">
        <v>233</v>
      </c>
      <c r="B26" s="190"/>
      <c r="C26" s="190"/>
      <c r="D26" s="433">
        <f>IF(E18=0,0,(I18-E18)/E18)</f>
        <v>0</v>
      </c>
      <c r="E26" s="433"/>
    </row>
    <row r="27" spans="1:12" s="132" customFormat="1" ht="20.100000000000001" customHeight="1">
      <c r="A27" s="190" t="s">
        <v>211</v>
      </c>
      <c r="B27" s="190"/>
      <c r="C27" s="190"/>
      <c r="D27" s="190"/>
      <c r="E27" s="190"/>
    </row>
    <row r="28" spans="1:12" s="132" customFormat="1" ht="20.100000000000001" customHeight="1">
      <c r="A28" s="106" t="s">
        <v>232</v>
      </c>
      <c r="B28" s="190"/>
      <c r="C28" s="190"/>
      <c r="D28" s="190"/>
      <c r="E28" s="190"/>
    </row>
    <row r="29" spans="1:12" s="132" customFormat="1" ht="20.100000000000001" customHeight="1">
      <c r="A29" s="190"/>
      <c r="B29" s="190"/>
      <c r="C29" s="190"/>
      <c r="D29" s="190"/>
      <c r="E29" s="190"/>
    </row>
    <row r="30" spans="1:12" s="132" customFormat="1" ht="20.100000000000001" customHeight="1">
      <c r="A30" s="189" t="s">
        <v>60</v>
      </c>
    </row>
    <row r="31" spans="1:12" s="132" customFormat="1" ht="20.100000000000001" customHeight="1"/>
  </sheetData>
  <mergeCells count="13">
    <mergeCell ref="D26:E26"/>
    <mergeCell ref="A1:L1"/>
    <mergeCell ref="A2:L2"/>
    <mergeCell ref="L15:L16"/>
    <mergeCell ref="A6:A7"/>
    <mergeCell ref="B6:E6"/>
    <mergeCell ref="F6:I6"/>
    <mergeCell ref="J6:K6"/>
    <mergeCell ref="L6:L7"/>
    <mergeCell ref="A15:A16"/>
    <mergeCell ref="B15:E15"/>
    <mergeCell ref="F15:I15"/>
    <mergeCell ref="J15:K15"/>
  </mergeCells>
  <phoneticPr fontId="15" type="noConversion"/>
  <hyperlinks>
    <hyperlink ref="L3" location="底稿目录!A1" display="F4-1"/>
  </hyperlinks>
  <pageMargins left="0.70866141732283472" right="0.51181102362204722" top="0.74803149606299213" bottom="0.74803149606299213" header="0.31496062992125984" footer="0.31496062992125984"/>
  <pageSetup paperSize="9" scale="80" fitToHeight="0" orientation="landscape" blackAndWhite="1" r:id="rId1"/>
  <headerFooter>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D41"/>
  <sheetViews>
    <sheetView view="pageBreakPreview" zoomScaleSheetLayoutView="100" workbookViewId="0">
      <selection activeCell="F17" sqref="F17"/>
    </sheetView>
  </sheetViews>
  <sheetFormatPr defaultColWidth="9" defaultRowHeight="13.8"/>
  <cols>
    <col min="1" max="1" width="28" style="10" customWidth="1"/>
    <col min="2" max="2" width="13.19921875" style="10" customWidth="1"/>
    <col min="3" max="3" width="21.796875" style="10" customWidth="1"/>
    <col min="4" max="4" width="25.796875" style="10" customWidth="1"/>
    <col min="5" max="16384" width="9" style="10"/>
  </cols>
  <sheetData>
    <row r="1" spans="1:4" ht="20.100000000000001" customHeight="1">
      <c r="A1" s="444" t="s">
        <v>102</v>
      </c>
      <c r="B1" s="444"/>
      <c r="C1" s="444"/>
      <c r="D1" s="444"/>
    </row>
    <row r="2" spans="1:4" s="50" customFormat="1" ht="25.05" customHeight="1">
      <c r="A2" s="444" t="s">
        <v>51</v>
      </c>
      <c r="B2" s="444"/>
      <c r="C2" s="444"/>
      <c r="D2" s="444"/>
    </row>
    <row r="3" spans="1:4" ht="20.100000000000001" customHeight="1">
      <c r="A3" s="10" t="str">
        <f>底稿目录!A2</f>
        <v>被审计单位：</v>
      </c>
      <c r="B3" s="22" t="str">
        <f>底稿目录!A4</f>
        <v>编制人：</v>
      </c>
      <c r="C3" s="22" t="str">
        <f>底稿目录!A5</f>
        <v>编制日期：</v>
      </c>
      <c r="D3" s="352" t="s">
        <v>444</v>
      </c>
    </row>
    <row r="4" spans="1:4" ht="20.100000000000001" customHeight="1">
      <c r="A4" s="10" t="str">
        <f>底稿目录!A3</f>
        <v>截止日：202X年12月31日</v>
      </c>
      <c r="B4" s="22" t="str">
        <f>底稿目录!A6</f>
        <v>复核人：</v>
      </c>
      <c r="C4" s="22" t="str">
        <f>底稿目录!A7</f>
        <v>复核日期：</v>
      </c>
      <c r="D4" s="22" t="s">
        <v>27</v>
      </c>
    </row>
    <row r="5" spans="1:4" s="50" customFormat="1" ht="20.100000000000001" customHeight="1" thickBot="1">
      <c r="A5" s="132" t="s">
        <v>234</v>
      </c>
      <c r="B5" s="132"/>
      <c r="C5" s="132"/>
      <c r="D5" s="132"/>
    </row>
    <row r="6" spans="1:4" s="133" customFormat="1" ht="20.100000000000001" customHeight="1" thickBot="1">
      <c r="A6" s="135" t="s">
        <v>151</v>
      </c>
      <c r="B6" s="138"/>
      <c r="C6" s="138" t="s">
        <v>155</v>
      </c>
      <c r="D6" s="138" t="s">
        <v>156</v>
      </c>
    </row>
    <row r="7" spans="1:4" s="133" customFormat="1" ht="20.100000000000001" customHeight="1">
      <c r="A7" s="139" t="s">
        <v>29</v>
      </c>
      <c r="B7" s="202"/>
      <c r="C7" s="202">
        <f>'审定表F4-1'!I8</f>
        <v>0</v>
      </c>
      <c r="D7" s="202">
        <f>'审定表F4-1'!E8</f>
        <v>0</v>
      </c>
    </row>
    <row r="8" spans="1:4" s="133" customFormat="1" ht="20.100000000000001" customHeight="1">
      <c r="A8" s="139" t="s">
        <v>30</v>
      </c>
      <c r="B8" s="202"/>
      <c r="C8" s="202">
        <f>'审定表F4-1'!I9</f>
        <v>0</v>
      </c>
      <c r="D8" s="202">
        <f>'审定表F4-1'!E9</f>
        <v>0</v>
      </c>
    </row>
    <row r="9" spans="1:4" s="133" customFormat="1" ht="20.100000000000001" customHeight="1" thickBot="1">
      <c r="A9" s="140" t="s">
        <v>152</v>
      </c>
      <c r="B9" s="202"/>
      <c r="C9" s="202"/>
      <c r="D9" s="202"/>
    </row>
    <row r="10" spans="1:4" s="133" customFormat="1" ht="20.100000000000001" customHeight="1" thickBot="1">
      <c r="A10" s="135" t="s">
        <v>153</v>
      </c>
      <c r="B10" s="200"/>
      <c r="C10" s="201">
        <f>SUM(C7:C9)</f>
        <v>0</v>
      </c>
      <c r="D10" s="201">
        <f>SUM(D7:D9)</f>
        <v>0</v>
      </c>
    </row>
    <row r="11" spans="1:4" s="133" customFormat="1" ht="20.100000000000001" customHeight="1" thickBot="1">
      <c r="A11" s="141" t="s">
        <v>154</v>
      </c>
    </row>
    <row r="12" spans="1:4" s="133" customFormat="1" ht="20.100000000000001" customHeight="1" thickBot="1">
      <c r="A12" s="142" t="s">
        <v>90</v>
      </c>
      <c r="B12" s="138" t="s">
        <v>157</v>
      </c>
      <c r="C12" s="138" t="s">
        <v>58</v>
      </c>
    </row>
    <row r="13" spans="1:4" s="133" customFormat="1" ht="20.100000000000001" customHeight="1">
      <c r="A13" s="143">
        <f>'长期挂账检查表F4-5'!B9</f>
        <v>0</v>
      </c>
      <c r="B13" s="203">
        <f>'长期挂账检查表F4-5'!K9</f>
        <v>0</v>
      </c>
      <c r="C13" s="144">
        <f>'长期挂账检查表F4-5'!F9</f>
        <v>0</v>
      </c>
    </row>
    <row r="14" spans="1:4" s="133" customFormat="1" ht="20.100000000000001" customHeight="1">
      <c r="A14" s="145">
        <f>'长期挂账检查表F4-5'!B13</f>
        <v>0</v>
      </c>
      <c r="B14" s="204">
        <f>'长期挂账检查表F4-5'!K13</f>
        <v>0</v>
      </c>
      <c r="C14" s="146">
        <f>'长期挂账检查表F4-5'!F13</f>
        <v>0</v>
      </c>
    </row>
    <row r="15" spans="1:4" s="133" customFormat="1" ht="20.100000000000001" customHeight="1" thickBot="1">
      <c r="A15" s="147">
        <f>'长期挂账检查表F4-5'!B14</f>
        <v>0</v>
      </c>
      <c r="B15" s="205">
        <f>'长期挂账检查表F4-5'!K14</f>
        <v>0</v>
      </c>
      <c r="C15" s="148">
        <f>'长期挂账检查表F4-5'!F14</f>
        <v>0</v>
      </c>
    </row>
    <row r="16" spans="1:4" s="133" customFormat="1" ht="20.100000000000001" customHeight="1" thickBot="1">
      <c r="A16" s="149" t="s">
        <v>153</v>
      </c>
      <c r="B16" s="206">
        <f>SUM(B13:B15)</f>
        <v>0</v>
      </c>
      <c r="C16" s="219"/>
    </row>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sheetData>
  <mergeCells count="2">
    <mergeCell ref="A1:D1"/>
    <mergeCell ref="A2:D2"/>
  </mergeCells>
  <phoneticPr fontId="15" type="noConversion"/>
  <printOptions horizontalCentered="1"/>
  <pageMargins left="0.98425196850393704" right="0.74803149606299213" top="0.98425196850393704" bottom="0.98425196850393704" header="0.51181102362204722" footer="0.51181102362204722"/>
  <pageSetup paperSize="9" scale="88"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E26"/>
  <sheetViews>
    <sheetView view="pageBreakPreview" zoomScaleSheetLayoutView="100" workbookViewId="0">
      <selection activeCell="H17" sqref="H17"/>
    </sheetView>
  </sheetViews>
  <sheetFormatPr defaultColWidth="9" defaultRowHeight="12"/>
  <cols>
    <col min="1" max="1" width="25.5" style="37" customWidth="1"/>
    <col min="2" max="2" width="8.19921875" style="37" customWidth="1"/>
    <col min="3" max="3" width="22.796875" style="37" customWidth="1"/>
    <col min="4" max="4" width="20.09765625" style="37" customWidth="1"/>
    <col min="5" max="5" width="19" style="37" customWidth="1"/>
    <col min="6" max="16384" width="9" style="37"/>
  </cols>
  <sheetData>
    <row r="1" spans="1:5" ht="20.100000000000001" customHeight="1">
      <c r="A1" s="445" t="s">
        <v>25</v>
      </c>
      <c r="B1" s="445"/>
      <c r="C1" s="445"/>
      <c r="D1" s="445"/>
      <c r="E1" s="445"/>
    </row>
    <row r="2" spans="1:5" s="38" customFormat="1" ht="25.05" customHeight="1">
      <c r="A2" s="446" t="s">
        <v>5</v>
      </c>
      <c r="B2" s="446"/>
      <c r="C2" s="446"/>
      <c r="D2" s="446"/>
      <c r="E2" s="446"/>
    </row>
    <row r="3" spans="1:5" ht="20.100000000000001" customHeight="1">
      <c r="A3" s="10" t="str">
        <f>底稿目录!A2</f>
        <v>被审计单位：</v>
      </c>
      <c r="B3" s="10"/>
      <c r="C3" s="22" t="str">
        <f>底稿目录!A4</f>
        <v>编制人：</v>
      </c>
      <c r="D3" s="22" t="str">
        <f>底稿目录!A5</f>
        <v>编制日期：</v>
      </c>
      <c r="E3" s="351" t="s">
        <v>444</v>
      </c>
    </row>
    <row r="4" spans="1:5" ht="20.100000000000001" customHeight="1">
      <c r="A4" s="10" t="str">
        <f>底稿目录!A3</f>
        <v>截止日：202X年12月31日</v>
      </c>
      <c r="B4" s="10"/>
      <c r="C4" s="22" t="str">
        <f>底稿目录!A6</f>
        <v>复核人：</v>
      </c>
      <c r="D4" s="22" t="str">
        <f>底稿目录!A7</f>
        <v>复核日期：</v>
      </c>
      <c r="E4" s="351" t="s">
        <v>445</v>
      </c>
    </row>
    <row r="5" spans="1:5" s="133" customFormat="1" ht="20.100000000000001" customHeight="1" thickBot="1">
      <c r="A5" s="132" t="s">
        <v>4</v>
      </c>
      <c r="B5" s="132"/>
      <c r="C5" s="132"/>
      <c r="D5" s="132"/>
    </row>
    <row r="6" spans="1:5" s="133" customFormat="1" ht="20.100000000000001" customHeight="1" thickBot="1">
      <c r="A6" s="150" t="s">
        <v>149</v>
      </c>
      <c r="B6" s="151"/>
      <c r="C6" s="150" t="s">
        <v>3</v>
      </c>
      <c r="D6" s="150" t="s">
        <v>148</v>
      </c>
    </row>
    <row r="7" spans="1:5" s="133" customFormat="1" ht="20.100000000000001" customHeight="1">
      <c r="A7" s="207" t="s">
        <v>236</v>
      </c>
      <c r="B7" s="208"/>
      <c r="C7" s="213">
        <f>'审定表F4-1'!I17</f>
        <v>0</v>
      </c>
      <c r="D7" s="213">
        <f>'审定表F4-1'!E17</f>
        <v>0</v>
      </c>
    </row>
    <row r="8" spans="1:5" s="133" customFormat="1" ht="20.100000000000001" customHeight="1">
      <c r="A8" s="209" t="s">
        <v>237</v>
      </c>
      <c r="B8" s="210"/>
      <c r="C8" s="214">
        <f>'审定表F4-1'!I18</f>
        <v>0</v>
      </c>
      <c r="D8" s="214">
        <f>'审定表F4-1'!E18</f>
        <v>0</v>
      </c>
    </row>
    <row r="9" spans="1:5" s="133" customFormat="1" ht="20.100000000000001" customHeight="1">
      <c r="A9" s="209" t="s">
        <v>238</v>
      </c>
      <c r="B9" s="210"/>
      <c r="C9" s="214">
        <f>'审定表F4-1'!I19</f>
        <v>0</v>
      </c>
      <c r="D9" s="214">
        <f>'审定表F4-1'!E19</f>
        <v>0</v>
      </c>
    </row>
    <row r="10" spans="1:5" s="133" customFormat="1" ht="20.100000000000001" customHeight="1" thickBot="1">
      <c r="A10" s="211" t="s">
        <v>235</v>
      </c>
      <c r="B10" s="212"/>
      <c r="C10" s="215">
        <f>'审定表F4-1'!I20</f>
        <v>0</v>
      </c>
      <c r="D10" s="215">
        <f>'审定表F4-1'!E20</f>
        <v>0</v>
      </c>
    </row>
    <row r="11" spans="1:5" s="133" customFormat="1" ht="20.100000000000001" customHeight="1" thickBot="1">
      <c r="A11" s="153" t="s">
        <v>150</v>
      </c>
      <c r="B11" s="134"/>
      <c r="C11" s="216">
        <f>SUM(C7:C10)</f>
        <v>0</v>
      </c>
      <c r="D11" s="216">
        <f>SUM(D7:D10)</f>
        <v>0</v>
      </c>
    </row>
    <row r="12" spans="1:5" s="133" customFormat="1" ht="20.100000000000001" customHeight="1" thickBot="1">
      <c r="A12" s="133" t="s">
        <v>146</v>
      </c>
    </row>
    <row r="13" spans="1:5" s="133" customFormat="1" ht="20.100000000000001" customHeight="1" thickBot="1">
      <c r="A13" s="152" t="s">
        <v>31</v>
      </c>
      <c r="B13" s="150"/>
      <c r="C13" s="150" t="s">
        <v>147</v>
      </c>
      <c r="D13" s="150" t="s">
        <v>32</v>
      </c>
    </row>
    <row r="14" spans="1:5" s="133" customFormat="1" ht="20.100000000000001" customHeight="1">
      <c r="A14" s="136">
        <f>'长期挂账检查表F4-5'!B9</f>
        <v>0</v>
      </c>
      <c r="B14" s="137"/>
      <c r="C14" s="217">
        <f>'长期挂账检查表F4-5'!K9</f>
        <v>0</v>
      </c>
      <c r="D14" s="218">
        <f>'长期挂账检查表F4-5'!F9</f>
        <v>0</v>
      </c>
    </row>
    <row r="15" spans="1:5" s="133" customFormat="1" ht="20.100000000000001" customHeight="1">
      <c r="A15" s="136">
        <f>'长期挂账检查表F4-5'!B13</f>
        <v>0</v>
      </c>
      <c r="B15" s="137"/>
      <c r="C15" s="217">
        <f>'长期挂账检查表F4-5'!K13</f>
        <v>0</v>
      </c>
      <c r="D15" s="218">
        <f>'长期挂账检查表F4-5'!F13</f>
        <v>0</v>
      </c>
    </row>
    <row r="16" spans="1:5" s="133" customFormat="1" ht="20.100000000000001" customHeight="1" thickBot="1">
      <c r="A16" s="136">
        <f>'长期挂账检查表F4-5'!B14</f>
        <v>0</v>
      </c>
      <c r="B16" s="137"/>
      <c r="C16" s="217">
        <f>'长期挂账检查表F4-5'!K14</f>
        <v>0</v>
      </c>
      <c r="D16" s="218">
        <f>'长期挂账检查表F4-5'!F14</f>
        <v>0</v>
      </c>
    </row>
    <row r="17" spans="1:4" s="133" customFormat="1" ht="20.100000000000001" customHeight="1" thickBot="1">
      <c r="A17" s="152" t="s">
        <v>26</v>
      </c>
      <c r="B17" s="135"/>
      <c r="C17" s="201">
        <f>SUM(C14:C16)</f>
        <v>0</v>
      </c>
      <c r="D17" s="135"/>
    </row>
    <row r="18" spans="1:4" s="49" customFormat="1" ht="15.6">
      <c r="A18" s="5"/>
      <c r="B18" s="5"/>
      <c r="C18" s="5"/>
      <c r="D18" s="5"/>
    </row>
    <row r="19" spans="1:4" s="49" customFormat="1"/>
    <row r="20" spans="1:4" s="49" customFormat="1"/>
    <row r="21" spans="1:4" s="49" customFormat="1"/>
    <row r="22" spans="1:4" s="49" customFormat="1"/>
    <row r="23" spans="1:4" ht="18" customHeight="1"/>
    <row r="24" spans="1:4" ht="18" customHeight="1"/>
    <row r="25" spans="1:4" ht="18" customHeight="1"/>
    <row r="26" spans="1:4" ht="18" customHeight="1"/>
  </sheetData>
  <mergeCells count="2">
    <mergeCell ref="A1:E1"/>
    <mergeCell ref="A2:E2"/>
  </mergeCells>
  <phoneticPr fontId="15" type="noConversion"/>
  <printOptions horizontalCentered="1"/>
  <pageMargins left="0.98425196850393704" right="0.74803149606299213" top="0.98425196850393704" bottom="0.98425196850393704" header="0.51181102362204722" footer="0.51181102362204722"/>
  <pageSetup paperSize="9" scale="81" fitToHeight="100" orientation="portrait" blackAndWhite="1" cellComments="atEnd"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AA54"/>
  <sheetViews>
    <sheetView view="pageBreakPreview" zoomScale="85" zoomScaleSheetLayoutView="85" workbookViewId="0">
      <selection sqref="A1:AA1"/>
    </sheetView>
  </sheetViews>
  <sheetFormatPr defaultColWidth="7" defaultRowHeight="13.8"/>
  <cols>
    <col min="1" max="1" width="14.59765625" style="12" customWidth="1"/>
    <col min="2" max="2" width="8.5" style="12" customWidth="1"/>
    <col min="3" max="3" width="10.5" style="12" customWidth="1"/>
    <col min="4" max="8" width="9.796875" style="12" customWidth="1"/>
    <col min="9" max="11" width="8.5" style="12" customWidth="1"/>
    <col min="12" max="12" width="10.09765625" style="12" customWidth="1"/>
    <col min="13" max="13" width="10.796875" style="12" customWidth="1"/>
    <col min="14" max="17" width="9.296875" style="12" customWidth="1"/>
    <col min="18" max="18" width="9" style="12" customWidth="1"/>
    <col min="19" max="19" width="10.296875" style="12" customWidth="1"/>
    <col min="20" max="20" width="9.796875" style="12" customWidth="1"/>
    <col min="21" max="23" width="7" style="12" customWidth="1"/>
    <col min="24" max="24" width="9" style="12" customWidth="1"/>
    <col min="25" max="25" width="6" style="12" customWidth="1"/>
    <col min="26" max="26" width="8.19921875" style="12" customWidth="1"/>
    <col min="27" max="27" width="4.59765625" style="12" customWidth="1"/>
    <col min="28" max="16384" width="7" style="12"/>
  </cols>
  <sheetData>
    <row r="1" spans="1:27" ht="19.95" customHeight="1">
      <c r="A1" s="456" t="s">
        <v>458</v>
      </c>
      <c r="B1" s="456"/>
      <c r="C1" s="456"/>
      <c r="D1" s="456"/>
      <c r="E1" s="456"/>
      <c r="F1" s="456"/>
      <c r="G1" s="456"/>
      <c r="H1" s="456"/>
      <c r="I1" s="456"/>
      <c r="J1" s="456"/>
      <c r="K1" s="456"/>
      <c r="L1" s="456"/>
      <c r="M1" s="456"/>
      <c r="N1" s="456"/>
      <c r="O1" s="456"/>
      <c r="P1" s="456"/>
      <c r="Q1" s="456"/>
      <c r="R1" s="456"/>
      <c r="S1" s="456"/>
      <c r="T1" s="456"/>
      <c r="U1" s="456"/>
      <c r="V1" s="456"/>
      <c r="W1" s="456"/>
      <c r="X1" s="456"/>
      <c r="Y1" s="456"/>
      <c r="Z1" s="456"/>
      <c r="AA1" s="456"/>
    </row>
    <row r="2" spans="1:27" s="25" customFormat="1" ht="19.95" customHeight="1">
      <c r="A2" s="457" t="s">
        <v>127</v>
      </c>
      <c r="B2" s="457"/>
      <c r="C2" s="457"/>
      <c r="D2" s="457"/>
      <c r="E2" s="457"/>
      <c r="F2" s="457"/>
      <c r="G2" s="457"/>
      <c r="H2" s="457"/>
      <c r="I2" s="457"/>
      <c r="J2" s="457"/>
      <c r="K2" s="457"/>
      <c r="L2" s="457"/>
      <c r="M2" s="457"/>
      <c r="N2" s="457"/>
      <c r="O2" s="457"/>
      <c r="P2" s="457"/>
      <c r="Q2" s="457"/>
      <c r="R2" s="457"/>
      <c r="S2" s="457"/>
      <c r="T2" s="457"/>
      <c r="U2" s="457"/>
      <c r="V2" s="457"/>
      <c r="W2" s="457"/>
      <c r="X2" s="457"/>
      <c r="Y2" s="457"/>
      <c r="Z2" s="457"/>
      <c r="AA2" s="457"/>
    </row>
    <row r="3" spans="1:27" ht="19.95" customHeight="1">
      <c r="A3" s="9" t="str">
        <f>底稿目录!A2</f>
        <v>被审计单位：</v>
      </c>
      <c r="B3" s="9"/>
      <c r="C3" s="9"/>
      <c r="D3" s="9"/>
      <c r="E3" s="9"/>
      <c r="F3" s="9"/>
      <c r="G3" s="9"/>
      <c r="H3" s="9"/>
      <c r="I3" s="9"/>
      <c r="J3" s="9"/>
      <c r="K3" s="9"/>
      <c r="L3" s="9"/>
      <c r="M3" s="9" t="str">
        <f>底稿目录!A4</f>
        <v>编制人：</v>
      </c>
      <c r="N3" s="9"/>
      <c r="O3" s="9"/>
      <c r="P3" s="9"/>
      <c r="Q3" s="9"/>
      <c r="T3" s="9" t="str">
        <f>底稿目录!A5</f>
        <v>编制日期：</v>
      </c>
      <c r="U3" s="85"/>
      <c r="X3" s="9"/>
      <c r="Y3" s="9"/>
      <c r="Z3" s="348" t="s">
        <v>456</v>
      </c>
      <c r="AA3" s="394" t="str">
        <f>底稿目录!F7</f>
        <v>F4-2</v>
      </c>
    </row>
    <row r="4" spans="1:27" ht="19.95" customHeight="1">
      <c r="A4" s="9" t="str">
        <f>底稿目录!A3</f>
        <v>截止日：202X年12月31日</v>
      </c>
      <c r="B4" s="9"/>
      <c r="C4" s="9"/>
      <c r="D4" s="9"/>
      <c r="E4" s="9"/>
      <c r="F4" s="9"/>
      <c r="G4" s="9"/>
      <c r="H4" s="9"/>
      <c r="I4" s="9"/>
      <c r="J4" s="9"/>
      <c r="K4" s="9"/>
      <c r="L4" s="9"/>
      <c r="M4" s="9" t="str">
        <f>底稿目录!A6</f>
        <v>复核人：</v>
      </c>
      <c r="N4" s="9"/>
      <c r="O4" s="9"/>
      <c r="P4" s="9"/>
      <c r="Q4" s="9"/>
      <c r="T4" s="9" t="str">
        <f>底稿目录!A7</f>
        <v>复核日期：</v>
      </c>
      <c r="U4" s="85"/>
      <c r="X4" s="9"/>
      <c r="Y4" s="9"/>
      <c r="Z4" s="348" t="s">
        <v>457</v>
      </c>
      <c r="AA4" s="9"/>
    </row>
    <row r="5" spans="1:27" ht="19.95" customHeight="1">
      <c r="A5" s="73" t="s">
        <v>62</v>
      </c>
      <c r="B5" s="73"/>
      <c r="C5" s="73"/>
      <c r="D5" s="74"/>
      <c r="E5" s="9"/>
      <c r="F5" s="9"/>
      <c r="G5" s="9"/>
      <c r="H5" s="9"/>
      <c r="I5" s="9"/>
      <c r="J5" s="9"/>
      <c r="K5" s="9"/>
      <c r="L5" s="9"/>
      <c r="M5" s="9"/>
      <c r="O5" s="11"/>
      <c r="P5" s="10"/>
      <c r="Q5" s="9"/>
      <c r="S5" s="9"/>
      <c r="T5" s="9"/>
      <c r="U5" s="9"/>
      <c r="V5" s="9"/>
      <c r="W5" s="9"/>
      <c r="X5" s="9"/>
    </row>
    <row r="6" spans="1:27" ht="19.95" customHeight="1">
      <c r="A6" s="75" t="s">
        <v>536</v>
      </c>
      <c r="B6" s="75"/>
      <c r="C6" s="75"/>
      <c r="D6" s="74"/>
      <c r="E6" s="9"/>
      <c r="F6" s="9"/>
      <c r="G6" s="9"/>
      <c r="H6" s="9"/>
      <c r="I6" s="9"/>
      <c r="J6" s="9"/>
      <c r="K6" s="9"/>
      <c r="L6" s="9"/>
      <c r="M6" s="9"/>
      <c r="O6" s="11"/>
      <c r="P6" s="10"/>
      <c r="Q6" s="9"/>
      <c r="S6" s="9"/>
      <c r="T6" s="9"/>
      <c r="U6" s="9"/>
      <c r="V6" s="9"/>
      <c r="W6" s="9"/>
      <c r="X6" s="9"/>
    </row>
    <row r="7" spans="1:27" ht="19.95" customHeight="1">
      <c r="A7" s="75" t="s">
        <v>240</v>
      </c>
      <c r="B7" s="75"/>
      <c r="C7" s="75"/>
      <c r="D7" s="75"/>
      <c r="E7" s="9"/>
      <c r="F7" s="9"/>
      <c r="G7" s="9"/>
      <c r="H7" s="9"/>
      <c r="I7" s="9"/>
      <c r="J7" s="9"/>
      <c r="K7" s="9"/>
      <c r="L7" s="9"/>
      <c r="M7" s="9"/>
      <c r="O7" s="11"/>
      <c r="P7" s="10"/>
      <c r="Q7" s="9"/>
      <c r="S7" s="9"/>
      <c r="T7" s="9"/>
      <c r="U7" s="9"/>
      <c r="V7" s="9"/>
      <c r="W7" s="9"/>
      <c r="X7" s="9"/>
    </row>
    <row r="8" spans="1:27" ht="19.95" customHeight="1">
      <c r="A8" s="76" t="s">
        <v>63</v>
      </c>
      <c r="B8" s="76"/>
      <c r="C8" s="76"/>
      <c r="D8" s="9"/>
      <c r="E8" s="9"/>
      <c r="F8" s="9"/>
      <c r="G8" s="9"/>
      <c r="H8" s="9"/>
      <c r="I8" s="9"/>
      <c r="J8" s="9"/>
      <c r="K8" s="9"/>
      <c r="L8" s="9"/>
      <c r="M8" s="9"/>
      <c r="O8" s="11"/>
      <c r="P8" s="10"/>
      <c r="Q8" s="9"/>
      <c r="S8" s="9"/>
      <c r="T8" s="9"/>
      <c r="U8" s="9"/>
      <c r="V8" s="9"/>
      <c r="W8" s="9"/>
      <c r="X8" s="9"/>
    </row>
    <row r="9" spans="1:27" ht="19.95" customHeight="1">
      <c r="A9" s="453" t="s">
        <v>64</v>
      </c>
      <c r="B9" s="459" t="s">
        <v>535</v>
      </c>
      <c r="C9" s="450" t="s">
        <v>131</v>
      </c>
      <c r="D9" s="453" t="s">
        <v>130</v>
      </c>
      <c r="E9" s="450" t="s">
        <v>133</v>
      </c>
      <c r="F9" s="450" t="s">
        <v>134</v>
      </c>
      <c r="G9" s="450" t="s">
        <v>135</v>
      </c>
      <c r="H9" s="450" t="s">
        <v>136</v>
      </c>
      <c r="I9" s="450" t="s">
        <v>141</v>
      </c>
      <c r="J9" s="450" t="s">
        <v>142</v>
      </c>
      <c r="K9" s="450" t="s">
        <v>147</v>
      </c>
      <c r="L9" s="451" t="s">
        <v>564</v>
      </c>
      <c r="M9" s="450" t="s">
        <v>143</v>
      </c>
      <c r="N9" s="453" t="s">
        <v>65</v>
      </c>
      <c r="O9" s="453"/>
      <c r="P9" s="453"/>
      <c r="Q9" s="453"/>
      <c r="R9" s="454" t="s">
        <v>66</v>
      </c>
      <c r="S9" s="454" t="s">
        <v>67</v>
      </c>
      <c r="T9" s="453" t="s">
        <v>39</v>
      </c>
      <c r="U9" s="447" t="s">
        <v>68</v>
      </c>
      <c r="V9" s="448"/>
      <c r="W9" s="448"/>
      <c r="X9" s="449"/>
      <c r="Y9" s="458" t="s">
        <v>398</v>
      </c>
      <c r="Z9" s="453" t="s">
        <v>69</v>
      </c>
      <c r="AA9" s="453" t="s">
        <v>40</v>
      </c>
    </row>
    <row r="10" spans="1:27" ht="19.95" customHeight="1">
      <c r="A10" s="453"/>
      <c r="B10" s="453"/>
      <c r="C10" s="450" t="s">
        <v>132</v>
      </c>
      <c r="D10" s="453" t="s">
        <v>41</v>
      </c>
      <c r="E10" s="450" t="s">
        <v>137</v>
      </c>
      <c r="F10" s="450" t="s">
        <v>138</v>
      </c>
      <c r="G10" s="450" t="s">
        <v>139</v>
      </c>
      <c r="H10" s="450" t="s">
        <v>140</v>
      </c>
      <c r="I10" s="450" t="s">
        <v>42</v>
      </c>
      <c r="J10" s="450" t="s">
        <v>43</v>
      </c>
      <c r="K10" s="450" t="s">
        <v>563</v>
      </c>
      <c r="L10" s="452"/>
      <c r="M10" s="450" t="s">
        <v>44</v>
      </c>
      <c r="N10" s="62" t="s">
        <v>6</v>
      </c>
      <c r="O10" s="62" t="s">
        <v>7</v>
      </c>
      <c r="P10" s="62" t="s">
        <v>45</v>
      </c>
      <c r="Q10" s="62" t="s">
        <v>46</v>
      </c>
      <c r="R10" s="455"/>
      <c r="S10" s="455"/>
      <c r="T10" s="453"/>
      <c r="U10" s="155" t="s">
        <v>6</v>
      </c>
      <c r="V10" s="155" t="s">
        <v>243</v>
      </c>
      <c r="W10" s="220" t="s">
        <v>244</v>
      </c>
      <c r="X10" s="155" t="s">
        <v>242</v>
      </c>
      <c r="Y10" s="455"/>
      <c r="Z10" s="453"/>
      <c r="AA10" s="453"/>
    </row>
    <row r="11" spans="1:27" ht="19.95" customHeight="1">
      <c r="A11" s="16"/>
      <c r="B11" s="223"/>
      <c r="C11" s="41"/>
      <c r="D11" s="41"/>
      <c r="E11" s="14"/>
      <c r="F11" s="14"/>
      <c r="G11" s="14"/>
      <c r="H11" s="227">
        <f>E11+F11+G11</f>
        <v>0</v>
      </c>
      <c r="I11" s="14"/>
      <c r="J11" s="14"/>
      <c r="K11" s="411">
        <f>E11+J11-I11</f>
        <v>0</v>
      </c>
      <c r="L11" s="14"/>
      <c r="M11" s="227">
        <f>K11+L11</f>
        <v>0</v>
      </c>
      <c r="N11" s="15"/>
      <c r="O11" s="15"/>
      <c r="P11" s="15"/>
      <c r="Q11" s="15"/>
      <c r="R11" s="15"/>
      <c r="S11" s="15"/>
      <c r="T11" s="227">
        <f>M11+R11+S11</f>
        <v>0</v>
      </c>
      <c r="U11" s="14"/>
      <c r="V11" s="15"/>
      <c r="W11" s="14"/>
      <c r="X11" s="14"/>
      <c r="Y11" s="221"/>
      <c r="Z11" s="14"/>
      <c r="AA11" s="13"/>
    </row>
    <row r="12" spans="1:27" ht="19.95" customHeight="1">
      <c r="A12" s="16"/>
      <c r="B12" s="223"/>
      <c r="C12" s="41"/>
      <c r="D12" s="41"/>
      <c r="E12" s="14"/>
      <c r="F12" s="14"/>
      <c r="G12" s="14"/>
      <c r="H12" s="227">
        <f t="shared" ref="H12:H32" si="0">E12+F12+G12</f>
        <v>0</v>
      </c>
      <c r="I12" s="14"/>
      <c r="J12" s="14"/>
      <c r="K12" s="411">
        <f t="shared" ref="K12:K31" si="1">E12+J12-I12</f>
        <v>0</v>
      </c>
      <c r="L12" s="14"/>
      <c r="M12" s="227">
        <f t="shared" ref="M12:M31" si="2">K12+L12</f>
        <v>0</v>
      </c>
      <c r="N12" s="15"/>
      <c r="O12" s="15"/>
      <c r="P12" s="15"/>
      <c r="Q12" s="15"/>
      <c r="R12" s="15"/>
      <c r="S12" s="15"/>
      <c r="T12" s="227">
        <f t="shared" ref="T12:T14" si="3">M12+R12+S12</f>
        <v>0</v>
      </c>
      <c r="U12" s="14"/>
      <c r="V12" s="15"/>
      <c r="W12" s="14"/>
      <c r="X12" s="14"/>
      <c r="Y12" s="222"/>
      <c r="Z12" s="14"/>
      <c r="AA12" s="13"/>
    </row>
    <row r="13" spans="1:27" ht="19.95" customHeight="1">
      <c r="A13" s="16"/>
      <c r="B13" s="223"/>
      <c r="C13" s="41"/>
      <c r="D13" s="41"/>
      <c r="E13" s="14"/>
      <c r="F13" s="14"/>
      <c r="G13" s="14"/>
      <c r="H13" s="227">
        <f t="shared" si="0"/>
        <v>0</v>
      </c>
      <c r="I13" s="14"/>
      <c r="J13" s="14"/>
      <c r="K13" s="411">
        <f t="shared" si="1"/>
        <v>0</v>
      </c>
      <c r="L13" s="14"/>
      <c r="M13" s="227">
        <f t="shared" si="2"/>
        <v>0</v>
      </c>
      <c r="N13" s="15"/>
      <c r="O13" s="15"/>
      <c r="P13" s="15"/>
      <c r="Q13" s="15"/>
      <c r="R13" s="15"/>
      <c r="S13" s="15"/>
      <c r="T13" s="227">
        <f t="shared" si="3"/>
        <v>0</v>
      </c>
      <c r="U13" s="14"/>
      <c r="V13" s="15"/>
      <c r="W13" s="14"/>
      <c r="X13" s="14"/>
      <c r="Y13" s="222"/>
      <c r="Z13" s="14"/>
      <c r="AA13" s="13"/>
    </row>
    <row r="14" spans="1:27" ht="19.95" customHeight="1">
      <c r="A14" s="16"/>
      <c r="B14" s="223"/>
      <c r="C14" s="41"/>
      <c r="D14" s="41"/>
      <c r="E14" s="14"/>
      <c r="F14" s="14"/>
      <c r="G14" s="14"/>
      <c r="H14" s="227">
        <f t="shared" si="0"/>
        <v>0</v>
      </c>
      <c r="I14" s="14"/>
      <c r="J14" s="14"/>
      <c r="K14" s="411">
        <f t="shared" si="1"/>
        <v>0</v>
      </c>
      <c r="L14" s="14"/>
      <c r="M14" s="227">
        <f t="shared" si="2"/>
        <v>0</v>
      </c>
      <c r="N14" s="15"/>
      <c r="O14" s="15"/>
      <c r="P14" s="15"/>
      <c r="Q14" s="15"/>
      <c r="R14" s="15"/>
      <c r="S14" s="15"/>
      <c r="T14" s="227">
        <f t="shared" si="3"/>
        <v>0</v>
      </c>
      <c r="U14" s="14"/>
      <c r="V14" s="15"/>
      <c r="W14" s="14"/>
      <c r="X14" s="14"/>
      <c r="Y14" s="222"/>
      <c r="Z14" s="14"/>
      <c r="AA14" s="13"/>
    </row>
    <row r="15" spans="1:27" ht="19.95" customHeight="1">
      <c r="A15" s="16"/>
      <c r="B15" s="223"/>
      <c r="C15" s="41"/>
      <c r="D15" s="41"/>
      <c r="E15" s="14"/>
      <c r="F15" s="14"/>
      <c r="G15" s="14"/>
      <c r="H15" s="227">
        <f t="shared" si="0"/>
        <v>0</v>
      </c>
      <c r="I15" s="14"/>
      <c r="J15" s="14"/>
      <c r="K15" s="411">
        <f t="shared" si="1"/>
        <v>0</v>
      </c>
      <c r="L15" s="14"/>
      <c r="M15" s="227">
        <f t="shared" si="2"/>
        <v>0</v>
      </c>
      <c r="N15" s="15"/>
      <c r="O15" s="15"/>
      <c r="P15" s="15"/>
      <c r="Q15" s="15"/>
      <c r="R15" s="15"/>
      <c r="S15" s="15"/>
      <c r="T15" s="227">
        <f>M15+R15+S15</f>
        <v>0</v>
      </c>
      <c r="U15" s="14"/>
      <c r="V15" s="15"/>
      <c r="W15" s="14"/>
      <c r="X15" s="14"/>
      <c r="Y15" s="222"/>
      <c r="Z15" s="14"/>
      <c r="AA15" s="13"/>
    </row>
    <row r="16" spans="1:27" ht="19.95" customHeight="1">
      <c r="A16" s="16"/>
      <c r="B16" s="223"/>
      <c r="C16" s="41"/>
      <c r="D16" s="41"/>
      <c r="E16" s="14"/>
      <c r="F16" s="14"/>
      <c r="G16" s="14"/>
      <c r="H16" s="227">
        <f t="shared" si="0"/>
        <v>0</v>
      </c>
      <c r="I16" s="14"/>
      <c r="J16" s="14"/>
      <c r="K16" s="411">
        <f t="shared" si="1"/>
        <v>0</v>
      </c>
      <c r="L16" s="14"/>
      <c r="M16" s="227">
        <f t="shared" si="2"/>
        <v>0</v>
      </c>
      <c r="N16" s="15"/>
      <c r="O16" s="15"/>
      <c r="P16" s="15"/>
      <c r="Q16" s="15"/>
      <c r="R16" s="15"/>
      <c r="S16" s="15"/>
      <c r="T16" s="227">
        <f t="shared" ref="T16:T18" si="4">M16+R16+S16</f>
        <v>0</v>
      </c>
      <c r="U16" s="14"/>
      <c r="V16" s="15"/>
      <c r="W16" s="14"/>
      <c r="X16" s="14"/>
      <c r="Y16" s="222"/>
      <c r="Z16" s="14"/>
      <c r="AA16" s="13"/>
    </row>
    <row r="17" spans="1:27" ht="19.95" customHeight="1">
      <c r="A17" s="16"/>
      <c r="B17" s="223"/>
      <c r="C17" s="41"/>
      <c r="D17" s="41"/>
      <c r="E17" s="14"/>
      <c r="F17" s="14"/>
      <c r="G17" s="14"/>
      <c r="H17" s="227">
        <f t="shared" si="0"/>
        <v>0</v>
      </c>
      <c r="I17" s="14"/>
      <c r="J17" s="14"/>
      <c r="K17" s="411">
        <f t="shared" si="1"/>
        <v>0</v>
      </c>
      <c r="L17" s="14"/>
      <c r="M17" s="227">
        <f t="shared" si="2"/>
        <v>0</v>
      </c>
      <c r="N17" s="15"/>
      <c r="O17" s="15"/>
      <c r="P17" s="15"/>
      <c r="Q17" s="15"/>
      <c r="R17" s="15"/>
      <c r="S17" s="15"/>
      <c r="T17" s="227">
        <f>M17+R17+S17</f>
        <v>0</v>
      </c>
      <c r="U17" s="14"/>
      <c r="V17" s="15"/>
      <c r="W17" s="14"/>
      <c r="X17" s="14"/>
      <c r="Y17" s="222"/>
      <c r="Z17" s="14"/>
      <c r="AA17" s="13"/>
    </row>
    <row r="18" spans="1:27" ht="19.95" customHeight="1">
      <c r="A18" s="16"/>
      <c r="B18" s="223"/>
      <c r="C18" s="41"/>
      <c r="D18" s="41"/>
      <c r="E18" s="14"/>
      <c r="F18" s="14"/>
      <c r="G18" s="14"/>
      <c r="H18" s="227">
        <f t="shared" si="0"/>
        <v>0</v>
      </c>
      <c r="I18" s="14"/>
      <c r="J18" s="14"/>
      <c r="K18" s="411">
        <f t="shared" si="1"/>
        <v>0</v>
      </c>
      <c r="L18" s="14"/>
      <c r="M18" s="227">
        <f t="shared" si="2"/>
        <v>0</v>
      </c>
      <c r="N18" s="15"/>
      <c r="O18" s="15"/>
      <c r="P18" s="15"/>
      <c r="Q18" s="15"/>
      <c r="R18" s="15"/>
      <c r="S18" s="15"/>
      <c r="T18" s="227">
        <f t="shared" si="4"/>
        <v>0</v>
      </c>
      <c r="U18" s="14"/>
      <c r="V18" s="15"/>
      <c r="W18" s="14"/>
      <c r="X18" s="14"/>
      <c r="Y18" s="222"/>
      <c r="Z18" s="14"/>
      <c r="AA18" s="13"/>
    </row>
    <row r="19" spans="1:27" ht="19.95" customHeight="1">
      <c r="A19" s="16"/>
      <c r="B19" s="223"/>
      <c r="C19" s="41"/>
      <c r="D19" s="41"/>
      <c r="E19" s="17"/>
      <c r="F19" s="17"/>
      <c r="G19" s="17"/>
      <c r="H19" s="227">
        <f t="shared" si="0"/>
        <v>0</v>
      </c>
      <c r="I19" s="17"/>
      <c r="J19" s="17"/>
      <c r="K19" s="411">
        <f t="shared" si="1"/>
        <v>0</v>
      </c>
      <c r="L19" s="17"/>
      <c r="M19" s="227">
        <f t="shared" si="2"/>
        <v>0</v>
      </c>
      <c r="N19" s="15"/>
      <c r="O19" s="15"/>
      <c r="P19" s="15"/>
      <c r="Q19" s="15"/>
      <c r="R19" s="15"/>
      <c r="S19" s="15"/>
      <c r="T19" s="227">
        <f>M19+R19+S19</f>
        <v>0</v>
      </c>
      <c r="U19" s="14"/>
      <c r="V19" s="15"/>
      <c r="W19" s="14"/>
      <c r="X19" s="14"/>
      <c r="Y19" s="223"/>
      <c r="Z19" s="14"/>
      <c r="AA19" s="13"/>
    </row>
    <row r="20" spans="1:27" ht="19.95" customHeight="1">
      <c r="A20" s="16"/>
      <c r="B20" s="223"/>
      <c r="C20" s="41"/>
      <c r="D20" s="41"/>
      <c r="E20" s="17"/>
      <c r="F20" s="17"/>
      <c r="G20" s="17"/>
      <c r="H20" s="227">
        <f t="shared" si="0"/>
        <v>0</v>
      </c>
      <c r="I20" s="17"/>
      <c r="J20" s="17"/>
      <c r="K20" s="411">
        <f t="shared" si="1"/>
        <v>0</v>
      </c>
      <c r="L20" s="17"/>
      <c r="M20" s="227">
        <f t="shared" si="2"/>
        <v>0</v>
      </c>
      <c r="N20" s="15"/>
      <c r="O20" s="15"/>
      <c r="P20" s="15"/>
      <c r="Q20" s="15"/>
      <c r="R20" s="15"/>
      <c r="S20" s="15"/>
      <c r="T20" s="227">
        <f t="shared" ref="T20:T31" si="5">M20+R20+S20</f>
        <v>0</v>
      </c>
      <c r="U20" s="14"/>
      <c r="V20" s="15"/>
      <c r="W20" s="14"/>
      <c r="X20" s="14"/>
      <c r="Y20" s="223"/>
      <c r="Z20" s="14"/>
      <c r="AA20" s="13"/>
    </row>
    <row r="21" spans="1:27" ht="19.95" customHeight="1">
      <c r="A21" s="16"/>
      <c r="B21" s="223"/>
      <c r="C21" s="41"/>
      <c r="D21" s="41"/>
      <c r="E21" s="17"/>
      <c r="F21" s="17"/>
      <c r="G21" s="17"/>
      <c r="H21" s="227">
        <f t="shared" si="0"/>
        <v>0</v>
      </c>
      <c r="I21" s="17"/>
      <c r="J21" s="17"/>
      <c r="K21" s="411">
        <f t="shared" si="1"/>
        <v>0</v>
      </c>
      <c r="L21" s="17"/>
      <c r="M21" s="227">
        <f t="shared" si="2"/>
        <v>0</v>
      </c>
      <c r="N21" s="15"/>
      <c r="O21" s="15"/>
      <c r="P21" s="15"/>
      <c r="Q21" s="15"/>
      <c r="R21" s="15"/>
      <c r="S21" s="15"/>
      <c r="T21" s="227">
        <f t="shared" si="5"/>
        <v>0</v>
      </c>
      <c r="U21" s="14"/>
      <c r="V21" s="15"/>
      <c r="W21" s="14"/>
      <c r="X21" s="14"/>
      <c r="Y21" s="223"/>
      <c r="Z21" s="14"/>
      <c r="AA21" s="13"/>
    </row>
    <row r="22" spans="1:27" ht="19.95" customHeight="1">
      <c r="A22" s="16"/>
      <c r="B22" s="223"/>
      <c r="C22" s="41"/>
      <c r="D22" s="41"/>
      <c r="E22" s="17"/>
      <c r="F22" s="17"/>
      <c r="G22" s="17"/>
      <c r="H22" s="227">
        <f t="shared" si="0"/>
        <v>0</v>
      </c>
      <c r="I22" s="17"/>
      <c r="J22" s="17"/>
      <c r="K22" s="411">
        <f t="shared" si="1"/>
        <v>0</v>
      </c>
      <c r="L22" s="17"/>
      <c r="M22" s="227">
        <f t="shared" si="2"/>
        <v>0</v>
      </c>
      <c r="N22" s="15"/>
      <c r="O22" s="15"/>
      <c r="P22" s="15"/>
      <c r="Q22" s="15"/>
      <c r="R22" s="15"/>
      <c r="S22" s="15"/>
      <c r="T22" s="227">
        <f>M22+R22+S22</f>
        <v>0</v>
      </c>
      <c r="U22" s="14"/>
      <c r="V22" s="15"/>
      <c r="W22" s="14"/>
      <c r="X22" s="14"/>
      <c r="Y22" s="223"/>
      <c r="Z22" s="14"/>
      <c r="AA22" s="13"/>
    </row>
    <row r="23" spans="1:27" ht="19.95" customHeight="1">
      <c r="A23" s="16"/>
      <c r="B23" s="223"/>
      <c r="C23" s="41"/>
      <c r="D23" s="41"/>
      <c r="E23" s="17"/>
      <c r="F23" s="17"/>
      <c r="G23" s="17"/>
      <c r="H23" s="227">
        <f t="shared" si="0"/>
        <v>0</v>
      </c>
      <c r="I23" s="17"/>
      <c r="J23" s="17"/>
      <c r="K23" s="411">
        <f t="shared" si="1"/>
        <v>0</v>
      </c>
      <c r="L23" s="17"/>
      <c r="M23" s="227">
        <f t="shared" si="2"/>
        <v>0</v>
      </c>
      <c r="N23" s="15"/>
      <c r="O23" s="15"/>
      <c r="P23" s="15"/>
      <c r="Q23" s="15"/>
      <c r="R23" s="15"/>
      <c r="S23" s="15"/>
      <c r="T23" s="227">
        <f t="shared" si="5"/>
        <v>0</v>
      </c>
      <c r="U23" s="14"/>
      <c r="V23" s="15"/>
      <c r="W23" s="14"/>
      <c r="X23" s="14"/>
      <c r="Y23" s="223"/>
      <c r="Z23" s="14"/>
      <c r="AA23" s="13"/>
    </row>
    <row r="24" spans="1:27" ht="19.95" customHeight="1">
      <c r="A24" s="16"/>
      <c r="B24" s="223"/>
      <c r="C24" s="41"/>
      <c r="D24" s="41"/>
      <c r="E24" s="17"/>
      <c r="F24" s="17"/>
      <c r="G24" s="17"/>
      <c r="H24" s="227">
        <f t="shared" si="0"/>
        <v>0</v>
      </c>
      <c r="I24" s="17"/>
      <c r="J24" s="17"/>
      <c r="K24" s="411">
        <f t="shared" si="1"/>
        <v>0</v>
      </c>
      <c r="L24" s="17"/>
      <c r="M24" s="227">
        <f t="shared" si="2"/>
        <v>0</v>
      </c>
      <c r="N24" s="15"/>
      <c r="O24" s="15"/>
      <c r="P24" s="15"/>
      <c r="Q24" s="15"/>
      <c r="R24" s="15"/>
      <c r="S24" s="15"/>
      <c r="T24" s="227">
        <f t="shared" si="5"/>
        <v>0</v>
      </c>
      <c r="U24" s="14"/>
      <c r="V24" s="15"/>
      <c r="W24" s="14"/>
      <c r="X24" s="14"/>
      <c r="Y24" s="223"/>
      <c r="Z24" s="14"/>
      <c r="AA24" s="13"/>
    </row>
    <row r="25" spans="1:27" ht="19.95" customHeight="1">
      <c r="A25" s="16"/>
      <c r="B25" s="223"/>
      <c r="C25" s="41"/>
      <c r="D25" s="41"/>
      <c r="E25" s="17"/>
      <c r="F25" s="17"/>
      <c r="G25" s="17"/>
      <c r="H25" s="227">
        <f t="shared" si="0"/>
        <v>0</v>
      </c>
      <c r="I25" s="17"/>
      <c r="J25" s="17"/>
      <c r="K25" s="411">
        <f t="shared" si="1"/>
        <v>0</v>
      </c>
      <c r="L25" s="17"/>
      <c r="M25" s="227">
        <f t="shared" si="2"/>
        <v>0</v>
      </c>
      <c r="N25" s="15"/>
      <c r="O25" s="15"/>
      <c r="P25" s="15"/>
      <c r="Q25" s="15"/>
      <c r="R25" s="15"/>
      <c r="S25" s="15"/>
      <c r="T25" s="227">
        <f t="shared" si="5"/>
        <v>0</v>
      </c>
      <c r="U25" s="14"/>
      <c r="V25" s="15"/>
      <c r="W25" s="14"/>
      <c r="X25" s="14"/>
      <c r="Y25" s="223"/>
      <c r="Z25" s="14"/>
      <c r="AA25" s="13"/>
    </row>
    <row r="26" spans="1:27" ht="19.95" customHeight="1">
      <c r="A26" s="16"/>
      <c r="B26" s="223"/>
      <c r="C26" s="41"/>
      <c r="D26" s="41"/>
      <c r="E26" s="17"/>
      <c r="F26" s="17"/>
      <c r="G26" s="17"/>
      <c r="H26" s="227">
        <f t="shared" si="0"/>
        <v>0</v>
      </c>
      <c r="I26" s="17"/>
      <c r="J26" s="17"/>
      <c r="K26" s="411">
        <f t="shared" si="1"/>
        <v>0</v>
      </c>
      <c r="L26" s="17"/>
      <c r="M26" s="227">
        <f t="shared" si="2"/>
        <v>0</v>
      </c>
      <c r="N26" s="15"/>
      <c r="O26" s="15"/>
      <c r="P26" s="15"/>
      <c r="Q26" s="15"/>
      <c r="R26" s="15"/>
      <c r="S26" s="15"/>
      <c r="T26" s="227">
        <f t="shared" si="5"/>
        <v>0</v>
      </c>
      <c r="U26" s="14"/>
      <c r="V26" s="15"/>
      <c r="W26" s="14"/>
      <c r="X26" s="14"/>
      <c r="Y26" s="223"/>
      <c r="Z26" s="14"/>
      <c r="AA26" s="13"/>
    </row>
    <row r="27" spans="1:27" ht="19.95" customHeight="1">
      <c r="A27" s="16"/>
      <c r="B27" s="223"/>
      <c r="C27" s="41"/>
      <c r="D27" s="41"/>
      <c r="E27" s="17"/>
      <c r="F27" s="17"/>
      <c r="G27" s="17"/>
      <c r="H27" s="227">
        <f t="shared" si="0"/>
        <v>0</v>
      </c>
      <c r="I27" s="17"/>
      <c r="J27" s="17"/>
      <c r="K27" s="411">
        <f t="shared" si="1"/>
        <v>0</v>
      </c>
      <c r="L27" s="17"/>
      <c r="M27" s="227">
        <f t="shared" si="2"/>
        <v>0</v>
      </c>
      <c r="N27" s="15"/>
      <c r="O27" s="15"/>
      <c r="P27" s="15"/>
      <c r="Q27" s="15"/>
      <c r="R27" s="15"/>
      <c r="S27" s="15"/>
      <c r="T27" s="227">
        <f t="shared" si="5"/>
        <v>0</v>
      </c>
      <c r="U27" s="14"/>
      <c r="V27" s="15"/>
      <c r="W27" s="14"/>
      <c r="X27" s="14"/>
      <c r="Y27" s="223"/>
      <c r="Z27" s="14"/>
      <c r="AA27" s="13"/>
    </row>
    <row r="28" spans="1:27" ht="19.95" customHeight="1">
      <c r="A28" s="16"/>
      <c r="B28" s="223"/>
      <c r="C28" s="41"/>
      <c r="D28" s="41"/>
      <c r="E28" s="17"/>
      <c r="F28" s="17"/>
      <c r="G28" s="17"/>
      <c r="H28" s="227">
        <f t="shared" si="0"/>
        <v>0</v>
      </c>
      <c r="I28" s="17"/>
      <c r="J28" s="17"/>
      <c r="K28" s="411">
        <f t="shared" si="1"/>
        <v>0</v>
      </c>
      <c r="L28" s="17"/>
      <c r="M28" s="227">
        <f t="shared" si="2"/>
        <v>0</v>
      </c>
      <c r="N28" s="15"/>
      <c r="O28" s="15"/>
      <c r="P28" s="15"/>
      <c r="Q28" s="15"/>
      <c r="R28" s="15"/>
      <c r="S28" s="15"/>
      <c r="T28" s="227">
        <f t="shared" si="5"/>
        <v>0</v>
      </c>
      <c r="U28" s="14"/>
      <c r="V28" s="15"/>
      <c r="W28" s="14"/>
      <c r="X28" s="14"/>
      <c r="Y28" s="223"/>
      <c r="Z28" s="14"/>
      <c r="AA28" s="13"/>
    </row>
    <row r="29" spans="1:27" ht="19.95" customHeight="1">
      <c r="A29" s="16"/>
      <c r="B29" s="223"/>
      <c r="C29" s="41"/>
      <c r="D29" s="41"/>
      <c r="E29" s="17"/>
      <c r="F29" s="17"/>
      <c r="G29" s="17"/>
      <c r="H29" s="227">
        <f t="shared" si="0"/>
        <v>0</v>
      </c>
      <c r="I29" s="17"/>
      <c r="J29" s="17"/>
      <c r="K29" s="411">
        <f t="shared" si="1"/>
        <v>0</v>
      </c>
      <c r="L29" s="17"/>
      <c r="M29" s="227">
        <f t="shared" si="2"/>
        <v>0</v>
      </c>
      <c r="N29" s="15"/>
      <c r="O29" s="15"/>
      <c r="P29" s="15"/>
      <c r="Q29" s="15"/>
      <c r="R29" s="15"/>
      <c r="S29" s="15"/>
      <c r="T29" s="227">
        <f t="shared" si="5"/>
        <v>0</v>
      </c>
      <c r="U29" s="14"/>
      <c r="V29" s="15"/>
      <c r="W29" s="14"/>
      <c r="X29" s="14"/>
      <c r="Y29" s="223"/>
      <c r="Z29" s="14"/>
      <c r="AA29" s="13"/>
    </row>
    <row r="30" spans="1:27" ht="19.95" customHeight="1">
      <c r="A30" s="16"/>
      <c r="B30" s="223"/>
      <c r="C30" s="41"/>
      <c r="D30" s="41"/>
      <c r="E30" s="17"/>
      <c r="F30" s="17"/>
      <c r="G30" s="17"/>
      <c r="H30" s="227">
        <f t="shared" si="0"/>
        <v>0</v>
      </c>
      <c r="I30" s="17"/>
      <c r="J30" s="17"/>
      <c r="K30" s="411">
        <f t="shared" si="1"/>
        <v>0</v>
      </c>
      <c r="L30" s="17"/>
      <c r="M30" s="227">
        <f t="shared" si="2"/>
        <v>0</v>
      </c>
      <c r="N30" s="15"/>
      <c r="O30" s="15"/>
      <c r="P30" s="15"/>
      <c r="Q30" s="15"/>
      <c r="R30" s="15"/>
      <c r="S30" s="15"/>
      <c r="T30" s="227">
        <f>M30+R30+S30</f>
        <v>0</v>
      </c>
      <c r="U30" s="14"/>
      <c r="V30" s="15"/>
      <c r="W30" s="14"/>
      <c r="X30" s="14"/>
      <c r="Y30" s="223"/>
      <c r="Z30" s="14"/>
      <c r="AA30" s="13"/>
    </row>
    <row r="31" spans="1:27" ht="19.95" customHeight="1">
      <c r="A31" s="16"/>
      <c r="B31" s="223"/>
      <c r="C31" s="41"/>
      <c r="D31" s="41"/>
      <c r="E31" s="17"/>
      <c r="F31" s="17"/>
      <c r="G31" s="17"/>
      <c r="H31" s="227">
        <f t="shared" si="0"/>
        <v>0</v>
      </c>
      <c r="I31" s="17"/>
      <c r="J31" s="17"/>
      <c r="K31" s="411">
        <f t="shared" si="1"/>
        <v>0</v>
      </c>
      <c r="L31" s="17"/>
      <c r="M31" s="227">
        <f t="shared" si="2"/>
        <v>0</v>
      </c>
      <c r="N31" s="15"/>
      <c r="O31" s="15"/>
      <c r="P31" s="15"/>
      <c r="Q31" s="15"/>
      <c r="R31" s="15"/>
      <c r="S31" s="15"/>
      <c r="T31" s="227">
        <f t="shared" si="5"/>
        <v>0</v>
      </c>
      <c r="U31" s="14"/>
      <c r="V31" s="15"/>
      <c r="W31" s="14"/>
      <c r="X31" s="14"/>
      <c r="Y31" s="223"/>
      <c r="Z31" s="14"/>
      <c r="AA31" s="13"/>
    </row>
    <row r="32" spans="1:27" s="40" customFormat="1" ht="19.95" customHeight="1">
      <c r="A32" s="224" t="s">
        <v>47</v>
      </c>
      <c r="B32" s="224"/>
      <c r="C32" s="224"/>
      <c r="D32" s="39"/>
      <c r="E32" s="225">
        <f>SUM(E11:E31)</f>
        <v>0</v>
      </c>
      <c r="F32" s="225">
        <f t="shared" ref="F32:G32" si="6">SUM(F11:F31)</f>
        <v>0</v>
      </c>
      <c r="G32" s="225">
        <f t="shared" si="6"/>
        <v>0</v>
      </c>
      <c r="H32" s="225">
        <f t="shared" si="0"/>
        <v>0</v>
      </c>
      <c r="I32" s="225">
        <f t="shared" ref="I32:X32" si="7">SUM(I11:I31)</f>
        <v>0</v>
      </c>
      <c r="J32" s="225">
        <f t="shared" si="7"/>
        <v>0</v>
      </c>
      <c r="K32" s="225">
        <f>SUM(K11:K31)</f>
        <v>0</v>
      </c>
      <c r="L32" s="225"/>
      <c r="M32" s="225">
        <f>SUM(M11:M31)</f>
        <v>0</v>
      </c>
      <c r="N32" s="225">
        <f>SUM(N11:N31)</f>
        <v>0</v>
      </c>
      <c r="O32" s="225">
        <f t="shared" si="7"/>
        <v>0</v>
      </c>
      <c r="P32" s="225">
        <f t="shared" si="7"/>
        <v>0</v>
      </c>
      <c r="Q32" s="225">
        <f t="shared" si="7"/>
        <v>0</v>
      </c>
      <c r="R32" s="225">
        <f t="shared" si="7"/>
        <v>0</v>
      </c>
      <c r="S32" s="225">
        <f t="shared" si="7"/>
        <v>0</v>
      </c>
      <c r="T32" s="225">
        <f t="shared" si="7"/>
        <v>0</v>
      </c>
      <c r="U32" s="225">
        <f t="shared" si="7"/>
        <v>0</v>
      </c>
      <c r="V32" s="225">
        <f t="shared" si="7"/>
        <v>0</v>
      </c>
      <c r="W32" s="225">
        <f t="shared" si="7"/>
        <v>0</v>
      </c>
      <c r="X32" s="225">
        <f t="shared" si="7"/>
        <v>0</v>
      </c>
      <c r="Y32" s="155"/>
      <c r="Z32" s="225">
        <f>SUM(Z11:Z31)</f>
        <v>0</v>
      </c>
      <c r="AA32" s="226"/>
    </row>
    <row r="33" spans="1:27" s="40" customFormat="1" ht="19.95" customHeight="1">
      <c r="A33" s="44"/>
      <c r="B33" s="396"/>
      <c r="C33" s="396"/>
      <c r="D33" s="45"/>
      <c r="E33" s="46"/>
      <c r="F33" s="46"/>
      <c r="G33" s="46"/>
      <c r="H33" s="46"/>
      <c r="I33" s="46"/>
      <c r="J33" s="46"/>
      <c r="K33" s="46"/>
      <c r="L33" s="46"/>
      <c r="M33" s="43" t="str">
        <f>IF((M32-N32-O32-P32-Q32)=0,"OK","账龄与审定不匹配")</f>
        <v>OK</v>
      </c>
      <c r="N33" s="46"/>
      <c r="O33" s="46"/>
      <c r="P33" s="46"/>
      <c r="Q33" s="46"/>
      <c r="R33" s="46"/>
      <c r="S33" s="46"/>
      <c r="T33" s="43" t="str">
        <f>IF((T32-U32-V32-W32-X32)=0,"OK","账龄与审定不匹配")</f>
        <v>OK</v>
      </c>
      <c r="U33" s="46"/>
      <c r="V33" s="46"/>
      <c r="W33" s="46"/>
      <c r="X33" s="46"/>
      <c r="Y33" s="47"/>
      <c r="Z33" s="46"/>
      <c r="AA33" s="48"/>
    </row>
    <row r="34" spans="1:27" ht="19.95" customHeight="1">
      <c r="A34" s="86" t="s">
        <v>48</v>
      </c>
      <c r="B34" s="86"/>
      <c r="C34" s="86"/>
      <c r="D34" s="33"/>
      <c r="E34" s="33"/>
      <c r="F34" s="33"/>
      <c r="G34" s="33"/>
      <c r="H34" s="33"/>
      <c r="I34" s="33"/>
      <c r="J34" s="33"/>
      <c r="K34" s="33"/>
      <c r="L34" s="33"/>
      <c r="M34" s="33"/>
      <c r="N34" s="33"/>
      <c r="O34" s="33"/>
      <c r="P34" s="33"/>
      <c r="Q34" s="33"/>
      <c r="R34" s="33"/>
      <c r="S34" s="33"/>
      <c r="T34" s="34"/>
      <c r="U34" s="35"/>
      <c r="V34" s="35"/>
      <c r="W34" s="35"/>
      <c r="X34" s="35"/>
      <c r="Y34" s="33"/>
      <c r="Z34" s="35"/>
      <c r="AA34" s="35"/>
    </row>
    <row r="35" spans="1:27" ht="19.95" customHeight="1">
      <c r="A35" s="353" t="s">
        <v>446</v>
      </c>
      <c r="B35" s="353"/>
      <c r="C35" s="353"/>
      <c r="D35" s="42"/>
      <c r="E35" s="9"/>
      <c r="F35" s="9"/>
      <c r="G35" s="9"/>
      <c r="H35" s="9"/>
      <c r="I35" s="9"/>
      <c r="J35" s="9"/>
      <c r="K35" s="9"/>
      <c r="L35" s="9"/>
      <c r="M35" s="9"/>
      <c r="N35" s="9"/>
      <c r="O35" s="9"/>
      <c r="P35" s="9"/>
      <c r="Q35" s="9"/>
      <c r="R35" s="9"/>
      <c r="S35" s="9"/>
      <c r="T35" s="18"/>
      <c r="U35" s="18"/>
      <c r="V35" s="18"/>
      <c r="W35" s="18"/>
      <c r="X35" s="18"/>
      <c r="Y35" s="9"/>
      <c r="Z35" s="18"/>
      <c r="AA35" s="18"/>
    </row>
    <row r="36" spans="1:27" ht="19.95" customHeight="1">
      <c r="A36" s="354" t="s">
        <v>447</v>
      </c>
      <c r="B36" s="354"/>
      <c r="C36" s="354"/>
      <c r="D36" s="9"/>
      <c r="E36" s="9"/>
      <c r="F36" s="9"/>
      <c r="G36" s="9"/>
      <c r="H36" s="9"/>
      <c r="I36" s="9"/>
      <c r="J36" s="9"/>
      <c r="K36" s="9"/>
      <c r="L36" s="9"/>
      <c r="M36" s="9"/>
      <c r="N36" s="9"/>
      <c r="O36" s="9"/>
      <c r="P36" s="9"/>
      <c r="Q36" s="9"/>
      <c r="R36" s="9"/>
      <c r="S36" s="9"/>
      <c r="T36" s="18"/>
      <c r="U36" s="18"/>
      <c r="V36" s="18"/>
      <c r="W36" s="18"/>
      <c r="X36" s="18"/>
      <c r="Y36" s="9"/>
      <c r="Z36" s="18"/>
      <c r="AA36" s="18"/>
    </row>
    <row r="37" spans="1:27" ht="19.95" customHeight="1">
      <c r="A37" s="354" t="s">
        <v>448</v>
      </c>
      <c r="B37" s="354"/>
      <c r="C37" s="354"/>
      <c r="D37" s="9"/>
      <c r="E37" s="9"/>
      <c r="F37" s="9"/>
      <c r="G37" s="9"/>
      <c r="H37" s="9"/>
      <c r="I37" s="9"/>
      <c r="J37" s="9"/>
      <c r="K37" s="9"/>
      <c r="L37" s="9"/>
      <c r="M37" s="9"/>
      <c r="N37" s="9"/>
      <c r="O37" s="9"/>
      <c r="P37" s="9"/>
      <c r="Q37" s="9"/>
      <c r="R37" s="9"/>
      <c r="S37" s="9"/>
      <c r="T37" s="18"/>
      <c r="U37" s="18"/>
      <c r="V37" s="18"/>
      <c r="W37" s="18"/>
      <c r="X37" s="18"/>
      <c r="Y37" s="9"/>
      <c r="Z37" s="18"/>
      <c r="AA37" s="18"/>
    </row>
    <row r="38" spans="1:27" ht="19.95" customHeight="1">
      <c r="A38" s="354" t="s">
        <v>449</v>
      </c>
      <c r="B38" s="354"/>
      <c r="C38" s="354"/>
      <c r="D38" s="9"/>
      <c r="E38" s="9"/>
      <c r="F38" s="9"/>
      <c r="G38" s="9"/>
      <c r="H38" s="9"/>
      <c r="I38" s="9"/>
      <c r="J38" s="9"/>
      <c r="K38" s="9"/>
      <c r="L38" s="9"/>
      <c r="M38" s="9"/>
      <c r="N38" s="9"/>
      <c r="O38" s="9"/>
      <c r="P38" s="9"/>
      <c r="Q38" s="9"/>
      <c r="R38" s="9"/>
      <c r="S38" s="9"/>
      <c r="T38" s="18"/>
      <c r="U38" s="18"/>
      <c r="V38" s="18"/>
      <c r="W38" s="18"/>
      <c r="X38" s="18"/>
      <c r="Y38" s="9"/>
      <c r="Z38" s="18"/>
      <c r="AA38" s="18"/>
    </row>
    <row r="39" spans="1:27" ht="19.95" customHeight="1">
      <c r="A39" s="354" t="s">
        <v>450</v>
      </c>
      <c r="B39" s="354"/>
      <c r="C39" s="354"/>
      <c r="D39" s="9"/>
      <c r="E39" s="9"/>
      <c r="F39" s="9"/>
      <c r="G39" s="9"/>
      <c r="H39" s="9"/>
      <c r="I39" s="9"/>
      <c r="J39" s="9"/>
      <c r="K39" s="9"/>
      <c r="L39" s="9"/>
      <c r="M39" s="9"/>
      <c r="N39" s="9"/>
      <c r="O39" s="9"/>
      <c r="P39" s="9"/>
      <c r="Q39" s="9"/>
      <c r="R39" s="9"/>
      <c r="S39" s="9"/>
      <c r="T39" s="18"/>
      <c r="U39" s="18"/>
      <c r="V39" s="18"/>
      <c r="W39" s="18"/>
      <c r="X39" s="18"/>
      <c r="Y39" s="9"/>
      <c r="Z39" s="18"/>
      <c r="AA39" s="18"/>
    </row>
    <row r="40" spans="1:27" ht="19.95" customHeight="1">
      <c r="A40" s="76" t="s">
        <v>49</v>
      </c>
      <c r="B40" s="76"/>
      <c r="C40" s="76"/>
      <c r="D40" s="9"/>
      <c r="E40" s="9"/>
      <c r="F40" s="9"/>
      <c r="G40" s="9"/>
      <c r="H40" s="9"/>
      <c r="I40" s="9"/>
      <c r="J40" s="9"/>
      <c r="K40" s="9"/>
      <c r="L40" s="9"/>
      <c r="M40" s="9"/>
      <c r="N40" s="9"/>
      <c r="O40" s="9"/>
      <c r="P40" s="9"/>
      <c r="Q40" s="9"/>
      <c r="R40" s="9"/>
      <c r="S40" s="9"/>
      <c r="T40" s="18"/>
      <c r="U40" s="18"/>
      <c r="V40" s="18"/>
      <c r="W40" s="18"/>
      <c r="X40" s="18"/>
      <c r="Y40" s="9"/>
      <c r="Z40" s="18"/>
      <c r="AA40" s="18"/>
    </row>
    <row r="41" spans="1:27" ht="19.95" customHeight="1">
      <c r="A41" s="9"/>
      <c r="B41" s="9"/>
      <c r="C41" s="9"/>
      <c r="D41" s="9"/>
      <c r="E41" s="9"/>
      <c r="F41" s="9"/>
      <c r="G41" s="9"/>
      <c r="H41" s="9"/>
      <c r="I41" s="9"/>
      <c r="J41" s="9"/>
      <c r="K41" s="9"/>
      <c r="L41" s="9"/>
      <c r="M41" s="9"/>
      <c r="N41" s="9"/>
      <c r="O41" s="9"/>
      <c r="P41" s="9"/>
      <c r="Q41" s="9"/>
      <c r="R41" s="9"/>
      <c r="S41" s="9"/>
      <c r="T41" s="18"/>
      <c r="U41" s="18"/>
      <c r="V41" s="18"/>
      <c r="W41" s="18"/>
      <c r="X41" s="18"/>
      <c r="Y41" s="9"/>
      <c r="Z41" s="18"/>
      <c r="AA41" s="18"/>
    </row>
    <row r="42" spans="1:27" ht="19.95" customHeight="1">
      <c r="A42" s="9"/>
      <c r="B42" s="9"/>
      <c r="C42" s="9"/>
      <c r="D42" s="9"/>
      <c r="E42" s="9"/>
      <c r="F42" s="9"/>
      <c r="G42" s="9"/>
      <c r="H42" s="9"/>
      <c r="I42" s="9"/>
      <c r="J42" s="9"/>
      <c r="K42" s="9"/>
      <c r="L42" s="9"/>
      <c r="M42" s="9"/>
      <c r="N42" s="9"/>
      <c r="O42" s="9"/>
      <c r="P42" s="9"/>
      <c r="Q42" s="9"/>
      <c r="R42" s="9"/>
      <c r="S42" s="9"/>
      <c r="T42" s="18"/>
      <c r="U42" s="18"/>
      <c r="V42" s="18"/>
      <c r="W42" s="18"/>
      <c r="X42" s="18"/>
      <c r="Y42" s="9"/>
      <c r="Z42" s="18"/>
      <c r="AA42" s="18"/>
    </row>
    <row r="43" spans="1:27" ht="18" customHeight="1">
      <c r="A43" s="355" t="s">
        <v>451</v>
      </c>
      <c r="B43" s="355"/>
      <c r="C43" s="355"/>
      <c r="D43" s="10"/>
      <c r="E43" s="10"/>
      <c r="F43" s="10"/>
      <c r="G43" s="10"/>
      <c r="H43" s="10"/>
      <c r="I43" s="10"/>
      <c r="J43" s="10"/>
      <c r="K43" s="10"/>
      <c r="L43" s="10"/>
      <c r="M43" s="10"/>
      <c r="N43" s="10"/>
      <c r="O43" s="10"/>
      <c r="P43" s="10"/>
      <c r="Q43" s="10"/>
      <c r="R43" s="10"/>
      <c r="S43" s="10"/>
      <c r="Y43" s="10"/>
    </row>
    <row r="44" spans="1:27" ht="18" customHeight="1">
      <c r="A44" s="19" t="s">
        <v>452</v>
      </c>
      <c r="B44" s="19"/>
      <c r="C44" s="19"/>
      <c r="D44" s="10"/>
      <c r="E44" s="10"/>
      <c r="F44" s="10"/>
      <c r="G44" s="10"/>
      <c r="H44" s="10"/>
      <c r="I44" s="10"/>
      <c r="J44" s="10"/>
      <c r="K44" s="10"/>
      <c r="L44" s="10"/>
      <c r="M44" s="10"/>
      <c r="N44" s="10"/>
      <c r="O44" s="10"/>
      <c r="P44" s="10"/>
      <c r="Q44" s="10"/>
      <c r="R44" s="10"/>
      <c r="S44" s="10"/>
      <c r="Y44" s="10"/>
    </row>
    <row r="45" spans="1:27" ht="18" customHeight="1">
      <c r="A45" s="19" t="s">
        <v>453</v>
      </c>
      <c r="B45" s="19"/>
      <c r="C45" s="19"/>
      <c r="D45" s="10"/>
      <c r="E45" s="10"/>
      <c r="F45" s="10"/>
      <c r="G45" s="10"/>
      <c r="H45" s="10"/>
      <c r="I45" s="10"/>
      <c r="J45" s="10"/>
      <c r="K45" s="10"/>
      <c r="L45" s="10"/>
      <c r="M45" s="10"/>
      <c r="N45" s="10"/>
      <c r="O45" s="10"/>
      <c r="P45" s="10"/>
      <c r="Q45" s="10"/>
      <c r="R45" s="10"/>
      <c r="S45" s="10"/>
      <c r="Y45" s="10"/>
    </row>
    <row r="46" spans="1:27" ht="18" customHeight="1">
      <c r="A46" s="19" t="s">
        <v>454</v>
      </c>
      <c r="B46" s="19"/>
      <c r="C46" s="19"/>
      <c r="D46" s="10"/>
      <c r="E46" s="10"/>
      <c r="F46" s="10"/>
      <c r="G46" s="10"/>
      <c r="H46" s="10"/>
      <c r="I46" s="10"/>
      <c r="J46" s="10"/>
      <c r="K46" s="10"/>
      <c r="L46" s="10"/>
      <c r="M46" s="10"/>
      <c r="N46" s="10"/>
      <c r="O46" s="10"/>
      <c r="P46" s="10"/>
      <c r="Q46" s="10"/>
      <c r="R46" s="10"/>
      <c r="S46" s="10"/>
      <c r="Y46" s="10"/>
    </row>
    <row r="47" spans="1:27" ht="18" customHeight="1">
      <c r="A47" s="19" t="s">
        <v>455</v>
      </c>
      <c r="B47" s="19"/>
      <c r="C47" s="19"/>
      <c r="D47" s="10"/>
      <c r="E47" s="10"/>
      <c r="F47" s="10"/>
      <c r="G47" s="10"/>
      <c r="H47" s="10"/>
      <c r="I47" s="10"/>
      <c r="J47" s="10"/>
      <c r="K47" s="10"/>
      <c r="L47" s="10"/>
      <c r="M47" s="10"/>
      <c r="N47" s="10"/>
      <c r="O47" s="10"/>
      <c r="P47" s="10"/>
      <c r="Q47" s="10"/>
      <c r="R47" s="10"/>
      <c r="S47" s="10"/>
      <c r="Y47" s="10"/>
    </row>
    <row r="48" spans="1:27" ht="18" customHeight="1">
      <c r="A48" s="19"/>
      <c r="B48" s="19"/>
      <c r="C48" s="19"/>
      <c r="E48" s="10"/>
      <c r="F48" s="10"/>
      <c r="G48" s="10"/>
      <c r="H48" s="10"/>
      <c r="I48" s="10"/>
      <c r="J48" s="10"/>
      <c r="K48" s="10"/>
      <c r="L48" s="10"/>
      <c r="M48" s="10"/>
      <c r="N48" s="10"/>
      <c r="O48" s="10"/>
      <c r="P48" s="10"/>
      <c r="Q48" s="10"/>
      <c r="R48" s="10"/>
      <c r="S48" s="10"/>
      <c r="Y48" s="10"/>
    </row>
    <row r="49" spans="1:25" ht="18" customHeight="1">
      <c r="A49" s="20"/>
      <c r="B49" s="20"/>
      <c r="C49" s="20"/>
      <c r="E49" s="10"/>
      <c r="F49" s="10"/>
      <c r="G49" s="10"/>
      <c r="H49" s="10"/>
      <c r="I49" s="10"/>
      <c r="J49" s="10"/>
      <c r="K49" s="10"/>
      <c r="L49" s="10"/>
      <c r="M49" s="10"/>
      <c r="N49" s="10"/>
      <c r="O49" s="10"/>
      <c r="P49" s="10"/>
      <c r="Q49" s="10"/>
      <c r="R49" s="10"/>
      <c r="S49" s="10"/>
      <c r="Y49" s="10"/>
    </row>
    <row r="50" spans="1:25" ht="18" customHeight="1">
      <c r="A50" s="21"/>
      <c r="B50" s="21"/>
      <c r="C50" s="21"/>
      <c r="D50" s="19"/>
      <c r="E50" s="10"/>
      <c r="F50" s="10"/>
      <c r="G50" s="10"/>
      <c r="H50" s="10"/>
      <c r="I50" s="10"/>
      <c r="J50" s="10"/>
      <c r="K50" s="10"/>
      <c r="L50" s="10"/>
      <c r="M50" s="10"/>
      <c r="N50" s="10"/>
      <c r="O50" s="10"/>
      <c r="P50" s="10"/>
      <c r="Q50" s="10"/>
      <c r="R50" s="10"/>
      <c r="S50" s="10"/>
      <c r="Y50" s="10"/>
    </row>
    <row r="51" spans="1:25" ht="18" customHeight="1">
      <c r="A51" s="21"/>
      <c r="B51" s="21"/>
      <c r="C51" s="21"/>
      <c r="D51" s="19"/>
    </row>
    <row r="52" spans="1:25" ht="18" customHeight="1">
      <c r="A52" s="21"/>
      <c r="B52" s="21"/>
      <c r="C52" s="21"/>
      <c r="D52" s="19"/>
    </row>
    <row r="53" spans="1:25" ht="18" customHeight="1"/>
    <row r="54" spans="1:25" ht="18" customHeight="1"/>
  </sheetData>
  <mergeCells count="23">
    <mergeCell ref="A9:A10"/>
    <mergeCell ref="R9:R10"/>
    <mergeCell ref="A1:AA1"/>
    <mergeCell ref="A2:AA2"/>
    <mergeCell ref="T9:T10"/>
    <mergeCell ref="Z9:Z10"/>
    <mergeCell ref="AA9:AA10"/>
    <mergeCell ref="Y9:Y10"/>
    <mergeCell ref="S9:S10"/>
    <mergeCell ref="N9:Q9"/>
    <mergeCell ref="D9:D10"/>
    <mergeCell ref="E9:E10"/>
    <mergeCell ref="B9:B10"/>
    <mergeCell ref="F9:F10"/>
    <mergeCell ref="G9:G10"/>
    <mergeCell ref="H9:H10"/>
    <mergeCell ref="U9:X9"/>
    <mergeCell ref="I9:I10"/>
    <mergeCell ref="J9:J10"/>
    <mergeCell ref="C9:C10"/>
    <mergeCell ref="M9:M10"/>
    <mergeCell ref="K9:K10"/>
    <mergeCell ref="L9:L10"/>
  </mergeCells>
  <phoneticPr fontId="19" type="noConversion"/>
  <dataValidations xWindow="244" yWindow="510" count="2">
    <dataValidation type="list" allowBlank="1" showInputMessage="1" showErrorMessage="1" prompt="如要修改下列框的选项，单击“数据-数据有效性-设置-序列-来源”，并相应修改审定表和附注披露表中的款项性质。" sqref="D11:D18 C19:D31">
      <formula1>"货款,工程款,设备款,服务费,其他"</formula1>
    </dataValidation>
    <dataValidation type="list" allowBlank="1" showInputMessage="1" showErrorMessage="1" prompt="如要修改下列框的选项，单击“数据-数据有效性-设置-序列-来源”，并相应修改审定表和附注披露表中的款项性质。" sqref="C11:C18">
      <formula1>"合并范围内关联方,合并范围外关联方,非关联方"</formula1>
    </dataValidation>
  </dataValidations>
  <hyperlinks>
    <hyperlink ref="AA3" location="底稿目录!A1" display="G4-2"/>
  </hyperlinks>
  <printOptions horizontalCentered="1"/>
  <pageMargins left="0.39370078740157483" right="0.31496062992125984" top="0.47244094488188981" bottom="0.43307086614173229" header="0.39370078740157483" footer="0.27559055118110237"/>
  <pageSetup paperSize="9" scale="53" fitToHeight="0" orientation="landscape" blackAndWhite="1" cellComments="asDisplayed" r:id="rId1"/>
  <headerFooter alignWithMargins="0">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4"/>
  <sheetViews>
    <sheetView view="pageBreakPreview" zoomScaleNormal="100" zoomScaleSheetLayoutView="100" workbookViewId="0">
      <selection activeCell="H10" sqref="H10"/>
    </sheetView>
  </sheetViews>
  <sheetFormatPr defaultRowHeight="15.6"/>
  <cols>
    <col min="1" max="1" width="16" customWidth="1"/>
    <col min="2" max="2" width="14.5" customWidth="1"/>
    <col min="3" max="3" width="12.3984375" customWidth="1"/>
    <col min="4" max="4" width="13.59765625" customWidth="1"/>
    <col min="5" max="5" width="15.19921875" customWidth="1"/>
    <col min="7" max="7" width="10.796875" customWidth="1"/>
    <col min="8" max="8" width="10.69921875" customWidth="1"/>
  </cols>
  <sheetData>
    <row r="1" spans="1:10" ht="19.95" customHeight="1">
      <c r="A1" s="434" t="s">
        <v>25</v>
      </c>
      <c r="B1" s="434"/>
      <c r="C1" s="434"/>
      <c r="D1" s="434"/>
      <c r="E1" s="434"/>
      <c r="F1" s="434"/>
      <c r="G1" s="434"/>
      <c r="H1" s="434"/>
      <c r="I1" s="434"/>
      <c r="J1" s="434"/>
    </row>
    <row r="2" spans="1:10" ht="19.95" customHeight="1">
      <c r="A2" s="435" t="s">
        <v>129</v>
      </c>
      <c r="B2" s="435"/>
      <c r="C2" s="435"/>
      <c r="D2" s="435"/>
      <c r="E2" s="435"/>
      <c r="F2" s="435"/>
      <c r="G2" s="435"/>
      <c r="H2" s="435"/>
      <c r="I2" s="435"/>
      <c r="J2" s="435"/>
    </row>
    <row r="3" spans="1:10" ht="19.95" customHeight="1">
      <c r="A3" s="7" t="str">
        <f>底稿目录!A2</f>
        <v>被审计单位：</v>
      </c>
      <c r="B3" s="7"/>
      <c r="C3" s="7"/>
      <c r="D3" s="7" t="str">
        <f>底稿目录!A4</f>
        <v>编制人：</v>
      </c>
      <c r="E3" s="7"/>
      <c r="F3" s="7" t="str">
        <f>底稿目录!A5</f>
        <v>编制日期：</v>
      </c>
      <c r="H3" s="7"/>
      <c r="I3" s="356" t="s">
        <v>459</v>
      </c>
      <c r="J3" s="394" t="str">
        <f>底稿目录!F8</f>
        <v>F4-3</v>
      </c>
    </row>
    <row r="4" spans="1:10" ht="19.95" customHeight="1">
      <c r="A4" s="7" t="str">
        <f>底稿目录!A3</f>
        <v>截止日：202X年12月31日</v>
      </c>
      <c r="B4" s="7"/>
      <c r="C4" s="7"/>
      <c r="D4" s="7" t="str">
        <f>底稿目录!A6</f>
        <v>复核人：</v>
      </c>
      <c r="E4" s="7"/>
      <c r="F4" s="7" t="str">
        <f>底稿目录!A7</f>
        <v>复核日期：</v>
      </c>
      <c r="H4" s="7"/>
      <c r="I4" s="356" t="s">
        <v>460</v>
      </c>
      <c r="J4" s="61"/>
    </row>
    <row r="5" spans="1:10" ht="24.6" customHeight="1">
      <c r="A5" s="122" t="s">
        <v>116</v>
      </c>
      <c r="B5" s="228" t="s">
        <v>117</v>
      </c>
      <c r="C5" s="400" t="s">
        <v>246</v>
      </c>
      <c r="D5" s="123" t="s">
        <v>247</v>
      </c>
      <c r="E5" s="123" t="s">
        <v>248</v>
      </c>
      <c r="F5" s="124" t="s">
        <v>249</v>
      </c>
      <c r="G5" s="123" t="s">
        <v>118</v>
      </c>
      <c r="H5" s="123" t="s">
        <v>119</v>
      </c>
      <c r="I5" s="123" t="s">
        <v>120</v>
      </c>
      <c r="J5" s="123" t="s">
        <v>121</v>
      </c>
    </row>
    <row r="6" spans="1:10" ht="19.95" customHeight="1">
      <c r="A6" s="125"/>
      <c r="B6" s="125"/>
      <c r="C6" s="125"/>
      <c r="D6" s="125"/>
      <c r="E6" s="125"/>
      <c r="F6" s="125"/>
      <c r="G6" s="229"/>
      <c r="H6" s="229"/>
      <c r="I6" s="357"/>
      <c r="J6" s="125"/>
    </row>
    <row r="7" spans="1:10" ht="19.95" customHeight="1">
      <c r="A7" s="125"/>
      <c r="B7" s="125"/>
      <c r="C7" s="125"/>
      <c r="D7" s="125"/>
      <c r="E7" s="125"/>
      <c r="F7" s="125"/>
      <c r="G7" s="229"/>
      <c r="H7" s="229"/>
      <c r="I7" s="357"/>
      <c r="J7" s="125"/>
    </row>
    <row r="8" spans="1:10" ht="19.95" customHeight="1">
      <c r="A8" s="125"/>
      <c r="B8" s="125"/>
      <c r="C8" s="125"/>
      <c r="D8" s="125"/>
      <c r="E8" s="125"/>
      <c r="F8" s="125"/>
      <c r="G8" s="229"/>
      <c r="H8" s="229"/>
      <c r="I8" s="357"/>
      <c r="J8" s="125"/>
    </row>
    <row r="9" spans="1:10" ht="19.95" customHeight="1">
      <c r="A9" s="125"/>
      <c r="B9" s="125"/>
      <c r="C9" s="125"/>
      <c r="D9" s="125"/>
      <c r="E9" s="125"/>
      <c r="F9" s="125"/>
      <c r="G9" s="229"/>
      <c r="H9" s="229"/>
      <c r="I9" s="357"/>
      <c r="J9" s="125"/>
    </row>
    <row r="10" spans="1:10" ht="19.95" customHeight="1">
      <c r="A10" s="125"/>
      <c r="B10" s="125"/>
      <c r="C10" s="125"/>
      <c r="D10" s="125"/>
      <c r="E10" s="125"/>
      <c r="F10" s="125"/>
      <c r="G10" s="229"/>
      <c r="H10" s="229"/>
      <c r="I10" s="357"/>
      <c r="J10" s="125"/>
    </row>
    <row r="11" spans="1:10" ht="19.95" customHeight="1">
      <c r="A11" s="125"/>
      <c r="B11" s="125"/>
      <c r="C11" s="125"/>
      <c r="D11" s="125"/>
      <c r="E11" s="125"/>
      <c r="F11" s="125"/>
      <c r="G11" s="229"/>
      <c r="H11" s="229"/>
      <c r="I11" s="357"/>
      <c r="J11" s="125"/>
    </row>
    <row r="12" spans="1:10" ht="19.95" customHeight="1">
      <c r="A12" s="125"/>
      <c r="B12" s="125"/>
      <c r="C12" s="125"/>
      <c r="D12" s="125"/>
      <c r="E12" s="125"/>
      <c r="F12" s="125"/>
      <c r="G12" s="229"/>
      <c r="H12" s="229"/>
      <c r="I12" s="357"/>
      <c r="J12" s="125"/>
    </row>
    <row r="13" spans="1:10" ht="19.95" customHeight="1">
      <c r="A13" s="125"/>
      <c r="B13" s="125"/>
      <c r="C13" s="125"/>
      <c r="D13" s="125"/>
      <c r="E13" s="125"/>
      <c r="F13" s="125"/>
      <c r="G13" s="229"/>
      <c r="H13" s="229"/>
      <c r="I13" s="357"/>
      <c r="J13" s="125"/>
    </row>
    <row r="14" spans="1:10" ht="19.95" customHeight="1">
      <c r="A14" s="125"/>
      <c r="B14" s="125"/>
      <c r="C14" s="125"/>
      <c r="D14" s="125"/>
      <c r="E14" s="125"/>
      <c r="F14" s="125"/>
      <c r="G14" s="229"/>
      <c r="H14" s="229"/>
      <c r="I14" s="357"/>
      <c r="J14" s="125"/>
    </row>
    <row r="15" spans="1:10" ht="19.95" customHeight="1">
      <c r="A15" s="125"/>
      <c r="B15" s="125"/>
      <c r="C15" s="125"/>
      <c r="D15" s="125"/>
      <c r="E15" s="125"/>
      <c r="F15" s="125"/>
      <c r="G15" s="229"/>
      <c r="H15" s="229"/>
      <c r="I15" s="357"/>
      <c r="J15" s="125"/>
    </row>
    <row r="16" spans="1:10" ht="19.95" customHeight="1">
      <c r="A16" s="125"/>
      <c r="B16" s="125"/>
      <c r="C16" s="125"/>
      <c r="D16" s="125"/>
      <c r="E16" s="125"/>
      <c r="F16" s="125"/>
      <c r="G16" s="229"/>
      <c r="H16" s="229"/>
      <c r="I16" s="357"/>
      <c r="J16" s="125"/>
    </row>
    <row r="17" spans="1:10" ht="19.95" customHeight="1">
      <c r="A17" s="125"/>
      <c r="B17" s="125"/>
      <c r="C17" s="125"/>
      <c r="D17" s="125"/>
      <c r="E17" s="125"/>
      <c r="F17" s="125"/>
      <c r="G17" s="229"/>
      <c r="H17" s="229"/>
      <c r="I17" s="357"/>
      <c r="J17" s="125"/>
    </row>
    <row r="18" spans="1:10" ht="19.95" customHeight="1">
      <c r="A18" s="125"/>
      <c r="B18" s="125"/>
      <c r="C18" s="125"/>
      <c r="D18" s="125"/>
      <c r="E18" s="125"/>
      <c r="F18" s="125"/>
      <c r="G18" s="229"/>
      <c r="H18" s="229"/>
      <c r="I18" s="357"/>
      <c r="J18" s="125"/>
    </row>
    <row r="19" spans="1:10" ht="19.95" customHeight="1">
      <c r="A19" s="125"/>
      <c r="B19" s="125"/>
      <c r="C19" s="125"/>
      <c r="D19" s="125"/>
      <c r="E19" s="125"/>
      <c r="F19" s="125"/>
      <c r="G19" s="229"/>
      <c r="H19" s="229"/>
      <c r="I19" s="357"/>
      <c r="J19" s="125"/>
    </row>
    <row r="20" spans="1:10" ht="19.95" customHeight="1">
      <c r="A20" s="125"/>
      <c r="B20" s="125"/>
      <c r="C20" s="125"/>
      <c r="D20" s="125"/>
      <c r="E20" s="125"/>
      <c r="F20" s="125"/>
      <c r="G20" s="229"/>
      <c r="H20" s="229"/>
      <c r="I20" s="357"/>
      <c r="J20" s="125"/>
    </row>
    <row r="21" spans="1:10" ht="19.95" customHeight="1">
      <c r="A21" s="126"/>
      <c r="B21" s="126"/>
      <c r="C21" s="126"/>
      <c r="D21" s="127"/>
      <c r="E21" s="127"/>
      <c r="F21" s="127"/>
      <c r="G21" s="128"/>
      <c r="H21" s="128"/>
      <c r="I21" s="127"/>
      <c r="J21" s="129"/>
    </row>
    <row r="22" spans="1:10" ht="31.8" customHeight="1">
      <c r="A22" s="460" t="s">
        <v>122</v>
      </c>
      <c r="B22" s="461"/>
      <c r="C22" s="461"/>
      <c r="D22" s="461"/>
      <c r="E22" s="461"/>
      <c r="F22" s="461"/>
      <c r="G22" s="461"/>
      <c r="H22" s="461"/>
      <c r="I22" s="461"/>
      <c r="J22" s="461"/>
    </row>
    <row r="23" spans="1:10">
      <c r="A23" s="130"/>
      <c r="B23" s="130"/>
      <c r="C23" s="130"/>
      <c r="D23" s="130"/>
      <c r="E23" s="130"/>
      <c r="F23" s="130"/>
      <c r="G23" s="130"/>
      <c r="H23" s="130"/>
      <c r="I23" s="130"/>
      <c r="J23" s="130"/>
    </row>
    <row r="24" spans="1:10">
      <c r="A24" s="460"/>
      <c r="B24" s="461"/>
      <c r="C24" s="461"/>
      <c r="D24" s="461"/>
      <c r="E24" s="461"/>
      <c r="F24" s="461"/>
      <c r="G24" s="461"/>
      <c r="H24" s="461"/>
      <c r="I24" s="461"/>
      <c r="J24" s="461"/>
    </row>
  </sheetData>
  <mergeCells count="4">
    <mergeCell ref="A1:J1"/>
    <mergeCell ref="A2:J2"/>
    <mergeCell ref="A24:J24"/>
    <mergeCell ref="A22:J22"/>
  </mergeCells>
  <phoneticPr fontId="15" type="noConversion"/>
  <dataValidations count="1">
    <dataValidation type="list" allowBlank="1" showInputMessage="1" showErrorMessage="1" sqref="B6:B20">
      <formula1>"账项调整,报表调整,其他"</formula1>
    </dataValidation>
  </dataValidations>
  <hyperlinks>
    <hyperlink ref="J3" location="底稿目录!A1" display="F4-3"/>
  </hyperlinks>
  <pageMargins left="0.70866141732283472" right="0.70866141732283472" top="0.74803149606299213" bottom="0.74803149606299213" header="0.31496062992125984" footer="0.31496062992125984"/>
  <pageSetup paperSize="9" orientation="landscape" blackAndWhite="1"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H49"/>
  <sheetViews>
    <sheetView view="pageBreakPreview" zoomScaleSheetLayoutView="100" workbookViewId="0">
      <selection sqref="A1:F1"/>
    </sheetView>
  </sheetViews>
  <sheetFormatPr defaultColWidth="9" defaultRowHeight="13.8"/>
  <cols>
    <col min="1" max="1" width="37" style="90" customWidth="1"/>
    <col min="2" max="3" width="12.59765625" style="90" customWidth="1"/>
    <col min="4" max="4" width="16.19921875" style="90" customWidth="1"/>
    <col min="5" max="5" width="12.69921875" style="90" customWidth="1"/>
    <col min="6" max="6" width="16.69921875" style="90" customWidth="1"/>
    <col min="7" max="7" width="9" style="90"/>
    <col min="8" max="8" width="9.59765625" style="90" bestFit="1" customWidth="1"/>
    <col min="9" max="9" width="38.5" style="90" customWidth="1"/>
    <col min="10" max="16384" width="9" style="90"/>
  </cols>
  <sheetData>
    <row r="1" spans="1:8" s="88" customFormat="1" ht="20.100000000000001" customHeight="1">
      <c r="A1" s="462" t="s">
        <v>25</v>
      </c>
      <c r="B1" s="462"/>
      <c r="C1" s="462"/>
      <c r="D1" s="462"/>
      <c r="E1" s="462"/>
      <c r="F1" s="462"/>
    </row>
    <row r="2" spans="1:8" s="89" customFormat="1" ht="25.05" customHeight="1">
      <c r="A2" s="463" t="s">
        <v>245</v>
      </c>
      <c r="B2" s="463"/>
      <c r="C2" s="463"/>
      <c r="D2" s="463"/>
      <c r="E2" s="463"/>
      <c r="F2" s="463"/>
    </row>
    <row r="3" spans="1:8" ht="20.100000000000001" customHeight="1">
      <c r="A3" s="9" t="str">
        <f>底稿目录!A2</f>
        <v>被审计单位：</v>
      </c>
      <c r="B3" s="9" t="str">
        <f>底稿目录!A4</f>
        <v>编制人：</v>
      </c>
      <c r="D3" s="9" t="str">
        <f>底稿目录!A5</f>
        <v>编制日期：</v>
      </c>
      <c r="E3" s="351" t="s">
        <v>461</v>
      </c>
      <c r="F3" s="394" t="str">
        <f>底稿目录!F9</f>
        <v>F4-4</v>
      </c>
    </row>
    <row r="4" spans="1:8" ht="20.100000000000001" customHeight="1">
      <c r="A4" s="9" t="str">
        <f>底稿目录!A3</f>
        <v>截止日：202X年12月31日</v>
      </c>
      <c r="B4" s="9" t="str">
        <f>底稿目录!A6</f>
        <v>复核人：</v>
      </c>
      <c r="D4" s="9" t="str">
        <f>底稿目录!A7</f>
        <v>复核日期：</v>
      </c>
      <c r="E4" s="358" t="s">
        <v>462</v>
      </c>
      <c r="F4" s="9"/>
    </row>
    <row r="5" spans="1:8" ht="20.100000000000001" customHeight="1">
      <c r="A5" s="230" t="s">
        <v>250</v>
      </c>
      <c r="B5" s="9"/>
      <c r="D5" s="9"/>
      <c r="F5" s="22"/>
    </row>
    <row r="6" spans="1:8" ht="20.100000000000001" customHeight="1">
      <c r="A6" s="231" t="s">
        <v>273</v>
      </c>
      <c r="B6" s="9"/>
      <c r="D6" s="9"/>
      <c r="F6" s="22"/>
    </row>
    <row r="7" spans="1:8" ht="20.100000000000001" customHeight="1">
      <c r="A7" s="231" t="s">
        <v>274</v>
      </c>
      <c r="B7" s="9"/>
      <c r="D7" s="9"/>
      <c r="F7" s="22"/>
    </row>
    <row r="8" spans="1:8" ht="20.100000000000001" customHeight="1">
      <c r="A8" s="231" t="s">
        <v>275</v>
      </c>
      <c r="B8" s="9"/>
      <c r="D8" s="9"/>
      <c r="F8" s="22"/>
    </row>
    <row r="9" spans="1:8" ht="20.100000000000001" customHeight="1">
      <c r="A9" s="232" t="s">
        <v>251</v>
      </c>
      <c r="B9" s="9"/>
      <c r="D9" s="9"/>
      <c r="F9" s="22"/>
    </row>
    <row r="10" spans="1:8" ht="20.100000000000001" customHeight="1">
      <c r="A10" s="235" t="s">
        <v>263</v>
      </c>
      <c r="B10" s="9"/>
      <c r="D10" s="9"/>
      <c r="F10" s="22"/>
    </row>
    <row r="11" spans="1:8" ht="20.100000000000001" customHeight="1">
      <c r="A11" s="245" t="s">
        <v>90</v>
      </c>
      <c r="B11" s="233" t="s">
        <v>253</v>
      </c>
      <c r="C11" s="233" t="s">
        <v>254</v>
      </c>
      <c r="D11" s="155" t="s">
        <v>271</v>
      </c>
      <c r="F11" s="22"/>
    </row>
    <row r="12" spans="1:8" ht="20.100000000000001" customHeight="1">
      <c r="A12" s="246" t="s">
        <v>255</v>
      </c>
      <c r="B12" s="238">
        <f>'审定表F4-1'!E13</f>
        <v>0</v>
      </c>
      <c r="C12" s="237"/>
      <c r="D12" s="236"/>
      <c r="F12" s="22"/>
    </row>
    <row r="13" spans="1:8" ht="20.100000000000001" customHeight="1">
      <c r="A13" s="246" t="s">
        <v>256</v>
      </c>
      <c r="B13" s="238">
        <f>'审定表F4-1'!I13</f>
        <v>0</v>
      </c>
      <c r="C13" s="240">
        <f>'审定表F4-1'!E13</f>
        <v>0</v>
      </c>
      <c r="D13" s="236"/>
      <c r="F13" s="22"/>
    </row>
    <row r="14" spans="1:8" ht="20.100000000000001" customHeight="1">
      <c r="A14" s="246" t="s">
        <v>257</v>
      </c>
      <c r="B14" s="236"/>
      <c r="C14" s="237"/>
      <c r="D14" s="236"/>
      <c r="F14" s="22"/>
    </row>
    <row r="15" spans="1:8" ht="20.100000000000001" customHeight="1">
      <c r="A15" s="246" t="s">
        <v>258</v>
      </c>
      <c r="B15" s="236"/>
      <c r="C15" s="237"/>
      <c r="D15" s="236"/>
      <c r="F15" s="22"/>
    </row>
    <row r="16" spans="1:8" ht="20.100000000000001" customHeight="1">
      <c r="A16" s="246" t="s">
        <v>259</v>
      </c>
      <c r="B16" s="236"/>
      <c r="C16" s="237"/>
      <c r="D16" s="236"/>
      <c r="F16" s="22"/>
      <c r="H16" s="234"/>
    </row>
    <row r="17" spans="1:8" ht="20.100000000000001" customHeight="1">
      <c r="A17" s="246" t="s">
        <v>260</v>
      </c>
      <c r="B17" s="238" t="e">
        <f>(B14+B16-B15)/((B12+B13)/2)</f>
        <v>#DIV/0!</v>
      </c>
      <c r="C17" s="238" t="e">
        <f>(C14+C16-C15)/((C12+C13)/2)</f>
        <v>#DIV/0!</v>
      </c>
      <c r="D17" s="236"/>
      <c r="F17" s="22"/>
      <c r="H17" s="234"/>
    </row>
    <row r="18" spans="1:8" ht="20.100000000000001" customHeight="1">
      <c r="A18" s="246" t="s">
        <v>261</v>
      </c>
      <c r="B18" s="238" t="e">
        <f>365/B17</f>
        <v>#DIV/0!</v>
      </c>
      <c r="C18" s="239" t="e">
        <f>365/C17</f>
        <v>#DIV/0!</v>
      </c>
      <c r="D18" s="236"/>
      <c r="F18" s="22"/>
      <c r="H18" s="234"/>
    </row>
    <row r="19" spans="1:8" ht="20.100000000000001" customHeight="1">
      <c r="A19" s="246" t="s">
        <v>262</v>
      </c>
      <c r="B19" s="236"/>
      <c r="C19" s="237"/>
      <c r="D19" s="236"/>
      <c r="F19" s="22"/>
      <c r="H19" s="234"/>
    </row>
    <row r="20" spans="1:8" ht="20.100000000000001" customHeight="1">
      <c r="A20" s="246" t="s">
        <v>252</v>
      </c>
      <c r="B20" s="238" t="e">
        <f>B17-B19</f>
        <v>#DIV/0!</v>
      </c>
      <c r="C20" s="238" t="e">
        <f>C17-C19</f>
        <v>#DIV/0!</v>
      </c>
      <c r="D20" s="238"/>
      <c r="F20" s="22"/>
      <c r="H20" s="234"/>
    </row>
    <row r="21" spans="1:8" s="242" customFormat="1" ht="20.100000000000001" customHeight="1">
      <c r="A21" s="464" t="s">
        <v>270</v>
      </c>
      <c r="B21" s="465"/>
      <c r="C21" s="465"/>
      <c r="D21" s="466"/>
      <c r="F21" s="243"/>
      <c r="H21" s="244"/>
    </row>
    <row r="22" spans="1:8" s="242" customFormat="1" ht="20.100000000000001" customHeight="1">
      <c r="A22" s="467"/>
      <c r="B22" s="468"/>
      <c r="C22" s="468"/>
      <c r="D22" s="469"/>
      <c r="F22" s="243"/>
      <c r="H22" s="244"/>
    </row>
    <row r="23" spans="1:8" s="242" customFormat="1" ht="20.100000000000001" customHeight="1">
      <c r="A23" s="470"/>
      <c r="B23" s="471"/>
      <c r="C23" s="471"/>
      <c r="D23" s="472"/>
      <c r="F23" s="243"/>
      <c r="H23" s="244"/>
    </row>
    <row r="24" spans="1:8" s="93" customFormat="1" ht="23.4" customHeight="1">
      <c r="A24" s="91" t="s">
        <v>404</v>
      </c>
      <c r="B24" s="92"/>
      <c r="C24" s="92"/>
      <c r="D24" s="92"/>
      <c r="E24" s="92"/>
      <c r="F24" s="92"/>
    </row>
    <row r="25" spans="1:8" s="94" customFormat="1" ht="23.4" customHeight="1">
      <c r="A25" s="155" t="s">
        <v>91</v>
      </c>
      <c r="B25" s="220" t="s">
        <v>265</v>
      </c>
      <c r="C25" s="220" t="s">
        <v>267</v>
      </c>
      <c r="D25" s="220" t="s">
        <v>268</v>
      </c>
      <c r="E25" s="220" t="s">
        <v>269</v>
      </c>
      <c r="F25" s="155" t="s">
        <v>92</v>
      </c>
    </row>
    <row r="26" spans="1:8" ht="20.100000000000001" customHeight="1">
      <c r="A26" s="13" t="s">
        <v>93</v>
      </c>
      <c r="B26" s="241"/>
      <c r="C26" s="241"/>
      <c r="D26" s="406">
        <f>B26-C26</f>
        <v>0</v>
      </c>
      <c r="E26" s="327" t="e">
        <f>D26/C26</f>
        <v>#DIV/0!</v>
      </c>
      <c r="F26" s="36"/>
    </row>
    <row r="27" spans="1:8" ht="20.100000000000001" customHeight="1">
      <c r="A27" s="13" t="s">
        <v>94</v>
      </c>
      <c r="B27" s="241"/>
      <c r="C27" s="241"/>
      <c r="D27" s="406">
        <f t="shared" ref="D27:D35" si="0">B27-C27</f>
        <v>0</v>
      </c>
      <c r="E27" s="327" t="e">
        <f t="shared" ref="E27:E36" si="1">D27/C27</f>
        <v>#DIV/0!</v>
      </c>
      <c r="F27" s="36"/>
    </row>
    <row r="28" spans="1:8" ht="20.100000000000001" customHeight="1">
      <c r="A28" s="13" t="s">
        <v>95</v>
      </c>
      <c r="B28" s="241"/>
      <c r="C28" s="241"/>
      <c r="D28" s="406">
        <f t="shared" si="0"/>
        <v>0</v>
      </c>
      <c r="E28" s="327" t="e">
        <f t="shared" si="1"/>
        <v>#DIV/0!</v>
      </c>
      <c r="F28" s="36"/>
    </row>
    <row r="29" spans="1:8" ht="20.100000000000001" customHeight="1">
      <c r="A29" s="13" t="s">
        <v>96</v>
      </c>
      <c r="B29" s="241"/>
      <c r="C29" s="241"/>
      <c r="D29" s="406">
        <f t="shared" si="0"/>
        <v>0</v>
      </c>
      <c r="E29" s="327" t="e">
        <f t="shared" si="1"/>
        <v>#DIV/0!</v>
      </c>
      <c r="F29" s="36"/>
    </row>
    <row r="30" spans="1:8" ht="20.100000000000001" customHeight="1">
      <c r="A30" s="13" t="s">
        <v>97</v>
      </c>
      <c r="B30" s="241"/>
      <c r="C30" s="241"/>
      <c r="D30" s="406">
        <f t="shared" si="0"/>
        <v>0</v>
      </c>
      <c r="E30" s="327" t="e">
        <f t="shared" si="1"/>
        <v>#DIV/0!</v>
      </c>
      <c r="F30" s="36"/>
    </row>
    <row r="31" spans="1:8" ht="20.100000000000001" customHeight="1">
      <c r="A31" s="13" t="s">
        <v>405</v>
      </c>
      <c r="B31" s="241"/>
      <c r="C31" s="241"/>
      <c r="D31" s="406">
        <f t="shared" si="0"/>
        <v>0</v>
      </c>
      <c r="E31" s="327" t="e">
        <f t="shared" si="1"/>
        <v>#DIV/0!</v>
      </c>
      <c r="F31" s="36"/>
    </row>
    <row r="32" spans="1:8" ht="20.100000000000001" customHeight="1">
      <c r="A32" s="13" t="s">
        <v>406</v>
      </c>
      <c r="B32" s="241"/>
      <c r="C32" s="241"/>
      <c r="D32" s="406">
        <f t="shared" si="0"/>
        <v>0</v>
      </c>
      <c r="E32" s="327" t="e">
        <f t="shared" si="1"/>
        <v>#DIV/0!</v>
      </c>
      <c r="F32" s="36"/>
    </row>
    <row r="33" spans="1:7" ht="20.100000000000001" customHeight="1">
      <c r="A33" s="13" t="s">
        <v>407</v>
      </c>
      <c r="B33" s="241"/>
      <c r="C33" s="241"/>
      <c r="D33" s="406">
        <f t="shared" si="0"/>
        <v>0</v>
      </c>
      <c r="E33" s="327" t="e">
        <f t="shared" si="1"/>
        <v>#DIV/0!</v>
      </c>
      <c r="F33" s="36"/>
    </row>
    <row r="34" spans="1:7" ht="20.100000000000001" customHeight="1">
      <c r="A34" s="13" t="s">
        <v>408</v>
      </c>
      <c r="B34" s="241"/>
      <c r="C34" s="241"/>
      <c r="D34" s="406">
        <f t="shared" si="0"/>
        <v>0</v>
      </c>
      <c r="E34" s="327" t="e">
        <f t="shared" si="1"/>
        <v>#DIV/0!</v>
      </c>
      <c r="F34" s="36"/>
    </row>
    <row r="35" spans="1:7" ht="20.100000000000001" customHeight="1">
      <c r="A35" s="13" t="s">
        <v>409</v>
      </c>
      <c r="B35" s="241"/>
      <c r="C35" s="241"/>
      <c r="D35" s="406">
        <f t="shared" si="0"/>
        <v>0</v>
      </c>
      <c r="E35" s="327" t="e">
        <f t="shared" si="1"/>
        <v>#DIV/0!</v>
      </c>
      <c r="F35" s="36"/>
    </row>
    <row r="36" spans="1:7" ht="20.100000000000001" customHeight="1">
      <c r="A36" s="155" t="s">
        <v>98</v>
      </c>
      <c r="B36" s="325">
        <f>SUM(B26:B35)</f>
        <v>0</v>
      </c>
      <c r="C36" s="325">
        <f t="shared" ref="C36" si="2">SUM(C26:C35)</f>
        <v>0</v>
      </c>
      <c r="D36" s="325">
        <f>SUM(D26:D35)</f>
        <v>0</v>
      </c>
      <c r="E36" s="326" t="e">
        <f t="shared" si="1"/>
        <v>#DIV/0!</v>
      </c>
      <c r="F36" s="155"/>
    </row>
    <row r="37" spans="1:7" s="9" customFormat="1" ht="20.100000000000001" customHeight="1">
      <c r="A37" s="473" t="s">
        <v>99</v>
      </c>
      <c r="B37" s="474"/>
      <c r="C37" s="474"/>
      <c r="D37" s="474"/>
      <c r="E37" s="474"/>
      <c r="F37" s="475"/>
      <c r="G37" s="59"/>
    </row>
    <row r="38" spans="1:7" s="9" customFormat="1" ht="20.100000000000001" customHeight="1">
      <c r="A38" s="476"/>
      <c r="B38" s="477"/>
      <c r="C38" s="477"/>
      <c r="D38" s="477"/>
      <c r="E38" s="477"/>
      <c r="F38" s="478"/>
      <c r="G38" s="59"/>
    </row>
    <row r="39" spans="1:7" s="9" customFormat="1" ht="20.100000000000001" customHeight="1">
      <c r="A39" s="479"/>
      <c r="B39" s="480"/>
      <c r="C39" s="480"/>
      <c r="D39" s="480"/>
      <c r="E39" s="480"/>
      <c r="F39" s="481"/>
      <c r="G39" s="59"/>
    </row>
    <row r="40" spans="1:7" s="9" customFormat="1" ht="20.100000000000001" customHeight="1">
      <c r="A40" s="247" t="s">
        <v>272</v>
      </c>
      <c r="B40" s="59"/>
      <c r="C40" s="59"/>
      <c r="D40" s="59"/>
      <c r="E40" s="59"/>
      <c r="F40" s="59"/>
      <c r="G40" s="59"/>
    </row>
    <row r="41" spans="1:7" ht="20.100000000000001" customHeight="1"/>
    <row r="42" spans="1:7" ht="18" customHeight="1">
      <c r="A42" s="9"/>
      <c r="B42" s="9"/>
      <c r="C42" s="9"/>
      <c r="D42" s="9"/>
      <c r="E42" s="9"/>
      <c r="F42" s="9"/>
      <c r="G42" s="9"/>
    </row>
    <row r="43" spans="1:7" ht="18" customHeight="1">
      <c r="A43" s="103"/>
      <c r="B43" s="9"/>
      <c r="C43" s="9"/>
      <c r="D43" s="9"/>
      <c r="E43" s="9"/>
      <c r="F43" s="9"/>
      <c r="G43" s="9"/>
    </row>
    <row r="44" spans="1:7" ht="18" customHeight="1">
      <c r="A44" s="59"/>
      <c r="B44" s="9"/>
      <c r="C44" s="9"/>
      <c r="D44" s="9"/>
      <c r="E44" s="9"/>
      <c r="F44" s="9"/>
      <c r="G44" s="9"/>
    </row>
    <row r="45" spans="1:7" ht="18" customHeight="1">
      <c r="A45" s="59"/>
      <c r="B45" s="9"/>
      <c r="C45" s="9"/>
      <c r="D45" s="9"/>
      <c r="E45" s="9"/>
      <c r="F45" s="9"/>
      <c r="G45" s="9"/>
    </row>
    <row r="46" spans="1:7" ht="18" customHeight="1">
      <c r="A46" s="95"/>
      <c r="B46" s="9"/>
      <c r="C46" s="9"/>
      <c r="D46" s="9"/>
      <c r="E46" s="9"/>
      <c r="F46" s="9"/>
      <c r="G46" s="9"/>
    </row>
    <row r="47" spans="1:7" ht="18" customHeight="1">
      <c r="A47" s="96"/>
      <c r="B47" s="59"/>
      <c r="C47" s="9"/>
      <c r="D47" s="9"/>
      <c r="E47" s="9"/>
      <c r="F47" s="9"/>
      <c r="G47" s="9"/>
    </row>
    <row r="48" spans="1:7" ht="18" customHeight="1">
      <c r="A48" s="96"/>
      <c r="B48" s="59"/>
      <c r="C48" s="9"/>
      <c r="D48" s="9"/>
      <c r="E48" s="9"/>
      <c r="F48" s="9"/>
      <c r="G48" s="9"/>
    </row>
    <row r="49" spans="1:7" ht="18" customHeight="1">
      <c r="A49" s="96"/>
      <c r="B49" s="59"/>
      <c r="C49" s="9"/>
      <c r="D49" s="9"/>
      <c r="E49" s="9"/>
      <c r="F49" s="9"/>
      <c r="G49" s="9"/>
    </row>
  </sheetData>
  <mergeCells count="4">
    <mergeCell ref="A1:F1"/>
    <mergeCell ref="A2:F2"/>
    <mergeCell ref="A21:D23"/>
    <mergeCell ref="A37:F39"/>
  </mergeCells>
  <phoneticPr fontId="63" type="noConversion"/>
  <hyperlinks>
    <hyperlink ref="F3" location="底稿目录!A1" display="底稿目录!A1"/>
  </hyperlinks>
  <printOptions horizontalCentered="1"/>
  <pageMargins left="0.47244094488188981" right="0.47244094488188981" top="0.27559055118110237" bottom="0.19685039370078741" header="0.19685039370078741" footer="0.19685039370078741"/>
  <pageSetup paperSize="9" scale="80" fitToHeight="0" orientation="portrait"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21"/>
  <sheetViews>
    <sheetView view="pageBreakPreview" zoomScale="98" zoomScaleSheetLayoutView="98" workbookViewId="0">
      <selection sqref="A1:K1"/>
    </sheetView>
  </sheetViews>
  <sheetFormatPr defaultColWidth="9" defaultRowHeight="15.6"/>
  <cols>
    <col min="1" max="1" width="19.796875" style="50" customWidth="1"/>
    <col min="2" max="2" width="12.296875" style="50" customWidth="1"/>
    <col min="3" max="3" width="12.59765625" style="50" customWidth="1"/>
    <col min="4" max="4" width="16.3984375" style="50" customWidth="1"/>
    <col min="5" max="5" width="16" style="50" customWidth="1"/>
    <col min="6" max="7" width="8.8984375" style="50" customWidth="1"/>
    <col min="8" max="8" width="13.09765625" style="50" customWidth="1"/>
    <col min="9" max="9" width="12.09765625" style="50" customWidth="1"/>
    <col min="10" max="10" width="13.09765625" style="50" customWidth="1"/>
    <col min="11" max="11" width="14.5" style="50" customWidth="1"/>
    <col min="12" max="16384" width="9" style="50"/>
  </cols>
  <sheetData>
    <row r="1" spans="1:11" ht="20.100000000000001" customHeight="1">
      <c r="A1" s="445" t="s">
        <v>472</v>
      </c>
      <c r="B1" s="445"/>
      <c r="C1" s="445"/>
      <c r="D1" s="445"/>
      <c r="E1" s="445"/>
      <c r="F1" s="445"/>
      <c r="G1" s="445"/>
      <c r="H1" s="445"/>
      <c r="I1" s="445"/>
      <c r="J1" s="445"/>
      <c r="K1" s="445"/>
    </row>
    <row r="2" spans="1:11" ht="25.05" customHeight="1">
      <c r="A2" s="482" t="s">
        <v>517</v>
      </c>
      <c r="B2" s="482"/>
      <c r="C2" s="482"/>
      <c r="D2" s="482"/>
      <c r="E2" s="482"/>
      <c r="F2" s="482"/>
      <c r="G2" s="482"/>
      <c r="H2" s="482"/>
      <c r="I2" s="482"/>
      <c r="J2" s="482"/>
      <c r="K2" s="482"/>
    </row>
    <row r="3" spans="1:11" ht="20.100000000000001" customHeight="1">
      <c r="A3" s="9" t="str">
        <f>底稿目录!A2</f>
        <v>被审计单位：</v>
      </c>
      <c r="B3" s="57"/>
      <c r="C3" s="57"/>
      <c r="D3" s="9" t="str">
        <f>底稿目录!A4</f>
        <v>编制人：</v>
      </c>
      <c r="G3" s="9" t="str">
        <f>底稿目录!A5</f>
        <v>编制日期：</v>
      </c>
      <c r="J3" s="349" t="s">
        <v>470</v>
      </c>
      <c r="K3" s="394" t="str">
        <f>底稿目录!F17</f>
        <v>F4-5</v>
      </c>
    </row>
    <row r="4" spans="1:11" ht="20.100000000000001" customHeight="1">
      <c r="A4" s="9" t="str">
        <f>底稿目录!A3</f>
        <v>截止日：202X年12月31日</v>
      </c>
      <c r="B4" s="57"/>
      <c r="C4" s="57"/>
      <c r="D4" s="9" t="str">
        <f>底稿目录!A6</f>
        <v>复核人：</v>
      </c>
      <c r="G4" s="9" t="str">
        <f>底稿目录!A7</f>
        <v>复核日期：</v>
      </c>
      <c r="J4" s="349" t="s">
        <v>471</v>
      </c>
      <c r="K4" s="9"/>
    </row>
    <row r="5" spans="1:11" s="10" customFormat="1" ht="21" customHeight="1">
      <c r="A5" s="72" t="s">
        <v>70</v>
      </c>
    </row>
    <row r="6" spans="1:11" s="10" customFormat="1" ht="21" customHeight="1">
      <c r="A6" s="49" t="s">
        <v>276</v>
      </c>
    </row>
    <row r="7" spans="1:11" s="10" customFormat="1" ht="21" customHeight="1">
      <c r="A7" s="72" t="s">
        <v>71</v>
      </c>
    </row>
    <row r="8" spans="1:11" ht="29.4" customHeight="1">
      <c r="A8" s="55" t="s">
        <v>52</v>
      </c>
      <c r="B8" s="55" t="s">
        <v>53</v>
      </c>
      <c r="C8" s="54" t="s">
        <v>54</v>
      </c>
      <c r="D8" s="55" t="s">
        <v>55</v>
      </c>
      <c r="E8" s="56" t="s">
        <v>59</v>
      </c>
      <c r="F8" s="252" t="s">
        <v>56</v>
      </c>
      <c r="G8" s="56" t="s">
        <v>464</v>
      </c>
      <c r="H8" s="401" t="s">
        <v>465</v>
      </c>
      <c r="I8" s="401" t="s">
        <v>532</v>
      </c>
      <c r="J8" s="401" t="s">
        <v>466</v>
      </c>
      <c r="K8" s="55" t="s">
        <v>57</v>
      </c>
    </row>
    <row r="9" spans="1:11" ht="21" customHeight="1">
      <c r="A9" s="250"/>
      <c r="B9" s="53"/>
      <c r="C9" s="52"/>
      <c r="D9" s="360"/>
      <c r="E9" s="360"/>
      <c r="F9" s="253"/>
      <c r="G9" s="253"/>
      <c r="H9" s="361"/>
      <c r="I9" s="53"/>
      <c r="J9" s="361"/>
      <c r="K9" s="360"/>
    </row>
    <row r="10" spans="1:11" ht="21" customHeight="1">
      <c r="A10" s="250"/>
      <c r="B10" s="53"/>
      <c r="C10" s="52"/>
      <c r="D10" s="51"/>
      <c r="E10" s="51"/>
      <c r="F10" s="253"/>
      <c r="G10" s="253"/>
      <c r="H10" s="53"/>
      <c r="I10" s="53"/>
      <c r="J10" s="53"/>
      <c r="K10" s="51"/>
    </row>
    <row r="11" spans="1:11" ht="21" customHeight="1">
      <c r="A11" s="250"/>
      <c r="B11" s="53"/>
      <c r="C11" s="52"/>
      <c r="D11" s="51"/>
      <c r="E11" s="51"/>
      <c r="F11" s="253"/>
      <c r="G11" s="253"/>
      <c r="H11" s="53"/>
      <c r="I11" s="53"/>
      <c r="J11" s="53"/>
      <c r="K11" s="51"/>
    </row>
    <row r="12" spans="1:11" ht="21" customHeight="1">
      <c r="A12" s="250"/>
      <c r="B12" s="53"/>
      <c r="C12" s="52"/>
      <c r="D12" s="51"/>
      <c r="E12" s="51"/>
      <c r="F12" s="253"/>
      <c r="G12" s="253"/>
      <c r="H12" s="53"/>
      <c r="I12" s="53"/>
      <c r="J12" s="53"/>
      <c r="K12" s="51"/>
    </row>
    <row r="13" spans="1:11" ht="21" customHeight="1">
      <c r="A13" s="250"/>
      <c r="B13" s="53"/>
      <c r="C13" s="52"/>
      <c r="D13" s="51"/>
      <c r="E13" s="51"/>
      <c r="F13" s="253"/>
      <c r="G13" s="253"/>
      <c r="H13" s="53"/>
      <c r="I13" s="53"/>
      <c r="J13" s="53"/>
      <c r="K13" s="51"/>
    </row>
    <row r="14" spans="1:11" ht="21" customHeight="1">
      <c r="A14" s="250"/>
      <c r="B14" s="53"/>
      <c r="C14" s="52"/>
      <c r="D14" s="51"/>
      <c r="E14" s="51"/>
      <c r="F14" s="253"/>
      <c r="G14" s="253"/>
      <c r="H14" s="53"/>
      <c r="I14" s="53"/>
      <c r="J14" s="53"/>
      <c r="K14" s="51"/>
    </row>
    <row r="15" spans="1:11" ht="21" customHeight="1">
      <c r="A15" s="251" t="s">
        <v>277</v>
      </c>
      <c r="B15" s="254">
        <f>SUM(B9:B14)</f>
        <v>0</v>
      </c>
      <c r="C15" s="248"/>
      <c r="D15" s="248"/>
      <c r="E15" s="248"/>
      <c r="F15" s="248"/>
      <c r="G15" s="248"/>
      <c r="H15" s="254"/>
      <c r="I15" s="254">
        <f>SUM(I9:I14)</f>
        <v>0</v>
      </c>
      <c r="J15" s="254"/>
      <c r="K15" s="249"/>
    </row>
    <row r="16" spans="1:11" ht="21" customHeight="1">
      <c r="A16" s="72" t="s">
        <v>72</v>
      </c>
    </row>
    <row r="17" spans="1:1" ht="21" customHeight="1"/>
    <row r="18" spans="1:1" ht="21" customHeight="1"/>
    <row r="19" spans="1:1" ht="21" customHeight="1">
      <c r="A19" s="72" t="s">
        <v>73</v>
      </c>
    </row>
    <row r="20" spans="1:1" ht="21" customHeight="1"/>
    <row r="21" spans="1:1" ht="21" customHeight="1"/>
  </sheetData>
  <mergeCells count="2">
    <mergeCell ref="A1:K1"/>
    <mergeCell ref="A2:K2"/>
  </mergeCells>
  <phoneticPr fontId="15" type="noConversion"/>
  <dataValidations count="1">
    <dataValidation type="list" allowBlank="1" showInputMessage="1" showErrorMessage="1" sqref="F9:G14">
      <formula1>"是,否"</formula1>
    </dataValidation>
  </dataValidations>
  <hyperlinks>
    <hyperlink ref="K3" location="底稿目录!A1" display="底稿目录!A1"/>
  </hyperlinks>
  <pageMargins left="0.70866141732283472" right="0.70866141732283472" top="0.74803149606299213" bottom="0.74803149606299213" header="0.31496062992125984" footer="0.31496062992125984"/>
  <pageSetup paperSize="9" scale="83"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O25"/>
  <sheetViews>
    <sheetView view="pageBreakPreview" zoomScaleNormal="130" zoomScaleSheetLayoutView="100" workbookViewId="0">
      <selection sqref="A1:L1"/>
    </sheetView>
  </sheetViews>
  <sheetFormatPr defaultColWidth="9" defaultRowHeight="13.8"/>
  <cols>
    <col min="1" max="1" width="26.3984375" style="105" customWidth="1"/>
    <col min="2" max="2" width="17.59765625" style="105" customWidth="1"/>
    <col min="3" max="5" width="13.19921875" style="105" customWidth="1"/>
    <col min="6" max="6" width="12.59765625" style="105" customWidth="1"/>
    <col min="7" max="7" width="13.59765625" style="105" customWidth="1"/>
    <col min="8" max="8" width="13.8984375" style="105" customWidth="1"/>
    <col min="9" max="9" width="18.59765625" style="105" customWidth="1"/>
    <col min="10" max="11" width="11.69921875" style="105" customWidth="1"/>
    <col min="12" max="12" width="16.09765625" style="105" customWidth="1"/>
    <col min="13" max="13" width="9" style="105"/>
    <col min="14" max="14" width="27.09765625" style="105" customWidth="1"/>
    <col min="15" max="16384" width="9" style="105"/>
  </cols>
  <sheetData>
    <row r="1" spans="1:15" s="88" customFormat="1" ht="19.95" customHeight="1">
      <c r="A1" s="462" t="s">
        <v>25</v>
      </c>
      <c r="B1" s="462"/>
      <c r="C1" s="462"/>
      <c r="D1" s="462"/>
      <c r="E1" s="462"/>
      <c r="F1" s="462"/>
      <c r="G1" s="462"/>
      <c r="H1" s="462"/>
      <c r="I1" s="462"/>
      <c r="J1" s="462"/>
      <c r="K1" s="462"/>
      <c r="L1" s="462"/>
    </row>
    <row r="2" spans="1:15" s="89" customFormat="1" ht="19.95" customHeight="1">
      <c r="A2" s="463" t="s">
        <v>518</v>
      </c>
      <c r="B2" s="463"/>
      <c r="C2" s="463"/>
      <c r="D2" s="463"/>
      <c r="E2" s="463"/>
      <c r="F2" s="463"/>
      <c r="G2" s="463"/>
      <c r="H2" s="463"/>
      <c r="I2" s="463"/>
      <c r="J2" s="463"/>
      <c r="K2" s="463"/>
      <c r="L2" s="463"/>
      <c r="M2" s="256"/>
    </row>
    <row r="3" spans="1:15" ht="19.95" customHeight="1">
      <c r="A3" s="7" t="str">
        <f>底稿目录!A2</f>
        <v>被审计单位：</v>
      </c>
      <c r="B3" s="7"/>
      <c r="E3" s="7" t="str">
        <f>底稿目录!A4</f>
        <v>编制人：</v>
      </c>
      <c r="H3" s="7"/>
      <c r="I3" s="7" t="str">
        <f>底稿目录!A5</f>
        <v>编制日期：</v>
      </c>
      <c r="J3" s="99"/>
      <c r="K3" s="257" t="s">
        <v>278</v>
      </c>
      <c r="L3" s="394" t="str">
        <f>底稿目录!F18</f>
        <v>F4-6</v>
      </c>
      <c r="N3" s="261"/>
    </row>
    <row r="4" spans="1:15" ht="19.95" customHeight="1">
      <c r="A4" s="7" t="str">
        <f>底稿目录!A3</f>
        <v>截止日：202X年12月31日</v>
      </c>
      <c r="B4" s="7"/>
      <c r="E4" s="7" t="str">
        <f>底稿目录!A6</f>
        <v>复核人：</v>
      </c>
      <c r="H4" s="7"/>
      <c r="I4" s="7" t="str">
        <f>底稿目录!A7</f>
        <v>复核日期：</v>
      </c>
      <c r="J4" s="99"/>
      <c r="K4" s="257" t="s">
        <v>474</v>
      </c>
      <c r="L4" s="26"/>
    </row>
    <row r="5" spans="1:15" ht="19.95" customHeight="1">
      <c r="A5" s="258" t="s">
        <v>473</v>
      </c>
      <c r="B5" s="258"/>
      <c r="C5" s="8"/>
      <c r="D5" s="8"/>
      <c r="E5" s="8"/>
      <c r="G5" s="7"/>
      <c r="H5" s="7"/>
      <c r="I5" s="99"/>
      <c r="J5" s="99"/>
      <c r="K5" s="7"/>
      <c r="L5" s="26"/>
    </row>
    <row r="6" spans="1:15" s="403" customFormat="1" ht="19.95" customHeight="1">
      <c r="A6" s="259" t="s">
        <v>279</v>
      </c>
      <c r="B6" s="259" t="s">
        <v>281</v>
      </c>
      <c r="C6" s="259" t="s">
        <v>148</v>
      </c>
      <c r="D6" s="259" t="s">
        <v>297</v>
      </c>
      <c r="E6" s="259" t="s">
        <v>298</v>
      </c>
      <c r="F6" s="259" t="s">
        <v>280</v>
      </c>
      <c r="G6" s="259" t="s">
        <v>296</v>
      </c>
      <c r="H6" s="259" t="s">
        <v>299</v>
      </c>
      <c r="I6" s="156" t="s">
        <v>282</v>
      </c>
      <c r="J6" s="259" t="s">
        <v>399</v>
      </c>
      <c r="K6" s="156" t="s">
        <v>283</v>
      </c>
      <c r="L6" s="156" t="s">
        <v>284</v>
      </c>
      <c r="N6" s="404"/>
      <c r="O6" s="405"/>
    </row>
    <row r="7" spans="1:15" ht="19.95" customHeight="1">
      <c r="A7" s="63"/>
      <c r="B7" s="402"/>
      <c r="C7" s="262"/>
      <c r="D7" s="262"/>
      <c r="E7" s="262"/>
      <c r="F7" s="248">
        <f>C7+E7-D7</f>
        <v>0</v>
      </c>
      <c r="G7" s="63"/>
      <c r="H7" s="63"/>
      <c r="I7" s="63"/>
      <c r="J7" s="63"/>
      <c r="K7" s="58"/>
      <c r="L7" s="58"/>
      <c r="N7" s="260"/>
    </row>
    <row r="8" spans="1:15" ht="19.95" customHeight="1">
      <c r="A8" s="63"/>
      <c r="B8" s="402"/>
      <c r="C8" s="262"/>
      <c r="D8" s="262"/>
      <c r="E8" s="262"/>
      <c r="F8" s="248">
        <f t="shared" ref="F8:F10" si="0">C8+E8-D8</f>
        <v>0</v>
      </c>
      <c r="G8" s="63"/>
      <c r="H8" s="63"/>
      <c r="I8" s="63"/>
      <c r="J8" s="63"/>
      <c r="K8" s="58"/>
      <c r="L8" s="58"/>
      <c r="N8" s="260"/>
    </row>
    <row r="9" spans="1:15" ht="19.95" customHeight="1">
      <c r="A9" s="63"/>
      <c r="B9" s="402"/>
      <c r="C9" s="262"/>
      <c r="D9" s="262"/>
      <c r="E9" s="262"/>
      <c r="F9" s="248">
        <f t="shared" si="0"/>
        <v>0</v>
      </c>
      <c r="G9" s="63"/>
      <c r="H9" s="63"/>
      <c r="I9" s="63"/>
      <c r="J9" s="63"/>
      <c r="K9" s="58"/>
      <c r="L9" s="58"/>
      <c r="N9" s="260"/>
    </row>
    <row r="10" spans="1:15" ht="19.95" customHeight="1">
      <c r="A10" s="63"/>
      <c r="B10" s="402"/>
      <c r="C10" s="262"/>
      <c r="D10" s="262"/>
      <c r="E10" s="262"/>
      <c r="F10" s="248">
        <f t="shared" si="0"/>
        <v>0</v>
      </c>
      <c r="G10" s="63"/>
      <c r="H10" s="63"/>
      <c r="I10" s="63"/>
      <c r="J10" s="63"/>
      <c r="K10" s="58"/>
      <c r="L10" s="58"/>
    </row>
    <row r="11" spans="1:15" ht="19.95" customHeight="1">
      <c r="A11" s="63"/>
      <c r="B11" s="402"/>
      <c r="C11" s="262"/>
      <c r="D11" s="262"/>
      <c r="E11" s="262"/>
      <c r="F11" s="248">
        <f>C11+E11-D11</f>
        <v>0</v>
      </c>
      <c r="G11" s="63"/>
      <c r="H11" s="63"/>
      <c r="I11" s="63"/>
      <c r="J11" s="63"/>
      <c r="K11" s="58"/>
      <c r="L11" s="58"/>
      <c r="N11" s="260"/>
    </row>
    <row r="12" spans="1:15" s="97" customFormat="1" ht="19.95" customHeight="1">
      <c r="A12" s="259" t="s">
        <v>288</v>
      </c>
      <c r="B12" s="259"/>
      <c r="C12" s="254">
        <f t="shared" ref="C12:E12" si="1">SUM(C7:C11)</f>
        <v>0</v>
      </c>
      <c r="D12" s="254">
        <f t="shared" si="1"/>
        <v>0</v>
      </c>
      <c r="E12" s="254">
        <f t="shared" si="1"/>
        <v>0</v>
      </c>
      <c r="F12" s="254">
        <f>SUM(F7:F11)</f>
        <v>0</v>
      </c>
      <c r="G12" s="365"/>
      <c r="H12" s="365"/>
      <c r="I12" s="365"/>
      <c r="J12" s="254">
        <f>SUM(J7:J11)</f>
        <v>0</v>
      </c>
      <c r="K12" s="156"/>
      <c r="L12" s="156"/>
      <c r="N12" s="31"/>
    </row>
    <row r="13" spans="1:15" s="26" customFormat="1" ht="19.95" customHeight="1">
      <c r="A13" s="77" t="s">
        <v>290</v>
      </c>
      <c r="B13" s="77"/>
      <c r="C13" s="98"/>
      <c r="D13" s="98"/>
      <c r="E13" s="98"/>
      <c r="F13" s="98"/>
      <c r="G13" s="98"/>
      <c r="H13" s="98"/>
      <c r="I13" s="98"/>
      <c r="J13" s="98"/>
      <c r="K13" s="98"/>
      <c r="L13" s="98"/>
      <c r="M13" s="98"/>
      <c r="N13" s="260"/>
    </row>
    <row r="14" spans="1:15" ht="19.95" customHeight="1">
      <c r="N14" s="260"/>
    </row>
    <row r="15" spans="1:15" ht="19.95" customHeight="1">
      <c r="A15" s="97" t="s">
        <v>293</v>
      </c>
      <c r="B15" s="97"/>
    </row>
    <row r="16" spans="1:15" ht="19.95" customHeight="1"/>
    <row r="17" spans="1:13" ht="18" customHeight="1">
      <c r="A17" s="98"/>
      <c r="B17" s="399" t="s">
        <v>543</v>
      </c>
      <c r="C17" s="26"/>
      <c r="D17" s="26"/>
      <c r="E17" s="26"/>
      <c r="F17" s="26"/>
      <c r="G17" s="26"/>
      <c r="H17" s="26"/>
      <c r="I17" s="26"/>
      <c r="J17" s="26"/>
      <c r="K17" s="26"/>
      <c r="L17" s="26"/>
      <c r="M17" s="26"/>
    </row>
    <row r="18" spans="1:13" ht="18" customHeight="1">
      <c r="A18" s="98"/>
      <c r="B18" s="260" t="s">
        <v>285</v>
      </c>
      <c r="C18" s="26"/>
      <c r="D18" s="26"/>
      <c r="E18" s="26"/>
      <c r="F18" s="26"/>
      <c r="G18" s="26"/>
      <c r="H18" s="26"/>
      <c r="I18" s="27"/>
      <c r="J18" s="27"/>
      <c r="K18" s="26"/>
      <c r="L18" s="26"/>
      <c r="M18" s="26"/>
    </row>
    <row r="19" spans="1:13" ht="18" customHeight="1">
      <c r="A19" s="98"/>
      <c r="B19" s="260" t="s">
        <v>286</v>
      </c>
      <c r="C19" s="26"/>
      <c r="D19" s="26"/>
      <c r="E19" s="26"/>
      <c r="F19" s="26"/>
      <c r="G19" s="26"/>
      <c r="H19" s="26"/>
      <c r="I19" s="26"/>
      <c r="J19" s="26"/>
      <c r="K19" s="26"/>
      <c r="L19" s="26"/>
      <c r="M19" s="26"/>
    </row>
    <row r="20" spans="1:13" ht="18" customHeight="1">
      <c r="A20" s="263"/>
      <c r="B20" s="260" t="s">
        <v>287</v>
      </c>
      <c r="C20" s="26"/>
      <c r="D20" s="26"/>
      <c r="E20" s="26"/>
      <c r="F20" s="26"/>
      <c r="G20" s="26"/>
      <c r="H20" s="26"/>
      <c r="I20" s="26"/>
      <c r="J20" s="26"/>
      <c r="K20" s="26"/>
      <c r="L20" s="26"/>
      <c r="M20" s="26"/>
    </row>
    <row r="21" spans="1:13" ht="18" customHeight="1">
      <c r="A21" s="264"/>
      <c r="B21" s="105" t="s">
        <v>289</v>
      </c>
      <c r="C21" s="98"/>
      <c r="D21" s="98"/>
      <c r="E21" s="98"/>
      <c r="F21" s="26"/>
      <c r="G21" s="26"/>
      <c r="H21" s="26"/>
      <c r="I21" s="26"/>
      <c r="J21" s="26"/>
      <c r="K21" s="26"/>
      <c r="L21" s="26"/>
      <c r="M21" s="26"/>
    </row>
    <row r="22" spans="1:13" ht="18" customHeight="1">
      <c r="A22" s="264"/>
      <c r="B22" s="260" t="s">
        <v>291</v>
      </c>
      <c r="C22" s="98"/>
      <c r="D22" s="98"/>
      <c r="E22" s="98"/>
      <c r="F22" s="26"/>
      <c r="G22" s="26"/>
      <c r="H22" s="26"/>
      <c r="I22" s="26"/>
      <c r="J22" s="26"/>
      <c r="K22" s="26"/>
      <c r="L22" s="26"/>
      <c r="M22" s="26"/>
    </row>
    <row r="23" spans="1:13" ht="18" customHeight="1">
      <c r="A23" s="264"/>
      <c r="B23" s="27" t="s">
        <v>292</v>
      </c>
      <c r="C23" s="98"/>
      <c r="D23" s="98"/>
      <c r="E23" s="98"/>
      <c r="F23" s="26"/>
      <c r="G23" s="26"/>
      <c r="H23" s="26"/>
      <c r="I23" s="26"/>
      <c r="J23" s="26"/>
      <c r="K23" s="26"/>
      <c r="L23" s="26"/>
      <c r="M23" s="26"/>
    </row>
    <row r="24" spans="1:13" ht="24">
      <c r="B24" s="260" t="s">
        <v>294</v>
      </c>
    </row>
    <row r="25" spans="1:13">
      <c r="B25" s="260" t="s">
        <v>295</v>
      </c>
    </row>
  </sheetData>
  <mergeCells count="2">
    <mergeCell ref="A1:L1"/>
    <mergeCell ref="A2:L2"/>
  </mergeCells>
  <phoneticPr fontId="15" type="noConversion"/>
  <dataValidations count="2">
    <dataValidation type="list" allowBlank="1" showInputMessage="1" showErrorMessage="1" sqref="B8:B11">
      <formula1>$N$7:$N$14</formula1>
    </dataValidation>
    <dataValidation type="list" allowBlank="1" showInputMessage="1" showErrorMessage="1" sqref="B7">
      <formula1>$B$18:$B$25</formula1>
    </dataValidation>
  </dataValidations>
  <hyperlinks>
    <hyperlink ref="L3" location="底稿目录!A1" display="底稿目录!A1"/>
  </hyperlinks>
  <printOptions horizontalCentered="1"/>
  <pageMargins left="0.55118110236220474" right="0.39370078740157483" top="0.51181102362204722" bottom="0.43307086614173229" header="0.31496062992125984" footer="0.31496062992125984"/>
  <pageSetup paperSize="9" scale="70" fitToHeight="10" orientation="landscape" blackAndWhite="1" cellComments="atEnd" r:id="rId1"/>
  <headerFooter>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M104"/>
  <sheetViews>
    <sheetView view="pageBreakPreview" zoomScaleNormal="115" zoomScaleSheetLayoutView="100" workbookViewId="0">
      <selection sqref="A1:K1"/>
    </sheetView>
  </sheetViews>
  <sheetFormatPr defaultColWidth="9" defaultRowHeight="13.8"/>
  <cols>
    <col min="1" max="1" width="5.09765625" style="24" customWidth="1"/>
    <col min="2" max="2" width="11.69921875" style="24" customWidth="1"/>
    <col min="3" max="3" width="9.19921875" style="24" customWidth="1"/>
    <col min="4" max="4" width="9.796875" style="24" customWidth="1"/>
    <col min="5" max="5" width="10.5" style="24" customWidth="1"/>
    <col min="6" max="6" width="10" style="24" customWidth="1"/>
    <col min="7" max="7" width="14.296875" style="24" customWidth="1"/>
    <col min="8" max="8" width="10.796875" style="24" customWidth="1"/>
    <col min="9" max="9" width="11.5" style="24" customWidth="1"/>
    <col min="10" max="10" width="10.5" style="24" customWidth="1"/>
    <col min="11" max="11" width="9.69921875" style="24" customWidth="1"/>
    <col min="12" max="12" width="9" style="24"/>
    <col min="13" max="13" width="55.09765625" style="24" customWidth="1"/>
    <col min="14" max="16384" width="9" style="24"/>
  </cols>
  <sheetData>
    <row r="1" spans="1:13" ht="20.100000000000001" customHeight="1">
      <c r="A1" s="493" t="s">
        <v>25</v>
      </c>
      <c r="B1" s="493"/>
      <c r="C1" s="493"/>
      <c r="D1" s="493"/>
      <c r="E1" s="493"/>
      <c r="F1" s="493"/>
      <c r="G1" s="493"/>
      <c r="H1" s="493"/>
      <c r="I1" s="493"/>
      <c r="J1" s="493"/>
      <c r="K1" s="493"/>
    </row>
    <row r="2" spans="1:13" s="30" customFormat="1" ht="25.05" customHeight="1">
      <c r="A2" s="494" t="s">
        <v>300</v>
      </c>
      <c r="B2" s="494"/>
      <c r="C2" s="494"/>
      <c r="D2" s="494"/>
      <c r="E2" s="494"/>
      <c r="F2" s="494"/>
      <c r="G2" s="494"/>
      <c r="H2" s="494"/>
      <c r="I2" s="494"/>
      <c r="J2" s="494"/>
      <c r="K2" s="494"/>
    </row>
    <row r="3" spans="1:13" ht="20.100000000000001" customHeight="1">
      <c r="A3" s="9" t="str">
        <f>底稿目录!A2</f>
        <v>被审计单位：</v>
      </c>
      <c r="E3" s="9" t="str">
        <f>底稿目录!A4</f>
        <v>编制人：</v>
      </c>
      <c r="G3" s="9" t="str">
        <f>底稿目录!A5</f>
        <v>编制日期：</v>
      </c>
      <c r="J3" s="87" t="s">
        <v>28</v>
      </c>
      <c r="K3" s="394" t="str">
        <f>底稿目录!F19</f>
        <v>F4-7</v>
      </c>
    </row>
    <row r="4" spans="1:13" ht="20.100000000000001" customHeight="1">
      <c r="A4" s="9" t="str">
        <f>底稿目录!A3</f>
        <v>截止日：202X年12月31日</v>
      </c>
      <c r="E4" s="9" t="str">
        <f>底稿目录!A6</f>
        <v>复核人：</v>
      </c>
      <c r="G4" s="9" t="str">
        <f>底稿目录!A7</f>
        <v>复核日期：</v>
      </c>
      <c r="J4" s="87" t="s">
        <v>481</v>
      </c>
    </row>
    <row r="5" spans="1:13" ht="20.100000000000001" customHeight="1">
      <c r="A5" s="77" t="s">
        <v>76</v>
      </c>
      <c r="B5" s="26"/>
      <c r="C5" s="26"/>
      <c r="E5" s="26"/>
      <c r="I5" s="26"/>
      <c r="J5" s="78"/>
      <c r="M5" s="171"/>
    </row>
    <row r="6" spans="1:13" ht="20.100000000000001" customHeight="1">
      <c r="A6" s="27" t="s">
        <v>301</v>
      </c>
      <c r="B6" s="26"/>
      <c r="C6" s="26"/>
      <c r="E6" s="26"/>
      <c r="I6" s="26"/>
      <c r="J6" s="78"/>
    </row>
    <row r="7" spans="1:13" ht="20.100000000000001" customHeight="1">
      <c r="A7" s="77" t="s">
        <v>77</v>
      </c>
      <c r="B7" s="26"/>
      <c r="C7" s="26"/>
      <c r="E7" s="26"/>
      <c r="I7" s="26"/>
      <c r="J7" s="78"/>
      <c r="M7" s="255"/>
    </row>
    <row r="8" spans="1:13" ht="20.100000000000001" customHeight="1">
      <c r="A8" s="265" t="s">
        <v>308</v>
      </c>
      <c r="C8" s="26"/>
      <c r="E8" s="26"/>
      <c r="I8" s="26"/>
      <c r="J8" s="78"/>
    </row>
    <row r="9" spans="1:13" ht="20.100000000000001" customHeight="1">
      <c r="A9" s="265" t="s">
        <v>335</v>
      </c>
      <c r="C9" s="26"/>
      <c r="E9" s="26"/>
      <c r="I9" s="26"/>
      <c r="J9" s="78"/>
    </row>
    <row r="10" spans="1:13" ht="20.100000000000001" customHeight="1">
      <c r="A10" s="265" t="s">
        <v>336</v>
      </c>
      <c r="C10" s="26"/>
      <c r="E10" s="26"/>
      <c r="I10" s="26"/>
      <c r="J10" s="78"/>
    </row>
    <row r="11" spans="1:13" ht="20.100000000000001" customHeight="1">
      <c r="A11" s="265" t="s">
        <v>303</v>
      </c>
      <c r="C11" s="26"/>
      <c r="E11" s="26"/>
      <c r="I11" s="26"/>
      <c r="J11" s="78"/>
    </row>
    <row r="12" spans="1:13" ht="20.100000000000001" customHeight="1">
      <c r="A12" s="265" t="s">
        <v>302</v>
      </c>
      <c r="C12" s="26"/>
      <c r="E12" s="26"/>
      <c r="I12" s="26"/>
      <c r="J12" s="78"/>
    </row>
    <row r="13" spans="1:13" ht="20.100000000000001" customHeight="1">
      <c r="A13" s="169" t="s">
        <v>307</v>
      </c>
    </row>
    <row r="14" spans="1:13" ht="32.4" customHeight="1">
      <c r="A14" s="267" t="s">
        <v>100</v>
      </c>
      <c r="B14" s="267" t="s">
        <v>311</v>
      </c>
      <c r="C14" s="268" t="s">
        <v>266</v>
      </c>
      <c r="D14" s="268" t="s">
        <v>309</v>
      </c>
      <c r="E14" s="268" t="s">
        <v>310</v>
      </c>
      <c r="F14" s="268" t="s">
        <v>3</v>
      </c>
      <c r="G14" s="268" t="s">
        <v>305</v>
      </c>
      <c r="H14" s="267" t="s">
        <v>304</v>
      </c>
      <c r="I14" s="268" t="s">
        <v>312</v>
      </c>
      <c r="J14" s="267" t="s">
        <v>306</v>
      </c>
      <c r="K14" s="267" t="s">
        <v>313</v>
      </c>
    </row>
    <row r="15" spans="1:13" ht="20.100000000000001" customHeight="1">
      <c r="A15" s="266"/>
      <c r="B15" s="366"/>
      <c r="C15" s="236"/>
      <c r="D15" s="236"/>
      <c r="E15" s="236"/>
      <c r="F15" s="238">
        <f>C15+E15-D15</f>
        <v>0</v>
      </c>
      <c r="G15" s="238" t="e">
        <f>365/(E15/F15)</f>
        <v>#DIV/0!</v>
      </c>
      <c r="H15" s="236"/>
      <c r="I15" s="238">
        <f>H15-F15</f>
        <v>0</v>
      </c>
      <c r="J15" s="367"/>
      <c r="K15" s="284"/>
    </row>
    <row r="16" spans="1:13" ht="20.100000000000001" customHeight="1">
      <c r="A16" s="266"/>
      <c r="B16" s="366"/>
      <c r="C16" s="236"/>
      <c r="D16" s="236"/>
      <c r="E16" s="236"/>
      <c r="F16" s="238">
        <f t="shared" ref="F16:F24" si="0">C16+E16-D16</f>
        <v>0</v>
      </c>
      <c r="G16" s="238" t="e">
        <f t="shared" ref="G16:G25" si="1">365/(E16/F16)</f>
        <v>#DIV/0!</v>
      </c>
      <c r="H16" s="236"/>
      <c r="I16" s="238">
        <f t="shared" ref="I16:I24" si="2">H16-F16</f>
        <v>0</v>
      </c>
      <c r="J16" s="367"/>
      <c r="K16" s="284"/>
    </row>
    <row r="17" spans="1:11" ht="20.100000000000001" customHeight="1">
      <c r="A17" s="266"/>
      <c r="B17" s="366"/>
      <c r="C17" s="236"/>
      <c r="D17" s="236"/>
      <c r="E17" s="236"/>
      <c r="F17" s="238">
        <f t="shared" si="0"/>
        <v>0</v>
      </c>
      <c r="G17" s="238" t="e">
        <f t="shared" si="1"/>
        <v>#DIV/0!</v>
      </c>
      <c r="H17" s="236"/>
      <c r="I17" s="238">
        <f t="shared" si="2"/>
        <v>0</v>
      </c>
      <c r="J17" s="367"/>
      <c r="K17" s="284"/>
    </row>
    <row r="18" spans="1:11" ht="20.100000000000001" customHeight="1">
      <c r="A18" s="266"/>
      <c r="B18" s="366"/>
      <c r="C18" s="236"/>
      <c r="D18" s="236"/>
      <c r="E18" s="236"/>
      <c r="F18" s="238">
        <f t="shared" ref="F18:F20" si="3">C18+E18-D18</f>
        <v>0</v>
      </c>
      <c r="G18" s="238" t="e">
        <f t="shared" ref="G18:G20" si="4">365/(E18/F18)</f>
        <v>#DIV/0!</v>
      </c>
      <c r="H18" s="236"/>
      <c r="I18" s="238">
        <f t="shared" ref="I18:I20" si="5">H18-F18</f>
        <v>0</v>
      </c>
      <c r="J18" s="367"/>
      <c r="K18" s="284"/>
    </row>
    <row r="19" spans="1:11" ht="20.100000000000001" customHeight="1">
      <c r="A19" s="266"/>
      <c r="B19" s="366"/>
      <c r="C19" s="236"/>
      <c r="D19" s="236"/>
      <c r="E19" s="236"/>
      <c r="F19" s="238">
        <f t="shared" si="3"/>
        <v>0</v>
      </c>
      <c r="G19" s="238" t="e">
        <f t="shared" si="4"/>
        <v>#DIV/0!</v>
      </c>
      <c r="H19" s="236"/>
      <c r="I19" s="238">
        <f t="shared" si="5"/>
        <v>0</v>
      </c>
      <c r="J19" s="367"/>
      <c r="K19" s="284"/>
    </row>
    <row r="20" spans="1:11" ht="20.100000000000001" customHeight="1">
      <c r="A20" s="266"/>
      <c r="B20" s="366"/>
      <c r="C20" s="236"/>
      <c r="D20" s="236"/>
      <c r="E20" s="236"/>
      <c r="F20" s="238">
        <f t="shared" si="3"/>
        <v>0</v>
      </c>
      <c r="G20" s="238" t="e">
        <f t="shared" si="4"/>
        <v>#DIV/0!</v>
      </c>
      <c r="H20" s="236"/>
      <c r="I20" s="238">
        <f t="shared" si="5"/>
        <v>0</v>
      </c>
      <c r="J20" s="367"/>
      <c r="K20" s="284"/>
    </row>
    <row r="21" spans="1:11" ht="20.100000000000001" customHeight="1">
      <c r="A21" s="266"/>
      <c r="B21" s="366"/>
      <c r="C21" s="236"/>
      <c r="D21" s="236"/>
      <c r="E21" s="236"/>
      <c r="F21" s="238">
        <f t="shared" si="0"/>
        <v>0</v>
      </c>
      <c r="G21" s="238" t="e">
        <f t="shared" si="1"/>
        <v>#DIV/0!</v>
      </c>
      <c r="H21" s="236"/>
      <c r="I21" s="238">
        <f t="shared" si="2"/>
        <v>0</v>
      </c>
      <c r="J21" s="367"/>
      <c r="K21" s="284"/>
    </row>
    <row r="22" spans="1:11" ht="20.100000000000001" customHeight="1">
      <c r="A22" s="266"/>
      <c r="B22" s="366"/>
      <c r="C22" s="236"/>
      <c r="D22" s="236"/>
      <c r="E22" s="236"/>
      <c r="F22" s="238">
        <f t="shared" si="0"/>
        <v>0</v>
      </c>
      <c r="G22" s="238" t="e">
        <f t="shared" si="1"/>
        <v>#DIV/0!</v>
      </c>
      <c r="H22" s="236"/>
      <c r="I22" s="238">
        <f t="shared" si="2"/>
        <v>0</v>
      </c>
      <c r="J22" s="367"/>
      <c r="K22" s="284"/>
    </row>
    <row r="23" spans="1:11" ht="20.100000000000001" customHeight="1">
      <c r="A23" s="266"/>
      <c r="B23" s="366"/>
      <c r="C23" s="236"/>
      <c r="D23" s="236"/>
      <c r="E23" s="236"/>
      <c r="F23" s="238">
        <f t="shared" si="0"/>
        <v>0</v>
      </c>
      <c r="G23" s="238" t="e">
        <f t="shared" si="1"/>
        <v>#DIV/0!</v>
      </c>
      <c r="H23" s="236"/>
      <c r="I23" s="238">
        <f t="shared" si="2"/>
        <v>0</v>
      </c>
      <c r="J23" s="367"/>
      <c r="K23" s="284"/>
    </row>
    <row r="24" spans="1:11" ht="20.100000000000001" customHeight="1">
      <c r="A24" s="266"/>
      <c r="B24" s="366"/>
      <c r="C24" s="236"/>
      <c r="D24" s="236"/>
      <c r="E24" s="236"/>
      <c r="F24" s="238">
        <f t="shared" si="0"/>
        <v>0</v>
      </c>
      <c r="G24" s="238" t="e">
        <f t="shared" si="1"/>
        <v>#DIV/0!</v>
      </c>
      <c r="H24" s="236"/>
      <c r="I24" s="238">
        <f t="shared" si="2"/>
        <v>0</v>
      </c>
      <c r="J24" s="367"/>
      <c r="K24" s="284"/>
    </row>
    <row r="25" spans="1:11" ht="20.100000000000001" customHeight="1">
      <c r="A25" s="483" t="s">
        <v>86</v>
      </c>
      <c r="B25" s="484"/>
      <c r="C25" s="270">
        <f>SUM(C15:C24)</f>
        <v>0</v>
      </c>
      <c r="D25" s="270">
        <f t="shared" ref="D25:F25" si="6">SUM(D15:D24)</f>
        <v>0</v>
      </c>
      <c r="E25" s="270">
        <f t="shared" si="6"/>
        <v>0</v>
      </c>
      <c r="F25" s="270">
        <f t="shared" si="6"/>
        <v>0</v>
      </c>
      <c r="G25" s="270" t="e">
        <f t="shared" si="1"/>
        <v>#DIV/0!</v>
      </c>
      <c r="H25" s="270">
        <f t="shared" ref="H25" si="7">SUM(H15:H24)</f>
        <v>0</v>
      </c>
      <c r="I25" s="270">
        <f>SUM(I15:I24)</f>
        <v>0</v>
      </c>
      <c r="J25" s="270"/>
      <c r="K25" s="270"/>
    </row>
    <row r="26" spans="1:11" ht="20.100000000000001" customHeight="1">
      <c r="A26" s="83" t="s">
        <v>170</v>
      </c>
      <c r="B26" s="32"/>
      <c r="C26" s="32"/>
      <c r="D26" s="32"/>
      <c r="E26" s="32"/>
      <c r="I26" s="32"/>
      <c r="J26" s="32"/>
    </row>
    <row r="27" spans="1:11" ht="20.100000000000001" customHeight="1">
      <c r="A27" s="496" t="s">
        <v>100</v>
      </c>
      <c r="B27" s="291" t="s">
        <v>328</v>
      </c>
      <c r="C27" s="291"/>
      <c r="D27" s="291"/>
      <c r="E27" s="496" t="s">
        <v>322</v>
      </c>
      <c r="F27" s="496" t="s">
        <v>326</v>
      </c>
      <c r="G27" s="497" t="s">
        <v>317</v>
      </c>
      <c r="H27" s="497"/>
      <c r="I27" s="497"/>
      <c r="J27" s="496" t="s">
        <v>320</v>
      </c>
      <c r="K27" s="496" t="s">
        <v>329</v>
      </c>
    </row>
    <row r="28" spans="1:11" ht="20.100000000000001" customHeight="1">
      <c r="A28" s="496"/>
      <c r="B28" s="267" t="s">
        <v>323</v>
      </c>
      <c r="C28" s="267" t="s">
        <v>327</v>
      </c>
      <c r="D28" s="267" t="s">
        <v>325</v>
      </c>
      <c r="E28" s="496"/>
      <c r="F28" s="496"/>
      <c r="G28" s="292" t="s">
        <v>318</v>
      </c>
      <c r="H28" s="292" t="s">
        <v>319</v>
      </c>
      <c r="I28" s="292" t="s">
        <v>145</v>
      </c>
      <c r="J28" s="496"/>
      <c r="K28" s="496"/>
    </row>
    <row r="29" spans="1:11" ht="20.100000000000001" customHeight="1">
      <c r="A29" s="64"/>
      <c r="B29" s="279"/>
      <c r="C29" s="64"/>
      <c r="D29" s="23"/>
      <c r="E29" s="23"/>
      <c r="F29" s="286">
        <f>D29*E29</f>
        <v>0</v>
      </c>
      <c r="G29" s="281"/>
      <c r="H29" s="272"/>
      <c r="I29" s="282"/>
      <c r="J29" s="283"/>
      <c r="K29" s="285"/>
    </row>
    <row r="30" spans="1:11" ht="20.100000000000001" customHeight="1">
      <c r="A30" s="64"/>
      <c r="B30" s="279"/>
      <c r="C30" s="64"/>
      <c r="D30" s="23"/>
      <c r="E30" s="23"/>
      <c r="F30" s="286">
        <f t="shared" ref="F30:F44" si="8">D30*E30</f>
        <v>0</v>
      </c>
      <c r="G30" s="281"/>
      <c r="H30" s="272"/>
      <c r="I30" s="282"/>
      <c r="J30" s="283"/>
      <c r="K30" s="285"/>
    </row>
    <row r="31" spans="1:11" ht="20.100000000000001" customHeight="1">
      <c r="A31" s="64"/>
      <c r="B31" s="279"/>
      <c r="C31" s="64"/>
      <c r="D31" s="23"/>
      <c r="E31" s="23"/>
      <c r="F31" s="286">
        <f t="shared" si="8"/>
        <v>0</v>
      </c>
      <c r="G31" s="281"/>
      <c r="H31" s="272"/>
      <c r="I31" s="282"/>
      <c r="J31" s="283"/>
      <c r="K31" s="285"/>
    </row>
    <row r="32" spans="1:11" ht="20.100000000000001" customHeight="1">
      <c r="A32" s="64"/>
      <c r="B32" s="279"/>
      <c r="C32" s="64"/>
      <c r="D32" s="23"/>
      <c r="E32" s="23"/>
      <c r="F32" s="286">
        <f t="shared" si="8"/>
        <v>0</v>
      </c>
      <c r="G32" s="281"/>
      <c r="H32" s="272"/>
      <c r="I32" s="282"/>
      <c r="J32" s="283"/>
      <c r="K32" s="285"/>
    </row>
    <row r="33" spans="1:11" ht="20.100000000000001" customHeight="1">
      <c r="A33" s="64"/>
      <c r="B33" s="279"/>
      <c r="C33" s="64"/>
      <c r="D33" s="23"/>
      <c r="E33" s="23"/>
      <c r="F33" s="286">
        <f t="shared" si="8"/>
        <v>0</v>
      </c>
      <c r="G33" s="281"/>
      <c r="H33" s="272"/>
      <c r="I33" s="282"/>
      <c r="J33" s="283"/>
      <c r="K33" s="285"/>
    </row>
    <row r="34" spans="1:11" ht="20.100000000000001" customHeight="1">
      <c r="A34" s="64"/>
      <c r="B34" s="279"/>
      <c r="C34" s="64"/>
      <c r="D34" s="23"/>
      <c r="E34" s="23"/>
      <c r="F34" s="286">
        <f t="shared" si="8"/>
        <v>0</v>
      </c>
      <c r="G34" s="281"/>
      <c r="H34" s="272"/>
      <c r="I34" s="282"/>
      <c r="J34" s="283"/>
      <c r="K34" s="285"/>
    </row>
    <row r="35" spans="1:11" ht="20.100000000000001" customHeight="1">
      <c r="A35" s="64"/>
      <c r="B35" s="279"/>
      <c r="C35" s="64"/>
      <c r="D35" s="23"/>
      <c r="E35" s="23"/>
      <c r="F35" s="286">
        <f t="shared" si="8"/>
        <v>0</v>
      </c>
      <c r="G35" s="281"/>
      <c r="H35" s="272"/>
      <c r="I35" s="282"/>
      <c r="J35" s="283"/>
      <c r="K35" s="285"/>
    </row>
    <row r="36" spans="1:11" ht="20.100000000000001" customHeight="1">
      <c r="A36" s="64"/>
      <c r="B36" s="279"/>
      <c r="C36" s="64"/>
      <c r="D36" s="23"/>
      <c r="E36" s="23"/>
      <c r="F36" s="286">
        <f t="shared" si="8"/>
        <v>0</v>
      </c>
      <c r="G36" s="281"/>
      <c r="H36" s="272"/>
      <c r="I36" s="282"/>
      <c r="J36" s="283"/>
      <c r="K36" s="285"/>
    </row>
    <row r="37" spans="1:11" ht="20.100000000000001" customHeight="1">
      <c r="A37" s="64"/>
      <c r="B37" s="279"/>
      <c r="C37" s="64"/>
      <c r="D37" s="23"/>
      <c r="E37" s="23"/>
      <c r="F37" s="286">
        <f t="shared" si="8"/>
        <v>0</v>
      </c>
      <c r="G37" s="281"/>
      <c r="H37" s="272"/>
      <c r="I37" s="282"/>
      <c r="J37" s="283"/>
      <c r="K37" s="285"/>
    </row>
    <row r="38" spans="1:11" ht="20.100000000000001" customHeight="1">
      <c r="A38" s="64"/>
      <c r="B38" s="279"/>
      <c r="C38" s="64"/>
      <c r="D38" s="23"/>
      <c r="E38" s="23"/>
      <c r="F38" s="286">
        <f t="shared" si="8"/>
        <v>0</v>
      </c>
      <c r="G38" s="281"/>
      <c r="H38" s="272"/>
      <c r="I38" s="282"/>
      <c r="J38" s="283"/>
      <c r="K38" s="285"/>
    </row>
    <row r="39" spans="1:11" ht="20.100000000000001" customHeight="1">
      <c r="A39" s="64"/>
      <c r="B39" s="279"/>
      <c r="C39" s="64"/>
      <c r="D39" s="23"/>
      <c r="E39" s="23"/>
      <c r="F39" s="286">
        <f t="shared" si="8"/>
        <v>0</v>
      </c>
      <c r="G39" s="281"/>
      <c r="H39" s="272"/>
      <c r="I39" s="282"/>
      <c r="J39" s="283"/>
      <c r="K39" s="285"/>
    </row>
    <row r="40" spans="1:11" ht="20.100000000000001" customHeight="1">
      <c r="A40" s="64"/>
      <c r="B40" s="279"/>
      <c r="C40" s="64"/>
      <c r="D40" s="23"/>
      <c r="E40" s="23"/>
      <c r="F40" s="286">
        <f t="shared" si="8"/>
        <v>0</v>
      </c>
      <c r="G40" s="281"/>
      <c r="H40" s="272"/>
      <c r="I40" s="282"/>
      <c r="J40" s="283"/>
      <c r="K40" s="285"/>
    </row>
    <row r="41" spans="1:11" ht="20.100000000000001" customHeight="1">
      <c r="A41" s="64"/>
      <c r="B41" s="279"/>
      <c r="C41" s="64"/>
      <c r="D41" s="23"/>
      <c r="E41" s="23"/>
      <c r="F41" s="286">
        <f t="shared" si="8"/>
        <v>0</v>
      </c>
      <c r="G41" s="281"/>
      <c r="H41" s="272"/>
      <c r="I41" s="282"/>
      <c r="J41" s="283"/>
      <c r="K41" s="285"/>
    </row>
    <row r="42" spans="1:11" ht="20.100000000000001" customHeight="1">
      <c r="A42" s="64"/>
      <c r="B42" s="279"/>
      <c r="C42" s="64"/>
      <c r="D42" s="23"/>
      <c r="E42" s="23"/>
      <c r="F42" s="286">
        <f t="shared" si="8"/>
        <v>0</v>
      </c>
      <c r="G42" s="281"/>
      <c r="H42" s="272"/>
      <c r="I42" s="282"/>
      <c r="J42" s="283"/>
      <c r="K42" s="285"/>
    </row>
    <row r="43" spans="1:11" ht="20.100000000000001" customHeight="1">
      <c r="A43" s="64"/>
      <c r="B43" s="279"/>
      <c r="C43" s="64"/>
      <c r="D43" s="23"/>
      <c r="E43" s="23"/>
      <c r="F43" s="286">
        <f t="shared" si="8"/>
        <v>0</v>
      </c>
      <c r="G43" s="281"/>
      <c r="H43" s="272"/>
      <c r="I43" s="282"/>
      <c r="J43" s="283"/>
      <c r="K43" s="285"/>
    </row>
    <row r="44" spans="1:11" ht="20.100000000000001" customHeight="1">
      <c r="A44" s="64"/>
      <c r="B44" s="279"/>
      <c r="C44" s="64"/>
      <c r="D44" s="23"/>
      <c r="E44" s="23"/>
      <c r="F44" s="286">
        <f t="shared" si="8"/>
        <v>0</v>
      </c>
      <c r="G44" s="281"/>
      <c r="H44" s="272"/>
      <c r="I44" s="282"/>
      <c r="J44" s="283"/>
      <c r="K44" s="285"/>
    </row>
    <row r="45" spans="1:11" ht="20.100000000000001" customHeight="1">
      <c r="A45" s="269" t="s">
        <v>86</v>
      </c>
      <c r="B45" s="276"/>
      <c r="C45" s="276"/>
      <c r="D45" s="277"/>
      <c r="E45" s="277"/>
      <c r="F45" s="287">
        <f>SUM(F29:F44)</f>
        <v>0</v>
      </c>
      <c r="G45" s="288"/>
      <c r="H45" s="280"/>
      <c r="I45" s="287">
        <f>SUM(I29:I44)</f>
        <v>0</v>
      </c>
      <c r="J45" s="289"/>
      <c r="K45" s="295"/>
    </row>
    <row r="46" spans="1:11" ht="20.100000000000001" customHeight="1">
      <c r="A46" s="169" t="s">
        <v>372</v>
      </c>
    </row>
    <row r="47" spans="1:11" ht="20.100000000000001" customHeight="1">
      <c r="A47" s="485" t="s">
        <v>78</v>
      </c>
      <c r="B47" s="79" t="s">
        <v>79</v>
      </c>
      <c r="C47" s="80"/>
      <c r="D47" s="81"/>
      <c r="E47" s="495" t="s">
        <v>314</v>
      </c>
      <c r="F47" s="495" t="s">
        <v>315</v>
      </c>
      <c r="G47" s="485" t="s">
        <v>80</v>
      </c>
      <c r="H47" s="490" t="s">
        <v>316</v>
      </c>
      <c r="I47" s="492" t="s">
        <v>81</v>
      </c>
      <c r="J47" s="485" t="s">
        <v>82</v>
      </c>
      <c r="K47" s="487"/>
    </row>
    <row r="48" spans="1:11" ht="20.100000000000001" customHeight="1">
      <c r="A48" s="486"/>
      <c r="B48" s="82" t="s">
        <v>83</v>
      </c>
      <c r="C48" s="82" t="s">
        <v>84</v>
      </c>
      <c r="D48" s="82" t="s">
        <v>85</v>
      </c>
      <c r="E48" s="486"/>
      <c r="F48" s="486"/>
      <c r="G48" s="486"/>
      <c r="H48" s="491"/>
      <c r="I48" s="491"/>
      <c r="J48" s="486"/>
      <c r="K48" s="487"/>
    </row>
    <row r="49" spans="1:11" ht="20.100000000000001" customHeight="1">
      <c r="A49" s="64"/>
      <c r="B49" s="279"/>
      <c r="C49" s="64"/>
      <c r="D49" s="23"/>
      <c r="E49" s="368"/>
      <c r="F49" s="272"/>
      <c r="G49" s="369"/>
      <c r="H49" s="283"/>
      <c r="I49" s="275"/>
      <c r="J49" s="285"/>
      <c r="K49" s="273"/>
    </row>
    <row r="50" spans="1:11" ht="20.100000000000001" customHeight="1">
      <c r="A50" s="64"/>
      <c r="B50" s="279"/>
      <c r="C50" s="64"/>
      <c r="D50" s="23"/>
      <c r="E50" s="368"/>
      <c r="F50" s="272"/>
      <c r="G50" s="369"/>
      <c r="H50" s="283"/>
      <c r="I50" s="275"/>
      <c r="J50" s="285"/>
      <c r="K50" s="273"/>
    </row>
    <row r="51" spans="1:11" ht="20.100000000000001" customHeight="1">
      <c r="A51" s="64"/>
      <c r="B51" s="279"/>
      <c r="C51" s="64"/>
      <c r="D51" s="23"/>
      <c r="E51" s="368"/>
      <c r="F51" s="272"/>
      <c r="G51" s="369"/>
      <c r="H51" s="283"/>
      <c r="I51" s="275"/>
      <c r="J51" s="285"/>
      <c r="K51" s="273"/>
    </row>
    <row r="52" spans="1:11" ht="20.100000000000001" customHeight="1">
      <c r="A52" s="64"/>
      <c r="B52" s="279"/>
      <c r="C52" s="64"/>
      <c r="D52" s="23"/>
      <c r="E52" s="368"/>
      <c r="F52" s="272"/>
      <c r="G52" s="369"/>
      <c r="H52" s="283"/>
      <c r="I52" s="275"/>
      <c r="J52" s="285"/>
      <c r="K52" s="273"/>
    </row>
    <row r="53" spans="1:11" ht="20.100000000000001" customHeight="1">
      <c r="A53" s="64"/>
      <c r="B53" s="279"/>
      <c r="C53" s="64"/>
      <c r="D53" s="23"/>
      <c r="E53" s="368"/>
      <c r="F53" s="272"/>
      <c r="G53" s="369"/>
      <c r="H53" s="283"/>
      <c r="I53" s="275"/>
      <c r="J53" s="285"/>
      <c r="K53" s="273"/>
    </row>
    <row r="54" spans="1:11" ht="20.100000000000001" customHeight="1">
      <c r="A54" s="64"/>
      <c r="B54" s="279"/>
      <c r="C54" s="64"/>
      <c r="D54" s="23"/>
      <c r="E54" s="368"/>
      <c r="F54" s="272"/>
      <c r="G54" s="369"/>
      <c r="H54" s="283"/>
      <c r="I54" s="275"/>
      <c r="J54" s="285"/>
      <c r="K54" s="273"/>
    </row>
    <row r="55" spans="1:11" ht="20.100000000000001" customHeight="1">
      <c r="A55" s="64"/>
      <c r="B55" s="279"/>
      <c r="C55" s="64"/>
      <c r="D55" s="23"/>
      <c r="E55" s="368"/>
      <c r="F55" s="272"/>
      <c r="G55" s="369"/>
      <c r="H55" s="283"/>
      <c r="I55" s="275"/>
      <c r="J55" s="285"/>
      <c r="K55" s="273"/>
    </row>
    <row r="56" spans="1:11" ht="20.100000000000001" customHeight="1">
      <c r="A56" s="64"/>
      <c r="B56" s="279"/>
      <c r="C56" s="64"/>
      <c r="D56" s="23"/>
      <c r="E56" s="368"/>
      <c r="F56" s="272"/>
      <c r="G56" s="369"/>
      <c r="H56" s="283"/>
      <c r="I56" s="275"/>
      <c r="J56" s="285"/>
      <c r="K56" s="273"/>
    </row>
    <row r="57" spans="1:11" ht="20.100000000000001" customHeight="1">
      <c r="A57" s="64"/>
      <c r="B57" s="279"/>
      <c r="C57" s="64"/>
      <c r="D57" s="23"/>
      <c r="E57" s="368"/>
      <c r="F57" s="272"/>
      <c r="G57" s="369"/>
      <c r="H57" s="283"/>
      <c r="I57" s="275"/>
      <c r="J57" s="285"/>
      <c r="K57" s="273"/>
    </row>
    <row r="58" spans="1:11" ht="20.100000000000001" customHeight="1">
      <c r="A58" s="64"/>
      <c r="B58" s="279"/>
      <c r="C58" s="64"/>
      <c r="D58" s="23"/>
      <c r="E58" s="368"/>
      <c r="F58" s="272"/>
      <c r="G58" s="369"/>
      <c r="H58" s="283"/>
      <c r="I58" s="275"/>
      <c r="J58" s="285"/>
      <c r="K58" s="273"/>
    </row>
    <row r="59" spans="1:11" ht="20.100000000000001" customHeight="1">
      <c r="A59" s="64"/>
      <c r="B59" s="279"/>
      <c r="C59" s="64"/>
      <c r="D59" s="23"/>
      <c r="E59" s="368"/>
      <c r="F59" s="272"/>
      <c r="G59" s="369"/>
      <c r="H59" s="283"/>
      <c r="I59" s="275"/>
      <c r="J59" s="285"/>
      <c r="K59" s="273"/>
    </row>
    <row r="60" spans="1:11" ht="20.100000000000001" customHeight="1">
      <c r="A60" s="269" t="s">
        <v>86</v>
      </c>
      <c r="B60" s="276"/>
      <c r="C60" s="276"/>
      <c r="D60" s="277"/>
      <c r="E60" s="277"/>
      <c r="F60" s="278">
        <f>SUM(F49:F59)</f>
        <v>0</v>
      </c>
      <c r="G60" s="278"/>
      <c r="H60" s="238"/>
      <c r="I60" s="270">
        <f>SUM(I49:I59)</f>
        <v>0</v>
      </c>
      <c r="J60" s="278"/>
      <c r="K60" s="274"/>
    </row>
    <row r="61" spans="1:11" ht="20.100000000000001" customHeight="1">
      <c r="A61" s="170" t="s">
        <v>373</v>
      </c>
    </row>
    <row r="62" spans="1:11" ht="20.100000000000001" customHeight="1">
      <c r="A62" s="485" t="s">
        <v>78</v>
      </c>
      <c r="B62" s="293" t="s">
        <v>332</v>
      </c>
      <c r="C62" s="80"/>
      <c r="D62" s="290" t="s">
        <v>330</v>
      </c>
      <c r="E62" s="84"/>
      <c r="F62" s="485" t="s">
        <v>87</v>
      </c>
      <c r="G62" s="485" t="s">
        <v>80</v>
      </c>
      <c r="H62" s="490" t="s">
        <v>316</v>
      </c>
      <c r="I62" s="492" t="s">
        <v>81</v>
      </c>
      <c r="J62" s="485" t="s">
        <v>88</v>
      </c>
      <c r="K62" s="487"/>
    </row>
    <row r="63" spans="1:11" ht="20.100000000000001" customHeight="1">
      <c r="A63" s="486"/>
      <c r="B63" s="82" t="s">
        <v>83</v>
      </c>
      <c r="C63" s="82" t="s">
        <v>84</v>
      </c>
      <c r="D63" s="82" t="s">
        <v>83</v>
      </c>
      <c r="E63" s="82" t="s">
        <v>84</v>
      </c>
      <c r="F63" s="486"/>
      <c r="G63" s="486"/>
      <c r="H63" s="491"/>
      <c r="I63" s="491"/>
      <c r="J63" s="486"/>
      <c r="K63" s="487"/>
    </row>
    <row r="64" spans="1:11" ht="20.100000000000001" customHeight="1">
      <c r="A64" s="64"/>
      <c r="B64" s="279"/>
      <c r="C64" s="64"/>
      <c r="D64" s="300"/>
      <c r="E64" s="301"/>
      <c r="F64" s="272"/>
      <c r="G64" s="369"/>
      <c r="H64" s="283"/>
      <c r="I64" s="275"/>
      <c r="J64" s="370"/>
      <c r="K64" s="296"/>
    </row>
    <row r="65" spans="1:11" ht="20.100000000000001" customHeight="1">
      <c r="A65" s="64"/>
      <c r="B65" s="279"/>
      <c r="C65" s="64"/>
      <c r="D65" s="300"/>
      <c r="E65" s="301"/>
      <c r="F65" s="272"/>
      <c r="G65" s="369"/>
      <c r="H65" s="283"/>
      <c r="I65" s="275"/>
      <c r="J65" s="370"/>
      <c r="K65" s="345"/>
    </row>
    <row r="66" spans="1:11" ht="20.100000000000001" customHeight="1">
      <c r="A66" s="64"/>
      <c r="B66" s="279"/>
      <c r="C66" s="64"/>
      <c r="D66" s="300"/>
      <c r="E66" s="301"/>
      <c r="F66" s="272"/>
      <c r="G66" s="369"/>
      <c r="H66" s="283"/>
      <c r="I66" s="275"/>
      <c r="J66" s="370"/>
      <c r="K66" s="410"/>
    </row>
    <row r="67" spans="1:11" ht="20.100000000000001" customHeight="1">
      <c r="A67" s="64"/>
      <c r="B67" s="279"/>
      <c r="C67" s="64"/>
      <c r="D67" s="300"/>
      <c r="E67" s="301"/>
      <c r="F67" s="272"/>
      <c r="G67" s="369"/>
      <c r="H67" s="283"/>
      <c r="I67" s="275"/>
      <c r="J67" s="370"/>
      <c r="K67" s="410"/>
    </row>
    <row r="68" spans="1:11" ht="20.100000000000001" customHeight="1">
      <c r="A68" s="64"/>
      <c r="B68" s="279"/>
      <c r="C68" s="64"/>
      <c r="D68" s="300"/>
      <c r="E68" s="301"/>
      <c r="F68" s="272"/>
      <c r="G68" s="369"/>
      <c r="H68" s="283"/>
      <c r="I68" s="275"/>
      <c r="J68" s="370"/>
      <c r="K68" s="410"/>
    </row>
    <row r="69" spans="1:11" ht="20.100000000000001" customHeight="1">
      <c r="A69" s="64"/>
      <c r="B69" s="279"/>
      <c r="C69" s="64"/>
      <c r="D69" s="300"/>
      <c r="E69" s="301"/>
      <c r="F69" s="272"/>
      <c r="G69" s="369"/>
      <c r="H69" s="283"/>
      <c r="I69" s="275"/>
      <c r="J69" s="370"/>
      <c r="K69" s="410"/>
    </row>
    <row r="70" spans="1:11" ht="20.100000000000001" customHeight="1">
      <c r="A70" s="64"/>
      <c r="B70" s="279"/>
      <c r="C70" s="64"/>
      <c r="D70" s="300"/>
      <c r="E70" s="301"/>
      <c r="F70" s="272"/>
      <c r="G70" s="369"/>
      <c r="H70" s="283"/>
      <c r="I70" s="275"/>
      <c r="J70" s="370"/>
      <c r="K70" s="410"/>
    </row>
    <row r="71" spans="1:11" ht="20.100000000000001" customHeight="1">
      <c r="A71" s="64"/>
      <c r="B71" s="279"/>
      <c r="C71" s="64"/>
      <c r="D71" s="300"/>
      <c r="E71" s="301"/>
      <c r="F71" s="272"/>
      <c r="G71" s="369"/>
      <c r="H71" s="283"/>
      <c r="I71" s="275"/>
      <c r="J71" s="370"/>
      <c r="K71" s="345"/>
    </row>
    <row r="72" spans="1:11" ht="20.100000000000001" customHeight="1">
      <c r="A72" s="64"/>
      <c r="B72" s="279"/>
      <c r="C72" s="64"/>
      <c r="D72" s="300"/>
      <c r="E72" s="301"/>
      <c r="F72" s="272"/>
      <c r="G72" s="369"/>
      <c r="H72" s="283"/>
      <c r="I72" s="275"/>
      <c r="J72" s="370"/>
      <c r="K72" s="345"/>
    </row>
    <row r="73" spans="1:11" ht="20.100000000000001" customHeight="1">
      <c r="A73" s="64"/>
      <c r="B73" s="279"/>
      <c r="C73" s="64"/>
      <c r="D73" s="300"/>
      <c r="E73" s="301"/>
      <c r="F73" s="272"/>
      <c r="G73" s="369"/>
      <c r="H73" s="283"/>
      <c r="I73" s="275"/>
      <c r="J73" s="370"/>
      <c r="K73" s="345"/>
    </row>
    <row r="74" spans="1:11" ht="20.100000000000001" customHeight="1">
      <c r="A74" s="64"/>
      <c r="B74" s="279"/>
      <c r="C74" s="64"/>
      <c r="D74" s="300"/>
      <c r="E74" s="301"/>
      <c r="F74" s="272"/>
      <c r="G74" s="369"/>
      <c r="H74" s="283"/>
      <c r="I74" s="275"/>
      <c r="J74" s="370"/>
      <c r="K74" s="345"/>
    </row>
    <row r="75" spans="1:11" ht="20.100000000000001" customHeight="1">
      <c r="A75" s="64"/>
      <c r="B75" s="279"/>
      <c r="C75" s="64"/>
      <c r="D75" s="300"/>
      <c r="E75" s="301"/>
      <c r="F75" s="272"/>
      <c r="G75" s="369"/>
      <c r="H75" s="283"/>
      <c r="I75" s="275"/>
      <c r="J75" s="370"/>
      <c r="K75" s="345"/>
    </row>
    <row r="76" spans="1:11" ht="20.100000000000001" customHeight="1">
      <c r="A76" s="269" t="s">
        <v>86</v>
      </c>
      <c r="B76" s="276"/>
      <c r="C76" s="276"/>
      <c r="D76" s="277"/>
      <c r="E76" s="277"/>
      <c r="F76" s="278">
        <f>SUM(F64:F75)</f>
        <v>0</v>
      </c>
      <c r="G76" s="278"/>
      <c r="H76" s="294"/>
      <c r="I76" s="278">
        <f>SUM(I64:I75)</f>
        <v>0</v>
      </c>
      <c r="J76" s="276"/>
      <c r="K76" s="297"/>
    </row>
    <row r="77" spans="1:11" ht="20.100000000000001" customHeight="1">
      <c r="A77" s="170" t="s">
        <v>374</v>
      </c>
    </row>
    <row r="78" spans="1:11" ht="20.100000000000001" customHeight="1">
      <c r="A78" s="488" t="s">
        <v>100</v>
      </c>
      <c r="B78" s="298" t="s">
        <v>331</v>
      </c>
      <c r="C78" s="299"/>
      <c r="D78" s="291" t="s">
        <v>333</v>
      </c>
      <c r="E78" s="291"/>
      <c r="F78" s="488" t="s">
        <v>334</v>
      </c>
      <c r="G78" s="488" t="s">
        <v>311</v>
      </c>
      <c r="H78" s="490" t="s">
        <v>316</v>
      </c>
      <c r="I78" s="492" t="s">
        <v>81</v>
      </c>
      <c r="J78" s="485" t="s">
        <v>88</v>
      </c>
      <c r="K78" s="487"/>
    </row>
    <row r="79" spans="1:11" ht="20.100000000000001" customHeight="1">
      <c r="A79" s="489"/>
      <c r="B79" s="267" t="s">
        <v>323</v>
      </c>
      <c r="C79" s="267" t="s">
        <v>324</v>
      </c>
      <c r="D79" s="267" t="s">
        <v>321</v>
      </c>
      <c r="E79" s="267" t="s">
        <v>324</v>
      </c>
      <c r="F79" s="489"/>
      <c r="G79" s="489"/>
      <c r="H79" s="491"/>
      <c r="I79" s="491"/>
      <c r="J79" s="486"/>
      <c r="K79" s="487"/>
    </row>
    <row r="80" spans="1:11" ht="20.100000000000001" customHeight="1">
      <c r="A80" s="64"/>
      <c r="B80" s="279"/>
      <c r="C80" s="64"/>
      <c r="D80" s="300"/>
      <c r="E80" s="301"/>
      <c r="F80" s="272"/>
      <c r="G80" s="369"/>
      <c r="H80" s="283"/>
      <c r="I80" s="275"/>
      <c r="J80" s="370"/>
      <c r="K80" s="296"/>
    </row>
    <row r="81" spans="1:11" ht="20.100000000000001" customHeight="1">
      <c r="A81" s="64"/>
      <c r="B81" s="279"/>
      <c r="C81" s="64"/>
      <c r="D81" s="300"/>
      <c r="E81" s="301"/>
      <c r="F81" s="272"/>
      <c r="G81" s="369"/>
      <c r="H81" s="283"/>
      <c r="I81" s="275"/>
      <c r="J81" s="370"/>
      <c r="K81" s="345"/>
    </row>
    <row r="82" spans="1:11" ht="20.100000000000001" customHeight="1">
      <c r="A82" s="64"/>
      <c r="B82" s="279"/>
      <c r="C82" s="64"/>
      <c r="D82" s="300"/>
      <c r="E82" s="301"/>
      <c r="F82" s="272"/>
      <c r="G82" s="369"/>
      <c r="H82" s="283"/>
      <c r="I82" s="275"/>
      <c r="J82" s="370"/>
      <c r="K82" s="410"/>
    </row>
    <row r="83" spans="1:11" ht="20.100000000000001" customHeight="1">
      <c r="A83" s="64"/>
      <c r="B83" s="279"/>
      <c r="C83" s="64"/>
      <c r="D83" s="300"/>
      <c r="E83" s="301"/>
      <c r="F83" s="272"/>
      <c r="G83" s="369"/>
      <c r="H83" s="283"/>
      <c r="I83" s="275"/>
      <c r="J83" s="370"/>
      <c r="K83" s="410"/>
    </row>
    <row r="84" spans="1:11" ht="20.100000000000001" customHeight="1">
      <c r="A84" s="64"/>
      <c r="B84" s="279"/>
      <c r="C84" s="64"/>
      <c r="D84" s="300"/>
      <c r="E84" s="301"/>
      <c r="F84" s="272"/>
      <c r="G84" s="369"/>
      <c r="H84" s="283"/>
      <c r="I84" s="275"/>
      <c r="J84" s="370"/>
      <c r="K84" s="410"/>
    </row>
    <row r="85" spans="1:11" ht="20.100000000000001" customHeight="1">
      <c r="A85" s="64"/>
      <c r="B85" s="279"/>
      <c r="C85" s="64"/>
      <c r="D85" s="300"/>
      <c r="E85" s="301"/>
      <c r="F85" s="272"/>
      <c r="G85" s="369"/>
      <c r="H85" s="283"/>
      <c r="I85" s="275"/>
      <c r="J85" s="370"/>
      <c r="K85" s="410"/>
    </row>
    <row r="86" spans="1:11" ht="20.100000000000001" customHeight="1">
      <c r="A86" s="64"/>
      <c r="B86" s="279"/>
      <c r="C86" s="64"/>
      <c r="D86" s="300"/>
      <c r="E86" s="301"/>
      <c r="F86" s="272"/>
      <c r="G86" s="369"/>
      <c r="H86" s="283"/>
      <c r="I86" s="275"/>
      <c r="J86" s="370"/>
      <c r="K86" s="410"/>
    </row>
    <row r="87" spans="1:11" ht="20.100000000000001" customHeight="1">
      <c r="A87" s="64"/>
      <c r="B87" s="279"/>
      <c r="C87" s="64"/>
      <c r="D87" s="300"/>
      <c r="E87" s="301"/>
      <c r="F87" s="272"/>
      <c r="G87" s="369"/>
      <c r="H87" s="283"/>
      <c r="I87" s="275"/>
      <c r="J87" s="370"/>
      <c r="K87" s="345"/>
    </row>
    <row r="88" spans="1:11" ht="20.100000000000001" customHeight="1">
      <c r="A88" s="64"/>
      <c r="B88" s="279"/>
      <c r="C88" s="64"/>
      <c r="D88" s="300"/>
      <c r="E88" s="301"/>
      <c r="F88" s="272"/>
      <c r="G88" s="369"/>
      <c r="H88" s="283"/>
      <c r="I88" s="275"/>
      <c r="J88" s="370"/>
      <c r="K88" s="345"/>
    </row>
    <row r="89" spans="1:11" ht="20.100000000000001" customHeight="1">
      <c r="A89" s="64"/>
      <c r="B89" s="279"/>
      <c r="C89" s="64"/>
      <c r="D89" s="300"/>
      <c r="E89" s="301"/>
      <c r="F89" s="272"/>
      <c r="G89" s="369"/>
      <c r="H89" s="283"/>
      <c r="I89" s="275"/>
      <c r="J89" s="370"/>
      <c r="K89" s="345"/>
    </row>
    <row r="90" spans="1:11" ht="20.100000000000001" customHeight="1">
      <c r="A90" s="64"/>
      <c r="B90" s="279"/>
      <c r="C90" s="64"/>
      <c r="D90" s="300"/>
      <c r="E90" s="301"/>
      <c r="F90" s="272"/>
      <c r="G90" s="369"/>
      <c r="H90" s="283"/>
      <c r="I90" s="275"/>
      <c r="J90" s="370"/>
      <c r="K90" s="345"/>
    </row>
    <row r="91" spans="1:11" ht="20.100000000000001" customHeight="1">
      <c r="A91" s="64"/>
      <c r="B91" s="279"/>
      <c r="C91" s="64"/>
      <c r="D91" s="300"/>
      <c r="E91" s="301"/>
      <c r="F91" s="272"/>
      <c r="G91" s="369"/>
      <c r="H91" s="283"/>
      <c r="I91" s="275"/>
      <c r="J91" s="370"/>
      <c r="K91" s="345"/>
    </row>
    <row r="92" spans="1:11" ht="20.100000000000001" customHeight="1">
      <c r="A92" s="269" t="s">
        <v>86</v>
      </c>
      <c r="B92" s="276"/>
      <c r="C92" s="276"/>
      <c r="D92" s="277"/>
      <c r="E92" s="277"/>
      <c r="F92" s="278">
        <f>SUM(F80:F91)</f>
        <v>0</v>
      </c>
      <c r="G92" s="278"/>
      <c r="H92" s="278"/>
      <c r="I92" s="278">
        <f>SUM(I80:I91)</f>
        <v>0</v>
      </c>
      <c r="J92" s="276"/>
      <c r="K92" s="274"/>
    </row>
    <row r="93" spans="1:11" ht="20.100000000000001" customHeight="1">
      <c r="A93" s="100" t="s">
        <v>74</v>
      </c>
      <c r="B93" s="28"/>
      <c r="C93" s="28"/>
      <c r="D93" s="28"/>
      <c r="E93" s="28"/>
      <c r="F93" s="28"/>
      <c r="G93" s="28"/>
      <c r="H93" s="28"/>
      <c r="I93" s="28"/>
      <c r="J93" s="28"/>
      <c r="K93" s="26"/>
    </row>
    <row r="94" spans="1:11" ht="20.100000000000001" customHeight="1">
      <c r="A94" s="26"/>
      <c r="B94" s="26"/>
      <c r="C94" s="26"/>
      <c r="D94" s="26"/>
      <c r="E94" s="26"/>
      <c r="F94" s="26"/>
      <c r="G94" s="26"/>
      <c r="H94" s="26"/>
      <c r="I94" s="26"/>
      <c r="J94" s="26"/>
      <c r="K94" s="26"/>
    </row>
    <row r="95" spans="1:11" ht="20.100000000000001" customHeight="1">
      <c r="A95" s="26"/>
      <c r="B95" s="26"/>
      <c r="C95" s="26"/>
      <c r="D95" s="26"/>
      <c r="E95" s="26"/>
      <c r="F95" s="26"/>
      <c r="G95" s="26"/>
      <c r="H95" s="26"/>
      <c r="I95" s="26"/>
      <c r="J95" s="26"/>
      <c r="K95" s="26"/>
    </row>
    <row r="96" spans="1:11" ht="20.100000000000001" customHeight="1">
      <c r="A96" s="77" t="s">
        <v>75</v>
      </c>
      <c r="B96" s="26"/>
      <c r="C96" s="26"/>
      <c r="D96" s="26"/>
      <c r="E96" s="26"/>
      <c r="F96" s="26"/>
      <c r="G96" s="26"/>
      <c r="H96" s="26"/>
      <c r="I96" s="26"/>
      <c r="J96" s="26"/>
      <c r="K96" s="26"/>
    </row>
    <row r="97" spans="1:11" ht="20.100000000000001" customHeight="1">
      <c r="A97" s="26"/>
      <c r="B97" s="26"/>
      <c r="C97" s="26"/>
      <c r="D97" s="26"/>
      <c r="E97" s="26"/>
      <c r="F97" s="26"/>
      <c r="G97" s="26"/>
      <c r="H97" s="26"/>
      <c r="I97" s="26"/>
      <c r="J97" s="26"/>
      <c r="K97" s="26"/>
    </row>
    <row r="98" spans="1:11" ht="20.100000000000001" customHeight="1">
      <c r="A98" s="26"/>
      <c r="B98" s="26"/>
      <c r="C98" s="26"/>
      <c r="D98" s="26"/>
      <c r="E98" s="26"/>
      <c r="F98" s="26"/>
      <c r="G98" s="26"/>
      <c r="H98" s="26"/>
      <c r="I98" s="26"/>
      <c r="J98" s="26"/>
      <c r="K98" s="26"/>
    </row>
    <row r="99" spans="1:11" ht="15" customHeight="1">
      <c r="A99" s="371" t="s">
        <v>115</v>
      </c>
    </row>
    <row r="100" spans="1:11" ht="15" customHeight="1">
      <c r="A100" s="29" t="s">
        <v>89</v>
      </c>
    </row>
    <row r="101" spans="1:11" ht="15" customHeight="1">
      <c r="A101" s="29" t="s">
        <v>338</v>
      </c>
    </row>
    <row r="102" spans="1:11" ht="15" customHeight="1"/>
    <row r="103" spans="1:11" ht="15" customHeight="1"/>
    <row r="104" spans="1:11" ht="15" customHeight="1"/>
  </sheetData>
  <mergeCells count="31">
    <mergeCell ref="A1:K1"/>
    <mergeCell ref="A2:K2"/>
    <mergeCell ref="A47:A48"/>
    <mergeCell ref="E47:E48"/>
    <mergeCell ref="F47:F48"/>
    <mergeCell ref="I47:I48"/>
    <mergeCell ref="J47:J48"/>
    <mergeCell ref="K47:K48"/>
    <mergeCell ref="A27:A28"/>
    <mergeCell ref="E27:E28"/>
    <mergeCell ref="F27:F28"/>
    <mergeCell ref="J27:J28"/>
    <mergeCell ref="K27:K28"/>
    <mergeCell ref="G47:G48"/>
    <mergeCell ref="H47:H48"/>
    <mergeCell ref="G27:I27"/>
    <mergeCell ref="A25:B25"/>
    <mergeCell ref="J78:J79"/>
    <mergeCell ref="K78:K79"/>
    <mergeCell ref="G78:G79"/>
    <mergeCell ref="H78:H79"/>
    <mergeCell ref="A62:A63"/>
    <mergeCell ref="F62:F63"/>
    <mergeCell ref="I62:I63"/>
    <mergeCell ref="A78:A79"/>
    <mergeCell ref="F78:F79"/>
    <mergeCell ref="I78:I79"/>
    <mergeCell ref="J62:J63"/>
    <mergeCell ref="K62:K63"/>
    <mergeCell ref="G62:G63"/>
    <mergeCell ref="H62:H63"/>
  </mergeCells>
  <phoneticPr fontId="15" type="noConversion"/>
  <dataValidations count="1">
    <dataValidation type="list" allowBlank="1" showInputMessage="1" showErrorMessage="1" sqref="J15:J24 H49:H59 J29:J44 H64:H75 H80:H91">
      <formula1>"是,否"</formula1>
    </dataValidation>
  </dataValidations>
  <hyperlinks>
    <hyperlink ref="K3" location="底稿目录!A1" display="F4-7"/>
  </hyperlinks>
  <printOptions horizontalCentered="1"/>
  <pageMargins left="0.70866141732283472" right="0.70866141732283472" top="0.74803149606299213" bottom="0.74803149606299213" header="0.31496062992125984" footer="0.31496062992125984"/>
  <pageSetup paperSize="9" scale="70" fitToHeight="10" orientation="portrait" blackAndWhite="1" r:id="rId1"/>
  <headerFooter scaleWithDoc="0" alignWithMargins="0">
    <oddFooter>&amp;C&amp;P/&amp;N</oddFooter>
  </headerFooter>
  <rowBreaks count="1" manualBreakCount="1">
    <brk id="45" max="10"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R73"/>
  <sheetViews>
    <sheetView view="pageBreakPreview" zoomScale="98" zoomScaleNormal="100" zoomScaleSheetLayoutView="98" workbookViewId="0">
      <selection activeCell="Q3" sqref="Q3"/>
    </sheetView>
  </sheetViews>
  <sheetFormatPr defaultRowHeight="15.6"/>
  <cols>
    <col min="1" max="1" width="11.09765625" style="302" customWidth="1"/>
    <col min="2" max="6" width="8.796875" style="302"/>
    <col min="7" max="7" width="9.8984375" style="302" customWidth="1"/>
    <col min="8" max="8" width="10.59765625" style="302" customWidth="1"/>
    <col min="9" max="9" width="8.69921875" style="302" customWidth="1"/>
    <col min="10" max="10" width="8.796875" style="302"/>
    <col min="11" max="11" width="10.5" style="302" customWidth="1"/>
    <col min="12" max="12" width="8.796875" style="302"/>
    <col min="13" max="13" width="14.796875" style="302" customWidth="1"/>
    <col min="14" max="14" width="10.69921875" style="302" customWidth="1"/>
    <col min="15" max="16384" width="8.796875" style="302"/>
  </cols>
  <sheetData>
    <row r="1" spans="1:18" ht="19.95" customHeight="1">
      <c r="A1" s="456" t="s">
        <v>25</v>
      </c>
      <c r="B1" s="456"/>
      <c r="C1" s="456"/>
      <c r="D1" s="456"/>
      <c r="E1" s="456"/>
      <c r="F1" s="456"/>
      <c r="G1" s="456"/>
      <c r="H1" s="456"/>
      <c r="I1" s="456"/>
      <c r="J1" s="456"/>
      <c r="K1" s="456"/>
      <c r="L1" s="456"/>
      <c r="M1" s="456"/>
      <c r="N1" s="456"/>
      <c r="O1" s="456"/>
      <c r="P1" s="456"/>
      <c r="Q1" s="456"/>
    </row>
    <row r="2" spans="1:18" ht="19.95" customHeight="1">
      <c r="A2" s="457" t="s">
        <v>367</v>
      </c>
      <c r="B2" s="457"/>
      <c r="C2" s="457"/>
      <c r="D2" s="457"/>
      <c r="E2" s="457"/>
      <c r="F2" s="457"/>
      <c r="G2" s="457"/>
      <c r="H2" s="457"/>
      <c r="I2" s="457"/>
      <c r="J2" s="457"/>
      <c r="K2" s="457"/>
      <c r="L2" s="457"/>
      <c r="M2" s="457"/>
      <c r="N2" s="457"/>
      <c r="O2" s="457"/>
      <c r="P2" s="457"/>
      <c r="Q2" s="457"/>
      <c r="R2" s="256"/>
    </row>
    <row r="3" spans="1:18" ht="19.95" customHeight="1">
      <c r="A3" s="26" t="str">
        <f>底稿目录!A2</f>
        <v>被审计单位：</v>
      </c>
      <c r="B3" s="26"/>
      <c r="C3" s="26"/>
      <c r="D3" s="26"/>
      <c r="F3" s="26"/>
      <c r="G3" s="26"/>
      <c r="H3" s="26" t="str">
        <f>底稿目录!A4</f>
        <v>编制人：</v>
      </c>
      <c r="J3" s="26"/>
      <c r="K3" s="26"/>
      <c r="L3" s="26" t="str">
        <f>底稿目录!A5</f>
        <v>编制日期：</v>
      </c>
      <c r="N3" s="12"/>
      <c r="P3" s="27" t="s">
        <v>456</v>
      </c>
      <c r="Q3" s="394" t="str">
        <f>底稿目录!F20</f>
        <v>F4-8</v>
      </c>
    </row>
    <row r="4" spans="1:18" ht="19.95" customHeight="1">
      <c r="A4" s="26" t="str">
        <f>底稿目录!A3</f>
        <v>截止日：202X年12月31日</v>
      </c>
      <c r="B4" s="26"/>
      <c r="C4" s="26"/>
      <c r="D4" s="26"/>
      <c r="F4" s="26"/>
      <c r="G4" s="26"/>
      <c r="H4" s="26" t="str">
        <f>底稿目录!A6</f>
        <v>复核人：</v>
      </c>
      <c r="J4" s="26"/>
      <c r="K4" s="26"/>
      <c r="L4" s="26" t="str">
        <f>底稿目录!A7</f>
        <v>复核日期：</v>
      </c>
      <c r="N4" s="12"/>
      <c r="P4" s="27" t="s">
        <v>441</v>
      </c>
    </row>
    <row r="5" spans="1:18" ht="22.8" customHeight="1">
      <c r="A5" s="303" t="s">
        <v>339</v>
      </c>
      <c r="B5" s="303"/>
      <c r="C5" s="304"/>
      <c r="D5" s="305"/>
      <c r="E5" s="304"/>
      <c r="F5" s="304"/>
      <c r="G5" s="304"/>
      <c r="H5" s="304"/>
      <c r="I5" s="304"/>
      <c r="J5" s="304"/>
      <c r="K5" s="304"/>
      <c r="L5" s="304"/>
      <c r="M5" s="304"/>
      <c r="N5" s="304"/>
      <c r="O5" s="304"/>
      <c r="P5" s="304"/>
      <c r="Q5" s="304"/>
    </row>
    <row r="6" spans="1:18" ht="22.8" customHeight="1">
      <c r="A6" s="305" t="s">
        <v>537</v>
      </c>
      <c r="B6" s="305"/>
      <c r="C6" s="304"/>
      <c r="D6" s="305"/>
      <c r="E6" s="304"/>
      <c r="F6" s="304"/>
      <c r="G6" s="304"/>
      <c r="H6" s="304"/>
      <c r="I6" s="304"/>
      <c r="J6" s="304"/>
      <c r="K6" s="304"/>
      <c r="L6" s="304"/>
      <c r="M6" s="304"/>
      <c r="N6" s="304"/>
      <c r="O6" s="304"/>
      <c r="P6" s="304"/>
      <c r="Q6" s="304"/>
    </row>
    <row r="7" spans="1:18" ht="22.8" customHeight="1">
      <c r="A7" s="305" t="s">
        <v>368</v>
      </c>
      <c r="B7" s="305"/>
      <c r="C7" s="304"/>
      <c r="D7" s="305"/>
      <c r="E7" s="304"/>
      <c r="F7" s="304"/>
      <c r="G7" s="304"/>
      <c r="H7" s="304"/>
      <c r="I7" s="304"/>
      <c r="J7" s="304"/>
      <c r="K7" s="304"/>
      <c r="L7" s="304"/>
      <c r="M7" s="304"/>
      <c r="N7" s="304"/>
      <c r="O7" s="304"/>
      <c r="P7" s="304"/>
      <c r="Q7" s="304"/>
    </row>
    <row r="8" spans="1:18" ht="19.95" customHeight="1">
      <c r="A8" s="306" t="s">
        <v>340</v>
      </c>
      <c r="B8" s="306"/>
    </row>
    <row r="9" spans="1:18" ht="19.95" customHeight="1">
      <c r="A9" s="307" t="s">
        <v>341</v>
      </c>
      <c r="B9" s="308" t="s">
        <v>482</v>
      </c>
      <c r="F9" s="307"/>
      <c r="G9" s="308"/>
      <c r="I9" s="307" t="s">
        <v>342</v>
      </c>
      <c r="J9" s="308" t="s">
        <v>485</v>
      </c>
    </row>
    <row r="10" spans="1:18" ht="19.95" customHeight="1">
      <c r="A10" s="307" t="s">
        <v>343</v>
      </c>
      <c r="B10" s="308" t="s">
        <v>483</v>
      </c>
      <c r="F10" s="307"/>
      <c r="G10" s="308"/>
      <c r="I10" s="307" t="s">
        <v>486</v>
      </c>
      <c r="J10" s="308"/>
      <c r="K10" s="308" t="s">
        <v>487</v>
      </c>
      <c r="L10" s="308" t="s">
        <v>488</v>
      </c>
      <c r="N10" s="307"/>
      <c r="O10" s="308"/>
    </row>
    <row r="11" spans="1:18" ht="19.95" customHeight="1">
      <c r="A11" s="307" t="s">
        <v>484</v>
      </c>
      <c r="B11" s="308" t="s">
        <v>575</v>
      </c>
      <c r="F11" s="307"/>
      <c r="G11" s="308"/>
      <c r="I11" s="307" t="s">
        <v>489</v>
      </c>
      <c r="J11" s="308" t="s">
        <v>490</v>
      </c>
      <c r="K11"/>
      <c r="N11" s="307"/>
      <c r="O11" s="308"/>
    </row>
    <row r="12" spans="1:18" ht="19.95" customHeight="1">
      <c r="A12" s="309" t="s">
        <v>344</v>
      </c>
      <c r="B12" s="309"/>
    </row>
    <row r="13" spans="1:18" ht="19.95" customHeight="1">
      <c r="A13" s="395" t="s">
        <v>534</v>
      </c>
      <c r="B13" s="309"/>
    </row>
    <row r="14" spans="1:18" ht="19.95" customHeight="1">
      <c r="A14" s="310" t="s">
        <v>533</v>
      </c>
      <c r="B14" s="309"/>
      <c r="R14" s="311"/>
    </row>
    <row r="15" spans="1:18" s="312" customFormat="1" ht="19.95" customHeight="1">
      <c r="A15" s="498" t="s">
        <v>345</v>
      </c>
      <c r="B15" s="498"/>
      <c r="C15" s="498"/>
      <c r="D15" s="498"/>
      <c r="E15" s="498"/>
      <c r="F15" s="498"/>
      <c r="G15" s="498"/>
      <c r="H15" s="499" t="s">
        <v>346</v>
      </c>
      <c r="I15" s="499"/>
      <c r="J15" s="500" t="s">
        <v>492</v>
      </c>
      <c r="K15" s="500"/>
      <c r="L15" s="500"/>
      <c r="M15" s="499" t="s">
        <v>347</v>
      </c>
      <c r="N15" s="501" t="s">
        <v>348</v>
      </c>
      <c r="O15" s="501" t="s">
        <v>349</v>
      </c>
      <c r="P15" s="502"/>
      <c r="Q15" s="503"/>
    </row>
    <row r="16" spans="1:18" s="317" customFormat="1" ht="19.95" customHeight="1">
      <c r="A16" s="346" t="s">
        <v>491</v>
      </c>
      <c r="B16" s="346" t="s">
        <v>144</v>
      </c>
      <c r="C16" s="313" t="s">
        <v>350</v>
      </c>
      <c r="D16" s="313" t="s">
        <v>351</v>
      </c>
      <c r="E16" s="313" t="s">
        <v>352</v>
      </c>
      <c r="F16" s="313" t="s">
        <v>101</v>
      </c>
      <c r="G16" s="259" t="s">
        <v>353</v>
      </c>
      <c r="H16" s="314" t="s">
        <v>354</v>
      </c>
      <c r="I16" s="314" t="s">
        <v>542</v>
      </c>
      <c r="J16" s="315" t="s">
        <v>323</v>
      </c>
      <c r="K16" s="315" t="s">
        <v>493</v>
      </c>
      <c r="L16" s="315" t="s">
        <v>315</v>
      </c>
      <c r="M16" s="499"/>
      <c r="N16" s="501"/>
      <c r="O16" s="501"/>
      <c r="P16" s="502"/>
      <c r="Q16" s="503"/>
      <c r="R16" s="316" t="s">
        <v>356</v>
      </c>
    </row>
    <row r="17" spans="1:17" s="60" customFormat="1" ht="19.95" customHeight="1">
      <c r="A17" s="372"/>
      <c r="B17" s="379"/>
      <c r="C17" s="375"/>
      <c r="D17" s="372"/>
      <c r="E17" s="372"/>
      <c r="F17" s="372"/>
      <c r="G17" s="373"/>
      <c r="H17" s="376"/>
      <c r="I17" s="377"/>
      <c r="J17" s="379"/>
      <c r="K17" s="372"/>
      <c r="L17" s="373"/>
      <c r="M17" s="372"/>
      <c r="N17" s="376"/>
      <c r="O17" s="378"/>
      <c r="P17" s="320"/>
      <c r="Q17" s="321"/>
    </row>
    <row r="18" spans="1:17" s="60" customFormat="1" ht="19.95" customHeight="1">
      <c r="A18" s="372"/>
      <c r="B18" s="379"/>
      <c r="C18" s="375"/>
      <c r="D18" s="372"/>
      <c r="E18" s="372"/>
      <c r="F18" s="372"/>
      <c r="G18" s="373"/>
      <c r="H18" s="376"/>
      <c r="I18" s="377"/>
      <c r="J18" s="379"/>
      <c r="K18" s="372"/>
      <c r="L18" s="373"/>
      <c r="M18" s="372"/>
      <c r="N18" s="376"/>
      <c r="O18" s="378"/>
      <c r="P18" s="320"/>
      <c r="Q18" s="321"/>
    </row>
    <row r="19" spans="1:17" s="60" customFormat="1" ht="19.95" customHeight="1">
      <c r="A19" s="372"/>
      <c r="B19" s="379"/>
      <c r="C19" s="375"/>
      <c r="D19" s="372"/>
      <c r="E19" s="372"/>
      <c r="F19" s="372"/>
      <c r="G19" s="373"/>
      <c r="H19" s="376"/>
      <c r="I19" s="377"/>
      <c r="J19" s="379"/>
      <c r="K19" s="372"/>
      <c r="L19" s="373"/>
      <c r="M19" s="372"/>
      <c r="N19" s="376"/>
      <c r="O19" s="378"/>
      <c r="P19" s="320"/>
      <c r="Q19" s="321"/>
    </row>
    <row r="20" spans="1:17" s="60" customFormat="1" ht="19.95" customHeight="1">
      <c r="A20" s="372"/>
      <c r="B20" s="379"/>
      <c r="C20" s="375"/>
      <c r="D20" s="372"/>
      <c r="E20" s="372"/>
      <c r="F20" s="372"/>
      <c r="G20" s="373"/>
      <c r="H20" s="376"/>
      <c r="I20" s="377"/>
      <c r="J20" s="379"/>
      <c r="K20" s="372"/>
      <c r="L20" s="373"/>
      <c r="M20" s="372"/>
      <c r="N20" s="376"/>
      <c r="O20" s="378"/>
      <c r="P20" s="320"/>
      <c r="Q20" s="321"/>
    </row>
    <row r="21" spans="1:17" s="60" customFormat="1" ht="19.95" customHeight="1">
      <c r="A21" s="372"/>
      <c r="B21" s="379"/>
      <c r="C21" s="375"/>
      <c r="D21" s="372"/>
      <c r="E21" s="372"/>
      <c r="F21" s="372"/>
      <c r="G21" s="373"/>
      <c r="H21" s="376"/>
      <c r="I21" s="377"/>
      <c r="J21" s="379"/>
      <c r="K21" s="372"/>
      <c r="L21" s="373"/>
      <c r="M21" s="372"/>
      <c r="N21" s="376"/>
      <c r="O21" s="378"/>
      <c r="P21" s="320"/>
      <c r="Q21" s="321"/>
    </row>
    <row r="22" spans="1:17" s="60" customFormat="1" ht="19.95" customHeight="1">
      <c r="A22" s="372"/>
      <c r="B22" s="379"/>
      <c r="C22" s="375"/>
      <c r="D22" s="372"/>
      <c r="E22" s="372"/>
      <c r="F22" s="372"/>
      <c r="G22" s="373"/>
      <c r="H22" s="376"/>
      <c r="I22" s="377"/>
      <c r="J22" s="379"/>
      <c r="K22" s="372"/>
      <c r="L22" s="373"/>
      <c r="M22" s="372"/>
      <c r="N22" s="376"/>
      <c r="O22" s="378"/>
      <c r="P22" s="320"/>
      <c r="Q22" s="321"/>
    </row>
    <row r="23" spans="1:17" s="60" customFormat="1" ht="19.95" customHeight="1">
      <c r="A23" s="372"/>
      <c r="B23" s="379"/>
      <c r="C23" s="375"/>
      <c r="D23" s="372"/>
      <c r="E23" s="372"/>
      <c r="F23" s="372"/>
      <c r="G23" s="373"/>
      <c r="H23" s="376"/>
      <c r="I23" s="377"/>
      <c r="J23" s="379"/>
      <c r="K23" s="372"/>
      <c r="L23" s="373"/>
      <c r="M23" s="372"/>
      <c r="N23" s="376"/>
      <c r="O23" s="378"/>
      <c r="P23" s="320"/>
      <c r="Q23" s="321"/>
    </row>
    <row r="24" spans="1:17" s="60" customFormat="1" ht="19.95" customHeight="1">
      <c r="A24" s="372"/>
      <c r="B24" s="379"/>
      <c r="C24" s="375"/>
      <c r="D24" s="372"/>
      <c r="E24" s="372"/>
      <c r="F24" s="372"/>
      <c r="G24" s="373"/>
      <c r="H24" s="376"/>
      <c r="I24" s="377"/>
      <c r="J24" s="379"/>
      <c r="K24" s="372"/>
      <c r="L24" s="373"/>
      <c r="M24" s="372"/>
      <c r="N24" s="376"/>
      <c r="O24" s="378"/>
      <c r="P24" s="320"/>
      <c r="Q24" s="321"/>
    </row>
    <row r="25" spans="1:17" s="60" customFormat="1" ht="19.95" customHeight="1">
      <c r="A25" s="372"/>
      <c r="B25" s="379"/>
      <c r="C25" s="375"/>
      <c r="D25" s="372"/>
      <c r="E25" s="372"/>
      <c r="F25" s="372"/>
      <c r="G25" s="373"/>
      <c r="H25" s="376"/>
      <c r="I25" s="377"/>
      <c r="J25" s="379"/>
      <c r="K25" s="372"/>
      <c r="L25" s="373"/>
      <c r="M25" s="372"/>
      <c r="N25" s="376"/>
      <c r="O25" s="378"/>
      <c r="P25" s="320"/>
      <c r="Q25" s="321"/>
    </row>
    <row r="26" spans="1:17" s="60" customFormat="1" ht="19.95" customHeight="1">
      <c r="A26" s="372"/>
      <c r="B26" s="379"/>
      <c r="C26" s="375"/>
      <c r="D26" s="372"/>
      <c r="E26" s="372"/>
      <c r="F26" s="372"/>
      <c r="G26" s="373"/>
      <c r="H26" s="376"/>
      <c r="I26" s="377"/>
      <c r="J26" s="379"/>
      <c r="K26" s="372"/>
      <c r="L26" s="373"/>
      <c r="M26" s="372"/>
      <c r="N26" s="376"/>
      <c r="O26" s="378"/>
      <c r="P26" s="320"/>
      <c r="Q26" s="321"/>
    </row>
    <row r="27" spans="1:17" s="60" customFormat="1" ht="19.95" customHeight="1">
      <c r="A27" s="372"/>
      <c r="B27" s="379"/>
      <c r="C27" s="375"/>
      <c r="D27" s="372"/>
      <c r="E27" s="372"/>
      <c r="F27" s="372"/>
      <c r="G27" s="373"/>
      <c r="H27" s="376"/>
      <c r="I27" s="377"/>
      <c r="J27" s="379"/>
      <c r="K27" s="372"/>
      <c r="L27" s="373"/>
      <c r="M27" s="372"/>
      <c r="N27" s="376"/>
      <c r="O27" s="378"/>
      <c r="P27" s="320"/>
      <c r="Q27" s="321"/>
    </row>
    <row r="28" spans="1:17" s="60" customFormat="1" ht="19.95" customHeight="1">
      <c r="A28" s="372"/>
      <c r="B28" s="379"/>
      <c r="C28" s="375"/>
      <c r="D28" s="372"/>
      <c r="E28" s="372"/>
      <c r="F28" s="372"/>
      <c r="G28" s="373"/>
      <c r="H28" s="376"/>
      <c r="I28" s="377"/>
      <c r="J28" s="379"/>
      <c r="K28" s="372"/>
      <c r="L28" s="373"/>
      <c r="M28" s="372"/>
      <c r="N28" s="376"/>
      <c r="O28" s="378"/>
      <c r="P28" s="320"/>
      <c r="Q28" s="321"/>
    </row>
    <row r="29" spans="1:17" s="60" customFormat="1" ht="19.95" customHeight="1">
      <c r="A29" s="372"/>
      <c r="B29" s="379"/>
      <c r="C29" s="375"/>
      <c r="D29" s="372"/>
      <c r="E29" s="372"/>
      <c r="F29" s="372"/>
      <c r="G29" s="373"/>
      <c r="H29" s="376"/>
      <c r="I29" s="377"/>
      <c r="J29" s="379"/>
      <c r="K29" s="372"/>
      <c r="L29" s="373"/>
      <c r="M29" s="372"/>
      <c r="N29" s="376"/>
      <c r="O29" s="378"/>
      <c r="P29" s="320"/>
      <c r="Q29" s="321"/>
    </row>
    <row r="30" spans="1:17" s="60" customFormat="1" ht="19.95" customHeight="1">
      <c r="A30" s="372"/>
      <c r="B30" s="379"/>
      <c r="C30" s="375"/>
      <c r="D30" s="372"/>
      <c r="E30" s="372"/>
      <c r="F30" s="372"/>
      <c r="G30" s="373"/>
      <c r="H30" s="376"/>
      <c r="I30" s="377"/>
      <c r="J30" s="379"/>
      <c r="K30" s="372"/>
      <c r="L30" s="373"/>
      <c r="M30" s="372"/>
      <c r="N30" s="376"/>
      <c r="O30" s="378"/>
      <c r="P30" s="320"/>
      <c r="Q30" s="321"/>
    </row>
    <row r="31" spans="1:17" s="60" customFormat="1" ht="19.95" customHeight="1">
      <c r="A31" s="372"/>
      <c r="B31" s="379"/>
      <c r="C31" s="375"/>
      <c r="D31" s="372"/>
      <c r="E31" s="372"/>
      <c r="F31" s="372"/>
      <c r="G31" s="373"/>
      <c r="H31" s="376"/>
      <c r="I31" s="377"/>
      <c r="J31" s="379"/>
      <c r="K31" s="372"/>
      <c r="L31" s="373"/>
      <c r="M31" s="372"/>
      <c r="N31" s="376"/>
      <c r="O31" s="378"/>
      <c r="P31" s="320"/>
      <c r="Q31" s="321"/>
    </row>
    <row r="32" spans="1:17" s="60" customFormat="1" ht="19.95" customHeight="1">
      <c r="A32" s="372"/>
      <c r="B32" s="379"/>
      <c r="C32" s="375"/>
      <c r="D32" s="372"/>
      <c r="E32" s="372"/>
      <c r="F32" s="372"/>
      <c r="G32" s="373"/>
      <c r="H32" s="376"/>
      <c r="I32" s="377"/>
      <c r="J32" s="379"/>
      <c r="K32" s="372"/>
      <c r="L32" s="373"/>
      <c r="M32" s="372"/>
      <c r="N32" s="376"/>
      <c r="O32" s="378"/>
      <c r="P32" s="320"/>
      <c r="Q32" s="321"/>
    </row>
    <row r="33" spans="1:18" s="60" customFormat="1" ht="19.95" customHeight="1">
      <c r="A33" s="372"/>
      <c r="B33" s="379"/>
      <c r="C33" s="375"/>
      <c r="D33" s="372"/>
      <c r="E33" s="372"/>
      <c r="F33" s="372"/>
      <c r="G33" s="373"/>
      <c r="H33" s="376"/>
      <c r="I33" s="377"/>
      <c r="J33" s="379"/>
      <c r="K33" s="372"/>
      <c r="L33" s="373"/>
      <c r="M33" s="372"/>
      <c r="N33" s="376"/>
      <c r="O33" s="378"/>
      <c r="P33" s="320"/>
      <c r="Q33" s="321"/>
    </row>
    <row r="34" spans="1:18" s="60" customFormat="1" ht="19.95" customHeight="1">
      <c r="A34" s="372"/>
      <c r="B34" s="379"/>
      <c r="C34" s="375"/>
      <c r="D34" s="372"/>
      <c r="E34" s="372"/>
      <c r="F34" s="372"/>
      <c r="G34" s="373"/>
      <c r="H34" s="376"/>
      <c r="I34" s="377"/>
      <c r="J34" s="379"/>
      <c r="K34" s="372"/>
      <c r="L34" s="373"/>
      <c r="M34" s="372"/>
      <c r="N34" s="376"/>
      <c r="O34" s="378"/>
      <c r="P34" s="320"/>
      <c r="Q34" s="321"/>
    </row>
    <row r="35" spans="1:18" s="60" customFormat="1" ht="19.95" customHeight="1">
      <c r="A35" s="372"/>
      <c r="B35" s="379"/>
      <c r="C35" s="375"/>
      <c r="D35" s="372"/>
      <c r="E35" s="372"/>
      <c r="F35" s="372"/>
      <c r="G35" s="373"/>
      <c r="H35" s="376"/>
      <c r="I35" s="377"/>
      <c r="J35" s="379"/>
      <c r="K35" s="372"/>
      <c r="L35" s="373"/>
      <c r="M35" s="372"/>
      <c r="N35" s="376"/>
      <c r="O35" s="378"/>
      <c r="P35" s="320"/>
      <c r="Q35" s="321"/>
    </row>
    <row r="36" spans="1:18" s="60" customFormat="1" ht="19.95" customHeight="1">
      <c r="A36" s="372"/>
      <c r="B36" s="379"/>
      <c r="C36" s="375"/>
      <c r="D36" s="372"/>
      <c r="E36" s="372"/>
      <c r="F36" s="372"/>
      <c r="G36" s="373"/>
      <c r="H36" s="376"/>
      <c r="I36" s="377"/>
      <c r="J36" s="379"/>
      <c r="K36" s="372"/>
      <c r="L36" s="373"/>
      <c r="M36" s="372"/>
      <c r="N36" s="376"/>
      <c r="O36" s="378"/>
      <c r="P36" s="320"/>
      <c r="Q36" s="321"/>
    </row>
    <row r="37" spans="1:18" s="60" customFormat="1" ht="19.95" customHeight="1">
      <c r="A37" s="372"/>
      <c r="B37" s="379"/>
      <c r="C37" s="375"/>
      <c r="D37" s="372"/>
      <c r="E37" s="372"/>
      <c r="F37" s="372"/>
      <c r="G37" s="373"/>
      <c r="H37" s="376"/>
      <c r="I37" s="377"/>
      <c r="J37" s="379"/>
      <c r="K37" s="372"/>
      <c r="L37" s="373"/>
      <c r="M37" s="372"/>
      <c r="N37" s="376"/>
      <c r="O37" s="378"/>
      <c r="P37" s="320"/>
      <c r="Q37" s="321"/>
    </row>
    <row r="38" spans="1:18" s="60" customFormat="1" ht="19.95" customHeight="1">
      <c r="A38" s="346" t="s">
        <v>357</v>
      </c>
      <c r="B38" s="346"/>
      <c r="C38" s="383"/>
      <c r="D38" s="318"/>
      <c r="E38" s="318"/>
      <c r="F38" s="318"/>
      <c r="G38" s="319">
        <f>SUM(G17:G37)</f>
        <v>0</v>
      </c>
      <c r="H38" s="318"/>
      <c r="I38" s="318"/>
      <c r="J38" s="380"/>
      <c r="K38" s="318"/>
      <c r="L38" s="319">
        <f>SUM(L17:L37)</f>
        <v>0</v>
      </c>
      <c r="M38" s="318"/>
      <c r="N38" s="318"/>
      <c r="O38" s="319">
        <f>SUM(O17:O37)</f>
        <v>0</v>
      </c>
      <c r="P38" s="320"/>
      <c r="Q38" s="321"/>
    </row>
    <row r="39" spans="1:18" ht="19.95" customHeight="1">
      <c r="A39" s="310" t="s">
        <v>494</v>
      </c>
      <c r="B39" s="309"/>
      <c r="R39" s="322"/>
    </row>
    <row r="40" spans="1:18" s="312" customFormat="1" ht="19.95" customHeight="1">
      <c r="A40" s="498" t="s">
        <v>345</v>
      </c>
      <c r="B40" s="498"/>
      <c r="C40" s="498"/>
      <c r="D40" s="498"/>
      <c r="E40" s="498"/>
      <c r="F40" s="498"/>
      <c r="G40" s="498"/>
      <c r="H40" s="499" t="s">
        <v>358</v>
      </c>
      <c r="I40" s="499"/>
      <c r="J40" s="499"/>
      <c r="K40" s="499"/>
      <c r="L40" s="499" t="s">
        <v>359</v>
      </c>
      <c r="M40" s="499"/>
      <c r="N40" s="499"/>
      <c r="O40" s="499" t="s">
        <v>347</v>
      </c>
      <c r="P40" s="501" t="s">
        <v>348</v>
      </c>
      <c r="Q40" s="501" t="s">
        <v>349</v>
      </c>
    </row>
    <row r="41" spans="1:18" s="317" customFormat="1" ht="19.95" customHeight="1">
      <c r="A41" s="346" t="s">
        <v>491</v>
      </c>
      <c r="B41" s="346" t="s">
        <v>144</v>
      </c>
      <c r="C41" s="313" t="s">
        <v>350</v>
      </c>
      <c r="D41" s="313" t="s">
        <v>351</v>
      </c>
      <c r="E41" s="313" t="s">
        <v>352</v>
      </c>
      <c r="F41" s="313" t="s">
        <v>101</v>
      </c>
      <c r="G41" s="259" t="s">
        <v>360</v>
      </c>
      <c r="H41" s="314" t="s">
        <v>354</v>
      </c>
      <c r="I41" s="314" t="s">
        <v>361</v>
      </c>
      <c r="J41" s="314" t="s">
        <v>362</v>
      </c>
      <c r="K41" s="314" t="s">
        <v>363</v>
      </c>
      <c r="L41" s="315" t="s">
        <v>354</v>
      </c>
      <c r="M41" s="315" t="s">
        <v>364</v>
      </c>
      <c r="N41" s="315" t="s">
        <v>355</v>
      </c>
      <c r="O41" s="499"/>
      <c r="P41" s="501"/>
      <c r="Q41" s="501"/>
      <c r="R41" s="316" t="s">
        <v>356</v>
      </c>
    </row>
    <row r="42" spans="1:18" s="374" customFormat="1" ht="19.95" customHeight="1">
      <c r="A42" s="372"/>
      <c r="B42" s="379"/>
      <c r="C42" s="375"/>
      <c r="D42" s="372"/>
      <c r="E42" s="372"/>
      <c r="F42" s="372"/>
      <c r="G42" s="373"/>
      <c r="H42" s="376"/>
      <c r="I42" s="382"/>
      <c r="J42" s="381"/>
      <c r="K42" s="373"/>
      <c r="L42" s="376"/>
      <c r="M42" s="384"/>
      <c r="N42" s="323"/>
      <c r="O42" s="385"/>
      <c r="P42" s="376"/>
      <c r="Q42" s="381"/>
    </row>
    <row r="43" spans="1:18" s="374" customFormat="1" ht="19.95" customHeight="1">
      <c r="A43" s="372"/>
      <c r="B43" s="379"/>
      <c r="C43" s="375"/>
      <c r="D43" s="372"/>
      <c r="E43" s="372"/>
      <c r="F43" s="372"/>
      <c r="G43" s="373"/>
      <c r="H43" s="376"/>
      <c r="I43" s="382"/>
      <c r="J43" s="381"/>
      <c r="K43" s="373"/>
      <c r="L43" s="376"/>
      <c r="M43" s="384"/>
      <c r="N43" s="323"/>
      <c r="O43" s="385"/>
      <c r="P43" s="376"/>
      <c r="Q43" s="381"/>
    </row>
    <row r="44" spans="1:18" s="374" customFormat="1" ht="19.95" customHeight="1">
      <c r="A44" s="372"/>
      <c r="B44" s="379"/>
      <c r="C44" s="375"/>
      <c r="D44" s="372"/>
      <c r="E44" s="372"/>
      <c r="F44" s="372"/>
      <c r="G44" s="373"/>
      <c r="H44" s="376"/>
      <c r="I44" s="382"/>
      <c r="J44" s="381"/>
      <c r="K44" s="373"/>
      <c r="L44" s="376"/>
      <c r="M44" s="384"/>
      <c r="N44" s="323"/>
      <c r="O44" s="385"/>
      <c r="P44" s="376"/>
      <c r="Q44" s="381"/>
    </row>
    <row r="45" spans="1:18" s="374" customFormat="1" ht="19.95" customHeight="1">
      <c r="A45" s="372"/>
      <c r="B45" s="379"/>
      <c r="C45" s="375"/>
      <c r="D45" s="372"/>
      <c r="E45" s="372"/>
      <c r="F45" s="372"/>
      <c r="G45" s="373"/>
      <c r="H45" s="376"/>
      <c r="I45" s="382"/>
      <c r="J45" s="381"/>
      <c r="K45" s="373"/>
      <c r="L45" s="376"/>
      <c r="M45" s="384"/>
      <c r="N45" s="323"/>
      <c r="O45" s="385"/>
      <c r="P45" s="376"/>
      <c r="Q45" s="381"/>
    </row>
    <row r="46" spans="1:18" s="374" customFormat="1" ht="19.95" customHeight="1">
      <c r="A46" s="372"/>
      <c r="B46" s="379"/>
      <c r="C46" s="375"/>
      <c r="D46" s="372"/>
      <c r="E46" s="372"/>
      <c r="F46" s="372"/>
      <c r="G46" s="373"/>
      <c r="H46" s="376"/>
      <c r="I46" s="382"/>
      <c r="J46" s="381"/>
      <c r="K46" s="373"/>
      <c r="L46" s="376"/>
      <c r="M46" s="384"/>
      <c r="N46" s="323"/>
      <c r="O46" s="385"/>
      <c r="P46" s="376"/>
      <c r="Q46" s="381"/>
    </row>
    <row r="47" spans="1:18" s="374" customFormat="1" ht="19.95" customHeight="1">
      <c r="A47" s="372"/>
      <c r="B47" s="379"/>
      <c r="C47" s="375"/>
      <c r="D47" s="372"/>
      <c r="E47" s="372"/>
      <c r="F47" s="372"/>
      <c r="G47" s="373"/>
      <c r="H47" s="376"/>
      <c r="I47" s="382"/>
      <c r="J47" s="381"/>
      <c r="K47" s="373"/>
      <c r="L47" s="376"/>
      <c r="M47" s="384"/>
      <c r="N47" s="323"/>
      <c r="O47" s="385"/>
      <c r="P47" s="376"/>
      <c r="Q47" s="381"/>
    </row>
    <row r="48" spans="1:18" s="374" customFormat="1" ht="19.95" customHeight="1">
      <c r="A48" s="372"/>
      <c r="B48" s="379"/>
      <c r="C48" s="375"/>
      <c r="D48" s="372"/>
      <c r="E48" s="372"/>
      <c r="F48" s="372"/>
      <c r="G48" s="373"/>
      <c r="H48" s="376"/>
      <c r="I48" s="382"/>
      <c r="J48" s="381"/>
      <c r="K48" s="373"/>
      <c r="L48" s="376"/>
      <c r="M48" s="384"/>
      <c r="N48" s="323"/>
      <c r="O48" s="385"/>
      <c r="P48" s="376"/>
      <c r="Q48" s="381"/>
    </row>
    <row r="49" spans="1:17" s="374" customFormat="1" ht="19.95" customHeight="1">
      <c r="A49" s="372"/>
      <c r="B49" s="379"/>
      <c r="C49" s="375"/>
      <c r="D49" s="372"/>
      <c r="E49" s="372"/>
      <c r="F49" s="372"/>
      <c r="G49" s="373"/>
      <c r="H49" s="376"/>
      <c r="I49" s="382"/>
      <c r="J49" s="381"/>
      <c r="K49" s="373"/>
      <c r="L49" s="376"/>
      <c r="M49" s="384"/>
      <c r="N49" s="323"/>
      <c r="O49" s="385"/>
      <c r="P49" s="376"/>
      <c r="Q49" s="381"/>
    </row>
    <row r="50" spans="1:17" s="374" customFormat="1" ht="19.95" customHeight="1">
      <c r="A50" s="372"/>
      <c r="B50" s="379"/>
      <c r="C50" s="375"/>
      <c r="D50" s="372"/>
      <c r="E50" s="372"/>
      <c r="F50" s="372"/>
      <c r="G50" s="373"/>
      <c r="H50" s="376"/>
      <c r="I50" s="382"/>
      <c r="J50" s="381"/>
      <c r="K50" s="373"/>
      <c r="L50" s="376"/>
      <c r="M50" s="384"/>
      <c r="N50" s="323"/>
      <c r="O50" s="385"/>
      <c r="P50" s="376"/>
      <c r="Q50" s="381"/>
    </row>
    <row r="51" spans="1:17" s="374" customFormat="1" ht="19.95" customHeight="1">
      <c r="A51" s="372"/>
      <c r="B51" s="379"/>
      <c r="C51" s="375"/>
      <c r="D51" s="372"/>
      <c r="E51" s="372"/>
      <c r="F51" s="372"/>
      <c r="G51" s="373"/>
      <c r="H51" s="376"/>
      <c r="I51" s="382"/>
      <c r="J51" s="381"/>
      <c r="K51" s="373"/>
      <c r="L51" s="376"/>
      <c r="M51" s="384"/>
      <c r="N51" s="323"/>
      <c r="O51" s="385"/>
      <c r="P51" s="376"/>
      <c r="Q51" s="381"/>
    </row>
    <row r="52" spans="1:17" s="374" customFormat="1" ht="19.95" customHeight="1">
      <c r="A52" s="372"/>
      <c r="B52" s="379"/>
      <c r="C52" s="375"/>
      <c r="D52" s="372"/>
      <c r="E52" s="372"/>
      <c r="F52" s="372"/>
      <c r="G52" s="373"/>
      <c r="H52" s="376"/>
      <c r="I52" s="382"/>
      <c r="J52" s="381"/>
      <c r="K52" s="373"/>
      <c r="L52" s="376"/>
      <c r="M52" s="384"/>
      <c r="N52" s="323"/>
      <c r="O52" s="385"/>
      <c r="P52" s="376"/>
      <c r="Q52" s="381"/>
    </row>
    <row r="53" spans="1:17" s="374" customFormat="1" ht="19.95" customHeight="1">
      <c r="A53" s="372"/>
      <c r="B53" s="379"/>
      <c r="C53" s="375"/>
      <c r="D53" s="372"/>
      <c r="E53" s="372"/>
      <c r="F53" s="372"/>
      <c r="G53" s="373"/>
      <c r="H53" s="376"/>
      <c r="I53" s="382"/>
      <c r="J53" s="381"/>
      <c r="K53" s="373"/>
      <c r="L53" s="376"/>
      <c r="M53" s="384"/>
      <c r="N53" s="323"/>
      <c r="O53" s="385"/>
      <c r="P53" s="376"/>
      <c r="Q53" s="381"/>
    </row>
    <row r="54" spans="1:17" s="374" customFormat="1" ht="19.95" customHeight="1">
      <c r="A54" s="372"/>
      <c r="B54" s="379"/>
      <c r="C54" s="375"/>
      <c r="D54" s="372"/>
      <c r="E54" s="372"/>
      <c r="F54" s="372"/>
      <c r="G54" s="373"/>
      <c r="H54" s="376"/>
      <c r="I54" s="382"/>
      <c r="J54" s="381"/>
      <c r="K54" s="373"/>
      <c r="L54" s="376"/>
      <c r="M54" s="384"/>
      <c r="N54" s="323"/>
      <c r="O54" s="385"/>
      <c r="P54" s="376"/>
      <c r="Q54" s="381"/>
    </row>
    <row r="55" spans="1:17" s="374" customFormat="1" ht="19.95" customHeight="1">
      <c r="A55" s="372"/>
      <c r="B55" s="379"/>
      <c r="C55" s="375"/>
      <c r="D55" s="372"/>
      <c r="E55" s="372"/>
      <c r="F55" s="372"/>
      <c r="G55" s="373"/>
      <c r="H55" s="376"/>
      <c r="I55" s="382"/>
      <c r="J55" s="381"/>
      <c r="K55" s="373"/>
      <c r="L55" s="376"/>
      <c r="M55" s="384"/>
      <c r="N55" s="323"/>
      <c r="O55" s="385"/>
      <c r="P55" s="376"/>
      <c r="Q55" s="381"/>
    </row>
    <row r="56" spans="1:17" s="374" customFormat="1" ht="19.95" customHeight="1">
      <c r="A56" s="372"/>
      <c r="B56" s="379"/>
      <c r="C56" s="375"/>
      <c r="D56" s="372"/>
      <c r="E56" s="372"/>
      <c r="F56" s="372"/>
      <c r="G56" s="373"/>
      <c r="H56" s="376"/>
      <c r="I56" s="382"/>
      <c r="J56" s="381"/>
      <c r="K56" s="373"/>
      <c r="L56" s="376"/>
      <c r="M56" s="384"/>
      <c r="N56" s="323"/>
      <c r="O56" s="385"/>
      <c r="P56" s="376"/>
      <c r="Q56" s="381"/>
    </row>
    <row r="57" spans="1:17" s="374" customFormat="1" ht="19.95" customHeight="1">
      <c r="A57" s="372"/>
      <c r="B57" s="379"/>
      <c r="C57" s="375"/>
      <c r="D57" s="372"/>
      <c r="E57" s="372"/>
      <c r="F57" s="372"/>
      <c r="G57" s="373"/>
      <c r="H57" s="376"/>
      <c r="I57" s="382"/>
      <c r="J57" s="381"/>
      <c r="K57" s="373"/>
      <c r="L57" s="376"/>
      <c r="M57" s="384"/>
      <c r="N57" s="323"/>
      <c r="O57" s="385"/>
      <c r="P57" s="376"/>
      <c r="Q57" s="381"/>
    </row>
    <row r="58" spans="1:17" s="60" customFormat="1" ht="19.95" customHeight="1">
      <c r="A58" s="346" t="s">
        <v>357</v>
      </c>
      <c r="B58" s="346"/>
      <c r="C58" s="383"/>
      <c r="D58" s="318"/>
      <c r="E58" s="318"/>
      <c r="F58" s="318"/>
      <c r="G58" s="319">
        <f>SUM(G42:G57)</f>
        <v>0</v>
      </c>
      <c r="H58" s="318"/>
      <c r="I58" s="318"/>
      <c r="J58" s="318"/>
      <c r="K58" s="318"/>
      <c r="L58" s="319"/>
      <c r="M58" s="318"/>
      <c r="N58" s="319">
        <f>SUM(N42:N57)</f>
        <v>0</v>
      </c>
      <c r="O58" s="319"/>
      <c r="P58" s="318"/>
      <c r="Q58" s="319"/>
    </row>
    <row r="59" spans="1:17" ht="19.95" customHeight="1">
      <c r="A59" s="309" t="s">
        <v>365</v>
      </c>
      <c r="B59" s="309"/>
      <c r="K59" s="31"/>
      <c r="M59" s="386"/>
      <c r="O59" s="386"/>
    </row>
    <row r="60" spans="1:17" ht="19.95" customHeight="1">
      <c r="A60" s="24" t="s">
        <v>571</v>
      </c>
      <c r="B60" s="24"/>
      <c r="C60"/>
      <c r="D60" s="334" t="s">
        <v>565</v>
      </c>
      <c r="E60" s="334" t="s">
        <v>566</v>
      </c>
      <c r="F60" s="334" t="s">
        <v>567</v>
      </c>
      <c r="G60" s="334" t="s">
        <v>568</v>
      </c>
      <c r="H60" s="412" t="s">
        <v>576</v>
      </c>
      <c r="K60" s="31"/>
      <c r="M60" s="386"/>
      <c r="O60" s="386"/>
    </row>
    <row r="61" spans="1:17" ht="19.95" customHeight="1">
      <c r="A61" s="271"/>
      <c r="B61" s="271"/>
      <c r="C61"/>
      <c r="D61" s="334" t="s">
        <v>569</v>
      </c>
      <c r="E61" s="413">
        <f>'明细表F4-2'!I32</f>
        <v>0</v>
      </c>
      <c r="F61" s="413">
        <f>G38</f>
        <v>0</v>
      </c>
      <c r="G61" s="414" t="e">
        <f>ROUND(F61/E61,4)</f>
        <v>#DIV/0!</v>
      </c>
      <c r="H61" s="49"/>
      <c r="K61" s="31"/>
      <c r="M61" s="386"/>
      <c r="O61" s="386"/>
    </row>
    <row r="62" spans="1:17" ht="19.95" customHeight="1">
      <c r="A62" s="271"/>
      <c r="B62" s="271"/>
      <c r="C62"/>
      <c r="D62" s="334" t="s">
        <v>570</v>
      </c>
      <c r="E62" s="413">
        <f>'明细表F4-2'!J32</f>
        <v>0</v>
      </c>
      <c r="F62" s="413">
        <f>G58</f>
        <v>0</v>
      </c>
      <c r="G62" s="414" t="e">
        <f>ROUND(F62/E62,2)</f>
        <v>#DIV/0!</v>
      </c>
      <c r="H62" s="49"/>
      <c r="K62" s="31"/>
      <c r="M62" s="386"/>
      <c r="O62" s="386"/>
    </row>
    <row r="63" spans="1:17" ht="19.95" customHeight="1">
      <c r="A63" s="415" t="s">
        <v>572</v>
      </c>
      <c r="B63" s="24"/>
      <c r="M63" s="386"/>
      <c r="O63" s="386"/>
    </row>
    <row r="64" spans="1:17" ht="19.95" customHeight="1">
      <c r="A64" s="169" t="s">
        <v>366</v>
      </c>
      <c r="B64" s="169"/>
    </row>
    <row r="65" spans="1:2" ht="19.95" customHeight="1"/>
    <row r="66" spans="1:2" ht="19.95" customHeight="1"/>
    <row r="67" spans="1:2" ht="19.95" customHeight="1"/>
    <row r="68" spans="1:2" ht="19.95" customHeight="1">
      <c r="A68" s="324"/>
      <c r="B68" s="324"/>
    </row>
    <row r="69" spans="1:2" ht="19.95" customHeight="1"/>
    <row r="70" spans="1:2" ht="19.95" customHeight="1"/>
    <row r="71" spans="1:2" ht="19.95" customHeight="1"/>
    <row r="72" spans="1:2" ht="19.95" customHeight="1"/>
    <row r="73" spans="1:2" ht="19.95" customHeight="1"/>
  </sheetData>
  <mergeCells count="16">
    <mergeCell ref="Q40:Q41"/>
    <mergeCell ref="A40:G40"/>
    <mergeCell ref="H40:K40"/>
    <mergeCell ref="L40:N40"/>
    <mergeCell ref="O40:O41"/>
    <mergeCell ref="P40:P41"/>
    <mergeCell ref="A1:Q1"/>
    <mergeCell ref="A2:Q2"/>
    <mergeCell ref="A15:G15"/>
    <mergeCell ref="H15:I15"/>
    <mergeCell ref="J15:L15"/>
    <mergeCell ref="M15:M16"/>
    <mergeCell ref="N15:N16"/>
    <mergeCell ref="O15:O16"/>
    <mergeCell ref="P15:P16"/>
    <mergeCell ref="Q15:Q16"/>
  </mergeCells>
  <phoneticPr fontId="15" type="noConversion"/>
  <hyperlinks>
    <hyperlink ref="Q3" location="底稿目录!A1" display="底稿目录!A1"/>
  </hyperlinks>
  <pageMargins left="0.70866141732283472" right="0.70866141732283472" top="0.74803149606299213" bottom="0.74803149606299213" header="0.31496062992125984" footer="0.31496062992125984"/>
  <pageSetup paperSize="9" scale="67" orientation="landscape" blackAndWhite="1" r:id="rId1"/>
  <headerFooter>
    <oddFooter>&amp;C&amp;P/&amp;N</oddFooter>
  </headerFooter>
  <rowBreaks count="1" manualBreakCount="1">
    <brk id="38" max="16"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P84"/>
  <sheetViews>
    <sheetView view="pageBreakPreview" zoomScaleNormal="100" zoomScaleSheetLayoutView="100" workbookViewId="0">
      <selection sqref="A1:N1"/>
    </sheetView>
  </sheetViews>
  <sheetFormatPr defaultRowHeight="15.6"/>
  <cols>
    <col min="1" max="1" width="15.796875" customWidth="1"/>
    <col min="2" max="2" width="16" customWidth="1"/>
    <col min="3" max="3" width="12.3984375" customWidth="1"/>
    <col min="4" max="4" width="14.796875" customWidth="1"/>
    <col min="5" max="5" width="8.09765625" customWidth="1"/>
    <col min="6" max="6" width="12.296875" customWidth="1"/>
    <col min="7" max="7" width="9.69921875" customWidth="1"/>
    <col min="8" max="8" width="9.59765625" customWidth="1"/>
    <col min="9" max="9" width="10.5" customWidth="1"/>
    <col min="10" max="11" width="8.69921875" customWidth="1"/>
    <col min="12" max="12" width="11.8984375" customWidth="1"/>
    <col min="13" max="13" width="12" customWidth="1"/>
    <col min="14" max="14" width="12.3984375" customWidth="1"/>
  </cols>
  <sheetData>
    <row r="1" spans="1:16" s="3" customFormat="1" ht="19.95" customHeight="1">
      <c r="A1" s="456" t="s">
        <v>25</v>
      </c>
      <c r="B1" s="456"/>
      <c r="C1" s="456"/>
      <c r="D1" s="456"/>
      <c r="E1" s="456"/>
      <c r="F1" s="456"/>
      <c r="G1" s="456"/>
      <c r="H1" s="456"/>
      <c r="I1" s="456"/>
      <c r="J1" s="456"/>
      <c r="K1" s="456"/>
      <c r="L1" s="456"/>
      <c r="M1" s="456"/>
      <c r="N1" s="456"/>
      <c r="O1" s="331"/>
      <c r="P1" s="331"/>
    </row>
    <row r="2" spans="1:16" s="3" customFormat="1" ht="19.95" customHeight="1">
      <c r="A2" s="457" t="s">
        <v>519</v>
      </c>
      <c r="B2" s="457"/>
      <c r="C2" s="457"/>
      <c r="D2" s="457"/>
      <c r="E2" s="457"/>
      <c r="F2" s="457"/>
      <c r="G2" s="457"/>
      <c r="H2" s="457"/>
      <c r="I2" s="457"/>
      <c r="J2" s="457"/>
      <c r="K2" s="457"/>
      <c r="L2" s="457"/>
      <c r="M2" s="457"/>
      <c r="N2" s="457"/>
      <c r="O2" s="332"/>
      <c r="P2" s="332"/>
    </row>
    <row r="3" spans="1:16" s="3" customFormat="1" ht="19.95" customHeight="1">
      <c r="A3" s="26" t="str">
        <f>底稿目录!A2</f>
        <v>被审计单位：</v>
      </c>
      <c r="B3" s="26"/>
      <c r="C3" s="26"/>
      <c r="D3" s="26"/>
      <c r="E3" s="26" t="str">
        <f>底稿目录!A4</f>
        <v>编制人：</v>
      </c>
      <c r="I3" s="26" t="str">
        <f>底稿目录!A5</f>
        <v>编制日期：</v>
      </c>
      <c r="M3" s="350" t="s">
        <v>495</v>
      </c>
      <c r="N3" s="394" t="str">
        <f>底稿目录!F21</f>
        <v>F4-9</v>
      </c>
      <c r="P3" s="374"/>
    </row>
    <row r="4" spans="1:16" s="3" customFormat="1" ht="19.95" customHeight="1">
      <c r="A4" s="26" t="str">
        <f>底稿目录!A3</f>
        <v>截止日：202X年12月31日</v>
      </c>
      <c r="B4" s="26"/>
      <c r="C4" s="26"/>
      <c r="D4" s="26"/>
      <c r="E4" s="26" t="str">
        <f>底稿目录!A6</f>
        <v>复核人：</v>
      </c>
      <c r="I4" s="26" t="str">
        <f>底稿目录!A7</f>
        <v>复核日期：</v>
      </c>
      <c r="M4" s="350" t="s">
        <v>496</v>
      </c>
      <c r="N4" s="26"/>
      <c r="P4" s="374"/>
    </row>
    <row r="5" spans="1:16" s="3" customFormat="1" ht="19.95" customHeight="1">
      <c r="A5" s="303" t="s">
        <v>339</v>
      </c>
    </row>
    <row r="6" spans="1:16" s="3" customFormat="1" ht="19.95" customHeight="1">
      <c r="A6" s="305" t="s">
        <v>390</v>
      </c>
    </row>
    <row r="7" spans="1:16" s="3" customFormat="1" ht="19.95" customHeight="1">
      <c r="A7" s="305" t="s">
        <v>538</v>
      </c>
    </row>
    <row r="8" spans="1:16" s="3" customFormat="1" ht="19.95" customHeight="1">
      <c r="A8" s="77" t="s">
        <v>77</v>
      </c>
    </row>
    <row r="9" spans="1:16" s="3" customFormat="1" ht="19.95" customHeight="1">
      <c r="A9" s="330" t="s">
        <v>539</v>
      </c>
    </row>
    <row r="10" spans="1:16" s="3" customFormat="1" ht="19.95" customHeight="1">
      <c r="A10" s="330" t="s">
        <v>382</v>
      </c>
    </row>
    <row r="11" spans="1:16" s="72" customFormat="1" ht="26.4" customHeight="1">
      <c r="A11" s="340" t="s">
        <v>311</v>
      </c>
      <c r="B11" s="340" t="s">
        <v>396</v>
      </c>
      <c r="C11" s="340" t="s">
        <v>397</v>
      </c>
      <c r="D11" s="220" t="s">
        <v>395</v>
      </c>
      <c r="E11" s="340" t="s">
        <v>383</v>
      </c>
      <c r="F11" s="340" t="s">
        <v>379</v>
      </c>
      <c r="G11" s="220" t="s">
        <v>384</v>
      </c>
      <c r="H11" s="340" t="s">
        <v>381</v>
      </c>
      <c r="I11" s="340" t="s">
        <v>380</v>
      </c>
      <c r="J11" s="220" t="s">
        <v>391</v>
      </c>
      <c r="K11" s="220" t="s">
        <v>392</v>
      </c>
      <c r="L11" s="220" t="s">
        <v>400</v>
      </c>
      <c r="M11" s="340" t="s">
        <v>386</v>
      </c>
      <c r="N11" s="220" t="s">
        <v>394</v>
      </c>
      <c r="O11" s="389"/>
    </row>
    <row r="12" spans="1:16" s="49" customFormat="1" ht="19.95" customHeight="1">
      <c r="A12" s="333" t="s">
        <v>388</v>
      </c>
      <c r="B12" s="387"/>
      <c r="C12" s="388"/>
      <c r="D12" s="387"/>
      <c r="E12" s="334"/>
      <c r="F12" s="335"/>
      <c r="G12" s="336"/>
      <c r="H12" s="336"/>
      <c r="I12" s="336"/>
      <c r="J12" s="336"/>
      <c r="K12" s="336"/>
      <c r="L12" s="337"/>
      <c r="M12" s="337"/>
      <c r="N12" s="337"/>
    </row>
    <row r="13" spans="1:16" s="49" customFormat="1" ht="19.95" customHeight="1">
      <c r="A13" s="333" t="s">
        <v>497</v>
      </c>
      <c r="B13" s="387"/>
      <c r="C13" s="388"/>
      <c r="D13" s="387"/>
      <c r="E13" s="334"/>
      <c r="F13" s="335"/>
      <c r="G13" s="336"/>
      <c r="H13" s="336"/>
      <c r="I13" s="336"/>
      <c r="J13" s="336"/>
      <c r="K13" s="336"/>
      <c r="L13" s="337"/>
      <c r="M13" s="337"/>
      <c r="N13" s="337"/>
    </row>
    <row r="14" spans="1:16" s="49" customFormat="1" ht="19.95" customHeight="1">
      <c r="A14" s="333"/>
      <c r="B14" s="387"/>
      <c r="C14" s="388"/>
      <c r="D14" s="387"/>
      <c r="E14" s="334"/>
      <c r="F14" s="335"/>
      <c r="G14" s="336"/>
      <c r="H14" s="336"/>
      <c r="I14" s="336"/>
      <c r="J14" s="336"/>
      <c r="K14" s="336"/>
      <c r="L14" s="337"/>
      <c r="M14" s="337"/>
      <c r="N14" s="337"/>
    </row>
    <row r="15" spans="1:16" s="49" customFormat="1" ht="19.95" customHeight="1">
      <c r="A15" s="333"/>
      <c r="B15" s="387"/>
      <c r="C15" s="388"/>
      <c r="D15" s="387"/>
      <c r="E15" s="334"/>
      <c r="F15" s="335"/>
      <c r="G15" s="336"/>
      <c r="H15" s="336"/>
      <c r="I15" s="336"/>
      <c r="J15" s="336"/>
      <c r="K15" s="336"/>
      <c r="L15" s="337"/>
      <c r="M15" s="337"/>
      <c r="N15" s="337"/>
    </row>
    <row r="16" spans="1:16" s="49" customFormat="1" ht="19.95" customHeight="1">
      <c r="A16" s="337" t="s">
        <v>385</v>
      </c>
      <c r="B16" s="337"/>
      <c r="C16" s="337"/>
      <c r="D16" s="337"/>
      <c r="E16" s="337"/>
      <c r="F16" s="338">
        <f>SUM(F12:F15)</f>
        <v>0</v>
      </c>
      <c r="G16" s="337"/>
      <c r="H16" s="337"/>
      <c r="I16" s="337"/>
      <c r="J16" s="337"/>
      <c r="K16" s="337"/>
      <c r="L16" s="335"/>
      <c r="M16" s="338">
        <f>F16-L16</f>
        <v>0</v>
      </c>
      <c r="N16" s="339"/>
      <c r="O16" s="389" t="s">
        <v>393</v>
      </c>
    </row>
    <row r="17" spans="1:14" s="49" customFormat="1" ht="19.95" customHeight="1">
      <c r="A17" s="333" t="s">
        <v>498</v>
      </c>
      <c r="B17" s="387"/>
      <c r="C17" s="388"/>
      <c r="D17" s="387"/>
      <c r="E17" s="334"/>
      <c r="F17" s="335"/>
      <c r="G17" s="336"/>
      <c r="H17" s="336"/>
      <c r="I17" s="336"/>
      <c r="J17" s="336"/>
      <c r="K17" s="336"/>
      <c r="L17" s="337"/>
      <c r="M17" s="337"/>
      <c r="N17" s="337"/>
    </row>
    <row r="18" spans="1:14" s="49" customFormat="1" ht="19.95" customHeight="1">
      <c r="A18" s="333" t="s">
        <v>387</v>
      </c>
      <c r="B18" s="387"/>
      <c r="C18" s="388"/>
      <c r="D18" s="387"/>
      <c r="E18" s="334"/>
      <c r="F18" s="335"/>
      <c r="G18" s="336"/>
      <c r="H18" s="336"/>
      <c r="I18" s="336"/>
      <c r="J18" s="336"/>
      <c r="K18" s="336"/>
      <c r="L18" s="337"/>
      <c r="M18" s="337"/>
      <c r="N18" s="337"/>
    </row>
    <row r="19" spans="1:14" s="49" customFormat="1" ht="19.95" customHeight="1">
      <c r="A19" s="333"/>
      <c r="B19" s="387"/>
      <c r="C19" s="388"/>
      <c r="D19" s="387"/>
      <c r="E19" s="334"/>
      <c r="F19" s="335"/>
      <c r="G19" s="336"/>
      <c r="H19" s="336"/>
      <c r="I19" s="336"/>
      <c r="J19" s="336"/>
      <c r="K19" s="336"/>
      <c r="L19" s="337"/>
      <c r="M19" s="337"/>
      <c r="N19" s="337"/>
    </row>
    <row r="20" spans="1:14" s="49" customFormat="1" ht="19.95" customHeight="1">
      <c r="A20" s="333"/>
      <c r="B20" s="387"/>
      <c r="C20" s="388"/>
      <c r="D20" s="387"/>
      <c r="E20" s="334"/>
      <c r="F20" s="335"/>
      <c r="G20" s="336"/>
      <c r="H20" s="336"/>
      <c r="I20" s="336"/>
      <c r="J20" s="336"/>
      <c r="K20" s="336"/>
      <c r="L20" s="337"/>
      <c r="M20" s="337"/>
      <c r="N20" s="337"/>
    </row>
    <row r="21" spans="1:14" s="49" customFormat="1" ht="19.95" customHeight="1">
      <c r="A21" s="337" t="s">
        <v>385</v>
      </c>
      <c r="B21" s="337"/>
      <c r="C21" s="337"/>
      <c r="D21" s="337"/>
      <c r="E21" s="337"/>
      <c r="F21" s="338">
        <f>SUM(F17:F20)</f>
        <v>0</v>
      </c>
      <c r="G21" s="337"/>
      <c r="H21" s="337"/>
      <c r="I21" s="337"/>
      <c r="J21" s="337"/>
      <c r="K21" s="337"/>
      <c r="L21" s="335"/>
      <c r="M21" s="338">
        <f>F21-L21</f>
        <v>0</v>
      </c>
      <c r="N21" s="339"/>
    </row>
    <row r="22" spans="1:14" s="49" customFormat="1" ht="19.95" customHeight="1">
      <c r="A22" s="333" t="s">
        <v>499</v>
      </c>
      <c r="B22" s="387"/>
      <c r="C22" s="388"/>
      <c r="D22" s="387"/>
      <c r="E22" s="334"/>
      <c r="F22" s="335"/>
      <c r="G22" s="336"/>
      <c r="H22" s="336"/>
      <c r="I22" s="336"/>
      <c r="J22" s="336"/>
      <c r="K22" s="336"/>
      <c r="L22" s="337"/>
      <c r="M22" s="337"/>
      <c r="N22" s="337"/>
    </row>
    <row r="23" spans="1:14" s="49" customFormat="1" ht="19.95" customHeight="1">
      <c r="A23" s="333" t="s">
        <v>499</v>
      </c>
      <c r="B23" s="387"/>
      <c r="C23" s="388"/>
      <c r="D23" s="387"/>
      <c r="E23" s="334"/>
      <c r="F23" s="335"/>
      <c r="G23" s="336"/>
      <c r="H23" s="336"/>
      <c r="I23" s="336"/>
      <c r="J23" s="336"/>
      <c r="K23" s="336"/>
      <c r="L23" s="337"/>
      <c r="M23" s="337"/>
      <c r="N23" s="337"/>
    </row>
    <row r="24" spans="1:14" s="49" customFormat="1" ht="19.95" customHeight="1">
      <c r="A24" s="333"/>
      <c r="B24" s="387"/>
      <c r="C24" s="388"/>
      <c r="D24" s="387"/>
      <c r="E24" s="334"/>
      <c r="F24" s="335"/>
      <c r="G24" s="336"/>
      <c r="H24" s="336"/>
      <c r="I24" s="336"/>
      <c r="J24" s="336"/>
      <c r="K24" s="336"/>
      <c r="L24" s="337"/>
      <c r="M24" s="337"/>
      <c r="N24" s="337"/>
    </row>
    <row r="25" spans="1:14" s="49" customFormat="1" ht="19.95" customHeight="1">
      <c r="A25" s="333"/>
      <c r="B25" s="387"/>
      <c r="C25" s="388"/>
      <c r="D25" s="387"/>
      <c r="E25" s="334"/>
      <c r="F25" s="335"/>
      <c r="G25" s="336"/>
      <c r="H25" s="336"/>
      <c r="I25" s="336"/>
      <c r="J25" s="336"/>
      <c r="K25" s="336"/>
      <c r="L25" s="337"/>
      <c r="M25" s="337"/>
      <c r="N25" s="337"/>
    </row>
    <row r="26" spans="1:14" s="49" customFormat="1" ht="19.95" customHeight="1">
      <c r="A26" s="337" t="s">
        <v>385</v>
      </c>
      <c r="B26" s="337"/>
      <c r="C26" s="337"/>
      <c r="D26" s="337"/>
      <c r="E26" s="337"/>
      <c r="F26" s="338">
        <f>SUM(F22:F25)</f>
        <v>0</v>
      </c>
      <c r="G26" s="337"/>
      <c r="H26" s="337"/>
      <c r="I26" s="337"/>
      <c r="J26" s="337"/>
      <c r="K26" s="337"/>
      <c r="L26" s="335"/>
      <c r="M26" s="338">
        <f>F26-L26</f>
        <v>0</v>
      </c>
      <c r="N26" s="339"/>
    </row>
    <row r="27" spans="1:14" s="72" customFormat="1" ht="19.95" customHeight="1">
      <c r="A27" s="340" t="s">
        <v>389</v>
      </c>
      <c r="B27" s="340"/>
      <c r="C27" s="340"/>
      <c r="D27" s="340"/>
      <c r="E27" s="340"/>
      <c r="F27" s="287">
        <f>F26+F21+F16</f>
        <v>0</v>
      </c>
      <c r="G27" s="340"/>
      <c r="H27" s="340"/>
      <c r="I27" s="340"/>
      <c r="J27" s="340"/>
      <c r="K27" s="340"/>
      <c r="L27" s="287">
        <f>L26+L21+L16</f>
        <v>0</v>
      </c>
      <c r="M27" s="287">
        <f>M26+M21+M16</f>
        <v>0</v>
      </c>
      <c r="N27" s="287">
        <f>N26+N21+N16</f>
        <v>0</v>
      </c>
    </row>
    <row r="28" spans="1:14" s="3" customFormat="1" ht="19.95" customHeight="1">
      <c r="A28" s="100" t="s">
        <v>74</v>
      </c>
      <c r="B28" s="28"/>
      <c r="C28" s="390"/>
      <c r="D28" s="390"/>
      <c r="E28" s="390"/>
      <c r="F28" s="390"/>
      <c r="G28" s="390"/>
      <c r="H28" s="390"/>
      <c r="I28" s="390"/>
      <c r="J28" s="390"/>
      <c r="K28" s="390"/>
      <c r="L28" s="390"/>
      <c r="M28" s="390"/>
      <c r="N28" s="390"/>
    </row>
    <row r="29" spans="1:14" s="3" customFormat="1" ht="19.95" customHeight="1">
      <c r="A29" s="26"/>
      <c r="B29" s="26"/>
      <c r="C29" s="69"/>
      <c r="D29" s="69"/>
      <c r="E29" s="69"/>
      <c r="F29" s="69"/>
      <c r="G29" s="69"/>
      <c r="H29" s="69"/>
      <c r="I29" s="69"/>
      <c r="J29" s="69"/>
      <c r="K29" s="69"/>
      <c r="L29" s="69"/>
      <c r="M29" s="69"/>
      <c r="N29" s="69"/>
    </row>
    <row r="30" spans="1:14" s="3" customFormat="1" ht="19.95" customHeight="1">
      <c r="A30" s="26"/>
      <c r="B30" s="26"/>
      <c r="C30" s="69"/>
      <c r="D30" s="69"/>
      <c r="E30" s="69"/>
      <c r="F30" s="69"/>
      <c r="G30" s="69"/>
      <c r="H30" s="69"/>
      <c r="I30" s="69"/>
      <c r="J30" s="69"/>
      <c r="K30" s="69"/>
      <c r="L30" s="69"/>
      <c r="M30" s="69"/>
      <c r="N30" s="69"/>
    </row>
    <row r="31" spans="1:14" s="3" customFormat="1" ht="19.95" customHeight="1">
      <c r="A31" s="77" t="s">
        <v>75</v>
      </c>
      <c r="B31" s="26"/>
      <c r="C31" s="69"/>
      <c r="D31" s="69"/>
      <c r="E31" s="69"/>
      <c r="F31" s="69"/>
      <c r="G31" s="69"/>
      <c r="H31" s="69"/>
      <c r="I31" s="69"/>
      <c r="J31" s="69"/>
      <c r="K31" s="69"/>
      <c r="L31" s="69"/>
      <c r="M31" s="69"/>
      <c r="N31" s="69"/>
    </row>
    <row r="32" spans="1:14" s="3" customFormat="1" ht="19.95" customHeight="1">
      <c r="A32" s="77"/>
      <c r="B32" s="26"/>
      <c r="C32" s="69"/>
      <c r="D32" s="69"/>
      <c r="E32" s="69"/>
      <c r="F32" s="69"/>
      <c r="G32" s="69"/>
      <c r="H32" s="69"/>
      <c r="I32" s="69"/>
      <c r="J32" s="69"/>
      <c r="K32" s="69"/>
      <c r="L32" s="69"/>
      <c r="M32" s="69"/>
      <c r="N32" s="69"/>
    </row>
    <row r="33" spans="1:14" s="3" customFormat="1" ht="19.95" customHeight="1">
      <c r="A33" s="69"/>
      <c r="B33" s="69"/>
      <c r="C33" s="69"/>
      <c r="D33" s="69"/>
      <c r="E33" s="69"/>
      <c r="F33" s="69"/>
      <c r="G33" s="69"/>
      <c r="H33" s="69"/>
      <c r="I33" s="69"/>
      <c r="J33" s="69"/>
      <c r="K33" s="69"/>
      <c r="L33" s="69"/>
      <c r="M33" s="69"/>
      <c r="N33" s="69"/>
    </row>
    <row r="34" spans="1:14" ht="21" customHeight="1"/>
    <row r="35" spans="1:14" ht="21" customHeight="1"/>
    <row r="36" spans="1:14" ht="21" customHeight="1"/>
    <row r="37" spans="1:14" ht="21" customHeight="1"/>
    <row r="38" spans="1:14" ht="21" customHeight="1"/>
    <row r="39" spans="1:14" ht="21" customHeight="1"/>
    <row r="40" spans="1:14" ht="21" customHeight="1"/>
    <row r="41" spans="1:14" ht="21" customHeight="1"/>
    <row r="42" spans="1:14" ht="21" customHeight="1"/>
    <row r="43" spans="1:14" ht="21" customHeight="1"/>
    <row r="44" spans="1:14" ht="21" customHeight="1"/>
    <row r="45" spans="1:14" ht="21" customHeight="1"/>
    <row r="46" spans="1:14" ht="21" customHeight="1"/>
    <row r="47" spans="1:14" ht="21" customHeight="1"/>
    <row r="48" spans="1:14"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sheetData>
  <mergeCells count="2">
    <mergeCell ref="A1:N1"/>
    <mergeCell ref="A2:N2"/>
  </mergeCells>
  <phoneticPr fontId="15" type="noConversion"/>
  <hyperlinks>
    <hyperlink ref="N3" location="底稿目录!A1" display="底稿目录!A1"/>
  </hyperlinks>
  <pageMargins left="0.70866141732283472" right="0.70866141732283472" top="0.74803149606299213" bottom="0.74803149606299213" header="0.31496062992125984" footer="0.31496062992125984"/>
  <pageSetup paperSize="9" scale="75" orientation="landscape" blackAndWhite="1" r:id="rId1"/>
  <headerFooter>
    <oddFooter>&amp;C&amp;P/&amp;N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8"/>
  <sheetViews>
    <sheetView workbookViewId="0"/>
  </sheetViews>
  <sheetFormatPr defaultRowHeight="15.6"/>
  <sheetData>
    <row r="1" spans="1:2">
      <c r="A1" t="s">
        <v>8</v>
      </c>
      <c r="B1" t="s">
        <v>9</v>
      </c>
    </row>
    <row r="2" spans="1:2">
      <c r="A2" t="s">
        <v>10</v>
      </c>
      <c r="B2" t="s">
        <v>11</v>
      </c>
    </row>
    <row r="3" spans="1:2">
      <c r="A3" t="s">
        <v>12</v>
      </c>
      <c r="B3" t="s">
        <v>13</v>
      </c>
    </row>
    <row r="4" spans="1:2">
      <c r="A4" t="s">
        <v>14</v>
      </c>
      <c r="B4" t="s">
        <v>15</v>
      </c>
    </row>
    <row r="5" spans="1:2">
      <c r="A5" t="s">
        <v>16</v>
      </c>
      <c r="B5" t="s">
        <v>17</v>
      </c>
    </row>
    <row r="6" spans="1:2">
      <c r="A6" t="s">
        <v>18</v>
      </c>
      <c r="B6" t="s">
        <v>19</v>
      </c>
    </row>
    <row r="7" spans="1:2">
      <c r="A7" t="s">
        <v>20</v>
      </c>
      <c r="B7" t="s">
        <v>21</v>
      </c>
    </row>
    <row r="8" spans="1:2">
      <c r="A8" t="s">
        <v>22</v>
      </c>
      <c r="B8" t="s">
        <v>23</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15</vt:i4>
      </vt:variant>
    </vt:vector>
  </HeadingPairs>
  <TitlesOfParts>
    <vt:vector size="30" baseType="lpstr">
      <vt:lpstr>修订说明</vt:lpstr>
      <vt:lpstr>底稿目录</vt:lpstr>
      <vt:lpstr>应付账款实质性程序表F4A</vt:lpstr>
      <vt:lpstr>审定表F4-1</vt:lpstr>
      <vt:lpstr>附注披露信息(上市公司)</vt:lpstr>
      <vt:lpstr>附注披露信息(国企)</vt:lpstr>
      <vt:lpstr>明细表F4-2</vt:lpstr>
      <vt:lpstr>调整分录汇总F4-3</vt:lpstr>
      <vt:lpstr>实质性分析F4-4</vt:lpstr>
      <vt:lpstr>长期挂账检查表F4-5</vt:lpstr>
      <vt:lpstr>关联方及交易检查表F4-6</vt:lpstr>
      <vt:lpstr>未入账检查表F4-7</vt:lpstr>
      <vt:lpstr>应付账款检查表F4-8</vt:lpstr>
      <vt:lpstr>供应商融资检查表F4-9</vt:lpstr>
      <vt:lpstr>GT_Custom</vt:lpstr>
      <vt:lpstr>应付账款实质性程序表F4A!_FilterDatabase</vt:lpstr>
      <vt:lpstr>'调整分录汇总F4-3'!Print_Area</vt:lpstr>
      <vt:lpstr>'附注披露信息(国企)'!Print_Area</vt:lpstr>
      <vt:lpstr>'附注披露信息(上市公司)'!Print_Area</vt:lpstr>
      <vt:lpstr>'供应商融资检查表F4-9'!Print_Area</vt:lpstr>
      <vt:lpstr>'关联方及交易检查表F4-6'!Print_Area</vt:lpstr>
      <vt:lpstr>'明细表F4-2'!Print_Area</vt:lpstr>
      <vt:lpstr>'审定表F4-1'!Print_Area</vt:lpstr>
      <vt:lpstr>'实质性分析F4-4'!Print_Area</vt:lpstr>
      <vt:lpstr>'未入账检查表F4-7'!Print_Area</vt:lpstr>
      <vt:lpstr>'应付账款检查表F4-8'!Print_Area</vt:lpstr>
      <vt:lpstr>应付账款实质性程序表F4A!Print_Area</vt:lpstr>
      <vt:lpstr>'长期挂账检查表F4-5'!Print_Area</vt:lpstr>
      <vt:lpstr>'明细表F4-2'!Print_Titles</vt:lpstr>
      <vt:lpstr>应付账款实质性程序表F4A!Print_Titles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2025-10-20T02:24:17Z</cp:lastPrinted>
  <dcterms:created xsi:type="dcterms:W3CDTF">2007-05-20T08:51:05Z</dcterms:created>
  <dcterms:modified xsi:type="dcterms:W3CDTF">2025-10-27T01:57:13Z</dcterms:modified>
</cp:coreProperties>
</file>